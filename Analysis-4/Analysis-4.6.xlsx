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rdns\OneDrive\Desktop\Data Science\Projects\Excel\2nd\Electricity data\Analysis\"/>
    </mc:Choice>
  </mc:AlternateContent>
  <xr:revisionPtr revIDLastSave="0" documentId="8_{DEE7D7C4-F3A5-46E5-8F11-B8160F06167C}" xr6:coauthVersionLast="47" xr6:coauthVersionMax="47" xr10:uidLastSave="{00000000-0000-0000-0000-000000000000}"/>
  <bookViews>
    <workbookView xWindow="-110" yWindow="-110" windowWidth="19420" windowHeight="10300" firstSheet="10" activeTab="10" xr2:uid="{ED3A7913-A3CE-4815-BE26-79F2E3E8FABC}"/>
  </bookViews>
  <sheets>
    <sheet name="Electric-Stat (2)" sheetId="8" state="hidden" r:id="rId1"/>
    <sheet name="RE-Share (2)" sheetId="6" state="hidden" r:id="rId2"/>
    <sheet name="RE-Share (3)" sheetId="13" state="hidden" r:id="rId3"/>
    <sheet name="Electricity-Access (2)" sheetId="5" state="hidden" r:id="rId4"/>
    <sheet name="_5_African_Regions" sheetId="7" state="hidden" r:id="rId5"/>
    <sheet name="4.0" sheetId="9" state="hidden" r:id="rId6"/>
    <sheet name="4.1" sheetId="10" state="hidden" r:id="rId7"/>
    <sheet name="4.2.1" sheetId="12" state="hidden" r:id="rId8"/>
    <sheet name="4.2.2" sheetId="15" state="hidden" r:id="rId9"/>
    <sheet name="4.2.3" sheetId="16" state="hidden" r:id="rId10"/>
    <sheet name="Policy" sheetId="11" r:id="rId11"/>
  </sheets>
  <definedNames>
    <definedName name="_xlnm._FilterDatabase" localSheetId="8" hidden="1">'4.2.2'!$A$1:$B$45</definedName>
    <definedName name="ExternalData_1" localSheetId="3" hidden="1">'Electricity-Access (2)'!$A$1:$AB$49</definedName>
    <definedName name="ExternalData_2" localSheetId="7" hidden="1">'4.2.1'!$A$1:$H$603</definedName>
    <definedName name="ExternalData_2" localSheetId="1" hidden="1">'RE-Share (2)'!$A$1:$D$2251</definedName>
    <definedName name="ExternalData_3" localSheetId="4" hidden="1">'_5_African_Regions'!$A$1:$Z$49</definedName>
    <definedName name="ExternalData_3" localSheetId="2" hidden="1">'RE-Share (3)'!$A$1:$D$1081</definedName>
    <definedName name="ExternalData_4" localSheetId="0" hidden="1">'Electric-Stat (2)'!$A$1:$E$5673</definedName>
    <definedName name="ExternalData_5" localSheetId="5" hidden="1">'4.0'!$A$1:$E$1137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6" l="1"/>
  <c r="E3" i="16" s="1"/>
  <c r="C4" i="16"/>
  <c r="E4" i="16" s="1"/>
  <c r="C5" i="16"/>
  <c r="E5" i="16" s="1"/>
  <c r="E2" i="16"/>
  <c r="C2" i="16"/>
  <c r="K10" i="12"/>
  <c r="L10" i="12" s="1"/>
  <c r="K12" i="12"/>
  <c r="K14" i="12"/>
  <c r="L14" i="12" s="1"/>
  <c r="K29" i="12"/>
  <c r="K31" i="12"/>
  <c r="L31" i="12" s="1"/>
  <c r="K100" i="12"/>
  <c r="L100" i="12" s="1"/>
  <c r="K153" i="12"/>
  <c r="L153" i="12" s="1"/>
  <c r="K154" i="12"/>
  <c r="L154" i="12" s="1"/>
  <c r="K155" i="12"/>
  <c r="L155" i="12" s="1"/>
  <c r="K164" i="12"/>
  <c r="K166" i="12"/>
  <c r="K167" i="12" s="1"/>
  <c r="K168" i="12" s="1"/>
  <c r="K169" i="12" s="1"/>
  <c r="L169" i="12" s="1"/>
  <c r="K184" i="12"/>
  <c r="L184" i="12" s="1"/>
  <c r="K186" i="12"/>
  <c r="L186" i="12" s="1"/>
  <c r="K201" i="12"/>
  <c r="K202" i="12" s="1"/>
  <c r="K203" i="12" s="1"/>
  <c r="K204" i="12" s="1"/>
  <c r="K205" i="12" s="1"/>
  <c r="K206" i="12" s="1"/>
  <c r="K207" i="12" s="1"/>
  <c r="L207" i="12" s="1"/>
  <c r="K259" i="12"/>
  <c r="K260" i="12" s="1"/>
  <c r="L260" i="12" s="1"/>
  <c r="K261" i="12"/>
  <c r="L261" i="12" s="1"/>
  <c r="K262" i="12"/>
  <c r="K263" i="12" s="1"/>
  <c r="K264" i="12" s="1"/>
  <c r="L264" i="12" s="1"/>
  <c r="K265" i="12"/>
  <c r="K266" i="12" s="1"/>
  <c r="K267" i="12" s="1"/>
  <c r="L267" i="12" s="1"/>
  <c r="K268" i="12"/>
  <c r="L268" i="12" s="1"/>
  <c r="K273" i="12"/>
  <c r="K274" i="12" s="1"/>
  <c r="K275" i="12" s="1"/>
  <c r="K276" i="12" s="1"/>
  <c r="K289" i="12"/>
  <c r="K290" i="12" s="1"/>
  <c r="K291" i="12" s="1"/>
  <c r="K292" i="12" s="1"/>
  <c r="K324" i="12"/>
  <c r="K346" i="12"/>
  <c r="L346" i="12" s="1"/>
  <c r="K348" i="12"/>
  <c r="L348" i="12" s="1"/>
  <c r="K366" i="12"/>
  <c r="K367" i="12" s="1"/>
  <c r="L367" i="12" s="1"/>
  <c r="K368" i="12"/>
  <c r="L368" i="12" s="1"/>
  <c r="K369" i="12"/>
  <c r="K370" i="12" s="1"/>
  <c r="K371" i="12" s="1"/>
  <c r="L371" i="12" s="1"/>
  <c r="K372" i="12"/>
  <c r="L372" i="12" s="1"/>
  <c r="K375" i="12"/>
  <c r="L375" i="12" s="1"/>
  <c r="K376" i="12"/>
  <c r="K408" i="12"/>
  <c r="L408" i="12" s="1"/>
  <c r="K429" i="12"/>
  <c r="K430" i="12" s="1"/>
  <c r="K431" i="12" s="1"/>
  <c r="K432" i="12" s="1"/>
  <c r="K433" i="12" s="1"/>
  <c r="K434" i="12" s="1"/>
  <c r="K435" i="12" s="1"/>
  <c r="L435" i="12" s="1"/>
  <c r="K504" i="12"/>
  <c r="L504" i="12" s="1"/>
  <c r="K520" i="12"/>
  <c r="L520" i="12" s="1"/>
  <c r="K533" i="12"/>
  <c r="L533" i="12" s="1"/>
  <c r="K579" i="12"/>
  <c r="L579" i="12" s="1"/>
  <c r="K580" i="12"/>
  <c r="K588" i="12"/>
  <c r="J3" i="12"/>
  <c r="J4" i="12"/>
  <c r="J5" i="12"/>
  <c r="J6" i="12"/>
  <c r="J7" i="12"/>
  <c r="J8" i="12"/>
  <c r="J9" i="12"/>
  <c r="J10" i="12"/>
  <c r="J11" i="12"/>
  <c r="J12" i="12"/>
  <c r="J13" i="12"/>
  <c r="J14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9" i="12"/>
  <c r="J40" i="12"/>
  <c r="J41" i="12"/>
  <c r="J42" i="12"/>
  <c r="J43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9" i="12"/>
  <c r="J110" i="12"/>
  <c r="J111" i="12"/>
  <c r="J112" i="12"/>
  <c r="J113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9" i="12"/>
  <c r="J210" i="12"/>
  <c r="J211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9" i="12"/>
  <c r="J280" i="12"/>
  <c r="J281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8" i="12"/>
  <c r="J329" i="12"/>
  <c r="J330" i="12"/>
  <c r="J331" i="12"/>
  <c r="J332" i="12"/>
  <c r="J333" i="12"/>
  <c r="J334" i="12"/>
  <c r="J335" i="12"/>
  <c r="J336" i="12"/>
  <c r="J337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4" i="12"/>
  <c r="J375" i="12"/>
  <c r="J376" i="12"/>
  <c r="J377" i="12"/>
  <c r="J378" i="12"/>
  <c r="J379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7" i="12"/>
  <c r="J418" i="12"/>
  <c r="J419" i="12"/>
  <c r="J420" i="12"/>
  <c r="J421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I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J15" i="12" s="1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J44" i="12" s="1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J58" i="12" s="1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J72" i="12" s="1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J108" i="12" s="1"/>
  <c r="I109" i="12"/>
  <c r="I110" i="12"/>
  <c r="I111" i="12"/>
  <c r="I112" i="12"/>
  <c r="I113" i="12"/>
  <c r="I114" i="12"/>
  <c r="J114" i="12" s="1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J128" i="12" s="1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J156" i="12" s="1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J170" i="12" s="1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J187" i="12" s="1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J208" i="12" s="1"/>
  <c r="I209" i="12"/>
  <c r="I210" i="12"/>
  <c r="I211" i="12"/>
  <c r="I212" i="12"/>
  <c r="J212" i="12" s="1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J226" i="12" s="1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J240" i="12" s="1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J282" i="12" s="1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J296" i="12" s="1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J338" i="12" s="1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J352" i="12" s="1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J380" i="12" s="1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J394" i="12" s="1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J416" i="12" s="1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J436" i="12" s="1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J450" i="12" s="1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J464" i="12" s="1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J492" i="12" s="1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J505" i="12" s="1"/>
  <c r="I506" i="12"/>
  <c r="J506" i="12" s="1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K534" i="12" s="1"/>
  <c r="K535" i="12" s="1"/>
  <c r="K536" i="12" s="1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J548" i="12" s="1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J562" i="12" s="1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J576" i="12" s="1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F2" i="9"/>
  <c r="H2" i="9" s="1" a="1"/>
  <c r="H2" i="9" s="1"/>
  <c r="I2" i="9" s="1"/>
  <c r="F3" i="9"/>
  <c r="H3" i="9" s="1" a="1"/>
  <c r="H3" i="9" s="1"/>
  <c r="I3" i="9" s="1"/>
  <c r="F4" i="9"/>
  <c r="H4" i="9" s="1" a="1"/>
  <c r="H4" i="9" s="1"/>
  <c r="I4" i="9" s="1"/>
  <c r="F5" i="9"/>
  <c r="H5" i="9" s="1" a="1"/>
  <c r="H5" i="9" s="1"/>
  <c r="I5" i="9" s="1"/>
  <c r="F6" i="9"/>
  <c r="H6" i="9" s="1" a="1"/>
  <c r="H6" i="9" s="1"/>
  <c r="I6" i="9" s="1"/>
  <c r="F7" i="9"/>
  <c r="H7" i="9" s="1" a="1"/>
  <c r="H7" i="9" s="1"/>
  <c r="I7" i="9" s="1"/>
  <c r="F8" i="9"/>
  <c r="H8" i="9" s="1" a="1"/>
  <c r="H8" i="9" s="1"/>
  <c r="I8" i="9" s="1"/>
  <c r="F9" i="9"/>
  <c r="H9" i="9" s="1" a="1"/>
  <c r="H9" i="9" s="1"/>
  <c r="I9" i="9" s="1"/>
  <c r="F10" i="9"/>
  <c r="H10" i="9" s="1" a="1"/>
  <c r="H10" i="9" s="1"/>
  <c r="I10" i="9" s="1"/>
  <c r="F11" i="9"/>
  <c r="H11" i="9" s="1" a="1"/>
  <c r="H11" i="9" s="1"/>
  <c r="I11" i="9" s="1"/>
  <c r="F12" i="9"/>
  <c r="H12" i="9" s="1" a="1"/>
  <c r="H12" i="9" s="1"/>
  <c r="I12" i="9" s="1"/>
  <c r="F13" i="9"/>
  <c r="H13" i="9" s="1" a="1"/>
  <c r="H13" i="9" s="1"/>
  <c r="I13" i="9" s="1"/>
  <c r="F14" i="9"/>
  <c r="H14" i="9" s="1" a="1"/>
  <c r="H14" i="9" s="1"/>
  <c r="I14" i="9" s="1"/>
  <c r="F15" i="9"/>
  <c r="H15" i="9" s="1" a="1"/>
  <c r="H15" i="9" s="1"/>
  <c r="I15" i="9" s="1"/>
  <c r="F16" i="9"/>
  <c r="H16" i="9" s="1" a="1"/>
  <c r="H16" i="9" s="1"/>
  <c r="I16" i="9" s="1"/>
  <c r="F17" i="9"/>
  <c r="H17" i="9" s="1" a="1"/>
  <c r="H17" i="9" s="1"/>
  <c r="I17" i="9" s="1"/>
  <c r="F18" i="9"/>
  <c r="H18" i="9" s="1" a="1"/>
  <c r="H18" i="9" s="1"/>
  <c r="I18" i="9" s="1"/>
  <c r="F19" i="9"/>
  <c r="H19" i="9" s="1" a="1"/>
  <c r="H19" i="9" s="1"/>
  <c r="I19" i="9" s="1"/>
  <c r="F20" i="9"/>
  <c r="H20" i="9" s="1" a="1"/>
  <c r="H20" i="9" s="1"/>
  <c r="I20" i="9" s="1"/>
  <c r="F21" i="9"/>
  <c r="H21" i="9" s="1" a="1"/>
  <c r="H21" i="9" s="1"/>
  <c r="I21" i="9" s="1"/>
  <c r="F22" i="9"/>
  <c r="H22" i="9" s="1" a="1"/>
  <c r="H22" i="9" s="1"/>
  <c r="I22" i="9" s="1"/>
  <c r="F23" i="9"/>
  <c r="H23" i="9" s="1" a="1"/>
  <c r="H23" i="9" s="1"/>
  <c r="I23" i="9" s="1"/>
  <c r="F24" i="9"/>
  <c r="H24" i="9" s="1" a="1"/>
  <c r="H24" i="9" s="1"/>
  <c r="I24" i="9" s="1"/>
  <c r="F25" i="9"/>
  <c r="H25" i="9" s="1" a="1"/>
  <c r="H25" i="9" s="1"/>
  <c r="I25" i="9" s="1"/>
  <c r="F26" i="9"/>
  <c r="H26" i="9" s="1" a="1"/>
  <c r="H26" i="9" s="1"/>
  <c r="I26" i="9" s="1"/>
  <c r="F27" i="9"/>
  <c r="H27" i="9" s="1" a="1"/>
  <c r="H27" i="9" s="1"/>
  <c r="I27" i="9" s="1"/>
  <c r="F28" i="9"/>
  <c r="H28" i="9" s="1" a="1"/>
  <c r="H28" i="9" s="1"/>
  <c r="I28" i="9" s="1"/>
  <c r="F29" i="9"/>
  <c r="H29" i="9" s="1" a="1"/>
  <c r="H29" i="9" s="1"/>
  <c r="I29" i="9" s="1"/>
  <c r="F30" i="9"/>
  <c r="H30" i="9" s="1" a="1"/>
  <c r="H30" i="9" s="1"/>
  <c r="I30" i="9" s="1"/>
  <c r="F31" i="9"/>
  <c r="H31" i="9" s="1" a="1"/>
  <c r="H31" i="9" s="1"/>
  <c r="I31" i="9" s="1"/>
  <c r="F32" i="9"/>
  <c r="H32" i="9" s="1" a="1"/>
  <c r="H32" i="9" s="1"/>
  <c r="I32" i="9" s="1"/>
  <c r="F33" i="9"/>
  <c r="H33" i="9" s="1" a="1"/>
  <c r="H33" i="9" s="1"/>
  <c r="I33" i="9" s="1"/>
  <c r="F34" i="9"/>
  <c r="H34" i="9" s="1" a="1"/>
  <c r="H34" i="9" s="1"/>
  <c r="I34" i="9" s="1"/>
  <c r="F35" i="9"/>
  <c r="H35" i="9" s="1" a="1"/>
  <c r="H35" i="9" s="1"/>
  <c r="I35" i="9" s="1"/>
  <c r="F36" i="9"/>
  <c r="H36" i="9" s="1" a="1"/>
  <c r="H36" i="9" s="1"/>
  <c r="I36" i="9" s="1"/>
  <c r="F37" i="9"/>
  <c r="H37" i="9" s="1" a="1"/>
  <c r="H37" i="9" s="1"/>
  <c r="I37" i="9" s="1"/>
  <c r="F38" i="9"/>
  <c r="H38" i="9" s="1" a="1"/>
  <c r="H38" i="9" s="1"/>
  <c r="I38" i="9" s="1"/>
  <c r="F39" i="9"/>
  <c r="H39" i="9" s="1" a="1"/>
  <c r="H39" i="9" s="1"/>
  <c r="I39" i="9" s="1"/>
  <c r="F40" i="9"/>
  <c r="H40" i="9" s="1" a="1"/>
  <c r="H40" i="9" s="1"/>
  <c r="I40" i="9" s="1"/>
  <c r="F41" i="9"/>
  <c r="H41" i="9" s="1" a="1"/>
  <c r="H41" i="9" s="1"/>
  <c r="I41" i="9" s="1"/>
  <c r="F42" i="9"/>
  <c r="H42" i="9" s="1" a="1"/>
  <c r="H42" i="9" s="1"/>
  <c r="I42" i="9" s="1"/>
  <c r="F43" i="9"/>
  <c r="H43" i="9" s="1" a="1"/>
  <c r="H43" i="9" s="1"/>
  <c r="I43" i="9" s="1"/>
  <c r="F44" i="9"/>
  <c r="H44" i="9" s="1" a="1"/>
  <c r="H44" i="9" s="1"/>
  <c r="I44" i="9" s="1"/>
  <c r="F45" i="9"/>
  <c r="H45" i="9" s="1" a="1"/>
  <c r="H45" i="9" s="1"/>
  <c r="I45" i="9" s="1"/>
  <c r="F46" i="9"/>
  <c r="H46" i="9" s="1" a="1"/>
  <c r="H46" i="9" s="1"/>
  <c r="I46" i="9" s="1"/>
  <c r="F47" i="9"/>
  <c r="H47" i="9" s="1" a="1"/>
  <c r="H47" i="9" s="1"/>
  <c r="I47" i="9" s="1"/>
  <c r="F48" i="9"/>
  <c r="H48" i="9" s="1" a="1"/>
  <c r="H48" i="9" s="1"/>
  <c r="I48" i="9" s="1"/>
  <c r="F49" i="9"/>
  <c r="H49" i="9" s="1" a="1"/>
  <c r="H49" i="9" s="1"/>
  <c r="I49" i="9" s="1"/>
  <c r="F50" i="9"/>
  <c r="H50" i="9" s="1" a="1"/>
  <c r="H50" i="9" s="1"/>
  <c r="I50" i="9" s="1"/>
  <c r="F51" i="9"/>
  <c r="H51" i="9" s="1" a="1"/>
  <c r="H51" i="9" s="1"/>
  <c r="I51" i="9" s="1"/>
  <c r="F52" i="9"/>
  <c r="H52" i="9" s="1" a="1"/>
  <c r="H52" i="9" s="1"/>
  <c r="I52" i="9" s="1"/>
  <c r="F53" i="9"/>
  <c r="H53" i="9" s="1" a="1"/>
  <c r="H53" i="9" s="1"/>
  <c r="I53" i="9" s="1"/>
  <c r="F54" i="9"/>
  <c r="H54" i="9" s="1" a="1"/>
  <c r="H54" i="9" s="1"/>
  <c r="I54" i="9" s="1"/>
  <c r="F55" i="9"/>
  <c r="H55" i="9" s="1" a="1"/>
  <c r="H55" i="9" s="1"/>
  <c r="I55" i="9" s="1"/>
  <c r="F56" i="9"/>
  <c r="H56" i="9" s="1" a="1"/>
  <c r="H56" i="9" s="1"/>
  <c r="I56" i="9" s="1"/>
  <c r="F57" i="9"/>
  <c r="H57" i="9" s="1" a="1"/>
  <c r="H57" i="9" s="1"/>
  <c r="I57" i="9" s="1"/>
  <c r="F58" i="9"/>
  <c r="H58" i="9" s="1" a="1"/>
  <c r="H58" i="9" s="1"/>
  <c r="I58" i="9" s="1"/>
  <c r="F59" i="9"/>
  <c r="H59" i="9" s="1" a="1"/>
  <c r="H59" i="9" s="1"/>
  <c r="I59" i="9" s="1"/>
  <c r="F60" i="9"/>
  <c r="H60" i="9" s="1" a="1"/>
  <c r="H60" i="9" s="1"/>
  <c r="I60" i="9" s="1"/>
  <c r="F61" i="9"/>
  <c r="H61" i="9" s="1" a="1"/>
  <c r="H61" i="9" s="1"/>
  <c r="I61" i="9" s="1"/>
  <c r="F62" i="9"/>
  <c r="H62" i="9" s="1" a="1"/>
  <c r="H62" i="9" s="1"/>
  <c r="I62" i="9" s="1"/>
  <c r="F63" i="9"/>
  <c r="H63" i="9" s="1" a="1"/>
  <c r="H63" i="9" s="1"/>
  <c r="I63" i="9" s="1"/>
  <c r="F64" i="9"/>
  <c r="H64" i="9" s="1" a="1"/>
  <c r="H64" i="9" s="1"/>
  <c r="I64" i="9" s="1"/>
  <c r="F65" i="9"/>
  <c r="H65" i="9" s="1" a="1"/>
  <c r="H65" i="9" s="1"/>
  <c r="I65" i="9" s="1"/>
  <c r="F66" i="9"/>
  <c r="H66" i="9" s="1" a="1"/>
  <c r="H66" i="9" s="1"/>
  <c r="I66" i="9" s="1"/>
  <c r="F67" i="9"/>
  <c r="H67" i="9" s="1" a="1"/>
  <c r="H67" i="9" s="1"/>
  <c r="I67" i="9" s="1"/>
  <c r="F68" i="9"/>
  <c r="H68" i="9" s="1" a="1"/>
  <c r="H68" i="9" s="1"/>
  <c r="I68" i="9" s="1"/>
  <c r="F69" i="9"/>
  <c r="H69" i="9" s="1" a="1"/>
  <c r="H69" i="9" s="1"/>
  <c r="I69" i="9" s="1"/>
  <c r="F70" i="9"/>
  <c r="H70" i="9" s="1" a="1"/>
  <c r="H70" i="9" s="1"/>
  <c r="I70" i="9" s="1"/>
  <c r="F71" i="9"/>
  <c r="H71" i="9" s="1" a="1"/>
  <c r="H71" i="9" s="1"/>
  <c r="I71" i="9" s="1"/>
  <c r="F72" i="9"/>
  <c r="H72" i="9" s="1" a="1"/>
  <c r="H72" i="9" s="1"/>
  <c r="I72" i="9" s="1"/>
  <c r="F73" i="9"/>
  <c r="H73" i="9" s="1" a="1"/>
  <c r="H73" i="9" s="1"/>
  <c r="I73" i="9" s="1"/>
  <c r="F74" i="9"/>
  <c r="H74" i="9" s="1" a="1"/>
  <c r="H74" i="9" s="1"/>
  <c r="I74" i="9" s="1"/>
  <c r="F75" i="9"/>
  <c r="H75" i="9" s="1" a="1"/>
  <c r="H75" i="9" s="1"/>
  <c r="I75" i="9" s="1"/>
  <c r="F76" i="9"/>
  <c r="H76" i="9" s="1" a="1"/>
  <c r="H76" i="9" s="1"/>
  <c r="I76" i="9" s="1"/>
  <c r="F77" i="9"/>
  <c r="H77" i="9" s="1" a="1"/>
  <c r="H77" i="9" s="1"/>
  <c r="I77" i="9" s="1"/>
  <c r="F78" i="9"/>
  <c r="H78" i="9" s="1" a="1"/>
  <c r="H78" i="9" s="1"/>
  <c r="I78" i="9" s="1"/>
  <c r="F79" i="9"/>
  <c r="H79" i="9" s="1" a="1"/>
  <c r="H79" i="9" s="1"/>
  <c r="I79" i="9" s="1"/>
  <c r="F80" i="9"/>
  <c r="H80" i="9" s="1" a="1"/>
  <c r="H80" i="9" s="1"/>
  <c r="I80" i="9" s="1"/>
  <c r="F81" i="9"/>
  <c r="H81" i="9" s="1" a="1"/>
  <c r="H81" i="9" s="1"/>
  <c r="I81" i="9" s="1"/>
  <c r="F82" i="9"/>
  <c r="H82" i="9" s="1" a="1"/>
  <c r="H82" i="9" s="1"/>
  <c r="I82" i="9" s="1"/>
  <c r="F83" i="9"/>
  <c r="H83" i="9" s="1" a="1"/>
  <c r="H83" i="9" s="1"/>
  <c r="I83" i="9" s="1"/>
  <c r="F84" i="9"/>
  <c r="H84" i="9" s="1" a="1"/>
  <c r="H84" i="9" s="1"/>
  <c r="I84" i="9" s="1"/>
  <c r="F85" i="9"/>
  <c r="H85" i="9" s="1" a="1"/>
  <c r="H85" i="9" s="1"/>
  <c r="I85" i="9" s="1"/>
  <c r="F86" i="9"/>
  <c r="H86" i="9" s="1" a="1"/>
  <c r="H86" i="9" s="1"/>
  <c r="I86" i="9" s="1"/>
  <c r="F87" i="9"/>
  <c r="H87" i="9" s="1" a="1"/>
  <c r="H87" i="9" s="1"/>
  <c r="I87" i="9" s="1"/>
  <c r="F88" i="9"/>
  <c r="H88" i="9" s="1" a="1"/>
  <c r="H88" i="9" s="1"/>
  <c r="I88" i="9" s="1"/>
  <c r="F89" i="9"/>
  <c r="H89" i="9" s="1" a="1"/>
  <c r="H89" i="9" s="1"/>
  <c r="I89" i="9" s="1"/>
  <c r="F90" i="9"/>
  <c r="H90" i="9" s="1" a="1"/>
  <c r="H90" i="9" s="1"/>
  <c r="I90" i="9" s="1"/>
  <c r="F91" i="9"/>
  <c r="H91" i="9" s="1" a="1"/>
  <c r="H91" i="9" s="1"/>
  <c r="I91" i="9" s="1"/>
  <c r="F92" i="9"/>
  <c r="H92" i="9" s="1" a="1"/>
  <c r="H92" i="9" s="1"/>
  <c r="I92" i="9" s="1"/>
  <c r="F93" i="9"/>
  <c r="H93" i="9" s="1" a="1"/>
  <c r="H93" i="9" s="1"/>
  <c r="I93" i="9" s="1"/>
  <c r="F94" i="9"/>
  <c r="H94" i="9" s="1" a="1"/>
  <c r="H94" i="9" s="1"/>
  <c r="I94" i="9" s="1"/>
  <c r="F95" i="9"/>
  <c r="H95" i="9" s="1" a="1"/>
  <c r="H95" i="9" s="1"/>
  <c r="I95" i="9" s="1"/>
  <c r="F96" i="9"/>
  <c r="H96" i="9" s="1" a="1"/>
  <c r="H96" i="9" s="1"/>
  <c r="I96" i="9" s="1"/>
  <c r="F97" i="9"/>
  <c r="H97" i="9" s="1" a="1"/>
  <c r="H97" i="9" s="1"/>
  <c r="I97" i="9" s="1"/>
  <c r="F98" i="9"/>
  <c r="H98" i="9" s="1" a="1"/>
  <c r="H98" i="9" s="1"/>
  <c r="I98" i="9" s="1"/>
  <c r="F99" i="9"/>
  <c r="H99" i="9" s="1" a="1"/>
  <c r="H99" i="9" s="1"/>
  <c r="I99" i="9" s="1"/>
  <c r="F100" i="9"/>
  <c r="H100" i="9" s="1" a="1"/>
  <c r="H100" i="9" s="1"/>
  <c r="I100" i="9" s="1"/>
  <c r="F101" i="9"/>
  <c r="H101" i="9" s="1" a="1"/>
  <c r="H101" i="9" s="1"/>
  <c r="I101" i="9" s="1"/>
  <c r="F102" i="9"/>
  <c r="H102" i="9" s="1" a="1"/>
  <c r="H102" i="9" s="1"/>
  <c r="I102" i="9" s="1"/>
  <c r="F103" i="9"/>
  <c r="H103" i="9" s="1" a="1"/>
  <c r="H103" i="9" s="1"/>
  <c r="I103" i="9" s="1"/>
  <c r="F104" i="9"/>
  <c r="H104" i="9" s="1" a="1"/>
  <c r="H104" i="9" s="1"/>
  <c r="I104" i="9" s="1"/>
  <c r="F105" i="9"/>
  <c r="H105" i="9" s="1" a="1"/>
  <c r="H105" i="9" s="1"/>
  <c r="I105" i="9" s="1"/>
  <c r="F106" i="9"/>
  <c r="H106" i="9" s="1" a="1"/>
  <c r="H106" i="9" s="1"/>
  <c r="I106" i="9" s="1"/>
  <c r="F107" i="9"/>
  <c r="H107" i="9" s="1" a="1"/>
  <c r="H107" i="9" s="1"/>
  <c r="I107" i="9" s="1"/>
  <c r="F108" i="9"/>
  <c r="H108" i="9" s="1" a="1"/>
  <c r="H108" i="9" s="1"/>
  <c r="I108" i="9" s="1"/>
  <c r="F109" i="9"/>
  <c r="H109" i="9" s="1" a="1"/>
  <c r="H109" i="9" s="1"/>
  <c r="I109" i="9" s="1"/>
  <c r="F110" i="9"/>
  <c r="H110" i="9" s="1" a="1"/>
  <c r="H110" i="9" s="1"/>
  <c r="I110" i="9" s="1"/>
  <c r="F111" i="9"/>
  <c r="H111" i="9" s="1" a="1"/>
  <c r="H111" i="9" s="1"/>
  <c r="I111" i="9" s="1"/>
  <c r="F112" i="9"/>
  <c r="H112" i="9" s="1" a="1"/>
  <c r="H112" i="9" s="1"/>
  <c r="I112" i="9" s="1"/>
  <c r="F113" i="9"/>
  <c r="H113" i="9" s="1" a="1"/>
  <c r="H113" i="9" s="1"/>
  <c r="I113" i="9" s="1"/>
  <c r="F114" i="9"/>
  <c r="H114" i="9" s="1" a="1"/>
  <c r="H114" i="9" s="1"/>
  <c r="I114" i="9" s="1"/>
  <c r="F115" i="9"/>
  <c r="H115" i="9" s="1" a="1"/>
  <c r="H115" i="9" s="1"/>
  <c r="I115" i="9" s="1"/>
  <c r="F116" i="9"/>
  <c r="H116" i="9" s="1" a="1"/>
  <c r="H116" i="9" s="1"/>
  <c r="I116" i="9" s="1"/>
  <c r="F117" i="9"/>
  <c r="H117" i="9" s="1" a="1"/>
  <c r="H117" i="9" s="1"/>
  <c r="I117" i="9" s="1"/>
  <c r="F118" i="9"/>
  <c r="H118" i="9" s="1" a="1"/>
  <c r="H118" i="9" s="1"/>
  <c r="I118" i="9" s="1"/>
  <c r="F119" i="9"/>
  <c r="H119" i="9" s="1" a="1"/>
  <c r="H119" i="9" s="1"/>
  <c r="I119" i="9" s="1"/>
  <c r="F120" i="9"/>
  <c r="H120" i="9" s="1" a="1"/>
  <c r="H120" i="9" s="1"/>
  <c r="I120" i="9" s="1"/>
  <c r="F121" i="9"/>
  <c r="H121" i="9" s="1" a="1"/>
  <c r="H121" i="9" s="1"/>
  <c r="I121" i="9" s="1"/>
  <c r="F122" i="9"/>
  <c r="H122" i="9" s="1" a="1"/>
  <c r="H122" i="9" s="1"/>
  <c r="I122" i="9" s="1"/>
  <c r="F123" i="9"/>
  <c r="H123" i="9" s="1" a="1"/>
  <c r="H123" i="9" s="1"/>
  <c r="I123" i="9" s="1"/>
  <c r="F124" i="9"/>
  <c r="H124" i="9" s="1" a="1"/>
  <c r="H124" i="9" s="1"/>
  <c r="I124" i="9" s="1"/>
  <c r="F125" i="9"/>
  <c r="H125" i="9" s="1" a="1"/>
  <c r="H125" i="9" s="1"/>
  <c r="I125" i="9" s="1"/>
  <c r="F126" i="9"/>
  <c r="H126" i="9" s="1" a="1"/>
  <c r="H126" i="9" s="1"/>
  <c r="I126" i="9" s="1"/>
  <c r="F127" i="9"/>
  <c r="H127" i="9" s="1" a="1"/>
  <c r="H127" i="9" s="1"/>
  <c r="I127" i="9" s="1"/>
  <c r="F128" i="9"/>
  <c r="H128" i="9" s="1" a="1"/>
  <c r="H128" i="9" s="1"/>
  <c r="I128" i="9" s="1"/>
  <c r="F129" i="9"/>
  <c r="H129" i="9" s="1" a="1"/>
  <c r="H129" i="9" s="1"/>
  <c r="I129" i="9" s="1"/>
  <c r="F130" i="9"/>
  <c r="H130" i="9" s="1" a="1"/>
  <c r="H130" i="9" s="1"/>
  <c r="I130" i="9" s="1"/>
  <c r="F131" i="9"/>
  <c r="H131" i="9" s="1" a="1"/>
  <c r="H131" i="9" s="1"/>
  <c r="I131" i="9" s="1"/>
  <c r="F132" i="9"/>
  <c r="H132" i="9" s="1" a="1"/>
  <c r="H132" i="9" s="1"/>
  <c r="I132" i="9" s="1"/>
  <c r="F133" i="9"/>
  <c r="H133" i="9" s="1" a="1"/>
  <c r="H133" i="9" s="1"/>
  <c r="I133" i="9" s="1"/>
  <c r="F134" i="9"/>
  <c r="H134" i="9" s="1" a="1"/>
  <c r="H134" i="9" s="1"/>
  <c r="I134" i="9" s="1"/>
  <c r="F135" i="9"/>
  <c r="H135" i="9" s="1" a="1"/>
  <c r="H135" i="9" s="1"/>
  <c r="I135" i="9" s="1"/>
  <c r="F136" i="9"/>
  <c r="H136" i="9" s="1" a="1"/>
  <c r="H136" i="9" s="1"/>
  <c r="I136" i="9" s="1"/>
  <c r="F137" i="9"/>
  <c r="H137" i="9" s="1" a="1"/>
  <c r="H137" i="9" s="1"/>
  <c r="I137" i="9" s="1"/>
  <c r="F138" i="9"/>
  <c r="H138" i="9" s="1" a="1"/>
  <c r="H138" i="9" s="1"/>
  <c r="I138" i="9" s="1"/>
  <c r="F139" i="9"/>
  <c r="H139" i="9" s="1" a="1"/>
  <c r="H139" i="9" s="1"/>
  <c r="I139" i="9" s="1"/>
  <c r="F140" i="9"/>
  <c r="H140" i="9" s="1" a="1"/>
  <c r="H140" i="9" s="1"/>
  <c r="I140" i="9" s="1"/>
  <c r="F141" i="9"/>
  <c r="H141" i="9" s="1" a="1"/>
  <c r="H141" i="9" s="1"/>
  <c r="I141" i="9" s="1"/>
  <c r="F142" i="9"/>
  <c r="H142" i="9" s="1" a="1"/>
  <c r="H142" i="9" s="1"/>
  <c r="I142" i="9" s="1"/>
  <c r="F143" i="9"/>
  <c r="H143" i="9" s="1" a="1"/>
  <c r="H143" i="9" s="1"/>
  <c r="I143" i="9" s="1"/>
  <c r="F144" i="9"/>
  <c r="H144" i="9" s="1" a="1"/>
  <c r="H144" i="9" s="1"/>
  <c r="I144" i="9" s="1"/>
  <c r="F145" i="9"/>
  <c r="H145" i="9" s="1" a="1"/>
  <c r="H145" i="9" s="1"/>
  <c r="I145" i="9" s="1"/>
  <c r="F146" i="9"/>
  <c r="H146" i="9" s="1" a="1"/>
  <c r="H146" i="9" s="1"/>
  <c r="I146" i="9" s="1"/>
  <c r="F147" i="9"/>
  <c r="H147" i="9" s="1" a="1"/>
  <c r="H147" i="9" s="1"/>
  <c r="I147" i="9" s="1"/>
  <c r="F148" i="9"/>
  <c r="H148" i="9" s="1" a="1"/>
  <c r="H148" i="9" s="1"/>
  <c r="I148" i="9" s="1"/>
  <c r="F149" i="9"/>
  <c r="H149" i="9" s="1" a="1"/>
  <c r="H149" i="9" s="1"/>
  <c r="I149" i="9" s="1"/>
  <c r="F150" i="9"/>
  <c r="H150" i="9" s="1" a="1"/>
  <c r="H150" i="9" s="1"/>
  <c r="I150" i="9" s="1"/>
  <c r="F151" i="9"/>
  <c r="H151" i="9" s="1" a="1"/>
  <c r="H151" i="9" s="1"/>
  <c r="I151" i="9" s="1"/>
  <c r="F152" i="9"/>
  <c r="H152" i="9" s="1" a="1"/>
  <c r="H152" i="9" s="1"/>
  <c r="I152" i="9" s="1"/>
  <c r="F153" i="9"/>
  <c r="H153" i="9" s="1" a="1"/>
  <c r="H153" i="9" s="1"/>
  <c r="I153" i="9" s="1"/>
  <c r="F154" i="9"/>
  <c r="H154" i="9" s="1" a="1"/>
  <c r="H154" i="9" s="1"/>
  <c r="I154" i="9" s="1"/>
  <c r="F155" i="9"/>
  <c r="H155" i="9" s="1" a="1"/>
  <c r="H155" i="9" s="1"/>
  <c r="I155" i="9" s="1"/>
  <c r="F156" i="9"/>
  <c r="H156" i="9" s="1" a="1"/>
  <c r="H156" i="9" s="1"/>
  <c r="I156" i="9" s="1"/>
  <c r="F157" i="9"/>
  <c r="H157" i="9" s="1" a="1"/>
  <c r="H157" i="9" s="1"/>
  <c r="I157" i="9" s="1"/>
  <c r="F158" i="9"/>
  <c r="H158" i="9" s="1" a="1"/>
  <c r="H158" i="9" s="1"/>
  <c r="I158" i="9" s="1"/>
  <c r="F159" i="9"/>
  <c r="H159" i="9" s="1" a="1"/>
  <c r="H159" i="9" s="1"/>
  <c r="I159" i="9" s="1"/>
  <c r="F160" i="9"/>
  <c r="H160" i="9" s="1" a="1"/>
  <c r="H160" i="9" s="1"/>
  <c r="I160" i="9" s="1"/>
  <c r="F161" i="9"/>
  <c r="H161" i="9" s="1" a="1"/>
  <c r="H161" i="9" s="1"/>
  <c r="I161" i="9" s="1"/>
  <c r="F162" i="9"/>
  <c r="H162" i="9" s="1" a="1"/>
  <c r="H162" i="9" s="1"/>
  <c r="I162" i="9" s="1"/>
  <c r="F163" i="9"/>
  <c r="H163" i="9" s="1" a="1"/>
  <c r="H163" i="9" s="1"/>
  <c r="I163" i="9" s="1"/>
  <c r="F164" i="9"/>
  <c r="H164" i="9" s="1" a="1"/>
  <c r="H164" i="9" s="1"/>
  <c r="I164" i="9" s="1"/>
  <c r="F165" i="9"/>
  <c r="H165" i="9" s="1" a="1"/>
  <c r="H165" i="9" s="1"/>
  <c r="I165" i="9" s="1"/>
  <c r="F166" i="9"/>
  <c r="H166" i="9" s="1" a="1"/>
  <c r="H166" i="9" s="1"/>
  <c r="I166" i="9" s="1"/>
  <c r="F167" i="9"/>
  <c r="H167" i="9" s="1" a="1"/>
  <c r="H167" i="9" s="1"/>
  <c r="I167" i="9" s="1"/>
  <c r="F168" i="9"/>
  <c r="H168" i="9" s="1" a="1"/>
  <c r="H168" i="9" s="1"/>
  <c r="I168" i="9" s="1"/>
  <c r="F169" i="9"/>
  <c r="H169" i="9" s="1" a="1"/>
  <c r="H169" i="9" s="1"/>
  <c r="I169" i="9" s="1"/>
  <c r="F170" i="9"/>
  <c r="H170" i="9" s="1" a="1"/>
  <c r="H170" i="9" s="1"/>
  <c r="I170" i="9" s="1"/>
  <c r="F171" i="9"/>
  <c r="H171" i="9" s="1" a="1"/>
  <c r="H171" i="9" s="1"/>
  <c r="I171" i="9" s="1"/>
  <c r="F172" i="9"/>
  <c r="H172" i="9" s="1" a="1"/>
  <c r="H172" i="9" s="1"/>
  <c r="I172" i="9" s="1"/>
  <c r="F173" i="9"/>
  <c r="H173" i="9" s="1" a="1"/>
  <c r="H173" i="9" s="1"/>
  <c r="I173" i="9" s="1"/>
  <c r="F174" i="9"/>
  <c r="H174" i="9" s="1" a="1"/>
  <c r="H174" i="9" s="1"/>
  <c r="I174" i="9" s="1"/>
  <c r="F175" i="9"/>
  <c r="H175" i="9" s="1" a="1"/>
  <c r="H175" i="9" s="1"/>
  <c r="I175" i="9" s="1"/>
  <c r="F176" i="9"/>
  <c r="H176" i="9" s="1" a="1"/>
  <c r="H176" i="9" s="1"/>
  <c r="I176" i="9" s="1"/>
  <c r="F177" i="9"/>
  <c r="H177" i="9" s="1" a="1"/>
  <c r="H177" i="9" s="1"/>
  <c r="I177" i="9" s="1"/>
  <c r="F178" i="9"/>
  <c r="H178" i="9" s="1" a="1"/>
  <c r="H178" i="9" s="1"/>
  <c r="I178" i="9" s="1"/>
  <c r="F179" i="9"/>
  <c r="H179" i="9" s="1" a="1"/>
  <c r="H179" i="9" s="1"/>
  <c r="I179" i="9" s="1"/>
  <c r="F180" i="9"/>
  <c r="H180" i="9" s="1" a="1"/>
  <c r="H180" i="9" s="1"/>
  <c r="I180" i="9" s="1"/>
  <c r="F181" i="9"/>
  <c r="H181" i="9" s="1" a="1"/>
  <c r="H181" i="9" s="1"/>
  <c r="I181" i="9" s="1"/>
  <c r="F182" i="9"/>
  <c r="H182" i="9" s="1" a="1"/>
  <c r="H182" i="9" s="1"/>
  <c r="I182" i="9" s="1"/>
  <c r="F183" i="9"/>
  <c r="H183" i="9" s="1" a="1"/>
  <c r="H183" i="9" s="1"/>
  <c r="I183" i="9" s="1"/>
  <c r="F184" i="9"/>
  <c r="H184" i="9" s="1" a="1"/>
  <c r="H184" i="9" s="1"/>
  <c r="I184" i="9" s="1"/>
  <c r="F185" i="9"/>
  <c r="H185" i="9" s="1" a="1"/>
  <c r="H185" i="9" s="1"/>
  <c r="I185" i="9" s="1"/>
  <c r="F186" i="9"/>
  <c r="H186" i="9" s="1" a="1"/>
  <c r="H186" i="9" s="1"/>
  <c r="I186" i="9" s="1"/>
  <c r="F187" i="9"/>
  <c r="H187" i="9" s="1" a="1"/>
  <c r="H187" i="9" s="1"/>
  <c r="I187" i="9" s="1"/>
  <c r="F188" i="9"/>
  <c r="H188" i="9" s="1" a="1"/>
  <c r="H188" i="9" s="1"/>
  <c r="I188" i="9" s="1"/>
  <c r="F189" i="9"/>
  <c r="H189" i="9" s="1" a="1"/>
  <c r="H189" i="9" s="1"/>
  <c r="I189" i="9" s="1"/>
  <c r="F190" i="9"/>
  <c r="H190" i="9" s="1" a="1"/>
  <c r="H190" i="9" s="1"/>
  <c r="I190" i="9" s="1"/>
  <c r="F191" i="9"/>
  <c r="H191" i="9" s="1" a="1"/>
  <c r="H191" i="9" s="1"/>
  <c r="I191" i="9" s="1"/>
  <c r="F192" i="9"/>
  <c r="H192" i="9" s="1" a="1"/>
  <c r="H192" i="9" s="1"/>
  <c r="I192" i="9" s="1"/>
  <c r="F193" i="9"/>
  <c r="H193" i="9" s="1" a="1"/>
  <c r="H193" i="9" s="1"/>
  <c r="I193" i="9" s="1"/>
  <c r="F194" i="9"/>
  <c r="H194" i="9" s="1" a="1"/>
  <c r="H194" i="9" s="1"/>
  <c r="I194" i="9" s="1"/>
  <c r="F195" i="9"/>
  <c r="H195" i="9" s="1" a="1"/>
  <c r="H195" i="9" s="1"/>
  <c r="I195" i="9" s="1"/>
  <c r="F196" i="9"/>
  <c r="H196" i="9" s="1" a="1"/>
  <c r="H196" i="9" s="1"/>
  <c r="I196" i="9" s="1"/>
  <c r="F197" i="9"/>
  <c r="H197" i="9" s="1" a="1"/>
  <c r="H197" i="9" s="1"/>
  <c r="I197" i="9" s="1"/>
  <c r="F198" i="9"/>
  <c r="H198" i="9" s="1" a="1"/>
  <c r="H198" i="9" s="1"/>
  <c r="I198" i="9" s="1"/>
  <c r="F199" i="9"/>
  <c r="H199" i="9" s="1" a="1"/>
  <c r="H199" i="9" s="1"/>
  <c r="I199" i="9" s="1"/>
  <c r="F200" i="9"/>
  <c r="H200" i="9" s="1" a="1"/>
  <c r="H200" i="9" s="1"/>
  <c r="I200" i="9" s="1"/>
  <c r="F201" i="9"/>
  <c r="H201" i="9" s="1" a="1"/>
  <c r="H201" i="9" s="1"/>
  <c r="I201" i="9" s="1"/>
  <c r="F202" i="9"/>
  <c r="H202" i="9" s="1" a="1"/>
  <c r="H202" i="9" s="1"/>
  <c r="I202" i="9" s="1"/>
  <c r="F203" i="9"/>
  <c r="H203" i="9" s="1" a="1"/>
  <c r="H203" i="9" s="1"/>
  <c r="I203" i="9" s="1"/>
  <c r="F204" i="9"/>
  <c r="H204" i="9" s="1" a="1"/>
  <c r="H204" i="9" s="1"/>
  <c r="I204" i="9" s="1"/>
  <c r="F205" i="9"/>
  <c r="H205" i="9" s="1" a="1"/>
  <c r="H205" i="9" s="1"/>
  <c r="I205" i="9" s="1"/>
  <c r="F206" i="9"/>
  <c r="H206" i="9" s="1" a="1"/>
  <c r="H206" i="9" s="1"/>
  <c r="I206" i="9" s="1"/>
  <c r="F207" i="9"/>
  <c r="H207" i="9" s="1" a="1"/>
  <c r="H207" i="9" s="1"/>
  <c r="I207" i="9" s="1"/>
  <c r="F208" i="9"/>
  <c r="H208" i="9" s="1" a="1"/>
  <c r="H208" i="9" s="1"/>
  <c r="I208" i="9" s="1"/>
  <c r="F209" i="9"/>
  <c r="H209" i="9" s="1" a="1"/>
  <c r="H209" i="9" s="1"/>
  <c r="I209" i="9" s="1"/>
  <c r="F210" i="9"/>
  <c r="H210" i="9" s="1" a="1"/>
  <c r="H210" i="9" s="1"/>
  <c r="I210" i="9" s="1"/>
  <c r="F211" i="9"/>
  <c r="H211" i="9" s="1" a="1"/>
  <c r="H211" i="9" s="1"/>
  <c r="I211" i="9" s="1"/>
  <c r="F212" i="9"/>
  <c r="H212" i="9" s="1" a="1"/>
  <c r="H212" i="9" s="1"/>
  <c r="I212" i="9" s="1"/>
  <c r="F213" i="9"/>
  <c r="H213" i="9" s="1" a="1"/>
  <c r="H213" i="9" s="1"/>
  <c r="I213" i="9" s="1"/>
  <c r="F214" i="9"/>
  <c r="H214" i="9" s="1" a="1"/>
  <c r="H214" i="9" s="1"/>
  <c r="I214" i="9" s="1"/>
  <c r="F215" i="9"/>
  <c r="H215" i="9" s="1" a="1"/>
  <c r="H215" i="9" s="1"/>
  <c r="I215" i="9" s="1"/>
  <c r="F216" i="9"/>
  <c r="H216" i="9" s="1" a="1"/>
  <c r="H216" i="9" s="1"/>
  <c r="I216" i="9" s="1"/>
  <c r="F217" i="9"/>
  <c r="H217" i="9" s="1" a="1"/>
  <c r="H217" i="9" s="1"/>
  <c r="I217" i="9" s="1"/>
  <c r="F218" i="9"/>
  <c r="H218" i="9" s="1" a="1"/>
  <c r="H218" i="9" s="1"/>
  <c r="I218" i="9" s="1"/>
  <c r="F219" i="9"/>
  <c r="H219" i="9" s="1" a="1"/>
  <c r="H219" i="9" s="1"/>
  <c r="I219" i="9" s="1"/>
  <c r="F220" i="9"/>
  <c r="H220" i="9" s="1" a="1"/>
  <c r="H220" i="9" s="1"/>
  <c r="I220" i="9" s="1"/>
  <c r="F221" i="9"/>
  <c r="H221" i="9" s="1" a="1"/>
  <c r="H221" i="9" s="1"/>
  <c r="I221" i="9" s="1"/>
  <c r="F222" i="9"/>
  <c r="H222" i="9" s="1" a="1"/>
  <c r="H222" i="9" s="1"/>
  <c r="I222" i="9" s="1"/>
  <c r="F223" i="9"/>
  <c r="H223" i="9" s="1" a="1"/>
  <c r="H223" i="9" s="1"/>
  <c r="I223" i="9" s="1"/>
  <c r="F224" i="9"/>
  <c r="H224" i="9" s="1" a="1"/>
  <c r="H224" i="9" s="1"/>
  <c r="I224" i="9" s="1"/>
  <c r="F225" i="9"/>
  <c r="H225" i="9" s="1" a="1"/>
  <c r="H225" i="9" s="1"/>
  <c r="I225" i="9" s="1"/>
  <c r="F226" i="9"/>
  <c r="H226" i="9" s="1" a="1"/>
  <c r="H226" i="9" s="1"/>
  <c r="I226" i="9" s="1"/>
  <c r="F227" i="9"/>
  <c r="H227" i="9" s="1" a="1"/>
  <c r="H227" i="9" s="1"/>
  <c r="I227" i="9" s="1"/>
  <c r="F228" i="9"/>
  <c r="H228" i="9" s="1" a="1"/>
  <c r="H228" i="9" s="1"/>
  <c r="I228" i="9" s="1"/>
  <c r="F229" i="9"/>
  <c r="H229" i="9" s="1" a="1"/>
  <c r="H229" i="9" s="1"/>
  <c r="I229" i="9" s="1"/>
  <c r="F230" i="9"/>
  <c r="H230" i="9" s="1" a="1"/>
  <c r="H230" i="9" s="1"/>
  <c r="I230" i="9" s="1"/>
  <c r="F231" i="9"/>
  <c r="H231" i="9" s="1" a="1"/>
  <c r="H231" i="9" s="1"/>
  <c r="I231" i="9" s="1"/>
  <c r="F232" i="9"/>
  <c r="H232" i="9" s="1" a="1"/>
  <c r="H232" i="9" s="1"/>
  <c r="I232" i="9" s="1"/>
  <c r="F233" i="9"/>
  <c r="H233" i="9" s="1" a="1"/>
  <c r="H233" i="9" s="1"/>
  <c r="I233" i="9" s="1"/>
  <c r="F234" i="9"/>
  <c r="H234" i="9" s="1" a="1"/>
  <c r="H234" i="9" s="1"/>
  <c r="I234" i="9" s="1"/>
  <c r="F235" i="9"/>
  <c r="H235" i="9" s="1" a="1"/>
  <c r="H235" i="9" s="1"/>
  <c r="I235" i="9" s="1"/>
  <c r="F236" i="9"/>
  <c r="H236" i="9" s="1" a="1"/>
  <c r="H236" i="9" s="1"/>
  <c r="I236" i="9" s="1"/>
  <c r="F237" i="9"/>
  <c r="H237" i="9" s="1" a="1"/>
  <c r="H237" i="9" s="1"/>
  <c r="I237" i="9" s="1"/>
  <c r="F238" i="9"/>
  <c r="H238" i="9" s="1" a="1"/>
  <c r="H238" i="9" s="1"/>
  <c r="I238" i="9" s="1"/>
  <c r="F239" i="9"/>
  <c r="H239" i="9" s="1" a="1"/>
  <c r="H239" i="9" s="1"/>
  <c r="I239" i="9" s="1"/>
  <c r="F240" i="9"/>
  <c r="H240" i="9" s="1" a="1"/>
  <c r="H240" i="9" s="1"/>
  <c r="I240" i="9" s="1"/>
  <c r="F241" i="9"/>
  <c r="H241" i="9" s="1" a="1"/>
  <c r="H241" i="9" s="1"/>
  <c r="I241" i="9" s="1"/>
  <c r="F242" i="9"/>
  <c r="H242" i="9" s="1" a="1"/>
  <c r="H242" i="9" s="1"/>
  <c r="I242" i="9" s="1"/>
  <c r="F243" i="9"/>
  <c r="H243" i="9" s="1" a="1"/>
  <c r="H243" i="9" s="1"/>
  <c r="I243" i="9" s="1"/>
  <c r="F244" i="9"/>
  <c r="H244" i="9" s="1" a="1"/>
  <c r="H244" i="9" s="1"/>
  <c r="I244" i="9" s="1"/>
  <c r="F245" i="9"/>
  <c r="H245" i="9" s="1" a="1"/>
  <c r="H245" i="9" s="1"/>
  <c r="I245" i="9" s="1"/>
  <c r="F246" i="9"/>
  <c r="H246" i="9" s="1" a="1"/>
  <c r="H246" i="9" s="1"/>
  <c r="I246" i="9" s="1"/>
  <c r="F247" i="9"/>
  <c r="H247" i="9" s="1" a="1"/>
  <c r="H247" i="9" s="1"/>
  <c r="I247" i="9" s="1"/>
  <c r="F248" i="9"/>
  <c r="H248" i="9" s="1" a="1"/>
  <c r="H248" i="9" s="1"/>
  <c r="I248" i="9" s="1"/>
  <c r="F249" i="9"/>
  <c r="H249" i="9" s="1" a="1"/>
  <c r="H249" i="9" s="1"/>
  <c r="I249" i="9" s="1"/>
  <c r="F250" i="9"/>
  <c r="H250" i="9" s="1" a="1"/>
  <c r="H250" i="9" s="1"/>
  <c r="I250" i="9" s="1"/>
  <c r="F251" i="9"/>
  <c r="H251" i="9" s="1" a="1"/>
  <c r="H251" i="9" s="1"/>
  <c r="I251" i="9" s="1"/>
  <c r="F252" i="9"/>
  <c r="H252" i="9" s="1" a="1"/>
  <c r="H252" i="9" s="1"/>
  <c r="I252" i="9" s="1"/>
  <c r="F253" i="9"/>
  <c r="H253" i="9" s="1" a="1"/>
  <c r="H253" i="9" s="1"/>
  <c r="I253" i="9" s="1"/>
  <c r="F254" i="9"/>
  <c r="H254" i="9" s="1" a="1"/>
  <c r="H254" i="9" s="1"/>
  <c r="I254" i="9" s="1"/>
  <c r="F255" i="9"/>
  <c r="H255" i="9" s="1" a="1"/>
  <c r="H255" i="9" s="1"/>
  <c r="I255" i="9" s="1"/>
  <c r="F256" i="9"/>
  <c r="H256" i="9" s="1" a="1"/>
  <c r="H256" i="9" s="1"/>
  <c r="I256" i="9" s="1"/>
  <c r="F257" i="9"/>
  <c r="H257" i="9" s="1" a="1"/>
  <c r="H257" i="9" s="1"/>
  <c r="I257" i="9" s="1"/>
  <c r="F258" i="9"/>
  <c r="H258" i="9" s="1" a="1"/>
  <c r="H258" i="9" s="1"/>
  <c r="I258" i="9" s="1"/>
  <c r="F259" i="9"/>
  <c r="H259" i="9" s="1" a="1"/>
  <c r="H259" i="9" s="1"/>
  <c r="I259" i="9" s="1"/>
  <c r="F260" i="9"/>
  <c r="H260" i="9" s="1" a="1"/>
  <c r="H260" i="9" s="1"/>
  <c r="I260" i="9" s="1"/>
  <c r="F261" i="9"/>
  <c r="H261" i="9" s="1" a="1"/>
  <c r="H261" i="9" s="1"/>
  <c r="I261" i="9" s="1"/>
  <c r="F262" i="9"/>
  <c r="H262" i="9" s="1" a="1"/>
  <c r="H262" i="9" s="1"/>
  <c r="I262" i="9" s="1"/>
  <c r="F263" i="9"/>
  <c r="H263" i="9" s="1" a="1"/>
  <c r="H263" i="9" s="1"/>
  <c r="I263" i="9" s="1"/>
  <c r="F264" i="9"/>
  <c r="H264" i="9" s="1" a="1"/>
  <c r="H264" i="9" s="1"/>
  <c r="I264" i="9" s="1"/>
  <c r="F265" i="9"/>
  <c r="H265" i="9" s="1" a="1"/>
  <c r="H265" i="9" s="1"/>
  <c r="I265" i="9" s="1"/>
  <c r="F266" i="9"/>
  <c r="H266" i="9" s="1" a="1"/>
  <c r="H266" i="9" s="1"/>
  <c r="I266" i="9" s="1"/>
  <c r="F267" i="9"/>
  <c r="H267" i="9" s="1" a="1"/>
  <c r="H267" i="9" s="1"/>
  <c r="I267" i="9" s="1"/>
  <c r="F268" i="9"/>
  <c r="H268" i="9" s="1" a="1"/>
  <c r="H268" i="9" s="1"/>
  <c r="I268" i="9" s="1"/>
  <c r="F269" i="9"/>
  <c r="H269" i="9" s="1" a="1"/>
  <c r="H269" i="9" s="1"/>
  <c r="I269" i="9" s="1"/>
  <c r="F270" i="9"/>
  <c r="H270" i="9" s="1" a="1"/>
  <c r="H270" i="9" s="1"/>
  <c r="I270" i="9" s="1"/>
  <c r="F271" i="9"/>
  <c r="H271" i="9" s="1" a="1"/>
  <c r="H271" i="9" s="1"/>
  <c r="I271" i="9" s="1"/>
  <c r="F272" i="9"/>
  <c r="H272" i="9" s="1" a="1"/>
  <c r="H272" i="9" s="1"/>
  <c r="I272" i="9" s="1"/>
  <c r="F273" i="9"/>
  <c r="H273" i="9" s="1" a="1"/>
  <c r="H273" i="9" s="1"/>
  <c r="I273" i="9" s="1"/>
  <c r="F274" i="9"/>
  <c r="H274" i="9" s="1" a="1"/>
  <c r="H274" i="9" s="1"/>
  <c r="I274" i="9" s="1"/>
  <c r="F275" i="9"/>
  <c r="H275" i="9" s="1" a="1"/>
  <c r="H275" i="9" s="1"/>
  <c r="I275" i="9" s="1"/>
  <c r="F276" i="9"/>
  <c r="H276" i="9" s="1" a="1"/>
  <c r="H276" i="9" s="1"/>
  <c r="I276" i="9" s="1"/>
  <c r="F277" i="9"/>
  <c r="H277" i="9" s="1" a="1"/>
  <c r="H277" i="9" s="1"/>
  <c r="I277" i="9" s="1"/>
  <c r="F278" i="9"/>
  <c r="H278" i="9" s="1" a="1"/>
  <c r="H278" i="9" s="1"/>
  <c r="I278" i="9" s="1"/>
  <c r="F279" i="9"/>
  <c r="H279" i="9" s="1" a="1"/>
  <c r="H279" i="9" s="1"/>
  <c r="I279" i="9" s="1"/>
  <c r="F280" i="9"/>
  <c r="H280" i="9" s="1" a="1"/>
  <c r="H280" i="9" s="1"/>
  <c r="I280" i="9" s="1"/>
  <c r="F281" i="9"/>
  <c r="H281" i="9" s="1" a="1"/>
  <c r="H281" i="9" s="1"/>
  <c r="I281" i="9" s="1"/>
  <c r="F282" i="9"/>
  <c r="H282" i="9" s="1" a="1"/>
  <c r="H282" i="9" s="1"/>
  <c r="I282" i="9" s="1"/>
  <c r="F283" i="9"/>
  <c r="H283" i="9" s="1" a="1"/>
  <c r="H283" i="9" s="1"/>
  <c r="I283" i="9" s="1"/>
  <c r="F284" i="9"/>
  <c r="H284" i="9" s="1" a="1"/>
  <c r="H284" i="9" s="1"/>
  <c r="I284" i="9" s="1"/>
  <c r="F285" i="9"/>
  <c r="H285" i="9" s="1" a="1"/>
  <c r="H285" i="9" s="1"/>
  <c r="I285" i="9" s="1"/>
  <c r="F286" i="9"/>
  <c r="H286" i="9" s="1" a="1"/>
  <c r="H286" i="9" s="1"/>
  <c r="I286" i="9" s="1"/>
  <c r="F287" i="9"/>
  <c r="H287" i="9" s="1" a="1"/>
  <c r="H287" i="9" s="1"/>
  <c r="I287" i="9" s="1"/>
  <c r="F288" i="9"/>
  <c r="H288" i="9" s="1" a="1"/>
  <c r="H288" i="9" s="1"/>
  <c r="I288" i="9" s="1"/>
  <c r="F289" i="9"/>
  <c r="H289" i="9" s="1" a="1"/>
  <c r="H289" i="9" s="1"/>
  <c r="I289" i="9" s="1"/>
  <c r="F290" i="9"/>
  <c r="H290" i="9" s="1" a="1"/>
  <c r="H290" i="9" s="1"/>
  <c r="I290" i="9" s="1"/>
  <c r="F291" i="9"/>
  <c r="H291" i="9" s="1" a="1"/>
  <c r="H291" i="9" s="1"/>
  <c r="I291" i="9" s="1"/>
  <c r="F292" i="9"/>
  <c r="H292" i="9" s="1" a="1"/>
  <c r="H292" i="9" s="1"/>
  <c r="I292" i="9" s="1"/>
  <c r="F293" i="9"/>
  <c r="H293" i="9" s="1" a="1"/>
  <c r="H293" i="9" s="1"/>
  <c r="I293" i="9" s="1"/>
  <c r="F294" i="9"/>
  <c r="H294" i="9" s="1" a="1"/>
  <c r="H294" i="9" s="1"/>
  <c r="I294" i="9" s="1"/>
  <c r="F295" i="9"/>
  <c r="H295" i="9" s="1" a="1"/>
  <c r="H295" i="9" s="1"/>
  <c r="I295" i="9" s="1"/>
  <c r="F296" i="9"/>
  <c r="H296" i="9" s="1" a="1"/>
  <c r="H296" i="9" s="1"/>
  <c r="I296" i="9" s="1"/>
  <c r="F297" i="9"/>
  <c r="H297" i="9" s="1" a="1"/>
  <c r="H297" i="9" s="1"/>
  <c r="I297" i="9" s="1"/>
  <c r="F298" i="9"/>
  <c r="H298" i="9" s="1" a="1"/>
  <c r="H298" i="9" s="1"/>
  <c r="I298" i="9" s="1"/>
  <c r="F299" i="9"/>
  <c r="H299" i="9" s="1" a="1"/>
  <c r="H299" i="9" s="1"/>
  <c r="I299" i="9" s="1"/>
  <c r="F300" i="9"/>
  <c r="H300" i="9" s="1" a="1"/>
  <c r="H300" i="9" s="1"/>
  <c r="I300" i="9" s="1"/>
  <c r="F301" i="9"/>
  <c r="H301" i="9" s="1" a="1"/>
  <c r="H301" i="9" s="1"/>
  <c r="I301" i="9" s="1"/>
  <c r="F302" i="9"/>
  <c r="H302" i="9" s="1" a="1"/>
  <c r="H302" i="9" s="1"/>
  <c r="I302" i="9" s="1"/>
  <c r="F303" i="9"/>
  <c r="H303" i="9" s="1" a="1"/>
  <c r="H303" i="9" s="1"/>
  <c r="I303" i="9" s="1"/>
  <c r="F304" i="9"/>
  <c r="H304" i="9" s="1" a="1"/>
  <c r="H304" i="9" s="1"/>
  <c r="I304" i="9" s="1"/>
  <c r="F305" i="9"/>
  <c r="H305" i="9" s="1" a="1"/>
  <c r="H305" i="9" s="1"/>
  <c r="I305" i="9" s="1"/>
  <c r="F306" i="9"/>
  <c r="H306" i="9" s="1" a="1"/>
  <c r="H306" i="9" s="1"/>
  <c r="I306" i="9" s="1"/>
  <c r="F307" i="9"/>
  <c r="H307" i="9" s="1" a="1"/>
  <c r="H307" i="9" s="1"/>
  <c r="I307" i="9" s="1"/>
  <c r="F308" i="9"/>
  <c r="H308" i="9" s="1" a="1"/>
  <c r="H308" i="9" s="1"/>
  <c r="I308" i="9" s="1"/>
  <c r="F309" i="9"/>
  <c r="H309" i="9" s="1" a="1"/>
  <c r="H309" i="9" s="1"/>
  <c r="I309" i="9" s="1"/>
  <c r="F310" i="9"/>
  <c r="H310" i="9" s="1" a="1"/>
  <c r="H310" i="9" s="1"/>
  <c r="I310" i="9" s="1"/>
  <c r="F311" i="9"/>
  <c r="H311" i="9" s="1" a="1"/>
  <c r="H311" i="9" s="1"/>
  <c r="I311" i="9" s="1"/>
  <c r="F312" i="9"/>
  <c r="H312" i="9" s="1" a="1"/>
  <c r="H312" i="9" s="1"/>
  <c r="I312" i="9" s="1"/>
  <c r="F313" i="9"/>
  <c r="H313" i="9" s="1" a="1"/>
  <c r="H313" i="9" s="1"/>
  <c r="I313" i="9" s="1"/>
  <c r="F314" i="9"/>
  <c r="H314" i="9" s="1" a="1"/>
  <c r="H314" i="9" s="1"/>
  <c r="I314" i="9" s="1"/>
  <c r="F315" i="9"/>
  <c r="H315" i="9" s="1" a="1"/>
  <c r="H315" i="9" s="1"/>
  <c r="I315" i="9" s="1"/>
  <c r="F316" i="9"/>
  <c r="H316" i="9" s="1" a="1"/>
  <c r="H316" i="9" s="1"/>
  <c r="I316" i="9" s="1"/>
  <c r="F317" i="9"/>
  <c r="H317" i="9" s="1" a="1"/>
  <c r="H317" i="9" s="1"/>
  <c r="I317" i="9" s="1"/>
  <c r="F318" i="9"/>
  <c r="H318" i="9" s="1" a="1"/>
  <c r="H318" i="9" s="1"/>
  <c r="I318" i="9" s="1"/>
  <c r="F319" i="9"/>
  <c r="H319" i="9" s="1" a="1"/>
  <c r="H319" i="9" s="1"/>
  <c r="I319" i="9" s="1"/>
  <c r="F320" i="9"/>
  <c r="H320" i="9" s="1" a="1"/>
  <c r="H320" i="9" s="1"/>
  <c r="I320" i="9" s="1"/>
  <c r="F321" i="9"/>
  <c r="H321" i="9" s="1" a="1"/>
  <c r="H321" i="9" s="1"/>
  <c r="I321" i="9" s="1"/>
  <c r="F322" i="9"/>
  <c r="H322" i="9" s="1" a="1"/>
  <c r="H322" i="9" s="1"/>
  <c r="I322" i="9" s="1"/>
  <c r="F323" i="9"/>
  <c r="H323" i="9" s="1" a="1"/>
  <c r="H323" i="9" s="1"/>
  <c r="I323" i="9" s="1"/>
  <c r="F324" i="9"/>
  <c r="H324" i="9" s="1" a="1"/>
  <c r="H324" i="9" s="1"/>
  <c r="I324" i="9" s="1"/>
  <c r="F325" i="9"/>
  <c r="H325" i="9" s="1" a="1"/>
  <c r="H325" i="9" s="1"/>
  <c r="I325" i="9" s="1"/>
  <c r="F326" i="9"/>
  <c r="H326" i="9" s="1" a="1"/>
  <c r="H326" i="9" s="1"/>
  <c r="I326" i="9" s="1"/>
  <c r="F327" i="9"/>
  <c r="H327" i="9" s="1" a="1"/>
  <c r="H327" i="9" s="1"/>
  <c r="I327" i="9" s="1"/>
  <c r="F328" i="9"/>
  <c r="H328" i="9" s="1" a="1"/>
  <c r="H328" i="9" s="1"/>
  <c r="I328" i="9" s="1"/>
  <c r="F329" i="9"/>
  <c r="H329" i="9" s="1" a="1"/>
  <c r="H329" i="9" s="1"/>
  <c r="I329" i="9" s="1"/>
  <c r="F330" i="9"/>
  <c r="H330" i="9" s="1" a="1"/>
  <c r="H330" i="9" s="1"/>
  <c r="I330" i="9" s="1"/>
  <c r="F331" i="9"/>
  <c r="H331" i="9" s="1" a="1"/>
  <c r="H331" i="9" s="1"/>
  <c r="I331" i="9" s="1"/>
  <c r="F332" i="9"/>
  <c r="H332" i="9" s="1" a="1"/>
  <c r="H332" i="9" s="1"/>
  <c r="I332" i="9" s="1"/>
  <c r="F333" i="9"/>
  <c r="H333" i="9" s="1" a="1"/>
  <c r="H333" i="9" s="1"/>
  <c r="I333" i="9" s="1"/>
  <c r="F334" i="9"/>
  <c r="H334" i="9" s="1" a="1"/>
  <c r="H334" i="9" s="1"/>
  <c r="I334" i="9" s="1"/>
  <c r="F335" i="9"/>
  <c r="H335" i="9" s="1" a="1"/>
  <c r="H335" i="9" s="1"/>
  <c r="I335" i="9" s="1"/>
  <c r="F336" i="9"/>
  <c r="H336" i="9" s="1" a="1"/>
  <c r="H336" i="9" s="1"/>
  <c r="I336" i="9" s="1"/>
  <c r="F337" i="9"/>
  <c r="H337" i="9" s="1" a="1"/>
  <c r="H337" i="9" s="1"/>
  <c r="I337" i="9" s="1"/>
  <c r="F338" i="9"/>
  <c r="H338" i="9" s="1" a="1"/>
  <c r="H338" i="9" s="1"/>
  <c r="I338" i="9" s="1"/>
  <c r="F339" i="9"/>
  <c r="H339" i="9" s="1" a="1"/>
  <c r="H339" i="9" s="1"/>
  <c r="I339" i="9" s="1"/>
  <c r="F340" i="9"/>
  <c r="H340" i="9" s="1" a="1"/>
  <c r="H340" i="9" s="1"/>
  <c r="I340" i="9" s="1"/>
  <c r="F341" i="9"/>
  <c r="H341" i="9" s="1" a="1"/>
  <c r="H341" i="9" s="1"/>
  <c r="I341" i="9" s="1"/>
  <c r="F342" i="9"/>
  <c r="H342" i="9" s="1" a="1"/>
  <c r="H342" i="9" s="1"/>
  <c r="I342" i="9" s="1"/>
  <c r="F343" i="9"/>
  <c r="H343" i="9" s="1" a="1"/>
  <c r="H343" i="9" s="1"/>
  <c r="I343" i="9" s="1"/>
  <c r="F344" i="9"/>
  <c r="H344" i="9" s="1" a="1"/>
  <c r="H344" i="9" s="1"/>
  <c r="I344" i="9" s="1"/>
  <c r="F345" i="9"/>
  <c r="H345" i="9" s="1" a="1"/>
  <c r="H345" i="9" s="1"/>
  <c r="I345" i="9" s="1"/>
  <c r="F346" i="9"/>
  <c r="H346" i="9" s="1" a="1"/>
  <c r="H346" i="9" s="1"/>
  <c r="I346" i="9" s="1"/>
  <c r="F347" i="9"/>
  <c r="H347" i="9" s="1" a="1"/>
  <c r="H347" i="9" s="1"/>
  <c r="I347" i="9" s="1"/>
  <c r="F348" i="9"/>
  <c r="H348" i="9" s="1" a="1"/>
  <c r="H348" i="9" s="1"/>
  <c r="I348" i="9" s="1"/>
  <c r="F349" i="9"/>
  <c r="H349" i="9" s="1" a="1"/>
  <c r="H349" i="9" s="1"/>
  <c r="I349" i="9" s="1"/>
  <c r="F350" i="9"/>
  <c r="H350" i="9" s="1" a="1"/>
  <c r="H350" i="9" s="1"/>
  <c r="I350" i="9" s="1"/>
  <c r="F351" i="9"/>
  <c r="H351" i="9" s="1" a="1"/>
  <c r="H351" i="9" s="1"/>
  <c r="I351" i="9" s="1"/>
  <c r="F352" i="9"/>
  <c r="H352" i="9" s="1" a="1"/>
  <c r="H352" i="9" s="1"/>
  <c r="I352" i="9" s="1"/>
  <c r="F353" i="9"/>
  <c r="H353" i="9" s="1" a="1"/>
  <c r="H353" i="9" s="1"/>
  <c r="I353" i="9" s="1"/>
  <c r="F354" i="9"/>
  <c r="H354" i="9" s="1" a="1"/>
  <c r="H354" i="9" s="1"/>
  <c r="I354" i="9" s="1"/>
  <c r="F355" i="9"/>
  <c r="H355" i="9" s="1" a="1"/>
  <c r="H355" i="9" s="1"/>
  <c r="I355" i="9" s="1"/>
  <c r="F356" i="9"/>
  <c r="H356" i="9" s="1" a="1"/>
  <c r="H356" i="9" s="1"/>
  <c r="I356" i="9" s="1"/>
  <c r="F357" i="9"/>
  <c r="H357" i="9" s="1" a="1"/>
  <c r="H357" i="9" s="1"/>
  <c r="I357" i="9" s="1"/>
  <c r="F358" i="9"/>
  <c r="H358" i="9" s="1" a="1"/>
  <c r="H358" i="9" s="1"/>
  <c r="I358" i="9" s="1"/>
  <c r="F359" i="9"/>
  <c r="H359" i="9" s="1" a="1"/>
  <c r="H359" i="9" s="1"/>
  <c r="I359" i="9" s="1"/>
  <c r="F360" i="9"/>
  <c r="H360" i="9" s="1" a="1"/>
  <c r="H360" i="9" s="1"/>
  <c r="I360" i="9" s="1"/>
  <c r="F361" i="9"/>
  <c r="H361" i="9" s="1" a="1"/>
  <c r="H361" i="9" s="1"/>
  <c r="I361" i="9" s="1"/>
  <c r="F362" i="9"/>
  <c r="H362" i="9" s="1" a="1"/>
  <c r="H362" i="9" s="1"/>
  <c r="I362" i="9" s="1"/>
  <c r="F363" i="9"/>
  <c r="H363" i="9" s="1" a="1"/>
  <c r="H363" i="9" s="1"/>
  <c r="I363" i="9" s="1"/>
  <c r="F364" i="9"/>
  <c r="H364" i="9" s="1" a="1"/>
  <c r="H364" i="9" s="1"/>
  <c r="I364" i="9" s="1"/>
  <c r="F365" i="9"/>
  <c r="H365" i="9" s="1" a="1"/>
  <c r="H365" i="9" s="1"/>
  <c r="I365" i="9" s="1"/>
  <c r="F366" i="9"/>
  <c r="H366" i="9" s="1" a="1"/>
  <c r="H366" i="9" s="1"/>
  <c r="I366" i="9" s="1"/>
  <c r="F367" i="9"/>
  <c r="H367" i="9" s="1" a="1"/>
  <c r="H367" i="9" s="1"/>
  <c r="I367" i="9" s="1"/>
  <c r="F368" i="9"/>
  <c r="H368" i="9" s="1" a="1"/>
  <c r="H368" i="9" s="1"/>
  <c r="I368" i="9" s="1"/>
  <c r="F369" i="9"/>
  <c r="H369" i="9" s="1" a="1"/>
  <c r="H369" i="9" s="1"/>
  <c r="I369" i="9" s="1"/>
  <c r="F370" i="9"/>
  <c r="H370" i="9" s="1" a="1"/>
  <c r="H370" i="9" s="1"/>
  <c r="I370" i="9" s="1"/>
  <c r="F371" i="9"/>
  <c r="H371" i="9" s="1" a="1"/>
  <c r="H371" i="9" s="1"/>
  <c r="I371" i="9" s="1"/>
  <c r="F372" i="9"/>
  <c r="H372" i="9" s="1" a="1"/>
  <c r="H372" i="9" s="1"/>
  <c r="I372" i="9" s="1"/>
  <c r="F373" i="9"/>
  <c r="H373" i="9" s="1" a="1"/>
  <c r="H373" i="9" s="1"/>
  <c r="I373" i="9" s="1"/>
  <c r="F374" i="9"/>
  <c r="H374" i="9" s="1" a="1"/>
  <c r="H374" i="9" s="1"/>
  <c r="I374" i="9" s="1"/>
  <c r="F375" i="9"/>
  <c r="H375" i="9" s="1" a="1"/>
  <c r="H375" i="9" s="1"/>
  <c r="I375" i="9" s="1"/>
  <c r="F376" i="9"/>
  <c r="H376" i="9" s="1" a="1"/>
  <c r="H376" i="9" s="1"/>
  <c r="I376" i="9" s="1"/>
  <c r="F377" i="9"/>
  <c r="H377" i="9" s="1" a="1"/>
  <c r="H377" i="9" s="1"/>
  <c r="I377" i="9" s="1"/>
  <c r="F378" i="9"/>
  <c r="H378" i="9" s="1" a="1"/>
  <c r="H378" i="9" s="1"/>
  <c r="I378" i="9" s="1"/>
  <c r="F379" i="9"/>
  <c r="H379" i="9" s="1" a="1"/>
  <c r="H379" i="9" s="1"/>
  <c r="I379" i="9" s="1"/>
  <c r="F380" i="9"/>
  <c r="H380" i="9" s="1" a="1"/>
  <c r="H380" i="9" s="1"/>
  <c r="I380" i="9" s="1"/>
  <c r="F381" i="9"/>
  <c r="H381" i="9" s="1" a="1"/>
  <c r="H381" i="9" s="1"/>
  <c r="I381" i="9" s="1"/>
  <c r="F382" i="9"/>
  <c r="H382" i="9" s="1" a="1"/>
  <c r="H382" i="9" s="1"/>
  <c r="I382" i="9" s="1"/>
  <c r="F383" i="9"/>
  <c r="H383" i="9" s="1" a="1"/>
  <c r="H383" i="9" s="1"/>
  <c r="I383" i="9" s="1"/>
  <c r="F384" i="9"/>
  <c r="H384" i="9" s="1" a="1"/>
  <c r="H384" i="9" s="1"/>
  <c r="I384" i="9" s="1"/>
  <c r="F385" i="9"/>
  <c r="H385" i="9" s="1" a="1"/>
  <c r="H385" i="9" s="1"/>
  <c r="I385" i="9" s="1"/>
  <c r="F386" i="9"/>
  <c r="H386" i="9" s="1" a="1"/>
  <c r="H386" i="9" s="1"/>
  <c r="I386" i="9" s="1"/>
  <c r="F387" i="9"/>
  <c r="H387" i="9" s="1" a="1"/>
  <c r="H387" i="9" s="1"/>
  <c r="I387" i="9" s="1"/>
  <c r="F388" i="9"/>
  <c r="H388" i="9" s="1" a="1"/>
  <c r="H388" i="9" s="1"/>
  <c r="I388" i="9" s="1"/>
  <c r="F389" i="9"/>
  <c r="H389" i="9" s="1" a="1"/>
  <c r="H389" i="9" s="1"/>
  <c r="I389" i="9" s="1"/>
  <c r="F390" i="9"/>
  <c r="H390" i="9" s="1" a="1"/>
  <c r="H390" i="9" s="1"/>
  <c r="I390" i="9" s="1"/>
  <c r="F391" i="9"/>
  <c r="H391" i="9" s="1" a="1"/>
  <c r="H391" i="9" s="1"/>
  <c r="I391" i="9" s="1"/>
  <c r="F392" i="9"/>
  <c r="H392" i="9" s="1" a="1"/>
  <c r="H392" i="9" s="1"/>
  <c r="I392" i="9" s="1"/>
  <c r="F393" i="9"/>
  <c r="H393" i="9" s="1" a="1"/>
  <c r="H393" i="9" s="1"/>
  <c r="I393" i="9" s="1"/>
  <c r="F394" i="9"/>
  <c r="H394" i="9" s="1" a="1"/>
  <c r="H394" i="9" s="1"/>
  <c r="I394" i="9" s="1"/>
  <c r="F395" i="9"/>
  <c r="H395" i="9" s="1" a="1"/>
  <c r="H395" i="9" s="1"/>
  <c r="I395" i="9" s="1"/>
  <c r="F396" i="9"/>
  <c r="H396" i="9" s="1" a="1"/>
  <c r="H396" i="9" s="1"/>
  <c r="I396" i="9" s="1"/>
  <c r="F397" i="9"/>
  <c r="H397" i="9" s="1" a="1"/>
  <c r="H397" i="9" s="1"/>
  <c r="I397" i="9" s="1"/>
  <c r="F398" i="9"/>
  <c r="H398" i="9" s="1" a="1"/>
  <c r="H398" i="9" s="1"/>
  <c r="I398" i="9" s="1"/>
  <c r="F399" i="9"/>
  <c r="H399" i="9" s="1" a="1"/>
  <c r="H399" i="9" s="1"/>
  <c r="I399" i="9" s="1"/>
  <c r="F400" i="9"/>
  <c r="H400" i="9" s="1" a="1"/>
  <c r="H400" i="9" s="1"/>
  <c r="I400" i="9" s="1"/>
  <c r="F401" i="9"/>
  <c r="H401" i="9" s="1" a="1"/>
  <c r="H401" i="9" s="1"/>
  <c r="I401" i="9" s="1"/>
  <c r="F402" i="9"/>
  <c r="H402" i="9" s="1" a="1"/>
  <c r="H402" i="9" s="1"/>
  <c r="I402" i="9" s="1"/>
  <c r="F403" i="9"/>
  <c r="H403" i="9" s="1" a="1"/>
  <c r="H403" i="9" s="1"/>
  <c r="I403" i="9" s="1"/>
  <c r="F404" i="9"/>
  <c r="H404" i="9" s="1" a="1"/>
  <c r="H404" i="9" s="1"/>
  <c r="I404" i="9" s="1"/>
  <c r="F405" i="9"/>
  <c r="H405" i="9" s="1" a="1"/>
  <c r="H405" i="9" s="1"/>
  <c r="I405" i="9" s="1"/>
  <c r="F406" i="9"/>
  <c r="H406" i="9" s="1" a="1"/>
  <c r="H406" i="9" s="1"/>
  <c r="I406" i="9" s="1"/>
  <c r="F407" i="9"/>
  <c r="H407" i="9" s="1" a="1"/>
  <c r="H407" i="9" s="1"/>
  <c r="I407" i="9" s="1"/>
  <c r="F408" i="9"/>
  <c r="H408" i="9" s="1" a="1"/>
  <c r="H408" i="9" s="1"/>
  <c r="I408" i="9" s="1"/>
  <c r="F409" i="9"/>
  <c r="H409" i="9" s="1" a="1"/>
  <c r="H409" i="9" s="1"/>
  <c r="I409" i="9" s="1"/>
  <c r="F410" i="9"/>
  <c r="H410" i="9" s="1" a="1"/>
  <c r="H410" i="9" s="1"/>
  <c r="I410" i="9" s="1"/>
  <c r="F411" i="9"/>
  <c r="H411" i="9" s="1" a="1"/>
  <c r="H411" i="9" s="1"/>
  <c r="I411" i="9" s="1"/>
  <c r="F412" i="9"/>
  <c r="H412" i="9" s="1" a="1"/>
  <c r="H412" i="9" s="1"/>
  <c r="I412" i="9" s="1"/>
  <c r="F413" i="9"/>
  <c r="H413" i="9" s="1" a="1"/>
  <c r="H413" i="9" s="1"/>
  <c r="I413" i="9" s="1"/>
  <c r="F414" i="9"/>
  <c r="H414" i="9" s="1" a="1"/>
  <c r="H414" i="9" s="1"/>
  <c r="I414" i="9" s="1"/>
  <c r="F415" i="9"/>
  <c r="H415" i="9" s="1" a="1"/>
  <c r="H415" i="9" s="1"/>
  <c r="I415" i="9" s="1"/>
  <c r="F416" i="9"/>
  <c r="H416" i="9" s="1" a="1"/>
  <c r="H416" i="9" s="1"/>
  <c r="I416" i="9" s="1"/>
  <c r="F417" i="9"/>
  <c r="H417" i="9" s="1" a="1"/>
  <c r="H417" i="9" s="1"/>
  <c r="I417" i="9" s="1"/>
  <c r="F418" i="9"/>
  <c r="H418" i="9" s="1" a="1"/>
  <c r="H418" i="9" s="1"/>
  <c r="I418" i="9" s="1"/>
  <c r="F419" i="9"/>
  <c r="H419" i="9" s="1" a="1"/>
  <c r="H419" i="9" s="1"/>
  <c r="I419" i="9" s="1"/>
  <c r="F420" i="9"/>
  <c r="H420" i="9" s="1" a="1"/>
  <c r="H420" i="9" s="1"/>
  <c r="I420" i="9" s="1"/>
  <c r="F421" i="9"/>
  <c r="H421" i="9" s="1" a="1"/>
  <c r="H421" i="9" s="1"/>
  <c r="I421" i="9" s="1"/>
  <c r="F422" i="9"/>
  <c r="H422" i="9" s="1" a="1"/>
  <c r="H422" i="9" s="1"/>
  <c r="I422" i="9" s="1"/>
  <c r="F423" i="9"/>
  <c r="H423" i="9" s="1" a="1"/>
  <c r="H423" i="9" s="1"/>
  <c r="I423" i="9" s="1"/>
  <c r="F424" i="9"/>
  <c r="H424" i="9" s="1" a="1"/>
  <c r="H424" i="9" s="1"/>
  <c r="I424" i="9" s="1"/>
  <c r="F425" i="9"/>
  <c r="H425" i="9" s="1" a="1"/>
  <c r="H425" i="9" s="1"/>
  <c r="I425" i="9" s="1"/>
  <c r="F426" i="9"/>
  <c r="H426" i="9" s="1" a="1"/>
  <c r="H426" i="9" s="1"/>
  <c r="I426" i="9" s="1"/>
  <c r="F427" i="9"/>
  <c r="H427" i="9" s="1" a="1"/>
  <c r="H427" i="9" s="1"/>
  <c r="I427" i="9" s="1"/>
  <c r="F428" i="9"/>
  <c r="H428" i="9" s="1" a="1"/>
  <c r="H428" i="9" s="1"/>
  <c r="I428" i="9" s="1"/>
  <c r="F429" i="9"/>
  <c r="H429" i="9" s="1" a="1"/>
  <c r="H429" i="9" s="1"/>
  <c r="I429" i="9" s="1"/>
  <c r="F430" i="9"/>
  <c r="H430" i="9" s="1" a="1"/>
  <c r="H430" i="9" s="1"/>
  <c r="I430" i="9" s="1"/>
  <c r="F431" i="9"/>
  <c r="H431" i="9" s="1" a="1"/>
  <c r="H431" i="9" s="1"/>
  <c r="I431" i="9" s="1"/>
  <c r="F432" i="9"/>
  <c r="H432" i="9" s="1" a="1"/>
  <c r="H432" i="9" s="1"/>
  <c r="I432" i="9" s="1"/>
  <c r="F433" i="9"/>
  <c r="H433" i="9" s="1" a="1"/>
  <c r="H433" i="9" s="1"/>
  <c r="I433" i="9" s="1"/>
  <c r="F434" i="9"/>
  <c r="H434" i="9" s="1" a="1"/>
  <c r="H434" i="9" s="1"/>
  <c r="I434" i="9" s="1"/>
  <c r="F435" i="9"/>
  <c r="H435" i="9" s="1" a="1"/>
  <c r="H435" i="9" s="1"/>
  <c r="I435" i="9" s="1"/>
  <c r="F436" i="9"/>
  <c r="H436" i="9" s="1" a="1"/>
  <c r="H436" i="9" s="1"/>
  <c r="I436" i="9" s="1"/>
  <c r="F437" i="9"/>
  <c r="H437" i="9" s="1" a="1"/>
  <c r="H437" i="9" s="1"/>
  <c r="I437" i="9" s="1"/>
  <c r="F438" i="9"/>
  <c r="H438" i="9" s="1" a="1"/>
  <c r="H438" i="9" s="1"/>
  <c r="I438" i="9" s="1"/>
  <c r="F439" i="9"/>
  <c r="H439" i="9" s="1" a="1"/>
  <c r="H439" i="9" s="1"/>
  <c r="I439" i="9" s="1"/>
  <c r="F440" i="9"/>
  <c r="H440" i="9" s="1" a="1"/>
  <c r="H440" i="9" s="1"/>
  <c r="I440" i="9" s="1"/>
  <c r="F441" i="9"/>
  <c r="H441" i="9" s="1" a="1"/>
  <c r="H441" i="9" s="1"/>
  <c r="I441" i="9" s="1"/>
  <c r="F442" i="9"/>
  <c r="H442" i="9" s="1" a="1"/>
  <c r="H442" i="9" s="1"/>
  <c r="I442" i="9" s="1"/>
  <c r="F443" i="9"/>
  <c r="H443" i="9" s="1" a="1"/>
  <c r="H443" i="9" s="1"/>
  <c r="I443" i="9" s="1"/>
  <c r="F444" i="9"/>
  <c r="H444" i="9" s="1" a="1"/>
  <c r="H444" i="9" s="1"/>
  <c r="I444" i="9" s="1"/>
  <c r="F445" i="9"/>
  <c r="H445" i="9" s="1" a="1"/>
  <c r="H445" i="9" s="1"/>
  <c r="I445" i="9" s="1"/>
  <c r="F446" i="9"/>
  <c r="H446" i="9" s="1" a="1"/>
  <c r="H446" i="9" s="1"/>
  <c r="I446" i="9" s="1"/>
  <c r="F447" i="9"/>
  <c r="H447" i="9" s="1" a="1"/>
  <c r="H447" i="9" s="1"/>
  <c r="I447" i="9" s="1"/>
  <c r="F448" i="9"/>
  <c r="H448" i="9" s="1" a="1"/>
  <c r="H448" i="9" s="1"/>
  <c r="I448" i="9" s="1"/>
  <c r="F449" i="9"/>
  <c r="H449" i="9" s="1" a="1"/>
  <c r="H449" i="9" s="1"/>
  <c r="I449" i="9" s="1"/>
  <c r="F450" i="9"/>
  <c r="H450" i="9" s="1" a="1"/>
  <c r="H450" i="9" s="1"/>
  <c r="I450" i="9" s="1"/>
  <c r="F451" i="9"/>
  <c r="H451" i="9" s="1" a="1"/>
  <c r="H451" i="9" s="1"/>
  <c r="I451" i="9" s="1"/>
  <c r="F452" i="9"/>
  <c r="H452" i="9" s="1" a="1"/>
  <c r="H452" i="9" s="1"/>
  <c r="I452" i="9" s="1"/>
  <c r="F453" i="9"/>
  <c r="H453" i="9" s="1" a="1"/>
  <c r="H453" i="9" s="1"/>
  <c r="I453" i="9" s="1"/>
  <c r="F454" i="9"/>
  <c r="H454" i="9" s="1" a="1"/>
  <c r="H454" i="9" s="1"/>
  <c r="I454" i="9" s="1"/>
  <c r="F455" i="9"/>
  <c r="H455" i="9" s="1" a="1"/>
  <c r="H455" i="9" s="1"/>
  <c r="I455" i="9" s="1"/>
  <c r="F456" i="9"/>
  <c r="H456" i="9" s="1" a="1"/>
  <c r="H456" i="9" s="1"/>
  <c r="I456" i="9" s="1"/>
  <c r="F457" i="9"/>
  <c r="H457" i="9" s="1" a="1"/>
  <c r="H457" i="9" s="1"/>
  <c r="I457" i="9" s="1"/>
  <c r="F458" i="9"/>
  <c r="H458" i="9" s="1" a="1"/>
  <c r="H458" i="9" s="1"/>
  <c r="I458" i="9" s="1"/>
  <c r="F459" i="9"/>
  <c r="H459" i="9" s="1" a="1"/>
  <c r="H459" i="9" s="1"/>
  <c r="I459" i="9" s="1"/>
  <c r="F460" i="9"/>
  <c r="H460" i="9" s="1" a="1"/>
  <c r="H460" i="9" s="1"/>
  <c r="I460" i="9" s="1"/>
  <c r="F461" i="9"/>
  <c r="H461" i="9" s="1" a="1"/>
  <c r="H461" i="9" s="1"/>
  <c r="I461" i="9" s="1"/>
  <c r="F462" i="9"/>
  <c r="H462" i="9" s="1" a="1"/>
  <c r="H462" i="9" s="1"/>
  <c r="I462" i="9" s="1"/>
  <c r="F463" i="9"/>
  <c r="H463" i="9" s="1" a="1"/>
  <c r="H463" i="9" s="1"/>
  <c r="I463" i="9" s="1"/>
  <c r="F464" i="9"/>
  <c r="H464" i="9" s="1" a="1"/>
  <c r="H464" i="9" s="1"/>
  <c r="I464" i="9" s="1"/>
  <c r="F465" i="9"/>
  <c r="H465" i="9" s="1" a="1"/>
  <c r="H465" i="9" s="1"/>
  <c r="I465" i="9" s="1"/>
  <c r="F466" i="9"/>
  <c r="H466" i="9" s="1" a="1"/>
  <c r="H466" i="9" s="1"/>
  <c r="I466" i="9" s="1"/>
  <c r="F467" i="9"/>
  <c r="H467" i="9" s="1" a="1"/>
  <c r="H467" i="9" s="1"/>
  <c r="I467" i="9" s="1"/>
  <c r="F468" i="9"/>
  <c r="H468" i="9" s="1" a="1"/>
  <c r="H468" i="9" s="1"/>
  <c r="I468" i="9" s="1"/>
  <c r="F469" i="9"/>
  <c r="H469" i="9" s="1" a="1"/>
  <c r="H469" i="9" s="1"/>
  <c r="I469" i="9" s="1"/>
  <c r="F470" i="9"/>
  <c r="H470" i="9" s="1" a="1"/>
  <c r="H470" i="9" s="1"/>
  <c r="I470" i="9" s="1"/>
  <c r="F471" i="9"/>
  <c r="H471" i="9" s="1" a="1"/>
  <c r="H471" i="9" s="1"/>
  <c r="I471" i="9" s="1"/>
  <c r="F472" i="9"/>
  <c r="H472" i="9" s="1" a="1"/>
  <c r="H472" i="9" s="1"/>
  <c r="I472" i="9" s="1"/>
  <c r="F473" i="9"/>
  <c r="H473" i="9" s="1" a="1"/>
  <c r="H473" i="9" s="1"/>
  <c r="I473" i="9" s="1"/>
  <c r="F474" i="9"/>
  <c r="H474" i="9" s="1" a="1"/>
  <c r="H474" i="9" s="1"/>
  <c r="I474" i="9" s="1"/>
  <c r="F475" i="9"/>
  <c r="H475" i="9" s="1" a="1"/>
  <c r="H475" i="9" s="1"/>
  <c r="I475" i="9" s="1"/>
  <c r="F476" i="9"/>
  <c r="H476" i="9" s="1" a="1"/>
  <c r="H476" i="9" s="1"/>
  <c r="I476" i="9" s="1"/>
  <c r="F477" i="9"/>
  <c r="H477" i="9" s="1" a="1"/>
  <c r="H477" i="9" s="1"/>
  <c r="I477" i="9" s="1"/>
  <c r="F478" i="9"/>
  <c r="H478" i="9" s="1" a="1"/>
  <c r="H478" i="9" s="1"/>
  <c r="I478" i="9" s="1"/>
  <c r="F479" i="9"/>
  <c r="H479" i="9" s="1" a="1"/>
  <c r="H479" i="9" s="1"/>
  <c r="I479" i="9" s="1"/>
  <c r="F480" i="9"/>
  <c r="H480" i="9" s="1" a="1"/>
  <c r="H480" i="9" s="1"/>
  <c r="I480" i="9" s="1"/>
  <c r="F481" i="9"/>
  <c r="H481" i="9" s="1" a="1"/>
  <c r="H481" i="9" s="1"/>
  <c r="I481" i="9" s="1"/>
  <c r="F482" i="9"/>
  <c r="H482" i="9" s="1" a="1"/>
  <c r="H482" i="9" s="1"/>
  <c r="I482" i="9" s="1"/>
  <c r="F483" i="9"/>
  <c r="H483" i="9" s="1" a="1"/>
  <c r="H483" i="9" s="1"/>
  <c r="I483" i="9" s="1"/>
  <c r="F484" i="9"/>
  <c r="H484" i="9" s="1" a="1"/>
  <c r="H484" i="9" s="1"/>
  <c r="I484" i="9" s="1"/>
  <c r="F485" i="9"/>
  <c r="H485" i="9" s="1" a="1"/>
  <c r="H485" i="9" s="1"/>
  <c r="I485" i="9" s="1"/>
  <c r="F486" i="9"/>
  <c r="H486" i="9" s="1" a="1"/>
  <c r="H486" i="9" s="1"/>
  <c r="I486" i="9" s="1"/>
  <c r="F487" i="9"/>
  <c r="H487" i="9" s="1" a="1"/>
  <c r="H487" i="9" s="1"/>
  <c r="I487" i="9" s="1"/>
  <c r="F488" i="9"/>
  <c r="H488" i="9" s="1" a="1"/>
  <c r="H488" i="9" s="1"/>
  <c r="I488" i="9" s="1"/>
  <c r="F489" i="9"/>
  <c r="H489" i="9" s="1" a="1"/>
  <c r="H489" i="9" s="1"/>
  <c r="I489" i="9" s="1"/>
  <c r="F490" i="9"/>
  <c r="H490" i="9" s="1" a="1"/>
  <c r="H490" i="9" s="1"/>
  <c r="I490" i="9" s="1"/>
  <c r="F491" i="9"/>
  <c r="H491" i="9" s="1" a="1"/>
  <c r="H491" i="9" s="1"/>
  <c r="I491" i="9" s="1"/>
  <c r="F492" i="9"/>
  <c r="H492" i="9" s="1" a="1"/>
  <c r="H492" i="9" s="1"/>
  <c r="I492" i="9" s="1"/>
  <c r="F493" i="9"/>
  <c r="H493" i="9" s="1" a="1"/>
  <c r="H493" i="9" s="1"/>
  <c r="I493" i="9" s="1"/>
  <c r="F494" i="9"/>
  <c r="H494" i="9" s="1" a="1"/>
  <c r="H494" i="9" s="1"/>
  <c r="I494" i="9" s="1"/>
  <c r="F495" i="9"/>
  <c r="H495" i="9" s="1" a="1"/>
  <c r="H495" i="9" s="1"/>
  <c r="I495" i="9" s="1"/>
  <c r="F496" i="9"/>
  <c r="H496" i="9" s="1" a="1"/>
  <c r="H496" i="9" s="1"/>
  <c r="I496" i="9" s="1"/>
  <c r="F497" i="9"/>
  <c r="H497" i="9" s="1" a="1"/>
  <c r="H497" i="9" s="1"/>
  <c r="I497" i="9" s="1"/>
  <c r="F498" i="9"/>
  <c r="H498" i="9" s="1" a="1"/>
  <c r="H498" i="9" s="1"/>
  <c r="I498" i="9" s="1"/>
  <c r="F499" i="9"/>
  <c r="H499" i="9" s="1" a="1"/>
  <c r="H499" i="9" s="1"/>
  <c r="I499" i="9" s="1"/>
  <c r="F500" i="9"/>
  <c r="H500" i="9" s="1" a="1"/>
  <c r="H500" i="9" s="1"/>
  <c r="I500" i="9" s="1"/>
  <c r="F501" i="9"/>
  <c r="H501" i="9" s="1" a="1"/>
  <c r="H501" i="9" s="1"/>
  <c r="I501" i="9" s="1"/>
  <c r="F502" i="9"/>
  <c r="H502" i="9" s="1" a="1"/>
  <c r="H502" i="9" s="1"/>
  <c r="I502" i="9" s="1"/>
  <c r="F503" i="9"/>
  <c r="H503" i="9" s="1" a="1"/>
  <c r="H503" i="9" s="1"/>
  <c r="I503" i="9" s="1"/>
  <c r="F504" i="9"/>
  <c r="H504" i="9" s="1" a="1"/>
  <c r="H504" i="9" s="1"/>
  <c r="I504" i="9" s="1"/>
  <c r="F505" i="9"/>
  <c r="H505" i="9" s="1" a="1"/>
  <c r="H505" i="9" s="1"/>
  <c r="I505" i="9" s="1"/>
  <c r="F506" i="9"/>
  <c r="H506" i="9" s="1" a="1"/>
  <c r="H506" i="9" s="1"/>
  <c r="I506" i="9" s="1"/>
  <c r="F507" i="9"/>
  <c r="H507" i="9" s="1" a="1"/>
  <c r="H507" i="9" s="1"/>
  <c r="I507" i="9" s="1"/>
  <c r="F508" i="9"/>
  <c r="H508" i="9" s="1" a="1"/>
  <c r="H508" i="9" s="1"/>
  <c r="I508" i="9" s="1"/>
  <c r="F509" i="9"/>
  <c r="H509" i="9" s="1" a="1"/>
  <c r="H509" i="9" s="1"/>
  <c r="I509" i="9" s="1"/>
  <c r="F510" i="9"/>
  <c r="H510" i="9" s="1" a="1"/>
  <c r="H510" i="9" s="1"/>
  <c r="I510" i="9" s="1"/>
  <c r="F511" i="9"/>
  <c r="H511" i="9" s="1" a="1"/>
  <c r="H511" i="9" s="1"/>
  <c r="I511" i="9" s="1"/>
  <c r="F512" i="9"/>
  <c r="H512" i="9" s="1" a="1"/>
  <c r="H512" i="9" s="1"/>
  <c r="I512" i="9" s="1"/>
  <c r="F513" i="9"/>
  <c r="H513" i="9" s="1" a="1"/>
  <c r="H513" i="9" s="1"/>
  <c r="I513" i="9" s="1"/>
  <c r="F514" i="9"/>
  <c r="H514" i="9" s="1" a="1"/>
  <c r="H514" i="9" s="1"/>
  <c r="I514" i="9" s="1"/>
  <c r="F515" i="9"/>
  <c r="H515" i="9" s="1" a="1"/>
  <c r="H515" i="9" s="1"/>
  <c r="I515" i="9" s="1"/>
  <c r="F516" i="9"/>
  <c r="H516" i="9" s="1" a="1"/>
  <c r="H516" i="9" s="1"/>
  <c r="I516" i="9" s="1"/>
  <c r="F517" i="9"/>
  <c r="H517" i="9" s="1" a="1"/>
  <c r="H517" i="9" s="1"/>
  <c r="I517" i="9" s="1"/>
  <c r="F518" i="9"/>
  <c r="H518" i="9" s="1" a="1"/>
  <c r="H518" i="9" s="1"/>
  <c r="I518" i="9" s="1"/>
  <c r="F519" i="9"/>
  <c r="H519" i="9" s="1" a="1"/>
  <c r="H519" i="9" s="1"/>
  <c r="I519" i="9" s="1"/>
  <c r="F520" i="9"/>
  <c r="H520" i="9" s="1" a="1"/>
  <c r="H520" i="9" s="1"/>
  <c r="I520" i="9" s="1"/>
  <c r="F521" i="9"/>
  <c r="H521" i="9" s="1" a="1"/>
  <c r="H521" i="9" s="1"/>
  <c r="I521" i="9" s="1"/>
  <c r="F522" i="9"/>
  <c r="H522" i="9" s="1" a="1"/>
  <c r="H522" i="9" s="1"/>
  <c r="I522" i="9" s="1"/>
  <c r="F523" i="9"/>
  <c r="H523" i="9" s="1" a="1"/>
  <c r="H523" i="9" s="1"/>
  <c r="I523" i="9" s="1"/>
  <c r="F524" i="9"/>
  <c r="H524" i="9" s="1" a="1"/>
  <c r="H524" i="9" s="1"/>
  <c r="I524" i="9" s="1"/>
  <c r="F525" i="9"/>
  <c r="H525" i="9" s="1" a="1"/>
  <c r="H525" i="9" s="1"/>
  <c r="I525" i="9" s="1"/>
  <c r="F526" i="9"/>
  <c r="H526" i="9" s="1" a="1"/>
  <c r="H526" i="9" s="1"/>
  <c r="I526" i="9" s="1"/>
  <c r="F527" i="9"/>
  <c r="H527" i="9" s="1" a="1"/>
  <c r="H527" i="9" s="1"/>
  <c r="I527" i="9" s="1"/>
  <c r="F528" i="9"/>
  <c r="H528" i="9" s="1" a="1"/>
  <c r="H528" i="9" s="1"/>
  <c r="I528" i="9" s="1"/>
  <c r="F529" i="9"/>
  <c r="H529" i="9" s="1" a="1"/>
  <c r="H529" i="9" s="1"/>
  <c r="I529" i="9" s="1"/>
  <c r="F530" i="9"/>
  <c r="H530" i="9" s="1" a="1"/>
  <c r="H530" i="9" s="1"/>
  <c r="I530" i="9" s="1"/>
  <c r="F531" i="9"/>
  <c r="H531" i="9" s="1" a="1"/>
  <c r="H531" i="9" s="1"/>
  <c r="I531" i="9" s="1"/>
  <c r="F532" i="9"/>
  <c r="H532" i="9" s="1" a="1"/>
  <c r="H532" i="9" s="1"/>
  <c r="I532" i="9" s="1"/>
  <c r="F533" i="9"/>
  <c r="H533" i="9" s="1" a="1"/>
  <c r="H533" i="9" s="1"/>
  <c r="I533" i="9" s="1"/>
  <c r="F534" i="9"/>
  <c r="H534" i="9" s="1" a="1"/>
  <c r="H534" i="9" s="1"/>
  <c r="I534" i="9" s="1"/>
  <c r="F535" i="9"/>
  <c r="H535" i="9" s="1" a="1"/>
  <c r="H535" i="9" s="1"/>
  <c r="I535" i="9" s="1"/>
  <c r="F536" i="9"/>
  <c r="H536" i="9" s="1" a="1"/>
  <c r="H536" i="9" s="1"/>
  <c r="I536" i="9" s="1"/>
  <c r="F537" i="9"/>
  <c r="H537" i="9" s="1" a="1"/>
  <c r="H537" i="9" s="1"/>
  <c r="I537" i="9" s="1"/>
  <c r="F538" i="9"/>
  <c r="H538" i="9" s="1" a="1"/>
  <c r="H538" i="9" s="1"/>
  <c r="I538" i="9" s="1"/>
  <c r="F539" i="9"/>
  <c r="H539" i="9" s="1" a="1"/>
  <c r="H539" i="9" s="1"/>
  <c r="I539" i="9" s="1"/>
  <c r="F540" i="9"/>
  <c r="H540" i="9" s="1" a="1"/>
  <c r="H540" i="9" s="1"/>
  <c r="I540" i="9" s="1"/>
  <c r="F541" i="9"/>
  <c r="H541" i="9" s="1" a="1"/>
  <c r="H541" i="9" s="1"/>
  <c r="I541" i="9" s="1"/>
  <c r="F542" i="9"/>
  <c r="H542" i="9" s="1" a="1"/>
  <c r="H542" i="9" s="1"/>
  <c r="I542" i="9" s="1"/>
  <c r="F543" i="9"/>
  <c r="H543" i="9" s="1" a="1"/>
  <c r="H543" i="9" s="1"/>
  <c r="I543" i="9" s="1"/>
  <c r="F544" i="9"/>
  <c r="H544" i="9" s="1" a="1"/>
  <c r="H544" i="9" s="1"/>
  <c r="I544" i="9" s="1"/>
  <c r="F545" i="9"/>
  <c r="H545" i="9" s="1" a="1"/>
  <c r="H545" i="9" s="1"/>
  <c r="I545" i="9" s="1"/>
  <c r="F546" i="9"/>
  <c r="H546" i="9" s="1" a="1"/>
  <c r="H546" i="9" s="1"/>
  <c r="I546" i="9" s="1"/>
  <c r="F547" i="9"/>
  <c r="H547" i="9" s="1" a="1"/>
  <c r="H547" i="9" s="1"/>
  <c r="I547" i="9" s="1"/>
  <c r="F548" i="9"/>
  <c r="H548" i="9" s="1" a="1"/>
  <c r="H548" i="9" s="1"/>
  <c r="I548" i="9" s="1"/>
  <c r="F549" i="9"/>
  <c r="H549" i="9" s="1" a="1"/>
  <c r="H549" i="9" s="1"/>
  <c r="I549" i="9" s="1"/>
  <c r="F550" i="9"/>
  <c r="H550" i="9" s="1" a="1"/>
  <c r="H550" i="9" s="1"/>
  <c r="I550" i="9" s="1"/>
  <c r="F551" i="9"/>
  <c r="H551" i="9" s="1" a="1"/>
  <c r="H551" i="9" s="1"/>
  <c r="I551" i="9" s="1"/>
  <c r="F552" i="9"/>
  <c r="H552" i="9" s="1" a="1"/>
  <c r="H552" i="9" s="1"/>
  <c r="I552" i="9" s="1"/>
  <c r="F553" i="9"/>
  <c r="H553" i="9" s="1" a="1"/>
  <c r="H553" i="9" s="1"/>
  <c r="I553" i="9" s="1"/>
  <c r="F554" i="9"/>
  <c r="H554" i="9" s="1" a="1"/>
  <c r="H554" i="9" s="1"/>
  <c r="I554" i="9" s="1"/>
  <c r="F555" i="9"/>
  <c r="H555" i="9" s="1" a="1"/>
  <c r="H555" i="9" s="1"/>
  <c r="I555" i="9" s="1"/>
  <c r="F556" i="9"/>
  <c r="H556" i="9" s="1" a="1"/>
  <c r="H556" i="9" s="1"/>
  <c r="I556" i="9" s="1"/>
  <c r="F557" i="9"/>
  <c r="H557" i="9" s="1" a="1"/>
  <c r="H557" i="9" s="1"/>
  <c r="I557" i="9" s="1"/>
  <c r="F558" i="9"/>
  <c r="H558" i="9" s="1" a="1"/>
  <c r="H558" i="9" s="1"/>
  <c r="I558" i="9" s="1"/>
  <c r="F559" i="9"/>
  <c r="H559" i="9" s="1" a="1"/>
  <c r="H559" i="9" s="1"/>
  <c r="I559" i="9" s="1"/>
  <c r="F560" i="9"/>
  <c r="H560" i="9" s="1" a="1"/>
  <c r="H560" i="9" s="1"/>
  <c r="I560" i="9" s="1"/>
  <c r="F561" i="9"/>
  <c r="H561" i="9" s="1" a="1"/>
  <c r="H561" i="9" s="1"/>
  <c r="I561" i="9" s="1"/>
  <c r="F562" i="9"/>
  <c r="H562" i="9" s="1" a="1"/>
  <c r="H562" i="9" s="1"/>
  <c r="I562" i="9" s="1"/>
  <c r="F563" i="9"/>
  <c r="H563" i="9" s="1" a="1"/>
  <c r="H563" i="9" s="1"/>
  <c r="I563" i="9" s="1"/>
  <c r="F564" i="9"/>
  <c r="H564" i="9" s="1" a="1"/>
  <c r="H564" i="9" s="1"/>
  <c r="I564" i="9" s="1"/>
  <c r="F565" i="9"/>
  <c r="H565" i="9" s="1" a="1"/>
  <c r="H565" i="9" s="1"/>
  <c r="I565" i="9" s="1"/>
  <c r="F566" i="9"/>
  <c r="H566" i="9" s="1" a="1"/>
  <c r="H566" i="9" s="1"/>
  <c r="I566" i="9" s="1"/>
  <c r="F567" i="9"/>
  <c r="H567" i="9" s="1" a="1"/>
  <c r="H567" i="9" s="1"/>
  <c r="I567" i="9" s="1"/>
  <c r="F568" i="9"/>
  <c r="H568" i="9" s="1" a="1"/>
  <c r="H568" i="9" s="1"/>
  <c r="I568" i="9" s="1"/>
  <c r="F569" i="9"/>
  <c r="H569" i="9" s="1" a="1"/>
  <c r="H569" i="9" s="1"/>
  <c r="I569" i="9" s="1"/>
  <c r="F570" i="9"/>
  <c r="H570" i="9" s="1" a="1"/>
  <c r="H570" i="9" s="1"/>
  <c r="I570" i="9" s="1"/>
  <c r="F571" i="9"/>
  <c r="H571" i="9" s="1" a="1"/>
  <c r="H571" i="9" s="1"/>
  <c r="I571" i="9" s="1"/>
  <c r="F572" i="9"/>
  <c r="H572" i="9" s="1" a="1"/>
  <c r="H572" i="9" s="1"/>
  <c r="I572" i="9" s="1"/>
  <c r="F573" i="9"/>
  <c r="H573" i="9" s="1" a="1"/>
  <c r="H573" i="9" s="1"/>
  <c r="I573" i="9" s="1"/>
  <c r="F574" i="9"/>
  <c r="H574" i="9" s="1" a="1"/>
  <c r="H574" i="9" s="1"/>
  <c r="I574" i="9" s="1"/>
  <c r="F575" i="9"/>
  <c r="H575" i="9" s="1" a="1"/>
  <c r="H575" i="9" s="1"/>
  <c r="I575" i="9" s="1"/>
  <c r="F576" i="9"/>
  <c r="H576" i="9" s="1" a="1"/>
  <c r="H576" i="9" s="1"/>
  <c r="I576" i="9" s="1"/>
  <c r="F577" i="9"/>
  <c r="H577" i="9" s="1" a="1"/>
  <c r="H577" i="9" s="1"/>
  <c r="I577" i="9" s="1"/>
  <c r="F578" i="9"/>
  <c r="H578" i="9" s="1" a="1"/>
  <c r="H578" i="9" s="1"/>
  <c r="I578" i="9" s="1"/>
  <c r="F579" i="9"/>
  <c r="H579" i="9" s="1" a="1"/>
  <c r="H579" i="9" s="1"/>
  <c r="I579" i="9" s="1"/>
  <c r="F580" i="9"/>
  <c r="H580" i="9" s="1" a="1"/>
  <c r="H580" i="9" s="1"/>
  <c r="I580" i="9" s="1"/>
  <c r="F581" i="9"/>
  <c r="H581" i="9" s="1" a="1"/>
  <c r="H581" i="9" s="1"/>
  <c r="I581" i="9" s="1"/>
  <c r="F582" i="9"/>
  <c r="H582" i="9" s="1" a="1"/>
  <c r="H582" i="9" s="1"/>
  <c r="I582" i="9" s="1"/>
  <c r="F583" i="9"/>
  <c r="H583" i="9" s="1" a="1"/>
  <c r="H583" i="9" s="1"/>
  <c r="I583" i="9" s="1"/>
  <c r="F584" i="9"/>
  <c r="H584" i="9" s="1" a="1"/>
  <c r="H584" i="9" s="1"/>
  <c r="I584" i="9" s="1"/>
  <c r="F585" i="9"/>
  <c r="H585" i="9" s="1" a="1"/>
  <c r="H585" i="9" s="1"/>
  <c r="I585" i="9" s="1"/>
  <c r="F586" i="9"/>
  <c r="H586" i="9" s="1" a="1"/>
  <c r="H586" i="9" s="1"/>
  <c r="I586" i="9" s="1"/>
  <c r="F587" i="9"/>
  <c r="H587" i="9" s="1" a="1"/>
  <c r="H587" i="9" s="1"/>
  <c r="I587" i="9" s="1"/>
  <c r="F588" i="9"/>
  <c r="H588" i="9" s="1" a="1"/>
  <c r="H588" i="9" s="1"/>
  <c r="I588" i="9" s="1"/>
  <c r="F589" i="9"/>
  <c r="H589" i="9" s="1" a="1"/>
  <c r="H589" i="9" s="1"/>
  <c r="I589" i="9" s="1"/>
  <c r="F590" i="9"/>
  <c r="H590" i="9" s="1" a="1"/>
  <c r="H590" i="9" s="1"/>
  <c r="I590" i="9" s="1"/>
  <c r="F591" i="9"/>
  <c r="H591" i="9" s="1" a="1"/>
  <c r="H591" i="9" s="1"/>
  <c r="I591" i="9" s="1"/>
  <c r="F592" i="9"/>
  <c r="H592" i="9" s="1" a="1"/>
  <c r="H592" i="9" s="1"/>
  <c r="I592" i="9" s="1"/>
  <c r="F593" i="9"/>
  <c r="H593" i="9" s="1" a="1"/>
  <c r="H593" i="9" s="1"/>
  <c r="I593" i="9" s="1"/>
  <c r="F594" i="9"/>
  <c r="H594" i="9" s="1" a="1"/>
  <c r="H594" i="9" s="1"/>
  <c r="I594" i="9" s="1"/>
  <c r="F595" i="9"/>
  <c r="H595" i="9" s="1" a="1"/>
  <c r="H595" i="9" s="1"/>
  <c r="I595" i="9" s="1"/>
  <c r="F596" i="9"/>
  <c r="H596" i="9" s="1" a="1"/>
  <c r="H596" i="9" s="1"/>
  <c r="I596" i="9" s="1"/>
  <c r="F597" i="9"/>
  <c r="H597" i="9" s="1" a="1"/>
  <c r="H597" i="9" s="1"/>
  <c r="I597" i="9" s="1"/>
  <c r="F598" i="9"/>
  <c r="H598" i="9" s="1" a="1"/>
  <c r="H598" i="9" s="1"/>
  <c r="I598" i="9" s="1"/>
  <c r="F599" i="9"/>
  <c r="H599" i="9" s="1" a="1"/>
  <c r="H599" i="9" s="1"/>
  <c r="I599" i="9" s="1"/>
  <c r="F600" i="9"/>
  <c r="H600" i="9" s="1" a="1"/>
  <c r="H600" i="9" s="1"/>
  <c r="I600" i="9" s="1"/>
  <c r="F601" i="9"/>
  <c r="H601" i="9" s="1" a="1"/>
  <c r="H601" i="9" s="1"/>
  <c r="I601" i="9" s="1"/>
  <c r="F602" i="9"/>
  <c r="H602" i="9" s="1" a="1"/>
  <c r="H602" i="9" s="1"/>
  <c r="I602" i="9" s="1"/>
  <c r="F603" i="9"/>
  <c r="H603" i="9" s="1" a="1"/>
  <c r="H603" i="9" s="1"/>
  <c r="I603" i="9" s="1"/>
  <c r="F604" i="9"/>
  <c r="H604" i="9" s="1" a="1"/>
  <c r="H604" i="9" s="1"/>
  <c r="I604" i="9" s="1"/>
  <c r="F605" i="9"/>
  <c r="H605" i="9" s="1" a="1"/>
  <c r="H605" i="9" s="1"/>
  <c r="I605" i="9" s="1"/>
  <c r="F606" i="9"/>
  <c r="H606" i="9" s="1" a="1"/>
  <c r="H606" i="9" s="1"/>
  <c r="I606" i="9" s="1"/>
  <c r="F607" i="9"/>
  <c r="H607" i="9" s="1" a="1"/>
  <c r="H607" i="9" s="1"/>
  <c r="I607" i="9" s="1"/>
  <c r="F608" i="9"/>
  <c r="H608" i="9" s="1" a="1"/>
  <c r="H608" i="9" s="1"/>
  <c r="I608" i="9" s="1"/>
  <c r="F609" i="9"/>
  <c r="H609" i="9" s="1" a="1"/>
  <c r="H609" i="9" s="1"/>
  <c r="I609" i="9" s="1"/>
  <c r="F610" i="9"/>
  <c r="H610" i="9" s="1" a="1"/>
  <c r="H610" i="9" s="1"/>
  <c r="I610" i="9" s="1"/>
  <c r="F611" i="9"/>
  <c r="H611" i="9" s="1" a="1"/>
  <c r="H611" i="9" s="1"/>
  <c r="I611" i="9" s="1"/>
  <c r="F612" i="9"/>
  <c r="H612" i="9" s="1" a="1"/>
  <c r="H612" i="9" s="1"/>
  <c r="I612" i="9" s="1"/>
  <c r="F613" i="9"/>
  <c r="H613" i="9" s="1" a="1"/>
  <c r="H613" i="9" s="1"/>
  <c r="I613" i="9" s="1"/>
  <c r="F614" i="9"/>
  <c r="H614" i="9" s="1" a="1"/>
  <c r="H614" i="9" s="1"/>
  <c r="I614" i="9" s="1"/>
  <c r="F615" i="9"/>
  <c r="H615" i="9" s="1" a="1"/>
  <c r="H615" i="9" s="1"/>
  <c r="I615" i="9" s="1"/>
  <c r="F616" i="9"/>
  <c r="H616" i="9" s="1" a="1"/>
  <c r="H616" i="9" s="1"/>
  <c r="I616" i="9" s="1"/>
  <c r="F617" i="9"/>
  <c r="H617" i="9" s="1" a="1"/>
  <c r="H617" i="9" s="1"/>
  <c r="I617" i="9" s="1"/>
  <c r="F618" i="9"/>
  <c r="H618" i="9" s="1" a="1"/>
  <c r="H618" i="9" s="1"/>
  <c r="I618" i="9" s="1"/>
  <c r="F619" i="9"/>
  <c r="H619" i="9" s="1" a="1"/>
  <c r="H619" i="9" s="1"/>
  <c r="I619" i="9" s="1"/>
  <c r="F620" i="9"/>
  <c r="H620" i="9" s="1" a="1"/>
  <c r="H620" i="9" s="1"/>
  <c r="I620" i="9" s="1"/>
  <c r="F621" i="9"/>
  <c r="H621" i="9" s="1" a="1"/>
  <c r="H621" i="9" s="1"/>
  <c r="I621" i="9" s="1"/>
  <c r="F622" i="9"/>
  <c r="H622" i="9" s="1" a="1"/>
  <c r="H622" i="9" s="1"/>
  <c r="I622" i="9" s="1"/>
  <c r="F623" i="9"/>
  <c r="H623" i="9" s="1" a="1"/>
  <c r="H623" i="9" s="1"/>
  <c r="I623" i="9" s="1"/>
  <c r="F624" i="9"/>
  <c r="H624" i="9" s="1" a="1"/>
  <c r="H624" i="9" s="1"/>
  <c r="I624" i="9" s="1"/>
  <c r="F625" i="9"/>
  <c r="H625" i="9" s="1" a="1"/>
  <c r="H625" i="9" s="1"/>
  <c r="I625" i="9" s="1"/>
  <c r="F626" i="9"/>
  <c r="H626" i="9" s="1" a="1"/>
  <c r="H626" i="9" s="1"/>
  <c r="I626" i="9" s="1"/>
  <c r="F627" i="9"/>
  <c r="H627" i="9" s="1" a="1"/>
  <c r="H627" i="9" s="1"/>
  <c r="I627" i="9" s="1"/>
  <c r="F628" i="9"/>
  <c r="H628" i="9" s="1" a="1"/>
  <c r="H628" i="9" s="1"/>
  <c r="I628" i="9" s="1"/>
  <c r="F629" i="9"/>
  <c r="H629" i="9" s="1" a="1"/>
  <c r="H629" i="9" s="1"/>
  <c r="I629" i="9" s="1"/>
  <c r="F630" i="9"/>
  <c r="H630" i="9" s="1" a="1"/>
  <c r="H630" i="9" s="1"/>
  <c r="I630" i="9" s="1"/>
  <c r="F631" i="9"/>
  <c r="H631" i="9" s="1" a="1"/>
  <c r="H631" i="9" s="1"/>
  <c r="I631" i="9" s="1"/>
  <c r="F632" i="9"/>
  <c r="H632" i="9" s="1" a="1"/>
  <c r="H632" i="9" s="1"/>
  <c r="I632" i="9" s="1"/>
  <c r="F633" i="9"/>
  <c r="H633" i="9" s="1" a="1"/>
  <c r="H633" i="9" s="1"/>
  <c r="I633" i="9" s="1"/>
  <c r="F634" i="9"/>
  <c r="H634" i="9" s="1" a="1"/>
  <c r="H634" i="9" s="1"/>
  <c r="I634" i="9" s="1"/>
  <c r="F635" i="9"/>
  <c r="H635" i="9" s="1" a="1"/>
  <c r="H635" i="9" s="1"/>
  <c r="I635" i="9" s="1"/>
  <c r="F636" i="9"/>
  <c r="H636" i="9" s="1" a="1"/>
  <c r="H636" i="9" s="1"/>
  <c r="I636" i="9" s="1"/>
  <c r="F637" i="9"/>
  <c r="H637" i="9" s="1" a="1"/>
  <c r="H637" i="9" s="1"/>
  <c r="I637" i="9" s="1"/>
  <c r="F638" i="9"/>
  <c r="H638" i="9" s="1" a="1"/>
  <c r="H638" i="9" s="1"/>
  <c r="I638" i="9" s="1"/>
  <c r="F639" i="9"/>
  <c r="H639" i="9" s="1" a="1"/>
  <c r="H639" i="9" s="1"/>
  <c r="I639" i="9" s="1"/>
  <c r="F640" i="9"/>
  <c r="H640" i="9" s="1" a="1"/>
  <c r="H640" i="9" s="1"/>
  <c r="I640" i="9" s="1"/>
  <c r="F641" i="9"/>
  <c r="H641" i="9" s="1" a="1"/>
  <c r="H641" i="9" s="1"/>
  <c r="I641" i="9" s="1"/>
  <c r="F642" i="9"/>
  <c r="H642" i="9" s="1" a="1"/>
  <c r="H642" i="9" s="1"/>
  <c r="I642" i="9" s="1"/>
  <c r="F643" i="9"/>
  <c r="H643" i="9" s="1" a="1"/>
  <c r="H643" i="9" s="1"/>
  <c r="I643" i="9" s="1"/>
  <c r="F644" i="9"/>
  <c r="H644" i="9" s="1" a="1"/>
  <c r="H644" i="9" s="1"/>
  <c r="I644" i="9" s="1"/>
  <c r="F645" i="9"/>
  <c r="H645" i="9" s="1" a="1"/>
  <c r="H645" i="9" s="1"/>
  <c r="I645" i="9" s="1"/>
  <c r="F646" i="9"/>
  <c r="H646" i="9" s="1" a="1"/>
  <c r="H646" i="9" s="1"/>
  <c r="I646" i="9" s="1"/>
  <c r="F647" i="9"/>
  <c r="H647" i="9" s="1" a="1"/>
  <c r="H647" i="9" s="1"/>
  <c r="I647" i="9" s="1"/>
  <c r="F648" i="9"/>
  <c r="H648" i="9" s="1" a="1"/>
  <c r="H648" i="9" s="1"/>
  <c r="I648" i="9" s="1"/>
  <c r="F649" i="9"/>
  <c r="H649" i="9" s="1" a="1"/>
  <c r="H649" i="9" s="1"/>
  <c r="I649" i="9" s="1"/>
  <c r="F650" i="9"/>
  <c r="H650" i="9" s="1" a="1"/>
  <c r="H650" i="9" s="1"/>
  <c r="I650" i="9" s="1"/>
  <c r="F651" i="9"/>
  <c r="H651" i="9" s="1" a="1"/>
  <c r="H651" i="9" s="1"/>
  <c r="I651" i="9" s="1"/>
  <c r="F652" i="9"/>
  <c r="H652" i="9" s="1" a="1"/>
  <c r="H652" i="9" s="1"/>
  <c r="I652" i="9" s="1"/>
  <c r="F653" i="9"/>
  <c r="H653" i="9" s="1" a="1"/>
  <c r="H653" i="9" s="1"/>
  <c r="I653" i="9" s="1"/>
  <c r="F654" i="9"/>
  <c r="H654" i="9" s="1" a="1"/>
  <c r="H654" i="9" s="1"/>
  <c r="I654" i="9" s="1"/>
  <c r="F655" i="9"/>
  <c r="H655" i="9" s="1" a="1"/>
  <c r="H655" i="9" s="1"/>
  <c r="I655" i="9" s="1"/>
  <c r="F656" i="9"/>
  <c r="H656" i="9" s="1" a="1"/>
  <c r="H656" i="9" s="1"/>
  <c r="I656" i="9" s="1"/>
  <c r="F657" i="9"/>
  <c r="H657" i="9" s="1" a="1"/>
  <c r="H657" i="9" s="1"/>
  <c r="I657" i="9" s="1"/>
  <c r="F658" i="9"/>
  <c r="H658" i="9" s="1" a="1"/>
  <c r="H658" i="9" s="1"/>
  <c r="I658" i="9" s="1"/>
  <c r="F659" i="9"/>
  <c r="H659" i="9" s="1" a="1"/>
  <c r="H659" i="9" s="1"/>
  <c r="I659" i="9" s="1"/>
  <c r="F660" i="9"/>
  <c r="H660" i="9" s="1" a="1"/>
  <c r="H660" i="9" s="1"/>
  <c r="I660" i="9" s="1"/>
  <c r="F661" i="9"/>
  <c r="H661" i="9" s="1" a="1"/>
  <c r="H661" i="9" s="1"/>
  <c r="I661" i="9" s="1"/>
  <c r="F662" i="9"/>
  <c r="H662" i="9" s="1" a="1"/>
  <c r="H662" i="9" s="1"/>
  <c r="I662" i="9" s="1"/>
  <c r="F663" i="9"/>
  <c r="H663" i="9" s="1" a="1"/>
  <c r="H663" i="9" s="1"/>
  <c r="I663" i="9" s="1"/>
  <c r="F664" i="9"/>
  <c r="H664" i="9" s="1" a="1"/>
  <c r="H664" i="9" s="1"/>
  <c r="I664" i="9" s="1"/>
  <c r="F665" i="9"/>
  <c r="H665" i="9" s="1" a="1"/>
  <c r="H665" i="9" s="1"/>
  <c r="I665" i="9" s="1"/>
  <c r="F666" i="9"/>
  <c r="H666" i="9" s="1" a="1"/>
  <c r="H666" i="9" s="1"/>
  <c r="I666" i="9" s="1"/>
  <c r="F667" i="9"/>
  <c r="H667" i="9" s="1" a="1"/>
  <c r="H667" i="9" s="1"/>
  <c r="I667" i="9" s="1"/>
  <c r="F668" i="9"/>
  <c r="H668" i="9" s="1" a="1"/>
  <c r="H668" i="9" s="1"/>
  <c r="I668" i="9" s="1"/>
  <c r="F669" i="9"/>
  <c r="H669" i="9" s="1" a="1"/>
  <c r="H669" i="9" s="1"/>
  <c r="I669" i="9" s="1"/>
  <c r="F670" i="9"/>
  <c r="H670" i="9" s="1" a="1"/>
  <c r="H670" i="9" s="1"/>
  <c r="I670" i="9" s="1"/>
  <c r="F671" i="9"/>
  <c r="H671" i="9" s="1" a="1"/>
  <c r="H671" i="9" s="1"/>
  <c r="I671" i="9" s="1"/>
  <c r="F672" i="9"/>
  <c r="H672" i="9" s="1" a="1"/>
  <c r="H672" i="9" s="1"/>
  <c r="I672" i="9" s="1"/>
  <c r="F673" i="9"/>
  <c r="H673" i="9" s="1" a="1"/>
  <c r="H673" i="9" s="1"/>
  <c r="I673" i="9" s="1"/>
  <c r="F674" i="9"/>
  <c r="H674" i="9" s="1" a="1"/>
  <c r="H674" i="9" s="1"/>
  <c r="I674" i="9" s="1"/>
  <c r="F675" i="9"/>
  <c r="H675" i="9" s="1" a="1"/>
  <c r="H675" i="9" s="1"/>
  <c r="I675" i="9" s="1"/>
  <c r="F676" i="9"/>
  <c r="H676" i="9" s="1" a="1"/>
  <c r="H676" i="9" s="1"/>
  <c r="I676" i="9" s="1"/>
  <c r="F677" i="9"/>
  <c r="H677" i="9" s="1" a="1"/>
  <c r="H677" i="9" s="1"/>
  <c r="I677" i="9" s="1"/>
  <c r="F678" i="9"/>
  <c r="H678" i="9" s="1" a="1"/>
  <c r="H678" i="9" s="1"/>
  <c r="I678" i="9" s="1"/>
  <c r="F679" i="9"/>
  <c r="H679" i="9" s="1" a="1"/>
  <c r="H679" i="9" s="1"/>
  <c r="I679" i="9" s="1"/>
  <c r="F680" i="9"/>
  <c r="H680" i="9" s="1" a="1"/>
  <c r="H680" i="9" s="1"/>
  <c r="I680" i="9" s="1"/>
  <c r="F681" i="9"/>
  <c r="H681" i="9" s="1" a="1"/>
  <c r="H681" i="9" s="1"/>
  <c r="I681" i="9" s="1"/>
  <c r="F682" i="9"/>
  <c r="H682" i="9" s="1" a="1"/>
  <c r="H682" i="9" s="1"/>
  <c r="I682" i="9" s="1"/>
  <c r="F683" i="9"/>
  <c r="H683" i="9" s="1" a="1"/>
  <c r="H683" i="9" s="1"/>
  <c r="I683" i="9" s="1"/>
  <c r="F684" i="9"/>
  <c r="H684" i="9" s="1" a="1"/>
  <c r="H684" i="9" s="1"/>
  <c r="I684" i="9" s="1"/>
  <c r="F685" i="9"/>
  <c r="H685" i="9" s="1" a="1"/>
  <c r="H685" i="9" s="1"/>
  <c r="I685" i="9" s="1"/>
  <c r="F686" i="9"/>
  <c r="H686" i="9" s="1" a="1"/>
  <c r="H686" i="9" s="1"/>
  <c r="I686" i="9" s="1"/>
  <c r="F687" i="9"/>
  <c r="H687" i="9" s="1" a="1"/>
  <c r="H687" i="9" s="1"/>
  <c r="I687" i="9" s="1"/>
  <c r="F688" i="9"/>
  <c r="H688" i="9" s="1" a="1"/>
  <c r="H688" i="9" s="1"/>
  <c r="I688" i="9" s="1"/>
  <c r="F689" i="9"/>
  <c r="H689" i="9" s="1" a="1"/>
  <c r="H689" i="9" s="1"/>
  <c r="I689" i="9" s="1"/>
  <c r="F690" i="9"/>
  <c r="H690" i="9" s="1" a="1"/>
  <c r="H690" i="9" s="1"/>
  <c r="I690" i="9" s="1"/>
  <c r="F691" i="9"/>
  <c r="H691" i="9" s="1" a="1"/>
  <c r="H691" i="9" s="1"/>
  <c r="I691" i="9" s="1"/>
  <c r="F692" i="9"/>
  <c r="H692" i="9" s="1" a="1"/>
  <c r="H692" i="9" s="1"/>
  <c r="I692" i="9" s="1"/>
  <c r="F693" i="9"/>
  <c r="H693" i="9" s="1" a="1"/>
  <c r="H693" i="9" s="1"/>
  <c r="I693" i="9" s="1"/>
  <c r="F694" i="9"/>
  <c r="H694" i="9" s="1" a="1"/>
  <c r="H694" i="9" s="1"/>
  <c r="I694" i="9" s="1"/>
  <c r="F695" i="9"/>
  <c r="H695" i="9" s="1" a="1"/>
  <c r="H695" i="9" s="1"/>
  <c r="I695" i="9" s="1"/>
  <c r="F696" i="9"/>
  <c r="H696" i="9" s="1" a="1"/>
  <c r="H696" i="9" s="1"/>
  <c r="F697" i="9"/>
  <c r="H697" i="9" s="1" a="1"/>
  <c r="H697" i="9" s="1"/>
  <c r="I697" i="9" s="1"/>
  <c r="F698" i="9"/>
  <c r="H698" i="9" s="1" a="1"/>
  <c r="H698" i="9" s="1"/>
  <c r="I698" i="9" s="1"/>
  <c r="F699" i="9"/>
  <c r="H699" i="9" s="1" a="1"/>
  <c r="H699" i="9" s="1"/>
  <c r="I699" i="9" s="1"/>
  <c r="F700" i="9"/>
  <c r="H700" i="9" s="1" a="1"/>
  <c r="H700" i="9" s="1"/>
  <c r="I700" i="9" s="1"/>
  <c r="F701" i="9"/>
  <c r="H701" i="9" s="1" a="1"/>
  <c r="H701" i="9" s="1"/>
  <c r="I701" i="9" s="1"/>
  <c r="F702" i="9"/>
  <c r="H702" i="9" s="1" a="1"/>
  <c r="H702" i="9" s="1"/>
  <c r="I702" i="9" s="1"/>
  <c r="F703" i="9"/>
  <c r="H703" i="9" s="1" a="1"/>
  <c r="H703" i="9" s="1"/>
  <c r="I703" i="9" s="1"/>
  <c r="F704" i="9"/>
  <c r="H704" i="9" s="1" a="1"/>
  <c r="H704" i="9" s="1"/>
  <c r="I704" i="9" s="1"/>
  <c r="F705" i="9"/>
  <c r="H705" i="9" s="1" a="1"/>
  <c r="H705" i="9" s="1"/>
  <c r="I705" i="9" s="1"/>
  <c r="F706" i="9"/>
  <c r="H706" i="9" s="1" a="1"/>
  <c r="H706" i="9" s="1"/>
  <c r="I706" i="9" s="1"/>
  <c r="F707" i="9"/>
  <c r="H707" i="9" s="1" a="1"/>
  <c r="H707" i="9" s="1"/>
  <c r="I707" i="9" s="1"/>
  <c r="F708" i="9"/>
  <c r="H708" i="9" s="1" a="1"/>
  <c r="H708" i="9" s="1"/>
  <c r="I708" i="9" s="1"/>
  <c r="F709" i="9"/>
  <c r="H709" i="9" s="1" a="1"/>
  <c r="H709" i="9" s="1"/>
  <c r="I709" i="9" s="1"/>
  <c r="F710" i="9"/>
  <c r="H710" i="9" s="1" a="1"/>
  <c r="H710" i="9" s="1"/>
  <c r="I710" i="9" s="1"/>
  <c r="F711" i="9"/>
  <c r="H711" i="9" s="1" a="1"/>
  <c r="H711" i="9" s="1"/>
  <c r="I711" i="9" s="1"/>
  <c r="F712" i="9"/>
  <c r="H712" i="9" s="1" a="1"/>
  <c r="H712" i="9" s="1"/>
  <c r="I712" i="9" s="1"/>
  <c r="F713" i="9"/>
  <c r="H713" i="9" s="1" a="1"/>
  <c r="H713" i="9" s="1"/>
  <c r="I713" i="9" s="1"/>
  <c r="F714" i="9"/>
  <c r="H714" i="9" s="1" a="1"/>
  <c r="H714" i="9" s="1"/>
  <c r="I714" i="9" s="1"/>
  <c r="F715" i="9"/>
  <c r="H715" i="9" s="1" a="1"/>
  <c r="H715" i="9" s="1"/>
  <c r="I715" i="9" s="1"/>
  <c r="F716" i="9"/>
  <c r="H716" i="9" s="1" a="1"/>
  <c r="H716" i="9" s="1"/>
  <c r="I716" i="9" s="1"/>
  <c r="F717" i="9"/>
  <c r="H717" i="9" s="1" a="1"/>
  <c r="H717" i="9" s="1"/>
  <c r="I717" i="9" s="1"/>
  <c r="F718" i="9"/>
  <c r="H718" i="9" s="1" a="1"/>
  <c r="H718" i="9" s="1"/>
  <c r="I718" i="9" s="1"/>
  <c r="F719" i="9"/>
  <c r="H719" i="9" s="1" a="1"/>
  <c r="H719" i="9" s="1"/>
  <c r="I719" i="9" s="1"/>
  <c r="F720" i="9"/>
  <c r="H720" i="9" s="1" a="1"/>
  <c r="H720" i="9" s="1"/>
  <c r="I720" i="9" s="1"/>
  <c r="F721" i="9"/>
  <c r="H721" i="9" s="1" a="1"/>
  <c r="H721" i="9" s="1"/>
  <c r="I721" i="9" s="1"/>
  <c r="F722" i="9"/>
  <c r="H722" i="9" s="1" a="1"/>
  <c r="H722" i="9" s="1"/>
  <c r="I722" i="9" s="1"/>
  <c r="F723" i="9"/>
  <c r="H723" i="9" s="1" a="1"/>
  <c r="H723" i="9" s="1"/>
  <c r="I723" i="9" s="1"/>
  <c r="F724" i="9"/>
  <c r="H724" i="9" s="1" a="1"/>
  <c r="H724" i="9" s="1"/>
  <c r="I724" i="9" s="1"/>
  <c r="F725" i="9"/>
  <c r="H725" i="9" s="1" a="1"/>
  <c r="H725" i="9" s="1"/>
  <c r="I725" i="9" s="1"/>
  <c r="F726" i="9"/>
  <c r="H726" i="9" s="1" a="1"/>
  <c r="H726" i="9" s="1"/>
  <c r="I726" i="9" s="1"/>
  <c r="F727" i="9"/>
  <c r="H727" i="9" s="1" a="1"/>
  <c r="H727" i="9" s="1"/>
  <c r="I727" i="9" s="1"/>
  <c r="F728" i="9"/>
  <c r="H728" i="9" s="1" a="1"/>
  <c r="H728" i="9" s="1"/>
  <c r="I728" i="9" s="1"/>
  <c r="F729" i="9"/>
  <c r="H729" i="9" s="1" a="1"/>
  <c r="H729" i="9" s="1"/>
  <c r="I729" i="9" s="1"/>
  <c r="F730" i="9"/>
  <c r="H730" i="9" s="1" a="1"/>
  <c r="H730" i="9" s="1"/>
  <c r="I730" i="9" s="1"/>
  <c r="F731" i="9"/>
  <c r="H731" i="9" s="1" a="1"/>
  <c r="H731" i="9" s="1"/>
  <c r="I731" i="9" s="1"/>
  <c r="F732" i="9"/>
  <c r="H732" i="9" s="1" a="1"/>
  <c r="H732" i="9" s="1"/>
  <c r="I732" i="9" s="1"/>
  <c r="F733" i="9"/>
  <c r="H733" i="9" s="1" a="1"/>
  <c r="H733" i="9" s="1"/>
  <c r="I733" i="9" s="1"/>
  <c r="F734" i="9"/>
  <c r="H734" i="9" s="1" a="1"/>
  <c r="H734" i="9" s="1"/>
  <c r="I734" i="9" s="1"/>
  <c r="F735" i="9"/>
  <c r="H735" i="9" s="1" a="1"/>
  <c r="H735" i="9" s="1"/>
  <c r="F736" i="9"/>
  <c r="H736" i="9" s="1" a="1"/>
  <c r="H736" i="9" s="1"/>
  <c r="I736" i="9" s="1"/>
  <c r="F737" i="9"/>
  <c r="H737" i="9" s="1" a="1"/>
  <c r="H737" i="9" s="1"/>
  <c r="I737" i="9" s="1"/>
  <c r="F738" i="9"/>
  <c r="H738" i="9" s="1" a="1"/>
  <c r="H738" i="9" s="1"/>
  <c r="I738" i="9" s="1"/>
  <c r="F739" i="9"/>
  <c r="H739" i="9" s="1" a="1"/>
  <c r="H739" i="9" s="1"/>
  <c r="I739" i="9" s="1"/>
  <c r="F740" i="9"/>
  <c r="H740" i="9" s="1" a="1"/>
  <c r="H740" i="9" s="1"/>
  <c r="I740" i="9" s="1"/>
  <c r="F741" i="9"/>
  <c r="H741" i="9" s="1" a="1"/>
  <c r="H741" i="9" s="1"/>
  <c r="I741" i="9" s="1"/>
  <c r="F742" i="9"/>
  <c r="H742" i="9" s="1" a="1"/>
  <c r="H742" i="9" s="1"/>
  <c r="I742" i="9" s="1"/>
  <c r="F743" i="9"/>
  <c r="H743" i="9" s="1" a="1"/>
  <c r="H743" i="9" s="1"/>
  <c r="I743" i="9" s="1"/>
  <c r="F744" i="9"/>
  <c r="H744" i="9" s="1" a="1"/>
  <c r="H744" i="9" s="1"/>
  <c r="I744" i="9" s="1"/>
  <c r="F745" i="9"/>
  <c r="H745" i="9" s="1" a="1"/>
  <c r="H745" i="9" s="1"/>
  <c r="I745" i="9" s="1"/>
  <c r="F746" i="9"/>
  <c r="H746" i="9" s="1" a="1"/>
  <c r="H746" i="9" s="1"/>
  <c r="I746" i="9" s="1"/>
  <c r="F747" i="9"/>
  <c r="H747" i="9" s="1" a="1"/>
  <c r="H747" i="9" s="1"/>
  <c r="I747" i="9" s="1"/>
  <c r="F748" i="9"/>
  <c r="H748" i="9" s="1" a="1"/>
  <c r="H748" i="9" s="1"/>
  <c r="I748" i="9" s="1"/>
  <c r="F749" i="9"/>
  <c r="H749" i="9" s="1" a="1"/>
  <c r="H749" i="9" s="1"/>
  <c r="I749" i="9" s="1"/>
  <c r="F750" i="9"/>
  <c r="H750" i="9" s="1" a="1"/>
  <c r="H750" i="9" s="1"/>
  <c r="I750" i="9" s="1"/>
  <c r="F751" i="9"/>
  <c r="H751" i="9" s="1" a="1"/>
  <c r="H751" i="9" s="1"/>
  <c r="I751" i="9" s="1"/>
  <c r="F752" i="9"/>
  <c r="H752" i="9" s="1" a="1"/>
  <c r="H752" i="9" s="1"/>
  <c r="I752" i="9" s="1"/>
  <c r="F753" i="9"/>
  <c r="H753" i="9" s="1" a="1"/>
  <c r="H753" i="9" s="1"/>
  <c r="I753" i="9" s="1"/>
  <c r="F754" i="9"/>
  <c r="H754" i="9" s="1" a="1"/>
  <c r="H754" i="9" s="1"/>
  <c r="I754" i="9" s="1"/>
  <c r="F755" i="9"/>
  <c r="H755" i="9" s="1" a="1"/>
  <c r="H755" i="9" s="1"/>
  <c r="I755" i="9" s="1"/>
  <c r="F756" i="9"/>
  <c r="H756" i="9" s="1" a="1"/>
  <c r="H756" i="9" s="1"/>
  <c r="I756" i="9" s="1"/>
  <c r="F757" i="9"/>
  <c r="H757" i="9" s="1" a="1"/>
  <c r="H757" i="9" s="1"/>
  <c r="I757" i="9" s="1"/>
  <c r="F758" i="9"/>
  <c r="H758" i="9" s="1" a="1"/>
  <c r="H758" i="9" s="1"/>
  <c r="I758" i="9" s="1"/>
  <c r="F759" i="9"/>
  <c r="H759" i="9" s="1" a="1"/>
  <c r="H759" i="9" s="1"/>
  <c r="I759" i="9" s="1"/>
  <c r="F760" i="9"/>
  <c r="H760" i="9" s="1" a="1"/>
  <c r="H760" i="9" s="1"/>
  <c r="I760" i="9" s="1"/>
  <c r="F761" i="9"/>
  <c r="H761" i="9" s="1" a="1"/>
  <c r="H761" i="9" s="1"/>
  <c r="I761" i="9" s="1"/>
  <c r="F762" i="9"/>
  <c r="H762" i="9" s="1" a="1"/>
  <c r="H762" i="9" s="1"/>
  <c r="I762" i="9" s="1"/>
  <c r="F763" i="9"/>
  <c r="H763" i="9" s="1" a="1"/>
  <c r="H763" i="9" s="1"/>
  <c r="I763" i="9" s="1"/>
  <c r="F764" i="9"/>
  <c r="H764" i="9" s="1" a="1"/>
  <c r="H764" i="9" s="1"/>
  <c r="I764" i="9" s="1"/>
  <c r="F765" i="9"/>
  <c r="H765" i="9" s="1" a="1"/>
  <c r="H765" i="9" s="1"/>
  <c r="I765" i="9" s="1"/>
  <c r="F766" i="9"/>
  <c r="H766" i="9" s="1" a="1"/>
  <c r="H766" i="9" s="1"/>
  <c r="I766" i="9" s="1"/>
  <c r="F767" i="9"/>
  <c r="H767" i="9" s="1" a="1"/>
  <c r="H767" i="9" s="1"/>
  <c r="I767" i="9" s="1"/>
  <c r="F768" i="9"/>
  <c r="H768" i="9" s="1" a="1"/>
  <c r="H768" i="9" s="1"/>
  <c r="I768" i="9" s="1"/>
  <c r="F769" i="9"/>
  <c r="H769" i="9" s="1" a="1"/>
  <c r="H769" i="9" s="1"/>
  <c r="I769" i="9" s="1"/>
  <c r="F770" i="9"/>
  <c r="H770" i="9" s="1" a="1"/>
  <c r="H770" i="9" s="1"/>
  <c r="I770" i="9" s="1"/>
  <c r="F771" i="9"/>
  <c r="H771" i="9" s="1" a="1"/>
  <c r="H771" i="9" s="1"/>
  <c r="I771" i="9" s="1"/>
  <c r="F772" i="9"/>
  <c r="H772" i="9" s="1" a="1"/>
  <c r="H772" i="9" s="1"/>
  <c r="I772" i="9" s="1"/>
  <c r="F773" i="9"/>
  <c r="H773" i="9" s="1" a="1"/>
  <c r="H773" i="9" s="1"/>
  <c r="I773" i="9" s="1"/>
  <c r="F774" i="9"/>
  <c r="H774" i="9" s="1" a="1"/>
  <c r="H774" i="9" s="1"/>
  <c r="I774" i="9" s="1"/>
  <c r="F775" i="9"/>
  <c r="H775" i="9" s="1" a="1"/>
  <c r="H775" i="9" s="1"/>
  <c r="I775" i="9" s="1"/>
  <c r="F776" i="9"/>
  <c r="H776" i="9" s="1" a="1"/>
  <c r="H776" i="9" s="1"/>
  <c r="I776" i="9" s="1"/>
  <c r="F777" i="9"/>
  <c r="H777" i="9" s="1" a="1"/>
  <c r="H777" i="9" s="1"/>
  <c r="I777" i="9" s="1"/>
  <c r="F778" i="9"/>
  <c r="H778" i="9" s="1" a="1"/>
  <c r="H778" i="9" s="1"/>
  <c r="I778" i="9" s="1"/>
  <c r="F779" i="9"/>
  <c r="H779" i="9" s="1" a="1"/>
  <c r="H779" i="9" s="1"/>
  <c r="I779" i="9" s="1"/>
  <c r="F780" i="9"/>
  <c r="H780" i="9" s="1" a="1"/>
  <c r="H780" i="9" s="1"/>
  <c r="I780" i="9" s="1"/>
  <c r="F781" i="9"/>
  <c r="H781" i="9" s="1" a="1"/>
  <c r="H781" i="9" s="1"/>
  <c r="I781" i="9" s="1"/>
  <c r="F782" i="9"/>
  <c r="H782" i="9" s="1" a="1"/>
  <c r="H782" i="9" s="1"/>
  <c r="I782" i="9" s="1"/>
  <c r="F783" i="9"/>
  <c r="H783" i="9" s="1" a="1"/>
  <c r="H783" i="9" s="1"/>
  <c r="I783" i="9" s="1"/>
  <c r="F784" i="9"/>
  <c r="H784" i="9" s="1" a="1"/>
  <c r="H784" i="9" s="1"/>
  <c r="I784" i="9" s="1"/>
  <c r="F785" i="9"/>
  <c r="H785" i="9" s="1" a="1"/>
  <c r="H785" i="9" s="1"/>
  <c r="I785" i="9" s="1"/>
  <c r="F786" i="9"/>
  <c r="H786" i="9" s="1" a="1"/>
  <c r="H786" i="9" s="1"/>
  <c r="I786" i="9" s="1"/>
  <c r="F787" i="9"/>
  <c r="H787" i="9" s="1" a="1"/>
  <c r="H787" i="9" s="1"/>
  <c r="I787" i="9" s="1"/>
  <c r="F788" i="9"/>
  <c r="H788" i="9" s="1" a="1"/>
  <c r="H788" i="9" s="1"/>
  <c r="I788" i="9" s="1"/>
  <c r="F789" i="9"/>
  <c r="H789" i="9" s="1" a="1"/>
  <c r="H789" i="9" s="1"/>
  <c r="I789" i="9" s="1"/>
  <c r="F790" i="9"/>
  <c r="H790" i="9" s="1" a="1"/>
  <c r="H790" i="9" s="1"/>
  <c r="I790" i="9" s="1"/>
  <c r="F791" i="9"/>
  <c r="H791" i="9" s="1" a="1"/>
  <c r="H791" i="9" s="1"/>
  <c r="I791" i="9" s="1"/>
  <c r="F792" i="9"/>
  <c r="H792" i="9" s="1" a="1"/>
  <c r="H792" i="9" s="1"/>
  <c r="I792" i="9" s="1"/>
  <c r="F793" i="9"/>
  <c r="H793" i="9" s="1" a="1"/>
  <c r="H793" i="9" s="1"/>
  <c r="I793" i="9" s="1"/>
  <c r="F794" i="9"/>
  <c r="H794" i="9" s="1" a="1"/>
  <c r="H794" i="9" s="1"/>
  <c r="I794" i="9" s="1"/>
  <c r="F795" i="9"/>
  <c r="H795" i="9" s="1" a="1"/>
  <c r="H795" i="9" s="1"/>
  <c r="I795" i="9" s="1"/>
  <c r="F796" i="9"/>
  <c r="H796" i="9" s="1" a="1"/>
  <c r="H796" i="9" s="1"/>
  <c r="I796" i="9" s="1"/>
  <c r="F797" i="9"/>
  <c r="H797" i="9" s="1" a="1"/>
  <c r="H797" i="9" s="1"/>
  <c r="I797" i="9" s="1"/>
  <c r="F798" i="9"/>
  <c r="H798" i="9" s="1" a="1"/>
  <c r="H798" i="9" s="1"/>
  <c r="I798" i="9" s="1"/>
  <c r="F799" i="9"/>
  <c r="H799" i="9" s="1" a="1"/>
  <c r="H799" i="9" s="1"/>
  <c r="F800" i="9"/>
  <c r="H800" i="9" s="1" a="1"/>
  <c r="H800" i="9" s="1"/>
  <c r="I800" i="9" s="1"/>
  <c r="F801" i="9"/>
  <c r="H801" i="9" s="1" a="1"/>
  <c r="H801" i="9" s="1"/>
  <c r="I801" i="9" s="1"/>
  <c r="F802" i="9"/>
  <c r="H802" i="9" s="1" a="1"/>
  <c r="H802" i="9" s="1"/>
  <c r="I802" i="9" s="1"/>
  <c r="F803" i="9"/>
  <c r="H803" i="9" s="1" a="1"/>
  <c r="H803" i="9" s="1"/>
  <c r="I803" i="9" s="1"/>
  <c r="F804" i="9"/>
  <c r="H804" i="9" s="1" a="1"/>
  <c r="H804" i="9" s="1"/>
  <c r="I804" i="9" s="1"/>
  <c r="F805" i="9"/>
  <c r="H805" i="9" s="1" a="1"/>
  <c r="H805" i="9" s="1"/>
  <c r="I805" i="9" s="1"/>
  <c r="F806" i="9"/>
  <c r="H806" i="9" s="1" a="1"/>
  <c r="H806" i="9" s="1"/>
  <c r="I806" i="9" s="1"/>
  <c r="F807" i="9"/>
  <c r="H807" i="9" s="1" a="1"/>
  <c r="H807" i="9" s="1"/>
  <c r="I807" i="9" s="1"/>
  <c r="F808" i="9"/>
  <c r="H808" i="9" s="1" a="1"/>
  <c r="H808" i="9" s="1"/>
  <c r="I808" i="9" s="1"/>
  <c r="F809" i="9"/>
  <c r="H809" i="9" s="1" a="1"/>
  <c r="H809" i="9" s="1"/>
  <c r="I809" i="9" s="1"/>
  <c r="F810" i="9"/>
  <c r="H810" i="9" s="1" a="1"/>
  <c r="H810" i="9" s="1"/>
  <c r="I810" i="9" s="1"/>
  <c r="F811" i="9"/>
  <c r="H811" i="9" s="1" a="1"/>
  <c r="H811" i="9" s="1"/>
  <c r="I811" i="9" s="1"/>
  <c r="F812" i="9"/>
  <c r="H812" i="9" s="1" a="1"/>
  <c r="H812" i="9" s="1"/>
  <c r="I812" i="9" s="1"/>
  <c r="F813" i="9"/>
  <c r="H813" i="9" s="1" a="1"/>
  <c r="H813" i="9" s="1"/>
  <c r="I813" i="9" s="1"/>
  <c r="F814" i="9"/>
  <c r="H814" i="9" s="1" a="1"/>
  <c r="H814" i="9" s="1"/>
  <c r="I814" i="9" s="1"/>
  <c r="F815" i="9"/>
  <c r="H815" i="9" s="1" a="1"/>
  <c r="H815" i="9" s="1"/>
  <c r="I815" i="9" s="1"/>
  <c r="F816" i="9"/>
  <c r="H816" i="9" s="1" a="1"/>
  <c r="H816" i="9" s="1"/>
  <c r="I816" i="9" s="1"/>
  <c r="F817" i="9"/>
  <c r="H817" i="9" s="1" a="1"/>
  <c r="H817" i="9" s="1"/>
  <c r="I817" i="9" s="1"/>
  <c r="F818" i="9"/>
  <c r="H818" i="9" s="1" a="1"/>
  <c r="H818" i="9" s="1"/>
  <c r="I818" i="9" s="1"/>
  <c r="F819" i="9"/>
  <c r="H819" i="9" s="1" a="1"/>
  <c r="H819" i="9" s="1"/>
  <c r="I819" i="9" s="1"/>
  <c r="F820" i="9"/>
  <c r="H820" i="9" s="1" a="1"/>
  <c r="H820" i="9" s="1"/>
  <c r="I820" i="9" s="1"/>
  <c r="F821" i="9"/>
  <c r="H821" i="9" s="1" a="1"/>
  <c r="H821" i="9" s="1"/>
  <c r="I821" i="9" s="1"/>
  <c r="F822" i="9"/>
  <c r="H822" i="9" s="1" a="1"/>
  <c r="H822" i="9" s="1"/>
  <c r="I822" i="9" s="1"/>
  <c r="F823" i="9"/>
  <c r="H823" i="9" s="1" a="1"/>
  <c r="H823" i="9" s="1"/>
  <c r="I823" i="9" s="1"/>
  <c r="F824" i="9"/>
  <c r="H824" i="9" s="1" a="1"/>
  <c r="H824" i="9" s="1"/>
  <c r="F825" i="9"/>
  <c r="H825" i="9" s="1" a="1"/>
  <c r="H825" i="9" s="1"/>
  <c r="I825" i="9" s="1"/>
  <c r="F826" i="9"/>
  <c r="H826" i="9" s="1" a="1"/>
  <c r="H826" i="9" s="1"/>
  <c r="I826" i="9" s="1"/>
  <c r="F827" i="9"/>
  <c r="H827" i="9" s="1" a="1"/>
  <c r="H827" i="9" s="1"/>
  <c r="I827" i="9" s="1"/>
  <c r="F828" i="9"/>
  <c r="H828" i="9" s="1" a="1"/>
  <c r="H828" i="9" s="1"/>
  <c r="I828" i="9" s="1"/>
  <c r="F829" i="9"/>
  <c r="H829" i="9" s="1" a="1"/>
  <c r="H829" i="9" s="1"/>
  <c r="I829" i="9" s="1"/>
  <c r="F830" i="9"/>
  <c r="H830" i="9" s="1" a="1"/>
  <c r="H830" i="9" s="1"/>
  <c r="I830" i="9" s="1"/>
  <c r="F831" i="9"/>
  <c r="H831" i="9" s="1" a="1"/>
  <c r="H831" i="9" s="1"/>
  <c r="I831" i="9" s="1"/>
  <c r="F832" i="9"/>
  <c r="H832" i="9" s="1" a="1"/>
  <c r="H832" i="9" s="1"/>
  <c r="I832" i="9" s="1"/>
  <c r="F833" i="9"/>
  <c r="H833" i="9" s="1" a="1"/>
  <c r="H833" i="9" s="1"/>
  <c r="I833" i="9" s="1"/>
  <c r="F834" i="9"/>
  <c r="H834" i="9" s="1" a="1"/>
  <c r="H834" i="9" s="1"/>
  <c r="I834" i="9" s="1"/>
  <c r="F835" i="9"/>
  <c r="H835" i="9" s="1" a="1"/>
  <c r="H835" i="9" s="1"/>
  <c r="I835" i="9" s="1"/>
  <c r="F836" i="9"/>
  <c r="H836" i="9" s="1" a="1"/>
  <c r="H836" i="9" s="1"/>
  <c r="I836" i="9" s="1"/>
  <c r="F837" i="9"/>
  <c r="H837" i="9" s="1" a="1"/>
  <c r="H837" i="9" s="1"/>
  <c r="I837" i="9" s="1"/>
  <c r="F838" i="9"/>
  <c r="H838" i="9" s="1" a="1"/>
  <c r="H838" i="9" s="1"/>
  <c r="I838" i="9" s="1"/>
  <c r="F839" i="9"/>
  <c r="H839" i="9" s="1" a="1"/>
  <c r="H839" i="9" s="1"/>
  <c r="I839" i="9" s="1"/>
  <c r="F840" i="9"/>
  <c r="H840" i="9" s="1" a="1"/>
  <c r="H840" i="9" s="1"/>
  <c r="I840" i="9" s="1"/>
  <c r="F841" i="9"/>
  <c r="H841" i="9" s="1" a="1"/>
  <c r="H841" i="9" s="1"/>
  <c r="I841" i="9" s="1"/>
  <c r="F842" i="9"/>
  <c r="H842" i="9" s="1" a="1"/>
  <c r="H842" i="9" s="1"/>
  <c r="I842" i="9" s="1"/>
  <c r="F843" i="9"/>
  <c r="H843" i="9" s="1" a="1"/>
  <c r="H843" i="9" s="1"/>
  <c r="I843" i="9" s="1"/>
  <c r="F844" i="9"/>
  <c r="H844" i="9" s="1" a="1"/>
  <c r="H844" i="9" s="1"/>
  <c r="I844" i="9" s="1"/>
  <c r="F845" i="9"/>
  <c r="H845" i="9" s="1" a="1"/>
  <c r="H845" i="9" s="1"/>
  <c r="I845" i="9" s="1"/>
  <c r="F846" i="9"/>
  <c r="H846" i="9" s="1" a="1"/>
  <c r="H846" i="9" s="1"/>
  <c r="I846" i="9" s="1"/>
  <c r="F847" i="9"/>
  <c r="H847" i="9" s="1" a="1"/>
  <c r="H847" i="9" s="1"/>
  <c r="I847" i="9" s="1"/>
  <c r="F848" i="9"/>
  <c r="H848" i="9" s="1" a="1"/>
  <c r="H848" i="9" s="1"/>
  <c r="I848" i="9" s="1"/>
  <c r="F849" i="9"/>
  <c r="H849" i="9" s="1" a="1"/>
  <c r="H849" i="9" s="1"/>
  <c r="I849" i="9" s="1"/>
  <c r="F850" i="9"/>
  <c r="H850" i="9" s="1" a="1"/>
  <c r="H850" i="9" s="1"/>
  <c r="I850" i="9" s="1"/>
  <c r="F851" i="9"/>
  <c r="H851" i="9" s="1" a="1"/>
  <c r="H851" i="9" s="1"/>
  <c r="I851" i="9" s="1"/>
  <c r="F852" i="9"/>
  <c r="H852" i="9" s="1" a="1"/>
  <c r="H852" i="9" s="1"/>
  <c r="I852" i="9" s="1"/>
  <c r="F853" i="9"/>
  <c r="H853" i="9" s="1" a="1"/>
  <c r="H853" i="9" s="1"/>
  <c r="I853" i="9" s="1"/>
  <c r="F854" i="9"/>
  <c r="H854" i="9" s="1" a="1"/>
  <c r="H854" i="9" s="1"/>
  <c r="I854" i="9" s="1"/>
  <c r="F855" i="9"/>
  <c r="H855" i="9" s="1" a="1"/>
  <c r="H855" i="9" s="1"/>
  <c r="I855" i="9" s="1"/>
  <c r="F856" i="9"/>
  <c r="H856" i="9" s="1" a="1"/>
  <c r="H856" i="9" s="1"/>
  <c r="I856" i="9" s="1"/>
  <c r="F857" i="9"/>
  <c r="H857" i="9" s="1" a="1"/>
  <c r="H857" i="9" s="1"/>
  <c r="I857" i="9" s="1"/>
  <c r="F858" i="9"/>
  <c r="H858" i="9" s="1" a="1"/>
  <c r="H858" i="9" s="1"/>
  <c r="I858" i="9" s="1"/>
  <c r="F859" i="9"/>
  <c r="H859" i="9" s="1" a="1"/>
  <c r="H859" i="9" s="1"/>
  <c r="I859" i="9" s="1"/>
  <c r="F860" i="9"/>
  <c r="H860" i="9" s="1" a="1"/>
  <c r="H860" i="9" s="1"/>
  <c r="I860" i="9" s="1"/>
  <c r="F861" i="9"/>
  <c r="H861" i="9" s="1" a="1"/>
  <c r="H861" i="9" s="1"/>
  <c r="I861" i="9" s="1"/>
  <c r="F862" i="9"/>
  <c r="H862" i="9" s="1" a="1"/>
  <c r="H862" i="9" s="1"/>
  <c r="I862" i="9" s="1"/>
  <c r="F863" i="9"/>
  <c r="H863" i="9" s="1" a="1"/>
  <c r="H863" i="9" s="1"/>
  <c r="F864" i="9"/>
  <c r="H864" i="9" s="1" a="1"/>
  <c r="H864" i="9" s="1"/>
  <c r="I864" i="9" s="1"/>
  <c r="F865" i="9"/>
  <c r="H865" i="9" s="1" a="1"/>
  <c r="H865" i="9" s="1"/>
  <c r="I865" i="9" s="1"/>
  <c r="F866" i="9"/>
  <c r="H866" i="9" s="1" a="1"/>
  <c r="H866" i="9" s="1"/>
  <c r="I866" i="9" s="1"/>
  <c r="F867" i="9"/>
  <c r="H867" i="9" s="1" a="1"/>
  <c r="H867" i="9" s="1"/>
  <c r="I867" i="9" s="1"/>
  <c r="F868" i="9"/>
  <c r="H868" i="9" s="1" a="1"/>
  <c r="H868" i="9" s="1"/>
  <c r="I868" i="9" s="1"/>
  <c r="F869" i="9"/>
  <c r="H869" i="9" s="1" a="1"/>
  <c r="H869" i="9" s="1"/>
  <c r="I869" i="9" s="1"/>
  <c r="F870" i="9"/>
  <c r="H870" i="9" s="1" a="1"/>
  <c r="H870" i="9" s="1"/>
  <c r="I870" i="9" s="1"/>
  <c r="F871" i="9"/>
  <c r="H871" i="9" s="1" a="1"/>
  <c r="H871" i="9" s="1"/>
  <c r="I871" i="9" s="1"/>
  <c r="F872" i="9"/>
  <c r="H872" i="9" s="1" a="1"/>
  <c r="H872" i="9" s="1"/>
  <c r="I872" i="9" s="1"/>
  <c r="F873" i="9"/>
  <c r="H873" i="9" s="1" a="1"/>
  <c r="H873" i="9" s="1"/>
  <c r="I873" i="9" s="1"/>
  <c r="F874" i="9"/>
  <c r="H874" i="9" s="1" a="1"/>
  <c r="H874" i="9" s="1"/>
  <c r="I874" i="9" s="1"/>
  <c r="F875" i="9"/>
  <c r="H875" i="9" s="1" a="1"/>
  <c r="H875" i="9" s="1"/>
  <c r="I875" i="9" s="1"/>
  <c r="F876" i="9"/>
  <c r="H876" i="9" s="1" a="1"/>
  <c r="H876" i="9" s="1"/>
  <c r="I876" i="9" s="1"/>
  <c r="F877" i="9"/>
  <c r="H877" i="9" s="1" a="1"/>
  <c r="H877" i="9" s="1"/>
  <c r="I877" i="9" s="1"/>
  <c r="F878" i="9"/>
  <c r="H878" i="9" s="1" a="1"/>
  <c r="H878" i="9" s="1"/>
  <c r="I878" i="9" s="1"/>
  <c r="F879" i="9"/>
  <c r="H879" i="9" s="1" a="1"/>
  <c r="H879" i="9" s="1"/>
  <c r="I879" i="9" s="1"/>
  <c r="F880" i="9"/>
  <c r="H880" i="9" s="1" a="1"/>
  <c r="H880" i="9" s="1"/>
  <c r="I880" i="9" s="1"/>
  <c r="F881" i="9"/>
  <c r="H881" i="9" s="1" a="1"/>
  <c r="H881" i="9" s="1"/>
  <c r="I881" i="9" s="1"/>
  <c r="F882" i="9"/>
  <c r="H882" i="9" s="1" a="1"/>
  <c r="H882" i="9" s="1"/>
  <c r="I882" i="9" s="1"/>
  <c r="F883" i="9"/>
  <c r="H883" i="9" s="1" a="1"/>
  <c r="H883" i="9" s="1"/>
  <c r="I883" i="9" s="1"/>
  <c r="F884" i="9"/>
  <c r="H884" i="9" s="1" a="1"/>
  <c r="H884" i="9" s="1"/>
  <c r="I884" i="9" s="1"/>
  <c r="F885" i="9"/>
  <c r="H885" i="9" s="1" a="1"/>
  <c r="H885" i="9" s="1"/>
  <c r="I885" i="9" s="1"/>
  <c r="F886" i="9"/>
  <c r="H886" i="9" s="1" a="1"/>
  <c r="H886" i="9" s="1"/>
  <c r="I886" i="9" s="1"/>
  <c r="F887" i="9"/>
  <c r="H887" i="9" s="1" a="1"/>
  <c r="H887" i="9" s="1"/>
  <c r="I887" i="9" s="1"/>
  <c r="F888" i="9"/>
  <c r="H888" i="9" s="1" a="1"/>
  <c r="H888" i="9" s="1"/>
  <c r="F889" i="9"/>
  <c r="H889" i="9" s="1" a="1"/>
  <c r="H889" i="9" s="1"/>
  <c r="I889" i="9" s="1"/>
  <c r="F890" i="9"/>
  <c r="H890" i="9" s="1" a="1"/>
  <c r="H890" i="9" s="1"/>
  <c r="I890" i="9" s="1"/>
  <c r="F891" i="9"/>
  <c r="H891" i="9" s="1" a="1"/>
  <c r="H891" i="9" s="1"/>
  <c r="I891" i="9" s="1"/>
  <c r="F892" i="9"/>
  <c r="H892" i="9" s="1" a="1"/>
  <c r="H892" i="9" s="1"/>
  <c r="I892" i="9" s="1"/>
  <c r="F893" i="9"/>
  <c r="H893" i="9" s="1" a="1"/>
  <c r="H893" i="9" s="1"/>
  <c r="I893" i="9" s="1"/>
  <c r="F894" i="9"/>
  <c r="H894" i="9" s="1" a="1"/>
  <c r="H894" i="9" s="1"/>
  <c r="I894" i="9" s="1"/>
  <c r="F895" i="9"/>
  <c r="H895" i="9" s="1" a="1"/>
  <c r="H895" i="9" s="1"/>
  <c r="I895" i="9" s="1"/>
  <c r="F896" i="9"/>
  <c r="H896" i="9" s="1" a="1"/>
  <c r="H896" i="9" s="1"/>
  <c r="I896" i="9" s="1"/>
  <c r="F897" i="9"/>
  <c r="H897" i="9" s="1" a="1"/>
  <c r="H897" i="9" s="1"/>
  <c r="I897" i="9" s="1"/>
  <c r="F898" i="9"/>
  <c r="H898" i="9" s="1" a="1"/>
  <c r="H898" i="9" s="1"/>
  <c r="I898" i="9" s="1"/>
  <c r="F899" i="9"/>
  <c r="H899" i="9" s="1" a="1"/>
  <c r="H899" i="9" s="1"/>
  <c r="I899" i="9" s="1"/>
  <c r="F900" i="9"/>
  <c r="H900" i="9" s="1" a="1"/>
  <c r="H900" i="9" s="1"/>
  <c r="I900" i="9" s="1"/>
  <c r="F901" i="9"/>
  <c r="H901" i="9" s="1" a="1"/>
  <c r="H901" i="9" s="1"/>
  <c r="I901" i="9" s="1"/>
  <c r="F902" i="9"/>
  <c r="H902" i="9" s="1" a="1"/>
  <c r="H902" i="9" s="1"/>
  <c r="I902" i="9" s="1"/>
  <c r="F903" i="9"/>
  <c r="H903" i="9" s="1" a="1"/>
  <c r="H903" i="9" s="1"/>
  <c r="I903" i="9" s="1"/>
  <c r="F904" i="9"/>
  <c r="H904" i="9" s="1" a="1"/>
  <c r="H904" i="9" s="1"/>
  <c r="I904" i="9" s="1"/>
  <c r="F905" i="9"/>
  <c r="H905" i="9" s="1" a="1"/>
  <c r="H905" i="9" s="1"/>
  <c r="I905" i="9" s="1"/>
  <c r="F906" i="9"/>
  <c r="H906" i="9" s="1" a="1"/>
  <c r="H906" i="9" s="1"/>
  <c r="I906" i="9" s="1"/>
  <c r="F907" i="9"/>
  <c r="H907" i="9" s="1" a="1"/>
  <c r="H907" i="9" s="1"/>
  <c r="I907" i="9" s="1"/>
  <c r="F908" i="9"/>
  <c r="H908" i="9" s="1" a="1"/>
  <c r="H908" i="9" s="1"/>
  <c r="I908" i="9" s="1"/>
  <c r="F909" i="9"/>
  <c r="H909" i="9" s="1" a="1"/>
  <c r="H909" i="9" s="1"/>
  <c r="I909" i="9" s="1"/>
  <c r="F910" i="9"/>
  <c r="H910" i="9" s="1" a="1"/>
  <c r="H910" i="9" s="1"/>
  <c r="I910" i="9" s="1"/>
  <c r="F911" i="9"/>
  <c r="H911" i="9" s="1" a="1"/>
  <c r="H911" i="9" s="1"/>
  <c r="I911" i="9" s="1"/>
  <c r="F912" i="9"/>
  <c r="H912" i="9" s="1" a="1"/>
  <c r="H912" i="9" s="1"/>
  <c r="I912" i="9" s="1"/>
  <c r="F913" i="9"/>
  <c r="H913" i="9" s="1" a="1"/>
  <c r="H913" i="9" s="1"/>
  <c r="I913" i="9" s="1"/>
  <c r="F914" i="9"/>
  <c r="H914" i="9" s="1" a="1"/>
  <c r="H914" i="9" s="1"/>
  <c r="I914" i="9" s="1"/>
  <c r="F915" i="9"/>
  <c r="H915" i="9" s="1" a="1"/>
  <c r="H915" i="9" s="1"/>
  <c r="I915" i="9" s="1"/>
  <c r="F916" i="9"/>
  <c r="H916" i="9" s="1" a="1"/>
  <c r="H916" i="9" s="1"/>
  <c r="I916" i="9" s="1"/>
  <c r="F917" i="9"/>
  <c r="H917" i="9" s="1" a="1"/>
  <c r="H917" i="9" s="1"/>
  <c r="I917" i="9" s="1"/>
  <c r="F918" i="9"/>
  <c r="H918" i="9" s="1" a="1"/>
  <c r="H918" i="9" s="1"/>
  <c r="I918" i="9" s="1"/>
  <c r="F919" i="9"/>
  <c r="H919" i="9" s="1" a="1"/>
  <c r="H919" i="9" s="1"/>
  <c r="I919" i="9" s="1"/>
  <c r="F920" i="9"/>
  <c r="H920" i="9" s="1" a="1"/>
  <c r="H920" i="9" s="1"/>
  <c r="I920" i="9" s="1"/>
  <c r="F921" i="9"/>
  <c r="H921" i="9" s="1" a="1"/>
  <c r="H921" i="9" s="1"/>
  <c r="I921" i="9" s="1"/>
  <c r="F922" i="9"/>
  <c r="H922" i="9" s="1" a="1"/>
  <c r="H922" i="9" s="1"/>
  <c r="I922" i="9" s="1"/>
  <c r="F923" i="9"/>
  <c r="H923" i="9" s="1" a="1"/>
  <c r="H923" i="9" s="1"/>
  <c r="I923" i="9" s="1"/>
  <c r="F924" i="9"/>
  <c r="H924" i="9" s="1" a="1"/>
  <c r="H924" i="9" s="1"/>
  <c r="I924" i="9" s="1"/>
  <c r="F925" i="9"/>
  <c r="H925" i="9" s="1" a="1"/>
  <c r="H925" i="9" s="1"/>
  <c r="I925" i="9" s="1"/>
  <c r="F926" i="9"/>
  <c r="H926" i="9" s="1" a="1"/>
  <c r="H926" i="9" s="1"/>
  <c r="I926" i="9" s="1"/>
  <c r="F927" i="9"/>
  <c r="H927" i="9" s="1" a="1"/>
  <c r="H927" i="9" s="1"/>
  <c r="F928" i="9"/>
  <c r="H928" i="9" s="1" a="1"/>
  <c r="H928" i="9" s="1"/>
  <c r="I928" i="9" s="1"/>
  <c r="F929" i="9"/>
  <c r="H929" i="9" s="1" a="1"/>
  <c r="H929" i="9" s="1"/>
  <c r="I929" i="9" s="1"/>
  <c r="F930" i="9"/>
  <c r="H930" i="9" s="1" a="1"/>
  <c r="H930" i="9" s="1"/>
  <c r="I930" i="9" s="1"/>
  <c r="F931" i="9"/>
  <c r="H931" i="9" s="1" a="1"/>
  <c r="H931" i="9" s="1"/>
  <c r="I931" i="9" s="1"/>
  <c r="F932" i="9"/>
  <c r="H932" i="9" s="1" a="1"/>
  <c r="H932" i="9" s="1"/>
  <c r="I932" i="9" s="1"/>
  <c r="F933" i="9"/>
  <c r="H933" i="9" s="1" a="1"/>
  <c r="H933" i="9" s="1"/>
  <c r="I933" i="9" s="1"/>
  <c r="F934" i="9"/>
  <c r="H934" i="9" s="1" a="1"/>
  <c r="H934" i="9" s="1"/>
  <c r="I934" i="9" s="1"/>
  <c r="F935" i="9"/>
  <c r="H935" i="9" s="1" a="1"/>
  <c r="H935" i="9" s="1"/>
  <c r="I935" i="9" s="1"/>
  <c r="F936" i="9"/>
  <c r="H936" i="9" s="1" a="1"/>
  <c r="H936" i="9" s="1"/>
  <c r="I936" i="9" s="1"/>
  <c r="F937" i="9"/>
  <c r="H937" i="9" s="1" a="1"/>
  <c r="H937" i="9" s="1"/>
  <c r="I937" i="9" s="1"/>
  <c r="F938" i="9"/>
  <c r="H938" i="9" s="1" a="1"/>
  <c r="H938" i="9" s="1"/>
  <c r="I938" i="9" s="1"/>
  <c r="F939" i="9"/>
  <c r="H939" i="9" s="1" a="1"/>
  <c r="H939" i="9" s="1"/>
  <c r="I939" i="9" s="1"/>
  <c r="F940" i="9"/>
  <c r="H940" i="9" s="1" a="1"/>
  <c r="H940" i="9" s="1"/>
  <c r="I940" i="9" s="1"/>
  <c r="F941" i="9"/>
  <c r="H941" i="9" s="1" a="1"/>
  <c r="H941" i="9" s="1"/>
  <c r="I941" i="9" s="1"/>
  <c r="F942" i="9"/>
  <c r="H942" i="9" s="1" a="1"/>
  <c r="H942" i="9" s="1"/>
  <c r="I942" i="9" s="1"/>
  <c r="F943" i="9"/>
  <c r="H943" i="9" s="1" a="1"/>
  <c r="H943" i="9" s="1"/>
  <c r="I943" i="9" s="1"/>
  <c r="F944" i="9"/>
  <c r="H944" i="9" s="1" a="1"/>
  <c r="H944" i="9" s="1"/>
  <c r="I944" i="9" s="1"/>
  <c r="F945" i="9"/>
  <c r="H945" i="9" s="1" a="1"/>
  <c r="H945" i="9" s="1"/>
  <c r="I945" i="9" s="1"/>
  <c r="F946" i="9"/>
  <c r="H946" i="9" s="1" a="1"/>
  <c r="H946" i="9" s="1"/>
  <c r="I946" i="9" s="1"/>
  <c r="F947" i="9"/>
  <c r="H947" i="9" s="1" a="1"/>
  <c r="H947" i="9" s="1"/>
  <c r="I947" i="9" s="1"/>
  <c r="F948" i="9"/>
  <c r="H948" i="9" s="1" a="1"/>
  <c r="H948" i="9" s="1"/>
  <c r="I948" i="9" s="1"/>
  <c r="F949" i="9"/>
  <c r="H949" i="9" s="1" a="1"/>
  <c r="H949" i="9" s="1"/>
  <c r="I949" i="9" s="1"/>
  <c r="F950" i="9"/>
  <c r="H950" i="9" s="1" a="1"/>
  <c r="H950" i="9" s="1"/>
  <c r="I950" i="9" s="1"/>
  <c r="F951" i="9"/>
  <c r="H951" i="9" s="1" a="1"/>
  <c r="H951" i="9" s="1"/>
  <c r="I951" i="9" s="1"/>
  <c r="F952" i="9"/>
  <c r="H952" i="9" s="1" a="1"/>
  <c r="H952" i="9" s="1"/>
  <c r="F953" i="9"/>
  <c r="H953" i="9" s="1" a="1"/>
  <c r="H953" i="9" s="1"/>
  <c r="I953" i="9" s="1"/>
  <c r="F954" i="9"/>
  <c r="H954" i="9" s="1" a="1"/>
  <c r="H954" i="9" s="1"/>
  <c r="I954" i="9" s="1"/>
  <c r="F955" i="9"/>
  <c r="H955" i="9" s="1" a="1"/>
  <c r="H955" i="9" s="1"/>
  <c r="I955" i="9" s="1"/>
  <c r="F956" i="9"/>
  <c r="H956" i="9" s="1" a="1"/>
  <c r="H956" i="9" s="1"/>
  <c r="I956" i="9" s="1"/>
  <c r="F957" i="9"/>
  <c r="H957" i="9" s="1" a="1"/>
  <c r="H957" i="9" s="1"/>
  <c r="I957" i="9" s="1"/>
  <c r="F958" i="9"/>
  <c r="H958" i="9" s="1" a="1"/>
  <c r="H958" i="9" s="1"/>
  <c r="I958" i="9" s="1"/>
  <c r="F959" i="9"/>
  <c r="H959" i="9" s="1" a="1"/>
  <c r="H959" i="9" s="1"/>
  <c r="I959" i="9" s="1"/>
  <c r="F960" i="9"/>
  <c r="H960" i="9" s="1" a="1"/>
  <c r="H960" i="9" s="1"/>
  <c r="I960" i="9" s="1"/>
  <c r="F961" i="9"/>
  <c r="H961" i="9" s="1" a="1"/>
  <c r="H961" i="9" s="1"/>
  <c r="I961" i="9" s="1"/>
  <c r="F962" i="9"/>
  <c r="H962" i="9" s="1" a="1"/>
  <c r="H962" i="9" s="1"/>
  <c r="I962" i="9" s="1"/>
  <c r="F963" i="9"/>
  <c r="H963" i="9" s="1" a="1"/>
  <c r="H963" i="9" s="1"/>
  <c r="I963" i="9" s="1"/>
  <c r="F964" i="9"/>
  <c r="H964" i="9" s="1" a="1"/>
  <c r="H964" i="9" s="1"/>
  <c r="I964" i="9" s="1"/>
  <c r="F965" i="9"/>
  <c r="H965" i="9" s="1" a="1"/>
  <c r="H965" i="9" s="1"/>
  <c r="I965" i="9" s="1"/>
  <c r="F966" i="9"/>
  <c r="H966" i="9" s="1" a="1"/>
  <c r="H966" i="9" s="1"/>
  <c r="I966" i="9" s="1"/>
  <c r="F967" i="9"/>
  <c r="H967" i="9" s="1" a="1"/>
  <c r="H967" i="9" s="1"/>
  <c r="I967" i="9" s="1"/>
  <c r="F968" i="9"/>
  <c r="H968" i="9" s="1" a="1"/>
  <c r="H968" i="9" s="1"/>
  <c r="I968" i="9" s="1"/>
  <c r="F969" i="9"/>
  <c r="H969" i="9" s="1" a="1"/>
  <c r="H969" i="9" s="1"/>
  <c r="I969" i="9" s="1"/>
  <c r="F970" i="9"/>
  <c r="H970" i="9" s="1" a="1"/>
  <c r="H970" i="9" s="1"/>
  <c r="I970" i="9" s="1"/>
  <c r="F971" i="9"/>
  <c r="H971" i="9" s="1" a="1"/>
  <c r="H971" i="9" s="1"/>
  <c r="I971" i="9" s="1"/>
  <c r="F972" i="9"/>
  <c r="H972" i="9" s="1" a="1"/>
  <c r="H972" i="9" s="1"/>
  <c r="I972" i="9" s="1"/>
  <c r="F973" i="9"/>
  <c r="H973" i="9" s="1" a="1"/>
  <c r="H973" i="9" s="1"/>
  <c r="I973" i="9" s="1"/>
  <c r="F974" i="9"/>
  <c r="H974" i="9" s="1" a="1"/>
  <c r="H974" i="9" s="1"/>
  <c r="I974" i="9" s="1"/>
  <c r="F975" i="9"/>
  <c r="H975" i="9" s="1" a="1"/>
  <c r="H975" i="9" s="1"/>
  <c r="I975" i="9" s="1"/>
  <c r="F976" i="9"/>
  <c r="H976" i="9" s="1" a="1"/>
  <c r="H976" i="9" s="1"/>
  <c r="F977" i="9"/>
  <c r="H977" i="9" s="1" a="1"/>
  <c r="H977" i="9" s="1"/>
  <c r="I977" i="9" s="1"/>
  <c r="F978" i="9"/>
  <c r="H978" i="9" s="1" a="1"/>
  <c r="H978" i="9" s="1"/>
  <c r="I978" i="9" s="1"/>
  <c r="F979" i="9"/>
  <c r="H979" i="9" s="1" a="1"/>
  <c r="H979" i="9" s="1"/>
  <c r="I979" i="9" s="1"/>
  <c r="F980" i="9"/>
  <c r="H980" i="9" s="1" a="1"/>
  <c r="H980" i="9" s="1"/>
  <c r="I980" i="9" s="1"/>
  <c r="F981" i="9"/>
  <c r="H981" i="9" s="1" a="1"/>
  <c r="H981" i="9" s="1"/>
  <c r="I981" i="9" s="1"/>
  <c r="F982" i="9"/>
  <c r="H982" i="9" s="1" a="1"/>
  <c r="H982" i="9" s="1"/>
  <c r="I982" i="9" s="1"/>
  <c r="F983" i="9"/>
  <c r="H983" i="9" s="1" a="1"/>
  <c r="H983" i="9" s="1"/>
  <c r="I983" i="9" s="1"/>
  <c r="F984" i="9"/>
  <c r="H984" i="9" s="1" a="1"/>
  <c r="H984" i="9" s="1"/>
  <c r="I984" i="9" s="1"/>
  <c r="F985" i="9"/>
  <c r="H985" i="9" s="1" a="1"/>
  <c r="H985" i="9" s="1"/>
  <c r="I985" i="9" s="1"/>
  <c r="F986" i="9"/>
  <c r="H986" i="9" s="1" a="1"/>
  <c r="H986" i="9" s="1"/>
  <c r="I986" i="9" s="1"/>
  <c r="F987" i="9"/>
  <c r="H987" i="9" s="1" a="1"/>
  <c r="H987" i="9" s="1"/>
  <c r="I987" i="9" s="1"/>
  <c r="F988" i="9"/>
  <c r="H988" i="9" s="1" a="1"/>
  <c r="H988" i="9" s="1"/>
  <c r="I988" i="9" s="1"/>
  <c r="F989" i="9"/>
  <c r="H989" i="9" s="1" a="1"/>
  <c r="H989" i="9" s="1"/>
  <c r="I989" i="9" s="1"/>
  <c r="F990" i="9"/>
  <c r="H990" i="9" s="1" a="1"/>
  <c r="H990" i="9" s="1"/>
  <c r="I990" i="9" s="1"/>
  <c r="F991" i="9"/>
  <c r="H991" i="9" s="1" a="1"/>
  <c r="H991" i="9" s="1"/>
  <c r="I991" i="9" s="1"/>
  <c r="F992" i="9"/>
  <c r="H992" i="9" s="1" a="1"/>
  <c r="H992" i="9" s="1"/>
  <c r="I992" i="9" s="1"/>
  <c r="F993" i="9"/>
  <c r="H993" i="9" s="1" a="1"/>
  <c r="H993" i="9" s="1"/>
  <c r="I993" i="9" s="1"/>
  <c r="F994" i="9"/>
  <c r="H994" i="9" s="1" a="1"/>
  <c r="H994" i="9" s="1"/>
  <c r="I994" i="9" s="1"/>
  <c r="F995" i="9"/>
  <c r="H995" i="9" s="1" a="1"/>
  <c r="H995" i="9" s="1"/>
  <c r="I995" i="9" s="1"/>
  <c r="F996" i="9"/>
  <c r="H996" i="9" s="1" a="1"/>
  <c r="H996" i="9" s="1"/>
  <c r="I996" i="9" s="1"/>
  <c r="F997" i="9"/>
  <c r="H997" i="9" s="1" a="1"/>
  <c r="H997" i="9" s="1"/>
  <c r="I997" i="9" s="1"/>
  <c r="F998" i="9"/>
  <c r="H998" i="9" s="1" a="1"/>
  <c r="H998" i="9" s="1"/>
  <c r="I998" i="9" s="1"/>
  <c r="F999" i="9"/>
  <c r="H999" i="9" s="1" a="1"/>
  <c r="H999" i="9" s="1"/>
  <c r="I999" i="9" s="1"/>
  <c r="F1000" i="9"/>
  <c r="H1000" i="9" s="1" a="1"/>
  <c r="H1000" i="9" s="1"/>
  <c r="I1000" i="9" s="1"/>
  <c r="F1001" i="9"/>
  <c r="H1001" i="9" s="1" a="1"/>
  <c r="H1001" i="9" s="1"/>
  <c r="I1001" i="9" s="1"/>
  <c r="F1002" i="9"/>
  <c r="H1002" i="9" s="1" a="1"/>
  <c r="H1002" i="9" s="1"/>
  <c r="I1002" i="9" s="1"/>
  <c r="F1003" i="9"/>
  <c r="H1003" i="9" s="1" a="1"/>
  <c r="H1003" i="9" s="1"/>
  <c r="I1003" i="9" s="1"/>
  <c r="F1004" i="9"/>
  <c r="H1004" i="9" s="1" a="1"/>
  <c r="H1004" i="9" s="1"/>
  <c r="I1004" i="9" s="1"/>
  <c r="F1005" i="9"/>
  <c r="H1005" i="9" s="1" a="1"/>
  <c r="H1005" i="9" s="1"/>
  <c r="I1005" i="9" s="1"/>
  <c r="F1006" i="9"/>
  <c r="H1006" i="9" s="1" a="1"/>
  <c r="H1006" i="9" s="1"/>
  <c r="I1006" i="9" s="1"/>
  <c r="F1007" i="9"/>
  <c r="H1007" i="9" s="1" a="1"/>
  <c r="H1007" i="9" s="1"/>
  <c r="I1007" i="9" s="1"/>
  <c r="F1008" i="9"/>
  <c r="H1008" i="9" s="1" a="1"/>
  <c r="H1008" i="9" s="1"/>
  <c r="I1008" i="9" s="1"/>
  <c r="F1009" i="9"/>
  <c r="H1009" i="9" s="1" a="1"/>
  <c r="H1009" i="9" s="1"/>
  <c r="I1009" i="9" s="1"/>
  <c r="F1010" i="9"/>
  <c r="H1010" i="9" s="1" a="1"/>
  <c r="H1010" i="9" s="1"/>
  <c r="I1010" i="9" s="1"/>
  <c r="F1011" i="9"/>
  <c r="H1011" i="9" s="1" a="1"/>
  <c r="H1011" i="9" s="1"/>
  <c r="I1011" i="9" s="1"/>
  <c r="F1012" i="9"/>
  <c r="H1012" i="9" s="1" a="1"/>
  <c r="H1012" i="9" s="1"/>
  <c r="I1012" i="9" s="1"/>
  <c r="F1013" i="9"/>
  <c r="H1013" i="9" s="1" a="1"/>
  <c r="H1013" i="9" s="1"/>
  <c r="I1013" i="9" s="1"/>
  <c r="F1014" i="9"/>
  <c r="H1014" i="9" s="1" a="1"/>
  <c r="H1014" i="9" s="1"/>
  <c r="I1014" i="9" s="1"/>
  <c r="F1015" i="9"/>
  <c r="H1015" i="9" s="1" a="1"/>
  <c r="H1015" i="9" s="1"/>
  <c r="I1015" i="9" s="1"/>
  <c r="F1016" i="9"/>
  <c r="H1016" i="9" s="1" a="1"/>
  <c r="H1016" i="9" s="1"/>
  <c r="I1016" i="9" s="1"/>
  <c r="F1017" i="9"/>
  <c r="H1017" i="9" s="1" a="1"/>
  <c r="H1017" i="9" s="1"/>
  <c r="I1017" i="9" s="1"/>
  <c r="F1018" i="9"/>
  <c r="H1018" i="9" s="1" a="1"/>
  <c r="H1018" i="9" s="1"/>
  <c r="I1018" i="9" s="1"/>
  <c r="F1019" i="9"/>
  <c r="H1019" i="9" s="1" a="1"/>
  <c r="H1019" i="9" s="1"/>
  <c r="I1019" i="9" s="1"/>
  <c r="F1020" i="9"/>
  <c r="H1020" i="9" s="1" a="1"/>
  <c r="H1020" i="9" s="1"/>
  <c r="I1020" i="9" s="1"/>
  <c r="F1021" i="9"/>
  <c r="H1021" i="9" s="1" a="1"/>
  <c r="H1021" i="9" s="1"/>
  <c r="I1021" i="9" s="1"/>
  <c r="F1022" i="9"/>
  <c r="H1022" i="9" s="1" a="1"/>
  <c r="H1022" i="9" s="1"/>
  <c r="I1022" i="9" s="1"/>
  <c r="F1023" i="9"/>
  <c r="H1023" i="9" s="1" a="1"/>
  <c r="H1023" i="9" s="1"/>
  <c r="I1023" i="9" s="1"/>
  <c r="F1024" i="9"/>
  <c r="H1024" i="9" s="1" a="1"/>
  <c r="H1024" i="9" s="1"/>
  <c r="I1024" i="9" s="1"/>
  <c r="F1025" i="9"/>
  <c r="H1025" i="9" s="1" a="1"/>
  <c r="H1025" i="9" s="1"/>
  <c r="I1025" i="9" s="1"/>
  <c r="F1026" i="9"/>
  <c r="H1026" i="9" s="1" a="1"/>
  <c r="H1026" i="9" s="1"/>
  <c r="I1026" i="9" s="1"/>
  <c r="F1027" i="9"/>
  <c r="H1027" i="9" s="1" a="1"/>
  <c r="H1027" i="9" s="1"/>
  <c r="I1027" i="9" s="1"/>
  <c r="F1028" i="9"/>
  <c r="H1028" i="9" s="1" a="1"/>
  <c r="H1028" i="9" s="1"/>
  <c r="I1028" i="9" s="1"/>
  <c r="F1029" i="9"/>
  <c r="H1029" i="9" s="1" a="1"/>
  <c r="H1029" i="9" s="1"/>
  <c r="I1029" i="9" s="1"/>
  <c r="F1030" i="9"/>
  <c r="H1030" i="9" s="1" a="1"/>
  <c r="H1030" i="9" s="1"/>
  <c r="I1030" i="9" s="1"/>
  <c r="F1031" i="9"/>
  <c r="H1031" i="9" s="1" a="1"/>
  <c r="H1031" i="9" s="1"/>
  <c r="I1031" i="9" s="1"/>
  <c r="F1032" i="9"/>
  <c r="H1032" i="9" s="1" a="1"/>
  <c r="H1032" i="9" s="1"/>
  <c r="I1032" i="9" s="1"/>
  <c r="F1033" i="9"/>
  <c r="H1033" i="9" s="1" a="1"/>
  <c r="H1033" i="9" s="1"/>
  <c r="I1033" i="9" s="1"/>
  <c r="F1034" i="9"/>
  <c r="H1034" i="9" s="1" a="1"/>
  <c r="H1034" i="9" s="1"/>
  <c r="I1034" i="9" s="1"/>
  <c r="F1035" i="9"/>
  <c r="H1035" i="9" s="1" a="1"/>
  <c r="H1035" i="9" s="1"/>
  <c r="I1035" i="9" s="1"/>
  <c r="F1036" i="9"/>
  <c r="H1036" i="9" s="1" a="1"/>
  <c r="H1036" i="9" s="1"/>
  <c r="I1036" i="9" s="1"/>
  <c r="F1037" i="9"/>
  <c r="H1037" i="9" s="1" a="1"/>
  <c r="H1037" i="9" s="1"/>
  <c r="I1037" i="9" s="1"/>
  <c r="F1038" i="9"/>
  <c r="H1038" i="9" s="1" a="1"/>
  <c r="H1038" i="9" s="1"/>
  <c r="I1038" i="9" s="1"/>
  <c r="F1039" i="9"/>
  <c r="H1039" i="9" s="1" a="1"/>
  <c r="H1039" i="9" s="1"/>
  <c r="I1039" i="9" s="1"/>
  <c r="F1040" i="9"/>
  <c r="H1040" i="9" s="1" a="1"/>
  <c r="H1040" i="9" s="1"/>
  <c r="I1040" i="9" s="1"/>
  <c r="F1041" i="9"/>
  <c r="H1041" i="9" s="1" a="1"/>
  <c r="H1041" i="9" s="1"/>
  <c r="I1041" i="9" s="1"/>
  <c r="F1042" i="9"/>
  <c r="H1042" i="9" s="1" a="1"/>
  <c r="H1042" i="9" s="1"/>
  <c r="I1042" i="9" s="1"/>
  <c r="F1043" i="9"/>
  <c r="H1043" i="9" s="1" a="1"/>
  <c r="H1043" i="9" s="1"/>
  <c r="I1043" i="9" s="1"/>
  <c r="F1044" i="9"/>
  <c r="H1044" i="9" s="1" a="1"/>
  <c r="H1044" i="9" s="1"/>
  <c r="I1044" i="9" s="1"/>
  <c r="F1045" i="9"/>
  <c r="H1045" i="9" s="1" a="1"/>
  <c r="H1045" i="9" s="1"/>
  <c r="I1045" i="9" s="1"/>
  <c r="F1046" i="9"/>
  <c r="H1046" i="9" s="1" a="1"/>
  <c r="H1046" i="9" s="1"/>
  <c r="I1046" i="9" s="1"/>
  <c r="F1047" i="9"/>
  <c r="H1047" i="9" s="1" a="1"/>
  <c r="H1047" i="9" s="1"/>
  <c r="I1047" i="9" s="1"/>
  <c r="F1048" i="9"/>
  <c r="H1048" i="9" s="1" a="1"/>
  <c r="H1048" i="9" s="1"/>
  <c r="I1048" i="9" s="1"/>
  <c r="F1049" i="9"/>
  <c r="H1049" i="9" s="1" a="1"/>
  <c r="H1049" i="9" s="1"/>
  <c r="I1049" i="9" s="1"/>
  <c r="F1050" i="9"/>
  <c r="H1050" i="9" s="1" a="1"/>
  <c r="H1050" i="9" s="1"/>
  <c r="I1050" i="9" s="1"/>
  <c r="F1051" i="9"/>
  <c r="H1051" i="9" s="1" a="1"/>
  <c r="H1051" i="9" s="1"/>
  <c r="I1051" i="9" s="1"/>
  <c r="F1052" i="9"/>
  <c r="H1052" i="9" s="1" a="1"/>
  <c r="H1052" i="9" s="1"/>
  <c r="I1052" i="9" s="1"/>
  <c r="F1053" i="9"/>
  <c r="H1053" i="9" s="1" a="1"/>
  <c r="H1053" i="9" s="1"/>
  <c r="I1053" i="9" s="1"/>
  <c r="F1054" i="9"/>
  <c r="H1054" i="9" s="1" a="1"/>
  <c r="H1054" i="9" s="1"/>
  <c r="I1054" i="9" s="1"/>
  <c r="F1055" i="9"/>
  <c r="H1055" i="9" s="1" a="1"/>
  <c r="H1055" i="9" s="1"/>
  <c r="I1055" i="9" s="1"/>
  <c r="F1056" i="9"/>
  <c r="H1056" i="9" s="1" a="1"/>
  <c r="H1056" i="9" s="1"/>
  <c r="I1056" i="9" s="1"/>
  <c r="F1057" i="9"/>
  <c r="H1057" i="9" s="1" a="1"/>
  <c r="H1057" i="9" s="1"/>
  <c r="I1057" i="9" s="1"/>
  <c r="F1058" i="9"/>
  <c r="H1058" i="9" s="1" a="1"/>
  <c r="H1058" i="9" s="1"/>
  <c r="I1058" i="9" s="1"/>
  <c r="F1059" i="9"/>
  <c r="H1059" i="9" s="1" a="1"/>
  <c r="H1059" i="9" s="1"/>
  <c r="I1059" i="9" s="1"/>
  <c r="F1060" i="9"/>
  <c r="H1060" i="9" s="1" a="1"/>
  <c r="H1060" i="9" s="1"/>
  <c r="I1060" i="9" s="1"/>
  <c r="F1061" i="9"/>
  <c r="H1061" i="9" s="1" a="1"/>
  <c r="H1061" i="9" s="1"/>
  <c r="I1061" i="9" s="1"/>
  <c r="F1062" i="9"/>
  <c r="H1062" i="9" s="1" a="1"/>
  <c r="H1062" i="9" s="1"/>
  <c r="I1062" i="9" s="1"/>
  <c r="F1063" i="9"/>
  <c r="H1063" i="9" s="1" a="1"/>
  <c r="H1063" i="9" s="1"/>
  <c r="I1063" i="9" s="1"/>
  <c r="F1064" i="9"/>
  <c r="H1064" i="9" s="1" a="1"/>
  <c r="H1064" i="9" s="1"/>
  <c r="I1064" i="9" s="1"/>
  <c r="F1065" i="9"/>
  <c r="H1065" i="9" s="1" a="1"/>
  <c r="H1065" i="9" s="1"/>
  <c r="I1065" i="9" s="1"/>
  <c r="F1066" i="9"/>
  <c r="H1066" i="9" s="1" a="1"/>
  <c r="H1066" i="9" s="1"/>
  <c r="I1066" i="9" s="1"/>
  <c r="F1067" i="9"/>
  <c r="H1067" i="9" s="1" a="1"/>
  <c r="H1067" i="9" s="1"/>
  <c r="I1067" i="9" s="1"/>
  <c r="F1068" i="9"/>
  <c r="H1068" i="9" s="1" a="1"/>
  <c r="H1068" i="9" s="1"/>
  <c r="I1068" i="9" s="1"/>
  <c r="F1069" i="9"/>
  <c r="H1069" i="9" s="1" a="1"/>
  <c r="H1069" i="9" s="1"/>
  <c r="I1069" i="9" s="1"/>
  <c r="F1070" i="9"/>
  <c r="H1070" i="9" s="1" a="1"/>
  <c r="H1070" i="9" s="1"/>
  <c r="I1070" i="9" s="1"/>
  <c r="F1071" i="9"/>
  <c r="H1071" i="9" s="1" a="1"/>
  <c r="H1071" i="9" s="1"/>
  <c r="I1071" i="9" s="1"/>
  <c r="F1072" i="9"/>
  <c r="H1072" i="9" s="1" a="1"/>
  <c r="H1072" i="9" s="1"/>
  <c r="I1072" i="9" s="1"/>
  <c r="F1073" i="9"/>
  <c r="H1073" i="9" s="1" a="1"/>
  <c r="H1073" i="9" s="1"/>
  <c r="I1073" i="9" s="1"/>
  <c r="F1074" i="9"/>
  <c r="H1074" i="9" s="1" a="1"/>
  <c r="H1074" i="9" s="1"/>
  <c r="I1074" i="9" s="1"/>
  <c r="F1075" i="9"/>
  <c r="H1075" i="9" s="1" a="1"/>
  <c r="H1075" i="9" s="1"/>
  <c r="I1075" i="9" s="1"/>
  <c r="F1076" i="9"/>
  <c r="H1076" i="9" s="1" a="1"/>
  <c r="H1076" i="9" s="1"/>
  <c r="I1076" i="9" s="1"/>
  <c r="F1077" i="9"/>
  <c r="H1077" i="9" s="1" a="1"/>
  <c r="H1077" i="9" s="1"/>
  <c r="I1077" i="9" s="1"/>
  <c r="F1078" i="9"/>
  <c r="H1078" i="9" s="1" a="1"/>
  <c r="H1078" i="9" s="1"/>
  <c r="I1078" i="9" s="1"/>
  <c r="F1079" i="9"/>
  <c r="H1079" i="9" s="1" a="1"/>
  <c r="H1079" i="9" s="1"/>
  <c r="I1079" i="9" s="1"/>
  <c r="F1080" i="9"/>
  <c r="H1080" i="9" s="1" a="1"/>
  <c r="H1080" i="9" s="1"/>
  <c r="I1080" i="9" s="1"/>
  <c r="F1081" i="9"/>
  <c r="H1081" i="9" s="1" a="1"/>
  <c r="H1081" i="9" s="1"/>
  <c r="I1081" i="9" s="1"/>
  <c r="F1082" i="9"/>
  <c r="H1082" i="9" s="1" a="1"/>
  <c r="H1082" i="9" s="1"/>
  <c r="I1082" i="9" s="1"/>
  <c r="F1083" i="9"/>
  <c r="H1083" i="9" s="1" a="1"/>
  <c r="H1083" i="9" s="1"/>
  <c r="I1083" i="9" s="1"/>
  <c r="F1084" i="9"/>
  <c r="H1084" i="9" s="1" a="1"/>
  <c r="H1084" i="9" s="1"/>
  <c r="I1084" i="9" s="1"/>
  <c r="F1085" i="9"/>
  <c r="H1085" i="9" s="1" a="1"/>
  <c r="H1085" i="9" s="1"/>
  <c r="I1085" i="9" s="1"/>
  <c r="F1086" i="9"/>
  <c r="H1086" i="9" s="1" a="1"/>
  <c r="H1086" i="9" s="1"/>
  <c r="I1086" i="9" s="1"/>
  <c r="F1087" i="9"/>
  <c r="H1087" i="9" s="1" a="1"/>
  <c r="H1087" i="9" s="1"/>
  <c r="I1087" i="9" s="1"/>
  <c r="F1088" i="9"/>
  <c r="H1088" i="9" s="1" a="1"/>
  <c r="H1088" i="9" s="1"/>
  <c r="I1088" i="9" s="1"/>
  <c r="F1089" i="9"/>
  <c r="H1089" i="9" s="1" a="1"/>
  <c r="H1089" i="9" s="1"/>
  <c r="I1089" i="9" s="1"/>
  <c r="F1090" i="9"/>
  <c r="H1090" i="9" s="1" a="1"/>
  <c r="H1090" i="9" s="1"/>
  <c r="I1090" i="9" s="1"/>
  <c r="F1091" i="9"/>
  <c r="H1091" i="9" s="1" a="1"/>
  <c r="H1091" i="9" s="1"/>
  <c r="I1091" i="9" s="1"/>
  <c r="F1092" i="9"/>
  <c r="H1092" i="9" s="1" a="1"/>
  <c r="H1092" i="9" s="1"/>
  <c r="I1092" i="9" s="1"/>
  <c r="F1093" i="9"/>
  <c r="H1093" i="9" s="1" a="1"/>
  <c r="H1093" i="9" s="1"/>
  <c r="I1093" i="9" s="1"/>
  <c r="F1094" i="9"/>
  <c r="H1094" i="9" s="1" a="1"/>
  <c r="H1094" i="9" s="1"/>
  <c r="I1094" i="9" s="1"/>
  <c r="F1095" i="9"/>
  <c r="H1095" i="9" s="1" a="1"/>
  <c r="H1095" i="9" s="1"/>
  <c r="I1095" i="9" s="1"/>
  <c r="F1096" i="9"/>
  <c r="H1096" i="9" s="1" a="1"/>
  <c r="H1096" i="9" s="1"/>
  <c r="I1096" i="9" s="1"/>
  <c r="F1097" i="9"/>
  <c r="H1097" i="9" s="1" a="1"/>
  <c r="H1097" i="9" s="1"/>
  <c r="I1097" i="9" s="1"/>
  <c r="F1098" i="9"/>
  <c r="H1098" i="9" s="1" a="1"/>
  <c r="H1098" i="9" s="1"/>
  <c r="I1098" i="9" s="1"/>
  <c r="F1099" i="9"/>
  <c r="H1099" i="9" s="1" a="1"/>
  <c r="H1099" i="9" s="1"/>
  <c r="I1099" i="9" s="1"/>
  <c r="F1100" i="9"/>
  <c r="H1100" i="9" s="1" a="1"/>
  <c r="H1100" i="9" s="1"/>
  <c r="I1100" i="9" s="1"/>
  <c r="F1101" i="9"/>
  <c r="H1101" i="9" s="1" a="1"/>
  <c r="H1101" i="9" s="1"/>
  <c r="I1101" i="9" s="1"/>
  <c r="F1102" i="9"/>
  <c r="H1102" i="9" s="1" a="1"/>
  <c r="H1102" i="9" s="1"/>
  <c r="I1102" i="9" s="1"/>
  <c r="F1103" i="9"/>
  <c r="H1103" i="9" s="1" a="1"/>
  <c r="H1103" i="9" s="1"/>
  <c r="I1103" i="9" s="1"/>
  <c r="F1104" i="9"/>
  <c r="H1104" i="9" s="1" a="1"/>
  <c r="H1104" i="9" s="1"/>
  <c r="I1104" i="9" s="1"/>
  <c r="F1105" i="9"/>
  <c r="H1105" i="9" s="1" a="1"/>
  <c r="H1105" i="9" s="1"/>
  <c r="I1105" i="9" s="1"/>
  <c r="F1106" i="9"/>
  <c r="H1106" i="9" s="1" a="1"/>
  <c r="H1106" i="9" s="1"/>
  <c r="I1106" i="9" s="1"/>
  <c r="F1107" i="9"/>
  <c r="H1107" i="9" s="1" a="1"/>
  <c r="H1107" i="9" s="1"/>
  <c r="I1107" i="9" s="1"/>
  <c r="F1108" i="9"/>
  <c r="H1108" i="9" s="1" a="1"/>
  <c r="H1108" i="9" s="1"/>
  <c r="I1108" i="9" s="1"/>
  <c r="F1109" i="9"/>
  <c r="H1109" i="9" s="1" a="1"/>
  <c r="H1109" i="9" s="1"/>
  <c r="I1109" i="9" s="1"/>
  <c r="F1110" i="9"/>
  <c r="H1110" i="9" s="1" a="1"/>
  <c r="H1110" i="9" s="1"/>
  <c r="I1110" i="9" s="1"/>
  <c r="F1111" i="9"/>
  <c r="H1111" i="9" s="1" a="1"/>
  <c r="H1111" i="9" s="1"/>
  <c r="I1111" i="9" s="1"/>
  <c r="F1112" i="9"/>
  <c r="H1112" i="9" s="1" a="1"/>
  <c r="H1112" i="9" s="1"/>
  <c r="I1112" i="9" s="1"/>
  <c r="F1113" i="9"/>
  <c r="H1113" i="9" s="1" a="1"/>
  <c r="H1113" i="9" s="1"/>
  <c r="I1113" i="9" s="1"/>
  <c r="F1114" i="9"/>
  <c r="H1114" i="9" s="1" a="1"/>
  <c r="H1114" i="9" s="1"/>
  <c r="I1114" i="9" s="1"/>
  <c r="F1115" i="9"/>
  <c r="H1115" i="9" s="1" a="1"/>
  <c r="H1115" i="9" s="1"/>
  <c r="I1115" i="9" s="1"/>
  <c r="F1116" i="9"/>
  <c r="H1116" i="9" s="1" a="1"/>
  <c r="H1116" i="9" s="1"/>
  <c r="I1116" i="9" s="1"/>
  <c r="F1117" i="9"/>
  <c r="H1117" i="9" s="1" a="1"/>
  <c r="H1117" i="9" s="1"/>
  <c r="I1117" i="9" s="1"/>
  <c r="F1118" i="9"/>
  <c r="H1118" i="9" s="1" a="1"/>
  <c r="H1118" i="9" s="1"/>
  <c r="I1118" i="9" s="1"/>
  <c r="F1119" i="9"/>
  <c r="H1119" i="9" s="1" a="1"/>
  <c r="H1119" i="9" s="1"/>
  <c r="I1119" i="9" s="1"/>
  <c r="F1120" i="9"/>
  <c r="H1120" i="9" s="1" a="1"/>
  <c r="H1120" i="9" s="1"/>
  <c r="I1120" i="9" s="1"/>
  <c r="F1121" i="9"/>
  <c r="H1121" i="9" s="1" a="1"/>
  <c r="H1121" i="9" s="1"/>
  <c r="I1121" i="9" s="1"/>
  <c r="F1122" i="9"/>
  <c r="H1122" i="9" s="1" a="1"/>
  <c r="H1122" i="9" s="1"/>
  <c r="I1122" i="9" s="1"/>
  <c r="F1123" i="9"/>
  <c r="H1123" i="9" s="1" a="1"/>
  <c r="H1123" i="9" s="1"/>
  <c r="I1123" i="9" s="1"/>
  <c r="F1124" i="9"/>
  <c r="H1124" i="9" s="1" a="1"/>
  <c r="H1124" i="9" s="1"/>
  <c r="I1124" i="9" s="1"/>
  <c r="F1125" i="9"/>
  <c r="H1125" i="9" s="1" a="1"/>
  <c r="H1125" i="9" s="1"/>
  <c r="I1125" i="9" s="1"/>
  <c r="F1126" i="9"/>
  <c r="H1126" i="9" s="1" a="1"/>
  <c r="H1126" i="9" s="1"/>
  <c r="I1126" i="9" s="1"/>
  <c r="F1127" i="9"/>
  <c r="H1127" i="9" s="1" a="1"/>
  <c r="H1127" i="9" s="1"/>
  <c r="I1127" i="9" s="1"/>
  <c r="F1128" i="9"/>
  <c r="H1128" i="9" s="1" a="1"/>
  <c r="H1128" i="9" s="1"/>
  <c r="I1128" i="9" s="1"/>
  <c r="F1129" i="9"/>
  <c r="H1129" i="9" s="1" a="1"/>
  <c r="H1129" i="9" s="1"/>
  <c r="I1129" i="9" s="1"/>
  <c r="F1130" i="9"/>
  <c r="H1130" i="9" s="1" a="1"/>
  <c r="H1130" i="9" s="1"/>
  <c r="I1130" i="9" s="1"/>
  <c r="F1131" i="9"/>
  <c r="H1131" i="9" s="1" a="1"/>
  <c r="H1131" i="9" s="1"/>
  <c r="I1131" i="9" s="1"/>
  <c r="F1132" i="9"/>
  <c r="H1132" i="9" s="1" a="1"/>
  <c r="H1132" i="9" s="1"/>
  <c r="I1132" i="9" s="1"/>
  <c r="F1133" i="9"/>
  <c r="H1133" i="9" s="1" a="1"/>
  <c r="H1133" i="9" s="1"/>
  <c r="I1133" i="9" s="1"/>
  <c r="F1134" i="9"/>
  <c r="H1134" i="9" s="1" a="1"/>
  <c r="H1134" i="9" s="1"/>
  <c r="I1134" i="9" s="1"/>
  <c r="F1135" i="9"/>
  <c r="H1135" i="9" s="1" a="1"/>
  <c r="H1135" i="9" s="1"/>
  <c r="I1135" i="9" s="1"/>
  <c r="F1136" i="9"/>
  <c r="H1136" i="9" s="1" a="1"/>
  <c r="H1136" i="9" s="1"/>
  <c r="I1136" i="9" s="1"/>
  <c r="F1137" i="9"/>
  <c r="H1137" i="9" s="1" a="1"/>
  <c r="H1137" i="9" s="1"/>
  <c r="I1137" i="9" s="1"/>
  <c r="K464" i="12" l="1"/>
  <c r="L464" i="12" s="1"/>
  <c r="K44" i="12"/>
  <c r="K45" i="12" s="1"/>
  <c r="K11" i="12"/>
  <c r="L11" i="12" s="1"/>
  <c r="K212" i="12"/>
  <c r="L212" i="12" s="1"/>
  <c r="K562" i="12"/>
  <c r="K563" i="12" s="1"/>
  <c r="L563" i="12" s="1"/>
  <c r="K436" i="12"/>
  <c r="L436" i="12" s="1"/>
  <c r="K282" i="12"/>
  <c r="L282" i="12" s="1"/>
  <c r="K548" i="12"/>
  <c r="K549" i="12" s="1"/>
  <c r="K187" i="12"/>
  <c r="K188" i="12" s="1"/>
  <c r="K189" i="12" s="1"/>
  <c r="K114" i="12"/>
  <c r="L114" i="12" s="1"/>
  <c r="K416" i="12"/>
  <c r="K417" i="12" s="1"/>
  <c r="K418" i="12" s="1"/>
  <c r="K15" i="12"/>
  <c r="L15" i="12" s="1"/>
  <c r="K352" i="12"/>
  <c r="L352" i="12" s="1"/>
  <c r="K108" i="12"/>
  <c r="K506" i="12"/>
  <c r="K507" i="12" s="1"/>
  <c r="K508" i="12" s="1"/>
  <c r="K380" i="12"/>
  <c r="L380" i="12" s="1"/>
  <c r="J534" i="12"/>
  <c r="K492" i="12"/>
  <c r="L492" i="12" s="1"/>
  <c r="K72" i="12"/>
  <c r="L369" i="12"/>
  <c r="K349" i="12"/>
  <c r="K350" i="12" s="1"/>
  <c r="K351" i="12" s="1"/>
  <c r="L351" i="12" s="1"/>
  <c r="K269" i="12"/>
  <c r="K270" i="12" s="1"/>
  <c r="L290" i="12"/>
  <c r="L201" i="12"/>
  <c r="K185" i="12"/>
  <c r="L185" i="12" s="1"/>
  <c r="K32" i="12"/>
  <c r="K33" i="12" s="1"/>
  <c r="K34" i="12" s="1"/>
  <c r="L34" i="12" s="1"/>
  <c r="L291" i="12"/>
  <c r="L167" i="12"/>
  <c r="L206" i="12"/>
  <c r="L166" i="12"/>
  <c r="L434" i="12"/>
  <c r="L275" i="12"/>
  <c r="L205" i="12"/>
  <c r="K101" i="12"/>
  <c r="K102" i="12" s="1"/>
  <c r="L433" i="12"/>
  <c r="L274" i="12"/>
  <c r="L203" i="12"/>
  <c r="L370" i="12"/>
  <c r="L273" i="12"/>
  <c r="L202" i="12"/>
  <c r="K590" i="12"/>
  <c r="J590" i="12"/>
  <c r="L536" i="12"/>
  <c r="K537" i="12"/>
  <c r="K478" i="12"/>
  <c r="J478" i="12"/>
  <c r="K422" i="12"/>
  <c r="J422" i="12"/>
  <c r="K310" i="12"/>
  <c r="J310" i="12"/>
  <c r="K278" i="12"/>
  <c r="J278" i="12"/>
  <c r="K254" i="12"/>
  <c r="J254" i="12"/>
  <c r="J142" i="12"/>
  <c r="K142" i="12"/>
  <c r="J86" i="12"/>
  <c r="K86" i="12"/>
  <c r="J38" i="12"/>
  <c r="K38" i="12"/>
  <c r="L535" i="12"/>
  <c r="J373" i="12"/>
  <c r="K373" i="12"/>
  <c r="K377" i="12"/>
  <c r="L376" i="12"/>
  <c r="L164" i="12"/>
  <c r="K165" i="12"/>
  <c r="L165" i="12" s="1"/>
  <c r="K30" i="12"/>
  <c r="L30" i="12" s="1"/>
  <c r="L29" i="12"/>
  <c r="L534" i="12"/>
  <c r="L259" i="12"/>
  <c r="L588" i="12"/>
  <c r="K589" i="12"/>
  <c r="L589" i="12" s="1"/>
  <c r="K581" i="12"/>
  <c r="L580" i="12"/>
  <c r="K505" i="12"/>
  <c r="L505" i="12" s="1"/>
  <c r="K409" i="12"/>
  <c r="K277" i="12"/>
  <c r="L277" i="12" s="1"/>
  <c r="L276" i="12"/>
  <c r="K240" i="12"/>
  <c r="K156" i="12"/>
  <c r="L432" i="12"/>
  <c r="K450" i="12"/>
  <c r="K325" i="12"/>
  <c r="L324" i="12"/>
  <c r="K58" i="12"/>
  <c r="L431" i="12"/>
  <c r="L266" i="12"/>
  <c r="J2" i="12"/>
  <c r="K2" i="12"/>
  <c r="K394" i="12"/>
  <c r="K347" i="12"/>
  <c r="L347" i="12" s="1"/>
  <c r="K226" i="12"/>
  <c r="L430" i="12"/>
  <c r="L366" i="12"/>
  <c r="L265" i="12"/>
  <c r="K576" i="12"/>
  <c r="K521" i="12"/>
  <c r="L12" i="12"/>
  <c r="K13" i="12"/>
  <c r="L13" i="12" s="1"/>
  <c r="L429" i="12"/>
  <c r="K296" i="12"/>
  <c r="K170" i="12"/>
  <c r="L263" i="12"/>
  <c r="J327" i="12"/>
  <c r="K327" i="12"/>
  <c r="K338" i="12"/>
  <c r="K293" i="12"/>
  <c r="L292" i="12"/>
  <c r="K208" i="12"/>
  <c r="K128" i="12"/>
  <c r="L289" i="12"/>
  <c r="L262" i="12"/>
  <c r="L168" i="12"/>
  <c r="L204" i="12"/>
  <c r="I927" i="9"/>
  <c r="I863" i="9"/>
  <c r="I799" i="9"/>
  <c r="I735" i="9"/>
  <c r="I976" i="9"/>
  <c r="I952" i="9"/>
  <c r="I824" i="9"/>
  <c r="I888" i="9"/>
  <c r="I696" i="9"/>
  <c r="K213" i="12" l="1"/>
  <c r="K214" i="12" s="1"/>
  <c r="L44" i="12"/>
  <c r="K16" i="12"/>
  <c r="L16" i="12" s="1"/>
  <c r="K493" i="12"/>
  <c r="K494" i="12" s="1"/>
  <c r="K115" i="12"/>
  <c r="L115" i="12" s="1"/>
  <c r="L350" i="12"/>
  <c r="L33" i="12"/>
  <c r="K35" i="12"/>
  <c r="L35" i="12" s="1"/>
  <c r="K437" i="12"/>
  <c r="K438" i="12" s="1"/>
  <c r="K465" i="12"/>
  <c r="K466" i="12" s="1"/>
  <c r="L562" i="12"/>
  <c r="K564" i="12"/>
  <c r="K565" i="12" s="1"/>
  <c r="L188" i="12"/>
  <c r="L548" i="12"/>
  <c r="K381" i="12"/>
  <c r="L381" i="12" s="1"/>
  <c r="L507" i="12"/>
  <c r="K283" i="12"/>
  <c r="K284" i="12" s="1"/>
  <c r="K285" i="12" s="1"/>
  <c r="L349" i="12"/>
  <c r="L32" i="12"/>
  <c r="L187" i="12"/>
  <c r="K353" i="12"/>
  <c r="L417" i="12"/>
  <c r="L416" i="12"/>
  <c r="L108" i="12"/>
  <c r="K109" i="12"/>
  <c r="L72" i="12"/>
  <c r="K73" i="12"/>
  <c r="L506" i="12"/>
  <c r="L269" i="12"/>
  <c r="K271" i="12"/>
  <c r="L270" i="12"/>
  <c r="K103" i="12"/>
  <c r="L102" i="12"/>
  <c r="L101" i="12"/>
  <c r="K129" i="12"/>
  <c r="L128" i="12"/>
  <c r="K522" i="12"/>
  <c r="L521" i="12"/>
  <c r="L226" i="12"/>
  <c r="K227" i="12"/>
  <c r="L58" i="12"/>
  <c r="K59" i="12"/>
  <c r="K582" i="12"/>
  <c r="L581" i="12"/>
  <c r="K423" i="12"/>
  <c r="L422" i="12"/>
  <c r="L208" i="12"/>
  <c r="K209" i="12"/>
  <c r="L576" i="12"/>
  <c r="K577" i="12"/>
  <c r="L156" i="12"/>
  <c r="K157" i="12"/>
  <c r="K395" i="12"/>
  <c r="L394" i="12"/>
  <c r="L240" i="12"/>
  <c r="K241" i="12"/>
  <c r="K378" i="12"/>
  <c r="L377" i="12"/>
  <c r="K255" i="12"/>
  <c r="L254" i="12"/>
  <c r="K479" i="12"/>
  <c r="L478" i="12"/>
  <c r="K550" i="12"/>
  <c r="L549" i="12"/>
  <c r="K39" i="12"/>
  <c r="L38" i="12"/>
  <c r="K538" i="12"/>
  <c r="L537" i="12"/>
  <c r="K339" i="12"/>
  <c r="L338" i="12"/>
  <c r="K279" i="12"/>
  <c r="L278" i="12"/>
  <c r="L450" i="12"/>
  <c r="K451" i="12"/>
  <c r="K87" i="12"/>
  <c r="L86" i="12"/>
  <c r="K419" i="12"/>
  <c r="L418" i="12"/>
  <c r="K326" i="12"/>
  <c r="L326" i="12" s="1"/>
  <c r="L325" i="12"/>
  <c r="K294" i="12"/>
  <c r="L293" i="12"/>
  <c r="L327" i="12"/>
  <c r="K328" i="12"/>
  <c r="K410" i="12"/>
  <c r="L409" i="12"/>
  <c r="K374" i="12"/>
  <c r="L374" i="12" s="1"/>
  <c r="L373" i="12"/>
  <c r="K311" i="12"/>
  <c r="L310" i="12"/>
  <c r="K591" i="12"/>
  <c r="L590" i="12"/>
  <c r="L170" i="12"/>
  <c r="K171" i="12"/>
  <c r="K297" i="12"/>
  <c r="L296" i="12"/>
  <c r="L2" i="12"/>
  <c r="K3" i="12"/>
  <c r="K46" i="12"/>
  <c r="L45" i="12"/>
  <c r="K190" i="12"/>
  <c r="L189" i="12"/>
  <c r="K143" i="12"/>
  <c r="L142" i="12"/>
  <c r="K509" i="12"/>
  <c r="L508" i="12"/>
  <c r="L213" i="12" l="1"/>
  <c r="K17" i="12"/>
  <c r="L17" i="12" s="1"/>
  <c r="L493" i="12"/>
  <c r="L465" i="12"/>
  <c r="L437" i="12"/>
  <c r="K116" i="12"/>
  <c r="K117" i="12" s="1"/>
  <c r="K118" i="12" s="1"/>
  <c r="K36" i="12"/>
  <c r="K37" i="12" s="1"/>
  <c r="L37" i="12" s="1"/>
  <c r="L564" i="12"/>
  <c r="K382" i="12"/>
  <c r="K383" i="12" s="1"/>
  <c r="L284" i="12"/>
  <c r="L283" i="12"/>
  <c r="L353" i="12"/>
  <c r="K354" i="12"/>
  <c r="K74" i="12"/>
  <c r="L73" i="12"/>
  <c r="L109" i="12"/>
  <c r="K110" i="12"/>
  <c r="K272" i="12"/>
  <c r="L272" i="12" s="1"/>
  <c r="L271" i="12"/>
  <c r="K104" i="12"/>
  <c r="L103" i="12"/>
  <c r="K210" i="12"/>
  <c r="L209" i="12"/>
  <c r="K60" i="12"/>
  <c r="L59" i="12"/>
  <c r="K144" i="12"/>
  <c r="L143" i="12"/>
  <c r="K592" i="12"/>
  <c r="L591" i="12"/>
  <c r="K411" i="12"/>
  <c r="L410" i="12"/>
  <c r="K495" i="12"/>
  <c r="L494" i="12"/>
  <c r="K467" i="12"/>
  <c r="L466" i="12"/>
  <c r="K286" i="12"/>
  <c r="L285" i="12"/>
  <c r="K452" i="12"/>
  <c r="L451" i="12"/>
  <c r="K228" i="12"/>
  <c r="L227" i="12"/>
  <c r="L328" i="12"/>
  <c r="K329" i="12"/>
  <c r="K379" i="12"/>
  <c r="L379" i="12" s="1"/>
  <c r="L378" i="12"/>
  <c r="K424" i="12"/>
  <c r="L423" i="12"/>
  <c r="K242" i="12"/>
  <c r="L241" i="12"/>
  <c r="K158" i="12"/>
  <c r="L157" i="12"/>
  <c r="K420" i="12"/>
  <c r="L419" i="12"/>
  <c r="K298" i="12"/>
  <c r="L297" i="12"/>
  <c r="K539" i="12"/>
  <c r="L538" i="12"/>
  <c r="K583" i="12"/>
  <c r="L582" i="12"/>
  <c r="K523" i="12"/>
  <c r="L522" i="12"/>
  <c r="L3" i="12"/>
  <c r="K4" i="12"/>
  <c r="K191" i="12"/>
  <c r="L190" i="12"/>
  <c r="K312" i="12"/>
  <c r="L311" i="12"/>
  <c r="K551" i="12"/>
  <c r="L550" i="12"/>
  <c r="K215" i="12"/>
  <c r="L214" i="12"/>
  <c r="K88" i="12"/>
  <c r="L87" i="12"/>
  <c r="K280" i="12"/>
  <c r="L279" i="12"/>
  <c r="K480" i="12"/>
  <c r="L479" i="12"/>
  <c r="K172" i="12"/>
  <c r="L171" i="12"/>
  <c r="K578" i="12"/>
  <c r="L578" i="12" s="1"/>
  <c r="L577" i="12"/>
  <c r="K510" i="12"/>
  <c r="L509" i="12"/>
  <c r="K47" i="12"/>
  <c r="L46" i="12"/>
  <c r="K439" i="12"/>
  <c r="L438" i="12"/>
  <c r="K295" i="12"/>
  <c r="L295" i="12" s="1"/>
  <c r="L294" i="12"/>
  <c r="K566" i="12"/>
  <c r="L565" i="12"/>
  <c r="K340" i="12"/>
  <c r="L339" i="12"/>
  <c r="K40" i="12"/>
  <c r="L39" i="12"/>
  <c r="K256" i="12"/>
  <c r="L255" i="12"/>
  <c r="K396" i="12"/>
  <c r="L395" i="12"/>
  <c r="K130" i="12"/>
  <c r="L129" i="12"/>
  <c r="K18" i="12" l="1"/>
  <c r="L18" i="12" s="1"/>
  <c r="L36" i="12"/>
  <c r="L117" i="12"/>
  <c r="L116" i="12"/>
  <c r="L382" i="12"/>
  <c r="K355" i="12"/>
  <c r="L354" i="12"/>
  <c r="K111" i="12"/>
  <c r="L110" i="12"/>
  <c r="K75" i="12"/>
  <c r="L74" i="12"/>
  <c r="K105" i="12"/>
  <c r="L104" i="12"/>
  <c r="K567" i="12"/>
  <c r="L566" i="12"/>
  <c r="K281" i="12"/>
  <c r="L281" i="12" s="1"/>
  <c r="L280" i="12"/>
  <c r="K425" i="12"/>
  <c r="L424" i="12"/>
  <c r="K211" i="12"/>
  <c r="L211" i="12" s="1"/>
  <c r="L210" i="12"/>
  <c r="K257" i="12"/>
  <c r="L256" i="12"/>
  <c r="K89" i="12"/>
  <c r="L88" i="12"/>
  <c r="K313" i="12"/>
  <c r="L312" i="12"/>
  <c r="K584" i="12"/>
  <c r="L583" i="12"/>
  <c r="K159" i="12"/>
  <c r="L158" i="12"/>
  <c r="K453" i="12"/>
  <c r="L452" i="12"/>
  <c r="K496" i="12"/>
  <c r="L495" i="12"/>
  <c r="L592" i="12"/>
  <c r="K593" i="12"/>
  <c r="K552" i="12"/>
  <c r="L551" i="12"/>
  <c r="K131" i="12"/>
  <c r="L130" i="12"/>
  <c r="K540" i="12"/>
  <c r="L539" i="12"/>
  <c r="K384" i="12"/>
  <c r="L383" i="12"/>
  <c r="K145" i="12"/>
  <c r="L144" i="12"/>
  <c r="K524" i="12"/>
  <c r="L523" i="12"/>
  <c r="K440" i="12"/>
  <c r="L439" i="12"/>
  <c r="K243" i="12"/>
  <c r="L242" i="12"/>
  <c r="K330" i="12"/>
  <c r="L329" i="12"/>
  <c r="K229" i="12"/>
  <c r="L228" i="12"/>
  <c r="K412" i="12"/>
  <c r="L411" i="12"/>
  <c r="K397" i="12"/>
  <c r="L396" i="12"/>
  <c r="K511" i="12"/>
  <c r="L510" i="12"/>
  <c r="K421" i="12"/>
  <c r="L421" i="12" s="1"/>
  <c r="L420" i="12"/>
  <c r="K468" i="12"/>
  <c r="L467" i="12"/>
  <c r="K41" i="12"/>
  <c r="L40" i="12"/>
  <c r="K173" i="12"/>
  <c r="L172" i="12"/>
  <c r="K216" i="12"/>
  <c r="L215" i="12"/>
  <c r="K192" i="12"/>
  <c r="L191" i="12"/>
  <c r="L4" i="12"/>
  <c r="K5" i="12"/>
  <c r="K341" i="12"/>
  <c r="L340" i="12"/>
  <c r="K48" i="12"/>
  <c r="L47" i="12"/>
  <c r="K481" i="12"/>
  <c r="L480" i="12"/>
  <c r="K299" i="12"/>
  <c r="L298" i="12"/>
  <c r="K119" i="12"/>
  <c r="L118" i="12"/>
  <c r="K287" i="12"/>
  <c r="L286" i="12"/>
  <c r="K61" i="12"/>
  <c r="L60" i="12"/>
  <c r="K19" i="12" l="1"/>
  <c r="L355" i="12"/>
  <c r="K356" i="12"/>
  <c r="K112" i="12"/>
  <c r="L111" i="12"/>
  <c r="K76" i="12"/>
  <c r="L75" i="12"/>
  <c r="K106" i="12"/>
  <c r="L105" i="12"/>
  <c r="K342" i="12"/>
  <c r="L341" i="12"/>
  <c r="K174" i="12"/>
  <c r="L173" i="12"/>
  <c r="K512" i="12"/>
  <c r="L511" i="12"/>
  <c r="K230" i="12"/>
  <c r="L229" i="12"/>
  <c r="K525" i="12"/>
  <c r="L524" i="12"/>
  <c r="K132" i="12"/>
  <c r="L131" i="12"/>
  <c r="K497" i="12"/>
  <c r="L496" i="12"/>
  <c r="L584" i="12"/>
  <c r="K585" i="12"/>
  <c r="K120" i="12"/>
  <c r="L119" i="12"/>
  <c r="K62" i="12"/>
  <c r="L61" i="12"/>
  <c r="K454" i="12"/>
  <c r="L453" i="12"/>
  <c r="K426" i="12"/>
  <c r="L425" i="12"/>
  <c r="K398" i="12"/>
  <c r="L397" i="12"/>
  <c r="K594" i="12"/>
  <c r="L593" i="12"/>
  <c r="K300" i="12"/>
  <c r="L299" i="12"/>
  <c r="K553" i="12"/>
  <c r="L552" i="12"/>
  <c r="K49" i="12"/>
  <c r="L48" i="12"/>
  <c r="K90" i="12"/>
  <c r="L89" i="12"/>
  <c r="L5" i="12"/>
  <c r="K6" i="12"/>
  <c r="K482" i="12"/>
  <c r="L481" i="12"/>
  <c r="K42" i="12"/>
  <c r="L41" i="12"/>
  <c r="K331" i="12"/>
  <c r="L330" i="12"/>
  <c r="K146" i="12"/>
  <c r="L145" i="12"/>
  <c r="K314" i="12"/>
  <c r="L313" i="12"/>
  <c r="K288" i="12"/>
  <c r="L288" i="12" s="1"/>
  <c r="L287" i="12"/>
  <c r="K193" i="12"/>
  <c r="L192" i="12"/>
  <c r="K469" i="12"/>
  <c r="L468" i="12"/>
  <c r="K413" i="12"/>
  <c r="L412" i="12"/>
  <c r="K244" i="12"/>
  <c r="L243" i="12"/>
  <c r="K385" i="12"/>
  <c r="L384" i="12"/>
  <c r="K217" i="12"/>
  <c r="L216" i="12"/>
  <c r="K20" i="12"/>
  <c r="L19" i="12"/>
  <c r="K441" i="12"/>
  <c r="L440" i="12"/>
  <c r="K541" i="12"/>
  <c r="L540" i="12"/>
  <c r="K160" i="12"/>
  <c r="L159" i="12"/>
  <c r="K258" i="12"/>
  <c r="L258" i="12" s="1"/>
  <c r="L257" i="12"/>
  <c r="K568" i="12"/>
  <c r="L567" i="12"/>
  <c r="K357" i="12" l="1"/>
  <c r="L356" i="12"/>
  <c r="K77" i="12"/>
  <c r="L76" i="12"/>
  <c r="K113" i="12"/>
  <c r="L113" i="12" s="1"/>
  <c r="L112" i="12"/>
  <c r="K107" i="12"/>
  <c r="L107" i="12" s="1"/>
  <c r="L106" i="12"/>
  <c r="K50" i="12"/>
  <c r="L49" i="12"/>
  <c r="K343" i="12"/>
  <c r="L342" i="12"/>
  <c r="K218" i="12"/>
  <c r="L217" i="12"/>
  <c r="K414" i="12"/>
  <c r="L413" i="12"/>
  <c r="K315" i="12"/>
  <c r="L314" i="12"/>
  <c r="K483" i="12"/>
  <c r="L482" i="12"/>
  <c r="K554" i="12"/>
  <c r="L553" i="12"/>
  <c r="K427" i="12"/>
  <c r="L426" i="12"/>
  <c r="K231" i="12"/>
  <c r="L230" i="12"/>
  <c r="K245" i="12"/>
  <c r="L244" i="12"/>
  <c r="K7" i="12"/>
  <c r="L6" i="12"/>
  <c r="K399" i="12"/>
  <c r="L398" i="12"/>
  <c r="K470" i="12"/>
  <c r="L469" i="12"/>
  <c r="K513" i="12"/>
  <c r="L512" i="12"/>
  <c r="K161" i="12"/>
  <c r="L160" i="12"/>
  <c r="K586" i="12"/>
  <c r="L585" i="12"/>
  <c r="K301" i="12"/>
  <c r="L300" i="12"/>
  <c r="K526" i="12"/>
  <c r="L525" i="12"/>
  <c r="K455" i="12"/>
  <c r="L454" i="12"/>
  <c r="K386" i="12"/>
  <c r="L385" i="12"/>
  <c r="K133" i="12"/>
  <c r="L132" i="12"/>
  <c r="K21" i="12"/>
  <c r="L20" i="12"/>
  <c r="K43" i="12"/>
  <c r="L43" i="12" s="1"/>
  <c r="L42" i="12"/>
  <c r="K121" i="12"/>
  <c r="L120" i="12"/>
  <c r="K569" i="12"/>
  <c r="L568" i="12"/>
  <c r="K542" i="12"/>
  <c r="L541" i="12"/>
  <c r="K147" i="12"/>
  <c r="L146" i="12"/>
  <c r="K498" i="12"/>
  <c r="L497" i="12"/>
  <c r="K442" i="12"/>
  <c r="L441" i="12"/>
  <c r="K194" i="12"/>
  <c r="L193" i="12"/>
  <c r="K332" i="12"/>
  <c r="L331" i="12"/>
  <c r="K91" i="12"/>
  <c r="L90" i="12"/>
  <c r="K595" i="12"/>
  <c r="L594" i="12"/>
  <c r="K63" i="12"/>
  <c r="L62" i="12"/>
  <c r="K175" i="12"/>
  <c r="L174" i="12"/>
  <c r="K358" i="12" l="1"/>
  <c r="L357" i="12"/>
  <c r="K78" i="12"/>
  <c r="L77" i="12"/>
  <c r="K64" i="12"/>
  <c r="L63" i="12"/>
  <c r="K195" i="12"/>
  <c r="L194" i="12"/>
  <c r="K456" i="12"/>
  <c r="L455" i="12"/>
  <c r="K162" i="12"/>
  <c r="L161" i="12"/>
  <c r="K8" i="12"/>
  <c r="L7" i="12"/>
  <c r="K555" i="12"/>
  <c r="L554" i="12"/>
  <c r="K219" i="12"/>
  <c r="L218" i="12"/>
  <c r="K596" i="12"/>
  <c r="L595" i="12"/>
  <c r="K246" i="12"/>
  <c r="L245" i="12"/>
  <c r="K484" i="12"/>
  <c r="L483" i="12"/>
  <c r="K527" i="12"/>
  <c r="L526" i="12"/>
  <c r="K232" i="12"/>
  <c r="L231" i="12"/>
  <c r="K316" i="12"/>
  <c r="L315" i="12"/>
  <c r="K344" i="12"/>
  <c r="L343" i="12"/>
  <c r="K22" i="12"/>
  <c r="L21" i="12"/>
  <c r="K302" i="12"/>
  <c r="L301" i="12"/>
  <c r="K443" i="12"/>
  <c r="L442" i="12"/>
  <c r="K543" i="12"/>
  <c r="L542" i="12"/>
  <c r="K514" i="12"/>
  <c r="L513" i="12"/>
  <c r="K92" i="12"/>
  <c r="L91" i="12"/>
  <c r="K499" i="12"/>
  <c r="L498" i="12"/>
  <c r="K570" i="12"/>
  <c r="L569" i="12"/>
  <c r="K134" i="12"/>
  <c r="L133" i="12"/>
  <c r="K471" i="12"/>
  <c r="L470" i="12"/>
  <c r="K176" i="12"/>
  <c r="L175" i="12"/>
  <c r="K333" i="12"/>
  <c r="L332" i="12"/>
  <c r="K148" i="12"/>
  <c r="L147" i="12"/>
  <c r="K122" i="12"/>
  <c r="L121" i="12"/>
  <c r="K387" i="12"/>
  <c r="L386" i="12"/>
  <c r="K587" i="12"/>
  <c r="L587" i="12" s="1"/>
  <c r="L586" i="12"/>
  <c r="K400" i="12"/>
  <c r="L399" i="12"/>
  <c r="K428" i="12"/>
  <c r="L428" i="12" s="1"/>
  <c r="L427" i="12"/>
  <c r="K415" i="12"/>
  <c r="L415" i="12" s="1"/>
  <c r="L414" i="12"/>
  <c r="K51" i="12"/>
  <c r="L50" i="12"/>
  <c r="K359" i="12" l="1"/>
  <c r="L358" i="12"/>
  <c r="K79" i="12"/>
  <c r="L78" i="12"/>
  <c r="K334" i="12"/>
  <c r="L333" i="12"/>
  <c r="K571" i="12"/>
  <c r="L570" i="12"/>
  <c r="K544" i="12"/>
  <c r="L543" i="12"/>
  <c r="K345" i="12"/>
  <c r="L345" i="12" s="1"/>
  <c r="L344" i="12"/>
  <c r="K220" i="12"/>
  <c r="L219" i="12"/>
  <c r="K457" i="12"/>
  <c r="L456" i="12"/>
  <c r="K556" i="12"/>
  <c r="L555" i="12"/>
  <c r="K500" i="12"/>
  <c r="L499" i="12"/>
  <c r="K388" i="12"/>
  <c r="L387" i="12"/>
  <c r="K317" i="12"/>
  <c r="L316" i="12"/>
  <c r="K123" i="12"/>
  <c r="L122" i="12"/>
  <c r="K196" i="12"/>
  <c r="L195" i="12"/>
  <c r="K444" i="12"/>
  <c r="L443" i="12"/>
  <c r="K247" i="12"/>
  <c r="L246" i="12"/>
  <c r="K52" i="12"/>
  <c r="L51" i="12"/>
  <c r="K177" i="12"/>
  <c r="L176" i="12"/>
  <c r="K485" i="12"/>
  <c r="L484" i="12"/>
  <c r="K472" i="12"/>
  <c r="L471" i="12"/>
  <c r="K93" i="12"/>
  <c r="L92" i="12"/>
  <c r="K303" i="12"/>
  <c r="L302" i="12"/>
  <c r="K233" i="12"/>
  <c r="L232" i="12"/>
  <c r="K9" i="12"/>
  <c r="L9" i="12" s="1"/>
  <c r="L8" i="12"/>
  <c r="K401" i="12"/>
  <c r="L400" i="12"/>
  <c r="K149" i="12"/>
  <c r="L148" i="12"/>
  <c r="K135" i="12"/>
  <c r="L134" i="12"/>
  <c r="K515" i="12"/>
  <c r="L514" i="12"/>
  <c r="K23" i="12"/>
  <c r="L22" i="12"/>
  <c r="K528" i="12"/>
  <c r="L527" i="12"/>
  <c r="K597" i="12"/>
  <c r="L596" i="12"/>
  <c r="K163" i="12"/>
  <c r="L163" i="12" s="1"/>
  <c r="L162" i="12"/>
  <c r="K65" i="12"/>
  <c r="L64" i="12"/>
  <c r="K360" i="12" l="1"/>
  <c r="L359" i="12"/>
  <c r="K80" i="12"/>
  <c r="L79" i="12"/>
  <c r="K24" i="12"/>
  <c r="L23" i="12"/>
  <c r="K94" i="12"/>
  <c r="L93" i="12"/>
  <c r="L472" i="12"/>
  <c r="K473" i="12"/>
  <c r="K318" i="12"/>
  <c r="L317" i="12"/>
  <c r="K557" i="12"/>
  <c r="L556" i="12"/>
  <c r="K516" i="12"/>
  <c r="L515" i="12"/>
  <c r="K598" i="12"/>
  <c r="L597" i="12"/>
  <c r="K545" i="12"/>
  <c r="L544" i="12"/>
  <c r="K66" i="12"/>
  <c r="L65" i="12"/>
  <c r="K389" i="12"/>
  <c r="L388" i="12"/>
  <c r="K124" i="12"/>
  <c r="L123" i="12"/>
  <c r="K136" i="12"/>
  <c r="L135" i="12"/>
  <c r="K529" i="12"/>
  <c r="L528" i="12"/>
  <c r="K221" i="12"/>
  <c r="L220" i="12"/>
  <c r="K402" i="12"/>
  <c r="L401" i="12"/>
  <c r="K53" i="12"/>
  <c r="L52" i="12"/>
  <c r="K335" i="12"/>
  <c r="L334" i="12"/>
  <c r="K248" i="12"/>
  <c r="L247" i="12"/>
  <c r="K234" i="12"/>
  <c r="L233" i="12"/>
  <c r="K486" i="12"/>
  <c r="L485" i="12"/>
  <c r="K445" i="12"/>
  <c r="L444" i="12"/>
  <c r="K458" i="12"/>
  <c r="L457" i="12"/>
  <c r="K150" i="12"/>
  <c r="L149" i="12"/>
  <c r="K304" i="12"/>
  <c r="L303" i="12"/>
  <c r="K178" i="12"/>
  <c r="L177" i="12"/>
  <c r="K197" i="12"/>
  <c r="L196" i="12"/>
  <c r="K501" i="12"/>
  <c r="L500" i="12"/>
  <c r="K572" i="12"/>
  <c r="L571" i="12"/>
  <c r="K361" i="12" l="1"/>
  <c r="L360" i="12"/>
  <c r="K81" i="12"/>
  <c r="L80" i="12"/>
  <c r="K502" i="12"/>
  <c r="L501" i="12"/>
  <c r="K235" i="12"/>
  <c r="L234" i="12"/>
  <c r="K25" i="12"/>
  <c r="L24" i="12"/>
  <c r="K459" i="12"/>
  <c r="L458" i="12"/>
  <c r="K249" i="12"/>
  <c r="L248" i="12"/>
  <c r="K222" i="12"/>
  <c r="L221" i="12"/>
  <c r="K390" i="12"/>
  <c r="L389" i="12"/>
  <c r="K599" i="12"/>
  <c r="L598" i="12"/>
  <c r="K125" i="12"/>
  <c r="L124" i="12"/>
  <c r="K403" i="12"/>
  <c r="L402" i="12"/>
  <c r="K530" i="12"/>
  <c r="L529" i="12"/>
  <c r="K474" i="12"/>
  <c r="L473" i="12"/>
  <c r="K67" i="12"/>
  <c r="L66" i="12"/>
  <c r="K558" i="12"/>
  <c r="L557" i="12"/>
  <c r="K151" i="12"/>
  <c r="L150" i="12"/>
  <c r="K319" i="12"/>
  <c r="L318" i="12"/>
  <c r="K198" i="12"/>
  <c r="L197" i="12"/>
  <c r="K179" i="12"/>
  <c r="L178" i="12"/>
  <c r="K446" i="12"/>
  <c r="L445" i="12"/>
  <c r="K336" i="12"/>
  <c r="L335" i="12"/>
  <c r="K517" i="12"/>
  <c r="L516" i="12"/>
  <c r="K573" i="12"/>
  <c r="L572" i="12"/>
  <c r="K305" i="12"/>
  <c r="L304" i="12"/>
  <c r="K487" i="12"/>
  <c r="L486" i="12"/>
  <c r="K54" i="12"/>
  <c r="L53" i="12"/>
  <c r="K137" i="12"/>
  <c r="L136" i="12"/>
  <c r="K546" i="12"/>
  <c r="L545" i="12"/>
  <c r="K95" i="12"/>
  <c r="L94" i="12"/>
  <c r="K362" i="12" l="1"/>
  <c r="L361" i="12"/>
  <c r="K82" i="12"/>
  <c r="L81" i="12"/>
  <c r="K306" i="12"/>
  <c r="L305" i="12"/>
  <c r="K250" i="12"/>
  <c r="L249" i="12"/>
  <c r="K180" i="12"/>
  <c r="L179" i="12"/>
  <c r="K559" i="12"/>
  <c r="L558" i="12"/>
  <c r="K404" i="12"/>
  <c r="L403" i="12"/>
  <c r="K460" i="12"/>
  <c r="L459" i="12"/>
  <c r="K600" i="12"/>
  <c r="L599" i="12"/>
  <c r="K152" i="12"/>
  <c r="L152" i="12" s="1"/>
  <c r="L151" i="12"/>
  <c r="K26" i="12"/>
  <c r="L25" i="12"/>
  <c r="K138" i="12"/>
  <c r="L137" i="12"/>
  <c r="K531" i="12"/>
  <c r="L530" i="12"/>
  <c r="K68" i="12"/>
  <c r="L67" i="12"/>
  <c r="K223" i="12"/>
  <c r="L222" i="12"/>
  <c r="K547" i="12"/>
  <c r="L547" i="12" s="1"/>
  <c r="L546" i="12"/>
  <c r="K447" i="12"/>
  <c r="L446" i="12"/>
  <c r="K503" i="12"/>
  <c r="L503" i="12" s="1"/>
  <c r="L502" i="12"/>
  <c r="K574" i="12"/>
  <c r="L573" i="12"/>
  <c r="K55" i="12"/>
  <c r="L54" i="12"/>
  <c r="K518" i="12"/>
  <c r="L517" i="12"/>
  <c r="K199" i="12"/>
  <c r="L198" i="12"/>
  <c r="K391" i="12"/>
  <c r="L390" i="12"/>
  <c r="K96" i="12"/>
  <c r="L95" i="12"/>
  <c r="K488" i="12"/>
  <c r="L487" i="12"/>
  <c r="L336" i="12"/>
  <c r="K337" i="12"/>
  <c r="L337" i="12" s="1"/>
  <c r="K320" i="12"/>
  <c r="L319" i="12"/>
  <c r="K475" i="12"/>
  <c r="L474" i="12"/>
  <c r="K126" i="12"/>
  <c r="L125" i="12"/>
  <c r="K236" i="12"/>
  <c r="L235" i="12"/>
  <c r="K363" i="12" l="1"/>
  <c r="L362" i="12"/>
  <c r="K83" i="12"/>
  <c r="L82" i="12"/>
  <c r="K489" i="12"/>
  <c r="L488" i="12"/>
  <c r="K405" i="12"/>
  <c r="L404" i="12"/>
  <c r="K97" i="12"/>
  <c r="L96" i="12"/>
  <c r="K601" i="12"/>
  <c r="L600" i="12"/>
  <c r="K560" i="12"/>
  <c r="L559" i="12"/>
  <c r="K476" i="12"/>
  <c r="L475" i="12"/>
  <c r="K181" i="12"/>
  <c r="L180" i="12"/>
  <c r="K448" i="12"/>
  <c r="L447" i="12"/>
  <c r="K224" i="12"/>
  <c r="L223" i="12"/>
  <c r="K532" i="12"/>
  <c r="L532" i="12" s="1"/>
  <c r="L531" i="12"/>
  <c r="K461" i="12"/>
  <c r="L460" i="12"/>
  <c r="K27" i="12"/>
  <c r="L26" i="12"/>
  <c r="K127" i="12"/>
  <c r="L127" i="12" s="1"/>
  <c r="L126" i="12"/>
  <c r="K519" i="12"/>
  <c r="L519" i="12" s="1"/>
  <c r="L518" i="12"/>
  <c r="K307" i="12"/>
  <c r="L306" i="12"/>
  <c r="K56" i="12"/>
  <c r="L55" i="12"/>
  <c r="K321" i="12"/>
  <c r="L320" i="12"/>
  <c r="K392" i="12"/>
  <c r="L391" i="12"/>
  <c r="K575" i="12"/>
  <c r="L575" i="12" s="1"/>
  <c r="L574" i="12"/>
  <c r="K139" i="12"/>
  <c r="L138" i="12"/>
  <c r="K237" i="12"/>
  <c r="L236" i="12"/>
  <c r="K200" i="12"/>
  <c r="L200" i="12" s="1"/>
  <c r="L199" i="12"/>
  <c r="K69" i="12"/>
  <c r="L68" i="12"/>
  <c r="K251" i="12"/>
  <c r="L250" i="12"/>
  <c r="L363" i="12" l="1"/>
  <c r="K364" i="12"/>
  <c r="K84" i="12"/>
  <c r="L83" i="12"/>
  <c r="K140" i="12"/>
  <c r="L139" i="12"/>
  <c r="K490" i="12"/>
  <c r="L489" i="12"/>
  <c r="K462" i="12"/>
  <c r="L461" i="12"/>
  <c r="K182" i="12"/>
  <c r="L181" i="12"/>
  <c r="K28" i="12"/>
  <c r="L28" i="12" s="1"/>
  <c r="L27" i="12"/>
  <c r="K57" i="12"/>
  <c r="L57" i="12" s="1"/>
  <c r="L56" i="12"/>
  <c r="K98" i="12"/>
  <c r="L97" i="12"/>
  <c r="K449" i="12"/>
  <c r="L449" i="12" s="1"/>
  <c r="L448" i="12"/>
  <c r="K225" i="12"/>
  <c r="L225" i="12" s="1"/>
  <c r="L224" i="12"/>
  <c r="K602" i="12"/>
  <c r="L601" i="12"/>
  <c r="K70" i="12"/>
  <c r="L69" i="12"/>
  <c r="K308" i="12"/>
  <c r="L307" i="12"/>
  <c r="K393" i="12"/>
  <c r="L393" i="12" s="1"/>
  <c r="L392" i="12"/>
  <c r="K477" i="12"/>
  <c r="L477" i="12" s="1"/>
  <c r="L476" i="12"/>
  <c r="K252" i="12"/>
  <c r="L251" i="12"/>
  <c r="K238" i="12"/>
  <c r="L237" i="12"/>
  <c r="K322" i="12"/>
  <c r="L321" i="12"/>
  <c r="K561" i="12"/>
  <c r="L561" i="12" s="1"/>
  <c r="L560" i="12"/>
  <c r="K406" i="12"/>
  <c r="L405" i="12"/>
  <c r="K365" i="12" l="1"/>
  <c r="L365" i="12" s="1"/>
  <c r="L364" i="12"/>
  <c r="K85" i="12"/>
  <c r="L85" i="12" s="1"/>
  <c r="L84" i="12"/>
  <c r="K239" i="12"/>
  <c r="L239" i="12" s="1"/>
  <c r="L238" i="12"/>
  <c r="K183" i="12"/>
  <c r="L183" i="12" s="1"/>
  <c r="L182" i="12"/>
  <c r="K323" i="12"/>
  <c r="L323" i="12" s="1"/>
  <c r="L322" i="12"/>
  <c r="K253" i="12"/>
  <c r="L253" i="12" s="1"/>
  <c r="L252" i="12"/>
  <c r="K71" i="12"/>
  <c r="L71" i="12" s="1"/>
  <c r="L70" i="12"/>
  <c r="K309" i="12"/>
  <c r="L309" i="12" s="1"/>
  <c r="L308" i="12"/>
  <c r="K603" i="12"/>
  <c r="L603" i="12" s="1"/>
  <c r="L602" i="12"/>
  <c r="K141" i="12"/>
  <c r="L141" i="12" s="1"/>
  <c r="L140" i="12"/>
  <c r="K407" i="12"/>
  <c r="L407" i="12" s="1"/>
  <c r="L406" i="12"/>
  <c r="K99" i="12"/>
  <c r="L99" i="12" s="1"/>
  <c r="L98" i="12"/>
  <c r="K463" i="12"/>
  <c r="L463" i="12" s="1"/>
  <c r="L462" i="12"/>
  <c r="K491" i="12"/>
  <c r="L491" i="12" s="1"/>
  <c r="L49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E334D-D204-4440-A7A2-B0E773E921AF}" keepAlive="1" name="Query - _5_African_Regions" description="Connection to the '_5_African_Regions' query in the workbook." type="5" refreshedVersion="8" background="1" saveData="1">
    <dbPr connection="Provider=Microsoft.Mashup.OleDb.1;Data Source=$Workbook$;Location=_5_African_Regions;Extended Properties=&quot;&quot;" command="SELECT * FROM [_5_African_Regions]"/>
  </connection>
  <connection id="2" xr16:uid="{AE5F1275-DE8E-406D-A5C9-E7E7B432516A}" keepAlive="1" name="Query - Electricity-Access" description="Connection to the 'Electricity-Access' query in the workbook." type="5" refreshedVersion="8" background="1" saveData="1">
    <dbPr connection="Provider=Microsoft.Mashup.OleDb.1;Data Source=$Workbook$;Location=Electricity-Access;Extended Properties=&quot;&quot;" command="SELECT * FROM [Electricity-Access]"/>
  </connection>
  <connection id="3" xr16:uid="{F7EC76CF-273E-44E0-86E4-DD1A949EE0AB}" keepAlive="1" name="Query - Electricity-Access (2)" description="Connection to the 'Electricity-Access (2)' query in the workbook." type="5" refreshedVersion="8" background="1" saveData="1">
    <dbPr connection="Provider=Microsoft.Mashup.OleDb.1;Data Source=$Workbook$;Location=&quot;Electricity-Access (2)&quot;;Extended Properties=&quot;&quot;" command="SELECT * FROM [Electricity-Access (2)]"/>
  </connection>
  <connection id="4" xr16:uid="{E1BEC4AD-5E1B-45AC-8A6B-1BC14117CC6F}" keepAlive="1" name="Query - Electric-Stat" description="Connection to the 'Electric-Stat' query in the workbook." type="5" refreshedVersion="8" background="1" saveData="1">
    <dbPr connection="Provider=Microsoft.Mashup.OleDb.1;Data Source=$Workbook$;Location=Electric-Stat;Extended Properties=&quot;&quot;" command="SELECT * FROM [Electric-Stat]"/>
  </connection>
  <connection id="5" xr16:uid="{836B0606-FD0F-4603-A71E-8CB54E556F6C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6" xr16:uid="{0C465CEB-F03F-4291-AC66-2787B6FE9A37}" keepAlive="1" name="Query - RE-Share" description="Connection to the 'RE-Share' query in the workbook." type="5" refreshedVersion="8" background="1" saveData="1">
    <dbPr connection="Provider=Microsoft.Mashup.OleDb.1;Data Source=$Workbook$;Location=RE-Share;Extended Properties=&quot;&quot;" command="SELECT * FROM [RE-Share]"/>
  </connection>
  <connection id="7" xr16:uid="{BB32469D-5301-4F24-A417-99B57A56B8C2}" keepAlive="1" name="Query - RE-Share (2)" description="Connection to the 'RE-Share (2)' query in the workbook." type="5" refreshedVersion="8" background="1" saveData="1">
    <dbPr connection="Provider=Microsoft.Mashup.OleDb.1;Data Source=$Workbook$;Location=&quot;RE-Share (2)&quot;;Extended Properties=&quot;&quot;" command="SELECT * FROM [RE-Shar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<sst xmlns="http://schemas.openxmlformats.org/spreadsheetml/2006/main" count="29745" uniqueCount="216">
  <si>
    <t>Country Name</t>
  </si>
  <si>
    <t>Country Code</t>
  </si>
  <si>
    <t>Region</t>
  </si>
  <si>
    <t>IncomeGroup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</si>
  <si>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</si>
  <si>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</si>
  <si>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</si>
  <si>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</si>
  <si>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</si>
  <si>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</si>
  <si>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</si>
  <si>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</si>
  <si>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</si>
  <si>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</si>
  <si>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</si>
  <si>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</si>
  <si>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</si>
  <si>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</si>
  <si>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</si>
  <si>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</si>
  <si>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</si>
  <si>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</si>
  <si>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</si>
  <si>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</si>
  <si>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</si>
  <si>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</si>
  <si>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</si>
  <si>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</si>
  <si>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Angola</t>
  </si>
  <si>
    <t>AGO</t>
  </si>
  <si>
    <t>Sub-Saharan Africa</t>
  </si>
  <si>
    <t>Lower middle income</t>
  </si>
  <si>
    <t>Burundi</t>
  </si>
  <si>
    <t>BDI</t>
  </si>
  <si>
    <t>Low income</t>
  </si>
  <si>
    <t>Benin</t>
  </si>
  <si>
    <t>BEN</t>
  </si>
  <si>
    <t>Burkina Faso</t>
  </si>
  <si>
    <t>BFA</t>
  </si>
  <si>
    <t>Botswana</t>
  </si>
  <si>
    <t>BWA</t>
  </si>
  <si>
    <t>Upper middle income</t>
  </si>
  <si>
    <t>Central African Republic</t>
  </si>
  <si>
    <t>CAF</t>
  </si>
  <si>
    <t>Cameroon</t>
  </si>
  <si>
    <t>CMR</t>
  </si>
  <si>
    <t>Comoros</t>
  </si>
  <si>
    <t>COM</t>
  </si>
  <si>
    <t>Cabo Verde</t>
  </si>
  <si>
    <t>CPV</t>
  </si>
  <si>
    <t>Djibouti</t>
  </si>
  <si>
    <t>DJI</t>
  </si>
  <si>
    <t>Middle East &amp; North Africa</t>
  </si>
  <si>
    <t>Algeria</t>
  </si>
  <si>
    <t>DZA</t>
  </si>
  <si>
    <t>Eritrea</t>
  </si>
  <si>
    <t>ERI</t>
  </si>
  <si>
    <t>Ethiopia</t>
  </si>
  <si>
    <t>ETH</t>
  </si>
  <si>
    <t>Gabon</t>
  </si>
  <si>
    <t>GAB</t>
  </si>
  <si>
    <t>Ghana</t>
  </si>
  <si>
    <t>GHA</t>
  </si>
  <si>
    <t>Guinea</t>
  </si>
  <si>
    <t>GIN</t>
  </si>
  <si>
    <t>Guinea-Bissau</t>
  </si>
  <si>
    <t>GNB</t>
  </si>
  <si>
    <t>Equatorial Guinea</t>
  </si>
  <si>
    <t>GNQ</t>
  </si>
  <si>
    <t>Kenya</t>
  </si>
  <si>
    <t>KEN</t>
  </si>
  <si>
    <t>Liberia</t>
  </si>
  <si>
    <t>LBR</t>
  </si>
  <si>
    <t>Libya</t>
  </si>
  <si>
    <t>LBY</t>
  </si>
  <si>
    <t>Lesotho</t>
  </si>
  <si>
    <t>LSO</t>
  </si>
  <si>
    <t>Morocco</t>
  </si>
  <si>
    <t>MAR</t>
  </si>
  <si>
    <t>Madagascar</t>
  </si>
  <si>
    <t>MDG</t>
  </si>
  <si>
    <t>Mali</t>
  </si>
  <si>
    <t>MLI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</si>
  <si>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</si>
  <si>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</si>
  <si>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</si>
  <si>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</si>
  <si>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</si>
  <si>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</si>
  <si>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</si>
  <si>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</si>
  <si>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</si>
  <si>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</si>
  <si>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</si>
  <si>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</si>
  <si>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</si>
  <si>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</si>
  <si>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</si>
  <si>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</si>
  <si>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Sudan</t>
  </si>
  <si>
    <t>SDN</t>
  </si>
  <si>
    <t>Senegal</t>
  </si>
  <si>
    <t>SEN</t>
  </si>
  <si>
    <t>Sierra Leone</t>
  </si>
  <si>
    <t>SLE</t>
  </si>
  <si>
    <t>South Sudan</t>
  </si>
  <si>
    <t>SSD</t>
  </si>
  <si>
    <t>Sao Tome and Principe</t>
  </si>
  <si>
    <t>STP</t>
  </si>
  <si>
    <t>Eswatini</t>
  </si>
  <si>
    <t>SWZ</t>
  </si>
  <si>
    <t>Seychelles</t>
  </si>
  <si>
    <t>SYC</t>
  </si>
  <si>
    <t>High income</t>
  </si>
  <si>
    <t>Chad</t>
  </si>
  <si>
    <t>TCD</t>
  </si>
  <si>
    <t>Togo</t>
  </si>
  <si>
    <t>TGO</t>
  </si>
  <si>
    <t>Tunisia</t>
  </si>
  <si>
    <t>TUN</t>
  </si>
  <si>
    <t>Tanzania</t>
  </si>
  <si>
    <t>TZA</t>
  </si>
  <si>
    <t>Uganda</t>
  </si>
  <si>
    <t>UGA</t>
  </si>
  <si>
    <t>South Africa</t>
  </si>
  <si>
    <t>ZAF</t>
  </si>
  <si>
    <t>Zambia</t>
  </si>
  <si>
    <t>ZMB</t>
  </si>
  <si>
    <t>Zimbabwe</t>
  </si>
  <si>
    <t>ZWE</t>
  </si>
  <si>
    <t>Country</t>
  </si>
  <si>
    <t>Indicator</t>
  </si>
  <si>
    <t>Year</t>
  </si>
  <si>
    <t>Share (%)</t>
  </si>
  <si>
    <t>RE share of electricity capacity (%)</t>
  </si>
  <si>
    <t>RE share of electricity generation (%)</t>
  </si>
  <si>
    <t>-</t>
  </si>
  <si>
    <t>Egypt</t>
  </si>
  <si>
    <t>Somalia</t>
  </si>
  <si>
    <t>Countries</t>
  </si>
  <si>
    <t>Technology</t>
  </si>
  <si>
    <t>Data Type</t>
  </si>
  <si>
    <t>Grid Connection</t>
  </si>
  <si>
    <t>Column6</t>
  </si>
  <si>
    <t>Total renewable</t>
  </si>
  <si>
    <t>Electricity Installed Capacity (MW)</t>
  </si>
  <si>
    <t>All</t>
  </si>
  <si>
    <t/>
  </si>
  <si>
    <t>On-grid</t>
  </si>
  <si>
    <t>Off-grid</t>
  </si>
  <si>
    <t>Electricity Generation (GWh)</t>
  </si>
  <si>
    <t>Solar photovoltaic</t>
  </si>
  <si>
    <t>Solar thermal energy</t>
  </si>
  <si>
    <t>Onshore wind energy</t>
  </si>
  <si>
    <t>Offshore wind energy</t>
  </si>
  <si>
    <t>Renewable hydropower</t>
  </si>
  <si>
    <t>Mixed Hydro Plants</t>
  </si>
  <si>
    <t>Marine energy</t>
  </si>
  <si>
    <t>Solid biofuels</t>
  </si>
  <si>
    <t>Renewable municipal waste</t>
  </si>
  <si>
    <t>Liquid biofuels</t>
  </si>
  <si>
    <t>Biogas</t>
  </si>
  <si>
    <t>Geothermal energy</t>
  </si>
  <si>
    <t>Total non-renewable</t>
  </si>
  <si>
    <t>Pumped storage</t>
  </si>
  <si>
    <t>Coal and peat</t>
  </si>
  <si>
    <t>Oil</t>
  </si>
  <si>
    <t>Natural gas</t>
  </si>
  <si>
    <t>Fossil fuels n.e.s.</t>
  </si>
  <si>
    <t>Nuclear</t>
  </si>
  <si>
    <t>Other non-renewable energy</t>
  </si>
  <si>
    <t>Electricity-Access %</t>
  </si>
  <si>
    <t>Central Africa</t>
  </si>
  <si>
    <t>Northern Africa</t>
  </si>
  <si>
    <t>Eastern Africa</t>
  </si>
  <si>
    <t>Western Africa</t>
  </si>
  <si>
    <t>Southern Africa</t>
  </si>
  <si>
    <t>Slope %</t>
  </si>
  <si>
    <t>Intercept %</t>
  </si>
  <si>
    <t>2030 Prediction %</t>
  </si>
  <si>
    <t>Clasification</t>
  </si>
  <si>
    <t>Significantly Off Track</t>
  </si>
  <si>
    <t>Moderate Gap</t>
  </si>
  <si>
    <t>On Track</t>
  </si>
  <si>
    <t>Electricity-Access % (2023)</t>
  </si>
  <si>
    <t>SDG Target</t>
  </si>
  <si>
    <t>Key Indicator</t>
  </si>
  <si>
    <t>What "Achieved" Looks Like for a Country (circa 2030)</t>
  </si>
  <si>
    <t>7.1: Universal Access</t>
  </si>
  <si>
    <t>7.1.1: Access to Electricity</t>
  </si>
  <si>
    <t>7.1.2: Clean Cooking</t>
  </si>
  <si>
    <t>7.2: More Renewables</t>
  </si>
  <si>
    <t>7.2.1: Renewable Share in TFEC</t>
  </si>
  <si>
    <t>7.3: Energy Efficiency</t>
  </si>
  <si>
    <t>7.3.1: Energy Intensity</t>
  </si>
  <si>
    <r>
      <t>&gt;99%</t>
    </r>
    <r>
      <rPr>
        <sz val="10"/>
        <color theme="1"/>
        <rFont val="Segoe UI"/>
        <family val="2"/>
      </rPr>
      <t> of the population has an electricity connection.</t>
    </r>
  </si>
  <si>
    <r>
      <t>&gt;99%</t>
    </r>
    <r>
      <rPr>
        <sz val="10"/>
        <color theme="1"/>
        <rFont val="Segoe UI"/>
        <family val="2"/>
      </rPr>
      <t> of the population uses modern, clean cooking fuels &amp; technologies.</t>
    </r>
  </si>
  <si>
    <r>
      <t>The </t>
    </r>
    <r>
      <rPr>
        <sz val="10"/>
        <color theme="1"/>
        <rFont val="Segoe UI"/>
        <family val="2"/>
      </rPr>
      <t>percentage of renewables in the total energy mix is increasing significantly and consistently</t>
    </r>
    <r>
      <rPr>
        <sz val="10"/>
        <color theme="1"/>
        <rFont val="Segoe UI"/>
        <family val="2"/>
      </rPr>
      <t> from its baseline.</t>
    </r>
  </si>
  <si>
    <r>
      <t>The </t>
    </r>
    <r>
      <rPr>
        <sz val="10"/>
        <color theme="1"/>
        <rFont val="Segoe UI"/>
        <family val="2"/>
      </rPr>
      <t>energy used per unit of GDP is falling rapidly</t>
    </r>
    <r>
      <rPr>
        <sz val="10"/>
        <color theme="1"/>
        <rFont val="Segoe UI"/>
        <family val="2"/>
      </rPr>
      <t>, indicating a more efficient economy.</t>
    </r>
  </si>
  <si>
    <t>SDG Assessment</t>
  </si>
  <si>
    <t>RE-Share (2).Share (%)</t>
  </si>
  <si>
    <t>Discrepancy</t>
  </si>
  <si>
    <t>High Discrepancy</t>
  </si>
  <si>
    <t>High Discrepancy2</t>
  </si>
  <si>
    <t>Is 2023 High</t>
  </si>
  <si>
    <t>Consecutive from 2023</t>
  </si>
  <si>
    <t>Flag</t>
  </si>
  <si>
    <t>Row Labels</t>
  </si>
  <si>
    <t>Max of Consecutive from 2023</t>
  </si>
  <si>
    <t>2009-2023 (14 Years)</t>
  </si>
  <si>
    <t>2017-2023 (6 Years)</t>
  </si>
  <si>
    <t>Years of High Discrepancy</t>
  </si>
  <si>
    <t>Status</t>
  </si>
  <si>
    <t>CRITICAL</t>
  </si>
  <si>
    <r>
      <t xml:space="preserve">Which African countries are on track to achieve UN SDG 7.1:  </t>
    </r>
    <r>
      <rPr>
        <b/>
        <sz val="12"/>
        <color theme="3" tint="0.249977111117893"/>
        <rFont val="Aptos Narrow"/>
        <family val="2"/>
        <scheme val="minor"/>
      </rPr>
      <t xml:space="preserve">Universal access to electricity by 2030 </t>
    </r>
    <r>
      <rPr>
        <b/>
        <sz val="12"/>
        <color theme="1"/>
        <rFont val="Aptos Narrow"/>
        <family val="2"/>
        <scheme val="minor"/>
      </rPr>
      <t>?</t>
    </r>
  </si>
  <si>
    <r>
      <t xml:space="preserve">Which countries show </t>
    </r>
    <r>
      <rPr>
        <b/>
        <sz val="12"/>
        <color theme="3" tint="0.249977111117893"/>
        <rFont val="Aptos Narrow"/>
        <family val="2"/>
        <scheme val="minor"/>
      </rPr>
      <t>discrepancy</t>
    </r>
    <r>
      <rPr>
        <b/>
        <sz val="12"/>
        <color theme="1"/>
        <rFont val="Aptos Narrow"/>
        <family val="2"/>
        <scheme val="minor"/>
      </rPr>
      <t xml:space="preserve"> — 
high renewable potential but low energy access 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</si>
</sst>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b/>
      <u/>
      <sz val="10"/>
      <color theme="1"/>
      <name val="Segoe UI"/>
      <family val="2"/>
    </font>
    <font>
      <b/>
      <sz val="12"/>
      <color theme="1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Border="0" applyAlignment="0"/>
  </cellStyleXfs>
  <cellXfs count="38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1" fillId="0" borderId="14" xfId="0" applyFont="1" applyBorder="1"/>
    <xf numFmtId="2" fontId="0" fillId="0" borderId="8" xfId="0" applyNumberFormat="1" applyBorder="1"/>
    <xf numFmtId="2" fontId="0" fillId="0" borderId="1" xfId="0" applyNumberFormat="1" applyBorder="1"/>
    <xf numFmtId="2" fontId="0" fillId="0" borderId="3" xfId="0" applyNumberFormat="1" applyBorder="1"/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1" fillId="0" borderId="16" xfId="0" applyFont="1" applyBorder="1"/>
    <xf numFmtId="0" fontId="1" fillId="0" borderId="15" xfId="0" applyFont="1" applyBorder="1"/>
    <xf numFmtId="0" fontId="0" fillId="0" borderId="17" xfId="0" applyBorder="1"/>
    <xf numFmtId="0" fontId="0" fillId="0" borderId="9" xfId="0" applyFont="1" applyBorder="1"/>
    <xf numFmtId="0" fontId="0" fillId="0" borderId="2" xfId="0" applyFont="1" applyBorder="1"/>
    <xf numFmtId="0" fontId="0" fillId="0" borderId="4" xfId="0" applyFont="1" applyBorder="1"/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19162C3-1504-4C96-951B-394F5081BCE4}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CEBB8A8-7D4E-407C-B43A-49BA2EB7A14F}" autoFormatId="16" applyNumberFormats="0" applyBorderFormats="0" applyFontFormats="0" applyPatternFormats="0" applyAlignmentFormats="0" applyWidthHeightFormats="0">
  <queryTableRefresh nextId="6">
    <queryTableFields count="5">
      <queryTableField id="1" name="Countries" tableColumnId="1"/>
      <queryTableField id="2" name="Technology" tableColumnId="2"/>
      <queryTableField id="3" name="Data Type" tableColumnId="3"/>
      <queryTableField id="4" name="Grid Connection" tableColumnId="4"/>
      <queryTableField id="5" name="Column6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B178493-DA67-4F51-B64D-FB54A5F3B509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Indicator" tableColumnId="2"/>
      <queryTableField id="3" name="Year" tableColumnId="3"/>
      <queryTableField id="4" name="Shar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9701A388-4C65-473C-B717-D8A941323F43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Indicator" tableColumnId="2"/>
      <queryTableField id="3" name="Year" tableColumnId="3"/>
      <queryTableField id="4" name="Share (%)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7F4605-BDB2-4CB9-9FB9-A1E0CAE78BB6}" autoFormatId="16" applyNumberFormats="0" applyBorderFormats="0" applyFontFormats="0" applyPatternFormats="0" applyAlignmentFormats="0" applyWidthHeightFormats="0">
  <queryTableRefresh nextId="33">
    <queryTableFields count="28">
      <queryTableField id="1" name="Country Name" tableColumnId="1"/>
      <queryTableField id="5" name="Country Code" tableColumnId="5"/>
      <queryTableField id="6" name="Region" tableColumnId="6"/>
      <queryTableField id="2" name="IncomeGroup" tableColumnId="2"/>
      <queryTableField id="7" name="2000" tableColumnId="7"/>
      <queryTableField id="8" name="2001" tableColumnId="8"/>
      <queryTableField id="9" name="2002" tableColumnId="9"/>
      <queryTableField id="10" name="2003" tableColumnId="10"/>
      <queryTableField id="11" name="2004" tableColumnId="11"/>
      <queryTableField id="12" name="2005" tableColumnId="12"/>
      <queryTableField id="13" name="2006" tableColumnId="13"/>
      <queryTableField id="14" name="2007" tableColumnId="14"/>
      <queryTableField id="15" name="2008" tableColumnId="15"/>
      <queryTableField id="16" name="2009" tableColumnId="16"/>
      <queryTableField id="17" name="2010" tableColumnId="17"/>
      <queryTableField id="18" name="2011" tableColumnId="18"/>
      <queryTableField id="19" name="2012" tableColumnId="19"/>
      <queryTableField id="20" name="2013" tableColumnId="20"/>
      <queryTableField id="21" name="2014" tableColumnId="21"/>
      <queryTableField id="22" name="2015" tableColumnId="22"/>
      <queryTableField id="23" name="2016" tableColumnId="23"/>
      <queryTableField id="24" name="2017" tableColumnId="24"/>
      <queryTableField id="25" name="2018" tableColumnId="25"/>
      <queryTableField id="26" name="2019" tableColumnId="26"/>
      <queryTableField id="27" name="2020" tableColumnId="27"/>
      <queryTableField id="28" name="2021" tableColumnId="28"/>
      <queryTableField id="29" name="2022" tableColumnId="29"/>
      <queryTableField id="30" name="2023" tableColumnId="3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4ACD109-BB32-4D5E-9FFA-8D8BFDE29F39}" autoFormatId="16" applyNumberFormats="0" applyBorderFormats="0" applyFontFormats="0" applyPatternFormats="0" applyAlignmentFormats="0" applyWidthHeightFormats="0">
  <queryTableRefresh nextId="27">
    <queryTableFields count="26">
      <queryTableField id="1" name="Country Name" tableColumnId="1"/>
      <queryTableField id="2" name="Region" tableColumnId="2"/>
      <queryTableField id="3" name="2000" tableColumnId="3"/>
      <queryTableField id="4" name="2001" tableColumnId="4"/>
      <queryTableField id="5" name="2002" tableColumnId="5"/>
      <queryTableField id="6" name="2003" tableColumnId="6"/>
      <queryTableField id="7" name="2004" tableColumnId="7"/>
      <queryTableField id="8" name="2005" tableColumnId="8"/>
      <queryTableField id="9" name="2006" tableColumnId="9"/>
      <queryTableField id="10" name="2007" tableColumnId="10"/>
      <queryTableField id="11" name="2008" tableColumnId="11"/>
      <queryTableField id="12" name="2009" tableColumnId="12"/>
      <queryTableField id="13" name="2010" tableColumnId="13"/>
      <queryTableField id="14" name="2011" tableColumnId="14"/>
      <queryTableField id="15" name="2012" tableColumnId="15"/>
      <queryTableField id="16" name="2013" tableColumnId="16"/>
      <queryTableField id="17" name="2014" tableColumnId="17"/>
      <queryTableField id="18" name="2015" tableColumnId="18"/>
      <queryTableField id="19" name="2016" tableColumnId="19"/>
      <queryTableField id="20" name="2017" tableColumnId="20"/>
      <queryTableField id="21" name="2018" tableColumnId="21"/>
      <queryTableField id="22" name="2019" tableColumnId="22"/>
      <queryTableField id="23" name="2020" tableColumnId="23"/>
      <queryTableField id="24" name="2021" tableColumnId="24"/>
      <queryTableField id="25" name="2022" tableColumnId="25"/>
      <queryTableField id="26" name="2023" tableColumnId="2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89FAA461-DDBE-405E-A016-FBCD568C320C}" autoFormatId="16" applyNumberFormats="0" applyBorderFormats="0" applyFontFormats="0" applyPatternFormats="0" applyAlignmentFormats="0" applyWidthHeightFormats="0">
  <queryTableRefresh nextId="17" unboundColumnsRight="4">
    <queryTableFields count="9">
      <queryTableField id="1" name="Country Name" tableColumnId="1"/>
      <queryTableField id="9" name="Region" tableColumnId="9"/>
      <queryTableField id="2" name="IncomeGroup" tableColumnId="2"/>
      <queryTableField id="3" name="Year" tableColumnId="3"/>
      <queryTableField id="4" name="Electricity-Access %" tableColumnId="4"/>
      <queryTableField id="11" dataBound="0" tableColumnId="10"/>
      <queryTableField id="12" dataBound="0" tableColumnId="15"/>
      <queryTableField id="13" dataBound="0" tableColumnId="16"/>
      <queryTableField id="15" dataBound="0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E02E706-C0A0-46C9-A9CB-D9BD18EF88A3}" autoFormatId="16" applyNumberFormats="0" applyBorderFormats="0" applyFontFormats="0" applyPatternFormats="0" applyAlignmentFormats="0" applyWidthHeightFormats="0">
  <queryTableRefresh nextId="17" unboundColumnsRight="4">
    <queryTableFields count="12">
      <queryTableField id="1" name="Country Name" tableColumnId="1"/>
      <queryTableField id="2" name="Region" tableColumnId="2"/>
      <queryTableField id="3" name="IncomeGroup" tableColumnId="3"/>
      <queryTableField id="4" name="Year" tableColumnId="4"/>
      <queryTableField id="5" name="Electricity-Access %" tableColumnId="5"/>
      <queryTableField id="6" name="RE-Share (2).Share (%)" tableColumnId="6"/>
      <queryTableField id="7" name="Discrepancy" tableColumnId="7"/>
      <queryTableField id="9" name="High Discrepancy" tableColumnId="9"/>
      <queryTableField id="12" dataBound="0" tableColumnId="8"/>
      <queryTableField id="14" dataBound="0" tableColumnId="11"/>
      <queryTableField id="15" dataBound="0" tableColumnId="12"/>
      <queryTableField id="16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8B4AEA-DBCE-4020-A03D-7D2C15A2ACAE}" name="Electric_Stat" displayName="Electric_Stat" ref="A1:E5673" tableType="queryTable" totalsRowShown="0">
  <autoFilter ref="A1:E5673" xr:uid="{128B4AEA-DBCE-4020-A03D-7D2C15A2ACAE}"/>
  <tableColumns count="5">
    <tableColumn id="1" xr3:uid="{2532CEE9-E01D-4899-B17C-1EED56EFD8D4}" uniqueName="1" name="Countries" queryTableFieldId="1" dataDxfId="28"/>
    <tableColumn id="2" xr3:uid="{1627D41B-698B-4460-B6D7-E0DEB23D9BD7}" uniqueName="2" name="Technology" queryTableFieldId="2" dataDxfId="27"/>
    <tableColumn id="3" xr3:uid="{F96A6452-409C-4846-AEB0-9977C19A4377}" uniqueName="3" name="Data Type" queryTableFieldId="3" dataDxfId="26"/>
    <tableColumn id="4" xr3:uid="{E71EB784-5316-4384-A16A-1B8A6BA01B5B}" uniqueName="4" name="Grid Connection" queryTableFieldId="4" dataDxfId="25"/>
    <tableColumn id="5" xr3:uid="{8ED7B962-7491-4F2A-AEE5-5D0B4CE90DF9}" uniqueName="5" name="Column6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4DFB23-5F9E-48E1-8F58-B309330CF269}" name="RE_Share_" displayName="RE_Share_" ref="A1:D2251" tableType="queryTable" totalsRowShown="0">
  <autoFilter ref="A1:D2251" xr:uid="{DB4DFB23-5F9E-48E1-8F58-B309330CF269}"/>
  <tableColumns count="4">
    <tableColumn id="1" xr3:uid="{675EB257-2934-4794-B72C-B6700721AB64}" uniqueName="1" name="Country" queryTableFieldId="1" dataDxfId="24"/>
    <tableColumn id="2" xr3:uid="{4742DCE6-BC36-4A7B-AC39-510B06D0808F}" uniqueName="2" name="Indicator" queryTableFieldId="2" dataDxfId="23"/>
    <tableColumn id="3" xr3:uid="{AC0DDEC2-8450-4E92-B884-F372E77D83C7}" uniqueName="3" name="Year" queryTableFieldId="3"/>
    <tableColumn id="4" xr3:uid="{D98C75AA-FCD8-4962-96BC-224E9FA86DA7}" uniqueName="4" name="Share (%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12F366-28A2-4AD0-98CF-5838848D853E}" name="RE_Share__2" displayName="RE_Share__2" ref="A1:D1081" tableType="queryTable" totalsRowShown="0">
  <autoFilter ref="A1:D1081" xr:uid="{ED12F366-28A2-4AD0-98CF-5838848D853E}"/>
  <tableColumns count="4">
    <tableColumn id="1" xr3:uid="{14429082-169B-426B-82EB-C7CFA26E6780}" uniqueName="1" name="Country" queryTableFieldId="1" dataDxfId="22"/>
    <tableColumn id="2" xr3:uid="{4563DCC2-C3C3-4859-A77E-B7BE18BDAD30}" uniqueName="2" name="Indicator" queryTableFieldId="2" dataDxfId="21"/>
    <tableColumn id="3" xr3:uid="{ACE0EDFE-52AF-47CD-8071-EAA92FB5E9B8}" uniqueName="3" name="Year" queryTableFieldId="3"/>
    <tableColumn id="4" xr3:uid="{6A51D4DB-4AD2-484D-AF9B-C820D86C0B2C}" uniqueName="4" name="Share (%)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F8604D-36D9-4AA8-87B4-B7B708AE54F3}" name="Electricity_Access_1" displayName="Electricity_Access_1" ref="A1:AB49" tableType="queryTable" totalsRowShown="0">
  <autoFilter ref="A1:AB49" xr:uid="{68F8604D-36D9-4AA8-87B4-B7B708AE54F3}"/>
  <tableColumns count="28">
    <tableColumn id="1" xr3:uid="{8638AC92-1B2D-45CA-89D6-BABBEAD11DA5}" uniqueName="1" name="Country Name" queryTableFieldId="1" dataDxfId="20"/>
    <tableColumn id="5" xr3:uid="{78D3FCA8-9567-41B7-A2A6-414C56B512C8}" uniqueName="5" name="Country Code" queryTableFieldId="5" dataDxfId="19"/>
    <tableColumn id="6" xr3:uid="{ECE5330B-827A-457B-A04A-F67185F910C9}" uniqueName="6" name="Region" queryTableFieldId="6" dataDxfId="18"/>
    <tableColumn id="2" xr3:uid="{687FCAE7-72F9-4B9B-B8E6-BFCF3F082875}" uniqueName="2" name="IncomeGroup" queryTableFieldId="2" dataDxfId="17"/>
    <tableColumn id="7" xr3:uid="{A8E179E0-89E3-4647-A7B1-EC3EB4755AB4}" uniqueName="7" name="2000" queryTableFieldId="7"/>
    <tableColumn id="8" xr3:uid="{CF8BB5E1-6540-45AB-8FA8-7E24A3391C29}" uniqueName="8" name="2001" queryTableFieldId="8"/>
    <tableColumn id="9" xr3:uid="{7A2D51C1-C085-48BA-840C-BFF7BA684A42}" uniqueName="9" name="2002" queryTableFieldId="9"/>
    <tableColumn id="10" xr3:uid="{EF38F84B-B483-48B2-A653-14B82E7AD4DC}" uniqueName="10" name="2003" queryTableFieldId="10"/>
    <tableColumn id="11" xr3:uid="{E860B773-2637-4357-B670-EE2126ED8846}" uniqueName="11" name="2004" queryTableFieldId="11"/>
    <tableColumn id="12" xr3:uid="{3A333B08-BA17-4419-A158-FFD674517DAD}" uniqueName="12" name="2005" queryTableFieldId="12"/>
    <tableColumn id="13" xr3:uid="{487B8F00-5D1E-42ED-A6A5-1B3167F336F3}" uniqueName="13" name="2006" queryTableFieldId="13"/>
    <tableColumn id="14" xr3:uid="{AE5B5AB3-3DD3-42E2-B49C-190F8D6A8EE5}" uniqueName="14" name="2007" queryTableFieldId="14"/>
    <tableColumn id="15" xr3:uid="{DE448150-C0AC-49FA-8428-41267B7747FB}" uniqueName="15" name="2008" queryTableFieldId="15"/>
    <tableColumn id="16" xr3:uid="{D6D2F77B-6318-47A3-A33B-F2AF18FBA647}" uniqueName="16" name="2009" queryTableFieldId="16"/>
    <tableColumn id="17" xr3:uid="{FD6FD2AE-1945-43C3-A577-3F5628A6D8F8}" uniqueName="17" name="2010" queryTableFieldId="17"/>
    <tableColumn id="18" xr3:uid="{08B2099A-05A6-4F7E-9DDD-9BB07CAD1FE2}" uniqueName="18" name="2011" queryTableFieldId="18"/>
    <tableColumn id="19" xr3:uid="{AAF8B497-1209-4426-870B-A7EF9F2D2F92}" uniqueName="19" name="2012" queryTableFieldId="19"/>
    <tableColumn id="20" xr3:uid="{80EFF867-AB96-4D7D-90C2-75B69490F958}" uniqueName="20" name="2013" queryTableFieldId="20"/>
    <tableColumn id="21" xr3:uid="{40686BC0-D03D-4D6A-9296-AE4094F3571F}" uniqueName="21" name="2014" queryTableFieldId="21"/>
    <tableColumn id="22" xr3:uid="{07791970-2F80-4FF7-A7D9-152F6C96E854}" uniqueName="22" name="2015" queryTableFieldId="22"/>
    <tableColumn id="23" xr3:uid="{E4D52E51-B71B-4151-B042-CBBE3A86320B}" uniqueName="23" name="2016" queryTableFieldId="23"/>
    <tableColumn id="24" xr3:uid="{50CF9268-2B98-4BDA-B585-839FD55D34FA}" uniqueName="24" name="2017" queryTableFieldId="24"/>
    <tableColumn id="25" xr3:uid="{20D2B99D-7659-4AAA-92C3-634114585590}" uniqueName="25" name="2018" queryTableFieldId="25"/>
    <tableColumn id="26" xr3:uid="{436FB251-F89A-4262-ABF8-7170EBA119C6}" uniqueName="26" name="2019" queryTableFieldId="26"/>
    <tableColumn id="27" xr3:uid="{C1E81D17-1AA4-4601-B868-6EDD12B1ABD7}" uniqueName="27" name="2020" queryTableFieldId="27"/>
    <tableColumn id="28" xr3:uid="{3ECCF2E2-E6F9-4E56-B36D-E8F321727D03}" uniqueName="28" name="2021" queryTableFieldId="28"/>
    <tableColumn id="29" xr3:uid="{7A0E1DA8-61C5-4996-9E42-F8BD50A5122D}" uniqueName="29" name="2022" queryTableFieldId="29"/>
    <tableColumn id="30" xr3:uid="{AD69070A-58C4-49DA-973B-BBB6534735DA}" uniqueName="30" name="2023" queryTableField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A79F10-EE1E-43D4-8E01-B2B338AEB136}" name="_5_African_Regions" displayName="_5_African_Regions" ref="A1:Z49" tableType="queryTable" totalsRowShown="0">
  <autoFilter ref="A1:Z49" xr:uid="{9DA79F10-EE1E-43D4-8E01-B2B338AEB136}"/>
  <tableColumns count="26">
    <tableColumn id="1" xr3:uid="{73F1429E-1DAD-4BD6-B902-4E1C71711A96}" uniqueName="1" name="Country Name" queryTableFieldId="1" dataDxfId="16"/>
    <tableColumn id="2" xr3:uid="{23F5FFC7-E364-44C2-8DF0-3F12B2FDE6DA}" uniqueName="2" name="Region" queryTableFieldId="2" dataDxfId="15"/>
    <tableColumn id="3" xr3:uid="{116E02B1-87DF-438E-B527-C3EB0563937F}" uniqueName="3" name="2000" queryTableFieldId="3"/>
    <tableColumn id="4" xr3:uid="{41E38201-A980-43E3-A6EF-DB6C6CD24434}" uniqueName="4" name="2001" queryTableFieldId="4"/>
    <tableColumn id="5" xr3:uid="{8307EF25-DAAB-4979-8F9E-DD0D810711B9}" uniqueName="5" name="2002" queryTableFieldId="5"/>
    <tableColumn id="6" xr3:uid="{56FBF98C-C622-4E8C-BF4E-4078669CBCFF}" uniqueName="6" name="2003" queryTableFieldId="6"/>
    <tableColumn id="7" xr3:uid="{A92D3D14-F18A-460A-8C36-735F6B82B136}" uniqueName="7" name="2004" queryTableFieldId="7"/>
    <tableColumn id="8" xr3:uid="{16E2108F-636A-44F7-A9B7-ED37093982CF}" uniqueName="8" name="2005" queryTableFieldId="8"/>
    <tableColumn id="9" xr3:uid="{E9FBD3C8-54D3-4F49-9F51-EA247DBE82C8}" uniqueName="9" name="2006" queryTableFieldId="9"/>
    <tableColumn id="10" xr3:uid="{2902182B-EF9E-45B7-A3FC-96ABC7394C63}" uniqueName="10" name="2007" queryTableFieldId="10"/>
    <tableColumn id="11" xr3:uid="{6301E979-D5BC-47FB-AA07-ED67B4A605A9}" uniqueName="11" name="2008" queryTableFieldId="11"/>
    <tableColumn id="12" xr3:uid="{96F5A276-1126-457C-B978-C2FE33238CDF}" uniqueName="12" name="2009" queryTableFieldId="12"/>
    <tableColumn id="13" xr3:uid="{6C1EA7EB-9F9B-4648-8C03-F4962D44EFF1}" uniqueName="13" name="2010" queryTableFieldId="13"/>
    <tableColumn id="14" xr3:uid="{FB524080-ECDC-4958-9BF8-681F98AA2E5E}" uniqueName="14" name="2011" queryTableFieldId="14"/>
    <tableColumn id="15" xr3:uid="{03615877-0CA3-4CAB-B596-5D6EA67AC1AA}" uniqueName="15" name="2012" queryTableFieldId="15"/>
    <tableColumn id="16" xr3:uid="{A0ADB7E4-3FE1-45C2-B53D-D6E54C88FD9C}" uniqueName="16" name="2013" queryTableFieldId="16"/>
    <tableColumn id="17" xr3:uid="{453A3130-8790-4DB9-9956-04E454353EBC}" uniqueName="17" name="2014" queryTableFieldId="17"/>
    <tableColumn id="18" xr3:uid="{55FC058E-54C6-45DF-B849-203D4C1A7EC5}" uniqueName="18" name="2015" queryTableFieldId="18"/>
    <tableColumn id="19" xr3:uid="{4DB64DA6-A3FD-4AD3-831C-70614318CC1B}" uniqueName="19" name="2016" queryTableFieldId="19"/>
    <tableColumn id="20" xr3:uid="{E03192E4-42DD-4CCA-BCE9-C4F2215684C7}" uniqueName="20" name="2017" queryTableFieldId="20"/>
    <tableColumn id="21" xr3:uid="{2C78AE53-CACC-40A9-9559-D077F1E2063D}" uniqueName="21" name="2018" queryTableFieldId="21"/>
    <tableColumn id="22" xr3:uid="{55717A44-2D93-4CC9-AF90-45BF469A3FDD}" uniqueName="22" name="2019" queryTableFieldId="22"/>
    <tableColumn id="23" xr3:uid="{C4E26A97-A226-424F-A3FB-B40DB8D3CD52}" uniqueName="23" name="2020" queryTableFieldId="23"/>
    <tableColumn id="24" xr3:uid="{D8625919-B98B-4AB1-A214-69186959EE35}" uniqueName="24" name="2021" queryTableFieldId="24"/>
    <tableColumn id="25" xr3:uid="{A81CD111-F219-4B82-95F5-1FCF1DD34905}" uniqueName="25" name="2022" queryTableFieldId="25"/>
    <tableColumn id="26" xr3:uid="{5C3C0C13-96E6-46BD-A6E1-5A35566AEC3E}" uniqueName="26" name="2023" queryTableFieldId="2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37099B-B8AC-4BD6-A729-F7444B7D4440}" name="Electricity_Access__2" displayName="Electricity_Access__2" ref="A1:I1137" tableType="queryTable" totalsRowShown="0">
  <autoFilter ref="A1:I1137" xr:uid="{1537099B-B8AC-4BD6-A729-F7444B7D4440}">
    <filterColumn colId="3">
      <filters>
        <filter val="2023"/>
      </filters>
    </filterColumn>
  </autoFilter>
  <tableColumns count="9">
    <tableColumn id="1" xr3:uid="{504AC342-CDEC-42CC-8EA9-A4FA3F003E60}" uniqueName="1" name="Country Name" queryTableFieldId="1" dataDxfId="14"/>
    <tableColumn id="9" xr3:uid="{E1FF6072-0F39-4094-BD59-5660BAAFEC06}" uniqueName="9" name="Region" queryTableFieldId="9" dataDxfId="13"/>
    <tableColumn id="2" xr3:uid="{8E148AE6-E50E-4E36-BF8E-047B35783179}" uniqueName="2" name="IncomeGroup" queryTableFieldId="2" dataDxfId="12"/>
    <tableColumn id="3" xr3:uid="{C8D82FC4-60D6-436B-8FFB-F49BCB39167F}" uniqueName="3" name="Year" queryTableFieldId="3" dataDxfId="11"/>
    <tableColumn id="4" xr3:uid="{C4D51CF3-07EC-4C25-B09F-FF8C1AA4095F}" uniqueName="4" name="Electricity-Access %" queryTableFieldId="4"/>
    <tableColumn id="10" xr3:uid="{2CB3CDCE-A5B8-493A-94DE-E2242117D8EC}" uniqueName="10" name="Slope %" queryTableFieldId="11" dataDxfId="10">
      <calculatedColumnFormula>SLOPE(
  OFFSET($E$1, MATCH($A2, $A:$A, 0)-1, 0, 24, 1),
  OFFSET($D$1, MATCH($A2, $A:$A, 0)-1, 0, 24, 1)
)</calculatedColumnFormula>
    </tableColumn>
    <tableColumn id="15" xr3:uid="{F0DC6A12-CDFB-40D3-8AB8-11F8BC73BE32}" uniqueName="15" name="Intercept %" queryTableFieldId="12" dataDxfId="9">
      <calculatedColumnFormula>INTERCEPT(
  OFFSET($E$1, MATCH($A2, $A:$A, 0)-1, 0, 24, 1),
  OFFSET($D$1, MATCH($A2, $A:$A, 0)-1, 0, 24, 1)
)</calculatedColumnFormula>
    </tableColumn>
    <tableColumn id="16" xr3:uid="{BD1FD5E8-112E-48F2-AD10-F45C12925C56}" uniqueName="16" name="2030 Prediction %" queryTableFieldId="13" dataDxfId="8">
      <calculatedColumnFormula array="1">MIN(
  INDEX($E:$E, MATCH($A2, $A:$A, 0) + 23) +
  (F2 * (2030 - 2023)),
  100
)</calculatedColumnFormula>
    </tableColumn>
    <tableColumn id="18" xr3:uid="{76B02F4D-E951-4F62-A9EA-0ABA09854727}" uniqueName="18" name="Clasification" queryTableFieldId="15" dataDxfId="7">
      <calculatedColumnFormula>IF(Electricity_Access__2[[#This Row],[2030 Prediction %]]&gt;=95, "On Track",
   IF(Electricity_Access__2[[#This Row],[2030 Prediction %]]&gt;=80, "Moderate Gap",
   "Significantly Off Track"))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2B462-56D6-4447-8B2C-AB2CEB614C40}" name="Merge1" displayName="Merge1" ref="A1:L603" tableType="queryTable" totalsRowShown="0">
  <autoFilter ref="A1:L603" xr:uid="{67A2B462-56D6-4447-8B2C-AB2CEB614C40}">
    <filterColumn colId="0">
      <filters>
        <filter val="Algeria"/>
        <filter val="Angola"/>
        <filter val="Benin"/>
        <filter val="Botswana"/>
        <filter val="Burkina Faso"/>
        <filter val="Burundi"/>
        <filter val="Cabo Verde"/>
        <filter val="Cameroon"/>
        <filter val="Chad"/>
        <filter val="Djibouti"/>
        <filter val="Equatorial Guinea"/>
        <filter val="Eritrea"/>
        <filter val="Eswatini"/>
        <filter val="Ethiopia"/>
        <filter val="Gabon"/>
        <filter val="Ghana"/>
        <filter val="Guinea"/>
        <filter val="Guinea-Bissau"/>
        <filter val="Kenya"/>
        <filter val="Lesotho"/>
        <filter val="Liberia"/>
        <filter val="Libya"/>
        <filter val="Madagascar"/>
        <filter val="Malawi"/>
        <filter val="Mali"/>
        <filter val="Mauritania"/>
        <filter val="Mauritius"/>
        <filter val="Morocco"/>
        <filter val="Mozambique"/>
        <filter val="Namibia"/>
        <filter val="Nigeria"/>
        <filter val="Rwanda"/>
        <filter val="Sao Tome and Principe"/>
        <filter val="Senegal"/>
        <filter val="Seychelles"/>
        <filter val="Sierra Leone"/>
        <filter val="South Africa"/>
        <filter val="South Sudan"/>
        <filter val="Togo"/>
        <filter val="Tunisia"/>
        <filter val="Uganda"/>
        <filter val="Zambia"/>
        <filter val="Zimbabwe"/>
      </filters>
    </filterColumn>
    <filterColumn colId="3">
      <filters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</filters>
    </filterColumn>
    <filterColumn colId="6">
      <customFilters>
        <customFilter operator="greaterThan" val="30"/>
      </customFilters>
    </filterColumn>
    <filterColumn colId="7">
      <filters>
        <filter val="1"/>
      </filters>
    </filterColumn>
    <filterColumn colId="11">
      <customFilters>
        <customFilter operator="notEqual" val=" "/>
      </customFilters>
    </filterColumn>
  </autoFilter>
  <sortState xmlns:xlrd2="http://schemas.microsoft.com/office/spreadsheetml/2017/richdata2" ref="A10:H589">
    <sortCondition ref="A1:A603"/>
  </sortState>
  <tableColumns count="12">
    <tableColumn id="1" xr3:uid="{852FF208-1929-400E-AF10-48776F9BC5D3}" uniqueName="1" name="Country Name" queryTableFieldId="1" dataDxfId="6"/>
    <tableColumn id="2" xr3:uid="{3C48507B-FD29-4944-8182-9A971E8E8927}" uniqueName="2" name="Region" queryTableFieldId="2" dataDxfId="5"/>
    <tableColumn id="3" xr3:uid="{71F91F7B-A3B2-4412-9633-1C96EF81D60E}" uniqueName="3" name="IncomeGroup" queryTableFieldId="3" dataDxfId="4"/>
    <tableColumn id="4" xr3:uid="{E68A32CC-1FA9-4DBE-B8C3-385906A15684}" uniqueName="4" name="Year" queryTableFieldId="4"/>
    <tableColumn id="5" xr3:uid="{CA777C7C-3808-4AC0-9D63-5BF08A362868}" uniqueName="5" name="Electricity-Access %" queryTableFieldId="5"/>
    <tableColumn id="6" xr3:uid="{EAE1B8CA-67DA-48FD-9739-798870F9016B}" uniqueName="6" name="RE-Share (2).Share (%)" queryTableFieldId="6"/>
    <tableColumn id="7" xr3:uid="{AC5619DC-CC01-47AF-9121-204E85EDC916}" uniqueName="7" name="Discrepancy" queryTableFieldId="7"/>
    <tableColumn id="9" xr3:uid="{136D6494-3B6A-41A4-A2F4-26B26159605D}" uniqueName="9" name="High Discrepancy" queryTableFieldId="9"/>
    <tableColumn id="8" xr3:uid="{FE630BC2-0121-4310-A1FF-17E190565B2A}" uniqueName="8" name="High Discrepancy2" queryTableFieldId="12" dataDxfId="3">
      <calculatedColumnFormula>IF(Merge1[[#This Row],[Discrepancy]]&gt;=40,1,0)</calculatedColumnFormula>
    </tableColumn>
    <tableColumn id="11" xr3:uid="{0EFA819E-4334-4237-87B5-BC985E172C8A}" uniqueName="11" name="Is 2023 High" queryTableFieldId="14" dataDxfId="2">
      <calculatedColumnFormula>IF(Merge1[[#This Row],[Year]]=2023,Merge1[[#This Row],[High Discrepancy2]],"")</calculatedColumnFormula>
    </tableColumn>
    <tableColumn id="12" xr3:uid="{C16B94B2-7C65-498F-8888-5726724B2009}" uniqueName="12" name="Consecutive from 2023" queryTableFieldId="15" dataDxfId="1">
      <calculatedColumnFormula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calculatedColumnFormula>
    </tableColumn>
    <tableColumn id="13" xr3:uid="{F3D2B7E6-E5BF-4153-92BD-614AD1B635A7}" uniqueName="13" name="Flag" queryTableFieldId="16" dataDxfId="0">
      <calculatedColumnFormula>IF(Merge1[[#This Row],[Consecutive from 2023]]&gt;=5,"ALERT","")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1358-6F47-496F-9B55-A701A2FAF99D}">
  <dimension ref="A1:E5673"/>
  <sheetViews>
    <sheetView workbookViewId="0">
      <selection activeCell="D16" sqref="D16"/>
    </sheetView>
  </sheetViews>
  <sheetFormatPr defaultRowHeight="14.5" x14ac:dyDescent="0.35"/>
  <cols>
    <col min="1" max="1" width="19.1796875" bestFit="1" customWidth="1"/>
    <col min="2" max="2" width="23.81640625" bestFit="1" customWidth="1"/>
    <col min="3" max="3" width="28.81640625" bestFit="1" customWidth="1"/>
    <col min="4" max="4" width="16.81640625" bestFit="1" customWidth="1"/>
    <col min="5" max="5" width="10.7265625" bestFit="1" customWidth="1"/>
  </cols>
  <sheetData>
    <row r="1" spans="1:5" x14ac:dyDescent="0.35">
      <c r="A1" t="s">
        <v>139</v>
      </c>
      <c r="B1" t="s">
        <v>140</v>
      </c>
      <c r="C1" t="s">
        <v>141</v>
      </c>
      <c r="D1" t="s">
        <v>142</v>
      </c>
      <c r="E1" t="s">
        <v>143</v>
      </c>
    </row>
    <row r="2" spans="1:5" x14ac:dyDescent="0.35">
      <c r="A2" s="1" t="s">
        <v>53</v>
      </c>
      <c r="B2" s="1" t="s">
        <v>144</v>
      </c>
      <c r="C2" s="1" t="s">
        <v>145</v>
      </c>
      <c r="D2" s="1" t="s">
        <v>146</v>
      </c>
      <c r="E2">
        <v>600.70000000000005</v>
      </c>
    </row>
    <row r="3" spans="1:5" x14ac:dyDescent="0.35">
      <c r="A3" s="1" t="s">
        <v>147</v>
      </c>
      <c r="B3" s="1"/>
      <c r="C3" s="1"/>
      <c r="D3" s="1" t="s">
        <v>148</v>
      </c>
      <c r="E3">
        <v>542.85</v>
      </c>
    </row>
    <row r="4" spans="1:5" x14ac:dyDescent="0.35">
      <c r="A4" s="1" t="s">
        <v>147</v>
      </c>
      <c r="B4" s="1"/>
      <c r="C4" s="1"/>
      <c r="D4" s="1" t="s">
        <v>149</v>
      </c>
      <c r="E4">
        <v>57.85</v>
      </c>
    </row>
    <row r="5" spans="1:5" x14ac:dyDescent="0.35">
      <c r="A5" s="1" t="s">
        <v>147</v>
      </c>
      <c r="B5" s="1"/>
      <c r="C5" s="1" t="s">
        <v>150</v>
      </c>
      <c r="D5" s="1" t="s">
        <v>146</v>
      </c>
      <c r="E5" t="s">
        <v>136</v>
      </c>
    </row>
    <row r="6" spans="1:5" x14ac:dyDescent="0.35">
      <c r="A6" s="1" t="s">
        <v>147</v>
      </c>
      <c r="B6" s="1"/>
      <c r="C6" s="1"/>
      <c r="D6" s="1" t="s">
        <v>148</v>
      </c>
      <c r="E6" t="s">
        <v>136</v>
      </c>
    </row>
    <row r="7" spans="1:5" x14ac:dyDescent="0.35">
      <c r="A7" s="1" t="s">
        <v>147</v>
      </c>
      <c r="B7" s="1"/>
      <c r="C7" s="1"/>
      <c r="D7" s="1" t="s">
        <v>149</v>
      </c>
      <c r="E7" t="s">
        <v>136</v>
      </c>
    </row>
    <row r="8" spans="1:5" x14ac:dyDescent="0.35">
      <c r="A8" s="1" t="s">
        <v>147</v>
      </c>
      <c r="B8" s="1" t="s">
        <v>151</v>
      </c>
      <c r="C8" s="1" t="s">
        <v>145</v>
      </c>
      <c r="D8" s="1" t="s">
        <v>146</v>
      </c>
      <c r="E8">
        <v>436.8</v>
      </c>
    </row>
    <row r="9" spans="1:5" x14ac:dyDescent="0.35">
      <c r="A9" s="1" t="s">
        <v>147</v>
      </c>
      <c r="B9" s="1"/>
      <c r="C9" s="1"/>
      <c r="D9" s="1" t="s">
        <v>148</v>
      </c>
      <c r="E9">
        <v>388.95</v>
      </c>
    </row>
    <row r="10" spans="1:5" x14ac:dyDescent="0.35">
      <c r="A10" s="1" t="s">
        <v>147</v>
      </c>
      <c r="B10" s="1"/>
      <c r="C10" s="1"/>
      <c r="D10" s="1" t="s">
        <v>149</v>
      </c>
      <c r="E10">
        <v>47.85</v>
      </c>
    </row>
    <row r="11" spans="1:5" x14ac:dyDescent="0.35">
      <c r="A11" s="1" t="s">
        <v>147</v>
      </c>
      <c r="B11" s="1"/>
      <c r="C11" s="1" t="s">
        <v>150</v>
      </c>
      <c r="D11" s="1" t="s">
        <v>146</v>
      </c>
      <c r="E11" t="s">
        <v>136</v>
      </c>
    </row>
    <row r="12" spans="1:5" x14ac:dyDescent="0.35">
      <c r="A12" s="1" t="s">
        <v>147</v>
      </c>
      <c r="B12" s="1"/>
      <c r="C12" s="1"/>
      <c r="D12" s="1" t="s">
        <v>148</v>
      </c>
      <c r="E12" t="s">
        <v>136</v>
      </c>
    </row>
    <row r="13" spans="1:5" x14ac:dyDescent="0.35">
      <c r="A13" s="1" t="s">
        <v>147</v>
      </c>
      <c r="B13" s="1"/>
      <c r="C13" s="1"/>
      <c r="D13" s="1" t="s">
        <v>149</v>
      </c>
      <c r="E13" t="s">
        <v>136</v>
      </c>
    </row>
    <row r="14" spans="1:5" x14ac:dyDescent="0.35">
      <c r="A14" s="1" t="s">
        <v>147</v>
      </c>
      <c r="B14" s="1" t="s">
        <v>152</v>
      </c>
      <c r="C14" s="1" t="s">
        <v>145</v>
      </c>
      <c r="D14" s="1" t="s">
        <v>146</v>
      </c>
      <c r="E14">
        <v>25</v>
      </c>
    </row>
    <row r="15" spans="1:5" x14ac:dyDescent="0.35">
      <c r="A15" s="1" t="s">
        <v>147</v>
      </c>
      <c r="B15" s="1"/>
      <c r="C15" s="1"/>
      <c r="D15" s="1" t="s">
        <v>148</v>
      </c>
      <c r="E15">
        <v>25</v>
      </c>
    </row>
    <row r="16" spans="1:5" x14ac:dyDescent="0.35">
      <c r="A16" s="1" t="s">
        <v>147</v>
      </c>
      <c r="B16" s="1"/>
      <c r="C16" s="1"/>
      <c r="D16" s="1" t="s">
        <v>149</v>
      </c>
      <c r="E16" t="s">
        <v>136</v>
      </c>
    </row>
    <row r="17" spans="1:5" x14ac:dyDescent="0.35">
      <c r="A17" s="1" t="s">
        <v>147</v>
      </c>
      <c r="B17" s="1"/>
      <c r="C17" s="1" t="s">
        <v>150</v>
      </c>
      <c r="D17" s="1" t="s">
        <v>146</v>
      </c>
      <c r="E17" t="s">
        <v>136</v>
      </c>
    </row>
    <row r="18" spans="1:5" x14ac:dyDescent="0.35">
      <c r="A18" s="1" t="s">
        <v>147</v>
      </c>
      <c r="B18" s="1"/>
      <c r="C18" s="1"/>
      <c r="D18" s="1" t="s">
        <v>148</v>
      </c>
      <c r="E18" t="s">
        <v>136</v>
      </c>
    </row>
    <row r="19" spans="1:5" x14ac:dyDescent="0.35">
      <c r="A19" s="1" t="s">
        <v>147</v>
      </c>
      <c r="B19" s="1"/>
      <c r="C19" s="1"/>
      <c r="D19" s="1" t="s">
        <v>149</v>
      </c>
      <c r="E19" t="s">
        <v>136</v>
      </c>
    </row>
    <row r="20" spans="1:5" x14ac:dyDescent="0.35">
      <c r="A20" s="1" t="s">
        <v>147</v>
      </c>
      <c r="B20" s="1" t="s">
        <v>153</v>
      </c>
      <c r="C20" s="1" t="s">
        <v>145</v>
      </c>
      <c r="D20" s="1" t="s">
        <v>146</v>
      </c>
      <c r="E20">
        <v>10</v>
      </c>
    </row>
    <row r="21" spans="1:5" x14ac:dyDescent="0.35">
      <c r="A21" s="1" t="s">
        <v>147</v>
      </c>
      <c r="B21" s="1"/>
      <c r="C21" s="1"/>
      <c r="D21" s="1" t="s">
        <v>148</v>
      </c>
      <c r="E21" t="s">
        <v>136</v>
      </c>
    </row>
    <row r="22" spans="1:5" x14ac:dyDescent="0.35">
      <c r="A22" s="1" t="s">
        <v>147</v>
      </c>
      <c r="B22" s="1"/>
      <c r="C22" s="1"/>
      <c r="D22" s="1" t="s">
        <v>149</v>
      </c>
      <c r="E22">
        <v>10</v>
      </c>
    </row>
    <row r="23" spans="1:5" x14ac:dyDescent="0.35">
      <c r="A23" s="1" t="s">
        <v>147</v>
      </c>
      <c r="B23" s="1"/>
      <c r="C23" s="1" t="s">
        <v>150</v>
      </c>
      <c r="D23" s="1" t="s">
        <v>146</v>
      </c>
      <c r="E23" t="s">
        <v>136</v>
      </c>
    </row>
    <row r="24" spans="1:5" x14ac:dyDescent="0.35">
      <c r="A24" s="1" t="s">
        <v>147</v>
      </c>
      <c r="B24" s="1"/>
      <c r="C24" s="1"/>
      <c r="D24" s="1" t="s">
        <v>148</v>
      </c>
      <c r="E24" t="s">
        <v>136</v>
      </c>
    </row>
    <row r="25" spans="1:5" x14ac:dyDescent="0.35">
      <c r="A25" s="1" t="s">
        <v>147</v>
      </c>
      <c r="B25" s="1"/>
      <c r="C25" s="1"/>
      <c r="D25" s="1" t="s">
        <v>149</v>
      </c>
      <c r="E25" t="s">
        <v>136</v>
      </c>
    </row>
    <row r="26" spans="1:5" x14ac:dyDescent="0.35">
      <c r="A26" s="1" t="s">
        <v>147</v>
      </c>
      <c r="B26" s="1" t="s">
        <v>154</v>
      </c>
      <c r="C26" s="1" t="s">
        <v>145</v>
      </c>
      <c r="D26" s="1" t="s">
        <v>146</v>
      </c>
      <c r="E26" t="s">
        <v>136</v>
      </c>
    </row>
    <row r="27" spans="1:5" x14ac:dyDescent="0.35">
      <c r="A27" s="1" t="s">
        <v>147</v>
      </c>
      <c r="B27" s="1"/>
      <c r="C27" s="1"/>
      <c r="D27" s="1" t="s">
        <v>148</v>
      </c>
      <c r="E27" t="s">
        <v>136</v>
      </c>
    </row>
    <row r="28" spans="1:5" x14ac:dyDescent="0.35">
      <c r="A28" s="1" t="s">
        <v>147</v>
      </c>
      <c r="B28" s="1"/>
      <c r="C28" s="1"/>
      <c r="D28" s="1" t="s">
        <v>149</v>
      </c>
      <c r="E28" t="s">
        <v>136</v>
      </c>
    </row>
    <row r="29" spans="1:5" x14ac:dyDescent="0.35">
      <c r="A29" s="1" t="s">
        <v>147</v>
      </c>
      <c r="B29" s="1"/>
      <c r="C29" s="1" t="s">
        <v>150</v>
      </c>
      <c r="D29" s="1" t="s">
        <v>146</v>
      </c>
      <c r="E29" t="s">
        <v>136</v>
      </c>
    </row>
    <row r="30" spans="1:5" x14ac:dyDescent="0.35">
      <c r="A30" s="1" t="s">
        <v>147</v>
      </c>
      <c r="B30" s="1"/>
      <c r="C30" s="1"/>
      <c r="D30" s="1" t="s">
        <v>148</v>
      </c>
      <c r="E30" t="s">
        <v>136</v>
      </c>
    </row>
    <row r="31" spans="1:5" x14ac:dyDescent="0.35">
      <c r="A31" s="1" t="s">
        <v>147</v>
      </c>
      <c r="B31" s="1"/>
      <c r="C31" s="1"/>
      <c r="D31" s="1" t="s">
        <v>149</v>
      </c>
      <c r="E31" t="s">
        <v>136</v>
      </c>
    </row>
    <row r="32" spans="1:5" x14ac:dyDescent="0.35">
      <c r="A32" s="1" t="s">
        <v>147</v>
      </c>
      <c r="B32" s="1" t="s">
        <v>155</v>
      </c>
      <c r="C32" s="1" t="s">
        <v>145</v>
      </c>
      <c r="D32" s="1" t="s">
        <v>146</v>
      </c>
      <c r="E32">
        <v>128.9</v>
      </c>
    </row>
    <row r="33" spans="1:5" x14ac:dyDescent="0.35">
      <c r="A33" s="1" t="s">
        <v>147</v>
      </c>
      <c r="B33" s="1"/>
      <c r="C33" s="1"/>
      <c r="D33" s="1" t="s">
        <v>148</v>
      </c>
      <c r="E33">
        <v>128.9</v>
      </c>
    </row>
    <row r="34" spans="1:5" x14ac:dyDescent="0.35">
      <c r="A34" s="1" t="s">
        <v>147</v>
      </c>
      <c r="B34" s="1"/>
      <c r="C34" s="1"/>
      <c r="D34" s="1" t="s">
        <v>149</v>
      </c>
      <c r="E34" t="s">
        <v>136</v>
      </c>
    </row>
    <row r="35" spans="1:5" x14ac:dyDescent="0.35">
      <c r="A35" s="1" t="s">
        <v>147</v>
      </c>
      <c r="B35" s="1"/>
      <c r="C35" s="1" t="s">
        <v>150</v>
      </c>
      <c r="D35" s="1" t="s">
        <v>146</v>
      </c>
      <c r="E35" t="s">
        <v>136</v>
      </c>
    </row>
    <row r="36" spans="1:5" x14ac:dyDescent="0.35">
      <c r="A36" s="1" t="s">
        <v>147</v>
      </c>
      <c r="B36" s="1"/>
      <c r="C36" s="1"/>
      <c r="D36" s="1" t="s">
        <v>148</v>
      </c>
      <c r="E36" t="s">
        <v>136</v>
      </c>
    </row>
    <row r="37" spans="1:5" x14ac:dyDescent="0.35">
      <c r="A37" s="1" t="s">
        <v>147</v>
      </c>
      <c r="B37" s="1"/>
      <c r="C37" s="1"/>
      <c r="D37" s="1" t="s">
        <v>149</v>
      </c>
      <c r="E37" t="s">
        <v>136</v>
      </c>
    </row>
    <row r="38" spans="1:5" x14ac:dyDescent="0.35">
      <c r="A38" s="1" t="s">
        <v>147</v>
      </c>
      <c r="B38" s="1" t="s">
        <v>156</v>
      </c>
      <c r="C38" s="1" t="s">
        <v>145</v>
      </c>
      <c r="D38" s="1" t="s">
        <v>146</v>
      </c>
      <c r="E38" t="s">
        <v>136</v>
      </c>
    </row>
    <row r="39" spans="1:5" x14ac:dyDescent="0.35">
      <c r="A39" s="1" t="s">
        <v>147</v>
      </c>
      <c r="B39" s="1"/>
      <c r="C39" s="1"/>
      <c r="D39" s="1" t="s">
        <v>148</v>
      </c>
      <c r="E39" t="s">
        <v>136</v>
      </c>
    </row>
    <row r="40" spans="1:5" x14ac:dyDescent="0.35">
      <c r="A40" s="1" t="s">
        <v>147</v>
      </c>
      <c r="B40" s="1"/>
      <c r="C40" s="1"/>
      <c r="D40" s="1" t="s">
        <v>149</v>
      </c>
      <c r="E40" t="s">
        <v>136</v>
      </c>
    </row>
    <row r="41" spans="1:5" x14ac:dyDescent="0.35">
      <c r="A41" s="1" t="s">
        <v>147</v>
      </c>
      <c r="B41" s="1"/>
      <c r="C41" s="1" t="s">
        <v>150</v>
      </c>
      <c r="D41" s="1" t="s">
        <v>146</v>
      </c>
      <c r="E41" t="s">
        <v>136</v>
      </c>
    </row>
    <row r="42" spans="1:5" x14ac:dyDescent="0.35">
      <c r="A42" s="1" t="s">
        <v>147</v>
      </c>
      <c r="B42" s="1"/>
      <c r="C42" s="1"/>
      <c r="D42" s="1" t="s">
        <v>148</v>
      </c>
      <c r="E42" t="s">
        <v>136</v>
      </c>
    </row>
    <row r="43" spans="1:5" x14ac:dyDescent="0.35">
      <c r="A43" s="1" t="s">
        <v>147</v>
      </c>
      <c r="B43" s="1"/>
      <c r="C43" s="1"/>
      <c r="D43" s="1" t="s">
        <v>149</v>
      </c>
      <c r="E43" t="s">
        <v>136</v>
      </c>
    </row>
    <row r="44" spans="1:5" x14ac:dyDescent="0.35">
      <c r="A44" s="1" t="s">
        <v>147</v>
      </c>
      <c r="B44" s="1" t="s">
        <v>157</v>
      </c>
      <c r="C44" s="1" t="s">
        <v>145</v>
      </c>
      <c r="D44" s="1" t="s">
        <v>146</v>
      </c>
      <c r="E44" t="s">
        <v>136</v>
      </c>
    </row>
    <row r="45" spans="1:5" x14ac:dyDescent="0.35">
      <c r="A45" s="1" t="s">
        <v>147</v>
      </c>
      <c r="B45" s="1"/>
      <c r="C45" s="1"/>
      <c r="D45" s="1" t="s">
        <v>148</v>
      </c>
      <c r="E45" t="s">
        <v>136</v>
      </c>
    </row>
    <row r="46" spans="1:5" x14ac:dyDescent="0.35">
      <c r="A46" s="1" t="s">
        <v>147</v>
      </c>
      <c r="B46" s="1"/>
      <c r="C46" s="1"/>
      <c r="D46" s="1" t="s">
        <v>149</v>
      </c>
      <c r="E46" t="s">
        <v>136</v>
      </c>
    </row>
    <row r="47" spans="1:5" x14ac:dyDescent="0.35">
      <c r="A47" s="1" t="s">
        <v>147</v>
      </c>
      <c r="B47" s="1"/>
      <c r="C47" s="1" t="s">
        <v>150</v>
      </c>
      <c r="D47" s="1" t="s">
        <v>146</v>
      </c>
      <c r="E47" t="s">
        <v>136</v>
      </c>
    </row>
    <row r="48" spans="1:5" x14ac:dyDescent="0.35">
      <c r="A48" s="1" t="s">
        <v>147</v>
      </c>
      <c r="B48" s="1"/>
      <c r="C48" s="1"/>
      <c r="D48" s="1" t="s">
        <v>148</v>
      </c>
      <c r="E48" t="s">
        <v>136</v>
      </c>
    </row>
    <row r="49" spans="1:5" x14ac:dyDescent="0.35">
      <c r="A49" s="1" t="s">
        <v>147</v>
      </c>
      <c r="B49" s="1"/>
      <c r="C49" s="1"/>
      <c r="D49" s="1" t="s">
        <v>149</v>
      </c>
      <c r="E49" t="s">
        <v>136</v>
      </c>
    </row>
    <row r="50" spans="1:5" x14ac:dyDescent="0.35">
      <c r="A50" s="1" t="s">
        <v>147</v>
      </c>
      <c r="B50" s="1" t="s">
        <v>158</v>
      </c>
      <c r="C50" s="1" t="s">
        <v>145</v>
      </c>
      <c r="D50" s="1" t="s">
        <v>146</v>
      </c>
      <c r="E50" t="s">
        <v>136</v>
      </c>
    </row>
    <row r="51" spans="1:5" x14ac:dyDescent="0.35">
      <c r="A51" s="1" t="s">
        <v>147</v>
      </c>
      <c r="B51" s="1"/>
      <c r="C51" s="1"/>
      <c r="D51" s="1" t="s">
        <v>148</v>
      </c>
      <c r="E51" t="s">
        <v>136</v>
      </c>
    </row>
    <row r="52" spans="1:5" x14ac:dyDescent="0.35">
      <c r="A52" s="1" t="s">
        <v>147</v>
      </c>
      <c r="B52" s="1"/>
      <c r="C52" s="1"/>
      <c r="D52" s="1" t="s">
        <v>149</v>
      </c>
      <c r="E52" t="s">
        <v>136</v>
      </c>
    </row>
    <row r="53" spans="1:5" x14ac:dyDescent="0.35">
      <c r="A53" s="1" t="s">
        <v>147</v>
      </c>
      <c r="B53" s="1"/>
      <c r="C53" s="1" t="s">
        <v>150</v>
      </c>
      <c r="D53" s="1" t="s">
        <v>146</v>
      </c>
      <c r="E53" t="s">
        <v>136</v>
      </c>
    </row>
    <row r="54" spans="1:5" x14ac:dyDescent="0.35">
      <c r="A54" s="1" t="s">
        <v>147</v>
      </c>
      <c r="B54" s="1"/>
      <c r="C54" s="1"/>
      <c r="D54" s="1" t="s">
        <v>148</v>
      </c>
      <c r="E54" t="s">
        <v>136</v>
      </c>
    </row>
    <row r="55" spans="1:5" x14ac:dyDescent="0.35">
      <c r="A55" s="1" t="s">
        <v>147</v>
      </c>
      <c r="B55" s="1"/>
      <c r="C55" s="1"/>
      <c r="D55" s="1" t="s">
        <v>149</v>
      </c>
      <c r="E55" t="s">
        <v>136</v>
      </c>
    </row>
    <row r="56" spans="1:5" x14ac:dyDescent="0.35">
      <c r="A56" s="1" t="s">
        <v>147</v>
      </c>
      <c r="B56" s="1" t="s">
        <v>159</v>
      </c>
      <c r="C56" s="1" t="s">
        <v>145</v>
      </c>
      <c r="D56" s="1" t="s">
        <v>146</v>
      </c>
      <c r="E56" t="s">
        <v>136</v>
      </c>
    </row>
    <row r="57" spans="1:5" x14ac:dyDescent="0.35">
      <c r="A57" s="1" t="s">
        <v>147</v>
      </c>
      <c r="B57" s="1"/>
      <c r="C57" s="1"/>
      <c r="D57" s="1" t="s">
        <v>148</v>
      </c>
      <c r="E57" t="s">
        <v>136</v>
      </c>
    </row>
    <row r="58" spans="1:5" x14ac:dyDescent="0.35">
      <c r="A58" s="1" t="s">
        <v>147</v>
      </c>
      <c r="B58" s="1"/>
      <c r="C58" s="1"/>
      <c r="D58" s="1" t="s">
        <v>149</v>
      </c>
      <c r="E58" t="s">
        <v>136</v>
      </c>
    </row>
    <row r="59" spans="1:5" x14ac:dyDescent="0.35">
      <c r="A59" s="1" t="s">
        <v>147</v>
      </c>
      <c r="B59" s="1"/>
      <c r="C59" s="1" t="s">
        <v>150</v>
      </c>
      <c r="D59" s="1" t="s">
        <v>146</v>
      </c>
      <c r="E59" t="s">
        <v>136</v>
      </c>
    </row>
    <row r="60" spans="1:5" x14ac:dyDescent="0.35">
      <c r="A60" s="1" t="s">
        <v>147</v>
      </c>
      <c r="B60" s="1"/>
      <c r="C60" s="1"/>
      <c r="D60" s="1" t="s">
        <v>148</v>
      </c>
      <c r="E60" t="s">
        <v>136</v>
      </c>
    </row>
    <row r="61" spans="1:5" x14ac:dyDescent="0.35">
      <c r="A61" s="1" t="s">
        <v>147</v>
      </c>
      <c r="B61" s="1"/>
      <c r="C61" s="1"/>
      <c r="D61" s="1" t="s">
        <v>149</v>
      </c>
      <c r="E61" t="s">
        <v>136</v>
      </c>
    </row>
    <row r="62" spans="1:5" x14ac:dyDescent="0.35">
      <c r="A62" s="1" t="s">
        <v>147</v>
      </c>
      <c r="B62" s="1" t="s">
        <v>160</v>
      </c>
      <c r="C62" s="1" t="s">
        <v>145</v>
      </c>
      <c r="D62" s="1" t="s">
        <v>146</v>
      </c>
      <c r="E62" t="s">
        <v>136</v>
      </c>
    </row>
    <row r="63" spans="1:5" x14ac:dyDescent="0.35">
      <c r="A63" s="1" t="s">
        <v>147</v>
      </c>
      <c r="B63" s="1"/>
      <c r="C63" s="1"/>
      <c r="D63" s="1" t="s">
        <v>148</v>
      </c>
      <c r="E63" t="s">
        <v>136</v>
      </c>
    </row>
    <row r="64" spans="1:5" x14ac:dyDescent="0.35">
      <c r="A64" s="1" t="s">
        <v>147</v>
      </c>
      <c r="B64" s="1"/>
      <c r="C64" s="1"/>
      <c r="D64" s="1" t="s">
        <v>149</v>
      </c>
      <c r="E64" t="s">
        <v>136</v>
      </c>
    </row>
    <row r="65" spans="1:5" x14ac:dyDescent="0.35">
      <c r="A65" s="1" t="s">
        <v>147</v>
      </c>
      <c r="B65" s="1"/>
      <c r="C65" s="1" t="s">
        <v>150</v>
      </c>
      <c r="D65" s="1" t="s">
        <v>146</v>
      </c>
      <c r="E65" t="s">
        <v>136</v>
      </c>
    </row>
    <row r="66" spans="1:5" x14ac:dyDescent="0.35">
      <c r="A66" s="1" t="s">
        <v>147</v>
      </c>
      <c r="B66" s="1"/>
      <c r="C66" s="1"/>
      <c r="D66" s="1" t="s">
        <v>148</v>
      </c>
      <c r="E66" t="s">
        <v>136</v>
      </c>
    </row>
    <row r="67" spans="1:5" x14ac:dyDescent="0.35">
      <c r="A67" s="1" t="s">
        <v>147</v>
      </c>
      <c r="B67" s="1"/>
      <c r="C67" s="1"/>
      <c r="D67" s="1" t="s">
        <v>149</v>
      </c>
      <c r="E67" t="s">
        <v>136</v>
      </c>
    </row>
    <row r="68" spans="1:5" x14ac:dyDescent="0.35">
      <c r="A68" s="1" t="s">
        <v>147</v>
      </c>
      <c r="B68" s="1" t="s">
        <v>161</v>
      </c>
      <c r="C68" s="1" t="s">
        <v>145</v>
      </c>
      <c r="D68" s="1" t="s">
        <v>146</v>
      </c>
      <c r="E68" t="s">
        <v>136</v>
      </c>
    </row>
    <row r="69" spans="1:5" x14ac:dyDescent="0.35">
      <c r="A69" s="1" t="s">
        <v>147</v>
      </c>
      <c r="B69" s="1"/>
      <c r="C69" s="1"/>
      <c r="D69" s="1" t="s">
        <v>148</v>
      </c>
      <c r="E69" t="s">
        <v>136</v>
      </c>
    </row>
    <row r="70" spans="1:5" x14ac:dyDescent="0.35">
      <c r="A70" s="1" t="s">
        <v>147</v>
      </c>
      <c r="B70" s="1"/>
      <c r="C70" s="1"/>
      <c r="D70" s="1" t="s">
        <v>149</v>
      </c>
      <c r="E70" t="s">
        <v>136</v>
      </c>
    </row>
    <row r="71" spans="1:5" x14ac:dyDescent="0.35">
      <c r="A71" s="1" t="s">
        <v>147</v>
      </c>
      <c r="B71" s="1"/>
      <c r="C71" s="1" t="s">
        <v>150</v>
      </c>
      <c r="D71" s="1" t="s">
        <v>146</v>
      </c>
      <c r="E71" t="s">
        <v>136</v>
      </c>
    </row>
    <row r="72" spans="1:5" x14ac:dyDescent="0.35">
      <c r="A72" s="1" t="s">
        <v>147</v>
      </c>
      <c r="B72" s="1"/>
      <c r="C72" s="1"/>
      <c r="D72" s="1" t="s">
        <v>148</v>
      </c>
      <c r="E72" t="s">
        <v>136</v>
      </c>
    </row>
    <row r="73" spans="1:5" x14ac:dyDescent="0.35">
      <c r="A73" s="1" t="s">
        <v>147</v>
      </c>
      <c r="B73" s="1"/>
      <c r="C73" s="1"/>
      <c r="D73" s="1" t="s">
        <v>149</v>
      </c>
      <c r="E73" t="s">
        <v>136</v>
      </c>
    </row>
    <row r="74" spans="1:5" x14ac:dyDescent="0.35">
      <c r="A74" s="1" t="s">
        <v>147</v>
      </c>
      <c r="B74" s="1" t="s">
        <v>162</v>
      </c>
      <c r="C74" s="1" t="s">
        <v>145</v>
      </c>
      <c r="D74" s="1" t="s">
        <v>146</v>
      </c>
      <c r="E74" t="s">
        <v>136</v>
      </c>
    </row>
    <row r="75" spans="1:5" x14ac:dyDescent="0.35">
      <c r="A75" s="1" t="s">
        <v>147</v>
      </c>
      <c r="B75" s="1"/>
      <c r="C75" s="1"/>
      <c r="D75" s="1" t="s">
        <v>148</v>
      </c>
      <c r="E75" t="s">
        <v>136</v>
      </c>
    </row>
    <row r="76" spans="1:5" x14ac:dyDescent="0.35">
      <c r="A76" s="1" t="s">
        <v>147</v>
      </c>
      <c r="B76" s="1"/>
      <c r="C76" s="1"/>
      <c r="D76" s="1" t="s">
        <v>149</v>
      </c>
      <c r="E76" t="s">
        <v>136</v>
      </c>
    </row>
    <row r="77" spans="1:5" x14ac:dyDescent="0.35">
      <c r="A77" s="1" t="s">
        <v>147</v>
      </c>
      <c r="B77" s="1"/>
      <c r="C77" s="1" t="s">
        <v>150</v>
      </c>
      <c r="D77" s="1" t="s">
        <v>146</v>
      </c>
      <c r="E77" t="s">
        <v>136</v>
      </c>
    </row>
    <row r="78" spans="1:5" x14ac:dyDescent="0.35">
      <c r="A78" s="1" t="s">
        <v>147</v>
      </c>
      <c r="B78" s="1"/>
      <c r="C78" s="1"/>
      <c r="D78" s="1" t="s">
        <v>148</v>
      </c>
      <c r="E78" t="s">
        <v>136</v>
      </c>
    </row>
    <row r="79" spans="1:5" x14ac:dyDescent="0.35">
      <c r="A79" s="1" t="s">
        <v>147</v>
      </c>
      <c r="B79" s="1"/>
      <c r="C79" s="1"/>
      <c r="D79" s="1" t="s">
        <v>149</v>
      </c>
      <c r="E79" t="s">
        <v>136</v>
      </c>
    </row>
    <row r="80" spans="1:5" x14ac:dyDescent="0.35">
      <c r="A80" s="1" t="s">
        <v>147</v>
      </c>
      <c r="B80" s="1" t="s">
        <v>163</v>
      </c>
      <c r="C80" s="1" t="s">
        <v>145</v>
      </c>
      <c r="D80" s="1" t="s">
        <v>146</v>
      </c>
      <c r="E80">
        <v>28132.86</v>
      </c>
    </row>
    <row r="81" spans="1:5" x14ac:dyDescent="0.35">
      <c r="A81" s="1" t="s">
        <v>147</v>
      </c>
      <c r="B81" s="1"/>
      <c r="C81" s="1"/>
      <c r="D81" s="1" t="s">
        <v>148</v>
      </c>
      <c r="E81">
        <v>26944.6</v>
      </c>
    </row>
    <row r="82" spans="1:5" x14ac:dyDescent="0.35">
      <c r="A82" s="1" t="s">
        <v>147</v>
      </c>
      <c r="B82" s="1"/>
      <c r="C82" s="1"/>
      <c r="D82" s="1" t="s">
        <v>149</v>
      </c>
      <c r="E82">
        <v>1188.26</v>
      </c>
    </row>
    <row r="83" spans="1:5" x14ac:dyDescent="0.35">
      <c r="A83" s="1" t="s">
        <v>147</v>
      </c>
      <c r="B83" s="1"/>
      <c r="C83" s="1" t="s">
        <v>150</v>
      </c>
      <c r="D83" s="1" t="s">
        <v>146</v>
      </c>
      <c r="E83" t="s">
        <v>136</v>
      </c>
    </row>
    <row r="84" spans="1:5" x14ac:dyDescent="0.35">
      <c r="A84" s="1" t="s">
        <v>147</v>
      </c>
      <c r="B84" s="1"/>
      <c r="C84" s="1"/>
      <c r="D84" s="1" t="s">
        <v>148</v>
      </c>
      <c r="E84" t="s">
        <v>136</v>
      </c>
    </row>
    <row r="85" spans="1:5" x14ac:dyDescent="0.35">
      <c r="A85" s="1" t="s">
        <v>147</v>
      </c>
      <c r="B85" s="1"/>
      <c r="C85" s="1"/>
      <c r="D85" s="1" t="s">
        <v>149</v>
      </c>
      <c r="E85" t="s">
        <v>136</v>
      </c>
    </row>
    <row r="86" spans="1:5" x14ac:dyDescent="0.35">
      <c r="A86" s="1" t="s">
        <v>147</v>
      </c>
      <c r="B86" s="1" t="s">
        <v>164</v>
      </c>
      <c r="C86" s="1" t="s">
        <v>145</v>
      </c>
      <c r="D86" s="1" t="s">
        <v>146</v>
      </c>
      <c r="E86" t="s">
        <v>136</v>
      </c>
    </row>
    <row r="87" spans="1:5" x14ac:dyDescent="0.35">
      <c r="A87" s="1" t="s">
        <v>147</v>
      </c>
      <c r="B87" s="1"/>
      <c r="C87" s="1"/>
      <c r="D87" s="1" t="s">
        <v>148</v>
      </c>
      <c r="E87" t="s">
        <v>136</v>
      </c>
    </row>
    <row r="88" spans="1:5" x14ac:dyDescent="0.35">
      <c r="A88" s="1" t="s">
        <v>147</v>
      </c>
      <c r="B88" s="1"/>
      <c r="C88" s="1"/>
      <c r="D88" s="1" t="s">
        <v>149</v>
      </c>
      <c r="E88" t="s">
        <v>136</v>
      </c>
    </row>
    <row r="89" spans="1:5" x14ac:dyDescent="0.35">
      <c r="A89" s="1" t="s">
        <v>147</v>
      </c>
      <c r="B89" s="1"/>
      <c r="C89" s="1" t="s">
        <v>150</v>
      </c>
      <c r="D89" s="1" t="s">
        <v>146</v>
      </c>
      <c r="E89" t="s">
        <v>136</v>
      </c>
    </row>
    <row r="90" spans="1:5" x14ac:dyDescent="0.35">
      <c r="A90" s="1" t="s">
        <v>147</v>
      </c>
      <c r="B90" s="1"/>
      <c r="C90" s="1"/>
      <c r="D90" s="1" t="s">
        <v>148</v>
      </c>
      <c r="E90" t="s">
        <v>136</v>
      </c>
    </row>
    <row r="91" spans="1:5" x14ac:dyDescent="0.35">
      <c r="A91" s="1" t="s">
        <v>147</v>
      </c>
      <c r="B91" s="1"/>
      <c r="C91" s="1"/>
      <c r="D91" s="1" t="s">
        <v>149</v>
      </c>
      <c r="E91" t="s">
        <v>136</v>
      </c>
    </row>
    <row r="92" spans="1:5" x14ac:dyDescent="0.35">
      <c r="A92" s="1" t="s">
        <v>147</v>
      </c>
      <c r="B92" s="1" t="s">
        <v>165</v>
      </c>
      <c r="C92" s="1" t="s">
        <v>145</v>
      </c>
      <c r="D92" s="1" t="s">
        <v>146</v>
      </c>
      <c r="E92" t="s">
        <v>136</v>
      </c>
    </row>
    <row r="93" spans="1:5" x14ac:dyDescent="0.35">
      <c r="A93" s="1" t="s">
        <v>147</v>
      </c>
      <c r="B93" s="1"/>
      <c r="C93" s="1"/>
      <c r="D93" s="1" t="s">
        <v>148</v>
      </c>
      <c r="E93" t="s">
        <v>136</v>
      </c>
    </row>
    <row r="94" spans="1:5" x14ac:dyDescent="0.35">
      <c r="A94" s="1" t="s">
        <v>147</v>
      </c>
      <c r="B94" s="1"/>
      <c r="C94" s="1"/>
      <c r="D94" s="1" t="s">
        <v>149</v>
      </c>
      <c r="E94" t="s">
        <v>136</v>
      </c>
    </row>
    <row r="95" spans="1:5" x14ac:dyDescent="0.35">
      <c r="A95" s="1" t="s">
        <v>147</v>
      </c>
      <c r="B95" s="1"/>
      <c r="C95" s="1" t="s">
        <v>150</v>
      </c>
      <c r="D95" s="1" t="s">
        <v>146</v>
      </c>
      <c r="E95" t="s">
        <v>136</v>
      </c>
    </row>
    <row r="96" spans="1:5" x14ac:dyDescent="0.35">
      <c r="A96" s="1" t="s">
        <v>147</v>
      </c>
      <c r="B96" s="1"/>
      <c r="C96" s="1"/>
      <c r="D96" s="1" t="s">
        <v>148</v>
      </c>
      <c r="E96" t="s">
        <v>136</v>
      </c>
    </row>
    <row r="97" spans="1:5" x14ac:dyDescent="0.35">
      <c r="A97" s="1" t="s">
        <v>147</v>
      </c>
      <c r="B97" s="1"/>
      <c r="C97" s="1"/>
      <c r="D97" s="1" t="s">
        <v>149</v>
      </c>
      <c r="E97" t="s">
        <v>136</v>
      </c>
    </row>
    <row r="98" spans="1:5" x14ac:dyDescent="0.35">
      <c r="A98" s="1" t="s">
        <v>147</v>
      </c>
      <c r="B98" s="1" t="s">
        <v>166</v>
      </c>
      <c r="C98" s="1" t="s">
        <v>145</v>
      </c>
      <c r="D98" s="1" t="s">
        <v>146</v>
      </c>
      <c r="E98">
        <v>1561.26</v>
      </c>
    </row>
    <row r="99" spans="1:5" x14ac:dyDescent="0.35">
      <c r="A99" s="1" t="s">
        <v>147</v>
      </c>
      <c r="B99" s="1"/>
      <c r="C99" s="1"/>
      <c r="D99" s="1" t="s">
        <v>148</v>
      </c>
      <c r="E99">
        <v>373</v>
      </c>
    </row>
    <row r="100" spans="1:5" x14ac:dyDescent="0.35">
      <c r="A100" s="1" t="s">
        <v>147</v>
      </c>
      <c r="B100" s="1"/>
      <c r="C100" s="1"/>
      <c r="D100" s="1" t="s">
        <v>149</v>
      </c>
      <c r="E100">
        <v>1188.26</v>
      </c>
    </row>
    <row r="101" spans="1:5" x14ac:dyDescent="0.35">
      <c r="A101" s="1" t="s">
        <v>147</v>
      </c>
      <c r="B101" s="1"/>
      <c r="C101" s="1" t="s">
        <v>150</v>
      </c>
      <c r="D101" s="1" t="s">
        <v>146</v>
      </c>
      <c r="E101" t="s">
        <v>136</v>
      </c>
    </row>
    <row r="102" spans="1:5" x14ac:dyDescent="0.35">
      <c r="A102" s="1" t="s">
        <v>147</v>
      </c>
      <c r="B102" s="1"/>
      <c r="C102" s="1"/>
      <c r="D102" s="1" t="s">
        <v>148</v>
      </c>
      <c r="E102" t="s">
        <v>136</v>
      </c>
    </row>
    <row r="103" spans="1:5" x14ac:dyDescent="0.35">
      <c r="A103" s="1" t="s">
        <v>147</v>
      </c>
      <c r="B103" s="1"/>
      <c r="C103" s="1"/>
      <c r="D103" s="1" t="s">
        <v>149</v>
      </c>
      <c r="E103" t="s">
        <v>136</v>
      </c>
    </row>
    <row r="104" spans="1:5" x14ac:dyDescent="0.35">
      <c r="A104" s="1" t="s">
        <v>147</v>
      </c>
      <c r="B104" s="1" t="s">
        <v>167</v>
      </c>
      <c r="C104" s="1" t="s">
        <v>145</v>
      </c>
      <c r="D104" s="1" t="s">
        <v>146</v>
      </c>
      <c r="E104">
        <v>26571.599999999999</v>
      </c>
    </row>
    <row r="105" spans="1:5" x14ac:dyDescent="0.35">
      <c r="A105" s="1" t="s">
        <v>147</v>
      </c>
      <c r="B105" s="1"/>
      <c r="C105" s="1"/>
      <c r="D105" s="1" t="s">
        <v>148</v>
      </c>
      <c r="E105">
        <v>26571.599999999999</v>
      </c>
    </row>
    <row r="106" spans="1:5" x14ac:dyDescent="0.35">
      <c r="A106" s="1" t="s">
        <v>147</v>
      </c>
      <c r="B106" s="1"/>
      <c r="C106" s="1"/>
      <c r="D106" s="1" t="s">
        <v>149</v>
      </c>
      <c r="E106" t="s">
        <v>136</v>
      </c>
    </row>
    <row r="107" spans="1:5" x14ac:dyDescent="0.35">
      <c r="A107" s="1" t="s">
        <v>147</v>
      </c>
      <c r="B107" s="1"/>
      <c r="C107" s="1" t="s">
        <v>150</v>
      </c>
      <c r="D107" s="1" t="s">
        <v>146</v>
      </c>
      <c r="E107" t="s">
        <v>136</v>
      </c>
    </row>
    <row r="108" spans="1:5" x14ac:dyDescent="0.35">
      <c r="A108" s="1" t="s">
        <v>147</v>
      </c>
      <c r="B108" s="1"/>
      <c r="C108" s="1"/>
      <c r="D108" s="1" t="s">
        <v>148</v>
      </c>
      <c r="E108" t="s">
        <v>136</v>
      </c>
    </row>
    <row r="109" spans="1:5" x14ac:dyDescent="0.35">
      <c r="A109" s="1" t="s">
        <v>147</v>
      </c>
      <c r="B109" s="1"/>
      <c r="C109" s="1"/>
      <c r="D109" s="1" t="s">
        <v>149</v>
      </c>
      <c r="E109" t="s">
        <v>136</v>
      </c>
    </row>
    <row r="110" spans="1:5" x14ac:dyDescent="0.35">
      <c r="A110" s="1" t="s">
        <v>147</v>
      </c>
      <c r="B110" s="1" t="s">
        <v>168</v>
      </c>
      <c r="C110" s="1" t="s">
        <v>145</v>
      </c>
      <c r="D110" s="1" t="s">
        <v>146</v>
      </c>
      <c r="E110" t="s">
        <v>136</v>
      </c>
    </row>
    <row r="111" spans="1:5" x14ac:dyDescent="0.35">
      <c r="A111" s="1" t="s">
        <v>147</v>
      </c>
      <c r="B111" s="1"/>
      <c r="C111" s="1"/>
      <c r="D111" s="1" t="s">
        <v>148</v>
      </c>
      <c r="E111" t="s">
        <v>136</v>
      </c>
    </row>
    <row r="112" spans="1:5" x14ac:dyDescent="0.35">
      <c r="A112" s="1" t="s">
        <v>147</v>
      </c>
      <c r="B112" s="1"/>
      <c r="C112" s="1"/>
      <c r="D112" s="1" t="s">
        <v>149</v>
      </c>
      <c r="E112" t="s">
        <v>136</v>
      </c>
    </row>
    <row r="113" spans="1:5" x14ac:dyDescent="0.35">
      <c r="A113" s="1" t="s">
        <v>147</v>
      </c>
      <c r="B113" s="1"/>
      <c r="C113" s="1" t="s">
        <v>150</v>
      </c>
      <c r="D113" s="1" t="s">
        <v>146</v>
      </c>
      <c r="E113" t="s">
        <v>136</v>
      </c>
    </row>
    <row r="114" spans="1:5" x14ac:dyDescent="0.35">
      <c r="A114" s="1" t="s">
        <v>147</v>
      </c>
      <c r="B114" s="1"/>
      <c r="C114" s="1"/>
      <c r="D114" s="1" t="s">
        <v>148</v>
      </c>
      <c r="E114" t="s">
        <v>136</v>
      </c>
    </row>
    <row r="115" spans="1:5" x14ac:dyDescent="0.35">
      <c r="A115" s="1" t="s">
        <v>147</v>
      </c>
      <c r="B115" s="1"/>
      <c r="C115" s="1"/>
      <c r="D115" s="1" t="s">
        <v>149</v>
      </c>
      <c r="E115" t="s">
        <v>136</v>
      </c>
    </row>
    <row r="116" spans="1:5" x14ac:dyDescent="0.35">
      <c r="A116" s="1" t="s">
        <v>147</v>
      </c>
      <c r="B116" s="1" t="s">
        <v>169</v>
      </c>
      <c r="C116" s="1" t="s">
        <v>145</v>
      </c>
      <c r="D116" s="1" t="s">
        <v>146</v>
      </c>
      <c r="E116" t="s">
        <v>136</v>
      </c>
    </row>
    <row r="117" spans="1:5" x14ac:dyDescent="0.35">
      <c r="A117" s="1" t="s">
        <v>147</v>
      </c>
      <c r="B117" s="1"/>
      <c r="C117" s="1"/>
      <c r="D117" s="1" t="s">
        <v>148</v>
      </c>
      <c r="E117" t="s">
        <v>136</v>
      </c>
    </row>
    <row r="118" spans="1:5" x14ac:dyDescent="0.35">
      <c r="A118" s="1" t="s">
        <v>147</v>
      </c>
      <c r="B118" s="1"/>
      <c r="C118" s="1"/>
      <c r="D118" s="1" t="s">
        <v>149</v>
      </c>
      <c r="E118" t="s">
        <v>136</v>
      </c>
    </row>
    <row r="119" spans="1:5" x14ac:dyDescent="0.35">
      <c r="A119" s="1" t="s">
        <v>147</v>
      </c>
      <c r="B119" s="1"/>
      <c r="C119" s="1" t="s">
        <v>150</v>
      </c>
      <c r="D119" s="1" t="s">
        <v>146</v>
      </c>
      <c r="E119" t="s">
        <v>136</v>
      </c>
    </row>
    <row r="120" spans="1:5" x14ac:dyDescent="0.35">
      <c r="A120" s="1" t="s">
        <v>147</v>
      </c>
      <c r="B120" s="1"/>
      <c r="C120" s="1"/>
      <c r="D120" s="1" t="s">
        <v>148</v>
      </c>
      <c r="E120" t="s">
        <v>136</v>
      </c>
    </row>
    <row r="121" spans="1:5" x14ac:dyDescent="0.35">
      <c r="A121" s="1" t="s">
        <v>147</v>
      </c>
      <c r="B121" s="1"/>
      <c r="C121" s="1"/>
      <c r="D121" s="1" t="s">
        <v>149</v>
      </c>
      <c r="E121" t="s">
        <v>136</v>
      </c>
    </row>
    <row r="122" spans="1:5" x14ac:dyDescent="0.35">
      <c r="A122" s="1" t="s">
        <v>147</v>
      </c>
      <c r="B122" s="1" t="s">
        <v>170</v>
      </c>
      <c r="C122" s="1" t="s">
        <v>145</v>
      </c>
      <c r="D122" s="1" t="s">
        <v>146</v>
      </c>
      <c r="E122" t="s">
        <v>136</v>
      </c>
    </row>
    <row r="123" spans="1:5" x14ac:dyDescent="0.35">
      <c r="A123" s="1" t="s">
        <v>147</v>
      </c>
      <c r="B123" s="1"/>
      <c r="C123" s="1"/>
      <c r="D123" s="1" t="s">
        <v>148</v>
      </c>
      <c r="E123" t="s">
        <v>136</v>
      </c>
    </row>
    <row r="124" spans="1:5" x14ac:dyDescent="0.35">
      <c r="A124" s="1" t="s">
        <v>147</v>
      </c>
      <c r="B124" s="1"/>
      <c r="C124" s="1"/>
      <c r="D124" s="1" t="s">
        <v>149</v>
      </c>
      <c r="E124" t="s">
        <v>136</v>
      </c>
    </row>
    <row r="125" spans="1:5" x14ac:dyDescent="0.35">
      <c r="A125" s="1" t="s">
        <v>147</v>
      </c>
      <c r="B125" s="1"/>
      <c r="C125" s="1" t="s">
        <v>150</v>
      </c>
      <c r="D125" s="1" t="s">
        <v>146</v>
      </c>
      <c r="E125" t="s">
        <v>136</v>
      </c>
    </row>
    <row r="126" spans="1:5" x14ac:dyDescent="0.35">
      <c r="A126" s="1" t="s">
        <v>147</v>
      </c>
      <c r="B126" s="1"/>
      <c r="C126" s="1"/>
      <c r="D126" s="1" t="s">
        <v>148</v>
      </c>
      <c r="E126" t="s">
        <v>136</v>
      </c>
    </row>
    <row r="127" spans="1:5" x14ac:dyDescent="0.35">
      <c r="A127" s="1" t="s">
        <v>147</v>
      </c>
      <c r="B127" s="1"/>
      <c r="C127" s="1"/>
      <c r="D127" s="1" t="s">
        <v>149</v>
      </c>
      <c r="E127" t="s">
        <v>136</v>
      </c>
    </row>
    <row r="128" spans="1:5" x14ac:dyDescent="0.35">
      <c r="A128" s="1" t="s">
        <v>28</v>
      </c>
      <c r="B128" s="1" t="s">
        <v>144</v>
      </c>
      <c r="C128" s="1" t="s">
        <v>145</v>
      </c>
      <c r="D128" s="1" t="s">
        <v>146</v>
      </c>
      <c r="E128">
        <v>4142.17</v>
      </c>
    </row>
    <row r="129" spans="1:5" x14ac:dyDescent="0.35">
      <c r="A129" s="1" t="s">
        <v>147</v>
      </c>
      <c r="B129" s="1"/>
      <c r="C129" s="1"/>
      <c r="D129" s="1" t="s">
        <v>148</v>
      </c>
      <c r="E129">
        <v>4105.43</v>
      </c>
    </row>
    <row r="130" spans="1:5" x14ac:dyDescent="0.35">
      <c r="A130" s="1" t="s">
        <v>147</v>
      </c>
      <c r="B130" s="1"/>
      <c r="C130" s="1"/>
      <c r="D130" s="1" t="s">
        <v>149</v>
      </c>
      <c r="E130">
        <v>36.74</v>
      </c>
    </row>
    <row r="131" spans="1:5" x14ac:dyDescent="0.35">
      <c r="A131" s="1" t="s">
        <v>147</v>
      </c>
      <c r="B131" s="1"/>
      <c r="C131" s="1" t="s">
        <v>150</v>
      </c>
      <c r="D131" s="1" t="s">
        <v>146</v>
      </c>
      <c r="E131" t="s">
        <v>136</v>
      </c>
    </row>
    <row r="132" spans="1:5" x14ac:dyDescent="0.35">
      <c r="A132" s="1" t="s">
        <v>147</v>
      </c>
      <c r="B132" s="1"/>
      <c r="C132" s="1"/>
      <c r="D132" s="1" t="s">
        <v>148</v>
      </c>
      <c r="E132" t="s">
        <v>136</v>
      </c>
    </row>
    <row r="133" spans="1:5" x14ac:dyDescent="0.35">
      <c r="A133" s="1" t="s">
        <v>147</v>
      </c>
      <c r="B133" s="1"/>
      <c r="C133" s="1"/>
      <c r="D133" s="1" t="s">
        <v>149</v>
      </c>
      <c r="E133" t="s">
        <v>136</v>
      </c>
    </row>
    <row r="134" spans="1:5" x14ac:dyDescent="0.35">
      <c r="A134" s="1" t="s">
        <v>147</v>
      </c>
      <c r="B134" s="1" t="s">
        <v>151</v>
      </c>
      <c r="C134" s="1" t="s">
        <v>145</v>
      </c>
      <c r="D134" s="1" t="s">
        <v>146</v>
      </c>
      <c r="E134">
        <v>361.89</v>
      </c>
    </row>
    <row r="135" spans="1:5" x14ac:dyDescent="0.35">
      <c r="A135" s="1" t="s">
        <v>147</v>
      </c>
      <c r="B135" s="1"/>
      <c r="C135" s="1"/>
      <c r="D135" s="1" t="s">
        <v>148</v>
      </c>
      <c r="E135">
        <v>360.43</v>
      </c>
    </row>
    <row r="136" spans="1:5" x14ac:dyDescent="0.35">
      <c r="A136" s="1" t="s">
        <v>147</v>
      </c>
      <c r="B136" s="1"/>
      <c r="C136" s="1"/>
      <c r="D136" s="1" t="s">
        <v>149</v>
      </c>
      <c r="E136">
        <v>1.46</v>
      </c>
    </row>
    <row r="137" spans="1:5" x14ac:dyDescent="0.35">
      <c r="A137" s="1" t="s">
        <v>147</v>
      </c>
      <c r="B137" s="1"/>
      <c r="C137" s="1" t="s">
        <v>150</v>
      </c>
      <c r="D137" s="1" t="s">
        <v>146</v>
      </c>
      <c r="E137" t="s">
        <v>136</v>
      </c>
    </row>
    <row r="138" spans="1:5" x14ac:dyDescent="0.35">
      <c r="A138" s="1" t="s">
        <v>147</v>
      </c>
      <c r="B138" s="1"/>
      <c r="C138" s="1"/>
      <c r="D138" s="1" t="s">
        <v>148</v>
      </c>
      <c r="E138" t="s">
        <v>136</v>
      </c>
    </row>
    <row r="139" spans="1:5" x14ac:dyDescent="0.35">
      <c r="A139" s="1" t="s">
        <v>147</v>
      </c>
      <c r="B139" s="1"/>
      <c r="C139" s="1"/>
      <c r="D139" s="1" t="s">
        <v>149</v>
      </c>
      <c r="E139" t="s">
        <v>136</v>
      </c>
    </row>
    <row r="140" spans="1:5" x14ac:dyDescent="0.35">
      <c r="A140" s="1" t="s">
        <v>147</v>
      </c>
      <c r="B140" s="1" t="s">
        <v>152</v>
      </c>
      <c r="C140" s="1" t="s">
        <v>145</v>
      </c>
      <c r="D140" s="1" t="s">
        <v>146</v>
      </c>
      <c r="E140" t="s">
        <v>136</v>
      </c>
    </row>
    <row r="141" spans="1:5" x14ac:dyDescent="0.35">
      <c r="A141" s="1" t="s">
        <v>147</v>
      </c>
      <c r="B141" s="1"/>
      <c r="C141" s="1"/>
      <c r="D141" s="1" t="s">
        <v>148</v>
      </c>
      <c r="E141" t="s">
        <v>136</v>
      </c>
    </row>
    <row r="142" spans="1:5" x14ac:dyDescent="0.35">
      <c r="A142" s="1" t="s">
        <v>147</v>
      </c>
      <c r="B142" s="1"/>
      <c r="C142" s="1"/>
      <c r="D142" s="1" t="s">
        <v>149</v>
      </c>
      <c r="E142" t="s">
        <v>136</v>
      </c>
    </row>
    <row r="143" spans="1:5" x14ac:dyDescent="0.35">
      <c r="A143" s="1" t="s">
        <v>147</v>
      </c>
      <c r="B143" s="1"/>
      <c r="C143" s="1" t="s">
        <v>150</v>
      </c>
      <c r="D143" s="1" t="s">
        <v>146</v>
      </c>
      <c r="E143" t="s">
        <v>136</v>
      </c>
    </row>
    <row r="144" spans="1:5" x14ac:dyDescent="0.35">
      <c r="A144" s="1" t="s">
        <v>147</v>
      </c>
      <c r="B144" s="1"/>
      <c r="C144" s="1"/>
      <c r="D144" s="1" t="s">
        <v>148</v>
      </c>
      <c r="E144" t="s">
        <v>136</v>
      </c>
    </row>
    <row r="145" spans="1:5" x14ac:dyDescent="0.35">
      <c r="A145" s="1" t="s">
        <v>147</v>
      </c>
      <c r="B145" s="1"/>
      <c r="C145" s="1"/>
      <c r="D145" s="1" t="s">
        <v>149</v>
      </c>
      <c r="E145" t="s">
        <v>136</v>
      </c>
    </row>
    <row r="146" spans="1:5" x14ac:dyDescent="0.35">
      <c r="A146" s="1" t="s">
        <v>147</v>
      </c>
      <c r="B146" s="1" t="s">
        <v>153</v>
      </c>
      <c r="C146" s="1" t="s">
        <v>145</v>
      </c>
      <c r="D146" s="1" t="s">
        <v>146</v>
      </c>
      <c r="E146" t="s">
        <v>136</v>
      </c>
    </row>
    <row r="147" spans="1:5" x14ac:dyDescent="0.35">
      <c r="A147" s="1" t="s">
        <v>147</v>
      </c>
      <c r="B147" s="1"/>
      <c r="C147" s="1"/>
      <c r="D147" s="1" t="s">
        <v>148</v>
      </c>
      <c r="E147" t="s">
        <v>136</v>
      </c>
    </row>
    <row r="148" spans="1:5" x14ac:dyDescent="0.35">
      <c r="A148" s="1" t="s">
        <v>147</v>
      </c>
      <c r="B148" s="1"/>
      <c r="C148" s="1"/>
      <c r="D148" s="1" t="s">
        <v>149</v>
      </c>
      <c r="E148" t="s">
        <v>136</v>
      </c>
    </row>
    <row r="149" spans="1:5" x14ac:dyDescent="0.35">
      <c r="A149" s="1" t="s">
        <v>147</v>
      </c>
      <c r="B149" s="1"/>
      <c r="C149" s="1" t="s">
        <v>150</v>
      </c>
      <c r="D149" s="1" t="s">
        <v>146</v>
      </c>
      <c r="E149" t="s">
        <v>136</v>
      </c>
    </row>
    <row r="150" spans="1:5" x14ac:dyDescent="0.35">
      <c r="A150" s="1" t="s">
        <v>147</v>
      </c>
      <c r="B150" s="1"/>
      <c r="C150" s="1"/>
      <c r="D150" s="1" t="s">
        <v>148</v>
      </c>
      <c r="E150" t="s">
        <v>136</v>
      </c>
    </row>
    <row r="151" spans="1:5" x14ac:dyDescent="0.35">
      <c r="A151" s="1" t="s">
        <v>147</v>
      </c>
      <c r="B151" s="1"/>
      <c r="C151" s="1"/>
      <c r="D151" s="1" t="s">
        <v>149</v>
      </c>
      <c r="E151" t="s">
        <v>136</v>
      </c>
    </row>
    <row r="152" spans="1:5" x14ac:dyDescent="0.35">
      <c r="A152" s="1" t="s">
        <v>147</v>
      </c>
      <c r="B152" s="1" t="s">
        <v>154</v>
      </c>
      <c r="C152" s="1" t="s">
        <v>145</v>
      </c>
      <c r="D152" s="1" t="s">
        <v>146</v>
      </c>
      <c r="E152" t="s">
        <v>136</v>
      </c>
    </row>
    <row r="153" spans="1:5" x14ac:dyDescent="0.35">
      <c r="A153" s="1" t="s">
        <v>147</v>
      </c>
      <c r="B153" s="1"/>
      <c r="C153" s="1"/>
      <c r="D153" s="1" t="s">
        <v>148</v>
      </c>
      <c r="E153" t="s">
        <v>136</v>
      </c>
    </row>
    <row r="154" spans="1:5" x14ac:dyDescent="0.35">
      <c r="A154" s="1" t="s">
        <v>147</v>
      </c>
      <c r="B154" s="1"/>
      <c r="C154" s="1"/>
      <c r="D154" s="1" t="s">
        <v>149</v>
      </c>
      <c r="E154" t="s">
        <v>136</v>
      </c>
    </row>
    <row r="155" spans="1:5" x14ac:dyDescent="0.35">
      <c r="A155" s="1" t="s">
        <v>147</v>
      </c>
      <c r="B155" s="1"/>
      <c r="C155" s="1" t="s">
        <v>150</v>
      </c>
      <c r="D155" s="1" t="s">
        <v>146</v>
      </c>
      <c r="E155" t="s">
        <v>136</v>
      </c>
    </row>
    <row r="156" spans="1:5" x14ac:dyDescent="0.35">
      <c r="A156" s="1" t="s">
        <v>147</v>
      </c>
      <c r="B156" s="1"/>
      <c r="C156" s="1"/>
      <c r="D156" s="1" t="s">
        <v>148</v>
      </c>
      <c r="E156" t="s">
        <v>136</v>
      </c>
    </row>
    <row r="157" spans="1:5" x14ac:dyDescent="0.35">
      <c r="A157" s="1" t="s">
        <v>147</v>
      </c>
      <c r="B157" s="1"/>
      <c r="C157" s="1"/>
      <c r="D157" s="1" t="s">
        <v>149</v>
      </c>
      <c r="E157" t="s">
        <v>136</v>
      </c>
    </row>
    <row r="158" spans="1:5" x14ac:dyDescent="0.35">
      <c r="A158" s="1" t="s">
        <v>147</v>
      </c>
      <c r="B158" s="1" t="s">
        <v>155</v>
      </c>
      <c r="C158" s="1" t="s">
        <v>145</v>
      </c>
      <c r="D158" s="1" t="s">
        <v>146</v>
      </c>
      <c r="E158">
        <v>3729.28</v>
      </c>
    </row>
    <row r="159" spans="1:5" x14ac:dyDescent="0.35">
      <c r="A159" s="1" t="s">
        <v>147</v>
      </c>
      <c r="B159" s="1"/>
      <c r="C159" s="1"/>
      <c r="D159" s="1" t="s">
        <v>148</v>
      </c>
      <c r="E159">
        <v>3694</v>
      </c>
    </row>
    <row r="160" spans="1:5" x14ac:dyDescent="0.35">
      <c r="A160" s="1" t="s">
        <v>147</v>
      </c>
      <c r="B160" s="1"/>
      <c r="C160" s="1"/>
      <c r="D160" s="1" t="s">
        <v>149</v>
      </c>
      <c r="E160">
        <v>35.28</v>
      </c>
    </row>
    <row r="161" spans="1:5" x14ac:dyDescent="0.35">
      <c r="A161" s="1" t="s">
        <v>147</v>
      </c>
      <c r="B161" s="1"/>
      <c r="C161" s="1" t="s">
        <v>150</v>
      </c>
      <c r="D161" s="1" t="s">
        <v>146</v>
      </c>
      <c r="E161" t="s">
        <v>136</v>
      </c>
    </row>
    <row r="162" spans="1:5" x14ac:dyDescent="0.35">
      <c r="A162" s="1" t="s">
        <v>147</v>
      </c>
      <c r="B162" s="1"/>
      <c r="C162" s="1"/>
      <c r="D162" s="1" t="s">
        <v>148</v>
      </c>
      <c r="E162" t="s">
        <v>136</v>
      </c>
    </row>
    <row r="163" spans="1:5" x14ac:dyDescent="0.35">
      <c r="A163" s="1" t="s">
        <v>147</v>
      </c>
      <c r="B163" s="1"/>
      <c r="C163" s="1"/>
      <c r="D163" s="1" t="s">
        <v>149</v>
      </c>
      <c r="E163" t="s">
        <v>136</v>
      </c>
    </row>
    <row r="164" spans="1:5" x14ac:dyDescent="0.35">
      <c r="A164" s="1" t="s">
        <v>147</v>
      </c>
      <c r="B164" s="1" t="s">
        <v>156</v>
      </c>
      <c r="C164" s="1" t="s">
        <v>145</v>
      </c>
      <c r="D164" s="1" t="s">
        <v>146</v>
      </c>
      <c r="E164" t="s">
        <v>136</v>
      </c>
    </row>
    <row r="165" spans="1:5" x14ac:dyDescent="0.35">
      <c r="A165" s="1" t="s">
        <v>147</v>
      </c>
      <c r="B165" s="1"/>
      <c r="C165" s="1"/>
      <c r="D165" s="1" t="s">
        <v>148</v>
      </c>
      <c r="E165" t="s">
        <v>136</v>
      </c>
    </row>
    <row r="166" spans="1:5" x14ac:dyDescent="0.35">
      <c r="A166" s="1" t="s">
        <v>147</v>
      </c>
      <c r="B166" s="1"/>
      <c r="C166" s="1"/>
      <c r="D166" s="1" t="s">
        <v>149</v>
      </c>
      <c r="E166" t="s">
        <v>136</v>
      </c>
    </row>
    <row r="167" spans="1:5" x14ac:dyDescent="0.35">
      <c r="A167" s="1" t="s">
        <v>147</v>
      </c>
      <c r="B167" s="1"/>
      <c r="C167" s="1" t="s">
        <v>150</v>
      </c>
      <c r="D167" s="1" t="s">
        <v>146</v>
      </c>
      <c r="E167" t="s">
        <v>136</v>
      </c>
    </row>
    <row r="168" spans="1:5" x14ac:dyDescent="0.35">
      <c r="A168" s="1" t="s">
        <v>147</v>
      </c>
      <c r="B168" s="1"/>
      <c r="C168" s="1"/>
      <c r="D168" s="1" t="s">
        <v>148</v>
      </c>
      <c r="E168" t="s">
        <v>136</v>
      </c>
    </row>
    <row r="169" spans="1:5" x14ac:dyDescent="0.35">
      <c r="A169" s="1" t="s">
        <v>147</v>
      </c>
      <c r="B169" s="1"/>
      <c r="C169" s="1"/>
      <c r="D169" s="1" t="s">
        <v>149</v>
      </c>
      <c r="E169" t="s">
        <v>136</v>
      </c>
    </row>
    <row r="170" spans="1:5" x14ac:dyDescent="0.35">
      <c r="A170" s="1" t="s">
        <v>147</v>
      </c>
      <c r="B170" s="1" t="s">
        <v>157</v>
      </c>
      <c r="C170" s="1" t="s">
        <v>145</v>
      </c>
      <c r="D170" s="1" t="s">
        <v>146</v>
      </c>
      <c r="E170" t="s">
        <v>136</v>
      </c>
    </row>
    <row r="171" spans="1:5" x14ac:dyDescent="0.35">
      <c r="A171" s="1" t="s">
        <v>147</v>
      </c>
      <c r="B171" s="1"/>
      <c r="C171" s="1"/>
      <c r="D171" s="1" t="s">
        <v>148</v>
      </c>
      <c r="E171" t="s">
        <v>136</v>
      </c>
    </row>
    <row r="172" spans="1:5" x14ac:dyDescent="0.35">
      <c r="A172" s="1" t="s">
        <v>147</v>
      </c>
      <c r="B172" s="1"/>
      <c r="C172" s="1"/>
      <c r="D172" s="1" t="s">
        <v>149</v>
      </c>
      <c r="E172" t="s">
        <v>136</v>
      </c>
    </row>
    <row r="173" spans="1:5" x14ac:dyDescent="0.35">
      <c r="A173" s="1" t="s">
        <v>147</v>
      </c>
      <c r="B173" s="1"/>
      <c r="C173" s="1" t="s">
        <v>150</v>
      </c>
      <c r="D173" s="1" t="s">
        <v>146</v>
      </c>
      <c r="E173" t="s">
        <v>136</v>
      </c>
    </row>
    <row r="174" spans="1:5" x14ac:dyDescent="0.35">
      <c r="A174" s="1" t="s">
        <v>147</v>
      </c>
      <c r="B174" s="1"/>
      <c r="C174" s="1"/>
      <c r="D174" s="1" t="s">
        <v>148</v>
      </c>
      <c r="E174" t="s">
        <v>136</v>
      </c>
    </row>
    <row r="175" spans="1:5" x14ac:dyDescent="0.35">
      <c r="A175" s="1" t="s">
        <v>147</v>
      </c>
      <c r="B175" s="1"/>
      <c r="C175" s="1"/>
      <c r="D175" s="1" t="s">
        <v>149</v>
      </c>
      <c r="E175" t="s">
        <v>136</v>
      </c>
    </row>
    <row r="176" spans="1:5" x14ac:dyDescent="0.35">
      <c r="A176" s="1" t="s">
        <v>147</v>
      </c>
      <c r="B176" s="1" t="s">
        <v>158</v>
      </c>
      <c r="C176" s="1" t="s">
        <v>145</v>
      </c>
      <c r="D176" s="1" t="s">
        <v>146</v>
      </c>
      <c r="E176">
        <v>51</v>
      </c>
    </row>
    <row r="177" spans="1:5" x14ac:dyDescent="0.35">
      <c r="A177" s="1" t="s">
        <v>147</v>
      </c>
      <c r="B177" s="1"/>
      <c r="C177" s="1"/>
      <c r="D177" s="1" t="s">
        <v>148</v>
      </c>
      <c r="E177">
        <v>51</v>
      </c>
    </row>
    <row r="178" spans="1:5" x14ac:dyDescent="0.35">
      <c r="A178" s="1" t="s">
        <v>147</v>
      </c>
      <c r="B178" s="1"/>
      <c r="C178" s="1"/>
      <c r="D178" s="1" t="s">
        <v>149</v>
      </c>
      <c r="E178" t="s">
        <v>136</v>
      </c>
    </row>
    <row r="179" spans="1:5" x14ac:dyDescent="0.35">
      <c r="A179" s="1" t="s">
        <v>147</v>
      </c>
      <c r="B179" s="1"/>
      <c r="C179" s="1" t="s">
        <v>150</v>
      </c>
      <c r="D179" s="1" t="s">
        <v>146</v>
      </c>
      <c r="E179" t="s">
        <v>136</v>
      </c>
    </row>
    <row r="180" spans="1:5" x14ac:dyDescent="0.35">
      <c r="A180" s="1" t="s">
        <v>147</v>
      </c>
      <c r="B180" s="1"/>
      <c r="C180" s="1"/>
      <c r="D180" s="1" t="s">
        <v>148</v>
      </c>
      <c r="E180" t="s">
        <v>136</v>
      </c>
    </row>
    <row r="181" spans="1:5" x14ac:dyDescent="0.35">
      <c r="A181" s="1" t="s">
        <v>147</v>
      </c>
      <c r="B181" s="1"/>
      <c r="C181" s="1"/>
      <c r="D181" s="1" t="s">
        <v>149</v>
      </c>
      <c r="E181" t="s">
        <v>136</v>
      </c>
    </row>
    <row r="182" spans="1:5" x14ac:dyDescent="0.35">
      <c r="A182" s="1" t="s">
        <v>147</v>
      </c>
      <c r="B182" s="1" t="s">
        <v>159</v>
      </c>
      <c r="C182" s="1" t="s">
        <v>145</v>
      </c>
      <c r="D182" s="1" t="s">
        <v>146</v>
      </c>
      <c r="E182" t="s">
        <v>136</v>
      </c>
    </row>
    <row r="183" spans="1:5" x14ac:dyDescent="0.35">
      <c r="A183" s="1" t="s">
        <v>147</v>
      </c>
      <c r="B183" s="1"/>
      <c r="C183" s="1"/>
      <c r="D183" s="1" t="s">
        <v>148</v>
      </c>
      <c r="E183" t="s">
        <v>136</v>
      </c>
    </row>
    <row r="184" spans="1:5" x14ac:dyDescent="0.35">
      <c r="A184" s="1" t="s">
        <v>147</v>
      </c>
      <c r="B184" s="1"/>
      <c r="C184" s="1"/>
      <c r="D184" s="1" t="s">
        <v>149</v>
      </c>
      <c r="E184" t="s">
        <v>136</v>
      </c>
    </row>
    <row r="185" spans="1:5" x14ac:dyDescent="0.35">
      <c r="A185" s="1" t="s">
        <v>147</v>
      </c>
      <c r="B185" s="1"/>
      <c r="C185" s="1" t="s">
        <v>150</v>
      </c>
      <c r="D185" s="1" t="s">
        <v>146</v>
      </c>
      <c r="E185" t="s">
        <v>136</v>
      </c>
    </row>
    <row r="186" spans="1:5" x14ac:dyDescent="0.35">
      <c r="A186" s="1" t="s">
        <v>147</v>
      </c>
      <c r="B186" s="1"/>
      <c r="C186" s="1"/>
      <c r="D186" s="1" t="s">
        <v>148</v>
      </c>
      <c r="E186" t="s">
        <v>136</v>
      </c>
    </row>
    <row r="187" spans="1:5" x14ac:dyDescent="0.35">
      <c r="A187" s="1" t="s">
        <v>147</v>
      </c>
      <c r="B187" s="1"/>
      <c r="C187" s="1"/>
      <c r="D187" s="1" t="s">
        <v>149</v>
      </c>
      <c r="E187" t="s">
        <v>136</v>
      </c>
    </row>
    <row r="188" spans="1:5" x14ac:dyDescent="0.35">
      <c r="A188" s="1" t="s">
        <v>147</v>
      </c>
      <c r="B188" s="1" t="s">
        <v>160</v>
      </c>
      <c r="C188" s="1" t="s">
        <v>145</v>
      </c>
      <c r="D188" s="1" t="s">
        <v>146</v>
      </c>
      <c r="E188" t="s">
        <v>136</v>
      </c>
    </row>
    <row r="189" spans="1:5" x14ac:dyDescent="0.35">
      <c r="A189" s="1" t="s">
        <v>147</v>
      </c>
      <c r="B189" s="1"/>
      <c r="C189" s="1"/>
      <c r="D189" s="1" t="s">
        <v>148</v>
      </c>
      <c r="E189" t="s">
        <v>136</v>
      </c>
    </row>
    <row r="190" spans="1:5" x14ac:dyDescent="0.35">
      <c r="A190" s="1" t="s">
        <v>147</v>
      </c>
      <c r="B190" s="1"/>
      <c r="C190" s="1"/>
      <c r="D190" s="1" t="s">
        <v>149</v>
      </c>
      <c r="E190" t="s">
        <v>136</v>
      </c>
    </row>
    <row r="191" spans="1:5" x14ac:dyDescent="0.35">
      <c r="A191" s="1" t="s">
        <v>147</v>
      </c>
      <c r="B191" s="1"/>
      <c r="C191" s="1" t="s">
        <v>150</v>
      </c>
      <c r="D191" s="1" t="s">
        <v>146</v>
      </c>
      <c r="E191" t="s">
        <v>136</v>
      </c>
    </row>
    <row r="192" spans="1:5" x14ac:dyDescent="0.35">
      <c r="A192" s="1" t="s">
        <v>147</v>
      </c>
      <c r="B192" s="1"/>
      <c r="C192" s="1"/>
      <c r="D192" s="1" t="s">
        <v>148</v>
      </c>
      <c r="E192" t="s">
        <v>136</v>
      </c>
    </row>
    <row r="193" spans="1:5" x14ac:dyDescent="0.35">
      <c r="A193" s="1" t="s">
        <v>147</v>
      </c>
      <c r="B193" s="1"/>
      <c r="C193" s="1"/>
      <c r="D193" s="1" t="s">
        <v>149</v>
      </c>
      <c r="E193" t="s">
        <v>136</v>
      </c>
    </row>
    <row r="194" spans="1:5" x14ac:dyDescent="0.35">
      <c r="A194" s="1" t="s">
        <v>147</v>
      </c>
      <c r="B194" s="1" t="s">
        <v>161</v>
      </c>
      <c r="C194" s="1" t="s">
        <v>145</v>
      </c>
      <c r="D194" s="1" t="s">
        <v>146</v>
      </c>
      <c r="E194" t="s">
        <v>136</v>
      </c>
    </row>
    <row r="195" spans="1:5" x14ac:dyDescent="0.35">
      <c r="A195" s="1" t="s">
        <v>147</v>
      </c>
      <c r="B195" s="1"/>
      <c r="C195" s="1"/>
      <c r="D195" s="1" t="s">
        <v>148</v>
      </c>
      <c r="E195" t="s">
        <v>136</v>
      </c>
    </row>
    <row r="196" spans="1:5" x14ac:dyDescent="0.35">
      <c r="A196" s="1" t="s">
        <v>147</v>
      </c>
      <c r="B196" s="1"/>
      <c r="C196" s="1"/>
      <c r="D196" s="1" t="s">
        <v>149</v>
      </c>
      <c r="E196" t="s">
        <v>136</v>
      </c>
    </row>
    <row r="197" spans="1:5" x14ac:dyDescent="0.35">
      <c r="A197" s="1" t="s">
        <v>147</v>
      </c>
      <c r="B197" s="1"/>
      <c r="C197" s="1" t="s">
        <v>150</v>
      </c>
      <c r="D197" s="1" t="s">
        <v>146</v>
      </c>
      <c r="E197" t="s">
        <v>136</v>
      </c>
    </row>
    <row r="198" spans="1:5" x14ac:dyDescent="0.35">
      <c r="A198" s="1" t="s">
        <v>147</v>
      </c>
      <c r="B198" s="1"/>
      <c r="C198" s="1"/>
      <c r="D198" s="1" t="s">
        <v>148</v>
      </c>
      <c r="E198" t="s">
        <v>136</v>
      </c>
    </row>
    <row r="199" spans="1:5" x14ac:dyDescent="0.35">
      <c r="A199" s="1" t="s">
        <v>147</v>
      </c>
      <c r="B199" s="1"/>
      <c r="C199" s="1"/>
      <c r="D199" s="1" t="s">
        <v>149</v>
      </c>
      <c r="E199" t="s">
        <v>136</v>
      </c>
    </row>
    <row r="200" spans="1:5" x14ac:dyDescent="0.35">
      <c r="A200" s="1" t="s">
        <v>147</v>
      </c>
      <c r="B200" s="1" t="s">
        <v>162</v>
      </c>
      <c r="C200" s="1" t="s">
        <v>145</v>
      </c>
      <c r="D200" s="1" t="s">
        <v>146</v>
      </c>
      <c r="E200" t="s">
        <v>136</v>
      </c>
    </row>
    <row r="201" spans="1:5" x14ac:dyDescent="0.35">
      <c r="A201" s="1" t="s">
        <v>147</v>
      </c>
      <c r="B201" s="1"/>
      <c r="C201" s="1"/>
      <c r="D201" s="1" t="s">
        <v>148</v>
      </c>
      <c r="E201" t="s">
        <v>136</v>
      </c>
    </row>
    <row r="202" spans="1:5" x14ac:dyDescent="0.35">
      <c r="A202" s="1" t="s">
        <v>147</v>
      </c>
      <c r="B202" s="1"/>
      <c r="C202" s="1"/>
      <c r="D202" s="1" t="s">
        <v>149</v>
      </c>
      <c r="E202" t="s">
        <v>136</v>
      </c>
    </row>
    <row r="203" spans="1:5" x14ac:dyDescent="0.35">
      <c r="A203" s="1" t="s">
        <v>147</v>
      </c>
      <c r="B203" s="1"/>
      <c r="C203" s="1" t="s">
        <v>150</v>
      </c>
      <c r="D203" s="1" t="s">
        <v>146</v>
      </c>
      <c r="E203" t="s">
        <v>136</v>
      </c>
    </row>
    <row r="204" spans="1:5" x14ac:dyDescent="0.35">
      <c r="A204" s="1" t="s">
        <v>147</v>
      </c>
      <c r="B204" s="1"/>
      <c r="C204" s="1"/>
      <c r="D204" s="1" t="s">
        <v>148</v>
      </c>
      <c r="E204" t="s">
        <v>136</v>
      </c>
    </row>
    <row r="205" spans="1:5" x14ac:dyDescent="0.35">
      <c r="A205" s="1" t="s">
        <v>147</v>
      </c>
      <c r="B205" s="1"/>
      <c r="C205" s="1"/>
      <c r="D205" s="1" t="s">
        <v>149</v>
      </c>
      <c r="E205" t="s">
        <v>136</v>
      </c>
    </row>
    <row r="206" spans="1:5" x14ac:dyDescent="0.35">
      <c r="A206" s="1" t="s">
        <v>147</v>
      </c>
      <c r="B206" s="1" t="s">
        <v>163</v>
      </c>
      <c r="C206" s="1" t="s">
        <v>145</v>
      </c>
      <c r="D206" s="1" t="s">
        <v>146</v>
      </c>
      <c r="E206">
        <v>2357.06</v>
      </c>
    </row>
    <row r="207" spans="1:5" x14ac:dyDescent="0.35">
      <c r="A207" s="1" t="s">
        <v>147</v>
      </c>
      <c r="B207" s="1"/>
      <c r="C207" s="1"/>
      <c r="D207" s="1" t="s">
        <v>148</v>
      </c>
      <c r="E207">
        <v>1830.34</v>
      </c>
    </row>
    <row r="208" spans="1:5" x14ac:dyDescent="0.35">
      <c r="A208" s="1" t="s">
        <v>147</v>
      </c>
      <c r="B208" s="1"/>
      <c r="C208" s="1"/>
      <c r="D208" s="1" t="s">
        <v>149</v>
      </c>
      <c r="E208">
        <v>526.72</v>
      </c>
    </row>
    <row r="209" spans="1:5" x14ac:dyDescent="0.35">
      <c r="A209" s="1" t="s">
        <v>147</v>
      </c>
      <c r="B209" s="1"/>
      <c r="C209" s="1" t="s">
        <v>150</v>
      </c>
      <c r="D209" s="1" t="s">
        <v>146</v>
      </c>
      <c r="E209" t="s">
        <v>136</v>
      </c>
    </row>
    <row r="210" spans="1:5" x14ac:dyDescent="0.35">
      <c r="A210" s="1" t="s">
        <v>147</v>
      </c>
      <c r="B210" s="1"/>
      <c r="C210" s="1"/>
      <c r="D210" s="1" t="s">
        <v>148</v>
      </c>
      <c r="E210" t="s">
        <v>136</v>
      </c>
    </row>
    <row r="211" spans="1:5" x14ac:dyDescent="0.35">
      <c r="A211" s="1" t="s">
        <v>147</v>
      </c>
      <c r="B211" s="1"/>
      <c r="C211" s="1"/>
      <c r="D211" s="1" t="s">
        <v>149</v>
      </c>
      <c r="E211" t="s">
        <v>136</v>
      </c>
    </row>
    <row r="212" spans="1:5" x14ac:dyDescent="0.35">
      <c r="A212" s="1" t="s">
        <v>147</v>
      </c>
      <c r="B212" s="1" t="s">
        <v>164</v>
      </c>
      <c r="C212" s="1" t="s">
        <v>145</v>
      </c>
      <c r="D212" s="1" t="s">
        <v>146</v>
      </c>
      <c r="E212" t="s">
        <v>136</v>
      </c>
    </row>
    <row r="213" spans="1:5" x14ac:dyDescent="0.35">
      <c r="A213" s="1" t="s">
        <v>147</v>
      </c>
      <c r="B213" s="1"/>
      <c r="C213" s="1"/>
      <c r="D213" s="1" t="s">
        <v>148</v>
      </c>
      <c r="E213" t="s">
        <v>136</v>
      </c>
    </row>
    <row r="214" spans="1:5" x14ac:dyDescent="0.35">
      <c r="A214" s="1" t="s">
        <v>147</v>
      </c>
      <c r="B214" s="1"/>
      <c r="C214" s="1"/>
      <c r="D214" s="1" t="s">
        <v>149</v>
      </c>
      <c r="E214" t="s">
        <v>136</v>
      </c>
    </row>
    <row r="215" spans="1:5" x14ac:dyDescent="0.35">
      <c r="A215" s="1" t="s">
        <v>147</v>
      </c>
      <c r="B215" s="1"/>
      <c r="C215" s="1" t="s">
        <v>150</v>
      </c>
      <c r="D215" s="1" t="s">
        <v>146</v>
      </c>
      <c r="E215" t="s">
        <v>136</v>
      </c>
    </row>
    <row r="216" spans="1:5" x14ac:dyDescent="0.35">
      <c r="A216" s="1" t="s">
        <v>147</v>
      </c>
      <c r="B216" s="1"/>
      <c r="C216" s="1"/>
      <c r="D216" s="1" t="s">
        <v>148</v>
      </c>
      <c r="E216" t="s">
        <v>136</v>
      </c>
    </row>
    <row r="217" spans="1:5" x14ac:dyDescent="0.35">
      <c r="A217" s="1" t="s">
        <v>147</v>
      </c>
      <c r="B217" s="1"/>
      <c r="C217" s="1"/>
      <c r="D217" s="1" t="s">
        <v>149</v>
      </c>
      <c r="E217" t="s">
        <v>136</v>
      </c>
    </row>
    <row r="218" spans="1:5" x14ac:dyDescent="0.35">
      <c r="A218" s="1" t="s">
        <v>147</v>
      </c>
      <c r="B218" s="1" t="s">
        <v>165</v>
      </c>
      <c r="C218" s="1" t="s">
        <v>145</v>
      </c>
      <c r="D218" s="1" t="s">
        <v>146</v>
      </c>
      <c r="E218" t="s">
        <v>136</v>
      </c>
    </row>
    <row r="219" spans="1:5" x14ac:dyDescent="0.35">
      <c r="A219" s="1" t="s">
        <v>147</v>
      </c>
      <c r="B219" s="1"/>
      <c r="C219" s="1"/>
      <c r="D219" s="1" t="s">
        <v>148</v>
      </c>
      <c r="E219" t="s">
        <v>136</v>
      </c>
    </row>
    <row r="220" spans="1:5" x14ac:dyDescent="0.35">
      <c r="A220" s="1" t="s">
        <v>147</v>
      </c>
      <c r="B220" s="1"/>
      <c r="C220" s="1"/>
      <c r="D220" s="1" t="s">
        <v>149</v>
      </c>
      <c r="E220" t="s">
        <v>136</v>
      </c>
    </row>
    <row r="221" spans="1:5" x14ac:dyDescent="0.35">
      <c r="A221" s="1" t="s">
        <v>147</v>
      </c>
      <c r="B221" s="1"/>
      <c r="C221" s="1" t="s">
        <v>150</v>
      </c>
      <c r="D221" s="1" t="s">
        <v>146</v>
      </c>
      <c r="E221" t="s">
        <v>136</v>
      </c>
    </row>
    <row r="222" spans="1:5" x14ac:dyDescent="0.35">
      <c r="A222" s="1" t="s">
        <v>147</v>
      </c>
      <c r="B222" s="1"/>
      <c r="C222" s="1"/>
      <c r="D222" s="1" t="s">
        <v>148</v>
      </c>
      <c r="E222" t="s">
        <v>136</v>
      </c>
    </row>
    <row r="223" spans="1:5" x14ac:dyDescent="0.35">
      <c r="A223" s="1" t="s">
        <v>147</v>
      </c>
      <c r="B223" s="1"/>
      <c r="C223" s="1"/>
      <c r="D223" s="1" t="s">
        <v>149</v>
      </c>
      <c r="E223" t="s">
        <v>136</v>
      </c>
    </row>
    <row r="224" spans="1:5" x14ac:dyDescent="0.35">
      <c r="A224" s="1" t="s">
        <v>147</v>
      </c>
      <c r="B224" s="1" t="s">
        <v>166</v>
      </c>
      <c r="C224" s="1" t="s">
        <v>145</v>
      </c>
      <c r="D224" s="1" t="s">
        <v>146</v>
      </c>
      <c r="E224">
        <v>1637.06</v>
      </c>
    </row>
    <row r="225" spans="1:5" x14ac:dyDescent="0.35">
      <c r="A225" s="1" t="s">
        <v>147</v>
      </c>
      <c r="B225" s="1"/>
      <c r="C225" s="1"/>
      <c r="D225" s="1" t="s">
        <v>148</v>
      </c>
      <c r="E225">
        <v>1110.3399999999999</v>
      </c>
    </row>
    <row r="226" spans="1:5" x14ac:dyDescent="0.35">
      <c r="A226" s="1" t="s">
        <v>147</v>
      </c>
      <c r="B226" s="1"/>
      <c r="C226" s="1"/>
      <c r="D226" s="1" t="s">
        <v>149</v>
      </c>
      <c r="E226">
        <v>526.72</v>
      </c>
    </row>
    <row r="227" spans="1:5" x14ac:dyDescent="0.35">
      <c r="A227" s="1" t="s">
        <v>147</v>
      </c>
      <c r="B227" s="1"/>
      <c r="C227" s="1" t="s">
        <v>150</v>
      </c>
      <c r="D227" s="1" t="s">
        <v>146</v>
      </c>
      <c r="E227" t="s">
        <v>136</v>
      </c>
    </row>
    <row r="228" spans="1:5" x14ac:dyDescent="0.35">
      <c r="A228" s="1" t="s">
        <v>147</v>
      </c>
      <c r="B228" s="1"/>
      <c r="C228" s="1"/>
      <c r="D228" s="1" t="s">
        <v>148</v>
      </c>
      <c r="E228" t="s">
        <v>136</v>
      </c>
    </row>
    <row r="229" spans="1:5" x14ac:dyDescent="0.35">
      <c r="A229" s="1" t="s">
        <v>147</v>
      </c>
      <c r="B229" s="1"/>
      <c r="C229" s="1"/>
      <c r="D229" s="1" t="s">
        <v>149</v>
      </c>
      <c r="E229" t="s">
        <v>136</v>
      </c>
    </row>
    <row r="230" spans="1:5" x14ac:dyDescent="0.35">
      <c r="A230" s="1" t="s">
        <v>147</v>
      </c>
      <c r="B230" s="1" t="s">
        <v>167</v>
      </c>
      <c r="C230" s="1" t="s">
        <v>145</v>
      </c>
      <c r="D230" s="1" t="s">
        <v>146</v>
      </c>
      <c r="E230">
        <v>720</v>
      </c>
    </row>
    <row r="231" spans="1:5" x14ac:dyDescent="0.35">
      <c r="A231" s="1" t="s">
        <v>147</v>
      </c>
      <c r="B231" s="1"/>
      <c r="C231" s="1"/>
      <c r="D231" s="1" t="s">
        <v>148</v>
      </c>
      <c r="E231">
        <v>720</v>
      </c>
    </row>
    <row r="232" spans="1:5" x14ac:dyDescent="0.35">
      <c r="A232" s="1" t="s">
        <v>147</v>
      </c>
      <c r="B232" s="1"/>
      <c r="C232" s="1"/>
      <c r="D232" s="1" t="s">
        <v>149</v>
      </c>
      <c r="E232" t="s">
        <v>136</v>
      </c>
    </row>
    <row r="233" spans="1:5" x14ac:dyDescent="0.35">
      <c r="A233" s="1" t="s">
        <v>147</v>
      </c>
      <c r="B233" s="1"/>
      <c r="C233" s="1" t="s">
        <v>150</v>
      </c>
      <c r="D233" s="1" t="s">
        <v>146</v>
      </c>
      <c r="E233" t="s">
        <v>136</v>
      </c>
    </row>
    <row r="234" spans="1:5" x14ac:dyDescent="0.35">
      <c r="A234" s="1" t="s">
        <v>147</v>
      </c>
      <c r="B234" s="1"/>
      <c r="C234" s="1"/>
      <c r="D234" s="1" t="s">
        <v>148</v>
      </c>
      <c r="E234" t="s">
        <v>136</v>
      </c>
    </row>
    <row r="235" spans="1:5" x14ac:dyDescent="0.35">
      <c r="A235" s="1" t="s">
        <v>147</v>
      </c>
      <c r="B235" s="1"/>
      <c r="C235" s="1"/>
      <c r="D235" s="1" t="s">
        <v>149</v>
      </c>
      <c r="E235" t="s">
        <v>136</v>
      </c>
    </row>
    <row r="236" spans="1:5" x14ac:dyDescent="0.35">
      <c r="A236" s="1" t="s">
        <v>147</v>
      </c>
      <c r="B236" s="1" t="s">
        <v>168</v>
      </c>
      <c r="C236" s="1" t="s">
        <v>145</v>
      </c>
      <c r="D236" s="1" t="s">
        <v>146</v>
      </c>
      <c r="E236" t="s">
        <v>136</v>
      </c>
    </row>
    <row r="237" spans="1:5" x14ac:dyDescent="0.35">
      <c r="A237" s="1" t="s">
        <v>147</v>
      </c>
      <c r="B237" s="1"/>
      <c r="C237" s="1"/>
      <c r="D237" s="1" t="s">
        <v>148</v>
      </c>
      <c r="E237" t="s">
        <v>136</v>
      </c>
    </row>
    <row r="238" spans="1:5" x14ac:dyDescent="0.35">
      <c r="A238" s="1" t="s">
        <v>147</v>
      </c>
      <c r="B238" s="1"/>
      <c r="C238" s="1"/>
      <c r="D238" s="1" t="s">
        <v>149</v>
      </c>
      <c r="E238" t="s">
        <v>136</v>
      </c>
    </row>
    <row r="239" spans="1:5" x14ac:dyDescent="0.35">
      <c r="A239" s="1" t="s">
        <v>147</v>
      </c>
      <c r="B239" s="1"/>
      <c r="C239" s="1" t="s">
        <v>150</v>
      </c>
      <c r="D239" s="1" t="s">
        <v>146</v>
      </c>
      <c r="E239" t="s">
        <v>136</v>
      </c>
    </row>
    <row r="240" spans="1:5" x14ac:dyDescent="0.35">
      <c r="A240" s="1" t="s">
        <v>147</v>
      </c>
      <c r="B240" s="1"/>
      <c r="C240" s="1"/>
      <c r="D240" s="1" t="s">
        <v>148</v>
      </c>
      <c r="E240" t="s">
        <v>136</v>
      </c>
    </row>
    <row r="241" spans="1:5" x14ac:dyDescent="0.35">
      <c r="A241" s="1" t="s">
        <v>147</v>
      </c>
      <c r="B241" s="1"/>
      <c r="C241" s="1"/>
      <c r="D241" s="1" t="s">
        <v>149</v>
      </c>
      <c r="E241" t="s">
        <v>136</v>
      </c>
    </row>
    <row r="242" spans="1:5" x14ac:dyDescent="0.35">
      <c r="A242" s="1" t="s">
        <v>147</v>
      </c>
      <c r="B242" s="1" t="s">
        <v>169</v>
      </c>
      <c r="C242" s="1" t="s">
        <v>145</v>
      </c>
      <c r="D242" s="1" t="s">
        <v>146</v>
      </c>
      <c r="E242" t="s">
        <v>136</v>
      </c>
    </row>
    <row r="243" spans="1:5" x14ac:dyDescent="0.35">
      <c r="A243" s="1" t="s">
        <v>147</v>
      </c>
      <c r="B243" s="1"/>
      <c r="C243" s="1"/>
      <c r="D243" s="1" t="s">
        <v>148</v>
      </c>
      <c r="E243" t="s">
        <v>136</v>
      </c>
    </row>
    <row r="244" spans="1:5" x14ac:dyDescent="0.35">
      <c r="A244" s="1" t="s">
        <v>147</v>
      </c>
      <c r="B244" s="1"/>
      <c r="C244" s="1"/>
      <c r="D244" s="1" t="s">
        <v>149</v>
      </c>
      <c r="E244" t="s">
        <v>136</v>
      </c>
    </row>
    <row r="245" spans="1:5" x14ac:dyDescent="0.35">
      <c r="A245" s="1" t="s">
        <v>147</v>
      </c>
      <c r="B245" s="1"/>
      <c r="C245" s="1" t="s">
        <v>150</v>
      </c>
      <c r="D245" s="1" t="s">
        <v>146</v>
      </c>
      <c r="E245" t="s">
        <v>136</v>
      </c>
    </row>
    <row r="246" spans="1:5" x14ac:dyDescent="0.35">
      <c r="A246" s="1" t="s">
        <v>147</v>
      </c>
      <c r="B246" s="1"/>
      <c r="C246" s="1"/>
      <c r="D246" s="1" t="s">
        <v>148</v>
      </c>
      <c r="E246" t="s">
        <v>136</v>
      </c>
    </row>
    <row r="247" spans="1:5" x14ac:dyDescent="0.35">
      <c r="A247" s="1" t="s">
        <v>147</v>
      </c>
      <c r="B247" s="1"/>
      <c r="C247" s="1"/>
      <c r="D247" s="1" t="s">
        <v>149</v>
      </c>
      <c r="E247" t="s">
        <v>136</v>
      </c>
    </row>
    <row r="248" spans="1:5" x14ac:dyDescent="0.35">
      <c r="A248" s="1" t="s">
        <v>147</v>
      </c>
      <c r="B248" s="1" t="s">
        <v>170</v>
      </c>
      <c r="C248" s="1" t="s">
        <v>145</v>
      </c>
      <c r="D248" s="1" t="s">
        <v>146</v>
      </c>
      <c r="E248" t="s">
        <v>136</v>
      </c>
    </row>
    <row r="249" spans="1:5" x14ac:dyDescent="0.35">
      <c r="A249" s="1" t="s">
        <v>147</v>
      </c>
      <c r="B249" s="1"/>
      <c r="C249" s="1"/>
      <c r="D249" s="1" t="s">
        <v>148</v>
      </c>
      <c r="E249" t="s">
        <v>136</v>
      </c>
    </row>
    <row r="250" spans="1:5" x14ac:dyDescent="0.35">
      <c r="A250" s="1" t="s">
        <v>147</v>
      </c>
      <c r="B250" s="1"/>
      <c r="C250" s="1"/>
      <c r="D250" s="1" t="s">
        <v>149</v>
      </c>
      <c r="E250" t="s">
        <v>136</v>
      </c>
    </row>
    <row r="251" spans="1:5" x14ac:dyDescent="0.35">
      <c r="A251" s="1" t="s">
        <v>147</v>
      </c>
      <c r="B251" s="1"/>
      <c r="C251" s="1" t="s">
        <v>150</v>
      </c>
      <c r="D251" s="1" t="s">
        <v>146</v>
      </c>
      <c r="E251" t="s">
        <v>136</v>
      </c>
    </row>
    <row r="252" spans="1:5" x14ac:dyDescent="0.35">
      <c r="A252" s="1" t="s">
        <v>147</v>
      </c>
      <c r="B252" s="1"/>
      <c r="C252" s="1"/>
      <c r="D252" s="1" t="s">
        <v>148</v>
      </c>
      <c r="E252" t="s">
        <v>136</v>
      </c>
    </row>
    <row r="253" spans="1:5" x14ac:dyDescent="0.35">
      <c r="A253" s="1" t="s">
        <v>147</v>
      </c>
      <c r="B253" s="1"/>
      <c r="C253" s="1"/>
      <c r="D253" s="1" t="s">
        <v>149</v>
      </c>
      <c r="E253" t="s">
        <v>136</v>
      </c>
    </row>
    <row r="254" spans="1:5" x14ac:dyDescent="0.35">
      <c r="A254" s="1" t="s">
        <v>35</v>
      </c>
      <c r="B254" s="1" t="s">
        <v>144</v>
      </c>
      <c r="C254" s="1" t="s">
        <v>145</v>
      </c>
      <c r="D254" s="1" t="s">
        <v>146</v>
      </c>
      <c r="E254">
        <v>35.76</v>
      </c>
    </row>
    <row r="255" spans="1:5" x14ac:dyDescent="0.35">
      <c r="A255" s="1" t="s">
        <v>147</v>
      </c>
      <c r="B255" s="1"/>
      <c r="C255" s="1"/>
      <c r="D255" s="1" t="s">
        <v>148</v>
      </c>
      <c r="E255">
        <v>26.9</v>
      </c>
    </row>
    <row r="256" spans="1:5" x14ac:dyDescent="0.35">
      <c r="A256" s="1" t="s">
        <v>147</v>
      </c>
      <c r="B256" s="1"/>
      <c r="C256" s="1"/>
      <c r="D256" s="1" t="s">
        <v>149</v>
      </c>
      <c r="E256">
        <v>8.86</v>
      </c>
    </row>
    <row r="257" spans="1:5" x14ac:dyDescent="0.35">
      <c r="A257" s="1" t="s">
        <v>147</v>
      </c>
      <c r="B257" s="1"/>
      <c r="C257" s="1" t="s">
        <v>150</v>
      </c>
      <c r="D257" s="1" t="s">
        <v>146</v>
      </c>
      <c r="E257" t="s">
        <v>136</v>
      </c>
    </row>
    <row r="258" spans="1:5" x14ac:dyDescent="0.35">
      <c r="A258" s="1" t="s">
        <v>147</v>
      </c>
      <c r="B258" s="1"/>
      <c r="C258" s="1"/>
      <c r="D258" s="1" t="s">
        <v>148</v>
      </c>
      <c r="E258" t="s">
        <v>136</v>
      </c>
    </row>
    <row r="259" spans="1:5" x14ac:dyDescent="0.35">
      <c r="A259" s="1" t="s">
        <v>147</v>
      </c>
      <c r="B259" s="1"/>
      <c r="C259" s="1"/>
      <c r="D259" s="1" t="s">
        <v>149</v>
      </c>
      <c r="E259" t="s">
        <v>136</v>
      </c>
    </row>
    <row r="260" spans="1:5" x14ac:dyDescent="0.35">
      <c r="A260" s="1" t="s">
        <v>147</v>
      </c>
      <c r="B260" s="1" t="s">
        <v>151</v>
      </c>
      <c r="C260" s="1" t="s">
        <v>145</v>
      </c>
      <c r="D260" s="1" t="s">
        <v>146</v>
      </c>
      <c r="E260">
        <v>35.26</v>
      </c>
    </row>
    <row r="261" spans="1:5" x14ac:dyDescent="0.35">
      <c r="A261" s="1" t="s">
        <v>147</v>
      </c>
      <c r="B261" s="1"/>
      <c r="C261" s="1"/>
      <c r="D261" s="1" t="s">
        <v>148</v>
      </c>
      <c r="E261">
        <v>26.4</v>
      </c>
    </row>
    <row r="262" spans="1:5" x14ac:dyDescent="0.35">
      <c r="A262" s="1" t="s">
        <v>147</v>
      </c>
      <c r="B262" s="1"/>
      <c r="C262" s="1"/>
      <c r="D262" s="1" t="s">
        <v>149</v>
      </c>
      <c r="E262">
        <v>8.86</v>
      </c>
    </row>
    <row r="263" spans="1:5" x14ac:dyDescent="0.35">
      <c r="A263" s="1" t="s">
        <v>147</v>
      </c>
      <c r="B263" s="1"/>
      <c r="C263" s="1" t="s">
        <v>150</v>
      </c>
      <c r="D263" s="1" t="s">
        <v>146</v>
      </c>
      <c r="E263" t="s">
        <v>136</v>
      </c>
    </row>
    <row r="264" spans="1:5" x14ac:dyDescent="0.35">
      <c r="A264" s="1" t="s">
        <v>147</v>
      </c>
      <c r="B264" s="1"/>
      <c r="C264" s="1"/>
      <c r="D264" s="1" t="s">
        <v>148</v>
      </c>
      <c r="E264" t="s">
        <v>136</v>
      </c>
    </row>
    <row r="265" spans="1:5" x14ac:dyDescent="0.35">
      <c r="A265" s="1" t="s">
        <v>147</v>
      </c>
      <c r="B265" s="1"/>
      <c r="C265" s="1"/>
      <c r="D265" s="1" t="s">
        <v>149</v>
      </c>
      <c r="E265" t="s">
        <v>136</v>
      </c>
    </row>
    <row r="266" spans="1:5" x14ac:dyDescent="0.35">
      <c r="A266" s="1" t="s">
        <v>147</v>
      </c>
      <c r="B266" s="1" t="s">
        <v>152</v>
      </c>
      <c r="C266" s="1" t="s">
        <v>145</v>
      </c>
      <c r="D266" s="1" t="s">
        <v>146</v>
      </c>
      <c r="E266" t="s">
        <v>136</v>
      </c>
    </row>
    <row r="267" spans="1:5" x14ac:dyDescent="0.35">
      <c r="A267" s="1" t="s">
        <v>147</v>
      </c>
      <c r="B267" s="1"/>
      <c r="C267" s="1"/>
      <c r="D267" s="1" t="s">
        <v>148</v>
      </c>
      <c r="E267" t="s">
        <v>136</v>
      </c>
    </row>
    <row r="268" spans="1:5" x14ac:dyDescent="0.35">
      <c r="A268" s="1" t="s">
        <v>147</v>
      </c>
      <c r="B268" s="1"/>
      <c r="C268" s="1"/>
      <c r="D268" s="1" t="s">
        <v>149</v>
      </c>
      <c r="E268" t="s">
        <v>136</v>
      </c>
    </row>
    <row r="269" spans="1:5" x14ac:dyDescent="0.35">
      <c r="A269" s="1" t="s">
        <v>147</v>
      </c>
      <c r="B269" s="1"/>
      <c r="C269" s="1" t="s">
        <v>150</v>
      </c>
      <c r="D269" s="1" t="s">
        <v>146</v>
      </c>
      <c r="E269" t="s">
        <v>136</v>
      </c>
    </row>
    <row r="270" spans="1:5" x14ac:dyDescent="0.35">
      <c r="A270" s="1" t="s">
        <v>147</v>
      </c>
      <c r="B270" s="1"/>
      <c r="C270" s="1"/>
      <c r="D270" s="1" t="s">
        <v>148</v>
      </c>
      <c r="E270" t="s">
        <v>136</v>
      </c>
    </row>
    <row r="271" spans="1:5" x14ac:dyDescent="0.35">
      <c r="A271" s="1" t="s">
        <v>147</v>
      </c>
      <c r="B271" s="1"/>
      <c r="C271" s="1"/>
      <c r="D271" s="1" t="s">
        <v>149</v>
      </c>
      <c r="E271" t="s">
        <v>136</v>
      </c>
    </row>
    <row r="272" spans="1:5" x14ac:dyDescent="0.35">
      <c r="A272" s="1" t="s">
        <v>147</v>
      </c>
      <c r="B272" s="1" t="s">
        <v>153</v>
      </c>
      <c r="C272" s="1" t="s">
        <v>145</v>
      </c>
      <c r="D272" s="1" t="s">
        <v>146</v>
      </c>
      <c r="E272" t="s">
        <v>136</v>
      </c>
    </row>
    <row r="273" spans="1:5" x14ac:dyDescent="0.35">
      <c r="A273" s="1" t="s">
        <v>147</v>
      </c>
      <c r="B273" s="1"/>
      <c r="C273" s="1"/>
      <c r="D273" s="1" t="s">
        <v>148</v>
      </c>
      <c r="E273" t="s">
        <v>136</v>
      </c>
    </row>
    <row r="274" spans="1:5" x14ac:dyDescent="0.35">
      <c r="A274" s="1" t="s">
        <v>147</v>
      </c>
      <c r="B274" s="1"/>
      <c r="C274" s="1"/>
      <c r="D274" s="1" t="s">
        <v>149</v>
      </c>
      <c r="E274" t="s">
        <v>136</v>
      </c>
    </row>
    <row r="275" spans="1:5" x14ac:dyDescent="0.35">
      <c r="A275" s="1" t="s">
        <v>147</v>
      </c>
      <c r="B275" s="1"/>
      <c r="C275" s="1" t="s">
        <v>150</v>
      </c>
      <c r="D275" s="1" t="s">
        <v>146</v>
      </c>
      <c r="E275" t="s">
        <v>136</v>
      </c>
    </row>
    <row r="276" spans="1:5" x14ac:dyDescent="0.35">
      <c r="A276" s="1" t="s">
        <v>147</v>
      </c>
      <c r="B276" s="1"/>
      <c r="C276" s="1"/>
      <c r="D276" s="1" t="s">
        <v>148</v>
      </c>
      <c r="E276" t="s">
        <v>136</v>
      </c>
    </row>
    <row r="277" spans="1:5" x14ac:dyDescent="0.35">
      <c r="A277" s="1" t="s">
        <v>147</v>
      </c>
      <c r="B277" s="1"/>
      <c r="C277" s="1"/>
      <c r="D277" s="1" t="s">
        <v>149</v>
      </c>
      <c r="E277" t="s">
        <v>136</v>
      </c>
    </row>
    <row r="278" spans="1:5" x14ac:dyDescent="0.35">
      <c r="A278" s="1" t="s">
        <v>147</v>
      </c>
      <c r="B278" s="1" t="s">
        <v>154</v>
      </c>
      <c r="C278" s="1" t="s">
        <v>145</v>
      </c>
      <c r="D278" s="1" t="s">
        <v>146</v>
      </c>
      <c r="E278" t="s">
        <v>136</v>
      </c>
    </row>
    <row r="279" spans="1:5" x14ac:dyDescent="0.35">
      <c r="A279" s="1" t="s">
        <v>147</v>
      </c>
      <c r="B279" s="1"/>
      <c r="C279" s="1"/>
      <c r="D279" s="1" t="s">
        <v>148</v>
      </c>
      <c r="E279" t="s">
        <v>136</v>
      </c>
    </row>
    <row r="280" spans="1:5" x14ac:dyDescent="0.35">
      <c r="A280" s="1" t="s">
        <v>147</v>
      </c>
      <c r="B280" s="1"/>
      <c r="C280" s="1"/>
      <c r="D280" s="1" t="s">
        <v>149</v>
      </c>
      <c r="E280" t="s">
        <v>136</v>
      </c>
    </row>
    <row r="281" spans="1:5" x14ac:dyDescent="0.35">
      <c r="A281" s="1" t="s">
        <v>147</v>
      </c>
      <c r="B281" s="1"/>
      <c r="C281" s="1" t="s">
        <v>150</v>
      </c>
      <c r="D281" s="1" t="s">
        <v>146</v>
      </c>
      <c r="E281" t="s">
        <v>136</v>
      </c>
    </row>
    <row r="282" spans="1:5" x14ac:dyDescent="0.35">
      <c r="A282" s="1" t="s">
        <v>147</v>
      </c>
      <c r="B282" s="1"/>
      <c r="C282" s="1"/>
      <c r="D282" s="1" t="s">
        <v>148</v>
      </c>
      <c r="E282" t="s">
        <v>136</v>
      </c>
    </row>
    <row r="283" spans="1:5" x14ac:dyDescent="0.35">
      <c r="A283" s="1" t="s">
        <v>147</v>
      </c>
      <c r="B283" s="1"/>
      <c r="C283" s="1"/>
      <c r="D283" s="1" t="s">
        <v>149</v>
      </c>
      <c r="E283" t="s">
        <v>136</v>
      </c>
    </row>
    <row r="284" spans="1:5" x14ac:dyDescent="0.35">
      <c r="A284" s="1" t="s">
        <v>147</v>
      </c>
      <c r="B284" s="1" t="s">
        <v>155</v>
      </c>
      <c r="C284" s="1" t="s">
        <v>145</v>
      </c>
      <c r="D284" s="1" t="s">
        <v>146</v>
      </c>
      <c r="E284">
        <v>0.5</v>
      </c>
    </row>
    <row r="285" spans="1:5" x14ac:dyDescent="0.35">
      <c r="A285" s="1" t="s">
        <v>147</v>
      </c>
      <c r="B285" s="1"/>
      <c r="C285" s="1"/>
      <c r="D285" s="1" t="s">
        <v>148</v>
      </c>
      <c r="E285">
        <v>0.5</v>
      </c>
    </row>
    <row r="286" spans="1:5" x14ac:dyDescent="0.35">
      <c r="A286" s="1" t="s">
        <v>147</v>
      </c>
      <c r="B286" s="1"/>
      <c r="C286" s="1"/>
      <c r="D286" s="1" t="s">
        <v>149</v>
      </c>
      <c r="E286" t="s">
        <v>136</v>
      </c>
    </row>
    <row r="287" spans="1:5" x14ac:dyDescent="0.35">
      <c r="A287" s="1" t="s">
        <v>147</v>
      </c>
      <c r="B287" s="1"/>
      <c r="C287" s="1" t="s">
        <v>150</v>
      </c>
      <c r="D287" s="1" t="s">
        <v>146</v>
      </c>
      <c r="E287" t="s">
        <v>136</v>
      </c>
    </row>
    <row r="288" spans="1:5" x14ac:dyDescent="0.35">
      <c r="A288" s="1" t="s">
        <v>147</v>
      </c>
      <c r="B288" s="1"/>
      <c r="C288" s="1"/>
      <c r="D288" s="1" t="s">
        <v>148</v>
      </c>
      <c r="E288" t="s">
        <v>136</v>
      </c>
    </row>
    <row r="289" spans="1:5" x14ac:dyDescent="0.35">
      <c r="A289" s="1" t="s">
        <v>147</v>
      </c>
      <c r="B289" s="1"/>
      <c r="C289" s="1"/>
      <c r="D289" s="1" t="s">
        <v>149</v>
      </c>
      <c r="E289" t="s">
        <v>136</v>
      </c>
    </row>
    <row r="290" spans="1:5" x14ac:dyDescent="0.35">
      <c r="A290" s="1" t="s">
        <v>147</v>
      </c>
      <c r="B290" s="1" t="s">
        <v>156</v>
      </c>
      <c r="C290" s="1" t="s">
        <v>145</v>
      </c>
      <c r="D290" s="1" t="s">
        <v>146</v>
      </c>
      <c r="E290" t="s">
        <v>136</v>
      </c>
    </row>
    <row r="291" spans="1:5" x14ac:dyDescent="0.35">
      <c r="A291" s="1" t="s">
        <v>147</v>
      </c>
      <c r="B291" s="1"/>
      <c r="C291" s="1"/>
      <c r="D291" s="1" t="s">
        <v>148</v>
      </c>
      <c r="E291" t="s">
        <v>136</v>
      </c>
    </row>
    <row r="292" spans="1:5" x14ac:dyDescent="0.35">
      <c r="A292" s="1" t="s">
        <v>147</v>
      </c>
      <c r="B292" s="1"/>
      <c r="C292" s="1"/>
      <c r="D292" s="1" t="s">
        <v>149</v>
      </c>
      <c r="E292" t="s">
        <v>136</v>
      </c>
    </row>
    <row r="293" spans="1:5" x14ac:dyDescent="0.35">
      <c r="A293" s="1" t="s">
        <v>147</v>
      </c>
      <c r="B293" s="1"/>
      <c r="C293" s="1" t="s">
        <v>150</v>
      </c>
      <c r="D293" s="1" t="s">
        <v>146</v>
      </c>
      <c r="E293" t="s">
        <v>136</v>
      </c>
    </row>
    <row r="294" spans="1:5" x14ac:dyDescent="0.35">
      <c r="A294" s="1" t="s">
        <v>147</v>
      </c>
      <c r="B294" s="1"/>
      <c r="C294" s="1"/>
      <c r="D294" s="1" t="s">
        <v>148</v>
      </c>
      <c r="E294" t="s">
        <v>136</v>
      </c>
    </row>
    <row r="295" spans="1:5" x14ac:dyDescent="0.35">
      <c r="A295" s="1" t="s">
        <v>147</v>
      </c>
      <c r="B295" s="1"/>
      <c r="C295" s="1"/>
      <c r="D295" s="1" t="s">
        <v>149</v>
      </c>
      <c r="E295" t="s">
        <v>136</v>
      </c>
    </row>
    <row r="296" spans="1:5" x14ac:dyDescent="0.35">
      <c r="A296" s="1" t="s">
        <v>147</v>
      </c>
      <c r="B296" s="1" t="s">
        <v>157</v>
      </c>
      <c r="C296" s="1" t="s">
        <v>145</v>
      </c>
      <c r="D296" s="1" t="s">
        <v>146</v>
      </c>
      <c r="E296" t="s">
        <v>136</v>
      </c>
    </row>
    <row r="297" spans="1:5" x14ac:dyDescent="0.35">
      <c r="A297" s="1" t="s">
        <v>147</v>
      </c>
      <c r="B297" s="1"/>
      <c r="C297" s="1"/>
      <c r="D297" s="1" t="s">
        <v>148</v>
      </c>
      <c r="E297" t="s">
        <v>136</v>
      </c>
    </row>
    <row r="298" spans="1:5" x14ac:dyDescent="0.35">
      <c r="A298" s="1" t="s">
        <v>147</v>
      </c>
      <c r="B298" s="1"/>
      <c r="C298" s="1"/>
      <c r="D298" s="1" t="s">
        <v>149</v>
      </c>
      <c r="E298" t="s">
        <v>136</v>
      </c>
    </row>
    <row r="299" spans="1:5" x14ac:dyDescent="0.35">
      <c r="A299" s="1" t="s">
        <v>147</v>
      </c>
      <c r="B299" s="1"/>
      <c r="C299" s="1" t="s">
        <v>150</v>
      </c>
      <c r="D299" s="1" t="s">
        <v>146</v>
      </c>
      <c r="E299" t="s">
        <v>136</v>
      </c>
    </row>
    <row r="300" spans="1:5" x14ac:dyDescent="0.35">
      <c r="A300" s="1" t="s">
        <v>147</v>
      </c>
      <c r="B300" s="1"/>
      <c r="C300" s="1"/>
      <c r="D300" s="1" t="s">
        <v>148</v>
      </c>
      <c r="E300" t="s">
        <v>136</v>
      </c>
    </row>
    <row r="301" spans="1:5" x14ac:dyDescent="0.35">
      <c r="A301" s="1" t="s">
        <v>147</v>
      </c>
      <c r="B301" s="1"/>
      <c r="C301" s="1"/>
      <c r="D301" s="1" t="s">
        <v>149</v>
      </c>
      <c r="E301" t="s">
        <v>136</v>
      </c>
    </row>
    <row r="302" spans="1:5" x14ac:dyDescent="0.35">
      <c r="A302" s="1" t="s">
        <v>147</v>
      </c>
      <c r="B302" s="1" t="s">
        <v>158</v>
      </c>
      <c r="C302" s="1" t="s">
        <v>145</v>
      </c>
      <c r="D302" s="1" t="s">
        <v>146</v>
      </c>
      <c r="E302" t="s">
        <v>136</v>
      </c>
    </row>
    <row r="303" spans="1:5" x14ac:dyDescent="0.35">
      <c r="A303" s="1" t="s">
        <v>147</v>
      </c>
      <c r="B303" s="1"/>
      <c r="C303" s="1"/>
      <c r="D303" s="1" t="s">
        <v>148</v>
      </c>
      <c r="E303" t="s">
        <v>136</v>
      </c>
    </row>
    <row r="304" spans="1:5" x14ac:dyDescent="0.35">
      <c r="A304" s="1" t="s">
        <v>147</v>
      </c>
      <c r="B304" s="1"/>
      <c r="C304" s="1"/>
      <c r="D304" s="1" t="s">
        <v>149</v>
      </c>
      <c r="E304" t="s">
        <v>136</v>
      </c>
    </row>
    <row r="305" spans="1:5" x14ac:dyDescent="0.35">
      <c r="A305" s="1" t="s">
        <v>147</v>
      </c>
      <c r="B305" s="1"/>
      <c r="C305" s="1" t="s">
        <v>150</v>
      </c>
      <c r="D305" s="1" t="s">
        <v>146</v>
      </c>
      <c r="E305" t="s">
        <v>136</v>
      </c>
    </row>
    <row r="306" spans="1:5" x14ac:dyDescent="0.35">
      <c r="A306" s="1" t="s">
        <v>147</v>
      </c>
      <c r="B306" s="1"/>
      <c r="C306" s="1"/>
      <c r="D306" s="1" t="s">
        <v>148</v>
      </c>
      <c r="E306" t="s">
        <v>136</v>
      </c>
    </row>
    <row r="307" spans="1:5" x14ac:dyDescent="0.35">
      <c r="A307" s="1" t="s">
        <v>147</v>
      </c>
      <c r="B307" s="1"/>
      <c r="C307" s="1"/>
      <c r="D307" s="1" t="s">
        <v>149</v>
      </c>
      <c r="E307" t="s">
        <v>136</v>
      </c>
    </row>
    <row r="308" spans="1:5" x14ac:dyDescent="0.35">
      <c r="A308" s="1" t="s">
        <v>147</v>
      </c>
      <c r="B308" s="1" t="s">
        <v>159</v>
      </c>
      <c r="C308" s="1" t="s">
        <v>145</v>
      </c>
      <c r="D308" s="1" t="s">
        <v>146</v>
      </c>
      <c r="E308" t="s">
        <v>136</v>
      </c>
    </row>
    <row r="309" spans="1:5" x14ac:dyDescent="0.35">
      <c r="A309" s="1" t="s">
        <v>147</v>
      </c>
      <c r="B309" s="1"/>
      <c r="C309" s="1"/>
      <c r="D309" s="1" t="s">
        <v>148</v>
      </c>
      <c r="E309" t="s">
        <v>136</v>
      </c>
    </row>
    <row r="310" spans="1:5" x14ac:dyDescent="0.35">
      <c r="A310" s="1" t="s">
        <v>147</v>
      </c>
      <c r="B310" s="1"/>
      <c r="C310" s="1"/>
      <c r="D310" s="1" t="s">
        <v>149</v>
      </c>
      <c r="E310" t="s">
        <v>136</v>
      </c>
    </row>
    <row r="311" spans="1:5" x14ac:dyDescent="0.35">
      <c r="A311" s="1" t="s">
        <v>147</v>
      </c>
      <c r="B311" s="1"/>
      <c r="C311" s="1" t="s">
        <v>150</v>
      </c>
      <c r="D311" s="1" t="s">
        <v>146</v>
      </c>
      <c r="E311" t="s">
        <v>136</v>
      </c>
    </row>
    <row r="312" spans="1:5" x14ac:dyDescent="0.35">
      <c r="A312" s="1" t="s">
        <v>147</v>
      </c>
      <c r="B312" s="1"/>
      <c r="C312" s="1"/>
      <c r="D312" s="1" t="s">
        <v>148</v>
      </c>
      <c r="E312" t="s">
        <v>136</v>
      </c>
    </row>
    <row r="313" spans="1:5" x14ac:dyDescent="0.35">
      <c r="A313" s="1" t="s">
        <v>147</v>
      </c>
      <c r="B313" s="1"/>
      <c r="C313" s="1"/>
      <c r="D313" s="1" t="s">
        <v>149</v>
      </c>
      <c r="E313" t="s">
        <v>136</v>
      </c>
    </row>
    <row r="314" spans="1:5" x14ac:dyDescent="0.35">
      <c r="A314" s="1" t="s">
        <v>147</v>
      </c>
      <c r="B314" s="1" t="s">
        <v>160</v>
      </c>
      <c r="C314" s="1" t="s">
        <v>145</v>
      </c>
      <c r="D314" s="1" t="s">
        <v>146</v>
      </c>
      <c r="E314" t="s">
        <v>136</v>
      </c>
    </row>
    <row r="315" spans="1:5" x14ac:dyDescent="0.35">
      <c r="A315" s="1" t="s">
        <v>147</v>
      </c>
      <c r="B315" s="1"/>
      <c r="C315" s="1"/>
      <c r="D315" s="1" t="s">
        <v>148</v>
      </c>
      <c r="E315" t="s">
        <v>136</v>
      </c>
    </row>
    <row r="316" spans="1:5" x14ac:dyDescent="0.35">
      <c r="A316" s="1" t="s">
        <v>147</v>
      </c>
      <c r="B316" s="1"/>
      <c r="C316" s="1"/>
      <c r="D316" s="1" t="s">
        <v>149</v>
      </c>
      <c r="E316" t="s">
        <v>136</v>
      </c>
    </row>
    <row r="317" spans="1:5" x14ac:dyDescent="0.35">
      <c r="A317" s="1" t="s">
        <v>147</v>
      </c>
      <c r="B317" s="1"/>
      <c r="C317" s="1" t="s">
        <v>150</v>
      </c>
      <c r="D317" s="1" t="s">
        <v>146</v>
      </c>
      <c r="E317" t="s">
        <v>136</v>
      </c>
    </row>
    <row r="318" spans="1:5" x14ac:dyDescent="0.35">
      <c r="A318" s="1" t="s">
        <v>147</v>
      </c>
      <c r="B318" s="1"/>
      <c r="C318" s="1"/>
      <c r="D318" s="1" t="s">
        <v>148</v>
      </c>
      <c r="E318" t="s">
        <v>136</v>
      </c>
    </row>
    <row r="319" spans="1:5" x14ac:dyDescent="0.35">
      <c r="A319" s="1" t="s">
        <v>147</v>
      </c>
      <c r="B319" s="1"/>
      <c r="C319" s="1"/>
      <c r="D319" s="1" t="s">
        <v>149</v>
      </c>
      <c r="E319" t="s">
        <v>136</v>
      </c>
    </row>
    <row r="320" spans="1:5" x14ac:dyDescent="0.35">
      <c r="A320" s="1" t="s">
        <v>147</v>
      </c>
      <c r="B320" s="1" t="s">
        <v>161</v>
      </c>
      <c r="C320" s="1" t="s">
        <v>145</v>
      </c>
      <c r="D320" s="1" t="s">
        <v>146</v>
      </c>
      <c r="E320" t="s">
        <v>136</v>
      </c>
    </row>
    <row r="321" spans="1:5" x14ac:dyDescent="0.35">
      <c r="A321" s="1" t="s">
        <v>147</v>
      </c>
      <c r="B321" s="1"/>
      <c r="C321" s="1"/>
      <c r="D321" s="1" t="s">
        <v>148</v>
      </c>
      <c r="E321" t="s">
        <v>136</v>
      </c>
    </row>
    <row r="322" spans="1:5" x14ac:dyDescent="0.35">
      <c r="A322" s="1" t="s">
        <v>147</v>
      </c>
      <c r="B322" s="1"/>
      <c r="C322" s="1"/>
      <c r="D322" s="1" t="s">
        <v>149</v>
      </c>
      <c r="E322" t="s">
        <v>136</v>
      </c>
    </row>
    <row r="323" spans="1:5" x14ac:dyDescent="0.35">
      <c r="A323" s="1" t="s">
        <v>147</v>
      </c>
      <c r="B323" s="1"/>
      <c r="C323" s="1" t="s">
        <v>150</v>
      </c>
      <c r="D323" s="1" t="s">
        <v>146</v>
      </c>
      <c r="E323" t="s">
        <v>136</v>
      </c>
    </row>
    <row r="324" spans="1:5" x14ac:dyDescent="0.35">
      <c r="A324" s="1" t="s">
        <v>147</v>
      </c>
      <c r="B324" s="1"/>
      <c r="C324" s="1"/>
      <c r="D324" s="1" t="s">
        <v>148</v>
      </c>
      <c r="E324" t="s">
        <v>136</v>
      </c>
    </row>
    <row r="325" spans="1:5" x14ac:dyDescent="0.35">
      <c r="A325" s="1" t="s">
        <v>147</v>
      </c>
      <c r="B325" s="1"/>
      <c r="C325" s="1"/>
      <c r="D325" s="1" t="s">
        <v>149</v>
      </c>
      <c r="E325" t="s">
        <v>136</v>
      </c>
    </row>
    <row r="326" spans="1:5" x14ac:dyDescent="0.35">
      <c r="A326" s="1" t="s">
        <v>147</v>
      </c>
      <c r="B326" s="1" t="s">
        <v>162</v>
      </c>
      <c r="C326" s="1" t="s">
        <v>145</v>
      </c>
      <c r="D326" s="1" t="s">
        <v>146</v>
      </c>
      <c r="E326" t="s">
        <v>136</v>
      </c>
    </row>
    <row r="327" spans="1:5" x14ac:dyDescent="0.35">
      <c r="A327" s="1" t="s">
        <v>147</v>
      </c>
      <c r="B327" s="1"/>
      <c r="C327" s="1"/>
      <c r="D327" s="1" t="s">
        <v>148</v>
      </c>
      <c r="E327" t="s">
        <v>136</v>
      </c>
    </row>
    <row r="328" spans="1:5" x14ac:dyDescent="0.35">
      <c r="A328" s="1" t="s">
        <v>147</v>
      </c>
      <c r="B328" s="1"/>
      <c r="C328" s="1"/>
      <c r="D328" s="1" t="s">
        <v>149</v>
      </c>
      <c r="E328" t="s">
        <v>136</v>
      </c>
    </row>
    <row r="329" spans="1:5" x14ac:dyDescent="0.35">
      <c r="A329" s="1" t="s">
        <v>147</v>
      </c>
      <c r="B329" s="1"/>
      <c r="C329" s="1" t="s">
        <v>150</v>
      </c>
      <c r="D329" s="1" t="s">
        <v>146</v>
      </c>
      <c r="E329" t="s">
        <v>136</v>
      </c>
    </row>
    <row r="330" spans="1:5" x14ac:dyDescent="0.35">
      <c r="A330" s="1" t="s">
        <v>147</v>
      </c>
      <c r="B330" s="1"/>
      <c r="C330" s="1"/>
      <c r="D330" s="1" t="s">
        <v>148</v>
      </c>
      <c r="E330" t="s">
        <v>136</v>
      </c>
    </row>
    <row r="331" spans="1:5" x14ac:dyDescent="0.35">
      <c r="A331" s="1" t="s">
        <v>147</v>
      </c>
      <c r="B331" s="1"/>
      <c r="C331" s="1"/>
      <c r="D331" s="1" t="s">
        <v>149</v>
      </c>
      <c r="E331" t="s">
        <v>136</v>
      </c>
    </row>
    <row r="332" spans="1:5" x14ac:dyDescent="0.35">
      <c r="A332" s="1" t="s">
        <v>147</v>
      </c>
      <c r="B332" s="1" t="s">
        <v>163</v>
      </c>
      <c r="C332" s="1" t="s">
        <v>145</v>
      </c>
      <c r="D332" s="1" t="s">
        <v>146</v>
      </c>
      <c r="E332">
        <v>301</v>
      </c>
    </row>
    <row r="333" spans="1:5" x14ac:dyDescent="0.35">
      <c r="A333" s="1" t="s">
        <v>147</v>
      </c>
      <c r="B333" s="1"/>
      <c r="C333" s="1"/>
      <c r="D333" s="1" t="s">
        <v>148</v>
      </c>
      <c r="E333">
        <v>301</v>
      </c>
    </row>
    <row r="334" spans="1:5" x14ac:dyDescent="0.35">
      <c r="A334" s="1" t="s">
        <v>147</v>
      </c>
      <c r="B334" s="1"/>
      <c r="C334" s="1"/>
      <c r="D334" s="1" t="s">
        <v>149</v>
      </c>
      <c r="E334" t="s">
        <v>136</v>
      </c>
    </row>
    <row r="335" spans="1:5" x14ac:dyDescent="0.35">
      <c r="A335" s="1" t="s">
        <v>147</v>
      </c>
      <c r="B335" s="1"/>
      <c r="C335" s="1" t="s">
        <v>150</v>
      </c>
      <c r="D335" s="1" t="s">
        <v>146</v>
      </c>
      <c r="E335" t="s">
        <v>136</v>
      </c>
    </row>
    <row r="336" spans="1:5" x14ac:dyDescent="0.35">
      <c r="A336" s="1" t="s">
        <v>147</v>
      </c>
      <c r="B336" s="1"/>
      <c r="C336" s="1"/>
      <c r="D336" s="1" t="s">
        <v>148</v>
      </c>
      <c r="E336" t="s">
        <v>136</v>
      </c>
    </row>
    <row r="337" spans="1:5" x14ac:dyDescent="0.35">
      <c r="A337" s="1" t="s">
        <v>147</v>
      </c>
      <c r="B337" s="1"/>
      <c r="C337" s="1"/>
      <c r="D337" s="1" t="s">
        <v>149</v>
      </c>
      <c r="E337" t="s">
        <v>136</v>
      </c>
    </row>
    <row r="338" spans="1:5" x14ac:dyDescent="0.35">
      <c r="A338" s="1" t="s">
        <v>147</v>
      </c>
      <c r="B338" s="1" t="s">
        <v>164</v>
      </c>
      <c r="C338" s="1" t="s">
        <v>145</v>
      </c>
      <c r="D338" s="1" t="s">
        <v>146</v>
      </c>
      <c r="E338" t="s">
        <v>136</v>
      </c>
    </row>
    <row r="339" spans="1:5" x14ac:dyDescent="0.35">
      <c r="A339" s="1" t="s">
        <v>147</v>
      </c>
      <c r="B339" s="1"/>
      <c r="C339" s="1"/>
      <c r="D339" s="1" t="s">
        <v>148</v>
      </c>
      <c r="E339" t="s">
        <v>136</v>
      </c>
    </row>
    <row r="340" spans="1:5" x14ac:dyDescent="0.35">
      <c r="A340" s="1" t="s">
        <v>147</v>
      </c>
      <c r="B340" s="1"/>
      <c r="C340" s="1"/>
      <c r="D340" s="1" t="s">
        <v>149</v>
      </c>
      <c r="E340" t="s">
        <v>136</v>
      </c>
    </row>
    <row r="341" spans="1:5" x14ac:dyDescent="0.35">
      <c r="A341" s="1" t="s">
        <v>147</v>
      </c>
      <c r="B341" s="1"/>
      <c r="C341" s="1" t="s">
        <v>150</v>
      </c>
      <c r="D341" s="1" t="s">
        <v>146</v>
      </c>
      <c r="E341" t="s">
        <v>136</v>
      </c>
    </row>
    <row r="342" spans="1:5" x14ac:dyDescent="0.35">
      <c r="A342" s="1" t="s">
        <v>147</v>
      </c>
      <c r="B342" s="1"/>
      <c r="C342" s="1"/>
      <c r="D342" s="1" t="s">
        <v>148</v>
      </c>
      <c r="E342" t="s">
        <v>136</v>
      </c>
    </row>
    <row r="343" spans="1:5" x14ac:dyDescent="0.35">
      <c r="A343" s="1" t="s">
        <v>147</v>
      </c>
      <c r="B343" s="1"/>
      <c r="C343" s="1"/>
      <c r="D343" s="1" t="s">
        <v>149</v>
      </c>
      <c r="E343" t="s">
        <v>136</v>
      </c>
    </row>
    <row r="344" spans="1:5" x14ac:dyDescent="0.35">
      <c r="A344" s="1" t="s">
        <v>147</v>
      </c>
      <c r="B344" s="1" t="s">
        <v>165</v>
      </c>
      <c r="C344" s="1" t="s">
        <v>145</v>
      </c>
      <c r="D344" s="1" t="s">
        <v>146</v>
      </c>
      <c r="E344" t="s">
        <v>136</v>
      </c>
    </row>
    <row r="345" spans="1:5" x14ac:dyDescent="0.35">
      <c r="A345" s="1" t="s">
        <v>147</v>
      </c>
      <c r="B345" s="1"/>
      <c r="C345" s="1"/>
      <c r="D345" s="1" t="s">
        <v>148</v>
      </c>
      <c r="E345" t="s">
        <v>136</v>
      </c>
    </row>
    <row r="346" spans="1:5" x14ac:dyDescent="0.35">
      <c r="A346" s="1" t="s">
        <v>147</v>
      </c>
      <c r="B346" s="1"/>
      <c r="C346" s="1"/>
      <c r="D346" s="1" t="s">
        <v>149</v>
      </c>
      <c r="E346" t="s">
        <v>136</v>
      </c>
    </row>
    <row r="347" spans="1:5" x14ac:dyDescent="0.35">
      <c r="A347" s="1" t="s">
        <v>147</v>
      </c>
      <c r="B347" s="1"/>
      <c r="C347" s="1" t="s">
        <v>150</v>
      </c>
      <c r="D347" s="1" t="s">
        <v>146</v>
      </c>
      <c r="E347" t="s">
        <v>136</v>
      </c>
    </row>
    <row r="348" spans="1:5" x14ac:dyDescent="0.35">
      <c r="A348" s="1" t="s">
        <v>147</v>
      </c>
      <c r="B348" s="1"/>
      <c r="C348" s="1"/>
      <c r="D348" s="1" t="s">
        <v>148</v>
      </c>
      <c r="E348" t="s">
        <v>136</v>
      </c>
    </row>
    <row r="349" spans="1:5" x14ac:dyDescent="0.35">
      <c r="A349" s="1" t="s">
        <v>147</v>
      </c>
      <c r="B349" s="1"/>
      <c r="C349" s="1"/>
      <c r="D349" s="1" t="s">
        <v>149</v>
      </c>
      <c r="E349" t="s">
        <v>136</v>
      </c>
    </row>
    <row r="350" spans="1:5" x14ac:dyDescent="0.35">
      <c r="A350" s="1" t="s">
        <v>147</v>
      </c>
      <c r="B350" s="1" t="s">
        <v>166</v>
      </c>
      <c r="C350" s="1" t="s">
        <v>145</v>
      </c>
      <c r="D350" s="1" t="s">
        <v>146</v>
      </c>
      <c r="E350">
        <v>174</v>
      </c>
    </row>
    <row r="351" spans="1:5" x14ac:dyDescent="0.35">
      <c r="A351" s="1" t="s">
        <v>147</v>
      </c>
      <c r="B351" s="1"/>
      <c r="C351" s="1"/>
      <c r="D351" s="1" t="s">
        <v>148</v>
      </c>
      <c r="E351">
        <v>174</v>
      </c>
    </row>
    <row r="352" spans="1:5" x14ac:dyDescent="0.35">
      <c r="A352" s="1" t="s">
        <v>147</v>
      </c>
      <c r="B352" s="1"/>
      <c r="C352" s="1"/>
      <c r="D352" s="1" t="s">
        <v>149</v>
      </c>
      <c r="E352" t="s">
        <v>136</v>
      </c>
    </row>
    <row r="353" spans="1:5" x14ac:dyDescent="0.35">
      <c r="A353" s="1" t="s">
        <v>147</v>
      </c>
      <c r="B353" s="1"/>
      <c r="C353" s="1" t="s">
        <v>150</v>
      </c>
      <c r="D353" s="1" t="s">
        <v>146</v>
      </c>
      <c r="E353" t="s">
        <v>136</v>
      </c>
    </row>
    <row r="354" spans="1:5" x14ac:dyDescent="0.35">
      <c r="A354" s="1" t="s">
        <v>147</v>
      </c>
      <c r="B354" s="1"/>
      <c r="C354" s="1"/>
      <c r="D354" s="1" t="s">
        <v>148</v>
      </c>
      <c r="E354" t="s">
        <v>136</v>
      </c>
    </row>
    <row r="355" spans="1:5" x14ac:dyDescent="0.35">
      <c r="A355" s="1" t="s">
        <v>147</v>
      </c>
      <c r="B355" s="1"/>
      <c r="C355" s="1"/>
      <c r="D355" s="1" t="s">
        <v>149</v>
      </c>
      <c r="E355" t="s">
        <v>136</v>
      </c>
    </row>
    <row r="356" spans="1:5" x14ac:dyDescent="0.35">
      <c r="A356" s="1" t="s">
        <v>147</v>
      </c>
      <c r="B356" s="1" t="s">
        <v>167</v>
      </c>
      <c r="C356" s="1" t="s">
        <v>145</v>
      </c>
      <c r="D356" s="1" t="s">
        <v>146</v>
      </c>
      <c r="E356">
        <v>127</v>
      </c>
    </row>
    <row r="357" spans="1:5" x14ac:dyDescent="0.35">
      <c r="A357" s="1" t="s">
        <v>147</v>
      </c>
      <c r="B357" s="1"/>
      <c r="C357" s="1"/>
      <c r="D357" s="1" t="s">
        <v>148</v>
      </c>
      <c r="E357">
        <v>127</v>
      </c>
    </row>
    <row r="358" spans="1:5" x14ac:dyDescent="0.35">
      <c r="A358" s="1" t="s">
        <v>147</v>
      </c>
      <c r="B358" s="1"/>
      <c r="C358" s="1"/>
      <c r="D358" s="1" t="s">
        <v>149</v>
      </c>
      <c r="E358" t="s">
        <v>136</v>
      </c>
    </row>
    <row r="359" spans="1:5" x14ac:dyDescent="0.35">
      <c r="A359" s="1" t="s">
        <v>147</v>
      </c>
      <c r="B359" s="1"/>
      <c r="C359" s="1" t="s">
        <v>150</v>
      </c>
      <c r="D359" s="1" t="s">
        <v>146</v>
      </c>
      <c r="E359" t="s">
        <v>136</v>
      </c>
    </row>
    <row r="360" spans="1:5" x14ac:dyDescent="0.35">
      <c r="A360" s="1" t="s">
        <v>147</v>
      </c>
      <c r="B360" s="1"/>
      <c r="C360" s="1"/>
      <c r="D360" s="1" t="s">
        <v>148</v>
      </c>
      <c r="E360" t="s">
        <v>136</v>
      </c>
    </row>
    <row r="361" spans="1:5" x14ac:dyDescent="0.35">
      <c r="A361" s="1" t="s">
        <v>147</v>
      </c>
      <c r="B361" s="1"/>
      <c r="C361" s="1"/>
      <c r="D361" s="1" t="s">
        <v>149</v>
      </c>
      <c r="E361" t="s">
        <v>136</v>
      </c>
    </row>
    <row r="362" spans="1:5" x14ac:dyDescent="0.35">
      <c r="A362" s="1" t="s">
        <v>147</v>
      </c>
      <c r="B362" s="1" t="s">
        <v>168</v>
      </c>
      <c r="C362" s="1" t="s">
        <v>145</v>
      </c>
      <c r="D362" s="1" t="s">
        <v>146</v>
      </c>
      <c r="E362" t="s">
        <v>136</v>
      </c>
    </row>
    <row r="363" spans="1:5" x14ac:dyDescent="0.35">
      <c r="A363" s="1" t="s">
        <v>147</v>
      </c>
      <c r="B363" s="1"/>
      <c r="C363" s="1"/>
      <c r="D363" s="1" t="s">
        <v>148</v>
      </c>
      <c r="E363" t="s">
        <v>136</v>
      </c>
    </row>
    <row r="364" spans="1:5" x14ac:dyDescent="0.35">
      <c r="A364" s="1" t="s">
        <v>147</v>
      </c>
      <c r="B364" s="1"/>
      <c r="C364" s="1"/>
      <c r="D364" s="1" t="s">
        <v>149</v>
      </c>
      <c r="E364" t="s">
        <v>136</v>
      </c>
    </row>
    <row r="365" spans="1:5" x14ac:dyDescent="0.35">
      <c r="A365" s="1" t="s">
        <v>147</v>
      </c>
      <c r="B365" s="1"/>
      <c r="C365" s="1" t="s">
        <v>150</v>
      </c>
      <c r="D365" s="1" t="s">
        <v>146</v>
      </c>
      <c r="E365" t="s">
        <v>136</v>
      </c>
    </row>
    <row r="366" spans="1:5" x14ac:dyDescent="0.35">
      <c r="A366" s="1" t="s">
        <v>147</v>
      </c>
      <c r="B366" s="1"/>
      <c r="C366" s="1"/>
      <c r="D366" s="1" t="s">
        <v>148</v>
      </c>
      <c r="E366" t="s">
        <v>136</v>
      </c>
    </row>
    <row r="367" spans="1:5" x14ac:dyDescent="0.35">
      <c r="A367" s="1" t="s">
        <v>147</v>
      </c>
      <c r="B367" s="1"/>
      <c r="C367" s="1"/>
      <c r="D367" s="1" t="s">
        <v>149</v>
      </c>
      <c r="E367" t="s">
        <v>136</v>
      </c>
    </row>
    <row r="368" spans="1:5" x14ac:dyDescent="0.35">
      <c r="A368" s="1" t="s">
        <v>147</v>
      </c>
      <c r="B368" s="1" t="s">
        <v>169</v>
      </c>
      <c r="C368" s="1" t="s">
        <v>145</v>
      </c>
      <c r="D368" s="1" t="s">
        <v>146</v>
      </c>
      <c r="E368" t="s">
        <v>136</v>
      </c>
    </row>
    <row r="369" spans="1:5" x14ac:dyDescent="0.35">
      <c r="A369" s="1" t="s">
        <v>147</v>
      </c>
      <c r="B369" s="1"/>
      <c r="C369" s="1"/>
      <c r="D369" s="1" t="s">
        <v>148</v>
      </c>
      <c r="E369" t="s">
        <v>136</v>
      </c>
    </row>
    <row r="370" spans="1:5" x14ac:dyDescent="0.35">
      <c r="A370" s="1" t="s">
        <v>147</v>
      </c>
      <c r="B370" s="1"/>
      <c r="C370" s="1"/>
      <c r="D370" s="1" t="s">
        <v>149</v>
      </c>
      <c r="E370" t="s">
        <v>136</v>
      </c>
    </row>
    <row r="371" spans="1:5" x14ac:dyDescent="0.35">
      <c r="A371" s="1" t="s">
        <v>147</v>
      </c>
      <c r="B371" s="1"/>
      <c r="C371" s="1" t="s">
        <v>150</v>
      </c>
      <c r="D371" s="1" t="s">
        <v>146</v>
      </c>
      <c r="E371" t="s">
        <v>136</v>
      </c>
    </row>
    <row r="372" spans="1:5" x14ac:dyDescent="0.35">
      <c r="A372" s="1" t="s">
        <v>147</v>
      </c>
      <c r="B372" s="1"/>
      <c r="C372" s="1"/>
      <c r="D372" s="1" t="s">
        <v>148</v>
      </c>
      <c r="E372" t="s">
        <v>136</v>
      </c>
    </row>
    <row r="373" spans="1:5" x14ac:dyDescent="0.35">
      <c r="A373" s="1" t="s">
        <v>147</v>
      </c>
      <c r="B373" s="1"/>
      <c r="C373" s="1"/>
      <c r="D373" s="1" t="s">
        <v>149</v>
      </c>
      <c r="E373" t="s">
        <v>136</v>
      </c>
    </row>
    <row r="374" spans="1:5" x14ac:dyDescent="0.35">
      <c r="A374" s="1" t="s">
        <v>147</v>
      </c>
      <c r="B374" s="1" t="s">
        <v>170</v>
      </c>
      <c r="C374" s="1" t="s">
        <v>145</v>
      </c>
      <c r="D374" s="1" t="s">
        <v>146</v>
      </c>
      <c r="E374" t="s">
        <v>136</v>
      </c>
    </row>
    <row r="375" spans="1:5" x14ac:dyDescent="0.35">
      <c r="A375" s="1" t="s">
        <v>147</v>
      </c>
      <c r="B375" s="1"/>
      <c r="C375" s="1"/>
      <c r="D375" s="1" t="s">
        <v>148</v>
      </c>
      <c r="E375" t="s">
        <v>136</v>
      </c>
    </row>
    <row r="376" spans="1:5" x14ac:dyDescent="0.35">
      <c r="A376" s="1" t="s">
        <v>147</v>
      </c>
      <c r="B376" s="1"/>
      <c r="C376" s="1"/>
      <c r="D376" s="1" t="s">
        <v>149</v>
      </c>
      <c r="E376" t="s">
        <v>136</v>
      </c>
    </row>
    <row r="377" spans="1:5" x14ac:dyDescent="0.35">
      <c r="A377" s="1" t="s">
        <v>147</v>
      </c>
      <c r="B377" s="1"/>
      <c r="C377" s="1" t="s">
        <v>150</v>
      </c>
      <c r="D377" s="1" t="s">
        <v>146</v>
      </c>
      <c r="E377" t="s">
        <v>136</v>
      </c>
    </row>
    <row r="378" spans="1:5" x14ac:dyDescent="0.35">
      <c r="A378" s="1" t="s">
        <v>147</v>
      </c>
      <c r="B378" s="1"/>
      <c r="C378" s="1"/>
      <c r="D378" s="1" t="s">
        <v>148</v>
      </c>
      <c r="E378" t="s">
        <v>136</v>
      </c>
    </row>
    <row r="379" spans="1:5" x14ac:dyDescent="0.35">
      <c r="A379" s="1" t="s">
        <v>147</v>
      </c>
      <c r="B379" s="1"/>
      <c r="C379" s="1"/>
      <c r="D379" s="1" t="s">
        <v>149</v>
      </c>
      <c r="E379" t="s">
        <v>136</v>
      </c>
    </row>
    <row r="380" spans="1:5" x14ac:dyDescent="0.35">
      <c r="A380" s="1" t="s">
        <v>39</v>
      </c>
      <c r="B380" s="1" t="s">
        <v>144</v>
      </c>
      <c r="C380" s="1" t="s">
        <v>145</v>
      </c>
      <c r="D380" s="1" t="s">
        <v>146</v>
      </c>
      <c r="E380">
        <v>10.3</v>
      </c>
    </row>
    <row r="381" spans="1:5" x14ac:dyDescent="0.35">
      <c r="A381" s="1" t="s">
        <v>147</v>
      </c>
      <c r="B381" s="1"/>
      <c r="C381" s="1"/>
      <c r="D381" s="1" t="s">
        <v>148</v>
      </c>
      <c r="E381">
        <v>7.9</v>
      </c>
    </row>
    <row r="382" spans="1:5" x14ac:dyDescent="0.35">
      <c r="A382" s="1" t="s">
        <v>147</v>
      </c>
      <c r="B382" s="1"/>
      <c r="C382" s="1"/>
      <c r="D382" s="1" t="s">
        <v>149</v>
      </c>
      <c r="E382">
        <v>2.4</v>
      </c>
    </row>
    <row r="383" spans="1:5" x14ac:dyDescent="0.35">
      <c r="A383" s="1" t="s">
        <v>147</v>
      </c>
      <c r="B383" s="1"/>
      <c r="C383" s="1" t="s">
        <v>150</v>
      </c>
      <c r="D383" s="1" t="s">
        <v>146</v>
      </c>
      <c r="E383" t="s">
        <v>136</v>
      </c>
    </row>
    <row r="384" spans="1:5" x14ac:dyDescent="0.35">
      <c r="A384" s="1" t="s">
        <v>147</v>
      </c>
      <c r="B384" s="1"/>
      <c r="C384" s="1"/>
      <c r="D384" s="1" t="s">
        <v>148</v>
      </c>
      <c r="E384" t="s">
        <v>136</v>
      </c>
    </row>
    <row r="385" spans="1:5" x14ac:dyDescent="0.35">
      <c r="A385" s="1" t="s">
        <v>147</v>
      </c>
      <c r="B385" s="1"/>
      <c r="C385" s="1"/>
      <c r="D385" s="1" t="s">
        <v>149</v>
      </c>
      <c r="E385" t="s">
        <v>136</v>
      </c>
    </row>
    <row r="386" spans="1:5" x14ac:dyDescent="0.35">
      <c r="A386" s="1" t="s">
        <v>147</v>
      </c>
      <c r="B386" s="1" t="s">
        <v>151</v>
      </c>
      <c r="C386" s="1" t="s">
        <v>145</v>
      </c>
      <c r="D386" s="1" t="s">
        <v>146</v>
      </c>
      <c r="E386">
        <v>10.3</v>
      </c>
    </row>
    <row r="387" spans="1:5" x14ac:dyDescent="0.35">
      <c r="A387" s="1" t="s">
        <v>147</v>
      </c>
      <c r="B387" s="1"/>
      <c r="C387" s="1"/>
      <c r="D387" s="1" t="s">
        <v>148</v>
      </c>
      <c r="E387">
        <v>7.9</v>
      </c>
    </row>
    <row r="388" spans="1:5" x14ac:dyDescent="0.35">
      <c r="A388" s="1" t="s">
        <v>147</v>
      </c>
      <c r="B388" s="1"/>
      <c r="C388" s="1"/>
      <c r="D388" s="1" t="s">
        <v>149</v>
      </c>
      <c r="E388">
        <v>2.4</v>
      </c>
    </row>
    <row r="389" spans="1:5" x14ac:dyDescent="0.35">
      <c r="A389" s="1" t="s">
        <v>147</v>
      </c>
      <c r="B389" s="1"/>
      <c r="C389" s="1" t="s">
        <v>150</v>
      </c>
      <c r="D389" s="1" t="s">
        <v>146</v>
      </c>
      <c r="E389" t="s">
        <v>136</v>
      </c>
    </row>
    <row r="390" spans="1:5" x14ac:dyDescent="0.35">
      <c r="A390" s="1" t="s">
        <v>147</v>
      </c>
      <c r="B390" s="1"/>
      <c r="C390" s="1"/>
      <c r="D390" s="1" t="s">
        <v>148</v>
      </c>
      <c r="E390" t="s">
        <v>136</v>
      </c>
    </row>
    <row r="391" spans="1:5" x14ac:dyDescent="0.35">
      <c r="A391" s="1" t="s">
        <v>147</v>
      </c>
      <c r="B391" s="1"/>
      <c r="C391" s="1"/>
      <c r="D391" s="1" t="s">
        <v>149</v>
      </c>
      <c r="E391" t="s">
        <v>136</v>
      </c>
    </row>
    <row r="392" spans="1:5" x14ac:dyDescent="0.35">
      <c r="A392" s="1" t="s">
        <v>147</v>
      </c>
      <c r="B392" s="1" t="s">
        <v>152</v>
      </c>
      <c r="C392" s="1" t="s">
        <v>145</v>
      </c>
      <c r="D392" s="1" t="s">
        <v>146</v>
      </c>
      <c r="E392" t="s">
        <v>136</v>
      </c>
    </row>
    <row r="393" spans="1:5" x14ac:dyDescent="0.35">
      <c r="A393" s="1" t="s">
        <v>147</v>
      </c>
      <c r="B393" s="1"/>
      <c r="C393" s="1"/>
      <c r="D393" s="1" t="s">
        <v>148</v>
      </c>
      <c r="E393" t="s">
        <v>136</v>
      </c>
    </row>
    <row r="394" spans="1:5" x14ac:dyDescent="0.35">
      <c r="A394" s="1" t="s">
        <v>147</v>
      </c>
      <c r="B394" s="1"/>
      <c r="C394" s="1"/>
      <c r="D394" s="1" t="s">
        <v>149</v>
      </c>
      <c r="E394" t="s">
        <v>136</v>
      </c>
    </row>
    <row r="395" spans="1:5" x14ac:dyDescent="0.35">
      <c r="A395" s="1" t="s">
        <v>147</v>
      </c>
      <c r="B395" s="1"/>
      <c r="C395" s="1" t="s">
        <v>150</v>
      </c>
      <c r="D395" s="1" t="s">
        <v>146</v>
      </c>
      <c r="E395" t="s">
        <v>136</v>
      </c>
    </row>
    <row r="396" spans="1:5" x14ac:dyDescent="0.35">
      <c r="A396" s="1" t="s">
        <v>147</v>
      </c>
      <c r="B396" s="1"/>
      <c r="C396" s="1"/>
      <c r="D396" s="1" t="s">
        <v>148</v>
      </c>
      <c r="E396" t="s">
        <v>136</v>
      </c>
    </row>
    <row r="397" spans="1:5" x14ac:dyDescent="0.35">
      <c r="A397" s="1" t="s">
        <v>147</v>
      </c>
      <c r="B397" s="1"/>
      <c r="C397" s="1"/>
      <c r="D397" s="1" t="s">
        <v>149</v>
      </c>
      <c r="E397" t="s">
        <v>136</v>
      </c>
    </row>
    <row r="398" spans="1:5" x14ac:dyDescent="0.35">
      <c r="A398" s="1" t="s">
        <v>147</v>
      </c>
      <c r="B398" s="1" t="s">
        <v>153</v>
      </c>
      <c r="C398" s="1" t="s">
        <v>145</v>
      </c>
      <c r="D398" s="1" t="s">
        <v>146</v>
      </c>
      <c r="E398" t="s">
        <v>136</v>
      </c>
    </row>
    <row r="399" spans="1:5" x14ac:dyDescent="0.35">
      <c r="A399" s="1" t="s">
        <v>147</v>
      </c>
      <c r="B399" s="1"/>
      <c r="C399" s="1"/>
      <c r="D399" s="1" t="s">
        <v>148</v>
      </c>
      <c r="E399" t="s">
        <v>136</v>
      </c>
    </row>
    <row r="400" spans="1:5" x14ac:dyDescent="0.35">
      <c r="A400" s="1" t="s">
        <v>147</v>
      </c>
      <c r="B400" s="1"/>
      <c r="C400" s="1"/>
      <c r="D400" s="1" t="s">
        <v>149</v>
      </c>
      <c r="E400" t="s">
        <v>136</v>
      </c>
    </row>
    <row r="401" spans="1:5" x14ac:dyDescent="0.35">
      <c r="A401" s="1" t="s">
        <v>147</v>
      </c>
      <c r="B401" s="1"/>
      <c r="C401" s="1" t="s">
        <v>150</v>
      </c>
      <c r="D401" s="1" t="s">
        <v>146</v>
      </c>
      <c r="E401" t="s">
        <v>136</v>
      </c>
    </row>
    <row r="402" spans="1:5" x14ac:dyDescent="0.35">
      <c r="A402" s="1" t="s">
        <v>147</v>
      </c>
      <c r="B402" s="1"/>
      <c r="C402" s="1"/>
      <c r="D402" s="1" t="s">
        <v>148</v>
      </c>
      <c r="E402" t="s">
        <v>136</v>
      </c>
    </row>
    <row r="403" spans="1:5" x14ac:dyDescent="0.35">
      <c r="A403" s="1" t="s">
        <v>147</v>
      </c>
      <c r="B403" s="1"/>
      <c r="C403" s="1"/>
      <c r="D403" s="1" t="s">
        <v>149</v>
      </c>
      <c r="E403" t="s">
        <v>136</v>
      </c>
    </row>
    <row r="404" spans="1:5" x14ac:dyDescent="0.35">
      <c r="A404" s="1" t="s">
        <v>147</v>
      </c>
      <c r="B404" s="1" t="s">
        <v>154</v>
      </c>
      <c r="C404" s="1" t="s">
        <v>145</v>
      </c>
      <c r="D404" s="1" t="s">
        <v>146</v>
      </c>
      <c r="E404" t="s">
        <v>136</v>
      </c>
    </row>
    <row r="405" spans="1:5" x14ac:dyDescent="0.35">
      <c r="A405" s="1" t="s">
        <v>147</v>
      </c>
      <c r="B405" s="1"/>
      <c r="C405" s="1"/>
      <c r="D405" s="1" t="s">
        <v>148</v>
      </c>
      <c r="E405" t="s">
        <v>136</v>
      </c>
    </row>
    <row r="406" spans="1:5" x14ac:dyDescent="0.35">
      <c r="A406" s="1" t="s">
        <v>147</v>
      </c>
      <c r="B406" s="1"/>
      <c r="C406" s="1"/>
      <c r="D406" s="1" t="s">
        <v>149</v>
      </c>
      <c r="E406" t="s">
        <v>136</v>
      </c>
    </row>
    <row r="407" spans="1:5" x14ac:dyDescent="0.35">
      <c r="A407" s="1" t="s">
        <v>147</v>
      </c>
      <c r="B407" s="1"/>
      <c r="C407" s="1" t="s">
        <v>150</v>
      </c>
      <c r="D407" s="1" t="s">
        <v>146</v>
      </c>
      <c r="E407" t="s">
        <v>136</v>
      </c>
    </row>
    <row r="408" spans="1:5" x14ac:dyDescent="0.35">
      <c r="A408" s="1" t="s">
        <v>147</v>
      </c>
      <c r="B408" s="1"/>
      <c r="C408" s="1"/>
      <c r="D408" s="1" t="s">
        <v>148</v>
      </c>
      <c r="E408" t="s">
        <v>136</v>
      </c>
    </row>
    <row r="409" spans="1:5" x14ac:dyDescent="0.35">
      <c r="A409" s="1" t="s">
        <v>147</v>
      </c>
      <c r="B409" s="1"/>
      <c r="C409" s="1"/>
      <c r="D409" s="1" t="s">
        <v>149</v>
      </c>
      <c r="E409" t="s">
        <v>136</v>
      </c>
    </row>
    <row r="410" spans="1:5" x14ac:dyDescent="0.35">
      <c r="A410" s="1" t="s">
        <v>147</v>
      </c>
      <c r="B410" s="1" t="s">
        <v>155</v>
      </c>
      <c r="C410" s="1" t="s">
        <v>145</v>
      </c>
      <c r="D410" s="1" t="s">
        <v>146</v>
      </c>
      <c r="E410" t="s">
        <v>136</v>
      </c>
    </row>
    <row r="411" spans="1:5" x14ac:dyDescent="0.35">
      <c r="A411" s="1" t="s">
        <v>147</v>
      </c>
      <c r="B411" s="1"/>
      <c r="C411" s="1"/>
      <c r="D411" s="1" t="s">
        <v>148</v>
      </c>
      <c r="E411" t="s">
        <v>136</v>
      </c>
    </row>
    <row r="412" spans="1:5" x14ac:dyDescent="0.35">
      <c r="A412" s="1" t="s">
        <v>147</v>
      </c>
      <c r="B412" s="1"/>
      <c r="C412" s="1"/>
      <c r="D412" s="1" t="s">
        <v>149</v>
      </c>
      <c r="E412" t="s">
        <v>136</v>
      </c>
    </row>
    <row r="413" spans="1:5" x14ac:dyDescent="0.35">
      <c r="A413" s="1" t="s">
        <v>147</v>
      </c>
      <c r="B413" s="1"/>
      <c r="C413" s="1" t="s">
        <v>150</v>
      </c>
      <c r="D413" s="1" t="s">
        <v>146</v>
      </c>
      <c r="E413" t="s">
        <v>136</v>
      </c>
    </row>
    <row r="414" spans="1:5" x14ac:dyDescent="0.35">
      <c r="A414" s="1" t="s">
        <v>147</v>
      </c>
      <c r="B414" s="1"/>
      <c r="C414" s="1"/>
      <c r="D414" s="1" t="s">
        <v>148</v>
      </c>
      <c r="E414" t="s">
        <v>136</v>
      </c>
    </row>
    <row r="415" spans="1:5" x14ac:dyDescent="0.35">
      <c r="A415" s="1" t="s">
        <v>147</v>
      </c>
      <c r="B415" s="1"/>
      <c r="C415" s="1"/>
      <c r="D415" s="1" t="s">
        <v>149</v>
      </c>
      <c r="E415" t="s">
        <v>136</v>
      </c>
    </row>
    <row r="416" spans="1:5" x14ac:dyDescent="0.35">
      <c r="A416" s="1" t="s">
        <v>147</v>
      </c>
      <c r="B416" s="1" t="s">
        <v>156</v>
      </c>
      <c r="C416" s="1" t="s">
        <v>145</v>
      </c>
      <c r="D416" s="1" t="s">
        <v>146</v>
      </c>
      <c r="E416" t="s">
        <v>136</v>
      </c>
    </row>
    <row r="417" spans="1:5" x14ac:dyDescent="0.35">
      <c r="A417" s="1" t="s">
        <v>147</v>
      </c>
      <c r="B417" s="1"/>
      <c r="C417" s="1"/>
      <c r="D417" s="1" t="s">
        <v>148</v>
      </c>
      <c r="E417" t="s">
        <v>136</v>
      </c>
    </row>
    <row r="418" spans="1:5" x14ac:dyDescent="0.35">
      <c r="A418" s="1" t="s">
        <v>147</v>
      </c>
      <c r="B418" s="1"/>
      <c r="C418" s="1"/>
      <c r="D418" s="1" t="s">
        <v>149</v>
      </c>
      <c r="E418" t="s">
        <v>136</v>
      </c>
    </row>
    <row r="419" spans="1:5" x14ac:dyDescent="0.35">
      <c r="A419" s="1" t="s">
        <v>147</v>
      </c>
      <c r="B419" s="1"/>
      <c r="C419" s="1" t="s">
        <v>150</v>
      </c>
      <c r="D419" s="1" t="s">
        <v>146</v>
      </c>
      <c r="E419" t="s">
        <v>136</v>
      </c>
    </row>
    <row r="420" spans="1:5" x14ac:dyDescent="0.35">
      <c r="A420" s="1" t="s">
        <v>147</v>
      </c>
      <c r="B420" s="1"/>
      <c r="C420" s="1"/>
      <c r="D420" s="1" t="s">
        <v>148</v>
      </c>
      <c r="E420" t="s">
        <v>136</v>
      </c>
    </row>
    <row r="421" spans="1:5" x14ac:dyDescent="0.35">
      <c r="A421" s="1" t="s">
        <v>147</v>
      </c>
      <c r="B421" s="1"/>
      <c r="C421" s="1"/>
      <c r="D421" s="1" t="s">
        <v>149</v>
      </c>
      <c r="E421" t="s">
        <v>136</v>
      </c>
    </row>
    <row r="422" spans="1:5" x14ac:dyDescent="0.35">
      <c r="A422" s="1" t="s">
        <v>147</v>
      </c>
      <c r="B422" s="1" t="s">
        <v>157</v>
      </c>
      <c r="C422" s="1" t="s">
        <v>145</v>
      </c>
      <c r="D422" s="1" t="s">
        <v>146</v>
      </c>
      <c r="E422" t="s">
        <v>136</v>
      </c>
    </row>
    <row r="423" spans="1:5" x14ac:dyDescent="0.35">
      <c r="A423" s="1" t="s">
        <v>147</v>
      </c>
      <c r="B423" s="1"/>
      <c r="C423" s="1"/>
      <c r="D423" s="1" t="s">
        <v>148</v>
      </c>
      <c r="E423" t="s">
        <v>136</v>
      </c>
    </row>
    <row r="424" spans="1:5" x14ac:dyDescent="0.35">
      <c r="A424" s="1" t="s">
        <v>147</v>
      </c>
      <c r="B424" s="1"/>
      <c r="C424" s="1"/>
      <c r="D424" s="1" t="s">
        <v>149</v>
      </c>
      <c r="E424" t="s">
        <v>136</v>
      </c>
    </row>
    <row r="425" spans="1:5" x14ac:dyDescent="0.35">
      <c r="A425" s="1" t="s">
        <v>147</v>
      </c>
      <c r="B425" s="1"/>
      <c r="C425" s="1" t="s">
        <v>150</v>
      </c>
      <c r="D425" s="1" t="s">
        <v>146</v>
      </c>
      <c r="E425" t="s">
        <v>136</v>
      </c>
    </row>
    <row r="426" spans="1:5" x14ac:dyDescent="0.35">
      <c r="A426" s="1" t="s">
        <v>147</v>
      </c>
      <c r="B426" s="1"/>
      <c r="C426" s="1"/>
      <c r="D426" s="1" t="s">
        <v>148</v>
      </c>
      <c r="E426" t="s">
        <v>136</v>
      </c>
    </row>
    <row r="427" spans="1:5" x14ac:dyDescent="0.35">
      <c r="A427" s="1" t="s">
        <v>147</v>
      </c>
      <c r="B427" s="1"/>
      <c r="C427" s="1"/>
      <c r="D427" s="1" t="s">
        <v>149</v>
      </c>
      <c r="E427" t="s">
        <v>136</v>
      </c>
    </row>
    <row r="428" spans="1:5" x14ac:dyDescent="0.35">
      <c r="A428" s="1" t="s">
        <v>147</v>
      </c>
      <c r="B428" s="1" t="s">
        <v>158</v>
      </c>
      <c r="C428" s="1" t="s">
        <v>145</v>
      </c>
      <c r="D428" s="1" t="s">
        <v>146</v>
      </c>
      <c r="E428" t="s">
        <v>136</v>
      </c>
    </row>
    <row r="429" spans="1:5" x14ac:dyDescent="0.35">
      <c r="A429" s="1" t="s">
        <v>147</v>
      </c>
      <c r="B429" s="1"/>
      <c r="C429" s="1"/>
      <c r="D429" s="1" t="s">
        <v>148</v>
      </c>
      <c r="E429" t="s">
        <v>136</v>
      </c>
    </row>
    <row r="430" spans="1:5" x14ac:dyDescent="0.35">
      <c r="A430" s="1" t="s">
        <v>147</v>
      </c>
      <c r="B430" s="1"/>
      <c r="C430" s="1"/>
      <c r="D430" s="1" t="s">
        <v>149</v>
      </c>
      <c r="E430" t="s">
        <v>136</v>
      </c>
    </row>
    <row r="431" spans="1:5" x14ac:dyDescent="0.35">
      <c r="A431" s="1" t="s">
        <v>147</v>
      </c>
      <c r="B431" s="1"/>
      <c r="C431" s="1" t="s">
        <v>150</v>
      </c>
      <c r="D431" s="1" t="s">
        <v>146</v>
      </c>
      <c r="E431" t="s">
        <v>136</v>
      </c>
    </row>
    <row r="432" spans="1:5" x14ac:dyDescent="0.35">
      <c r="A432" s="1" t="s">
        <v>147</v>
      </c>
      <c r="B432" s="1"/>
      <c r="C432" s="1"/>
      <c r="D432" s="1" t="s">
        <v>148</v>
      </c>
      <c r="E432" t="s">
        <v>136</v>
      </c>
    </row>
    <row r="433" spans="1:5" x14ac:dyDescent="0.35">
      <c r="A433" s="1" t="s">
        <v>147</v>
      </c>
      <c r="B433" s="1"/>
      <c r="C433" s="1"/>
      <c r="D433" s="1" t="s">
        <v>149</v>
      </c>
      <c r="E433" t="s">
        <v>136</v>
      </c>
    </row>
    <row r="434" spans="1:5" x14ac:dyDescent="0.35">
      <c r="A434" s="1" t="s">
        <v>147</v>
      </c>
      <c r="B434" s="1" t="s">
        <v>159</v>
      </c>
      <c r="C434" s="1" t="s">
        <v>145</v>
      </c>
      <c r="D434" s="1" t="s">
        <v>146</v>
      </c>
      <c r="E434" t="s">
        <v>136</v>
      </c>
    </row>
    <row r="435" spans="1:5" x14ac:dyDescent="0.35">
      <c r="A435" s="1" t="s">
        <v>147</v>
      </c>
      <c r="B435" s="1"/>
      <c r="C435" s="1"/>
      <c r="D435" s="1" t="s">
        <v>148</v>
      </c>
      <c r="E435" t="s">
        <v>136</v>
      </c>
    </row>
    <row r="436" spans="1:5" x14ac:dyDescent="0.35">
      <c r="A436" s="1" t="s">
        <v>147</v>
      </c>
      <c r="B436" s="1"/>
      <c r="C436" s="1"/>
      <c r="D436" s="1" t="s">
        <v>149</v>
      </c>
      <c r="E436" t="s">
        <v>136</v>
      </c>
    </row>
    <row r="437" spans="1:5" x14ac:dyDescent="0.35">
      <c r="A437" s="1" t="s">
        <v>147</v>
      </c>
      <c r="B437" s="1"/>
      <c r="C437" s="1" t="s">
        <v>150</v>
      </c>
      <c r="D437" s="1" t="s">
        <v>146</v>
      </c>
      <c r="E437" t="s">
        <v>136</v>
      </c>
    </row>
    <row r="438" spans="1:5" x14ac:dyDescent="0.35">
      <c r="A438" s="1" t="s">
        <v>147</v>
      </c>
      <c r="B438" s="1"/>
      <c r="C438" s="1"/>
      <c r="D438" s="1" t="s">
        <v>148</v>
      </c>
      <c r="E438" t="s">
        <v>136</v>
      </c>
    </row>
    <row r="439" spans="1:5" x14ac:dyDescent="0.35">
      <c r="A439" s="1" t="s">
        <v>147</v>
      </c>
      <c r="B439" s="1"/>
      <c r="C439" s="1"/>
      <c r="D439" s="1" t="s">
        <v>149</v>
      </c>
      <c r="E439" t="s">
        <v>136</v>
      </c>
    </row>
    <row r="440" spans="1:5" x14ac:dyDescent="0.35">
      <c r="A440" s="1" t="s">
        <v>147</v>
      </c>
      <c r="B440" s="1" t="s">
        <v>160</v>
      </c>
      <c r="C440" s="1" t="s">
        <v>145</v>
      </c>
      <c r="D440" s="1" t="s">
        <v>146</v>
      </c>
      <c r="E440" t="s">
        <v>136</v>
      </c>
    </row>
    <row r="441" spans="1:5" x14ac:dyDescent="0.35">
      <c r="A441" s="1" t="s">
        <v>147</v>
      </c>
      <c r="B441" s="1"/>
      <c r="C441" s="1"/>
      <c r="D441" s="1" t="s">
        <v>148</v>
      </c>
      <c r="E441" t="s">
        <v>136</v>
      </c>
    </row>
    <row r="442" spans="1:5" x14ac:dyDescent="0.35">
      <c r="A442" s="1" t="s">
        <v>147</v>
      </c>
      <c r="B442" s="1"/>
      <c r="C442" s="1"/>
      <c r="D442" s="1" t="s">
        <v>149</v>
      </c>
      <c r="E442" t="s">
        <v>136</v>
      </c>
    </row>
    <row r="443" spans="1:5" x14ac:dyDescent="0.35">
      <c r="A443" s="1" t="s">
        <v>147</v>
      </c>
      <c r="B443" s="1"/>
      <c r="C443" s="1" t="s">
        <v>150</v>
      </c>
      <c r="D443" s="1" t="s">
        <v>146</v>
      </c>
      <c r="E443" t="s">
        <v>136</v>
      </c>
    </row>
    <row r="444" spans="1:5" x14ac:dyDescent="0.35">
      <c r="A444" s="1" t="s">
        <v>147</v>
      </c>
      <c r="B444" s="1"/>
      <c r="C444" s="1"/>
      <c r="D444" s="1" t="s">
        <v>148</v>
      </c>
      <c r="E444" t="s">
        <v>136</v>
      </c>
    </row>
    <row r="445" spans="1:5" x14ac:dyDescent="0.35">
      <c r="A445" s="1" t="s">
        <v>147</v>
      </c>
      <c r="B445" s="1"/>
      <c r="C445" s="1"/>
      <c r="D445" s="1" t="s">
        <v>149</v>
      </c>
      <c r="E445" t="s">
        <v>136</v>
      </c>
    </row>
    <row r="446" spans="1:5" x14ac:dyDescent="0.35">
      <c r="A446" s="1" t="s">
        <v>147</v>
      </c>
      <c r="B446" s="1" t="s">
        <v>161</v>
      </c>
      <c r="C446" s="1" t="s">
        <v>145</v>
      </c>
      <c r="D446" s="1" t="s">
        <v>146</v>
      </c>
      <c r="E446" t="s">
        <v>136</v>
      </c>
    </row>
    <row r="447" spans="1:5" x14ac:dyDescent="0.35">
      <c r="A447" s="1" t="s">
        <v>147</v>
      </c>
      <c r="B447" s="1"/>
      <c r="C447" s="1"/>
      <c r="D447" s="1" t="s">
        <v>148</v>
      </c>
      <c r="E447" t="s">
        <v>136</v>
      </c>
    </row>
    <row r="448" spans="1:5" x14ac:dyDescent="0.35">
      <c r="A448" s="1" t="s">
        <v>147</v>
      </c>
      <c r="B448" s="1"/>
      <c r="C448" s="1"/>
      <c r="D448" s="1" t="s">
        <v>149</v>
      </c>
      <c r="E448" t="s">
        <v>136</v>
      </c>
    </row>
    <row r="449" spans="1:5" x14ac:dyDescent="0.35">
      <c r="A449" s="1" t="s">
        <v>147</v>
      </c>
      <c r="B449" s="1"/>
      <c r="C449" s="1" t="s">
        <v>150</v>
      </c>
      <c r="D449" s="1" t="s">
        <v>146</v>
      </c>
      <c r="E449" t="s">
        <v>136</v>
      </c>
    </row>
    <row r="450" spans="1:5" x14ac:dyDescent="0.35">
      <c r="A450" s="1" t="s">
        <v>147</v>
      </c>
      <c r="B450" s="1"/>
      <c r="C450" s="1"/>
      <c r="D450" s="1" t="s">
        <v>148</v>
      </c>
      <c r="E450" t="s">
        <v>136</v>
      </c>
    </row>
    <row r="451" spans="1:5" x14ac:dyDescent="0.35">
      <c r="A451" s="1" t="s">
        <v>147</v>
      </c>
      <c r="B451" s="1"/>
      <c r="C451" s="1"/>
      <c r="D451" s="1" t="s">
        <v>149</v>
      </c>
      <c r="E451" t="s">
        <v>136</v>
      </c>
    </row>
    <row r="452" spans="1:5" x14ac:dyDescent="0.35">
      <c r="A452" s="1" t="s">
        <v>147</v>
      </c>
      <c r="B452" s="1" t="s">
        <v>162</v>
      </c>
      <c r="C452" s="1" t="s">
        <v>145</v>
      </c>
      <c r="D452" s="1" t="s">
        <v>146</v>
      </c>
      <c r="E452" t="s">
        <v>136</v>
      </c>
    </row>
    <row r="453" spans="1:5" x14ac:dyDescent="0.35">
      <c r="A453" s="1" t="s">
        <v>147</v>
      </c>
      <c r="B453" s="1"/>
      <c r="C453" s="1"/>
      <c r="D453" s="1" t="s">
        <v>148</v>
      </c>
      <c r="E453" t="s">
        <v>136</v>
      </c>
    </row>
    <row r="454" spans="1:5" x14ac:dyDescent="0.35">
      <c r="A454" s="1" t="s">
        <v>147</v>
      </c>
      <c r="B454" s="1"/>
      <c r="C454" s="1"/>
      <c r="D454" s="1" t="s">
        <v>149</v>
      </c>
      <c r="E454" t="s">
        <v>136</v>
      </c>
    </row>
    <row r="455" spans="1:5" x14ac:dyDescent="0.35">
      <c r="A455" s="1" t="s">
        <v>147</v>
      </c>
      <c r="B455" s="1"/>
      <c r="C455" s="1" t="s">
        <v>150</v>
      </c>
      <c r="D455" s="1" t="s">
        <v>146</v>
      </c>
      <c r="E455" t="s">
        <v>136</v>
      </c>
    </row>
    <row r="456" spans="1:5" x14ac:dyDescent="0.35">
      <c r="A456" s="1" t="s">
        <v>147</v>
      </c>
      <c r="B456" s="1"/>
      <c r="C456" s="1"/>
      <c r="D456" s="1" t="s">
        <v>148</v>
      </c>
      <c r="E456" t="s">
        <v>136</v>
      </c>
    </row>
    <row r="457" spans="1:5" x14ac:dyDescent="0.35">
      <c r="A457" s="1" t="s">
        <v>147</v>
      </c>
      <c r="B457" s="1"/>
      <c r="C457" s="1"/>
      <c r="D457" s="1" t="s">
        <v>149</v>
      </c>
      <c r="E457" t="s">
        <v>136</v>
      </c>
    </row>
    <row r="458" spans="1:5" x14ac:dyDescent="0.35">
      <c r="A458" s="1" t="s">
        <v>147</v>
      </c>
      <c r="B458" s="1" t="s">
        <v>163</v>
      </c>
      <c r="C458" s="1" t="s">
        <v>145</v>
      </c>
      <c r="D458" s="1" t="s">
        <v>146</v>
      </c>
      <c r="E458">
        <v>917</v>
      </c>
    </row>
    <row r="459" spans="1:5" x14ac:dyDescent="0.35">
      <c r="A459" s="1" t="s">
        <v>147</v>
      </c>
      <c r="B459" s="1"/>
      <c r="C459" s="1"/>
      <c r="D459" s="1" t="s">
        <v>148</v>
      </c>
      <c r="E459">
        <v>892</v>
      </c>
    </row>
    <row r="460" spans="1:5" x14ac:dyDescent="0.35">
      <c r="A460" s="1" t="s">
        <v>147</v>
      </c>
      <c r="B460" s="1"/>
      <c r="C460" s="1"/>
      <c r="D460" s="1" t="s">
        <v>149</v>
      </c>
      <c r="E460">
        <v>25</v>
      </c>
    </row>
    <row r="461" spans="1:5" x14ac:dyDescent="0.35">
      <c r="A461" s="1" t="s">
        <v>147</v>
      </c>
      <c r="B461" s="1"/>
      <c r="C461" s="1" t="s">
        <v>150</v>
      </c>
      <c r="D461" s="1" t="s">
        <v>146</v>
      </c>
      <c r="E461" t="s">
        <v>136</v>
      </c>
    </row>
    <row r="462" spans="1:5" x14ac:dyDescent="0.35">
      <c r="A462" s="1" t="s">
        <v>147</v>
      </c>
      <c r="B462" s="1"/>
      <c r="C462" s="1"/>
      <c r="D462" s="1" t="s">
        <v>148</v>
      </c>
      <c r="E462" t="s">
        <v>136</v>
      </c>
    </row>
    <row r="463" spans="1:5" x14ac:dyDescent="0.35">
      <c r="A463" s="1" t="s">
        <v>147</v>
      </c>
      <c r="B463" s="1"/>
      <c r="C463" s="1"/>
      <c r="D463" s="1" t="s">
        <v>149</v>
      </c>
      <c r="E463" t="s">
        <v>136</v>
      </c>
    </row>
    <row r="464" spans="1:5" x14ac:dyDescent="0.35">
      <c r="A464" s="1" t="s">
        <v>147</v>
      </c>
      <c r="B464" s="1" t="s">
        <v>164</v>
      </c>
      <c r="C464" s="1" t="s">
        <v>145</v>
      </c>
      <c r="D464" s="1" t="s">
        <v>146</v>
      </c>
      <c r="E464" t="s">
        <v>136</v>
      </c>
    </row>
    <row r="465" spans="1:5" x14ac:dyDescent="0.35">
      <c r="A465" s="1" t="s">
        <v>147</v>
      </c>
      <c r="B465" s="1"/>
      <c r="C465" s="1"/>
      <c r="D465" s="1" t="s">
        <v>148</v>
      </c>
      <c r="E465" t="s">
        <v>136</v>
      </c>
    </row>
    <row r="466" spans="1:5" x14ac:dyDescent="0.35">
      <c r="A466" s="1" t="s">
        <v>147</v>
      </c>
      <c r="B466" s="1"/>
      <c r="C466" s="1"/>
      <c r="D466" s="1" t="s">
        <v>149</v>
      </c>
      <c r="E466" t="s">
        <v>136</v>
      </c>
    </row>
    <row r="467" spans="1:5" x14ac:dyDescent="0.35">
      <c r="A467" s="1" t="s">
        <v>147</v>
      </c>
      <c r="B467" s="1"/>
      <c r="C467" s="1" t="s">
        <v>150</v>
      </c>
      <c r="D467" s="1" t="s">
        <v>146</v>
      </c>
      <c r="E467" t="s">
        <v>136</v>
      </c>
    </row>
    <row r="468" spans="1:5" x14ac:dyDescent="0.35">
      <c r="A468" s="1" t="s">
        <v>147</v>
      </c>
      <c r="B468" s="1"/>
      <c r="C468" s="1"/>
      <c r="D468" s="1" t="s">
        <v>148</v>
      </c>
      <c r="E468" t="s">
        <v>136</v>
      </c>
    </row>
    <row r="469" spans="1:5" x14ac:dyDescent="0.35">
      <c r="A469" s="1" t="s">
        <v>147</v>
      </c>
      <c r="B469" s="1"/>
      <c r="C469" s="1"/>
      <c r="D469" s="1" t="s">
        <v>149</v>
      </c>
      <c r="E469" t="s">
        <v>136</v>
      </c>
    </row>
    <row r="470" spans="1:5" x14ac:dyDescent="0.35">
      <c r="A470" s="1" t="s">
        <v>147</v>
      </c>
      <c r="B470" s="1" t="s">
        <v>165</v>
      </c>
      <c r="C470" s="1" t="s">
        <v>145</v>
      </c>
      <c r="D470" s="1" t="s">
        <v>146</v>
      </c>
      <c r="E470">
        <v>757</v>
      </c>
    </row>
    <row r="471" spans="1:5" x14ac:dyDescent="0.35">
      <c r="A471" s="1" t="s">
        <v>147</v>
      </c>
      <c r="B471" s="1"/>
      <c r="C471" s="1"/>
      <c r="D471" s="1" t="s">
        <v>148</v>
      </c>
      <c r="E471">
        <v>732</v>
      </c>
    </row>
    <row r="472" spans="1:5" x14ac:dyDescent="0.35">
      <c r="A472" s="1" t="s">
        <v>147</v>
      </c>
      <c r="B472" s="1"/>
      <c r="C472" s="1"/>
      <c r="D472" s="1" t="s">
        <v>149</v>
      </c>
      <c r="E472">
        <v>25</v>
      </c>
    </row>
    <row r="473" spans="1:5" x14ac:dyDescent="0.35">
      <c r="A473" s="1" t="s">
        <v>147</v>
      </c>
      <c r="B473" s="1"/>
      <c r="C473" s="1" t="s">
        <v>150</v>
      </c>
      <c r="D473" s="1" t="s">
        <v>146</v>
      </c>
      <c r="E473" t="s">
        <v>136</v>
      </c>
    </row>
    <row r="474" spans="1:5" x14ac:dyDescent="0.35">
      <c r="A474" s="1" t="s">
        <v>147</v>
      </c>
      <c r="B474" s="1"/>
      <c r="C474" s="1"/>
      <c r="D474" s="1" t="s">
        <v>148</v>
      </c>
      <c r="E474" t="s">
        <v>136</v>
      </c>
    </row>
    <row r="475" spans="1:5" x14ac:dyDescent="0.35">
      <c r="A475" s="1" t="s">
        <v>147</v>
      </c>
      <c r="B475" s="1"/>
      <c r="C475" s="1"/>
      <c r="D475" s="1" t="s">
        <v>149</v>
      </c>
      <c r="E475" t="s">
        <v>136</v>
      </c>
    </row>
    <row r="476" spans="1:5" x14ac:dyDescent="0.35">
      <c r="A476" s="1" t="s">
        <v>147</v>
      </c>
      <c r="B476" s="1" t="s">
        <v>166</v>
      </c>
      <c r="C476" s="1" t="s">
        <v>145</v>
      </c>
      <c r="D476" s="1" t="s">
        <v>146</v>
      </c>
      <c r="E476">
        <v>160</v>
      </c>
    </row>
    <row r="477" spans="1:5" x14ac:dyDescent="0.35">
      <c r="A477" s="1" t="s">
        <v>147</v>
      </c>
      <c r="B477" s="1"/>
      <c r="C477" s="1"/>
      <c r="D477" s="1" t="s">
        <v>148</v>
      </c>
      <c r="E477">
        <v>160</v>
      </c>
    </row>
    <row r="478" spans="1:5" x14ac:dyDescent="0.35">
      <c r="A478" s="1" t="s">
        <v>147</v>
      </c>
      <c r="B478" s="1"/>
      <c r="C478" s="1"/>
      <c r="D478" s="1" t="s">
        <v>149</v>
      </c>
      <c r="E478" t="s">
        <v>136</v>
      </c>
    </row>
    <row r="479" spans="1:5" x14ac:dyDescent="0.35">
      <c r="A479" s="1" t="s">
        <v>147</v>
      </c>
      <c r="B479" s="1"/>
      <c r="C479" s="1" t="s">
        <v>150</v>
      </c>
      <c r="D479" s="1" t="s">
        <v>146</v>
      </c>
      <c r="E479" t="s">
        <v>136</v>
      </c>
    </row>
    <row r="480" spans="1:5" x14ac:dyDescent="0.35">
      <c r="A480" s="1" t="s">
        <v>147</v>
      </c>
      <c r="B480" s="1"/>
      <c r="C480" s="1"/>
      <c r="D480" s="1" t="s">
        <v>148</v>
      </c>
      <c r="E480" t="s">
        <v>136</v>
      </c>
    </row>
    <row r="481" spans="1:5" x14ac:dyDescent="0.35">
      <c r="A481" s="1" t="s">
        <v>147</v>
      </c>
      <c r="B481" s="1"/>
      <c r="C481" s="1"/>
      <c r="D481" s="1" t="s">
        <v>149</v>
      </c>
      <c r="E481" t="s">
        <v>136</v>
      </c>
    </row>
    <row r="482" spans="1:5" x14ac:dyDescent="0.35">
      <c r="A482" s="1" t="s">
        <v>147</v>
      </c>
      <c r="B482" s="1" t="s">
        <v>167</v>
      </c>
      <c r="C482" s="1" t="s">
        <v>145</v>
      </c>
      <c r="D482" s="1" t="s">
        <v>146</v>
      </c>
      <c r="E482" t="s">
        <v>136</v>
      </c>
    </row>
    <row r="483" spans="1:5" x14ac:dyDescent="0.35">
      <c r="A483" s="1" t="s">
        <v>147</v>
      </c>
      <c r="B483" s="1"/>
      <c r="C483" s="1"/>
      <c r="D483" s="1" t="s">
        <v>148</v>
      </c>
      <c r="E483" t="s">
        <v>136</v>
      </c>
    </row>
    <row r="484" spans="1:5" x14ac:dyDescent="0.35">
      <c r="A484" s="1" t="s">
        <v>147</v>
      </c>
      <c r="B484" s="1"/>
      <c r="C484" s="1"/>
      <c r="D484" s="1" t="s">
        <v>149</v>
      </c>
      <c r="E484" t="s">
        <v>136</v>
      </c>
    </row>
    <row r="485" spans="1:5" x14ac:dyDescent="0.35">
      <c r="A485" s="1" t="s">
        <v>147</v>
      </c>
      <c r="B485" s="1"/>
      <c r="C485" s="1" t="s">
        <v>150</v>
      </c>
      <c r="D485" s="1" t="s">
        <v>146</v>
      </c>
      <c r="E485" t="s">
        <v>136</v>
      </c>
    </row>
    <row r="486" spans="1:5" x14ac:dyDescent="0.35">
      <c r="A486" s="1" t="s">
        <v>147</v>
      </c>
      <c r="B486" s="1"/>
      <c r="C486" s="1"/>
      <c r="D486" s="1" t="s">
        <v>148</v>
      </c>
      <c r="E486" t="s">
        <v>136</v>
      </c>
    </row>
    <row r="487" spans="1:5" x14ac:dyDescent="0.35">
      <c r="A487" s="1" t="s">
        <v>147</v>
      </c>
      <c r="B487" s="1"/>
      <c r="C487" s="1"/>
      <c r="D487" s="1" t="s">
        <v>149</v>
      </c>
      <c r="E487" t="s">
        <v>136</v>
      </c>
    </row>
    <row r="488" spans="1:5" x14ac:dyDescent="0.35">
      <c r="A488" s="1" t="s">
        <v>147</v>
      </c>
      <c r="B488" s="1" t="s">
        <v>168</v>
      </c>
      <c r="C488" s="1" t="s">
        <v>145</v>
      </c>
      <c r="D488" s="1" t="s">
        <v>146</v>
      </c>
      <c r="E488" t="s">
        <v>136</v>
      </c>
    </row>
    <row r="489" spans="1:5" x14ac:dyDescent="0.35">
      <c r="A489" s="1" t="s">
        <v>147</v>
      </c>
      <c r="B489" s="1"/>
      <c r="C489" s="1"/>
      <c r="D489" s="1" t="s">
        <v>148</v>
      </c>
      <c r="E489" t="s">
        <v>136</v>
      </c>
    </row>
    <row r="490" spans="1:5" x14ac:dyDescent="0.35">
      <c r="A490" s="1" t="s">
        <v>147</v>
      </c>
      <c r="B490" s="1"/>
      <c r="C490" s="1"/>
      <c r="D490" s="1" t="s">
        <v>149</v>
      </c>
      <c r="E490" t="s">
        <v>136</v>
      </c>
    </row>
    <row r="491" spans="1:5" x14ac:dyDescent="0.35">
      <c r="A491" s="1" t="s">
        <v>147</v>
      </c>
      <c r="B491" s="1"/>
      <c r="C491" s="1" t="s">
        <v>150</v>
      </c>
      <c r="D491" s="1" t="s">
        <v>146</v>
      </c>
      <c r="E491" t="s">
        <v>136</v>
      </c>
    </row>
    <row r="492" spans="1:5" x14ac:dyDescent="0.35">
      <c r="A492" s="1" t="s">
        <v>147</v>
      </c>
      <c r="B492" s="1"/>
      <c r="C492" s="1"/>
      <c r="D492" s="1" t="s">
        <v>148</v>
      </c>
      <c r="E492" t="s">
        <v>136</v>
      </c>
    </row>
    <row r="493" spans="1:5" x14ac:dyDescent="0.35">
      <c r="A493" s="1" t="s">
        <v>147</v>
      </c>
      <c r="B493" s="1"/>
      <c r="C493" s="1"/>
      <c r="D493" s="1" t="s">
        <v>149</v>
      </c>
      <c r="E493" t="s">
        <v>136</v>
      </c>
    </row>
    <row r="494" spans="1:5" x14ac:dyDescent="0.35">
      <c r="A494" s="1" t="s">
        <v>147</v>
      </c>
      <c r="B494" s="1" t="s">
        <v>169</v>
      </c>
      <c r="C494" s="1" t="s">
        <v>145</v>
      </c>
      <c r="D494" s="1" t="s">
        <v>146</v>
      </c>
      <c r="E494" t="s">
        <v>136</v>
      </c>
    </row>
    <row r="495" spans="1:5" x14ac:dyDescent="0.35">
      <c r="A495" s="1" t="s">
        <v>147</v>
      </c>
      <c r="B495" s="1"/>
      <c r="C495" s="1"/>
      <c r="D495" s="1" t="s">
        <v>148</v>
      </c>
      <c r="E495" t="s">
        <v>136</v>
      </c>
    </row>
    <row r="496" spans="1:5" x14ac:dyDescent="0.35">
      <c r="A496" s="1" t="s">
        <v>147</v>
      </c>
      <c r="B496" s="1"/>
      <c r="C496" s="1"/>
      <c r="D496" s="1" t="s">
        <v>149</v>
      </c>
      <c r="E496" t="s">
        <v>136</v>
      </c>
    </row>
    <row r="497" spans="1:5" x14ac:dyDescent="0.35">
      <c r="A497" s="1" t="s">
        <v>147</v>
      </c>
      <c r="B497" s="1"/>
      <c r="C497" s="1" t="s">
        <v>150</v>
      </c>
      <c r="D497" s="1" t="s">
        <v>146</v>
      </c>
      <c r="E497" t="s">
        <v>136</v>
      </c>
    </row>
    <row r="498" spans="1:5" x14ac:dyDescent="0.35">
      <c r="A498" s="1" t="s">
        <v>147</v>
      </c>
      <c r="B498" s="1"/>
      <c r="C498" s="1"/>
      <c r="D498" s="1" t="s">
        <v>148</v>
      </c>
      <c r="E498" t="s">
        <v>136</v>
      </c>
    </row>
    <row r="499" spans="1:5" x14ac:dyDescent="0.35">
      <c r="A499" s="1" t="s">
        <v>147</v>
      </c>
      <c r="B499" s="1"/>
      <c r="C499" s="1"/>
      <c r="D499" s="1" t="s">
        <v>149</v>
      </c>
      <c r="E499" t="s">
        <v>136</v>
      </c>
    </row>
    <row r="500" spans="1:5" x14ac:dyDescent="0.35">
      <c r="A500" s="1" t="s">
        <v>147</v>
      </c>
      <c r="B500" s="1" t="s">
        <v>170</v>
      </c>
      <c r="C500" s="1" t="s">
        <v>145</v>
      </c>
      <c r="D500" s="1" t="s">
        <v>146</v>
      </c>
      <c r="E500" t="s">
        <v>136</v>
      </c>
    </row>
    <row r="501" spans="1:5" x14ac:dyDescent="0.35">
      <c r="A501" s="1" t="s">
        <v>147</v>
      </c>
      <c r="B501" s="1"/>
      <c r="C501" s="1"/>
      <c r="D501" s="1" t="s">
        <v>148</v>
      </c>
      <c r="E501" t="s">
        <v>136</v>
      </c>
    </row>
    <row r="502" spans="1:5" x14ac:dyDescent="0.35">
      <c r="A502" s="1" t="s">
        <v>147</v>
      </c>
      <c r="B502" s="1"/>
      <c r="C502" s="1"/>
      <c r="D502" s="1" t="s">
        <v>149</v>
      </c>
      <c r="E502" t="s">
        <v>136</v>
      </c>
    </row>
    <row r="503" spans="1:5" x14ac:dyDescent="0.35">
      <c r="A503" s="1" t="s">
        <v>147</v>
      </c>
      <c r="B503" s="1"/>
      <c r="C503" s="1" t="s">
        <v>150</v>
      </c>
      <c r="D503" s="1" t="s">
        <v>146</v>
      </c>
      <c r="E503" t="s">
        <v>136</v>
      </c>
    </row>
    <row r="504" spans="1:5" x14ac:dyDescent="0.35">
      <c r="A504" s="1" t="s">
        <v>147</v>
      </c>
      <c r="B504" s="1"/>
      <c r="C504" s="1"/>
      <c r="D504" s="1" t="s">
        <v>148</v>
      </c>
      <c r="E504" t="s">
        <v>136</v>
      </c>
    </row>
    <row r="505" spans="1:5" x14ac:dyDescent="0.35">
      <c r="A505" s="1" t="s">
        <v>147</v>
      </c>
      <c r="B505" s="1"/>
      <c r="C505" s="1"/>
      <c r="D505" s="1" t="s">
        <v>149</v>
      </c>
      <c r="E505" t="s">
        <v>136</v>
      </c>
    </row>
    <row r="506" spans="1:5" x14ac:dyDescent="0.35">
      <c r="A506" s="1" t="s">
        <v>37</v>
      </c>
      <c r="B506" s="1" t="s">
        <v>144</v>
      </c>
      <c r="C506" s="1" t="s">
        <v>145</v>
      </c>
      <c r="D506" s="1" t="s">
        <v>146</v>
      </c>
      <c r="E506">
        <v>240.54</v>
      </c>
    </row>
    <row r="507" spans="1:5" x14ac:dyDescent="0.35">
      <c r="A507" s="1" t="s">
        <v>147</v>
      </c>
      <c r="B507" s="1"/>
      <c r="C507" s="1"/>
      <c r="D507" s="1" t="s">
        <v>148</v>
      </c>
      <c r="E507">
        <v>218.35</v>
      </c>
    </row>
    <row r="508" spans="1:5" x14ac:dyDescent="0.35">
      <c r="A508" s="1" t="s">
        <v>147</v>
      </c>
      <c r="B508" s="1"/>
      <c r="C508" s="1"/>
      <c r="D508" s="1" t="s">
        <v>149</v>
      </c>
      <c r="E508">
        <v>22.19</v>
      </c>
    </row>
    <row r="509" spans="1:5" x14ac:dyDescent="0.35">
      <c r="A509" s="1" t="s">
        <v>147</v>
      </c>
      <c r="B509" s="1"/>
      <c r="C509" s="1" t="s">
        <v>150</v>
      </c>
      <c r="D509" s="1" t="s">
        <v>146</v>
      </c>
      <c r="E509" t="s">
        <v>136</v>
      </c>
    </row>
    <row r="510" spans="1:5" x14ac:dyDescent="0.35">
      <c r="A510" s="1" t="s">
        <v>147</v>
      </c>
      <c r="B510" s="1"/>
      <c r="C510" s="1"/>
      <c r="D510" s="1" t="s">
        <v>148</v>
      </c>
      <c r="E510" t="s">
        <v>136</v>
      </c>
    </row>
    <row r="511" spans="1:5" x14ac:dyDescent="0.35">
      <c r="A511" s="1" t="s">
        <v>147</v>
      </c>
      <c r="B511" s="1"/>
      <c r="C511" s="1"/>
      <c r="D511" s="1" t="s">
        <v>149</v>
      </c>
      <c r="E511" t="s">
        <v>136</v>
      </c>
    </row>
    <row r="512" spans="1:5" x14ac:dyDescent="0.35">
      <c r="A512" s="1" t="s">
        <v>147</v>
      </c>
      <c r="B512" s="1" t="s">
        <v>151</v>
      </c>
      <c r="C512" s="1" t="s">
        <v>145</v>
      </c>
      <c r="D512" s="1" t="s">
        <v>146</v>
      </c>
      <c r="E512">
        <v>205.64</v>
      </c>
    </row>
    <row r="513" spans="1:5" x14ac:dyDescent="0.35">
      <c r="A513" s="1" t="s">
        <v>147</v>
      </c>
      <c r="B513" s="1"/>
      <c r="C513" s="1"/>
      <c r="D513" s="1" t="s">
        <v>148</v>
      </c>
      <c r="E513">
        <v>183.6</v>
      </c>
    </row>
    <row r="514" spans="1:5" x14ac:dyDescent="0.35">
      <c r="A514" s="1" t="s">
        <v>147</v>
      </c>
      <c r="B514" s="1"/>
      <c r="C514" s="1"/>
      <c r="D514" s="1" t="s">
        <v>149</v>
      </c>
      <c r="E514">
        <v>22.04</v>
      </c>
    </row>
    <row r="515" spans="1:5" x14ac:dyDescent="0.35">
      <c r="A515" s="1" t="s">
        <v>147</v>
      </c>
      <c r="B515" s="1"/>
      <c r="C515" s="1" t="s">
        <v>150</v>
      </c>
      <c r="D515" s="1" t="s">
        <v>146</v>
      </c>
      <c r="E515" t="s">
        <v>136</v>
      </c>
    </row>
    <row r="516" spans="1:5" x14ac:dyDescent="0.35">
      <c r="A516" s="1" t="s">
        <v>147</v>
      </c>
      <c r="B516" s="1"/>
      <c r="C516" s="1"/>
      <c r="D516" s="1" t="s">
        <v>148</v>
      </c>
      <c r="E516" t="s">
        <v>136</v>
      </c>
    </row>
    <row r="517" spans="1:5" x14ac:dyDescent="0.35">
      <c r="A517" s="1" t="s">
        <v>147</v>
      </c>
      <c r="B517" s="1"/>
      <c r="C517" s="1"/>
      <c r="D517" s="1" t="s">
        <v>149</v>
      </c>
      <c r="E517" t="s">
        <v>136</v>
      </c>
    </row>
    <row r="518" spans="1:5" x14ac:dyDescent="0.35">
      <c r="A518" s="1" t="s">
        <v>147</v>
      </c>
      <c r="B518" s="1" t="s">
        <v>152</v>
      </c>
      <c r="C518" s="1" t="s">
        <v>145</v>
      </c>
      <c r="D518" s="1" t="s">
        <v>146</v>
      </c>
      <c r="E518" t="s">
        <v>136</v>
      </c>
    </row>
    <row r="519" spans="1:5" x14ac:dyDescent="0.35">
      <c r="A519" s="1" t="s">
        <v>147</v>
      </c>
      <c r="B519" s="1"/>
      <c r="C519" s="1"/>
      <c r="D519" s="1" t="s">
        <v>148</v>
      </c>
      <c r="E519" t="s">
        <v>136</v>
      </c>
    </row>
    <row r="520" spans="1:5" x14ac:dyDescent="0.35">
      <c r="A520" s="1" t="s">
        <v>147</v>
      </c>
      <c r="B520" s="1"/>
      <c r="C520" s="1"/>
      <c r="D520" s="1" t="s">
        <v>149</v>
      </c>
      <c r="E520" t="s">
        <v>136</v>
      </c>
    </row>
    <row r="521" spans="1:5" x14ac:dyDescent="0.35">
      <c r="A521" s="1" t="s">
        <v>147</v>
      </c>
      <c r="B521" s="1"/>
      <c r="C521" s="1" t="s">
        <v>150</v>
      </c>
      <c r="D521" s="1" t="s">
        <v>146</v>
      </c>
      <c r="E521" t="s">
        <v>136</v>
      </c>
    </row>
    <row r="522" spans="1:5" x14ac:dyDescent="0.35">
      <c r="A522" s="1" t="s">
        <v>147</v>
      </c>
      <c r="B522" s="1"/>
      <c r="C522" s="1"/>
      <c r="D522" s="1" t="s">
        <v>148</v>
      </c>
      <c r="E522" t="s">
        <v>136</v>
      </c>
    </row>
    <row r="523" spans="1:5" x14ac:dyDescent="0.35">
      <c r="A523" s="1" t="s">
        <v>147</v>
      </c>
      <c r="B523" s="1"/>
      <c r="C523" s="1"/>
      <c r="D523" s="1" t="s">
        <v>149</v>
      </c>
      <c r="E523" t="s">
        <v>136</v>
      </c>
    </row>
    <row r="524" spans="1:5" x14ac:dyDescent="0.35">
      <c r="A524" s="1" t="s">
        <v>147</v>
      </c>
      <c r="B524" s="1" t="s">
        <v>153</v>
      </c>
      <c r="C524" s="1" t="s">
        <v>145</v>
      </c>
      <c r="D524" s="1" t="s">
        <v>146</v>
      </c>
      <c r="E524" t="s">
        <v>136</v>
      </c>
    </row>
    <row r="525" spans="1:5" x14ac:dyDescent="0.35">
      <c r="A525" s="1" t="s">
        <v>147</v>
      </c>
      <c r="B525" s="1"/>
      <c r="C525" s="1"/>
      <c r="D525" s="1" t="s">
        <v>148</v>
      </c>
      <c r="E525" t="s">
        <v>136</v>
      </c>
    </row>
    <row r="526" spans="1:5" x14ac:dyDescent="0.35">
      <c r="A526" s="1" t="s">
        <v>147</v>
      </c>
      <c r="B526" s="1"/>
      <c r="C526" s="1"/>
      <c r="D526" s="1" t="s">
        <v>149</v>
      </c>
      <c r="E526" t="s">
        <v>136</v>
      </c>
    </row>
    <row r="527" spans="1:5" x14ac:dyDescent="0.35">
      <c r="A527" s="1" t="s">
        <v>147</v>
      </c>
      <c r="B527" s="1"/>
      <c r="C527" s="1" t="s">
        <v>150</v>
      </c>
      <c r="D527" s="1" t="s">
        <v>146</v>
      </c>
      <c r="E527" t="s">
        <v>136</v>
      </c>
    </row>
    <row r="528" spans="1:5" x14ac:dyDescent="0.35">
      <c r="A528" s="1" t="s">
        <v>147</v>
      </c>
      <c r="B528" s="1"/>
      <c r="C528" s="1"/>
      <c r="D528" s="1" t="s">
        <v>148</v>
      </c>
      <c r="E528" t="s">
        <v>136</v>
      </c>
    </row>
    <row r="529" spans="1:5" x14ac:dyDescent="0.35">
      <c r="A529" s="1" t="s">
        <v>147</v>
      </c>
      <c r="B529" s="1"/>
      <c r="C529" s="1"/>
      <c r="D529" s="1" t="s">
        <v>149</v>
      </c>
      <c r="E529" t="s">
        <v>136</v>
      </c>
    </row>
    <row r="530" spans="1:5" x14ac:dyDescent="0.35">
      <c r="A530" s="1" t="s">
        <v>147</v>
      </c>
      <c r="B530" s="1" t="s">
        <v>154</v>
      </c>
      <c r="C530" s="1" t="s">
        <v>145</v>
      </c>
      <c r="D530" s="1" t="s">
        <v>146</v>
      </c>
      <c r="E530" t="s">
        <v>136</v>
      </c>
    </row>
    <row r="531" spans="1:5" x14ac:dyDescent="0.35">
      <c r="A531" s="1" t="s">
        <v>147</v>
      </c>
      <c r="B531" s="1"/>
      <c r="C531" s="1"/>
      <c r="D531" s="1" t="s">
        <v>148</v>
      </c>
      <c r="E531" t="s">
        <v>136</v>
      </c>
    </row>
    <row r="532" spans="1:5" x14ac:dyDescent="0.35">
      <c r="A532" s="1" t="s">
        <v>147</v>
      </c>
      <c r="B532" s="1"/>
      <c r="C532" s="1"/>
      <c r="D532" s="1" t="s">
        <v>149</v>
      </c>
      <c r="E532" t="s">
        <v>136</v>
      </c>
    </row>
    <row r="533" spans="1:5" x14ac:dyDescent="0.35">
      <c r="A533" s="1" t="s">
        <v>147</v>
      </c>
      <c r="B533" s="1"/>
      <c r="C533" s="1" t="s">
        <v>150</v>
      </c>
      <c r="D533" s="1" t="s">
        <v>146</v>
      </c>
      <c r="E533" t="s">
        <v>136</v>
      </c>
    </row>
    <row r="534" spans="1:5" x14ac:dyDescent="0.35">
      <c r="A534" s="1" t="s">
        <v>147</v>
      </c>
      <c r="B534" s="1"/>
      <c r="C534" s="1"/>
      <c r="D534" s="1" t="s">
        <v>148</v>
      </c>
      <c r="E534" t="s">
        <v>136</v>
      </c>
    </row>
    <row r="535" spans="1:5" x14ac:dyDescent="0.35">
      <c r="A535" s="1" t="s">
        <v>147</v>
      </c>
      <c r="B535" s="1"/>
      <c r="C535" s="1"/>
      <c r="D535" s="1" t="s">
        <v>149</v>
      </c>
      <c r="E535" t="s">
        <v>136</v>
      </c>
    </row>
    <row r="536" spans="1:5" x14ac:dyDescent="0.35">
      <c r="A536" s="1" t="s">
        <v>147</v>
      </c>
      <c r="B536" s="1" t="s">
        <v>155</v>
      </c>
      <c r="C536" s="1" t="s">
        <v>145</v>
      </c>
      <c r="D536" s="1" t="s">
        <v>146</v>
      </c>
      <c r="E536">
        <v>34</v>
      </c>
    </row>
    <row r="537" spans="1:5" x14ac:dyDescent="0.35">
      <c r="A537" s="1" t="s">
        <v>147</v>
      </c>
      <c r="B537" s="1"/>
      <c r="C537" s="1"/>
      <c r="D537" s="1" t="s">
        <v>148</v>
      </c>
      <c r="E537">
        <v>34</v>
      </c>
    </row>
    <row r="538" spans="1:5" x14ac:dyDescent="0.35">
      <c r="A538" s="1" t="s">
        <v>147</v>
      </c>
      <c r="B538" s="1"/>
      <c r="C538" s="1"/>
      <c r="D538" s="1" t="s">
        <v>149</v>
      </c>
      <c r="E538" t="s">
        <v>136</v>
      </c>
    </row>
    <row r="539" spans="1:5" x14ac:dyDescent="0.35">
      <c r="A539" s="1" t="s">
        <v>147</v>
      </c>
      <c r="B539" s="1"/>
      <c r="C539" s="1" t="s">
        <v>150</v>
      </c>
      <c r="D539" s="1" t="s">
        <v>146</v>
      </c>
      <c r="E539" t="s">
        <v>136</v>
      </c>
    </row>
    <row r="540" spans="1:5" x14ac:dyDescent="0.35">
      <c r="A540" s="1" t="s">
        <v>147</v>
      </c>
      <c r="B540" s="1"/>
      <c r="C540" s="1"/>
      <c r="D540" s="1" t="s">
        <v>148</v>
      </c>
      <c r="E540" t="s">
        <v>136</v>
      </c>
    </row>
    <row r="541" spans="1:5" x14ac:dyDescent="0.35">
      <c r="A541" s="1" t="s">
        <v>147</v>
      </c>
      <c r="B541" s="1"/>
      <c r="C541" s="1"/>
      <c r="D541" s="1" t="s">
        <v>149</v>
      </c>
      <c r="E541" t="s">
        <v>136</v>
      </c>
    </row>
    <row r="542" spans="1:5" x14ac:dyDescent="0.35">
      <c r="A542" s="1" t="s">
        <v>147</v>
      </c>
      <c r="B542" s="1" t="s">
        <v>156</v>
      </c>
      <c r="C542" s="1" t="s">
        <v>145</v>
      </c>
      <c r="D542" s="1" t="s">
        <v>146</v>
      </c>
      <c r="E542" t="s">
        <v>136</v>
      </c>
    </row>
    <row r="543" spans="1:5" x14ac:dyDescent="0.35">
      <c r="A543" s="1" t="s">
        <v>147</v>
      </c>
      <c r="B543" s="1"/>
      <c r="C543" s="1"/>
      <c r="D543" s="1" t="s">
        <v>148</v>
      </c>
      <c r="E543" t="s">
        <v>136</v>
      </c>
    </row>
    <row r="544" spans="1:5" x14ac:dyDescent="0.35">
      <c r="A544" s="1" t="s">
        <v>147</v>
      </c>
      <c r="B544" s="1"/>
      <c r="C544" s="1"/>
      <c r="D544" s="1" t="s">
        <v>149</v>
      </c>
      <c r="E544" t="s">
        <v>136</v>
      </c>
    </row>
    <row r="545" spans="1:5" x14ac:dyDescent="0.35">
      <c r="A545" s="1" t="s">
        <v>147</v>
      </c>
      <c r="B545" s="1"/>
      <c r="C545" s="1" t="s">
        <v>150</v>
      </c>
      <c r="D545" s="1" t="s">
        <v>146</v>
      </c>
      <c r="E545" t="s">
        <v>136</v>
      </c>
    </row>
    <row r="546" spans="1:5" x14ac:dyDescent="0.35">
      <c r="A546" s="1" t="s">
        <v>147</v>
      </c>
      <c r="B546" s="1"/>
      <c r="C546" s="1"/>
      <c r="D546" s="1" t="s">
        <v>148</v>
      </c>
      <c r="E546" t="s">
        <v>136</v>
      </c>
    </row>
    <row r="547" spans="1:5" x14ac:dyDescent="0.35">
      <c r="A547" s="1" t="s">
        <v>147</v>
      </c>
      <c r="B547" s="1"/>
      <c r="C547" s="1"/>
      <c r="D547" s="1" t="s">
        <v>149</v>
      </c>
      <c r="E547" t="s">
        <v>136</v>
      </c>
    </row>
    <row r="548" spans="1:5" x14ac:dyDescent="0.35">
      <c r="A548" s="1" t="s">
        <v>147</v>
      </c>
      <c r="B548" s="1" t="s">
        <v>157</v>
      </c>
      <c r="C548" s="1" t="s">
        <v>145</v>
      </c>
      <c r="D548" s="1" t="s">
        <v>146</v>
      </c>
      <c r="E548" t="s">
        <v>136</v>
      </c>
    </row>
    <row r="549" spans="1:5" x14ac:dyDescent="0.35">
      <c r="A549" s="1" t="s">
        <v>147</v>
      </c>
      <c r="B549" s="1"/>
      <c r="C549" s="1"/>
      <c r="D549" s="1" t="s">
        <v>148</v>
      </c>
      <c r="E549" t="s">
        <v>136</v>
      </c>
    </row>
    <row r="550" spans="1:5" x14ac:dyDescent="0.35">
      <c r="A550" s="1" t="s">
        <v>147</v>
      </c>
      <c r="B550" s="1"/>
      <c r="C550" s="1"/>
      <c r="D550" s="1" t="s">
        <v>149</v>
      </c>
      <c r="E550" t="s">
        <v>136</v>
      </c>
    </row>
    <row r="551" spans="1:5" x14ac:dyDescent="0.35">
      <c r="A551" s="1" t="s">
        <v>147</v>
      </c>
      <c r="B551" s="1"/>
      <c r="C551" s="1" t="s">
        <v>150</v>
      </c>
      <c r="D551" s="1" t="s">
        <v>146</v>
      </c>
      <c r="E551" t="s">
        <v>136</v>
      </c>
    </row>
    <row r="552" spans="1:5" x14ac:dyDescent="0.35">
      <c r="A552" s="1" t="s">
        <v>147</v>
      </c>
      <c r="B552" s="1"/>
      <c r="C552" s="1"/>
      <c r="D552" s="1" t="s">
        <v>148</v>
      </c>
      <c r="E552" t="s">
        <v>136</v>
      </c>
    </row>
    <row r="553" spans="1:5" x14ac:dyDescent="0.35">
      <c r="A553" s="1" t="s">
        <v>147</v>
      </c>
      <c r="B553" s="1"/>
      <c r="C553" s="1"/>
      <c r="D553" s="1" t="s">
        <v>149</v>
      </c>
      <c r="E553" t="s">
        <v>136</v>
      </c>
    </row>
    <row r="554" spans="1:5" x14ac:dyDescent="0.35">
      <c r="A554" s="1" t="s">
        <v>147</v>
      </c>
      <c r="B554" s="1" t="s">
        <v>158</v>
      </c>
      <c r="C554" s="1" t="s">
        <v>145</v>
      </c>
      <c r="D554" s="1" t="s">
        <v>146</v>
      </c>
      <c r="E554" t="s">
        <v>136</v>
      </c>
    </row>
    <row r="555" spans="1:5" x14ac:dyDescent="0.35">
      <c r="A555" s="1" t="s">
        <v>147</v>
      </c>
      <c r="B555" s="1"/>
      <c r="C555" s="1"/>
      <c r="D555" s="1" t="s">
        <v>148</v>
      </c>
      <c r="E555" t="s">
        <v>136</v>
      </c>
    </row>
    <row r="556" spans="1:5" x14ac:dyDescent="0.35">
      <c r="A556" s="1" t="s">
        <v>147</v>
      </c>
      <c r="B556" s="1"/>
      <c r="C556" s="1"/>
      <c r="D556" s="1" t="s">
        <v>149</v>
      </c>
      <c r="E556" t="s">
        <v>136</v>
      </c>
    </row>
    <row r="557" spans="1:5" x14ac:dyDescent="0.35">
      <c r="A557" s="1" t="s">
        <v>147</v>
      </c>
      <c r="B557" s="1"/>
      <c r="C557" s="1" t="s">
        <v>150</v>
      </c>
      <c r="D557" s="1" t="s">
        <v>146</v>
      </c>
      <c r="E557" t="s">
        <v>136</v>
      </c>
    </row>
    <row r="558" spans="1:5" x14ac:dyDescent="0.35">
      <c r="A558" s="1" t="s">
        <v>147</v>
      </c>
      <c r="B558" s="1"/>
      <c r="C558" s="1"/>
      <c r="D558" s="1" t="s">
        <v>148</v>
      </c>
      <c r="E558" t="s">
        <v>136</v>
      </c>
    </row>
    <row r="559" spans="1:5" x14ac:dyDescent="0.35">
      <c r="A559" s="1" t="s">
        <v>147</v>
      </c>
      <c r="B559" s="1"/>
      <c r="C559" s="1"/>
      <c r="D559" s="1" t="s">
        <v>149</v>
      </c>
      <c r="E559" t="s">
        <v>136</v>
      </c>
    </row>
    <row r="560" spans="1:5" x14ac:dyDescent="0.35">
      <c r="A560" s="1" t="s">
        <v>147</v>
      </c>
      <c r="B560" s="1" t="s">
        <v>159</v>
      </c>
      <c r="C560" s="1" t="s">
        <v>145</v>
      </c>
      <c r="D560" s="1" t="s">
        <v>146</v>
      </c>
      <c r="E560" t="s">
        <v>136</v>
      </c>
    </row>
    <row r="561" spans="1:5" x14ac:dyDescent="0.35">
      <c r="A561" s="1" t="s">
        <v>147</v>
      </c>
      <c r="B561" s="1"/>
      <c r="C561" s="1"/>
      <c r="D561" s="1" t="s">
        <v>148</v>
      </c>
      <c r="E561" t="s">
        <v>136</v>
      </c>
    </row>
    <row r="562" spans="1:5" x14ac:dyDescent="0.35">
      <c r="A562" s="1" t="s">
        <v>147</v>
      </c>
      <c r="B562" s="1"/>
      <c r="C562" s="1"/>
      <c r="D562" s="1" t="s">
        <v>149</v>
      </c>
      <c r="E562" t="s">
        <v>136</v>
      </c>
    </row>
    <row r="563" spans="1:5" x14ac:dyDescent="0.35">
      <c r="A563" s="1" t="s">
        <v>147</v>
      </c>
      <c r="B563" s="1"/>
      <c r="C563" s="1" t="s">
        <v>150</v>
      </c>
      <c r="D563" s="1" t="s">
        <v>146</v>
      </c>
      <c r="E563" t="s">
        <v>136</v>
      </c>
    </row>
    <row r="564" spans="1:5" x14ac:dyDescent="0.35">
      <c r="A564" s="1" t="s">
        <v>147</v>
      </c>
      <c r="B564" s="1"/>
      <c r="C564" s="1"/>
      <c r="D564" s="1" t="s">
        <v>148</v>
      </c>
      <c r="E564" t="s">
        <v>136</v>
      </c>
    </row>
    <row r="565" spans="1:5" x14ac:dyDescent="0.35">
      <c r="A565" s="1" t="s">
        <v>147</v>
      </c>
      <c r="B565" s="1"/>
      <c r="C565" s="1"/>
      <c r="D565" s="1" t="s">
        <v>149</v>
      </c>
      <c r="E565" t="s">
        <v>136</v>
      </c>
    </row>
    <row r="566" spans="1:5" x14ac:dyDescent="0.35">
      <c r="A566" s="1" t="s">
        <v>147</v>
      </c>
      <c r="B566" s="1" t="s">
        <v>160</v>
      </c>
      <c r="C566" s="1" t="s">
        <v>145</v>
      </c>
      <c r="D566" s="1" t="s">
        <v>146</v>
      </c>
      <c r="E566">
        <v>0.15</v>
      </c>
    </row>
    <row r="567" spans="1:5" x14ac:dyDescent="0.35">
      <c r="A567" s="1" t="s">
        <v>147</v>
      </c>
      <c r="B567" s="1"/>
      <c r="C567" s="1"/>
      <c r="D567" s="1" t="s">
        <v>148</v>
      </c>
      <c r="E567" t="s">
        <v>136</v>
      </c>
    </row>
    <row r="568" spans="1:5" x14ac:dyDescent="0.35">
      <c r="A568" s="1" t="s">
        <v>147</v>
      </c>
      <c r="B568" s="1"/>
      <c r="C568" s="1"/>
      <c r="D568" s="1" t="s">
        <v>149</v>
      </c>
      <c r="E568">
        <v>0.15</v>
      </c>
    </row>
    <row r="569" spans="1:5" x14ac:dyDescent="0.35">
      <c r="A569" s="1" t="s">
        <v>147</v>
      </c>
      <c r="B569" s="1"/>
      <c r="C569" s="1" t="s">
        <v>150</v>
      </c>
      <c r="D569" s="1" t="s">
        <v>146</v>
      </c>
      <c r="E569" t="s">
        <v>136</v>
      </c>
    </row>
    <row r="570" spans="1:5" x14ac:dyDescent="0.35">
      <c r="A570" s="1" t="s">
        <v>147</v>
      </c>
      <c r="B570" s="1"/>
      <c r="C570" s="1"/>
      <c r="D570" s="1" t="s">
        <v>148</v>
      </c>
      <c r="E570" t="s">
        <v>136</v>
      </c>
    </row>
    <row r="571" spans="1:5" x14ac:dyDescent="0.35">
      <c r="A571" s="1" t="s">
        <v>147</v>
      </c>
      <c r="B571" s="1"/>
      <c r="C571" s="1"/>
      <c r="D571" s="1" t="s">
        <v>149</v>
      </c>
      <c r="E571" t="s">
        <v>136</v>
      </c>
    </row>
    <row r="572" spans="1:5" x14ac:dyDescent="0.35">
      <c r="A572" s="1" t="s">
        <v>147</v>
      </c>
      <c r="B572" s="1" t="s">
        <v>161</v>
      </c>
      <c r="C572" s="1" t="s">
        <v>145</v>
      </c>
      <c r="D572" s="1" t="s">
        <v>146</v>
      </c>
      <c r="E572">
        <v>0.75</v>
      </c>
    </row>
    <row r="573" spans="1:5" x14ac:dyDescent="0.35">
      <c r="A573" s="1" t="s">
        <v>147</v>
      </c>
      <c r="B573" s="1"/>
      <c r="C573" s="1"/>
      <c r="D573" s="1" t="s">
        <v>148</v>
      </c>
      <c r="E573">
        <v>0.75</v>
      </c>
    </row>
    <row r="574" spans="1:5" x14ac:dyDescent="0.35">
      <c r="A574" s="1" t="s">
        <v>147</v>
      </c>
      <c r="B574" s="1"/>
      <c r="C574" s="1"/>
      <c r="D574" s="1" t="s">
        <v>149</v>
      </c>
      <c r="E574" t="s">
        <v>136</v>
      </c>
    </row>
    <row r="575" spans="1:5" x14ac:dyDescent="0.35">
      <c r="A575" s="1" t="s">
        <v>147</v>
      </c>
      <c r="B575" s="1"/>
      <c r="C575" s="1" t="s">
        <v>150</v>
      </c>
      <c r="D575" s="1" t="s">
        <v>146</v>
      </c>
      <c r="E575" t="s">
        <v>136</v>
      </c>
    </row>
    <row r="576" spans="1:5" x14ac:dyDescent="0.35">
      <c r="A576" s="1" t="s">
        <v>147</v>
      </c>
      <c r="B576" s="1"/>
      <c r="C576" s="1"/>
      <c r="D576" s="1" t="s">
        <v>148</v>
      </c>
      <c r="E576" t="s">
        <v>136</v>
      </c>
    </row>
    <row r="577" spans="1:5" x14ac:dyDescent="0.35">
      <c r="A577" s="1" t="s">
        <v>147</v>
      </c>
      <c r="B577" s="1"/>
      <c r="C577" s="1"/>
      <c r="D577" s="1" t="s">
        <v>149</v>
      </c>
      <c r="E577" t="s">
        <v>136</v>
      </c>
    </row>
    <row r="578" spans="1:5" x14ac:dyDescent="0.35">
      <c r="A578" s="1" t="s">
        <v>147</v>
      </c>
      <c r="B578" s="1" t="s">
        <v>162</v>
      </c>
      <c r="C578" s="1" t="s">
        <v>145</v>
      </c>
      <c r="D578" s="1" t="s">
        <v>146</v>
      </c>
      <c r="E578" t="s">
        <v>136</v>
      </c>
    </row>
    <row r="579" spans="1:5" x14ac:dyDescent="0.35">
      <c r="A579" s="1" t="s">
        <v>147</v>
      </c>
      <c r="B579" s="1"/>
      <c r="C579" s="1"/>
      <c r="D579" s="1" t="s">
        <v>148</v>
      </c>
      <c r="E579" t="s">
        <v>136</v>
      </c>
    </row>
    <row r="580" spans="1:5" x14ac:dyDescent="0.35">
      <c r="A580" s="1" t="s">
        <v>147</v>
      </c>
      <c r="B580" s="1"/>
      <c r="C580" s="1"/>
      <c r="D580" s="1" t="s">
        <v>149</v>
      </c>
      <c r="E580" t="s">
        <v>136</v>
      </c>
    </row>
    <row r="581" spans="1:5" x14ac:dyDescent="0.35">
      <c r="A581" s="1" t="s">
        <v>147</v>
      </c>
      <c r="B581" s="1"/>
      <c r="C581" s="1" t="s">
        <v>150</v>
      </c>
      <c r="D581" s="1" t="s">
        <v>146</v>
      </c>
      <c r="E581" t="s">
        <v>136</v>
      </c>
    </row>
    <row r="582" spans="1:5" x14ac:dyDescent="0.35">
      <c r="A582" s="1" t="s">
        <v>147</v>
      </c>
      <c r="B582" s="1"/>
      <c r="C582" s="1"/>
      <c r="D582" s="1" t="s">
        <v>148</v>
      </c>
      <c r="E582" t="s">
        <v>136</v>
      </c>
    </row>
    <row r="583" spans="1:5" x14ac:dyDescent="0.35">
      <c r="A583" s="1" t="s">
        <v>147</v>
      </c>
      <c r="B583" s="1"/>
      <c r="C583" s="1"/>
      <c r="D583" s="1" t="s">
        <v>149</v>
      </c>
      <c r="E583" t="s">
        <v>136</v>
      </c>
    </row>
    <row r="584" spans="1:5" x14ac:dyDescent="0.35">
      <c r="A584" s="1" t="s">
        <v>147</v>
      </c>
      <c r="B584" s="1" t="s">
        <v>163</v>
      </c>
      <c r="C584" s="1" t="s">
        <v>145</v>
      </c>
      <c r="D584" s="1" t="s">
        <v>146</v>
      </c>
      <c r="E584">
        <v>395</v>
      </c>
    </row>
    <row r="585" spans="1:5" x14ac:dyDescent="0.35">
      <c r="A585" s="1" t="s">
        <v>147</v>
      </c>
      <c r="B585" s="1"/>
      <c r="C585" s="1"/>
      <c r="D585" s="1" t="s">
        <v>148</v>
      </c>
      <c r="E585">
        <v>395</v>
      </c>
    </row>
    <row r="586" spans="1:5" x14ac:dyDescent="0.35">
      <c r="A586" s="1" t="s">
        <v>147</v>
      </c>
      <c r="B586" s="1"/>
      <c r="C586" s="1"/>
      <c r="D586" s="1" t="s">
        <v>149</v>
      </c>
      <c r="E586" t="s">
        <v>136</v>
      </c>
    </row>
    <row r="587" spans="1:5" x14ac:dyDescent="0.35">
      <c r="A587" s="1" t="s">
        <v>147</v>
      </c>
      <c r="B587" s="1"/>
      <c r="C587" s="1" t="s">
        <v>150</v>
      </c>
      <c r="D587" s="1" t="s">
        <v>146</v>
      </c>
      <c r="E587" t="s">
        <v>136</v>
      </c>
    </row>
    <row r="588" spans="1:5" x14ac:dyDescent="0.35">
      <c r="A588" s="1" t="s">
        <v>147</v>
      </c>
      <c r="B588" s="1"/>
      <c r="C588" s="1"/>
      <c r="D588" s="1" t="s">
        <v>148</v>
      </c>
      <c r="E588" t="s">
        <v>136</v>
      </c>
    </row>
    <row r="589" spans="1:5" x14ac:dyDescent="0.35">
      <c r="A589" s="1" t="s">
        <v>147</v>
      </c>
      <c r="B589" s="1"/>
      <c r="C589" s="1"/>
      <c r="D589" s="1" t="s">
        <v>149</v>
      </c>
      <c r="E589" t="s">
        <v>136</v>
      </c>
    </row>
    <row r="590" spans="1:5" x14ac:dyDescent="0.35">
      <c r="A590" s="1" t="s">
        <v>147</v>
      </c>
      <c r="B590" s="1" t="s">
        <v>164</v>
      </c>
      <c r="C590" s="1" t="s">
        <v>145</v>
      </c>
      <c r="D590" s="1" t="s">
        <v>146</v>
      </c>
      <c r="E590" t="s">
        <v>136</v>
      </c>
    </row>
    <row r="591" spans="1:5" x14ac:dyDescent="0.35">
      <c r="A591" s="1" t="s">
        <v>147</v>
      </c>
      <c r="B591" s="1"/>
      <c r="C591" s="1"/>
      <c r="D591" s="1" t="s">
        <v>148</v>
      </c>
      <c r="E591" t="s">
        <v>136</v>
      </c>
    </row>
    <row r="592" spans="1:5" x14ac:dyDescent="0.35">
      <c r="A592" s="1" t="s">
        <v>147</v>
      </c>
      <c r="B592" s="1"/>
      <c r="C592" s="1"/>
      <c r="D592" s="1" t="s">
        <v>149</v>
      </c>
      <c r="E592" t="s">
        <v>136</v>
      </c>
    </row>
    <row r="593" spans="1:5" x14ac:dyDescent="0.35">
      <c r="A593" s="1" t="s">
        <v>147</v>
      </c>
      <c r="B593" s="1"/>
      <c r="C593" s="1" t="s">
        <v>150</v>
      </c>
      <c r="D593" s="1" t="s">
        <v>146</v>
      </c>
      <c r="E593" t="s">
        <v>136</v>
      </c>
    </row>
    <row r="594" spans="1:5" x14ac:dyDescent="0.35">
      <c r="A594" s="1" t="s">
        <v>147</v>
      </c>
      <c r="B594" s="1"/>
      <c r="C594" s="1"/>
      <c r="D594" s="1" t="s">
        <v>148</v>
      </c>
      <c r="E594" t="s">
        <v>136</v>
      </c>
    </row>
    <row r="595" spans="1:5" x14ac:dyDescent="0.35">
      <c r="A595" s="1" t="s">
        <v>147</v>
      </c>
      <c r="B595" s="1"/>
      <c r="C595" s="1"/>
      <c r="D595" s="1" t="s">
        <v>149</v>
      </c>
      <c r="E595" t="s">
        <v>136</v>
      </c>
    </row>
    <row r="596" spans="1:5" x14ac:dyDescent="0.35">
      <c r="A596" s="1" t="s">
        <v>147</v>
      </c>
      <c r="B596" s="1" t="s">
        <v>165</v>
      </c>
      <c r="C596" s="1" t="s">
        <v>145</v>
      </c>
      <c r="D596" s="1" t="s">
        <v>146</v>
      </c>
      <c r="E596" t="s">
        <v>136</v>
      </c>
    </row>
    <row r="597" spans="1:5" x14ac:dyDescent="0.35">
      <c r="A597" s="1" t="s">
        <v>147</v>
      </c>
      <c r="B597" s="1"/>
      <c r="C597" s="1"/>
      <c r="D597" s="1" t="s">
        <v>148</v>
      </c>
      <c r="E597" t="s">
        <v>136</v>
      </c>
    </row>
    <row r="598" spans="1:5" x14ac:dyDescent="0.35">
      <c r="A598" s="1" t="s">
        <v>147</v>
      </c>
      <c r="B598" s="1"/>
      <c r="C598" s="1"/>
      <c r="D598" s="1" t="s">
        <v>149</v>
      </c>
      <c r="E598" t="s">
        <v>136</v>
      </c>
    </row>
    <row r="599" spans="1:5" x14ac:dyDescent="0.35">
      <c r="A599" s="1" t="s">
        <v>147</v>
      </c>
      <c r="B599" s="1"/>
      <c r="C599" s="1" t="s">
        <v>150</v>
      </c>
      <c r="D599" s="1" t="s">
        <v>146</v>
      </c>
      <c r="E599" t="s">
        <v>136</v>
      </c>
    </row>
    <row r="600" spans="1:5" x14ac:dyDescent="0.35">
      <c r="A600" s="1" t="s">
        <v>147</v>
      </c>
      <c r="B600" s="1"/>
      <c r="C600" s="1"/>
      <c r="D600" s="1" t="s">
        <v>148</v>
      </c>
      <c r="E600" t="s">
        <v>136</v>
      </c>
    </row>
    <row r="601" spans="1:5" x14ac:dyDescent="0.35">
      <c r="A601" s="1" t="s">
        <v>147</v>
      </c>
      <c r="B601" s="1"/>
      <c r="C601" s="1"/>
      <c r="D601" s="1" t="s">
        <v>149</v>
      </c>
      <c r="E601" t="s">
        <v>136</v>
      </c>
    </row>
    <row r="602" spans="1:5" x14ac:dyDescent="0.35">
      <c r="A602" s="1" t="s">
        <v>147</v>
      </c>
      <c r="B602" s="1" t="s">
        <v>166</v>
      </c>
      <c r="C602" s="1" t="s">
        <v>145</v>
      </c>
      <c r="D602" s="1" t="s">
        <v>146</v>
      </c>
      <c r="E602">
        <v>395</v>
      </c>
    </row>
    <row r="603" spans="1:5" x14ac:dyDescent="0.35">
      <c r="A603" s="1" t="s">
        <v>147</v>
      </c>
      <c r="B603" s="1"/>
      <c r="C603" s="1"/>
      <c r="D603" s="1" t="s">
        <v>148</v>
      </c>
      <c r="E603">
        <v>395</v>
      </c>
    </row>
    <row r="604" spans="1:5" x14ac:dyDescent="0.35">
      <c r="A604" s="1" t="s">
        <v>147</v>
      </c>
      <c r="B604" s="1"/>
      <c r="C604" s="1"/>
      <c r="D604" s="1" t="s">
        <v>149</v>
      </c>
      <c r="E604" t="s">
        <v>136</v>
      </c>
    </row>
    <row r="605" spans="1:5" x14ac:dyDescent="0.35">
      <c r="A605" s="1" t="s">
        <v>147</v>
      </c>
      <c r="B605" s="1"/>
      <c r="C605" s="1" t="s">
        <v>150</v>
      </c>
      <c r="D605" s="1" t="s">
        <v>146</v>
      </c>
      <c r="E605" t="s">
        <v>136</v>
      </c>
    </row>
    <row r="606" spans="1:5" x14ac:dyDescent="0.35">
      <c r="A606" s="1" t="s">
        <v>147</v>
      </c>
      <c r="B606" s="1"/>
      <c r="C606" s="1"/>
      <c r="D606" s="1" t="s">
        <v>148</v>
      </c>
      <c r="E606" t="s">
        <v>136</v>
      </c>
    </row>
    <row r="607" spans="1:5" x14ac:dyDescent="0.35">
      <c r="A607" s="1" t="s">
        <v>147</v>
      </c>
      <c r="B607" s="1"/>
      <c r="C607" s="1"/>
      <c r="D607" s="1" t="s">
        <v>149</v>
      </c>
      <c r="E607" t="s">
        <v>136</v>
      </c>
    </row>
    <row r="608" spans="1:5" x14ac:dyDescent="0.35">
      <c r="A608" s="1" t="s">
        <v>147</v>
      </c>
      <c r="B608" s="1" t="s">
        <v>167</v>
      </c>
      <c r="C608" s="1" t="s">
        <v>145</v>
      </c>
      <c r="D608" s="1" t="s">
        <v>146</v>
      </c>
      <c r="E608" t="s">
        <v>136</v>
      </c>
    </row>
    <row r="609" spans="1:5" x14ac:dyDescent="0.35">
      <c r="A609" s="1" t="s">
        <v>147</v>
      </c>
      <c r="B609" s="1"/>
      <c r="C609" s="1"/>
      <c r="D609" s="1" t="s">
        <v>148</v>
      </c>
      <c r="E609" t="s">
        <v>136</v>
      </c>
    </row>
    <row r="610" spans="1:5" x14ac:dyDescent="0.35">
      <c r="A610" s="1" t="s">
        <v>147</v>
      </c>
      <c r="B610" s="1"/>
      <c r="C610" s="1"/>
      <c r="D610" s="1" t="s">
        <v>149</v>
      </c>
      <c r="E610" t="s">
        <v>136</v>
      </c>
    </row>
    <row r="611" spans="1:5" x14ac:dyDescent="0.35">
      <c r="A611" s="1" t="s">
        <v>147</v>
      </c>
      <c r="B611" s="1"/>
      <c r="C611" s="1" t="s">
        <v>150</v>
      </c>
      <c r="D611" s="1" t="s">
        <v>146</v>
      </c>
      <c r="E611" t="s">
        <v>136</v>
      </c>
    </row>
    <row r="612" spans="1:5" x14ac:dyDescent="0.35">
      <c r="A612" s="1" t="s">
        <v>147</v>
      </c>
      <c r="B612" s="1"/>
      <c r="C612" s="1"/>
      <c r="D612" s="1" t="s">
        <v>148</v>
      </c>
      <c r="E612" t="s">
        <v>136</v>
      </c>
    </row>
    <row r="613" spans="1:5" x14ac:dyDescent="0.35">
      <c r="A613" s="1" t="s">
        <v>147</v>
      </c>
      <c r="B613" s="1"/>
      <c r="C613" s="1"/>
      <c r="D613" s="1" t="s">
        <v>149</v>
      </c>
      <c r="E613" t="s">
        <v>136</v>
      </c>
    </row>
    <row r="614" spans="1:5" x14ac:dyDescent="0.35">
      <c r="A614" s="1" t="s">
        <v>147</v>
      </c>
      <c r="B614" s="1" t="s">
        <v>168</v>
      </c>
      <c r="C614" s="1" t="s">
        <v>145</v>
      </c>
      <c r="D614" s="1" t="s">
        <v>146</v>
      </c>
      <c r="E614" t="s">
        <v>136</v>
      </c>
    </row>
    <row r="615" spans="1:5" x14ac:dyDescent="0.35">
      <c r="A615" s="1" t="s">
        <v>147</v>
      </c>
      <c r="B615" s="1"/>
      <c r="C615" s="1"/>
      <c r="D615" s="1" t="s">
        <v>148</v>
      </c>
      <c r="E615" t="s">
        <v>136</v>
      </c>
    </row>
    <row r="616" spans="1:5" x14ac:dyDescent="0.35">
      <c r="A616" s="1" t="s">
        <v>147</v>
      </c>
      <c r="B616" s="1"/>
      <c r="C616" s="1"/>
      <c r="D616" s="1" t="s">
        <v>149</v>
      </c>
      <c r="E616" t="s">
        <v>136</v>
      </c>
    </row>
    <row r="617" spans="1:5" x14ac:dyDescent="0.35">
      <c r="A617" s="1" t="s">
        <v>147</v>
      </c>
      <c r="B617" s="1"/>
      <c r="C617" s="1" t="s">
        <v>150</v>
      </c>
      <c r="D617" s="1" t="s">
        <v>146</v>
      </c>
      <c r="E617" t="s">
        <v>136</v>
      </c>
    </row>
    <row r="618" spans="1:5" x14ac:dyDescent="0.35">
      <c r="A618" s="1" t="s">
        <v>147</v>
      </c>
      <c r="B618" s="1"/>
      <c r="C618" s="1"/>
      <c r="D618" s="1" t="s">
        <v>148</v>
      </c>
      <c r="E618" t="s">
        <v>136</v>
      </c>
    </row>
    <row r="619" spans="1:5" x14ac:dyDescent="0.35">
      <c r="A619" s="1" t="s">
        <v>147</v>
      </c>
      <c r="B619" s="1"/>
      <c r="C619" s="1"/>
      <c r="D619" s="1" t="s">
        <v>149</v>
      </c>
      <c r="E619" t="s">
        <v>136</v>
      </c>
    </row>
    <row r="620" spans="1:5" x14ac:dyDescent="0.35">
      <c r="A620" s="1" t="s">
        <v>147</v>
      </c>
      <c r="B620" s="1" t="s">
        <v>169</v>
      </c>
      <c r="C620" s="1" t="s">
        <v>145</v>
      </c>
      <c r="D620" s="1" t="s">
        <v>146</v>
      </c>
      <c r="E620" t="s">
        <v>136</v>
      </c>
    </row>
    <row r="621" spans="1:5" x14ac:dyDescent="0.35">
      <c r="A621" s="1" t="s">
        <v>147</v>
      </c>
      <c r="B621" s="1"/>
      <c r="C621" s="1"/>
      <c r="D621" s="1" t="s">
        <v>148</v>
      </c>
      <c r="E621" t="s">
        <v>136</v>
      </c>
    </row>
    <row r="622" spans="1:5" x14ac:dyDescent="0.35">
      <c r="A622" s="1" t="s">
        <v>147</v>
      </c>
      <c r="B622" s="1"/>
      <c r="C622" s="1"/>
      <c r="D622" s="1" t="s">
        <v>149</v>
      </c>
      <c r="E622" t="s">
        <v>136</v>
      </c>
    </row>
    <row r="623" spans="1:5" x14ac:dyDescent="0.35">
      <c r="A623" s="1" t="s">
        <v>147</v>
      </c>
      <c r="B623" s="1"/>
      <c r="C623" s="1" t="s">
        <v>150</v>
      </c>
      <c r="D623" s="1" t="s">
        <v>146</v>
      </c>
      <c r="E623" t="s">
        <v>136</v>
      </c>
    </row>
    <row r="624" spans="1:5" x14ac:dyDescent="0.35">
      <c r="A624" s="1" t="s">
        <v>147</v>
      </c>
      <c r="B624" s="1"/>
      <c r="C624" s="1"/>
      <c r="D624" s="1" t="s">
        <v>148</v>
      </c>
      <c r="E624" t="s">
        <v>136</v>
      </c>
    </row>
    <row r="625" spans="1:5" x14ac:dyDescent="0.35">
      <c r="A625" s="1" t="s">
        <v>147</v>
      </c>
      <c r="B625" s="1"/>
      <c r="C625" s="1"/>
      <c r="D625" s="1" t="s">
        <v>149</v>
      </c>
      <c r="E625" t="s">
        <v>136</v>
      </c>
    </row>
    <row r="626" spans="1:5" x14ac:dyDescent="0.35">
      <c r="A626" s="1" t="s">
        <v>147</v>
      </c>
      <c r="B626" s="1" t="s">
        <v>170</v>
      </c>
      <c r="C626" s="1" t="s">
        <v>145</v>
      </c>
      <c r="D626" s="1" t="s">
        <v>146</v>
      </c>
      <c r="E626" t="s">
        <v>136</v>
      </c>
    </row>
    <row r="627" spans="1:5" x14ac:dyDescent="0.35">
      <c r="A627" s="1" t="s">
        <v>147</v>
      </c>
      <c r="B627" s="1"/>
      <c r="C627" s="1"/>
      <c r="D627" s="1" t="s">
        <v>148</v>
      </c>
      <c r="E627" t="s">
        <v>136</v>
      </c>
    </row>
    <row r="628" spans="1:5" x14ac:dyDescent="0.35">
      <c r="A628" s="1" t="s">
        <v>147</v>
      </c>
      <c r="B628" s="1"/>
      <c r="C628" s="1"/>
      <c r="D628" s="1" t="s">
        <v>149</v>
      </c>
      <c r="E628" t="s">
        <v>136</v>
      </c>
    </row>
    <row r="629" spans="1:5" x14ac:dyDescent="0.35">
      <c r="A629" s="1" t="s">
        <v>147</v>
      </c>
      <c r="B629" s="1"/>
      <c r="C629" s="1" t="s">
        <v>150</v>
      </c>
      <c r="D629" s="1" t="s">
        <v>146</v>
      </c>
      <c r="E629" t="s">
        <v>136</v>
      </c>
    </row>
    <row r="630" spans="1:5" x14ac:dyDescent="0.35">
      <c r="A630" s="1" t="s">
        <v>147</v>
      </c>
      <c r="B630" s="1"/>
      <c r="C630" s="1"/>
      <c r="D630" s="1" t="s">
        <v>148</v>
      </c>
      <c r="E630" t="s">
        <v>136</v>
      </c>
    </row>
    <row r="631" spans="1:5" x14ac:dyDescent="0.35">
      <c r="A631" s="1" t="s">
        <v>147</v>
      </c>
      <c r="B631" s="1"/>
      <c r="C631" s="1"/>
      <c r="D631" s="1" t="s">
        <v>149</v>
      </c>
      <c r="E631" t="s">
        <v>136</v>
      </c>
    </row>
    <row r="632" spans="1:5" x14ac:dyDescent="0.35">
      <c r="A632" s="1" t="s">
        <v>32</v>
      </c>
      <c r="B632" s="1" t="s">
        <v>144</v>
      </c>
      <c r="C632" s="1" t="s">
        <v>145</v>
      </c>
      <c r="D632" s="1" t="s">
        <v>146</v>
      </c>
      <c r="E632">
        <v>76.81</v>
      </c>
    </row>
    <row r="633" spans="1:5" x14ac:dyDescent="0.35">
      <c r="A633" s="1" t="s">
        <v>147</v>
      </c>
      <c r="B633" s="1"/>
      <c r="C633" s="1"/>
      <c r="D633" s="1" t="s">
        <v>148</v>
      </c>
      <c r="E633">
        <v>69.58</v>
      </c>
    </row>
    <row r="634" spans="1:5" x14ac:dyDescent="0.35">
      <c r="A634" s="1" t="s">
        <v>147</v>
      </c>
      <c r="B634" s="1"/>
      <c r="C634" s="1"/>
      <c r="D634" s="1" t="s">
        <v>149</v>
      </c>
      <c r="E634">
        <v>7.23</v>
      </c>
    </row>
    <row r="635" spans="1:5" x14ac:dyDescent="0.35">
      <c r="A635" s="1" t="s">
        <v>147</v>
      </c>
      <c r="B635" s="1"/>
      <c r="C635" s="1" t="s">
        <v>150</v>
      </c>
      <c r="D635" s="1" t="s">
        <v>146</v>
      </c>
      <c r="E635" t="s">
        <v>136</v>
      </c>
    </row>
    <row r="636" spans="1:5" x14ac:dyDescent="0.35">
      <c r="A636" s="1" t="s">
        <v>147</v>
      </c>
      <c r="B636" s="1"/>
      <c r="C636" s="1"/>
      <c r="D636" s="1" t="s">
        <v>148</v>
      </c>
      <c r="E636" t="s">
        <v>136</v>
      </c>
    </row>
    <row r="637" spans="1:5" x14ac:dyDescent="0.35">
      <c r="A637" s="1" t="s">
        <v>147</v>
      </c>
      <c r="B637" s="1"/>
      <c r="C637" s="1"/>
      <c r="D637" s="1" t="s">
        <v>149</v>
      </c>
      <c r="E637" t="s">
        <v>136</v>
      </c>
    </row>
    <row r="638" spans="1:5" x14ac:dyDescent="0.35">
      <c r="A638" s="1" t="s">
        <v>147</v>
      </c>
      <c r="B638" s="1" t="s">
        <v>151</v>
      </c>
      <c r="C638" s="1" t="s">
        <v>145</v>
      </c>
      <c r="D638" s="1" t="s">
        <v>146</v>
      </c>
      <c r="E638">
        <v>9.5299999999999994</v>
      </c>
    </row>
    <row r="639" spans="1:5" x14ac:dyDescent="0.35">
      <c r="A639" s="1" t="s">
        <v>147</v>
      </c>
      <c r="B639" s="1"/>
      <c r="C639" s="1"/>
      <c r="D639" s="1" t="s">
        <v>148</v>
      </c>
      <c r="E639">
        <v>7.9</v>
      </c>
    </row>
    <row r="640" spans="1:5" x14ac:dyDescent="0.35">
      <c r="A640" s="1" t="s">
        <v>147</v>
      </c>
      <c r="B640" s="1"/>
      <c r="C640" s="1"/>
      <c r="D640" s="1" t="s">
        <v>149</v>
      </c>
      <c r="E640">
        <v>1.63</v>
      </c>
    </row>
    <row r="641" spans="1:5" x14ac:dyDescent="0.35">
      <c r="A641" s="1" t="s">
        <v>147</v>
      </c>
      <c r="B641" s="1"/>
      <c r="C641" s="1" t="s">
        <v>150</v>
      </c>
      <c r="D641" s="1" t="s">
        <v>146</v>
      </c>
      <c r="E641" t="s">
        <v>136</v>
      </c>
    </row>
    <row r="642" spans="1:5" x14ac:dyDescent="0.35">
      <c r="A642" s="1" t="s">
        <v>147</v>
      </c>
      <c r="B642" s="1"/>
      <c r="C642" s="1"/>
      <c r="D642" s="1" t="s">
        <v>148</v>
      </c>
      <c r="E642" t="s">
        <v>136</v>
      </c>
    </row>
    <row r="643" spans="1:5" x14ac:dyDescent="0.35">
      <c r="A643" s="1" t="s">
        <v>147</v>
      </c>
      <c r="B643" s="1"/>
      <c r="C643" s="1"/>
      <c r="D643" s="1" t="s">
        <v>149</v>
      </c>
      <c r="E643" t="s">
        <v>136</v>
      </c>
    </row>
    <row r="644" spans="1:5" x14ac:dyDescent="0.35">
      <c r="A644" s="1" t="s">
        <v>147</v>
      </c>
      <c r="B644" s="1" t="s">
        <v>152</v>
      </c>
      <c r="C644" s="1" t="s">
        <v>145</v>
      </c>
      <c r="D644" s="1" t="s">
        <v>146</v>
      </c>
      <c r="E644" t="s">
        <v>136</v>
      </c>
    </row>
    <row r="645" spans="1:5" x14ac:dyDescent="0.35">
      <c r="A645" s="1" t="s">
        <v>147</v>
      </c>
      <c r="B645" s="1"/>
      <c r="C645" s="1"/>
      <c r="D645" s="1" t="s">
        <v>148</v>
      </c>
      <c r="E645" t="s">
        <v>136</v>
      </c>
    </row>
    <row r="646" spans="1:5" x14ac:dyDescent="0.35">
      <c r="A646" s="1" t="s">
        <v>147</v>
      </c>
      <c r="B646" s="1"/>
      <c r="C646" s="1"/>
      <c r="D646" s="1" t="s">
        <v>149</v>
      </c>
      <c r="E646" t="s">
        <v>136</v>
      </c>
    </row>
    <row r="647" spans="1:5" x14ac:dyDescent="0.35">
      <c r="A647" s="1" t="s">
        <v>147</v>
      </c>
      <c r="B647" s="1"/>
      <c r="C647" s="1" t="s">
        <v>150</v>
      </c>
      <c r="D647" s="1" t="s">
        <v>146</v>
      </c>
      <c r="E647" t="s">
        <v>136</v>
      </c>
    </row>
    <row r="648" spans="1:5" x14ac:dyDescent="0.35">
      <c r="A648" s="1" t="s">
        <v>147</v>
      </c>
      <c r="B648" s="1"/>
      <c r="C648" s="1"/>
      <c r="D648" s="1" t="s">
        <v>148</v>
      </c>
      <c r="E648" t="s">
        <v>136</v>
      </c>
    </row>
    <row r="649" spans="1:5" x14ac:dyDescent="0.35">
      <c r="A649" s="1" t="s">
        <v>147</v>
      </c>
      <c r="B649" s="1"/>
      <c r="C649" s="1"/>
      <c r="D649" s="1" t="s">
        <v>149</v>
      </c>
      <c r="E649" t="s">
        <v>136</v>
      </c>
    </row>
    <row r="650" spans="1:5" x14ac:dyDescent="0.35">
      <c r="A650" s="1" t="s">
        <v>147</v>
      </c>
      <c r="B650" s="1" t="s">
        <v>153</v>
      </c>
      <c r="C650" s="1" t="s">
        <v>145</v>
      </c>
      <c r="D650" s="1" t="s">
        <v>146</v>
      </c>
      <c r="E650" t="s">
        <v>136</v>
      </c>
    </row>
    <row r="651" spans="1:5" x14ac:dyDescent="0.35">
      <c r="A651" s="1" t="s">
        <v>147</v>
      </c>
      <c r="B651" s="1"/>
      <c r="C651" s="1"/>
      <c r="D651" s="1" t="s">
        <v>148</v>
      </c>
      <c r="E651" t="s">
        <v>136</v>
      </c>
    </row>
    <row r="652" spans="1:5" x14ac:dyDescent="0.35">
      <c r="A652" s="1" t="s">
        <v>147</v>
      </c>
      <c r="B652" s="1"/>
      <c r="C652" s="1"/>
      <c r="D652" s="1" t="s">
        <v>149</v>
      </c>
      <c r="E652" t="s">
        <v>136</v>
      </c>
    </row>
    <row r="653" spans="1:5" x14ac:dyDescent="0.35">
      <c r="A653" s="1" t="s">
        <v>147</v>
      </c>
      <c r="B653" s="1"/>
      <c r="C653" s="1" t="s">
        <v>150</v>
      </c>
      <c r="D653" s="1" t="s">
        <v>146</v>
      </c>
      <c r="E653" t="s">
        <v>136</v>
      </c>
    </row>
    <row r="654" spans="1:5" x14ac:dyDescent="0.35">
      <c r="A654" s="1" t="s">
        <v>147</v>
      </c>
      <c r="B654" s="1"/>
      <c r="C654" s="1"/>
      <c r="D654" s="1" t="s">
        <v>148</v>
      </c>
      <c r="E654" t="s">
        <v>136</v>
      </c>
    </row>
    <row r="655" spans="1:5" x14ac:dyDescent="0.35">
      <c r="A655" s="1" t="s">
        <v>147</v>
      </c>
      <c r="B655" s="1"/>
      <c r="C655" s="1"/>
      <c r="D655" s="1" t="s">
        <v>149</v>
      </c>
      <c r="E655" t="s">
        <v>136</v>
      </c>
    </row>
    <row r="656" spans="1:5" x14ac:dyDescent="0.35">
      <c r="A656" s="1" t="s">
        <v>147</v>
      </c>
      <c r="B656" s="1" t="s">
        <v>154</v>
      </c>
      <c r="C656" s="1" t="s">
        <v>145</v>
      </c>
      <c r="D656" s="1" t="s">
        <v>146</v>
      </c>
      <c r="E656" t="s">
        <v>136</v>
      </c>
    </row>
    <row r="657" spans="1:5" x14ac:dyDescent="0.35">
      <c r="A657" s="1" t="s">
        <v>147</v>
      </c>
      <c r="B657" s="1"/>
      <c r="C657" s="1"/>
      <c r="D657" s="1" t="s">
        <v>148</v>
      </c>
      <c r="E657" t="s">
        <v>136</v>
      </c>
    </row>
    <row r="658" spans="1:5" x14ac:dyDescent="0.35">
      <c r="A658" s="1" t="s">
        <v>147</v>
      </c>
      <c r="B658" s="1"/>
      <c r="C658" s="1"/>
      <c r="D658" s="1" t="s">
        <v>149</v>
      </c>
      <c r="E658" t="s">
        <v>136</v>
      </c>
    </row>
    <row r="659" spans="1:5" x14ac:dyDescent="0.35">
      <c r="A659" s="1" t="s">
        <v>147</v>
      </c>
      <c r="B659" s="1"/>
      <c r="C659" s="1" t="s">
        <v>150</v>
      </c>
      <c r="D659" s="1" t="s">
        <v>146</v>
      </c>
      <c r="E659" t="s">
        <v>136</v>
      </c>
    </row>
    <row r="660" spans="1:5" x14ac:dyDescent="0.35">
      <c r="A660" s="1" t="s">
        <v>147</v>
      </c>
      <c r="B660" s="1"/>
      <c r="C660" s="1"/>
      <c r="D660" s="1" t="s">
        <v>148</v>
      </c>
      <c r="E660" t="s">
        <v>136</v>
      </c>
    </row>
    <row r="661" spans="1:5" x14ac:dyDescent="0.35">
      <c r="A661" s="1" t="s">
        <v>147</v>
      </c>
      <c r="B661" s="1"/>
      <c r="C661" s="1"/>
      <c r="D661" s="1" t="s">
        <v>149</v>
      </c>
      <c r="E661" t="s">
        <v>136</v>
      </c>
    </row>
    <row r="662" spans="1:5" x14ac:dyDescent="0.35">
      <c r="A662" s="1" t="s">
        <v>147</v>
      </c>
      <c r="B662" s="1" t="s">
        <v>155</v>
      </c>
      <c r="C662" s="1" t="s">
        <v>145</v>
      </c>
      <c r="D662" s="1" t="s">
        <v>146</v>
      </c>
      <c r="E662">
        <v>63.28</v>
      </c>
    </row>
    <row r="663" spans="1:5" x14ac:dyDescent="0.35">
      <c r="A663" s="1" t="s">
        <v>147</v>
      </c>
      <c r="B663" s="1"/>
      <c r="C663" s="1"/>
      <c r="D663" s="1" t="s">
        <v>148</v>
      </c>
      <c r="E663">
        <v>61.68</v>
      </c>
    </row>
    <row r="664" spans="1:5" x14ac:dyDescent="0.35">
      <c r="A664" s="1" t="s">
        <v>147</v>
      </c>
      <c r="B664" s="1"/>
      <c r="C664" s="1"/>
      <c r="D664" s="1" t="s">
        <v>149</v>
      </c>
      <c r="E664">
        <v>1.6</v>
      </c>
    </row>
    <row r="665" spans="1:5" x14ac:dyDescent="0.35">
      <c r="A665" s="1" t="s">
        <v>147</v>
      </c>
      <c r="B665" s="1"/>
      <c r="C665" s="1" t="s">
        <v>150</v>
      </c>
      <c r="D665" s="1" t="s">
        <v>146</v>
      </c>
      <c r="E665" t="s">
        <v>136</v>
      </c>
    </row>
    <row r="666" spans="1:5" x14ac:dyDescent="0.35">
      <c r="A666" s="1" t="s">
        <v>147</v>
      </c>
      <c r="B666" s="1"/>
      <c r="C666" s="1"/>
      <c r="D666" s="1" t="s">
        <v>148</v>
      </c>
      <c r="E666" t="s">
        <v>136</v>
      </c>
    </row>
    <row r="667" spans="1:5" x14ac:dyDescent="0.35">
      <c r="A667" s="1" t="s">
        <v>147</v>
      </c>
      <c r="B667" s="1"/>
      <c r="C667" s="1"/>
      <c r="D667" s="1" t="s">
        <v>149</v>
      </c>
      <c r="E667" t="s">
        <v>136</v>
      </c>
    </row>
    <row r="668" spans="1:5" x14ac:dyDescent="0.35">
      <c r="A668" s="1" t="s">
        <v>147</v>
      </c>
      <c r="B668" s="1" t="s">
        <v>156</v>
      </c>
      <c r="C668" s="1" t="s">
        <v>145</v>
      </c>
      <c r="D668" s="1" t="s">
        <v>146</v>
      </c>
      <c r="E668" t="s">
        <v>136</v>
      </c>
    </row>
    <row r="669" spans="1:5" x14ac:dyDescent="0.35">
      <c r="A669" s="1" t="s">
        <v>147</v>
      </c>
      <c r="B669" s="1"/>
      <c r="C669" s="1"/>
      <c r="D669" s="1" t="s">
        <v>148</v>
      </c>
      <c r="E669" t="s">
        <v>136</v>
      </c>
    </row>
    <row r="670" spans="1:5" x14ac:dyDescent="0.35">
      <c r="A670" s="1" t="s">
        <v>147</v>
      </c>
      <c r="B670" s="1"/>
      <c r="C670" s="1"/>
      <c r="D670" s="1" t="s">
        <v>149</v>
      </c>
      <c r="E670" t="s">
        <v>136</v>
      </c>
    </row>
    <row r="671" spans="1:5" x14ac:dyDescent="0.35">
      <c r="A671" s="1" t="s">
        <v>147</v>
      </c>
      <c r="B671" s="1"/>
      <c r="C671" s="1" t="s">
        <v>150</v>
      </c>
      <c r="D671" s="1" t="s">
        <v>146</v>
      </c>
      <c r="E671" t="s">
        <v>136</v>
      </c>
    </row>
    <row r="672" spans="1:5" x14ac:dyDescent="0.35">
      <c r="A672" s="1" t="s">
        <v>147</v>
      </c>
      <c r="B672" s="1"/>
      <c r="C672" s="1"/>
      <c r="D672" s="1" t="s">
        <v>148</v>
      </c>
      <c r="E672" t="s">
        <v>136</v>
      </c>
    </row>
    <row r="673" spans="1:5" x14ac:dyDescent="0.35">
      <c r="A673" s="1" t="s">
        <v>147</v>
      </c>
      <c r="B673" s="1"/>
      <c r="C673" s="1"/>
      <c r="D673" s="1" t="s">
        <v>149</v>
      </c>
      <c r="E673" t="s">
        <v>136</v>
      </c>
    </row>
    <row r="674" spans="1:5" x14ac:dyDescent="0.35">
      <c r="A674" s="1" t="s">
        <v>147</v>
      </c>
      <c r="B674" s="1" t="s">
        <v>157</v>
      </c>
      <c r="C674" s="1" t="s">
        <v>145</v>
      </c>
      <c r="D674" s="1" t="s">
        <v>146</v>
      </c>
      <c r="E674" t="s">
        <v>136</v>
      </c>
    </row>
    <row r="675" spans="1:5" x14ac:dyDescent="0.35">
      <c r="A675" s="1" t="s">
        <v>147</v>
      </c>
      <c r="B675" s="1"/>
      <c r="C675" s="1"/>
      <c r="D675" s="1" t="s">
        <v>148</v>
      </c>
      <c r="E675" t="s">
        <v>136</v>
      </c>
    </row>
    <row r="676" spans="1:5" x14ac:dyDescent="0.35">
      <c r="A676" s="1" t="s">
        <v>147</v>
      </c>
      <c r="B676" s="1"/>
      <c r="C676" s="1"/>
      <c r="D676" s="1" t="s">
        <v>149</v>
      </c>
      <c r="E676" t="s">
        <v>136</v>
      </c>
    </row>
    <row r="677" spans="1:5" x14ac:dyDescent="0.35">
      <c r="A677" s="1" t="s">
        <v>147</v>
      </c>
      <c r="B677" s="1"/>
      <c r="C677" s="1" t="s">
        <v>150</v>
      </c>
      <c r="D677" s="1" t="s">
        <v>146</v>
      </c>
      <c r="E677" t="s">
        <v>136</v>
      </c>
    </row>
    <row r="678" spans="1:5" x14ac:dyDescent="0.35">
      <c r="A678" s="1" t="s">
        <v>147</v>
      </c>
      <c r="B678" s="1"/>
      <c r="C678" s="1"/>
      <c r="D678" s="1" t="s">
        <v>148</v>
      </c>
      <c r="E678" t="s">
        <v>136</v>
      </c>
    </row>
    <row r="679" spans="1:5" x14ac:dyDescent="0.35">
      <c r="A679" s="1" t="s">
        <v>147</v>
      </c>
      <c r="B679" s="1"/>
      <c r="C679" s="1"/>
      <c r="D679" s="1" t="s">
        <v>149</v>
      </c>
      <c r="E679" t="s">
        <v>136</v>
      </c>
    </row>
    <row r="680" spans="1:5" x14ac:dyDescent="0.35">
      <c r="A680" s="1" t="s">
        <v>147</v>
      </c>
      <c r="B680" s="1" t="s">
        <v>158</v>
      </c>
      <c r="C680" s="1" t="s">
        <v>145</v>
      </c>
      <c r="D680" s="1" t="s">
        <v>146</v>
      </c>
      <c r="E680">
        <v>4</v>
      </c>
    </row>
    <row r="681" spans="1:5" x14ac:dyDescent="0.35">
      <c r="A681" s="1" t="s">
        <v>147</v>
      </c>
      <c r="B681" s="1"/>
      <c r="C681" s="1"/>
      <c r="D681" s="1" t="s">
        <v>148</v>
      </c>
      <c r="E681" t="s">
        <v>136</v>
      </c>
    </row>
    <row r="682" spans="1:5" x14ac:dyDescent="0.35">
      <c r="A682" s="1" t="s">
        <v>147</v>
      </c>
      <c r="B682" s="1"/>
      <c r="C682" s="1"/>
      <c r="D682" s="1" t="s">
        <v>149</v>
      </c>
      <c r="E682">
        <v>4</v>
      </c>
    </row>
    <row r="683" spans="1:5" x14ac:dyDescent="0.35">
      <c r="A683" s="1" t="s">
        <v>147</v>
      </c>
      <c r="B683" s="1"/>
      <c r="C683" s="1" t="s">
        <v>150</v>
      </c>
      <c r="D683" s="1" t="s">
        <v>146</v>
      </c>
      <c r="E683" t="s">
        <v>136</v>
      </c>
    </row>
    <row r="684" spans="1:5" x14ac:dyDescent="0.35">
      <c r="A684" s="1" t="s">
        <v>147</v>
      </c>
      <c r="B684" s="1"/>
      <c r="C684" s="1"/>
      <c r="D684" s="1" t="s">
        <v>148</v>
      </c>
      <c r="E684" t="s">
        <v>136</v>
      </c>
    </row>
    <row r="685" spans="1:5" x14ac:dyDescent="0.35">
      <c r="A685" s="1" t="s">
        <v>147</v>
      </c>
      <c r="B685" s="1"/>
      <c r="C685" s="1"/>
      <c r="D685" s="1" t="s">
        <v>149</v>
      </c>
      <c r="E685" t="s">
        <v>136</v>
      </c>
    </row>
    <row r="686" spans="1:5" x14ac:dyDescent="0.35">
      <c r="A686" s="1" t="s">
        <v>147</v>
      </c>
      <c r="B686" s="1" t="s">
        <v>159</v>
      </c>
      <c r="C686" s="1" t="s">
        <v>145</v>
      </c>
      <c r="D686" s="1" t="s">
        <v>146</v>
      </c>
      <c r="E686" t="s">
        <v>136</v>
      </c>
    </row>
    <row r="687" spans="1:5" x14ac:dyDescent="0.35">
      <c r="A687" s="1" t="s">
        <v>147</v>
      </c>
      <c r="B687" s="1"/>
      <c r="C687" s="1"/>
      <c r="D687" s="1" t="s">
        <v>148</v>
      </c>
      <c r="E687" t="s">
        <v>136</v>
      </c>
    </row>
    <row r="688" spans="1:5" x14ac:dyDescent="0.35">
      <c r="A688" s="1" t="s">
        <v>147</v>
      </c>
      <c r="B688" s="1"/>
      <c r="C688" s="1"/>
      <c r="D688" s="1" t="s">
        <v>149</v>
      </c>
      <c r="E688" t="s">
        <v>136</v>
      </c>
    </row>
    <row r="689" spans="1:5" x14ac:dyDescent="0.35">
      <c r="A689" s="1" t="s">
        <v>147</v>
      </c>
      <c r="B689" s="1"/>
      <c r="C689" s="1" t="s">
        <v>150</v>
      </c>
      <c r="D689" s="1" t="s">
        <v>146</v>
      </c>
      <c r="E689" t="s">
        <v>136</v>
      </c>
    </row>
    <row r="690" spans="1:5" x14ac:dyDescent="0.35">
      <c r="A690" s="1" t="s">
        <v>147</v>
      </c>
      <c r="B690" s="1"/>
      <c r="C690" s="1"/>
      <c r="D690" s="1" t="s">
        <v>148</v>
      </c>
      <c r="E690" t="s">
        <v>136</v>
      </c>
    </row>
    <row r="691" spans="1:5" x14ac:dyDescent="0.35">
      <c r="A691" s="1" t="s">
        <v>147</v>
      </c>
      <c r="B691" s="1"/>
      <c r="C691" s="1"/>
      <c r="D691" s="1" t="s">
        <v>149</v>
      </c>
      <c r="E691" t="s">
        <v>136</v>
      </c>
    </row>
    <row r="692" spans="1:5" x14ac:dyDescent="0.35">
      <c r="A692" s="1" t="s">
        <v>147</v>
      </c>
      <c r="B692" s="1" t="s">
        <v>160</v>
      </c>
      <c r="C692" s="1" t="s">
        <v>145</v>
      </c>
      <c r="D692" s="1" t="s">
        <v>146</v>
      </c>
      <c r="E692" t="s">
        <v>136</v>
      </c>
    </row>
    <row r="693" spans="1:5" x14ac:dyDescent="0.35">
      <c r="A693" s="1" t="s">
        <v>147</v>
      </c>
      <c r="B693" s="1"/>
      <c r="C693" s="1"/>
      <c r="D693" s="1" t="s">
        <v>148</v>
      </c>
      <c r="E693" t="s">
        <v>136</v>
      </c>
    </row>
    <row r="694" spans="1:5" x14ac:dyDescent="0.35">
      <c r="A694" s="1" t="s">
        <v>147</v>
      </c>
      <c r="B694" s="1"/>
      <c r="C694" s="1"/>
      <c r="D694" s="1" t="s">
        <v>149</v>
      </c>
      <c r="E694" t="s">
        <v>136</v>
      </c>
    </row>
    <row r="695" spans="1:5" x14ac:dyDescent="0.35">
      <c r="A695" s="1" t="s">
        <v>147</v>
      </c>
      <c r="B695" s="1"/>
      <c r="C695" s="1" t="s">
        <v>150</v>
      </c>
      <c r="D695" s="1" t="s">
        <v>146</v>
      </c>
      <c r="E695" t="s">
        <v>136</v>
      </c>
    </row>
    <row r="696" spans="1:5" x14ac:dyDescent="0.35">
      <c r="A696" s="1" t="s">
        <v>147</v>
      </c>
      <c r="B696" s="1"/>
      <c r="C696" s="1"/>
      <c r="D696" s="1" t="s">
        <v>148</v>
      </c>
      <c r="E696" t="s">
        <v>136</v>
      </c>
    </row>
    <row r="697" spans="1:5" x14ac:dyDescent="0.35">
      <c r="A697" s="1" t="s">
        <v>147</v>
      </c>
      <c r="B697" s="1"/>
      <c r="C697" s="1"/>
      <c r="D697" s="1" t="s">
        <v>149</v>
      </c>
      <c r="E697" t="s">
        <v>136</v>
      </c>
    </row>
    <row r="698" spans="1:5" x14ac:dyDescent="0.35">
      <c r="A698" s="1" t="s">
        <v>147</v>
      </c>
      <c r="B698" s="1" t="s">
        <v>161</v>
      </c>
      <c r="C698" s="1" t="s">
        <v>145</v>
      </c>
      <c r="D698" s="1" t="s">
        <v>146</v>
      </c>
      <c r="E698" t="s">
        <v>136</v>
      </c>
    </row>
    <row r="699" spans="1:5" x14ac:dyDescent="0.35">
      <c r="A699" s="1" t="s">
        <v>147</v>
      </c>
      <c r="B699" s="1"/>
      <c r="C699" s="1"/>
      <c r="D699" s="1" t="s">
        <v>148</v>
      </c>
      <c r="E699" t="s">
        <v>136</v>
      </c>
    </row>
    <row r="700" spans="1:5" x14ac:dyDescent="0.35">
      <c r="A700" s="1" t="s">
        <v>147</v>
      </c>
      <c r="B700" s="1"/>
      <c r="C700" s="1"/>
      <c r="D700" s="1" t="s">
        <v>149</v>
      </c>
      <c r="E700" t="s">
        <v>136</v>
      </c>
    </row>
    <row r="701" spans="1:5" x14ac:dyDescent="0.35">
      <c r="A701" s="1" t="s">
        <v>147</v>
      </c>
      <c r="B701" s="1"/>
      <c r="C701" s="1" t="s">
        <v>150</v>
      </c>
      <c r="D701" s="1" t="s">
        <v>146</v>
      </c>
      <c r="E701" t="s">
        <v>136</v>
      </c>
    </row>
    <row r="702" spans="1:5" x14ac:dyDescent="0.35">
      <c r="A702" s="1" t="s">
        <v>147</v>
      </c>
      <c r="B702" s="1"/>
      <c r="C702" s="1"/>
      <c r="D702" s="1" t="s">
        <v>148</v>
      </c>
      <c r="E702" t="s">
        <v>136</v>
      </c>
    </row>
    <row r="703" spans="1:5" x14ac:dyDescent="0.35">
      <c r="A703" s="1" t="s">
        <v>147</v>
      </c>
      <c r="B703" s="1"/>
      <c r="C703" s="1"/>
      <c r="D703" s="1" t="s">
        <v>149</v>
      </c>
      <c r="E703" t="s">
        <v>136</v>
      </c>
    </row>
    <row r="704" spans="1:5" x14ac:dyDescent="0.35">
      <c r="A704" s="1" t="s">
        <v>147</v>
      </c>
      <c r="B704" s="1" t="s">
        <v>162</v>
      </c>
      <c r="C704" s="1" t="s">
        <v>145</v>
      </c>
      <c r="D704" s="1" t="s">
        <v>146</v>
      </c>
      <c r="E704" t="s">
        <v>136</v>
      </c>
    </row>
    <row r="705" spans="1:5" x14ac:dyDescent="0.35">
      <c r="A705" s="1" t="s">
        <v>147</v>
      </c>
      <c r="B705" s="1"/>
      <c r="C705" s="1"/>
      <c r="D705" s="1" t="s">
        <v>148</v>
      </c>
      <c r="E705" t="s">
        <v>136</v>
      </c>
    </row>
    <row r="706" spans="1:5" x14ac:dyDescent="0.35">
      <c r="A706" s="1" t="s">
        <v>147</v>
      </c>
      <c r="B706" s="1"/>
      <c r="C706" s="1"/>
      <c r="D706" s="1" t="s">
        <v>149</v>
      </c>
      <c r="E706" t="s">
        <v>136</v>
      </c>
    </row>
    <row r="707" spans="1:5" x14ac:dyDescent="0.35">
      <c r="A707" s="1" t="s">
        <v>147</v>
      </c>
      <c r="B707" s="1"/>
      <c r="C707" s="1" t="s">
        <v>150</v>
      </c>
      <c r="D707" s="1" t="s">
        <v>146</v>
      </c>
      <c r="E707" t="s">
        <v>136</v>
      </c>
    </row>
    <row r="708" spans="1:5" x14ac:dyDescent="0.35">
      <c r="A708" s="1" t="s">
        <v>147</v>
      </c>
      <c r="B708" s="1"/>
      <c r="C708" s="1"/>
      <c r="D708" s="1" t="s">
        <v>148</v>
      </c>
      <c r="E708" t="s">
        <v>136</v>
      </c>
    </row>
    <row r="709" spans="1:5" x14ac:dyDescent="0.35">
      <c r="A709" s="1" t="s">
        <v>147</v>
      </c>
      <c r="B709" s="1"/>
      <c r="C709" s="1"/>
      <c r="D709" s="1" t="s">
        <v>149</v>
      </c>
      <c r="E709" t="s">
        <v>136</v>
      </c>
    </row>
    <row r="710" spans="1:5" x14ac:dyDescent="0.35">
      <c r="A710" s="1" t="s">
        <v>147</v>
      </c>
      <c r="B710" s="1" t="s">
        <v>163</v>
      </c>
      <c r="C710" s="1" t="s">
        <v>145</v>
      </c>
      <c r="D710" s="1" t="s">
        <v>146</v>
      </c>
      <c r="E710">
        <v>50.5</v>
      </c>
    </row>
    <row r="711" spans="1:5" x14ac:dyDescent="0.35">
      <c r="A711" s="1" t="s">
        <v>147</v>
      </c>
      <c r="B711" s="1"/>
      <c r="C711" s="1"/>
      <c r="D711" s="1" t="s">
        <v>148</v>
      </c>
      <c r="E711">
        <v>50.5</v>
      </c>
    </row>
    <row r="712" spans="1:5" x14ac:dyDescent="0.35">
      <c r="A712" s="1" t="s">
        <v>147</v>
      </c>
      <c r="B712" s="1"/>
      <c r="C712" s="1"/>
      <c r="D712" s="1" t="s">
        <v>149</v>
      </c>
      <c r="E712" t="s">
        <v>136</v>
      </c>
    </row>
    <row r="713" spans="1:5" x14ac:dyDescent="0.35">
      <c r="A713" s="1" t="s">
        <v>147</v>
      </c>
      <c r="B713" s="1"/>
      <c r="C713" s="1" t="s">
        <v>150</v>
      </c>
      <c r="D713" s="1" t="s">
        <v>146</v>
      </c>
      <c r="E713" t="s">
        <v>136</v>
      </c>
    </row>
    <row r="714" spans="1:5" x14ac:dyDescent="0.35">
      <c r="A714" s="1" t="s">
        <v>147</v>
      </c>
      <c r="B714" s="1"/>
      <c r="C714" s="1"/>
      <c r="D714" s="1" t="s">
        <v>148</v>
      </c>
      <c r="E714" t="s">
        <v>136</v>
      </c>
    </row>
    <row r="715" spans="1:5" x14ac:dyDescent="0.35">
      <c r="A715" s="1" t="s">
        <v>147</v>
      </c>
      <c r="B715" s="1"/>
      <c r="C715" s="1"/>
      <c r="D715" s="1" t="s">
        <v>149</v>
      </c>
      <c r="E715" t="s">
        <v>136</v>
      </c>
    </row>
    <row r="716" spans="1:5" x14ac:dyDescent="0.35">
      <c r="A716" s="1" t="s">
        <v>147</v>
      </c>
      <c r="B716" s="1" t="s">
        <v>164</v>
      </c>
      <c r="C716" s="1" t="s">
        <v>145</v>
      </c>
      <c r="D716" s="1" t="s">
        <v>146</v>
      </c>
      <c r="E716" t="s">
        <v>136</v>
      </c>
    </row>
    <row r="717" spans="1:5" x14ac:dyDescent="0.35">
      <c r="A717" s="1" t="s">
        <v>147</v>
      </c>
      <c r="B717" s="1"/>
      <c r="C717" s="1"/>
      <c r="D717" s="1" t="s">
        <v>148</v>
      </c>
      <c r="E717" t="s">
        <v>136</v>
      </c>
    </row>
    <row r="718" spans="1:5" x14ac:dyDescent="0.35">
      <c r="A718" s="1" t="s">
        <v>147</v>
      </c>
      <c r="B718" s="1"/>
      <c r="C718" s="1"/>
      <c r="D718" s="1" t="s">
        <v>149</v>
      </c>
      <c r="E718" t="s">
        <v>136</v>
      </c>
    </row>
    <row r="719" spans="1:5" x14ac:dyDescent="0.35">
      <c r="A719" s="1" t="s">
        <v>147</v>
      </c>
      <c r="B719" s="1"/>
      <c r="C719" s="1" t="s">
        <v>150</v>
      </c>
      <c r="D719" s="1" t="s">
        <v>146</v>
      </c>
      <c r="E719" t="s">
        <v>136</v>
      </c>
    </row>
    <row r="720" spans="1:5" x14ac:dyDescent="0.35">
      <c r="A720" s="1" t="s">
        <v>147</v>
      </c>
      <c r="B720" s="1"/>
      <c r="C720" s="1"/>
      <c r="D720" s="1" t="s">
        <v>148</v>
      </c>
      <c r="E720" t="s">
        <v>136</v>
      </c>
    </row>
    <row r="721" spans="1:5" x14ac:dyDescent="0.35">
      <c r="A721" s="1" t="s">
        <v>147</v>
      </c>
      <c r="B721" s="1"/>
      <c r="C721" s="1"/>
      <c r="D721" s="1" t="s">
        <v>149</v>
      </c>
      <c r="E721" t="s">
        <v>136</v>
      </c>
    </row>
    <row r="722" spans="1:5" x14ac:dyDescent="0.35">
      <c r="A722" s="1" t="s">
        <v>147</v>
      </c>
      <c r="B722" s="1" t="s">
        <v>165</v>
      </c>
      <c r="C722" s="1" t="s">
        <v>145</v>
      </c>
      <c r="D722" s="1" t="s">
        <v>146</v>
      </c>
      <c r="E722" t="s">
        <v>136</v>
      </c>
    </row>
    <row r="723" spans="1:5" x14ac:dyDescent="0.35">
      <c r="A723" s="1" t="s">
        <v>147</v>
      </c>
      <c r="B723" s="1"/>
      <c r="C723" s="1"/>
      <c r="D723" s="1" t="s">
        <v>148</v>
      </c>
      <c r="E723" t="s">
        <v>136</v>
      </c>
    </row>
    <row r="724" spans="1:5" x14ac:dyDescent="0.35">
      <c r="A724" s="1" t="s">
        <v>147</v>
      </c>
      <c r="B724" s="1"/>
      <c r="C724" s="1"/>
      <c r="D724" s="1" t="s">
        <v>149</v>
      </c>
      <c r="E724" t="s">
        <v>136</v>
      </c>
    </row>
    <row r="725" spans="1:5" x14ac:dyDescent="0.35">
      <c r="A725" s="1" t="s">
        <v>147</v>
      </c>
      <c r="B725" s="1"/>
      <c r="C725" s="1" t="s">
        <v>150</v>
      </c>
      <c r="D725" s="1" t="s">
        <v>146</v>
      </c>
      <c r="E725" t="s">
        <v>136</v>
      </c>
    </row>
    <row r="726" spans="1:5" x14ac:dyDescent="0.35">
      <c r="A726" s="1" t="s">
        <v>147</v>
      </c>
      <c r="B726" s="1"/>
      <c r="C726" s="1"/>
      <c r="D726" s="1" t="s">
        <v>148</v>
      </c>
      <c r="E726" t="s">
        <v>136</v>
      </c>
    </row>
    <row r="727" spans="1:5" x14ac:dyDescent="0.35">
      <c r="A727" s="1" t="s">
        <v>147</v>
      </c>
      <c r="B727" s="1"/>
      <c r="C727" s="1"/>
      <c r="D727" s="1" t="s">
        <v>149</v>
      </c>
      <c r="E727" t="s">
        <v>136</v>
      </c>
    </row>
    <row r="728" spans="1:5" x14ac:dyDescent="0.35">
      <c r="A728" s="1" t="s">
        <v>147</v>
      </c>
      <c r="B728" s="1" t="s">
        <v>166</v>
      </c>
      <c r="C728" s="1" t="s">
        <v>145</v>
      </c>
      <c r="D728" s="1" t="s">
        <v>146</v>
      </c>
      <c r="E728">
        <v>50.5</v>
      </c>
    </row>
    <row r="729" spans="1:5" x14ac:dyDescent="0.35">
      <c r="A729" s="1" t="s">
        <v>147</v>
      </c>
      <c r="B729" s="1"/>
      <c r="C729" s="1"/>
      <c r="D729" s="1" t="s">
        <v>148</v>
      </c>
      <c r="E729">
        <v>50.5</v>
      </c>
    </row>
    <row r="730" spans="1:5" x14ac:dyDescent="0.35">
      <c r="A730" s="1" t="s">
        <v>147</v>
      </c>
      <c r="B730" s="1"/>
      <c r="C730" s="1"/>
      <c r="D730" s="1" t="s">
        <v>149</v>
      </c>
      <c r="E730" t="s">
        <v>136</v>
      </c>
    </row>
    <row r="731" spans="1:5" x14ac:dyDescent="0.35">
      <c r="A731" s="1" t="s">
        <v>147</v>
      </c>
      <c r="B731" s="1"/>
      <c r="C731" s="1" t="s">
        <v>150</v>
      </c>
      <c r="D731" s="1" t="s">
        <v>146</v>
      </c>
      <c r="E731" t="s">
        <v>136</v>
      </c>
    </row>
    <row r="732" spans="1:5" x14ac:dyDescent="0.35">
      <c r="A732" s="1" t="s">
        <v>147</v>
      </c>
      <c r="B732" s="1"/>
      <c r="C732" s="1"/>
      <c r="D732" s="1" t="s">
        <v>148</v>
      </c>
      <c r="E732" t="s">
        <v>136</v>
      </c>
    </row>
    <row r="733" spans="1:5" x14ac:dyDescent="0.35">
      <c r="A733" s="1" t="s">
        <v>147</v>
      </c>
      <c r="B733" s="1"/>
      <c r="C733" s="1"/>
      <c r="D733" s="1" t="s">
        <v>149</v>
      </c>
      <c r="E733" t="s">
        <v>136</v>
      </c>
    </row>
    <row r="734" spans="1:5" x14ac:dyDescent="0.35">
      <c r="A734" s="1" t="s">
        <v>147</v>
      </c>
      <c r="B734" s="1" t="s">
        <v>167</v>
      </c>
      <c r="C734" s="1" t="s">
        <v>145</v>
      </c>
      <c r="D734" s="1" t="s">
        <v>146</v>
      </c>
      <c r="E734" t="s">
        <v>136</v>
      </c>
    </row>
    <row r="735" spans="1:5" x14ac:dyDescent="0.35">
      <c r="A735" s="1" t="s">
        <v>147</v>
      </c>
      <c r="B735" s="1"/>
      <c r="C735" s="1"/>
      <c r="D735" s="1" t="s">
        <v>148</v>
      </c>
      <c r="E735" t="s">
        <v>136</v>
      </c>
    </row>
    <row r="736" spans="1:5" x14ac:dyDescent="0.35">
      <c r="A736" s="1" t="s">
        <v>147</v>
      </c>
      <c r="B736" s="1"/>
      <c r="C736" s="1"/>
      <c r="D736" s="1" t="s">
        <v>149</v>
      </c>
      <c r="E736" t="s">
        <v>136</v>
      </c>
    </row>
    <row r="737" spans="1:5" x14ac:dyDescent="0.35">
      <c r="A737" s="1" t="s">
        <v>147</v>
      </c>
      <c r="B737" s="1"/>
      <c r="C737" s="1" t="s">
        <v>150</v>
      </c>
      <c r="D737" s="1" t="s">
        <v>146</v>
      </c>
      <c r="E737" t="s">
        <v>136</v>
      </c>
    </row>
    <row r="738" spans="1:5" x14ac:dyDescent="0.35">
      <c r="A738" s="1" t="s">
        <v>147</v>
      </c>
      <c r="B738" s="1"/>
      <c r="C738" s="1"/>
      <c r="D738" s="1" t="s">
        <v>148</v>
      </c>
      <c r="E738" t="s">
        <v>136</v>
      </c>
    </row>
    <row r="739" spans="1:5" x14ac:dyDescent="0.35">
      <c r="A739" s="1" t="s">
        <v>147</v>
      </c>
      <c r="B739" s="1"/>
      <c r="C739" s="1"/>
      <c r="D739" s="1" t="s">
        <v>149</v>
      </c>
      <c r="E739" t="s">
        <v>136</v>
      </c>
    </row>
    <row r="740" spans="1:5" x14ac:dyDescent="0.35">
      <c r="A740" s="1" t="s">
        <v>147</v>
      </c>
      <c r="B740" s="1" t="s">
        <v>168</v>
      </c>
      <c r="C740" s="1" t="s">
        <v>145</v>
      </c>
      <c r="D740" s="1" t="s">
        <v>146</v>
      </c>
      <c r="E740" t="s">
        <v>136</v>
      </c>
    </row>
    <row r="741" spans="1:5" x14ac:dyDescent="0.35">
      <c r="A741" s="1" t="s">
        <v>147</v>
      </c>
      <c r="B741" s="1"/>
      <c r="C741" s="1"/>
      <c r="D741" s="1" t="s">
        <v>148</v>
      </c>
      <c r="E741" t="s">
        <v>136</v>
      </c>
    </row>
    <row r="742" spans="1:5" x14ac:dyDescent="0.35">
      <c r="A742" s="1" t="s">
        <v>147</v>
      </c>
      <c r="B742" s="1"/>
      <c r="C742" s="1"/>
      <c r="D742" s="1" t="s">
        <v>149</v>
      </c>
      <c r="E742" t="s">
        <v>136</v>
      </c>
    </row>
    <row r="743" spans="1:5" x14ac:dyDescent="0.35">
      <c r="A743" s="1" t="s">
        <v>147</v>
      </c>
      <c r="B743" s="1"/>
      <c r="C743" s="1" t="s">
        <v>150</v>
      </c>
      <c r="D743" s="1" t="s">
        <v>146</v>
      </c>
      <c r="E743" t="s">
        <v>136</v>
      </c>
    </row>
    <row r="744" spans="1:5" x14ac:dyDescent="0.35">
      <c r="A744" s="1" t="s">
        <v>147</v>
      </c>
      <c r="B744" s="1"/>
      <c r="C744" s="1"/>
      <c r="D744" s="1" t="s">
        <v>148</v>
      </c>
      <c r="E744" t="s">
        <v>136</v>
      </c>
    </row>
    <row r="745" spans="1:5" x14ac:dyDescent="0.35">
      <c r="A745" s="1" t="s">
        <v>147</v>
      </c>
      <c r="B745" s="1"/>
      <c r="C745" s="1"/>
      <c r="D745" s="1" t="s">
        <v>149</v>
      </c>
      <c r="E745" t="s">
        <v>136</v>
      </c>
    </row>
    <row r="746" spans="1:5" x14ac:dyDescent="0.35">
      <c r="A746" s="1" t="s">
        <v>147</v>
      </c>
      <c r="B746" s="1" t="s">
        <v>169</v>
      </c>
      <c r="C746" s="1" t="s">
        <v>145</v>
      </c>
      <c r="D746" s="1" t="s">
        <v>146</v>
      </c>
      <c r="E746" t="s">
        <v>136</v>
      </c>
    </row>
    <row r="747" spans="1:5" x14ac:dyDescent="0.35">
      <c r="A747" s="1" t="s">
        <v>147</v>
      </c>
      <c r="B747" s="1"/>
      <c r="C747" s="1"/>
      <c r="D747" s="1" t="s">
        <v>148</v>
      </c>
      <c r="E747" t="s">
        <v>136</v>
      </c>
    </row>
    <row r="748" spans="1:5" x14ac:dyDescent="0.35">
      <c r="A748" s="1" t="s">
        <v>147</v>
      </c>
      <c r="B748" s="1"/>
      <c r="C748" s="1"/>
      <c r="D748" s="1" t="s">
        <v>149</v>
      </c>
      <c r="E748" t="s">
        <v>136</v>
      </c>
    </row>
    <row r="749" spans="1:5" x14ac:dyDescent="0.35">
      <c r="A749" s="1" t="s">
        <v>147</v>
      </c>
      <c r="B749" s="1"/>
      <c r="C749" s="1" t="s">
        <v>150</v>
      </c>
      <c r="D749" s="1" t="s">
        <v>146</v>
      </c>
      <c r="E749" t="s">
        <v>136</v>
      </c>
    </row>
    <row r="750" spans="1:5" x14ac:dyDescent="0.35">
      <c r="A750" s="1" t="s">
        <v>147</v>
      </c>
      <c r="B750" s="1"/>
      <c r="C750" s="1"/>
      <c r="D750" s="1" t="s">
        <v>148</v>
      </c>
      <c r="E750" t="s">
        <v>136</v>
      </c>
    </row>
    <row r="751" spans="1:5" x14ac:dyDescent="0.35">
      <c r="A751" s="1" t="s">
        <v>147</v>
      </c>
      <c r="B751" s="1"/>
      <c r="C751" s="1"/>
      <c r="D751" s="1" t="s">
        <v>149</v>
      </c>
      <c r="E751" t="s">
        <v>136</v>
      </c>
    </row>
    <row r="752" spans="1:5" x14ac:dyDescent="0.35">
      <c r="A752" s="1" t="s">
        <v>147</v>
      </c>
      <c r="B752" s="1" t="s">
        <v>170</v>
      </c>
      <c r="C752" s="1" t="s">
        <v>145</v>
      </c>
      <c r="D752" s="1" t="s">
        <v>146</v>
      </c>
      <c r="E752" t="s">
        <v>136</v>
      </c>
    </row>
    <row r="753" spans="1:5" x14ac:dyDescent="0.35">
      <c r="A753" s="1" t="s">
        <v>147</v>
      </c>
      <c r="B753" s="1"/>
      <c r="C753" s="1"/>
      <c r="D753" s="1" t="s">
        <v>148</v>
      </c>
      <c r="E753" t="s">
        <v>136</v>
      </c>
    </row>
    <row r="754" spans="1:5" x14ac:dyDescent="0.35">
      <c r="A754" s="1" t="s">
        <v>147</v>
      </c>
      <c r="B754" s="1"/>
      <c r="C754" s="1"/>
      <c r="D754" s="1" t="s">
        <v>149</v>
      </c>
      <c r="E754" t="s">
        <v>136</v>
      </c>
    </row>
    <row r="755" spans="1:5" x14ac:dyDescent="0.35">
      <c r="A755" s="1" t="s">
        <v>147</v>
      </c>
      <c r="B755" s="1"/>
      <c r="C755" s="1" t="s">
        <v>150</v>
      </c>
      <c r="D755" s="1" t="s">
        <v>146</v>
      </c>
      <c r="E755" t="s">
        <v>136</v>
      </c>
    </row>
    <row r="756" spans="1:5" x14ac:dyDescent="0.35">
      <c r="A756" s="1" t="s">
        <v>147</v>
      </c>
      <c r="B756" s="1"/>
      <c r="C756" s="1"/>
      <c r="D756" s="1" t="s">
        <v>148</v>
      </c>
      <c r="E756" t="s">
        <v>136</v>
      </c>
    </row>
    <row r="757" spans="1:5" x14ac:dyDescent="0.35">
      <c r="A757" s="1" t="s">
        <v>147</v>
      </c>
      <c r="B757" s="1"/>
      <c r="C757" s="1"/>
      <c r="D757" s="1" t="s">
        <v>149</v>
      </c>
      <c r="E757" t="s">
        <v>136</v>
      </c>
    </row>
    <row r="758" spans="1:5" x14ac:dyDescent="0.35">
      <c r="A758" s="1" t="s">
        <v>48</v>
      </c>
      <c r="B758" s="1" t="s">
        <v>144</v>
      </c>
      <c r="C758" s="1" t="s">
        <v>145</v>
      </c>
      <c r="D758" s="1" t="s">
        <v>146</v>
      </c>
      <c r="E758">
        <v>57.84</v>
      </c>
    </row>
    <row r="759" spans="1:5" x14ac:dyDescent="0.35">
      <c r="A759" s="1" t="s">
        <v>147</v>
      </c>
      <c r="B759" s="1"/>
      <c r="C759" s="1"/>
      <c r="D759" s="1" t="s">
        <v>148</v>
      </c>
      <c r="E759">
        <v>56.05</v>
      </c>
    </row>
    <row r="760" spans="1:5" x14ac:dyDescent="0.35">
      <c r="A760" s="1" t="s">
        <v>147</v>
      </c>
      <c r="B760" s="1"/>
      <c r="C760" s="1"/>
      <c r="D760" s="1" t="s">
        <v>149</v>
      </c>
      <c r="E760">
        <v>1.8</v>
      </c>
    </row>
    <row r="761" spans="1:5" x14ac:dyDescent="0.35">
      <c r="A761" s="1" t="s">
        <v>147</v>
      </c>
      <c r="B761" s="1"/>
      <c r="C761" s="1" t="s">
        <v>150</v>
      </c>
      <c r="D761" s="1" t="s">
        <v>146</v>
      </c>
      <c r="E761" t="s">
        <v>136</v>
      </c>
    </row>
    <row r="762" spans="1:5" x14ac:dyDescent="0.35">
      <c r="A762" s="1" t="s">
        <v>147</v>
      </c>
      <c r="B762" s="1"/>
      <c r="C762" s="1"/>
      <c r="D762" s="1" t="s">
        <v>148</v>
      </c>
      <c r="E762" t="s">
        <v>136</v>
      </c>
    </row>
    <row r="763" spans="1:5" x14ac:dyDescent="0.35">
      <c r="A763" s="1" t="s">
        <v>147</v>
      </c>
      <c r="B763" s="1"/>
      <c r="C763" s="1"/>
      <c r="D763" s="1" t="s">
        <v>149</v>
      </c>
      <c r="E763" t="s">
        <v>136</v>
      </c>
    </row>
    <row r="764" spans="1:5" x14ac:dyDescent="0.35">
      <c r="A764" s="1" t="s">
        <v>147</v>
      </c>
      <c r="B764" s="1" t="s">
        <v>151</v>
      </c>
      <c r="C764" s="1" t="s">
        <v>145</v>
      </c>
      <c r="D764" s="1" t="s">
        <v>146</v>
      </c>
      <c r="E764">
        <v>31.04</v>
      </c>
    </row>
    <row r="765" spans="1:5" x14ac:dyDescent="0.35">
      <c r="A765" s="1" t="s">
        <v>147</v>
      </c>
      <c r="B765" s="1"/>
      <c r="C765" s="1"/>
      <c r="D765" s="1" t="s">
        <v>148</v>
      </c>
      <c r="E765">
        <v>29.25</v>
      </c>
    </row>
    <row r="766" spans="1:5" x14ac:dyDescent="0.35">
      <c r="A766" s="1" t="s">
        <v>147</v>
      </c>
      <c r="B766" s="1"/>
      <c r="C766" s="1"/>
      <c r="D766" s="1" t="s">
        <v>149</v>
      </c>
      <c r="E766">
        <v>1.8</v>
      </c>
    </row>
    <row r="767" spans="1:5" x14ac:dyDescent="0.35">
      <c r="A767" s="1" t="s">
        <v>147</v>
      </c>
      <c r="B767" s="1"/>
      <c r="C767" s="1" t="s">
        <v>150</v>
      </c>
      <c r="D767" s="1" t="s">
        <v>146</v>
      </c>
      <c r="E767" t="s">
        <v>136</v>
      </c>
    </row>
    <row r="768" spans="1:5" x14ac:dyDescent="0.35">
      <c r="A768" s="1" t="s">
        <v>147</v>
      </c>
      <c r="B768" s="1"/>
      <c r="C768" s="1"/>
      <c r="D768" s="1" t="s">
        <v>148</v>
      </c>
      <c r="E768" t="s">
        <v>136</v>
      </c>
    </row>
    <row r="769" spans="1:5" x14ac:dyDescent="0.35">
      <c r="A769" s="1" t="s">
        <v>147</v>
      </c>
      <c r="B769" s="1"/>
      <c r="C769" s="1"/>
      <c r="D769" s="1" t="s">
        <v>149</v>
      </c>
      <c r="E769" t="s">
        <v>136</v>
      </c>
    </row>
    <row r="770" spans="1:5" x14ac:dyDescent="0.35">
      <c r="A770" s="1" t="s">
        <v>147</v>
      </c>
      <c r="B770" s="1" t="s">
        <v>152</v>
      </c>
      <c r="C770" s="1" t="s">
        <v>145</v>
      </c>
      <c r="D770" s="1" t="s">
        <v>146</v>
      </c>
      <c r="E770" t="s">
        <v>136</v>
      </c>
    </row>
    <row r="771" spans="1:5" x14ac:dyDescent="0.35">
      <c r="A771" s="1" t="s">
        <v>147</v>
      </c>
      <c r="B771" s="1"/>
      <c r="C771" s="1"/>
      <c r="D771" s="1" t="s">
        <v>148</v>
      </c>
      <c r="E771" t="s">
        <v>136</v>
      </c>
    </row>
    <row r="772" spans="1:5" x14ac:dyDescent="0.35">
      <c r="A772" s="1" t="s">
        <v>147</v>
      </c>
      <c r="B772" s="1"/>
      <c r="C772" s="1"/>
      <c r="D772" s="1" t="s">
        <v>149</v>
      </c>
      <c r="E772" t="s">
        <v>136</v>
      </c>
    </row>
    <row r="773" spans="1:5" x14ac:dyDescent="0.35">
      <c r="A773" s="1" t="s">
        <v>147</v>
      </c>
      <c r="B773" s="1"/>
      <c r="C773" s="1" t="s">
        <v>150</v>
      </c>
      <c r="D773" s="1" t="s">
        <v>146</v>
      </c>
      <c r="E773" t="s">
        <v>136</v>
      </c>
    </row>
    <row r="774" spans="1:5" x14ac:dyDescent="0.35">
      <c r="A774" s="1" t="s">
        <v>147</v>
      </c>
      <c r="B774" s="1"/>
      <c r="C774" s="1"/>
      <c r="D774" s="1" t="s">
        <v>148</v>
      </c>
      <c r="E774" t="s">
        <v>136</v>
      </c>
    </row>
    <row r="775" spans="1:5" x14ac:dyDescent="0.35">
      <c r="A775" s="1" t="s">
        <v>147</v>
      </c>
      <c r="B775" s="1"/>
      <c r="C775" s="1"/>
      <c r="D775" s="1" t="s">
        <v>149</v>
      </c>
      <c r="E775" t="s">
        <v>136</v>
      </c>
    </row>
    <row r="776" spans="1:5" x14ac:dyDescent="0.35">
      <c r="A776" s="1" t="s">
        <v>147</v>
      </c>
      <c r="B776" s="1" t="s">
        <v>153</v>
      </c>
      <c r="C776" s="1" t="s">
        <v>145</v>
      </c>
      <c r="D776" s="1" t="s">
        <v>146</v>
      </c>
      <c r="E776">
        <v>26.8</v>
      </c>
    </row>
    <row r="777" spans="1:5" x14ac:dyDescent="0.35">
      <c r="A777" s="1" t="s">
        <v>147</v>
      </c>
      <c r="B777" s="1"/>
      <c r="C777" s="1"/>
      <c r="D777" s="1" t="s">
        <v>148</v>
      </c>
      <c r="E777">
        <v>26.8</v>
      </c>
    </row>
    <row r="778" spans="1:5" x14ac:dyDescent="0.35">
      <c r="A778" s="1" t="s">
        <v>147</v>
      </c>
      <c r="B778" s="1"/>
      <c r="C778" s="1"/>
      <c r="D778" s="1" t="s">
        <v>149</v>
      </c>
      <c r="E778" t="s">
        <v>136</v>
      </c>
    </row>
    <row r="779" spans="1:5" x14ac:dyDescent="0.35">
      <c r="A779" s="1" t="s">
        <v>147</v>
      </c>
      <c r="B779" s="1"/>
      <c r="C779" s="1" t="s">
        <v>150</v>
      </c>
      <c r="D779" s="1" t="s">
        <v>146</v>
      </c>
      <c r="E779" t="s">
        <v>136</v>
      </c>
    </row>
    <row r="780" spans="1:5" x14ac:dyDescent="0.35">
      <c r="A780" s="1" t="s">
        <v>147</v>
      </c>
      <c r="B780" s="1"/>
      <c r="C780" s="1"/>
      <c r="D780" s="1" t="s">
        <v>148</v>
      </c>
      <c r="E780" t="s">
        <v>136</v>
      </c>
    </row>
    <row r="781" spans="1:5" x14ac:dyDescent="0.35">
      <c r="A781" s="1" t="s">
        <v>147</v>
      </c>
      <c r="B781" s="1"/>
      <c r="C781" s="1"/>
      <c r="D781" s="1" t="s">
        <v>149</v>
      </c>
      <c r="E781" t="s">
        <v>136</v>
      </c>
    </row>
    <row r="782" spans="1:5" x14ac:dyDescent="0.35">
      <c r="A782" s="1" t="s">
        <v>147</v>
      </c>
      <c r="B782" s="1" t="s">
        <v>154</v>
      </c>
      <c r="C782" s="1" t="s">
        <v>145</v>
      </c>
      <c r="D782" s="1" t="s">
        <v>146</v>
      </c>
      <c r="E782" t="s">
        <v>136</v>
      </c>
    </row>
    <row r="783" spans="1:5" x14ac:dyDescent="0.35">
      <c r="A783" s="1" t="s">
        <v>147</v>
      </c>
      <c r="B783" s="1"/>
      <c r="C783" s="1"/>
      <c r="D783" s="1" t="s">
        <v>148</v>
      </c>
      <c r="E783" t="s">
        <v>136</v>
      </c>
    </row>
    <row r="784" spans="1:5" x14ac:dyDescent="0.35">
      <c r="A784" s="1" t="s">
        <v>147</v>
      </c>
      <c r="B784" s="1"/>
      <c r="C784" s="1"/>
      <c r="D784" s="1" t="s">
        <v>149</v>
      </c>
      <c r="E784" t="s">
        <v>136</v>
      </c>
    </row>
    <row r="785" spans="1:5" x14ac:dyDescent="0.35">
      <c r="A785" s="1" t="s">
        <v>147</v>
      </c>
      <c r="B785" s="1"/>
      <c r="C785" s="1" t="s">
        <v>150</v>
      </c>
      <c r="D785" s="1" t="s">
        <v>146</v>
      </c>
      <c r="E785" t="s">
        <v>136</v>
      </c>
    </row>
    <row r="786" spans="1:5" x14ac:dyDescent="0.35">
      <c r="A786" s="1" t="s">
        <v>147</v>
      </c>
      <c r="B786" s="1"/>
      <c r="C786" s="1"/>
      <c r="D786" s="1" t="s">
        <v>148</v>
      </c>
      <c r="E786" t="s">
        <v>136</v>
      </c>
    </row>
    <row r="787" spans="1:5" x14ac:dyDescent="0.35">
      <c r="A787" s="1" t="s">
        <v>147</v>
      </c>
      <c r="B787" s="1"/>
      <c r="C787" s="1"/>
      <c r="D787" s="1" t="s">
        <v>149</v>
      </c>
      <c r="E787" t="s">
        <v>136</v>
      </c>
    </row>
    <row r="788" spans="1:5" x14ac:dyDescent="0.35">
      <c r="A788" s="1" t="s">
        <v>147</v>
      </c>
      <c r="B788" s="1" t="s">
        <v>155</v>
      </c>
      <c r="C788" s="1" t="s">
        <v>145</v>
      </c>
      <c r="D788" s="1" t="s">
        <v>146</v>
      </c>
      <c r="E788" t="s">
        <v>136</v>
      </c>
    </row>
    <row r="789" spans="1:5" x14ac:dyDescent="0.35">
      <c r="A789" s="1" t="s">
        <v>147</v>
      </c>
      <c r="B789" s="1"/>
      <c r="C789" s="1"/>
      <c r="D789" s="1" t="s">
        <v>148</v>
      </c>
      <c r="E789" t="s">
        <v>136</v>
      </c>
    </row>
    <row r="790" spans="1:5" x14ac:dyDescent="0.35">
      <c r="A790" s="1" t="s">
        <v>147</v>
      </c>
      <c r="B790" s="1"/>
      <c r="C790" s="1"/>
      <c r="D790" s="1" t="s">
        <v>149</v>
      </c>
      <c r="E790" t="s">
        <v>136</v>
      </c>
    </row>
    <row r="791" spans="1:5" x14ac:dyDescent="0.35">
      <c r="A791" s="1" t="s">
        <v>147</v>
      </c>
      <c r="B791" s="1"/>
      <c r="C791" s="1" t="s">
        <v>150</v>
      </c>
      <c r="D791" s="1" t="s">
        <v>146</v>
      </c>
      <c r="E791" t="s">
        <v>136</v>
      </c>
    </row>
    <row r="792" spans="1:5" x14ac:dyDescent="0.35">
      <c r="A792" s="1" t="s">
        <v>147</v>
      </c>
      <c r="B792" s="1"/>
      <c r="C792" s="1"/>
      <c r="D792" s="1" t="s">
        <v>148</v>
      </c>
      <c r="E792" t="s">
        <v>136</v>
      </c>
    </row>
    <row r="793" spans="1:5" x14ac:dyDescent="0.35">
      <c r="A793" s="1" t="s">
        <v>147</v>
      </c>
      <c r="B793" s="1"/>
      <c r="C793" s="1"/>
      <c r="D793" s="1" t="s">
        <v>149</v>
      </c>
      <c r="E793" t="s">
        <v>136</v>
      </c>
    </row>
    <row r="794" spans="1:5" x14ac:dyDescent="0.35">
      <c r="A794" s="1" t="s">
        <v>147</v>
      </c>
      <c r="B794" s="1" t="s">
        <v>156</v>
      </c>
      <c r="C794" s="1" t="s">
        <v>145</v>
      </c>
      <c r="D794" s="1" t="s">
        <v>146</v>
      </c>
      <c r="E794" t="s">
        <v>136</v>
      </c>
    </row>
    <row r="795" spans="1:5" x14ac:dyDescent="0.35">
      <c r="A795" s="1" t="s">
        <v>147</v>
      </c>
      <c r="B795" s="1"/>
      <c r="C795" s="1"/>
      <c r="D795" s="1" t="s">
        <v>148</v>
      </c>
      <c r="E795" t="s">
        <v>136</v>
      </c>
    </row>
    <row r="796" spans="1:5" x14ac:dyDescent="0.35">
      <c r="A796" s="1" t="s">
        <v>147</v>
      </c>
      <c r="B796" s="1"/>
      <c r="C796" s="1"/>
      <c r="D796" s="1" t="s">
        <v>149</v>
      </c>
      <c r="E796" t="s">
        <v>136</v>
      </c>
    </row>
    <row r="797" spans="1:5" x14ac:dyDescent="0.35">
      <c r="A797" s="1" t="s">
        <v>147</v>
      </c>
      <c r="B797" s="1"/>
      <c r="C797" s="1" t="s">
        <v>150</v>
      </c>
      <c r="D797" s="1" t="s">
        <v>146</v>
      </c>
      <c r="E797" t="s">
        <v>136</v>
      </c>
    </row>
    <row r="798" spans="1:5" x14ac:dyDescent="0.35">
      <c r="A798" s="1" t="s">
        <v>147</v>
      </c>
      <c r="B798" s="1"/>
      <c r="C798" s="1"/>
      <c r="D798" s="1" t="s">
        <v>148</v>
      </c>
      <c r="E798" t="s">
        <v>136</v>
      </c>
    </row>
    <row r="799" spans="1:5" x14ac:dyDescent="0.35">
      <c r="A799" s="1" t="s">
        <v>147</v>
      </c>
      <c r="B799" s="1"/>
      <c r="C799" s="1"/>
      <c r="D799" s="1" t="s">
        <v>149</v>
      </c>
      <c r="E799" t="s">
        <v>136</v>
      </c>
    </row>
    <row r="800" spans="1:5" x14ac:dyDescent="0.35">
      <c r="A800" s="1" t="s">
        <v>147</v>
      </c>
      <c r="B800" s="1" t="s">
        <v>157</v>
      </c>
      <c r="C800" s="1" t="s">
        <v>145</v>
      </c>
      <c r="D800" s="1" t="s">
        <v>146</v>
      </c>
      <c r="E800" t="s">
        <v>136</v>
      </c>
    </row>
    <row r="801" spans="1:5" x14ac:dyDescent="0.35">
      <c r="A801" s="1" t="s">
        <v>147</v>
      </c>
      <c r="B801" s="1"/>
      <c r="C801" s="1"/>
      <c r="D801" s="1" t="s">
        <v>148</v>
      </c>
      <c r="E801" t="s">
        <v>136</v>
      </c>
    </row>
    <row r="802" spans="1:5" x14ac:dyDescent="0.35">
      <c r="A802" s="1" t="s">
        <v>147</v>
      </c>
      <c r="B802" s="1"/>
      <c r="C802" s="1"/>
      <c r="D802" s="1" t="s">
        <v>149</v>
      </c>
      <c r="E802" t="s">
        <v>136</v>
      </c>
    </row>
    <row r="803" spans="1:5" x14ac:dyDescent="0.35">
      <c r="A803" s="1" t="s">
        <v>147</v>
      </c>
      <c r="B803" s="1"/>
      <c r="C803" s="1" t="s">
        <v>150</v>
      </c>
      <c r="D803" s="1" t="s">
        <v>146</v>
      </c>
      <c r="E803" t="s">
        <v>136</v>
      </c>
    </row>
    <row r="804" spans="1:5" x14ac:dyDescent="0.35">
      <c r="A804" s="1" t="s">
        <v>147</v>
      </c>
      <c r="B804" s="1"/>
      <c r="C804" s="1"/>
      <c r="D804" s="1" t="s">
        <v>148</v>
      </c>
      <c r="E804" t="s">
        <v>136</v>
      </c>
    </row>
    <row r="805" spans="1:5" x14ac:dyDescent="0.35">
      <c r="A805" s="1" t="s">
        <v>147</v>
      </c>
      <c r="B805" s="1"/>
      <c r="C805" s="1"/>
      <c r="D805" s="1" t="s">
        <v>149</v>
      </c>
      <c r="E805" t="s">
        <v>136</v>
      </c>
    </row>
    <row r="806" spans="1:5" x14ac:dyDescent="0.35">
      <c r="A806" s="1" t="s">
        <v>147</v>
      </c>
      <c r="B806" s="1" t="s">
        <v>158</v>
      </c>
      <c r="C806" s="1" t="s">
        <v>145</v>
      </c>
      <c r="D806" s="1" t="s">
        <v>146</v>
      </c>
      <c r="E806" t="s">
        <v>136</v>
      </c>
    </row>
    <row r="807" spans="1:5" x14ac:dyDescent="0.35">
      <c r="A807" s="1" t="s">
        <v>147</v>
      </c>
      <c r="B807" s="1"/>
      <c r="C807" s="1"/>
      <c r="D807" s="1" t="s">
        <v>148</v>
      </c>
      <c r="E807" t="s">
        <v>136</v>
      </c>
    </row>
    <row r="808" spans="1:5" x14ac:dyDescent="0.35">
      <c r="A808" s="1" t="s">
        <v>147</v>
      </c>
      <c r="B808" s="1"/>
      <c r="C808" s="1"/>
      <c r="D808" s="1" t="s">
        <v>149</v>
      </c>
      <c r="E808" t="s">
        <v>136</v>
      </c>
    </row>
    <row r="809" spans="1:5" x14ac:dyDescent="0.35">
      <c r="A809" s="1" t="s">
        <v>147</v>
      </c>
      <c r="B809" s="1"/>
      <c r="C809" s="1" t="s">
        <v>150</v>
      </c>
      <c r="D809" s="1" t="s">
        <v>146</v>
      </c>
      <c r="E809" t="s">
        <v>136</v>
      </c>
    </row>
    <row r="810" spans="1:5" x14ac:dyDescent="0.35">
      <c r="A810" s="1" t="s">
        <v>147</v>
      </c>
      <c r="B810" s="1"/>
      <c r="C810" s="1"/>
      <c r="D810" s="1" t="s">
        <v>148</v>
      </c>
      <c r="E810" t="s">
        <v>136</v>
      </c>
    </row>
    <row r="811" spans="1:5" x14ac:dyDescent="0.35">
      <c r="A811" s="1" t="s">
        <v>147</v>
      </c>
      <c r="B811" s="1"/>
      <c r="C811" s="1"/>
      <c r="D811" s="1" t="s">
        <v>149</v>
      </c>
      <c r="E811" t="s">
        <v>136</v>
      </c>
    </row>
    <row r="812" spans="1:5" x14ac:dyDescent="0.35">
      <c r="A812" s="1" t="s">
        <v>147</v>
      </c>
      <c r="B812" s="1" t="s">
        <v>159</v>
      </c>
      <c r="C812" s="1" t="s">
        <v>145</v>
      </c>
      <c r="D812" s="1" t="s">
        <v>146</v>
      </c>
      <c r="E812" t="s">
        <v>136</v>
      </c>
    </row>
    <row r="813" spans="1:5" x14ac:dyDescent="0.35">
      <c r="A813" s="1" t="s">
        <v>147</v>
      </c>
      <c r="B813" s="1"/>
      <c r="C813" s="1"/>
      <c r="D813" s="1" t="s">
        <v>148</v>
      </c>
      <c r="E813" t="s">
        <v>136</v>
      </c>
    </row>
    <row r="814" spans="1:5" x14ac:dyDescent="0.35">
      <c r="A814" s="1" t="s">
        <v>147</v>
      </c>
      <c r="B814" s="1"/>
      <c r="C814" s="1"/>
      <c r="D814" s="1" t="s">
        <v>149</v>
      </c>
      <c r="E814" t="s">
        <v>136</v>
      </c>
    </row>
    <row r="815" spans="1:5" x14ac:dyDescent="0.35">
      <c r="A815" s="1" t="s">
        <v>147</v>
      </c>
      <c r="B815" s="1"/>
      <c r="C815" s="1" t="s">
        <v>150</v>
      </c>
      <c r="D815" s="1" t="s">
        <v>146</v>
      </c>
      <c r="E815" t="s">
        <v>136</v>
      </c>
    </row>
    <row r="816" spans="1:5" x14ac:dyDescent="0.35">
      <c r="A816" s="1" t="s">
        <v>147</v>
      </c>
      <c r="B816" s="1"/>
      <c r="C816" s="1"/>
      <c r="D816" s="1" t="s">
        <v>148</v>
      </c>
      <c r="E816" t="s">
        <v>136</v>
      </c>
    </row>
    <row r="817" spans="1:5" x14ac:dyDescent="0.35">
      <c r="A817" s="1" t="s">
        <v>147</v>
      </c>
      <c r="B817" s="1"/>
      <c r="C817" s="1"/>
      <c r="D817" s="1" t="s">
        <v>149</v>
      </c>
      <c r="E817" t="s">
        <v>136</v>
      </c>
    </row>
    <row r="818" spans="1:5" x14ac:dyDescent="0.35">
      <c r="A818" s="1" t="s">
        <v>147</v>
      </c>
      <c r="B818" s="1" t="s">
        <v>160</v>
      </c>
      <c r="C818" s="1" t="s">
        <v>145</v>
      </c>
      <c r="D818" s="1" t="s">
        <v>146</v>
      </c>
      <c r="E818" t="s">
        <v>136</v>
      </c>
    </row>
    <row r="819" spans="1:5" x14ac:dyDescent="0.35">
      <c r="A819" s="1" t="s">
        <v>147</v>
      </c>
      <c r="B819" s="1"/>
      <c r="C819" s="1"/>
      <c r="D819" s="1" t="s">
        <v>148</v>
      </c>
      <c r="E819" t="s">
        <v>136</v>
      </c>
    </row>
    <row r="820" spans="1:5" x14ac:dyDescent="0.35">
      <c r="A820" s="1" t="s">
        <v>147</v>
      </c>
      <c r="B820" s="1"/>
      <c r="C820" s="1"/>
      <c r="D820" s="1" t="s">
        <v>149</v>
      </c>
      <c r="E820" t="s">
        <v>136</v>
      </c>
    </row>
    <row r="821" spans="1:5" x14ac:dyDescent="0.35">
      <c r="A821" s="1" t="s">
        <v>147</v>
      </c>
      <c r="B821" s="1"/>
      <c r="C821" s="1" t="s">
        <v>150</v>
      </c>
      <c r="D821" s="1" t="s">
        <v>146</v>
      </c>
      <c r="E821" t="s">
        <v>136</v>
      </c>
    </row>
    <row r="822" spans="1:5" x14ac:dyDescent="0.35">
      <c r="A822" s="1" t="s">
        <v>147</v>
      </c>
      <c r="B822" s="1"/>
      <c r="C822" s="1"/>
      <c r="D822" s="1" t="s">
        <v>148</v>
      </c>
      <c r="E822" t="s">
        <v>136</v>
      </c>
    </row>
    <row r="823" spans="1:5" x14ac:dyDescent="0.35">
      <c r="A823" s="1" t="s">
        <v>147</v>
      </c>
      <c r="B823" s="1"/>
      <c r="C823" s="1"/>
      <c r="D823" s="1" t="s">
        <v>149</v>
      </c>
      <c r="E823" t="s">
        <v>136</v>
      </c>
    </row>
    <row r="824" spans="1:5" x14ac:dyDescent="0.35">
      <c r="A824" s="1" t="s">
        <v>147</v>
      </c>
      <c r="B824" s="1" t="s">
        <v>161</v>
      </c>
      <c r="C824" s="1" t="s">
        <v>145</v>
      </c>
      <c r="D824" s="1" t="s">
        <v>146</v>
      </c>
      <c r="E824" t="s">
        <v>136</v>
      </c>
    </row>
    <row r="825" spans="1:5" x14ac:dyDescent="0.35">
      <c r="A825" s="1" t="s">
        <v>147</v>
      </c>
      <c r="B825" s="1"/>
      <c r="C825" s="1"/>
      <c r="D825" s="1" t="s">
        <v>148</v>
      </c>
      <c r="E825" t="s">
        <v>136</v>
      </c>
    </row>
    <row r="826" spans="1:5" x14ac:dyDescent="0.35">
      <c r="A826" s="1" t="s">
        <v>147</v>
      </c>
      <c r="B826" s="1"/>
      <c r="C826" s="1"/>
      <c r="D826" s="1" t="s">
        <v>149</v>
      </c>
      <c r="E826" t="s">
        <v>136</v>
      </c>
    </row>
    <row r="827" spans="1:5" x14ac:dyDescent="0.35">
      <c r="A827" s="1" t="s">
        <v>147</v>
      </c>
      <c r="B827" s="1"/>
      <c r="C827" s="1" t="s">
        <v>150</v>
      </c>
      <c r="D827" s="1" t="s">
        <v>146</v>
      </c>
      <c r="E827" t="s">
        <v>136</v>
      </c>
    </row>
    <row r="828" spans="1:5" x14ac:dyDescent="0.35">
      <c r="A828" s="1" t="s">
        <v>147</v>
      </c>
      <c r="B828" s="1"/>
      <c r="C828" s="1"/>
      <c r="D828" s="1" t="s">
        <v>148</v>
      </c>
      <c r="E828" t="s">
        <v>136</v>
      </c>
    </row>
    <row r="829" spans="1:5" x14ac:dyDescent="0.35">
      <c r="A829" s="1" t="s">
        <v>147</v>
      </c>
      <c r="B829" s="1"/>
      <c r="C829" s="1"/>
      <c r="D829" s="1" t="s">
        <v>149</v>
      </c>
      <c r="E829" t="s">
        <v>136</v>
      </c>
    </row>
    <row r="830" spans="1:5" x14ac:dyDescent="0.35">
      <c r="A830" s="1" t="s">
        <v>147</v>
      </c>
      <c r="B830" s="1" t="s">
        <v>162</v>
      </c>
      <c r="C830" s="1" t="s">
        <v>145</v>
      </c>
      <c r="D830" s="1" t="s">
        <v>146</v>
      </c>
      <c r="E830" t="s">
        <v>136</v>
      </c>
    </row>
    <row r="831" spans="1:5" x14ac:dyDescent="0.35">
      <c r="A831" s="1" t="s">
        <v>147</v>
      </c>
      <c r="B831" s="1"/>
      <c r="C831" s="1"/>
      <c r="D831" s="1" t="s">
        <v>148</v>
      </c>
      <c r="E831" t="s">
        <v>136</v>
      </c>
    </row>
    <row r="832" spans="1:5" x14ac:dyDescent="0.35">
      <c r="A832" s="1" t="s">
        <v>147</v>
      </c>
      <c r="B832" s="1"/>
      <c r="C832" s="1"/>
      <c r="D832" s="1" t="s">
        <v>149</v>
      </c>
      <c r="E832" t="s">
        <v>136</v>
      </c>
    </row>
    <row r="833" spans="1:5" x14ac:dyDescent="0.35">
      <c r="A833" s="1" t="s">
        <v>147</v>
      </c>
      <c r="B833" s="1"/>
      <c r="C833" s="1" t="s">
        <v>150</v>
      </c>
      <c r="D833" s="1" t="s">
        <v>146</v>
      </c>
      <c r="E833" t="s">
        <v>136</v>
      </c>
    </row>
    <row r="834" spans="1:5" x14ac:dyDescent="0.35">
      <c r="A834" s="1" t="s">
        <v>147</v>
      </c>
      <c r="B834" s="1"/>
      <c r="C834" s="1"/>
      <c r="D834" s="1" t="s">
        <v>148</v>
      </c>
      <c r="E834" t="s">
        <v>136</v>
      </c>
    </row>
    <row r="835" spans="1:5" x14ac:dyDescent="0.35">
      <c r="A835" s="1" t="s">
        <v>147</v>
      </c>
      <c r="B835" s="1"/>
      <c r="C835" s="1"/>
      <c r="D835" s="1" t="s">
        <v>149</v>
      </c>
      <c r="E835" t="s">
        <v>136</v>
      </c>
    </row>
    <row r="836" spans="1:5" x14ac:dyDescent="0.35">
      <c r="A836" s="1" t="s">
        <v>147</v>
      </c>
      <c r="B836" s="1" t="s">
        <v>163</v>
      </c>
      <c r="C836" s="1" t="s">
        <v>145</v>
      </c>
      <c r="D836" s="1" t="s">
        <v>146</v>
      </c>
      <c r="E836">
        <v>157.69</v>
      </c>
    </row>
    <row r="837" spans="1:5" x14ac:dyDescent="0.35">
      <c r="A837" s="1" t="s">
        <v>147</v>
      </c>
      <c r="B837" s="1"/>
      <c r="C837" s="1"/>
      <c r="D837" s="1" t="s">
        <v>148</v>
      </c>
      <c r="E837">
        <v>157.69</v>
      </c>
    </row>
    <row r="838" spans="1:5" x14ac:dyDescent="0.35">
      <c r="A838" s="1" t="s">
        <v>147</v>
      </c>
      <c r="B838" s="1"/>
      <c r="C838" s="1"/>
      <c r="D838" s="1" t="s">
        <v>149</v>
      </c>
      <c r="E838" t="s">
        <v>136</v>
      </c>
    </row>
    <row r="839" spans="1:5" x14ac:dyDescent="0.35">
      <c r="A839" s="1" t="s">
        <v>147</v>
      </c>
      <c r="B839" s="1"/>
      <c r="C839" s="1" t="s">
        <v>150</v>
      </c>
      <c r="D839" s="1" t="s">
        <v>146</v>
      </c>
      <c r="E839" t="s">
        <v>136</v>
      </c>
    </row>
    <row r="840" spans="1:5" x14ac:dyDescent="0.35">
      <c r="A840" s="1" t="s">
        <v>147</v>
      </c>
      <c r="B840" s="1"/>
      <c r="C840" s="1"/>
      <c r="D840" s="1" t="s">
        <v>148</v>
      </c>
      <c r="E840" t="s">
        <v>136</v>
      </c>
    </row>
    <row r="841" spans="1:5" x14ac:dyDescent="0.35">
      <c r="A841" s="1" t="s">
        <v>147</v>
      </c>
      <c r="B841" s="1"/>
      <c r="C841" s="1"/>
      <c r="D841" s="1" t="s">
        <v>149</v>
      </c>
      <c r="E841" t="s">
        <v>136</v>
      </c>
    </row>
    <row r="842" spans="1:5" x14ac:dyDescent="0.35">
      <c r="A842" s="1" t="s">
        <v>147</v>
      </c>
      <c r="B842" s="1" t="s">
        <v>164</v>
      </c>
      <c r="C842" s="1" t="s">
        <v>145</v>
      </c>
      <c r="D842" s="1" t="s">
        <v>146</v>
      </c>
      <c r="E842" t="s">
        <v>136</v>
      </c>
    </row>
    <row r="843" spans="1:5" x14ac:dyDescent="0.35">
      <c r="A843" s="1" t="s">
        <v>147</v>
      </c>
      <c r="B843" s="1"/>
      <c r="C843" s="1"/>
      <c r="D843" s="1" t="s">
        <v>148</v>
      </c>
      <c r="E843" t="s">
        <v>136</v>
      </c>
    </row>
    <row r="844" spans="1:5" x14ac:dyDescent="0.35">
      <c r="A844" s="1" t="s">
        <v>147</v>
      </c>
      <c r="B844" s="1"/>
      <c r="C844" s="1"/>
      <c r="D844" s="1" t="s">
        <v>149</v>
      </c>
      <c r="E844" t="s">
        <v>136</v>
      </c>
    </row>
    <row r="845" spans="1:5" x14ac:dyDescent="0.35">
      <c r="A845" s="1" t="s">
        <v>147</v>
      </c>
      <c r="B845" s="1"/>
      <c r="C845" s="1" t="s">
        <v>150</v>
      </c>
      <c r="D845" s="1" t="s">
        <v>146</v>
      </c>
      <c r="E845" t="s">
        <v>136</v>
      </c>
    </row>
    <row r="846" spans="1:5" x14ac:dyDescent="0.35">
      <c r="A846" s="1" t="s">
        <v>147</v>
      </c>
      <c r="B846" s="1"/>
      <c r="C846" s="1"/>
      <c r="D846" s="1" t="s">
        <v>148</v>
      </c>
      <c r="E846" t="s">
        <v>136</v>
      </c>
    </row>
    <row r="847" spans="1:5" x14ac:dyDescent="0.35">
      <c r="A847" s="1" t="s">
        <v>147</v>
      </c>
      <c r="B847" s="1"/>
      <c r="C847" s="1"/>
      <c r="D847" s="1" t="s">
        <v>149</v>
      </c>
      <c r="E847" t="s">
        <v>136</v>
      </c>
    </row>
    <row r="848" spans="1:5" x14ac:dyDescent="0.35">
      <c r="A848" s="1" t="s">
        <v>147</v>
      </c>
      <c r="B848" s="1" t="s">
        <v>165</v>
      </c>
      <c r="C848" s="1" t="s">
        <v>145</v>
      </c>
      <c r="D848" s="1" t="s">
        <v>146</v>
      </c>
      <c r="E848" t="s">
        <v>136</v>
      </c>
    </row>
    <row r="849" spans="1:5" x14ac:dyDescent="0.35">
      <c r="A849" s="1" t="s">
        <v>147</v>
      </c>
      <c r="B849" s="1"/>
      <c r="C849" s="1"/>
      <c r="D849" s="1" t="s">
        <v>148</v>
      </c>
      <c r="E849" t="s">
        <v>136</v>
      </c>
    </row>
    <row r="850" spans="1:5" x14ac:dyDescent="0.35">
      <c r="A850" s="1" t="s">
        <v>147</v>
      </c>
      <c r="B850" s="1"/>
      <c r="C850" s="1"/>
      <c r="D850" s="1" t="s">
        <v>149</v>
      </c>
      <c r="E850" t="s">
        <v>136</v>
      </c>
    </row>
    <row r="851" spans="1:5" x14ac:dyDescent="0.35">
      <c r="A851" s="1" t="s">
        <v>147</v>
      </c>
      <c r="B851" s="1"/>
      <c r="C851" s="1" t="s">
        <v>150</v>
      </c>
      <c r="D851" s="1" t="s">
        <v>146</v>
      </c>
      <c r="E851" t="s">
        <v>136</v>
      </c>
    </row>
    <row r="852" spans="1:5" x14ac:dyDescent="0.35">
      <c r="A852" s="1" t="s">
        <v>147</v>
      </c>
      <c r="B852" s="1"/>
      <c r="C852" s="1"/>
      <c r="D852" s="1" t="s">
        <v>148</v>
      </c>
      <c r="E852" t="s">
        <v>136</v>
      </c>
    </row>
    <row r="853" spans="1:5" x14ac:dyDescent="0.35">
      <c r="A853" s="1" t="s">
        <v>147</v>
      </c>
      <c r="B853" s="1"/>
      <c r="C853" s="1"/>
      <c r="D853" s="1" t="s">
        <v>149</v>
      </c>
      <c r="E853" t="s">
        <v>136</v>
      </c>
    </row>
    <row r="854" spans="1:5" x14ac:dyDescent="0.35">
      <c r="A854" s="1" t="s">
        <v>147</v>
      </c>
      <c r="B854" s="1" t="s">
        <v>166</v>
      </c>
      <c r="C854" s="1" t="s">
        <v>145</v>
      </c>
      <c r="D854" s="1" t="s">
        <v>146</v>
      </c>
      <c r="E854">
        <v>157.69</v>
      </c>
    </row>
    <row r="855" spans="1:5" x14ac:dyDescent="0.35">
      <c r="A855" s="1" t="s">
        <v>147</v>
      </c>
      <c r="B855" s="1"/>
      <c r="C855" s="1"/>
      <c r="D855" s="1" t="s">
        <v>148</v>
      </c>
      <c r="E855">
        <v>157.69</v>
      </c>
    </row>
    <row r="856" spans="1:5" x14ac:dyDescent="0.35">
      <c r="A856" s="1" t="s">
        <v>147</v>
      </c>
      <c r="B856" s="1"/>
      <c r="C856" s="1"/>
      <c r="D856" s="1" t="s">
        <v>149</v>
      </c>
      <c r="E856" t="s">
        <v>136</v>
      </c>
    </row>
    <row r="857" spans="1:5" x14ac:dyDescent="0.35">
      <c r="A857" s="1" t="s">
        <v>147</v>
      </c>
      <c r="B857" s="1"/>
      <c r="C857" s="1" t="s">
        <v>150</v>
      </c>
      <c r="D857" s="1" t="s">
        <v>146</v>
      </c>
      <c r="E857" t="s">
        <v>136</v>
      </c>
    </row>
    <row r="858" spans="1:5" x14ac:dyDescent="0.35">
      <c r="A858" s="1" t="s">
        <v>147</v>
      </c>
      <c r="B858" s="1"/>
      <c r="C858" s="1"/>
      <c r="D858" s="1" t="s">
        <v>148</v>
      </c>
      <c r="E858" t="s">
        <v>136</v>
      </c>
    </row>
    <row r="859" spans="1:5" x14ac:dyDescent="0.35">
      <c r="A859" s="1" t="s">
        <v>147</v>
      </c>
      <c r="B859" s="1"/>
      <c r="C859" s="1"/>
      <c r="D859" s="1" t="s">
        <v>149</v>
      </c>
      <c r="E859" t="s">
        <v>136</v>
      </c>
    </row>
    <row r="860" spans="1:5" x14ac:dyDescent="0.35">
      <c r="A860" s="1" t="s">
        <v>147</v>
      </c>
      <c r="B860" s="1" t="s">
        <v>167</v>
      </c>
      <c r="C860" s="1" t="s">
        <v>145</v>
      </c>
      <c r="D860" s="1" t="s">
        <v>146</v>
      </c>
      <c r="E860" t="s">
        <v>136</v>
      </c>
    </row>
    <row r="861" spans="1:5" x14ac:dyDescent="0.35">
      <c r="A861" s="1" t="s">
        <v>147</v>
      </c>
      <c r="B861" s="1"/>
      <c r="C861" s="1"/>
      <c r="D861" s="1" t="s">
        <v>148</v>
      </c>
      <c r="E861" t="s">
        <v>136</v>
      </c>
    </row>
    <row r="862" spans="1:5" x14ac:dyDescent="0.35">
      <c r="A862" s="1" t="s">
        <v>147</v>
      </c>
      <c r="B862" s="1"/>
      <c r="C862" s="1"/>
      <c r="D862" s="1" t="s">
        <v>149</v>
      </c>
      <c r="E862" t="s">
        <v>136</v>
      </c>
    </row>
    <row r="863" spans="1:5" x14ac:dyDescent="0.35">
      <c r="A863" s="1" t="s">
        <v>147</v>
      </c>
      <c r="B863" s="1"/>
      <c r="C863" s="1" t="s">
        <v>150</v>
      </c>
      <c r="D863" s="1" t="s">
        <v>146</v>
      </c>
      <c r="E863" t="s">
        <v>136</v>
      </c>
    </row>
    <row r="864" spans="1:5" x14ac:dyDescent="0.35">
      <c r="A864" s="1" t="s">
        <v>147</v>
      </c>
      <c r="B864" s="1"/>
      <c r="C864" s="1"/>
      <c r="D864" s="1" t="s">
        <v>148</v>
      </c>
      <c r="E864" t="s">
        <v>136</v>
      </c>
    </row>
    <row r="865" spans="1:5" x14ac:dyDescent="0.35">
      <c r="A865" s="1" t="s">
        <v>147</v>
      </c>
      <c r="B865" s="1"/>
      <c r="C865" s="1"/>
      <c r="D865" s="1" t="s">
        <v>149</v>
      </c>
      <c r="E865" t="s">
        <v>136</v>
      </c>
    </row>
    <row r="866" spans="1:5" x14ac:dyDescent="0.35">
      <c r="A866" s="1" t="s">
        <v>147</v>
      </c>
      <c r="B866" s="1" t="s">
        <v>168</v>
      </c>
      <c r="C866" s="1" t="s">
        <v>145</v>
      </c>
      <c r="D866" s="1" t="s">
        <v>146</v>
      </c>
      <c r="E866" t="s">
        <v>136</v>
      </c>
    </row>
    <row r="867" spans="1:5" x14ac:dyDescent="0.35">
      <c r="A867" s="1" t="s">
        <v>147</v>
      </c>
      <c r="B867" s="1"/>
      <c r="C867" s="1"/>
      <c r="D867" s="1" t="s">
        <v>148</v>
      </c>
      <c r="E867" t="s">
        <v>136</v>
      </c>
    </row>
    <row r="868" spans="1:5" x14ac:dyDescent="0.35">
      <c r="A868" s="1" t="s">
        <v>147</v>
      </c>
      <c r="B868" s="1"/>
      <c r="C868" s="1"/>
      <c r="D868" s="1" t="s">
        <v>149</v>
      </c>
      <c r="E868" t="s">
        <v>136</v>
      </c>
    </row>
    <row r="869" spans="1:5" x14ac:dyDescent="0.35">
      <c r="A869" s="1" t="s">
        <v>147</v>
      </c>
      <c r="B869" s="1"/>
      <c r="C869" s="1" t="s">
        <v>150</v>
      </c>
      <c r="D869" s="1" t="s">
        <v>146</v>
      </c>
      <c r="E869" t="s">
        <v>136</v>
      </c>
    </row>
    <row r="870" spans="1:5" x14ac:dyDescent="0.35">
      <c r="A870" s="1" t="s">
        <v>147</v>
      </c>
      <c r="B870" s="1"/>
      <c r="C870" s="1"/>
      <c r="D870" s="1" t="s">
        <v>148</v>
      </c>
      <c r="E870" t="s">
        <v>136</v>
      </c>
    </row>
    <row r="871" spans="1:5" x14ac:dyDescent="0.35">
      <c r="A871" s="1" t="s">
        <v>147</v>
      </c>
      <c r="B871" s="1"/>
      <c r="C871" s="1"/>
      <c r="D871" s="1" t="s">
        <v>149</v>
      </c>
      <c r="E871" t="s">
        <v>136</v>
      </c>
    </row>
    <row r="872" spans="1:5" x14ac:dyDescent="0.35">
      <c r="A872" s="1" t="s">
        <v>147</v>
      </c>
      <c r="B872" s="1" t="s">
        <v>169</v>
      </c>
      <c r="C872" s="1" t="s">
        <v>145</v>
      </c>
      <c r="D872" s="1" t="s">
        <v>146</v>
      </c>
      <c r="E872" t="s">
        <v>136</v>
      </c>
    </row>
    <row r="873" spans="1:5" x14ac:dyDescent="0.35">
      <c r="A873" s="1" t="s">
        <v>147</v>
      </c>
      <c r="B873" s="1"/>
      <c r="C873" s="1"/>
      <c r="D873" s="1" t="s">
        <v>148</v>
      </c>
      <c r="E873" t="s">
        <v>136</v>
      </c>
    </row>
    <row r="874" spans="1:5" x14ac:dyDescent="0.35">
      <c r="A874" s="1" t="s">
        <v>147</v>
      </c>
      <c r="B874" s="1"/>
      <c r="C874" s="1"/>
      <c r="D874" s="1" t="s">
        <v>149</v>
      </c>
      <c r="E874" t="s">
        <v>136</v>
      </c>
    </row>
    <row r="875" spans="1:5" x14ac:dyDescent="0.35">
      <c r="A875" s="1" t="s">
        <v>147</v>
      </c>
      <c r="B875" s="1"/>
      <c r="C875" s="1" t="s">
        <v>150</v>
      </c>
      <c r="D875" s="1" t="s">
        <v>146</v>
      </c>
      <c r="E875" t="s">
        <v>136</v>
      </c>
    </row>
    <row r="876" spans="1:5" x14ac:dyDescent="0.35">
      <c r="A876" s="1" t="s">
        <v>147</v>
      </c>
      <c r="B876" s="1"/>
      <c r="C876" s="1"/>
      <c r="D876" s="1" t="s">
        <v>148</v>
      </c>
      <c r="E876" t="s">
        <v>136</v>
      </c>
    </row>
    <row r="877" spans="1:5" x14ac:dyDescent="0.35">
      <c r="A877" s="1" t="s">
        <v>147</v>
      </c>
      <c r="B877" s="1"/>
      <c r="C877" s="1"/>
      <c r="D877" s="1" t="s">
        <v>149</v>
      </c>
      <c r="E877" t="s">
        <v>136</v>
      </c>
    </row>
    <row r="878" spans="1:5" x14ac:dyDescent="0.35">
      <c r="A878" s="1" t="s">
        <v>147</v>
      </c>
      <c r="B878" s="1" t="s">
        <v>170</v>
      </c>
      <c r="C878" s="1" t="s">
        <v>145</v>
      </c>
      <c r="D878" s="1" t="s">
        <v>146</v>
      </c>
      <c r="E878" t="s">
        <v>136</v>
      </c>
    </row>
    <row r="879" spans="1:5" x14ac:dyDescent="0.35">
      <c r="A879" s="1" t="s">
        <v>147</v>
      </c>
      <c r="B879" s="1"/>
      <c r="C879" s="1"/>
      <c r="D879" s="1" t="s">
        <v>148</v>
      </c>
      <c r="E879" t="s">
        <v>136</v>
      </c>
    </row>
    <row r="880" spans="1:5" x14ac:dyDescent="0.35">
      <c r="A880" s="1" t="s">
        <v>147</v>
      </c>
      <c r="B880" s="1"/>
      <c r="C880" s="1"/>
      <c r="D880" s="1" t="s">
        <v>149</v>
      </c>
      <c r="E880" t="s">
        <v>136</v>
      </c>
    </row>
    <row r="881" spans="1:5" x14ac:dyDescent="0.35">
      <c r="A881" s="1" t="s">
        <v>147</v>
      </c>
      <c r="B881" s="1"/>
      <c r="C881" s="1" t="s">
        <v>150</v>
      </c>
      <c r="D881" s="1" t="s">
        <v>146</v>
      </c>
      <c r="E881" t="s">
        <v>136</v>
      </c>
    </row>
    <row r="882" spans="1:5" x14ac:dyDescent="0.35">
      <c r="A882" s="1" t="s">
        <v>147</v>
      </c>
      <c r="B882" s="1"/>
      <c r="C882" s="1"/>
      <c r="D882" s="1" t="s">
        <v>148</v>
      </c>
      <c r="E882" t="s">
        <v>136</v>
      </c>
    </row>
    <row r="883" spans="1:5" x14ac:dyDescent="0.35">
      <c r="A883" s="1" t="s">
        <v>147</v>
      </c>
      <c r="B883" s="1"/>
      <c r="C883" s="1"/>
      <c r="D883" s="1" t="s">
        <v>149</v>
      </c>
      <c r="E883" t="s">
        <v>136</v>
      </c>
    </row>
    <row r="884" spans="1:5" x14ac:dyDescent="0.35">
      <c r="A884" s="1" t="s">
        <v>44</v>
      </c>
      <c r="B884" s="1" t="s">
        <v>144</v>
      </c>
      <c r="C884" s="1" t="s">
        <v>145</v>
      </c>
      <c r="D884" s="1" t="s">
        <v>146</v>
      </c>
      <c r="E884">
        <v>876.65</v>
      </c>
    </row>
    <row r="885" spans="1:5" x14ac:dyDescent="0.35">
      <c r="A885" s="1" t="s">
        <v>147</v>
      </c>
      <c r="B885" s="1"/>
      <c r="C885" s="1"/>
      <c r="D885" s="1" t="s">
        <v>148</v>
      </c>
      <c r="E885">
        <v>849.48</v>
      </c>
    </row>
    <row r="886" spans="1:5" x14ac:dyDescent="0.35">
      <c r="A886" s="1" t="s">
        <v>147</v>
      </c>
      <c r="B886" s="1"/>
      <c r="C886" s="1"/>
      <c r="D886" s="1" t="s">
        <v>149</v>
      </c>
      <c r="E886">
        <v>27.17</v>
      </c>
    </row>
    <row r="887" spans="1:5" x14ac:dyDescent="0.35">
      <c r="A887" s="1" t="s">
        <v>147</v>
      </c>
      <c r="B887" s="1"/>
      <c r="C887" s="1" t="s">
        <v>150</v>
      </c>
      <c r="D887" s="1" t="s">
        <v>146</v>
      </c>
      <c r="E887" t="s">
        <v>136</v>
      </c>
    </row>
    <row r="888" spans="1:5" x14ac:dyDescent="0.35">
      <c r="A888" s="1" t="s">
        <v>147</v>
      </c>
      <c r="B888" s="1"/>
      <c r="C888" s="1"/>
      <c r="D888" s="1" t="s">
        <v>148</v>
      </c>
      <c r="E888" t="s">
        <v>136</v>
      </c>
    </row>
    <row r="889" spans="1:5" x14ac:dyDescent="0.35">
      <c r="A889" s="1" t="s">
        <v>147</v>
      </c>
      <c r="B889" s="1"/>
      <c r="C889" s="1"/>
      <c r="D889" s="1" t="s">
        <v>149</v>
      </c>
      <c r="E889" t="s">
        <v>136</v>
      </c>
    </row>
    <row r="890" spans="1:5" x14ac:dyDescent="0.35">
      <c r="A890" s="1" t="s">
        <v>147</v>
      </c>
      <c r="B890" s="1" t="s">
        <v>151</v>
      </c>
      <c r="C890" s="1" t="s">
        <v>145</v>
      </c>
      <c r="D890" s="1" t="s">
        <v>146</v>
      </c>
      <c r="E890">
        <v>62.65</v>
      </c>
    </row>
    <row r="891" spans="1:5" x14ac:dyDescent="0.35">
      <c r="A891" s="1" t="s">
        <v>147</v>
      </c>
      <c r="B891" s="1"/>
      <c r="C891" s="1"/>
      <c r="D891" s="1" t="s">
        <v>148</v>
      </c>
      <c r="E891">
        <v>36</v>
      </c>
    </row>
    <row r="892" spans="1:5" x14ac:dyDescent="0.35">
      <c r="A892" s="1" t="s">
        <v>147</v>
      </c>
      <c r="B892" s="1"/>
      <c r="C892" s="1"/>
      <c r="D892" s="1" t="s">
        <v>149</v>
      </c>
      <c r="E892">
        <v>26.65</v>
      </c>
    </row>
    <row r="893" spans="1:5" x14ac:dyDescent="0.35">
      <c r="A893" s="1" t="s">
        <v>147</v>
      </c>
      <c r="B893" s="1"/>
      <c r="C893" s="1" t="s">
        <v>150</v>
      </c>
      <c r="D893" s="1" t="s">
        <v>146</v>
      </c>
      <c r="E893" t="s">
        <v>136</v>
      </c>
    </row>
    <row r="894" spans="1:5" x14ac:dyDescent="0.35">
      <c r="A894" s="1" t="s">
        <v>147</v>
      </c>
      <c r="B894" s="1"/>
      <c r="C894" s="1"/>
      <c r="D894" s="1" t="s">
        <v>148</v>
      </c>
      <c r="E894" t="s">
        <v>136</v>
      </c>
    </row>
    <row r="895" spans="1:5" x14ac:dyDescent="0.35">
      <c r="A895" s="1" t="s">
        <v>147</v>
      </c>
      <c r="B895" s="1"/>
      <c r="C895" s="1"/>
      <c r="D895" s="1" t="s">
        <v>149</v>
      </c>
      <c r="E895" t="s">
        <v>136</v>
      </c>
    </row>
    <row r="896" spans="1:5" x14ac:dyDescent="0.35">
      <c r="A896" s="1" t="s">
        <v>147</v>
      </c>
      <c r="B896" s="1" t="s">
        <v>152</v>
      </c>
      <c r="C896" s="1" t="s">
        <v>145</v>
      </c>
      <c r="D896" s="1" t="s">
        <v>146</v>
      </c>
      <c r="E896" t="s">
        <v>136</v>
      </c>
    </row>
    <row r="897" spans="1:5" x14ac:dyDescent="0.35">
      <c r="A897" s="1" t="s">
        <v>147</v>
      </c>
      <c r="B897" s="1"/>
      <c r="C897" s="1"/>
      <c r="D897" s="1" t="s">
        <v>148</v>
      </c>
      <c r="E897" t="s">
        <v>136</v>
      </c>
    </row>
    <row r="898" spans="1:5" x14ac:dyDescent="0.35">
      <c r="A898" s="1" t="s">
        <v>147</v>
      </c>
      <c r="B898" s="1"/>
      <c r="C898" s="1"/>
      <c r="D898" s="1" t="s">
        <v>149</v>
      </c>
      <c r="E898" t="s">
        <v>136</v>
      </c>
    </row>
    <row r="899" spans="1:5" x14ac:dyDescent="0.35">
      <c r="A899" s="1" t="s">
        <v>147</v>
      </c>
      <c r="B899" s="1"/>
      <c r="C899" s="1" t="s">
        <v>150</v>
      </c>
      <c r="D899" s="1" t="s">
        <v>146</v>
      </c>
      <c r="E899" t="s">
        <v>136</v>
      </c>
    </row>
    <row r="900" spans="1:5" x14ac:dyDescent="0.35">
      <c r="A900" s="1" t="s">
        <v>147</v>
      </c>
      <c r="B900" s="1"/>
      <c r="C900" s="1"/>
      <c r="D900" s="1" t="s">
        <v>148</v>
      </c>
      <c r="E900" t="s">
        <v>136</v>
      </c>
    </row>
    <row r="901" spans="1:5" x14ac:dyDescent="0.35">
      <c r="A901" s="1" t="s">
        <v>147</v>
      </c>
      <c r="B901" s="1"/>
      <c r="C901" s="1"/>
      <c r="D901" s="1" t="s">
        <v>149</v>
      </c>
      <c r="E901" t="s">
        <v>136</v>
      </c>
    </row>
    <row r="902" spans="1:5" x14ac:dyDescent="0.35">
      <c r="A902" s="1" t="s">
        <v>147</v>
      </c>
      <c r="B902" s="1" t="s">
        <v>153</v>
      </c>
      <c r="C902" s="1" t="s">
        <v>145</v>
      </c>
      <c r="D902" s="1" t="s">
        <v>146</v>
      </c>
      <c r="E902" t="s">
        <v>136</v>
      </c>
    </row>
    <row r="903" spans="1:5" x14ac:dyDescent="0.35">
      <c r="A903" s="1" t="s">
        <v>147</v>
      </c>
      <c r="B903" s="1"/>
      <c r="C903" s="1"/>
      <c r="D903" s="1" t="s">
        <v>148</v>
      </c>
      <c r="E903" t="s">
        <v>136</v>
      </c>
    </row>
    <row r="904" spans="1:5" x14ac:dyDescent="0.35">
      <c r="A904" s="1" t="s">
        <v>147</v>
      </c>
      <c r="B904" s="1"/>
      <c r="C904" s="1"/>
      <c r="D904" s="1" t="s">
        <v>149</v>
      </c>
      <c r="E904" t="s">
        <v>136</v>
      </c>
    </row>
    <row r="905" spans="1:5" x14ac:dyDescent="0.35">
      <c r="A905" s="1" t="s">
        <v>147</v>
      </c>
      <c r="B905" s="1"/>
      <c r="C905" s="1" t="s">
        <v>150</v>
      </c>
      <c r="D905" s="1" t="s">
        <v>146</v>
      </c>
      <c r="E905" t="s">
        <v>136</v>
      </c>
    </row>
    <row r="906" spans="1:5" x14ac:dyDescent="0.35">
      <c r="A906" s="1" t="s">
        <v>147</v>
      </c>
      <c r="B906" s="1"/>
      <c r="C906" s="1"/>
      <c r="D906" s="1" t="s">
        <v>148</v>
      </c>
      <c r="E906" t="s">
        <v>136</v>
      </c>
    </row>
    <row r="907" spans="1:5" x14ac:dyDescent="0.35">
      <c r="A907" s="1" t="s">
        <v>147</v>
      </c>
      <c r="B907" s="1"/>
      <c r="C907" s="1"/>
      <c r="D907" s="1" t="s">
        <v>149</v>
      </c>
      <c r="E907" t="s">
        <v>136</v>
      </c>
    </row>
    <row r="908" spans="1:5" x14ac:dyDescent="0.35">
      <c r="A908" s="1" t="s">
        <v>147</v>
      </c>
      <c r="B908" s="1" t="s">
        <v>154</v>
      </c>
      <c r="C908" s="1" t="s">
        <v>145</v>
      </c>
      <c r="D908" s="1" t="s">
        <v>146</v>
      </c>
      <c r="E908" t="s">
        <v>136</v>
      </c>
    </row>
    <row r="909" spans="1:5" x14ac:dyDescent="0.35">
      <c r="A909" s="1" t="s">
        <v>147</v>
      </c>
      <c r="B909" s="1"/>
      <c r="C909" s="1"/>
      <c r="D909" s="1" t="s">
        <v>148</v>
      </c>
      <c r="E909" t="s">
        <v>136</v>
      </c>
    </row>
    <row r="910" spans="1:5" x14ac:dyDescent="0.35">
      <c r="A910" s="1" t="s">
        <v>147</v>
      </c>
      <c r="B910" s="1"/>
      <c r="C910" s="1"/>
      <c r="D910" s="1" t="s">
        <v>149</v>
      </c>
      <c r="E910" t="s">
        <v>136</v>
      </c>
    </row>
    <row r="911" spans="1:5" x14ac:dyDescent="0.35">
      <c r="A911" s="1" t="s">
        <v>147</v>
      </c>
      <c r="B911" s="1"/>
      <c r="C911" s="1" t="s">
        <v>150</v>
      </c>
      <c r="D911" s="1" t="s">
        <v>146</v>
      </c>
      <c r="E911" t="s">
        <v>136</v>
      </c>
    </row>
    <row r="912" spans="1:5" x14ac:dyDescent="0.35">
      <c r="A912" s="1" t="s">
        <v>147</v>
      </c>
      <c r="B912" s="1"/>
      <c r="C912" s="1"/>
      <c r="D912" s="1" t="s">
        <v>148</v>
      </c>
      <c r="E912" t="s">
        <v>136</v>
      </c>
    </row>
    <row r="913" spans="1:5" x14ac:dyDescent="0.35">
      <c r="A913" s="1" t="s">
        <v>147</v>
      </c>
      <c r="B913" s="1"/>
      <c r="C913" s="1"/>
      <c r="D913" s="1" t="s">
        <v>149</v>
      </c>
      <c r="E913" t="s">
        <v>136</v>
      </c>
    </row>
    <row r="914" spans="1:5" x14ac:dyDescent="0.35">
      <c r="A914" s="1" t="s">
        <v>147</v>
      </c>
      <c r="B914" s="1" t="s">
        <v>155</v>
      </c>
      <c r="C914" s="1" t="s">
        <v>145</v>
      </c>
      <c r="D914" s="1" t="s">
        <v>146</v>
      </c>
      <c r="E914">
        <v>814</v>
      </c>
    </row>
    <row r="915" spans="1:5" x14ac:dyDescent="0.35">
      <c r="A915" s="1" t="s">
        <v>147</v>
      </c>
      <c r="B915" s="1"/>
      <c r="C915" s="1"/>
      <c r="D915" s="1" t="s">
        <v>148</v>
      </c>
      <c r="E915">
        <v>813.48</v>
      </c>
    </row>
    <row r="916" spans="1:5" x14ac:dyDescent="0.35">
      <c r="A916" s="1" t="s">
        <v>147</v>
      </c>
      <c r="B916" s="1"/>
      <c r="C916" s="1"/>
      <c r="D916" s="1" t="s">
        <v>149</v>
      </c>
      <c r="E916">
        <v>0.52</v>
      </c>
    </row>
    <row r="917" spans="1:5" x14ac:dyDescent="0.35">
      <c r="A917" s="1" t="s">
        <v>147</v>
      </c>
      <c r="B917" s="1"/>
      <c r="C917" s="1" t="s">
        <v>150</v>
      </c>
      <c r="D917" s="1" t="s">
        <v>146</v>
      </c>
      <c r="E917" t="s">
        <v>136</v>
      </c>
    </row>
    <row r="918" spans="1:5" x14ac:dyDescent="0.35">
      <c r="A918" s="1" t="s">
        <v>147</v>
      </c>
      <c r="B918" s="1"/>
      <c r="C918" s="1"/>
      <c r="D918" s="1" t="s">
        <v>148</v>
      </c>
      <c r="E918" t="s">
        <v>136</v>
      </c>
    </row>
    <row r="919" spans="1:5" x14ac:dyDescent="0.35">
      <c r="A919" s="1" t="s">
        <v>147</v>
      </c>
      <c r="B919" s="1"/>
      <c r="C919" s="1"/>
      <c r="D919" s="1" t="s">
        <v>149</v>
      </c>
      <c r="E919" t="s">
        <v>136</v>
      </c>
    </row>
    <row r="920" spans="1:5" x14ac:dyDescent="0.35">
      <c r="A920" s="1" t="s">
        <v>147</v>
      </c>
      <c r="B920" s="1" t="s">
        <v>156</v>
      </c>
      <c r="C920" s="1" t="s">
        <v>145</v>
      </c>
      <c r="D920" s="1" t="s">
        <v>146</v>
      </c>
      <c r="E920" t="s">
        <v>136</v>
      </c>
    </row>
    <row r="921" spans="1:5" x14ac:dyDescent="0.35">
      <c r="A921" s="1" t="s">
        <v>147</v>
      </c>
      <c r="B921" s="1"/>
      <c r="C921" s="1"/>
      <c r="D921" s="1" t="s">
        <v>148</v>
      </c>
      <c r="E921" t="s">
        <v>136</v>
      </c>
    </row>
    <row r="922" spans="1:5" x14ac:dyDescent="0.35">
      <c r="A922" s="1" t="s">
        <v>147</v>
      </c>
      <c r="B922" s="1"/>
      <c r="C922" s="1"/>
      <c r="D922" s="1" t="s">
        <v>149</v>
      </c>
      <c r="E922" t="s">
        <v>136</v>
      </c>
    </row>
    <row r="923" spans="1:5" x14ac:dyDescent="0.35">
      <c r="A923" s="1" t="s">
        <v>147</v>
      </c>
      <c r="B923" s="1"/>
      <c r="C923" s="1" t="s">
        <v>150</v>
      </c>
      <c r="D923" s="1" t="s">
        <v>146</v>
      </c>
      <c r="E923" t="s">
        <v>136</v>
      </c>
    </row>
    <row r="924" spans="1:5" x14ac:dyDescent="0.35">
      <c r="A924" s="1" t="s">
        <v>147</v>
      </c>
      <c r="B924" s="1"/>
      <c r="C924" s="1"/>
      <c r="D924" s="1" t="s">
        <v>148</v>
      </c>
      <c r="E924" t="s">
        <v>136</v>
      </c>
    </row>
    <row r="925" spans="1:5" x14ac:dyDescent="0.35">
      <c r="A925" s="1" t="s">
        <v>147</v>
      </c>
      <c r="B925" s="1"/>
      <c r="C925" s="1"/>
      <c r="D925" s="1" t="s">
        <v>149</v>
      </c>
      <c r="E925" t="s">
        <v>136</v>
      </c>
    </row>
    <row r="926" spans="1:5" x14ac:dyDescent="0.35">
      <c r="A926" s="1" t="s">
        <v>147</v>
      </c>
      <c r="B926" s="1" t="s">
        <v>157</v>
      </c>
      <c r="C926" s="1" t="s">
        <v>145</v>
      </c>
      <c r="D926" s="1" t="s">
        <v>146</v>
      </c>
      <c r="E926" t="s">
        <v>136</v>
      </c>
    </row>
    <row r="927" spans="1:5" x14ac:dyDescent="0.35">
      <c r="A927" s="1" t="s">
        <v>147</v>
      </c>
      <c r="B927" s="1"/>
      <c r="C927" s="1"/>
      <c r="D927" s="1" t="s">
        <v>148</v>
      </c>
      <c r="E927" t="s">
        <v>136</v>
      </c>
    </row>
    <row r="928" spans="1:5" x14ac:dyDescent="0.35">
      <c r="A928" s="1" t="s">
        <v>147</v>
      </c>
      <c r="B928" s="1"/>
      <c r="C928" s="1"/>
      <c r="D928" s="1" t="s">
        <v>149</v>
      </c>
      <c r="E928" t="s">
        <v>136</v>
      </c>
    </row>
    <row r="929" spans="1:5" x14ac:dyDescent="0.35">
      <c r="A929" s="1" t="s">
        <v>147</v>
      </c>
      <c r="B929" s="1"/>
      <c r="C929" s="1" t="s">
        <v>150</v>
      </c>
      <c r="D929" s="1" t="s">
        <v>146</v>
      </c>
      <c r="E929" t="s">
        <v>136</v>
      </c>
    </row>
    <row r="930" spans="1:5" x14ac:dyDescent="0.35">
      <c r="A930" s="1" t="s">
        <v>147</v>
      </c>
      <c r="B930" s="1"/>
      <c r="C930" s="1"/>
      <c r="D930" s="1" t="s">
        <v>148</v>
      </c>
      <c r="E930" t="s">
        <v>136</v>
      </c>
    </row>
    <row r="931" spans="1:5" x14ac:dyDescent="0.35">
      <c r="A931" s="1" t="s">
        <v>147</v>
      </c>
      <c r="B931" s="1"/>
      <c r="C931" s="1"/>
      <c r="D931" s="1" t="s">
        <v>149</v>
      </c>
      <c r="E931" t="s">
        <v>136</v>
      </c>
    </row>
    <row r="932" spans="1:5" x14ac:dyDescent="0.35">
      <c r="A932" s="1" t="s">
        <v>147</v>
      </c>
      <c r="B932" s="1" t="s">
        <v>158</v>
      </c>
      <c r="C932" s="1" t="s">
        <v>145</v>
      </c>
      <c r="D932" s="1" t="s">
        <v>146</v>
      </c>
      <c r="E932" t="s">
        <v>136</v>
      </c>
    </row>
    <row r="933" spans="1:5" x14ac:dyDescent="0.35">
      <c r="A933" s="1" t="s">
        <v>147</v>
      </c>
      <c r="B933" s="1"/>
      <c r="C933" s="1"/>
      <c r="D933" s="1" t="s">
        <v>148</v>
      </c>
      <c r="E933" t="s">
        <v>136</v>
      </c>
    </row>
    <row r="934" spans="1:5" x14ac:dyDescent="0.35">
      <c r="A934" s="1" t="s">
        <v>147</v>
      </c>
      <c r="B934" s="1"/>
      <c r="C934" s="1"/>
      <c r="D934" s="1" t="s">
        <v>149</v>
      </c>
      <c r="E934" t="s">
        <v>136</v>
      </c>
    </row>
    <row r="935" spans="1:5" x14ac:dyDescent="0.35">
      <c r="A935" s="1" t="s">
        <v>147</v>
      </c>
      <c r="B935" s="1"/>
      <c r="C935" s="1" t="s">
        <v>150</v>
      </c>
      <c r="D935" s="1" t="s">
        <v>146</v>
      </c>
      <c r="E935" t="s">
        <v>136</v>
      </c>
    </row>
    <row r="936" spans="1:5" x14ac:dyDescent="0.35">
      <c r="A936" s="1" t="s">
        <v>147</v>
      </c>
      <c r="B936" s="1"/>
      <c r="C936" s="1"/>
      <c r="D936" s="1" t="s">
        <v>148</v>
      </c>
      <c r="E936" t="s">
        <v>136</v>
      </c>
    </row>
    <row r="937" spans="1:5" x14ac:dyDescent="0.35">
      <c r="A937" s="1" t="s">
        <v>147</v>
      </c>
      <c r="B937" s="1"/>
      <c r="C937" s="1"/>
      <c r="D937" s="1" t="s">
        <v>149</v>
      </c>
      <c r="E937" t="s">
        <v>136</v>
      </c>
    </row>
    <row r="938" spans="1:5" x14ac:dyDescent="0.35">
      <c r="A938" s="1" t="s">
        <v>147</v>
      </c>
      <c r="B938" s="1" t="s">
        <v>159</v>
      </c>
      <c r="C938" s="1" t="s">
        <v>145</v>
      </c>
      <c r="D938" s="1" t="s">
        <v>146</v>
      </c>
      <c r="E938" t="s">
        <v>136</v>
      </c>
    </row>
    <row r="939" spans="1:5" x14ac:dyDescent="0.35">
      <c r="A939" s="1" t="s">
        <v>147</v>
      </c>
      <c r="B939" s="1"/>
      <c r="C939" s="1"/>
      <c r="D939" s="1" t="s">
        <v>148</v>
      </c>
      <c r="E939" t="s">
        <v>136</v>
      </c>
    </row>
    <row r="940" spans="1:5" x14ac:dyDescent="0.35">
      <c r="A940" s="1" t="s">
        <v>147</v>
      </c>
      <c r="B940" s="1"/>
      <c r="C940" s="1"/>
      <c r="D940" s="1" t="s">
        <v>149</v>
      </c>
      <c r="E940" t="s">
        <v>136</v>
      </c>
    </row>
    <row r="941" spans="1:5" x14ac:dyDescent="0.35">
      <c r="A941" s="1" t="s">
        <v>147</v>
      </c>
      <c r="B941" s="1"/>
      <c r="C941" s="1" t="s">
        <v>150</v>
      </c>
      <c r="D941" s="1" t="s">
        <v>146</v>
      </c>
      <c r="E941" t="s">
        <v>136</v>
      </c>
    </row>
    <row r="942" spans="1:5" x14ac:dyDescent="0.35">
      <c r="A942" s="1" t="s">
        <v>147</v>
      </c>
      <c r="B942" s="1"/>
      <c r="C942" s="1"/>
      <c r="D942" s="1" t="s">
        <v>148</v>
      </c>
      <c r="E942" t="s">
        <v>136</v>
      </c>
    </row>
    <row r="943" spans="1:5" x14ac:dyDescent="0.35">
      <c r="A943" s="1" t="s">
        <v>147</v>
      </c>
      <c r="B943" s="1"/>
      <c r="C943" s="1"/>
      <c r="D943" s="1" t="s">
        <v>149</v>
      </c>
      <c r="E943" t="s">
        <v>136</v>
      </c>
    </row>
    <row r="944" spans="1:5" x14ac:dyDescent="0.35">
      <c r="A944" s="1" t="s">
        <v>147</v>
      </c>
      <c r="B944" s="1" t="s">
        <v>160</v>
      </c>
      <c r="C944" s="1" t="s">
        <v>145</v>
      </c>
      <c r="D944" s="1" t="s">
        <v>146</v>
      </c>
      <c r="E944" t="s">
        <v>136</v>
      </c>
    </row>
    <row r="945" spans="1:5" x14ac:dyDescent="0.35">
      <c r="A945" s="1" t="s">
        <v>147</v>
      </c>
      <c r="B945" s="1"/>
      <c r="C945" s="1"/>
      <c r="D945" s="1" t="s">
        <v>148</v>
      </c>
      <c r="E945" t="s">
        <v>136</v>
      </c>
    </row>
    <row r="946" spans="1:5" x14ac:dyDescent="0.35">
      <c r="A946" s="1" t="s">
        <v>147</v>
      </c>
      <c r="B946" s="1"/>
      <c r="C946" s="1"/>
      <c r="D946" s="1" t="s">
        <v>149</v>
      </c>
      <c r="E946" t="s">
        <v>136</v>
      </c>
    </row>
    <row r="947" spans="1:5" x14ac:dyDescent="0.35">
      <c r="A947" s="1" t="s">
        <v>147</v>
      </c>
      <c r="B947" s="1"/>
      <c r="C947" s="1" t="s">
        <v>150</v>
      </c>
      <c r="D947" s="1" t="s">
        <v>146</v>
      </c>
      <c r="E947" t="s">
        <v>136</v>
      </c>
    </row>
    <row r="948" spans="1:5" x14ac:dyDescent="0.35">
      <c r="A948" s="1" t="s">
        <v>147</v>
      </c>
      <c r="B948" s="1"/>
      <c r="C948" s="1"/>
      <c r="D948" s="1" t="s">
        <v>148</v>
      </c>
      <c r="E948" t="s">
        <v>136</v>
      </c>
    </row>
    <row r="949" spans="1:5" x14ac:dyDescent="0.35">
      <c r="A949" s="1" t="s">
        <v>147</v>
      </c>
      <c r="B949" s="1"/>
      <c r="C949" s="1"/>
      <c r="D949" s="1" t="s">
        <v>149</v>
      </c>
      <c r="E949" t="s">
        <v>136</v>
      </c>
    </row>
    <row r="950" spans="1:5" x14ac:dyDescent="0.35">
      <c r="A950" s="1" t="s">
        <v>147</v>
      </c>
      <c r="B950" s="1" t="s">
        <v>161</v>
      </c>
      <c r="C950" s="1" t="s">
        <v>145</v>
      </c>
      <c r="D950" s="1" t="s">
        <v>146</v>
      </c>
      <c r="E950" t="s">
        <v>136</v>
      </c>
    </row>
    <row r="951" spans="1:5" x14ac:dyDescent="0.35">
      <c r="A951" s="1" t="s">
        <v>147</v>
      </c>
      <c r="B951" s="1"/>
      <c r="C951" s="1"/>
      <c r="D951" s="1" t="s">
        <v>148</v>
      </c>
      <c r="E951" t="s">
        <v>136</v>
      </c>
    </row>
    <row r="952" spans="1:5" x14ac:dyDescent="0.35">
      <c r="A952" s="1" t="s">
        <v>147</v>
      </c>
      <c r="B952" s="1"/>
      <c r="C952" s="1"/>
      <c r="D952" s="1" t="s">
        <v>149</v>
      </c>
      <c r="E952" t="s">
        <v>136</v>
      </c>
    </row>
    <row r="953" spans="1:5" x14ac:dyDescent="0.35">
      <c r="A953" s="1" t="s">
        <v>147</v>
      </c>
      <c r="B953" s="1"/>
      <c r="C953" s="1" t="s">
        <v>150</v>
      </c>
      <c r="D953" s="1" t="s">
        <v>146</v>
      </c>
      <c r="E953" t="s">
        <v>136</v>
      </c>
    </row>
    <row r="954" spans="1:5" x14ac:dyDescent="0.35">
      <c r="A954" s="1" t="s">
        <v>147</v>
      </c>
      <c r="B954" s="1"/>
      <c r="C954" s="1"/>
      <c r="D954" s="1" t="s">
        <v>148</v>
      </c>
      <c r="E954" t="s">
        <v>136</v>
      </c>
    </row>
    <row r="955" spans="1:5" x14ac:dyDescent="0.35">
      <c r="A955" s="1" t="s">
        <v>147</v>
      </c>
      <c r="B955" s="1"/>
      <c r="C955" s="1"/>
      <c r="D955" s="1" t="s">
        <v>149</v>
      </c>
      <c r="E955" t="s">
        <v>136</v>
      </c>
    </row>
    <row r="956" spans="1:5" x14ac:dyDescent="0.35">
      <c r="A956" s="1" t="s">
        <v>147</v>
      </c>
      <c r="B956" s="1" t="s">
        <v>162</v>
      </c>
      <c r="C956" s="1" t="s">
        <v>145</v>
      </c>
      <c r="D956" s="1" t="s">
        <v>146</v>
      </c>
      <c r="E956" t="s">
        <v>136</v>
      </c>
    </row>
    <row r="957" spans="1:5" x14ac:dyDescent="0.35">
      <c r="A957" s="1" t="s">
        <v>147</v>
      </c>
      <c r="B957" s="1"/>
      <c r="C957" s="1"/>
      <c r="D957" s="1" t="s">
        <v>148</v>
      </c>
      <c r="E957" t="s">
        <v>136</v>
      </c>
    </row>
    <row r="958" spans="1:5" x14ac:dyDescent="0.35">
      <c r="A958" s="1" t="s">
        <v>147</v>
      </c>
      <c r="B958" s="1"/>
      <c r="C958" s="1"/>
      <c r="D958" s="1" t="s">
        <v>149</v>
      </c>
      <c r="E958" t="s">
        <v>136</v>
      </c>
    </row>
    <row r="959" spans="1:5" x14ac:dyDescent="0.35">
      <c r="A959" s="1" t="s">
        <v>147</v>
      </c>
      <c r="B959" s="1"/>
      <c r="C959" s="1" t="s">
        <v>150</v>
      </c>
      <c r="D959" s="1" t="s">
        <v>146</v>
      </c>
      <c r="E959" t="s">
        <v>136</v>
      </c>
    </row>
    <row r="960" spans="1:5" x14ac:dyDescent="0.35">
      <c r="A960" s="1" t="s">
        <v>147</v>
      </c>
      <c r="B960" s="1"/>
      <c r="C960" s="1"/>
      <c r="D960" s="1" t="s">
        <v>148</v>
      </c>
      <c r="E960" t="s">
        <v>136</v>
      </c>
    </row>
    <row r="961" spans="1:5" x14ac:dyDescent="0.35">
      <c r="A961" s="1" t="s">
        <v>147</v>
      </c>
      <c r="B961" s="1"/>
      <c r="C961" s="1"/>
      <c r="D961" s="1" t="s">
        <v>149</v>
      </c>
      <c r="E961" t="s">
        <v>136</v>
      </c>
    </row>
    <row r="962" spans="1:5" x14ac:dyDescent="0.35">
      <c r="A962" s="1" t="s">
        <v>147</v>
      </c>
      <c r="B962" s="1" t="s">
        <v>163</v>
      </c>
      <c r="C962" s="1" t="s">
        <v>145</v>
      </c>
      <c r="D962" s="1" t="s">
        <v>146</v>
      </c>
      <c r="E962">
        <v>702.58</v>
      </c>
    </row>
    <row r="963" spans="1:5" x14ac:dyDescent="0.35">
      <c r="A963" s="1" t="s">
        <v>147</v>
      </c>
      <c r="B963" s="1"/>
      <c r="C963" s="1"/>
      <c r="D963" s="1" t="s">
        <v>148</v>
      </c>
      <c r="E963">
        <v>663.36</v>
      </c>
    </row>
    <row r="964" spans="1:5" x14ac:dyDescent="0.35">
      <c r="A964" s="1" t="s">
        <v>147</v>
      </c>
      <c r="B964" s="1"/>
      <c r="C964" s="1"/>
      <c r="D964" s="1" t="s">
        <v>149</v>
      </c>
      <c r="E964">
        <v>39.22</v>
      </c>
    </row>
    <row r="965" spans="1:5" x14ac:dyDescent="0.35">
      <c r="A965" s="1" t="s">
        <v>147</v>
      </c>
      <c r="B965" s="1"/>
      <c r="C965" s="1" t="s">
        <v>150</v>
      </c>
      <c r="D965" s="1" t="s">
        <v>146</v>
      </c>
      <c r="E965" t="s">
        <v>136</v>
      </c>
    </row>
    <row r="966" spans="1:5" x14ac:dyDescent="0.35">
      <c r="A966" s="1" t="s">
        <v>147</v>
      </c>
      <c r="B966" s="1"/>
      <c r="C966" s="1"/>
      <c r="D966" s="1" t="s">
        <v>148</v>
      </c>
      <c r="E966" t="s">
        <v>136</v>
      </c>
    </row>
    <row r="967" spans="1:5" x14ac:dyDescent="0.35">
      <c r="A967" s="1" t="s">
        <v>147</v>
      </c>
      <c r="B967" s="1"/>
      <c r="C967" s="1"/>
      <c r="D967" s="1" t="s">
        <v>149</v>
      </c>
      <c r="E967" t="s">
        <v>136</v>
      </c>
    </row>
    <row r="968" spans="1:5" x14ac:dyDescent="0.35">
      <c r="A968" s="1" t="s">
        <v>147</v>
      </c>
      <c r="B968" s="1" t="s">
        <v>164</v>
      </c>
      <c r="C968" s="1" t="s">
        <v>145</v>
      </c>
      <c r="D968" s="1" t="s">
        <v>146</v>
      </c>
      <c r="E968" t="s">
        <v>136</v>
      </c>
    </row>
    <row r="969" spans="1:5" x14ac:dyDescent="0.35">
      <c r="A969" s="1" t="s">
        <v>147</v>
      </c>
      <c r="B969" s="1"/>
      <c r="C969" s="1"/>
      <c r="D969" s="1" t="s">
        <v>148</v>
      </c>
      <c r="E969" t="s">
        <v>136</v>
      </c>
    </row>
    <row r="970" spans="1:5" x14ac:dyDescent="0.35">
      <c r="A970" s="1" t="s">
        <v>147</v>
      </c>
      <c r="B970" s="1"/>
      <c r="C970" s="1"/>
      <c r="D970" s="1" t="s">
        <v>149</v>
      </c>
      <c r="E970" t="s">
        <v>136</v>
      </c>
    </row>
    <row r="971" spans="1:5" x14ac:dyDescent="0.35">
      <c r="A971" s="1" t="s">
        <v>147</v>
      </c>
      <c r="B971" s="1"/>
      <c r="C971" s="1" t="s">
        <v>150</v>
      </c>
      <c r="D971" s="1" t="s">
        <v>146</v>
      </c>
      <c r="E971" t="s">
        <v>136</v>
      </c>
    </row>
    <row r="972" spans="1:5" x14ac:dyDescent="0.35">
      <c r="A972" s="1" t="s">
        <v>147</v>
      </c>
      <c r="B972" s="1"/>
      <c r="C972" s="1"/>
      <c r="D972" s="1" t="s">
        <v>148</v>
      </c>
      <c r="E972" t="s">
        <v>136</v>
      </c>
    </row>
    <row r="973" spans="1:5" x14ac:dyDescent="0.35">
      <c r="A973" s="1" t="s">
        <v>147</v>
      </c>
      <c r="B973" s="1"/>
      <c r="C973" s="1"/>
      <c r="D973" s="1" t="s">
        <v>149</v>
      </c>
      <c r="E973" t="s">
        <v>136</v>
      </c>
    </row>
    <row r="974" spans="1:5" x14ac:dyDescent="0.35">
      <c r="A974" s="1" t="s">
        <v>147</v>
      </c>
      <c r="B974" s="1" t="s">
        <v>165</v>
      </c>
      <c r="C974" s="1" t="s">
        <v>145</v>
      </c>
      <c r="D974" s="1" t="s">
        <v>146</v>
      </c>
      <c r="E974" t="s">
        <v>136</v>
      </c>
    </row>
    <row r="975" spans="1:5" x14ac:dyDescent="0.35">
      <c r="A975" s="1" t="s">
        <v>147</v>
      </c>
      <c r="B975" s="1"/>
      <c r="C975" s="1"/>
      <c r="D975" s="1" t="s">
        <v>148</v>
      </c>
      <c r="E975" t="s">
        <v>136</v>
      </c>
    </row>
    <row r="976" spans="1:5" x14ac:dyDescent="0.35">
      <c r="A976" s="1" t="s">
        <v>147</v>
      </c>
      <c r="B976" s="1"/>
      <c r="C976" s="1"/>
      <c r="D976" s="1" t="s">
        <v>149</v>
      </c>
      <c r="E976" t="s">
        <v>136</v>
      </c>
    </row>
    <row r="977" spans="1:5" x14ac:dyDescent="0.35">
      <c r="A977" s="1" t="s">
        <v>147</v>
      </c>
      <c r="B977" s="1"/>
      <c r="C977" s="1" t="s">
        <v>150</v>
      </c>
      <c r="D977" s="1" t="s">
        <v>146</v>
      </c>
      <c r="E977" t="s">
        <v>136</v>
      </c>
    </row>
    <row r="978" spans="1:5" x14ac:dyDescent="0.35">
      <c r="A978" s="1" t="s">
        <v>147</v>
      </c>
      <c r="B978" s="1"/>
      <c r="C978" s="1"/>
      <c r="D978" s="1" t="s">
        <v>148</v>
      </c>
      <c r="E978" t="s">
        <v>136</v>
      </c>
    </row>
    <row r="979" spans="1:5" x14ac:dyDescent="0.35">
      <c r="A979" s="1" t="s">
        <v>147</v>
      </c>
      <c r="B979" s="1"/>
      <c r="C979" s="1"/>
      <c r="D979" s="1" t="s">
        <v>149</v>
      </c>
      <c r="E979" t="s">
        <v>136</v>
      </c>
    </row>
    <row r="980" spans="1:5" x14ac:dyDescent="0.35">
      <c r="A980" s="1" t="s">
        <v>147</v>
      </c>
      <c r="B980" s="1" t="s">
        <v>166</v>
      </c>
      <c r="C980" s="1" t="s">
        <v>145</v>
      </c>
      <c r="D980" s="1" t="s">
        <v>146</v>
      </c>
      <c r="E980">
        <v>434.37</v>
      </c>
    </row>
    <row r="981" spans="1:5" x14ac:dyDescent="0.35">
      <c r="A981" s="1" t="s">
        <v>147</v>
      </c>
      <c r="B981" s="1"/>
      <c r="C981" s="1"/>
      <c r="D981" s="1" t="s">
        <v>148</v>
      </c>
      <c r="E981">
        <v>395.15</v>
      </c>
    </row>
    <row r="982" spans="1:5" x14ac:dyDescent="0.35">
      <c r="A982" s="1" t="s">
        <v>147</v>
      </c>
      <c r="B982" s="1"/>
      <c r="C982" s="1"/>
      <c r="D982" s="1" t="s">
        <v>149</v>
      </c>
      <c r="E982">
        <v>39.22</v>
      </c>
    </row>
    <row r="983" spans="1:5" x14ac:dyDescent="0.35">
      <c r="A983" s="1" t="s">
        <v>147</v>
      </c>
      <c r="B983" s="1"/>
      <c r="C983" s="1" t="s">
        <v>150</v>
      </c>
      <c r="D983" s="1" t="s">
        <v>146</v>
      </c>
      <c r="E983" t="s">
        <v>136</v>
      </c>
    </row>
    <row r="984" spans="1:5" x14ac:dyDescent="0.35">
      <c r="A984" s="1" t="s">
        <v>147</v>
      </c>
      <c r="B984" s="1"/>
      <c r="C984" s="1"/>
      <c r="D984" s="1" t="s">
        <v>148</v>
      </c>
      <c r="E984" t="s">
        <v>136</v>
      </c>
    </row>
    <row r="985" spans="1:5" x14ac:dyDescent="0.35">
      <c r="A985" s="1" t="s">
        <v>147</v>
      </c>
      <c r="B985" s="1"/>
      <c r="C985" s="1"/>
      <c r="D985" s="1" t="s">
        <v>149</v>
      </c>
      <c r="E985" t="s">
        <v>136</v>
      </c>
    </row>
    <row r="986" spans="1:5" x14ac:dyDescent="0.35">
      <c r="A986" s="1" t="s">
        <v>147</v>
      </c>
      <c r="B986" s="1" t="s">
        <v>167</v>
      </c>
      <c r="C986" s="1" t="s">
        <v>145</v>
      </c>
      <c r="D986" s="1" t="s">
        <v>146</v>
      </c>
      <c r="E986">
        <v>268.20999999999998</v>
      </c>
    </row>
    <row r="987" spans="1:5" x14ac:dyDescent="0.35">
      <c r="A987" s="1" t="s">
        <v>147</v>
      </c>
      <c r="B987" s="1"/>
      <c r="C987" s="1"/>
      <c r="D987" s="1" t="s">
        <v>148</v>
      </c>
      <c r="E987">
        <v>268.20999999999998</v>
      </c>
    </row>
    <row r="988" spans="1:5" x14ac:dyDescent="0.35">
      <c r="A988" s="1" t="s">
        <v>147</v>
      </c>
      <c r="B988" s="1"/>
      <c r="C988" s="1"/>
      <c r="D988" s="1" t="s">
        <v>149</v>
      </c>
      <c r="E988" t="s">
        <v>136</v>
      </c>
    </row>
    <row r="989" spans="1:5" x14ac:dyDescent="0.35">
      <c r="A989" s="1" t="s">
        <v>147</v>
      </c>
      <c r="B989" s="1"/>
      <c r="C989" s="1" t="s">
        <v>150</v>
      </c>
      <c r="D989" s="1" t="s">
        <v>146</v>
      </c>
      <c r="E989" t="s">
        <v>136</v>
      </c>
    </row>
    <row r="990" spans="1:5" x14ac:dyDescent="0.35">
      <c r="A990" s="1" t="s">
        <v>147</v>
      </c>
      <c r="B990" s="1"/>
      <c r="C990" s="1"/>
      <c r="D990" s="1" t="s">
        <v>148</v>
      </c>
      <c r="E990" t="s">
        <v>136</v>
      </c>
    </row>
    <row r="991" spans="1:5" x14ac:dyDescent="0.35">
      <c r="A991" s="1" t="s">
        <v>147</v>
      </c>
      <c r="B991" s="1"/>
      <c r="C991" s="1"/>
      <c r="D991" s="1" t="s">
        <v>149</v>
      </c>
      <c r="E991" t="s">
        <v>136</v>
      </c>
    </row>
    <row r="992" spans="1:5" x14ac:dyDescent="0.35">
      <c r="A992" s="1" t="s">
        <v>147</v>
      </c>
      <c r="B992" s="1" t="s">
        <v>168</v>
      </c>
      <c r="C992" s="1" t="s">
        <v>145</v>
      </c>
      <c r="D992" s="1" t="s">
        <v>146</v>
      </c>
      <c r="E992" t="s">
        <v>136</v>
      </c>
    </row>
    <row r="993" spans="1:5" x14ac:dyDescent="0.35">
      <c r="A993" s="1" t="s">
        <v>147</v>
      </c>
      <c r="B993" s="1"/>
      <c r="C993" s="1"/>
      <c r="D993" s="1" t="s">
        <v>148</v>
      </c>
      <c r="E993" t="s">
        <v>136</v>
      </c>
    </row>
    <row r="994" spans="1:5" x14ac:dyDescent="0.35">
      <c r="A994" s="1" t="s">
        <v>147</v>
      </c>
      <c r="B994" s="1"/>
      <c r="C994" s="1"/>
      <c r="D994" s="1" t="s">
        <v>149</v>
      </c>
      <c r="E994" t="s">
        <v>136</v>
      </c>
    </row>
    <row r="995" spans="1:5" x14ac:dyDescent="0.35">
      <c r="A995" s="1" t="s">
        <v>147</v>
      </c>
      <c r="B995" s="1"/>
      <c r="C995" s="1" t="s">
        <v>150</v>
      </c>
      <c r="D995" s="1" t="s">
        <v>146</v>
      </c>
      <c r="E995" t="s">
        <v>136</v>
      </c>
    </row>
    <row r="996" spans="1:5" x14ac:dyDescent="0.35">
      <c r="A996" s="1" t="s">
        <v>147</v>
      </c>
      <c r="B996" s="1"/>
      <c r="C996" s="1"/>
      <c r="D996" s="1" t="s">
        <v>148</v>
      </c>
      <c r="E996" t="s">
        <v>136</v>
      </c>
    </row>
    <row r="997" spans="1:5" x14ac:dyDescent="0.35">
      <c r="A997" s="1" t="s">
        <v>147</v>
      </c>
      <c r="B997" s="1"/>
      <c r="C997" s="1"/>
      <c r="D997" s="1" t="s">
        <v>149</v>
      </c>
      <c r="E997" t="s">
        <v>136</v>
      </c>
    </row>
    <row r="998" spans="1:5" x14ac:dyDescent="0.35">
      <c r="A998" s="1" t="s">
        <v>147</v>
      </c>
      <c r="B998" s="1" t="s">
        <v>169</v>
      </c>
      <c r="C998" s="1" t="s">
        <v>145</v>
      </c>
      <c r="D998" s="1" t="s">
        <v>146</v>
      </c>
      <c r="E998" t="s">
        <v>136</v>
      </c>
    </row>
    <row r="999" spans="1:5" x14ac:dyDescent="0.35">
      <c r="A999" s="1" t="s">
        <v>147</v>
      </c>
      <c r="B999" s="1"/>
      <c r="C999" s="1"/>
      <c r="D999" s="1" t="s">
        <v>148</v>
      </c>
      <c r="E999" t="s">
        <v>136</v>
      </c>
    </row>
    <row r="1000" spans="1:5" x14ac:dyDescent="0.35">
      <c r="A1000" s="1" t="s">
        <v>147</v>
      </c>
      <c r="B1000" s="1"/>
      <c r="C1000" s="1"/>
      <c r="D1000" s="1" t="s">
        <v>149</v>
      </c>
      <c r="E1000" t="s">
        <v>136</v>
      </c>
    </row>
    <row r="1001" spans="1:5" x14ac:dyDescent="0.35">
      <c r="A1001" s="1" t="s">
        <v>147</v>
      </c>
      <c r="B1001" s="1"/>
      <c r="C1001" s="1" t="s">
        <v>150</v>
      </c>
      <c r="D1001" s="1" t="s">
        <v>146</v>
      </c>
      <c r="E1001" t="s">
        <v>136</v>
      </c>
    </row>
    <row r="1002" spans="1:5" x14ac:dyDescent="0.35">
      <c r="A1002" s="1" t="s">
        <v>147</v>
      </c>
      <c r="B1002" s="1"/>
      <c r="C1002" s="1"/>
      <c r="D1002" s="1" t="s">
        <v>148</v>
      </c>
      <c r="E1002" t="s">
        <v>136</v>
      </c>
    </row>
    <row r="1003" spans="1:5" x14ac:dyDescent="0.35">
      <c r="A1003" s="1" t="s">
        <v>147</v>
      </c>
      <c r="B1003" s="1"/>
      <c r="C1003" s="1"/>
      <c r="D1003" s="1" t="s">
        <v>149</v>
      </c>
      <c r="E1003" t="s">
        <v>136</v>
      </c>
    </row>
    <row r="1004" spans="1:5" x14ac:dyDescent="0.35">
      <c r="A1004" s="1" t="s">
        <v>147</v>
      </c>
      <c r="B1004" s="1" t="s">
        <v>170</v>
      </c>
      <c r="C1004" s="1" t="s">
        <v>145</v>
      </c>
      <c r="D1004" s="1" t="s">
        <v>146</v>
      </c>
      <c r="E1004" t="s">
        <v>136</v>
      </c>
    </row>
    <row r="1005" spans="1:5" x14ac:dyDescent="0.35">
      <c r="A1005" s="1" t="s">
        <v>147</v>
      </c>
      <c r="B1005" s="1"/>
      <c r="C1005" s="1"/>
      <c r="D1005" s="1" t="s">
        <v>148</v>
      </c>
      <c r="E1005" t="s">
        <v>136</v>
      </c>
    </row>
    <row r="1006" spans="1:5" x14ac:dyDescent="0.35">
      <c r="A1006" s="1" t="s">
        <v>147</v>
      </c>
      <c r="B1006" s="1"/>
      <c r="C1006" s="1"/>
      <c r="D1006" s="1" t="s">
        <v>149</v>
      </c>
      <c r="E1006" t="s">
        <v>136</v>
      </c>
    </row>
    <row r="1007" spans="1:5" x14ac:dyDescent="0.35">
      <c r="A1007" s="1" t="s">
        <v>147</v>
      </c>
      <c r="B1007" s="1"/>
      <c r="C1007" s="1" t="s">
        <v>150</v>
      </c>
      <c r="D1007" s="1" t="s">
        <v>146</v>
      </c>
      <c r="E1007" t="s">
        <v>136</v>
      </c>
    </row>
    <row r="1008" spans="1:5" x14ac:dyDescent="0.35">
      <c r="A1008" s="1" t="s">
        <v>147</v>
      </c>
      <c r="B1008" s="1"/>
      <c r="C1008" s="1"/>
      <c r="D1008" s="1" t="s">
        <v>148</v>
      </c>
      <c r="E1008" t="s">
        <v>136</v>
      </c>
    </row>
    <row r="1009" spans="1:5" x14ac:dyDescent="0.35">
      <c r="A1009" s="1" t="s">
        <v>147</v>
      </c>
      <c r="B1009" s="1"/>
      <c r="C1009" s="1"/>
      <c r="D1009" s="1" t="s">
        <v>149</v>
      </c>
      <c r="E1009" t="s">
        <v>136</v>
      </c>
    </row>
    <row r="1010" spans="1:5" x14ac:dyDescent="0.35">
      <c r="A1010" s="1" t="s">
        <v>114</v>
      </c>
      <c r="B1010" s="1" t="s">
        <v>144</v>
      </c>
      <c r="C1010" s="1" t="s">
        <v>145</v>
      </c>
      <c r="D1010" s="1" t="s">
        <v>146</v>
      </c>
      <c r="E1010">
        <v>4.84</v>
      </c>
    </row>
    <row r="1011" spans="1:5" x14ac:dyDescent="0.35">
      <c r="A1011" s="1" t="s">
        <v>147</v>
      </c>
      <c r="B1011" s="1"/>
      <c r="C1011" s="1"/>
      <c r="D1011" s="1" t="s">
        <v>148</v>
      </c>
      <c r="E1011">
        <v>2.5</v>
      </c>
    </row>
    <row r="1012" spans="1:5" x14ac:dyDescent="0.35">
      <c r="A1012" s="1" t="s">
        <v>147</v>
      </c>
      <c r="B1012" s="1"/>
      <c r="C1012" s="1"/>
      <c r="D1012" s="1" t="s">
        <v>149</v>
      </c>
      <c r="E1012">
        <v>2.34</v>
      </c>
    </row>
    <row r="1013" spans="1:5" x14ac:dyDescent="0.35">
      <c r="A1013" s="1" t="s">
        <v>147</v>
      </c>
      <c r="B1013" s="1"/>
      <c r="C1013" s="1" t="s">
        <v>150</v>
      </c>
      <c r="D1013" s="1" t="s">
        <v>146</v>
      </c>
      <c r="E1013" t="s">
        <v>136</v>
      </c>
    </row>
    <row r="1014" spans="1:5" x14ac:dyDescent="0.35">
      <c r="A1014" s="1" t="s">
        <v>147</v>
      </c>
      <c r="B1014" s="1"/>
      <c r="C1014" s="1"/>
      <c r="D1014" s="1" t="s">
        <v>148</v>
      </c>
      <c r="E1014" t="s">
        <v>136</v>
      </c>
    </row>
    <row r="1015" spans="1:5" x14ac:dyDescent="0.35">
      <c r="A1015" s="1" t="s">
        <v>147</v>
      </c>
      <c r="B1015" s="1"/>
      <c r="C1015" s="1"/>
      <c r="D1015" s="1" t="s">
        <v>149</v>
      </c>
      <c r="E1015" t="s">
        <v>136</v>
      </c>
    </row>
    <row r="1016" spans="1:5" x14ac:dyDescent="0.35">
      <c r="A1016" s="1" t="s">
        <v>147</v>
      </c>
      <c r="B1016" s="1" t="s">
        <v>151</v>
      </c>
      <c r="C1016" s="1" t="s">
        <v>145</v>
      </c>
      <c r="D1016" s="1" t="s">
        <v>146</v>
      </c>
      <c r="E1016">
        <v>1.74</v>
      </c>
    </row>
    <row r="1017" spans="1:5" x14ac:dyDescent="0.35">
      <c r="A1017" s="1" t="s">
        <v>147</v>
      </c>
      <c r="B1017" s="1"/>
      <c r="C1017" s="1"/>
      <c r="D1017" s="1" t="s">
        <v>148</v>
      </c>
      <c r="E1017">
        <v>0.5</v>
      </c>
    </row>
    <row r="1018" spans="1:5" x14ac:dyDescent="0.35">
      <c r="A1018" s="1" t="s">
        <v>147</v>
      </c>
      <c r="B1018" s="1"/>
      <c r="C1018" s="1"/>
      <c r="D1018" s="1" t="s">
        <v>149</v>
      </c>
      <c r="E1018">
        <v>1.24</v>
      </c>
    </row>
    <row r="1019" spans="1:5" x14ac:dyDescent="0.35">
      <c r="A1019" s="1" t="s">
        <v>147</v>
      </c>
      <c r="B1019" s="1"/>
      <c r="C1019" s="1" t="s">
        <v>150</v>
      </c>
      <c r="D1019" s="1" t="s">
        <v>146</v>
      </c>
      <c r="E1019" t="s">
        <v>136</v>
      </c>
    </row>
    <row r="1020" spans="1:5" x14ac:dyDescent="0.35">
      <c r="A1020" s="1" t="s">
        <v>147</v>
      </c>
      <c r="B1020" s="1"/>
      <c r="C1020" s="1"/>
      <c r="D1020" s="1" t="s">
        <v>148</v>
      </c>
      <c r="E1020" t="s">
        <v>136</v>
      </c>
    </row>
    <row r="1021" spans="1:5" x14ac:dyDescent="0.35">
      <c r="A1021" s="1" t="s">
        <v>147</v>
      </c>
      <c r="B1021" s="1"/>
      <c r="C1021" s="1"/>
      <c r="D1021" s="1" t="s">
        <v>149</v>
      </c>
      <c r="E1021" t="s">
        <v>136</v>
      </c>
    </row>
    <row r="1022" spans="1:5" x14ac:dyDescent="0.35">
      <c r="A1022" s="1" t="s">
        <v>147</v>
      </c>
      <c r="B1022" s="1" t="s">
        <v>152</v>
      </c>
      <c r="C1022" s="1" t="s">
        <v>145</v>
      </c>
      <c r="D1022" s="1" t="s">
        <v>146</v>
      </c>
      <c r="E1022" t="s">
        <v>136</v>
      </c>
    </row>
    <row r="1023" spans="1:5" x14ac:dyDescent="0.35">
      <c r="A1023" s="1" t="s">
        <v>147</v>
      </c>
      <c r="B1023" s="1"/>
      <c r="C1023" s="1"/>
      <c r="D1023" s="1" t="s">
        <v>148</v>
      </c>
      <c r="E1023" t="s">
        <v>136</v>
      </c>
    </row>
    <row r="1024" spans="1:5" x14ac:dyDescent="0.35">
      <c r="A1024" s="1" t="s">
        <v>147</v>
      </c>
      <c r="B1024" s="1"/>
      <c r="C1024" s="1"/>
      <c r="D1024" s="1" t="s">
        <v>149</v>
      </c>
      <c r="E1024" t="s">
        <v>136</v>
      </c>
    </row>
    <row r="1025" spans="1:5" x14ac:dyDescent="0.35">
      <c r="A1025" s="1" t="s">
        <v>147</v>
      </c>
      <c r="B1025" s="1"/>
      <c r="C1025" s="1" t="s">
        <v>150</v>
      </c>
      <c r="D1025" s="1" t="s">
        <v>146</v>
      </c>
      <c r="E1025" t="s">
        <v>136</v>
      </c>
    </row>
    <row r="1026" spans="1:5" x14ac:dyDescent="0.35">
      <c r="A1026" s="1" t="s">
        <v>147</v>
      </c>
      <c r="B1026" s="1"/>
      <c r="C1026" s="1"/>
      <c r="D1026" s="1" t="s">
        <v>148</v>
      </c>
      <c r="E1026" t="s">
        <v>136</v>
      </c>
    </row>
    <row r="1027" spans="1:5" x14ac:dyDescent="0.35">
      <c r="A1027" s="1" t="s">
        <v>147</v>
      </c>
      <c r="B1027" s="1"/>
      <c r="C1027" s="1"/>
      <c r="D1027" s="1" t="s">
        <v>149</v>
      </c>
      <c r="E1027" t="s">
        <v>136</v>
      </c>
    </row>
    <row r="1028" spans="1:5" x14ac:dyDescent="0.35">
      <c r="A1028" s="1" t="s">
        <v>147</v>
      </c>
      <c r="B1028" s="1" t="s">
        <v>153</v>
      </c>
      <c r="C1028" s="1" t="s">
        <v>145</v>
      </c>
      <c r="D1028" s="1" t="s">
        <v>146</v>
      </c>
      <c r="E1028">
        <v>1.1000000000000001</v>
      </c>
    </row>
    <row r="1029" spans="1:5" x14ac:dyDescent="0.35">
      <c r="A1029" s="1" t="s">
        <v>147</v>
      </c>
      <c r="B1029" s="1"/>
      <c r="C1029" s="1"/>
      <c r="D1029" s="1" t="s">
        <v>148</v>
      </c>
      <c r="E1029" t="s">
        <v>136</v>
      </c>
    </row>
    <row r="1030" spans="1:5" x14ac:dyDescent="0.35">
      <c r="A1030" s="1" t="s">
        <v>147</v>
      </c>
      <c r="B1030" s="1"/>
      <c r="C1030" s="1"/>
      <c r="D1030" s="1" t="s">
        <v>149</v>
      </c>
      <c r="E1030">
        <v>1.1000000000000001</v>
      </c>
    </row>
    <row r="1031" spans="1:5" x14ac:dyDescent="0.35">
      <c r="A1031" s="1" t="s">
        <v>147</v>
      </c>
      <c r="B1031" s="1"/>
      <c r="C1031" s="1" t="s">
        <v>150</v>
      </c>
      <c r="D1031" s="1" t="s">
        <v>146</v>
      </c>
      <c r="E1031" t="s">
        <v>136</v>
      </c>
    </row>
    <row r="1032" spans="1:5" x14ac:dyDescent="0.35">
      <c r="A1032" s="1" t="s">
        <v>147</v>
      </c>
      <c r="B1032" s="1"/>
      <c r="C1032" s="1"/>
      <c r="D1032" s="1" t="s">
        <v>148</v>
      </c>
      <c r="E1032" t="s">
        <v>136</v>
      </c>
    </row>
    <row r="1033" spans="1:5" x14ac:dyDescent="0.35">
      <c r="A1033" s="1" t="s">
        <v>147</v>
      </c>
      <c r="B1033" s="1"/>
      <c r="C1033" s="1"/>
      <c r="D1033" s="1" t="s">
        <v>149</v>
      </c>
      <c r="E1033" t="s">
        <v>136</v>
      </c>
    </row>
    <row r="1034" spans="1:5" x14ac:dyDescent="0.35">
      <c r="A1034" s="1" t="s">
        <v>147</v>
      </c>
      <c r="B1034" s="1" t="s">
        <v>154</v>
      </c>
      <c r="C1034" s="1" t="s">
        <v>145</v>
      </c>
      <c r="D1034" s="1" t="s">
        <v>146</v>
      </c>
      <c r="E1034" t="s">
        <v>136</v>
      </c>
    </row>
    <row r="1035" spans="1:5" x14ac:dyDescent="0.35">
      <c r="A1035" s="1" t="s">
        <v>147</v>
      </c>
      <c r="B1035" s="1"/>
      <c r="C1035" s="1"/>
      <c r="D1035" s="1" t="s">
        <v>148</v>
      </c>
      <c r="E1035" t="s">
        <v>136</v>
      </c>
    </row>
    <row r="1036" spans="1:5" x14ac:dyDescent="0.35">
      <c r="A1036" s="1" t="s">
        <v>147</v>
      </c>
      <c r="B1036" s="1"/>
      <c r="C1036" s="1"/>
      <c r="D1036" s="1" t="s">
        <v>149</v>
      </c>
      <c r="E1036" t="s">
        <v>136</v>
      </c>
    </row>
    <row r="1037" spans="1:5" x14ac:dyDescent="0.35">
      <c r="A1037" s="1" t="s">
        <v>147</v>
      </c>
      <c r="B1037" s="1"/>
      <c r="C1037" s="1" t="s">
        <v>150</v>
      </c>
      <c r="D1037" s="1" t="s">
        <v>146</v>
      </c>
      <c r="E1037" t="s">
        <v>136</v>
      </c>
    </row>
    <row r="1038" spans="1:5" x14ac:dyDescent="0.35">
      <c r="A1038" s="1" t="s">
        <v>147</v>
      </c>
      <c r="B1038" s="1"/>
      <c r="C1038" s="1"/>
      <c r="D1038" s="1" t="s">
        <v>148</v>
      </c>
      <c r="E1038" t="s">
        <v>136</v>
      </c>
    </row>
    <row r="1039" spans="1:5" x14ac:dyDescent="0.35">
      <c r="A1039" s="1" t="s">
        <v>147</v>
      </c>
      <c r="B1039" s="1"/>
      <c r="C1039" s="1"/>
      <c r="D1039" s="1" t="s">
        <v>149</v>
      </c>
      <c r="E1039" t="s">
        <v>136</v>
      </c>
    </row>
    <row r="1040" spans="1:5" x14ac:dyDescent="0.35">
      <c r="A1040" s="1" t="s">
        <v>147</v>
      </c>
      <c r="B1040" s="1" t="s">
        <v>155</v>
      </c>
      <c r="C1040" s="1" t="s">
        <v>145</v>
      </c>
      <c r="D1040" s="1" t="s">
        <v>146</v>
      </c>
      <c r="E1040" t="s">
        <v>136</v>
      </c>
    </row>
    <row r="1041" spans="1:5" x14ac:dyDescent="0.35">
      <c r="A1041" s="1" t="s">
        <v>147</v>
      </c>
      <c r="B1041" s="1"/>
      <c r="C1041" s="1"/>
      <c r="D1041" s="1" t="s">
        <v>148</v>
      </c>
      <c r="E1041" t="s">
        <v>136</v>
      </c>
    </row>
    <row r="1042" spans="1:5" x14ac:dyDescent="0.35">
      <c r="A1042" s="1" t="s">
        <v>147</v>
      </c>
      <c r="B1042" s="1"/>
      <c r="C1042" s="1"/>
      <c r="D1042" s="1" t="s">
        <v>149</v>
      </c>
      <c r="E1042" t="s">
        <v>136</v>
      </c>
    </row>
    <row r="1043" spans="1:5" x14ac:dyDescent="0.35">
      <c r="A1043" s="1" t="s">
        <v>147</v>
      </c>
      <c r="B1043" s="1"/>
      <c r="C1043" s="1" t="s">
        <v>150</v>
      </c>
      <c r="D1043" s="1" t="s">
        <v>146</v>
      </c>
      <c r="E1043" t="s">
        <v>136</v>
      </c>
    </row>
    <row r="1044" spans="1:5" x14ac:dyDescent="0.35">
      <c r="A1044" s="1" t="s">
        <v>147</v>
      </c>
      <c r="B1044" s="1"/>
      <c r="C1044" s="1"/>
      <c r="D1044" s="1" t="s">
        <v>148</v>
      </c>
      <c r="E1044" t="s">
        <v>136</v>
      </c>
    </row>
    <row r="1045" spans="1:5" x14ac:dyDescent="0.35">
      <c r="A1045" s="1" t="s">
        <v>147</v>
      </c>
      <c r="B1045" s="1"/>
      <c r="C1045" s="1"/>
      <c r="D1045" s="1" t="s">
        <v>149</v>
      </c>
      <c r="E1045" t="s">
        <v>136</v>
      </c>
    </row>
    <row r="1046" spans="1:5" x14ac:dyDescent="0.35">
      <c r="A1046" s="1" t="s">
        <v>147</v>
      </c>
      <c r="B1046" s="1" t="s">
        <v>156</v>
      </c>
      <c r="C1046" s="1" t="s">
        <v>145</v>
      </c>
      <c r="D1046" s="1" t="s">
        <v>146</v>
      </c>
      <c r="E1046" t="s">
        <v>136</v>
      </c>
    </row>
    <row r="1047" spans="1:5" x14ac:dyDescent="0.35">
      <c r="A1047" s="1" t="s">
        <v>147</v>
      </c>
      <c r="B1047" s="1"/>
      <c r="C1047" s="1"/>
      <c r="D1047" s="1" t="s">
        <v>148</v>
      </c>
      <c r="E1047" t="s">
        <v>136</v>
      </c>
    </row>
    <row r="1048" spans="1:5" x14ac:dyDescent="0.35">
      <c r="A1048" s="1" t="s">
        <v>147</v>
      </c>
      <c r="B1048" s="1"/>
      <c r="C1048" s="1"/>
      <c r="D1048" s="1" t="s">
        <v>149</v>
      </c>
      <c r="E1048" t="s">
        <v>136</v>
      </c>
    </row>
    <row r="1049" spans="1:5" x14ac:dyDescent="0.35">
      <c r="A1049" s="1" t="s">
        <v>147</v>
      </c>
      <c r="B1049" s="1"/>
      <c r="C1049" s="1" t="s">
        <v>150</v>
      </c>
      <c r="D1049" s="1" t="s">
        <v>146</v>
      </c>
      <c r="E1049" t="s">
        <v>136</v>
      </c>
    </row>
    <row r="1050" spans="1:5" x14ac:dyDescent="0.35">
      <c r="A1050" s="1" t="s">
        <v>147</v>
      </c>
      <c r="B1050" s="1"/>
      <c r="C1050" s="1"/>
      <c r="D1050" s="1" t="s">
        <v>148</v>
      </c>
      <c r="E1050" t="s">
        <v>136</v>
      </c>
    </row>
    <row r="1051" spans="1:5" x14ac:dyDescent="0.35">
      <c r="A1051" s="1" t="s">
        <v>147</v>
      </c>
      <c r="B1051" s="1"/>
      <c r="C1051" s="1"/>
      <c r="D1051" s="1" t="s">
        <v>149</v>
      </c>
      <c r="E1051" t="s">
        <v>136</v>
      </c>
    </row>
    <row r="1052" spans="1:5" x14ac:dyDescent="0.35">
      <c r="A1052" s="1" t="s">
        <v>147</v>
      </c>
      <c r="B1052" s="1" t="s">
        <v>157</v>
      </c>
      <c r="C1052" s="1" t="s">
        <v>145</v>
      </c>
      <c r="D1052" s="1" t="s">
        <v>146</v>
      </c>
      <c r="E1052" t="s">
        <v>136</v>
      </c>
    </row>
    <row r="1053" spans="1:5" x14ac:dyDescent="0.35">
      <c r="A1053" s="1" t="s">
        <v>147</v>
      </c>
      <c r="B1053" s="1"/>
      <c r="C1053" s="1"/>
      <c r="D1053" s="1" t="s">
        <v>148</v>
      </c>
      <c r="E1053" t="s">
        <v>136</v>
      </c>
    </row>
    <row r="1054" spans="1:5" x14ac:dyDescent="0.35">
      <c r="A1054" s="1" t="s">
        <v>147</v>
      </c>
      <c r="B1054" s="1"/>
      <c r="C1054" s="1"/>
      <c r="D1054" s="1" t="s">
        <v>149</v>
      </c>
      <c r="E1054" t="s">
        <v>136</v>
      </c>
    </row>
    <row r="1055" spans="1:5" x14ac:dyDescent="0.35">
      <c r="A1055" s="1" t="s">
        <v>147</v>
      </c>
      <c r="B1055" s="1"/>
      <c r="C1055" s="1" t="s">
        <v>150</v>
      </c>
      <c r="D1055" s="1" t="s">
        <v>146</v>
      </c>
      <c r="E1055" t="s">
        <v>136</v>
      </c>
    </row>
    <row r="1056" spans="1:5" x14ac:dyDescent="0.35">
      <c r="A1056" s="1" t="s">
        <v>147</v>
      </c>
      <c r="B1056" s="1"/>
      <c r="C1056" s="1"/>
      <c r="D1056" s="1" t="s">
        <v>148</v>
      </c>
      <c r="E1056" t="s">
        <v>136</v>
      </c>
    </row>
    <row r="1057" spans="1:5" x14ac:dyDescent="0.35">
      <c r="A1057" s="1" t="s">
        <v>147</v>
      </c>
      <c r="B1057" s="1"/>
      <c r="C1057" s="1"/>
      <c r="D1057" s="1" t="s">
        <v>149</v>
      </c>
      <c r="E1057" t="s">
        <v>136</v>
      </c>
    </row>
    <row r="1058" spans="1:5" x14ac:dyDescent="0.35">
      <c r="A1058" s="1" t="s">
        <v>147</v>
      </c>
      <c r="B1058" s="1" t="s">
        <v>158</v>
      </c>
      <c r="C1058" s="1" t="s">
        <v>145</v>
      </c>
      <c r="D1058" s="1" t="s">
        <v>146</v>
      </c>
      <c r="E1058">
        <v>2</v>
      </c>
    </row>
    <row r="1059" spans="1:5" x14ac:dyDescent="0.35">
      <c r="A1059" s="1" t="s">
        <v>147</v>
      </c>
      <c r="B1059" s="1"/>
      <c r="C1059" s="1"/>
      <c r="D1059" s="1" t="s">
        <v>148</v>
      </c>
      <c r="E1059">
        <v>2</v>
      </c>
    </row>
    <row r="1060" spans="1:5" x14ac:dyDescent="0.35">
      <c r="A1060" s="1" t="s">
        <v>147</v>
      </c>
      <c r="B1060" s="1"/>
      <c r="C1060" s="1"/>
      <c r="D1060" s="1" t="s">
        <v>149</v>
      </c>
      <c r="E1060" t="s">
        <v>136</v>
      </c>
    </row>
    <row r="1061" spans="1:5" x14ac:dyDescent="0.35">
      <c r="A1061" s="1" t="s">
        <v>147</v>
      </c>
      <c r="B1061" s="1"/>
      <c r="C1061" s="1" t="s">
        <v>150</v>
      </c>
      <c r="D1061" s="1" t="s">
        <v>146</v>
      </c>
      <c r="E1061" t="s">
        <v>136</v>
      </c>
    </row>
    <row r="1062" spans="1:5" x14ac:dyDescent="0.35">
      <c r="A1062" s="1" t="s">
        <v>147</v>
      </c>
      <c r="B1062" s="1"/>
      <c r="C1062" s="1"/>
      <c r="D1062" s="1" t="s">
        <v>148</v>
      </c>
      <c r="E1062" t="s">
        <v>136</v>
      </c>
    </row>
    <row r="1063" spans="1:5" x14ac:dyDescent="0.35">
      <c r="A1063" s="1" t="s">
        <v>147</v>
      </c>
      <c r="B1063" s="1"/>
      <c r="C1063" s="1"/>
      <c r="D1063" s="1" t="s">
        <v>149</v>
      </c>
      <c r="E1063" t="s">
        <v>136</v>
      </c>
    </row>
    <row r="1064" spans="1:5" x14ac:dyDescent="0.35">
      <c r="A1064" s="1" t="s">
        <v>147</v>
      </c>
      <c r="B1064" s="1" t="s">
        <v>159</v>
      </c>
      <c r="C1064" s="1" t="s">
        <v>145</v>
      </c>
      <c r="D1064" s="1" t="s">
        <v>146</v>
      </c>
      <c r="E1064" t="s">
        <v>136</v>
      </c>
    </row>
    <row r="1065" spans="1:5" x14ac:dyDescent="0.35">
      <c r="A1065" s="1" t="s">
        <v>147</v>
      </c>
      <c r="B1065" s="1"/>
      <c r="C1065" s="1"/>
      <c r="D1065" s="1" t="s">
        <v>148</v>
      </c>
      <c r="E1065" t="s">
        <v>136</v>
      </c>
    </row>
    <row r="1066" spans="1:5" x14ac:dyDescent="0.35">
      <c r="A1066" s="1" t="s">
        <v>147</v>
      </c>
      <c r="B1066" s="1"/>
      <c r="C1066" s="1"/>
      <c r="D1066" s="1" t="s">
        <v>149</v>
      </c>
      <c r="E1066" t="s">
        <v>136</v>
      </c>
    </row>
    <row r="1067" spans="1:5" x14ac:dyDescent="0.35">
      <c r="A1067" s="1" t="s">
        <v>147</v>
      </c>
      <c r="B1067" s="1"/>
      <c r="C1067" s="1" t="s">
        <v>150</v>
      </c>
      <c r="D1067" s="1" t="s">
        <v>146</v>
      </c>
      <c r="E1067" t="s">
        <v>136</v>
      </c>
    </row>
    <row r="1068" spans="1:5" x14ac:dyDescent="0.35">
      <c r="A1068" s="1" t="s">
        <v>147</v>
      </c>
      <c r="B1068" s="1"/>
      <c r="C1068" s="1"/>
      <c r="D1068" s="1" t="s">
        <v>148</v>
      </c>
      <c r="E1068" t="s">
        <v>136</v>
      </c>
    </row>
    <row r="1069" spans="1:5" x14ac:dyDescent="0.35">
      <c r="A1069" s="1" t="s">
        <v>147</v>
      </c>
      <c r="B1069" s="1"/>
      <c r="C1069" s="1"/>
      <c r="D1069" s="1" t="s">
        <v>149</v>
      </c>
      <c r="E1069" t="s">
        <v>136</v>
      </c>
    </row>
    <row r="1070" spans="1:5" x14ac:dyDescent="0.35">
      <c r="A1070" s="1" t="s">
        <v>147</v>
      </c>
      <c r="B1070" s="1" t="s">
        <v>160</v>
      </c>
      <c r="C1070" s="1" t="s">
        <v>145</v>
      </c>
      <c r="D1070" s="1" t="s">
        <v>146</v>
      </c>
      <c r="E1070" t="s">
        <v>136</v>
      </c>
    </row>
    <row r="1071" spans="1:5" x14ac:dyDescent="0.35">
      <c r="A1071" s="1" t="s">
        <v>147</v>
      </c>
      <c r="B1071" s="1"/>
      <c r="C1071" s="1"/>
      <c r="D1071" s="1" t="s">
        <v>148</v>
      </c>
      <c r="E1071" t="s">
        <v>136</v>
      </c>
    </row>
    <row r="1072" spans="1:5" x14ac:dyDescent="0.35">
      <c r="A1072" s="1" t="s">
        <v>147</v>
      </c>
      <c r="B1072" s="1"/>
      <c r="C1072" s="1"/>
      <c r="D1072" s="1" t="s">
        <v>149</v>
      </c>
      <c r="E1072" t="s">
        <v>136</v>
      </c>
    </row>
    <row r="1073" spans="1:5" x14ac:dyDescent="0.35">
      <c r="A1073" s="1" t="s">
        <v>147</v>
      </c>
      <c r="B1073" s="1"/>
      <c r="C1073" s="1" t="s">
        <v>150</v>
      </c>
      <c r="D1073" s="1" t="s">
        <v>146</v>
      </c>
      <c r="E1073" t="s">
        <v>136</v>
      </c>
    </row>
    <row r="1074" spans="1:5" x14ac:dyDescent="0.35">
      <c r="A1074" s="1" t="s">
        <v>147</v>
      </c>
      <c r="B1074" s="1"/>
      <c r="C1074" s="1"/>
      <c r="D1074" s="1" t="s">
        <v>148</v>
      </c>
      <c r="E1074" t="s">
        <v>136</v>
      </c>
    </row>
    <row r="1075" spans="1:5" x14ac:dyDescent="0.35">
      <c r="A1075" s="1" t="s">
        <v>147</v>
      </c>
      <c r="B1075" s="1"/>
      <c r="C1075" s="1"/>
      <c r="D1075" s="1" t="s">
        <v>149</v>
      </c>
      <c r="E1075" t="s">
        <v>136</v>
      </c>
    </row>
    <row r="1076" spans="1:5" x14ac:dyDescent="0.35">
      <c r="A1076" s="1" t="s">
        <v>147</v>
      </c>
      <c r="B1076" s="1" t="s">
        <v>161</v>
      </c>
      <c r="C1076" s="1" t="s">
        <v>145</v>
      </c>
      <c r="D1076" s="1" t="s">
        <v>146</v>
      </c>
      <c r="E1076" t="s">
        <v>136</v>
      </c>
    </row>
    <row r="1077" spans="1:5" x14ac:dyDescent="0.35">
      <c r="A1077" s="1" t="s">
        <v>147</v>
      </c>
      <c r="B1077" s="1"/>
      <c r="C1077" s="1"/>
      <c r="D1077" s="1" t="s">
        <v>148</v>
      </c>
      <c r="E1077" t="s">
        <v>136</v>
      </c>
    </row>
    <row r="1078" spans="1:5" x14ac:dyDescent="0.35">
      <c r="A1078" s="1" t="s">
        <v>147</v>
      </c>
      <c r="B1078" s="1"/>
      <c r="C1078" s="1"/>
      <c r="D1078" s="1" t="s">
        <v>149</v>
      </c>
      <c r="E1078" t="s">
        <v>136</v>
      </c>
    </row>
    <row r="1079" spans="1:5" x14ac:dyDescent="0.35">
      <c r="A1079" s="1" t="s">
        <v>147</v>
      </c>
      <c r="B1079" s="1"/>
      <c r="C1079" s="1" t="s">
        <v>150</v>
      </c>
      <c r="D1079" s="1" t="s">
        <v>146</v>
      </c>
      <c r="E1079" t="s">
        <v>136</v>
      </c>
    </row>
    <row r="1080" spans="1:5" x14ac:dyDescent="0.35">
      <c r="A1080" s="1" t="s">
        <v>147</v>
      </c>
      <c r="B1080" s="1"/>
      <c r="C1080" s="1"/>
      <c r="D1080" s="1" t="s">
        <v>148</v>
      </c>
      <c r="E1080" t="s">
        <v>136</v>
      </c>
    </row>
    <row r="1081" spans="1:5" x14ac:dyDescent="0.35">
      <c r="A1081" s="1" t="s">
        <v>147</v>
      </c>
      <c r="B1081" s="1"/>
      <c r="C1081" s="1"/>
      <c r="D1081" s="1" t="s">
        <v>149</v>
      </c>
      <c r="E1081" t="s">
        <v>136</v>
      </c>
    </row>
    <row r="1082" spans="1:5" x14ac:dyDescent="0.35">
      <c r="A1082" s="1" t="s">
        <v>147</v>
      </c>
      <c r="B1082" s="1" t="s">
        <v>162</v>
      </c>
      <c r="C1082" s="1" t="s">
        <v>145</v>
      </c>
      <c r="D1082" s="1" t="s">
        <v>146</v>
      </c>
      <c r="E1082" t="s">
        <v>136</v>
      </c>
    </row>
    <row r="1083" spans="1:5" x14ac:dyDescent="0.35">
      <c r="A1083" s="1" t="s">
        <v>147</v>
      </c>
      <c r="B1083" s="1"/>
      <c r="C1083" s="1"/>
      <c r="D1083" s="1" t="s">
        <v>148</v>
      </c>
      <c r="E1083" t="s">
        <v>136</v>
      </c>
    </row>
    <row r="1084" spans="1:5" x14ac:dyDescent="0.35">
      <c r="A1084" s="1" t="s">
        <v>147</v>
      </c>
      <c r="B1084" s="1"/>
      <c r="C1084" s="1"/>
      <c r="D1084" s="1" t="s">
        <v>149</v>
      </c>
      <c r="E1084" t="s">
        <v>136</v>
      </c>
    </row>
    <row r="1085" spans="1:5" x14ac:dyDescent="0.35">
      <c r="A1085" s="1" t="s">
        <v>147</v>
      </c>
      <c r="B1085" s="1"/>
      <c r="C1085" s="1" t="s">
        <v>150</v>
      </c>
      <c r="D1085" s="1" t="s">
        <v>146</v>
      </c>
      <c r="E1085" t="s">
        <v>136</v>
      </c>
    </row>
    <row r="1086" spans="1:5" x14ac:dyDescent="0.35">
      <c r="A1086" s="1" t="s">
        <v>147</v>
      </c>
      <c r="B1086" s="1"/>
      <c r="C1086" s="1"/>
      <c r="D1086" s="1" t="s">
        <v>148</v>
      </c>
      <c r="E1086" t="s">
        <v>136</v>
      </c>
    </row>
    <row r="1087" spans="1:5" x14ac:dyDescent="0.35">
      <c r="A1087" s="1" t="s">
        <v>147</v>
      </c>
      <c r="B1087" s="1"/>
      <c r="C1087" s="1"/>
      <c r="D1087" s="1" t="s">
        <v>149</v>
      </c>
      <c r="E1087" t="s">
        <v>136</v>
      </c>
    </row>
    <row r="1088" spans="1:5" x14ac:dyDescent="0.35">
      <c r="A1088" s="1" t="s">
        <v>147</v>
      </c>
      <c r="B1088" s="1" t="s">
        <v>163</v>
      </c>
      <c r="C1088" s="1" t="s">
        <v>145</v>
      </c>
      <c r="D1088" s="1" t="s">
        <v>146</v>
      </c>
      <c r="E1088">
        <v>282</v>
      </c>
    </row>
    <row r="1089" spans="1:5" x14ac:dyDescent="0.35">
      <c r="A1089" s="1" t="s">
        <v>147</v>
      </c>
      <c r="B1089" s="1"/>
      <c r="C1089" s="1"/>
      <c r="D1089" s="1" t="s">
        <v>148</v>
      </c>
      <c r="E1089">
        <v>282</v>
      </c>
    </row>
    <row r="1090" spans="1:5" x14ac:dyDescent="0.35">
      <c r="A1090" s="1" t="s">
        <v>147</v>
      </c>
      <c r="B1090" s="1"/>
      <c r="C1090" s="1"/>
      <c r="D1090" s="1" t="s">
        <v>149</v>
      </c>
      <c r="E1090" t="s">
        <v>136</v>
      </c>
    </row>
    <row r="1091" spans="1:5" x14ac:dyDescent="0.35">
      <c r="A1091" s="1" t="s">
        <v>147</v>
      </c>
      <c r="B1091" s="1"/>
      <c r="C1091" s="1" t="s">
        <v>150</v>
      </c>
      <c r="D1091" s="1" t="s">
        <v>146</v>
      </c>
      <c r="E1091" t="s">
        <v>136</v>
      </c>
    </row>
    <row r="1092" spans="1:5" x14ac:dyDescent="0.35">
      <c r="A1092" s="1" t="s">
        <v>147</v>
      </c>
      <c r="B1092" s="1"/>
      <c r="C1092" s="1"/>
      <c r="D1092" s="1" t="s">
        <v>148</v>
      </c>
      <c r="E1092" t="s">
        <v>136</v>
      </c>
    </row>
    <row r="1093" spans="1:5" x14ac:dyDescent="0.35">
      <c r="A1093" s="1" t="s">
        <v>147</v>
      </c>
      <c r="B1093" s="1"/>
      <c r="C1093" s="1"/>
      <c r="D1093" s="1" t="s">
        <v>149</v>
      </c>
      <c r="E1093" t="s">
        <v>136</v>
      </c>
    </row>
    <row r="1094" spans="1:5" x14ac:dyDescent="0.35">
      <c r="A1094" s="1" t="s">
        <v>147</v>
      </c>
      <c r="B1094" s="1" t="s">
        <v>164</v>
      </c>
      <c r="C1094" s="1" t="s">
        <v>145</v>
      </c>
      <c r="D1094" s="1" t="s">
        <v>146</v>
      </c>
      <c r="E1094" t="s">
        <v>136</v>
      </c>
    </row>
    <row r="1095" spans="1:5" x14ac:dyDescent="0.35">
      <c r="A1095" s="1" t="s">
        <v>147</v>
      </c>
      <c r="B1095" s="1"/>
      <c r="C1095" s="1"/>
      <c r="D1095" s="1" t="s">
        <v>148</v>
      </c>
      <c r="E1095" t="s">
        <v>136</v>
      </c>
    </row>
    <row r="1096" spans="1:5" x14ac:dyDescent="0.35">
      <c r="A1096" s="1" t="s">
        <v>147</v>
      </c>
      <c r="B1096" s="1"/>
      <c r="C1096" s="1"/>
      <c r="D1096" s="1" t="s">
        <v>149</v>
      </c>
      <c r="E1096" t="s">
        <v>136</v>
      </c>
    </row>
    <row r="1097" spans="1:5" x14ac:dyDescent="0.35">
      <c r="A1097" s="1" t="s">
        <v>147</v>
      </c>
      <c r="B1097" s="1"/>
      <c r="C1097" s="1" t="s">
        <v>150</v>
      </c>
      <c r="D1097" s="1" t="s">
        <v>146</v>
      </c>
      <c r="E1097" t="s">
        <v>136</v>
      </c>
    </row>
    <row r="1098" spans="1:5" x14ac:dyDescent="0.35">
      <c r="A1098" s="1" t="s">
        <v>147</v>
      </c>
      <c r="B1098" s="1"/>
      <c r="C1098" s="1"/>
      <c r="D1098" s="1" t="s">
        <v>148</v>
      </c>
      <c r="E1098" t="s">
        <v>136</v>
      </c>
    </row>
    <row r="1099" spans="1:5" x14ac:dyDescent="0.35">
      <c r="A1099" s="1" t="s">
        <v>147</v>
      </c>
      <c r="B1099" s="1"/>
      <c r="C1099" s="1"/>
      <c r="D1099" s="1" t="s">
        <v>149</v>
      </c>
      <c r="E1099" t="s">
        <v>136</v>
      </c>
    </row>
    <row r="1100" spans="1:5" x14ac:dyDescent="0.35">
      <c r="A1100" s="1" t="s">
        <v>147</v>
      </c>
      <c r="B1100" s="1" t="s">
        <v>165</v>
      </c>
      <c r="C1100" s="1" t="s">
        <v>145</v>
      </c>
      <c r="D1100" s="1" t="s">
        <v>146</v>
      </c>
      <c r="E1100" t="s">
        <v>136</v>
      </c>
    </row>
    <row r="1101" spans="1:5" x14ac:dyDescent="0.35">
      <c r="A1101" s="1" t="s">
        <v>147</v>
      </c>
      <c r="B1101" s="1"/>
      <c r="C1101" s="1"/>
      <c r="D1101" s="1" t="s">
        <v>148</v>
      </c>
      <c r="E1101" t="s">
        <v>136</v>
      </c>
    </row>
    <row r="1102" spans="1:5" x14ac:dyDescent="0.35">
      <c r="A1102" s="1" t="s">
        <v>147</v>
      </c>
      <c r="B1102" s="1"/>
      <c r="C1102" s="1"/>
      <c r="D1102" s="1" t="s">
        <v>149</v>
      </c>
      <c r="E1102" t="s">
        <v>136</v>
      </c>
    </row>
    <row r="1103" spans="1:5" x14ac:dyDescent="0.35">
      <c r="A1103" s="1" t="s">
        <v>147</v>
      </c>
      <c r="B1103" s="1"/>
      <c r="C1103" s="1" t="s">
        <v>150</v>
      </c>
      <c r="D1103" s="1" t="s">
        <v>146</v>
      </c>
      <c r="E1103" t="s">
        <v>136</v>
      </c>
    </row>
    <row r="1104" spans="1:5" x14ac:dyDescent="0.35">
      <c r="A1104" s="1" t="s">
        <v>147</v>
      </c>
      <c r="B1104" s="1"/>
      <c r="C1104" s="1"/>
      <c r="D1104" s="1" t="s">
        <v>148</v>
      </c>
      <c r="E1104" t="s">
        <v>136</v>
      </c>
    </row>
    <row r="1105" spans="1:5" x14ac:dyDescent="0.35">
      <c r="A1105" s="1" t="s">
        <v>147</v>
      </c>
      <c r="B1105" s="1"/>
      <c r="C1105" s="1"/>
      <c r="D1105" s="1" t="s">
        <v>149</v>
      </c>
      <c r="E1105" t="s">
        <v>136</v>
      </c>
    </row>
    <row r="1106" spans="1:5" x14ac:dyDescent="0.35">
      <c r="A1106" s="1" t="s">
        <v>147</v>
      </c>
      <c r="B1106" s="1" t="s">
        <v>166</v>
      </c>
      <c r="C1106" s="1" t="s">
        <v>145</v>
      </c>
      <c r="D1106" s="1" t="s">
        <v>146</v>
      </c>
      <c r="E1106">
        <v>162</v>
      </c>
    </row>
    <row r="1107" spans="1:5" x14ac:dyDescent="0.35">
      <c r="A1107" s="1" t="s">
        <v>147</v>
      </c>
      <c r="B1107" s="1"/>
      <c r="C1107" s="1"/>
      <c r="D1107" s="1" t="s">
        <v>148</v>
      </c>
      <c r="E1107">
        <v>162</v>
      </c>
    </row>
    <row r="1108" spans="1:5" x14ac:dyDescent="0.35">
      <c r="A1108" s="1" t="s">
        <v>147</v>
      </c>
      <c r="B1108" s="1"/>
      <c r="C1108" s="1"/>
      <c r="D1108" s="1" t="s">
        <v>149</v>
      </c>
      <c r="E1108" t="s">
        <v>136</v>
      </c>
    </row>
    <row r="1109" spans="1:5" x14ac:dyDescent="0.35">
      <c r="A1109" s="1" t="s">
        <v>147</v>
      </c>
      <c r="B1109" s="1"/>
      <c r="C1109" s="1" t="s">
        <v>150</v>
      </c>
      <c r="D1109" s="1" t="s">
        <v>146</v>
      </c>
      <c r="E1109" t="s">
        <v>136</v>
      </c>
    </row>
    <row r="1110" spans="1:5" x14ac:dyDescent="0.35">
      <c r="A1110" s="1" t="s">
        <v>147</v>
      </c>
      <c r="B1110" s="1"/>
      <c r="C1110" s="1"/>
      <c r="D1110" s="1" t="s">
        <v>148</v>
      </c>
      <c r="E1110" t="s">
        <v>136</v>
      </c>
    </row>
    <row r="1111" spans="1:5" x14ac:dyDescent="0.35">
      <c r="A1111" s="1" t="s">
        <v>147</v>
      </c>
      <c r="B1111" s="1"/>
      <c r="C1111" s="1"/>
      <c r="D1111" s="1" t="s">
        <v>149</v>
      </c>
      <c r="E1111" t="s">
        <v>136</v>
      </c>
    </row>
    <row r="1112" spans="1:5" x14ac:dyDescent="0.35">
      <c r="A1112" s="1" t="s">
        <v>147</v>
      </c>
      <c r="B1112" s="1" t="s">
        <v>167</v>
      </c>
      <c r="C1112" s="1" t="s">
        <v>145</v>
      </c>
      <c r="D1112" s="1" t="s">
        <v>146</v>
      </c>
      <c r="E1112">
        <v>120</v>
      </c>
    </row>
    <row r="1113" spans="1:5" x14ac:dyDescent="0.35">
      <c r="A1113" s="1" t="s">
        <v>147</v>
      </c>
      <c r="B1113" s="1"/>
      <c r="C1113" s="1"/>
      <c r="D1113" s="1" t="s">
        <v>148</v>
      </c>
      <c r="E1113">
        <v>120</v>
      </c>
    </row>
    <row r="1114" spans="1:5" x14ac:dyDescent="0.35">
      <c r="A1114" s="1" t="s">
        <v>147</v>
      </c>
      <c r="B1114" s="1"/>
      <c r="C1114" s="1"/>
      <c r="D1114" s="1" t="s">
        <v>149</v>
      </c>
      <c r="E1114" t="s">
        <v>136</v>
      </c>
    </row>
    <row r="1115" spans="1:5" x14ac:dyDescent="0.35">
      <c r="A1115" s="1" t="s">
        <v>147</v>
      </c>
      <c r="B1115" s="1"/>
      <c r="C1115" s="1" t="s">
        <v>150</v>
      </c>
      <c r="D1115" s="1" t="s">
        <v>146</v>
      </c>
      <c r="E1115" t="s">
        <v>136</v>
      </c>
    </row>
    <row r="1116" spans="1:5" x14ac:dyDescent="0.35">
      <c r="A1116" s="1" t="s">
        <v>147</v>
      </c>
      <c r="B1116" s="1"/>
      <c r="C1116" s="1"/>
      <c r="D1116" s="1" t="s">
        <v>148</v>
      </c>
      <c r="E1116" t="s">
        <v>136</v>
      </c>
    </row>
    <row r="1117" spans="1:5" x14ac:dyDescent="0.35">
      <c r="A1117" s="1" t="s">
        <v>147</v>
      </c>
      <c r="B1117" s="1"/>
      <c r="C1117" s="1"/>
      <c r="D1117" s="1" t="s">
        <v>149</v>
      </c>
      <c r="E1117" t="s">
        <v>136</v>
      </c>
    </row>
    <row r="1118" spans="1:5" x14ac:dyDescent="0.35">
      <c r="A1118" s="1" t="s">
        <v>147</v>
      </c>
      <c r="B1118" s="1" t="s">
        <v>168</v>
      </c>
      <c r="C1118" s="1" t="s">
        <v>145</v>
      </c>
      <c r="D1118" s="1" t="s">
        <v>146</v>
      </c>
      <c r="E1118" t="s">
        <v>136</v>
      </c>
    </row>
    <row r="1119" spans="1:5" x14ac:dyDescent="0.35">
      <c r="A1119" s="1" t="s">
        <v>147</v>
      </c>
      <c r="B1119" s="1"/>
      <c r="C1119" s="1"/>
      <c r="D1119" s="1" t="s">
        <v>148</v>
      </c>
      <c r="E1119" t="s">
        <v>136</v>
      </c>
    </row>
    <row r="1120" spans="1:5" x14ac:dyDescent="0.35">
      <c r="A1120" s="1" t="s">
        <v>147</v>
      </c>
      <c r="B1120" s="1"/>
      <c r="C1120" s="1"/>
      <c r="D1120" s="1" t="s">
        <v>149</v>
      </c>
      <c r="E1120" t="s">
        <v>136</v>
      </c>
    </row>
    <row r="1121" spans="1:5" x14ac:dyDescent="0.35">
      <c r="A1121" s="1" t="s">
        <v>147</v>
      </c>
      <c r="B1121" s="1"/>
      <c r="C1121" s="1" t="s">
        <v>150</v>
      </c>
      <c r="D1121" s="1" t="s">
        <v>146</v>
      </c>
      <c r="E1121" t="s">
        <v>136</v>
      </c>
    </row>
    <row r="1122" spans="1:5" x14ac:dyDescent="0.35">
      <c r="A1122" s="1" t="s">
        <v>147</v>
      </c>
      <c r="B1122" s="1"/>
      <c r="C1122" s="1"/>
      <c r="D1122" s="1" t="s">
        <v>148</v>
      </c>
      <c r="E1122" t="s">
        <v>136</v>
      </c>
    </row>
    <row r="1123" spans="1:5" x14ac:dyDescent="0.35">
      <c r="A1123" s="1" t="s">
        <v>147</v>
      </c>
      <c r="B1123" s="1"/>
      <c r="C1123" s="1"/>
      <c r="D1123" s="1" t="s">
        <v>149</v>
      </c>
      <c r="E1123" t="s">
        <v>136</v>
      </c>
    </row>
    <row r="1124" spans="1:5" x14ac:dyDescent="0.35">
      <c r="A1124" s="1" t="s">
        <v>147</v>
      </c>
      <c r="B1124" s="1" t="s">
        <v>169</v>
      </c>
      <c r="C1124" s="1" t="s">
        <v>145</v>
      </c>
      <c r="D1124" s="1" t="s">
        <v>146</v>
      </c>
      <c r="E1124" t="s">
        <v>136</v>
      </c>
    </row>
    <row r="1125" spans="1:5" x14ac:dyDescent="0.35">
      <c r="A1125" s="1" t="s">
        <v>147</v>
      </c>
      <c r="B1125" s="1"/>
      <c r="C1125" s="1"/>
      <c r="D1125" s="1" t="s">
        <v>148</v>
      </c>
      <c r="E1125" t="s">
        <v>136</v>
      </c>
    </row>
    <row r="1126" spans="1:5" x14ac:dyDescent="0.35">
      <c r="A1126" s="1" t="s">
        <v>147</v>
      </c>
      <c r="B1126" s="1"/>
      <c r="C1126" s="1"/>
      <c r="D1126" s="1" t="s">
        <v>149</v>
      </c>
      <c r="E1126" t="s">
        <v>136</v>
      </c>
    </row>
    <row r="1127" spans="1:5" x14ac:dyDescent="0.35">
      <c r="A1127" s="1" t="s">
        <v>147</v>
      </c>
      <c r="B1127" s="1"/>
      <c r="C1127" s="1" t="s">
        <v>150</v>
      </c>
      <c r="D1127" s="1" t="s">
        <v>146</v>
      </c>
      <c r="E1127" t="s">
        <v>136</v>
      </c>
    </row>
    <row r="1128" spans="1:5" x14ac:dyDescent="0.35">
      <c r="A1128" s="1" t="s">
        <v>147</v>
      </c>
      <c r="B1128" s="1"/>
      <c r="C1128" s="1"/>
      <c r="D1128" s="1" t="s">
        <v>148</v>
      </c>
      <c r="E1128" t="s">
        <v>136</v>
      </c>
    </row>
    <row r="1129" spans="1:5" x14ac:dyDescent="0.35">
      <c r="A1129" s="1" t="s">
        <v>147</v>
      </c>
      <c r="B1129" s="1"/>
      <c r="C1129" s="1"/>
      <c r="D1129" s="1" t="s">
        <v>149</v>
      </c>
      <c r="E1129" t="s">
        <v>136</v>
      </c>
    </row>
    <row r="1130" spans="1:5" x14ac:dyDescent="0.35">
      <c r="A1130" s="1" t="s">
        <v>147</v>
      </c>
      <c r="B1130" s="1" t="s">
        <v>170</v>
      </c>
      <c r="C1130" s="1" t="s">
        <v>145</v>
      </c>
      <c r="D1130" s="1" t="s">
        <v>146</v>
      </c>
      <c r="E1130" t="s">
        <v>136</v>
      </c>
    </row>
    <row r="1131" spans="1:5" x14ac:dyDescent="0.35">
      <c r="A1131" s="1" t="s">
        <v>147</v>
      </c>
      <c r="B1131" s="1"/>
      <c r="C1131" s="1"/>
      <c r="D1131" s="1" t="s">
        <v>148</v>
      </c>
      <c r="E1131" t="s">
        <v>136</v>
      </c>
    </row>
    <row r="1132" spans="1:5" x14ac:dyDescent="0.35">
      <c r="A1132" s="1" t="s">
        <v>147</v>
      </c>
      <c r="B1132" s="1"/>
      <c r="C1132" s="1"/>
      <c r="D1132" s="1" t="s">
        <v>149</v>
      </c>
      <c r="E1132" t="s">
        <v>136</v>
      </c>
    </row>
    <row r="1133" spans="1:5" x14ac:dyDescent="0.35">
      <c r="A1133" s="1" t="s">
        <v>147</v>
      </c>
      <c r="B1133" s="1"/>
      <c r="C1133" s="1" t="s">
        <v>150</v>
      </c>
      <c r="D1133" s="1" t="s">
        <v>146</v>
      </c>
      <c r="E1133" t="s">
        <v>136</v>
      </c>
    </row>
    <row r="1134" spans="1:5" x14ac:dyDescent="0.35">
      <c r="A1134" s="1" t="s">
        <v>147</v>
      </c>
      <c r="B1134" s="1"/>
      <c r="C1134" s="1"/>
      <c r="D1134" s="1" t="s">
        <v>148</v>
      </c>
      <c r="E1134" t="s">
        <v>136</v>
      </c>
    </row>
    <row r="1135" spans="1:5" x14ac:dyDescent="0.35">
      <c r="A1135" s="1" t="s">
        <v>147</v>
      </c>
      <c r="B1135" s="1"/>
      <c r="C1135" s="1"/>
      <c r="D1135" s="1" t="s">
        <v>149</v>
      </c>
      <c r="E1135" t="s">
        <v>136</v>
      </c>
    </row>
    <row r="1136" spans="1:5" x14ac:dyDescent="0.35">
      <c r="A1136" s="1" t="s">
        <v>50</v>
      </c>
      <c r="B1136" s="1" t="s">
        <v>144</v>
      </c>
      <c r="C1136" s="1" t="s">
        <v>145</v>
      </c>
      <c r="D1136" s="1" t="s">
        <v>146</v>
      </c>
      <c r="E1136">
        <v>80.430000000000007</v>
      </c>
    </row>
    <row r="1137" spans="1:5" x14ac:dyDescent="0.35">
      <c r="A1137" s="1" t="s">
        <v>147</v>
      </c>
      <c r="B1137" s="1"/>
      <c r="C1137" s="1"/>
      <c r="D1137" s="1" t="s">
        <v>148</v>
      </c>
      <c r="E1137">
        <v>60</v>
      </c>
    </row>
    <row r="1138" spans="1:5" x14ac:dyDescent="0.35">
      <c r="A1138" s="1" t="s">
        <v>147</v>
      </c>
      <c r="B1138" s="1"/>
      <c r="C1138" s="1"/>
      <c r="D1138" s="1" t="s">
        <v>149</v>
      </c>
      <c r="E1138">
        <v>20.43</v>
      </c>
    </row>
    <row r="1139" spans="1:5" x14ac:dyDescent="0.35">
      <c r="A1139" s="1" t="s">
        <v>147</v>
      </c>
      <c r="B1139" s="1"/>
      <c r="C1139" s="1" t="s">
        <v>150</v>
      </c>
      <c r="D1139" s="1" t="s">
        <v>146</v>
      </c>
      <c r="E1139" t="s">
        <v>136</v>
      </c>
    </row>
    <row r="1140" spans="1:5" x14ac:dyDescent="0.35">
      <c r="A1140" s="1" t="s">
        <v>147</v>
      </c>
      <c r="B1140" s="1"/>
      <c r="C1140" s="1"/>
      <c r="D1140" s="1" t="s">
        <v>148</v>
      </c>
      <c r="E1140" t="s">
        <v>136</v>
      </c>
    </row>
    <row r="1141" spans="1:5" x14ac:dyDescent="0.35">
      <c r="A1141" s="1" t="s">
        <v>147</v>
      </c>
      <c r="B1141" s="1"/>
      <c r="C1141" s="1"/>
      <c r="D1141" s="1" t="s">
        <v>149</v>
      </c>
      <c r="E1141" t="s">
        <v>136</v>
      </c>
    </row>
    <row r="1142" spans="1:5" x14ac:dyDescent="0.35">
      <c r="A1142" s="1" t="s">
        <v>147</v>
      </c>
      <c r="B1142" s="1" t="s">
        <v>151</v>
      </c>
      <c r="C1142" s="1" t="s">
        <v>145</v>
      </c>
      <c r="D1142" s="1" t="s">
        <v>146</v>
      </c>
      <c r="E1142">
        <v>0.43</v>
      </c>
    </row>
    <row r="1143" spans="1:5" x14ac:dyDescent="0.35">
      <c r="A1143" s="1" t="s">
        <v>147</v>
      </c>
      <c r="B1143" s="1"/>
      <c r="C1143" s="1"/>
      <c r="D1143" s="1" t="s">
        <v>148</v>
      </c>
      <c r="E1143" t="s">
        <v>136</v>
      </c>
    </row>
    <row r="1144" spans="1:5" x14ac:dyDescent="0.35">
      <c r="A1144" s="1" t="s">
        <v>147</v>
      </c>
      <c r="B1144" s="1"/>
      <c r="C1144" s="1"/>
      <c r="D1144" s="1" t="s">
        <v>149</v>
      </c>
      <c r="E1144">
        <v>0.43</v>
      </c>
    </row>
    <row r="1145" spans="1:5" x14ac:dyDescent="0.35">
      <c r="A1145" s="1" t="s">
        <v>147</v>
      </c>
      <c r="B1145" s="1"/>
      <c r="C1145" s="1" t="s">
        <v>150</v>
      </c>
      <c r="D1145" s="1" t="s">
        <v>146</v>
      </c>
      <c r="E1145" t="s">
        <v>136</v>
      </c>
    </row>
    <row r="1146" spans="1:5" x14ac:dyDescent="0.35">
      <c r="A1146" s="1" t="s">
        <v>147</v>
      </c>
      <c r="B1146" s="1"/>
      <c r="C1146" s="1"/>
      <c r="D1146" s="1" t="s">
        <v>148</v>
      </c>
      <c r="E1146" t="s">
        <v>136</v>
      </c>
    </row>
    <row r="1147" spans="1:5" x14ac:dyDescent="0.35">
      <c r="A1147" s="1" t="s">
        <v>147</v>
      </c>
      <c r="B1147" s="1"/>
      <c r="C1147" s="1"/>
      <c r="D1147" s="1" t="s">
        <v>149</v>
      </c>
      <c r="E1147" t="s">
        <v>136</v>
      </c>
    </row>
    <row r="1148" spans="1:5" x14ac:dyDescent="0.35">
      <c r="A1148" s="1" t="s">
        <v>147</v>
      </c>
      <c r="B1148" s="1" t="s">
        <v>152</v>
      </c>
      <c r="C1148" s="1" t="s">
        <v>145</v>
      </c>
      <c r="D1148" s="1" t="s">
        <v>146</v>
      </c>
      <c r="E1148" t="s">
        <v>136</v>
      </c>
    </row>
    <row r="1149" spans="1:5" x14ac:dyDescent="0.35">
      <c r="A1149" s="1" t="s">
        <v>147</v>
      </c>
      <c r="B1149" s="1"/>
      <c r="C1149" s="1"/>
      <c r="D1149" s="1" t="s">
        <v>148</v>
      </c>
      <c r="E1149" t="s">
        <v>136</v>
      </c>
    </row>
    <row r="1150" spans="1:5" x14ac:dyDescent="0.35">
      <c r="A1150" s="1" t="s">
        <v>147</v>
      </c>
      <c r="B1150" s="1"/>
      <c r="C1150" s="1"/>
      <c r="D1150" s="1" t="s">
        <v>149</v>
      </c>
      <c r="E1150" t="s">
        <v>136</v>
      </c>
    </row>
    <row r="1151" spans="1:5" x14ac:dyDescent="0.35">
      <c r="A1151" s="1" t="s">
        <v>147</v>
      </c>
      <c r="B1151" s="1"/>
      <c r="C1151" s="1" t="s">
        <v>150</v>
      </c>
      <c r="D1151" s="1" t="s">
        <v>146</v>
      </c>
      <c r="E1151" t="s">
        <v>136</v>
      </c>
    </row>
    <row r="1152" spans="1:5" x14ac:dyDescent="0.35">
      <c r="A1152" s="1" t="s">
        <v>147</v>
      </c>
      <c r="B1152" s="1"/>
      <c r="C1152" s="1"/>
      <c r="D1152" s="1" t="s">
        <v>148</v>
      </c>
      <c r="E1152" t="s">
        <v>136</v>
      </c>
    </row>
    <row r="1153" spans="1:5" x14ac:dyDescent="0.35">
      <c r="A1153" s="1" t="s">
        <v>147</v>
      </c>
      <c r="B1153" s="1"/>
      <c r="C1153" s="1"/>
      <c r="D1153" s="1" t="s">
        <v>149</v>
      </c>
      <c r="E1153" t="s">
        <v>136</v>
      </c>
    </row>
    <row r="1154" spans="1:5" x14ac:dyDescent="0.35">
      <c r="A1154" s="1" t="s">
        <v>147</v>
      </c>
      <c r="B1154" s="1" t="s">
        <v>153</v>
      </c>
      <c r="C1154" s="1" t="s">
        <v>145</v>
      </c>
      <c r="D1154" s="1" t="s">
        <v>146</v>
      </c>
      <c r="E1154">
        <v>80</v>
      </c>
    </row>
    <row r="1155" spans="1:5" x14ac:dyDescent="0.35">
      <c r="A1155" s="1" t="s">
        <v>147</v>
      </c>
      <c r="B1155" s="1"/>
      <c r="C1155" s="1"/>
      <c r="D1155" s="1" t="s">
        <v>148</v>
      </c>
      <c r="E1155">
        <v>60</v>
      </c>
    </row>
    <row r="1156" spans="1:5" x14ac:dyDescent="0.35">
      <c r="A1156" s="1" t="s">
        <v>147</v>
      </c>
      <c r="B1156" s="1"/>
      <c r="C1156" s="1"/>
      <c r="D1156" s="1" t="s">
        <v>149</v>
      </c>
      <c r="E1156">
        <v>20</v>
      </c>
    </row>
    <row r="1157" spans="1:5" x14ac:dyDescent="0.35">
      <c r="A1157" s="1" t="s">
        <v>147</v>
      </c>
      <c r="B1157" s="1"/>
      <c r="C1157" s="1" t="s">
        <v>150</v>
      </c>
      <c r="D1157" s="1" t="s">
        <v>146</v>
      </c>
      <c r="E1157" t="s">
        <v>136</v>
      </c>
    </row>
    <row r="1158" spans="1:5" x14ac:dyDescent="0.35">
      <c r="A1158" s="1" t="s">
        <v>147</v>
      </c>
      <c r="B1158" s="1"/>
      <c r="C1158" s="1"/>
      <c r="D1158" s="1" t="s">
        <v>148</v>
      </c>
      <c r="E1158" t="s">
        <v>136</v>
      </c>
    </row>
    <row r="1159" spans="1:5" x14ac:dyDescent="0.35">
      <c r="A1159" s="1" t="s">
        <v>147</v>
      </c>
      <c r="B1159" s="1"/>
      <c r="C1159" s="1"/>
      <c r="D1159" s="1" t="s">
        <v>149</v>
      </c>
      <c r="E1159" t="s">
        <v>136</v>
      </c>
    </row>
    <row r="1160" spans="1:5" x14ac:dyDescent="0.35">
      <c r="A1160" s="1" t="s">
        <v>147</v>
      </c>
      <c r="B1160" s="1" t="s">
        <v>154</v>
      </c>
      <c r="C1160" s="1" t="s">
        <v>145</v>
      </c>
      <c r="D1160" s="1" t="s">
        <v>146</v>
      </c>
      <c r="E1160" t="s">
        <v>136</v>
      </c>
    </row>
    <row r="1161" spans="1:5" x14ac:dyDescent="0.35">
      <c r="A1161" s="1" t="s">
        <v>147</v>
      </c>
      <c r="B1161" s="1"/>
      <c r="C1161" s="1"/>
      <c r="D1161" s="1" t="s">
        <v>148</v>
      </c>
      <c r="E1161" t="s">
        <v>136</v>
      </c>
    </row>
    <row r="1162" spans="1:5" x14ac:dyDescent="0.35">
      <c r="A1162" s="1" t="s">
        <v>147</v>
      </c>
      <c r="B1162" s="1"/>
      <c r="C1162" s="1"/>
      <c r="D1162" s="1" t="s">
        <v>149</v>
      </c>
      <c r="E1162" t="s">
        <v>136</v>
      </c>
    </row>
    <row r="1163" spans="1:5" x14ac:dyDescent="0.35">
      <c r="A1163" s="1" t="s">
        <v>147</v>
      </c>
      <c r="B1163" s="1"/>
      <c r="C1163" s="1" t="s">
        <v>150</v>
      </c>
      <c r="D1163" s="1" t="s">
        <v>146</v>
      </c>
      <c r="E1163" t="s">
        <v>136</v>
      </c>
    </row>
    <row r="1164" spans="1:5" x14ac:dyDescent="0.35">
      <c r="A1164" s="1" t="s">
        <v>147</v>
      </c>
      <c r="B1164" s="1"/>
      <c r="C1164" s="1"/>
      <c r="D1164" s="1" t="s">
        <v>148</v>
      </c>
      <c r="E1164" t="s">
        <v>136</v>
      </c>
    </row>
    <row r="1165" spans="1:5" x14ac:dyDescent="0.35">
      <c r="A1165" s="1" t="s">
        <v>147</v>
      </c>
      <c r="B1165" s="1"/>
      <c r="C1165" s="1"/>
      <c r="D1165" s="1" t="s">
        <v>149</v>
      </c>
      <c r="E1165" t="s">
        <v>136</v>
      </c>
    </row>
    <row r="1166" spans="1:5" x14ac:dyDescent="0.35">
      <c r="A1166" s="1" t="s">
        <v>147</v>
      </c>
      <c r="B1166" s="1" t="s">
        <v>155</v>
      </c>
      <c r="C1166" s="1" t="s">
        <v>145</v>
      </c>
      <c r="D1166" s="1" t="s">
        <v>146</v>
      </c>
      <c r="E1166" t="s">
        <v>136</v>
      </c>
    </row>
    <row r="1167" spans="1:5" x14ac:dyDescent="0.35">
      <c r="A1167" s="1" t="s">
        <v>147</v>
      </c>
      <c r="B1167" s="1"/>
      <c r="C1167" s="1"/>
      <c r="D1167" s="1" t="s">
        <v>148</v>
      </c>
      <c r="E1167" t="s">
        <v>136</v>
      </c>
    </row>
    <row r="1168" spans="1:5" x14ac:dyDescent="0.35">
      <c r="A1168" s="1" t="s">
        <v>147</v>
      </c>
      <c r="B1168" s="1"/>
      <c r="C1168" s="1"/>
      <c r="D1168" s="1" t="s">
        <v>149</v>
      </c>
      <c r="E1168" t="s">
        <v>136</v>
      </c>
    </row>
    <row r="1169" spans="1:5" x14ac:dyDescent="0.35">
      <c r="A1169" s="1" t="s">
        <v>147</v>
      </c>
      <c r="B1169" s="1"/>
      <c r="C1169" s="1" t="s">
        <v>150</v>
      </c>
      <c r="D1169" s="1" t="s">
        <v>146</v>
      </c>
      <c r="E1169" t="s">
        <v>136</v>
      </c>
    </row>
    <row r="1170" spans="1:5" x14ac:dyDescent="0.35">
      <c r="A1170" s="1" t="s">
        <v>147</v>
      </c>
      <c r="B1170" s="1"/>
      <c r="C1170" s="1"/>
      <c r="D1170" s="1" t="s">
        <v>148</v>
      </c>
      <c r="E1170" t="s">
        <v>136</v>
      </c>
    </row>
    <row r="1171" spans="1:5" x14ac:dyDescent="0.35">
      <c r="A1171" s="1" t="s">
        <v>147</v>
      </c>
      <c r="B1171" s="1"/>
      <c r="C1171" s="1"/>
      <c r="D1171" s="1" t="s">
        <v>149</v>
      </c>
      <c r="E1171" t="s">
        <v>136</v>
      </c>
    </row>
    <row r="1172" spans="1:5" x14ac:dyDescent="0.35">
      <c r="A1172" s="1" t="s">
        <v>147</v>
      </c>
      <c r="B1172" s="1" t="s">
        <v>156</v>
      </c>
      <c r="C1172" s="1" t="s">
        <v>145</v>
      </c>
      <c r="D1172" s="1" t="s">
        <v>146</v>
      </c>
      <c r="E1172" t="s">
        <v>136</v>
      </c>
    </row>
    <row r="1173" spans="1:5" x14ac:dyDescent="0.35">
      <c r="A1173" s="1" t="s">
        <v>147</v>
      </c>
      <c r="B1173" s="1"/>
      <c r="C1173" s="1"/>
      <c r="D1173" s="1" t="s">
        <v>148</v>
      </c>
      <c r="E1173" t="s">
        <v>136</v>
      </c>
    </row>
    <row r="1174" spans="1:5" x14ac:dyDescent="0.35">
      <c r="A1174" s="1" t="s">
        <v>147</v>
      </c>
      <c r="B1174" s="1"/>
      <c r="C1174" s="1"/>
      <c r="D1174" s="1" t="s">
        <v>149</v>
      </c>
      <c r="E1174" t="s">
        <v>136</v>
      </c>
    </row>
    <row r="1175" spans="1:5" x14ac:dyDescent="0.35">
      <c r="A1175" s="1" t="s">
        <v>147</v>
      </c>
      <c r="B1175" s="1"/>
      <c r="C1175" s="1" t="s">
        <v>150</v>
      </c>
      <c r="D1175" s="1" t="s">
        <v>146</v>
      </c>
      <c r="E1175" t="s">
        <v>136</v>
      </c>
    </row>
    <row r="1176" spans="1:5" x14ac:dyDescent="0.35">
      <c r="A1176" s="1" t="s">
        <v>147</v>
      </c>
      <c r="B1176" s="1"/>
      <c r="C1176" s="1"/>
      <c r="D1176" s="1" t="s">
        <v>148</v>
      </c>
      <c r="E1176" t="s">
        <v>136</v>
      </c>
    </row>
    <row r="1177" spans="1:5" x14ac:dyDescent="0.35">
      <c r="A1177" s="1" t="s">
        <v>147</v>
      </c>
      <c r="B1177" s="1"/>
      <c r="C1177" s="1"/>
      <c r="D1177" s="1" t="s">
        <v>149</v>
      </c>
      <c r="E1177" t="s">
        <v>136</v>
      </c>
    </row>
    <row r="1178" spans="1:5" x14ac:dyDescent="0.35">
      <c r="A1178" s="1" t="s">
        <v>147</v>
      </c>
      <c r="B1178" s="1" t="s">
        <v>157</v>
      </c>
      <c r="C1178" s="1" t="s">
        <v>145</v>
      </c>
      <c r="D1178" s="1" t="s">
        <v>146</v>
      </c>
      <c r="E1178" t="s">
        <v>136</v>
      </c>
    </row>
    <row r="1179" spans="1:5" x14ac:dyDescent="0.35">
      <c r="A1179" s="1" t="s">
        <v>147</v>
      </c>
      <c r="B1179" s="1"/>
      <c r="C1179" s="1"/>
      <c r="D1179" s="1" t="s">
        <v>148</v>
      </c>
      <c r="E1179" t="s">
        <v>136</v>
      </c>
    </row>
    <row r="1180" spans="1:5" x14ac:dyDescent="0.35">
      <c r="A1180" s="1" t="s">
        <v>147</v>
      </c>
      <c r="B1180" s="1"/>
      <c r="C1180" s="1"/>
      <c r="D1180" s="1" t="s">
        <v>149</v>
      </c>
      <c r="E1180" t="s">
        <v>136</v>
      </c>
    </row>
    <row r="1181" spans="1:5" x14ac:dyDescent="0.35">
      <c r="A1181" s="1" t="s">
        <v>147</v>
      </c>
      <c r="B1181" s="1"/>
      <c r="C1181" s="1" t="s">
        <v>150</v>
      </c>
      <c r="D1181" s="1" t="s">
        <v>146</v>
      </c>
      <c r="E1181" t="s">
        <v>136</v>
      </c>
    </row>
    <row r="1182" spans="1:5" x14ac:dyDescent="0.35">
      <c r="A1182" s="1" t="s">
        <v>147</v>
      </c>
      <c r="B1182" s="1"/>
      <c r="C1182" s="1"/>
      <c r="D1182" s="1" t="s">
        <v>148</v>
      </c>
      <c r="E1182" t="s">
        <v>136</v>
      </c>
    </row>
    <row r="1183" spans="1:5" x14ac:dyDescent="0.35">
      <c r="A1183" s="1" t="s">
        <v>147</v>
      </c>
      <c r="B1183" s="1"/>
      <c r="C1183" s="1"/>
      <c r="D1183" s="1" t="s">
        <v>149</v>
      </c>
      <c r="E1183" t="s">
        <v>136</v>
      </c>
    </row>
    <row r="1184" spans="1:5" x14ac:dyDescent="0.35">
      <c r="A1184" s="1" t="s">
        <v>147</v>
      </c>
      <c r="B1184" s="1" t="s">
        <v>158</v>
      </c>
      <c r="C1184" s="1" t="s">
        <v>145</v>
      </c>
      <c r="D1184" s="1" t="s">
        <v>146</v>
      </c>
      <c r="E1184" t="s">
        <v>136</v>
      </c>
    </row>
    <row r="1185" spans="1:5" x14ac:dyDescent="0.35">
      <c r="A1185" s="1" t="s">
        <v>147</v>
      </c>
      <c r="B1185" s="1"/>
      <c r="C1185" s="1"/>
      <c r="D1185" s="1" t="s">
        <v>148</v>
      </c>
      <c r="E1185" t="s">
        <v>136</v>
      </c>
    </row>
    <row r="1186" spans="1:5" x14ac:dyDescent="0.35">
      <c r="A1186" s="1" t="s">
        <v>147</v>
      </c>
      <c r="B1186" s="1"/>
      <c r="C1186" s="1"/>
      <c r="D1186" s="1" t="s">
        <v>149</v>
      </c>
      <c r="E1186" t="s">
        <v>136</v>
      </c>
    </row>
    <row r="1187" spans="1:5" x14ac:dyDescent="0.35">
      <c r="A1187" s="1" t="s">
        <v>147</v>
      </c>
      <c r="B1187" s="1"/>
      <c r="C1187" s="1" t="s">
        <v>150</v>
      </c>
      <c r="D1187" s="1" t="s">
        <v>146</v>
      </c>
      <c r="E1187" t="s">
        <v>136</v>
      </c>
    </row>
    <row r="1188" spans="1:5" x14ac:dyDescent="0.35">
      <c r="A1188" s="1" t="s">
        <v>147</v>
      </c>
      <c r="B1188" s="1"/>
      <c r="C1188" s="1"/>
      <c r="D1188" s="1" t="s">
        <v>148</v>
      </c>
      <c r="E1188" t="s">
        <v>136</v>
      </c>
    </row>
    <row r="1189" spans="1:5" x14ac:dyDescent="0.35">
      <c r="A1189" s="1" t="s">
        <v>147</v>
      </c>
      <c r="B1189" s="1"/>
      <c r="C1189" s="1"/>
      <c r="D1189" s="1" t="s">
        <v>149</v>
      </c>
      <c r="E1189" t="s">
        <v>136</v>
      </c>
    </row>
    <row r="1190" spans="1:5" x14ac:dyDescent="0.35">
      <c r="A1190" s="1" t="s">
        <v>147</v>
      </c>
      <c r="B1190" s="1" t="s">
        <v>159</v>
      </c>
      <c r="C1190" s="1" t="s">
        <v>145</v>
      </c>
      <c r="D1190" s="1" t="s">
        <v>146</v>
      </c>
      <c r="E1190" t="s">
        <v>136</v>
      </c>
    </row>
    <row r="1191" spans="1:5" x14ac:dyDescent="0.35">
      <c r="A1191" s="1" t="s">
        <v>147</v>
      </c>
      <c r="B1191" s="1"/>
      <c r="C1191" s="1"/>
      <c r="D1191" s="1" t="s">
        <v>148</v>
      </c>
      <c r="E1191" t="s">
        <v>136</v>
      </c>
    </row>
    <row r="1192" spans="1:5" x14ac:dyDescent="0.35">
      <c r="A1192" s="1" t="s">
        <v>147</v>
      </c>
      <c r="B1192" s="1"/>
      <c r="C1192" s="1"/>
      <c r="D1192" s="1" t="s">
        <v>149</v>
      </c>
      <c r="E1192" t="s">
        <v>136</v>
      </c>
    </row>
    <row r="1193" spans="1:5" x14ac:dyDescent="0.35">
      <c r="A1193" s="1" t="s">
        <v>147</v>
      </c>
      <c r="B1193" s="1"/>
      <c r="C1193" s="1" t="s">
        <v>150</v>
      </c>
      <c r="D1193" s="1" t="s">
        <v>146</v>
      </c>
      <c r="E1193" t="s">
        <v>136</v>
      </c>
    </row>
    <row r="1194" spans="1:5" x14ac:dyDescent="0.35">
      <c r="A1194" s="1" t="s">
        <v>147</v>
      </c>
      <c r="B1194" s="1"/>
      <c r="C1194" s="1"/>
      <c r="D1194" s="1" t="s">
        <v>148</v>
      </c>
      <c r="E1194" t="s">
        <v>136</v>
      </c>
    </row>
    <row r="1195" spans="1:5" x14ac:dyDescent="0.35">
      <c r="A1195" s="1" t="s">
        <v>147</v>
      </c>
      <c r="B1195" s="1"/>
      <c r="C1195" s="1"/>
      <c r="D1195" s="1" t="s">
        <v>149</v>
      </c>
      <c r="E1195" t="s">
        <v>136</v>
      </c>
    </row>
    <row r="1196" spans="1:5" x14ac:dyDescent="0.35">
      <c r="A1196" s="1" t="s">
        <v>147</v>
      </c>
      <c r="B1196" s="1" t="s">
        <v>160</v>
      </c>
      <c r="C1196" s="1" t="s">
        <v>145</v>
      </c>
      <c r="D1196" s="1" t="s">
        <v>146</v>
      </c>
      <c r="E1196" t="s">
        <v>136</v>
      </c>
    </row>
    <row r="1197" spans="1:5" x14ac:dyDescent="0.35">
      <c r="A1197" s="1" t="s">
        <v>147</v>
      </c>
      <c r="B1197" s="1"/>
      <c r="C1197" s="1"/>
      <c r="D1197" s="1" t="s">
        <v>148</v>
      </c>
      <c r="E1197" t="s">
        <v>136</v>
      </c>
    </row>
    <row r="1198" spans="1:5" x14ac:dyDescent="0.35">
      <c r="A1198" s="1" t="s">
        <v>147</v>
      </c>
      <c r="B1198" s="1"/>
      <c r="C1198" s="1"/>
      <c r="D1198" s="1" t="s">
        <v>149</v>
      </c>
      <c r="E1198" t="s">
        <v>136</v>
      </c>
    </row>
    <row r="1199" spans="1:5" x14ac:dyDescent="0.35">
      <c r="A1199" s="1" t="s">
        <v>147</v>
      </c>
      <c r="B1199" s="1"/>
      <c r="C1199" s="1" t="s">
        <v>150</v>
      </c>
      <c r="D1199" s="1" t="s">
        <v>146</v>
      </c>
      <c r="E1199" t="s">
        <v>136</v>
      </c>
    </row>
    <row r="1200" spans="1:5" x14ac:dyDescent="0.35">
      <c r="A1200" s="1" t="s">
        <v>147</v>
      </c>
      <c r="B1200" s="1"/>
      <c r="C1200" s="1"/>
      <c r="D1200" s="1" t="s">
        <v>148</v>
      </c>
      <c r="E1200" t="s">
        <v>136</v>
      </c>
    </row>
    <row r="1201" spans="1:5" x14ac:dyDescent="0.35">
      <c r="A1201" s="1" t="s">
        <v>147</v>
      </c>
      <c r="B1201" s="1"/>
      <c r="C1201" s="1"/>
      <c r="D1201" s="1" t="s">
        <v>149</v>
      </c>
      <c r="E1201" t="s">
        <v>136</v>
      </c>
    </row>
    <row r="1202" spans="1:5" x14ac:dyDescent="0.35">
      <c r="A1202" s="1" t="s">
        <v>147</v>
      </c>
      <c r="B1202" s="1" t="s">
        <v>161</v>
      </c>
      <c r="C1202" s="1" t="s">
        <v>145</v>
      </c>
      <c r="D1202" s="1" t="s">
        <v>146</v>
      </c>
      <c r="E1202" t="s">
        <v>136</v>
      </c>
    </row>
    <row r="1203" spans="1:5" x14ac:dyDescent="0.35">
      <c r="A1203" s="1" t="s">
        <v>147</v>
      </c>
      <c r="B1203" s="1"/>
      <c r="C1203" s="1"/>
      <c r="D1203" s="1" t="s">
        <v>148</v>
      </c>
      <c r="E1203" t="s">
        <v>136</v>
      </c>
    </row>
    <row r="1204" spans="1:5" x14ac:dyDescent="0.35">
      <c r="A1204" s="1" t="s">
        <v>147</v>
      </c>
      <c r="B1204" s="1"/>
      <c r="C1204" s="1"/>
      <c r="D1204" s="1" t="s">
        <v>149</v>
      </c>
      <c r="E1204" t="s">
        <v>136</v>
      </c>
    </row>
    <row r="1205" spans="1:5" x14ac:dyDescent="0.35">
      <c r="A1205" s="1" t="s">
        <v>147</v>
      </c>
      <c r="B1205" s="1"/>
      <c r="C1205" s="1" t="s">
        <v>150</v>
      </c>
      <c r="D1205" s="1" t="s">
        <v>146</v>
      </c>
      <c r="E1205" t="s">
        <v>136</v>
      </c>
    </row>
    <row r="1206" spans="1:5" x14ac:dyDescent="0.35">
      <c r="A1206" s="1" t="s">
        <v>147</v>
      </c>
      <c r="B1206" s="1"/>
      <c r="C1206" s="1"/>
      <c r="D1206" s="1" t="s">
        <v>148</v>
      </c>
      <c r="E1206" t="s">
        <v>136</v>
      </c>
    </row>
    <row r="1207" spans="1:5" x14ac:dyDescent="0.35">
      <c r="A1207" s="1" t="s">
        <v>147</v>
      </c>
      <c r="B1207" s="1"/>
      <c r="C1207" s="1"/>
      <c r="D1207" s="1" t="s">
        <v>149</v>
      </c>
      <c r="E1207" t="s">
        <v>136</v>
      </c>
    </row>
    <row r="1208" spans="1:5" x14ac:dyDescent="0.35">
      <c r="A1208" s="1" t="s">
        <v>147</v>
      </c>
      <c r="B1208" s="1" t="s">
        <v>162</v>
      </c>
      <c r="C1208" s="1" t="s">
        <v>145</v>
      </c>
      <c r="D1208" s="1" t="s">
        <v>146</v>
      </c>
      <c r="E1208" t="s">
        <v>136</v>
      </c>
    </row>
    <row r="1209" spans="1:5" x14ac:dyDescent="0.35">
      <c r="A1209" s="1" t="s">
        <v>147</v>
      </c>
      <c r="B1209" s="1"/>
      <c r="C1209" s="1"/>
      <c r="D1209" s="1" t="s">
        <v>148</v>
      </c>
      <c r="E1209" t="s">
        <v>136</v>
      </c>
    </row>
    <row r="1210" spans="1:5" x14ac:dyDescent="0.35">
      <c r="A1210" s="1" t="s">
        <v>147</v>
      </c>
      <c r="B1210" s="1"/>
      <c r="C1210" s="1"/>
      <c r="D1210" s="1" t="s">
        <v>149</v>
      </c>
      <c r="E1210" t="s">
        <v>136</v>
      </c>
    </row>
    <row r="1211" spans="1:5" x14ac:dyDescent="0.35">
      <c r="A1211" s="1" t="s">
        <v>147</v>
      </c>
      <c r="B1211" s="1"/>
      <c r="C1211" s="1" t="s">
        <v>150</v>
      </c>
      <c r="D1211" s="1" t="s">
        <v>146</v>
      </c>
      <c r="E1211" t="s">
        <v>136</v>
      </c>
    </row>
    <row r="1212" spans="1:5" x14ac:dyDescent="0.35">
      <c r="A1212" s="1" t="s">
        <v>147</v>
      </c>
      <c r="B1212" s="1"/>
      <c r="C1212" s="1"/>
      <c r="D1212" s="1" t="s">
        <v>148</v>
      </c>
      <c r="E1212" t="s">
        <v>136</v>
      </c>
    </row>
    <row r="1213" spans="1:5" x14ac:dyDescent="0.35">
      <c r="A1213" s="1" t="s">
        <v>147</v>
      </c>
      <c r="B1213" s="1"/>
      <c r="C1213" s="1"/>
      <c r="D1213" s="1" t="s">
        <v>149</v>
      </c>
      <c r="E1213" t="s">
        <v>136</v>
      </c>
    </row>
    <row r="1214" spans="1:5" x14ac:dyDescent="0.35">
      <c r="A1214" s="1" t="s">
        <v>147</v>
      </c>
      <c r="B1214" s="1" t="s">
        <v>163</v>
      </c>
      <c r="C1214" s="1" t="s">
        <v>145</v>
      </c>
      <c r="D1214" s="1" t="s">
        <v>146</v>
      </c>
      <c r="E1214">
        <v>123</v>
      </c>
    </row>
    <row r="1215" spans="1:5" x14ac:dyDescent="0.35">
      <c r="A1215" s="1" t="s">
        <v>147</v>
      </c>
      <c r="B1215" s="1"/>
      <c r="C1215" s="1"/>
      <c r="D1215" s="1" t="s">
        <v>148</v>
      </c>
      <c r="E1215">
        <v>123</v>
      </c>
    </row>
    <row r="1216" spans="1:5" x14ac:dyDescent="0.35">
      <c r="A1216" s="1" t="s">
        <v>147</v>
      </c>
      <c r="B1216" s="1"/>
      <c r="C1216" s="1"/>
      <c r="D1216" s="1" t="s">
        <v>149</v>
      </c>
      <c r="E1216" t="s">
        <v>136</v>
      </c>
    </row>
    <row r="1217" spans="1:5" x14ac:dyDescent="0.35">
      <c r="A1217" s="1" t="s">
        <v>147</v>
      </c>
      <c r="B1217" s="1"/>
      <c r="C1217" s="1" t="s">
        <v>150</v>
      </c>
      <c r="D1217" s="1" t="s">
        <v>146</v>
      </c>
      <c r="E1217" t="s">
        <v>136</v>
      </c>
    </row>
    <row r="1218" spans="1:5" x14ac:dyDescent="0.35">
      <c r="A1218" s="1" t="s">
        <v>147</v>
      </c>
      <c r="B1218" s="1"/>
      <c r="C1218" s="1"/>
      <c r="D1218" s="1" t="s">
        <v>148</v>
      </c>
      <c r="E1218" t="s">
        <v>136</v>
      </c>
    </row>
    <row r="1219" spans="1:5" x14ac:dyDescent="0.35">
      <c r="A1219" s="1" t="s">
        <v>147</v>
      </c>
      <c r="B1219" s="1"/>
      <c r="C1219" s="1"/>
      <c r="D1219" s="1" t="s">
        <v>149</v>
      </c>
      <c r="E1219" t="s">
        <v>136</v>
      </c>
    </row>
    <row r="1220" spans="1:5" x14ac:dyDescent="0.35">
      <c r="A1220" s="1" t="s">
        <v>147</v>
      </c>
      <c r="B1220" s="1" t="s">
        <v>164</v>
      </c>
      <c r="C1220" s="1" t="s">
        <v>145</v>
      </c>
      <c r="D1220" s="1" t="s">
        <v>146</v>
      </c>
      <c r="E1220" t="s">
        <v>136</v>
      </c>
    </row>
    <row r="1221" spans="1:5" x14ac:dyDescent="0.35">
      <c r="A1221" s="1" t="s">
        <v>147</v>
      </c>
      <c r="B1221" s="1"/>
      <c r="C1221" s="1"/>
      <c r="D1221" s="1" t="s">
        <v>148</v>
      </c>
      <c r="E1221" t="s">
        <v>136</v>
      </c>
    </row>
    <row r="1222" spans="1:5" x14ac:dyDescent="0.35">
      <c r="A1222" s="1" t="s">
        <v>147</v>
      </c>
      <c r="B1222" s="1"/>
      <c r="C1222" s="1"/>
      <c r="D1222" s="1" t="s">
        <v>149</v>
      </c>
      <c r="E1222" t="s">
        <v>136</v>
      </c>
    </row>
    <row r="1223" spans="1:5" x14ac:dyDescent="0.35">
      <c r="A1223" s="1" t="s">
        <v>147</v>
      </c>
      <c r="B1223" s="1"/>
      <c r="C1223" s="1" t="s">
        <v>150</v>
      </c>
      <c r="D1223" s="1" t="s">
        <v>146</v>
      </c>
      <c r="E1223" t="s">
        <v>136</v>
      </c>
    </row>
    <row r="1224" spans="1:5" x14ac:dyDescent="0.35">
      <c r="A1224" s="1" t="s">
        <v>147</v>
      </c>
      <c r="B1224" s="1"/>
      <c r="C1224" s="1"/>
      <c r="D1224" s="1" t="s">
        <v>148</v>
      </c>
      <c r="E1224" t="s">
        <v>136</v>
      </c>
    </row>
    <row r="1225" spans="1:5" x14ac:dyDescent="0.35">
      <c r="A1225" s="1" t="s">
        <v>147</v>
      </c>
      <c r="B1225" s="1"/>
      <c r="C1225" s="1"/>
      <c r="D1225" s="1" t="s">
        <v>149</v>
      </c>
      <c r="E1225" t="s">
        <v>136</v>
      </c>
    </row>
    <row r="1226" spans="1:5" x14ac:dyDescent="0.35">
      <c r="A1226" s="1" t="s">
        <v>147</v>
      </c>
      <c r="B1226" s="1" t="s">
        <v>165</v>
      </c>
      <c r="C1226" s="1" t="s">
        <v>145</v>
      </c>
      <c r="D1226" s="1" t="s">
        <v>146</v>
      </c>
      <c r="E1226" t="s">
        <v>136</v>
      </c>
    </row>
    <row r="1227" spans="1:5" x14ac:dyDescent="0.35">
      <c r="A1227" s="1" t="s">
        <v>147</v>
      </c>
      <c r="B1227" s="1"/>
      <c r="C1227" s="1"/>
      <c r="D1227" s="1" t="s">
        <v>148</v>
      </c>
      <c r="E1227" t="s">
        <v>136</v>
      </c>
    </row>
    <row r="1228" spans="1:5" x14ac:dyDescent="0.35">
      <c r="A1228" s="1" t="s">
        <v>147</v>
      </c>
      <c r="B1228" s="1"/>
      <c r="C1228" s="1"/>
      <c r="D1228" s="1" t="s">
        <v>149</v>
      </c>
      <c r="E1228" t="s">
        <v>136</v>
      </c>
    </row>
    <row r="1229" spans="1:5" x14ac:dyDescent="0.35">
      <c r="A1229" s="1" t="s">
        <v>147</v>
      </c>
      <c r="B1229" s="1"/>
      <c r="C1229" s="1" t="s">
        <v>150</v>
      </c>
      <c r="D1229" s="1" t="s">
        <v>146</v>
      </c>
      <c r="E1229" t="s">
        <v>136</v>
      </c>
    </row>
    <row r="1230" spans="1:5" x14ac:dyDescent="0.35">
      <c r="A1230" s="1" t="s">
        <v>147</v>
      </c>
      <c r="B1230" s="1"/>
      <c r="C1230" s="1"/>
      <c r="D1230" s="1" t="s">
        <v>148</v>
      </c>
      <c r="E1230" t="s">
        <v>136</v>
      </c>
    </row>
    <row r="1231" spans="1:5" x14ac:dyDescent="0.35">
      <c r="A1231" s="1" t="s">
        <v>147</v>
      </c>
      <c r="B1231" s="1"/>
      <c r="C1231" s="1"/>
      <c r="D1231" s="1" t="s">
        <v>149</v>
      </c>
      <c r="E1231" t="s">
        <v>136</v>
      </c>
    </row>
    <row r="1232" spans="1:5" x14ac:dyDescent="0.35">
      <c r="A1232" s="1" t="s">
        <v>147</v>
      </c>
      <c r="B1232" s="1" t="s">
        <v>166</v>
      </c>
      <c r="C1232" s="1" t="s">
        <v>145</v>
      </c>
      <c r="D1232" s="1" t="s">
        <v>146</v>
      </c>
      <c r="E1232">
        <v>123</v>
      </c>
    </row>
    <row r="1233" spans="1:5" x14ac:dyDescent="0.35">
      <c r="A1233" s="1" t="s">
        <v>147</v>
      </c>
      <c r="B1233" s="1"/>
      <c r="C1233" s="1"/>
      <c r="D1233" s="1" t="s">
        <v>148</v>
      </c>
      <c r="E1233">
        <v>123</v>
      </c>
    </row>
    <row r="1234" spans="1:5" x14ac:dyDescent="0.35">
      <c r="A1234" s="1" t="s">
        <v>147</v>
      </c>
      <c r="B1234" s="1"/>
      <c r="C1234" s="1"/>
      <c r="D1234" s="1" t="s">
        <v>149</v>
      </c>
      <c r="E1234" t="s">
        <v>136</v>
      </c>
    </row>
    <row r="1235" spans="1:5" x14ac:dyDescent="0.35">
      <c r="A1235" s="1" t="s">
        <v>147</v>
      </c>
      <c r="B1235" s="1"/>
      <c r="C1235" s="1" t="s">
        <v>150</v>
      </c>
      <c r="D1235" s="1" t="s">
        <v>146</v>
      </c>
      <c r="E1235" t="s">
        <v>136</v>
      </c>
    </row>
    <row r="1236" spans="1:5" x14ac:dyDescent="0.35">
      <c r="A1236" s="1" t="s">
        <v>147</v>
      </c>
      <c r="B1236" s="1"/>
      <c r="C1236" s="1"/>
      <c r="D1236" s="1" t="s">
        <v>148</v>
      </c>
      <c r="E1236" t="s">
        <v>136</v>
      </c>
    </row>
    <row r="1237" spans="1:5" x14ac:dyDescent="0.35">
      <c r="A1237" s="1" t="s">
        <v>147</v>
      </c>
      <c r="B1237" s="1"/>
      <c r="C1237" s="1"/>
      <c r="D1237" s="1" t="s">
        <v>149</v>
      </c>
      <c r="E1237" t="s">
        <v>136</v>
      </c>
    </row>
    <row r="1238" spans="1:5" x14ac:dyDescent="0.35">
      <c r="A1238" s="1" t="s">
        <v>147</v>
      </c>
      <c r="B1238" s="1" t="s">
        <v>167</v>
      </c>
      <c r="C1238" s="1" t="s">
        <v>145</v>
      </c>
      <c r="D1238" s="1" t="s">
        <v>146</v>
      </c>
      <c r="E1238" t="s">
        <v>136</v>
      </c>
    </row>
    <row r="1239" spans="1:5" x14ac:dyDescent="0.35">
      <c r="A1239" s="1" t="s">
        <v>147</v>
      </c>
      <c r="B1239" s="1"/>
      <c r="C1239" s="1"/>
      <c r="D1239" s="1" t="s">
        <v>148</v>
      </c>
      <c r="E1239" t="s">
        <v>136</v>
      </c>
    </row>
    <row r="1240" spans="1:5" x14ac:dyDescent="0.35">
      <c r="A1240" s="1" t="s">
        <v>147</v>
      </c>
      <c r="B1240" s="1"/>
      <c r="C1240" s="1"/>
      <c r="D1240" s="1" t="s">
        <v>149</v>
      </c>
      <c r="E1240" t="s">
        <v>136</v>
      </c>
    </row>
    <row r="1241" spans="1:5" x14ac:dyDescent="0.35">
      <c r="A1241" s="1" t="s">
        <v>147</v>
      </c>
      <c r="B1241" s="1"/>
      <c r="C1241" s="1" t="s">
        <v>150</v>
      </c>
      <c r="D1241" s="1" t="s">
        <v>146</v>
      </c>
      <c r="E1241" t="s">
        <v>136</v>
      </c>
    </row>
    <row r="1242" spans="1:5" x14ac:dyDescent="0.35">
      <c r="A1242" s="1" t="s">
        <v>147</v>
      </c>
      <c r="B1242" s="1"/>
      <c r="C1242" s="1"/>
      <c r="D1242" s="1" t="s">
        <v>148</v>
      </c>
      <c r="E1242" t="s">
        <v>136</v>
      </c>
    </row>
    <row r="1243" spans="1:5" x14ac:dyDescent="0.35">
      <c r="A1243" s="1" t="s">
        <v>147</v>
      </c>
      <c r="B1243" s="1"/>
      <c r="C1243" s="1"/>
      <c r="D1243" s="1" t="s">
        <v>149</v>
      </c>
      <c r="E1243" t="s">
        <v>136</v>
      </c>
    </row>
    <row r="1244" spans="1:5" x14ac:dyDescent="0.35">
      <c r="A1244" s="1" t="s">
        <v>147</v>
      </c>
      <c r="B1244" s="1" t="s">
        <v>168</v>
      </c>
      <c r="C1244" s="1" t="s">
        <v>145</v>
      </c>
      <c r="D1244" s="1" t="s">
        <v>146</v>
      </c>
      <c r="E1244" t="s">
        <v>136</v>
      </c>
    </row>
    <row r="1245" spans="1:5" x14ac:dyDescent="0.35">
      <c r="A1245" s="1" t="s">
        <v>147</v>
      </c>
      <c r="B1245" s="1"/>
      <c r="C1245" s="1"/>
      <c r="D1245" s="1" t="s">
        <v>148</v>
      </c>
      <c r="E1245" t="s">
        <v>136</v>
      </c>
    </row>
    <row r="1246" spans="1:5" x14ac:dyDescent="0.35">
      <c r="A1246" s="1" t="s">
        <v>147</v>
      </c>
      <c r="B1246" s="1"/>
      <c r="C1246" s="1"/>
      <c r="D1246" s="1" t="s">
        <v>149</v>
      </c>
      <c r="E1246" t="s">
        <v>136</v>
      </c>
    </row>
    <row r="1247" spans="1:5" x14ac:dyDescent="0.35">
      <c r="A1247" s="1" t="s">
        <v>147</v>
      </c>
      <c r="B1247" s="1"/>
      <c r="C1247" s="1" t="s">
        <v>150</v>
      </c>
      <c r="D1247" s="1" t="s">
        <v>146</v>
      </c>
      <c r="E1247" t="s">
        <v>136</v>
      </c>
    </row>
    <row r="1248" spans="1:5" x14ac:dyDescent="0.35">
      <c r="A1248" s="1" t="s">
        <v>147</v>
      </c>
      <c r="B1248" s="1"/>
      <c r="C1248" s="1"/>
      <c r="D1248" s="1" t="s">
        <v>148</v>
      </c>
      <c r="E1248" t="s">
        <v>136</v>
      </c>
    </row>
    <row r="1249" spans="1:5" x14ac:dyDescent="0.35">
      <c r="A1249" s="1" t="s">
        <v>147</v>
      </c>
      <c r="B1249" s="1"/>
      <c r="C1249" s="1"/>
      <c r="D1249" s="1" t="s">
        <v>149</v>
      </c>
      <c r="E1249" t="s">
        <v>136</v>
      </c>
    </row>
    <row r="1250" spans="1:5" x14ac:dyDescent="0.35">
      <c r="A1250" s="1" t="s">
        <v>147</v>
      </c>
      <c r="B1250" s="1" t="s">
        <v>169</v>
      </c>
      <c r="C1250" s="1" t="s">
        <v>145</v>
      </c>
      <c r="D1250" s="1" t="s">
        <v>146</v>
      </c>
      <c r="E1250" t="s">
        <v>136</v>
      </c>
    </row>
    <row r="1251" spans="1:5" x14ac:dyDescent="0.35">
      <c r="A1251" s="1" t="s">
        <v>147</v>
      </c>
      <c r="B1251" s="1"/>
      <c r="C1251" s="1"/>
      <c r="D1251" s="1" t="s">
        <v>148</v>
      </c>
      <c r="E1251" t="s">
        <v>136</v>
      </c>
    </row>
    <row r="1252" spans="1:5" x14ac:dyDescent="0.35">
      <c r="A1252" s="1" t="s">
        <v>147</v>
      </c>
      <c r="B1252" s="1"/>
      <c r="C1252" s="1"/>
      <c r="D1252" s="1" t="s">
        <v>149</v>
      </c>
      <c r="E1252" t="s">
        <v>136</v>
      </c>
    </row>
    <row r="1253" spans="1:5" x14ac:dyDescent="0.35">
      <c r="A1253" s="1" t="s">
        <v>147</v>
      </c>
      <c r="B1253" s="1"/>
      <c r="C1253" s="1" t="s">
        <v>150</v>
      </c>
      <c r="D1253" s="1" t="s">
        <v>146</v>
      </c>
      <c r="E1253" t="s">
        <v>136</v>
      </c>
    </row>
    <row r="1254" spans="1:5" x14ac:dyDescent="0.35">
      <c r="A1254" s="1" t="s">
        <v>147</v>
      </c>
      <c r="B1254" s="1"/>
      <c r="C1254" s="1"/>
      <c r="D1254" s="1" t="s">
        <v>148</v>
      </c>
      <c r="E1254" t="s">
        <v>136</v>
      </c>
    </row>
    <row r="1255" spans="1:5" x14ac:dyDescent="0.35">
      <c r="A1255" s="1" t="s">
        <v>147</v>
      </c>
      <c r="B1255" s="1"/>
      <c r="C1255" s="1"/>
      <c r="D1255" s="1" t="s">
        <v>149</v>
      </c>
      <c r="E1255" t="s">
        <v>136</v>
      </c>
    </row>
    <row r="1256" spans="1:5" x14ac:dyDescent="0.35">
      <c r="A1256" s="1" t="s">
        <v>147</v>
      </c>
      <c r="B1256" s="1" t="s">
        <v>170</v>
      </c>
      <c r="C1256" s="1" t="s">
        <v>145</v>
      </c>
      <c r="D1256" s="1" t="s">
        <v>146</v>
      </c>
      <c r="E1256" t="s">
        <v>136</v>
      </c>
    </row>
    <row r="1257" spans="1:5" x14ac:dyDescent="0.35">
      <c r="A1257" s="1" t="s">
        <v>147</v>
      </c>
      <c r="B1257" s="1"/>
      <c r="C1257" s="1"/>
      <c r="D1257" s="1" t="s">
        <v>148</v>
      </c>
      <c r="E1257" t="s">
        <v>136</v>
      </c>
    </row>
    <row r="1258" spans="1:5" x14ac:dyDescent="0.35">
      <c r="A1258" s="1" t="s">
        <v>147</v>
      </c>
      <c r="B1258" s="1"/>
      <c r="C1258" s="1"/>
      <c r="D1258" s="1" t="s">
        <v>149</v>
      </c>
      <c r="E1258" t="s">
        <v>136</v>
      </c>
    </row>
    <row r="1259" spans="1:5" x14ac:dyDescent="0.35">
      <c r="A1259" s="1" t="s">
        <v>147</v>
      </c>
      <c r="B1259" s="1"/>
      <c r="C1259" s="1" t="s">
        <v>150</v>
      </c>
      <c r="D1259" s="1" t="s">
        <v>146</v>
      </c>
      <c r="E1259" t="s">
        <v>136</v>
      </c>
    </row>
    <row r="1260" spans="1:5" x14ac:dyDescent="0.35">
      <c r="A1260" s="1" t="s">
        <v>147</v>
      </c>
      <c r="B1260" s="1"/>
      <c r="C1260" s="1"/>
      <c r="D1260" s="1" t="s">
        <v>148</v>
      </c>
      <c r="E1260" t="s">
        <v>136</v>
      </c>
    </row>
    <row r="1261" spans="1:5" x14ac:dyDescent="0.35">
      <c r="A1261" s="1" t="s">
        <v>147</v>
      </c>
      <c r="B1261" s="1"/>
      <c r="C1261" s="1"/>
      <c r="D1261" s="1" t="s">
        <v>149</v>
      </c>
      <c r="E1261" t="s">
        <v>136</v>
      </c>
    </row>
    <row r="1262" spans="1:5" x14ac:dyDescent="0.35">
      <c r="A1262" s="1" t="s">
        <v>137</v>
      </c>
      <c r="B1262" s="1" t="s">
        <v>144</v>
      </c>
      <c r="C1262" s="1" t="s">
        <v>145</v>
      </c>
      <c r="D1262" s="1" t="s">
        <v>146</v>
      </c>
      <c r="E1262">
        <v>7752.28</v>
      </c>
    </row>
    <row r="1263" spans="1:5" x14ac:dyDescent="0.35">
      <c r="A1263" s="1" t="s">
        <v>147</v>
      </c>
      <c r="B1263" s="1"/>
      <c r="C1263" s="1"/>
      <c r="D1263" s="1" t="s">
        <v>148</v>
      </c>
      <c r="E1263">
        <v>7681</v>
      </c>
    </row>
    <row r="1264" spans="1:5" x14ac:dyDescent="0.35">
      <c r="A1264" s="1" t="s">
        <v>147</v>
      </c>
      <c r="B1264" s="1"/>
      <c r="C1264" s="1"/>
      <c r="D1264" s="1" t="s">
        <v>149</v>
      </c>
      <c r="E1264">
        <v>71.28</v>
      </c>
    </row>
    <row r="1265" spans="1:5" x14ac:dyDescent="0.35">
      <c r="A1265" s="1" t="s">
        <v>147</v>
      </c>
      <c r="B1265" s="1"/>
      <c r="C1265" s="1" t="s">
        <v>150</v>
      </c>
      <c r="D1265" s="1" t="s">
        <v>146</v>
      </c>
      <c r="E1265" t="s">
        <v>136</v>
      </c>
    </row>
    <row r="1266" spans="1:5" x14ac:dyDescent="0.35">
      <c r="A1266" s="1" t="s">
        <v>147</v>
      </c>
      <c r="B1266" s="1"/>
      <c r="C1266" s="1"/>
      <c r="D1266" s="1" t="s">
        <v>148</v>
      </c>
      <c r="E1266" t="s">
        <v>136</v>
      </c>
    </row>
    <row r="1267" spans="1:5" x14ac:dyDescent="0.35">
      <c r="A1267" s="1" t="s">
        <v>147</v>
      </c>
      <c r="B1267" s="1"/>
      <c r="C1267" s="1"/>
      <c r="D1267" s="1" t="s">
        <v>149</v>
      </c>
      <c r="E1267" t="s">
        <v>136</v>
      </c>
    </row>
    <row r="1268" spans="1:5" x14ac:dyDescent="0.35">
      <c r="A1268" s="1" t="s">
        <v>147</v>
      </c>
      <c r="B1268" s="1" t="s">
        <v>151</v>
      </c>
      <c r="C1268" s="1" t="s">
        <v>145</v>
      </c>
      <c r="D1268" s="1" t="s">
        <v>146</v>
      </c>
      <c r="E1268">
        <v>2570.2800000000002</v>
      </c>
    </row>
    <row r="1269" spans="1:5" x14ac:dyDescent="0.35">
      <c r="A1269" s="1" t="s">
        <v>147</v>
      </c>
      <c r="B1269" s="1"/>
      <c r="C1269" s="1"/>
      <c r="D1269" s="1" t="s">
        <v>148</v>
      </c>
      <c r="E1269">
        <v>2504</v>
      </c>
    </row>
    <row r="1270" spans="1:5" x14ac:dyDescent="0.35">
      <c r="A1270" s="1" t="s">
        <v>147</v>
      </c>
      <c r="B1270" s="1"/>
      <c r="C1270" s="1"/>
      <c r="D1270" s="1" t="s">
        <v>149</v>
      </c>
      <c r="E1270">
        <v>66.28</v>
      </c>
    </row>
    <row r="1271" spans="1:5" x14ac:dyDescent="0.35">
      <c r="A1271" s="1" t="s">
        <v>147</v>
      </c>
      <c r="B1271" s="1"/>
      <c r="C1271" s="1" t="s">
        <v>150</v>
      </c>
      <c r="D1271" s="1" t="s">
        <v>146</v>
      </c>
      <c r="E1271" t="s">
        <v>136</v>
      </c>
    </row>
    <row r="1272" spans="1:5" x14ac:dyDescent="0.35">
      <c r="A1272" s="1" t="s">
        <v>147</v>
      </c>
      <c r="B1272" s="1"/>
      <c r="C1272" s="1"/>
      <c r="D1272" s="1" t="s">
        <v>148</v>
      </c>
      <c r="E1272" t="s">
        <v>136</v>
      </c>
    </row>
    <row r="1273" spans="1:5" x14ac:dyDescent="0.35">
      <c r="A1273" s="1" t="s">
        <v>147</v>
      </c>
      <c r="B1273" s="1"/>
      <c r="C1273" s="1"/>
      <c r="D1273" s="1" t="s">
        <v>149</v>
      </c>
      <c r="E1273" t="s">
        <v>136</v>
      </c>
    </row>
    <row r="1274" spans="1:5" x14ac:dyDescent="0.35">
      <c r="A1274" s="1" t="s">
        <v>147</v>
      </c>
      <c r="B1274" s="1" t="s">
        <v>152</v>
      </c>
      <c r="C1274" s="1" t="s">
        <v>145</v>
      </c>
      <c r="D1274" s="1" t="s">
        <v>146</v>
      </c>
      <c r="E1274">
        <v>20</v>
      </c>
    </row>
    <row r="1275" spans="1:5" x14ac:dyDescent="0.35">
      <c r="A1275" s="1" t="s">
        <v>147</v>
      </c>
      <c r="B1275" s="1"/>
      <c r="C1275" s="1"/>
      <c r="D1275" s="1" t="s">
        <v>148</v>
      </c>
      <c r="E1275">
        <v>20</v>
      </c>
    </row>
    <row r="1276" spans="1:5" x14ac:dyDescent="0.35">
      <c r="A1276" s="1" t="s">
        <v>147</v>
      </c>
      <c r="B1276" s="1"/>
      <c r="C1276" s="1"/>
      <c r="D1276" s="1" t="s">
        <v>149</v>
      </c>
      <c r="E1276" t="s">
        <v>136</v>
      </c>
    </row>
    <row r="1277" spans="1:5" x14ac:dyDescent="0.35">
      <c r="A1277" s="1" t="s">
        <v>147</v>
      </c>
      <c r="B1277" s="1"/>
      <c r="C1277" s="1" t="s">
        <v>150</v>
      </c>
      <c r="D1277" s="1" t="s">
        <v>146</v>
      </c>
      <c r="E1277" t="s">
        <v>136</v>
      </c>
    </row>
    <row r="1278" spans="1:5" x14ac:dyDescent="0.35">
      <c r="A1278" s="1" t="s">
        <v>147</v>
      </c>
      <c r="B1278" s="1"/>
      <c r="C1278" s="1"/>
      <c r="D1278" s="1" t="s">
        <v>148</v>
      </c>
      <c r="E1278" t="s">
        <v>136</v>
      </c>
    </row>
    <row r="1279" spans="1:5" x14ac:dyDescent="0.35">
      <c r="A1279" s="1" t="s">
        <v>147</v>
      </c>
      <c r="B1279" s="1"/>
      <c r="C1279" s="1"/>
      <c r="D1279" s="1" t="s">
        <v>149</v>
      </c>
      <c r="E1279" t="s">
        <v>136</v>
      </c>
    </row>
    <row r="1280" spans="1:5" x14ac:dyDescent="0.35">
      <c r="A1280" s="1" t="s">
        <v>147</v>
      </c>
      <c r="B1280" s="1" t="s">
        <v>153</v>
      </c>
      <c r="C1280" s="1" t="s">
        <v>145</v>
      </c>
      <c r="D1280" s="1" t="s">
        <v>146</v>
      </c>
      <c r="E1280">
        <v>2199</v>
      </c>
    </row>
    <row r="1281" spans="1:5" x14ac:dyDescent="0.35">
      <c r="A1281" s="1" t="s">
        <v>147</v>
      </c>
      <c r="B1281" s="1"/>
      <c r="C1281" s="1"/>
      <c r="D1281" s="1" t="s">
        <v>148</v>
      </c>
      <c r="E1281">
        <v>2194</v>
      </c>
    </row>
    <row r="1282" spans="1:5" x14ac:dyDescent="0.35">
      <c r="A1282" s="1" t="s">
        <v>147</v>
      </c>
      <c r="B1282" s="1"/>
      <c r="C1282" s="1"/>
      <c r="D1282" s="1" t="s">
        <v>149</v>
      </c>
      <c r="E1282">
        <v>5</v>
      </c>
    </row>
    <row r="1283" spans="1:5" x14ac:dyDescent="0.35">
      <c r="A1283" s="1" t="s">
        <v>147</v>
      </c>
      <c r="B1283" s="1"/>
      <c r="C1283" s="1" t="s">
        <v>150</v>
      </c>
      <c r="D1283" s="1" t="s">
        <v>146</v>
      </c>
      <c r="E1283" t="s">
        <v>136</v>
      </c>
    </row>
    <row r="1284" spans="1:5" x14ac:dyDescent="0.35">
      <c r="A1284" s="1" t="s">
        <v>147</v>
      </c>
      <c r="B1284" s="1"/>
      <c r="C1284" s="1"/>
      <c r="D1284" s="1" t="s">
        <v>148</v>
      </c>
      <c r="E1284" t="s">
        <v>136</v>
      </c>
    </row>
    <row r="1285" spans="1:5" x14ac:dyDescent="0.35">
      <c r="A1285" s="1" t="s">
        <v>147</v>
      </c>
      <c r="B1285" s="1"/>
      <c r="C1285" s="1"/>
      <c r="D1285" s="1" t="s">
        <v>149</v>
      </c>
      <c r="E1285" t="s">
        <v>136</v>
      </c>
    </row>
    <row r="1286" spans="1:5" x14ac:dyDescent="0.35">
      <c r="A1286" s="1" t="s">
        <v>147</v>
      </c>
      <c r="B1286" s="1" t="s">
        <v>154</v>
      </c>
      <c r="C1286" s="1" t="s">
        <v>145</v>
      </c>
      <c r="D1286" s="1" t="s">
        <v>146</v>
      </c>
      <c r="E1286" t="s">
        <v>136</v>
      </c>
    </row>
    <row r="1287" spans="1:5" x14ac:dyDescent="0.35">
      <c r="A1287" s="1" t="s">
        <v>147</v>
      </c>
      <c r="B1287" s="1"/>
      <c r="C1287" s="1"/>
      <c r="D1287" s="1" t="s">
        <v>148</v>
      </c>
      <c r="E1287" t="s">
        <v>136</v>
      </c>
    </row>
    <row r="1288" spans="1:5" x14ac:dyDescent="0.35">
      <c r="A1288" s="1" t="s">
        <v>147</v>
      </c>
      <c r="B1288" s="1"/>
      <c r="C1288" s="1"/>
      <c r="D1288" s="1" t="s">
        <v>149</v>
      </c>
      <c r="E1288" t="s">
        <v>136</v>
      </c>
    </row>
    <row r="1289" spans="1:5" x14ac:dyDescent="0.35">
      <c r="A1289" s="1" t="s">
        <v>147</v>
      </c>
      <c r="B1289" s="1"/>
      <c r="C1289" s="1" t="s">
        <v>150</v>
      </c>
      <c r="D1289" s="1" t="s">
        <v>146</v>
      </c>
      <c r="E1289" t="s">
        <v>136</v>
      </c>
    </row>
    <row r="1290" spans="1:5" x14ac:dyDescent="0.35">
      <c r="A1290" s="1" t="s">
        <v>147</v>
      </c>
      <c r="B1290" s="1"/>
      <c r="C1290" s="1"/>
      <c r="D1290" s="1" t="s">
        <v>148</v>
      </c>
      <c r="E1290" t="s">
        <v>136</v>
      </c>
    </row>
    <row r="1291" spans="1:5" x14ac:dyDescent="0.35">
      <c r="A1291" s="1" t="s">
        <v>147</v>
      </c>
      <c r="B1291" s="1"/>
      <c r="C1291" s="1"/>
      <c r="D1291" s="1" t="s">
        <v>149</v>
      </c>
      <c r="E1291" t="s">
        <v>136</v>
      </c>
    </row>
    <row r="1292" spans="1:5" x14ac:dyDescent="0.35">
      <c r="A1292" s="1" t="s">
        <v>147</v>
      </c>
      <c r="B1292" s="1" t="s">
        <v>155</v>
      </c>
      <c r="C1292" s="1" t="s">
        <v>145</v>
      </c>
      <c r="D1292" s="1" t="s">
        <v>146</v>
      </c>
      <c r="E1292">
        <v>2832</v>
      </c>
    </row>
    <row r="1293" spans="1:5" x14ac:dyDescent="0.35">
      <c r="A1293" s="1" t="s">
        <v>147</v>
      </c>
      <c r="B1293" s="1"/>
      <c r="C1293" s="1"/>
      <c r="D1293" s="1" t="s">
        <v>148</v>
      </c>
      <c r="E1293">
        <v>2832</v>
      </c>
    </row>
    <row r="1294" spans="1:5" x14ac:dyDescent="0.35">
      <c r="A1294" s="1" t="s">
        <v>147</v>
      </c>
      <c r="B1294" s="1"/>
      <c r="C1294" s="1"/>
      <c r="D1294" s="1" t="s">
        <v>149</v>
      </c>
      <c r="E1294" t="s">
        <v>136</v>
      </c>
    </row>
    <row r="1295" spans="1:5" x14ac:dyDescent="0.35">
      <c r="A1295" s="1" t="s">
        <v>147</v>
      </c>
      <c r="B1295" s="1"/>
      <c r="C1295" s="1" t="s">
        <v>150</v>
      </c>
      <c r="D1295" s="1" t="s">
        <v>146</v>
      </c>
      <c r="E1295" t="s">
        <v>136</v>
      </c>
    </row>
    <row r="1296" spans="1:5" x14ac:dyDescent="0.35">
      <c r="A1296" s="1" t="s">
        <v>147</v>
      </c>
      <c r="B1296" s="1"/>
      <c r="C1296" s="1"/>
      <c r="D1296" s="1" t="s">
        <v>148</v>
      </c>
      <c r="E1296" t="s">
        <v>136</v>
      </c>
    </row>
    <row r="1297" spans="1:5" x14ac:dyDescent="0.35">
      <c r="A1297" s="1" t="s">
        <v>147</v>
      </c>
      <c r="B1297" s="1"/>
      <c r="C1297" s="1"/>
      <c r="D1297" s="1" t="s">
        <v>149</v>
      </c>
      <c r="E1297" t="s">
        <v>136</v>
      </c>
    </row>
    <row r="1298" spans="1:5" x14ac:dyDescent="0.35">
      <c r="A1298" s="1" t="s">
        <v>147</v>
      </c>
      <c r="B1298" s="1" t="s">
        <v>156</v>
      </c>
      <c r="C1298" s="1" t="s">
        <v>145</v>
      </c>
      <c r="D1298" s="1" t="s">
        <v>146</v>
      </c>
      <c r="E1298" t="s">
        <v>136</v>
      </c>
    </row>
    <row r="1299" spans="1:5" x14ac:dyDescent="0.35">
      <c r="A1299" s="1" t="s">
        <v>147</v>
      </c>
      <c r="B1299" s="1"/>
      <c r="C1299" s="1"/>
      <c r="D1299" s="1" t="s">
        <v>148</v>
      </c>
      <c r="E1299" t="s">
        <v>136</v>
      </c>
    </row>
    <row r="1300" spans="1:5" x14ac:dyDescent="0.35">
      <c r="A1300" s="1" t="s">
        <v>147</v>
      </c>
      <c r="B1300" s="1"/>
      <c r="C1300" s="1"/>
      <c r="D1300" s="1" t="s">
        <v>149</v>
      </c>
      <c r="E1300" t="s">
        <v>136</v>
      </c>
    </row>
    <row r="1301" spans="1:5" x14ac:dyDescent="0.35">
      <c r="A1301" s="1" t="s">
        <v>147</v>
      </c>
      <c r="B1301" s="1"/>
      <c r="C1301" s="1" t="s">
        <v>150</v>
      </c>
      <c r="D1301" s="1" t="s">
        <v>146</v>
      </c>
      <c r="E1301" t="s">
        <v>136</v>
      </c>
    </row>
    <row r="1302" spans="1:5" x14ac:dyDescent="0.35">
      <c r="A1302" s="1" t="s">
        <v>147</v>
      </c>
      <c r="B1302" s="1"/>
      <c r="C1302" s="1"/>
      <c r="D1302" s="1" t="s">
        <v>148</v>
      </c>
      <c r="E1302" t="s">
        <v>136</v>
      </c>
    </row>
    <row r="1303" spans="1:5" x14ac:dyDescent="0.35">
      <c r="A1303" s="1" t="s">
        <v>147</v>
      </c>
      <c r="B1303" s="1"/>
      <c r="C1303" s="1"/>
      <c r="D1303" s="1" t="s">
        <v>149</v>
      </c>
      <c r="E1303" t="s">
        <v>136</v>
      </c>
    </row>
    <row r="1304" spans="1:5" x14ac:dyDescent="0.35">
      <c r="A1304" s="1" t="s">
        <v>147</v>
      </c>
      <c r="B1304" s="1" t="s">
        <v>157</v>
      </c>
      <c r="C1304" s="1" t="s">
        <v>145</v>
      </c>
      <c r="D1304" s="1" t="s">
        <v>146</v>
      </c>
      <c r="E1304" t="s">
        <v>136</v>
      </c>
    </row>
    <row r="1305" spans="1:5" x14ac:dyDescent="0.35">
      <c r="A1305" s="1" t="s">
        <v>147</v>
      </c>
      <c r="B1305" s="1"/>
      <c r="C1305" s="1"/>
      <c r="D1305" s="1" t="s">
        <v>148</v>
      </c>
      <c r="E1305" t="s">
        <v>136</v>
      </c>
    </row>
    <row r="1306" spans="1:5" x14ac:dyDescent="0.35">
      <c r="A1306" s="1" t="s">
        <v>147</v>
      </c>
      <c r="B1306" s="1"/>
      <c r="C1306" s="1"/>
      <c r="D1306" s="1" t="s">
        <v>149</v>
      </c>
      <c r="E1306" t="s">
        <v>136</v>
      </c>
    </row>
    <row r="1307" spans="1:5" x14ac:dyDescent="0.35">
      <c r="A1307" s="1" t="s">
        <v>147</v>
      </c>
      <c r="B1307" s="1"/>
      <c r="C1307" s="1" t="s">
        <v>150</v>
      </c>
      <c r="D1307" s="1" t="s">
        <v>146</v>
      </c>
      <c r="E1307" t="s">
        <v>136</v>
      </c>
    </row>
    <row r="1308" spans="1:5" x14ac:dyDescent="0.35">
      <c r="A1308" s="1" t="s">
        <v>147</v>
      </c>
      <c r="B1308" s="1"/>
      <c r="C1308" s="1"/>
      <c r="D1308" s="1" t="s">
        <v>148</v>
      </c>
      <c r="E1308" t="s">
        <v>136</v>
      </c>
    </row>
    <row r="1309" spans="1:5" x14ac:dyDescent="0.35">
      <c r="A1309" s="1" t="s">
        <v>147</v>
      </c>
      <c r="B1309" s="1"/>
      <c r="C1309" s="1"/>
      <c r="D1309" s="1" t="s">
        <v>149</v>
      </c>
      <c r="E1309" t="s">
        <v>136</v>
      </c>
    </row>
    <row r="1310" spans="1:5" x14ac:dyDescent="0.35">
      <c r="A1310" s="1" t="s">
        <v>147</v>
      </c>
      <c r="B1310" s="1" t="s">
        <v>158</v>
      </c>
      <c r="C1310" s="1" t="s">
        <v>145</v>
      </c>
      <c r="D1310" s="1" t="s">
        <v>146</v>
      </c>
      <c r="E1310">
        <v>67</v>
      </c>
    </row>
    <row r="1311" spans="1:5" x14ac:dyDescent="0.35">
      <c r="A1311" s="1" t="s">
        <v>147</v>
      </c>
      <c r="B1311" s="1"/>
      <c r="C1311" s="1"/>
      <c r="D1311" s="1" t="s">
        <v>148</v>
      </c>
      <c r="E1311">
        <v>67</v>
      </c>
    </row>
    <row r="1312" spans="1:5" x14ac:dyDescent="0.35">
      <c r="A1312" s="1" t="s">
        <v>147</v>
      </c>
      <c r="B1312" s="1"/>
      <c r="C1312" s="1"/>
      <c r="D1312" s="1" t="s">
        <v>149</v>
      </c>
      <c r="E1312" t="s">
        <v>136</v>
      </c>
    </row>
    <row r="1313" spans="1:5" x14ac:dyDescent="0.35">
      <c r="A1313" s="1" t="s">
        <v>147</v>
      </c>
      <c r="B1313" s="1"/>
      <c r="C1313" s="1" t="s">
        <v>150</v>
      </c>
      <c r="D1313" s="1" t="s">
        <v>146</v>
      </c>
      <c r="E1313" t="s">
        <v>136</v>
      </c>
    </row>
    <row r="1314" spans="1:5" x14ac:dyDescent="0.35">
      <c r="A1314" s="1" t="s">
        <v>147</v>
      </c>
      <c r="B1314" s="1"/>
      <c r="C1314" s="1"/>
      <c r="D1314" s="1" t="s">
        <v>148</v>
      </c>
      <c r="E1314" t="s">
        <v>136</v>
      </c>
    </row>
    <row r="1315" spans="1:5" x14ac:dyDescent="0.35">
      <c r="A1315" s="1" t="s">
        <v>147</v>
      </c>
      <c r="B1315" s="1"/>
      <c r="C1315" s="1"/>
      <c r="D1315" s="1" t="s">
        <v>149</v>
      </c>
      <c r="E1315" t="s">
        <v>136</v>
      </c>
    </row>
    <row r="1316" spans="1:5" x14ac:dyDescent="0.35">
      <c r="A1316" s="1" t="s">
        <v>147</v>
      </c>
      <c r="B1316" s="1" t="s">
        <v>159</v>
      </c>
      <c r="C1316" s="1" t="s">
        <v>145</v>
      </c>
      <c r="D1316" s="1" t="s">
        <v>146</v>
      </c>
      <c r="E1316" t="s">
        <v>136</v>
      </c>
    </row>
    <row r="1317" spans="1:5" x14ac:dyDescent="0.35">
      <c r="A1317" s="1" t="s">
        <v>147</v>
      </c>
      <c r="B1317" s="1"/>
      <c r="C1317" s="1"/>
      <c r="D1317" s="1" t="s">
        <v>148</v>
      </c>
      <c r="E1317" t="s">
        <v>136</v>
      </c>
    </row>
    <row r="1318" spans="1:5" x14ac:dyDescent="0.35">
      <c r="A1318" s="1" t="s">
        <v>147</v>
      </c>
      <c r="B1318" s="1"/>
      <c r="C1318" s="1"/>
      <c r="D1318" s="1" t="s">
        <v>149</v>
      </c>
      <c r="E1318" t="s">
        <v>136</v>
      </c>
    </row>
    <row r="1319" spans="1:5" x14ac:dyDescent="0.35">
      <c r="A1319" s="1" t="s">
        <v>147</v>
      </c>
      <c r="B1319" s="1"/>
      <c r="C1319" s="1" t="s">
        <v>150</v>
      </c>
      <c r="D1319" s="1" t="s">
        <v>146</v>
      </c>
      <c r="E1319" t="s">
        <v>136</v>
      </c>
    </row>
    <row r="1320" spans="1:5" x14ac:dyDescent="0.35">
      <c r="A1320" s="1" t="s">
        <v>147</v>
      </c>
      <c r="B1320" s="1"/>
      <c r="C1320" s="1"/>
      <c r="D1320" s="1" t="s">
        <v>148</v>
      </c>
      <c r="E1320" t="s">
        <v>136</v>
      </c>
    </row>
    <row r="1321" spans="1:5" x14ac:dyDescent="0.35">
      <c r="A1321" s="1" t="s">
        <v>147</v>
      </c>
      <c r="B1321" s="1"/>
      <c r="C1321" s="1"/>
      <c r="D1321" s="1" t="s">
        <v>149</v>
      </c>
      <c r="E1321" t="s">
        <v>136</v>
      </c>
    </row>
    <row r="1322" spans="1:5" x14ac:dyDescent="0.35">
      <c r="A1322" s="1" t="s">
        <v>147</v>
      </c>
      <c r="B1322" s="1" t="s">
        <v>160</v>
      </c>
      <c r="C1322" s="1" t="s">
        <v>145</v>
      </c>
      <c r="D1322" s="1" t="s">
        <v>146</v>
      </c>
      <c r="E1322" t="s">
        <v>136</v>
      </c>
    </row>
    <row r="1323" spans="1:5" x14ac:dyDescent="0.35">
      <c r="A1323" s="1" t="s">
        <v>147</v>
      </c>
      <c r="B1323" s="1"/>
      <c r="C1323" s="1"/>
      <c r="D1323" s="1" t="s">
        <v>148</v>
      </c>
      <c r="E1323" t="s">
        <v>136</v>
      </c>
    </row>
    <row r="1324" spans="1:5" x14ac:dyDescent="0.35">
      <c r="A1324" s="1" t="s">
        <v>147</v>
      </c>
      <c r="B1324" s="1"/>
      <c r="C1324" s="1"/>
      <c r="D1324" s="1" t="s">
        <v>149</v>
      </c>
      <c r="E1324" t="s">
        <v>136</v>
      </c>
    </row>
    <row r="1325" spans="1:5" x14ac:dyDescent="0.35">
      <c r="A1325" s="1" t="s">
        <v>147</v>
      </c>
      <c r="B1325" s="1"/>
      <c r="C1325" s="1" t="s">
        <v>150</v>
      </c>
      <c r="D1325" s="1" t="s">
        <v>146</v>
      </c>
      <c r="E1325" t="s">
        <v>136</v>
      </c>
    </row>
    <row r="1326" spans="1:5" x14ac:dyDescent="0.35">
      <c r="A1326" s="1" t="s">
        <v>147</v>
      </c>
      <c r="B1326" s="1"/>
      <c r="C1326" s="1"/>
      <c r="D1326" s="1" t="s">
        <v>148</v>
      </c>
      <c r="E1326" t="s">
        <v>136</v>
      </c>
    </row>
    <row r="1327" spans="1:5" x14ac:dyDescent="0.35">
      <c r="A1327" s="1" t="s">
        <v>147</v>
      </c>
      <c r="B1327" s="1"/>
      <c r="C1327" s="1"/>
      <c r="D1327" s="1" t="s">
        <v>149</v>
      </c>
      <c r="E1327" t="s">
        <v>136</v>
      </c>
    </row>
    <row r="1328" spans="1:5" x14ac:dyDescent="0.35">
      <c r="A1328" s="1" t="s">
        <v>147</v>
      </c>
      <c r="B1328" s="1" t="s">
        <v>161</v>
      </c>
      <c r="C1328" s="1" t="s">
        <v>145</v>
      </c>
      <c r="D1328" s="1" t="s">
        <v>146</v>
      </c>
      <c r="E1328">
        <v>64</v>
      </c>
    </row>
    <row r="1329" spans="1:5" x14ac:dyDescent="0.35">
      <c r="A1329" s="1" t="s">
        <v>147</v>
      </c>
      <c r="B1329" s="1"/>
      <c r="C1329" s="1"/>
      <c r="D1329" s="1" t="s">
        <v>148</v>
      </c>
      <c r="E1329">
        <v>64</v>
      </c>
    </row>
    <row r="1330" spans="1:5" x14ac:dyDescent="0.35">
      <c r="A1330" s="1" t="s">
        <v>147</v>
      </c>
      <c r="B1330" s="1"/>
      <c r="C1330" s="1"/>
      <c r="D1330" s="1" t="s">
        <v>149</v>
      </c>
      <c r="E1330" t="s">
        <v>136</v>
      </c>
    </row>
    <row r="1331" spans="1:5" x14ac:dyDescent="0.35">
      <c r="A1331" s="1" t="s">
        <v>147</v>
      </c>
      <c r="B1331" s="1"/>
      <c r="C1331" s="1" t="s">
        <v>150</v>
      </c>
      <c r="D1331" s="1" t="s">
        <v>146</v>
      </c>
      <c r="E1331" t="s">
        <v>136</v>
      </c>
    </row>
    <row r="1332" spans="1:5" x14ac:dyDescent="0.35">
      <c r="A1332" s="1" t="s">
        <v>147</v>
      </c>
      <c r="B1332" s="1"/>
      <c r="C1332" s="1"/>
      <c r="D1332" s="1" t="s">
        <v>148</v>
      </c>
      <c r="E1332" t="s">
        <v>136</v>
      </c>
    </row>
    <row r="1333" spans="1:5" x14ac:dyDescent="0.35">
      <c r="A1333" s="1" t="s">
        <v>147</v>
      </c>
      <c r="B1333" s="1"/>
      <c r="C1333" s="1"/>
      <c r="D1333" s="1" t="s">
        <v>149</v>
      </c>
      <c r="E1333" t="s">
        <v>136</v>
      </c>
    </row>
    <row r="1334" spans="1:5" x14ac:dyDescent="0.35">
      <c r="A1334" s="1" t="s">
        <v>147</v>
      </c>
      <c r="B1334" s="1" t="s">
        <v>162</v>
      </c>
      <c r="C1334" s="1" t="s">
        <v>145</v>
      </c>
      <c r="D1334" s="1" t="s">
        <v>146</v>
      </c>
      <c r="E1334" t="s">
        <v>136</v>
      </c>
    </row>
    <row r="1335" spans="1:5" x14ac:dyDescent="0.35">
      <c r="A1335" s="1" t="s">
        <v>147</v>
      </c>
      <c r="B1335" s="1"/>
      <c r="C1335" s="1"/>
      <c r="D1335" s="1" t="s">
        <v>148</v>
      </c>
      <c r="E1335" t="s">
        <v>136</v>
      </c>
    </row>
    <row r="1336" spans="1:5" x14ac:dyDescent="0.35">
      <c r="A1336" s="1" t="s">
        <v>147</v>
      </c>
      <c r="B1336" s="1"/>
      <c r="C1336" s="1"/>
      <c r="D1336" s="1" t="s">
        <v>149</v>
      </c>
      <c r="E1336" t="s">
        <v>136</v>
      </c>
    </row>
    <row r="1337" spans="1:5" x14ac:dyDescent="0.35">
      <c r="A1337" s="1" t="s">
        <v>147</v>
      </c>
      <c r="B1337" s="1"/>
      <c r="C1337" s="1" t="s">
        <v>150</v>
      </c>
      <c r="D1337" s="1" t="s">
        <v>146</v>
      </c>
      <c r="E1337" t="s">
        <v>136</v>
      </c>
    </row>
    <row r="1338" spans="1:5" x14ac:dyDescent="0.35">
      <c r="A1338" s="1" t="s">
        <v>147</v>
      </c>
      <c r="B1338" s="1"/>
      <c r="C1338" s="1"/>
      <c r="D1338" s="1" t="s">
        <v>148</v>
      </c>
      <c r="E1338" t="s">
        <v>136</v>
      </c>
    </row>
    <row r="1339" spans="1:5" x14ac:dyDescent="0.35">
      <c r="A1339" s="1" t="s">
        <v>147</v>
      </c>
      <c r="B1339" s="1"/>
      <c r="C1339" s="1"/>
      <c r="D1339" s="1" t="s">
        <v>149</v>
      </c>
      <c r="E1339" t="s">
        <v>136</v>
      </c>
    </row>
    <row r="1340" spans="1:5" x14ac:dyDescent="0.35">
      <c r="A1340" s="1" t="s">
        <v>147</v>
      </c>
      <c r="B1340" s="1" t="s">
        <v>163</v>
      </c>
      <c r="C1340" s="1" t="s">
        <v>145</v>
      </c>
      <c r="D1340" s="1" t="s">
        <v>146</v>
      </c>
      <c r="E1340">
        <v>53425</v>
      </c>
    </row>
    <row r="1341" spans="1:5" x14ac:dyDescent="0.35">
      <c r="A1341" s="1" t="s">
        <v>147</v>
      </c>
      <c r="B1341" s="1"/>
      <c r="C1341" s="1"/>
      <c r="D1341" s="1" t="s">
        <v>148</v>
      </c>
      <c r="E1341">
        <v>53239.05</v>
      </c>
    </row>
    <row r="1342" spans="1:5" x14ac:dyDescent="0.35">
      <c r="A1342" s="1" t="s">
        <v>147</v>
      </c>
      <c r="B1342" s="1"/>
      <c r="C1342" s="1"/>
      <c r="D1342" s="1" t="s">
        <v>149</v>
      </c>
      <c r="E1342">
        <v>185.95</v>
      </c>
    </row>
    <row r="1343" spans="1:5" x14ac:dyDescent="0.35">
      <c r="A1343" s="1" t="s">
        <v>147</v>
      </c>
      <c r="B1343" s="1"/>
      <c r="C1343" s="1" t="s">
        <v>150</v>
      </c>
      <c r="D1343" s="1" t="s">
        <v>146</v>
      </c>
      <c r="E1343" t="s">
        <v>136</v>
      </c>
    </row>
    <row r="1344" spans="1:5" x14ac:dyDescent="0.35">
      <c r="A1344" s="1" t="s">
        <v>147</v>
      </c>
      <c r="B1344" s="1"/>
      <c r="C1344" s="1"/>
      <c r="D1344" s="1" t="s">
        <v>148</v>
      </c>
      <c r="E1344" t="s">
        <v>136</v>
      </c>
    </row>
    <row r="1345" spans="1:5" x14ac:dyDescent="0.35">
      <c r="A1345" s="1" t="s">
        <v>147</v>
      </c>
      <c r="B1345" s="1"/>
      <c r="C1345" s="1"/>
      <c r="D1345" s="1" t="s">
        <v>149</v>
      </c>
      <c r="E1345" t="s">
        <v>136</v>
      </c>
    </row>
    <row r="1346" spans="1:5" x14ac:dyDescent="0.35">
      <c r="A1346" s="1" t="s">
        <v>147</v>
      </c>
      <c r="B1346" s="1" t="s">
        <v>164</v>
      </c>
      <c r="C1346" s="1" t="s">
        <v>145</v>
      </c>
      <c r="D1346" s="1" t="s">
        <v>146</v>
      </c>
      <c r="E1346" t="s">
        <v>136</v>
      </c>
    </row>
    <row r="1347" spans="1:5" x14ac:dyDescent="0.35">
      <c r="A1347" s="1" t="s">
        <v>147</v>
      </c>
      <c r="B1347" s="1"/>
      <c r="C1347" s="1"/>
      <c r="D1347" s="1" t="s">
        <v>148</v>
      </c>
      <c r="E1347" t="s">
        <v>136</v>
      </c>
    </row>
    <row r="1348" spans="1:5" x14ac:dyDescent="0.35">
      <c r="A1348" s="1" t="s">
        <v>147</v>
      </c>
      <c r="B1348" s="1"/>
      <c r="C1348" s="1"/>
      <c r="D1348" s="1" t="s">
        <v>149</v>
      </c>
      <c r="E1348" t="s">
        <v>136</v>
      </c>
    </row>
    <row r="1349" spans="1:5" x14ac:dyDescent="0.35">
      <c r="A1349" s="1" t="s">
        <v>147</v>
      </c>
      <c r="B1349" s="1"/>
      <c r="C1349" s="1" t="s">
        <v>150</v>
      </c>
      <c r="D1349" s="1" t="s">
        <v>146</v>
      </c>
      <c r="E1349" t="s">
        <v>136</v>
      </c>
    </row>
    <row r="1350" spans="1:5" x14ac:dyDescent="0.35">
      <c r="A1350" s="1" t="s">
        <v>147</v>
      </c>
      <c r="B1350" s="1"/>
      <c r="C1350" s="1"/>
      <c r="D1350" s="1" t="s">
        <v>148</v>
      </c>
      <c r="E1350" t="s">
        <v>136</v>
      </c>
    </row>
    <row r="1351" spans="1:5" x14ac:dyDescent="0.35">
      <c r="A1351" s="1" t="s">
        <v>147</v>
      </c>
      <c r="B1351" s="1"/>
      <c r="C1351" s="1"/>
      <c r="D1351" s="1" t="s">
        <v>149</v>
      </c>
      <c r="E1351" t="s">
        <v>136</v>
      </c>
    </row>
    <row r="1352" spans="1:5" x14ac:dyDescent="0.35">
      <c r="A1352" s="1" t="s">
        <v>147</v>
      </c>
      <c r="B1352" s="1" t="s">
        <v>165</v>
      </c>
      <c r="C1352" s="1" t="s">
        <v>145</v>
      </c>
      <c r="D1352" s="1" t="s">
        <v>146</v>
      </c>
      <c r="E1352" t="s">
        <v>136</v>
      </c>
    </row>
    <row r="1353" spans="1:5" x14ac:dyDescent="0.35">
      <c r="A1353" s="1" t="s">
        <v>147</v>
      </c>
      <c r="B1353" s="1"/>
      <c r="C1353" s="1"/>
      <c r="D1353" s="1" t="s">
        <v>148</v>
      </c>
      <c r="E1353" t="s">
        <v>136</v>
      </c>
    </row>
    <row r="1354" spans="1:5" x14ac:dyDescent="0.35">
      <c r="A1354" s="1" t="s">
        <v>147</v>
      </c>
      <c r="B1354" s="1"/>
      <c r="C1354" s="1"/>
      <c r="D1354" s="1" t="s">
        <v>149</v>
      </c>
      <c r="E1354" t="s">
        <v>136</v>
      </c>
    </row>
    <row r="1355" spans="1:5" x14ac:dyDescent="0.35">
      <c r="A1355" s="1" t="s">
        <v>147</v>
      </c>
      <c r="B1355" s="1"/>
      <c r="C1355" s="1" t="s">
        <v>150</v>
      </c>
      <c r="D1355" s="1" t="s">
        <v>146</v>
      </c>
      <c r="E1355" t="s">
        <v>136</v>
      </c>
    </row>
    <row r="1356" spans="1:5" x14ac:dyDescent="0.35">
      <c r="A1356" s="1" t="s">
        <v>147</v>
      </c>
      <c r="B1356" s="1"/>
      <c r="C1356" s="1"/>
      <c r="D1356" s="1" t="s">
        <v>148</v>
      </c>
      <c r="E1356" t="s">
        <v>136</v>
      </c>
    </row>
    <row r="1357" spans="1:5" x14ac:dyDescent="0.35">
      <c r="A1357" s="1" t="s">
        <v>147</v>
      </c>
      <c r="B1357" s="1"/>
      <c r="C1357" s="1"/>
      <c r="D1357" s="1" t="s">
        <v>149</v>
      </c>
      <c r="E1357" t="s">
        <v>136</v>
      </c>
    </row>
    <row r="1358" spans="1:5" x14ac:dyDescent="0.35">
      <c r="A1358" s="1" t="s">
        <v>147</v>
      </c>
      <c r="B1358" s="1" t="s">
        <v>166</v>
      </c>
      <c r="C1358" s="1" t="s">
        <v>145</v>
      </c>
      <c r="D1358" s="1" t="s">
        <v>146</v>
      </c>
      <c r="E1358">
        <v>1338.95</v>
      </c>
    </row>
    <row r="1359" spans="1:5" x14ac:dyDescent="0.35">
      <c r="A1359" s="1" t="s">
        <v>147</v>
      </c>
      <c r="B1359" s="1"/>
      <c r="C1359" s="1"/>
      <c r="D1359" s="1" t="s">
        <v>148</v>
      </c>
      <c r="E1359">
        <v>1153</v>
      </c>
    </row>
    <row r="1360" spans="1:5" x14ac:dyDescent="0.35">
      <c r="A1360" s="1" t="s">
        <v>147</v>
      </c>
      <c r="B1360" s="1"/>
      <c r="C1360" s="1"/>
      <c r="D1360" s="1" t="s">
        <v>149</v>
      </c>
      <c r="E1360">
        <v>185.95</v>
      </c>
    </row>
    <row r="1361" spans="1:5" x14ac:dyDescent="0.35">
      <c r="A1361" s="1" t="s">
        <v>147</v>
      </c>
      <c r="B1361" s="1"/>
      <c r="C1361" s="1" t="s">
        <v>150</v>
      </c>
      <c r="D1361" s="1" t="s">
        <v>146</v>
      </c>
      <c r="E1361" t="s">
        <v>136</v>
      </c>
    </row>
    <row r="1362" spans="1:5" x14ac:dyDescent="0.35">
      <c r="A1362" s="1" t="s">
        <v>147</v>
      </c>
      <c r="B1362" s="1"/>
      <c r="C1362" s="1"/>
      <c r="D1362" s="1" t="s">
        <v>148</v>
      </c>
      <c r="E1362" t="s">
        <v>136</v>
      </c>
    </row>
    <row r="1363" spans="1:5" x14ac:dyDescent="0.35">
      <c r="A1363" s="1" t="s">
        <v>147</v>
      </c>
      <c r="B1363" s="1"/>
      <c r="C1363" s="1"/>
      <c r="D1363" s="1" t="s">
        <v>149</v>
      </c>
      <c r="E1363" t="s">
        <v>136</v>
      </c>
    </row>
    <row r="1364" spans="1:5" x14ac:dyDescent="0.35">
      <c r="A1364" s="1" t="s">
        <v>147</v>
      </c>
      <c r="B1364" s="1" t="s">
        <v>167</v>
      </c>
      <c r="C1364" s="1" t="s">
        <v>145</v>
      </c>
      <c r="D1364" s="1" t="s">
        <v>146</v>
      </c>
      <c r="E1364">
        <v>52076.05</v>
      </c>
    </row>
    <row r="1365" spans="1:5" x14ac:dyDescent="0.35">
      <c r="A1365" s="1" t="s">
        <v>147</v>
      </c>
      <c r="B1365" s="1"/>
      <c r="C1365" s="1"/>
      <c r="D1365" s="1" t="s">
        <v>148</v>
      </c>
      <c r="E1365">
        <v>52076.05</v>
      </c>
    </row>
    <row r="1366" spans="1:5" x14ac:dyDescent="0.35">
      <c r="A1366" s="1" t="s">
        <v>147</v>
      </c>
      <c r="B1366" s="1"/>
      <c r="C1366" s="1"/>
      <c r="D1366" s="1" t="s">
        <v>149</v>
      </c>
      <c r="E1366" t="s">
        <v>136</v>
      </c>
    </row>
    <row r="1367" spans="1:5" x14ac:dyDescent="0.35">
      <c r="A1367" s="1" t="s">
        <v>147</v>
      </c>
      <c r="B1367" s="1"/>
      <c r="C1367" s="1" t="s">
        <v>150</v>
      </c>
      <c r="D1367" s="1" t="s">
        <v>146</v>
      </c>
      <c r="E1367" t="s">
        <v>136</v>
      </c>
    </row>
    <row r="1368" spans="1:5" x14ac:dyDescent="0.35">
      <c r="A1368" s="1" t="s">
        <v>147</v>
      </c>
      <c r="B1368" s="1"/>
      <c r="C1368" s="1"/>
      <c r="D1368" s="1" t="s">
        <v>148</v>
      </c>
      <c r="E1368" t="s">
        <v>136</v>
      </c>
    </row>
    <row r="1369" spans="1:5" x14ac:dyDescent="0.35">
      <c r="A1369" s="1" t="s">
        <v>147</v>
      </c>
      <c r="B1369" s="1"/>
      <c r="C1369" s="1"/>
      <c r="D1369" s="1" t="s">
        <v>149</v>
      </c>
      <c r="E1369" t="s">
        <v>136</v>
      </c>
    </row>
    <row r="1370" spans="1:5" x14ac:dyDescent="0.35">
      <c r="A1370" s="1" t="s">
        <v>147</v>
      </c>
      <c r="B1370" s="1" t="s">
        <v>168</v>
      </c>
      <c r="C1370" s="1" t="s">
        <v>145</v>
      </c>
      <c r="D1370" s="1" t="s">
        <v>146</v>
      </c>
      <c r="E1370">
        <v>10</v>
      </c>
    </row>
    <row r="1371" spans="1:5" x14ac:dyDescent="0.35">
      <c r="A1371" s="1" t="s">
        <v>147</v>
      </c>
      <c r="B1371" s="1"/>
      <c r="C1371" s="1"/>
      <c r="D1371" s="1" t="s">
        <v>148</v>
      </c>
      <c r="E1371">
        <v>10</v>
      </c>
    </row>
    <row r="1372" spans="1:5" x14ac:dyDescent="0.35">
      <c r="A1372" s="1" t="s">
        <v>147</v>
      </c>
      <c r="B1372" s="1"/>
      <c r="C1372" s="1"/>
      <c r="D1372" s="1" t="s">
        <v>149</v>
      </c>
      <c r="E1372" t="s">
        <v>136</v>
      </c>
    </row>
    <row r="1373" spans="1:5" x14ac:dyDescent="0.35">
      <c r="A1373" s="1" t="s">
        <v>147</v>
      </c>
      <c r="B1373" s="1"/>
      <c r="C1373" s="1" t="s">
        <v>150</v>
      </c>
      <c r="D1373" s="1" t="s">
        <v>146</v>
      </c>
      <c r="E1373" t="s">
        <v>136</v>
      </c>
    </row>
    <row r="1374" spans="1:5" x14ac:dyDescent="0.35">
      <c r="A1374" s="1" t="s">
        <v>147</v>
      </c>
      <c r="B1374" s="1"/>
      <c r="C1374" s="1"/>
      <c r="D1374" s="1" t="s">
        <v>148</v>
      </c>
      <c r="E1374" t="s">
        <v>136</v>
      </c>
    </row>
    <row r="1375" spans="1:5" x14ac:dyDescent="0.35">
      <c r="A1375" s="1" t="s">
        <v>147</v>
      </c>
      <c r="B1375" s="1"/>
      <c r="C1375" s="1"/>
      <c r="D1375" s="1" t="s">
        <v>149</v>
      </c>
      <c r="E1375" t="s">
        <v>136</v>
      </c>
    </row>
    <row r="1376" spans="1:5" x14ac:dyDescent="0.35">
      <c r="A1376" s="1" t="s">
        <v>147</v>
      </c>
      <c r="B1376" s="1" t="s">
        <v>169</v>
      </c>
      <c r="C1376" s="1" t="s">
        <v>145</v>
      </c>
      <c r="D1376" s="1" t="s">
        <v>146</v>
      </c>
      <c r="E1376" t="s">
        <v>136</v>
      </c>
    </row>
    <row r="1377" spans="1:5" x14ac:dyDescent="0.35">
      <c r="A1377" s="1" t="s">
        <v>147</v>
      </c>
      <c r="B1377" s="1"/>
      <c r="C1377" s="1"/>
      <c r="D1377" s="1" t="s">
        <v>148</v>
      </c>
      <c r="E1377" t="s">
        <v>136</v>
      </c>
    </row>
    <row r="1378" spans="1:5" x14ac:dyDescent="0.35">
      <c r="A1378" s="1" t="s">
        <v>147</v>
      </c>
      <c r="B1378" s="1"/>
      <c r="C1378" s="1"/>
      <c r="D1378" s="1" t="s">
        <v>149</v>
      </c>
      <c r="E1378" t="s">
        <v>136</v>
      </c>
    </row>
    <row r="1379" spans="1:5" x14ac:dyDescent="0.35">
      <c r="A1379" s="1" t="s">
        <v>147</v>
      </c>
      <c r="B1379" s="1"/>
      <c r="C1379" s="1" t="s">
        <v>150</v>
      </c>
      <c r="D1379" s="1" t="s">
        <v>146</v>
      </c>
      <c r="E1379" t="s">
        <v>136</v>
      </c>
    </row>
    <row r="1380" spans="1:5" x14ac:dyDescent="0.35">
      <c r="A1380" s="1" t="s">
        <v>147</v>
      </c>
      <c r="B1380" s="1"/>
      <c r="C1380" s="1"/>
      <c r="D1380" s="1" t="s">
        <v>148</v>
      </c>
      <c r="E1380" t="s">
        <v>136</v>
      </c>
    </row>
    <row r="1381" spans="1:5" x14ac:dyDescent="0.35">
      <c r="A1381" s="1" t="s">
        <v>147</v>
      </c>
      <c r="B1381" s="1"/>
      <c r="C1381" s="1"/>
      <c r="D1381" s="1" t="s">
        <v>149</v>
      </c>
      <c r="E1381" t="s">
        <v>136</v>
      </c>
    </row>
    <row r="1382" spans="1:5" x14ac:dyDescent="0.35">
      <c r="A1382" s="1" t="s">
        <v>147</v>
      </c>
      <c r="B1382" s="1" t="s">
        <v>170</v>
      </c>
      <c r="C1382" s="1" t="s">
        <v>145</v>
      </c>
      <c r="D1382" s="1" t="s">
        <v>146</v>
      </c>
      <c r="E1382" t="s">
        <v>136</v>
      </c>
    </row>
    <row r="1383" spans="1:5" x14ac:dyDescent="0.35">
      <c r="A1383" s="1" t="s">
        <v>147</v>
      </c>
      <c r="B1383" s="1"/>
      <c r="C1383" s="1"/>
      <c r="D1383" s="1" t="s">
        <v>148</v>
      </c>
      <c r="E1383" t="s">
        <v>136</v>
      </c>
    </row>
    <row r="1384" spans="1:5" x14ac:dyDescent="0.35">
      <c r="A1384" s="1" t="s">
        <v>147</v>
      </c>
      <c r="B1384" s="1"/>
      <c r="C1384" s="1"/>
      <c r="D1384" s="1" t="s">
        <v>149</v>
      </c>
      <c r="E1384" t="s">
        <v>136</v>
      </c>
    </row>
    <row r="1385" spans="1:5" x14ac:dyDescent="0.35">
      <c r="A1385" s="1" t="s">
        <v>147</v>
      </c>
      <c r="B1385" s="1"/>
      <c r="C1385" s="1" t="s">
        <v>150</v>
      </c>
      <c r="D1385" s="1" t="s">
        <v>146</v>
      </c>
      <c r="E1385" t="s">
        <v>136</v>
      </c>
    </row>
    <row r="1386" spans="1:5" x14ac:dyDescent="0.35">
      <c r="A1386" s="1" t="s">
        <v>147</v>
      </c>
      <c r="B1386" s="1"/>
      <c r="C1386" s="1"/>
      <c r="D1386" s="1" t="s">
        <v>148</v>
      </c>
      <c r="E1386" t="s">
        <v>136</v>
      </c>
    </row>
    <row r="1387" spans="1:5" x14ac:dyDescent="0.35">
      <c r="A1387" s="1" t="s">
        <v>147</v>
      </c>
      <c r="B1387" s="1"/>
      <c r="C1387" s="1"/>
      <c r="D1387" s="1" t="s">
        <v>149</v>
      </c>
      <c r="E1387" t="s">
        <v>136</v>
      </c>
    </row>
    <row r="1388" spans="1:5" x14ac:dyDescent="0.35">
      <c r="A1388" s="1" t="s">
        <v>67</v>
      </c>
      <c r="B1388" s="1" t="s">
        <v>144</v>
      </c>
      <c r="C1388" s="1" t="s">
        <v>145</v>
      </c>
      <c r="D1388" s="1" t="s">
        <v>146</v>
      </c>
      <c r="E1388">
        <v>127.15</v>
      </c>
    </row>
    <row r="1389" spans="1:5" x14ac:dyDescent="0.35">
      <c r="A1389" s="1" t="s">
        <v>147</v>
      </c>
      <c r="B1389" s="1"/>
      <c r="C1389" s="1"/>
      <c r="D1389" s="1" t="s">
        <v>148</v>
      </c>
      <c r="E1389">
        <v>127.14</v>
      </c>
    </row>
    <row r="1390" spans="1:5" x14ac:dyDescent="0.35">
      <c r="A1390" s="1" t="s">
        <v>147</v>
      </c>
      <c r="B1390" s="1"/>
      <c r="C1390" s="1"/>
      <c r="D1390" s="1" t="s">
        <v>149</v>
      </c>
      <c r="E1390">
        <v>0.01</v>
      </c>
    </row>
    <row r="1391" spans="1:5" x14ac:dyDescent="0.35">
      <c r="A1391" s="1" t="s">
        <v>147</v>
      </c>
      <c r="B1391" s="1"/>
      <c r="C1391" s="1" t="s">
        <v>150</v>
      </c>
      <c r="D1391" s="1" t="s">
        <v>146</v>
      </c>
      <c r="E1391" t="s">
        <v>136</v>
      </c>
    </row>
    <row r="1392" spans="1:5" x14ac:dyDescent="0.35">
      <c r="A1392" s="1" t="s">
        <v>147</v>
      </c>
      <c r="B1392" s="1"/>
      <c r="C1392" s="1"/>
      <c r="D1392" s="1" t="s">
        <v>148</v>
      </c>
      <c r="E1392" t="s">
        <v>136</v>
      </c>
    </row>
    <row r="1393" spans="1:5" x14ac:dyDescent="0.35">
      <c r="A1393" s="1" t="s">
        <v>147</v>
      </c>
      <c r="B1393" s="1"/>
      <c r="C1393" s="1"/>
      <c r="D1393" s="1" t="s">
        <v>149</v>
      </c>
      <c r="E1393" t="s">
        <v>136</v>
      </c>
    </row>
    <row r="1394" spans="1:5" x14ac:dyDescent="0.35">
      <c r="A1394" s="1" t="s">
        <v>147</v>
      </c>
      <c r="B1394" s="1" t="s">
        <v>151</v>
      </c>
      <c r="C1394" s="1" t="s">
        <v>145</v>
      </c>
      <c r="D1394" s="1" t="s">
        <v>146</v>
      </c>
      <c r="E1394">
        <v>0.01</v>
      </c>
    </row>
    <row r="1395" spans="1:5" x14ac:dyDescent="0.35">
      <c r="A1395" s="1" t="s">
        <v>147</v>
      </c>
      <c r="B1395" s="1"/>
      <c r="C1395" s="1"/>
      <c r="D1395" s="1" t="s">
        <v>148</v>
      </c>
      <c r="E1395" t="s">
        <v>136</v>
      </c>
    </row>
    <row r="1396" spans="1:5" x14ac:dyDescent="0.35">
      <c r="A1396" s="1" t="s">
        <v>147</v>
      </c>
      <c r="B1396" s="1"/>
      <c r="C1396" s="1"/>
      <c r="D1396" s="1" t="s">
        <v>149</v>
      </c>
      <c r="E1396">
        <v>0.01</v>
      </c>
    </row>
    <row r="1397" spans="1:5" x14ac:dyDescent="0.35">
      <c r="A1397" s="1" t="s">
        <v>147</v>
      </c>
      <c r="B1397" s="1"/>
      <c r="C1397" s="1" t="s">
        <v>150</v>
      </c>
      <c r="D1397" s="1" t="s">
        <v>146</v>
      </c>
      <c r="E1397" t="s">
        <v>136</v>
      </c>
    </row>
    <row r="1398" spans="1:5" x14ac:dyDescent="0.35">
      <c r="A1398" s="1" t="s">
        <v>147</v>
      </c>
      <c r="B1398" s="1"/>
      <c r="C1398" s="1"/>
      <c r="D1398" s="1" t="s">
        <v>148</v>
      </c>
      <c r="E1398" t="s">
        <v>136</v>
      </c>
    </row>
    <row r="1399" spans="1:5" x14ac:dyDescent="0.35">
      <c r="A1399" s="1" t="s">
        <v>147</v>
      </c>
      <c r="B1399" s="1"/>
      <c r="C1399" s="1"/>
      <c r="D1399" s="1" t="s">
        <v>149</v>
      </c>
      <c r="E1399" t="s">
        <v>136</v>
      </c>
    </row>
    <row r="1400" spans="1:5" x14ac:dyDescent="0.35">
      <c r="A1400" s="1" t="s">
        <v>147</v>
      </c>
      <c r="B1400" s="1" t="s">
        <v>152</v>
      </c>
      <c r="C1400" s="1" t="s">
        <v>145</v>
      </c>
      <c r="D1400" s="1" t="s">
        <v>146</v>
      </c>
      <c r="E1400" t="s">
        <v>136</v>
      </c>
    </row>
    <row r="1401" spans="1:5" x14ac:dyDescent="0.35">
      <c r="A1401" s="1" t="s">
        <v>147</v>
      </c>
      <c r="B1401" s="1"/>
      <c r="C1401" s="1"/>
      <c r="D1401" s="1" t="s">
        <v>148</v>
      </c>
      <c r="E1401" t="s">
        <v>136</v>
      </c>
    </row>
    <row r="1402" spans="1:5" x14ac:dyDescent="0.35">
      <c r="A1402" s="1" t="s">
        <v>147</v>
      </c>
      <c r="B1402" s="1"/>
      <c r="C1402" s="1"/>
      <c r="D1402" s="1" t="s">
        <v>149</v>
      </c>
      <c r="E1402" t="s">
        <v>136</v>
      </c>
    </row>
    <row r="1403" spans="1:5" x14ac:dyDescent="0.35">
      <c r="A1403" s="1" t="s">
        <v>147</v>
      </c>
      <c r="B1403" s="1"/>
      <c r="C1403" s="1" t="s">
        <v>150</v>
      </c>
      <c r="D1403" s="1" t="s">
        <v>146</v>
      </c>
      <c r="E1403" t="s">
        <v>136</v>
      </c>
    </row>
    <row r="1404" spans="1:5" x14ac:dyDescent="0.35">
      <c r="A1404" s="1" t="s">
        <v>147</v>
      </c>
      <c r="B1404" s="1"/>
      <c r="C1404" s="1"/>
      <c r="D1404" s="1" t="s">
        <v>148</v>
      </c>
      <c r="E1404" t="s">
        <v>136</v>
      </c>
    </row>
    <row r="1405" spans="1:5" x14ac:dyDescent="0.35">
      <c r="A1405" s="1" t="s">
        <v>147</v>
      </c>
      <c r="B1405" s="1"/>
      <c r="C1405" s="1"/>
      <c r="D1405" s="1" t="s">
        <v>149</v>
      </c>
      <c r="E1405" t="s">
        <v>136</v>
      </c>
    </row>
    <row r="1406" spans="1:5" x14ac:dyDescent="0.35">
      <c r="A1406" s="1" t="s">
        <v>147</v>
      </c>
      <c r="B1406" s="1" t="s">
        <v>153</v>
      </c>
      <c r="C1406" s="1" t="s">
        <v>145</v>
      </c>
      <c r="D1406" s="1" t="s">
        <v>146</v>
      </c>
      <c r="E1406" t="s">
        <v>136</v>
      </c>
    </row>
    <row r="1407" spans="1:5" x14ac:dyDescent="0.35">
      <c r="A1407" s="1" t="s">
        <v>147</v>
      </c>
      <c r="B1407" s="1"/>
      <c r="C1407" s="1"/>
      <c r="D1407" s="1" t="s">
        <v>148</v>
      </c>
      <c r="E1407" t="s">
        <v>136</v>
      </c>
    </row>
    <row r="1408" spans="1:5" x14ac:dyDescent="0.35">
      <c r="A1408" s="1" t="s">
        <v>147</v>
      </c>
      <c r="B1408" s="1"/>
      <c r="C1408" s="1"/>
      <c r="D1408" s="1" t="s">
        <v>149</v>
      </c>
      <c r="E1408" t="s">
        <v>136</v>
      </c>
    </row>
    <row r="1409" spans="1:5" x14ac:dyDescent="0.35">
      <c r="A1409" s="1" t="s">
        <v>147</v>
      </c>
      <c r="B1409" s="1"/>
      <c r="C1409" s="1" t="s">
        <v>150</v>
      </c>
      <c r="D1409" s="1" t="s">
        <v>146</v>
      </c>
      <c r="E1409" t="s">
        <v>136</v>
      </c>
    </row>
    <row r="1410" spans="1:5" x14ac:dyDescent="0.35">
      <c r="A1410" s="1" t="s">
        <v>147</v>
      </c>
      <c r="B1410" s="1"/>
      <c r="C1410" s="1"/>
      <c r="D1410" s="1" t="s">
        <v>148</v>
      </c>
      <c r="E1410" t="s">
        <v>136</v>
      </c>
    </row>
    <row r="1411" spans="1:5" x14ac:dyDescent="0.35">
      <c r="A1411" s="1" t="s">
        <v>147</v>
      </c>
      <c r="B1411" s="1"/>
      <c r="C1411" s="1"/>
      <c r="D1411" s="1" t="s">
        <v>149</v>
      </c>
      <c r="E1411" t="s">
        <v>136</v>
      </c>
    </row>
    <row r="1412" spans="1:5" x14ac:dyDescent="0.35">
      <c r="A1412" s="1" t="s">
        <v>147</v>
      </c>
      <c r="B1412" s="1" t="s">
        <v>154</v>
      </c>
      <c r="C1412" s="1" t="s">
        <v>145</v>
      </c>
      <c r="D1412" s="1" t="s">
        <v>146</v>
      </c>
      <c r="E1412" t="s">
        <v>136</v>
      </c>
    </row>
    <row r="1413" spans="1:5" x14ac:dyDescent="0.35">
      <c r="A1413" s="1" t="s">
        <v>147</v>
      </c>
      <c r="B1413" s="1"/>
      <c r="C1413" s="1"/>
      <c r="D1413" s="1" t="s">
        <v>148</v>
      </c>
      <c r="E1413" t="s">
        <v>136</v>
      </c>
    </row>
    <row r="1414" spans="1:5" x14ac:dyDescent="0.35">
      <c r="A1414" s="1" t="s">
        <v>147</v>
      </c>
      <c r="B1414" s="1"/>
      <c r="C1414" s="1"/>
      <c r="D1414" s="1" t="s">
        <v>149</v>
      </c>
      <c r="E1414" t="s">
        <v>136</v>
      </c>
    </row>
    <row r="1415" spans="1:5" x14ac:dyDescent="0.35">
      <c r="A1415" s="1" t="s">
        <v>147</v>
      </c>
      <c r="B1415" s="1"/>
      <c r="C1415" s="1" t="s">
        <v>150</v>
      </c>
      <c r="D1415" s="1" t="s">
        <v>146</v>
      </c>
      <c r="E1415" t="s">
        <v>136</v>
      </c>
    </row>
    <row r="1416" spans="1:5" x14ac:dyDescent="0.35">
      <c r="A1416" s="1" t="s">
        <v>147</v>
      </c>
      <c r="B1416" s="1"/>
      <c r="C1416" s="1"/>
      <c r="D1416" s="1" t="s">
        <v>148</v>
      </c>
      <c r="E1416" t="s">
        <v>136</v>
      </c>
    </row>
    <row r="1417" spans="1:5" x14ac:dyDescent="0.35">
      <c r="A1417" s="1" t="s">
        <v>147</v>
      </c>
      <c r="B1417" s="1"/>
      <c r="C1417" s="1"/>
      <c r="D1417" s="1" t="s">
        <v>149</v>
      </c>
      <c r="E1417" t="s">
        <v>136</v>
      </c>
    </row>
    <row r="1418" spans="1:5" x14ac:dyDescent="0.35">
      <c r="A1418" s="1" t="s">
        <v>147</v>
      </c>
      <c r="B1418" s="1" t="s">
        <v>155</v>
      </c>
      <c r="C1418" s="1" t="s">
        <v>145</v>
      </c>
      <c r="D1418" s="1" t="s">
        <v>146</v>
      </c>
      <c r="E1418">
        <v>127.14</v>
      </c>
    </row>
    <row r="1419" spans="1:5" x14ac:dyDescent="0.35">
      <c r="A1419" s="1" t="s">
        <v>147</v>
      </c>
      <c r="B1419" s="1"/>
      <c r="C1419" s="1"/>
      <c r="D1419" s="1" t="s">
        <v>148</v>
      </c>
      <c r="E1419">
        <v>127.14</v>
      </c>
    </row>
    <row r="1420" spans="1:5" x14ac:dyDescent="0.35">
      <c r="A1420" s="1" t="s">
        <v>147</v>
      </c>
      <c r="B1420" s="1"/>
      <c r="C1420" s="1"/>
      <c r="D1420" s="1" t="s">
        <v>149</v>
      </c>
      <c r="E1420" t="s">
        <v>136</v>
      </c>
    </row>
    <row r="1421" spans="1:5" x14ac:dyDescent="0.35">
      <c r="A1421" s="1" t="s">
        <v>147</v>
      </c>
      <c r="B1421" s="1"/>
      <c r="C1421" s="1" t="s">
        <v>150</v>
      </c>
      <c r="D1421" s="1" t="s">
        <v>146</v>
      </c>
      <c r="E1421" t="s">
        <v>136</v>
      </c>
    </row>
    <row r="1422" spans="1:5" x14ac:dyDescent="0.35">
      <c r="A1422" s="1" t="s">
        <v>147</v>
      </c>
      <c r="B1422" s="1"/>
      <c r="C1422" s="1"/>
      <c r="D1422" s="1" t="s">
        <v>148</v>
      </c>
      <c r="E1422" t="s">
        <v>136</v>
      </c>
    </row>
    <row r="1423" spans="1:5" x14ac:dyDescent="0.35">
      <c r="A1423" s="1" t="s">
        <v>147</v>
      </c>
      <c r="B1423" s="1"/>
      <c r="C1423" s="1"/>
      <c r="D1423" s="1" t="s">
        <v>149</v>
      </c>
      <c r="E1423" t="s">
        <v>136</v>
      </c>
    </row>
    <row r="1424" spans="1:5" x14ac:dyDescent="0.35">
      <c r="A1424" s="1" t="s">
        <v>147</v>
      </c>
      <c r="B1424" s="1" t="s">
        <v>156</v>
      </c>
      <c r="C1424" s="1" t="s">
        <v>145</v>
      </c>
      <c r="D1424" s="1" t="s">
        <v>146</v>
      </c>
      <c r="E1424" t="s">
        <v>136</v>
      </c>
    </row>
    <row r="1425" spans="1:5" x14ac:dyDescent="0.35">
      <c r="A1425" s="1" t="s">
        <v>147</v>
      </c>
      <c r="B1425" s="1"/>
      <c r="C1425" s="1"/>
      <c r="D1425" s="1" t="s">
        <v>148</v>
      </c>
      <c r="E1425" t="s">
        <v>136</v>
      </c>
    </row>
    <row r="1426" spans="1:5" x14ac:dyDescent="0.35">
      <c r="A1426" s="1" t="s">
        <v>147</v>
      </c>
      <c r="B1426" s="1"/>
      <c r="C1426" s="1"/>
      <c r="D1426" s="1" t="s">
        <v>149</v>
      </c>
      <c r="E1426" t="s">
        <v>136</v>
      </c>
    </row>
    <row r="1427" spans="1:5" x14ac:dyDescent="0.35">
      <c r="A1427" s="1" t="s">
        <v>147</v>
      </c>
      <c r="B1427" s="1"/>
      <c r="C1427" s="1" t="s">
        <v>150</v>
      </c>
      <c r="D1427" s="1" t="s">
        <v>146</v>
      </c>
      <c r="E1427" t="s">
        <v>136</v>
      </c>
    </row>
    <row r="1428" spans="1:5" x14ac:dyDescent="0.35">
      <c r="A1428" s="1" t="s">
        <v>147</v>
      </c>
      <c r="B1428" s="1"/>
      <c r="C1428" s="1"/>
      <c r="D1428" s="1" t="s">
        <v>148</v>
      </c>
      <c r="E1428" t="s">
        <v>136</v>
      </c>
    </row>
    <row r="1429" spans="1:5" x14ac:dyDescent="0.35">
      <c r="A1429" s="1" t="s">
        <v>147</v>
      </c>
      <c r="B1429" s="1"/>
      <c r="C1429" s="1"/>
      <c r="D1429" s="1" t="s">
        <v>149</v>
      </c>
      <c r="E1429" t="s">
        <v>136</v>
      </c>
    </row>
    <row r="1430" spans="1:5" x14ac:dyDescent="0.35">
      <c r="A1430" s="1" t="s">
        <v>147</v>
      </c>
      <c r="B1430" s="1" t="s">
        <v>157</v>
      </c>
      <c r="C1430" s="1" t="s">
        <v>145</v>
      </c>
      <c r="D1430" s="1" t="s">
        <v>146</v>
      </c>
      <c r="E1430" t="s">
        <v>136</v>
      </c>
    </row>
    <row r="1431" spans="1:5" x14ac:dyDescent="0.35">
      <c r="A1431" s="1" t="s">
        <v>147</v>
      </c>
      <c r="B1431" s="1"/>
      <c r="C1431" s="1"/>
      <c r="D1431" s="1" t="s">
        <v>148</v>
      </c>
      <c r="E1431" t="s">
        <v>136</v>
      </c>
    </row>
    <row r="1432" spans="1:5" x14ac:dyDescent="0.35">
      <c r="A1432" s="1" t="s">
        <v>147</v>
      </c>
      <c r="B1432" s="1"/>
      <c r="C1432" s="1"/>
      <c r="D1432" s="1" t="s">
        <v>149</v>
      </c>
      <c r="E1432" t="s">
        <v>136</v>
      </c>
    </row>
    <row r="1433" spans="1:5" x14ac:dyDescent="0.35">
      <c r="A1433" s="1" t="s">
        <v>147</v>
      </c>
      <c r="B1433" s="1"/>
      <c r="C1433" s="1" t="s">
        <v>150</v>
      </c>
      <c r="D1433" s="1" t="s">
        <v>146</v>
      </c>
      <c r="E1433" t="s">
        <v>136</v>
      </c>
    </row>
    <row r="1434" spans="1:5" x14ac:dyDescent="0.35">
      <c r="A1434" s="1" t="s">
        <v>147</v>
      </c>
      <c r="B1434" s="1"/>
      <c r="C1434" s="1"/>
      <c r="D1434" s="1" t="s">
        <v>148</v>
      </c>
      <c r="E1434" t="s">
        <v>136</v>
      </c>
    </row>
    <row r="1435" spans="1:5" x14ac:dyDescent="0.35">
      <c r="A1435" s="1" t="s">
        <v>147</v>
      </c>
      <c r="B1435" s="1"/>
      <c r="C1435" s="1"/>
      <c r="D1435" s="1" t="s">
        <v>149</v>
      </c>
      <c r="E1435" t="s">
        <v>136</v>
      </c>
    </row>
    <row r="1436" spans="1:5" x14ac:dyDescent="0.35">
      <c r="A1436" s="1" t="s">
        <v>147</v>
      </c>
      <c r="B1436" s="1" t="s">
        <v>158</v>
      </c>
      <c r="C1436" s="1" t="s">
        <v>145</v>
      </c>
      <c r="D1436" s="1" t="s">
        <v>146</v>
      </c>
      <c r="E1436" t="s">
        <v>136</v>
      </c>
    </row>
    <row r="1437" spans="1:5" x14ac:dyDescent="0.35">
      <c r="A1437" s="1" t="s">
        <v>147</v>
      </c>
      <c r="B1437" s="1"/>
      <c r="C1437" s="1"/>
      <c r="D1437" s="1" t="s">
        <v>148</v>
      </c>
      <c r="E1437" t="s">
        <v>136</v>
      </c>
    </row>
    <row r="1438" spans="1:5" x14ac:dyDescent="0.35">
      <c r="A1438" s="1" t="s">
        <v>147</v>
      </c>
      <c r="B1438" s="1"/>
      <c r="C1438" s="1"/>
      <c r="D1438" s="1" t="s">
        <v>149</v>
      </c>
      <c r="E1438" t="s">
        <v>136</v>
      </c>
    </row>
    <row r="1439" spans="1:5" x14ac:dyDescent="0.35">
      <c r="A1439" s="1" t="s">
        <v>147</v>
      </c>
      <c r="B1439" s="1"/>
      <c r="C1439" s="1" t="s">
        <v>150</v>
      </c>
      <c r="D1439" s="1" t="s">
        <v>146</v>
      </c>
      <c r="E1439" t="s">
        <v>136</v>
      </c>
    </row>
    <row r="1440" spans="1:5" x14ac:dyDescent="0.35">
      <c r="A1440" s="1" t="s">
        <v>147</v>
      </c>
      <c r="B1440" s="1"/>
      <c r="C1440" s="1"/>
      <c r="D1440" s="1" t="s">
        <v>148</v>
      </c>
      <c r="E1440" t="s">
        <v>136</v>
      </c>
    </row>
    <row r="1441" spans="1:5" x14ac:dyDescent="0.35">
      <c r="A1441" s="1" t="s">
        <v>147</v>
      </c>
      <c r="B1441" s="1"/>
      <c r="C1441" s="1"/>
      <c r="D1441" s="1" t="s">
        <v>149</v>
      </c>
      <c r="E1441" t="s">
        <v>136</v>
      </c>
    </row>
    <row r="1442" spans="1:5" x14ac:dyDescent="0.35">
      <c r="A1442" s="1" t="s">
        <v>147</v>
      </c>
      <c r="B1442" s="1" t="s">
        <v>159</v>
      </c>
      <c r="C1442" s="1" t="s">
        <v>145</v>
      </c>
      <c r="D1442" s="1" t="s">
        <v>146</v>
      </c>
      <c r="E1442" t="s">
        <v>136</v>
      </c>
    </row>
    <row r="1443" spans="1:5" x14ac:dyDescent="0.35">
      <c r="A1443" s="1" t="s">
        <v>147</v>
      </c>
      <c r="B1443" s="1"/>
      <c r="C1443" s="1"/>
      <c r="D1443" s="1" t="s">
        <v>148</v>
      </c>
      <c r="E1443" t="s">
        <v>136</v>
      </c>
    </row>
    <row r="1444" spans="1:5" x14ac:dyDescent="0.35">
      <c r="A1444" s="1" t="s">
        <v>147</v>
      </c>
      <c r="B1444" s="1"/>
      <c r="C1444" s="1"/>
      <c r="D1444" s="1" t="s">
        <v>149</v>
      </c>
      <c r="E1444" t="s">
        <v>136</v>
      </c>
    </row>
    <row r="1445" spans="1:5" x14ac:dyDescent="0.35">
      <c r="A1445" s="1" t="s">
        <v>147</v>
      </c>
      <c r="B1445" s="1"/>
      <c r="C1445" s="1" t="s">
        <v>150</v>
      </c>
      <c r="D1445" s="1" t="s">
        <v>146</v>
      </c>
      <c r="E1445" t="s">
        <v>136</v>
      </c>
    </row>
    <row r="1446" spans="1:5" x14ac:dyDescent="0.35">
      <c r="A1446" s="1" t="s">
        <v>147</v>
      </c>
      <c r="B1446" s="1"/>
      <c r="C1446" s="1"/>
      <c r="D1446" s="1" t="s">
        <v>148</v>
      </c>
      <c r="E1446" t="s">
        <v>136</v>
      </c>
    </row>
    <row r="1447" spans="1:5" x14ac:dyDescent="0.35">
      <c r="A1447" s="1" t="s">
        <v>147</v>
      </c>
      <c r="B1447" s="1"/>
      <c r="C1447" s="1"/>
      <c r="D1447" s="1" t="s">
        <v>149</v>
      </c>
      <c r="E1447" t="s">
        <v>136</v>
      </c>
    </row>
    <row r="1448" spans="1:5" x14ac:dyDescent="0.35">
      <c r="A1448" s="1" t="s">
        <v>147</v>
      </c>
      <c r="B1448" s="1" t="s">
        <v>160</v>
      </c>
      <c r="C1448" s="1" t="s">
        <v>145</v>
      </c>
      <c r="D1448" s="1" t="s">
        <v>146</v>
      </c>
      <c r="E1448" t="s">
        <v>136</v>
      </c>
    </row>
    <row r="1449" spans="1:5" x14ac:dyDescent="0.35">
      <c r="A1449" s="1" t="s">
        <v>147</v>
      </c>
      <c r="B1449" s="1"/>
      <c r="C1449" s="1"/>
      <c r="D1449" s="1" t="s">
        <v>148</v>
      </c>
      <c r="E1449" t="s">
        <v>136</v>
      </c>
    </row>
    <row r="1450" spans="1:5" x14ac:dyDescent="0.35">
      <c r="A1450" s="1" t="s">
        <v>147</v>
      </c>
      <c r="B1450" s="1"/>
      <c r="C1450" s="1"/>
      <c r="D1450" s="1" t="s">
        <v>149</v>
      </c>
      <c r="E1450" t="s">
        <v>136</v>
      </c>
    </row>
    <row r="1451" spans="1:5" x14ac:dyDescent="0.35">
      <c r="A1451" s="1" t="s">
        <v>147</v>
      </c>
      <c r="B1451" s="1"/>
      <c r="C1451" s="1" t="s">
        <v>150</v>
      </c>
      <c r="D1451" s="1" t="s">
        <v>146</v>
      </c>
      <c r="E1451" t="s">
        <v>136</v>
      </c>
    </row>
    <row r="1452" spans="1:5" x14ac:dyDescent="0.35">
      <c r="A1452" s="1" t="s">
        <v>147</v>
      </c>
      <c r="B1452" s="1"/>
      <c r="C1452" s="1"/>
      <c r="D1452" s="1" t="s">
        <v>148</v>
      </c>
      <c r="E1452" t="s">
        <v>136</v>
      </c>
    </row>
    <row r="1453" spans="1:5" x14ac:dyDescent="0.35">
      <c r="A1453" s="1" t="s">
        <v>147</v>
      </c>
      <c r="B1453" s="1"/>
      <c r="C1453" s="1"/>
      <c r="D1453" s="1" t="s">
        <v>149</v>
      </c>
      <c r="E1453" t="s">
        <v>136</v>
      </c>
    </row>
    <row r="1454" spans="1:5" x14ac:dyDescent="0.35">
      <c r="A1454" s="1" t="s">
        <v>147</v>
      </c>
      <c r="B1454" s="1" t="s">
        <v>161</v>
      </c>
      <c r="C1454" s="1" t="s">
        <v>145</v>
      </c>
      <c r="D1454" s="1" t="s">
        <v>146</v>
      </c>
      <c r="E1454" t="s">
        <v>136</v>
      </c>
    </row>
    <row r="1455" spans="1:5" x14ac:dyDescent="0.35">
      <c r="A1455" s="1" t="s">
        <v>147</v>
      </c>
      <c r="B1455" s="1"/>
      <c r="C1455" s="1"/>
      <c r="D1455" s="1" t="s">
        <v>148</v>
      </c>
      <c r="E1455" t="s">
        <v>136</v>
      </c>
    </row>
    <row r="1456" spans="1:5" x14ac:dyDescent="0.35">
      <c r="A1456" s="1" t="s">
        <v>147</v>
      </c>
      <c r="B1456" s="1"/>
      <c r="C1456" s="1"/>
      <c r="D1456" s="1" t="s">
        <v>149</v>
      </c>
      <c r="E1456" t="s">
        <v>136</v>
      </c>
    </row>
    <row r="1457" spans="1:5" x14ac:dyDescent="0.35">
      <c r="A1457" s="1" t="s">
        <v>147</v>
      </c>
      <c r="B1457" s="1"/>
      <c r="C1457" s="1" t="s">
        <v>150</v>
      </c>
      <c r="D1457" s="1" t="s">
        <v>146</v>
      </c>
      <c r="E1457" t="s">
        <v>136</v>
      </c>
    </row>
    <row r="1458" spans="1:5" x14ac:dyDescent="0.35">
      <c r="A1458" s="1" t="s">
        <v>147</v>
      </c>
      <c r="B1458" s="1"/>
      <c r="C1458" s="1"/>
      <c r="D1458" s="1" t="s">
        <v>148</v>
      </c>
      <c r="E1458" t="s">
        <v>136</v>
      </c>
    </row>
    <row r="1459" spans="1:5" x14ac:dyDescent="0.35">
      <c r="A1459" s="1" t="s">
        <v>147</v>
      </c>
      <c r="B1459" s="1"/>
      <c r="C1459" s="1"/>
      <c r="D1459" s="1" t="s">
        <v>149</v>
      </c>
      <c r="E1459" t="s">
        <v>136</v>
      </c>
    </row>
    <row r="1460" spans="1:5" x14ac:dyDescent="0.35">
      <c r="A1460" s="1" t="s">
        <v>147</v>
      </c>
      <c r="B1460" s="1" t="s">
        <v>162</v>
      </c>
      <c r="C1460" s="1" t="s">
        <v>145</v>
      </c>
      <c r="D1460" s="1" t="s">
        <v>146</v>
      </c>
      <c r="E1460" t="s">
        <v>136</v>
      </c>
    </row>
    <row r="1461" spans="1:5" x14ac:dyDescent="0.35">
      <c r="A1461" s="1" t="s">
        <v>147</v>
      </c>
      <c r="B1461" s="1"/>
      <c r="C1461" s="1"/>
      <c r="D1461" s="1" t="s">
        <v>148</v>
      </c>
      <c r="E1461" t="s">
        <v>136</v>
      </c>
    </row>
    <row r="1462" spans="1:5" x14ac:dyDescent="0.35">
      <c r="A1462" s="1" t="s">
        <v>147</v>
      </c>
      <c r="B1462" s="1"/>
      <c r="C1462" s="1"/>
      <c r="D1462" s="1" t="s">
        <v>149</v>
      </c>
      <c r="E1462" t="s">
        <v>136</v>
      </c>
    </row>
    <row r="1463" spans="1:5" x14ac:dyDescent="0.35">
      <c r="A1463" s="1" t="s">
        <v>147</v>
      </c>
      <c r="B1463" s="1"/>
      <c r="C1463" s="1" t="s">
        <v>150</v>
      </c>
      <c r="D1463" s="1" t="s">
        <v>146</v>
      </c>
      <c r="E1463" t="s">
        <v>136</v>
      </c>
    </row>
    <row r="1464" spans="1:5" x14ac:dyDescent="0.35">
      <c r="A1464" s="1" t="s">
        <v>147</v>
      </c>
      <c r="B1464" s="1"/>
      <c r="C1464" s="1"/>
      <c r="D1464" s="1" t="s">
        <v>148</v>
      </c>
      <c r="E1464" t="s">
        <v>136</v>
      </c>
    </row>
    <row r="1465" spans="1:5" x14ac:dyDescent="0.35">
      <c r="A1465" s="1" t="s">
        <v>147</v>
      </c>
      <c r="B1465" s="1"/>
      <c r="C1465" s="1"/>
      <c r="D1465" s="1" t="s">
        <v>149</v>
      </c>
      <c r="E1465" t="s">
        <v>136</v>
      </c>
    </row>
    <row r="1466" spans="1:5" x14ac:dyDescent="0.35">
      <c r="A1466" s="1" t="s">
        <v>147</v>
      </c>
      <c r="B1466" s="1" t="s">
        <v>163</v>
      </c>
      <c r="C1466" s="1" t="s">
        <v>145</v>
      </c>
      <c r="D1466" s="1" t="s">
        <v>146</v>
      </c>
      <c r="E1466">
        <v>273.97000000000003</v>
      </c>
    </row>
    <row r="1467" spans="1:5" x14ac:dyDescent="0.35">
      <c r="A1467" s="1" t="s">
        <v>147</v>
      </c>
      <c r="B1467" s="1"/>
      <c r="C1467" s="1"/>
      <c r="D1467" s="1" t="s">
        <v>148</v>
      </c>
      <c r="E1467">
        <v>273.97000000000003</v>
      </c>
    </row>
    <row r="1468" spans="1:5" x14ac:dyDescent="0.35">
      <c r="A1468" s="1" t="s">
        <v>147</v>
      </c>
      <c r="B1468" s="1"/>
      <c r="C1468" s="1"/>
      <c r="D1468" s="1" t="s">
        <v>149</v>
      </c>
      <c r="E1468" t="s">
        <v>136</v>
      </c>
    </row>
    <row r="1469" spans="1:5" x14ac:dyDescent="0.35">
      <c r="A1469" s="1" t="s">
        <v>147</v>
      </c>
      <c r="B1469" s="1"/>
      <c r="C1469" s="1" t="s">
        <v>150</v>
      </c>
      <c r="D1469" s="1" t="s">
        <v>146</v>
      </c>
      <c r="E1469" t="s">
        <v>136</v>
      </c>
    </row>
    <row r="1470" spans="1:5" x14ac:dyDescent="0.35">
      <c r="A1470" s="1" t="s">
        <v>147</v>
      </c>
      <c r="B1470" s="1"/>
      <c r="C1470" s="1"/>
      <c r="D1470" s="1" t="s">
        <v>148</v>
      </c>
      <c r="E1470" t="s">
        <v>136</v>
      </c>
    </row>
    <row r="1471" spans="1:5" x14ac:dyDescent="0.35">
      <c r="A1471" s="1" t="s">
        <v>147</v>
      </c>
      <c r="B1471" s="1"/>
      <c r="C1471" s="1"/>
      <c r="D1471" s="1" t="s">
        <v>149</v>
      </c>
      <c r="E1471" t="s">
        <v>136</v>
      </c>
    </row>
    <row r="1472" spans="1:5" x14ac:dyDescent="0.35">
      <c r="A1472" s="1" t="s">
        <v>147</v>
      </c>
      <c r="B1472" s="1" t="s">
        <v>164</v>
      </c>
      <c r="C1472" s="1" t="s">
        <v>145</v>
      </c>
      <c r="D1472" s="1" t="s">
        <v>146</v>
      </c>
      <c r="E1472" t="s">
        <v>136</v>
      </c>
    </row>
    <row r="1473" spans="1:5" x14ac:dyDescent="0.35">
      <c r="A1473" s="1" t="s">
        <v>147</v>
      </c>
      <c r="B1473" s="1"/>
      <c r="C1473" s="1"/>
      <c r="D1473" s="1" t="s">
        <v>148</v>
      </c>
      <c r="E1473" t="s">
        <v>136</v>
      </c>
    </row>
    <row r="1474" spans="1:5" x14ac:dyDescent="0.35">
      <c r="A1474" s="1" t="s">
        <v>147</v>
      </c>
      <c r="B1474" s="1"/>
      <c r="C1474" s="1"/>
      <c r="D1474" s="1" t="s">
        <v>149</v>
      </c>
      <c r="E1474" t="s">
        <v>136</v>
      </c>
    </row>
    <row r="1475" spans="1:5" x14ac:dyDescent="0.35">
      <c r="A1475" s="1" t="s">
        <v>147</v>
      </c>
      <c r="B1475" s="1"/>
      <c r="C1475" s="1" t="s">
        <v>150</v>
      </c>
      <c r="D1475" s="1" t="s">
        <v>146</v>
      </c>
      <c r="E1475" t="s">
        <v>136</v>
      </c>
    </row>
    <row r="1476" spans="1:5" x14ac:dyDescent="0.35">
      <c r="A1476" s="1" t="s">
        <v>147</v>
      </c>
      <c r="B1476" s="1"/>
      <c r="C1476" s="1"/>
      <c r="D1476" s="1" t="s">
        <v>148</v>
      </c>
      <c r="E1476" t="s">
        <v>136</v>
      </c>
    </row>
    <row r="1477" spans="1:5" x14ac:dyDescent="0.35">
      <c r="A1477" s="1" t="s">
        <v>147</v>
      </c>
      <c r="B1477" s="1"/>
      <c r="C1477" s="1"/>
      <c r="D1477" s="1" t="s">
        <v>149</v>
      </c>
      <c r="E1477" t="s">
        <v>136</v>
      </c>
    </row>
    <row r="1478" spans="1:5" x14ac:dyDescent="0.35">
      <c r="A1478" s="1" t="s">
        <v>147</v>
      </c>
      <c r="B1478" s="1" t="s">
        <v>165</v>
      </c>
      <c r="C1478" s="1" t="s">
        <v>145</v>
      </c>
      <c r="D1478" s="1" t="s">
        <v>146</v>
      </c>
      <c r="E1478" t="s">
        <v>136</v>
      </c>
    </row>
    <row r="1479" spans="1:5" x14ac:dyDescent="0.35">
      <c r="A1479" s="1" t="s">
        <v>147</v>
      </c>
      <c r="B1479" s="1"/>
      <c r="C1479" s="1"/>
      <c r="D1479" s="1" t="s">
        <v>148</v>
      </c>
      <c r="E1479" t="s">
        <v>136</v>
      </c>
    </row>
    <row r="1480" spans="1:5" x14ac:dyDescent="0.35">
      <c r="A1480" s="1" t="s">
        <v>147</v>
      </c>
      <c r="B1480" s="1"/>
      <c r="C1480" s="1"/>
      <c r="D1480" s="1" t="s">
        <v>149</v>
      </c>
      <c r="E1480" t="s">
        <v>136</v>
      </c>
    </row>
    <row r="1481" spans="1:5" x14ac:dyDescent="0.35">
      <c r="A1481" s="1" t="s">
        <v>147</v>
      </c>
      <c r="B1481" s="1"/>
      <c r="C1481" s="1" t="s">
        <v>150</v>
      </c>
      <c r="D1481" s="1" t="s">
        <v>146</v>
      </c>
      <c r="E1481" t="s">
        <v>136</v>
      </c>
    </row>
    <row r="1482" spans="1:5" x14ac:dyDescent="0.35">
      <c r="A1482" s="1" t="s">
        <v>147</v>
      </c>
      <c r="B1482" s="1"/>
      <c r="C1482" s="1"/>
      <c r="D1482" s="1" t="s">
        <v>148</v>
      </c>
      <c r="E1482" t="s">
        <v>136</v>
      </c>
    </row>
    <row r="1483" spans="1:5" x14ac:dyDescent="0.35">
      <c r="A1483" s="1" t="s">
        <v>147</v>
      </c>
      <c r="B1483" s="1"/>
      <c r="C1483" s="1"/>
      <c r="D1483" s="1" t="s">
        <v>149</v>
      </c>
      <c r="E1483" t="s">
        <v>136</v>
      </c>
    </row>
    <row r="1484" spans="1:5" x14ac:dyDescent="0.35">
      <c r="A1484" s="1" t="s">
        <v>147</v>
      </c>
      <c r="B1484" s="1" t="s">
        <v>166</v>
      </c>
      <c r="C1484" s="1" t="s">
        <v>145</v>
      </c>
      <c r="D1484" s="1" t="s">
        <v>146</v>
      </c>
      <c r="E1484">
        <v>117.97</v>
      </c>
    </row>
    <row r="1485" spans="1:5" x14ac:dyDescent="0.35">
      <c r="A1485" s="1" t="s">
        <v>147</v>
      </c>
      <c r="B1485" s="1"/>
      <c r="C1485" s="1"/>
      <c r="D1485" s="1" t="s">
        <v>148</v>
      </c>
      <c r="E1485">
        <v>117.97</v>
      </c>
    </row>
    <row r="1486" spans="1:5" x14ac:dyDescent="0.35">
      <c r="A1486" s="1" t="s">
        <v>147</v>
      </c>
      <c r="B1486" s="1"/>
      <c r="C1486" s="1"/>
      <c r="D1486" s="1" t="s">
        <v>149</v>
      </c>
      <c r="E1486" t="s">
        <v>136</v>
      </c>
    </row>
    <row r="1487" spans="1:5" x14ac:dyDescent="0.35">
      <c r="A1487" s="1" t="s">
        <v>147</v>
      </c>
      <c r="B1487" s="1"/>
      <c r="C1487" s="1" t="s">
        <v>150</v>
      </c>
      <c r="D1487" s="1" t="s">
        <v>146</v>
      </c>
      <c r="E1487" t="s">
        <v>136</v>
      </c>
    </row>
    <row r="1488" spans="1:5" x14ac:dyDescent="0.35">
      <c r="A1488" s="1" t="s">
        <v>147</v>
      </c>
      <c r="B1488" s="1"/>
      <c r="C1488" s="1"/>
      <c r="D1488" s="1" t="s">
        <v>148</v>
      </c>
      <c r="E1488" t="s">
        <v>136</v>
      </c>
    </row>
    <row r="1489" spans="1:5" x14ac:dyDescent="0.35">
      <c r="A1489" s="1" t="s">
        <v>147</v>
      </c>
      <c r="B1489" s="1"/>
      <c r="C1489" s="1"/>
      <c r="D1489" s="1" t="s">
        <v>149</v>
      </c>
      <c r="E1489" t="s">
        <v>136</v>
      </c>
    </row>
    <row r="1490" spans="1:5" x14ac:dyDescent="0.35">
      <c r="A1490" s="1" t="s">
        <v>147</v>
      </c>
      <c r="B1490" s="1" t="s">
        <v>167</v>
      </c>
      <c r="C1490" s="1" t="s">
        <v>145</v>
      </c>
      <c r="D1490" s="1" t="s">
        <v>146</v>
      </c>
      <c r="E1490">
        <v>156</v>
      </c>
    </row>
    <row r="1491" spans="1:5" x14ac:dyDescent="0.35">
      <c r="A1491" s="1" t="s">
        <v>147</v>
      </c>
      <c r="B1491" s="1"/>
      <c r="C1491" s="1"/>
      <c r="D1491" s="1" t="s">
        <v>148</v>
      </c>
      <c r="E1491">
        <v>156</v>
      </c>
    </row>
    <row r="1492" spans="1:5" x14ac:dyDescent="0.35">
      <c r="A1492" s="1" t="s">
        <v>147</v>
      </c>
      <c r="B1492" s="1"/>
      <c r="C1492" s="1"/>
      <c r="D1492" s="1" t="s">
        <v>149</v>
      </c>
      <c r="E1492" t="s">
        <v>136</v>
      </c>
    </row>
    <row r="1493" spans="1:5" x14ac:dyDescent="0.35">
      <c r="A1493" s="1" t="s">
        <v>147</v>
      </c>
      <c r="B1493" s="1"/>
      <c r="C1493" s="1" t="s">
        <v>150</v>
      </c>
      <c r="D1493" s="1" t="s">
        <v>146</v>
      </c>
      <c r="E1493" t="s">
        <v>136</v>
      </c>
    </row>
    <row r="1494" spans="1:5" x14ac:dyDescent="0.35">
      <c r="A1494" s="1" t="s">
        <v>147</v>
      </c>
      <c r="B1494" s="1"/>
      <c r="C1494" s="1"/>
      <c r="D1494" s="1" t="s">
        <v>148</v>
      </c>
      <c r="E1494" t="s">
        <v>136</v>
      </c>
    </row>
    <row r="1495" spans="1:5" x14ac:dyDescent="0.35">
      <c r="A1495" s="1" t="s">
        <v>147</v>
      </c>
      <c r="B1495" s="1"/>
      <c r="C1495" s="1"/>
      <c r="D1495" s="1" t="s">
        <v>149</v>
      </c>
      <c r="E1495" t="s">
        <v>136</v>
      </c>
    </row>
    <row r="1496" spans="1:5" x14ac:dyDescent="0.35">
      <c r="A1496" s="1" t="s">
        <v>147</v>
      </c>
      <c r="B1496" s="1" t="s">
        <v>168</v>
      </c>
      <c r="C1496" s="1" t="s">
        <v>145</v>
      </c>
      <c r="D1496" s="1" t="s">
        <v>146</v>
      </c>
      <c r="E1496" t="s">
        <v>136</v>
      </c>
    </row>
    <row r="1497" spans="1:5" x14ac:dyDescent="0.35">
      <c r="A1497" s="1" t="s">
        <v>147</v>
      </c>
      <c r="B1497" s="1"/>
      <c r="C1497" s="1"/>
      <c r="D1497" s="1" t="s">
        <v>148</v>
      </c>
      <c r="E1497" t="s">
        <v>136</v>
      </c>
    </row>
    <row r="1498" spans="1:5" x14ac:dyDescent="0.35">
      <c r="A1498" s="1" t="s">
        <v>147</v>
      </c>
      <c r="B1498" s="1"/>
      <c r="C1498" s="1"/>
      <c r="D1498" s="1" t="s">
        <v>149</v>
      </c>
      <c r="E1498" t="s">
        <v>136</v>
      </c>
    </row>
    <row r="1499" spans="1:5" x14ac:dyDescent="0.35">
      <c r="A1499" s="1" t="s">
        <v>147</v>
      </c>
      <c r="B1499" s="1"/>
      <c r="C1499" s="1" t="s">
        <v>150</v>
      </c>
      <c r="D1499" s="1" t="s">
        <v>146</v>
      </c>
      <c r="E1499" t="s">
        <v>136</v>
      </c>
    </row>
    <row r="1500" spans="1:5" x14ac:dyDescent="0.35">
      <c r="A1500" s="1" t="s">
        <v>147</v>
      </c>
      <c r="B1500" s="1"/>
      <c r="C1500" s="1"/>
      <c r="D1500" s="1" t="s">
        <v>148</v>
      </c>
      <c r="E1500" t="s">
        <v>136</v>
      </c>
    </row>
    <row r="1501" spans="1:5" x14ac:dyDescent="0.35">
      <c r="A1501" s="1" t="s">
        <v>147</v>
      </c>
      <c r="B1501" s="1"/>
      <c r="C1501" s="1"/>
      <c r="D1501" s="1" t="s">
        <v>149</v>
      </c>
      <c r="E1501" t="s">
        <v>136</v>
      </c>
    </row>
    <row r="1502" spans="1:5" x14ac:dyDescent="0.35">
      <c r="A1502" s="1" t="s">
        <v>147</v>
      </c>
      <c r="B1502" s="1" t="s">
        <v>169</v>
      </c>
      <c r="C1502" s="1" t="s">
        <v>145</v>
      </c>
      <c r="D1502" s="1" t="s">
        <v>146</v>
      </c>
      <c r="E1502" t="s">
        <v>136</v>
      </c>
    </row>
    <row r="1503" spans="1:5" x14ac:dyDescent="0.35">
      <c r="A1503" s="1" t="s">
        <v>147</v>
      </c>
      <c r="B1503" s="1"/>
      <c r="C1503" s="1"/>
      <c r="D1503" s="1" t="s">
        <v>148</v>
      </c>
      <c r="E1503" t="s">
        <v>136</v>
      </c>
    </row>
    <row r="1504" spans="1:5" x14ac:dyDescent="0.35">
      <c r="A1504" s="1" t="s">
        <v>147</v>
      </c>
      <c r="B1504" s="1"/>
      <c r="C1504" s="1"/>
      <c r="D1504" s="1" t="s">
        <v>149</v>
      </c>
      <c r="E1504" t="s">
        <v>136</v>
      </c>
    </row>
    <row r="1505" spans="1:5" x14ac:dyDescent="0.35">
      <c r="A1505" s="1" t="s">
        <v>147</v>
      </c>
      <c r="B1505" s="1"/>
      <c r="C1505" s="1" t="s">
        <v>150</v>
      </c>
      <c r="D1505" s="1" t="s">
        <v>146</v>
      </c>
      <c r="E1505" t="s">
        <v>136</v>
      </c>
    </row>
    <row r="1506" spans="1:5" x14ac:dyDescent="0.35">
      <c r="A1506" s="1" t="s">
        <v>147</v>
      </c>
      <c r="B1506" s="1"/>
      <c r="C1506" s="1"/>
      <c r="D1506" s="1" t="s">
        <v>148</v>
      </c>
      <c r="E1506" t="s">
        <v>136</v>
      </c>
    </row>
    <row r="1507" spans="1:5" x14ac:dyDescent="0.35">
      <c r="A1507" s="1" t="s">
        <v>147</v>
      </c>
      <c r="B1507" s="1"/>
      <c r="C1507" s="1"/>
      <c r="D1507" s="1" t="s">
        <v>149</v>
      </c>
      <c r="E1507" t="s">
        <v>136</v>
      </c>
    </row>
    <row r="1508" spans="1:5" x14ac:dyDescent="0.35">
      <c r="A1508" s="1" t="s">
        <v>147</v>
      </c>
      <c r="B1508" s="1" t="s">
        <v>170</v>
      </c>
      <c r="C1508" s="1" t="s">
        <v>145</v>
      </c>
      <c r="D1508" s="1" t="s">
        <v>146</v>
      </c>
      <c r="E1508" t="s">
        <v>136</v>
      </c>
    </row>
    <row r="1509" spans="1:5" x14ac:dyDescent="0.35">
      <c r="A1509" s="1" t="s">
        <v>147</v>
      </c>
      <c r="B1509" s="1"/>
      <c r="C1509" s="1"/>
      <c r="D1509" s="1" t="s">
        <v>148</v>
      </c>
      <c r="E1509" t="s">
        <v>136</v>
      </c>
    </row>
    <row r="1510" spans="1:5" x14ac:dyDescent="0.35">
      <c r="A1510" s="1" t="s">
        <v>147</v>
      </c>
      <c r="B1510" s="1"/>
      <c r="C1510" s="1"/>
      <c r="D1510" s="1" t="s">
        <v>149</v>
      </c>
      <c r="E1510" t="s">
        <v>136</v>
      </c>
    </row>
    <row r="1511" spans="1:5" x14ac:dyDescent="0.35">
      <c r="A1511" s="1" t="s">
        <v>147</v>
      </c>
      <c r="B1511" s="1"/>
      <c r="C1511" s="1" t="s">
        <v>150</v>
      </c>
      <c r="D1511" s="1" t="s">
        <v>146</v>
      </c>
      <c r="E1511" t="s">
        <v>136</v>
      </c>
    </row>
    <row r="1512" spans="1:5" x14ac:dyDescent="0.35">
      <c r="A1512" s="1" t="s">
        <v>147</v>
      </c>
      <c r="B1512" s="1"/>
      <c r="C1512" s="1"/>
      <c r="D1512" s="1" t="s">
        <v>148</v>
      </c>
      <c r="E1512" t="s">
        <v>136</v>
      </c>
    </row>
    <row r="1513" spans="1:5" x14ac:dyDescent="0.35">
      <c r="A1513" s="1" t="s">
        <v>147</v>
      </c>
      <c r="B1513" s="1"/>
      <c r="C1513" s="1"/>
      <c r="D1513" s="1" t="s">
        <v>149</v>
      </c>
      <c r="E1513" t="s">
        <v>136</v>
      </c>
    </row>
    <row r="1514" spans="1:5" x14ac:dyDescent="0.35">
      <c r="A1514" s="1" t="s">
        <v>55</v>
      </c>
      <c r="B1514" s="1" t="s">
        <v>144</v>
      </c>
      <c r="C1514" s="1" t="s">
        <v>145</v>
      </c>
      <c r="D1514" s="1" t="s">
        <v>146</v>
      </c>
      <c r="E1514">
        <v>25.61</v>
      </c>
    </row>
    <row r="1515" spans="1:5" x14ac:dyDescent="0.35">
      <c r="A1515" s="1" t="s">
        <v>147</v>
      </c>
      <c r="B1515" s="1"/>
      <c r="C1515" s="1"/>
      <c r="D1515" s="1" t="s">
        <v>148</v>
      </c>
      <c r="E1515" t="s">
        <v>136</v>
      </c>
    </row>
    <row r="1516" spans="1:5" x14ac:dyDescent="0.35">
      <c r="A1516" s="1" t="s">
        <v>147</v>
      </c>
      <c r="B1516" s="1"/>
      <c r="C1516" s="1"/>
      <c r="D1516" s="1" t="s">
        <v>149</v>
      </c>
      <c r="E1516">
        <v>25.61</v>
      </c>
    </row>
    <row r="1517" spans="1:5" x14ac:dyDescent="0.35">
      <c r="A1517" s="1" t="s">
        <v>147</v>
      </c>
      <c r="B1517" s="1"/>
      <c r="C1517" s="1" t="s">
        <v>150</v>
      </c>
      <c r="D1517" s="1" t="s">
        <v>146</v>
      </c>
      <c r="E1517" t="s">
        <v>136</v>
      </c>
    </row>
    <row r="1518" spans="1:5" x14ac:dyDescent="0.35">
      <c r="A1518" s="1" t="s">
        <v>147</v>
      </c>
      <c r="B1518" s="1"/>
      <c r="C1518" s="1"/>
      <c r="D1518" s="1" t="s">
        <v>148</v>
      </c>
      <c r="E1518" t="s">
        <v>136</v>
      </c>
    </row>
    <row r="1519" spans="1:5" x14ac:dyDescent="0.35">
      <c r="A1519" s="1" t="s">
        <v>147</v>
      </c>
      <c r="B1519" s="1"/>
      <c r="C1519" s="1"/>
      <c r="D1519" s="1" t="s">
        <v>149</v>
      </c>
      <c r="E1519" t="s">
        <v>136</v>
      </c>
    </row>
    <row r="1520" spans="1:5" x14ac:dyDescent="0.35">
      <c r="A1520" s="1" t="s">
        <v>147</v>
      </c>
      <c r="B1520" s="1" t="s">
        <v>151</v>
      </c>
      <c r="C1520" s="1" t="s">
        <v>145</v>
      </c>
      <c r="D1520" s="1" t="s">
        <v>146</v>
      </c>
      <c r="E1520">
        <v>24.79</v>
      </c>
    </row>
    <row r="1521" spans="1:5" x14ac:dyDescent="0.35">
      <c r="A1521" s="1" t="s">
        <v>147</v>
      </c>
      <c r="B1521" s="1"/>
      <c r="C1521" s="1"/>
      <c r="D1521" s="1" t="s">
        <v>148</v>
      </c>
      <c r="E1521" t="s">
        <v>136</v>
      </c>
    </row>
    <row r="1522" spans="1:5" x14ac:dyDescent="0.35">
      <c r="A1522" s="1" t="s">
        <v>147</v>
      </c>
      <c r="B1522" s="1"/>
      <c r="C1522" s="1"/>
      <c r="D1522" s="1" t="s">
        <v>149</v>
      </c>
      <c r="E1522">
        <v>24.79</v>
      </c>
    </row>
    <row r="1523" spans="1:5" x14ac:dyDescent="0.35">
      <c r="A1523" s="1" t="s">
        <v>147</v>
      </c>
      <c r="B1523" s="1"/>
      <c r="C1523" s="1" t="s">
        <v>150</v>
      </c>
      <c r="D1523" s="1" t="s">
        <v>146</v>
      </c>
      <c r="E1523" t="s">
        <v>136</v>
      </c>
    </row>
    <row r="1524" spans="1:5" x14ac:dyDescent="0.35">
      <c r="A1524" s="1" t="s">
        <v>147</v>
      </c>
      <c r="B1524" s="1"/>
      <c r="C1524" s="1"/>
      <c r="D1524" s="1" t="s">
        <v>148</v>
      </c>
      <c r="E1524" t="s">
        <v>136</v>
      </c>
    </row>
    <row r="1525" spans="1:5" x14ac:dyDescent="0.35">
      <c r="A1525" s="1" t="s">
        <v>147</v>
      </c>
      <c r="B1525" s="1"/>
      <c r="C1525" s="1"/>
      <c r="D1525" s="1" t="s">
        <v>149</v>
      </c>
      <c r="E1525" t="s">
        <v>136</v>
      </c>
    </row>
    <row r="1526" spans="1:5" x14ac:dyDescent="0.35">
      <c r="A1526" s="1" t="s">
        <v>147</v>
      </c>
      <c r="B1526" s="1" t="s">
        <v>152</v>
      </c>
      <c r="C1526" s="1" t="s">
        <v>145</v>
      </c>
      <c r="D1526" s="1" t="s">
        <v>146</v>
      </c>
      <c r="E1526" t="s">
        <v>136</v>
      </c>
    </row>
    <row r="1527" spans="1:5" x14ac:dyDescent="0.35">
      <c r="A1527" s="1" t="s">
        <v>147</v>
      </c>
      <c r="B1527" s="1"/>
      <c r="C1527" s="1"/>
      <c r="D1527" s="1" t="s">
        <v>148</v>
      </c>
      <c r="E1527" t="s">
        <v>136</v>
      </c>
    </row>
    <row r="1528" spans="1:5" x14ac:dyDescent="0.35">
      <c r="A1528" s="1" t="s">
        <v>147</v>
      </c>
      <c r="B1528" s="1"/>
      <c r="C1528" s="1"/>
      <c r="D1528" s="1" t="s">
        <v>149</v>
      </c>
      <c r="E1528" t="s">
        <v>136</v>
      </c>
    </row>
    <row r="1529" spans="1:5" x14ac:dyDescent="0.35">
      <c r="A1529" s="1" t="s">
        <v>147</v>
      </c>
      <c r="B1529" s="1"/>
      <c r="C1529" s="1" t="s">
        <v>150</v>
      </c>
      <c r="D1529" s="1" t="s">
        <v>146</v>
      </c>
      <c r="E1529" t="s">
        <v>136</v>
      </c>
    </row>
    <row r="1530" spans="1:5" x14ac:dyDescent="0.35">
      <c r="A1530" s="1" t="s">
        <v>147</v>
      </c>
      <c r="B1530" s="1"/>
      <c r="C1530" s="1"/>
      <c r="D1530" s="1" t="s">
        <v>148</v>
      </c>
      <c r="E1530" t="s">
        <v>136</v>
      </c>
    </row>
    <row r="1531" spans="1:5" x14ac:dyDescent="0.35">
      <c r="A1531" s="1" t="s">
        <v>147</v>
      </c>
      <c r="B1531" s="1"/>
      <c r="C1531" s="1"/>
      <c r="D1531" s="1" t="s">
        <v>149</v>
      </c>
      <c r="E1531" t="s">
        <v>136</v>
      </c>
    </row>
    <row r="1532" spans="1:5" x14ac:dyDescent="0.35">
      <c r="A1532" s="1" t="s">
        <v>147</v>
      </c>
      <c r="B1532" s="1" t="s">
        <v>153</v>
      </c>
      <c r="C1532" s="1" t="s">
        <v>145</v>
      </c>
      <c r="D1532" s="1" t="s">
        <v>146</v>
      </c>
      <c r="E1532">
        <v>0.83</v>
      </c>
    </row>
    <row r="1533" spans="1:5" x14ac:dyDescent="0.35">
      <c r="A1533" s="1" t="s">
        <v>147</v>
      </c>
      <c r="B1533" s="1"/>
      <c r="C1533" s="1"/>
      <c r="D1533" s="1" t="s">
        <v>148</v>
      </c>
      <c r="E1533" t="s">
        <v>136</v>
      </c>
    </row>
    <row r="1534" spans="1:5" x14ac:dyDescent="0.35">
      <c r="A1534" s="1" t="s">
        <v>147</v>
      </c>
      <c r="B1534" s="1"/>
      <c r="C1534" s="1"/>
      <c r="D1534" s="1" t="s">
        <v>149</v>
      </c>
      <c r="E1534">
        <v>0.83</v>
      </c>
    </row>
    <row r="1535" spans="1:5" x14ac:dyDescent="0.35">
      <c r="A1535" s="1" t="s">
        <v>147</v>
      </c>
      <c r="B1535" s="1"/>
      <c r="C1535" s="1" t="s">
        <v>150</v>
      </c>
      <c r="D1535" s="1" t="s">
        <v>146</v>
      </c>
      <c r="E1535" t="s">
        <v>136</v>
      </c>
    </row>
    <row r="1536" spans="1:5" x14ac:dyDescent="0.35">
      <c r="A1536" s="1" t="s">
        <v>147</v>
      </c>
      <c r="B1536" s="1"/>
      <c r="C1536" s="1"/>
      <c r="D1536" s="1" t="s">
        <v>148</v>
      </c>
      <c r="E1536" t="s">
        <v>136</v>
      </c>
    </row>
    <row r="1537" spans="1:5" x14ac:dyDescent="0.35">
      <c r="A1537" s="1" t="s">
        <v>147</v>
      </c>
      <c r="B1537" s="1"/>
      <c r="C1537" s="1"/>
      <c r="D1537" s="1" t="s">
        <v>149</v>
      </c>
      <c r="E1537" t="s">
        <v>136</v>
      </c>
    </row>
    <row r="1538" spans="1:5" x14ac:dyDescent="0.35">
      <c r="A1538" s="1" t="s">
        <v>147</v>
      </c>
      <c r="B1538" s="1" t="s">
        <v>154</v>
      </c>
      <c r="C1538" s="1" t="s">
        <v>145</v>
      </c>
      <c r="D1538" s="1" t="s">
        <v>146</v>
      </c>
      <c r="E1538" t="s">
        <v>136</v>
      </c>
    </row>
    <row r="1539" spans="1:5" x14ac:dyDescent="0.35">
      <c r="A1539" s="1" t="s">
        <v>147</v>
      </c>
      <c r="B1539" s="1"/>
      <c r="C1539" s="1"/>
      <c r="D1539" s="1" t="s">
        <v>148</v>
      </c>
      <c r="E1539" t="s">
        <v>136</v>
      </c>
    </row>
    <row r="1540" spans="1:5" x14ac:dyDescent="0.35">
      <c r="A1540" s="1" t="s">
        <v>147</v>
      </c>
      <c r="B1540" s="1"/>
      <c r="C1540" s="1"/>
      <c r="D1540" s="1" t="s">
        <v>149</v>
      </c>
      <c r="E1540" t="s">
        <v>136</v>
      </c>
    </row>
    <row r="1541" spans="1:5" x14ac:dyDescent="0.35">
      <c r="A1541" s="1" t="s">
        <v>147</v>
      </c>
      <c r="B1541" s="1"/>
      <c r="C1541" s="1" t="s">
        <v>150</v>
      </c>
      <c r="D1541" s="1" t="s">
        <v>146</v>
      </c>
      <c r="E1541" t="s">
        <v>136</v>
      </c>
    </row>
    <row r="1542" spans="1:5" x14ac:dyDescent="0.35">
      <c r="A1542" s="1" t="s">
        <v>147</v>
      </c>
      <c r="B1542" s="1"/>
      <c r="C1542" s="1"/>
      <c r="D1542" s="1" t="s">
        <v>148</v>
      </c>
      <c r="E1542" t="s">
        <v>136</v>
      </c>
    </row>
    <row r="1543" spans="1:5" x14ac:dyDescent="0.35">
      <c r="A1543" s="1" t="s">
        <v>147</v>
      </c>
      <c r="B1543" s="1"/>
      <c r="C1543" s="1"/>
      <c r="D1543" s="1" t="s">
        <v>149</v>
      </c>
      <c r="E1543" t="s">
        <v>136</v>
      </c>
    </row>
    <row r="1544" spans="1:5" x14ac:dyDescent="0.35">
      <c r="A1544" s="1" t="s">
        <v>147</v>
      </c>
      <c r="B1544" s="1" t="s">
        <v>155</v>
      </c>
      <c r="C1544" s="1" t="s">
        <v>145</v>
      </c>
      <c r="D1544" s="1" t="s">
        <v>146</v>
      </c>
      <c r="E1544" t="s">
        <v>136</v>
      </c>
    </row>
    <row r="1545" spans="1:5" x14ac:dyDescent="0.35">
      <c r="A1545" s="1" t="s">
        <v>147</v>
      </c>
      <c r="B1545" s="1"/>
      <c r="C1545" s="1"/>
      <c r="D1545" s="1" t="s">
        <v>148</v>
      </c>
      <c r="E1545" t="s">
        <v>136</v>
      </c>
    </row>
    <row r="1546" spans="1:5" x14ac:dyDescent="0.35">
      <c r="A1546" s="1" t="s">
        <v>147</v>
      </c>
      <c r="B1546" s="1"/>
      <c r="C1546" s="1"/>
      <c r="D1546" s="1" t="s">
        <v>149</v>
      </c>
      <c r="E1546" t="s">
        <v>136</v>
      </c>
    </row>
    <row r="1547" spans="1:5" x14ac:dyDescent="0.35">
      <c r="A1547" s="1" t="s">
        <v>147</v>
      </c>
      <c r="B1547" s="1"/>
      <c r="C1547" s="1" t="s">
        <v>150</v>
      </c>
      <c r="D1547" s="1" t="s">
        <v>146</v>
      </c>
      <c r="E1547" t="s">
        <v>136</v>
      </c>
    </row>
    <row r="1548" spans="1:5" x14ac:dyDescent="0.35">
      <c r="A1548" s="1" t="s">
        <v>147</v>
      </c>
      <c r="B1548" s="1"/>
      <c r="C1548" s="1"/>
      <c r="D1548" s="1" t="s">
        <v>148</v>
      </c>
      <c r="E1548" t="s">
        <v>136</v>
      </c>
    </row>
    <row r="1549" spans="1:5" x14ac:dyDescent="0.35">
      <c r="A1549" s="1" t="s">
        <v>147</v>
      </c>
      <c r="B1549" s="1"/>
      <c r="C1549" s="1"/>
      <c r="D1549" s="1" t="s">
        <v>149</v>
      </c>
      <c r="E1549" t="s">
        <v>136</v>
      </c>
    </row>
    <row r="1550" spans="1:5" x14ac:dyDescent="0.35">
      <c r="A1550" s="1" t="s">
        <v>147</v>
      </c>
      <c r="B1550" s="1" t="s">
        <v>156</v>
      </c>
      <c r="C1550" s="1" t="s">
        <v>145</v>
      </c>
      <c r="D1550" s="1" t="s">
        <v>146</v>
      </c>
      <c r="E1550" t="s">
        <v>136</v>
      </c>
    </row>
    <row r="1551" spans="1:5" x14ac:dyDescent="0.35">
      <c r="A1551" s="1" t="s">
        <v>147</v>
      </c>
      <c r="B1551" s="1"/>
      <c r="C1551" s="1"/>
      <c r="D1551" s="1" t="s">
        <v>148</v>
      </c>
      <c r="E1551" t="s">
        <v>136</v>
      </c>
    </row>
    <row r="1552" spans="1:5" x14ac:dyDescent="0.35">
      <c r="A1552" s="1" t="s">
        <v>147</v>
      </c>
      <c r="B1552" s="1"/>
      <c r="C1552" s="1"/>
      <c r="D1552" s="1" t="s">
        <v>149</v>
      </c>
      <c r="E1552" t="s">
        <v>136</v>
      </c>
    </row>
    <row r="1553" spans="1:5" x14ac:dyDescent="0.35">
      <c r="A1553" s="1" t="s">
        <v>147</v>
      </c>
      <c r="B1553" s="1"/>
      <c r="C1553" s="1" t="s">
        <v>150</v>
      </c>
      <c r="D1553" s="1" t="s">
        <v>146</v>
      </c>
      <c r="E1553" t="s">
        <v>136</v>
      </c>
    </row>
    <row r="1554" spans="1:5" x14ac:dyDescent="0.35">
      <c r="A1554" s="1" t="s">
        <v>147</v>
      </c>
      <c r="B1554" s="1"/>
      <c r="C1554" s="1"/>
      <c r="D1554" s="1" t="s">
        <v>148</v>
      </c>
      <c r="E1554" t="s">
        <v>136</v>
      </c>
    </row>
    <row r="1555" spans="1:5" x14ac:dyDescent="0.35">
      <c r="A1555" s="1" t="s">
        <v>147</v>
      </c>
      <c r="B1555" s="1"/>
      <c r="C1555" s="1"/>
      <c r="D1555" s="1" t="s">
        <v>149</v>
      </c>
      <c r="E1555" t="s">
        <v>136</v>
      </c>
    </row>
    <row r="1556" spans="1:5" x14ac:dyDescent="0.35">
      <c r="A1556" s="1" t="s">
        <v>147</v>
      </c>
      <c r="B1556" s="1" t="s">
        <v>157</v>
      </c>
      <c r="C1556" s="1" t="s">
        <v>145</v>
      </c>
      <c r="D1556" s="1" t="s">
        <v>146</v>
      </c>
      <c r="E1556" t="s">
        <v>136</v>
      </c>
    </row>
    <row r="1557" spans="1:5" x14ac:dyDescent="0.35">
      <c r="A1557" s="1" t="s">
        <v>147</v>
      </c>
      <c r="B1557" s="1"/>
      <c r="C1557" s="1"/>
      <c r="D1557" s="1" t="s">
        <v>148</v>
      </c>
      <c r="E1557" t="s">
        <v>136</v>
      </c>
    </row>
    <row r="1558" spans="1:5" x14ac:dyDescent="0.35">
      <c r="A1558" s="1" t="s">
        <v>147</v>
      </c>
      <c r="B1558" s="1"/>
      <c r="C1558" s="1"/>
      <c r="D1558" s="1" t="s">
        <v>149</v>
      </c>
      <c r="E1558" t="s">
        <v>136</v>
      </c>
    </row>
    <row r="1559" spans="1:5" x14ac:dyDescent="0.35">
      <c r="A1559" s="1" t="s">
        <v>147</v>
      </c>
      <c r="B1559" s="1"/>
      <c r="C1559" s="1" t="s">
        <v>150</v>
      </c>
      <c r="D1559" s="1" t="s">
        <v>146</v>
      </c>
      <c r="E1559" t="s">
        <v>136</v>
      </c>
    </row>
    <row r="1560" spans="1:5" x14ac:dyDescent="0.35">
      <c r="A1560" s="1" t="s">
        <v>147</v>
      </c>
      <c r="B1560" s="1"/>
      <c r="C1560" s="1"/>
      <c r="D1560" s="1" t="s">
        <v>148</v>
      </c>
      <c r="E1560" t="s">
        <v>136</v>
      </c>
    </row>
    <row r="1561" spans="1:5" x14ac:dyDescent="0.35">
      <c r="A1561" s="1" t="s">
        <v>147</v>
      </c>
      <c r="B1561" s="1"/>
      <c r="C1561" s="1"/>
      <c r="D1561" s="1" t="s">
        <v>149</v>
      </c>
      <c r="E1561" t="s">
        <v>136</v>
      </c>
    </row>
    <row r="1562" spans="1:5" x14ac:dyDescent="0.35">
      <c r="A1562" s="1" t="s">
        <v>147</v>
      </c>
      <c r="B1562" s="1" t="s">
        <v>158</v>
      </c>
      <c r="C1562" s="1" t="s">
        <v>145</v>
      </c>
      <c r="D1562" s="1" t="s">
        <v>146</v>
      </c>
      <c r="E1562" t="s">
        <v>136</v>
      </c>
    </row>
    <row r="1563" spans="1:5" x14ac:dyDescent="0.35">
      <c r="A1563" s="1" t="s">
        <v>147</v>
      </c>
      <c r="B1563" s="1"/>
      <c r="C1563" s="1"/>
      <c r="D1563" s="1" t="s">
        <v>148</v>
      </c>
      <c r="E1563" t="s">
        <v>136</v>
      </c>
    </row>
    <row r="1564" spans="1:5" x14ac:dyDescent="0.35">
      <c r="A1564" s="1" t="s">
        <v>147</v>
      </c>
      <c r="B1564" s="1"/>
      <c r="C1564" s="1"/>
      <c r="D1564" s="1" t="s">
        <v>149</v>
      </c>
      <c r="E1564" t="s">
        <v>136</v>
      </c>
    </row>
    <row r="1565" spans="1:5" x14ac:dyDescent="0.35">
      <c r="A1565" s="1" t="s">
        <v>147</v>
      </c>
      <c r="B1565" s="1"/>
      <c r="C1565" s="1" t="s">
        <v>150</v>
      </c>
      <c r="D1565" s="1" t="s">
        <v>146</v>
      </c>
      <c r="E1565" t="s">
        <v>136</v>
      </c>
    </row>
    <row r="1566" spans="1:5" x14ac:dyDescent="0.35">
      <c r="A1566" s="1" t="s">
        <v>147</v>
      </c>
      <c r="B1566" s="1"/>
      <c r="C1566" s="1"/>
      <c r="D1566" s="1" t="s">
        <v>148</v>
      </c>
      <c r="E1566" t="s">
        <v>136</v>
      </c>
    </row>
    <row r="1567" spans="1:5" x14ac:dyDescent="0.35">
      <c r="A1567" s="1" t="s">
        <v>147</v>
      </c>
      <c r="B1567" s="1"/>
      <c r="C1567" s="1"/>
      <c r="D1567" s="1" t="s">
        <v>149</v>
      </c>
      <c r="E1567" t="s">
        <v>136</v>
      </c>
    </row>
    <row r="1568" spans="1:5" x14ac:dyDescent="0.35">
      <c r="A1568" s="1" t="s">
        <v>147</v>
      </c>
      <c r="B1568" s="1" t="s">
        <v>159</v>
      </c>
      <c r="C1568" s="1" t="s">
        <v>145</v>
      </c>
      <c r="D1568" s="1" t="s">
        <v>146</v>
      </c>
      <c r="E1568" t="s">
        <v>136</v>
      </c>
    </row>
    <row r="1569" spans="1:5" x14ac:dyDescent="0.35">
      <c r="A1569" s="1" t="s">
        <v>147</v>
      </c>
      <c r="B1569" s="1"/>
      <c r="C1569" s="1"/>
      <c r="D1569" s="1" t="s">
        <v>148</v>
      </c>
      <c r="E1569" t="s">
        <v>136</v>
      </c>
    </row>
    <row r="1570" spans="1:5" x14ac:dyDescent="0.35">
      <c r="A1570" s="1" t="s">
        <v>147</v>
      </c>
      <c r="B1570" s="1"/>
      <c r="C1570" s="1"/>
      <c r="D1570" s="1" t="s">
        <v>149</v>
      </c>
      <c r="E1570" t="s">
        <v>136</v>
      </c>
    </row>
    <row r="1571" spans="1:5" x14ac:dyDescent="0.35">
      <c r="A1571" s="1" t="s">
        <v>147</v>
      </c>
      <c r="B1571" s="1"/>
      <c r="C1571" s="1" t="s">
        <v>150</v>
      </c>
      <c r="D1571" s="1" t="s">
        <v>146</v>
      </c>
      <c r="E1571" t="s">
        <v>136</v>
      </c>
    </row>
    <row r="1572" spans="1:5" x14ac:dyDescent="0.35">
      <c r="A1572" s="1" t="s">
        <v>147</v>
      </c>
      <c r="B1572" s="1"/>
      <c r="C1572" s="1"/>
      <c r="D1572" s="1" t="s">
        <v>148</v>
      </c>
      <c r="E1572" t="s">
        <v>136</v>
      </c>
    </row>
    <row r="1573" spans="1:5" x14ac:dyDescent="0.35">
      <c r="A1573" s="1" t="s">
        <v>147</v>
      </c>
      <c r="B1573" s="1"/>
      <c r="C1573" s="1"/>
      <c r="D1573" s="1" t="s">
        <v>149</v>
      </c>
      <c r="E1573" t="s">
        <v>136</v>
      </c>
    </row>
    <row r="1574" spans="1:5" x14ac:dyDescent="0.35">
      <c r="A1574" s="1" t="s">
        <v>147</v>
      </c>
      <c r="B1574" s="1" t="s">
        <v>160</v>
      </c>
      <c r="C1574" s="1" t="s">
        <v>145</v>
      </c>
      <c r="D1574" s="1" t="s">
        <v>146</v>
      </c>
      <c r="E1574" t="s">
        <v>136</v>
      </c>
    </row>
    <row r="1575" spans="1:5" x14ac:dyDescent="0.35">
      <c r="A1575" s="1" t="s">
        <v>147</v>
      </c>
      <c r="B1575" s="1"/>
      <c r="C1575" s="1"/>
      <c r="D1575" s="1" t="s">
        <v>148</v>
      </c>
      <c r="E1575" t="s">
        <v>136</v>
      </c>
    </row>
    <row r="1576" spans="1:5" x14ac:dyDescent="0.35">
      <c r="A1576" s="1" t="s">
        <v>147</v>
      </c>
      <c r="B1576" s="1"/>
      <c r="C1576" s="1"/>
      <c r="D1576" s="1" t="s">
        <v>149</v>
      </c>
      <c r="E1576" t="s">
        <v>136</v>
      </c>
    </row>
    <row r="1577" spans="1:5" x14ac:dyDescent="0.35">
      <c r="A1577" s="1" t="s">
        <v>147</v>
      </c>
      <c r="B1577" s="1"/>
      <c r="C1577" s="1" t="s">
        <v>150</v>
      </c>
      <c r="D1577" s="1" t="s">
        <v>146</v>
      </c>
      <c r="E1577" t="s">
        <v>136</v>
      </c>
    </row>
    <row r="1578" spans="1:5" x14ac:dyDescent="0.35">
      <c r="A1578" s="1" t="s">
        <v>147</v>
      </c>
      <c r="B1578" s="1"/>
      <c r="C1578" s="1"/>
      <c r="D1578" s="1" t="s">
        <v>148</v>
      </c>
      <c r="E1578" t="s">
        <v>136</v>
      </c>
    </row>
    <row r="1579" spans="1:5" x14ac:dyDescent="0.35">
      <c r="A1579" s="1" t="s">
        <v>147</v>
      </c>
      <c r="B1579" s="1"/>
      <c r="C1579" s="1"/>
      <c r="D1579" s="1" t="s">
        <v>149</v>
      </c>
      <c r="E1579" t="s">
        <v>136</v>
      </c>
    </row>
    <row r="1580" spans="1:5" x14ac:dyDescent="0.35">
      <c r="A1580" s="1" t="s">
        <v>147</v>
      </c>
      <c r="B1580" s="1" t="s">
        <v>161</v>
      </c>
      <c r="C1580" s="1" t="s">
        <v>145</v>
      </c>
      <c r="D1580" s="1" t="s">
        <v>146</v>
      </c>
      <c r="E1580" t="s">
        <v>136</v>
      </c>
    </row>
    <row r="1581" spans="1:5" x14ac:dyDescent="0.35">
      <c r="A1581" s="1" t="s">
        <v>147</v>
      </c>
      <c r="B1581" s="1"/>
      <c r="C1581" s="1"/>
      <c r="D1581" s="1" t="s">
        <v>148</v>
      </c>
      <c r="E1581" t="s">
        <v>136</v>
      </c>
    </row>
    <row r="1582" spans="1:5" x14ac:dyDescent="0.35">
      <c r="A1582" s="1" t="s">
        <v>147</v>
      </c>
      <c r="B1582" s="1"/>
      <c r="C1582" s="1"/>
      <c r="D1582" s="1" t="s">
        <v>149</v>
      </c>
      <c r="E1582" t="s">
        <v>136</v>
      </c>
    </row>
    <row r="1583" spans="1:5" x14ac:dyDescent="0.35">
      <c r="A1583" s="1" t="s">
        <v>147</v>
      </c>
      <c r="B1583" s="1"/>
      <c r="C1583" s="1" t="s">
        <v>150</v>
      </c>
      <c r="D1583" s="1" t="s">
        <v>146</v>
      </c>
      <c r="E1583" t="s">
        <v>136</v>
      </c>
    </row>
    <row r="1584" spans="1:5" x14ac:dyDescent="0.35">
      <c r="A1584" s="1" t="s">
        <v>147</v>
      </c>
      <c r="B1584" s="1"/>
      <c r="C1584" s="1"/>
      <c r="D1584" s="1" t="s">
        <v>148</v>
      </c>
      <c r="E1584" t="s">
        <v>136</v>
      </c>
    </row>
    <row r="1585" spans="1:5" x14ac:dyDescent="0.35">
      <c r="A1585" s="1" t="s">
        <v>147</v>
      </c>
      <c r="B1585" s="1"/>
      <c r="C1585" s="1"/>
      <c r="D1585" s="1" t="s">
        <v>149</v>
      </c>
      <c r="E1585" t="s">
        <v>136</v>
      </c>
    </row>
    <row r="1586" spans="1:5" x14ac:dyDescent="0.35">
      <c r="A1586" s="1" t="s">
        <v>147</v>
      </c>
      <c r="B1586" s="1" t="s">
        <v>162</v>
      </c>
      <c r="C1586" s="1" t="s">
        <v>145</v>
      </c>
      <c r="D1586" s="1" t="s">
        <v>146</v>
      </c>
      <c r="E1586" t="s">
        <v>136</v>
      </c>
    </row>
    <row r="1587" spans="1:5" x14ac:dyDescent="0.35">
      <c r="A1587" s="1" t="s">
        <v>147</v>
      </c>
      <c r="B1587" s="1"/>
      <c r="C1587" s="1"/>
      <c r="D1587" s="1" t="s">
        <v>148</v>
      </c>
      <c r="E1587" t="s">
        <v>136</v>
      </c>
    </row>
    <row r="1588" spans="1:5" x14ac:dyDescent="0.35">
      <c r="A1588" s="1" t="s">
        <v>147</v>
      </c>
      <c r="B1588" s="1"/>
      <c r="C1588" s="1"/>
      <c r="D1588" s="1" t="s">
        <v>149</v>
      </c>
      <c r="E1588" t="s">
        <v>136</v>
      </c>
    </row>
    <row r="1589" spans="1:5" x14ac:dyDescent="0.35">
      <c r="A1589" s="1" t="s">
        <v>147</v>
      </c>
      <c r="B1589" s="1"/>
      <c r="C1589" s="1" t="s">
        <v>150</v>
      </c>
      <c r="D1589" s="1" t="s">
        <v>146</v>
      </c>
      <c r="E1589" t="s">
        <v>136</v>
      </c>
    </row>
    <row r="1590" spans="1:5" x14ac:dyDescent="0.35">
      <c r="A1590" s="1" t="s">
        <v>147</v>
      </c>
      <c r="B1590" s="1"/>
      <c r="C1590" s="1"/>
      <c r="D1590" s="1" t="s">
        <v>148</v>
      </c>
      <c r="E1590" t="s">
        <v>136</v>
      </c>
    </row>
    <row r="1591" spans="1:5" x14ac:dyDescent="0.35">
      <c r="A1591" s="1" t="s">
        <v>147</v>
      </c>
      <c r="B1591" s="1"/>
      <c r="C1591" s="1"/>
      <c r="D1591" s="1" t="s">
        <v>149</v>
      </c>
      <c r="E1591" t="s">
        <v>136</v>
      </c>
    </row>
    <row r="1592" spans="1:5" x14ac:dyDescent="0.35">
      <c r="A1592" s="1" t="s">
        <v>147</v>
      </c>
      <c r="B1592" s="1" t="s">
        <v>163</v>
      </c>
      <c r="C1592" s="1" t="s">
        <v>145</v>
      </c>
      <c r="D1592" s="1" t="s">
        <v>146</v>
      </c>
      <c r="E1592">
        <v>206</v>
      </c>
    </row>
    <row r="1593" spans="1:5" x14ac:dyDescent="0.35">
      <c r="A1593" s="1" t="s">
        <v>147</v>
      </c>
      <c r="B1593" s="1"/>
      <c r="C1593" s="1"/>
      <c r="D1593" s="1" t="s">
        <v>148</v>
      </c>
      <c r="E1593">
        <v>205</v>
      </c>
    </row>
    <row r="1594" spans="1:5" x14ac:dyDescent="0.35">
      <c r="A1594" s="1" t="s">
        <v>147</v>
      </c>
      <c r="B1594" s="1"/>
      <c r="C1594" s="1"/>
      <c r="D1594" s="1" t="s">
        <v>149</v>
      </c>
      <c r="E1594">
        <v>1</v>
      </c>
    </row>
    <row r="1595" spans="1:5" x14ac:dyDescent="0.35">
      <c r="A1595" s="1" t="s">
        <v>147</v>
      </c>
      <c r="B1595" s="1"/>
      <c r="C1595" s="1" t="s">
        <v>150</v>
      </c>
      <c r="D1595" s="1" t="s">
        <v>146</v>
      </c>
      <c r="E1595" t="s">
        <v>136</v>
      </c>
    </row>
    <row r="1596" spans="1:5" x14ac:dyDescent="0.35">
      <c r="A1596" s="1" t="s">
        <v>147</v>
      </c>
      <c r="B1596" s="1"/>
      <c r="C1596" s="1"/>
      <c r="D1596" s="1" t="s">
        <v>148</v>
      </c>
      <c r="E1596" t="s">
        <v>136</v>
      </c>
    </row>
    <row r="1597" spans="1:5" x14ac:dyDescent="0.35">
      <c r="A1597" s="1" t="s">
        <v>147</v>
      </c>
      <c r="B1597" s="1"/>
      <c r="C1597" s="1"/>
      <c r="D1597" s="1" t="s">
        <v>149</v>
      </c>
      <c r="E1597" t="s">
        <v>136</v>
      </c>
    </row>
    <row r="1598" spans="1:5" x14ac:dyDescent="0.35">
      <c r="A1598" s="1" t="s">
        <v>147</v>
      </c>
      <c r="B1598" s="1" t="s">
        <v>164</v>
      </c>
      <c r="C1598" s="1" t="s">
        <v>145</v>
      </c>
      <c r="D1598" s="1" t="s">
        <v>146</v>
      </c>
      <c r="E1598" t="s">
        <v>136</v>
      </c>
    </row>
    <row r="1599" spans="1:5" x14ac:dyDescent="0.35">
      <c r="A1599" s="1" t="s">
        <v>147</v>
      </c>
      <c r="B1599" s="1"/>
      <c r="C1599" s="1"/>
      <c r="D1599" s="1" t="s">
        <v>148</v>
      </c>
      <c r="E1599" t="s">
        <v>136</v>
      </c>
    </row>
    <row r="1600" spans="1:5" x14ac:dyDescent="0.35">
      <c r="A1600" s="1" t="s">
        <v>147</v>
      </c>
      <c r="B1600" s="1"/>
      <c r="C1600" s="1"/>
      <c r="D1600" s="1" t="s">
        <v>149</v>
      </c>
      <c r="E1600" t="s">
        <v>136</v>
      </c>
    </row>
    <row r="1601" spans="1:5" x14ac:dyDescent="0.35">
      <c r="A1601" s="1" t="s">
        <v>147</v>
      </c>
      <c r="B1601" s="1"/>
      <c r="C1601" s="1" t="s">
        <v>150</v>
      </c>
      <c r="D1601" s="1" t="s">
        <v>146</v>
      </c>
      <c r="E1601" t="s">
        <v>136</v>
      </c>
    </row>
    <row r="1602" spans="1:5" x14ac:dyDescent="0.35">
      <c r="A1602" s="1" t="s">
        <v>147</v>
      </c>
      <c r="B1602" s="1"/>
      <c r="C1602" s="1"/>
      <c r="D1602" s="1" t="s">
        <v>148</v>
      </c>
      <c r="E1602" t="s">
        <v>136</v>
      </c>
    </row>
    <row r="1603" spans="1:5" x14ac:dyDescent="0.35">
      <c r="A1603" s="1" t="s">
        <v>147</v>
      </c>
      <c r="B1603" s="1"/>
      <c r="C1603" s="1"/>
      <c r="D1603" s="1" t="s">
        <v>149</v>
      </c>
      <c r="E1603" t="s">
        <v>136</v>
      </c>
    </row>
    <row r="1604" spans="1:5" x14ac:dyDescent="0.35">
      <c r="A1604" s="1" t="s">
        <v>147</v>
      </c>
      <c r="B1604" s="1" t="s">
        <v>165</v>
      </c>
      <c r="C1604" s="1" t="s">
        <v>145</v>
      </c>
      <c r="D1604" s="1" t="s">
        <v>146</v>
      </c>
      <c r="E1604" t="s">
        <v>136</v>
      </c>
    </row>
    <row r="1605" spans="1:5" x14ac:dyDescent="0.35">
      <c r="A1605" s="1" t="s">
        <v>147</v>
      </c>
      <c r="B1605" s="1"/>
      <c r="C1605" s="1"/>
      <c r="D1605" s="1" t="s">
        <v>148</v>
      </c>
      <c r="E1605" t="s">
        <v>136</v>
      </c>
    </row>
    <row r="1606" spans="1:5" x14ac:dyDescent="0.35">
      <c r="A1606" s="1" t="s">
        <v>147</v>
      </c>
      <c r="B1606" s="1"/>
      <c r="C1606" s="1"/>
      <c r="D1606" s="1" t="s">
        <v>149</v>
      </c>
      <c r="E1606" t="s">
        <v>136</v>
      </c>
    </row>
    <row r="1607" spans="1:5" x14ac:dyDescent="0.35">
      <c r="A1607" s="1" t="s">
        <v>147</v>
      </c>
      <c r="B1607" s="1"/>
      <c r="C1607" s="1" t="s">
        <v>150</v>
      </c>
      <c r="D1607" s="1" t="s">
        <v>146</v>
      </c>
      <c r="E1607" t="s">
        <v>136</v>
      </c>
    </row>
    <row r="1608" spans="1:5" x14ac:dyDescent="0.35">
      <c r="A1608" s="1" t="s">
        <v>147</v>
      </c>
      <c r="B1608" s="1"/>
      <c r="C1608" s="1"/>
      <c r="D1608" s="1" t="s">
        <v>148</v>
      </c>
      <c r="E1608" t="s">
        <v>136</v>
      </c>
    </row>
    <row r="1609" spans="1:5" x14ac:dyDescent="0.35">
      <c r="A1609" s="1" t="s">
        <v>147</v>
      </c>
      <c r="B1609" s="1"/>
      <c r="C1609" s="1"/>
      <c r="D1609" s="1" t="s">
        <v>149</v>
      </c>
      <c r="E1609" t="s">
        <v>136</v>
      </c>
    </row>
    <row r="1610" spans="1:5" x14ac:dyDescent="0.35">
      <c r="A1610" s="1" t="s">
        <v>147</v>
      </c>
      <c r="B1610" s="1" t="s">
        <v>166</v>
      </c>
      <c r="C1610" s="1" t="s">
        <v>145</v>
      </c>
      <c r="D1610" s="1" t="s">
        <v>146</v>
      </c>
      <c r="E1610">
        <v>206</v>
      </c>
    </row>
    <row r="1611" spans="1:5" x14ac:dyDescent="0.35">
      <c r="A1611" s="1" t="s">
        <v>147</v>
      </c>
      <c r="B1611" s="1"/>
      <c r="C1611" s="1"/>
      <c r="D1611" s="1" t="s">
        <v>148</v>
      </c>
      <c r="E1611">
        <v>205</v>
      </c>
    </row>
    <row r="1612" spans="1:5" x14ac:dyDescent="0.35">
      <c r="A1612" s="1" t="s">
        <v>147</v>
      </c>
      <c r="B1612" s="1"/>
      <c r="C1612" s="1"/>
      <c r="D1612" s="1" t="s">
        <v>149</v>
      </c>
      <c r="E1612">
        <v>1</v>
      </c>
    </row>
    <row r="1613" spans="1:5" x14ac:dyDescent="0.35">
      <c r="A1613" s="1" t="s">
        <v>147</v>
      </c>
      <c r="B1613" s="1"/>
      <c r="C1613" s="1" t="s">
        <v>150</v>
      </c>
      <c r="D1613" s="1" t="s">
        <v>146</v>
      </c>
      <c r="E1613" t="s">
        <v>136</v>
      </c>
    </row>
    <row r="1614" spans="1:5" x14ac:dyDescent="0.35">
      <c r="A1614" s="1" t="s">
        <v>147</v>
      </c>
      <c r="B1614" s="1"/>
      <c r="C1614" s="1"/>
      <c r="D1614" s="1" t="s">
        <v>148</v>
      </c>
      <c r="E1614" t="s">
        <v>136</v>
      </c>
    </row>
    <row r="1615" spans="1:5" x14ac:dyDescent="0.35">
      <c r="A1615" s="1" t="s">
        <v>147</v>
      </c>
      <c r="B1615" s="1"/>
      <c r="C1615" s="1"/>
      <c r="D1615" s="1" t="s">
        <v>149</v>
      </c>
      <c r="E1615" t="s">
        <v>136</v>
      </c>
    </row>
    <row r="1616" spans="1:5" x14ac:dyDescent="0.35">
      <c r="A1616" s="1" t="s">
        <v>147</v>
      </c>
      <c r="B1616" s="1" t="s">
        <v>167</v>
      </c>
      <c r="C1616" s="1" t="s">
        <v>145</v>
      </c>
      <c r="D1616" s="1" t="s">
        <v>146</v>
      </c>
      <c r="E1616" t="s">
        <v>136</v>
      </c>
    </row>
    <row r="1617" spans="1:5" x14ac:dyDescent="0.35">
      <c r="A1617" s="1" t="s">
        <v>147</v>
      </c>
      <c r="B1617" s="1"/>
      <c r="C1617" s="1"/>
      <c r="D1617" s="1" t="s">
        <v>148</v>
      </c>
      <c r="E1617" t="s">
        <v>136</v>
      </c>
    </row>
    <row r="1618" spans="1:5" x14ac:dyDescent="0.35">
      <c r="A1618" s="1" t="s">
        <v>147</v>
      </c>
      <c r="B1618" s="1"/>
      <c r="C1618" s="1"/>
      <c r="D1618" s="1" t="s">
        <v>149</v>
      </c>
      <c r="E1618" t="s">
        <v>136</v>
      </c>
    </row>
    <row r="1619" spans="1:5" x14ac:dyDescent="0.35">
      <c r="A1619" s="1" t="s">
        <v>147</v>
      </c>
      <c r="B1619" s="1"/>
      <c r="C1619" s="1" t="s">
        <v>150</v>
      </c>
      <c r="D1619" s="1" t="s">
        <v>146</v>
      </c>
      <c r="E1619" t="s">
        <v>136</v>
      </c>
    </row>
    <row r="1620" spans="1:5" x14ac:dyDescent="0.35">
      <c r="A1620" s="1" t="s">
        <v>147</v>
      </c>
      <c r="B1620" s="1"/>
      <c r="C1620" s="1"/>
      <c r="D1620" s="1" t="s">
        <v>148</v>
      </c>
      <c r="E1620" t="s">
        <v>136</v>
      </c>
    </row>
    <row r="1621" spans="1:5" x14ac:dyDescent="0.35">
      <c r="A1621" s="1" t="s">
        <v>147</v>
      </c>
      <c r="B1621" s="1"/>
      <c r="C1621" s="1"/>
      <c r="D1621" s="1" t="s">
        <v>149</v>
      </c>
      <c r="E1621" t="s">
        <v>136</v>
      </c>
    </row>
    <row r="1622" spans="1:5" x14ac:dyDescent="0.35">
      <c r="A1622" s="1" t="s">
        <v>147</v>
      </c>
      <c r="B1622" s="1" t="s">
        <v>168</v>
      </c>
      <c r="C1622" s="1" t="s">
        <v>145</v>
      </c>
      <c r="D1622" s="1" t="s">
        <v>146</v>
      </c>
      <c r="E1622" t="s">
        <v>136</v>
      </c>
    </row>
    <row r="1623" spans="1:5" x14ac:dyDescent="0.35">
      <c r="A1623" s="1" t="s">
        <v>147</v>
      </c>
      <c r="B1623" s="1"/>
      <c r="C1623" s="1"/>
      <c r="D1623" s="1" t="s">
        <v>148</v>
      </c>
      <c r="E1623" t="s">
        <v>136</v>
      </c>
    </row>
    <row r="1624" spans="1:5" x14ac:dyDescent="0.35">
      <c r="A1624" s="1" t="s">
        <v>147</v>
      </c>
      <c r="B1624" s="1"/>
      <c r="C1624" s="1"/>
      <c r="D1624" s="1" t="s">
        <v>149</v>
      </c>
      <c r="E1624" t="s">
        <v>136</v>
      </c>
    </row>
    <row r="1625" spans="1:5" x14ac:dyDescent="0.35">
      <c r="A1625" s="1" t="s">
        <v>147</v>
      </c>
      <c r="B1625" s="1"/>
      <c r="C1625" s="1" t="s">
        <v>150</v>
      </c>
      <c r="D1625" s="1" t="s">
        <v>146</v>
      </c>
      <c r="E1625" t="s">
        <v>136</v>
      </c>
    </row>
    <row r="1626" spans="1:5" x14ac:dyDescent="0.35">
      <c r="A1626" s="1" t="s">
        <v>147</v>
      </c>
      <c r="B1626" s="1"/>
      <c r="C1626" s="1"/>
      <c r="D1626" s="1" t="s">
        <v>148</v>
      </c>
      <c r="E1626" t="s">
        <v>136</v>
      </c>
    </row>
    <row r="1627" spans="1:5" x14ac:dyDescent="0.35">
      <c r="A1627" s="1" t="s">
        <v>147</v>
      </c>
      <c r="B1627" s="1"/>
      <c r="C1627" s="1"/>
      <c r="D1627" s="1" t="s">
        <v>149</v>
      </c>
      <c r="E1627" t="s">
        <v>136</v>
      </c>
    </row>
    <row r="1628" spans="1:5" x14ac:dyDescent="0.35">
      <c r="A1628" s="1" t="s">
        <v>147</v>
      </c>
      <c r="B1628" s="1" t="s">
        <v>169</v>
      </c>
      <c r="C1628" s="1" t="s">
        <v>145</v>
      </c>
      <c r="D1628" s="1" t="s">
        <v>146</v>
      </c>
      <c r="E1628" t="s">
        <v>136</v>
      </c>
    </row>
    <row r="1629" spans="1:5" x14ac:dyDescent="0.35">
      <c r="A1629" s="1" t="s">
        <v>147</v>
      </c>
      <c r="B1629" s="1"/>
      <c r="C1629" s="1"/>
      <c r="D1629" s="1" t="s">
        <v>148</v>
      </c>
      <c r="E1629" t="s">
        <v>136</v>
      </c>
    </row>
    <row r="1630" spans="1:5" x14ac:dyDescent="0.35">
      <c r="A1630" s="1" t="s">
        <v>147</v>
      </c>
      <c r="B1630" s="1"/>
      <c r="C1630" s="1"/>
      <c r="D1630" s="1" t="s">
        <v>149</v>
      </c>
      <c r="E1630" t="s">
        <v>136</v>
      </c>
    </row>
    <row r="1631" spans="1:5" x14ac:dyDescent="0.35">
      <c r="A1631" s="1" t="s">
        <v>147</v>
      </c>
      <c r="B1631" s="1"/>
      <c r="C1631" s="1" t="s">
        <v>150</v>
      </c>
      <c r="D1631" s="1" t="s">
        <v>146</v>
      </c>
      <c r="E1631" t="s">
        <v>136</v>
      </c>
    </row>
    <row r="1632" spans="1:5" x14ac:dyDescent="0.35">
      <c r="A1632" s="1" t="s">
        <v>147</v>
      </c>
      <c r="B1632" s="1"/>
      <c r="C1632" s="1"/>
      <c r="D1632" s="1" t="s">
        <v>148</v>
      </c>
      <c r="E1632" t="s">
        <v>136</v>
      </c>
    </row>
    <row r="1633" spans="1:5" x14ac:dyDescent="0.35">
      <c r="A1633" s="1" t="s">
        <v>147</v>
      </c>
      <c r="B1633" s="1"/>
      <c r="C1633" s="1"/>
      <c r="D1633" s="1" t="s">
        <v>149</v>
      </c>
      <c r="E1633" t="s">
        <v>136</v>
      </c>
    </row>
    <row r="1634" spans="1:5" x14ac:dyDescent="0.35">
      <c r="A1634" s="1" t="s">
        <v>147</v>
      </c>
      <c r="B1634" s="1" t="s">
        <v>170</v>
      </c>
      <c r="C1634" s="1" t="s">
        <v>145</v>
      </c>
      <c r="D1634" s="1" t="s">
        <v>146</v>
      </c>
      <c r="E1634" t="s">
        <v>136</v>
      </c>
    </row>
    <row r="1635" spans="1:5" x14ac:dyDescent="0.35">
      <c r="A1635" s="1" t="s">
        <v>147</v>
      </c>
      <c r="B1635" s="1"/>
      <c r="C1635" s="1"/>
      <c r="D1635" s="1" t="s">
        <v>148</v>
      </c>
      <c r="E1635" t="s">
        <v>136</v>
      </c>
    </row>
    <row r="1636" spans="1:5" x14ac:dyDescent="0.35">
      <c r="A1636" s="1" t="s">
        <v>147</v>
      </c>
      <c r="B1636" s="1"/>
      <c r="C1636" s="1"/>
      <c r="D1636" s="1" t="s">
        <v>149</v>
      </c>
      <c r="E1636" t="s">
        <v>136</v>
      </c>
    </row>
    <row r="1637" spans="1:5" x14ac:dyDescent="0.35">
      <c r="A1637" s="1" t="s">
        <v>147</v>
      </c>
      <c r="B1637" s="1"/>
      <c r="C1637" s="1" t="s">
        <v>150</v>
      </c>
      <c r="D1637" s="1" t="s">
        <v>146</v>
      </c>
      <c r="E1637" t="s">
        <v>136</v>
      </c>
    </row>
    <row r="1638" spans="1:5" x14ac:dyDescent="0.35">
      <c r="A1638" s="1" t="s">
        <v>147</v>
      </c>
      <c r="B1638" s="1"/>
      <c r="C1638" s="1"/>
      <c r="D1638" s="1" t="s">
        <v>148</v>
      </c>
      <c r="E1638" t="s">
        <v>136</v>
      </c>
    </row>
    <row r="1639" spans="1:5" x14ac:dyDescent="0.35">
      <c r="A1639" s="1" t="s">
        <v>147</v>
      </c>
      <c r="B1639" s="1"/>
      <c r="C1639" s="1"/>
      <c r="D1639" s="1" t="s">
        <v>149</v>
      </c>
      <c r="E1639" t="s">
        <v>136</v>
      </c>
    </row>
    <row r="1640" spans="1:5" x14ac:dyDescent="0.35">
      <c r="A1640" s="1" t="s">
        <v>109</v>
      </c>
      <c r="B1640" s="1" t="s">
        <v>144</v>
      </c>
      <c r="C1640" s="1" t="s">
        <v>145</v>
      </c>
      <c r="D1640" s="1" t="s">
        <v>146</v>
      </c>
      <c r="E1640">
        <v>197.48</v>
      </c>
    </row>
    <row r="1641" spans="1:5" x14ac:dyDescent="0.35">
      <c r="A1641" s="1" t="s">
        <v>147</v>
      </c>
      <c r="B1641" s="1"/>
      <c r="C1641" s="1"/>
      <c r="D1641" s="1" t="s">
        <v>148</v>
      </c>
      <c r="E1641">
        <v>195.63</v>
      </c>
    </row>
    <row r="1642" spans="1:5" x14ac:dyDescent="0.35">
      <c r="A1642" s="1" t="s">
        <v>147</v>
      </c>
      <c r="B1642" s="1"/>
      <c r="C1642" s="1"/>
      <c r="D1642" s="1" t="s">
        <v>149</v>
      </c>
      <c r="E1642">
        <v>1.85</v>
      </c>
    </row>
    <row r="1643" spans="1:5" x14ac:dyDescent="0.35">
      <c r="A1643" s="1" t="s">
        <v>147</v>
      </c>
      <c r="B1643" s="1"/>
      <c r="C1643" s="1" t="s">
        <v>150</v>
      </c>
      <c r="D1643" s="1" t="s">
        <v>146</v>
      </c>
      <c r="E1643" t="s">
        <v>136</v>
      </c>
    </row>
    <row r="1644" spans="1:5" x14ac:dyDescent="0.35">
      <c r="A1644" s="1" t="s">
        <v>147</v>
      </c>
      <c r="B1644" s="1"/>
      <c r="C1644" s="1"/>
      <c r="D1644" s="1" t="s">
        <v>148</v>
      </c>
      <c r="E1644" t="s">
        <v>136</v>
      </c>
    </row>
    <row r="1645" spans="1:5" x14ac:dyDescent="0.35">
      <c r="A1645" s="1" t="s">
        <v>147</v>
      </c>
      <c r="B1645" s="1"/>
      <c r="C1645" s="1"/>
      <c r="D1645" s="1" t="s">
        <v>149</v>
      </c>
      <c r="E1645" t="s">
        <v>136</v>
      </c>
    </row>
    <row r="1646" spans="1:5" x14ac:dyDescent="0.35">
      <c r="A1646" s="1" t="s">
        <v>147</v>
      </c>
      <c r="B1646" s="1" t="s">
        <v>151</v>
      </c>
      <c r="C1646" s="1" t="s">
        <v>145</v>
      </c>
      <c r="D1646" s="1" t="s">
        <v>146</v>
      </c>
      <c r="E1646">
        <v>27.95</v>
      </c>
    </row>
    <row r="1647" spans="1:5" x14ac:dyDescent="0.35">
      <c r="A1647" s="1" t="s">
        <v>147</v>
      </c>
      <c r="B1647" s="1"/>
      <c r="C1647" s="1"/>
      <c r="D1647" s="1" t="s">
        <v>148</v>
      </c>
      <c r="E1647">
        <v>27.9</v>
      </c>
    </row>
    <row r="1648" spans="1:5" x14ac:dyDescent="0.35">
      <c r="A1648" s="1" t="s">
        <v>147</v>
      </c>
      <c r="B1648" s="1"/>
      <c r="C1648" s="1"/>
      <c r="D1648" s="1" t="s">
        <v>149</v>
      </c>
      <c r="E1648">
        <v>0.05</v>
      </c>
    </row>
    <row r="1649" spans="1:5" x14ac:dyDescent="0.35">
      <c r="A1649" s="1" t="s">
        <v>147</v>
      </c>
      <c r="B1649" s="1"/>
      <c r="C1649" s="1" t="s">
        <v>150</v>
      </c>
      <c r="D1649" s="1" t="s">
        <v>146</v>
      </c>
      <c r="E1649" t="s">
        <v>136</v>
      </c>
    </row>
    <row r="1650" spans="1:5" x14ac:dyDescent="0.35">
      <c r="A1650" s="1" t="s">
        <v>147</v>
      </c>
      <c r="B1650" s="1"/>
      <c r="C1650" s="1"/>
      <c r="D1650" s="1" t="s">
        <v>148</v>
      </c>
      <c r="E1650" t="s">
        <v>136</v>
      </c>
    </row>
    <row r="1651" spans="1:5" x14ac:dyDescent="0.35">
      <c r="A1651" s="1" t="s">
        <v>147</v>
      </c>
      <c r="B1651" s="1"/>
      <c r="C1651" s="1"/>
      <c r="D1651" s="1" t="s">
        <v>149</v>
      </c>
      <c r="E1651" t="s">
        <v>136</v>
      </c>
    </row>
    <row r="1652" spans="1:5" x14ac:dyDescent="0.35">
      <c r="A1652" s="1" t="s">
        <v>147</v>
      </c>
      <c r="B1652" s="1" t="s">
        <v>152</v>
      </c>
      <c r="C1652" s="1" t="s">
        <v>145</v>
      </c>
      <c r="D1652" s="1" t="s">
        <v>146</v>
      </c>
      <c r="E1652" t="s">
        <v>136</v>
      </c>
    </row>
    <row r="1653" spans="1:5" x14ac:dyDescent="0.35">
      <c r="A1653" s="1" t="s">
        <v>147</v>
      </c>
      <c r="B1653" s="1"/>
      <c r="C1653" s="1"/>
      <c r="D1653" s="1" t="s">
        <v>148</v>
      </c>
      <c r="E1653" t="s">
        <v>136</v>
      </c>
    </row>
    <row r="1654" spans="1:5" x14ac:dyDescent="0.35">
      <c r="A1654" s="1" t="s">
        <v>147</v>
      </c>
      <c r="B1654" s="1"/>
      <c r="C1654" s="1"/>
      <c r="D1654" s="1" t="s">
        <v>149</v>
      </c>
      <c r="E1654" t="s">
        <v>136</v>
      </c>
    </row>
    <row r="1655" spans="1:5" x14ac:dyDescent="0.35">
      <c r="A1655" s="1" t="s">
        <v>147</v>
      </c>
      <c r="B1655" s="1"/>
      <c r="C1655" s="1" t="s">
        <v>150</v>
      </c>
      <c r="D1655" s="1" t="s">
        <v>146</v>
      </c>
      <c r="E1655" t="s">
        <v>136</v>
      </c>
    </row>
    <row r="1656" spans="1:5" x14ac:dyDescent="0.35">
      <c r="A1656" s="1" t="s">
        <v>147</v>
      </c>
      <c r="B1656" s="1"/>
      <c r="C1656" s="1"/>
      <c r="D1656" s="1" t="s">
        <v>148</v>
      </c>
      <c r="E1656" t="s">
        <v>136</v>
      </c>
    </row>
    <row r="1657" spans="1:5" x14ac:dyDescent="0.35">
      <c r="A1657" s="1" t="s">
        <v>147</v>
      </c>
      <c r="B1657" s="1"/>
      <c r="C1657" s="1"/>
      <c r="D1657" s="1" t="s">
        <v>149</v>
      </c>
      <c r="E1657" t="s">
        <v>136</v>
      </c>
    </row>
    <row r="1658" spans="1:5" x14ac:dyDescent="0.35">
      <c r="A1658" s="1" t="s">
        <v>147</v>
      </c>
      <c r="B1658" s="1" t="s">
        <v>153</v>
      </c>
      <c r="C1658" s="1" t="s">
        <v>145</v>
      </c>
      <c r="D1658" s="1" t="s">
        <v>146</v>
      </c>
      <c r="E1658" t="s">
        <v>136</v>
      </c>
    </row>
    <row r="1659" spans="1:5" x14ac:dyDescent="0.35">
      <c r="A1659" s="1" t="s">
        <v>147</v>
      </c>
      <c r="B1659" s="1"/>
      <c r="C1659" s="1"/>
      <c r="D1659" s="1" t="s">
        <v>148</v>
      </c>
      <c r="E1659" t="s">
        <v>136</v>
      </c>
    </row>
    <row r="1660" spans="1:5" x14ac:dyDescent="0.35">
      <c r="A1660" s="1" t="s">
        <v>147</v>
      </c>
      <c r="B1660" s="1"/>
      <c r="C1660" s="1"/>
      <c r="D1660" s="1" t="s">
        <v>149</v>
      </c>
      <c r="E1660" t="s">
        <v>136</v>
      </c>
    </row>
    <row r="1661" spans="1:5" x14ac:dyDescent="0.35">
      <c r="A1661" s="1" t="s">
        <v>147</v>
      </c>
      <c r="B1661" s="1"/>
      <c r="C1661" s="1" t="s">
        <v>150</v>
      </c>
      <c r="D1661" s="1" t="s">
        <v>146</v>
      </c>
      <c r="E1661" t="s">
        <v>136</v>
      </c>
    </row>
    <row r="1662" spans="1:5" x14ac:dyDescent="0.35">
      <c r="A1662" s="1" t="s">
        <v>147</v>
      </c>
      <c r="B1662" s="1"/>
      <c r="C1662" s="1"/>
      <c r="D1662" s="1" t="s">
        <v>148</v>
      </c>
      <c r="E1662" t="s">
        <v>136</v>
      </c>
    </row>
    <row r="1663" spans="1:5" x14ac:dyDescent="0.35">
      <c r="A1663" s="1" t="s">
        <v>147</v>
      </c>
      <c r="B1663" s="1"/>
      <c r="C1663" s="1"/>
      <c r="D1663" s="1" t="s">
        <v>149</v>
      </c>
      <c r="E1663" t="s">
        <v>136</v>
      </c>
    </row>
    <row r="1664" spans="1:5" x14ac:dyDescent="0.35">
      <c r="A1664" s="1" t="s">
        <v>147</v>
      </c>
      <c r="B1664" s="1" t="s">
        <v>154</v>
      </c>
      <c r="C1664" s="1" t="s">
        <v>145</v>
      </c>
      <c r="D1664" s="1" t="s">
        <v>146</v>
      </c>
      <c r="E1664" t="s">
        <v>136</v>
      </c>
    </row>
    <row r="1665" spans="1:5" x14ac:dyDescent="0.35">
      <c r="A1665" s="1" t="s">
        <v>147</v>
      </c>
      <c r="B1665" s="1"/>
      <c r="C1665" s="1"/>
      <c r="D1665" s="1" t="s">
        <v>148</v>
      </c>
      <c r="E1665" t="s">
        <v>136</v>
      </c>
    </row>
    <row r="1666" spans="1:5" x14ac:dyDescent="0.35">
      <c r="A1666" s="1" t="s">
        <v>147</v>
      </c>
      <c r="B1666" s="1"/>
      <c r="C1666" s="1"/>
      <c r="D1666" s="1" t="s">
        <v>149</v>
      </c>
      <c r="E1666" t="s">
        <v>136</v>
      </c>
    </row>
    <row r="1667" spans="1:5" x14ac:dyDescent="0.35">
      <c r="A1667" s="1" t="s">
        <v>147</v>
      </c>
      <c r="B1667" s="1"/>
      <c r="C1667" s="1" t="s">
        <v>150</v>
      </c>
      <c r="D1667" s="1" t="s">
        <v>146</v>
      </c>
      <c r="E1667" t="s">
        <v>136</v>
      </c>
    </row>
    <row r="1668" spans="1:5" x14ac:dyDescent="0.35">
      <c r="A1668" s="1" t="s">
        <v>147</v>
      </c>
      <c r="B1668" s="1"/>
      <c r="C1668" s="1"/>
      <c r="D1668" s="1" t="s">
        <v>148</v>
      </c>
      <c r="E1668" t="s">
        <v>136</v>
      </c>
    </row>
    <row r="1669" spans="1:5" x14ac:dyDescent="0.35">
      <c r="A1669" s="1" t="s">
        <v>147</v>
      </c>
      <c r="B1669" s="1"/>
      <c r="C1669" s="1"/>
      <c r="D1669" s="1" t="s">
        <v>149</v>
      </c>
      <c r="E1669" t="s">
        <v>136</v>
      </c>
    </row>
    <row r="1670" spans="1:5" x14ac:dyDescent="0.35">
      <c r="A1670" s="1" t="s">
        <v>147</v>
      </c>
      <c r="B1670" s="1" t="s">
        <v>155</v>
      </c>
      <c r="C1670" s="1" t="s">
        <v>145</v>
      </c>
      <c r="D1670" s="1" t="s">
        <v>146</v>
      </c>
      <c r="E1670">
        <v>63.53</v>
      </c>
    </row>
    <row r="1671" spans="1:5" x14ac:dyDescent="0.35">
      <c r="A1671" s="1" t="s">
        <v>147</v>
      </c>
      <c r="B1671" s="1"/>
      <c r="C1671" s="1"/>
      <c r="D1671" s="1" t="s">
        <v>148</v>
      </c>
      <c r="E1671">
        <v>61.73</v>
      </c>
    </row>
    <row r="1672" spans="1:5" x14ac:dyDescent="0.35">
      <c r="A1672" s="1" t="s">
        <v>147</v>
      </c>
      <c r="B1672" s="1"/>
      <c r="C1672" s="1"/>
      <c r="D1672" s="1" t="s">
        <v>149</v>
      </c>
      <c r="E1672">
        <v>1.8</v>
      </c>
    </row>
    <row r="1673" spans="1:5" x14ac:dyDescent="0.35">
      <c r="A1673" s="1" t="s">
        <v>147</v>
      </c>
      <c r="B1673" s="1"/>
      <c r="C1673" s="1" t="s">
        <v>150</v>
      </c>
      <c r="D1673" s="1" t="s">
        <v>146</v>
      </c>
      <c r="E1673" t="s">
        <v>136</v>
      </c>
    </row>
    <row r="1674" spans="1:5" x14ac:dyDescent="0.35">
      <c r="A1674" s="1" t="s">
        <v>147</v>
      </c>
      <c r="B1674" s="1"/>
      <c r="C1674" s="1"/>
      <c r="D1674" s="1" t="s">
        <v>148</v>
      </c>
      <c r="E1674" t="s">
        <v>136</v>
      </c>
    </row>
    <row r="1675" spans="1:5" x14ac:dyDescent="0.35">
      <c r="A1675" s="1" t="s">
        <v>147</v>
      </c>
      <c r="B1675" s="1"/>
      <c r="C1675" s="1"/>
      <c r="D1675" s="1" t="s">
        <v>149</v>
      </c>
      <c r="E1675" t="s">
        <v>136</v>
      </c>
    </row>
    <row r="1676" spans="1:5" x14ac:dyDescent="0.35">
      <c r="A1676" s="1" t="s">
        <v>147</v>
      </c>
      <c r="B1676" s="1" t="s">
        <v>156</v>
      </c>
      <c r="C1676" s="1" t="s">
        <v>145</v>
      </c>
      <c r="D1676" s="1" t="s">
        <v>146</v>
      </c>
      <c r="E1676" t="s">
        <v>136</v>
      </c>
    </row>
    <row r="1677" spans="1:5" x14ac:dyDescent="0.35">
      <c r="A1677" s="1" t="s">
        <v>147</v>
      </c>
      <c r="B1677" s="1"/>
      <c r="C1677" s="1"/>
      <c r="D1677" s="1" t="s">
        <v>148</v>
      </c>
      <c r="E1677" t="s">
        <v>136</v>
      </c>
    </row>
    <row r="1678" spans="1:5" x14ac:dyDescent="0.35">
      <c r="A1678" s="1" t="s">
        <v>147</v>
      </c>
      <c r="B1678" s="1"/>
      <c r="C1678" s="1"/>
      <c r="D1678" s="1" t="s">
        <v>149</v>
      </c>
      <c r="E1678" t="s">
        <v>136</v>
      </c>
    </row>
    <row r="1679" spans="1:5" x14ac:dyDescent="0.35">
      <c r="A1679" s="1" t="s">
        <v>147</v>
      </c>
      <c r="B1679" s="1"/>
      <c r="C1679" s="1" t="s">
        <v>150</v>
      </c>
      <c r="D1679" s="1" t="s">
        <v>146</v>
      </c>
      <c r="E1679" t="s">
        <v>136</v>
      </c>
    </row>
    <row r="1680" spans="1:5" x14ac:dyDescent="0.35">
      <c r="A1680" s="1" t="s">
        <v>147</v>
      </c>
      <c r="B1680" s="1"/>
      <c r="C1680" s="1"/>
      <c r="D1680" s="1" t="s">
        <v>148</v>
      </c>
      <c r="E1680" t="s">
        <v>136</v>
      </c>
    </row>
    <row r="1681" spans="1:5" x14ac:dyDescent="0.35">
      <c r="A1681" s="1" t="s">
        <v>147</v>
      </c>
      <c r="B1681" s="1"/>
      <c r="C1681" s="1"/>
      <c r="D1681" s="1" t="s">
        <v>149</v>
      </c>
      <c r="E1681" t="s">
        <v>136</v>
      </c>
    </row>
    <row r="1682" spans="1:5" x14ac:dyDescent="0.35">
      <c r="A1682" s="1" t="s">
        <v>147</v>
      </c>
      <c r="B1682" s="1" t="s">
        <v>157</v>
      </c>
      <c r="C1682" s="1" t="s">
        <v>145</v>
      </c>
      <c r="D1682" s="1" t="s">
        <v>146</v>
      </c>
      <c r="E1682" t="s">
        <v>136</v>
      </c>
    </row>
    <row r="1683" spans="1:5" x14ac:dyDescent="0.35">
      <c r="A1683" s="1" t="s">
        <v>147</v>
      </c>
      <c r="B1683" s="1"/>
      <c r="C1683" s="1"/>
      <c r="D1683" s="1" t="s">
        <v>148</v>
      </c>
      <c r="E1683" t="s">
        <v>136</v>
      </c>
    </row>
    <row r="1684" spans="1:5" x14ac:dyDescent="0.35">
      <c r="A1684" s="1" t="s">
        <v>147</v>
      </c>
      <c r="B1684" s="1"/>
      <c r="C1684" s="1"/>
      <c r="D1684" s="1" t="s">
        <v>149</v>
      </c>
      <c r="E1684" t="s">
        <v>136</v>
      </c>
    </row>
    <row r="1685" spans="1:5" x14ac:dyDescent="0.35">
      <c r="A1685" s="1" t="s">
        <v>147</v>
      </c>
      <c r="B1685" s="1"/>
      <c r="C1685" s="1" t="s">
        <v>150</v>
      </c>
      <c r="D1685" s="1" t="s">
        <v>146</v>
      </c>
      <c r="E1685" t="s">
        <v>136</v>
      </c>
    </row>
    <row r="1686" spans="1:5" x14ac:dyDescent="0.35">
      <c r="A1686" s="1" t="s">
        <v>147</v>
      </c>
      <c r="B1686" s="1"/>
      <c r="C1686" s="1"/>
      <c r="D1686" s="1" t="s">
        <v>148</v>
      </c>
      <c r="E1686" t="s">
        <v>136</v>
      </c>
    </row>
    <row r="1687" spans="1:5" x14ac:dyDescent="0.35">
      <c r="A1687" s="1" t="s">
        <v>147</v>
      </c>
      <c r="B1687" s="1"/>
      <c r="C1687" s="1"/>
      <c r="D1687" s="1" t="s">
        <v>149</v>
      </c>
      <c r="E1687" t="s">
        <v>136</v>
      </c>
    </row>
    <row r="1688" spans="1:5" x14ac:dyDescent="0.35">
      <c r="A1688" s="1" t="s">
        <v>147</v>
      </c>
      <c r="B1688" s="1" t="s">
        <v>158</v>
      </c>
      <c r="C1688" s="1" t="s">
        <v>145</v>
      </c>
      <c r="D1688" s="1" t="s">
        <v>146</v>
      </c>
      <c r="E1688">
        <v>106</v>
      </c>
    </row>
    <row r="1689" spans="1:5" x14ac:dyDescent="0.35">
      <c r="A1689" s="1" t="s">
        <v>147</v>
      </c>
      <c r="B1689" s="1"/>
      <c r="C1689" s="1"/>
      <c r="D1689" s="1" t="s">
        <v>148</v>
      </c>
      <c r="E1689">
        <v>106</v>
      </c>
    </row>
    <row r="1690" spans="1:5" x14ac:dyDescent="0.35">
      <c r="A1690" s="1" t="s">
        <v>147</v>
      </c>
      <c r="B1690" s="1"/>
      <c r="C1690" s="1"/>
      <c r="D1690" s="1" t="s">
        <v>149</v>
      </c>
      <c r="E1690" t="s">
        <v>136</v>
      </c>
    </row>
    <row r="1691" spans="1:5" x14ac:dyDescent="0.35">
      <c r="A1691" s="1" t="s">
        <v>147</v>
      </c>
      <c r="B1691" s="1"/>
      <c r="C1691" s="1" t="s">
        <v>150</v>
      </c>
      <c r="D1691" s="1" t="s">
        <v>146</v>
      </c>
      <c r="E1691" t="s">
        <v>136</v>
      </c>
    </row>
    <row r="1692" spans="1:5" x14ac:dyDescent="0.35">
      <c r="A1692" s="1" t="s">
        <v>147</v>
      </c>
      <c r="B1692" s="1"/>
      <c r="C1692" s="1"/>
      <c r="D1692" s="1" t="s">
        <v>148</v>
      </c>
      <c r="E1692" t="s">
        <v>136</v>
      </c>
    </row>
    <row r="1693" spans="1:5" x14ac:dyDescent="0.35">
      <c r="A1693" s="1" t="s">
        <v>147</v>
      </c>
      <c r="B1693" s="1"/>
      <c r="C1693" s="1"/>
      <c r="D1693" s="1" t="s">
        <v>149</v>
      </c>
      <c r="E1693" t="s">
        <v>136</v>
      </c>
    </row>
    <row r="1694" spans="1:5" x14ac:dyDescent="0.35">
      <c r="A1694" s="1" t="s">
        <v>147</v>
      </c>
      <c r="B1694" s="1" t="s">
        <v>159</v>
      </c>
      <c r="C1694" s="1" t="s">
        <v>145</v>
      </c>
      <c r="D1694" s="1" t="s">
        <v>146</v>
      </c>
      <c r="E1694" t="s">
        <v>136</v>
      </c>
    </row>
    <row r="1695" spans="1:5" x14ac:dyDescent="0.35">
      <c r="A1695" s="1" t="s">
        <v>147</v>
      </c>
      <c r="B1695" s="1"/>
      <c r="C1695" s="1"/>
      <c r="D1695" s="1" t="s">
        <v>148</v>
      </c>
      <c r="E1695" t="s">
        <v>136</v>
      </c>
    </row>
    <row r="1696" spans="1:5" x14ac:dyDescent="0.35">
      <c r="A1696" s="1" t="s">
        <v>147</v>
      </c>
      <c r="B1696" s="1"/>
      <c r="C1696" s="1"/>
      <c r="D1696" s="1" t="s">
        <v>149</v>
      </c>
      <c r="E1696" t="s">
        <v>136</v>
      </c>
    </row>
    <row r="1697" spans="1:5" x14ac:dyDescent="0.35">
      <c r="A1697" s="1" t="s">
        <v>147</v>
      </c>
      <c r="B1697" s="1"/>
      <c r="C1697" s="1" t="s">
        <v>150</v>
      </c>
      <c r="D1697" s="1" t="s">
        <v>146</v>
      </c>
      <c r="E1697" t="s">
        <v>136</v>
      </c>
    </row>
    <row r="1698" spans="1:5" x14ac:dyDescent="0.35">
      <c r="A1698" s="1" t="s">
        <v>147</v>
      </c>
      <c r="B1698" s="1"/>
      <c r="C1698" s="1"/>
      <c r="D1698" s="1" t="s">
        <v>148</v>
      </c>
      <c r="E1698" t="s">
        <v>136</v>
      </c>
    </row>
    <row r="1699" spans="1:5" x14ac:dyDescent="0.35">
      <c r="A1699" s="1" t="s">
        <v>147</v>
      </c>
      <c r="B1699" s="1"/>
      <c r="C1699" s="1"/>
      <c r="D1699" s="1" t="s">
        <v>149</v>
      </c>
      <c r="E1699" t="s">
        <v>136</v>
      </c>
    </row>
    <row r="1700" spans="1:5" x14ac:dyDescent="0.35">
      <c r="A1700" s="1" t="s">
        <v>147</v>
      </c>
      <c r="B1700" s="1" t="s">
        <v>160</v>
      </c>
      <c r="C1700" s="1" t="s">
        <v>145</v>
      </c>
      <c r="D1700" s="1" t="s">
        <v>146</v>
      </c>
      <c r="E1700" t="s">
        <v>136</v>
      </c>
    </row>
    <row r="1701" spans="1:5" x14ac:dyDescent="0.35">
      <c r="A1701" s="1" t="s">
        <v>147</v>
      </c>
      <c r="B1701" s="1"/>
      <c r="C1701" s="1"/>
      <c r="D1701" s="1" t="s">
        <v>148</v>
      </c>
      <c r="E1701" t="s">
        <v>136</v>
      </c>
    </row>
    <row r="1702" spans="1:5" x14ac:dyDescent="0.35">
      <c r="A1702" s="1" t="s">
        <v>147</v>
      </c>
      <c r="B1702" s="1"/>
      <c r="C1702" s="1"/>
      <c r="D1702" s="1" t="s">
        <v>149</v>
      </c>
      <c r="E1702" t="s">
        <v>136</v>
      </c>
    </row>
    <row r="1703" spans="1:5" x14ac:dyDescent="0.35">
      <c r="A1703" s="1" t="s">
        <v>147</v>
      </c>
      <c r="B1703" s="1"/>
      <c r="C1703" s="1" t="s">
        <v>150</v>
      </c>
      <c r="D1703" s="1" t="s">
        <v>146</v>
      </c>
      <c r="E1703" t="s">
        <v>136</v>
      </c>
    </row>
    <row r="1704" spans="1:5" x14ac:dyDescent="0.35">
      <c r="A1704" s="1" t="s">
        <v>147</v>
      </c>
      <c r="B1704" s="1"/>
      <c r="C1704" s="1"/>
      <c r="D1704" s="1" t="s">
        <v>148</v>
      </c>
      <c r="E1704" t="s">
        <v>136</v>
      </c>
    </row>
    <row r="1705" spans="1:5" x14ac:dyDescent="0.35">
      <c r="A1705" s="1" t="s">
        <v>147</v>
      </c>
      <c r="B1705" s="1"/>
      <c r="C1705" s="1"/>
      <c r="D1705" s="1" t="s">
        <v>149</v>
      </c>
      <c r="E1705" t="s">
        <v>136</v>
      </c>
    </row>
    <row r="1706" spans="1:5" x14ac:dyDescent="0.35">
      <c r="A1706" s="1" t="s">
        <v>147</v>
      </c>
      <c r="B1706" s="1" t="s">
        <v>161</v>
      </c>
      <c r="C1706" s="1" t="s">
        <v>145</v>
      </c>
      <c r="D1706" s="1" t="s">
        <v>146</v>
      </c>
      <c r="E1706" t="s">
        <v>136</v>
      </c>
    </row>
    <row r="1707" spans="1:5" x14ac:dyDescent="0.35">
      <c r="A1707" s="1" t="s">
        <v>147</v>
      </c>
      <c r="B1707" s="1"/>
      <c r="C1707" s="1"/>
      <c r="D1707" s="1" t="s">
        <v>148</v>
      </c>
      <c r="E1707" t="s">
        <v>136</v>
      </c>
    </row>
    <row r="1708" spans="1:5" x14ac:dyDescent="0.35">
      <c r="A1708" s="1" t="s">
        <v>147</v>
      </c>
      <c r="B1708" s="1"/>
      <c r="C1708" s="1"/>
      <c r="D1708" s="1" t="s">
        <v>149</v>
      </c>
      <c r="E1708" t="s">
        <v>136</v>
      </c>
    </row>
    <row r="1709" spans="1:5" x14ac:dyDescent="0.35">
      <c r="A1709" s="1" t="s">
        <v>147</v>
      </c>
      <c r="B1709" s="1"/>
      <c r="C1709" s="1" t="s">
        <v>150</v>
      </c>
      <c r="D1709" s="1" t="s">
        <v>146</v>
      </c>
      <c r="E1709" t="s">
        <v>136</v>
      </c>
    </row>
    <row r="1710" spans="1:5" x14ac:dyDescent="0.35">
      <c r="A1710" s="1" t="s">
        <v>147</v>
      </c>
      <c r="B1710" s="1"/>
      <c r="C1710" s="1"/>
      <c r="D1710" s="1" t="s">
        <v>148</v>
      </c>
      <c r="E1710" t="s">
        <v>136</v>
      </c>
    </row>
    <row r="1711" spans="1:5" x14ac:dyDescent="0.35">
      <c r="A1711" s="1" t="s">
        <v>147</v>
      </c>
      <c r="B1711" s="1"/>
      <c r="C1711" s="1"/>
      <c r="D1711" s="1" t="s">
        <v>149</v>
      </c>
      <c r="E1711" t="s">
        <v>136</v>
      </c>
    </row>
    <row r="1712" spans="1:5" x14ac:dyDescent="0.35">
      <c r="A1712" s="1" t="s">
        <v>147</v>
      </c>
      <c r="B1712" s="1" t="s">
        <v>162</v>
      </c>
      <c r="C1712" s="1" t="s">
        <v>145</v>
      </c>
      <c r="D1712" s="1" t="s">
        <v>146</v>
      </c>
      <c r="E1712" t="s">
        <v>136</v>
      </c>
    </row>
    <row r="1713" spans="1:5" x14ac:dyDescent="0.35">
      <c r="A1713" s="1" t="s">
        <v>147</v>
      </c>
      <c r="B1713" s="1"/>
      <c r="C1713" s="1"/>
      <c r="D1713" s="1" t="s">
        <v>148</v>
      </c>
      <c r="E1713" t="s">
        <v>136</v>
      </c>
    </row>
    <row r="1714" spans="1:5" x14ac:dyDescent="0.35">
      <c r="A1714" s="1" t="s">
        <v>147</v>
      </c>
      <c r="B1714" s="1"/>
      <c r="C1714" s="1"/>
      <c r="D1714" s="1" t="s">
        <v>149</v>
      </c>
      <c r="E1714" t="s">
        <v>136</v>
      </c>
    </row>
    <row r="1715" spans="1:5" x14ac:dyDescent="0.35">
      <c r="A1715" s="1" t="s">
        <v>147</v>
      </c>
      <c r="B1715" s="1"/>
      <c r="C1715" s="1" t="s">
        <v>150</v>
      </c>
      <c r="D1715" s="1" t="s">
        <v>146</v>
      </c>
      <c r="E1715" t="s">
        <v>136</v>
      </c>
    </row>
    <row r="1716" spans="1:5" x14ac:dyDescent="0.35">
      <c r="A1716" s="1" t="s">
        <v>147</v>
      </c>
      <c r="B1716" s="1"/>
      <c r="C1716" s="1"/>
      <c r="D1716" s="1" t="s">
        <v>148</v>
      </c>
      <c r="E1716" t="s">
        <v>136</v>
      </c>
    </row>
    <row r="1717" spans="1:5" x14ac:dyDescent="0.35">
      <c r="A1717" s="1" t="s">
        <v>147</v>
      </c>
      <c r="B1717" s="1"/>
      <c r="C1717" s="1"/>
      <c r="D1717" s="1" t="s">
        <v>149</v>
      </c>
      <c r="E1717" t="s">
        <v>136</v>
      </c>
    </row>
    <row r="1718" spans="1:5" x14ac:dyDescent="0.35">
      <c r="A1718" s="1" t="s">
        <v>147</v>
      </c>
      <c r="B1718" s="1" t="s">
        <v>163</v>
      </c>
      <c r="C1718" s="1" t="s">
        <v>145</v>
      </c>
      <c r="D1718" s="1" t="s">
        <v>146</v>
      </c>
      <c r="E1718">
        <v>9.9</v>
      </c>
    </row>
    <row r="1719" spans="1:5" x14ac:dyDescent="0.35">
      <c r="A1719" s="1" t="s">
        <v>147</v>
      </c>
      <c r="B1719" s="1"/>
      <c r="C1719" s="1"/>
      <c r="D1719" s="1" t="s">
        <v>148</v>
      </c>
      <c r="E1719">
        <v>9</v>
      </c>
    </row>
    <row r="1720" spans="1:5" x14ac:dyDescent="0.35">
      <c r="A1720" s="1" t="s">
        <v>147</v>
      </c>
      <c r="B1720" s="1"/>
      <c r="C1720" s="1"/>
      <c r="D1720" s="1" t="s">
        <v>149</v>
      </c>
      <c r="E1720">
        <v>0.9</v>
      </c>
    </row>
    <row r="1721" spans="1:5" x14ac:dyDescent="0.35">
      <c r="A1721" s="1" t="s">
        <v>147</v>
      </c>
      <c r="B1721" s="1"/>
      <c r="C1721" s="1" t="s">
        <v>150</v>
      </c>
      <c r="D1721" s="1" t="s">
        <v>146</v>
      </c>
      <c r="E1721" t="s">
        <v>136</v>
      </c>
    </row>
    <row r="1722" spans="1:5" x14ac:dyDescent="0.35">
      <c r="A1722" s="1" t="s">
        <v>147</v>
      </c>
      <c r="B1722" s="1"/>
      <c r="C1722" s="1"/>
      <c r="D1722" s="1" t="s">
        <v>148</v>
      </c>
      <c r="E1722" t="s">
        <v>136</v>
      </c>
    </row>
    <row r="1723" spans="1:5" x14ac:dyDescent="0.35">
      <c r="A1723" s="1" t="s">
        <v>147</v>
      </c>
      <c r="B1723" s="1"/>
      <c r="C1723" s="1"/>
      <c r="D1723" s="1" t="s">
        <v>149</v>
      </c>
      <c r="E1723" t="s">
        <v>136</v>
      </c>
    </row>
    <row r="1724" spans="1:5" x14ac:dyDescent="0.35">
      <c r="A1724" s="1" t="s">
        <v>147</v>
      </c>
      <c r="B1724" s="1" t="s">
        <v>164</v>
      </c>
      <c r="C1724" s="1" t="s">
        <v>145</v>
      </c>
      <c r="D1724" s="1" t="s">
        <v>146</v>
      </c>
      <c r="E1724" t="s">
        <v>136</v>
      </c>
    </row>
    <row r="1725" spans="1:5" x14ac:dyDescent="0.35">
      <c r="A1725" s="1" t="s">
        <v>147</v>
      </c>
      <c r="B1725" s="1"/>
      <c r="C1725" s="1"/>
      <c r="D1725" s="1" t="s">
        <v>148</v>
      </c>
      <c r="E1725" t="s">
        <v>136</v>
      </c>
    </row>
    <row r="1726" spans="1:5" x14ac:dyDescent="0.35">
      <c r="A1726" s="1" t="s">
        <v>147</v>
      </c>
      <c r="B1726" s="1"/>
      <c r="C1726" s="1"/>
      <c r="D1726" s="1" t="s">
        <v>149</v>
      </c>
      <c r="E1726" t="s">
        <v>136</v>
      </c>
    </row>
    <row r="1727" spans="1:5" x14ac:dyDescent="0.35">
      <c r="A1727" s="1" t="s">
        <v>147</v>
      </c>
      <c r="B1727" s="1"/>
      <c r="C1727" s="1" t="s">
        <v>150</v>
      </c>
      <c r="D1727" s="1" t="s">
        <v>146</v>
      </c>
      <c r="E1727" t="s">
        <v>136</v>
      </c>
    </row>
    <row r="1728" spans="1:5" x14ac:dyDescent="0.35">
      <c r="A1728" s="1" t="s">
        <v>147</v>
      </c>
      <c r="B1728" s="1"/>
      <c r="C1728" s="1"/>
      <c r="D1728" s="1" t="s">
        <v>148</v>
      </c>
      <c r="E1728" t="s">
        <v>136</v>
      </c>
    </row>
    <row r="1729" spans="1:5" x14ac:dyDescent="0.35">
      <c r="A1729" s="1" t="s">
        <v>147</v>
      </c>
      <c r="B1729" s="1"/>
      <c r="C1729" s="1"/>
      <c r="D1729" s="1" t="s">
        <v>149</v>
      </c>
      <c r="E1729" t="s">
        <v>136</v>
      </c>
    </row>
    <row r="1730" spans="1:5" x14ac:dyDescent="0.35">
      <c r="A1730" s="1" t="s">
        <v>147</v>
      </c>
      <c r="B1730" s="1" t="s">
        <v>165</v>
      </c>
      <c r="C1730" s="1" t="s">
        <v>145</v>
      </c>
      <c r="D1730" s="1" t="s">
        <v>146</v>
      </c>
      <c r="E1730" t="s">
        <v>136</v>
      </c>
    </row>
    <row r="1731" spans="1:5" x14ac:dyDescent="0.35">
      <c r="A1731" s="1" t="s">
        <v>147</v>
      </c>
      <c r="B1731" s="1"/>
      <c r="C1731" s="1"/>
      <c r="D1731" s="1" t="s">
        <v>148</v>
      </c>
      <c r="E1731" t="s">
        <v>136</v>
      </c>
    </row>
    <row r="1732" spans="1:5" x14ac:dyDescent="0.35">
      <c r="A1732" s="1" t="s">
        <v>147</v>
      </c>
      <c r="B1732" s="1"/>
      <c r="C1732" s="1"/>
      <c r="D1732" s="1" t="s">
        <v>149</v>
      </c>
      <c r="E1732" t="s">
        <v>136</v>
      </c>
    </row>
    <row r="1733" spans="1:5" x14ac:dyDescent="0.35">
      <c r="A1733" s="1" t="s">
        <v>147</v>
      </c>
      <c r="B1733" s="1"/>
      <c r="C1733" s="1" t="s">
        <v>150</v>
      </c>
      <c r="D1733" s="1" t="s">
        <v>146</v>
      </c>
      <c r="E1733" t="s">
        <v>136</v>
      </c>
    </row>
    <row r="1734" spans="1:5" x14ac:dyDescent="0.35">
      <c r="A1734" s="1" t="s">
        <v>147</v>
      </c>
      <c r="B1734" s="1"/>
      <c r="C1734" s="1"/>
      <c r="D1734" s="1" t="s">
        <v>148</v>
      </c>
      <c r="E1734" t="s">
        <v>136</v>
      </c>
    </row>
    <row r="1735" spans="1:5" x14ac:dyDescent="0.35">
      <c r="A1735" s="1" t="s">
        <v>147</v>
      </c>
      <c r="B1735" s="1"/>
      <c r="C1735" s="1"/>
      <c r="D1735" s="1" t="s">
        <v>149</v>
      </c>
      <c r="E1735" t="s">
        <v>136</v>
      </c>
    </row>
    <row r="1736" spans="1:5" x14ac:dyDescent="0.35">
      <c r="A1736" s="1" t="s">
        <v>147</v>
      </c>
      <c r="B1736" s="1" t="s">
        <v>166</v>
      </c>
      <c r="C1736" s="1" t="s">
        <v>145</v>
      </c>
      <c r="D1736" s="1" t="s">
        <v>146</v>
      </c>
      <c r="E1736">
        <v>9.9</v>
      </c>
    </row>
    <row r="1737" spans="1:5" x14ac:dyDescent="0.35">
      <c r="A1737" s="1" t="s">
        <v>147</v>
      </c>
      <c r="B1737" s="1"/>
      <c r="C1737" s="1"/>
      <c r="D1737" s="1" t="s">
        <v>148</v>
      </c>
      <c r="E1737">
        <v>9</v>
      </c>
    </row>
    <row r="1738" spans="1:5" x14ac:dyDescent="0.35">
      <c r="A1738" s="1" t="s">
        <v>147</v>
      </c>
      <c r="B1738" s="1"/>
      <c r="C1738" s="1"/>
      <c r="D1738" s="1" t="s">
        <v>149</v>
      </c>
      <c r="E1738">
        <v>0.9</v>
      </c>
    </row>
    <row r="1739" spans="1:5" x14ac:dyDescent="0.35">
      <c r="A1739" s="1" t="s">
        <v>147</v>
      </c>
      <c r="B1739" s="1"/>
      <c r="C1739" s="1" t="s">
        <v>150</v>
      </c>
      <c r="D1739" s="1" t="s">
        <v>146</v>
      </c>
      <c r="E1739" t="s">
        <v>136</v>
      </c>
    </row>
    <row r="1740" spans="1:5" x14ac:dyDescent="0.35">
      <c r="A1740" s="1" t="s">
        <v>147</v>
      </c>
      <c r="B1740" s="1"/>
      <c r="C1740" s="1"/>
      <c r="D1740" s="1" t="s">
        <v>148</v>
      </c>
      <c r="E1740" t="s">
        <v>136</v>
      </c>
    </row>
    <row r="1741" spans="1:5" x14ac:dyDescent="0.35">
      <c r="A1741" s="1" t="s">
        <v>147</v>
      </c>
      <c r="B1741" s="1"/>
      <c r="C1741" s="1"/>
      <c r="D1741" s="1" t="s">
        <v>149</v>
      </c>
      <c r="E1741" t="s">
        <v>136</v>
      </c>
    </row>
    <row r="1742" spans="1:5" x14ac:dyDescent="0.35">
      <c r="A1742" s="1" t="s">
        <v>147</v>
      </c>
      <c r="B1742" s="1" t="s">
        <v>167</v>
      </c>
      <c r="C1742" s="1" t="s">
        <v>145</v>
      </c>
      <c r="D1742" s="1" t="s">
        <v>146</v>
      </c>
      <c r="E1742" t="s">
        <v>136</v>
      </c>
    </row>
    <row r="1743" spans="1:5" x14ac:dyDescent="0.35">
      <c r="A1743" s="1" t="s">
        <v>147</v>
      </c>
      <c r="B1743" s="1"/>
      <c r="C1743" s="1"/>
      <c r="D1743" s="1" t="s">
        <v>148</v>
      </c>
      <c r="E1743" t="s">
        <v>136</v>
      </c>
    </row>
    <row r="1744" spans="1:5" x14ac:dyDescent="0.35">
      <c r="A1744" s="1" t="s">
        <v>147</v>
      </c>
      <c r="B1744" s="1"/>
      <c r="C1744" s="1"/>
      <c r="D1744" s="1" t="s">
        <v>149</v>
      </c>
      <c r="E1744" t="s">
        <v>136</v>
      </c>
    </row>
    <row r="1745" spans="1:5" x14ac:dyDescent="0.35">
      <c r="A1745" s="1" t="s">
        <v>147</v>
      </c>
      <c r="B1745" s="1"/>
      <c r="C1745" s="1" t="s">
        <v>150</v>
      </c>
      <c r="D1745" s="1" t="s">
        <v>146</v>
      </c>
      <c r="E1745" t="s">
        <v>136</v>
      </c>
    </row>
    <row r="1746" spans="1:5" x14ac:dyDescent="0.35">
      <c r="A1746" s="1" t="s">
        <v>147</v>
      </c>
      <c r="B1746" s="1"/>
      <c r="C1746" s="1"/>
      <c r="D1746" s="1" t="s">
        <v>148</v>
      </c>
      <c r="E1746" t="s">
        <v>136</v>
      </c>
    </row>
    <row r="1747" spans="1:5" x14ac:dyDescent="0.35">
      <c r="A1747" s="1" t="s">
        <v>147</v>
      </c>
      <c r="B1747" s="1"/>
      <c r="C1747" s="1"/>
      <c r="D1747" s="1" t="s">
        <v>149</v>
      </c>
      <c r="E1747" t="s">
        <v>136</v>
      </c>
    </row>
    <row r="1748" spans="1:5" x14ac:dyDescent="0.35">
      <c r="A1748" s="1" t="s">
        <v>147</v>
      </c>
      <c r="B1748" s="1" t="s">
        <v>168</v>
      </c>
      <c r="C1748" s="1" t="s">
        <v>145</v>
      </c>
      <c r="D1748" s="1" t="s">
        <v>146</v>
      </c>
      <c r="E1748" t="s">
        <v>136</v>
      </c>
    </row>
    <row r="1749" spans="1:5" x14ac:dyDescent="0.35">
      <c r="A1749" s="1" t="s">
        <v>147</v>
      </c>
      <c r="B1749" s="1"/>
      <c r="C1749" s="1"/>
      <c r="D1749" s="1" t="s">
        <v>148</v>
      </c>
      <c r="E1749" t="s">
        <v>136</v>
      </c>
    </row>
    <row r="1750" spans="1:5" x14ac:dyDescent="0.35">
      <c r="A1750" s="1" t="s">
        <v>147</v>
      </c>
      <c r="B1750" s="1"/>
      <c r="C1750" s="1"/>
      <c r="D1750" s="1" t="s">
        <v>149</v>
      </c>
      <c r="E1750" t="s">
        <v>136</v>
      </c>
    </row>
    <row r="1751" spans="1:5" x14ac:dyDescent="0.35">
      <c r="A1751" s="1" t="s">
        <v>147</v>
      </c>
      <c r="B1751" s="1"/>
      <c r="C1751" s="1" t="s">
        <v>150</v>
      </c>
      <c r="D1751" s="1" t="s">
        <v>146</v>
      </c>
      <c r="E1751" t="s">
        <v>136</v>
      </c>
    </row>
    <row r="1752" spans="1:5" x14ac:dyDescent="0.35">
      <c r="A1752" s="1" t="s">
        <v>147</v>
      </c>
      <c r="B1752" s="1"/>
      <c r="C1752" s="1"/>
      <c r="D1752" s="1" t="s">
        <v>148</v>
      </c>
      <c r="E1752" t="s">
        <v>136</v>
      </c>
    </row>
    <row r="1753" spans="1:5" x14ac:dyDescent="0.35">
      <c r="A1753" s="1" t="s">
        <v>147</v>
      </c>
      <c r="B1753" s="1"/>
      <c r="C1753" s="1"/>
      <c r="D1753" s="1" t="s">
        <v>149</v>
      </c>
      <c r="E1753" t="s">
        <v>136</v>
      </c>
    </row>
    <row r="1754" spans="1:5" x14ac:dyDescent="0.35">
      <c r="A1754" s="1" t="s">
        <v>147</v>
      </c>
      <c r="B1754" s="1" t="s">
        <v>169</v>
      </c>
      <c r="C1754" s="1" t="s">
        <v>145</v>
      </c>
      <c r="D1754" s="1" t="s">
        <v>146</v>
      </c>
      <c r="E1754" t="s">
        <v>136</v>
      </c>
    </row>
    <row r="1755" spans="1:5" x14ac:dyDescent="0.35">
      <c r="A1755" s="1" t="s">
        <v>147</v>
      </c>
      <c r="B1755" s="1"/>
      <c r="C1755" s="1"/>
      <c r="D1755" s="1" t="s">
        <v>148</v>
      </c>
      <c r="E1755" t="s">
        <v>136</v>
      </c>
    </row>
    <row r="1756" spans="1:5" x14ac:dyDescent="0.35">
      <c r="A1756" s="1" t="s">
        <v>147</v>
      </c>
      <c r="B1756" s="1"/>
      <c r="C1756" s="1"/>
      <c r="D1756" s="1" t="s">
        <v>149</v>
      </c>
      <c r="E1756" t="s">
        <v>136</v>
      </c>
    </row>
    <row r="1757" spans="1:5" x14ac:dyDescent="0.35">
      <c r="A1757" s="1" t="s">
        <v>147</v>
      </c>
      <c r="B1757" s="1"/>
      <c r="C1757" s="1" t="s">
        <v>150</v>
      </c>
      <c r="D1757" s="1" t="s">
        <v>146</v>
      </c>
      <c r="E1757" t="s">
        <v>136</v>
      </c>
    </row>
    <row r="1758" spans="1:5" x14ac:dyDescent="0.35">
      <c r="A1758" s="1" t="s">
        <v>147</v>
      </c>
      <c r="B1758" s="1"/>
      <c r="C1758" s="1"/>
      <c r="D1758" s="1" t="s">
        <v>148</v>
      </c>
      <c r="E1758" t="s">
        <v>136</v>
      </c>
    </row>
    <row r="1759" spans="1:5" x14ac:dyDescent="0.35">
      <c r="A1759" s="1" t="s">
        <v>147</v>
      </c>
      <c r="B1759" s="1"/>
      <c r="C1759" s="1"/>
      <c r="D1759" s="1" t="s">
        <v>149</v>
      </c>
      <c r="E1759" t="s">
        <v>136</v>
      </c>
    </row>
    <row r="1760" spans="1:5" x14ac:dyDescent="0.35">
      <c r="A1760" s="1" t="s">
        <v>147</v>
      </c>
      <c r="B1760" s="1" t="s">
        <v>170</v>
      </c>
      <c r="C1760" s="1" t="s">
        <v>145</v>
      </c>
      <c r="D1760" s="1" t="s">
        <v>146</v>
      </c>
      <c r="E1760" t="s">
        <v>136</v>
      </c>
    </row>
    <row r="1761" spans="1:5" x14ac:dyDescent="0.35">
      <c r="A1761" s="1" t="s">
        <v>147</v>
      </c>
      <c r="B1761" s="1"/>
      <c r="C1761" s="1"/>
      <c r="D1761" s="1" t="s">
        <v>148</v>
      </c>
      <c r="E1761" t="s">
        <v>136</v>
      </c>
    </row>
    <row r="1762" spans="1:5" x14ac:dyDescent="0.35">
      <c r="A1762" s="1" t="s">
        <v>147</v>
      </c>
      <c r="B1762" s="1"/>
      <c r="C1762" s="1"/>
      <c r="D1762" s="1" t="s">
        <v>149</v>
      </c>
      <c r="E1762" t="s">
        <v>136</v>
      </c>
    </row>
    <row r="1763" spans="1:5" x14ac:dyDescent="0.35">
      <c r="A1763" s="1" t="s">
        <v>147</v>
      </c>
      <c r="B1763" s="1"/>
      <c r="C1763" s="1" t="s">
        <v>150</v>
      </c>
      <c r="D1763" s="1" t="s">
        <v>146</v>
      </c>
      <c r="E1763" t="s">
        <v>136</v>
      </c>
    </row>
    <row r="1764" spans="1:5" x14ac:dyDescent="0.35">
      <c r="A1764" s="1" t="s">
        <v>147</v>
      </c>
      <c r="B1764" s="1"/>
      <c r="C1764" s="1"/>
      <c r="D1764" s="1" t="s">
        <v>148</v>
      </c>
      <c r="E1764" t="s">
        <v>136</v>
      </c>
    </row>
    <row r="1765" spans="1:5" x14ac:dyDescent="0.35">
      <c r="A1765" s="1" t="s">
        <v>147</v>
      </c>
      <c r="B1765" s="1"/>
      <c r="C1765" s="1"/>
      <c r="D1765" s="1" t="s">
        <v>149</v>
      </c>
      <c r="E1765" t="s">
        <v>136</v>
      </c>
    </row>
    <row r="1766" spans="1:5" x14ac:dyDescent="0.35">
      <c r="A1766" s="1" t="s">
        <v>57</v>
      </c>
      <c r="B1766" s="1" t="s">
        <v>144</v>
      </c>
      <c r="C1766" s="1" t="s">
        <v>145</v>
      </c>
      <c r="D1766" s="1" t="s">
        <v>146</v>
      </c>
      <c r="E1766">
        <v>5989.14</v>
      </c>
    </row>
    <row r="1767" spans="1:5" x14ac:dyDescent="0.35">
      <c r="A1767" s="1" t="s">
        <v>147</v>
      </c>
      <c r="B1767" s="1"/>
      <c r="C1767" s="1"/>
      <c r="D1767" s="1" t="s">
        <v>148</v>
      </c>
      <c r="E1767">
        <v>5966.3</v>
      </c>
    </row>
    <row r="1768" spans="1:5" x14ac:dyDescent="0.35">
      <c r="A1768" s="1" t="s">
        <v>147</v>
      </c>
      <c r="B1768" s="1"/>
      <c r="C1768" s="1"/>
      <c r="D1768" s="1" t="s">
        <v>149</v>
      </c>
      <c r="E1768">
        <v>22.84</v>
      </c>
    </row>
    <row r="1769" spans="1:5" x14ac:dyDescent="0.35">
      <c r="A1769" s="1" t="s">
        <v>147</v>
      </c>
      <c r="B1769" s="1"/>
      <c r="C1769" s="1" t="s">
        <v>150</v>
      </c>
      <c r="D1769" s="1" t="s">
        <v>146</v>
      </c>
      <c r="E1769" t="s">
        <v>136</v>
      </c>
    </row>
    <row r="1770" spans="1:5" x14ac:dyDescent="0.35">
      <c r="A1770" s="1" t="s">
        <v>147</v>
      </c>
      <c r="B1770" s="1"/>
      <c r="C1770" s="1"/>
      <c r="D1770" s="1" t="s">
        <v>148</v>
      </c>
      <c r="E1770" t="s">
        <v>136</v>
      </c>
    </row>
    <row r="1771" spans="1:5" x14ac:dyDescent="0.35">
      <c r="A1771" s="1" t="s">
        <v>147</v>
      </c>
      <c r="B1771" s="1"/>
      <c r="C1771" s="1"/>
      <c r="D1771" s="1" t="s">
        <v>149</v>
      </c>
      <c r="E1771" t="s">
        <v>136</v>
      </c>
    </row>
    <row r="1772" spans="1:5" x14ac:dyDescent="0.35">
      <c r="A1772" s="1" t="s">
        <v>147</v>
      </c>
      <c r="B1772" s="1" t="s">
        <v>151</v>
      </c>
      <c r="C1772" s="1" t="s">
        <v>145</v>
      </c>
      <c r="D1772" s="1" t="s">
        <v>146</v>
      </c>
      <c r="E1772">
        <v>21.55</v>
      </c>
    </row>
    <row r="1773" spans="1:5" x14ac:dyDescent="0.35">
      <c r="A1773" s="1" t="s">
        <v>147</v>
      </c>
      <c r="B1773" s="1"/>
      <c r="C1773" s="1"/>
      <c r="D1773" s="1" t="s">
        <v>148</v>
      </c>
      <c r="E1773" t="s">
        <v>136</v>
      </c>
    </row>
    <row r="1774" spans="1:5" x14ac:dyDescent="0.35">
      <c r="A1774" s="1" t="s">
        <v>147</v>
      </c>
      <c r="B1774" s="1"/>
      <c r="C1774" s="1"/>
      <c r="D1774" s="1" t="s">
        <v>149</v>
      </c>
      <c r="E1774">
        <v>21.55</v>
      </c>
    </row>
    <row r="1775" spans="1:5" x14ac:dyDescent="0.35">
      <c r="A1775" s="1" t="s">
        <v>147</v>
      </c>
      <c r="B1775" s="1"/>
      <c r="C1775" s="1" t="s">
        <v>150</v>
      </c>
      <c r="D1775" s="1" t="s">
        <v>146</v>
      </c>
      <c r="E1775" t="s">
        <v>136</v>
      </c>
    </row>
    <row r="1776" spans="1:5" x14ac:dyDescent="0.35">
      <c r="A1776" s="1" t="s">
        <v>147</v>
      </c>
      <c r="B1776" s="1"/>
      <c r="C1776" s="1"/>
      <c r="D1776" s="1" t="s">
        <v>148</v>
      </c>
      <c r="E1776" t="s">
        <v>136</v>
      </c>
    </row>
    <row r="1777" spans="1:5" x14ac:dyDescent="0.35">
      <c r="A1777" s="1" t="s">
        <v>147</v>
      </c>
      <c r="B1777" s="1"/>
      <c r="C1777" s="1"/>
      <c r="D1777" s="1" t="s">
        <v>149</v>
      </c>
      <c r="E1777" t="s">
        <v>136</v>
      </c>
    </row>
    <row r="1778" spans="1:5" x14ac:dyDescent="0.35">
      <c r="A1778" s="1" t="s">
        <v>147</v>
      </c>
      <c r="B1778" s="1" t="s">
        <v>152</v>
      </c>
      <c r="C1778" s="1" t="s">
        <v>145</v>
      </c>
      <c r="D1778" s="1" t="s">
        <v>146</v>
      </c>
      <c r="E1778" t="s">
        <v>136</v>
      </c>
    </row>
    <row r="1779" spans="1:5" x14ac:dyDescent="0.35">
      <c r="A1779" s="1" t="s">
        <v>147</v>
      </c>
      <c r="B1779" s="1"/>
      <c r="C1779" s="1"/>
      <c r="D1779" s="1" t="s">
        <v>148</v>
      </c>
      <c r="E1779" t="s">
        <v>136</v>
      </c>
    </row>
    <row r="1780" spans="1:5" x14ac:dyDescent="0.35">
      <c r="A1780" s="1" t="s">
        <v>147</v>
      </c>
      <c r="B1780" s="1"/>
      <c r="C1780" s="1"/>
      <c r="D1780" s="1" t="s">
        <v>149</v>
      </c>
      <c r="E1780" t="s">
        <v>136</v>
      </c>
    </row>
    <row r="1781" spans="1:5" x14ac:dyDescent="0.35">
      <c r="A1781" s="1" t="s">
        <v>147</v>
      </c>
      <c r="B1781" s="1"/>
      <c r="C1781" s="1" t="s">
        <v>150</v>
      </c>
      <c r="D1781" s="1" t="s">
        <v>146</v>
      </c>
      <c r="E1781" t="s">
        <v>136</v>
      </c>
    </row>
    <row r="1782" spans="1:5" x14ac:dyDescent="0.35">
      <c r="A1782" s="1" t="s">
        <v>147</v>
      </c>
      <c r="B1782" s="1"/>
      <c r="C1782" s="1"/>
      <c r="D1782" s="1" t="s">
        <v>148</v>
      </c>
      <c r="E1782" t="s">
        <v>136</v>
      </c>
    </row>
    <row r="1783" spans="1:5" x14ac:dyDescent="0.35">
      <c r="A1783" s="1" t="s">
        <v>147</v>
      </c>
      <c r="B1783" s="1"/>
      <c r="C1783" s="1"/>
      <c r="D1783" s="1" t="s">
        <v>149</v>
      </c>
      <c r="E1783" t="s">
        <v>136</v>
      </c>
    </row>
    <row r="1784" spans="1:5" x14ac:dyDescent="0.35">
      <c r="A1784" s="1" t="s">
        <v>147</v>
      </c>
      <c r="B1784" s="1" t="s">
        <v>153</v>
      </c>
      <c r="C1784" s="1" t="s">
        <v>145</v>
      </c>
      <c r="D1784" s="1" t="s">
        <v>146</v>
      </c>
      <c r="E1784">
        <v>404.01</v>
      </c>
    </row>
    <row r="1785" spans="1:5" x14ac:dyDescent="0.35">
      <c r="A1785" s="1" t="s">
        <v>147</v>
      </c>
      <c r="B1785" s="1"/>
      <c r="C1785" s="1"/>
      <c r="D1785" s="1" t="s">
        <v>148</v>
      </c>
      <c r="E1785">
        <v>404</v>
      </c>
    </row>
    <row r="1786" spans="1:5" x14ac:dyDescent="0.35">
      <c r="A1786" s="1" t="s">
        <v>147</v>
      </c>
      <c r="B1786" s="1"/>
      <c r="C1786" s="1"/>
      <c r="D1786" s="1" t="s">
        <v>149</v>
      </c>
      <c r="E1786">
        <v>0.01</v>
      </c>
    </row>
    <row r="1787" spans="1:5" x14ac:dyDescent="0.35">
      <c r="A1787" s="1" t="s">
        <v>147</v>
      </c>
      <c r="B1787" s="1"/>
      <c r="C1787" s="1" t="s">
        <v>150</v>
      </c>
      <c r="D1787" s="1" t="s">
        <v>146</v>
      </c>
      <c r="E1787" t="s">
        <v>136</v>
      </c>
    </row>
    <row r="1788" spans="1:5" x14ac:dyDescent="0.35">
      <c r="A1788" s="1" t="s">
        <v>147</v>
      </c>
      <c r="B1788" s="1"/>
      <c r="C1788" s="1"/>
      <c r="D1788" s="1" t="s">
        <v>148</v>
      </c>
      <c r="E1788" t="s">
        <v>136</v>
      </c>
    </row>
    <row r="1789" spans="1:5" x14ac:dyDescent="0.35">
      <c r="A1789" s="1" t="s">
        <v>147</v>
      </c>
      <c r="B1789" s="1"/>
      <c r="C1789" s="1"/>
      <c r="D1789" s="1" t="s">
        <v>149</v>
      </c>
      <c r="E1789" t="s">
        <v>136</v>
      </c>
    </row>
    <row r="1790" spans="1:5" x14ac:dyDescent="0.35">
      <c r="A1790" s="1" t="s">
        <v>147</v>
      </c>
      <c r="B1790" s="1" t="s">
        <v>154</v>
      </c>
      <c r="C1790" s="1" t="s">
        <v>145</v>
      </c>
      <c r="D1790" s="1" t="s">
        <v>146</v>
      </c>
      <c r="E1790" t="s">
        <v>136</v>
      </c>
    </row>
    <row r="1791" spans="1:5" x14ac:dyDescent="0.35">
      <c r="A1791" s="1" t="s">
        <v>147</v>
      </c>
      <c r="B1791" s="1"/>
      <c r="C1791" s="1"/>
      <c r="D1791" s="1" t="s">
        <v>148</v>
      </c>
      <c r="E1791" t="s">
        <v>136</v>
      </c>
    </row>
    <row r="1792" spans="1:5" x14ac:dyDescent="0.35">
      <c r="A1792" s="1" t="s">
        <v>147</v>
      </c>
      <c r="B1792" s="1"/>
      <c r="C1792" s="1"/>
      <c r="D1792" s="1" t="s">
        <v>149</v>
      </c>
      <c r="E1792" t="s">
        <v>136</v>
      </c>
    </row>
    <row r="1793" spans="1:5" x14ac:dyDescent="0.35">
      <c r="A1793" s="1" t="s">
        <v>147</v>
      </c>
      <c r="B1793" s="1"/>
      <c r="C1793" s="1" t="s">
        <v>150</v>
      </c>
      <c r="D1793" s="1" t="s">
        <v>146</v>
      </c>
      <c r="E1793" t="s">
        <v>136</v>
      </c>
    </row>
    <row r="1794" spans="1:5" x14ac:dyDescent="0.35">
      <c r="A1794" s="1" t="s">
        <v>147</v>
      </c>
      <c r="B1794" s="1"/>
      <c r="C1794" s="1"/>
      <c r="D1794" s="1" t="s">
        <v>148</v>
      </c>
      <c r="E1794" t="s">
        <v>136</v>
      </c>
    </row>
    <row r="1795" spans="1:5" x14ac:dyDescent="0.35">
      <c r="A1795" s="1" t="s">
        <v>147</v>
      </c>
      <c r="B1795" s="1"/>
      <c r="C1795" s="1"/>
      <c r="D1795" s="1" t="s">
        <v>149</v>
      </c>
      <c r="E1795" t="s">
        <v>136</v>
      </c>
    </row>
    <row r="1796" spans="1:5" x14ac:dyDescent="0.35">
      <c r="A1796" s="1" t="s">
        <v>147</v>
      </c>
      <c r="B1796" s="1" t="s">
        <v>155</v>
      </c>
      <c r="C1796" s="1" t="s">
        <v>145</v>
      </c>
      <c r="D1796" s="1" t="s">
        <v>146</v>
      </c>
      <c r="E1796">
        <v>5221.28</v>
      </c>
    </row>
    <row r="1797" spans="1:5" x14ac:dyDescent="0.35">
      <c r="A1797" s="1" t="s">
        <v>147</v>
      </c>
      <c r="B1797" s="1"/>
      <c r="C1797" s="1"/>
      <c r="D1797" s="1" t="s">
        <v>148</v>
      </c>
      <c r="E1797">
        <v>5220</v>
      </c>
    </row>
    <row r="1798" spans="1:5" x14ac:dyDescent="0.35">
      <c r="A1798" s="1" t="s">
        <v>147</v>
      </c>
      <c r="B1798" s="1"/>
      <c r="C1798" s="1"/>
      <c r="D1798" s="1" t="s">
        <v>149</v>
      </c>
      <c r="E1798">
        <v>1.28</v>
      </c>
    </row>
    <row r="1799" spans="1:5" x14ac:dyDescent="0.35">
      <c r="A1799" s="1" t="s">
        <v>147</v>
      </c>
      <c r="B1799" s="1"/>
      <c r="C1799" s="1" t="s">
        <v>150</v>
      </c>
      <c r="D1799" s="1" t="s">
        <v>146</v>
      </c>
      <c r="E1799" t="s">
        <v>136</v>
      </c>
    </row>
    <row r="1800" spans="1:5" x14ac:dyDescent="0.35">
      <c r="A1800" s="1" t="s">
        <v>147</v>
      </c>
      <c r="B1800" s="1"/>
      <c r="C1800" s="1"/>
      <c r="D1800" s="1" t="s">
        <v>148</v>
      </c>
      <c r="E1800" t="s">
        <v>136</v>
      </c>
    </row>
    <row r="1801" spans="1:5" x14ac:dyDescent="0.35">
      <c r="A1801" s="1" t="s">
        <v>147</v>
      </c>
      <c r="B1801" s="1"/>
      <c r="C1801" s="1"/>
      <c r="D1801" s="1" t="s">
        <v>149</v>
      </c>
      <c r="E1801" t="s">
        <v>136</v>
      </c>
    </row>
    <row r="1802" spans="1:5" x14ac:dyDescent="0.35">
      <c r="A1802" s="1" t="s">
        <v>147</v>
      </c>
      <c r="B1802" s="1" t="s">
        <v>156</v>
      </c>
      <c r="C1802" s="1" t="s">
        <v>145</v>
      </c>
      <c r="D1802" s="1" t="s">
        <v>146</v>
      </c>
      <c r="E1802" t="s">
        <v>136</v>
      </c>
    </row>
    <row r="1803" spans="1:5" x14ac:dyDescent="0.35">
      <c r="A1803" s="1" t="s">
        <v>147</v>
      </c>
      <c r="B1803" s="1"/>
      <c r="C1803" s="1"/>
      <c r="D1803" s="1" t="s">
        <v>148</v>
      </c>
      <c r="E1803" t="s">
        <v>136</v>
      </c>
    </row>
    <row r="1804" spans="1:5" x14ac:dyDescent="0.35">
      <c r="A1804" s="1" t="s">
        <v>147</v>
      </c>
      <c r="B1804" s="1"/>
      <c r="C1804" s="1"/>
      <c r="D1804" s="1" t="s">
        <v>149</v>
      </c>
      <c r="E1804" t="s">
        <v>136</v>
      </c>
    </row>
    <row r="1805" spans="1:5" x14ac:dyDescent="0.35">
      <c r="A1805" s="1" t="s">
        <v>147</v>
      </c>
      <c r="B1805" s="1"/>
      <c r="C1805" s="1" t="s">
        <v>150</v>
      </c>
      <c r="D1805" s="1" t="s">
        <v>146</v>
      </c>
      <c r="E1805" t="s">
        <v>136</v>
      </c>
    </row>
    <row r="1806" spans="1:5" x14ac:dyDescent="0.35">
      <c r="A1806" s="1" t="s">
        <v>147</v>
      </c>
      <c r="B1806" s="1"/>
      <c r="C1806" s="1"/>
      <c r="D1806" s="1" t="s">
        <v>148</v>
      </c>
      <c r="E1806" t="s">
        <v>136</v>
      </c>
    </row>
    <row r="1807" spans="1:5" x14ac:dyDescent="0.35">
      <c r="A1807" s="1" t="s">
        <v>147</v>
      </c>
      <c r="B1807" s="1"/>
      <c r="C1807" s="1"/>
      <c r="D1807" s="1" t="s">
        <v>149</v>
      </c>
      <c r="E1807" t="s">
        <v>136</v>
      </c>
    </row>
    <row r="1808" spans="1:5" x14ac:dyDescent="0.35">
      <c r="A1808" s="1" t="s">
        <v>147</v>
      </c>
      <c r="B1808" s="1" t="s">
        <v>157</v>
      </c>
      <c r="C1808" s="1" t="s">
        <v>145</v>
      </c>
      <c r="D1808" s="1" t="s">
        <v>146</v>
      </c>
      <c r="E1808" t="s">
        <v>136</v>
      </c>
    </row>
    <row r="1809" spans="1:5" x14ac:dyDescent="0.35">
      <c r="A1809" s="1" t="s">
        <v>147</v>
      </c>
      <c r="B1809" s="1"/>
      <c r="C1809" s="1"/>
      <c r="D1809" s="1" t="s">
        <v>148</v>
      </c>
      <c r="E1809" t="s">
        <v>136</v>
      </c>
    </row>
    <row r="1810" spans="1:5" x14ac:dyDescent="0.35">
      <c r="A1810" s="1" t="s">
        <v>147</v>
      </c>
      <c r="B1810" s="1"/>
      <c r="C1810" s="1"/>
      <c r="D1810" s="1" t="s">
        <v>149</v>
      </c>
      <c r="E1810" t="s">
        <v>136</v>
      </c>
    </row>
    <row r="1811" spans="1:5" x14ac:dyDescent="0.35">
      <c r="A1811" s="1" t="s">
        <v>147</v>
      </c>
      <c r="B1811" s="1"/>
      <c r="C1811" s="1" t="s">
        <v>150</v>
      </c>
      <c r="D1811" s="1" t="s">
        <v>146</v>
      </c>
      <c r="E1811" t="s">
        <v>136</v>
      </c>
    </row>
    <row r="1812" spans="1:5" x14ac:dyDescent="0.35">
      <c r="A1812" s="1" t="s">
        <v>147</v>
      </c>
      <c r="B1812" s="1"/>
      <c r="C1812" s="1"/>
      <c r="D1812" s="1" t="s">
        <v>148</v>
      </c>
      <c r="E1812" t="s">
        <v>136</v>
      </c>
    </row>
    <row r="1813" spans="1:5" x14ac:dyDescent="0.35">
      <c r="A1813" s="1" t="s">
        <v>147</v>
      </c>
      <c r="B1813" s="1"/>
      <c r="C1813" s="1"/>
      <c r="D1813" s="1" t="s">
        <v>149</v>
      </c>
      <c r="E1813" t="s">
        <v>136</v>
      </c>
    </row>
    <row r="1814" spans="1:5" x14ac:dyDescent="0.35">
      <c r="A1814" s="1" t="s">
        <v>147</v>
      </c>
      <c r="B1814" s="1" t="s">
        <v>158</v>
      </c>
      <c r="C1814" s="1" t="s">
        <v>145</v>
      </c>
      <c r="D1814" s="1" t="s">
        <v>146</v>
      </c>
      <c r="E1814">
        <v>310</v>
      </c>
    </row>
    <row r="1815" spans="1:5" x14ac:dyDescent="0.35">
      <c r="A1815" s="1" t="s">
        <v>147</v>
      </c>
      <c r="B1815" s="1"/>
      <c r="C1815" s="1"/>
      <c r="D1815" s="1" t="s">
        <v>148</v>
      </c>
      <c r="E1815">
        <v>310</v>
      </c>
    </row>
    <row r="1816" spans="1:5" x14ac:dyDescent="0.35">
      <c r="A1816" s="1" t="s">
        <v>147</v>
      </c>
      <c r="B1816" s="1"/>
      <c r="C1816" s="1"/>
      <c r="D1816" s="1" t="s">
        <v>149</v>
      </c>
      <c r="E1816" t="s">
        <v>136</v>
      </c>
    </row>
    <row r="1817" spans="1:5" x14ac:dyDescent="0.35">
      <c r="A1817" s="1" t="s">
        <v>147</v>
      </c>
      <c r="B1817" s="1"/>
      <c r="C1817" s="1" t="s">
        <v>150</v>
      </c>
      <c r="D1817" s="1" t="s">
        <v>146</v>
      </c>
      <c r="E1817" t="s">
        <v>136</v>
      </c>
    </row>
    <row r="1818" spans="1:5" x14ac:dyDescent="0.35">
      <c r="A1818" s="1" t="s">
        <v>147</v>
      </c>
      <c r="B1818" s="1"/>
      <c r="C1818" s="1"/>
      <c r="D1818" s="1" t="s">
        <v>148</v>
      </c>
      <c r="E1818" t="s">
        <v>136</v>
      </c>
    </row>
    <row r="1819" spans="1:5" x14ac:dyDescent="0.35">
      <c r="A1819" s="1" t="s">
        <v>147</v>
      </c>
      <c r="B1819" s="1"/>
      <c r="C1819" s="1"/>
      <c r="D1819" s="1" t="s">
        <v>149</v>
      </c>
      <c r="E1819" t="s">
        <v>136</v>
      </c>
    </row>
    <row r="1820" spans="1:5" x14ac:dyDescent="0.35">
      <c r="A1820" s="1" t="s">
        <v>147</v>
      </c>
      <c r="B1820" s="1" t="s">
        <v>159</v>
      </c>
      <c r="C1820" s="1" t="s">
        <v>145</v>
      </c>
      <c r="D1820" s="1" t="s">
        <v>146</v>
      </c>
      <c r="E1820">
        <v>25</v>
      </c>
    </row>
    <row r="1821" spans="1:5" x14ac:dyDescent="0.35">
      <c r="A1821" s="1" t="s">
        <v>147</v>
      </c>
      <c r="B1821" s="1"/>
      <c r="C1821" s="1"/>
      <c r="D1821" s="1" t="s">
        <v>148</v>
      </c>
      <c r="E1821">
        <v>25</v>
      </c>
    </row>
    <row r="1822" spans="1:5" x14ac:dyDescent="0.35">
      <c r="A1822" s="1" t="s">
        <v>147</v>
      </c>
      <c r="B1822" s="1"/>
      <c r="C1822" s="1"/>
      <c r="D1822" s="1" t="s">
        <v>149</v>
      </c>
      <c r="E1822" t="s">
        <v>136</v>
      </c>
    </row>
    <row r="1823" spans="1:5" x14ac:dyDescent="0.35">
      <c r="A1823" s="1" t="s">
        <v>147</v>
      </c>
      <c r="B1823" s="1"/>
      <c r="C1823" s="1" t="s">
        <v>150</v>
      </c>
      <c r="D1823" s="1" t="s">
        <v>146</v>
      </c>
      <c r="E1823" t="s">
        <v>136</v>
      </c>
    </row>
    <row r="1824" spans="1:5" x14ac:dyDescent="0.35">
      <c r="A1824" s="1" t="s">
        <v>147</v>
      </c>
      <c r="B1824" s="1"/>
      <c r="C1824" s="1"/>
      <c r="D1824" s="1" t="s">
        <v>148</v>
      </c>
      <c r="E1824" t="s">
        <v>136</v>
      </c>
    </row>
    <row r="1825" spans="1:5" x14ac:dyDescent="0.35">
      <c r="A1825" s="1" t="s">
        <v>147</v>
      </c>
      <c r="B1825" s="1"/>
      <c r="C1825" s="1"/>
      <c r="D1825" s="1" t="s">
        <v>149</v>
      </c>
      <c r="E1825" t="s">
        <v>136</v>
      </c>
    </row>
    <row r="1826" spans="1:5" x14ac:dyDescent="0.35">
      <c r="A1826" s="1" t="s">
        <v>147</v>
      </c>
      <c r="B1826" s="1" t="s">
        <v>160</v>
      </c>
      <c r="C1826" s="1" t="s">
        <v>145</v>
      </c>
      <c r="D1826" s="1" t="s">
        <v>146</v>
      </c>
      <c r="E1826" t="s">
        <v>136</v>
      </c>
    </row>
    <row r="1827" spans="1:5" x14ac:dyDescent="0.35">
      <c r="A1827" s="1" t="s">
        <v>147</v>
      </c>
      <c r="B1827" s="1"/>
      <c r="C1827" s="1"/>
      <c r="D1827" s="1" t="s">
        <v>148</v>
      </c>
      <c r="E1827" t="s">
        <v>136</v>
      </c>
    </row>
    <row r="1828" spans="1:5" x14ac:dyDescent="0.35">
      <c r="A1828" s="1" t="s">
        <v>147</v>
      </c>
      <c r="B1828" s="1"/>
      <c r="C1828" s="1"/>
      <c r="D1828" s="1" t="s">
        <v>149</v>
      </c>
      <c r="E1828" t="s">
        <v>136</v>
      </c>
    </row>
    <row r="1829" spans="1:5" x14ac:dyDescent="0.35">
      <c r="A1829" s="1" t="s">
        <v>147</v>
      </c>
      <c r="B1829" s="1"/>
      <c r="C1829" s="1" t="s">
        <v>150</v>
      </c>
      <c r="D1829" s="1" t="s">
        <v>146</v>
      </c>
      <c r="E1829" t="s">
        <v>136</v>
      </c>
    </row>
    <row r="1830" spans="1:5" x14ac:dyDescent="0.35">
      <c r="A1830" s="1" t="s">
        <v>147</v>
      </c>
      <c r="B1830" s="1"/>
      <c r="C1830" s="1"/>
      <c r="D1830" s="1" t="s">
        <v>148</v>
      </c>
      <c r="E1830" t="s">
        <v>136</v>
      </c>
    </row>
    <row r="1831" spans="1:5" x14ac:dyDescent="0.35">
      <c r="A1831" s="1" t="s">
        <v>147</v>
      </c>
      <c r="B1831" s="1"/>
      <c r="C1831" s="1"/>
      <c r="D1831" s="1" t="s">
        <v>149</v>
      </c>
      <c r="E1831" t="s">
        <v>136</v>
      </c>
    </row>
    <row r="1832" spans="1:5" x14ac:dyDescent="0.35">
      <c r="A1832" s="1" t="s">
        <v>147</v>
      </c>
      <c r="B1832" s="1" t="s">
        <v>161</v>
      </c>
      <c r="C1832" s="1" t="s">
        <v>145</v>
      </c>
      <c r="D1832" s="1" t="s">
        <v>146</v>
      </c>
      <c r="E1832" t="s">
        <v>136</v>
      </c>
    </row>
    <row r="1833" spans="1:5" x14ac:dyDescent="0.35">
      <c r="A1833" s="1" t="s">
        <v>147</v>
      </c>
      <c r="B1833" s="1"/>
      <c r="C1833" s="1"/>
      <c r="D1833" s="1" t="s">
        <v>148</v>
      </c>
      <c r="E1833" t="s">
        <v>136</v>
      </c>
    </row>
    <row r="1834" spans="1:5" x14ac:dyDescent="0.35">
      <c r="A1834" s="1" t="s">
        <v>147</v>
      </c>
      <c r="B1834" s="1"/>
      <c r="C1834" s="1"/>
      <c r="D1834" s="1" t="s">
        <v>149</v>
      </c>
      <c r="E1834" t="s">
        <v>136</v>
      </c>
    </row>
    <row r="1835" spans="1:5" x14ac:dyDescent="0.35">
      <c r="A1835" s="1" t="s">
        <v>147</v>
      </c>
      <c r="B1835" s="1"/>
      <c r="C1835" s="1" t="s">
        <v>150</v>
      </c>
      <c r="D1835" s="1" t="s">
        <v>146</v>
      </c>
      <c r="E1835" t="s">
        <v>136</v>
      </c>
    </row>
    <row r="1836" spans="1:5" x14ac:dyDescent="0.35">
      <c r="A1836" s="1" t="s">
        <v>147</v>
      </c>
      <c r="B1836" s="1"/>
      <c r="C1836" s="1"/>
      <c r="D1836" s="1" t="s">
        <v>148</v>
      </c>
      <c r="E1836" t="s">
        <v>136</v>
      </c>
    </row>
    <row r="1837" spans="1:5" x14ac:dyDescent="0.35">
      <c r="A1837" s="1" t="s">
        <v>147</v>
      </c>
      <c r="B1837" s="1"/>
      <c r="C1837" s="1"/>
      <c r="D1837" s="1" t="s">
        <v>149</v>
      </c>
      <c r="E1837" t="s">
        <v>136</v>
      </c>
    </row>
    <row r="1838" spans="1:5" x14ac:dyDescent="0.35">
      <c r="A1838" s="1" t="s">
        <v>147</v>
      </c>
      <c r="B1838" s="1" t="s">
        <v>162</v>
      </c>
      <c r="C1838" s="1" t="s">
        <v>145</v>
      </c>
      <c r="D1838" s="1" t="s">
        <v>146</v>
      </c>
      <c r="E1838">
        <v>7.3</v>
      </c>
    </row>
    <row r="1839" spans="1:5" x14ac:dyDescent="0.35">
      <c r="A1839" s="1" t="s">
        <v>147</v>
      </c>
      <c r="B1839" s="1"/>
      <c r="C1839" s="1"/>
      <c r="D1839" s="1" t="s">
        <v>148</v>
      </c>
      <c r="E1839">
        <v>7.3</v>
      </c>
    </row>
    <row r="1840" spans="1:5" x14ac:dyDescent="0.35">
      <c r="A1840" s="1" t="s">
        <v>147</v>
      </c>
      <c r="B1840" s="1"/>
      <c r="C1840" s="1"/>
      <c r="D1840" s="1" t="s">
        <v>149</v>
      </c>
      <c r="E1840" t="s">
        <v>136</v>
      </c>
    </row>
    <row r="1841" spans="1:5" x14ac:dyDescent="0.35">
      <c r="A1841" s="1" t="s">
        <v>147</v>
      </c>
      <c r="B1841" s="1"/>
      <c r="C1841" s="1" t="s">
        <v>150</v>
      </c>
      <c r="D1841" s="1" t="s">
        <v>146</v>
      </c>
      <c r="E1841" t="s">
        <v>136</v>
      </c>
    </row>
    <row r="1842" spans="1:5" x14ac:dyDescent="0.35">
      <c r="A1842" s="1" t="s">
        <v>147</v>
      </c>
      <c r="B1842" s="1"/>
      <c r="C1842" s="1"/>
      <c r="D1842" s="1" t="s">
        <v>148</v>
      </c>
      <c r="E1842" t="s">
        <v>136</v>
      </c>
    </row>
    <row r="1843" spans="1:5" x14ac:dyDescent="0.35">
      <c r="A1843" s="1" t="s">
        <v>147</v>
      </c>
      <c r="B1843" s="1"/>
      <c r="C1843" s="1"/>
      <c r="D1843" s="1" t="s">
        <v>149</v>
      </c>
      <c r="E1843" t="s">
        <v>136</v>
      </c>
    </row>
    <row r="1844" spans="1:5" x14ac:dyDescent="0.35">
      <c r="A1844" s="1" t="s">
        <v>147</v>
      </c>
      <c r="B1844" s="1" t="s">
        <v>163</v>
      </c>
      <c r="C1844" s="1" t="s">
        <v>145</v>
      </c>
      <c r="D1844" s="1" t="s">
        <v>146</v>
      </c>
      <c r="E1844">
        <v>99.14</v>
      </c>
    </row>
    <row r="1845" spans="1:5" x14ac:dyDescent="0.35">
      <c r="A1845" s="1" t="s">
        <v>147</v>
      </c>
      <c r="B1845" s="1"/>
      <c r="C1845" s="1"/>
      <c r="D1845" s="1" t="s">
        <v>148</v>
      </c>
      <c r="E1845">
        <v>99.14</v>
      </c>
    </row>
    <row r="1846" spans="1:5" x14ac:dyDescent="0.35">
      <c r="A1846" s="1" t="s">
        <v>147</v>
      </c>
      <c r="B1846" s="1"/>
      <c r="C1846" s="1"/>
      <c r="D1846" s="1" t="s">
        <v>149</v>
      </c>
      <c r="E1846" t="s">
        <v>136</v>
      </c>
    </row>
    <row r="1847" spans="1:5" x14ac:dyDescent="0.35">
      <c r="A1847" s="1" t="s">
        <v>147</v>
      </c>
      <c r="B1847" s="1"/>
      <c r="C1847" s="1" t="s">
        <v>150</v>
      </c>
      <c r="D1847" s="1" t="s">
        <v>146</v>
      </c>
      <c r="E1847" t="s">
        <v>136</v>
      </c>
    </row>
    <row r="1848" spans="1:5" x14ac:dyDescent="0.35">
      <c r="A1848" s="1" t="s">
        <v>147</v>
      </c>
      <c r="B1848" s="1"/>
      <c r="C1848" s="1"/>
      <c r="D1848" s="1" t="s">
        <v>148</v>
      </c>
      <c r="E1848" t="s">
        <v>136</v>
      </c>
    </row>
    <row r="1849" spans="1:5" x14ac:dyDescent="0.35">
      <c r="A1849" s="1" t="s">
        <v>147</v>
      </c>
      <c r="B1849" s="1"/>
      <c r="C1849" s="1"/>
      <c r="D1849" s="1" t="s">
        <v>149</v>
      </c>
      <c r="E1849" t="s">
        <v>136</v>
      </c>
    </row>
    <row r="1850" spans="1:5" x14ac:dyDescent="0.35">
      <c r="A1850" s="1" t="s">
        <v>147</v>
      </c>
      <c r="B1850" s="1" t="s">
        <v>164</v>
      </c>
      <c r="C1850" s="1" t="s">
        <v>145</v>
      </c>
      <c r="D1850" s="1" t="s">
        <v>146</v>
      </c>
      <c r="E1850" t="s">
        <v>136</v>
      </c>
    </row>
    <row r="1851" spans="1:5" x14ac:dyDescent="0.35">
      <c r="A1851" s="1" t="s">
        <v>147</v>
      </c>
      <c r="B1851" s="1"/>
      <c r="C1851" s="1"/>
      <c r="D1851" s="1" t="s">
        <v>148</v>
      </c>
      <c r="E1851" t="s">
        <v>136</v>
      </c>
    </row>
    <row r="1852" spans="1:5" x14ac:dyDescent="0.35">
      <c r="A1852" s="1" t="s">
        <v>147</v>
      </c>
      <c r="B1852" s="1"/>
      <c r="C1852" s="1"/>
      <c r="D1852" s="1" t="s">
        <v>149</v>
      </c>
      <c r="E1852" t="s">
        <v>136</v>
      </c>
    </row>
    <row r="1853" spans="1:5" x14ac:dyDescent="0.35">
      <c r="A1853" s="1" t="s">
        <v>147</v>
      </c>
      <c r="B1853" s="1"/>
      <c r="C1853" s="1" t="s">
        <v>150</v>
      </c>
      <c r="D1853" s="1" t="s">
        <v>146</v>
      </c>
      <c r="E1853" t="s">
        <v>136</v>
      </c>
    </row>
    <row r="1854" spans="1:5" x14ac:dyDescent="0.35">
      <c r="A1854" s="1" t="s">
        <v>147</v>
      </c>
      <c r="B1854" s="1"/>
      <c r="C1854" s="1"/>
      <c r="D1854" s="1" t="s">
        <v>148</v>
      </c>
      <c r="E1854" t="s">
        <v>136</v>
      </c>
    </row>
    <row r="1855" spans="1:5" x14ac:dyDescent="0.35">
      <c r="A1855" s="1" t="s">
        <v>147</v>
      </c>
      <c r="B1855" s="1"/>
      <c r="C1855" s="1"/>
      <c r="D1855" s="1" t="s">
        <v>149</v>
      </c>
      <c r="E1855" t="s">
        <v>136</v>
      </c>
    </row>
    <row r="1856" spans="1:5" x14ac:dyDescent="0.35">
      <c r="A1856" s="1" t="s">
        <v>147</v>
      </c>
      <c r="B1856" s="1" t="s">
        <v>165</v>
      </c>
      <c r="C1856" s="1" t="s">
        <v>145</v>
      </c>
      <c r="D1856" s="1" t="s">
        <v>146</v>
      </c>
      <c r="E1856" t="s">
        <v>136</v>
      </c>
    </row>
    <row r="1857" spans="1:5" x14ac:dyDescent="0.35">
      <c r="A1857" s="1" t="s">
        <v>147</v>
      </c>
      <c r="B1857" s="1"/>
      <c r="C1857" s="1"/>
      <c r="D1857" s="1" t="s">
        <v>148</v>
      </c>
      <c r="E1857" t="s">
        <v>136</v>
      </c>
    </row>
    <row r="1858" spans="1:5" x14ac:dyDescent="0.35">
      <c r="A1858" s="1" t="s">
        <v>147</v>
      </c>
      <c r="B1858" s="1"/>
      <c r="C1858" s="1"/>
      <c r="D1858" s="1" t="s">
        <v>149</v>
      </c>
      <c r="E1858" t="s">
        <v>136</v>
      </c>
    </row>
    <row r="1859" spans="1:5" x14ac:dyDescent="0.35">
      <c r="A1859" s="1" t="s">
        <v>147</v>
      </c>
      <c r="B1859" s="1"/>
      <c r="C1859" s="1" t="s">
        <v>150</v>
      </c>
      <c r="D1859" s="1" t="s">
        <v>146</v>
      </c>
      <c r="E1859" t="s">
        <v>136</v>
      </c>
    </row>
    <row r="1860" spans="1:5" x14ac:dyDescent="0.35">
      <c r="A1860" s="1" t="s">
        <v>147</v>
      </c>
      <c r="B1860" s="1"/>
      <c r="C1860" s="1"/>
      <c r="D1860" s="1" t="s">
        <v>148</v>
      </c>
      <c r="E1860" t="s">
        <v>136</v>
      </c>
    </row>
    <row r="1861" spans="1:5" x14ac:dyDescent="0.35">
      <c r="A1861" s="1" t="s">
        <v>147</v>
      </c>
      <c r="B1861" s="1"/>
      <c r="C1861" s="1"/>
      <c r="D1861" s="1" t="s">
        <v>149</v>
      </c>
      <c r="E1861" t="s">
        <v>136</v>
      </c>
    </row>
    <row r="1862" spans="1:5" x14ac:dyDescent="0.35">
      <c r="A1862" s="1" t="s">
        <v>147</v>
      </c>
      <c r="B1862" s="1" t="s">
        <v>166</v>
      </c>
      <c r="C1862" s="1" t="s">
        <v>145</v>
      </c>
      <c r="D1862" s="1" t="s">
        <v>146</v>
      </c>
      <c r="E1862">
        <v>99.14</v>
      </c>
    </row>
    <row r="1863" spans="1:5" x14ac:dyDescent="0.35">
      <c r="A1863" s="1" t="s">
        <v>147</v>
      </c>
      <c r="B1863" s="1"/>
      <c r="C1863" s="1"/>
      <c r="D1863" s="1" t="s">
        <v>148</v>
      </c>
      <c r="E1863">
        <v>99.14</v>
      </c>
    </row>
    <row r="1864" spans="1:5" x14ac:dyDescent="0.35">
      <c r="A1864" s="1" t="s">
        <v>147</v>
      </c>
      <c r="B1864" s="1"/>
      <c r="C1864" s="1"/>
      <c r="D1864" s="1" t="s">
        <v>149</v>
      </c>
      <c r="E1864" t="s">
        <v>136</v>
      </c>
    </row>
    <row r="1865" spans="1:5" x14ac:dyDescent="0.35">
      <c r="A1865" s="1" t="s">
        <v>147</v>
      </c>
      <c r="B1865" s="1"/>
      <c r="C1865" s="1" t="s">
        <v>150</v>
      </c>
      <c r="D1865" s="1" t="s">
        <v>146</v>
      </c>
      <c r="E1865" t="s">
        <v>136</v>
      </c>
    </row>
    <row r="1866" spans="1:5" x14ac:dyDescent="0.35">
      <c r="A1866" s="1" t="s">
        <v>147</v>
      </c>
      <c r="B1866" s="1"/>
      <c r="C1866" s="1"/>
      <c r="D1866" s="1" t="s">
        <v>148</v>
      </c>
      <c r="E1866" t="s">
        <v>136</v>
      </c>
    </row>
    <row r="1867" spans="1:5" x14ac:dyDescent="0.35">
      <c r="A1867" s="1" t="s">
        <v>147</v>
      </c>
      <c r="B1867" s="1"/>
      <c r="C1867" s="1"/>
      <c r="D1867" s="1" t="s">
        <v>149</v>
      </c>
      <c r="E1867" t="s">
        <v>136</v>
      </c>
    </row>
    <row r="1868" spans="1:5" x14ac:dyDescent="0.35">
      <c r="A1868" s="1" t="s">
        <v>147</v>
      </c>
      <c r="B1868" s="1" t="s">
        <v>167</v>
      </c>
      <c r="C1868" s="1" t="s">
        <v>145</v>
      </c>
      <c r="D1868" s="1" t="s">
        <v>146</v>
      </c>
      <c r="E1868" t="s">
        <v>136</v>
      </c>
    </row>
    <row r="1869" spans="1:5" x14ac:dyDescent="0.35">
      <c r="A1869" s="1" t="s">
        <v>147</v>
      </c>
      <c r="B1869" s="1"/>
      <c r="C1869" s="1"/>
      <c r="D1869" s="1" t="s">
        <v>148</v>
      </c>
      <c r="E1869" t="s">
        <v>136</v>
      </c>
    </row>
    <row r="1870" spans="1:5" x14ac:dyDescent="0.35">
      <c r="A1870" s="1" t="s">
        <v>147</v>
      </c>
      <c r="B1870" s="1"/>
      <c r="C1870" s="1"/>
      <c r="D1870" s="1" t="s">
        <v>149</v>
      </c>
      <c r="E1870" t="s">
        <v>136</v>
      </c>
    </row>
    <row r="1871" spans="1:5" x14ac:dyDescent="0.35">
      <c r="A1871" s="1" t="s">
        <v>147</v>
      </c>
      <c r="B1871" s="1"/>
      <c r="C1871" s="1" t="s">
        <v>150</v>
      </c>
      <c r="D1871" s="1" t="s">
        <v>146</v>
      </c>
      <c r="E1871" t="s">
        <v>136</v>
      </c>
    </row>
    <row r="1872" spans="1:5" x14ac:dyDescent="0.35">
      <c r="A1872" s="1" t="s">
        <v>147</v>
      </c>
      <c r="B1872" s="1"/>
      <c r="C1872" s="1"/>
      <c r="D1872" s="1" t="s">
        <v>148</v>
      </c>
      <c r="E1872" t="s">
        <v>136</v>
      </c>
    </row>
    <row r="1873" spans="1:5" x14ac:dyDescent="0.35">
      <c r="A1873" s="1" t="s">
        <v>147</v>
      </c>
      <c r="B1873" s="1"/>
      <c r="C1873" s="1"/>
      <c r="D1873" s="1" t="s">
        <v>149</v>
      </c>
      <c r="E1873" t="s">
        <v>136</v>
      </c>
    </row>
    <row r="1874" spans="1:5" x14ac:dyDescent="0.35">
      <c r="A1874" s="1" t="s">
        <v>147</v>
      </c>
      <c r="B1874" s="1" t="s">
        <v>168</v>
      </c>
      <c r="C1874" s="1" t="s">
        <v>145</v>
      </c>
      <c r="D1874" s="1" t="s">
        <v>146</v>
      </c>
      <c r="E1874" t="s">
        <v>136</v>
      </c>
    </row>
    <row r="1875" spans="1:5" x14ac:dyDescent="0.35">
      <c r="A1875" s="1" t="s">
        <v>147</v>
      </c>
      <c r="B1875" s="1"/>
      <c r="C1875" s="1"/>
      <c r="D1875" s="1" t="s">
        <v>148</v>
      </c>
      <c r="E1875" t="s">
        <v>136</v>
      </c>
    </row>
    <row r="1876" spans="1:5" x14ac:dyDescent="0.35">
      <c r="A1876" s="1" t="s">
        <v>147</v>
      </c>
      <c r="B1876" s="1"/>
      <c r="C1876" s="1"/>
      <c r="D1876" s="1" t="s">
        <v>149</v>
      </c>
      <c r="E1876" t="s">
        <v>136</v>
      </c>
    </row>
    <row r="1877" spans="1:5" x14ac:dyDescent="0.35">
      <c r="A1877" s="1" t="s">
        <v>147</v>
      </c>
      <c r="B1877" s="1"/>
      <c r="C1877" s="1" t="s">
        <v>150</v>
      </c>
      <c r="D1877" s="1" t="s">
        <v>146</v>
      </c>
      <c r="E1877" t="s">
        <v>136</v>
      </c>
    </row>
    <row r="1878" spans="1:5" x14ac:dyDescent="0.35">
      <c r="A1878" s="1" t="s">
        <v>147</v>
      </c>
      <c r="B1878" s="1"/>
      <c r="C1878" s="1"/>
      <c r="D1878" s="1" t="s">
        <v>148</v>
      </c>
      <c r="E1878" t="s">
        <v>136</v>
      </c>
    </row>
    <row r="1879" spans="1:5" x14ac:dyDescent="0.35">
      <c r="A1879" s="1" t="s">
        <v>147</v>
      </c>
      <c r="B1879" s="1"/>
      <c r="C1879" s="1"/>
      <c r="D1879" s="1" t="s">
        <v>149</v>
      </c>
      <c r="E1879" t="s">
        <v>136</v>
      </c>
    </row>
    <row r="1880" spans="1:5" x14ac:dyDescent="0.35">
      <c r="A1880" s="1" t="s">
        <v>147</v>
      </c>
      <c r="B1880" s="1" t="s">
        <v>169</v>
      </c>
      <c r="C1880" s="1" t="s">
        <v>145</v>
      </c>
      <c r="D1880" s="1" t="s">
        <v>146</v>
      </c>
      <c r="E1880" t="s">
        <v>136</v>
      </c>
    </row>
    <row r="1881" spans="1:5" x14ac:dyDescent="0.35">
      <c r="A1881" s="1" t="s">
        <v>147</v>
      </c>
      <c r="B1881" s="1"/>
      <c r="C1881" s="1"/>
      <c r="D1881" s="1" t="s">
        <v>148</v>
      </c>
      <c r="E1881" t="s">
        <v>136</v>
      </c>
    </row>
    <row r="1882" spans="1:5" x14ac:dyDescent="0.35">
      <c r="A1882" s="1" t="s">
        <v>147</v>
      </c>
      <c r="B1882" s="1"/>
      <c r="C1882" s="1"/>
      <c r="D1882" s="1" t="s">
        <v>149</v>
      </c>
      <c r="E1882" t="s">
        <v>136</v>
      </c>
    </row>
    <row r="1883" spans="1:5" x14ac:dyDescent="0.35">
      <c r="A1883" s="1" t="s">
        <v>147</v>
      </c>
      <c r="B1883" s="1"/>
      <c r="C1883" s="1" t="s">
        <v>150</v>
      </c>
      <c r="D1883" s="1" t="s">
        <v>146</v>
      </c>
      <c r="E1883" t="s">
        <v>136</v>
      </c>
    </row>
    <row r="1884" spans="1:5" x14ac:dyDescent="0.35">
      <c r="A1884" s="1" t="s">
        <v>147</v>
      </c>
      <c r="B1884" s="1"/>
      <c r="C1884" s="1"/>
      <c r="D1884" s="1" t="s">
        <v>148</v>
      </c>
      <c r="E1884" t="s">
        <v>136</v>
      </c>
    </row>
    <row r="1885" spans="1:5" x14ac:dyDescent="0.35">
      <c r="A1885" s="1" t="s">
        <v>147</v>
      </c>
      <c r="B1885" s="1"/>
      <c r="C1885" s="1"/>
      <c r="D1885" s="1" t="s">
        <v>149</v>
      </c>
      <c r="E1885" t="s">
        <v>136</v>
      </c>
    </row>
    <row r="1886" spans="1:5" x14ac:dyDescent="0.35">
      <c r="A1886" s="1" t="s">
        <v>147</v>
      </c>
      <c r="B1886" s="1" t="s">
        <v>170</v>
      </c>
      <c r="C1886" s="1" t="s">
        <v>145</v>
      </c>
      <c r="D1886" s="1" t="s">
        <v>146</v>
      </c>
      <c r="E1886" t="s">
        <v>136</v>
      </c>
    </row>
    <row r="1887" spans="1:5" x14ac:dyDescent="0.35">
      <c r="A1887" s="1" t="s">
        <v>147</v>
      </c>
      <c r="B1887" s="1"/>
      <c r="C1887" s="1"/>
      <c r="D1887" s="1" t="s">
        <v>148</v>
      </c>
      <c r="E1887" t="s">
        <v>136</v>
      </c>
    </row>
    <row r="1888" spans="1:5" x14ac:dyDescent="0.35">
      <c r="A1888" s="1" t="s">
        <v>147</v>
      </c>
      <c r="B1888" s="1"/>
      <c r="C1888" s="1"/>
      <c r="D1888" s="1" t="s">
        <v>149</v>
      </c>
      <c r="E1888" t="s">
        <v>136</v>
      </c>
    </row>
    <row r="1889" spans="1:5" x14ac:dyDescent="0.35">
      <c r="A1889" s="1" t="s">
        <v>147</v>
      </c>
      <c r="B1889" s="1"/>
      <c r="C1889" s="1" t="s">
        <v>150</v>
      </c>
      <c r="D1889" s="1" t="s">
        <v>146</v>
      </c>
      <c r="E1889" t="s">
        <v>136</v>
      </c>
    </row>
    <row r="1890" spans="1:5" x14ac:dyDescent="0.35">
      <c r="A1890" s="1" t="s">
        <v>147</v>
      </c>
      <c r="B1890" s="1"/>
      <c r="C1890" s="1"/>
      <c r="D1890" s="1" t="s">
        <v>148</v>
      </c>
      <c r="E1890" t="s">
        <v>136</v>
      </c>
    </row>
    <row r="1891" spans="1:5" x14ac:dyDescent="0.35">
      <c r="A1891" s="1" t="s">
        <v>147</v>
      </c>
      <c r="B1891" s="1"/>
      <c r="C1891" s="1"/>
      <c r="D1891" s="1" t="s">
        <v>149</v>
      </c>
      <c r="E1891" t="s">
        <v>136</v>
      </c>
    </row>
    <row r="1892" spans="1:5" x14ac:dyDescent="0.35">
      <c r="A1892" s="1" t="s">
        <v>59</v>
      </c>
      <c r="B1892" s="1" t="s">
        <v>144</v>
      </c>
      <c r="C1892" s="1" t="s">
        <v>145</v>
      </c>
      <c r="D1892" s="1" t="s">
        <v>146</v>
      </c>
      <c r="E1892">
        <v>332.32</v>
      </c>
    </row>
    <row r="1893" spans="1:5" x14ac:dyDescent="0.35">
      <c r="A1893" s="1" t="s">
        <v>147</v>
      </c>
      <c r="B1893" s="1"/>
      <c r="C1893" s="1"/>
      <c r="D1893" s="1" t="s">
        <v>148</v>
      </c>
      <c r="E1893">
        <v>330</v>
      </c>
    </row>
    <row r="1894" spans="1:5" x14ac:dyDescent="0.35">
      <c r="A1894" s="1" t="s">
        <v>147</v>
      </c>
      <c r="B1894" s="1"/>
      <c r="C1894" s="1"/>
      <c r="D1894" s="1" t="s">
        <v>149</v>
      </c>
      <c r="E1894">
        <v>2.3199999999999998</v>
      </c>
    </row>
    <row r="1895" spans="1:5" x14ac:dyDescent="0.35">
      <c r="A1895" s="1" t="s">
        <v>147</v>
      </c>
      <c r="B1895" s="1"/>
      <c r="C1895" s="1" t="s">
        <v>150</v>
      </c>
      <c r="D1895" s="1" t="s">
        <v>146</v>
      </c>
      <c r="E1895" t="s">
        <v>136</v>
      </c>
    </row>
    <row r="1896" spans="1:5" x14ac:dyDescent="0.35">
      <c r="A1896" s="1" t="s">
        <v>147</v>
      </c>
      <c r="B1896" s="1"/>
      <c r="C1896" s="1"/>
      <c r="D1896" s="1" t="s">
        <v>148</v>
      </c>
      <c r="E1896" t="s">
        <v>136</v>
      </c>
    </row>
    <row r="1897" spans="1:5" x14ac:dyDescent="0.35">
      <c r="A1897" s="1" t="s">
        <v>147</v>
      </c>
      <c r="B1897" s="1"/>
      <c r="C1897" s="1"/>
      <c r="D1897" s="1" t="s">
        <v>149</v>
      </c>
      <c r="E1897" t="s">
        <v>136</v>
      </c>
    </row>
    <row r="1898" spans="1:5" x14ac:dyDescent="0.35">
      <c r="A1898" s="1" t="s">
        <v>147</v>
      </c>
      <c r="B1898" s="1" t="s">
        <v>151</v>
      </c>
      <c r="C1898" s="1" t="s">
        <v>145</v>
      </c>
      <c r="D1898" s="1" t="s">
        <v>146</v>
      </c>
      <c r="E1898">
        <v>11.54</v>
      </c>
    </row>
    <row r="1899" spans="1:5" x14ac:dyDescent="0.35">
      <c r="A1899" s="1" t="s">
        <v>147</v>
      </c>
      <c r="B1899" s="1"/>
      <c r="C1899" s="1"/>
      <c r="D1899" s="1" t="s">
        <v>148</v>
      </c>
      <c r="E1899">
        <v>11</v>
      </c>
    </row>
    <row r="1900" spans="1:5" x14ac:dyDescent="0.35">
      <c r="A1900" s="1" t="s">
        <v>147</v>
      </c>
      <c r="B1900" s="1"/>
      <c r="C1900" s="1"/>
      <c r="D1900" s="1" t="s">
        <v>149</v>
      </c>
      <c r="E1900">
        <v>0.54</v>
      </c>
    </row>
    <row r="1901" spans="1:5" x14ac:dyDescent="0.35">
      <c r="A1901" s="1" t="s">
        <v>147</v>
      </c>
      <c r="B1901" s="1"/>
      <c r="C1901" s="1" t="s">
        <v>150</v>
      </c>
      <c r="D1901" s="1" t="s">
        <v>146</v>
      </c>
      <c r="E1901" t="s">
        <v>136</v>
      </c>
    </row>
    <row r="1902" spans="1:5" x14ac:dyDescent="0.35">
      <c r="A1902" s="1" t="s">
        <v>147</v>
      </c>
      <c r="B1902" s="1"/>
      <c r="C1902" s="1"/>
      <c r="D1902" s="1" t="s">
        <v>148</v>
      </c>
      <c r="E1902" t="s">
        <v>136</v>
      </c>
    </row>
    <row r="1903" spans="1:5" x14ac:dyDescent="0.35">
      <c r="A1903" s="1" t="s">
        <v>147</v>
      </c>
      <c r="B1903" s="1"/>
      <c r="C1903" s="1"/>
      <c r="D1903" s="1" t="s">
        <v>149</v>
      </c>
      <c r="E1903" t="s">
        <v>136</v>
      </c>
    </row>
    <row r="1904" spans="1:5" x14ac:dyDescent="0.35">
      <c r="A1904" s="1" t="s">
        <v>147</v>
      </c>
      <c r="B1904" s="1" t="s">
        <v>152</v>
      </c>
      <c r="C1904" s="1" t="s">
        <v>145</v>
      </c>
      <c r="D1904" s="1" t="s">
        <v>146</v>
      </c>
      <c r="E1904" t="s">
        <v>136</v>
      </c>
    </row>
    <row r="1905" spans="1:5" x14ac:dyDescent="0.35">
      <c r="A1905" s="1" t="s">
        <v>147</v>
      </c>
      <c r="B1905" s="1"/>
      <c r="C1905" s="1"/>
      <c r="D1905" s="1" t="s">
        <v>148</v>
      </c>
      <c r="E1905" t="s">
        <v>136</v>
      </c>
    </row>
    <row r="1906" spans="1:5" x14ac:dyDescent="0.35">
      <c r="A1906" s="1" t="s">
        <v>147</v>
      </c>
      <c r="B1906" s="1"/>
      <c r="C1906" s="1"/>
      <c r="D1906" s="1" t="s">
        <v>149</v>
      </c>
      <c r="E1906" t="s">
        <v>136</v>
      </c>
    </row>
    <row r="1907" spans="1:5" x14ac:dyDescent="0.35">
      <c r="A1907" s="1" t="s">
        <v>147</v>
      </c>
      <c r="B1907" s="1"/>
      <c r="C1907" s="1" t="s">
        <v>150</v>
      </c>
      <c r="D1907" s="1" t="s">
        <v>146</v>
      </c>
      <c r="E1907" t="s">
        <v>136</v>
      </c>
    </row>
    <row r="1908" spans="1:5" x14ac:dyDescent="0.35">
      <c r="A1908" s="1" t="s">
        <v>147</v>
      </c>
      <c r="B1908" s="1"/>
      <c r="C1908" s="1"/>
      <c r="D1908" s="1" t="s">
        <v>148</v>
      </c>
      <c r="E1908" t="s">
        <v>136</v>
      </c>
    </row>
    <row r="1909" spans="1:5" x14ac:dyDescent="0.35">
      <c r="A1909" s="1" t="s">
        <v>147</v>
      </c>
      <c r="B1909" s="1"/>
      <c r="C1909" s="1"/>
      <c r="D1909" s="1" t="s">
        <v>149</v>
      </c>
      <c r="E1909" t="s">
        <v>136</v>
      </c>
    </row>
    <row r="1910" spans="1:5" x14ac:dyDescent="0.35">
      <c r="A1910" s="1" t="s">
        <v>147</v>
      </c>
      <c r="B1910" s="1" t="s">
        <v>153</v>
      </c>
      <c r="C1910" s="1" t="s">
        <v>145</v>
      </c>
      <c r="D1910" s="1" t="s">
        <v>146</v>
      </c>
      <c r="E1910" t="s">
        <v>136</v>
      </c>
    </row>
    <row r="1911" spans="1:5" x14ac:dyDescent="0.35">
      <c r="A1911" s="1" t="s">
        <v>147</v>
      </c>
      <c r="B1911" s="1"/>
      <c r="C1911" s="1"/>
      <c r="D1911" s="1" t="s">
        <v>148</v>
      </c>
      <c r="E1911" t="s">
        <v>136</v>
      </c>
    </row>
    <row r="1912" spans="1:5" x14ac:dyDescent="0.35">
      <c r="A1912" s="1" t="s">
        <v>147</v>
      </c>
      <c r="B1912" s="1"/>
      <c r="C1912" s="1"/>
      <c r="D1912" s="1" t="s">
        <v>149</v>
      </c>
      <c r="E1912" t="s">
        <v>136</v>
      </c>
    </row>
    <row r="1913" spans="1:5" x14ac:dyDescent="0.35">
      <c r="A1913" s="1" t="s">
        <v>147</v>
      </c>
      <c r="B1913" s="1"/>
      <c r="C1913" s="1" t="s">
        <v>150</v>
      </c>
      <c r="D1913" s="1" t="s">
        <v>146</v>
      </c>
      <c r="E1913" t="s">
        <v>136</v>
      </c>
    </row>
    <row r="1914" spans="1:5" x14ac:dyDescent="0.35">
      <c r="A1914" s="1" t="s">
        <v>147</v>
      </c>
      <c r="B1914" s="1"/>
      <c r="C1914" s="1"/>
      <c r="D1914" s="1" t="s">
        <v>148</v>
      </c>
      <c r="E1914" t="s">
        <v>136</v>
      </c>
    </row>
    <row r="1915" spans="1:5" x14ac:dyDescent="0.35">
      <c r="A1915" s="1" t="s">
        <v>147</v>
      </c>
      <c r="B1915" s="1"/>
      <c r="C1915" s="1"/>
      <c r="D1915" s="1" t="s">
        <v>149</v>
      </c>
      <c r="E1915" t="s">
        <v>136</v>
      </c>
    </row>
    <row r="1916" spans="1:5" x14ac:dyDescent="0.35">
      <c r="A1916" s="1" t="s">
        <v>147</v>
      </c>
      <c r="B1916" s="1" t="s">
        <v>154</v>
      </c>
      <c r="C1916" s="1" t="s">
        <v>145</v>
      </c>
      <c r="D1916" s="1" t="s">
        <v>146</v>
      </c>
      <c r="E1916" t="s">
        <v>136</v>
      </c>
    </row>
    <row r="1917" spans="1:5" x14ac:dyDescent="0.35">
      <c r="A1917" s="1" t="s">
        <v>147</v>
      </c>
      <c r="B1917" s="1"/>
      <c r="C1917" s="1"/>
      <c r="D1917" s="1" t="s">
        <v>148</v>
      </c>
      <c r="E1917" t="s">
        <v>136</v>
      </c>
    </row>
    <row r="1918" spans="1:5" x14ac:dyDescent="0.35">
      <c r="A1918" s="1" t="s">
        <v>147</v>
      </c>
      <c r="B1918" s="1"/>
      <c r="C1918" s="1"/>
      <c r="D1918" s="1" t="s">
        <v>149</v>
      </c>
      <c r="E1918" t="s">
        <v>136</v>
      </c>
    </row>
    <row r="1919" spans="1:5" x14ac:dyDescent="0.35">
      <c r="A1919" s="1" t="s">
        <v>147</v>
      </c>
      <c r="B1919" s="1"/>
      <c r="C1919" s="1" t="s">
        <v>150</v>
      </c>
      <c r="D1919" s="1" t="s">
        <v>146</v>
      </c>
      <c r="E1919" t="s">
        <v>136</v>
      </c>
    </row>
    <row r="1920" spans="1:5" x14ac:dyDescent="0.35">
      <c r="A1920" s="1" t="s">
        <v>147</v>
      </c>
      <c r="B1920" s="1"/>
      <c r="C1920" s="1"/>
      <c r="D1920" s="1" t="s">
        <v>148</v>
      </c>
      <c r="E1920" t="s">
        <v>136</v>
      </c>
    </row>
    <row r="1921" spans="1:5" x14ac:dyDescent="0.35">
      <c r="A1921" s="1" t="s">
        <v>147</v>
      </c>
      <c r="B1921" s="1"/>
      <c r="C1921" s="1"/>
      <c r="D1921" s="1" t="s">
        <v>149</v>
      </c>
      <c r="E1921" t="s">
        <v>136</v>
      </c>
    </row>
    <row r="1922" spans="1:5" x14ac:dyDescent="0.35">
      <c r="A1922" s="1" t="s">
        <v>147</v>
      </c>
      <c r="B1922" s="1" t="s">
        <v>155</v>
      </c>
      <c r="C1922" s="1" t="s">
        <v>145</v>
      </c>
      <c r="D1922" s="1" t="s">
        <v>146</v>
      </c>
      <c r="E1922">
        <v>319.58</v>
      </c>
    </row>
    <row r="1923" spans="1:5" x14ac:dyDescent="0.35">
      <c r="A1923" s="1" t="s">
        <v>147</v>
      </c>
      <c r="B1923" s="1"/>
      <c r="C1923" s="1"/>
      <c r="D1923" s="1" t="s">
        <v>148</v>
      </c>
      <c r="E1923">
        <v>319</v>
      </c>
    </row>
    <row r="1924" spans="1:5" x14ac:dyDescent="0.35">
      <c r="A1924" s="1" t="s">
        <v>147</v>
      </c>
      <c r="B1924" s="1"/>
      <c r="C1924" s="1"/>
      <c r="D1924" s="1" t="s">
        <v>149</v>
      </c>
      <c r="E1924">
        <v>0.57999999999999996</v>
      </c>
    </row>
    <row r="1925" spans="1:5" x14ac:dyDescent="0.35">
      <c r="A1925" s="1" t="s">
        <v>147</v>
      </c>
      <c r="B1925" s="1"/>
      <c r="C1925" s="1" t="s">
        <v>150</v>
      </c>
      <c r="D1925" s="1" t="s">
        <v>146</v>
      </c>
      <c r="E1925" t="s">
        <v>136</v>
      </c>
    </row>
    <row r="1926" spans="1:5" x14ac:dyDescent="0.35">
      <c r="A1926" s="1" t="s">
        <v>147</v>
      </c>
      <c r="B1926" s="1"/>
      <c r="C1926" s="1"/>
      <c r="D1926" s="1" t="s">
        <v>148</v>
      </c>
      <c r="E1926" t="s">
        <v>136</v>
      </c>
    </row>
    <row r="1927" spans="1:5" x14ac:dyDescent="0.35">
      <c r="A1927" s="1" t="s">
        <v>147</v>
      </c>
      <c r="B1927" s="1"/>
      <c r="C1927" s="1"/>
      <c r="D1927" s="1" t="s">
        <v>149</v>
      </c>
      <c r="E1927" t="s">
        <v>136</v>
      </c>
    </row>
    <row r="1928" spans="1:5" x14ac:dyDescent="0.35">
      <c r="A1928" s="1" t="s">
        <v>147</v>
      </c>
      <c r="B1928" s="1" t="s">
        <v>156</v>
      </c>
      <c r="C1928" s="1" t="s">
        <v>145</v>
      </c>
      <c r="D1928" s="1" t="s">
        <v>146</v>
      </c>
      <c r="E1928" t="s">
        <v>136</v>
      </c>
    </row>
    <row r="1929" spans="1:5" x14ac:dyDescent="0.35">
      <c r="A1929" s="1" t="s">
        <v>147</v>
      </c>
      <c r="B1929" s="1"/>
      <c r="C1929" s="1"/>
      <c r="D1929" s="1" t="s">
        <v>148</v>
      </c>
      <c r="E1929" t="s">
        <v>136</v>
      </c>
    </row>
    <row r="1930" spans="1:5" x14ac:dyDescent="0.35">
      <c r="A1930" s="1" t="s">
        <v>147</v>
      </c>
      <c r="B1930" s="1"/>
      <c r="C1930" s="1"/>
      <c r="D1930" s="1" t="s">
        <v>149</v>
      </c>
      <c r="E1930" t="s">
        <v>136</v>
      </c>
    </row>
    <row r="1931" spans="1:5" x14ac:dyDescent="0.35">
      <c r="A1931" s="1" t="s">
        <v>147</v>
      </c>
      <c r="B1931" s="1"/>
      <c r="C1931" s="1" t="s">
        <v>150</v>
      </c>
      <c r="D1931" s="1" t="s">
        <v>146</v>
      </c>
      <c r="E1931" t="s">
        <v>136</v>
      </c>
    </row>
    <row r="1932" spans="1:5" x14ac:dyDescent="0.35">
      <c r="A1932" s="1" t="s">
        <v>147</v>
      </c>
      <c r="B1932" s="1"/>
      <c r="C1932" s="1"/>
      <c r="D1932" s="1" t="s">
        <v>148</v>
      </c>
      <c r="E1932" t="s">
        <v>136</v>
      </c>
    </row>
    <row r="1933" spans="1:5" x14ac:dyDescent="0.35">
      <c r="A1933" s="1" t="s">
        <v>147</v>
      </c>
      <c r="B1933" s="1"/>
      <c r="C1933" s="1"/>
      <c r="D1933" s="1" t="s">
        <v>149</v>
      </c>
      <c r="E1933" t="s">
        <v>136</v>
      </c>
    </row>
    <row r="1934" spans="1:5" x14ac:dyDescent="0.35">
      <c r="A1934" s="1" t="s">
        <v>147</v>
      </c>
      <c r="B1934" s="1" t="s">
        <v>157</v>
      </c>
      <c r="C1934" s="1" t="s">
        <v>145</v>
      </c>
      <c r="D1934" s="1" t="s">
        <v>146</v>
      </c>
      <c r="E1934" t="s">
        <v>136</v>
      </c>
    </row>
    <row r="1935" spans="1:5" x14ac:dyDescent="0.35">
      <c r="A1935" s="1" t="s">
        <v>147</v>
      </c>
      <c r="B1935" s="1"/>
      <c r="C1935" s="1"/>
      <c r="D1935" s="1" t="s">
        <v>148</v>
      </c>
      <c r="E1935" t="s">
        <v>136</v>
      </c>
    </row>
    <row r="1936" spans="1:5" x14ac:dyDescent="0.35">
      <c r="A1936" s="1" t="s">
        <v>147</v>
      </c>
      <c r="B1936" s="1"/>
      <c r="C1936" s="1"/>
      <c r="D1936" s="1" t="s">
        <v>149</v>
      </c>
      <c r="E1936" t="s">
        <v>136</v>
      </c>
    </row>
    <row r="1937" spans="1:5" x14ac:dyDescent="0.35">
      <c r="A1937" s="1" t="s">
        <v>147</v>
      </c>
      <c r="B1937" s="1"/>
      <c r="C1937" s="1" t="s">
        <v>150</v>
      </c>
      <c r="D1937" s="1" t="s">
        <v>146</v>
      </c>
      <c r="E1937" t="s">
        <v>136</v>
      </c>
    </row>
    <row r="1938" spans="1:5" x14ac:dyDescent="0.35">
      <c r="A1938" s="1" t="s">
        <v>147</v>
      </c>
      <c r="B1938" s="1"/>
      <c r="C1938" s="1"/>
      <c r="D1938" s="1" t="s">
        <v>148</v>
      </c>
      <c r="E1938" t="s">
        <v>136</v>
      </c>
    </row>
    <row r="1939" spans="1:5" x14ac:dyDescent="0.35">
      <c r="A1939" s="1" t="s">
        <v>147</v>
      </c>
      <c r="B1939" s="1"/>
      <c r="C1939" s="1"/>
      <c r="D1939" s="1" t="s">
        <v>149</v>
      </c>
      <c r="E1939" t="s">
        <v>136</v>
      </c>
    </row>
    <row r="1940" spans="1:5" x14ac:dyDescent="0.35">
      <c r="A1940" s="1" t="s">
        <v>147</v>
      </c>
      <c r="B1940" s="1" t="s">
        <v>158</v>
      </c>
      <c r="C1940" s="1" t="s">
        <v>145</v>
      </c>
      <c r="D1940" s="1" t="s">
        <v>146</v>
      </c>
      <c r="E1940" t="s">
        <v>136</v>
      </c>
    </row>
    <row r="1941" spans="1:5" x14ac:dyDescent="0.35">
      <c r="A1941" s="1" t="s">
        <v>147</v>
      </c>
      <c r="B1941" s="1"/>
      <c r="C1941" s="1"/>
      <c r="D1941" s="1" t="s">
        <v>148</v>
      </c>
      <c r="E1941" t="s">
        <v>136</v>
      </c>
    </row>
    <row r="1942" spans="1:5" x14ac:dyDescent="0.35">
      <c r="A1942" s="1" t="s">
        <v>147</v>
      </c>
      <c r="B1942" s="1"/>
      <c r="C1942" s="1"/>
      <c r="D1942" s="1" t="s">
        <v>149</v>
      </c>
      <c r="E1942" t="s">
        <v>136</v>
      </c>
    </row>
    <row r="1943" spans="1:5" x14ac:dyDescent="0.35">
      <c r="A1943" s="1" t="s">
        <v>147</v>
      </c>
      <c r="B1943" s="1"/>
      <c r="C1943" s="1" t="s">
        <v>150</v>
      </c>
      <c r="D1943" s="1" t="s">
        <v>146</v>
      </c>
      <c r="E1943" t="s">
        <v>136</v>
      </c>
    </row>
    <row r="1944" spans="1:5" x14ac:dyDescent="0.35">
      <c r="A1944" s="1" t="s">
        <v>147</v>
      </c>
      <c r="B1944" s="1"/>
      <c r="C1944" s="1"/>
      <c r="D1944" s="1" t="s">
        <v>148</v>
      </c>
      <c r="E1944" t="s">
        <v>136</v>
      </c>
    </row>
    <row r="1945" spans="1:5" x14ac:dyDescent="0.35">
      <c r="A1945" s="1" t="s">
        <v>147</v>
      </c>
      <c r="B1945" s="1"/>
      <c r="C1945" s="1"/>
      <c r="D1945" s="1" t="s">
        <v>149</v>
      </c>
      <c r="E1945" t="s">
        <v>136</v>
      </c>
    </row>
    <row r="1946" spans="1:5" x14ac:dyDescent="0.35">
      <c r="A1946" s="1" t="s">
        <v>147</v>
      </c>
      <c r="B1946" s="1" t="s">
        <v>159</v>
      </c>
      <c r="C1946" s="1" t="s">
        <v>145</v>
      </c>
      <c r="D1946" s="1" t="s">
        <v>146</v>
      </c>
      <c r="E1946" t="s">
        <v>136</v>
      </c>
    </row>
    <row r="1947" spans="1:5" x14ac:dyDescent="0.35">
      <c r="A1947" s="1" t="s">
        <v>147</v>
      </c>
      <c r="B1947" s="1"/>
      <c r="C1947" s="1"/>
      <c r="D1947" s="1" t="s">
        <v>148</v>
      </c>
      <c r="E1947" t="s">
        <v>136</v>
      </c>
    </row>
    <row r="1948" spans="1:5" x14ac:dyDescent="0.35">
      <c r="A1948" s="1" t="s">
        <v>147</v>
      </c>
      <c r="B1948" s="1"/>
      <c r="C1948" s="1"/>
      <c r="D1948" s="1" t="s">
        <v>149</v>
      </c>
      <c r="E1948" t="s">
        <v>136</v>
      </c>
    </row>
    <row r="1949" spans="1:5" x14ac:dyDescent="0.35">
      <c r="A1949" s="1" t="s">
        <v>147</v>
      </c>
      <c r="B1949" s="1"/>
      <c r="C1949" s="1" t="s">
        <v>150</v>
      </c>
      <c r="D1949" s="1" t="s">
        <v>146</v>
      </c>
      <c r="E1949" t="s">
        <v>136</v>
      </c>
    </row>
    <row r="1950" spans="1:5" x14ac:dyDescent="0.35">
      <c r="A1950" s="1" t="s">
        <v>147</v>
      </c>
      <c r="B1950" s="1"/>
      <c r="C1950" s="1"/>
      <c r="D1950" s="1" t="s">
        <v>148</v>
      </c>
      <c r="E1950" t="s">
        <v>136</v>
      </c>
    </row>
    <row r="1951" spans="1:5" x14ac:dyDescent="0.35">
      <c r="A1951" s="1" t="s">
        <v>147</v>
      </c>
      <c r="B1951" s="1"/>
      <c r="C1951" s="1"/>
      <c r="D1951" s="1" t="s">
        <v>149</v>
      </c>
      <c r="E1951" t="s">
        <v>136</v>
      </c>
    </row>
    <row r="1952" spans="1:5" x14ac:dyDescent="0.35">
      <c r="A1952" s="1" t="s">
        <v>147</v>
      </c>
      <c r="B1952" s="1" t="s">
        <v>160</v>
      </c>
      <c r="C1952" s="1" t="s">
        <v>145</v>
      </c>
      <c r="D1952" s="1" t="s">
        <v>146</v>
      </c>
      <c r="E1952" t="s">
        <v>136</v>
      </c>
    </row>
    <row r="1953" spans="1:5" x14ac:dyDescent="0.35">
      <c r="A1953" s="1" t="s">
        <v>147</v>
      </c>
      <c r="B1953" s="1"/>
      <c r="C1953" s="1"/>
      <c r="D1953" s="1" t="s">
        <v>148</v>
      </c>
      <c r="E1953" t="s">
        <v>136</v>
      </c>
    </row>
    <row r="1954" spans="1:5" x14ac:dyDescent="0.35">
      <c r="A1954" s="1" t="s">
        <v>147</v>
      </c>
      <c r="B1954" s="1"/>
      <c r="C1954" s="1"/>
      <c r="D1954" s="1" t="s">
        <v>149</v>
      </c>
      <c r="E1954" t="s">
        <v>136</v>
      </c>
    </row>
    <row r="1955" spans="1:5" x14ac:dyDescent="0.35">
      <c r="A1955" s="1" t="s">
        <v>147</v>
      </c>
      <c r="B1955" s="1"/>
      <c r="C1955" s="1" t="s">
        <v>150</v>
      </c>
      <c r="D1955" s="1" t="s">
        <v>146</v>
      </c>
      <c r="E1955" t="s">
        <v>136</v>
      </c>
    </row>
    <row r="1956" spans="1:5" x14ac:dyDescent="0.35">
      <c r="A1956" s="1" t="s">
        <v>147</v>
      </c>
      <c r="B1956" s="1"/>
      <c r="C1956" s="1"/>
      <c r="D1956" s="1" t="s">
        <v>148</v>
      </c>
      <c r="E1956" t="s">
        <v>136</v>
      </c>
    </row>
    <row r="1957" spans="1:5" x14ac:dyDescent="0.35">
      <c r="A1957" s="1" t="s">
        <v>147</v>
      </c>
      <c r="B1957" s="1"/>
      <c r="C1957" s="1"/>
      <c r="D1957" s="1" t="s">
        <v>149</v>
      </c>
      <c r="E1957" t="s">
        <v>136</v>
      </c>
    </row>
    <row r="1958" spans="1:5" x14ac:dyDescent="0.35">
      <c r="A1958" s="1" t="s">
        <v>147</v>
      </c>
      <c r="B1958" s="1" t="s">
        <v>161</v>
      </c>
      <c r="C1958" s="1" t="s">
        <v>145</v>
      </c>
      <c r="D1958" s="1" t="s">
        <v>146</v>
      </c>
      <c r="E1958">
        <v>1.2</v>
      </c>
    </row>
    <row r="1959" spans="1:5" x14ac:dyDescent="0.35">
      <c r="A1959" s="1" t="s">
        <v>147</v>
      </c>
      <c r="B1959" s="1"/>
      <c r="C1959" s="1"/>
      <c r="D1959" s="1" t="s">
        <v>148</v>
      </c>
      <c r="E1959" t="s">
        <v>136</v>
      </c>
    </row>
    <row r="1960" spans="1:5" x14ac:dyDescent="0.35">
      <c r="A1960" s="1" t="s">
        <v>147</v>
      </c>
      <c r="B1960" s="1"/>
      <c r="C1960" s="1"/>
      <c r="D1960" s="1" t="s">
        <v>149</v>
      </c>
      <c r="E1960">
        <v>1.2</v>
      </c>
    </row>
    <row r="1961" spans="1:5" x14ac:dyDescent="0.35">
      <c r="A1961" s="1" t="s">
        <v>147</v>
      </c>
      <c r="B1961" s="1"/>
      <c r="C1961" s="1" t="s">
        <v>150</v>
      </c>
      <c r="D1961" s="1" t="s">
        <v>146</v>
      </c>
      <c r="E1961" t="s">
        <v>136</v>
      </c>
    </row>
    <row r="1962" spans="1:5" x14ac:dyDescent="0.35">
      <c r="A1962" s="1" t="s">
        <v>147</v>
      </c>
      <c r="B1962" s="1"/>
      <c r="C1962" s="1"/>
      <c r="D1962" s="1" t="s">
        <v>148</v>
      </c>
      <c r="E1962" t="s">
        <v>136</v>
      </c>
    </row>
    <row r="1963" spans="1:5" x14ac:dyDescent="0.35">
      <c r="A1963" s="1" t="s">
        <v>147</v>
      </c>
      <c r="B1963" s="1"/>
      <c r="C1963" s="1"/>
      <c r="D1963" s="1" t="s">
        <v>149</v>
      </c>
      <c r="E1963" t="s">
        <v>136</v>
      </c>
    </row>
    <row r="1964" spans="1:5" x14ac:dyDescent="0.35">
      <c r="A1964" s="1" t="s">
        <v>147</v>
      </c>
      <c r="B1964" s="1" t="s">
        <v>162</v>
      </c>
      <c r="C1964" s="1" t="s">
        <v>145</v>
      </c>
      <c r="D1964" s="1" t="s">
        <v>146</v>
      </c>
      <c r="E1964" t="s">
        <v>136</v>
      </c>
    </row>
    <row r="1965" spans="1:5" x14ac:dyDescent="0.35">
      <c r="A1965" s="1" t="s">
        <v>147</v>
      </c>
      <c r="B1965" s="1"/>
      <c r="C1965" s="1"/>
      <c r="D1965" s="1" t="s">
        <v>148</v>
      </c>
      <c r="E1965" t="s">
        <v>136</v>
      </c>
    </row>
    <row r="1966" spans="1:5" x14ac:dyDescent="0.35">
      <c r="A1966" s="1" t="s">
        <v>147</v>
      </c>
      <c r="B1966" s="1"/>
      <c r="C1966" s="1"/>
      <c r="D1966" s="1" t="s">
        <v>149</v>
      </c>
      <c r="E1966" t="s">
        <v>136</v>
      </c>
    </row>
    <row r="1967" spans="1:5" x14ac:dyDescent="0.35">
      <c r="A1967" s="1" t="s">
        <v>147</v>
      </c>
      <c r="B1967" s="1"/>
      <c r="C1967" s="1" t="s">
        <v>150</v>
      </c>
      <c r="D1967" s="1" t="s">
        <v>146</v>
      </c>
      <c r="E1967" t="s">
        <v>136</v>
      </c>
    </row>
    <row r="1968" spans="1:5" x14ac:dyDescent="0.35">
      <c r="A1968" s="1" t="s">
        <v>147</v>
      </c>
      <c r="B1968" s="1"/>
      <c r="C1968" s="1"/>
      <c r="D1968" s="1" t="s">
        <v>148</v>
      </c>
      <c r="E1968" t="s">
        <v>136</v>
      </c>
    </row>
    <row r="1969" spans="1:5" x14ac:dyDescent="0.35">
      <c r="A1969" s="1" t="s">
        <v>147</v>
      </c>
      <c r="B1969" s="1"/>
      <c r="C1969" s="1"/>
      <c r="D1969" s="1" t="s">
        <v>149</v>
      </c>
      <c r="E1969" t="s">
        <v>136</v>
      </c>
    </row>
    <row r="1970" spans="1:5" x14ac:dyDescent="0.35">
      <c r="A1970" s="1" t="s">
        <v>147</v>
      </c>
      <c r="B1970" s="1" t="s">
        <v>163</v>
      </c>
      <c r="C1970" s="1" t="s">
        <v>145</v>
      </c>
      <c r="D1970" s="1" t="s">
        <v>146</v>
      </c>
      <c r="E1970">
        <v>382</v>
      </c>
    </row>
    <row r="1971" spans="1:5" x14ac:dyDescent="0.35">
      <c r="A1971" s="1" t="s">
        <v>147</v>
      </c>
      <c r="B1971" s="1"/>
      <c r="C1971" s="1"/>
      <c r="D1971" s="1" t="s">
        <v>148</v>
      </c>
      <c r="E1971">
        <v>382</v>
      </c>
    </row>
    <row r="1972" spans="1:5" x14ac:dyDescent="0.35">
      <c r="A1972" s="1" t="s">
        <v>147</v>
      </c>
      <c r="B1972" s="1"/>
      <c r="C1972" s="1"/>
      <c r="D1972" s="1" t="s">
        <v>149</v>
      </c>
      <c r="E1972" t="s">
        <v>136</v>
      </c>
    </row>
    <row r="1973" spans="1:5" x14ac:dyDescent="0.35">
      <c r="A1973" s="1" t="s">
        <v>147</v>
      </c>
      <c r="B1973" s="1"/>
      <c r="C1973" s="1" t="s">
        <v>150</v>
      </c>
      <c r="D1973" s="1" t="s">
        <v>146</v>
      </c>
      <c r="E1973" t="s">
        <v>136</v>
      </c>
    </row>
    <row r="1974" spans="1:5" x14ac:dyDescent="0.35">
      <c r="A1974" s="1" t="s">
        <v>147</v>
      </c>
      <c r="B1974" s="1"/>
      <c r="C1974" s="1"/>
      <c r="D1974" s="1" t="s">
        <v>148</v>
      </c>
      <c r="E1974" t="s">
        <v>136</v>
      </c>
    </row>
    <row r="1975" spans="1:5" x14ac:dyDescent="0.35">
      <c r="A1975" s="1" t="s">
        <v>147</v>
      </c>
      <c r="B1975" s="1"/>
      <c r="C1975" s="1"/>
      <c r="D1975" s="1" t="s">
        <v>149</v>
      </c>
      <c r="E1975" t="s">
        <v>136</v>
      </c>
    </row>
    <row r="1976" spans="1:5" x14ac:dyDescent="0.35">
      <c r="A1976" s="1" t="s">
        <v>147</v>
      </c>
      <c r="B1976" s="1" t="s">
        <v>164</v>
      </c>
      <c r="C1976" s="1" t="s">
        <v>145</v>
      </c>
      <c r="D1976" s="1" t="s">
        <v>146</v>
      </c>
      <c r="E1976" t="s">
        <v>136</v>
      </c>
    </row>
    <row r="1977" spans="1:5" x14ac:dyDescent="0.35">
      <c r="A1977" s="1" t="s">
        <v>147</v>
      </c>
      <c r="B1977" s="1"/>
      <c r="C1977" s="1"/>
      <c r="D1977" s="1" t="s">
        <v>148</v>
      </c>
      <c r="E1977" t="s">
        <v>136</v>
      </c>
    </row>
    <row r="1978" spans="1:5" x14ac:dyDescent="0.35">
      <c r="A1978" s="1" t="s">
        <v>147</v>
      </c>
      <c r="B1978" s="1"/>
      <c r="C1978" s="1"/>
      <c r="D1978" s="1" t="s">
        <v>149</v>
      </c>
      <c r="E1978" t="s">
        <v>136</v>
      </c>
    </row>
    <row r="1979" spans="1:5" x14ac:dyDescent="0.35">
      <c r="A1979" s="1" t="s">
        <v>147</v>
      </c>
      <c r="B1979" s="1"/>
      <c r="C1979" s="1" t="s">
        <v>150</v>
      </c>
      <c r="D1979" s="1" t="s">
        <v>146</v>
      </c>
      <c r="E1979" t="s">
        <v>136</v>
      </c>
    </row>
    <row r="1980" spans="1:5" x14ac:dyDescent="0.35">
      <c r="A1980" s="1" t="s">
        <v>147</v>
      </c>
      <c r="B1980" s="1"/>
      <c r="C1980" s="1"/>
      <c r="D1980" s="1" t="s">
        <v>148</v>
      </c>
      <c r="E1980" t="s">
        <v>136</v>
      </c>
    </row>
    <row r="1981" spans="1:5" x14ac:dyDescent="0.35">
      <c r="A1981" s="1" t="s">
        <v>147</v>
      </c>
      <c r="B1981" s="1"/>
      <c r="C1981" s="1"/>
      <c r="D1981" s="1" t="s">
        <v>149</v>
      </c>
      <c r="E1981" t="s">
        <v>136</v>
      </c>
    </row>
    <row r="1982" spans="1:5" x14ac:dyDescent="0.35">
      <c r="A1982" s="1" t="s">
        <v>147</v>
      </c>
      <c r="B1982" s="1" t="s">
        <v>165</v>
      </c>
      <c r="C1982" s="1" t="s">
        <v>145</v>
      </c>
      <c r="D1982" s="1" t="s">
        <v>146</v>
      </c>
      <c r="E1982" t="s">
        <v>136</v>
      </c>
    </row>
    <row r="1983" spans="1:5" x14ac:dyDescent="0.35">
      <c r="A1983" s="1" t="s">
        <v>147</v>
      </c>
      <c r="B1983" s="1"/>
      <c r="C1983" s="1"/>
      <c r="D1983" s="1" t="s">
        <v>148</v>
      </c>
      <c r="E1983" t="s">
        <v>136</v>
      </c>
    </row>
    <row r="1984" spans="1:5" x14ac:dyDescent="0.35">
      <c r="A1984" s="1" t="s">
        <v>147</v>
      </c>
      <c r="B1984" s="1"/>
      <c r="C1984" s="1"/>
      <c r="D1984" s="1" t="s">
        <v>149</v>
      </c>
      <c r="E1984" t="s">
        <v>136</v>
      </c>
    </row>
    <row r="1985" spans="1:5" x14ac:dyDescent="0.35">
      <c r="A1985" s="1" t="s">
        <v>147</v>
      </c>
      <c r="B1985" s="1"/>
      <c r="C1985" s="1" t="s">
        <v>150</v>
      </c>
      <c r="D1985" s="1" t="s">
        <v>146</v>
      </c>
      <c r="E1985" t="s">
        <v>136</v>
      </c>
    </row>
    <row r="1986" spans="1:5" x14ac:dyDescent="0.35">
      <c r="A1986" s="1" t="s">
        <v>147</v>
      </c>
      <c r="B1986" s="1"/>
      <c r="C1986" s="1"/>
      <c r="D1986" s="1" t="s">
        <v>148</v>
      </c>
      <c r="E1986" t="s">
        <v>136</v>
      </c>
    </row>
    <row r="1987" spans="1:5" x14ac:dyDescent="0.35">
      <c r="A1987" s="1" t="s">
        <v>147</v>
      </c>
      <c r="B1987" s="1"/>
      <c r="C1987" s="1"/>
      <c r="D1987" s="1" t="s">
        <v>149</v>
      </c>
      <c r="E1987" t="s">
        <v>136</v>
      </c>
    </row>
    <row r="1988" spans="1:5" x14ac:dyDescent="0.35">
      <c r="A1988" s="1" t="s">
        <v>147</v>
      </c>
      <c r="B1988" s="1" t="s">
        <v>166</v>
      </c>
      <c r="C1988" s="1" t="s">
        <v>145</v>
      </c>
      <c r="D1988" s="1" t="s">
        <v>146</v>
      </c>
      <c r="E1988">
        <v>189.67</v>
      </c>
    </row>
    <row r="1989" spans="1:5" x14ac:dyDescent="0.35">
      <c r="A1989" s="1" t="s">
        <v>147</v>
      </c>
      <c r="B1989" s="1"/>
      <c r="C1989" s="1"/>
      <c r="D1989" s="1" t="s">
        <v>148</v>
      </c>
      <c r="E1989">
        <v>189.67</v>
      </c>
    </row>
    <row r="1990" spans="1:5" x14ac:dyDescent="0.35">
      <c r="A1990" s="1" t="s">
        <v>147</v>
      </c>
      <c r="B1990" s="1"/>
      <c r="C1990" s="1"/>
      <c r="D1990" s="1" t="s">
        <v>149</v>
      </c>
      <c r="E1990" t="s">
        <v>136</v>
      </c>
    </row>
    <row r="1991" spans="1:5" x14ac:dyDescent="0.35">
      <c r="A1991" s="1" t="s">
        <v>147</v>
      </c>
      <c r="B1991" s="1"/>
      <c r="C1991" s="1" t="s">
        <v>150</v>
      </c>
      <c r="D1991" s="1" t="s">
        <v>146</v>
      </c>
      <c r="E1991" t="s">
        <v>136</v>
      </c>
    </row>
    <row r="1992" spans="1:5" x14ac:dyDescent="0.35">
      <c r="A1992" s="1" t="s">
        <v>147</v>
      </c>
      <c r="B1992" s="1"/>
      <c r="C1992" s="1"/>
      <c r="D1992" s="1" t="s">
        <v>148</v>
      </c>
      <c r="E1992" t="s">
        <v>136</v>
      </c>
    </row>
    <row r="1993" spans="1:5" x14ac:dyDescent="0.35">
      <c r="A1993" s="1" t="s">
        <v>147</v>
      </c>
      <c r="B1993" s="1"/>
      <c r="C1993" s="1"/>
      <c r="D1993" s="1" t="s">
        <v>149</v>
      </c>
      <c r="E1993" t="s">
        <v>136</v>
      </c>
    </row>
    <row r="1994" spans="1:5" x14ac:dyDescent="0.35">
      <c r="A1994" s="1" t="s">
        <v>147</v>
      </c>
      <c r="B1994" s="1" t="s">
        <v>167</v>
      </c>
      <c r="C1994" s="1" t="s">
        <v>145</v>
      </c>
      <c r="D1994" s="1" t="s">
        <v>146</v>
      </c>
      <c r="E1994">
        <v>192.33</v>
      </c>
    </row>
    <row r="1995" spans="1:5" x14ac:dyDescent="0.35">
      <c r="A1995" s="1" t="s">
        <v>147</v>
      </c>
      <c r="B1995" s="1"/>
      <c r="C1995" s="1"/>
      <c r="D1995" s="1" t="s">
        <v>148</v>
      </c>
      <c r="E1995">
        <v>192.33</v>
      </c>
    </row>
    <row r="1996" spans="1:5" x14ac:dyDescent="0.35">
      <c r="A1996" s="1" t="s">
        <v>147</v>
      </c>
      <c r="B1996" s="1"/>
      <c r="C1996" s="1"/>
      <c r="D1996" s="1" t="s">
        <v>149</v>
      </c>
      <c r="E1996" t="s">
        <v>136</v>
      </c>
    </row>
    <row r="1997" spans="1:5" x14ac:dyDescent="0.35">
      <c r="A1997" s="1" t="s">
        <v>147</v>
      </c>
      <c r="B1997" s="1"/>
      <c r="C1997" s="1" t="s">
        <v>150</v>
      </c>
      <c r="D1997" s="1" t="s">
        <v>146</v>
      </c>
      <c r="E1997" t="s">
        <v>136</v>
      </c>
    </row>
    <row r="1998" spans="1:5" x14ac:dyDescent="0.35">
      <c r="A1998" s="1" t="s">
        <v>147</v>
      </c>
      <c r="B1998" s="1"/>
      <c r="C1998" s="1"/>
      <c r="D1998" s="1" t="s">
        <v>148</v>
      </c>
      <c r="E1998" t="s">
        <v>136</v>
      </c>
    </row>
    <row r="1999" spans="1:5" x14ac:dyDescent="0.35">
      <c r="A1999" s="1" t="s">
        <v>147</v>
      </c>
      <c r="B1999" s="1"/>
      <c r="C1999" s="1"/>
      <c r="D1999" s="1" t="s">
        <v>149</v>
      </c>
      <c r="E1999" t="s">
        <v>136</v>
      </c>
    </row>
    <row r="2000" spans="1:5" x14ac:dyDescent="0.35">
      <c r="A2000" s="1" t="s">
        <v>147</v>
      </c>
      <c r="B2000" s="1" t="s">
        <v>168</v>
      </c>
      <c r="C2000" s="1" t="s">
        <v>145</v>
      </c>
      <c r="D2000" s="1" t="s">
        <v>146</v>
      </c>
      <c r="E2000" t="s">
        <v>136</v>
      </c>
    </row>
    <row r="2001" spans="1:5" x14ac:dyDescent="0.35">
      <c r="A2001" s="1" t="s">
        <v>147</v>
      </c>
      <c r="B2001" s="1"/>
      <c r="C2001" s="1"/>
      <c r="D2001" s="1" t="s">
        <v>148</v>
      </c>
      <c r="E2001" t="s">
        <v>136</v>
      </c>
    </row>
    <row r="2002" spans="1:5" x14ac:dyDescent="0.35">
      <c r="A2002" s="1" t="s">
        <v>147</v>
      </c>
      <c r="B2002" s="1"/>
      <c r="C2002" s="1"/>
      <c r="D2002" s="1" t="s">
        <v>149</v>
      </c>
      <c r="E2002" t="s">
        <v>136</v>
      </c>
    </row>
    <row r="2003" spans="1:5" x14ac:dyDescent="0.35">
      <c r="A2003" s="1" t="s">
        <v>147</v>
      </c>
      <c r="B2003" s="1"/>
      <c r="C2003" s="1" t="s">
        <v>150</v>
      </c>
      <c r="D2003" s="1" t="s">
        <v>146</v>
      </c>
      <c r="E2003" t="s">
        <v>136</v>
      </c>
    </row>
    <row r="2004" spans="1:5" x14ac:dyDescent="0.35">
      <c r="A2004" s="1" t="s">
        <v>147</v>
      </c>
      <c r="B2004" s="1"/>
      <c r="C2004" s="1"/>
      <c r="D2004" s="1" t="s">
        <v>148</v>
      </c>
      <c r="E2004" t="s">
        <v>136</v>
      </c>
    </row>
    <row r="2005" spans="1:5" x14ac:dyDescent="0.35">
      <c r="A2005" s="1" t="s">
        <v>147</v>
      </c>
      <c r="B2005" s="1"/>
      <c r="C2005" s="1"/>
      <c r="D2005" s="1" t="s">
        <v>149</v>
      </c>
      <c r="E2005" t="s">
        <v>136</v>
      </c>
    </row>
    <row r="2006" spans="1:5" x14ac:dyDescent="0.35">
      <c r="A2006" s="1" t="s">
        <v>147</v>
      </c>
      <c r="B2006" s="1" t="s">
        <v>169</v>
      </c>
      <c r="C2006" s="1" t="s">
        <v>145</v>
      </c>
      <c r="D2006" s="1" t="s">
        <v>146</v>
      </c>
      <c r="E2006" t="s">
        <v>136</v>
      </c>
    </row>
    <row r="2007" spans="1:5" x14ac:dyDescent="0.35">
      <c r="A2007" s="1" t="s">
        <v>147</v>
      </c>
      <c r="B2007" s="1"/>
      <c r="C2007" s="1"/>
      <c r="D2007" s="1" t="s">
        <v>148</v>
      </c>
      <c r="E2007" t="s">
        <v>136</v>
      </c>
    </row>
    <row r="2008" spans="1:5" x14ac:dyDescent="0.35">
      <c r="A2008" s="1" t="s">
        <v>147</v>
      </c>
      <c r="B2008" s="1"/>
      <c r="C2008" s="1"/>
      <c r="D2008" s="1" t="s">
        <v>149</v>
      </c>
      <c r="E2008" t="s">
        <v>136</v>
      </c>
    </row>
    <row r="2009" spans="1:5" x14ac:dyDescent="0.35">
      <c r="A2009" s="1" t="s">
        <v>147</v>
      </c>
      <c r="B2009" s="1"/>
      <c r="C2009" s="1" t="s">
        <v>150</v>
      </c>
      <c r="D2009" s="1" t="s">
        <v>146</v>
      </c>
      <c r="E2009" t="s">
        <v>136</v>
      </c>
    </row>
    <row r="2010" spans="1:5" x14ac:dyDescent="0.35">
      <c r="A2010" s="1" t="s">
        <v>147</v>
      </c>
      <c r="B2010" s="1"/>
      <c r="C2010" s="1"/>
      <c r="D2010" s="1" t="s">
        <v>148</v>
      </c>
      <c r="E2010" t="s">
        <v>136</v>
      </c>
    </row>
    <row r="2011" spans="1:5" x14ac:dyDescent="0.35">
      <c r="A2011" s="1" t="s">
        <v>147</v>
      </c>
      <c r="B2011" s="1"/>
      <c r="C2011" s="1"/>
      <c r="D2011" s="1" t="s">
        <v>149</v>
      </c>
      <c r="E2011" t="s">
        <v>136</v>
      </c>
    </row>
    <row r="2012" spans="1:5" x14ac:dyDescent="0.35">
      <c r="A2012" s="1" t="s">
        <v>147</v>
      </c>
      <c r="B2012" s="1" t="s">
        <v>170</v>
      </c>
      <c r="C2012" s="1" t="s">
        <v>145</v>
      </c>
      <c r="D2012" s="1" t="s">
        <v>146</v>
      </c>
      <c r="E2012" t="s">
        <v>136</v>
      </c>
    </row>
    <row r="2013" spans="1:5" x14ac:dyDescent="0.35">
      <c r="A2013" s="1" t="s">
        <v>147</v>
      </c>
      <c r="B2013" s="1"/>
      <c r="C2013" s="1"/>
      <c r="D2013" s="1" t="s">
        <v>148</v>
      </c>
      <c r="E2013" t="s">
        <v>136</v>
      </c>
    </row>
    <row r="2014" spans="1:5" x14ac:dyDescent="0.35">
      <c r="A2014" s="1" t="s">
        <v>147</v>
      </c>
      <c r="B2014" s="1"/>
      <c r="C2014" s="1"/>
      <c r="D2014" s="1" t="s">
        <v>149</v>
      </c>
      <c r="E2014" t="s">
        <v>136</v>
      </c>
    </row>
    <row r="2015" spans="1:5" x14ac:dyDescent="0.35">
      <c r="A2015" s="1" t="s">
        <v>147</v>
      </c>
      <c r="B2015" s="1"/>
      <c r="C2015" s="1" t="s">
        <v>150</v>
      </c>
      <c r="D2015" s="1" t="s">
        <v>146</v>
      </c>
      <c r="E2015" t="s">
        <v>136</v>
      </c>
    </row>
    <row r="2016" spans="1:5" x14ac:dyDescent="0.35">
      <c r="A2016" s="1" t="s">
        <v>147</v>
      </c>
      <c r="B2016" s="1"/>
      <c r="C2016" s="1"/>
      <c r="D2016" s="1" t="s">
        <v>148</v>
      </c>
      <c r="E2016" t="s">
        <v>136</v>
      </c>
    </row>
    <row r="2017" spans="1:5" x14ac:dyDescent="0.35">
      <c r="A2017" s="1" t="s">
        <v>147</v>
      </c>
      <c r="B2017" s="1"/>
      <c r="C2017" s="1"/>
      <c r="D2017" s="1" t="s">
        <v>149</v>
      </c>
      <c r="E2017" t="s">
        <v>136</v>
      </c>
    </row>
    <row r="2018" spans="1:5" x14ac:dyDescent="0.35">
      <c r="A2018" s="1" t="s">
        <v>61</v>
      </c>
      <c r="B2018" s="1" t="s">
        <v>144</v>
      </c>
      <c r="C2018" s="1" t="s">
        <v>145</v>
      </c>
      <c r="D2018" s="1" t="s">
        <v>146</v>
      </c>
      <c r="E2018">
        <v>1780.47</v>
      </c>
    </row>
    <row r="2019" spans="1:5" x14ac:dyDescent="0.35">
      <c r="A2019" s="1" t="s">
        <v>147</v>
      </c>
      <c r="B2019" s="1"/>
      <c r="C2019" s="1"/>
      <c r="D2019" s="1" t="s">
        <v>148</v>
      </c>
      <c r="E2019">
        <v>1757.51</v>
      </c>
    </row>
    <row r="2020" spans="1:5" x14ac:dyDescent="0.35">
      <c r="A2020" s="1" t="s">
        <v>147</v>
      </c>
      <c r="B2020" s="1"/>
      <c r="C2020" s="1"/>
      <c r="D2020" s="1" t="s">
        <v>149</v>
      </c>
      <c r="E2020">
        <v>22.96</v>
      </c>
    </row>
    <row r="2021" spans="1:5" x14ac:dyDescent="0.35">
      <c r="A2021" s="1" t="s">
        <v>147</v>
      </c>
      <c r="B2021" s="1"/>
      <c r="C2021" s="1" t="s">
        <v>150</v>
      </c>
      <c r="D2021" s="1" t="s">
        <v>146</v>
      </c>
      <c r="E2021" t="s">
        <v>136</v>
      </c>
    </row>
    <row r="2022" spans="1:5" x14ac:dyDescent="0.35">
      <c r="A2022" s="1" t="s">
        <v>147</v>
      </c>
      <c r="B2022" s="1"/>
      <c r="C2022" s="1"/>
      <c r="D2022" s="1" t="s">
        <v>148</v>
      </c>
      <c r="E2022" t="s">
        <v>136</v>
      </c>
    </row>
    <row r="2023" spans="1:5" x14ac:dyDescent="0.35">
      <c r="A2023" s="1" t="s">
        <v>147</v>
      </c>
      <c r="B2023" s="1"/>
      <c r="C2023" s="1"/>
      <c r="D2023" s="1" t="s">
        <v>149</v>
      </c>
      <c r="E2023" t="s">
        <v>136</v>
      </c>
    </row>
    <row r="2024" spans="1:5" x14ac:dyDescent="0.35">
      <c r="A2024" s="1" t="s">
        <v>147</v>
      </c>
      <c r="B2024" s="1" t="s">
        <v>151</v>
      </c>
      <c r="C2024" s="1" t="s">
        <v>145</v>
      </c>
      <c r="D2024" s="1" t="s">
        <v>146</v>
      </c>
      <c r="E2024">
        <v>187.98</v>
      </c>
    </row>
    <row r="2025" spans="1:5" x14ac:dyDescent="0.35">
      <c r="A2025" s="1" t="s">
        <v>147</v>
      </c>
      <c r="B2025" s="1"/>
      <c r="C2025" s="1"/>
      <c r="D2025" s="1" t="s">
        <v>148</v>
      </c>
      <c r="E2025">
        <v>173.36</v>
      </c>
    </row>
    <row r="2026" spans="1:5" x14ac:dyDescent="0.35">
      <c r="A2026" s="1" t="s">
        <v>147</v>
      </c>
      <c r="B2026" s="1"/>
      <c r="C2026" s="1"/>
      <c r="D2026" s="1" t="s">
        <v>149</v>
      </c>
      <c r="E2026">
        <v>14.62</v>
      </c>
    </row>
    <row r="2027" spans="1:5" x14ac:dyDescent="0.35">
      <c r="A2027" s="1" t="s">
        <v>147</v>
      </c>
      <c r="B2027" s="1"/>
      <c r="C2027" s="1" t="s">
        <v>150</v>
      </c>
      <c r="D2027" s="1" t="s">
        <v>146</v>
      </c>
      <c r="E2027" t="s">
        <v>136</v>
      </c>
    </row>
    <row r="2028" spans="1:5" x14ac:dyDescent="0.35">
      <c r="A2028" s="1" t="s">
        <v>147</v>
      </c>
      <c r="B2028" s="1"/>
      <c r="C2028" s="1"/>
      <c r="D2028" s="1" t="s">
        <v>148</v>
      </c>
      <c r="E2028" t="s">
        <v>136</v>
      </c>
    </row>
    <row r="2029" spans="1:5" x14ac:dyDescent="0.35">
      <c r="A2029" s="1" t="s">
        <v>147</v>
      </c>
      <c r="B2029" s="1"/>
      <c r="C2029" s="1"/>
      <c r="D2029" s="1" t="s">
        <v>149</v>
      </c>
      <c r="E2029" t="s">
        <v>136</v>
      </c>
    </row>
    <row r="2030" spans="1:5" x14ac:dyDescent="0.35">
      <c r="A2030" s="1" t="s">
        <v>147</v>
      </c>
      <c r="B2030" s="1" t="s">
        <v>152</v>
      </c>
      <c r="C2030" s="1" t="s">
        <v>145</v>
      </c>
      <c r="D2030" s="1" t="s">
        <v>146</v>
      </c>
      <c r="E2030" t="s">
        <v>136</v>
      </c>
    </row>
    <row r="2031" spans="1:5" x14ac:dyDescent="0.35">
      <c r="A2031" s="1" t="s">
        <v>147</v>
      </c>
      <c r="B2031" s="1"/>
      <c r="C2031" s="1"/>
      <c r="D2031" s="1" t="s">
        <v>148</v>
      </c>
      <c r="E2031" t="s">
        <v>136</v>
      </c>
    </row>
    <row r="2032" spans="1:5" x14ac:dyDescent="0.35">
      <c r="A2032" s="1" t="s">
        <v>147</v>
      </c>
      <c r="B2032" s="1"/>
      <c r="C2032" s="1"/>
      <c r="D2032" s="1" t="s">
        <v>149</v>
      </c>
      <c r="E2032" t="s">
        <v>136</v>
      </c>
    </row>
    <row r="2033" spans="1:5" x14ac:dyDescent="0.35">
      <c r="A2033" s="1" t="s">
        <v>147</v>
      </c>
      <c r="B2033" s="1"/>
      <c r="C2033" s="1" t="s">
        <v>150</v>
      </c>
      <c r="D2033" s="1" t="s">
        <v>146</v>
      </c>
      <c r="E2033" t="s">
        <v>136</v>
      </c>
    </row>
    <row r="2034" spans="1:5" x14ac:dyDescent="0.35">
      <c r="A2034" s="1" t="s">
        <v>147</v>
      </c>
      <c r="B2034" s="1"/>
      <c r="C2034" s="1"/>
      <c r="D2034" s="1" t="s">
        <v>148</v>
      </c>
      <c r="E2034" t="s">
        <v>136</v>
      </c>
    </row>
    <row r="2035" spans="1:5" x14ac:dyDescent="0.35">
      <c r="A2035" s="1" t="s">
        <v>147</v>
      </c>
      <c r="B2035" s="1"/>
      <c r="C2035" s="1"/>
      <c r="D2035" s="1" t="s">
        <v>149</v>
      </c>
      <c r="E2035" t="s">
        <v>136</v>
      </c>
    </row>
    <row r="2036" spans="1:5" x14ac:dyDescent="0.35">
      <c r="A2036" s="1" t="s">
        <v>147</v>
      </c>
      <c r="B2036" s="1" t="s">
        <v>153</v>
      </c>
      <c r="C2036" s="1" t="s">
        <v>145</v>
      </c>
      <c r="D2036" s="1" t="s">
        <v>146</v>
      </c>
      <c r="E2036">
        <v>0.02</v>
      </c>
    </row>
    <row r="2037" spans="1:5" x14ac:dyDescent="0.35">
      <c r="A2037" s="1" t="s">
        <v>147</v>
      </c>
      <c r="B2037" s="1"/>
      <c r="C2037" s="1"/>
      <c r="D2037" s="1" t="s">
        <v>148</v>
      </c>
      <c r="E2037" t="s">
        <v>136</v>
      </c>
    </row>
    <row r="2038" spans="1:5" x14ac:dyDescent="0.35">
      <c r="A2038" s="1" t="s">
        <v>147</v>
      </c>
      <c r="B2038" s="1"/>
      <c r="C2038" s="1"/>
      <c r="D2038" s="1" t="s">
        <v>149</v>
      </c>
      <c r="E2038">
        <v>0.02</v>
      </c>
    </row>
    <row r="2039" spans="1:5" x14ac:dyDescent="0.35">
      <c r="A2039" s="1" t="s">
        <v>147</v>
      </c>
      <c r="B2039" s="1"/>
      <c r="C2039" s="1" t="s">
        <v>150</v>
      </c>
      <c r="D2039" s="1" t="s">
        <v>146</v>
      </c>
      <c r="E2039" t="s">
        <v>136</v>
      </c>
    </row>
    <row r="2040" spans="1:5" x14ac:dyDescent="0.35">
      <c r="A2040" s="1" t="s">
        <v>147</v>
      </c>
      <c r="B2040" s="1"/>
      <c r="C2040" s="1"/>
      <c r="D2040" s="1" t="s">
        <v>148</v>
      </c>
      <c r="E2040" t="s">
        <v>136</v>
      </c>
    </row>
    <row r="2041" spans="1:5" x14ac:dyDescent="0.35">
      <c r="A2041" s="1" t="s">
        <v>147</v>
      </c>
      <c r="B2041" s="1"/>
      <c r="C2041" s="1"/>
      <c r="D2041" s="1" t="s">
        <v>149</v>
      </c>
      <c r="E2041" t="s">
        <v>136</v>
      </c>
    </row>
    <row r="2042" spans="1:5" x14ac:dyDescent="0.35">
      <c r="A2042" s="1" t="s">
        <v>147</v>
      </c>
      <c r="B2042" s="1" t="s">
        <v>154</v>
      </c>
      <c r="C2042" s="1" t="s">
        <v>145</v>
      </c>
      <c r="D2042" s="1" t="s">
        <v>146</v>
      </c>
      <c r="E2042" t="s">
        <v>136</v>
      </c>
    </row>
    <row r="2043" spans="1:5" x14ac:dyDescent="0.35">
      <c r="A2043" s="1" t="s">
        <v>147</v>
      </c>
      <c r="B2043" s="1"/>
      <c r="C2043" s="1"/>
      <c r="D2043" s="1" t="s">
        <v>148</v>
      </c>
      <c r="E2043" t="s">
        <v>136</v>
      </c>
    </row>
    <row r="2044" spans="1:5" x14ac:dyDescent="0.35">
      <c r="A2044" s="1" t="s">
        <v>147</v>
      </c>
      <c r="B2044" s="1"/>
      <c r="C2044" s="1"/>
      <c r="D2044" s="1" t="s">
        <v>149</v>
      </c>
      <c r="E2044" t="s">
        <v>136</v>
      </c>
    </row>
    <row r="2045" spans="1:5" x14ac:dyDescent="0.35">
      <c r="A2045" s="1" t="s">
        <v>147</v>
      </c>
      <c r="B2045" s="1"/>
      <c r="C2045" s="1" t="s">
        <v>150</v>
      </c>
      <c r="D2045" s="1" t="s">
        <v>146</v>
      </c>
      <c r="E2045" t="s">
        <v>136</v>
      </c>
    </row>
    <row r="2046" spans="1:5" x14ac:dyDescent="0.35">
      <c r="A2046" s="1" t="s">
        <v>147</v>
      </c>
      <c r="B2046" s="1"/>
      <c r="C2046" s="1"/>
      <c r="D2046" s="1" t="s">
        <v>148</v>
      </c>
      <c r="E2046" t="s">
        <v>136</v>
      </c>
    </row>
    <row r="2047" spans="1:5" x14ac:dyDescent="0.35">
      <c r="A2047" s="1" t="s">
        <v>147</v>
      </c>
      <c r="B2047" s="1"/>
      <c r="C2047" s="1"/>
      <c r="D2047" s="1" t="s">
        <v>149</v>
      </c>
      <c r="E2047" t="s">
        <v>136</v>
      </c>
    </row>
    <row r="2048" spans="1:5" x14ac:dyDescent="0.35">
      <c r="A2048" s="1" t="s">
        <v>147</v>
      </c>
      <c r="B2048" s="1" t="s">
        <v>155</v>
      </c>
      <c r="C2048" s="1" t="s">
        <v>145</v>
      </c>
      <c r="D2048" s="1" t="s">
        <v>146</v>
      </c>
      <c r="E2048">
        <v>1584.09</v>
      </c>
    </row>
    <row r="2049" spans="1:5" x14ac:dyDescent="0.35">
      <c r="A2049" s="1" t="s">
        <v>147</v>
      </c>
      <c r="B2049" s="1"/>
      <c r="C2049" s="1"/>
      <c r="D2049" s="1" t="s">
        <v>148</v>
      </c>
      <c r="E2049">
        <v>1584.05</v>
      </c>
    </row>
    <row r="2050" spans="1:5" x14ac:dyDescent="0.35">
      <c r="A2050" s="1" t="s">
        <v>147</v>
      </c>
      <c r="B2050" s="1"/>
      <c r="C2050" s="1"/>
      <c r="D2050" s="1" t="s">
        <v>149</v>
      </c>
      <c r="E2050">
        <v>0.05</v>
      </c>
    </row>
    <row r="2051" spans="1:5" x14ac:dyDescent="0.35">
      <c r="A2051" s="1" t="s">
        <v>147</v>
      </c>
      <c r="B2051" s="1"/>
      <c r="C2051" s="1" t="s">
        <v>150</v>
      </c>
      <c r="D2051" s="1" t="s">
        <v>146</v>
      </c>
      <c r="E2051" t="s">
        <v>136</v>
      </c>
    </row>
    <row r="2052" spans="1:5" x14ac:dyDescent="0.35">
      <c r="A2052" s="1" t="s">
        <v>147</v>
      </c>
      <c r="B2052" s="1"/>
      <c r="C2052" s="1"/>
      <c r="D2052" s="1" t="s">
        <v>148</v>
      </c>
      <c r="E2052" t="s">
        <v>136</v>
      </c>
    </row>
    <row r="2053" spans="1:5" x14ac:dyDescent="0.35">
      <c r="A2053" s="1" t="s">
        <v>147</v>
      </c>
      <c r="B2053" s="1"/>
      <c r="C2053" s="1"/>
      <c r="D2053" s="1" t="s">
        <v>149</v>
      </c>
      <c r="E2053" t="s">
        <v>136</v>
      </c>
    </row>
    <row r="2054" spans="1:5" x14ac:dyDescent="0.35">
      <c r="A2054" s="1" t="s">
        <v>147</v>
      </c>
      <c r="B2054" s="1" t="s">
        <v>156</v>
      </c>
      <c r="C2054" s="1" t="s">
        <v>145</v>
      </c>
      <c r="D2054" s="1" t="s">
        <v>146</v>
      </c>
      <c r="E2054" t="s">
        <v>136</v>
      </c>
    </row>
    <row r="2055" spans="1:5" x14ac:dyDescent="0.35">
      <c r="A2055" s="1" t="s">
        <v>147</v>
      </c>
      <c r="B2055" s="1"/>
      <c r="C2055" s="1"/>
      <c r="D2055" s="1" t="s">
        <v>148</v>
      </c>
      <c r="E2055" t="s">
        <v>136</v>
      </c>
    </row>
    <row r="2056" spans="1:5" x14ac:dyDescent="0.35">
      <c r="A2056" s="1" t="s">
        <v>147</v>
      </c>
      <c r="B2056" s="1"/>
      <c r="C2056" s="1"/>
      <c r="D2056" s="1" t="s">
        <v>149</v>
      </c>
      <c r="E2056" t="s">
        <v>136</v>
      </c>
    </row>
    <row r="2057" spans="1:5" x14ac:dyDescent="0.35">
      <c r="A2057" s="1" t="s">
        <v>147</v>
      </c>
      <c r="B2057" s="1"/>
      <c r="C2057" s="1" t="s">
        <v>150</v>
      </c>
      <c r="D2057" s="1" t="s">
        <v>146</v>
      </c>
      <c r="E2057" t="s">
        <v>136</v>
      </c>
    </row>
    <row r="2058" spans="1:5" x14ac:dyDescent="0.35">
      <c r="A2058" s="1" t="s">
        <v>147</v>
      </c>
      <c r="B2058" s="1"/>
      <c r="C2058" s="1"/>
      <c r="D2058" s="1" t="s">
        <v>148</v>
      </c>
      <c r="E2058" t="s">
        <v>136</v>
      </c>
    </row>
    <row r="2059" spans="1:5" x14ac:dyDescent="0.35">
      <c r="A2059" s="1" t="s">
        <v>147</v>
      </c>
      <c r="B2059" s="1"/>
      <c r="C2059" s="1"/>
      <c r="D2059" s="1" t="s">
        <v>149</v>
      </c>
      <c r="E2059" t="s">
        <v>136</v>
      </c>
    </row>
    <row r="2060" spans="1:5" x14ac:dyDescent="0.35">
      <c r="A2060" s="1" t="s">
        <v>147</v>
      </c>
      <c r="B2060" s="1" t="s">
        <v>157</v>
      </c>
      <c r="C2060" s="1" t="s">
        <v>145</v>
      </c>
      <c r="D2060" s="1" t="s">
        <v>146</v>
      </c>
      <c r="E2060" t="s">
        <v>136</v>
      </c>
    </row>
    <row r="2061" spans="1:5" x14ac:dyDescent="0.35">
      <c r="A2061" s="1" t="s">
        <v>147</v>
      </c>
      <c r="B2061" s="1"/>
      <c r="C2061" s="1"/>
      <c r="D2061" s="1" t="s">
        <v>148</v>
      </c>
      <c r="E2061" t="s">
        <v>136</v>
      </c>
    </row>
    <row r="2062" spans="1:5" x14ac:dyDescent="0.35">
      <c r="A2062" s="1" t="s">
        <v>147</v>
      </c>
      <c r="B2062" s="1"/>
      <c r="C2062" s="1"/>
      <c r="D2062" s="1" t="s">
        <v>149</v>
      </c>
      <c r="E2062" t="s">
        <v>136</v>
      </c>
    </row>
    <row r="2063" spans="1:5" x14ac:dyDescent="0.35">
      <c r="A2063" s="1" t="s">
        <v>147</v>
      </c>
      <c r="B2063" s="1"/>
      <c r="C2063" s="1" t="s">
        <v>150</v>
      </c>
      <c r="D2063" s="1" t="s">
        <v>146</v>
      </c>
      <c r="E2063" t="s">
        <v>136</v>
      </c>
    </row>
    <row r="2064" spans="1:5" x14ac:dyDescent="0.35">
      <c r="A2064" s="1" t="s">
        <v>147</v>
      </c>
      <c r="B2064" s="1"/>
      <c r="C2064" s="1"/>
      <c r="D2064" s="1" t="s">
        <v>148</v>
      </c>
      <c r="E2064" t="s">
        <v>136</v>
      </c>
    </row>
    <row r="2065" spans="1:5" x14ac:dyDescent="0.35">
      <c r="A2065" s="1" t="s">
        <v>147</v>
      </c>
      <c r="B2065" s="1"/>
      <c r="C2065" s="1"/>
      <c r="D2065" s="1" t="s">
        <v>149</v>
      </c>
      <c r="E2065" t="s">
        <v>136</v>
      </c>
    </row>
    <row r="2066" spans="1:5" x14ac:dyDescent="0.35">
      <c r="A2066" s="1" t="s">
        <v>147</v>
      </c>
      <c r="B2066" s="1" t="s">
        <v>158</v>
      </c>
      <c r="C2066" s="1" t="s">
        <v>145</v>
      </c>
      <c r="D2066" s="1" t="s">
        <v>146</v>
      </c>
      <c r="E2066">
        <v>8.27</v>
      </c>
    </row>
    <row r="2067" spans="1:5" x14ac:dyDescent="0.35">
      <c r="A2067" s="1" t="s">
        <v>147</v>
      </c>
      <c r="B2067" s="1"/>
      <c r="C2067" s="1"/>
      <c r="D2067" s="1" t="s">
        <v>148</v>
      </c>
      <c r="E2067" t="s">
        <v>136</v>
      </c>
    </row>
    <row r="2068" spans="1:5" x14ac:dyDescent="0.35">
      <c r="A2068" s="1" t="s">
        <v>147</v>
      </c>
      <c r="B2068" s="1"/>
      <c r="C2068" s="1"/>
      <c r="D2068" s="1" t="s">
        <v>149</v>
      </c>
      <c r="E2068">
        <v>8.27</v>
      </c>
    </row>
    <row r="2069" spans="1:5" x14ac:dyDescent="0.35">
      <c r="A2069" s="1" t="s">
        <v>147</v>
      </c>
      <c r="B2069" s="1"/>
      <c r="C2069" s="1" t="s">
        <v>150</v>
      </c>
      <c r="D2069" s="1" t="s">
        <v>146</v>
      </c>
      <c r="E2069" t="s">
        <v>136</v>
      </c>
    </row>
    <row r="2070" spans="1:5" x14ac:dyDescent="0.35">
      <c r="A2070" s="1" t="s">
        <v>147</v>
      </c>
      <c r="B2070" s="1"/>
      <c r="C2070" s="1"/>
      <c r="D2070" s="1" t="s">
        <v>148</v>
      </c>
      <c r="E2070" t="s">
        <v>136</v>
      </c>
    </row>
    <row r="2071" spans="1:5" x14ac:dyDescent="0.35">
      <c r="A2071" s="1" t="s">
        <v>147</v>
      </c>
      <c r="B2071" s="1"/>
      <c r="C2071" s="1"/>
      <c r="D2071" s="1" t="s">
        <v>149</v>
      </c>
      <c r="E2071" t="s">
        <v>136</v>
      </c>
    </row>
    <row r="2072" spans="1:5" x14ac:dyDescent="0.35">
      <c r="A2072" s="1" t="s">
        <v>147</v>
      </c>
      <c r="B2072" s="1" t="s">
        <v>159</v>
      </c>
      <c r="C2072" s="1" t="s">
        <v>145</v>
      </c>
      <c r="D2072" s="1" t="s">
        <v>146</v>
      </c>
      <c r="E2072" t="s">
        <v>136</v>
      </c>
    </row>
    <row r="2073" spans="1:5" x14ac:dyDescent="0.35">
      <c r="A2073" s="1" t="s">
        <v>147</v>
      </c>
      <c r="B2073" s="1"/>
      <c r="C2073" s="1"/>
      <c r="D2073" s="1" t="s">
        <v>148</v>
      </c>
      <c r="E2073" t="s">
        <v>136</v>
      </c>
    </row>
    <row r="2074" spans="1:5" x14ac:dyDescent="0.35">
      <c r="A2074" s="1" t="s">
        <v>147</v>
      </c>
      <c r="B2074" s="1"/>
      <c r="C2074" s="1"/>
      <c r="D2074" s="1" t="s">
        <v>149</v>
      </c>
      <c r="E2074" t="s">
        <v>136</v>
      </c>
    </row>
    <row r="2075" spans="1:5" x14ac:dyDescent="0.35">
      <c r="A2075" s="1" t="s">
        <v>147</v>
      </c>
      <c r="B2075" s="1"/>
      <c r="C2075" s="1" t="s">
        <v>150</v>
      </c>
      <c r="D2075" s="1" t="s">
        <v>146</v>
      </c>
      <c r="E2075" t="s">
        <v>136</v>
      </c>
    </row>
    <row r="2076" spans="1:5" x14ac:dyDescent="0.35">
      <c r="A2076" s="1" t="s">
        <v>147</v>
      </c>
      <c r="B2076" s="1"/>
      <c r="C2076" s="1"/>
      <c r="D2076" s="1" t="s">
        <v>148</v>
      </c>
      <c r="E2076" t="s">
        <v>136</v>
      </c>
    </row>
    <row r="2077" spans="1:5" x14ac:dyDescent="0.35">
      <c r="A2077" s="1" t="s">
        <v>147</v>
      </c>
      <c r="B2077" s="1"/>
      <c r="C2077" s="1"/>
      <c r="D2077" s="1" t="s">
        <v>149</v>
      </c>
      <c r="E2077" t="s">
        <v>136</v>
      </c>
    </row>
    <row r="2078" spans="1:5" x14ac:dyDescent="0.35">
      <c r="A2078" s="1" t="s">
        <v>147</v>
      </c>
      <c r="B2078" s="1" t="s">
        <v>160</v>
      </c>
      <c r="C2078" s="1" t="s">
        <v>145</v>
      </c>
      <c r="D2078" s="1" t="s">
        <v>146</v>
      </c>
      <c r="E2078" t="s">
        <v>136</v>
      </c>
    </row>
    <row r="2079" spans="1:5" x14ac:dyDescent="0.35">
      <c r="A2079" s="1" t="s">
        <v>147</v>
      </c>
      <c r="B2079" s="1"/>
      <c r="C2079" s="1"/>
      <c r="D2079" s="1" t="s">
        <v>148</v>
      </c>
      <c r="E2079" t="s">
        <v>136</v>
      </c>
    </row>
    <row r="2080" spans="1:5" x14ac:dyDescent="0.35">
      <c r="A2080" s="1" t="s">
        <v>147</v>
      </c>
      <c r="B2080" s="1"/>
      <c r="C2080" s="1"/>
      <c r="D2080" s="1" t="s">
        <v>149</v>
      </c>
      <c r="E2080" t="s">
        <v>136</v>
      </c>
    </row>
    <row r="2081" spans="1:5" x14ac:dyDescent="0.35">
      <c r="A2081" s="1" t="s">
        <v>147</v>
      </c>
      <c r="B2081" s="1"/>
      <c r="C2081" s="1" t="s">
        <v>150</v>
      </c>
      <c r="D2081" s="1" t="s">
        <v>146</v>
      </c>
      <c r="E2081" t="s">
        <v>136</v>
      </c>
    </row>
    <row r="2082" spans="1:5" x14ac:dyDescent="0.35">
      <c r="A2082" s="1" t="s">
        <v>147</v>
      </c>
      <c r="B2082" s="1"/>
      <c r="C2082" s="1"/>
      <c r="D2082" s="1" t="s">
        <v>148</v>
      </c>
      <c r="E2082" t="s">
        <v>136</v>
      </c>
    </row>
    <row r="2083" spans="1:5" x14ac:dyDescent="0.35">
      <c r="A2083" s="1" t="s">
        <v>147</v>
      </c>
      <c r="B2083" s="1"/>
      <c r="C2083" s="1"/>
      <c r="D2083" s="1" t="s">
        <v>149</v>
      </c>
      <c r="E2083" t="s">
        <v>136</v>
      </c>
    </row>
    <row r="2084" spans="1:5" x14ac:dyDescent="0.35">
      <c r="A2084" s="1" t="s">
        <v>147</v>
      </c>
      <c r="B2084" s="1" t="s">
        <v>161</v>
      </c>
      <c r="C2084" s="1" t="s">
        <v>145</v>
      </c>
      <c r="D2084" s="1" t="s">
        <v>146</v>
      </c>
      <c r="E2084">
        <v>0.1</v>
      </c>
    </row>
    <row r="2085" spans="1:5" x14ac:dyDescent="0.35">
      <c r="A2085" s="1" t="s">
        <v>147</v>
      </c>
      <c r="B2085" s="1"/>
      <c r="C2085" s="1"/>
      <c r="D2085" s="1" t="s">
        <v>148</v>
      </c>
      <c r="E2085">
        <v>0.1</v>
      </c>
    </row>
    <row r="2086" spans="1:5" x14ac:dyDescent="0.35">
      <c r="A2086" s="1" t="s">
        <v>147</v>
      </c>
      <c r="B2086" s="1"/>
      <c r="C2086" s="1"/>
      <c r="D2086" s="1" t="s">
        <v>149</v>
      </c>
      <c r="E2086" t="s">
        <v>136</v>
      </c>
    </row>
    <row r="2087" spans="1:5" x14ac:dyDescent="0.35">
      <c r="A2087" s="1" t="s">
        <v>147</v>
      </c>
      <c r="B2087" s="1"/>
      <c r="C2087" s="1" t="s">
        <v>150</v>
      </c>
      <c r="D2087" s="1" t="s">
        <v>146</v>
      </c>
      <c r="E2087" t="s">
        <v>136</v>
      </c>
    </row>
    <row r="2088" spans="1:5" x14ac:dyDescent="0.35">
      <c r="A2088" s="1" t="s">
        <v>147</v>
      </c>
      <c r="B2088" s="1"/>
      <c r="C2088" s="1"/>
      <c r="D2088" s="1" t="s">
        <v>148</v>
      </c>
      <c r="E2088" t="s">
        <v>136</v>
      </c>
    </row>
    <row r="2089" spans="1:5" x14ac:dyDescent="0.35">
      <c r="A2089" s="1" t="s">
        <v>147</v>
      </c>
      <c r="B2089" s="1"/>
      <c r="C2089" s="1"/>
      <c r="D2089" s="1" t="s">
        <v>149</v>
      </c>
      <c r="E2089" t="s">
        <v>136</v>
      </c>
    </row>
    <row r="2090" spans="1:5" x14ac:dyDescent="0.35">
      <c r="A2090" s="1" t="s">
        <v>147</v>
      </c>
      <c r="B2090" s="1" t="s">
        <v>162</v>
      </c>
      <c r="C2090" s="1" t="s">
        <v>145</v>
      </c>
      <c r="D2090" s="1" t="s">
        <v>146</v>
      </c>
      <c r="E2090" t="s">
        <v>136</v>
      </c>
    </row>
    <row r="2091" spans="1:5" x14ac:dyDescent="0.35">
      <c r="A2091" s="1" t="s">
        <v>147</v>
      </c>
      <c r="B2091" s="1"/>
      <c r="C2091" s="1"/>
      <c r="D2091" s="1" t="s">
        <v>148</v>
      </c>
      <c r="E2091" t="s">
        <v>136</v>
      </c>
    </row>
    <row r="2092" spans="1:5" x14ac:dyDescent="0.35">
      <c r="A2092" s="1" t="s">
        <v>147</v>
      </c>
      <c r="B2092" s="1"/>
      <c r="C2092" s="1"/>
      <c r="D2092" s="1" t="s">
        <v>149</v>
      </c>
      <c r="E2092" t="s">
        <v>136</v>
      </c>
    </row>
    <row r="2093" spans="1:5" x14ac:dyDescent="0.35">
      <c r="A2093" s="1" t="s">
        <v>147</v>
      </c>
      <c r="B2093" s="1"/>
      <c r="C2093" s="1" t="s">
        <v>150</v>
      </c>
      <c r="D2093" s="1" t="s">
        <v>146</v>
      </c>
      <c r="E2093" t="s">
        <v>136</v>
      </c>
    </row>
    <row r="2094" spans="1:5" x14ac:dyDescent="0.35">
      <c r="A2094" s="1" t="s">
        <v>147</v>
      </c>
      <c r="B2094" s="1"/>
      <c r="C2094" s="1"/>
      <c r="D2094" s="1" t="s">
        <v>148</v>
      </c>
      <c r="E2094" t="s">
        <v>136</v>
      </c>
    </row>
    <row r="2095" spans="1:5" x14ac:dyDescent="0.35">
      <c r="A2095" s="1" t="s">
        <v>147</v>
      </c>
      <c r="B2095" s="1"/>
      <c r="C2095" s="1"/>
      <c r="D2095" s="1" t="s">
        <v>149</v>
      </c>
      <c r="E2095" t="s">
        <v>136</v>
      </c>
    </row>
    <row r="2096" spans="1:5" x14ac:dyDescent="0.35">
      <c r="A2096" s="1" t="s">
        <v>147</v>
      </c>
      <c r="B2096" s="1" t="s">
        <v>163</v>
      </c>
      <c r="C2096" s="1" t="s">
        <v>145</v>
      </c>
      <c r="D2096" s="1" t="s">
        <v>146</v>
      </c>
      <c r="E2096">
        <v>4113.5</v>
      </c>
    </row>
    <row r="2097" spans="1:5" x14ac:dyDescent="0.35">
      <c r="A2097" s="1" t="s">
        <v>147</v>
      </c>
      <c r="B2097" s="1"/>
      <c r="C2097" s="1"/>
      <c r="D2097" s="1" t="s">
        <v>148</v>
      </c>
      <c r="E2097">
        <v>4113.5</v>
      </c>
    </row>
    <row r="2098" spans="1:5" x14ac:dyDescent="0.35">
      <c r="A2098" s="1" t="s">
        <v>147</v>
      </c>
      <c r="B2098" s="1"/>
      <c r="C2098" s="1"/>
      <c r="D2098" s="1" t="s">
        <v>149</v>
      </c>
      <c r="E2098" t="s">
        <v>136</v>
      </c>
    </row>
    <row r="2099" spans="1:5" x14ac:dyDescent="0.35">
      <c r="A2099" s="1" t="s">
        <v>147</v>
      </c>
      <c r="B2099" s="1"/>
      <c r="C2099" s="1" t="s">
        <v>150</v>
      </c>
      <c r="D2099" s="1" t="s">
        <v>146</v>
      </c>
      <c r="E2099" t="s">
        <v>136</v>
      </c>
    </row>
    <row r="2100" spans="1:5" x14ac:dyDescent="0.35">
      <c r="A2100" s="1" t="s">
        <v>147</v>
      </c>
      <c r="B2100" s="1"/>
      <c r="C2100" s="1"/>
      <c r="D2100" s="1" t="s">
        <v>148</v>
      </c>
      <c r="E2100" t="s">
        <v>136</v>
      </c>
    </row>
    <row r="2101" spans="1:5" x14ac:dyDescent="0.35">
      <c r="A2101" s="1" t="s">
        <v>147</v>
      </c>
      <c r="B2101" s="1"/>
      <c r="C2101" s="1"/>
      <c r="D2101" s="1" t="s">
        <v>149</v>
      </c>
      <c r="E2101" t="s">
        <v>136</v>
      </c>
    </row>
    <row r="2102" spans="1:5" x14ac:dyDescent="0.35">
      <c r="A2102" s="1" t="s">
        <v>147</v>
      </c>
      <c r="B2102" s="1" t="s">
        <v>164</v>
      </c>
      <c r="C2102" s="1" t="s">
        <v>145</v>
      </c>
      <c r="D2102" s="1" t="s">
        <v>146</v>
      </c>
      <c r="E2102" t="s">
        <v>136</v>
      </c>
    </row>
    <row r="2103" spans="1:5" x14ac:dyDescent="0.35">
      <c r="A2103" s="1" t="s">
        <v>147</v>
      </c>
      <c r="B2103" s="1"/>
      <c r="C2103" s="1"/>
      <c r="D2103" s="1" t="s">
        <v>148</v>
      </c>
      <c r="E2103" t="s">
        <v>136</v>
      </c>
    </row>
    <row r="2104" spans="1:5" x14ac:dyDescent="0.35">
      <c r="A2104" s="1" t="s">
        <v>147</v>
      </c>
      <c r="B2104" s="1"/>
      <c r="C2104" s="1"/>
      <c r="D2104" s="1" t="s">
        <v>149</v>
      </c>
      <c r="E2104" t="s">
        <v>136</v>
      </c>
    </row>
    <row r="2105" spans="1:5" x14ac:dyDescent="0.35">
      <c r="A2105" s="1" t="s">
        <v>147</v>
      </c>
      <c r="B2105" s="1"/>
      <c r="C2105" s="1" t="s">
        <v>150</v>
      </c>
      <c r="D2105" s="1" t="s">
        <v>146</v>
      </c>
      <c r="E2105" t="s">
        <v>136</v>
      </c>
    </row>
    <row r="2106" spans="1:5" x14ac:dyDescent="0.35">
      <c r="A2106" s="1" t="s">
        <v>147</v>
      </c>
      <c r="B2106" s="1"/>
      <c r="C2106" s="1"/>
      <c r="D2106" s="1" t="s">
        <v>148</v>
      </c>
      <c r="E2106" t="s">
        <v>136</v>
      </c>
    </row>
    <row r="2107" spans="1:5" x14ac:dyDescent="0.35">
      <c r="A2107" s="1" t="s">
        <v>147</v>
      </c>
      <c r="B2107" s="1"/>
      <c r="C2107" s="1"/>
      <c r="D2107" s="1" t="s">
        <v>149</v>
      </c>
      <c r="E2107" t="s">
        <v>136</v>
      </c>
    </row>
    <row r="2108" spans="1:5" x14ac:dyDescent="0.35">
      <c r="A2108" s="1" t="s">
        <v>147</v>
      </c>
      <c r="B2108" s="1" t="s">
        <v>165</v>
      </c>
      <c r="C2108" s="1" t="s">
        <v>145</v>
      </c>
      <c r="D2108" s="1" t="s">
        <v>146</v>
      </c>
      <c r="E2108" t="s">
        <v>136</v>
      </c>
    </row>
    <row r="2109" spans="1:5" x14ac:dyDescent="0.35">
      <c r="A2109" s="1" t="s">
        <v>147</v>
      </c>
      <c r="B2109" s="1"/>
      <c r="C2109" s="1"/>
      <c r="D2109" s="1" t="s">
        <v>148</v>
      </c>
      <c r="E2109" t="s">
        <v>136</v>
      </c>
    </row>
    <row r="2110" spans="1:5" x14ac:dyDescent="0.35">
      <c r="A2110" s="1" t="s">
        <v>147</v>
      </c>
      <c r="B2110" s="1"/>
      <c r="C2110" s="1"/>
      <c r="D2110" s="1" t="s">
        <v>149</v>
      </c>
      <c r="E2110" t="s">
        <v>136</v>
      </c>
    </row>
    <row r="2111" spans="1:5" x14ac:dyDescent="0.35">
      <c r="A2111" s="1" t="s">
        <v>147</v>
      </c>
      <c r="B2111" s="1"/>
      <c r="C2111" s="1" t="s">
        <v>150</v>
      </c>
      <c r="D2111" s="1" t="s">
        <v>146</v>
      </c>
      <c r="E2111" t="s">
        <v>136</v>
      </c>
    </row>
    <row r="2112" spans="1:5" x14ac:dyDescent="0.35">
      <c r="A2112" s="1" t="s">
        <v>147</v>
      </c>
      <c r="B2112" s="1"/>
      <c r="C2112" s="1"/>
      <c r="D2112" s="1" t="s">
        <v>148</v>
      </c>
      <c r="E2112" t="s">
        <v>136</v>
      </c>
    </row>
    <row r="2113" spans="1:5" x14ac:dyDescent="0.35">
      <c r="A2113" s="1" t="s">
        <v>147</v>
      </c>
      <c r="B2113" s="1"/>
      <c r="C2113" s="1"/>
      <c r="D2113" s="1" t="s">
        <v>149</v>
      </c>
      <c r="E2113" t="s">
        <v>136</v>
      </c>
    </row>
    <row r="2114" spans="1:5" x14ac:dyDescent="0.35">
      <c r="A2114" s="1" t="s">
        <v>147</v>
      </c>
      <c r="B2114" s="1" t="s">
        <v>166</v>
      </c>
      <c r="C2114" s="1" t="s">
        <v>145</v>
      </c>
      <c r="D2114" s="1" t="s">
        <v>146</v>
      </c>
      <c r="E2114">
        <v>370</v>
      </c>
    </row>
    <row r="2115" spans="1:5" x14ac:dyDescent="0.35">
      <c r="A2115" s="1" t="s">
        <v>147</v>
      </c>
      <c r="B2115" s="1"/>
      <c r="C2115" s="1"/>
      <c r="D2115" s="1" t="s">
        <v>148</v>
      </c>
      <c r="E2115">
        <v>370</v>
      </c>
    </row>
    <row r="2116" spans="1:5" x14ac:dyDescent="0.35">
      <c r="A2116" s="1" t="s">
        <v>147</v>
      </c>
      <c r="B2116" s="1"/>
      <c r="C2116" s="1"/>
      <c r="D2116" s="1" t="s">
        <v>149</v>
      </c>
      <c r="E2116" t="s">
        <v>136</v>
      </c>
    </row>
    <row r="2117" spans="1:5" x14ac:dyDescent="0.35">
      <c r="A2117" s="1" t="s">
        <v>147</v>
      </c>
      <c r="B2117" s="1"/>
      <c r="C2117" s="1" t="s">
        <v>150</v>
      </c>
      <c r="D2117" s="1" t="s">
        <v>146</v>
      </c>
      <c r="E2117" t="s">
        <v>136</v>
      </c>
    </row>
    <row r="2118" spans="1:5" x14ac:dyDescent="0.35">
      <c r="A2118" s="1" t="s">
        <v>147</v>
      </c>
      <c r="B2118" s="1"/>
      <c r="C2118" s="1"/>
      <c r="D2118" s="1" t="s">
        <v>148</v>
      </c>
      <c r="E2118" t="s">
        <v>136</v>
      </c>
    </row>
    <row r="2119" spans="1:5" x14ac:dyDescent="0.35">
      <c r="A2119" s="1" t="s">
        <v>147</v>
      </c>
      <c r="B2119" s="1"/>
      <c r="C2119" s="1"/>
      <c r="D2119" s="1" t="s">
        <v>149</v>
      </c>
      <c r="E2119" t="s">
        <v>136</v>
      </c>
    </row>
    <row r="2120" spans="1:5" x14ac:dyDescent="0.35">
      <c r="A2120" s="1" t="s">
        <v>147</v>
      </c>
      <c r="B2120" s="1" t="s">
        <v>167</v>
      </c>
      <c r="C2120" s="1" t="s">
        <v>145</v>
      </c>
      <c r="D2120" s="1" t="s">
        <v>146</v>
      </c>
      <c r="E2120">
        <v>3743.5</v>
      </c>
    </row>
    <row r="2121" spans="1:5" x14ac:dyDescent="0.35">
      <c r="A2121" s="1" t="s">
        <v>147</v>
      </c>
      <c r="B2121" s="1"/>
      <c r="C2121" s="1"/>
      <c r="D2121" s="1" t="s">
        <v>148</v>
      </c>
      <c r="E2121">
        <v>3743.5</v>
      </c>
    </row>
    <row r="2122" spans="1:5" x14ac:dyDescent="0.35">
      <c r="A2122" s="1" t="s">
        <v>147</v>
      </c>
      <c r="B2122" s="1"/>
      <c r="C2122" s="1"/>
      <c r="D2122" s="1" t="s">
        <v>149</v>
      </c>
      <c r="E2122" t="s">
        <v>136</v>
      </c>
    </row>
    <row r="2123" spans="1:5" x14ac:dyDescent="0.35">
      <c r="A2123" s="1" t="s">
        <v>147</v>
      </c>
      <c r="B2123" s="1"/>
      <c r="C2123" s="1" t="s">
        <v>150</v>
      </c>
      <c r="D2123" s="1" t="s">
        <v>146</v>
      </c>
      <c r="E2123" t="s">
        <v>136</v>
      </c>
    </row>
    <row r="2124" spans="1:5" x14ac:dyDescent="0.35">
      <c r="A2124" s="1" t="s">
        <v>147</v>
      </c>
      <c r="B2124" s="1"/>
      <c r="C2124" s="1"/>
      <c r="D2124" s="1" t="s">
        <v>148</v>
      </c>
      <c r="E2124" t="s">
        <v>136</v>
      </c>
    </row>
    <row r="2125" spans="1:5" x14ac:dyDescent="0.35">
      <c r="A2125" s="1" t="s">
        <v>147</v>
      </c>
      <c r="B2125" s="1"/>
      <c r="C2125" s="1"/>
      <c r="D2125" s="1" t="s">
        <v>149</v>
      </c>
      <c r="E2125" t="s">
        <v>136</v>
      </c>
    </row>
    <row r="2126" spans="1:5" x14ac:dyDescent="0.35">
      <c r="A2126" s="1" t="s">
        <v>147</v>
      </c>
      <c r="B2126" s="1" t="s">
        <v>168</v>
      </c>
      <c r="C2126" s="1" t="s">
        <v>145</v>
      </c>
      <c r="D2126" s="1" t="s">
        <v>146</v>
      </c>
      <c r="E2126" t="s">
        <v>136</v>
      </c>
    </row>
    <row r="2127" spans="1:5" x14ac:dyDescent="0.35">
      <c r="A2127" s="1" t="s">
        <v>147</v>
      </c>
      <c r="B2127" s="1"/>
      <c r="C2127" s="1"/>
      <c r="D2127" s="1" t="s">
        <v>148</v>
      </c>
      <c r="E2127" t="s">
        <v>136</v>
      </c>
    </row>
    <row r="2128" spans="1:5" x14ac:dyDescent="0.35">
      <c r="A2128" s="1" t="s">
        <v>147</v>
      </c>
      <c r="B2128" s="1"/>
      <c r="C2128" s="1"/>
      <c r="D2128" s="1" t="s">
        <v>149</v>
      </c>
      <c r="E2128" t="s">
        <v>136</v>
      </c>
    </row>
    <row r="2129" spans="1:5" x14ac:dyDescent="0.35">
      <c r="A2129" s="1" t="s">
        <v>147</v>
      </c>
      <c r="B2129" s="1"/>
      <c r="C2129" s="1" t="s">
        <v>150</v>
      </c>
      <c r="D2129" s="1" t="s">
        <v>146</v>
      </c>
      <c r="E2129" t="s">
        <v>136</v>
      </c>
    </row>
    <row r="2130" spans="1:5" x14ac:dyDescent="0.35">
      <c r="A2130" s="1" t="s">
        <v>147</v>
      </c>
      <c r="B2130" s="1"/>
      <c r="C2130" s="1"/>
      <c r="D2130" s="1" t="s">
        <v>148</v>
      </c>
      <c r="E2130" t="s">
        <v>136</v>
      </c>
    </row>
    <row r="2131" spans="1:5" x14ac:dyDescent="0.35">
      <c r="A2131" s="1" t="s">
        <v>147</v>
      </c>
      <c r="B2131" s="1"/>
      <c r="C2131" s="1"/>
      <c r="D2131" s="1" t="s">
        <v>149</v>
      </c>
      <c r="E2131" t="s">
        <v>136</v>
      </c>
    </row>
    <row r="2132" spans="1:5" x14ac:dyDescent="0.35">
      <c r="A2132" s="1" t="s">
        <v>147</v>
      </c>
      <c r="B2132" s="1" t="s">
        <v>169</v>
      </c>
      <c r="C2132" s="1" t="s">
        <v>145</v>
      </c>
      <c r="D2132" s="1" t="s">
        <v>146</v>
      </c>
      <c r="E2132" t="s">
        <v>136</v>
      </c>
    </row>
    <row r="2133" spans="1:5" x14ac:dyDescent="0.35">
      <c r="A2133" s="1" t="s">
        <v>147</v>
      </c>
      <c r="B2133" s="1"/>
      <c r="C2133" s="1"/>
      <c r="D2133" s="1" t="s">
        <v>148</v>
      </c>
      <c r="E2133" t="s">
        <v>136</v>
      </c>
    </row>
    <row r="2134" spans="1:5" x14ac:dyDescent="0.35">
      <c r="A2134" s="1" t="s">
        <v>147</v>
      </c>
      <c r="B2134" s="1"/>
      <c r="C2134" s="1"/>
      <c r="D2134" s="1" t="s">
        <v>149</v>
      </c>
      <c r="E2134" t="s">
        <v>136</v>
      </c>
    </row>
    <row r="2135" spans="1:5" x14ac:dyDescent="0.35">
      <c r="A2135" s="1" t="s">
        <v>147</v>
      </c>
      <c r="B2135" s="1"/>
      <c r="C2135" s="1" t="s">
        <v>150</v>
      </c>
      <c r="D2135" s="1" t="s">
        <v>146</v>
      </c>
      <c r="E2135" t="s">
        <v>136</v>
      </c>
    </row>
    <row r="2136" spans="1:5" x14ac:dyDescent="0.35">
      <c r="A2136" s="1" t="s">
        <v>147</v>
      </c>
      <c r="B2136" s="1"/>
      <c r="C2136" s="1"/>
      <c r="D2136" s="1" t="s">
        <v>148</v>
      </c>
      <c r="E2136" t="s">
        <v>136</v>
      </c>
    </row>
    <row r="2137" spans="1:5" x14ac:dyDescent="0.35">
      <c r="A2137" s="1" t="s">
        <v>147</v>
      </c>
      <c r="B2137" s="1"/>
      <c r="C2137" s="1"/>
      <c r="D2137" s="1" t="s">
        <v>149</v>
      </c>
      <c r="E2137" t="s">
        <v>136</v>
      </c>
    </row>
    <row r="2138" spans="1:5" x14ac:dyDescent="0.35">
      <c r="A2138" s="1" t="s">
        <v>147</v>
      </c>
      <c r="B2138" s="1" t="s">
        <v>170</v>
      </c>
      <c r="C2138" s="1" t="s">
        <v>145</v>
      </c>
      <c r="D2138" s="1" t="s">
        <v>146</v>
      </c>
      <c r="E2138" t="s">
        <v>136</v>
      </c>
    </row>
    <row r="2139" spans="1:5" x14ac:dyDescent="0.35">
      <c r="A2139" s="1" t="s">
        <v>147</v>
      </c>
      <c r="B2139" s="1"/>
      <c r="C2139" s="1"/>
      <c r="D2139" s="1" t="s">
        <v>148</v>
      </c>
      <c r="E2139" t="s">
        <v>136</v>
      </c>
    </row>
    <row r="2140" spans="1:5" x14ac:dyDescent="0.35">
      <c r="A2140" s="1" t="s">
        <v>147</v>
      </c>
      <c r="B2140" s="1"/>
      <c r="C2140" s="1"/>
      <c r="D2140" s="1" t="s">
        <v>149</v>
      </c>
      <c r="E2140" t="s">
        <v>136</v>
      </c>
    </row>
    <row r="2141" spans="1:5" x14ac:dyDescent="0.35">
      <c r="A2141" s="1" t="s">
        <v>147</v>
      </c>
      <c r="B2141" s="1"/>
      <c r="C2141" s="1" t="s">
        <v>150</v>
      </c>
      <c r="D2141" s="1" t="s">
        <v>146</v>
      </c>
      <c r="E2141" t="s">
        <v>136</v>
      </c>
    </row>
    <row r="2142" spans="1:5" x14ac:dyDescent="0.35">
      <c r="A2142" s="1" t="s">
        <v>147</v>
      </c>
      <c r="B2142" s="1"/>
      <c r="C2142" s="1"/>
      <c r="D2142" s="1" t="s">
        <v>148</v>
      </c>
      <c r="E2142" t="s">
        <v>136</v>
      </c>
    </row>
    <row r="2143" spans="1:5" x14ac:dyDescent="0.35">
      <c r="A2143" s="1" t="s">
        <v>147</v>
      </c>
      <c r="B2143" s="1"/>
      <c r="C2143" s="1"/>
      <c r="D2143" s="1" t="s">
        <v>149</v>
      </c>
      <c r="E2143" t="s">
        <v>136</v>
      </c>
    </row>
    <row r="2144" spans="1:5" x14ac:dyDescent="0.35">
      <c r="A2144" s="1" t="s">
        <v>63</v>
      </c>
      <c r="B2144" s="1" t="s">
        <v>144</v>
      </c>
      <c r="C2144" s="1" t="s">
        <v>145</v>
      </c>
      <c r="D2144" s="1" t="s">
        <v>146</v>
      </c>
      <c r="E2144">
        <v>831.1</v>
      </c>
    </row>
    <row r="2145" spans="1:5" x14ac:dyDescent="0.35">
      <c r="A2145" s="1" t="s">
        <v>147</v>
      </c>
      <c r="B2145" s="1"/>
      <c r="C2145" s="1"/>
      <c r="D2145" s="1" t="s">
        <v>148</v>
      </c>
      <c r="E2145">
        <v>812.08</v>
      </c>
    </row>
    <row r="2146" spans="1:5" x14ac:dyDescent="0.35">
      <c r="A2146" s="1" t="s">
        <v>147</v>
      </c>
      <c r="B2146" s="1"/>
      <c r="C2146" s="1"/>
      <c r="D2146" s="1" t="s">
        <v>149</v>
      </c>
      <c r="E2146">
        <v>19.02</v>
      </c>
    </row>
    <row r="2147" spans="1:5" x14ac:dyDescent="0.35">
      <c r="A2147" s="1" t="s">
        <v>147</v>
      </c>
      <c r="B2147" s="1"/>
      <c r="C2147" s="1" t="s">
        <v>150</v>
      </c>
      <c r="D2147" s="1" t="s">
        <v>146</v>
      </c>
      <c r="E2147" t="s">
        <v>136</v>
      </c>
    </row>
    <row r="2148" spans="1:5" x14ac:dyDescent="0.35">
      <c r="A2148" s="1" t="s">
        <v>147</v>
      </c>
      <c r="B2148" s="1"/>
      <c r="C2148" s="1"/>
      <c r="D2148" s="1" t="s">
        <v>148</v>
      </c>
      <c r="E2148" t="s">
        <v>136</v>
      </c>
    </row>
    <row r="2149" spans="1:5" x14ac:dyDescent="0.35">
      <c r="A2149" s="1" t="s">
        <v>147</v>
      </c>
      <c r="B2149" s="1"/>
      <c r="C2149" s="1"/>
      <c r="D2149" s="1" t="s">
        <v>149</v>
      </c>
      <c r="E2149" t="s">
        <v>136</v>
      </c>
    </row>
    <row r="2150" spans="1:5" x14ac:dyDescent="0.35">
      <c r="A2150" s="1" t="s">
        <v>147</v>
      </c>
      <c r="B2150" s="1" t="s">
        <v>151</v>
      </c>
      <c r="C2150" s="1" t="s">
        <v>145</v>
      </c>
      <c r="D2150" s="1" t="s">
        <v>146</v>
      </c>
      <c r="E2150">
        <v>16.88</v>
      </c>
    </row>
    <row r="2151" spans="1:5" x14ac:dyDescent="0.35">
      <c r="A2151" s="1" t="s">
        <v>147</v>
      </c>
      <c r="B2151" s="1"/>
      <c r="C2151" s="1"/>
      <c r="D2151" s="1" t="s">
        <v>148</v>
      </c>
      <c r="E2151">
        <v>0.08</v>
      </c>
    </row>
    <row r="2152" spans="1:5" x14ac:dyDescent="0.35">
      <c r="A2152" s="1" t="s">
        <v>147</v>
      </c>
      <c r="B2152" s="1"/>
      <c r="C2152" s="1"/>
      <c r="D2152" s="1" t="s">
        <v>149</v>
      </c>
      <c r="E2152">
        <v>16.8</v>
      </c>
    </row>
    <row r="2153" spans="1:5" x14ac:dyDescent="0.35">
      <c r="A2153" s="1" t="s">
        <v>147</v>
      </c>
      <c r="B2153" s="1"/>
      <c r="C2153" s="1" t="s">
        <v>150</v>
      </c>
      <c r="D2153" s="1" t="s">
        <v>146</v>
      </c>
      <c r="E2153" t="s">
        <v>136</v>
      </c>
    </row>
    <row r="2154" spans="1:5" x14ac:dyDescent="0.35">
      <c r="A2154" s="1" t="s">
        <v>147</v>
      </c>
      <c r="B2154" s="1"/>
      <c r="C2154" s="1"/>
      <c r="D2154" s="1" t="s">
        <v>148</v>
      </c>
      <c r="E2154" t="s">
        <v>136</v>
      </c>
    </row>
    <row r="2155" spans="1:5" x14ac:dyDescent="0.35">
      <c r="A2155" s="1" t="s">
        <v>147</v>
      </c>
      <c r="B2155" s="1"/>
      <c r="C2155" s="1"/>
      <c r="D2155" s="1" t="s">
        <v>149</v>
      </c>
      <c r="E2155" t="s">
        <v>136</v>
      </c>
    </row>
    <row r="2156" spans="1:5" x14ac:dyDescent="0.35">
      <c r="A2156" s="1" t="s">
        <v>147</v>
      </c>
      <c r="B2156" s="1" t="s">
        <v>152</v>
      </c>
      <c r="C2156" s="1" t="s">
        <v>145</v>
      </c>
      <c r="D2156" s="1" t="s">
        <v>146</v>
      </c>
      <c r="E2156" t="s">
        <v>136</v>
      </c>
    </row>
    <row r="2157" spans="1:5" x14ac:dyDescent="0.35">
      <c r="A2157" s="1" t="s">
        <v>147</v>
      </c>
      <c r="B2157" s="1"/>
      <c r="C2157" s="1"/>
      <c r="D2157" s="1" t="s">
        <v>148</v>
      </c>
      <c r="E2157" t="s">
        <v>136</v>
      </c>
    </row>
    <row r="2158" spans="1:5" x14ac:dyDescent="0.35">
      <c r="A2158" s="1" t="s">
        <v>147</v>
      </c>
      <c r="B2158" s="1"/>
      <c r="C2158" s="1"/>
      <c r="D2158" s="1" t="s">
        <v>149</v>
      </c>
      <c r="E2158" t="s">
        <v>136</v>
      </c>
    </row>
    <row r="2159" spans="1:5" x14ac:dyDescent="0.35">
      <c r="A2159" s="1" t="s">
        <v>147</v>
      </c>
      <c r="B2159" s="1"/>
      <c r="C2159" s="1" t="s">
        <v>150</v>
      </c>
      <c r="D2159" s="1" t="s">
        <v>146</v>
      </c>
      <c r="E2159" t="s">
        <v>136</v>
      </c>
    </row>
    <row r="2160" spans="1:5" x14ac:dyDescent="0.35">
      <c r="A2160" s="1" t="s">
        <v>147</v>
      </c>
      <c r="B2160" s="1"/>
      <c r="C2160" s="1"/>
      <c r="D2160" s="1" t="s">
        <v>148</v>
      </c>
      <c r="E2160" t="s">
        <v>136</v>
      </c>
    </row>
    <row r="2161" spans="1:5" x14ac:dyDescent="0.35">
      <c r="A2161" s="1" t="s">
        <v>147</v>
      </c>
      <c r="B2161" s="1"/>
      <c r="C2161" s="1"/>
      <c r="D2161" s="1" t="s">
        <v>149</v>
      </c>
      <c r="E2161" t="s">
        <v>136</v>
      </c>
    </row>
    <row r="2162" spans="1:5" x14ac:dyDescent="0.35">
      <c r="A2162" s="1" t="s">
        <v>147</v>
      </c>
      <c r="B2162" s="1" t="s">
        <v>153</v>
      </c>
      <c r="C2162" s="1" t="s">
        <v>145</v>
      </c>
      <c r="D2162" s="1" t="s">
        <v>146</v>
      </c>
      <c r="E2162" t="s">
        <v>136</v>
      </c>
    </row>
    <row r="2163" spans="1:5" x14ac:dyDescent="0.35">
      <c r="A2163" s="1" t="s">
        <v>147</v>
      </c>
      <c r="B2163" s="1"/>
      <c r="C2163" s="1"/>
      <c r="D2163" s="1" t="s">
        <v>148</v>
      </c>
      <c r="E2163" t="s">
        <v>136</v>
      </c>
    </row>
    <row r="2164" spans="1:5" x14ac:dyDescent="0.35">
      <c r="A2164" s="1" t="s">
        <v>147</v>
      </c>
      <c r="B2164" s="1"/>
      <c r="C2164" s="1"/>
      <c r="D2164" s="1" t="s">
        <v>149</v>
      </c>
      <c r="E2164" t="s">
        <v>136</v>
      </c>
    </row>
    <row r="2165" spans="1:5" x14ac:dyDescent="0.35">
      <c r="A2165" s="1" t="s">
        <v>147</v>
      </c>
      <c r="B2165" s="1"/>
      <c r="C2165" s="1" t="s">
        <v>150</v>
      </c>
      <c r="D2165" s="1" t="s">
        <v>146</v>
      </c>
      <c r="E2165" t="s">
        <v>136</v>
      </c>
    </row>
    <row r="2166" spans="1:5" x14ac:dyDescent="0.35">
      <c r="A2166" s="1" t="s">
        <v>147</v>
      </c>
      <c r="B2166" s="1"/>
      <c r="C2166" s="1"/>
      <c r="D2166" s="1" t="s">
        <v>148</v>
      </c>
      <c r="E2166" t="s">
        <v>136</v>
      </c>
    </row>
    <row r="2167" spans="1:5" x14ac:dyDescent="0.35">
      <c r="A2167" s="1" t="s">
        <v>147</v>
      </c>
      <c r="B2167" s="1"/>
      <c r="C2167" s="1"/>
      <c r="D2167" s="1" t="s">
        <v>149</v>
      </c>
      <c r="E2167" t="s">
        <v>136</v>
      </c>
    </row>
    <row r="2168" spans="1:5" x14ac:dyDescent="0.35">
      <c r="A2168" s="1" t="s">
        <v>147</v>
      </c>
      <c r="B2168" s="1" t="s">
        <v>154</v>
      </c>
      <c r="C2168" s="1" t="s">
        <v>145</v>
      </c>
      <c r="D2168" s="1" t="s">
        <v>146</v>
      </c>
      <c r="E2168" t="s">
        <v>136</v>
      </c>
    </row>
    <row r="2169" spans="1:5" x14ac:dyDescent="0.35">
      <c r="A2169" s="1" t="s">
        <v>147</v>
      </c>
      <c r="B2169" s="1"/>
      <c r="C2169" s="1"/>
      <c r="D2169" s="1" t="s">
        <v>148</v>
      </c>
      <c r="E2169" t="s">
        <v>136</v>
      </c>
    </row>
    <row r="2170" spans="1:5" x14ac:dyDescent="0.35">
      <c r="A2170" s="1" t="s">
        <v>147</v>
      </c>
      <c r="B2170" s="1"/>
      <c r="C2170" s="1"/>
      <c r="D2170" s="1" t="s">
        <v>149</v>
      </c>
      <c r="E2170" t="s">
        <v>136</v>
      </c>
    </row>
    <row r="2171" spans="1:5" x14ac:dyDescent="0.35">
      <c r="A2171" s="1" t="s">
        <v>147</v>
      </c>
      <c r="B2171" s="1"/>
      <c r="C2171" s="1" t="s">
        <v>150</v>
      </c>
      <c r="D2171" s="1" t="s">
        <v>146</v>
      </c>
      <c r="E2171" t="s">
        <v>136</v>
      </c>
    </row>
    <row r="2172" spans="1:5" x14ac:dyDescent="0.35">
      <c r="A2172" s="1" t="s">
        <v>147</v>
      </c>
      <c r="B2172" s="1"/>
      <c r="C2172" s="1"/>
      <c r="D2172" s="1" t="s">
        <v>148</v>
      </c>
      <c r="E2172" t="s">
        <v>136</v>
      </c>
    </row>
    <row r="2173" spans="1:5" x14ac:dyDescent="0.35">
      <c r="A2173" s="1" t="s">
        <v>147</v>
      </c>
      <c r="B2173" s="1"/>
      <c r="C2173" s="1"/>
      <c r="D2173" s="1" t="s">
        <v>149</v>
      </c>
      <c r="E2173" t="s">
        <v>136</v>
      </c>
    </row>
    <row r="2174" spans="1:5" x14ac:dyDescent="0.35">
      <c r="A2174" s="1" t="s">
        <v>147</v>
      </c>
      <c r="B2174" s="1" t="s">
        <v>155</v>
      </c>
      <c r="C2174" s="1" t="s">
        <v>145</v>
      </c>
      <c r="D2174" s="1" t="s">
        <v>146</v>
      </c>
      <c r="E2174">
        <v>814.22</v>
      </c>
    </row>
    <row r="2175" spans="1:5" x14ac:dyDescent="0.35">
      <c r="A2175" s="1" t="s">
        <v>147</v>
      </c>
      <c r="B2175" s="1"/>
      <c r="C2175" s="1"/>
      <c r="D2175" s="1" t="s">
        <v>148</v>
      </c>
      <c r="E2175">
        <v>812</v>
      </c>
    </row>
    <row r="2176" spans="1:5" x14ac:dyDescent="0.35">
      <c r="A2176" s="1" t="s">
        <v>147</v>
      </c>
      <c r="B2176" s="1"/>
      <c r="C2176" s="1"/>
      <c r="D2176" s="1" t="s">
        <v>149</v>
      </c>
      <c r="E2176">
        <v>2.2200000000000002</v>
      </c>
    </row>
    <row r="2177" spans="1:5" x14ac:dyDescent="0.35">
      <c r="A2177" s="1" t="s">
        <v>147</v>
      </c>
      <c r="B2177" s="1"/>
      <c r="C2177" s="1" t="s">
        <v>150</v>
      </c>
      <c r="D2177" s="1" t="s">
        <v>146</v>
      </c>
      <c r="E2177" t="s">
        <v>136</v>
      </c>
    </row>
    <row r="2178" spans="1:5" x14ac:dyDescent="0.35">
      <c r="A2178" s="1" t="s">
        <v>147</v>
      </c>
      <c r="B2178" s="1"/>
      <c r="C2178" s="1"/>
      <c r="D2178" s="1" t="s">
        <v>148</v>
      </c>
      <c r="E2178" t="s">
        <v>136</v>
      </c>
    </row>
    <row r="2179" spans="1:5" x14ac:dyDescent="0.35">
      <c r="A2179" s="1" t="s">
        <v>147</v>
      </c>
      <c r="B2179" s="1"/>
      <c r="C2179" s="1"/>
      <c r="D2179" s="1" t="s">
        <v>149</v>
      </c>
      <c r="E2179" t="s">
        <v>136</v>
      </c>
    </row>
    <row r="2180" spans="1:5" x14ac:dyDescent="0.35">
      <c r="A2180" s="1" t="s">
        <v>147</v>
      </c>
      <c r="B2180" s="1" t="s">
        <v>156</v>
      </c>
      <c r="C2180" s="1" t="s">
        <v>145</v>
      </c>
      <c r="D2180" s="1" t="s">
        <v>146</v>
      </c>
      <c r="E2180" t="s">
        <v>136</v>
      </c>
    </row>
    <row r="2181" spans="1:5" x14ac:dyDescent="0.35">
      <c r="A2181" s="1" t="s">
        <v>147</v>
      </c>
      <c r="B2181" s="1"/>
      <c r="C2181" s="1"/>
      <c r="D2181" s="1" t="s">
        <v>148</v>
      </c>
      <c r="E2181" t="s">
        <v>136</v>
      </c>
    </row>
    <row r="2182" spans="1:5" x14ac:dyDescent="0.35">
      <c r="A2182" s="1" t="s">
        <v>147</v>
      </c>
      <c r="B2182" s="1"/>
      <c r="C2182" s="1"/>
      <c r="D2182" s="1" t="s">
        <v>149</v>
      </c>
      <c r="E2182" t="s">
        <v>136</v>
      </c>
    </row>
    <row r="2183" spans="1:5" x14ac:dyDescent="0.35">
      <c r="A2183" s="1" t="s">
        <v>147</v>
      </c>
      <c r="B2183" s="1"/>
      <c r="C2183" s="1" t="s">
        <v>150</v>
      </c>
      <c r="D2183" s="1" t="s">
        <v>146</v>
      </c>
      <c r="E2183" t="s">
        <v>136</v>
      </c>
    </row>
    <row r="2184" spans="1:5" x14ac:dyDescent="0.35">
      <c r="A2184" s="1" t="s">
        <v>147</v>
      </c>
      <c r="B2184" s="1"/>
      <c r="C2184" s="1"/>
      <c r="D2184" s="1" t="s">
        <v>148</v>
      </c>
      <c r="E2184" t="s">
        <v>136</v>
      </c>
    </row>
    <row r="2185" spans="1:5" x14ac:dyDescent="0.35">
      <c r="A2185" s="1" t="s">
        <v>147</v>
      </c>
      <c r="B2185" s="1"/>
      <c r="C2185" s="1"/>
      <c r="D2185" s="1" t="s">
        <v>149</v>
      </c>
      <c r="E2185" t="s">
        <v>136</v>
      </c>
    </row>
    <row r="2186" spans="1:5" x14ac:dyDescent="0.35">
      <c r="A2186" s="1" t="s">
        <v>147</v>
      </c>
      <c r="B2186" s="1" t="s">
        <v>157</v>
      </c>
      <c r="C2186" s="1" t="s">
        <v>145</v>
      </c>
      <c r="D2186" s="1" t="s">
        <v>146</v>
      </c>
      <c r="E2186" t="s">
        <v>136</v>
      </c>
    </row>
    <row r="2187" spans="1:5" x14ac:dyDescent="0.35">
      <c r="A2187" s="1" t="s">
        <v>147</v>
      </c>
      <c r="B2187" s="1"/>
      <c r="C2187" s="1"/>
      <c r="D2187" s="1" t="s">
        <v>148</v>
      </c>
      <c r="E2187" t="s">
        <v>136</v>
      </c>
    </row>
    <row r="2188" spans="1:5" x14ac:dyDescent="0.35">
      <c r="A2188" s="1" t="s">
        <v>147</v>
      </c>
      <c r="B2188" s="1"/>
      <c r="C2188" s="1"/>
      <c r="D2188" s="1" t="s">
        <v>149</v>
      </c>
      <c r="E2188" t="s">
        <v>136</v>
      </c>
    </row>
    <row r="2189" spans="1:5" x14ac:dyDescent="0.35">
      <c r="A2189" s="1" t="s">
        <v>147</v>
      </c>
      <c r="B2189" s="1"/>
      <c r="C2189" s="1" t="s">
        <v>150</v>
      </c>
      <c r="D2189" s="1" t="s">
        <v>146</v>
      </c>
      <c r="E2189" t="s">
        <v>136</v>
      </c>
    </row>
    <row r="2190" spans="1:5" x14ac:dyDescent="0.35">
      <c r="A2190" s="1" t="s">
        <v>147</v>
      </c>
      <c r="B2190" s="1"/>
      <c r="C2190" s="1"/>
      <c r="D2190" s="1" t="s">
        <v>148</v>
      </c>
      <c r="E2190" t="s">
        <v>136</v>
      </c>
    </row>
    <row r="2191" spans="1:5" x14ac:dyDescent="0.35">
      <c r="A2191" s="1" t="s">
        <v>147</v>
      </c>
      <c r="B2191" s="1"/>
      <c r="C2191" s="1"/>
      <c r="D2191" s="1" t="s">
        <v>149</v>
      </c>
      <c r="E2191" t="s">
        <v>136</v>
      </c>
    </row>
    <row r="2192" spans="1:5" x14ac:dyDescent="0.35">
      <c r="A2192" s="1" t="s">
        <v>147</v>
      </c>
      <c r="B2192" s="1" t="s">
        <v>158</v>
      </c>
      <c r="C2192" s="1" t="s">
        <v>145</v>
      </c>
      <c r="D2192" s="1" t="s">
        <v>146</v>
      </c>
      <c r="E2192" t="s">
        <v>136</v>
      </c>
    </row>
    <row r="2193" spans="1:5" x14ac:dyDescent="0.35">
      <c r="A2193" s="1" t="s">
        <v>147</v>
      </c>
      <c r="B2193" s="1"/>
      <c r="C2193" s="1"/>
      <c r="D2193" s="1" t="s">
        <v>148</v>
      </c>
      <c r="E2193" t="s">
        <v>136</v>
      </c>
    </row>
    <row r="2194" spans="1:5" x14ac:dyDescent="0.35">
      <c r="A2194" s="1" t="s">
        <v>147</v>
      </c>
      <c r="B2194" s="1"/>
      <c r="C2194" s="1"/>
      <c r="D2194" s="1" t="s">
        <v>149</v>
      </c>
      <c r="E2194" t="s">
        <v>136</v>
      </c>
    </row>
    <row r="2195" spans="1:5" x14ac:dyDescent="0.35">
      <c r="A2195" s="1" t="s">
        <v>147</v>
      </c>
      <c r="B2195" s="1"/>
      <c r="C2195" s="1" t="s">
        <v>150</v>
      </c>
      <c r="D2195" s="1" t="s">
        <v>146</v>
      </c>
      <c r="E2195" t="s">
        <v>136</v>
      </c>
    </row>
    <row r="2196" spans="1:5" x14ac:dyDescent="0.35">
      <c r="A2196" s="1" t="s">
        <v>147</v>
      </c>
      <c r="B2196" s="1"/>
      <c r="C2196" s="1"/>
      <c r="D2196" s="1" t="s">
        <v>148</v>
      </c>
      <c r="E2196" t="s">
        <v>136</v>
      </c>
    </row>
    <row r="2197" spans="1:5" x14ac:dyDescent="0.35">
      <c r="A2197" s="1" t="s">
        <v>147</v>
      </c>
      <c r="B2197" s="1"/>
      <c r="C2197" s="1"/>
      <c r="D2197" s="1" t="s">
        <v>149</v>
      </c>
      <c r="E2197" t="s">
        <v>136</v>
      </c>
    </row>
    <row r="2198" spans="1:5" x14ac:dyDescent="0.35">
      <c r="A2198" s="1" t="s">
        <v>147</v>
      </c>
      <c r="B2198" s="1" t="s">
        <v>159</v>
      </c>
      <c r="C2198" s="1" t="s">
        <v>145</v>
      </c>
      <c r="D2198" s="1" t="s">
        <v>146</v>
      </c>
      <c r="E2198" t="s">
        <v>136</v>
      </c>
    </row>
    <row r="2199" spans="1:5" x14ac:dyDescent="0.35">
      <c r="A2199" s="1" t="s">
        <v>147</v>
      </c>
      <c r="B2199" s="1"/>
      <c r="C2199" s="1"/>
      <c r="D2199" s="1" t="s">
        <v>148</v>
      </c>
      <c r="E2199" t="s">
        <v>136</v>
      </c>
    </row>
    <row r="2200" spans="1:5" x14ac:dyDescent="0.35">
      <c r="A2200" s="1" t="s">
        <v>147</v>
      </c>
      <c r="B2200" s="1"/>
      <c r="C2200" s="1"/>
      <c r="D2200" s="1" t="s">
        <v>149</v>
      </c>
      <c r="E2200" t="s">
        <v>136</v>
      </c>
    </row>
    <row r="2201" spans="1:5" x14ac:dyDescent="0.35">
      <c r="A2201" s="1" t="s">
        <v>147</v>
      </c>
      <c r="B2201" s="1"/>
      <c r="C2201" s="1" t="s">
        <v>150</v>
      </c>
      <c r="D2201" s="1" t="s">
        <v>146</v>
      </c>
      <c r="E2201" t="s">
        <v>136</v>
      </c>
    </row>
    <row r="2202" spans="1:5" x14ac:dyDescent="0.35">
      <c r="A2202" s="1" t="s">
        <v>147</v>
      </c>
      <c r="B2202" s="1"/>
      <c r="C2202" s="1"/>
      <c r="D2202" s="1" t="s">
        <v>148</v>
      </c>
      <c r="E2202" t="s">
        <v>136</v>
      </c>
    </row>
    <row r="2203" spans="1:5" x14ac:dyDescent="0.35">
      <c r="A2203" s="1" t="s">
        <v>147</v>
      </c>
      <c r="B2203" s="1"/>
      <c r="C2203" s="1"/>
      <c r="D2203" s="1" t="s">
        <v>149</v>
      </c>
      <c r="E2203" t="s">
        <v>136</v>
      </c>
    </row>
    <row r="2204" spans="1:5" x14ac:dyDescent="0.35">
      <c r="A2204" s="1" t="s">
        <v>147</v>
      </c>
      <c r="B2204" s="1" t="s">
        <v>160</v>
      </c>
      <c r="C2204" s="1" t="s">
        <v>145</v>
      </c>
      <c r="D2204" s="1" t="s">
        <v>146</v>
      </c>
      <c r="E2204" t="s">
        <v>136</v>
      </c>
    </row>
    <row r="2205" spans="1:5" x14ac:dyDescent="0.35">
      <c r="A2205" s="1" t="s">
        <v>147</v>
      </c>
      <c r="B2205" s="1"/>
      <c r="C2205" s="1"/>
      <c r="D2205" s="1" t="s">
        <v>148</v>
      </c>
      <c r="E2205" t="s">
        <v>136</v>
      </c>
    </row>
    <row r="2206" spans="1:5" x14ac:dyDescent="0.35">
      <c r="A2206" s="1" t="s">
        <v>147</v>
      </c>
      <c r="B2206" s="1"/>
      <c r="C2206" s="1"/>
      <c r="D2206" s="1" t="s">
        <v>149</v>
      </c>
      <c r="E2206" t="s">
        <v>136</v>
      </c>
    </row>
    <row r="2207" spans="1:5" x14ac:dyDescent="0.35">
      <c r="A2207" s="1" t="s">
        <v>147</v>
      </c>
      <c r="B2207" s="1"/>
      <c r="C2207" s="1" t="s">
        <v>150</v>
      </c>
      <c r="D2207" s="1" t="s">
        <v>146</v>
      </c>
      <c r="E2207" t="s">
        <v>136</v>
      </c>
    </row>
    <row r="2208" spans="1:5" x14ac:dyDescent="0.35">
      <c r="A2208" s="1" t="s">
        <v>147</v>
      </c>
      <c r="B2208" s="1"/>
      <c r="C2208" s="1"/>
      <c r="D2208" s="1" t="s">
        <v>148</v>
      </c>
      <c r="E2208" t="s">
        <v>136</v>
      </c>
    </row>
    <row r="2209" spans="1:5" x14ac:dyDescent="0.35">
      <c r="A2209" s="1" t="s">
        <v>147</v>
      </c>
      <c r="B2209" s="1"/>
      <c r="C2209" s="1"/>
      <c r="D2209" s="1" t="s">
        <v>149</v>
      </c>
      <c r="E2209" t="s">
        <v>136</v>
      </c>
    </row>
    <row r="2210" spans="1:5" x14ac:dyDescent="0.35">
      <c r="A2210" s="1" t="s">
        <v>147</v>
      </c>
      <c r="B2210" s="1" t="s">
        <v>161</v>
      </c>
      <c r="C2210" s="1" t="s">
        <v>145</v>
      </c>
      <c r="D2210" s="1" t="s">
        <v>146</v>
      </c>
      <c r="E2210" t="s">
        <v>136</v>
      </c>
    </row>
    <row r="2211" spans="1:5" x14ac:dyDescent="0.35">
      <c r="A2211" s="1" t="s">
        <v>147</v>
      </c>
      <c r="B2211" s="1"/>
      <c r="C2211" s="1"/>
      <c r="D2211" s="1" t="s">
        <v>148</v>
      </c>
      <c r="E2211" t="s">
        <v>136</v>
      </c>
    </row>
    <row r="2212" spans="1:5" x14ac:dyDescent="0.35">
      <c r="A2212" s="1" t="s">
        <v>147</v>
      </c>
      <c r="B2212" s="1"/>
      <c r="C2212" s="1"/>
      <c r="D2212" s="1" t="s">
        <v>149</v>
      </c>
      <c r="E2212" t="s">
        <v>136</v>
      </c>
    </row>
    <row r="2213" spans="1:5" x14ac:dyDescent="0.35">
      <c r="A2213" s="1" t="s">
        <v>147</v>
      </c>
      <c r="B2213" s="1"/>
      <c r="C2213" s="1" t="s">
        <v>150</v>
      </c>
      <c r="D2213" s="1" t="s">
        <v>146</v>
      </c>
      <c r="E2213" t="s">
        <v>136</v>
      </c>
    </row>
    <row r="2214" spans="1:5" x14ac:dyDescent="0.35">
      <c r="A2214" s="1" t="s">
        <v>147</v>
      </c>
      <c r="B2214" s="1"/>
      <c r="C2214" s="1"/>
      <c r="D2214" s="1" t="s">
        <v>148</v>
      </c>
      <c r="E2214" t="s">
        <v>136</v>
      </c>
    </row>
    <row r="2215" spans="1:5" x14ac:dyDescent="0.35">
      <c r="A2215" s="1" t="s">
        <v>147</v>
      </c>
      <c r="B2215" s="1"/>
      <c r="C2215" s="1"/>
      <c r="D2215" s="1" t="s">
        <v>149</v>
      </c>
      <c r="E2215" t="s">
        <v>136</v>
      </c>
    </row>
    <row r="2216" spans="1:5" x14ac:dyDescent="0.35">
      <c r="A2216" s="1" t="s">
        <v>147</v>
      </c>
      <c r="B2216" s="1" t="s">
        <v>162</v>
      </c>
      <c r="C2216" s="1" t="s">
        <v>145</v>
      </c>
      <c r="D2216" s="1" t="s">
        <v>146</v>
      </c>
      <c r="E2216" t="s">
        <v>136</v>
      </c>
    </row>
    <row r="2217" spans="1:5" x14ac:dyDescent="0.35">
      <c r="A2217" s="1" t="s">
        <v>147</v>
      </c>
      <c r="B2217" s="1"/>
      <c r="C2217" s="1"/>
      <c r="D2217" s="1" t="s">
        <v>148</v>
      </c>
      <c r="E2217" t="s">
        <v>136</v>
      </c>
    </row>
    <row r="2218" spans="1:5" x14ac:dyDescent="0.35">
      <c r="A2218" s="1" t="s">
        <v>147</v>
      </c>
      <c r="B2218" s="1"/>
      <c r="C2218" s="1"/>
      <c r="D2218" s="1" t="s">
        <v>149</v>
      </c>
      <c r="E2218" t="s">
        <v>136</v>
      </c>
    </row>
    <row r="2219" spans="1:5" x14ac:dyDescent="0.35">
      <c r="A2219" s="1" t="s">
        <v>147</v>
      </c>
      <c r="B2219" s="1"/>
      <c r="C2219" s="1" t="s">
        <v>150</v>
      </c>
      <c r="D2219" s="1" t="s">
        <v>146</v>
      </c>
      <c r="E2219" t="s">
        <v>136</v>
      </c>
    </row>
    <row r="2220" spans="1:5" x14ac:dyDescent="0.35">
      <c r="A2220" s="1" t="s">
        <v>147</v>
      </c>
      <c r="B2220" s="1"/>
      <c r="C2220" s="1"/>
      <c r="D2220" s="1" t="s">
        <v>148</v>
      </c>
      <c r="E2220" t="s">
        <v>136</v>
      </c>
    </row>
    <row r="2221" spans="1:5" x14ac:dyDescent="0.35">
      <c r="A2221" s="1" t="s">
        <v>147</v>
      </c>
      <c r="B2221" s="1"/>
      <c r="C2221" s="1"/>
      <c r="D2221" s="1" t="s">
        <v>149</v>
      </c>
      <c r="E2221" t="s">
        <v>136</v>
      </c>
    </row>
    <row r="2222" spans="1:5" x14ac:dyDescent="0.35">
      <c r="A2222" s="1" t="s">
        <v>147</v>
      </c>
      <c r="B2222" s="1" t="s">
        <v>163</v>
      </c>
      <c r="C2222" s="1" t="s">
        <v>145</v>
      </c>
      <c r="D2222" s="1" t="s">
        <v>146</v>
      </c>
      <c r="E2222">
        <v>428</v>
      </c>
    </row>
    <row r="2223" spans="1:5" x14ac:dyDescent="0.35">
      <c r="A2223" s="1" t="s">
        <v>147</v>
      </c>
      <c r="B2223" s="1"/>
      <c r="C2223" s="1"/>
      <c r="D2223" s="1" t="s">
        <v>148</v>
      </c>
      <c r="E2223">
        <v>428</v>
      </c>
    </row>
    <row r="2224" spans="1:5" x14ac:dyDescent="0.35">
      <c r="A2224" s="1" t="s">
        <v>147</v>
      </c>
      <c r="B2224" s="1"/>
      <c r="C2224" s="1"/>
      <c r="D2224" s="1" t="s">
        <v>149</v>
      </c>
      <c r="E2224" t="s">
        <v>136</v>
      </c>
    </row>
    <row r="2225" spans="1:5" x14ac:dyDescent="0.35">
      <c r="A2225" s="1" t="s">
        <v>147</v>
      </c>
      <c r="B2225" s="1"/>
      <c r="C2225" s="1" t="s">
        <v>150</v>
      </c>
      <c r="D2225" s="1" t="s">
        <v>146</v>
      </c>
      <c r="E2225" t="s">
        <v>136</v>
      </c>
    </row>
    <row r="2226" spans="1:5" x14ac:dyDescent="0.35">
      <c r="A2226" s="1" t="s">
        <v>147</v>
      </c>
      <c r="B2226" s="1"/>
      <c r="C2226" s="1"/>
      <c r="D2226" s="1" t="s">
        <v>148</v>
      </c>
      <c r="E2226" t="s">
        <v>136</v>
      </c>
    </row>
    <row r="2227" spans="1:5" x14ac:dyDescent="0.35">
      <c r="A2227" s="1" t="s">
        <v>147</v>
      </c>
      <c r="B2227" s="1"/>
      <c r="C2227" s="1"/>
      <c r="D2227" s="1" t="s">
        <v>149</v>
      </c>
      <c r="E2227" t="s">
        <v>136</v>
      </c>
    </row>
    <row r="2228" spans="1:5" x14ac:dyDescent="0.35">
      <c r="A2228" s="1" t="s">
        <v>147</v>
      </c>
      <c r="B2228" s="1" t="s">
        <v>164</v>
      </c>
      <c r="C2228" s="1" t="s">
        <v>145</v>
      </c>
      <c r="D2228" s="1" t="s">
        <v>146</v>
      </c>
      <c r="E2228" t="s">
        <v>136</v>
      </c>
    </row>
    <row r="2229" spans="1:5" x14ac:dyDescent="0.35">
      <c r="A2229" s="1" t="s">
        <v>147</v>
      </c>
      <c r="B2229" s="1"/>
      <c r="C2229" s="1"/>
      <c r="D2229" s="1" t="s">
        <v>148</v>
      </c>
      <c r="E2229" t="s">
        <v>136</v>
      </c>
    </row>
    <row r="2230" spans="1:5" x14ac:dyDescent="0.35">
      <c r="A2230" s="1" t="s">
        <v>147</v>
      </c>
      <c r="B2230" s="1"/>
      <c r="C2230" s="1"/>
      <c r="D2230" s="1" t="s">
        <v>149</v>
      </c>
      <c r="E2230" t="s">
        <v>136</v>
      </c>
    </row>
    <row r="2231" spans="1:5" x14ac:dyDescent="0.35">
      <c r="A2231" s="1" t="s">
        <v>147</v>
      </c>
      <c r="B2231" s="1"/>
      <c r="C2231" s="1" t="s">
        <v>150</v>
      </c>
      <c r="D2231" s="1" t="s">
        <v>146</v>
      </c>
      <c r="E2231" t="s">
        <v>136</v>
      </c>
    </row>
    <row r="2232" spans="1:5" x14ac:dyDescent="0.35">
      <c r="A2232" s="1" t="s">
        <v>147</v>
      </c>
      <c r="B2232" s="1"/>
      <c r="C2232" s="1"/>
      <c r="D2232" s="1" t="s">
        <v>148</v>
      </c>
      <c r="E2232" t="s">
        <v>136</v>
      </c>
    </row>
    <row r="2233" spans="1:5" x14ac:dyDescent="0.35">
      <c r="A2233" s="1" t="s">
        <v>147</v>
      </c>
      <c r="B2233" s="1"/>
      <c r="C2233" s="1"/>
      <c r="D2233" s="1" t="s">
        <v>149</v>
      </c>
      <c r="E2233" t="s">
        <v>136</v>
      </c>
    </row>
    <row r="2234" spans="1:5" x14ac:dyDescent="0.35">
      <c r="A2234" s="1" t="s">
        <v>147</v>
      </c>
      <c r="B2234" s="1" t="s">
        <v>165</v>
      </c>
      <c r="C2234" s="1" t="s">
        <v>145</v>
      </c>
      <c r="D2234" s="1" t="s">
        <v>146</v>
      </c>
      <c r="E2234" t="s">
        <v>136</v>
      </c>
    </row>
    <row r="2235" spans="1:5" x14ac:dyDescent="0.35">
      <c r="A2235" s="1" t="s">
        <v>147</v>
      </c>
      <c r="B2235" s="1"/>
      <c r="C2235" s="1"/>
      <c r="D2235" s="1" t="s">
        <v>148</v>
      </c>
      <c r="E2235" t="s">
        <v>136</v>
      </c>
    </row>
    <row r="2236" spans="1:5" x14ac:dyDescent="0.35">
      <c r="A2236" s="1" t="s">
        <v>147</v>
      </c>
      <c r="B2236" s="1"/>
      <c r="C2236" s="1"/>
      <c r="D2236" s="1" t="s">
        <v>149</v>
      </c>
      <c r="E2236" t="s">
        <v>136</v>
      </c>
    </row>
    <row r="2237" spans="1:5" x14ac:dyDescent="0.35">
      <c r="A2237" s="1" t="s">
        <v>147</v>
      </c>
      <c r="B2237" s="1"/>
      <c r="C2237" s="1" t="s">
        <v>150</v>
      </c>
      <c r="D2237" s="1" t="s">
        <v>146</v>
      </c>
      <c r="E2237" t="s">
        <v>136</v>
      </c>
    </row>
    <row r="2238" spans="1:5" x14ac:dyDescent="0.35">
      <c r="A2238" s="1" t="s">
        <v>147</v>
      </c>
      <c r="B2238" s="1"/>
      <c r="C2238" s="1"/>
      <c r="D2238" s="1" t="s">
        <v>148</v>
      </c>
      <c r="E2238" t="s">
        <v>136</v>
      </c>
    </row>
    <row r="2239" spans="1:5" x14ac:dyDescent="0.35">
      <c r="A2239" s="1" t="s">
        <v>147</v>
      </c>
      <c r="B2239" s="1"/>
      <c r="C2239" s="1"/>
      <c r="D2239" s="1" t="s">
        <v>149</v>
      </c>
      <c r="E2239" t="s">
        <v>136</v>
      </c>
    </row>
    <row r="2240" spans="1:5" x14ac:dyDescent="0.35">
      <c r="A2240" s="1" t="s">
        <v>147</v>
      </c>
      <c r="B2240" s="1" t="s">
        <v>166</v>
      </c>
      <c r="C2240" s="1" t="s">
        <v>145</v>
      </c>
      <c r="D2240" s="1" t="s">
        <v>146</v>
      </c>
      <c r="E2240">
        <v>428</v>
      </c>
    </row>
    <row r="2241" spans="1:5" x14ac:dyDescent="0.35">
      <c r="A2241" s="1" t="s">
        <v>147</v>
      </c>
      <c r="B2241" s="1"/>
      <c r="C2241" s="1"/>
      <c r="D2241" s="1" t="s">
        <v>148</v>
      </c>
      <c r="E2241">
        <v>428</v>
      </c>
    </row>
    <row r="2242" spans="1:5" x14ac:dyDescent="0.35">
      <c r="A2242" s="1" t="s">
        <v>147</v>
      </c>
      <c r="B2242" s="1"/>
      <c r="C2242" s="1"/>
      <c r="D2242" s="1" t="s">
        <v>149</v>
      </c>
      <c r="E2242" t="s">
        <v>136</v>
      </c>
    </row>
    <row r="2243" spans="1:5" x14ac:dyDescent="0.35">
      <c r="A2243" s="1" t="s">
        <v>147</v>
      </c>
      <c r="B2243" s="1"/>
      <c r="C2243" s="1" t="s">
        <v>150</v>
      </c>
      <c r="D2243" s="1" t="s">
        <v>146</v>
      </c>
      <c r="E2243" t="s">
        <v>136</v>
      </c>
    </row>
    <row r="2244" spans="1:5" x14ac:dyDescent="0.35">
      <c r="A2244" s="1" t="s">
        <v>147</v>
      </c>
      <c r="B2244" s="1"/>
      <c r="C2244" s="1"/>
      <c r="D2244" s="1" t="s">
        <v>148</v>
      </c>
      <c r="E2244" t="s">
        <v>136</v>
      </c>
    </row>
    <row r="2245" spans="1:5" x14ac:dyDescent="0.35">
      <c r="A2245" s="1" t="s">
        <v>147</v>
      </c>
      <c r="B2245" s="1"/>
      <c r="C2245" s="1"/>
      <c r="D2245" s="1" t="s">
        <v>149</v>
      </c>
      <c r="E2245" t="s">
        <v>136</v>
      </c>
    </row>
    <row r="2246" spans="1:5" x14ac:dyDescent="0.35">
      <c r="A2246" s="1" t="s">
        <v>147</v>
      </c>
      <c r="B2246" s="1" t="s">
        <v>167</v>
      </c>
      <c r="C2246" s="1" t="s">
        <v>145</v>
      </c>
      <c r="D2246" s="1" t="s">
        <v>146</v>
      </c>
      <c r="E2246" t="s">
        <v>136</v>
      </c>
    </row>
    <row r="2247" spans="1:5" x14ac:dyDescent="0.35">
      <c r="A2247" s="1" t="s">
        <v>147</v>
      </c>
      <c r="B2247" s="1"/>
      <c r="C2247" s="1"/>
      <c r="D2247" s="1" t="s">
        <v>148</v>
      </c>
      <c r="E2247" t="s">
        <v>136</v>
      </c>
    </row>
    <row r="2248" spans="1:5" x14ac:dyDescent="0.35">
      <c r="A2248" s="1" t="s">
        <v>147</v>
      </c>
      <c r="B2248" s="1"/>
      <c r="C2248" s="1"/>
      <c r="D2248" s="1" t="s">
        <v>149</v>
      </c>
      <c r="E2248" t="s">
        <v>136</v>
      </c>
    </row>
    <row r="2249" spans="1:5" x14ac:dyDescent="0.35">
      <c r="A2249" s="1" t="s">
        <v>147</v>
      </c>
      <c r="B2249" s="1"/>
      <c r="C2249" s="1" t="s">
        <v>150</v>
      </c>
      <c r="D2249" s="1" t="s">
        <v>146</v>
      </c>
      <c r="E2249" t="s">
        <v>136</v>
      </c>
    </row>
    <row r="2250" spans="1:5" x14ac:dyDescent="0.35">
      <c r="A2250" s="1" t="s">
        <v>147</v>
      </c>
      <c r="B2250" s="1"/>
      <c r="C2250" s="1"/>
      <c r="D2250" s="1" t="s">
        <v>148</v>
      </c>
      <c r="E2250" t="s">
        <v>136</v>
      </c>
    </row>
    <row r="2251" spans="1:5" x14ac:dyDescent="0.35">
      <c r="A2251" s="1" t="s">
        <v>147</v>
      </c>
      <c r="B2251" s="1"/>
      <c r="C2251" s="1"/>
      <c r="D2251" s="1" t="s">
        <v>149</v>
      </c>
      <c r="E2251" t="s">
        <v>136</v>
      </c>
    </row>
    <row r="2252" spans="1:5" x14ac:dyDescent="0.35">
      <c r="A2252" s="1" t="s">
        <v>147</v>
      </c>
      <c r="B2252" s="1" t="s">
        <v>168</v>
      </c>
      <c r="C2252" s="1" t="s">
        <v>145</v>
      </c>
      <c r="D2252" s="1" t="s">
        <v>146</v>
      </c>
      <c r="E2252" t="s">
        <v>136</v>
      </c>
    </row>
    <row r="2253" spans="1:5" x14ac:dyDescent="0.35">
      <c r="A2253" s="1" t="s">
        <v>147</v>
      </c>
      <c r="B2253" s="1"/>
      <c r="C2253" s="1"/>
      <c r="D2253" s="1" t="s">
        <v>148</v>
      </c>
      <c r="E2253" t="s">
        <v>136</v>
      </c>
    </row>
    <row r="2254" spans="1:5" x14ac:dyDescent="0.35">
      <c r="A2254" s="1" t="s">
        <v>147</v>
      </c>
      <c r="B2254" s="1"/>
      <c r="C2254" s="1"/>
      <c r="D2254" s="1" t="s">
        <v>149</v>
      </c>
      <c r="E2254" t="s">
        <v>136</v>
      </c>
    </row>
    <row r="2255" spans="1:5" x14ac:dyDescent="0.35">
      <c r="A2255" s="1" t="s">
        <v>147</v>
      </c>
      <c r="B2255" s="1"/>
      <c r="C2255" s="1" t="s">
        <v>150</v>
      </c>
      <c r="D2255" s="1" t="s">
        <v>146</v>
      </c>
      <c r="E2255" t="s">
        <v>136</v>
      </c>
    </row>
    <row r="2256" spans="1:5" x14ac:dyDescent="0.35">
      <c r="A2256" s="1" t="s">
        <v>147</v>
      </c>
      <c r="B2256" s="1"/>
      <c r="C2256" s="1"/>
      <c r="D2256" s="1" t="s">
        <v>148</v>
      </c>
      <c r="E2256" t="s">
        <v>136</v>
      </c>
    </row>
    <row r="2257" spans="1:5" x14ac:dyDescent="0.35">
      <c r="A2257" s="1" t="s">
        <v>147</v>
      </c>
      <c r="B2257" s="1"/>
      <c r="C2257" s="1"/>
      <c r="D2257" s="1" t="s">
        <v>149</v>
      </c>
      <c r="E2257" t="s">
        <v>136</v>
      </c>
    </row>
    <row r="2258" spans="1:5" x14ac:dyDescent="0.35">
      <c r="A2258" s="1" t="s">
        <v>147</v>
      </c>
      <c r="B2258" s="1" t="s">
        <v>169</v>
      </c>
      <c r="C2258" s="1" t="s">
        <v>145</v>
      </c>
      <c r="D2258" s="1" t="s">
        <v>146</v>
      </c>
      <c r="E2258" t="s">
        <v>136</v>
      </c>
    </row>
    <row r="2259" spans="1:5" x14ac:dyDescent="0.35">
      <c r="A2259" s="1" t="s">
        <v>147</v>
      </c>
      <c r="B2259" s="1"/>
      <c r="C2259" s="1"/>
      <c r="D2259" s="1" t="s">
        <v>148</v>
      </c>
      <c r="E2259" t="s">
        <v>136</v>
      </c>
    </row>
    <row r="2260" spans="1:5" x14ac:dyDescent="0.35">
      <c r="A2260" s="1" t="s">
        <v>147</v>
      </c>
      <c r="B2260" s="1"/>
      <c r="C2260" s="1"/>
      <c r="D2260" s="1" t="s">
        <v>149</v>
      </c>
      <c r="E2260" t="s">
        <v>136</v>
      </c>
    </row>
    <row r="2261" spans="1:5" x14ac:dyDescent="0.35">
      <c r="A2261" s="1" t="s">
        <v>147</v>
      </c>
      <c r="B2261" s="1"/>
      <c r="C2261" s="1" t="s">
        <v>150</v>
      </c>
      <c r="D2261" s="1" t="s">
        <v>146</v>
      </c>
      <c r="E2261" t="s">
        <v>136</v>
      </c>
    </row>
    <row r="2262" spans="1:5" x14ac:dyDescent="0.35">
      <c r="A2262" s="1" t="s">
        <v>147</v>
      </c>
      <c r="B2262" s="1"/>
      <c r="C2262" s="1"/>
      <c r="D2262" s="1" t="s">
        <v>148</v>
      </c>
      <c r="E2262" t="s">
        <v>136</v>
      </c>
    </row>
    <row r="2263" spans="1:5" x14ac:dyDescent="0.35">
      <c r="A2263" s="1" t="s">
        <v>147</v>
      </c>
      <c r="B2263" s="1"/>
      <c r="C2263" s="1"/>
      <c r="D2263" s="1" t="s">
        <v>149</v>
      </c>
      <c r="E2263" t="s">
        <v>136</v>
      </c>
    </row>
    <row r="2264" spans="1:5" x14ac:dyDescent="0.35">
      <c r="A2264" s="1" t="s">
        <v>147</v>
      </c>
      <c r="B2264" s="1" t="s">
        <v>170</v>
      </c>
      <c r="C2264" s="1" t="s">
        <v>145</v>
      </c>
      <c r="D2264" s="1" t="s">
        <v>146</v>
      </c>
      <c r="E2264" t="s">
        <v>136</v>
      </c>
    </row>
    <row r="2265" spans="1:5" x14ac:dyDescent="0.35">
      <c r="A2265" s="1" t="s">
        <v>147</v>
      </c>
      <c r="B2265" s="1"/>
      <c r="C2265" s="1"/>
      <c r="D2265" s="1" t="s">
        <v>148</v>
      </c>
      <c r="E2265" t="s">
        <v>136</v>
      </c>
    </row>
    <row r="2266" spans="1:5" x14ac:dyDescent="0.35">
      <c r="A2266" s="1" t="s">
        <v>147</v>
      </c>
      <c r="B2266" s="1"/>
      <c r="C2266" s="1"/>
      <c r="D2266" s="1" t="s">
        <v>149</v>
      </c>
      <c r="E2266" t="s">
        <v>136</v>
      </c>
    </row>
    <row r="2267" spans="1:5" x14ac:dyDescent="0.35">
      <c r="A2267" s="1" t="s">
        <v>147</v>
      </c>
      <c r="B2267" s="1"/>
      <c r="C2267" s="1" t="s">
        <v>150</v>
      </c>
      <c r="D2267" s="1" t="s">
        <v>146</v>
      </c>
      <c r="E2267" t="s">
        <v>136</v>
      </c>
    </row>
    <row r="2268" spans="1:5" x14ac:dyDescent="0.35">
      <c r="A2268" s="1" t="s">
        <v>147</v>
      </c>
      <c r="B2268" s="1"/>
      <c r="C2268" s="1"/>
      <c r="D2268" s="1" t="s">
        <v>148</v>
      </c>
      <c r="E2268" t="s">
        <v>136</v>
      </c>
    </row>
    <row r="2269" spans="1:5" x14ac:dyDescent="0.35">
      <c r="A2269" s="1" t="s">
        <v>147</v>
      </c>
      <c r="B2269" s="1"/>
      <c r="C2269" s="1"/>
      <c r="D2269" s="1" t="s">
        <v>149</v>
      </c>
      <c r="E2269" t="s">
        <v>136</v>
      </c>
    </row>
    <row r="2270" spans="1:5" x14ac:dyDescent="0.35">
      <c r="A2270" s="1" t="s">
        <v>65</v>
      </c>
      <c r="B2270" s="1" t="s">
        <v>144</v>
      </c>
      <c r="C2270" s="1" t="s">
        <v>145</v>
      </c>
      <c r="D2270" s="1" t="s">
        <v>146</v>
      </c>
      <c r="E2270">
        <v>1.98</v>
      </c>
    </row>
    <row r="2271" spans="1:5" x14ac:dyDescent="0.35">
      <c r="A2271" s="1" t="s">
        <v>147</v>
      </c>
      <c r="B2271" s="1"/>
      <c r="C2271" s="1"/>
      <c r="D2271" s="1" t="s">
        <v>148</v>
      </c>
      <c r="E2271" t="s">
        <v>136</v>
      </c>
    </row>
    <row r="2272" spans="1:5" x14ac:dyDescent="0.35">
      <c r="A2272" s="1" t="s">
        <v>147</v>
      </c>
      <c r="B2272" s="1"/>
      <c r="C2272" s="1"/>
      <c r="D2272" s="1" t="s">
        <v>149</v>
      </c>
      <c r="E2272">
        <v>1.98</v>
      </c>
    </row>
    <row r="2273" spans="1:5" x14ac:dyDescent="0.35">
      <c r="A2273" s="1" t="s">
        <v>147</v>
      </c>
      <c r="B2273" s="1"/>
      <c r="C2273" s="1" t="s">
        <v>150</v>
      </c>
      <c r="D2273" s="1" t="s">
        <v>146</v>
      </c>
      <c r="E2273" t="s">
        <v>136</v>
      </c>
    </row>
    <row r="2274" spans="1:5" x14ac:dyDescent="0.35">
      <c r="A2274" s="1" t="s">
        <v>147</v>
      </c>
      <c r="B2274" s="1"/>
      <c r="C2274" s="1"/>
      <c r="D2274" s="1" t="s">
        <v>148</v>
      </c>
      <c r="E2274" t="s">
        <v>136</v>
      </c>
    </row>
    <row r="2275" spans="1:5" x14ac:dyDescent="0.35">
      <c r="A2275" s="1" t="s">
        <v>147</v>
      </c>
      <c r="B2275" s="1"/>
      <c r="C2275" s="1"/>
      <c r="D2275" s="1" t="s">
        <v>149</v>
      </c>
      <c r="E2275" t="s">
        <v>136</v>
      </c>
    </row>
    <row r="2276" spans="1:5" x14ac:dyDescent="0.35">
      <c r="A2276" s="1" t="s">
        <v>147</v>
      </c>
      <c r="B2276" s="1" t="s">
        <v>151</v>
      </c>
      <c r="C2276" s="1" t="s">
        <v>145</v>
      </c>
      <c r="D2276" s="1" t="s">
        <v>146</v>
      </c>
      <c r="E2276">
        <v>1.98</v>
      </c>
    </row>
    <row r="2277" spans="1:5" x14ac:dyDescent="0.35">
      <c r="A2277" s="1" t="s">
        <v>147</v>
      </c>
      <c r="B2277" s="1"/>
      <c r="C2277" s="1"/>
      <c r="D2277" s="1" t="s">
        <v>148</v>
      </c>
      <c r="E2277" t="s">
        <v>136</v>
      </c>
    </row>
    <row r="2278" spans="1:5" x14ac:dyDescent="0.35">
      <c r="A2278" s="1" t="s">
        <v>147</v>
      </c>
      <c r="B2278" s="1"/>
      <c r="C2278" s="1"/>
      <c r="D2278" s="1" t="s">
        <v>149</v>
      </c>
      <c r="E2278">
        <v>1.98</v>
      </c>
    </row>
    <row r="2279" spans="1:5" x14ac:dyDescent="0.35">
      <c r="A2279" s="1" t="s">
        <v>147</v>
      </c>
      <c r="B2279" s="1"/>
      <c r="C2279" s="1" t="s">
        <v>150</v>
      </c>
      <c r="D2279" s="1" t="s">
        <v>146</v>
      </c>
      <c r="E2279" t="s">
        <v>136</v>
      </c>
    </row>
    <row r="2280" spans="1:5" x14ac:dyDescent="0.35">
      <c r="A2280" s="1" t="s">
        <v>147</v>
      </c>
      <c r="B2280" s="1"/>
      <c r="C2280" s="1"/>
      <c r="D2280" s="1" t="s">
        <v>148</v>
      </c>
      <c r="E2280" t="s">
        <v>136</v>
      </c>
    </row>
    <row r="2281" spans="1:5" x14ac:dyDescent="0.35">
      <c r="A2281" s="1" t="s">
        <v>147</v>
      </c>
      <c r="B2281" s="1"/>
      <c r="C2281" s="1"/>
      <c r="D2281" s="1" t="s">
        <v>149</v>
      </c>
      <c r="E2281" t="s">
        <v>136</v>
      </c>
    </row>
    <row r="2282" spans="1:5" x14ac:dyDescent="0.35">
      <c r="A2282" s="1" t="s">
        <v>147</v>
      </c>
      <c r="B2282" s="1" t="s">
        <v>152</v>
      </c>
      <c r="C2282" s="1" t="s">
        <v>145</v>
      </c>
      <c r="D2282" s="1" t="s">
        <v>146</v>
      </c>
      <c r="E2282" t="s">
        <v>136</v>
      </c>
    </row>
    <row r="2283" spans="1:5" x14ac:dyDescent="0.35">
      <c r="A2283" s="1" t="s">
        <v>147</v>
      </c>
      <c r="B2283" s="1"/>
      <c r="C2283" s="1"/>
      <c r="D2283" s="1" t="s">
        <v>148</v>
      </c>
      <c r="E2283" t="s">
        <v>136</v>
      </c>
    </row>
    <row r="2284" spans="1:5" x14ac:dyDescent="0.35">
      <c r="A2284" s="1" t="s">
        <v>147</v>
      </c>
      <c r="B2284" s="1"/>
      <c r="C2284" s="1"/>
      <c r="D2284" s="1" t="s">
        <v>149</v>
      </c>
      <c r="E2284" t="s">
        <v>136</v>
      </c>
    </row>
    <row r="2285" spans="1:5" x14ac:dyDescent="0.35">
      <c r="A2285" s="1" t="s">
        <v>147</v>
      </c>
      <c r="B2285" s="1"/>
      <c r="C2285" s="1" t="s">
        <v>150</v>
      </c>
      <c r="D2285" s="1" t="s">
        <v>146</v>
      </c>
      <c r="E2285" t="s">
        <v>136</v>
      </c>
    </row>
    <row r="2286" spans="1:5" x14ac:dyDescent="0.35">
      <c r="A2286" s="1" t="s">
        <v>147</v>
      </c>
      <c r="B2286" s="1"/>
      <c r="C2286" s="1"/>
      <c r="D2286" s="1" t="s">
        <v>148</v>
      </c>
      <c r="E2286" t="s">
        <v>136</v>
      </c>
    </row>
    <row r="2287" spans="1:5" x14ac:dyDescent="0.35">
      <c r="A2287" s="1" t="s">
        <v>147</v>
      </c>
      <c r="B2287" s="1"/>
      <c r="C2287" s="1"/>
      <c r="D2287" s="1" t="s">
        <v>149</v>
      </c>
      <c r="E2287" t="s">
        <v>136</v>
      </c>
    </row>
    <row r="2288" spans="1:5" x14ac:dyDescent="0.35">
      <c r="A2288" s="1" t="s">
        <v>147</v>
      </c>
      <c r="B2288" s="1" t="s">
        <v>153</v>
      </c>
      <c r="C2288" s="1" t="s">
        <v>145</v>
      </c>
      <c r="D2288" s="1" t="s">
        <v>146</v>
      </c>
      <c r="E2288" t="s">
        <v>136</v>
      </c>
    </row>
    <row r="2289" spans="1:5" x14ac:dyDescent="0.35">
      <c r="A2289" s="1" t="s">
        <v>147</v>
      </c>
      <c r="B2289" s="1"/>
      <c r="C2289" s="1"/>
      <c r="D2289" s="1" t="s">
        <v>148</v>
      </c>
      <c r="E2289" t="s">
        <v>136</v>
      </c>
    </row>
    <row r="2290" spans="1:5" x14ac:dyDescent="0.35">
      <c r="A2290" s="1" t="s">
        <v>147</v>
      </c>
      <c r="B2290" s="1"/>
      <c r="C2290" s="1"/>
      <c r="D2290" s="1" t="s">
        <v>149</v>
      </c>
      <c r="E2290" t="s">
        <v>136</v>
      </c>
    </row>
    <row r="2291" spans="1:5" x14ac:dyDescent="0.35">
      <c r="A2291" s="1" t="s">
        <v>147</v>
      </c>
      <c r="B2291" s="1"/>
      <c r="C2291" s="1" t="s">
        <v>150</v>
      </c>
      <c r="D2291" s="1" t="s">
        <v>146</v>
      </c>
      <c r="E2291" t="s">
        <v>136</v>
      </c>
    </row>
    <row r="2292" spans="1:5" x14ac:dyDescent="0.35">
      <c r="A2292" s="1" t="s">
        <v>147</v>
      </c>
      <c r="B2292" s="1"/>
      <c r="C2292" s="1"/>
      <c r="D2292" s="1" t="s">
        <v>148</v>
      </c>
      <c r="E2292" t="s">
        <v>136</v>
      </c>
    </row>
    <row r="2293" spans="1:5" x14ac:dyDescent="0.35">
      <c r="A2293" s="1" t="s">
        <v>147</v>
      </c>
      <c r="B2293" s="1"/>
      <c r="C2293" s="1"/>
      <c r="D2293" s="1" t="s">
        <v>149</v>
      </c>
      <c r="E2293" t="s">
        <v>136</v>
      </c>
    </row>
    <row r="2294" spans="1:5" x14ac:dyDescent="0.35">
      <c r="A2294" s="1" t="s">
        <v>147</v>
      </c>
      <c r="B2294" s="1" t="s">
        <v>154</v>
      </c>
      <c r="C2294" s="1" t="s">
        <v>145</v>
      </c>
      <c r="D2294" s="1" t="s">
        <v>146</v>
      </c>
      <c r="E2294" t="s">
        <v>136</v>
      </c>
    </row>
    <row r="2295" spans="1:5" x14ac:dyDescent="0.35">
      <c r="A2295" s="1" t="s">
        <v>147</v>
      </c>
      <c r="B2295" s="1"/>
      <c r="C2295" s="1"/>
      <c r="D2295" s="1" t="s">
        <v>148</v>
      </c>
      <c r="E2295" t="s">
        <v>136</v>
      </c>
    </row>
    <row r="2296" spans="1:5" x14ac:dyDescent="0.35">
      <c r="A2296" s="1" t="s">
        <v>147</v>
      </c>
      <c r="B2296" s="1"/>
      <c r="C2296" s="1"/>
      <c r="D2296" s="1" t="s">
        <v>149</v>
      </c>
      <c r="E2296" t="s">
        <v>136</v>
      </c>
    </row>
    <row r="2297" spans="1:5" x14ac:dyDescent="0.35">
      <c r="A2297" s="1" t="s">
        <v>147</v>
      </c>
      <c r="B2297" s="1"/>
      <c r="C2297" s="1" t="s">
        <v>150</v>
      </c>
      <c r="D2297" s="1" t="s">
        <v>146</v>
      </c>
      <c r="E2297" t="s">
        <v>136</v>
      </c>
    </row>
    <row r="2298" spans="1:5" x14ac:dyDescent="0.35">
      <c r="A2298" s="1" t="s">
        <v>147</v>
      </c>
      <c r="B2298" s="1"/>
      <c r="C2298" s="1"/>
      <c r="D2298" s="1" t="s">
        <v>148</v>
      </c>
      <c r="E2298" t="s">
        <v>136</v>
      </c>
    </row>
    <row r="2299" spans="1:5" x14ac:dyDescent="0.35">
      <c r="A2299" s="1" t="s">
        <v>147</v>
      </c>
      <c r="B2299" s="1"/>
      <c r="C2299" s="1"/>
      <c r="D2299" s="1" t="s">
        <v>149</v>
      </c>
      <c r="E2299" t="s">
        <v>136</v>
      </c>
    </row>
    <row r="2300" spans="1:5" x14ac:dyDescent="0.35">
      <c r="A2300" s="1" t="s">
        <v>147</v>
      </c>
      <c r="B2300" s="1" t="s">
        <v>155</v>
      </c>
      <c r="C2300" s="1" t="s">
        <v>145</v>
      </c>
      <c r="D2300" s="1" t="s">
        <v>146</v>
      </c>
      <c r="E2300" t="s">
        <v>136</v>
      </c>
    </row>
    <row r="2301" spans="1:5" x14ac:dyDescent="0.35">
      <c r="A2301" s="1" t="s">
        <v>147</v>
      </c>
      <c r="B2301" s="1"/>
      <c r="C2301" s="1"/>
      <c r="D2301" s="1" t="s">
        <v>148</v>
      </c>
      <c r="E2301" t="s">
        <v>136</v>
      </c>
    </row>
    <row r="2302" spans="1:5" x14ac:dyDescent="0.35">
      <c r="A2302" s="1" t="s">
        <v>147</v>
      </c>
      <c r="B2302" s="1"/>
      <c r="C2302" s="1"/>
      <c r="D2302" s="1" t="s">
        <v>149</v>
      </c>
      <c r="E2302" t="s">
        <v>136</v>
      </c>
    </row>
    <row r="2303" spans="1:5" x14ac:dyDescent="0.35">
      <c r="A2303" s="1" t="s">
        <v>147</v>
      </c>
      <c r="B2303" s="1"/>
      <c r="C2303" s="1" t="s">
        <v>150</v>
      </c>
      <c r="D2303" s="1" t="s">
        <v>146</v>
      </c>
      <c r="E2303" t="s">
        <v>136</v>
      </c>
    </row>
    <row r="2304" spans="1:5" x14ac:dyDescent="0.35">
      <c r="A2304" s="1" t="s">
        <v>147</v>
      </c>
      <c r="B2304" s="1"/>
      <c r="C2304" s="1"/>
      <c r="D2304" s="1" t="s">
        <v>148</v>
      </c>
      <c r="E2304" t="s">
        <v>136</v>
      </c>
    </row>
    <row r="2305" spans="1:5" x14ac:dyDescent="0.35">
      <c r="A2305" s="1" t="s">
        <v>147</v>
      </c>
      <c r="B2305" s="1"/>
      <c r="C2305" s="1"/>
      <c r="D2305" s="1" t="s">
        <v>149</v>
      </c>
      <c r="E2305" t="s">
        <v>136</v>
      </c>
    </row>
    <row r="2306" spans="1:5" x14ac:dyDescent="0.35">
      <c r="A2306" s="1" t="s">
        <v>147</v>
      </c>
      <c r="B2306" s="1" t="s">
        <v>156</v>
      </c>
      <c r="C2306" s="1" t="s">
        <v>145</v>
      </c>
      <c r="D2306" s="1" t="s">
        <v>146</v>
      </c>
      <c r="E2306" t="s">
        <v>136</v>
      </c>
    </row>
    <row r="2307" spans="1:5" x14ac:dyDescent="0.35">
      <c r="A2307" s="1" t="s">
        <v>147</v>
      </c>
      <c r="B2307" s="1"/>
      <c r="C2307" s="1"/>
      <c r="D2307" s="1" t="s">
        <v>148</v>
      </c>
      <c r="E2307" t="s">
        <v>136</v>
      </c>
    </row>
    <row r="2308" spans="1:5" x14ac:dyDescent="0.35">
      <c r="A2308" s="1" t="s">
        <v>147</v>
      </c>
      <c r="B2308" s="1"/>
      <c r="C2308" s="1"/>
      <c r="D2308" s="1" t="s">
        <v>149</v>
      </c>
      <c r="E2308" t="s">
        <v>136</v>
      </c>
    </row>
    <row r="2309" spans="1:5" x14ac:dyDescent="0.35">
      <c r="A2309" s="1" t="s">
        <v>147</v>
      </c>
      <c r="B2309" s="1"/>
      <c r="C2309" s="1" t="s">
        <v>150</v>
      </c>
      <c r="D2309" s="1" t="s">
        <v>146</v>
      </c>
      <c r="E2309" t="s">
        <v>136</v>
      </c>
    </row>
    <row r="2310" spans="1:5" x14ac:dyDescent="0.35">
      <c r="A2310" s="1" t="s">
        <v>147</v>
      </c>
      <c r="B2310" s="1"/>
      <c r="C2310" s="1"/>
      <c r="D2310" s="1" t="s">
        <v>148</v>
      </c>
      <c r="E2310" t="s">
        <v>136</v>
      </c>
    </row>
    <row r="2311" spans="1:5" x14ac:dyDescent="0.35">
      <c r="A2311" s="1" t="s">
        <v>147</v>
      </c>
      <c r="B2311" s="1"/>
      <c r="C2311" s="1"/>
      <c r="D2311" s="1" t="s">
        <v>149</v>
      </c>
      <c r="E2311" t="s">
        <v>136</v>
      </c>
    </row>
    <row r="2312" spans="1:5" x14ac:dyDescent="0.35">
      <c r="A2312" s="1" t="s">
        <v>147</v>
      </c>
      <c r="B2312" s="1" t="s">
        <v>157</v>
      </c>
      <c r="C2312" s="1" t="s">
        <v>145</v>
      </c>
      <c r="D2312" s="1" t="s">
        <v>146</v>
      </c>
      <c r="E2312" t="s">
        <v>136</v>
      </c>
    </row>
    <row r="2313" spans="1:5" x14ac:dyDescent="0.35">
      <c r="A2313" s="1" t="s">
        <v>147</v>
      </c>
      <c r="B2313" s="1"/>
      <c r="C2313" s="1"/>
      <c r="D2313" s="1" t="s">
        <v>148</v>
      </c>
      <c r="E2313" t="s">
        <v>136</v>
      </c>
    </row>
    <row r="2314" spans="1:5" x14ac:dyDescent="0.35">
      <c r="A2314" s="1" t="s">
        <v>147</v>
      </c>
      <c r="B2314" s="1"/>
      <c r="C2314" s="1"/>
      <c r="D2314" s="1" t="s">
        <v>149</v>
      </c>
      <c r="E2314" t="s">
        <v>136</v>
      </c>
    </row>
    <row r="2315" spans="1:5" x14ac:dyDescent="0.35">
      <c r="A2315" s="1" t="s">
        <v>147</v>
      </c>
      <c r="B2315" s="1"/>
      <c r="C2315" s="1" t="s">
        <v>150</v>
      </c>
      <c r="D2315" s="1" t="s">
        <v>146</v>
      </c>
      <c r="E2315" t="s">
        <v>136</v>
      </c>
    </row>
    <row r="2316" spans="1:5" x14ac:dyDescent="0.35">
      <c r="A2316" s="1" t="s">
        <v>147</v>
      </c>
      <c r="B2316" s="1"/>
      <c r="C2316" s="1"/>
      <c r="D2316" s="1" t="s">
        <v>148</v>
      </c>
      <c r="E2316" t="s">
        <v>136</v>
      </c>
    </row>
    <row r="2317" spans="1:5" x14ac:dyDescent="0.35">
      <c r="A2317" s="1" t="s">
        <v>147</v>
      </c>
      <c r="B2317" s="1"/>
      <c r="C2317" s="1"/>
      <c r="D2317" s="1" t="s">
        <v>149</v>
      </c>
      <c r="E2317" t="s">
        <v>136</v>
      </c>
    </row>
    <row r="2318" spans="1:5" x14ac:dyDescent="0.35">
      <c r="A2318" s="1" t="s">
        <v>147</v>
      </c>
      <c r="B2318" s="1" t="s">
        <v>158</v>
      </c>
      <c r="C2318" s="1" t="s">
        <v>145</v>
      </c>
      <c r="D2318" s="1" t="s">
        <v>146</v>
      </c>
      <c r="E2318" t="s">
        <v>136</v>
      </c>
    </row>
    <row r="2319" spans="1:5" x14ac:dyDescent="0.35">
      <c r="A2319" s="1" t="s">
        <v>147</v>
      </c>
      <c r="B2319" s="1"/>
      <c r="C2319" s="1"/>
      <c r="D2319" s="1" t="s">
        <v>148</v>
      </c>
      <c r="E2319" t="s">
        <v>136</v>
      </c>
    </row>
    <row r="2320" spans="1:5" x14ac:dyDescent="0.35">
      <c r="A2320" s="1" t="s">
        <v>147</v>
      </c>
      <c r="B2320" s="1"/>
      <c r="C2320" s="1"/>
      <c r="D2320" s="1" t="s">
        <v>149</v>
      </c>
      <c r="E2320" t="s">
        <v>136</v>
      </c>
    </row>
    <row r="2321" spans="1:5" x14ac:dyDescent="0.35">
      <c r="A2321" s="1" t="s">
        <v>147</v>
      </c>
      <c r="B2321" s="1"/>
      <c r="C2321" s="1" t="s">
        <v>150</v>
      </c>
      <c r="D2321" s="1" t="s">
        <v>146</v>
      </c>
      <c r="E2321" t="s">
        <v>136</v>
      </c>
    </row>
    <row r="2322" spans="1:5" x14ac:dyDescent="0.35">
      <c r="A2322" s="1" t="s">
        <v>147</v>
      </c>
      <c r="B2322" s="1"/>
      <c r="C2322" s="1"/>
      <c r="D2322" s="1" t="s">
        <v>148</v>
      </c>
      <c r="E2322" t="s">
        <v>136</v>
      </c>
    </row>
    <row r="2323" spans="1:5" x14ac:dyDescent="0.35">
      <c r="A2323" s="1" t="s">
        <v>147</v>
      </c>
      <c r="B2323" s="1"/>
      <c r="C2323" s="1"/>
      <c r="D2323" s="1" t="s">
        <v>149</v>
      </c>
      <c r="E2323" t="s">
        <v>136</v>
      </c>
    </row>
    <row r="2324" spans="1:5" x14ac:dyDescent="0.35">
      <c r="A2324" s="1" t="s">
        <v>147</v>
      </c>
      <c r="B2324" s="1" t="s">
        <v>159</v>
      </c>
      <c r="C2324" s="1" t="s">
        <v>145</v>
      </c>
      <c r="D2324" s="1" t="s">
        <v>146</v>
      </c>
      <c r="E2324" t="s">
        <v>136</v>
      </c>
    </row>
    <row r="2325" spans="1:5" x14ac:dyDescent="0.35">
      <c r="A2325" s="1" t="s">
        <v>147</v>
      </c>
      <c r="B2325" s="1"/>
      <c r="C2325" s="1"/>
      <c r="D2325" s="1" t="s">
        <v>148</v>
      </c>
      <c r="E2325" t="s">
        <v>136</v>
      </c>
    </row>
    <row r="2326" spans="1:5" x14ac:dyDescent="0.35">
      <c r="A2326" s="1" t="s">
        <v>147</v>
      </c>
      <c r="B2326" s="1"/>
      <c r="C2326" s="1"/>
      <c r="D2326" s="1" t="s">
        <v>149</v>
      </c>
      <c r="E2326" t="s">
        <v>136</v>
      </c>
    </row>
    <row r="2327" spans="1:5" x14ac:dyDescent="0.35">
      <c r="A2327" s="1" t="s">
        <v>147</v>
      </c>
      <c r="B2327" s="1"/>
      <c r="C2327" s="1" t="s">
        <v>150</v>
      </c>
      <c r="D2327" s="1" t="s">
        <v>146</v>
      </c>
      <c r="E2327" t="s">
        <v>136</v>
      </c>
    </row>
    <row r="2328" spans="1:5" x14ac:dyDescent="0.35">
      <c r="A2328" s="1" t="s">
        <v>147</v>
      </c>
      <c r="B2328" s="1"/>
      <c r="C2328" s="1"/>
      <c r="D2328" s="1" t="s">
        <v>148</v>
      </c>
      <c r="E2328" t="s">
        <v>136</v>
      </c>
    </row>
    <row r="2329" spans="1:5" x14ac:dyDescent="0.35">
      <c r="A2329" s="1" t="s">
        <v>147</v>
      </c>
      <c r="B2329" s="1"/>
      <c r="C2329" s="1"/>
      <c r="D2329" s="1" t="s">
        <v>149</v>
      </c>
      <c r="E2329" t="s">
        <v>136</v>
      </c>
    </row>
    <row r="2330" spans="1:5" x14ac:dyDescent="0.35">
      <c r="A2330" s="1" t="s">
        <v>147</v>
      </c>
      <c r="B2330" s="1" t="s">
        <v>160</v>
      </c>
      <c r="C2330" s="1" t="s">
        <v>145</v>
      </c>
      <c r="D2330" s="1" t="s">
        <v>146</v>
      </c>
      <c r="E2330" t="s">
        <v>136</v>
      </c>
    </row>
    <row r="2331" spans="1:5" x14ac:dyDescent="0.35">
      <c r="A2331" s="1" t="s">
        <v>147</v>
      </c>
      <c r="B2331" s="1"/>
      <c r="C2331" s="1"/>
      <c r="D2331" s="1" t="s">
        <v>148</v>
      </c>
      <c r="E2331" t="s">
        <v>136</v>
      </c>
    </row>
    <row r="2332" spans="1:5" x14ac:dyDescent="0.35">
      <c r="A2332" s="1" t="s">
        <v>147</v>
      </c>
      <c r="B2332" s="1"/>
      <c r="C2332" s="1"/>
      <c r="D2332" s="1" t="s">
        <v>149</v>
      </c>
      <c r="E2332" t="s">
        <v>136</v>
      </c>
    </row>
    <row r="2333" spans="1:5" x14ac:dyDescent="0.35">
      <c r="A2333" s="1" t="s">
        <v>147</v>
      </c>
      <c r="B2333" s="1"/>
      <c r="C2333" s="1" t="s">
        <v>150</v>
      </c>
      <c r="D2333" s="1" t="s">
        <v>146</v>
      </c>
      <c r="E2333" t="s">
        <v>136</v>
      </c>
    </row>
    <row r="2334" spans="1:5" x14ac:dyDescent="0.35">
      <c r="A2334" s="1" t="s">
        <v>147</v>
      </c>
      <c r="B2334" s="1"/>
      <c r="C2334" s="1"/>
      <c r="D2334" s="1" t="s">
        <v>148</v>
      </c>
      <c r="E2334" t="s">
        <v>136</v>
      </c>
    </row>
    <row r="2335" spans="1:5" x14ac:dyDescent="0.35">
      <c r="A2335" s="1" t="s">
        <v>147</v>
      </c>
      <c r="B2335" s="1"/>
      <c r="C2335" s="1"/>
      <c r="D2335" s="1" t="s">
        <v>149</v>
      </c>
      <c r="E2335" t="s">
        <v>136</v>
      </c>
    </row>
    <row r="2336" spans="1:5" x14ac:dyDescent="0.35">
      <c r="A2336" s="1" t="s">
        <v>147</v>
      </c>
      <c r="B2336" s="1" t="s">
        <v>161</v>
      </c>
      <c r="C2336" s="1" t="s">
        <v>145</v>
      </c>
      <c r="D2336" s="1" t="s">
        <v>146</v>
      </c>
      <c r="E2336" t="s">
        <v>136</v>
      </c>
    </row>
    <row r="2337" spans="1:5" x14ac:dyDescent="0.35">
      <c r="A2337" s="1" t="s">
        <v>147</v>
      </c>
      <c r="B2337" s="1"/>
      <c r="C2337" s="1"/>
      <c r="D2337" s="1" t="s">
        <v>148</v>
      </c>
      <c r="E2337" t="s">
        <v>136</v>
      </c>
    </row>
    <row r="2338" spans="1:5" x14ac:dyDescent="0.35">
      <c r="A2338" s="1" t="s">
        <v>147</v>
      </c>
      <c r="B2338" s="1"/>
      <c r="C2338" s="1"/>
      <c r="D2338" s="1" t="s">
        <v>149</v>
      </c>
      <c r="E2338" t="s">
        <v>136</v>
      </c>
    </row>
    <row r="2339" spans="1:5" x14ac:dyDescent="0.35">
      <c r="A2339" s="1" t="s">
        <v>147</v>
      </c>
      <c r="B2339" s="1"/>
      <c r="C2339" s="1" t="s">
        <v>150</v>
      </c>
      <c r="D2339" s="1" t="s">
        <v>146</v>
      </c>
      <c r="E2339" t="s">
        <v>136</v>
      </c>
    </row>
    <row r="2340" spans="1:5" x14ac:dyDescent="0.35">
      <c r="A2340" s="1" t="s">
        <v>147</v>
      </c>
      <c r="B2340" s="1"/>
      <c r="C2340" s="1"/>
      <c r="D2340" s="1" t="s">
        <v>148</v>
      </c>
      <c r="E2340" t="s">
        <v>136</v>
      </c>
    </row>
    <row r="2341" spans="1:5" x14ac:dyDescent="0.35">
      <c r="A2341" s="1" t="s">
        <v>147</v>
      </c>
      <c r="B2341" s="1"/>
      <c r="C2341" s="1"/>
      <c r="D2341" s="1" t="s">
        <v>149</v>
      </c>
      <c r="E2341" t="s">
        <v>136</v>
      </c>
    </row>
    <row r="2342" spans="1:5" x14ac:dyDescent="0.35">
      <c r="A2342" s="1" t="s">
        <v>147</v>
      </c>
      <c r="B2342" s="1" t="s">
        <v>162</v>
      </c>
      <c r="C2342" s="1" t="s">
        <v>145</v>
      </c>
      <c r="D2342" s="1" t="s">
        <v>146</v>
      </c>
      <c r="E2342" t="s">
        <v>136</v>
      </c>
    </row>
    <row r="2343" spans="1:5" x14ac:dyDescent="0.35">
      <c r="A2343" s="1" t="s">
        <v>147</v>
      </c>
      <c r="B2343" s="1"/>
      <c r="C2343" s="1"/>
      <c r="D2343" s="1" t="s">
        <v>148</v>
      </c>
      <c r="E2343" t="s">
        <v>136</v>
      </c>
    </row>
    <row r="2344" spans="1:5" x14ac:dyDescent="0.35">
      <c r="A2344" s="1" t="s">
        <v>147</v>
      </c>
      <c r="B2344" s="1"/>
      <c r="C2344" s="1"/>
      <c r="D2344" s="1" t="s">
        <v>149</v>
      </c>
      <c r="E2344" t="s">
        <v>136</v>
      </c>
    </row>
    <row r="2345" spans="1:5" x14ac:dyDescent="0.35">
      <c r="A2345" s="1" t="s">
        <v>147</v>
      </c>
      <c r="B2345" s="1"/>
      <c r="C2345" s="1" t="s">
        <v>150</v>
      </c>
      <c r="D2345" s="1" t="s">
        <v>146</v>
      </c>
      <c r="E2345" t="s">
        <v>136</v>
      </c>
    </row>
    <row r="2346" spans="1:5" x14ac:dyDescent="0.35">
      <c r="A2346" s="1" t="s">
        <v>147</v>
      </c>
      <c r="B2346" s="1"/>
      <c r="C2346" s="1"/>
      <c r="D2346" s="1" t="s">
        <v>148</v>
      </c>
      <c r="E2346" t="s">
        <v>136</v>
      </c>
    </row>
    <row r="2347" spans="1:5" x14ac:dyDescent="0.35">
      <c r="A2347" s="1" t="s">
        <v>147</v>
      </c>
      <c r="B2347" s="1"/>
      <c r="C2347" s="1"/>
      <c r="D2347" s="1" t="s">
        <v>149</v>
      </c>
      <c r="E2347" t="s">
        <v>136</v>
      </c>
    </row>
    <row r="2348" spans="1:5" x14ac:dyDescent="0.35">
      <c r="A2348" s="1" t="s">
        <v>147</v>
      </c>
      <c r="B2348" s="1" t="s">
        <v>163</v>
      </c>
      <c r="C2348" s="1" t="s">
        <v>145</v>
      </c>
      <c r="D2348" s="1" t="s">
        <v>146</v>
      </c>
      <c r="E2348">
        <v>28</v>
      </c>
    </row>
    <row r="2349" spans="1:5" x14ac:dyDescent="0.35">
      <c r="A2349" s="1" t="s">
        <v>147</v>
      </c>
      <c r="B2349" s="1"/>
      <c r="C2349" s="1"/>
      <c r="D2349" s="1" t="s">
        <v>148</v>
      </c>
      <c r="E2349">
        <v>28</v>
      </c>
    </row>
    <row r="2350" spans="1:5" x14ac:dyDescent="0.35">
      <c r="A2350" s="1" t="s">
        <v>147</v>
      </c>
      <c r="B2350" s="1"/>
      <c r="C2350" s="1"/>
      <c r="D2350" s="1" t="s">
        <v>149</v>
      </c>
      <c r="E2350" t="s">
        <v>136</v>
      </c>
    </row>
    <row r="2351" spans="1:5" x14ac:dyDescent="0.35">
      <c r="A2351" s="1" t="s">
        <v>147</v>
      </c>
      <c r="B2351" s="1"/>
      <c r="C2351" s="1" t="s">
        <v>150</v>
      </c>
      <c r="D2351" s="1" t="s">
        <v>146</v>
      </c>
      <c r="E2351" t="s">
        <v>136</v>
      </c>
    </row>
    <row r="2352" spans="1:5" x14ac:dyDescent="0.35">
      <c r="A2352" s="1" t="s">
        <v>147</v>
      </c>
      <c r="B2352" s="1"/>
      <c r="C2352" s="1"/>
      <c r="D2352" s="1" t="s">
        <v>148</v>
      </c>
      <c r="E2352" t="s">
        <v>136</v>
      </c>
    </row>
    <row r="2353" spans="1:5" x14ac:dyDescent="0.35">
      <c r="A2353" s="1" t="s">
        <v>147</v>
      </c>
      <c r="B2353" s="1"/>
      <c r="C2353" s="1"/>
      <c r="D2353" s="1" t="s">
        <v>149</v>
      </c>
      <c r="E2353" t="s">
        <v>136</v>
      </c>
    </row>
    <row r="2354" spans="1:5" x14ac:dyDescent="0.35">
      <c r="A2354" s="1" t="s">
        <v>147</v>
      </c>
      <c r="B2354" s="1" t="s">
        <v>164</v>
      </c>
      <c r="C2354" s="1" t="s">
        <v>145</v>
      </c>
      <c r="D2354" s="1" t="s">
        <v>146</v>
      </c>
      <c r="E2354" t="s">
        <v>136</v>
      </c>
    </row>
    <row r="2355" spans="1:5" x14ac:dyDescent="0.35">
      <c r="A2355" s="1" t="s">
        <v>147</v>
      </c>
      <c r="B2355" s="1"/>
      <c r="C2355" s="1"/>
      <c r="D2355" s="1" t="s">
        <v>148</v>
      </c>
      <c r="E2355" t="s">
        <v>136</v>
      </c>
    </row>
    <row r="2356" spans="1:5" x14ac:dyDescent="0.35">
      <c r="A2356" s="1" t="s">
        <v>147</v>
      </c>
      <c r="B2356" s="1"/>
      <c r="C2356" s="1"/>
      <c r="D2356" s="1" t="s">
        <v>149</v>
      </c>
      <c r="E2356" t="s">
        <v>136</v>
      </c>
    </row>
    <row r="2357" spans="1:5" x14ac:dyDescent="0.35">
      <c r="A2357" s="1" t="s">
        <v>147</v>
      </c>
      <c r="B2357" s="1"/>
      <c r="C2357" s="1" t="s">
        <v>150</v>
      </c>
      <c r="D2357" s="1" t="s">
        <v>146</v>
      </c>
      <c r="E2357" t="s">
        <v>136</v>
      </c>
    </row>
    <row r="2358" spans="1:5" x14ac:dyDescent="0.35">
      <c r="A2358" s="1" t="s">
        <v>147</v>
      </c>
      <c r="B2358" s="1"/>
      <c r="C2358" s="1"/>
      <c r="D2358" s="1" t="s">
        <v>148</v>
      </c>
      <c r="E2358" t="s">
        <v>136</v>
      </c>
    </row>
    <row r="2359" spans="1:5" x14ac:dyDescent="0.35">
      <c r="A2359" s="1" t="s">
        <v>147</v>
      </c>
      <c r="B2359" s="1"/>
      <c r="C2359" s="1"/>
      <c r="D2359" s="1" t="s">
        <v>149</v>
      </c>
      <c r="E2359" t="s">
        <v>136</v>
      </c>
    </row>
    <row r="2360" spans="1:5" x14ac:dyDescent="0.35">
      <c r="A2360" s="1" t="s">
        <v>147</v>
      </c>
      <c r="B2360" s="1" t="s">
        <v>165</v>
      </c>
      <c r="C2360" s="1" t="s">
        <v>145</v>
      </c>
      <c r="D2360" s="1" t="s">
        <v>146</v>
      </c>
      <c r="E2360" t="s">
        <v>136</v>
      </c>
    </row>
    <row r="2361" spans="1:5" x14ac:dyDescent="0.35">
      <c r="A2361" s="1" t="s">
        <v>147</v>
      </c>
      <c r="B2361" s="1"/>
      <c r="C2361" s="1"/>
      <c r="D2361" s="1" t="s">
        <v>148</v>
      </c>
      <c r="E2361" t="s">
        <v>136</v>
      </c>
    </row>
    <row r="2362" spans="1:5" x14ac:dyDescent="0.35">
      <c r="A2362" s="1" t="s">
        <v>147</v>
      </c>
      <c r="B2362" s="1"/>
      <c r="C2362" s="1"/>
      <c r="D2362" s="1" t="s">
        <v>149</v>
      </c>
      <c r="E2362" t="s">
        <v>136</v>
      </c>
    </row>
    <row r="2363" spans="1:5" x14ac:dyDescent="0.35">
      <c r="A2363" s="1" t="s">
        <v>147</v>
      </c>
      <c r="B2363" s="1"/>
      <c r="C2363" s="1" t="s">
        <v>150</v>
      </c>
      <c r="D2363" s="1" t="s">
        <v>146</v>
      </c>
      <c r="E2363" t="s">
        <v>136</v>
      </c>
    </row>
    <row r="2364" spans="1:5" x14ac:dyDescent="0.35">
      <c r="A2364" s="1" t="s">
        <v>147</v>
      </c>
      <c r="B2364" s="1"/>
      <c r="C2364" s="1"/>
      <c r="D2364" s="1" t="s">
        <v>148</v>
      </c>
      <c r="E2364" t="s">
        <v>136</v>
      </c>
    </row>
    <row r="2365" spans="1:5" x14ac:dyDescent="0.35">
      <c r="A2365" s="1" t="s">
        <v>147</v>
      </c>
      <c r="B2365" s="1"/>
      <c r="C2365" s="1"/>
      <c r="D2365" s="1" t="s">
        <v>149</v>
      </c>
      <c r="E2365" t="s">
        <v>136</v>
      </c>
    </row>
    <row r="2366" spans="1:5" x14ac:dyDescent="0.35">
      <c r="A2366" s="1" t="s">
        <v>147</v>
      </c>
      <c r="B2366" s="1" t="s">
        <v>166</v>
      </c>
      <c r="C2366" s="1" t="s">
        <v>145</v>
      </c>
      <c r="D2366" s="1" t="s">
        <v>146</v>
      </c>
      <c r="E2366">
        <v>28</v>
      </c>
    </row>
    <row r="2367" spans="1:5" x14ac:dyDescent="0.35">
      <c r="A2367" s="1" t="s">
        <v>147</v>
      </c>
      <c r="B2367" s="1"/>
      <c r="C2367" s="1"/>
      <c r="D2367" s="1" t="s">
        <v>148</v>
      </c>
      <c r="E2367">
        <v>28</v>
      </c>
    </row>
    <row r="2368" spans="1:5" x14ac:dyDescent="0.35">
      <c r="A2368" s="1" t="s">
        <v>147</v>
      </c>
      <c r="B2368" s="1"/>
      <c r="C2368" s="1"/>
      <c r="D2368" s="1" t="s">
        <v>149</v>
      </c>
      <c r="E2368" t="s">
        <v>136</v>
      </c>
    </row>
    <row r="2369" spans="1:5" x14ac:dyDescent="0.35">
      <c r="A2369" s="1" t="s">
        <v>147</v>
      </c>
      <c r="B2369" s="1"/>
      <c r="C2369" s="1" t="s">
        <v>150</v>
      </c>
      <c r="D2369" s="1" t="s">
        <v>146</v>
      </c>
      <c r="E2369" t="s">
        <v>136</v>
      </c>
    </row>
    <row r="2370" spans="1:5" x14ac:dyDescent="0.35">
      <c r="A2370" s="1" t="s">
        <v>147</v>
      </c>
      <c r="B2370" s="1"/>
      <c r="C2370" s="1"/>
      <c r="D2370" s="1" t="s">
        <v>148</v>
      </c>
      <c r="E2370" t="s">
        <v>136</v>
      </c>
    </row>
    <row r="2371" spans="1:5" x14ac:dyDescent="0.35">
      <c r="A2371" s="1" t="s">
        <v>147</v>
      </c>
      <c r="B2371" s="1"/>
      <c r="C2371" s="1"/>
      <c r="D2371" s="1" t="s">
        <v>149</v>
      </c>
      <c r="E2371" t="s">
        <v>136</v>
      </c>
    </row>
    <row r="2372" spans="1:5" x14ac:dyDescent="0.35">
      <c r="A2372" s="1" t="s">
        <v>147</v>
      </c>
      <c r="B2372" s="1" t="s">
        <v>167</v>
      </c>
      <c r="C2372" s="1" t="s">
        <v>145</v>
      </c>
      <c r="D2372" s="1" t="s">
        <v>146</v>
      </c>
      <c r="E2372" t="s">
        <v>136</v>
      </c>
    </row>
    <row r="2373" spans="1:5" x14ac:dyDescent="0.35">
      <c r="A2373" s="1" t="s">
        <v>147</v>
      </c>
      <c r="B2373" s="1"/>
      <c r="C2373" s="1"/>
      <c r="D2373" s="1" t="s">
        <v>148</v>
      </c>
      <c r="E2373" t="s">
        <v>136</v>
      </c>
    </row>
    <row r="2374" spans="1:5" x14ac:dyDescent="0.35">
      <c r="A2374" s="1" t="s">
        <v>147</v>
      </c>
      <c r="B2374" s="1"/>
      <c r="C2374" s="1"/>
      <c r="D2374" s="1" t="s">
        <v>149</v>
      </c>
      <c r="E2374" t="s">
        <v>136</v>
      </c>
    </row>
    <row r="2375" spans="1:5" x14ac:dyDescent="0.35">
      <c r="A2375" s="1" t="s">
        <v>147</v>
      </c>
      <c r="B2375" s="1"/>
      <c r="C2375" s="1" t="s">
        <v>150</v>
      </c>
      <c r="D2375" s="1" t="s">
        <v>146</v>
      </c>
      <c r="E2375" t="s">
        <v>136</v>
      </c>
    </row>
    <row r="2376" spans="1:5" x14ac:dyDescent="0.35">
      <c r="A2376" s="1" t="s">
        <v>147</v>
      </c>
      <c r="B2376" s="1"/>
      <c r="C2376" s="1"/>
      <c r="D2376" s="1" t="s">
        <v>148</v>
      </c>
      <c r="E2376" t="s">
        <v>136</v>
      </c>
    </row>
    <row r="2377" spans="1:5" x14ac:dyDescent="0.35">
      <c r="A2377" s="1" t="s">
        <v>147</v>
      </c>
      <c r="B2377" s="1"/>
      <c r="C2377" s="1"/>
      <c r="D2377" s="1" t="s">
        <v>149</v>
      </c>
      <c r="E2377" t="s">
        <v>136</v>
      </c>
    </row>
    <row r="2378" spans="1:5" x14ac:dyDescent="0.35">
      <c r="A2378" s="1" t="s">
        <v>147</v>
      </c>
      <c r="B2378" s="1" t="s">
        <v>168</v>
      </c>
      <c r="C2378" s="1" t="s">
        <v>145</v>
      </c>
      <c r="D2378" s="1" t="s">
        <v>146</v>
      </c>
      <c r="E2378" t="s">
        <v>136</v>
      </c>
    </row>
    <row r="2379" spans="1:5" x14ac:dyDescent="0.35">
      <c r="A2379" s="1" t="s">
        <v>147</v>
      </c>
      <c r="B2379" s="1"/>
      <c r="C2379" s="1"/>
      <c r="D2379" s="1" t="s">
        <v>148</v>
      </c>
      <c r="E2379" t="s">
        <v>136</v>
      </c>
    </row>
    <row r="2380" spans="1:5" x14ac:dyDescent="0.35">
      <c r="A2380" s="1" t="s">
        <v>147</v>
      </c>
      <c r="B2380" s="1"/>
      <c r="C2380" s="1"/>
      <c r="D2380" s="1" t="s">
        <v>149</v>
      </c>
      <c r="E2380" t="s">
        <v>136</v>
      </c>
    </row>
    <row r="2381" spans="1:5" x14ac:dyDescent="0.35">
      <c r="A2381" s="1" t="s">
        <v>147</v>
      </c>
      <c r="B2381" s="1"/>
      <c r="C2381" s="1" t="s">
        <v>150</v>
      </c>
      <c r="D2381" s="1" t="s">
        <v>146</v>
      </c>
      <c r="E2381" t="s">
        <v>136</v>
      </c>
    </row>
    <row r="2382" spans="1:5" x14ac:dyDescent="0.35">
      <c r="A2382" s="1" t="s">
        <v>147</v>
      </c>
      <c r="B2382" s="1"/>
      <c r="C2382" s="1"/>
      <c r="D2382" s="1" t="s">
        <v>148</v>
      </c>
      <c r="E2382" t="s">
        <v>136</v>
      </c>
    </row>
    <row r="2383" spans="1:5" x14ac:dyDescent="0.35">
      <c r="A2383" s="1" t="s">
        <v>147</v>
      </c>
      <c r="B2383" s="1"/>
      <c r="C2383" s="1"/>
      <c r="D2383" s="1" t="s">
        <v>149</v>
      </c>
      <c r="E2383" t="s">
        <v>136</v>
      </c>
    </row>
    <row r="2384" spans="1:5" x14ac:dyDescent="0.35">
      <c r="A2384" s="1" t="s">
        <v>147</v>
      </c>
      <c r="B2384" s="1" t="s">
        <v>169</v>
      </c>
      <c r="C2384" s="1" t="s">
        <v>145</v>
      </c>
      <c r="D2384" s="1" t="s">
        <v>146</v>
      </c>
      <c r="E2384" t="s">
        <v>136</v>
      </c>
    </row>
    <row r="2385" spans="1:5" x14ac:dyDescent="0.35">
      <c r="A2385" s="1" t="s">
        <v>147</v>
      </c>
      <c r="B2385" s="1"/>
      <c r="C2385" s="1"/>
      <c r="D2385" s="1" t="s">
        <v>148</v>
      </c>
      <c r="E2385" t="s">
        <v>136</v>
      </c>
    </row>
    <row r="2386" spans="1:5" x14ac:dyDescent="0.35">
      <c r="A2386" s="1" t="s">
        <v>147</v>
      </c>
      <c r="B2386" s="1"/>
      <c r="C2386" s="1"/>
      <c r="D2386" s="1" t="s">
        <v>149</v>
      </c>
      <c r="E2386" t="s">
        <v>136</v>
      </c>
    </row>
    <row r="2387" spans="1:5" x14ac:dyDescent="0.35">
      <c r="A2387" s="1" t="s">
        <v>147</v>
      </c>
      <c r="B2387" s="1"/>
      <c r="C2387" s="1" t="s">
        <v>150</v>
      </c>
      <c r="D2387" s="1" t="s">
        <v>146</v>
      </c>
      <c r="E2387" t="s">
        <v>136</v>
      </c>
    </row>
    <row r="2388" spans="1:5" x14ac:dyDescent="0.35">
      <c r="A2388" s="1" t="s">
        <v>147</v>
      </c>
      <c r="B2388" s="1"/>
      <c r="C2388" s="1"/>
      <c r="D2388" s="1" t="s">
        <v>148</v>
      </c>
      <c r="E2388" t="s">
        <v>136</v>
      </c>
    </row>
    <row r="2389" spans="1:5" x14ac:dyDescent="0.35">
      <c r="A2389" s="1" t="s">
        <v>147</v>
      </c>
      <c r="B2389" s="1"/>
      <c r="C2389" s="1"/>
      <c r="D2389" s="1" t="s">
        <v>149</v>
      </c>
      <c r="E2389" t="s">
        <v>136</v>
      </c>
    </row>
    <row r="2390" spans="1:5" x14ac:dyDescent="0.35">
      <c r="A2390" s="1" t="s">
        <v>147</v>
      </c>
      <c r="B2390" s="1" t="s">
        <v>170</v>
      </c>
      <c r="C2390" s="1" t="s">
        <v>145</v>
      </c>
      <c r="D2390" s="1" t="s">
        <v>146</v>
      </c>
      <c r="E2390" t="s">
        <v>136</v>
      </c>
    </row>
    <row r="2391" spans="1:5" x14ac:dyDescent="0.35">
      <c r="A2391" s="1" t="s">
        <v>147</v>
      </c>
      <c r="B2391" s="1"/>
      <c r="C2391" s="1"/>
      <c r="D2391" s="1" t="s">
        <v>148</v>
      </c>
      <c r="E2391" t="s">
        <v>136</v>
      </c>
    </row>
    <row r="2392" spans="1:5" x14ac:dyDescent="0.35">
      <c r="A2392" s="1" t="s">
        <v>147</v>
      </c>
      <c r="B2392" s="1"/>
      <c r="C2392" s="1"/>
      <c r="D2392" s="1" t="s">
        <v>149</v>
      </c>
      <c r="E2392" t="s">
        <v>136</v>
      </c>
    </row>
    <row r="2393" spans="1:5" x14ac:dyDescent="0.35">
      <c r="A2393" s="1" t="s">
        <v>147</v>
      </c>
      <c r="B2393" s="1"/>
      <c r="C2393" s="1" t="s">
        <v>150</v>
      </c>
      <c r="D2393" s="1" t="s">
        <v>146</v>
      </c>
      <c r="E2393" t="s">
        <v>136</v>
      </c>
    </row>
    <row r="2394" spans="1:5" x14ac:dyDescent="0.35">
      <c r="A2394" s="1" t="s">
        <v>147</v>
      </c>
      <c r="B2394" s="1"/>
      <c r="C2394" s="1"/>
      <c r="D2394" s="1" t="s">
        <v>148</v>
      </c>
      <c r="E2394" t="s">
        <v>136</v>
      </c>
    </row>
    <row r="2395" spans="1:5" x14ac:dyDescent="0.35">
      <c r="A2395" s="1" t="s">
        <v>147</v>
      </c>
      <c r="B2395" s="1"/>
      <c r="C2395" s="1"/>
      <c r="D2395" s="1" t="s">
        <v>149</v>
      </c>
      <c r="E2395" t="s">
        <v>136</v>
      </c>
    </row>
    <row r="2396" spans="1:5" x14ac:dyDescent="0.35">
      <c r="A2396" s="1" t="s">
        <v>105</v>
      </c>
      <c r="B2396" s="1" t="s">
        <v>144</v>
      </c>
      <c r="C2396" s="1" t="s">
        <v>145</v>
      </c>
      <c r="D2396" s="1" t="s">
        <v>146</v>
      </c>
      <c r="E2396">
        <v>31.74</v>
      </c>
    </row>
    <row r="2397" spans="1:5" x14ac:dyDescent="0.35">
      <c r="A2397" s="1" t="s">
        <v>147</v>
      </c>
      <c r="B2397" s="1"/>
      <c r="C2397" s="1"/>
      <c r="D2397" s="1" t="s">
        <v>148</v>
      </c>
      <c r="E2397">
        <v>28</v>
      </c>
    </row>
    <row r="2398" spans="1:5" x14ac:dyDescent="0.35">
      <c r="A2398" s="1" t="s">
        <v>147</v>
      </c>
      <c r="B2398" s="1"/>
      <c r="C2398" s="1"/>
      <c r="D2398" s="1" t="s">
        <v>149</v>
      </c>
      <c r="E2398">
        <v>3.74</v>
      </c>
    </row>
    <row r="2399" spans="1:5" x14ac:dyDescent="0.35">
      <c r="A2399" s="1" t="s">
        <v>147</v>
      </c>
      <c r="B2399" s="1"/>
      <c r="C2399" s="1" t="s">
        <v>150</v>
      </c>
      <c r="D2399" s="1" t="s">
        <v>146</v>
      </c>
      <c r="E2399" t="s">
        <v>136</v>
      </c>
    </row>
    <row r="2400" spans="1:5" x14ac:dyDescent="0.35">
      <c r="A2400" s="1" t="s">
        <v>147</v>
      </c>
      <c r="B2400" s="1"/>
      <c r="C2400" s="1"/>
      <c r="D2400" s="1" t="s">
        <v>148</v>
      </c>
      <c r="E2400" t="s">
        <v>136</v>
      </c>
    </row>
    <row r="2401" spans="1:5" x14ac:dyDescent="0.35">
      <c r="A2401" s="1" t="s">
        <v>147</v>
      </c>
      <c r="B2401" s="1"/>
      <c r="C2401" s="1"/>
      <c r="D2401" s="1" t="s">
        <v>149</v>
      </c>
      <c r="E2401" t="s">
        <v>136</v>
      </c>
    </row>
    <row r="2402" spans="1:5" x14ac:dyDescent="0.35">
      <c r="A2402" s="1" t="s">
        <v>147</v>
      </c>
      <c r="B2402" s="1" t="s">
        <v>151</v>
      </c>
      <c r="C2402" s="1" t="s">
        <v>145</v>
      </c>
      <c r="D2402" s="1" t="s">
        <v>146</v>
      </c>
      <c r="E2402">
        <v>31.74</v>
      </c>
    </row>
    <row r="2403" spans="1:5" x14ac:dyDescent="0.35">
      <c r="A2403" s="1" t="s">
        <v>147</v>
      </c>
      <c r="B2403" s="1"/>
      <c r="C2403" s="1"/>
      <c r="D2403" s="1" t="s">
        <v>148</v>
      </c>
      <c r="E2403">
        <v>28</v>
      </c>
    </row>
    <row r="2404" spans="1:5" x14ac:dyDescent="0.35">
      <c r="A2404" s="1" t="s">
        <v>147</v>
      </c>
      <c r="B2404" s="1"/>
      <c r="C2404" s="1"/>
      <c r="D2404" s="1" t="s">
        <v>149</v>
      </c>
      <c r="E2404">
        <v>3.74</v>
      </c>
    </row>
    <row r="2405" spans="1:5" x14ac:dyDescent="0.35">
      <c r="A2405" s="1" t="s">
        <v>147</v>
      </c>
      <c r="B2405" s="1"/>
      <c r="C2405" s="1" t="s">
        <v>150</v>
      </c>
      <c r="D2405" s="1" t="s">
        <v>146</v>
      </c>
      <c r="E2405" t="s">
        <v>136</v>
      </c>
    </row>
    <row r="2406" spans="1:5" x14ac:dyDescent="0.35">
      <c r="A2406" s="1" t="s">
        <v>147</v>
      </c>
      <c r="B2406" s="1"/>
      <c r="C2406" s="1"/>
      <c r="D2406" s="1" t="s">
        <v>148</v>
      </c>
      <c r="E2406" t="s">
        <v>136</v>
      </c>
    </row>
    <row r="2407" spans="1:5" x14ac:dyDescent="0.35">
      <c r="A2407" s="1" t="s">
        <v>147</v>
      </c>
      <c r="B2407" s="1"/>
      <c r="C2407" s="1"/>
      <c r="D2407" s="1" t="s">
        <v>149</v>
      </c>
      <c r="E2407" t="s">
        <v>136</v>
      </c>
    </row>
    <row r="2408" spans="1:5" x14ac:dyDescent="0.35">
      <c r="A2408" s="1" t="s">
        <v>147</v>
      </c>
      <c r="B2408" s="1" t="s">
        <v>152</v>
      </c>
      <c r="C2408" s="1" t="s">
        <v>145</v>
      </c>
      <c r="D2408" s="1" t="s">
        <v>146</v>
      </c>
      <c r="E2408" t="s">
        <v>136</v>
      </c>
    </row>
    <row r="2409" spans="1:5" x14ac:dyDescent="0.35">
      <c r="A2409" s="1" t="s">
        <v>147</v>
      </c>
      <c r="B2409" s="1"/>
      <c r="C2409" s="1"/>
      <c r="D2409" s="1" t="s">
        <v>148</v>
      </c>
      <c r="E2409" t="s">
        <v>136</v>
      </c>
    </row>
    <row r="2410" spans="1:5" x14ac:dyDescent="0.35">
      <c r="A2410" s="1" t="s">
        <v>147</v>
      </c>
      <c r="B2410" s="1"/>
      <c r="C2410" s="1"/>
      <c r="D2410" s="1" t="s">
        <v>149</v>
      </c>
      <c r="E2410" t="s">
        <v>136</v>
      </c>
    </row>
    <row r="2411" spans="1:5" x14ac:dyDescent="0.35">
      <c r="A2411" s="1" t="s">
        <v>147</v>
      </c>
      <c r="B2411" s="1"/>
      <c r="C2411" s="1" t="s">
        <v>150</v>
      </c>
      <c r="D2411" s="1" t="s">
        <v>146</v>
      </c>
      <c r="E2411" t="s">
        <v>136</v>
      </c>
    </row>
    <row r="2412" spans="1:5" x14ac:dyDescent="0.35">
      <c r="A2412" s="1" t="s">
        <v>147</v>
      </c>
      <c r="B2412" s="1"/>
      <c r="C2412" s="1"/>
      <c r="D2412" s="1" t="s">
        <v>148</v>
      </c>
      <c r="E2412" t="s">
        <v>136</v>
      </c>
    </row>
    <row r="2413" spans="1:5" x14ac:dyDescent="0.35">
      <c r="A2413" s="1" t="s">
        <v>147</v>
      </c>
      <c r="B2413" s="1"/>
      <c r="C2413" s="1"/>
      <c r="D2413" s="1" t="s">
        <v>149</v>
      </c>
      <c r="E2413" t="s">
        <v>136</v>
      </c>
    </row>
    <row r="2414" spans="1:5" x14ac:dyDescent="0.35">
      <c r="A2414" s="1" t="s">
        <v>147</v>
      </c>
      <c r="B2414" s="1" t="s">
        <v>153</v>
      </c>
      <c r="C2414" s="1" t="s">
        <v>145</v>
      </c>
      <c r="D2414" s="1" t="s">
        <v>146</v>
      </c>
      <c r="E2414" t="s">
        <v>136</v>
      </c>
    </row>
    <row r="2415" spans="1:5" x14ac:dyDescent="0.35">
      <c r="A2415" s="1" t="s">
        <v>147</v>
      </c>
      <c r="B2415" s="1"/>
      <c r="C2415" s="1"/>
      <c r="D2415" s="1" t="s">
        <v>148</v>
      </c>
      <c r="E2415" t="s">
        <v>136</v>
      </c>
    </row>
    <row r="2416" spans="1:5" x14ac:dyDescent="0.35">
      <c r="A2416" s="1" t="s">
        <v>147</v>
      </c>
      <c r="B2416" s="1"/>
      <c r="C2416" s="1"/>
      <c r="D2416" s="1" t="s">
        <v>149</v>
      </c>
      <c r="E2416" t="s">
        <v>136</v>
      </c>
    </row>
    <row r="2417" spans="1:5" x14ac:dyDescent="0.35">
      <c r="A2417" s="1" t="s">
        <v>147</v>
      </c>
      <c r="B2417" s="1"/>
      <c r="C2417" s="1" t="s">
        <v>150</v>
      </c>
      <c r="D2417" s="1" t="s">
        <v>146</v>
      </c>
      <c r="E2417" t="s">
        <v>136</v>
      </c>
    </row>
    <row r="2418" spans="1:5" x14ac:dyDescent="0.35">
      <c r="A2418" s="1" t="s">
        <v>147</v>
      </c>
      <c r="B2418" s="1"/>
      <c r="C2418" s="1"/>
      <c r="D2418" s="1" t="s">
        <v>148</v>
      </c>
      <c r="E2418" t="s">
        <v>136</v>
      </c>
    </row>
    <row r="2419" spans="1:5" x14ac:dyDescent="0.35">
      <c r="A2419" s="1" t="s">
        <v>147</v>
      </c>
      <c r="B2419" s="1"/>
      <c r="C2419" s="1"/>
      <c r="D2419" s="1" t="s">
        <v>149</v>
      </c>
      <c r="E2419" t="s">
        <v>136</v>
      </c>
    </row>
    <row r="2420" spans="1:5" x14ac:dyDescent="0.35">
      <c r="A2420" s="1" t="s">
        <v>147</v>
      </c>
      <c r="B2420" s="1" t="s">
        <v>154</v>
      </c>
      <c r="C2420" s="1" t="s">
        <v>145</v>
      </c>
      <c r="D2420" s="1" t="s">
        <v>146</v>
      </c>
      <c r="E2420" t="s">
        <v>136</v>
      </c>
    </row>
    <row r="2421" spans="1:5" x14ac:dyDescent="0.35">
      <c r="A2421" s="1" t="s">
        <v>147</v>
      </c>
      <c r="B2421" s="1"/>
      <c r="C2421" s="1"/>
      <c r="D2421" s="1" t="s">
        <v>148</v>
      </c>
      <c r="E2421" t="s">
        <v>136</v>
      </c>
    </row>
    <row r="2422" spans="1:5" x14ac:dyDescent="0.35">
      <c r="A2422" s="1" t="s">
        <v>147</v>
      </c>
      <c r="B2422" s="1"/>
      <c r="C2422" s="1"/>
      <c r="D2422" s="1" t="s">
        <v>149</v>
      </c>
      <c r="E2422" t="s">
        <v>136</v>
      </c>
    </row>
    <row r="2423" spans="1:5" x14ac:dyDescent="0.35">
      <c r="A2423" s="1" t="s">
        <v>147</v>
      </c>
      <c r="B2423" s="1"/>
      <c r="C2423" s="1" t="s">
        <v>150</v>
      </c>
      <c r="D2423" s="1" t="s">
        <v>146</v>
      </c>
      <c r="E2423" t="s">
        <v>136</v>
      </c>
    </row>
    <row r="2424" spans="1:5" x14ac:dyDescent="0.35">
      <c r="A2424" s="1" t="s">
        <v>147</v>
      </c>
      <c r="B2424" s="1"/>
      <c r="C2424" s="1"/>
      <c r="D2424" s="1" t="s">
        <v>148</v>
      </c>
      <c r="E2424" t="s">
        <v>136</v>
      </c>
    </row>
    <row r="2425" spans="1:5" x14ac:dyDescent="0.35">
      <c r="A2425" s="1" t="s">
        <v>147</v>
      </c>
      <c r="B2425" s="1"/>
      <c r="C2425" s="1"/>
      <c r="D2425" s="1" t="s">
        <v>149</v>
      </c>
      <c r="E2425" t="s">
        <v>136</v>
      </c>
    </row>
    <row r="2426" spans="1:5" x14ac:dyDescent="0.35">
      <c r="A2426" s="1" t="s">
        <v>147</v>
      </c>
      <c r="B2426" s="1" t="s">
        <v>155</v>
      </c>
      <c r="C2426" s="1" t="s">
        <v>145</v>
      </c>
      <c r="D2426" s="1" t="s">
        <v>146</v>
      </c>
      <c r="E2426" t="s">
        <v>136</v>
      </c>
    </row>
    <row r="2427" spans="1:5" x14ac:dyDescent="0.35">
      <c r="A2427" s="1" t="s">
        <v>147</v>
      </c>
      <c r="B2427" s="1"/>
      <c r="C2427" s="1"/>
      <c r="D2427" s="1" t="s">
        <v>148</v>
      </c>
      <c r="E2427" t="s">
        <v>136</v>
      </c>
    </row>
    <row r="2428" spans="1:5" x14ac:dyDescent="0.35">
      <c r="A2428" s="1" t="s">
        <v>147</v>
      </c>
      <c r="B2428" s="1"/>
      <c r="C2428" s="1"/>
      <c r="D2428" s="1" t="s">
        <v>149</v>
      </c>
      <c r="E2428" t="s">
        <v>136</v>
      </c>
    </row>
    <row r="2429" spans="1:5" x14ac:dyDescent="0.35">
      <c r="A2429" s="1" t="s">
        <v>147</v>
      </c>
      <c r="B2429" s="1"/>
      <c r="C2429" s="1" t="s">
        <v>150</v>
      </c>
      <c r="D2429" s="1" t="s">
        <v>146</v>
      </c>
      <c r="E2429" t="s">
        <v>136</v>
      </c>
    </row>
    <row r="2430" spans="1:5" x14ac:dyDescent="0.35">
      <c r="A2430" s="1" t="s">
        <v>147</v>
      </c>
      <c r="B2430" s="1"/>
      <c r="C2430" s="1"/>
      <c r="D2430" s="1" t="s">
        <v>148</v>
      </c>
      <c r="E2430" t="s">
        <v>136</v>
      </c>
    </row>
    <row r="2431" spans="1:5" x14ac:dyDescent="0.35">
      <c r="A2431" s="1" t="s">
        <v>147</v>
      </c>
      <c r="B2431" s="1"/>
      <c r="C2431" s="1"/>
      <c r="D2431" s="1" t="s">
        <v>149</v>
      </c>
      <c r="E2431" t="s">
        <v>136</v>
      </c>
    </row>
    <row r="2432" spans="1:5" x14ac:dyDescent="0.35">
      <c r="A2432" s="1" t="s">
        <v>147</v>
      </c>
      <c r="B2432" s="1" t="s">
        <v>156</v>
      </c>
      <c r="C2432" s="1" t="s">
        <v>145</v>
      </c>
      <c r="D2432" s="1" t="s">
        <v>146</v>
      </c>
      <c r="E2432" t="s">
        <v>136</v>
      </c>
    </row>
    <row r="2433" spans="1:5" x14ac:dyDescent="0.35">
      <c r="A2433" s="1" t="s">
        <v>147</v>
      </c>
      <c r="B2433" s="1"/>
      <c r="C2433" s="1"/>
      <c r="D2433" s="1" t="s">
        <v>148</v>
      </c>
      <c r="E2433" t="s">
        <v>136</v>
      </c>
    </row>
    <row r="2434" spans="1:5" x14ac:dyDescent="0.35">
      <c r="A2434" s="1" t="s">
        <v>147</v>
      </c>
      <c r="B2434" s="1"/>
      <c r="C2434" s="1"/>
      <c r="D2434" s="1" t="s">
        <v>149</v>
      </c>
      <c r="E2434" t="s">
        <v>136</v>
      </c>
    </row>
    <row r="2435" spans="1:5" x14ac:dyDescent="0.35">
      <c r="A2435" s="1" t="s">
        <v>147</v>
      </c>
      <c r="B2435" s="1"/>
      <c r="C2435" s="1" t="s">
        <v>150</v>
      </c>
      <c r="D2435" s="1" t="s">
        <v>146</v>
      </c>
      <c r="E2435" t="s">
        <v>136</v>
      </c>
    </row>
    <row r="2436" spans="1:5" x14ac:dyDescent="0.35">
      <c r="A2436" s="1" t="s">
        <v>147</v>
      </c>
      <c r="B2436" s="1"/>
      <c r="C2436" s="1"/>
      <c r="D2436" s="1" t="s">
        <v>148</v>
      </c>
      <c r="E2436" t="s">
        <v>136</v>
      </c>
    </row>
    <row r="2437" spans="1:5" x14ac:dyDescent="0.35">
      <c r="A2437" s="1" t="s">
        <v>147</v>
      </c>
      <c r="B2437" s="1"/>
      <c r="C2437" s="1"/>
      <c r="D2437" s="1" t="s">
        <v>149</v>
      </c>
      <c r="E2437" t="s">
        <v>136</v>
      </c>
    </row>
    <row r="2438" spans="1:5" x14ac:dyDescent="0.35">
      <c r="A2438" s="1" t="s">
        <v>147</v>
      </c>
      <c r="B2438" s="1" t="s">
        <v>157</v>
      </c>
      <c r="C2438" s="1" t="s">
        <v>145</v>
      </c>
      <c r="D2438" s="1" t="s">
        <v>146</v>
      </c>
      <c r="E2438" t="s">
        <v>136</v>
      </c>
    </row>
    <row r="2439" spans="1:5" x14ac:dyDescent="0.35">
      <c r="A2439" s="1" t="s">
        <v>147</v>
      </c>
      <c r="B2439" s="1"/>
      <c r="C2439" s="1"/>
      <c r="D2439" s="1" t="s">
        <v>148</v>
      </c>
      <c r="E2439" t="s">
        <v>136</v>
      </c>
    </row>
    <row r="2440" spans="1:5" x14ac:dyDescent="0.35">
      <c r="A2440" s="1" t="s">
        <v>147</v>
      </c>
      <c r="B2440" s="1"/>
      <c r="C2440" s="1"/>
      <c r="D2440" s="1" t="s">
        <v>149</v>
      </c>
      <c r="E2440" t="s">
        <v>136</v>
      </c>
    </row>
    <row r="2441" spans="1:5" x14ac:dyDescent="0.35">
      <c r="A2441" s="1" t="s">
        <v>147</v>
      </c>
      <c r="B2441" s="1"/>
      <c r="C2441" s="1" t="s">
        <v>150</v>
      </c>
      <c r="D2441" s="1" t="s">
        <v>146</v>
      </c>
      <c r="E2441" t="s">
        <v>136</v>
      </c>
    </row>
    <row r="2442" spans="1:5" x14ac:dyDescent="0.35">
      <c r="A2442" s="1" t="s">
        <v>147</v>
      </c>
      <c r="B2442" s="1"/>
      <c r="C2442" s="1"/>
      <c r="D2442" s="1" t="s">
        <v>148</v>
      </c>
      <c r="E2442" t="s">
        <v>136</v>
      </c>
    </row>
    <row r="2443" spans="1:5" x14ac:dyDescent="0.35">
      <c r="A2443" s="1" t="s">
        <v>147</v>
      </c>
      <c r="B2443" s="1"/>
      <c r="C2443" s="1"/>
      <c r="D2443" s="1" t="s">
        <v>149</v>
      </c>
      <c r="E2443" t="s">
        <v>136</v>
      </c>
    </row>
    <row r="2444" spans="1:5" x14ac:dyDescent="0.35">
      <c r="A2444" s="1" t="s">
        <v>147</v>
      </c>
      <c r="B2444" s="1" t="s">
        <v>158</v>
      </c>
      <c r="C2444" s="1" t="s">
        <v>145</v>
      </c>
      <c r="D2444" s="1" t="s">
        <v>146</v>
      </c>
      <c r="E2444" t="s">
        <v>136</v>
      </c>
    </row>
    <row r="2445" spans="1:5" x14ac:dyDescent="0.35">
      <c r="A2445" s="1" t="s">
        <v>147</v>
      </c>
      <c r="B2445" s="1"/>
      <c r="C2445" s="1"/>
      <c r="D2445" s="1" t="s">
        <v>148</v>
      </c>
      <c r="E2445" t="s">
        <v>136</v>
      </c>
    </row>
    <row r="2446" spans="1:5" x14ac:dyDescent="0.35">
      <c r="A2446" s="1" t="s">
        <v>147</v>
      </c>
      <c r="B2446" s="1"/>
      <c r="C2446" s="1"/>
      <c r="D2446" s="1" t="s">
        <v>149</v>
      </c>
      <c r="E2446" t="s">
        <v>136</v>
      </c>
    </row>
    <row r="2447" spans="1:5" x14ac:dyDescent="0.35">
      <c r="A2447" s="1" t="s">
        <v>147</v>
      </c>
      <c r="B2447" s="1"/>
      <c r="C2447" s="1" t="s">
        <v>150</v>
      </c>
      <c r="D2447" s="1" t="s">
        <v>146</v>
      </c>
      <c r="E2447" t="s">
        <v>136</v>
      </c>
    </row>
    <row r="2448" spans="1:5" x14ac:dyDescent="0.35">
      <c r="A2448" s="1" t="s">
        <v>147</v>
      </c>
      <c r="B2448" s="1"/>
      <c r="C2448" s="1"/>
      <c r="D2448" s="1" t="s">
        <v>148</v>
      </c>
      <c r="E2448" t="s">
        <v>136</v>
      </c>
    </row>
    <row r="2449" spans="1:5" x14ac:dyDescent="0.35">
      <c r="A2449" s="1" t="s">
        <v>147</v>
      </c>
      <c r="B2449" s="1"/>
      <c r="C2449" s="1"/>
      <c r="D2449" s="1" t="s">
        <v>149</v>
      </c>
      <c r="E2449" t="s">
        <v>136</v>
      </c>
    </row>
    <row r="2450" spans="1:5" x14ac:dyDescent="0.35">
      <c r="A2450" s="1" t="s">
        <v>147</v>
      </c>
      <c r="B2450" s="1" t="s">
        <v>159</v>
      </c>
      <c r="C2450" s="1" t="s">
        <v>145</v>
      </c>
      <c r="D2450" s="1" t="s">
        <v>146</v>
      </c>
      <c r="E2450" t="s">
        <v>136</v>
      </c>
    </row>
    <row r="2451" spans="1:5" x14ac:dyDescent="0.35">
      <c r="A2451" s="1" t="s">
        <v>147</v>
      </c>
      <c r="B2451" s="1"/>
      <c r="C2451" s="1"/>
      <c r="D2451" s="1" t="s">
        <v>148</v>
      </c>
      <c r="E2451" t="s">
        <v>136</v>
      </c>
    </row>
    <row r="2452" spans="1:5" x14ac:dyDescent="0.35">
      <c r="A2452" s="1" t="s">
        <v>147</v>
      </c>
      <c r="B2452" s="1"/>
      <c r="C2452" s="1"/>
      <c r="D2452" s="1" t="s">
        <v>149</v>
      </c>
      <c r="E2452" t="s">
        <v>136</v>
      </c>
    </row>
    <row r="2453" spans="1:5" x14ac:dyDescent="0.35">
      <c r="A2453" s="1" t="s">
        <v>147</v>
      </c>
      <c r="B2453" s="1"/>
      <c r="C2453" s="1" t="s">
        <v>150</v>
      </c>
      <c r="D2453" s="1" t="s">
        <v>146</v>
      </c>
      <c r="E2453" t="s">
        <v>136</v>
      </c>
    </row>
    <row r="2454" spans="1:5" x14ac:dyDescent="0.35">
      <c r="A2454" s="1" t="s">
        <v>147</v>
      </c>
      <c r="B2454" s="1"/>
      <c r="C2454" s="1"/>
      <c r="D2454" s="1" t="s">
        <v>148</v>
      </c>
      <c r="E2454" t="s">
        <v>136</v>
      </c>
    </row>
    <row r="2455" spans="1:5" x14ac:dyDescent="0.35">
      <c r="A2455" s="1" t="s">
        <v>147</v>
      </c>
      <c r="B2455" s="1"/>
      <c r="C2455" s="1"/>
      <c r="D2455" s="1" t="s">
        <v>149</v>
      </c>
      <c r="E2455" t="s">
        <v>136</v>
      </c>
    </row>
    <row r="2456" spans="1:5" x14ac:dyDescent="0.35">
      <c r="A2456" s="1" t="s">
        <v>147</v>
      </c>
      <c r="B2456" s="1" t="s">
        <v>160</v>
      </c>
      <c r="C2456" s="1" t="s">
        <v>145</v>
      </c>
      <c r="D2456" s="1" t="s">
        <v>146</v>
      </c>
      <c r="E2456" t="s">
        <v>136</v>
      </c>
    </row>
    <row r="2457" spans="1:5" x14ac:dyDescent="0.35">
      <c r="A2457" s="1" t="s">
        <v>147</v>
      </c>
      <c r="B2457" s="1"/>
      <c r="C2457" s="1"/>
      <c r="D2457" s="1" t="s">
        <v>148</v>
      </c>
      <c r="E2457" t="s">
        <v>136</v>
      </c>
    </row>
    <row r="2458" spans="1:5" x14ac:dyDescent="0.35">
      <c r="A2458" s="1" t="s">
        <v>147</v>
      </c>
      <c r="B2458" s="1"/>
      <c r="C2458" s="1"/>
      <c r="D2458" s="1" t="s">
        <v>149</v>
      </c>
      <c r="E2458" t="s">
        <v>136</v>
      </c>
    </row>
    <row r="2459" spans="1:5" x14ac:dyDescent="0.35">
      <c r="A2459" s="1" t="s">
        <v>147</v>
      </c>
      <c r="B2459" s="1"/>
      <c r="C2459" s="1" t="s">
        <v>150</v>
      </c>
      <c r="D2459" s="1" t="s">
        <v>146</v>
      </c>
      <c r="E2459" t="s">
        <v>136</v>
      </c>
    </row>
    <row r="2460" spans="1:5" x14ac:dyDescent="0.35">
      <c r="A2460" s="1" t="s">
        <v>147</v>
      </c>
      <c r="B2460" s="1"/>
      <c r="C2460" s="1"/>
      <c r="D2460" s="1" t="s">
        <v>148</v>
      </c>
      <c r="E2460" t="s">
        <v>136</v>
      </c>
    </row>
    <row r="2461" spans="1:5" x14ac:dyDescent="0.35">
      <c r="A2461" s="1" t="s">
        <v>147</v>
      </c>
      <c r="B2461" s="1"/>
      <c r="C2461" s="1"/>
      <c r="D2461" s="1" t="s">
        <v>149</v>
      </c>
      <c r="E2461" t="s">
        <v>136</v>
      </c>
    </row>
    <row r="2462" spans="1:5" x14ac:dyDescent="0.35">
      <c r="A2462" s="1" t="s">
        <v>147</v>
      </c>
      <c r="B2462" s="1" t="s">
        <v>161</v>
      </c>
      <c r="C2462" s="1" t="s">
        <v>145</v>
      </c>
      <c r="D2462" s="1" t="s">
        <v>146</v>
      </c>
      <c r="E2462" t="s">
        <v>136</v>
      </c>
    </row>
    <row r="2463" spans="1:5" x14ac:dyDescent="0.35">
      <c r="A2463" s="1" t="s">
        <v>147</v>
      </c>
      <c r="B2463" s="1"/>
      <c r="C2463" s="1"/>
      <c r="D2463" s="1" t="s">
        <v>148</v>
      </c>
      <c r="E2463" t="s">
        <v>136</v>
      </c>
    </row>
    <row r="2464" spans="1:5" x14ac:dyDescent="0.35">
      <c r="A2464" s="1" t="s">
        <v>147</v>
      </c>
      <c r="B2464" s="1"/>
      <c r="C2464" s="1"/>
      <c r="D2464" s="1" t="s">
        <v>149</v>
      </c>
      <c r="E2464" t="s">
        <v>136</v>
      </c>
    </row>
    <row r="2465" spans="1:5" x14ac:dyDescent="0.35">
      <c r="A2465" s="1" t="s">
        <v>147</v>
      </c>
      <c r="B2465" s="1"/>
      <c r="C2465" s="1" t="s">
        <v>150</v>
      </c>
      <c r="D2465" s="1" t="s">
        <v>146</v>
      </c>
      <c r="E2465" t="s">
        <v>136</v>
      </c>
    </row>
    <row r="2466" spans="1:5" x14ac:dyDescent="0.35">
      <c r="A2466" s="1" t="s">
        <v>147</v>
      </c>
      <c r="B2466" s="1"/>
      <c r="C2466" s="1"/>
      <c r="D2466" s="1" t="s">
        <v>148</v>
      </c>
      <c r="E2466" t="s">
        <v>136</v>
      </c>
    </row>
    <row r="2467" spans="1:5" x14ac:dyDescent="0.35">
      <c r="A2467" s="1" t="s">
        <v>147</v>
      </c>
      <c r="B2467" s="1"/>
      <c r="C2467" s="1"/>
      <c r="D2467" s="1" t="s">
        <v>149</v>
      </c>
      <c r="E2467" t="s">
        <v>136</v>
      </c>
    </row>
    <row r="2468" spans="1:5" x14ac:dyDescent="0.35">
      <c r="A2468" s="1" t="s">
        <v>147</v>
      </c>
      <c r="B2468" s="1" t="s">
        <v>162</v>
      </c>
      <c r="C2468" s="1" t="s">
        <v>145</v>
      </c>
      <c r="D2468" s="1" t="s">
        <v>146</v>
      </c>
      <c r="E2468" t="s">
        <v>136</v>
      </c>
    </row>
    <row r="2469" spans="1:5" x14ac:dyDescent="0.35">
      <c r="A2469" s="1" t="s">
        <v>147</v>
      </c>
      <c r="B2469" s="1"/>
      <c r="C2469" s="1"/>
      <c r="D2469" s="1" t="s">
        <v>148</v>
      </c>
      <c r="E2469" t="s">
        <v>136</v>
      </c>
    </row>
    <row r="2470" spans="1:5" x14ac:dyDescent="0.35">
      <c r="A2470" s="1" t="s">
        <v>147</v>
      </c>
      <c r="B2470" s="1"/>
      <c r="C2470" s="1"/>
      <c r="D2470" s="1" t="s">
        <v>149</v>
      </c>
      <c r="E2470" t="s">
        <v>136</v>
      </c>
    </row>
    <row r="2471" spans="1:5" x14ac:dyDescent="0.35">
      <c r="A2471" s="1" t="s">
        <v>147</v>
      </c>
      <c r="B2471" s="1"/>
      <c r="C2471" s="1" t="s">
        <v>150</v>
      </c>
      <c r="D2471" s="1" t="s">
        <v>146</v>
      </c>
      <c r="E2471" t="s">
        <v>136</v>
      </c>
    </row>
    <row r="2472" spans="1:5" x14ac:dyDescent="0.35">
      <c r="A2472" s="1" t="s">
        <v>147</v>
      </c>
      <c r="B2472" s="1"/>
      <c r="C2472" s="1"/>
      <c r="D2472" s="1" t="s">
        <v>148</v>
      </c>
      <c r="E2472" t="s">
        <v>136</v>
      </c>
    </row>
    <row r="2473" spans="1:5" x14ac:dyDescent="0.35">
      <c r="A2473" s="1" t="s">
        <v>147</v>
      </c>
      <c r="B2473" s="1"/>
      <c r="C2473" s="1"/>
      <c r="D2473" s="1" t="s">
        <v>149</v>
      </c>
      <c r="E2473" t="s">
        <v>136</v>
      </c>
    </row>
    <row r="2474" spans="1:5" x14ac:dyDescent="0.35">
      <c r="A2474" s="1" t="s">
        <v>147</v>
      </c>
      <c r="B2474" s="1" t="s">
        <v>163</v>
      </c>
      <c r="C2474" s="1" t="s">
        <v>145</v>
      </c>
      <c r="D2474" s="1" t="s">
        <v>146</v>
      </c>
      <c r="E2474">
        <v>196.4</v>
      </c>
    </row>
    <row r="2475" spans="1:5" x14ac:dyDescent="0.35">
      <c r="A2475" s="1" t="s">
        <v>147</v>
      </c>
      <c r="B2475" s="1"/>
      <c r="C2475" s="1"/>
      <c r="D2475" s="1" t="s">
        <v>148</v>
      </c>
      <c r="E2475">
        <v>33</v>
      </c>
    </row>
    <row r="2476" spans="1:5" x14ac:dyDescent="0.35">
      <c r="A2476" s="1" t="s">
        <v>147</v>
      </c>
      <c r="B2476" s="1"/>
      <c r="C2476" s="1"/>
      <c r="D2476" s="1" t="s">
        <v>149</v>
      </c>
      <c r="E2476">
        <v>163.4</v>
      </c>
    </row>
    <row r="2477" spans="1:5" x14ac:dyDescent="0.35">
      <c r="A2477" s="1" t="s">
        <v>147</v>
      </c>
      <c r="B2477" s="1"/>
      <c r="C2477" s="1" t="s">
        <v>150</v>
      </c>
      <c r="D2477" s="1" t="s">
        <v>146</v>
      </c>
      <c r="E2477" t="s">
        <v>136</v>
      </c>
    </row>
    <row r="2478" spans="1:5" x14ac:dyDescent="0.35">
      <c r="A2478" s="1" t="s">
        <v>147</v>
      </c>
      <c r="B2478" s="1"/>
      <c r="C2478" s="1"/>
      <c r="D2478" s="1" t="s">
        <v>148</v>
      </c>
      <c r="E2478" t="s">
        <v>136</v>
      </c>
    </row>
    <row r="2479" spans="1:5" x14ac:dyDescent="0.35">
      <c r="A2479" s="1" t="s">
        <v>147</v>
      </c>
      <c r="B2479" s="1"/>
      <c r="C2479" s="1"/>
      <c r="D2479" s="1" t="s">
        <v>149</v>
      </c>
      <c r="E2479" t="s">
        <v>136</v>
      </c>
    </row>
    <row r="2480" spans="1:5" x14ac:dyDescent="0.35">
      <c r="A2480" s="1" t="s">
        <v>147</v>
      </c>
      <c r="B2480" s="1" t="s">
        <v>164</v>
      </c>
      <c r="C2480" s="1" t="s">
        <v>145</v>
      </c>
      <c r="D2480" s="1" t="s">
        <v>146</v>
      </c>
      <c r="E2480" t="s">
        <v>136</v>
      </c>
    </row>
    <row r="2481" spans="1:5" x14ac:dyDescent="0.35">
      <c r="A2481" s="1" t="s">
        <v>147</v>
      </c>
      <c r="B2481" s="1"/>
      <c r="C2481" s="1"/>
      <c r="D2481" s="1" t="s">
        <v>148</v>
      </c>
      <c r="E2481" t="s">
        <v>136</v>
      </c>
    </row>
    <row r="2482" spans="1:5" x14ac:dyDescent="0.35">
      <c r="A2482" s="1" t="s">
        <v>147</v>
      </c>
      <c r="B2482" s="1"/>
      <c r="C2482" s="1"/>
      <c r="D2482" s="1" t="s">
        <v>149</v>
      </c>
      <c r="E2482" t="s">
        <v>136</v>
      </c>
    </row>
    <row r="2483" spans="1:5" x14ac:dyDescent="0.35">
      <c r="A2483" s="1" t="s">
        <v>147</v>
      </c>
      <c r="B2483" s="1"/>
      <c r="C2483" s="1" t="s">
        <v>150</v>
      </c>
      <c r="D2483" s="1" t="s">
        <v>146</v>
      </c>
      <c r="E2483" t="s">
        <v>136</v>
      </c>
    </row>
    <row r="2484" spans="1:5" x14ac:dyDescent="0.35">
      <c r="A2484" s="1" t="s">
        <v>147</v>
      </c>
      <c r="B2484" s="1"/>
      <c r="C2484" s="1"/>
      <c r="D2484" s="1" t="s">
        <v>148</v>
      </c>
      <c r="E2484" t="s">
        <v>136</v>
      </c>
    </row>
    <row r="2485" spans="1:5" x14ac:dyDescent="0.35">
      <c r="A2485" s="1" t="s">
        <v>147</v>
      </c>
      <c r="B2485" s="1"/>
      <c r="C2485" s="1"/>
      <c r="D2485" s="1" t="s">
        <v>149</v>
      </c>
      <c r="E2485" t="s">
        <v>136</v>
      </c>
    </row>
    <row r="2486" spans="1:5" x14ac:dyDescent="0.35">
      <c r="A2486" s="1" t="s">
        <v>147</v>
      </c>
      <c r="B2486" s="1" t="s">
        <v>165</v>
      </c>
      <c r="C2486" s="1" t="s">
        <v>145</v>
      </c>
      <c r="D2486" s="1" t="s">
        <v>146</v>
      </c>
      <c r="E2486" t="s">
        <v>136</v>
      </c>
    </row>
    <row r="2487" spans="1:5" x14ac:dyDescent="0.35">
      <c r="A2487" s="1" t="s">
        <v>147</v>
      </c>
      <c r="B2487" s="1"/>
      <c r="C2487" s="1"/>
      <c r="D2487" s="1" t="s">
        <v>148</v>
      </c>
      <c r="E2487" t="s">
        <v>136</v>
      </c>
    </row>
    <row r="2488" spans="1:5" x14ac:dyDescent="0.35">
      <c r="A2488" s="1" t="s">
        <v>147</v>
      </c>
      <c r="B2488" s="1"/>
      <c r="C2488" s="1"/>
      <c r="D2488" s="1" t="s">
        <v>149</v>
      </c>
      <c r="E2488" t="s">
        <v>136</v>
      </c>
    </row>
    <row r="2489" spans="1:5" x14ac:dyDescent="0.35">
      <c r="A2489" s="1" t="s">
        <v>147</v>
      </c>
      <c r="B2489" s="1"/>
      <c r="C2489" s="1" t="s">
        <v>150</v>
      </c>
      <c r="D2489" s="1" t="s">
        <v>146</v>
      </c>
      <c r="E2489" t="s">
        <v>136</v>
      </c>
    </row>
    <row r="2490" spans="1:5" x14ac:dyDescent="0.35">
      <c r="A2490" s="1" t="s">
        <v>147</v>
      </c>
      <c r="B2490" s="1"/>
      <c r="C2490" s="1"/>
      <c r="D2490" s="1" t="s">
        <v>148</v>
      </c>
      <c r="E2490" t="s">
        <v>136</v>
      </c>
    </row>
    <row r="2491" spans="1:5" x14ac:dyDescent="0.35">
      <c r="A2491" s="1" t="s">
        <v>147</v>
      </c>
      <c r="B2491" s="1"/>
      <c r="C2491" s="1"/>
      <c r="D2491" s="1" t="s">
        <v>149</v>
      </c>
      <c r="E2491" t="s">
        <v>136</v>
      </c>
    </row>
    <row r="2492" spans="1:5" x14ac:dyDescent="0.35">
      <c r="A2492" s="1" t="s">
        <v>147</v>
      </c>
      <c r="B2492" s="1" t="s">
        <v>166</v>
      </c>
      <c r="C2492" s="1" t="s">
        <v>145</v>
      </c>
      <c r="D2492" s="1" t="s">
        <v>146</v>
      </c>
      <c r="E2492">
        <v>196.4</v>
      </c>
    </row>
    <row r="2493" spans="1:5" x14ac:dyDescent="0.35">
      <c r="A2493" s="1" t="s">
        <v>147</v>
      </c>
      <c r="B2493" s="1"/>
      <c r="C2493" s="1"/>
      <c r="D2493" s="1" t="s">
        <v>148</v>
      </c>
      <c r="E2493">
        <v>33</v>
      </c>
    </row>
    <row r="2494" spans="1:5" x14ac:dyDescent="0.35">
      <c r="A2494" s="1" t="s">
        <v>147</v>
      </c>
      <c r="B2494" s="1"/>
      <c r="C2494" s="1"/>
      <c r="D2494" s="1" t="s">
        <v>149</v>
      </c>
      <c r="E2494">
        <v>163.4</v>
      </c>
    </row>
    <row r="2495" spans="1:5" x14ac:dyDescent="0.35">
      <c r="A2495" s="1" t="s">
        <v>147</v>
      </c>
      <c r="B2495" s="1"/>
      <c r="C2495" s="1" t="s">
        <v>150</v>
      </c>
      <c r="D2495" s="1" t="s">
        <v>146</v>
      </c>
      <c r="E2495" t="s">
        <v>136</v>
      </c>
    </row>
    <row r="2496" spans="1:5" x14ac:dyDescent="0.35">
      <c r="A2496" s="1" t="s">
        <v>147</v>
      </c>
      <c r="B2496" s="1"/>
      <c r="C2496" s="1"/>
      <c r="D2496" s="1" t="s">
        <v>148</v>
      </c>
      <c r="E2496" t="s">
        <v>136</v>
      </c>
    </row>
    <row r="2497" spans="1:5" x14ac:dyDescent="0.35">
      <c r="A2497" s="1" t="s">
        <v>147</v>
      </c>
      <c r="B2497" s="1"/>
      <c r="C2497" s="1"/>
      <c r="D2497" s="1" t="s">
        <v>149</v>
      </c>
      <c r="E2497" t="s">
        <v>136</v>
      </c>
    </row>
    <row r="2498" spans="1:5" x14ac:dyDescent="0.35">
      <c r="A2498" s="1" t="s">
        <v>147</v>
      </c>
      <c r="B2498" s="1" t="s">
        <v>167</v>
      </c>
      <c r="C2498" s="1" t="s">
        <v>145</v>
      </c>
      <c r="D2498" s="1" t="s">
        <v>146</v>
      </c>
      <c r="E2498" t="s">
        <v>136</v>
      </c>
    </row>
    <row r="2499" spans="1:5" x14ac:dyDescent="0.35">
      <c r="A2499" s="1" t="s">
        <v>147</v>
      </c>
      <c r="B2499" s="1"/>
      <c r="C2499" s="1"/>
      <c r="D2499" s="1" t="s">
        <v>148</v>
      </c>
      <c r="E2499" t="s">
        <v>136</v>
      </c>
    </row>
    <row r="2500" spans="1:5" x14ac:dyDescent="0.35">
      <c r="A2500" s="1" t="s">
        <v>147</v>
      </c>
      <c r="B2500" s="1"/>
      <c r="C2500" s="1"/>
      <c r="D2500" s="1" t="s">
        <v>149</v>
      </c>
      <c r="E2500" t="s">
        <v>136</v>
      </c>
    </row>
    <row r="2501" spans="1:5" x14ac:dyDescent="0.35">
      <c r="A2501" s="1" t="s">
        <v>147</v>
      </c>
      <c r="B2501" s="1"/>
      <c r="C2501" s="1" t="s">
        <v>150</v>
      </c>
      <c r="D2501" s="1" t="s">
        <v>146</v>
      </c>
      <c r="E2501" t="s">
        <v>136</v>
      </c>
    </row>
    <row r="2502" spans="1:5" x14ac:dyDescent="0.35">
      <c r="A2502" s="1" t="s">
        <v>147</v>
      </c>
      <c r="B2502" s="1"/>
      <c r="C2502" s="1"/>
      <c r="D2502" s="1" t="s">
        <v>148</v>
      </c>
      <c r="E2502" t="s">
        <v>136</v>
      </c>
    </row>
    <row r="2503" spans="1:5" x14ac:dyDescent="0.35">
      <c r="A2503" s="1" t="s">
        <v>147</v>
      </c>
      <c r="B2503" s="1"/>
      <c r="C2503" s="1"/>
      <c r="D2503" s="1" t="s">
        <v>149</v>
      </c>
      <c r="E2503" t="s">
        <v>136</v>
      </c>
    </row>
    <row r="2504" spans="1:5" x14ac:dyDescent="0.35">
      <c r="A2504" s="1" t="s">
        <v>147</v>
      </c>
      <c r="B2504" s="1" t="s">
        <v>168</v>
      </c>
      <c r="C2504" s="1" t="s">
        <v>145</v>
      </c>
      <c r="D2504" s="1" t="s">
        <v>146</v>
      </c>
      <c r="E2504" t="s">
        <v>136</v>
      </c>
    </row>
    <row r="2505" spans="1:5" x14ac:dyDescent="0.35">
      <c r="A2505" s="1" t="s">
        <v>147</v>
      </c>
      <c r="B2505" s="1"/>
      <c r="C2505" s="1"/>
      <c r="D2505" s="1" t="s">
        <v>148</v>
      </c>
      <c r="E2505" t="s">
        <v>136</v>
      </c>
    </row>
    <row r="2506" spans="1:5" x14ac:dyDescent="0.35">
      <c r="A2506" s="1" t="s">
        <v>147</v>
      </c>
      <c r="B2506" s="1"/>
      <c r="C2506" s="1"/>
      <c r="D2506" s="1" t="s">
        <v>149</v>
      </c>
      <c r="E2506" t="s">
        <v>136</v>
      </c>
    </row>
    <row r="2507" spans="1:5" x14ac:dyDescent="0.35">
      <c r="A2507" s="1" t="s">
        <v>147</v>
      </c>
      <c r="B2507" s="1"/>
      <c r="C2507" s="1" t="s">
        <v>150</v>
      </c>
      <c r="D2507" s="1" t="s">
        <v>146</v>
      </c>
      <c r="E2507" t="s">
        <v>136</v>
      </c>
    </row>
    <row r="2508" spans="1:5" x14ac:dyDescent="0.35">
      <c r="A2508" s="1" t="s">
        <v>147</v>
      </c>
      <c r="B2508" s="1"/>
      <c r="C2508" s="1"/>
      <c r="D2508" s="1" t="s">
        <v>148</v>
      </c>
      <c r="E2508" t="s">
        <v>136</v>
      </c>
    </row>
    <row r="2509" spans="1:5" x14ac:dyDescent="0.35">
      <c r="A2509" s="1" t="s">
        <v>147</v>
      </c>
      <c r="B2509" s="1"/>
      <c r="C2509" s="1"/>
      <c r="D2509" s="1" t="s">
        <v>149</v>
      </c>
      <c r="E2509" t="s">
        <v>136</v>
      </c>
    </row>
    <row r="2510" spans="1:5" x14ac:dyDescent="0.35">
      <c r="A2510" s="1" t="s">
        <v>147</v>
      </c>
      <c r="B2510" s="1" t="s">
        <v>169</v>
      </c>
      <c r="C2510" s="1" t="s">
        <v>145</v>
      </c>
      <c r="D2510" s="1" t="s">
        <v>146</v>
      </c>
      <c r="E2510" t="s">
        <v>136</v>
      </c>
    </row>
    <row r="2511" spans="1:5" x14ac:dyDescent="0.35">
      <c r="A2511" s="1" t="s">
        <v>147</v>
      </c>
      <c r="B2511" s="1"/>
      <c r="C2511" s="1"/>
      <c r="D2511" s="1" t="s">
        <v>148</v>
      </c>
      <c r="E2511" t="s">
        <v>136</v>
      </c>
    </row>
    <row r="2512" spans="1:5" x14ac:dyDescent="0.35">
      <c r="A2512" s="1" t="s">
        <v>147</v>
      </c>
      <c r="B2512" s="1"/>
      <c r="C2512" s="1"/>
      <c r="D2512" s="1" t="s">
        <v>149</v>
      </c>
      <c r="E2512" t="s">
        <v>136</v>
      </c>
    </row>
    <row r="2513" spans="1:5" x14ac:dyDescent="0.35">
      <c r="A2513" s="1" t="s">
        <v>147</v>
      </c>
      <c r="B2513" s="1"/>
      <c r="C2513" s="1" t="s">
        <v>150</v>
      </c>
      <c r="D2513" s="1" t="s">
        <v>146</v>
      </c>
      <c r="E2513" t="s">
        <v>136</v>
      </c>
    </row>
    <row r="2514" spans="1:5" x14ac:dyDescent="0.35">
      <c r="A2514" s="1" t="s">
        <v>147</v>
      </c>
      <c r="B2514" s="1"/>
      <c r="C2514" s="1"/>
      <c r="D2514" s="1" t="s">
        <v>148</v>
      </c>
      <c r="E2514" t="s">
        <v>136</v>
      </c>
    </row>
    <row r="2515" spans="1:5" x14ac:dyDescent="0.35">
      <c r="A2515" s="1" t="s">
        <v>147</v>
      </c>
      <c r="B2515" s="1"/>
      <c r="C2515" s="1"/>
      <c r="D2515" s="1" t="s">
        <v>149</v>
      </c>
      <c r="E2515" t="s">
        <v>136</v>
      </c>
    </row>
    <row r="2516" spans="1:5" x14ac:dyDescent="0.35">
      <c r="A2516" s="1" t="s">
        <v>147</v>
      </c>
      <c r="B2516" s="1" t="s">
        <v>170</v>
      </c>
      <c r="C2516" s="1" t="s">
        <v>145</v>
      </c>
      <c r="D2516" s="1" t="s">
        <v>146</v>
      </c>
      <c r="E2516" t="s">
        <v>136</v>
      </c>
    </row>
    <row r="2517" spans="1:5" x14ac:dyDescent="0.35">
      <c r="A2517" s="1" t="s">
        <v>147</v>
      </c>
      <c r="B2517" s="1"/>
      <c r="C2517" s="1"/>
      <c r="D2517" s="1" t="s">
        <v>148</v>
      </c>
      <c r="E2517" t="s">
        <v>136</v>
      </c>
    </row>
    <row r="2518" spans="1:5" x14ac:dyDescent="0.35">
      <c r="A2518" s="1" t="s">
        <v>147</v>
      </c>
      <c r="B2518" s="1"/>
      <c r="C2518" s="1"/>
      <c r="D2518" s="1" t="s">
        <v>149</v>
      </c>
      <c r="E2518" t="s">
        <v>136</v>
      </c>
    </row>
    <row r="2519" spans="1:5" x14ac:dyDescent="0.35">
      <c r="A2519" s="1" t="s">
        <v>147</v>
      </c>
      <c r="B2519" s="1"/>
      <c r="C2519" s="1" t="s">
        <v>150</v>
      </c>
      <c r="D2519" s="1" t="s">
        <v>146</v>
      </c>
      <c r="E2519" t="s">
        <v>136</v>
      </c>
    </row>
    <row r="2520" spans="1:5" x14ac:dyDescent="0.35">
      <c r="A2520" s="1" t="s">
        <v>147</v>
      </c>
      <c r="B2520" s="1"/>
      <c r="C2520" s="1"/>
      <c r="D2520" s="1" t="s">
        <v>148</v>
      </c>
      <c r="E2520" t="s">
        <v>136</v>
      </c>
    </row>
    <row r="2521" spans="1:5" x14ac:dyDescent="0.35">
      <c r="A2521" s="1" t="s">
        <v>147</v>
      </c>
      <c r="B2521" s="1"/>
      <c r="C2521" s="1"/>
      <c r="D2521" s="1" t="s">
        <v>149</v>
      </c>
      <c r="E2521" t="s">
        <v>136</v>
      </c>
    </row>
    <row r="2522" spans="1:5" x14ac:dyDescent="0.35">
      <c r="A2522" s="1" t="s">
        <v>69</v>
      </c>
      <c r="B2522" s="1" t="s">
        <v>144</v>
      </c>
      <c r="C2522" s="1" t="s">
        <v>145</v>
      </c>
      <c r="D2522" s="1" t="s">
        <v>146</v>
      </c>
      <c r="E2522">
        <v>3050.88</v>
      </c>
    </row>
    <row r="2523" spans="1:5" x14ac:dyDescent="0.35">
      <c r="A2523" s="1" t="s">
        <v>147</v>
      </c>
      <c r="B2523" s="1"/>
      <c r="C2523" s="1"/>
      <c r="D2523" s="1" t="s">
        <v>148</v>
      </c>
      <c r="E2523">
        <v>2905.85</v>
      </c>
    </row>
    <row r="2524" spans="1:5" x14ac:dyDescent="0.35">
      <c r="A2524" s="1" t="s">
        <v>147</v>
      </c>
      <c r="B2524" s="1"/>
      <c r="C2524" s="1"/>
      <c r="D2524" s="1" t="s">
        <v>149</v>
      </c>
      <c r="E2524">
        <v>145.03</v>
      </c>
    </row>
    <row r="2525" spans="1:5" x14ac:dyDescent="0.35">
      <c r="A2525" s="1" t="s">
        <v>147</v>
      </c>
      <c r="B2525" s="1"/>
      <c r="C2525" s="1" t="s">
        <v>150</v>
      </c>
      <c r="D2525" s="1" t="s">
        <v>146</v>
      </c>
      <c r="E2525" t="s">
        <v>136</v>
      </c>
    </row>
    <row r="2526" spans="1:5" x14ac:dyDescent="0.35">
      <c r="A2526" s="1" t="s">
        <v>147</v>
      </c>
      <c r="B2526" s="1"/>
      <c r="C2526" s="1"/>
      <c r="D2526" s="1" t="s">
        <v>148</v>
      </c>
      <c r="E2526" t="s">
        <v>136</v>
      </c>
    </row>
    <row r="2527" spans="1:5" x14ac:dyDescent="0.35">
      <c r="A2527" s="1" t="s">
        <v>147</v>
      </c>
      <c r="B2527" s="1"/>
      <c r="C2527" s="1"/>
      <c r="D2527" s="1" t="s">
        <v>149</v>
      </c>
      <c r="E2527" t="s">
        <v>136</v>
      </c>
    </row>
    <row r="2528" spans="1:5" x14ac:dyDescent="0.35">
      <c r="A2528" s="1" t="s">
        <v>147</v>
      </c>
      <c r="B2528" s="1" t="s">
        <v>151</v>
      </c>
      <c r="C2528" s="1" t="s">
        <v>145</v>
      </c>
      <c r="D2528" s="1" t="s">
        <v>146</v>
      </c>
      <c r="E2528">
        <v>608.76</v>
      </c>
    </row>
    <row r="2529" spans="1:5" x14ac:dyDescent="0.35">
      <c r="A2529" s="1" t="s">
        <v>147</v>
      </c>
      <c r="B2529" s="1"/>
      <c r="C2529" s="1"/>
      <c r="D2529" s="1" t="s">
        <v>148</v>
      </c>
      <c r="E2529">
        <v>484.9</v>
      </c>
    </row>
    <row r="2530" spans="1:5" x14ac:dyDescent="0.35">
      <c r="A2530" s="1" t="s">
        <v>147</v>
      </c>
      <c r="B2530" s="1"/>
      <c r="C2530" s="1"/>
      <c r="D2530" s="1" t="s">
        <v>149</v>
      </c>
      <c r="E2530">
        <v>123.86</v>
      </c>
    </row>
    <row r="2531" spans="1:5" x14ac:dyDescent="0.35">
      <c r="A2531" s="1" t="s">
        <v>147</v>
      </c>
      <c r="B2531" s="1"/>
      <c r="C2531" s="1" t="s">
        <v>150</v>
      </c>
      <c r="D2531" s="1" t="s">
        <v>146</v>
      </c>
      <c r="E2531" t="s">
        <v>136</v>
      </c>
    </row>
    <row r="2532" spans="1:5" x14ac:dyDescent="0.35">
      <c r="A2532" s="1" t="s">
        <v>147</v>
      </c>
      <c r="B2532" s="1"/>
      <c r="C2532" s="1"/>
      <c r="D2532" s="1" t="s">
        <v>148</v>
      </c>
      <c r="E2532" t="s">
        <v>136</v>
      </c>
    </row>
    <row r="2533" spans="1:5" x14ac:dyDescent="0.35">
      <c r="A2533" s="1" t="s">
        <v>147</v>
      </c>
      <c r="B2533" s="1"/>
      <c r="C2533" s="1"/>
      <c r="D2533" s="1" t="s">
        <v>149</v>
      </c>
      <c r="E2533" t="s">
        <v>136</v>
      </c>
    </row>
    <row r="2534" spans="1:5" x14ac:dyDescent="0.35">
      <c r="A2534" s="1" t="s">
        <v>147</v>
      </c>
      <c r="B2534" s="1" t="s">
        <v>152</v>
      </c>
      <c r="C2534" s="1" t="s">
        <v>145</v>
      </c>
      <c r="D2534" s="1" t="s">
        <v>146</v>
      </c>
      <c r="E2534" t="s">
        <v>136</v>
      </c>
    </row>
    <row r="2535" spans="1:5" x14ac:dyDescent="0.35">
      <c r="A2535" s="1" t="s">
        <v>147</v>
      </c>
      <c r="B2535" s="1"/>
      <c r="C2535" s="1"/>
      <c r="D2535" s="1" t="s">
        <v>148</v>
      </c>
      <c r="E2535" t="s">
        <v>136</v>
      </c>
    </row>
    <row r="2536" spans="1:5" x14ac:dyDescent="0.35">
      <c r="A2536" s="1" t="s">
        <v>147</v>
      </c>
      <c r="B2536" s="1"/>
      <c r="C2536" s="1"/>
      <c r="D2536" s="1" t="s">
        <v>149</v>
      </c>
      <c r="E2536" t="s">
        <v>136</v>
      </c>
    </row>
    <row r="2537" spans="1:5" x14ac:dyDescent="0.35">
      <c r="A2537" s="1" t="s">
        <v>147</v>
      </c>
      <c r="B2537" s="1"/>
      <c r="C2537" s="1" t="s">
        <v>150</v>
      </c>
      <c r="D2537" s="1" t="s">
        <v>146</v>
      </c>
      <c r="E2537" t="s">
        <v>136</v>
      </c>
    </row>
    <row r="2538" spans="1:5" x14ac:dyDescent="0.35">
      <c r="A2538" s="1" t="s">
        <v>147</v>
      </c>
      <c r="B2538" s="1"/>
      <c r="C2538" s="1"/>
      <c r="D2538" s="1" t="s">
        <v>148</v>
      </c>
      <c r="E2538" t="s">
        <v>136</v>
      </c>
    </row>
    <row r="2539" spans="1:5" x14ac:dyDescent="0.35">
      <c r="A2539" s="1" t="s">
        <v>147</v>
      </c>
      <c r="B2539" s="1"/>
      <c r="C2539" s="1"/>
      <c r="D2539" s="1" t="s">
        <v>149</v>
      </c>
      <c r="E2539" t="s">
        <v>136</v>
      </c>
    </row>
    <row r="2540" spans="1:5" x14ac:dyDescent="0.35">
      <c r="A2540" s="1" t="s">
        <v>147</v>
      </c>
      <c r="B2540" s="1" t="s">
        <v>153</v>
      </c>
      <c r="C2540" s="1" t="s">
        <v>145</v>
      </c>
      <c r="D2540" s="1" t="s">
        <v>146</v>
      </c>
      <c r="E2540">
        <v>436.15</v>
      </c>
    </row>
    <row r="2541" spans="1:5" x14ac:dyDescent="0.35">
      <c r="A2541" s="1" t="s">
        <v>147</v>
      </c>
      <c r="B2541" s="1"/>
      <c r="C2541" s="1"/>
      <c r="D2541" s="1" t="s">
        <v>148</v>
      </c>
      <c r="E2541">
        <v>435.5</v>
      </c>
    </row>
    <row r="2542" spans="1:5" x14ac:dyDescent="0.35">
      <c r="A2542" s="1" t="s">
        <v>147</v>
      </c>
      <c r="B2542" s="1"/>
      <c r="C2542" s="1"/>
      <c r="D2542" s="1" t="s">
        <v>149</v>
      </c>
      <c r="E2542">
        <v>0.65</v>
      </c>
    </row>
    <row r="2543" spans="1:5" x14ac:dyDescent="0.35">
      <c r="A2543" s="1" t="s">
        <v>147</v>
      </c>
      <c r="B2543" s="1"/>
      <c r="C2543" s="1" t="s">
        <v>150</v>
      </c>
      <c r="D2543" s="1" t="s">
        <v>146</v>
      </c>
      <c r="E2543" t="s">
        <v>136</v>
      </c>
    </row>
    <row r="2544" spans="1:5" x14ac:dyDescent="0.35">
      <c r="A2544" s="1" t="s">
        <v>147</v>
      </c>
      <c r="B2544" s="1"/>
      <c r="C2544" s="1"/>
      <c r="D2544" s="1" t="s">
        <v>148</v>
      </c>
      <c r="E2544" t="s">
        <v>136</v>
      </c>
    </row>
    <row r="2545" spans="1:5" x14ac:dyDescent="0.35">
      <c r="A2545" s="1" t="s">
        <v>147</v>
      </c>
      <c r="B2545" s="1"/>
      <c r="C2545" s="1"/>
      <c r="D2545" s="1" t="s">
        <v>149</v>
      </c>
      <c r="E2545" t="s">
        <v>136</v>
      </c>
    </row>
    <row r="2546" spans="1:5" x14ac:dyDescent="0.35">
      <c r="A2546" s="1" t="s">
        <v>147</v>
      </c>
      <c r="B2546" s="1" t="s">
        <v>154</v>
      </c>
      <c r="C2546" s="1" t="s">
        <v>145</v>
      </c>
      <c r="D2546" s="1" t="s">
        <v>146</v>
      </c>
      <c r="E2546" t="s">
        <v>136</v>
      </c>
    </row>
    <row r="2547" spans="1:5" x14ac:dyDescent="0.35">
      <c r="A2547" s="1" t="s">
        <v>147</v>
      </c>
      <c r="B2547" s="1"/>
      <c r="C2547" s="1"/>
      <c r="D2547" s="1" t="s">
        <v>148</v>
      </c>
      <c r="E2547" t="s">
        <v>136</v>
      </c>
    </row>
    <row r="2548" spans="1:5" x14ac:dyDescent="0.35">
      <c r="A2548" s="1" t="s">
        <v>147</v>
      </c>
      <c r="B2548" s="1"/>
      <c r="C2548" s="1"/>
      <c r="D2548" s="1" t="s">
        <v>149</v>
      </c>
      <c r="E2548" t="s">
        <v>136</v>
      </c>
    </row>
    <row r="2549" spans="1:5" x14ac:dyDescent="0.35">
      <c r="A2549" s="1" t="s">
        <v>147</v>
      </c>
      <c r="B2549" s="1"/>
      <c r="C2549" s="1" t="s">
        <v>150</v>
      </c>
      <c r="D2549" s="1" t="s">
        <v>146</v>
      </c>
      <c r="E2549" t="s">
        <v>136</v>
      </c>
    </row>
    <row r="2550" spans="1:5" x14ac:dyDescent="0.35">
      <c r="A2550" s="1" t="s">
        <v>147</v>
      </c>
      <c r="B2550" s="1"/>
      <c r="C2550" s="1"/>
      <c r="D2550" s="1" t="s">
        <v>148</v>
      </c>
      <c r="E2550" t="s">
        <v>136</v>
      </c>
    </row>
    <row r="2551" spans="1:5" x14ac:dyDescent="0.35">
      <c r="A2551" s="1" t="s">
        <v>147</v>
      </c>
      <c r="B2551" s="1"/>
      <c r="C2551" s="1"/>
      <c r="D2551" s="1" t="s">
        <v>149</v>
      </c>
      <c r="E2551" t="s">
        <v>136</v>
      </c>
    </row>
    <row r="2552" spans="1:5" x14ac:dyDescent="0.35">
      <c r="A2552" s="1" t="s">
        <v>147</v>
      </c>
      <c r="B2552" s="1" t="s">
        <v>155</v>
      </c>
      <c r="C2552" s="1" t="s">
        <v>145</v>
      </c>
      <c r="D2552" s="1" t="s">
        <v>146</v>
      </c>
      <c r="E2552">
        <v>892.04</v>
      </c>
    </row>
    <row r="2553" spans="1:5" x14ac:dyDescent="0.35">
      <c r="A2553" s="1" t="s">
        <v>147</v>
      </c>
      <c r="B2553" s="1"/>
      <c r="C2553" s="1"/>
      <c r="D2553" s="1" t="s">
        <v>148</v>
      </c>
      <c r="E2553">
        <v>871.52</v>
      </c>
    </row>
    <row r="2554" spans="1:5" x14ac:dyDescent="0.35">
      <c r="A2554" s="1" t="s">
        <v>147</v>
      </c>
      <c r="B2554" s="1"/>
      <c r="C2554" s="1"/>
      <c r="D2554" s="1" t="s">
        <v>149</v>
      </c>
      <c r="E2554">
        <v>20.51</v>
      </c>
    </row>
    <row r="2555" spans="1:5" x14ac:dyDescent="0.35">
      <c r="A2555" s="1" t="s">
        <v>147</v>
      </c>
      <c r="B2555" s="1"/>
      <c r="C2555" s="1" t="s">
        <v>150</v>
      </c>
      <c r="D2555" s="1" t="s">
        <v>146</v>
      </c>
      <c r="E2555" t="s">
        <v>136</v>
      </c>
    </row>
    <row r="2556" spans="1:5" x14ac:dyDescent="0.35">
      <c r="A2556" s="1" t="s">
        <v>147</v>
      </c>
      <c r="B2556" s="1"/>
      <c r="C2556" s="1"/>
      <c r="D2556" s="1" t="s">
        <v>148</v>
      </c>
      <c r="E2556" t="s">
        <v>136</v>
      </c>
    </row>
    <row r="2557" spans="1:5" x14ac:dyDescent="0.35">
      <c r="A2557" s="1" t="s">
        <v>147</v>
      </c>
      <c r="B2557" s="1"/>
      <c r="C2557" s="1"/>
      <c r="D2557" s="1" t="s">
        <v>149</v>
      </c>
      <c r="E2557" t="s">
        <v>136</v>
      </c>
    </row>
    <row r="2558" spans="1:5" x14ac:dyDescent="0.35">
      <c r="A2558" s="1" t="s">
        <v>147</v>
      </c>
      <c r="B2558" s="1" t="s">
        <v>156</v>
      </c>
      <c r="C2558" s="1" t="s">
        <v>145</v>
      </c>
      <c r="D2558" s="1" t="s">
        <v>146</v>
      </c>
      <c r="E2558" t="s">
        <v>136</v>
      </c>
    </row>
    <row r="2559" spans="1:5" x14ac:dyDescent="0.35">
      <c r="A2559" s="1" t="s">
        <v>147</v>
      </c>
      <c r="B2559" s="1"/>
      <c r="C2559" s="1"/>
      <c r="D2559" s="1" t="s">
        <v>148</v>
      </c>
      <c r="E2559" t="s">
        <v>136</v>
      </c>
    </row>
    <row r="2560" spans="1:5" x14ac:dyDescent="0.35">
      <c r="A2560" s="1" t="s">
        <v>147</v>
      </c>
      <c r="B2560" s="1"/>
      <c r="C2560" s="1"/>
      <c r="D2560" s="1" t="s">
        <v>149</v>
      </c>
      <c r="E2560" t="s">
        <v>136</v>
      </c>
    </row>
    <row r="2561" spans="1:5" x14ac:dyDescent="0.35">
      <c r="A2561" s="1" t="s">
        <v>147</v>
      </c>
      <c r="B2561" s="1"/>
      <c r="C2561" s="1" t="s">
        <v>150</v>
      </c>
      <c r="D2561" s="1" t="s">
        <v>146</v>
      </c>
      <c r="E2561" t="s">
        <v>136</v>
      </c>
    </row>
    <row r="2562" spans="1:5" x14ac:dyDescent="0.35">
      <c r="A2562" s="1" t="s">
        <v>147</v>
      </c>
      <c r="B2562" s="1"/>
      <c r="C2562" s="1"/>
      <c r="D2562" s="1" t="s">
        <v>148</v>
      </c>
      <c r="E2562" t="s">
        <v>136</v>
      </c>
    </row>
    <row r="2563" spans="1:5" x14ac:dyDescent="0.35">
      <c r="A2563" s="1" t="s">
        <v>147</v>
      </c>
      <c r="B2563" s="1"/>
      <c r="C2563" s="1"/>
      <c r="D2563" s="1" t="s">
        <v>149</v>
      </c>
      <c r="E2563" t="s">
        <v>136</v>
      </c>
    </row>
    <row r="2564" spans="1:5" x14ac:dyDescent="0.35">
      <c r="A2564" s="1" t="s">
        <v>147</v>
      </c>
      <c r="B2564" s="1" t="s">
        <v>157</v>
      </c>
      <c r="C2564" s="1" t="s">
        <v>145</v>
      </c>
      <c r="D2564" s="1" t="s">
        <v>146</v>
      </c>
      <c r="E2564" t="s">
        <v>136</v>
      </c>
    </row>
    <row r="2565" spans="1:5" x14ac:dyDescent="0.35">
      <c r="A2565" s="1" t="s">
        <v>147</v>
      </c>
      <c r="B2565" s="1"/>
      <c r="C2565" s="1"/>
      <c r="D2565" s="1" t="s">
        <v>148</v>
      </c>
      <c r="E2565" t="s">
        <v>136</v>
      </c>
    </row>
    <row r="2566" spans="1:5" x14ac:dyDescent="0.35">
      <c r="A2566" s="1" t="s">
        <v>147</v>
      </c>
      <c r="B2566" s="1"/>
      <c r="C2566" s="1"/>
      <c r="D2566" s="1" t="s">
        <v>149</v>
      </c>
      <c r="E2566" t="s">
        <v>136</v>
      </c>
    </row>
    <row r="2567" spans="1:5" x14ac:dyDescent="0.35">
      <c r="A2567" s="1" t="s">
        <v>147</v>
      </c>
      <c r="B2567" s="1"/>
      <c r="C2567" s="1" t="s">
        <v>150</v>
      </c>
      <c r="D2567" s="1" t="s">
        <v>146</v>
      </c>
      <c r="E2567" t="s">
        <v>136</v>
      </c>
    </row>
    <row r="2568" spans="1:5" x14ac:dyDescent="0.35">
      <c r="A2568" s="1" t="s">
        <v>147</v>
      </c>
      <c r="B2568" s="1"/>
      <c r="C2568" s="1"/>
      <c r="D2568" s="1" t="s">
        <v>148</v>
      </c>
      <c r="E2568" t="s">
        <v>136</v>
      </c>
    </row>
    <row r="2569" spans="1:5" x14ac:dyDescent="0.35">
      <c r="A2569" s="1" t="s">
        <v>147</v>
      </c>
      <c r="B2569" s="1"/>
      <c r="C2569" s="1"/>
      <c r="D2569" s="1" t="s">
        <v>149</v>
      </c>
      <c r="E2569" t="s">
        <v>136</v>
      </c>
    </row>
    <row r="2570" spans="1:5" x14ac:dyDescent="0.35">
      <c r="A2570" s="1" t="s">
        <v>147</v>
      </c>
      <c r="B2570" s="1" t="s">
        <v>158</v>
      </c>
      <c r="C2570" s="1" t="s">
        <v>145</v>
      </c>
      <c r="D2570" s="1" t="s">
        <v>146</v>
      </c>
      <c r="E2570">
        <v>172.2</v>
      </c>
    </row>
    <row r="2571" spans="1:5" x14ac:dyDescent="0.35">
      <c r="A2571" s="1" t="s">
        <v>147</v>
      </c>
      <c r="B2571" s="1"/>
      <c r="C2571" s="1"/>
      <c r="D2571" s="1" t="s">
        <v>148</v>
      </c>
      <c r="E2571">
        <v>172.2</v>
      </c>
    </row>
    <row r="2572" spans="1:5" x14ac:dyDescent="0.35">
      <c r="A2572" s="1" t="s">
        <v>147</v>
      </c>
      <c r="B2572" s="1"/>
      <c r="C2572" s="1"/>
      <c r="D2572" s="1" t="s">
        <v>149</v>
      </c>
      <c r="E2572" t="s">
        <v>136</v>
      </c>
    </row>
    <row r="2573" spans="1:5" x14ac:dyDescent="0.35">
      <c r="A2573" s="1" t="s">
        <v>147</v>
      </c>
      <c r="B2573" s="1"/>
      <c r="C2573" s="1" t="s">
        <v>150</v>
      </c>
      <c r="D2573" s="1" t="s">
        <v>146</v>
      </c>
      <c r="E2573" t="s">
        <v>136</v>
      </c>
    </row>
    <row r="2574" spans="1:5" x14ac:dyDescent="0.35">
      <c r="A2574" s="1" t="s">
        <v>147</v>
      </c>
      <c r="B2574" s="1"/>
      <c r="C2574" s="1"/>
      <c r="D2574" s="1" t="s">
        <v>148</v>
      </c>
      <c r="E2574" t="s">
        <v>136</v>
      </c>
    </row>
    <row r="2575" spans="1:5" x14ac:dyDescent="0.35">
      <c r="A2575" s="1" t="s">
        <v>147</v>
      </c>
      <c r="B2575" s="1"/>
      <c r="C2575" s="1"/>
      <c r="D2575" s="1" t="s">
        <v>149</v>
      </c>
      <c r="E2575" t="s">
        <v>136</v>
      </c>
    </row>
    <row r="2576" spans="1:5" x14ac:dyDescent="0.35">
      <c r="A2576" s="1" t="s">
        <v>147</v>
      </c>
      <c r="B2576" s="1" t="s">
        <v>159</v>
      </c>
      <c r="C2576" s="1" t="s">
        <v>145</v>
      </c>
      <c r="D2576" s="1" t="s">
        <v>146</v>
      </c>
      <c r="E2576" t="s">
        <v>136</v>
      </c>
    </row>
    <row r="2577" spans="1:5" x14ac:dyDescent="0.35">
      <c r="A2577" s="1" t="s">
        <v>147</v>
      </c>
      <c r="B2577" s="1"/>
      <c r="C2577" s="1"/>
      <c r="D2577" s="1" t="s">
        <v>148</v>
      </c>
      <c r="E2577" t="s">
        <v>136</v>
      </c>
    </row>
    <row r="2578" spans="1:5" x14ac:dyDescent="0.35">
      <c r="A2578" s="1" t="s">
        <v>147</v>
      </c>
      <c r="B2578" s="1"/>
      <c r="C2578" s="1"/>
      <c r="D2578" s="1" t="s">
        <v>149</v>
      </c>
      <c r="E2578" t="s">
        <v>136</v>
      </c>
    </row>
    <row r="2579" spans="1:5" x14ac:dyDescent="0.35">
      <c r="A2579" s="1" t="s">
        <v>147</v>
      </c>
      <c r="B2579" s="1"/>
      <c r="C2579" s="1" t="s">
        <v>150</v>
      </c>
      <c r="D2579" s="1" t="s">
        <v>146</v>
      </c>
      <c r="E2579" t="s">
        <v>136</v>
      </c>
    </row>
    <row r="2580" spans="1:5" x14ac:dyDescent="0.35">
      <c r="A2580" s="1" t="s">
        <v>147</v>
      </c>
      <c r="B2580" s="1"/>
      <c r="C2580" s="1"/>
      <c r="D2580" s="1" t="s">
        <v>148</v>
      </c>
      <c r="E2580" t="s">
        <v>136</v>
      </c>
    </row>
    <row r="2581" spans="1:5" x14ac:dyDescent="0.35">
      <c r="A2581" s="1" t="s">
        <v>147</v>
      </c>
      <c r="B2581" s="1"/>
      <c r="C2581" s="1"/>
      <c r="D2581" s="1" t="s">
        <v>149</v>
      </c>
      <c r="E2581" t="s">
        <v>136</v>
      </c>
    </row>
    <row r="2582" spans="1:5" x14ac:dyDescent="0.35">
      <c r="A2582" s="1" t="s">
        <v>147</v>
      </c>
      <c r="B2582" s="1" t="s">
        <v>160</v>
      </c>
      <c r="C2582" s="1" t="s">
        <v>145</v>
      </c>
      <c r="D2582" s="1" t="s">
        <v>146</v>
      </c>
      <c r="E2582" t="s">
        <v>136</v>
      </c>
    </row>
    <row r="2583" spans="1:5" x14ac:dyDescent="0.35">
      <c r="A2583" s="1" t="s">
        <v>147</v>
      </c>
      <c r="B2583" s="1"/>
      <c r="C2583" s="1"/>
      <c r="D2583" s="1" t="s">
        <v>148</v>
      </c>
      <c r="E2583" t="s">
        <v>136</v>
      </c>
    </row>
    <row r="2584" spans="1:5" x14ac:dyDescent="0.35">
      <c r="A2584" s="1" t="s">
        <v>147</v>
      </c>
      <c r="B2584" s="1"/>
      <c r="C2584" s="1"/>
      <c r="D2584" s="1" t="s">
        <v>149</v>
      </c>
      <c r="E2584" t="s">
        <v>136</v>
      </c>
    </row>
    <row r="2585" spans="1:5" x14ac:dyDescent="0.35">
      <c r="A2585" s="1" t="s">
        <v>147</v>
      </c>
      <c r="B2585" s="1"/>
      <c r="C2585" s="1" t="s">
        <v>150</v>
      </c>
      <c r="D2585" s="1" t="s">
        <v>146</v>
      </c>
      <c r="E2585" t="s">
        <v>136</v>
      </c>
    </row>
    <row r="2586" spans="1:5" x14ac:dyDescent="0.35">
      <c r="A2586" s="1" t="s">
        <v>147</v>
      </c>
      <c r="B2586" s="1"/>
      <c r="C2586" s="1"/>
      <c r="D2586" s="1" t="s">
        <v>148</v>
      </c>
      <c r="E2586" t="s">
        <v>136</v>
      </c>
    </row>
    <row r="2587" spans="1:5" x14ac:dyDescent="0.35">
      <c r="A2587" s="1" t="s">
        <v>147</v>
      </c>
      <c r="B2587" s="1"/>
      <c r="C2587" s="1"/>
      <c r="D2587" s="1" t="s">
        <v>149</v>
      </c>
      <c r="E2587" t="s">
        <v>136</v>
      </c>
    </row>
    <row r="2588" spans="1:5" x14ac:dyDescent="0.35">
      <c r="A2588" s="1" t="s">
        <v>147</v>
      </c>
      <c r="B2588" s="1" t="s">
        <v>161</v>
      </c>
      <c r="C2588" s="1" t="s">
        <v>145</v>
      </c>
      <c r="D2588" s="1" t="s">
        <v>146</v>
      </c>
      <c r="E2588">
        <v>2</v>
      </c>
    </row>
    <row r="2589" spans="1:5" x14ac:dyDescent="0.35">
      <c r="A2589" s="1" t="s">
        <v>147</v>
      </c>
      <c r="B2589" s="1"/>
      <c r="C2589" s="1"/>
      <c r="D2589" s="1" t="s">
        <v>148</v>
      </c>
      <c r="E2589">
        <v>2</v>
      </c>
    </row>
    <row r="2590" spans="1:5" x14ac:dyDescent="0.35">
      <c r="A2590" s="1" t="s">
        <v>147</v>
      </c>
      <c r="B2590" s="1"/>
      <c r="C2590" s="1"/>
      <c r="D2590" s="1" t="s">
        <v>149</v>
      </c>
      <c r="E2590">
        <v>0</v>
      </c>
    </row>
    <row r="2591" spans="1:5" x14ac:dyDescent="0.35">
      <c r="A2591" s="1" t="s">
        <v>147</v>
      </c>
      <c r="B2591" s="1"/>
      <c r="C2591" s="1" t="s">
        <v>150</v>
      </c>
      <c r="D2591" s="1" t="s">
        <v>146</v>
      </c>
      <c r="E2591" t="s">
        <v>136</v>
      </c>
    </row>
    <row r="2592" spans="1:5" x14ac:dyDescent="0.35">
      <c r="A2592" s="1" t="s">
        <v>147</v>
      </c>
      <c r="B2592" s="1"/>
      <c r="C2592" s="1"/>
      <c r="D2592" s="1" t="s">
        <v>148</v>
      </c>
      <c r="E2592" t="s">
        <v>136</v>
      </c>
    </row>
    <row r="2593" spans="1:5" x14ac:dyDescent="0.35">
      <c r="A2593" s="1" t="s">
        <v>147</v>
      </c>
      <c r="B2593" s="1"/>
      <c r="C2593" s="1"/>
      <c r="D2593" s="1" t="s">
        <v>149</v>
      </c>
      <c r="E2593" t="s">
        <v>136</v>
      </c>
    </row>
    <row r="2594" spans="1:5" x14ac:dyDescent="0.35">
      <c r="A2594" s="1" t="s">
        <v>147</v>
      </c>
      <c r="B2594" s="1" t="s">
        <v>162</v>
      </c>
      <c r="C2594" s="1" t="s">
        <v>145</v>
      </c>
      <c r="D2594" s="1" t="s">
        <v>146</v>
      </c>
      <c r="E2594">
        <v>939.73</v>
      </c>
    </row>
    <row r="2595" spans="1:5" x14ac:dyDescent="0.35">
      <c r="A2595" s="1" t="s">
        <v>147</v>
      </c>
      <c r="B2595" s="1"/>
      <c r="C2595" s="1"/>
      <c r="D2595" s="1" t="s">
        <v>148</v>
      </c>
      <c r="E2595">
        <v>939.73</v>
      </c>
    </row>
    <row r="2596" spans="1:5" x14ac:dyDescent="0.35">
      <c r="A2596" s="1" t="s">
        <v>147</v>
      </c>
      <c r="B2596" s="1"/>
      <c r="C2596" s="1"/>
      <c r="D2596" s="1" t="s">
        <v>149</v>
      </c>
      <c r="E2596" t="s">
        <v>136</v>
      </c>
    </row>
    <row r="2597" spans="1:5" x14ac:dyDescent="0.35">
      <c r="A2597" s="1" t="s">
        <v>147</v>
      </c>
      <c r="B2597" s="1"/>
      <c r="C2597" s="1" t="s">
        <v>150</v>
      </c>
      <c r="D2597" s="1" t="s">
        <v>146</v>
      </c>
      <c r="E2597" t="s">
        <v>136</v>
      </c>
    </row>
    <row r="2598" spans="1:5" x14ac:dyDescent="0.35">
      <c r="A2598" s="1" t="s">
        <v>147</v>
      </c>
      <c r="B2598" s="1"/>
      <c r="C2598" s="1"/>
      <c r="D2598" s="1" t="s">
        <v>148</v>
      </c>
      <c r="E2598" t="s">
        <v>136</v>
      </c>
    </row>
    <row r="2599" spans="1:5" x14ac:dyDescent="0.35">
      <c r="A2599" s="1" t="s">
        <v>147</v>
      </c>
      <c r="B2599" s="1"/>
      <c r="C2599" s="1"/>
      <c r="D2599" s="1" t="s">
        <v>149</v>
      </c>
      <c r="E2599" t="s">
        <v>136</v>
      </c>
    </row>
    <row r="2600" spans="1:5" x14ac:dyDescent="0.35">
      <c r="A2600" s="1" t="s">
        <v>147</v>
      </c>
      <c r="B2600" s="1" t="s">
        <v>163</v>
      </c>
      <c r="C2600" s="1" t="s">
        <v>145</v>
      </c>
      <c r="D2600" s="1" t="s">
        <v>146</v>
      </c>
      <c r="E2600">
        <v>614.79999999999995</v>
      </c>
    </row>
    <row r="2601" spans="1:5" x14ac:dyDescent="0.35">
      <c r="A2601" s="1" t="s">
        <v>147</v>
      </c>
      <c r="B2601" s="1"/>
      <c r="C2601" s="1"/>
      <c r="D2601" s="1" t="s">
        <v>148</v>
      </c>
      <c r="E2601">
        <v>572.79999999999995</v>
      </c>
    </row>
    <row r="2602" spans="1:5" x14ac:dyDescent="0.35">
      <c r="A2602" s="1" t="s">
        <v>147</v>
      </c>
      <c r="B2602" s="1"/>
      <c r="C2602" s="1"/>
      <c r="D2602" s="1" t="s">
        <v>149</v>
      </c>
      <c r="E2602">
        <v>42</v>
      </c>
    </row>
    <row r="2603" spans="1:5" x14ac:dyDescent="0.35">
      <c r="A2603" s="1" t="s">
        <v>147</v>
      </c>
      <c r="B2603" s="1"/>
      <c r="C2603" s="1" t="s">
        <v>150</v>
      </c>
      <c r="D2603" s="1" t="s">
        <v>146</v>
      </c>
      <c r="E2603" t="s">
        <v>136</v>
      </c>
    </row>
    <row r="2604" spans="1:5" x14ac:dyDescent="0.35">
      <c r="A2604" s="1" t="s">
        <v>147</v>
      </c>
      <c r="B2604" s="1"/>
      <c r="C2604" s="1"/>
      <c r="D2604" s="1" t="s">
        <v>148</v>
      </c>
      <c r="E2604" t="s">
        <v>136</v>
      </c>
    </row>
    <row r="2605" spans="1:5" x14ac:dyDescent="0.35">
      <c r="A2605" s="1" t="s">
        <v>147</v>
      </c>
      <c r="B2605" s="1"/>
      <c r="C2605" s="1"/>
      <c r="D2605" s="1" t="s">
        <v>149</v>
      </c>
      <c r="E2605" t="s">
        <v>136</v>
      </c>
    </row>
    <row r="2606" spans="1:5" x14ac:dyDescent="0.35">
      <c r="A2606" s="1" t="s">
        <v>147</v>
      </c>
      <c r="B2606" s="1" t="s">
        <v>164</v>
      </c>
      <c r="C2606" s="1" t="s">
        <v>145</v>
      </c>
      <c r="D2606" s="1" t="s">
        <v>146</v>
      </c>
      <c r="E2606" t="s">
        <v>136</v>
      </c>
    </row>
    <row r="2607" spans="1:5" x14ac:dyDescent="0.35">
      <c r="A2607" s="1" t="s">
        <v>147</v>
      </c>
      <c r="B2607" s="1"/>
      <c r="C2607" s="1"/>
      <c r="D2607" s="1" t="s">
        <v>148</v>
      </c>
      <c r="E2607" t="s">
        <v>136</v>
      </c>
    </row>
    <row r="2608" spans="1:5" x14ac:dyDescent="0.35">
      <c r="A2608" s="1" t="s">
        <v>147</v>
      </c>
      <c r="B2608" s="1"/>
      <c r="C2608" s="1"/>
      <c r="D2608" s="1" t="s">
        <v>149</v>
      </c>
      <c r="E2608" t="s">
        <v>136</v>
      </c>
    </row>
    <row r="2609" spans="1:5" x14ac:dyDescent="0.35">
      <c r="A2609" s="1" t="s">
        <v>147</v>
      </c>
      <c r="B2609" s="1"/>
      <c r="C2609" s="1" t="s">
        <v>150</v>
      </c>
      <c r="D2609" s="1" t="s">
        <v>146</v>
      </c>
      <c r="E2609" t="s">
        <v>136</v>
      </c>
    </row>
    <row r="2610" spans="1:5" x14ac:dyDescent="0.35">
      <c r="A2610" s="1" t="s">
        <v>147</v>
      </c>
      <c r="B2610" s="1"/>
      <c r="C2610" s="1"/>
      <c r="D2610" s="1" t="s">
        <v>148</v>
      </c>
      <c r="E2610" t="s">
        <v>136</v>
      </c>
    </row>
    <row r="2611" spans="1:5" x14ac:dyDescent="0.35">
      <c r="A2611" s="1" t="s">
        <v>147</v>
      </c>
      <c r="B2611" s="1"/>
      <c r="C2611" s="1"/>
      <c r="D2611" s="1" t="s">
        <v>149</v>
      </c>
      <c r="E2611" t="s">
        <v>136</v>
      </c>
    </row>
    <row r="2612" spans="1:5" x14ac:dyDescent="0.35">
      <c r="A2612" s="1" t="s">
        <v>147</v>
      </c>
      <c r="B2612" s="1" t="s">
        <v>165</v>
      </c>
      <c r="C2612" s="1" t="s">
        <v>145</v>
      </c>
      <c r="D2612" s="1" t="s">
        <v>146</v>
      </c>
      <c r="E2612" t="s">
        <v>136</v>
      </c>
    </row>
    <row r="2613" spans="1:5" x14ac:dyDescent="0.35">
      <c r="A2613" s="1" t="s">
        <v>147</v>
      </c>
      <c r="B2613" s="1"/>
      <c r="C2613" s="1"/>
      <c r="D2613" s="1" t="s">
        <v>148</v>
      </c>
      <c r="E2613" t="s">
        <v>136</v>
      </c>
    </row>
    <row r="2614" spans="1:5" x14ac:dyDescent="0.35">
      <c r="A2614" s="1" t="s">
        <v>147</v>
      </c>
      <c r="B2614" s="1"/>
      <c r="C2614" s="1"/>
      <c r="D2614" s="1" t="s">
        <v>149</v>
      </c>
      <c r="E2614" t="s">
        <v>136</v>
      </c>
    </row>
    <row r="2615" spans="1:5" x14ac:dyDescent="0.35">
      <c r="A2615" s="1" t="s">
        <v>147</v>
      </c>
      <c r="B2615" s="1"/>
      <c r="C2615" s="1" t="s">
        <v>150</v>
      </c>
      <c r="D2615" s="1" t="s">
        <v>146</v>
      </c>
      <c r="E2615" t="s">
        <v>136</v>
      </c>
    </row>
    <row r="2616" spans="1:5" x14ac:dyDescent="0.35">
      <c r="A2616" s="1" t="s">
        <v>147</v>
      </c>
      <c r="B2616" s="1"/>
      <c r="C2616" s="1"/>
      <c r="D2616" s="1" t="s">
        <v>148</v>
      </c>
      <c r="E2616" t="s">
        <v>136</v>
      </c>
    </row>
    <row r="2617" spans="1:5" x14ac:dyDescent="0.35">
      <c r="A2617" s="1" t="s">
        <v>147</v>
      </c>
      <c r="B2617" s="1"/>
      <c r="C2617" s="1"/>
      <c r="D2617" s="1" t="s">
        <v>149</v>
      </c>
      <c r="E2617" t="s">
        <v>136</v>
      </c>
    </row>
    <row r="2618" spans="1:5" x14ac:dyDescent="0.35">
      <c r="A2618" s="1" t="s">
        <v>147</v>
      </c>
      <c r="B2618" s="1" t="s">
        <v>166</v>
      </c>
      <c r="C2618" s="1" t="s">
        <v>145</v>
      </c>
      <c r="D2618" s="1" t="s">
        <v>146</v>
      </c>
      <c r="E2618">
        <v>614.79999999999995</v>
      </c>
    </row>
    <row r="2619" spans="1:5" x14ac:dyDescent="0.35">
      <c r="A2619" s="1" t="s">
        <v>147</v>
      </c>
      <c r="B2619" s="1"/>
      <c r="C2619" s="1"/>
      <c r="D2619" s="1" t="s">
        <v>148</v>
      </c>
      <c r="E2619">
        <v>572.79999999999995</v>
      </c>
    </row>
    <row r="2620" spans="1:5" x14ac:dyDescent="0.35">
      <c r="A2620" s="1" t="s">
        <v>147</v>
      </c>
      <c r="B2620" s="1"/>
      <c r="C2620" s="1"/>
      <c r="D2620" s="1" t="s">
        <v>149</v>
      </c>
      <c r="E2620">
        <v>42</v>
      </c>
    </row>
    <row r="2621" spans="1:5" x14ac:dyDescent="0.35">
      <c r="A2621" s="1" t="s">
        <v>147</v>
      </c>
      <c r="B2621" s="1"/>
      <c r="C2621" s="1" t="s">
        <v>150</v>
      </c>
      <c r="D2621" s="1" t="s">
        <v>146</v>
      </c>
      <c r="E2621" t="s">
        <v>136</v>
      </c>
    </row>
    <row r="2622" spans="1:5" x14ac:dyDescent="0.35">
      <c r="A2622" s="1" t="s">
        <v>147</v>
      </c>
      <c r="B2622" s="1"/>
      <c r="C2622" s="1"/>
      <c r="D2622" s="1" t="s">
        <v>148</v>
      </c>
      <c r="E2622" t="s">
        <v>136</v>
      </c>
    </row>
    <row r="2623" spans="1:5" x14ac:dyDescent="0.35">
      <c r="A2623" s="1" t="s">
        <v>147</v>
      </c>
      <c r="B2623" s="1"/>
      <c r="C2623" s="1"/>
      <c r="D2623" s="1" t="s">
        <v>149</v>
      </c>
      <c r="E2623" t="s">
        <v>136</v>
      </c>
    </row>
    <row r="2624" spans="1:5" x14ac:dyDescent="0.35">
      <c r="A2624" s="1" t="s">
        <v>147</v>
      </c>
      <c r="B2624" s="1" t="s">
        <v>167</v>
      </c>
      <c r="C2624" s="1" t="s">
        <v>145</v>
      </c>
      <c r="D2624" s="1" t="s">
        <v>146</v>
      </c>
      <c r="E2624" t="s">
        <v>136</v>
      </c>
    </row>
    <row r="2625" spans="1:5" x14ac:dyDescent="0.35">
      <c r="A2625" s="1" t="s">
        <v>147</v>
      </c>
      <c r="B2625" s="1"/>
      <c r="C2625" s="1"/>
      <c r="D2625" s="1" t="s">
        <v>148</v>
      </c>
      <c r="E2625" t="s">
        <v>136</v>
      </c>
    </row>
    <row r="2626" spans="1:5" x14ac:dyDescent="0.35">
      <c r="A2626" s="1" t="s">
        <v>147</v>
      </c>
      <c r="B2626" s="1"/>
      <c r="C2626" s="1"/>
      <c r="D2626" s="1" t="s">
        <v>149</v>
      </c>
      <c r="E2626" t="s">
        <v>136</v>
      </c>
    </row>
    <row r="2627" spans="1:5" x14ac:dyDescent="0.35">
      <c r="A2627" s="1" t="s">
        <v>147</v>
      </c>
      <c r="B2627" s="1"/>
      <c r="C2627" s="1" t="s">
        <v>150</v>
      </c>
      <c r="D2627" s="1" t="s">
        <v>146</v>
      </c>
      <c r="E2627" t="s">
        <v>136</v>
      </c>
    </row>
    <row r="2628" spans="1:5" x14ac:dyDescent="0.35">
      <c r="A2628" s="1" t="s">
        <v>147</v>
      </c>
      <c r="B2628" s="1"/>
      <c r="C2628" s="1"/>
      <c r="D2628" s="1" t="s">
        <v>148</v>
      </c>
      <c r="E2628" t="s">
        <v>136</v>
      </c>
    </row>
    <row r="2629" spans="1:5" x14ac:dyDescent="0.35">
      <c r="A2629" s="1" t="s">
        <v>147</v>
      </c>
      <c r="B2629" s="1"/>
      <c r="C2629" s="1"/>
      <c r="D2629" s="1" t="s">
        <v>149</v>
      </c>
      <c r="E2629" t="s">
        <v>136</v>
      </c>
    </row>
    <row r="2630" spans="1:5" x14ac:dyDescent="0.35">
      <c r="A2630" s="1" t="s">
        <v>147</v>
      </c>
      <c r="B2630" s="1" t="s">
        <v>168</v>
      </c>
      <c r="C2630" s="1" t="s">
        <v>145</v>
      </c>
      <c r="D2630" s="1" t="s">
        <v>146</v>
      </c>
      <c r="E2630" t="s">
        <v>136</v>
      </c>
    </row>
    <row r="2631" spans="1:5" x14ac:dyDescent="0.35">
      <c r="A2631" s="1" t="s">
        <v>147</v>
      </c>
      <c r="B2631" s="1"/>
      <c r="C2631" s="1"/>
      <c r="D2631" s="1" t="s">
        <v>148</v>
      </c>
      <c r="E2631" t="s">
        <v>136</v>
      </c>
    </row>
    <row r="2632" spans="1:5" x14ac:dyDescent="0.35">
      <c r="A2632" s="1" t="s">
        <v>147</v>
      </c>
      <c r="B2632" s="1"/>
      <c r="C2632" s="1"/>
      <c r="D2632" s="1" t="s">
        <v>149</v>
      </c>
      <c r="E2632" t="s">
        <v>136</v>
      </c>
    </row>
    <row r="2633" spans="1:5" x14ac:dyDescent="0.35">
      <c r="A2633" s="1" t="s">
        <v>147</v>
      </c>
      <c r="B2633" s="1"/>
      <c r="C2633" s="1" t="s">
        <v>150</v>
      </c>
      <c r="D2633" s="1" t="s">
        <v>146</v>
      </c>
      <c r="E2633" t="s">
        <v>136</v>
      </c>
    </row>
    <row r="2634" spans="1:5" x14ac:dyDescent="0.35">
      <c r="A2634" s="1" t="s">
        <v>147</v>
      </c>
      <c r="B2634" s="1"/>
      <c r="C2634" s="1"/>
      <c r="D2634" s="1" t="s">
        <v>148</v>
      </c>
      <c r="E2634" t="s">
        <v>136</v>
      </c>
    </row>
    <row r="2635" spans="1:5" x14ac:dyDescent="0.35">
      <c r="A2635" s="1" t="s">
        <v>147</v>
      </c>
      <c r="B2635" s="1"/>
      <c r="C2635" s="1"/>
      <c r="D2635" s="1" t="s">
        <v>149</v>
      </c>
      <c r="E2635" t="s">
        <v>136</v>
      </c>
    </row>
    <row r="2636" spans="1:5" x14ac:dyDescent="0.35">
      <c r="A2636" s="1" t="s">
        <v>147</v>
      </c>
      <c r="B2636" s="1" t="s">
        <v>169</v>
      </c>
      <c r="C2636" s="1" t="s">
        <v>145</v>
      </c>
      <c r="D2636" s="1" t="s">
        <v>146</v>
      </c>
      <c r="E2636" t="s">
        <v>136</v>
      </c>
    </row>
    <row r="2637" spans="1:5" x14ac:dyDescent="0.35">
      <c r="A2637" s="1" t="s">
        <v>147</v>
      </c>
      <c r="B2637" s="1"/>
      <c r="C2637" s="1"/>
      <c r="D2637" s="1" t="s">
        <v>148</v>
      </c>
      <c r="E2637" t="s">
        <v>136</v>
      </c>
    </row>
    <row r="2638" spans="1:5" x14ac:dyDescent="0.35">
      <c r="A2638" s="1" t="s">
        <v>147</v>
      </c>
      <c r="B2638" s="1"/>
      <c r="C2638" s="1"/>
      <c r="D2638" s="1" t="s">
        <v>149</v>
      </c>
      <c r="E2638" t="s">
        <v>136</v>
      </c>
    </row>
    <row r="2639" spans="1:5" x14ac:dyDescent="0.35">
      <c r="A2639" s="1" t="s">
        <v>147</v>
      </c>
      <c r="B2639" s="1"/>
      <c r="C2639" s="1" t="s">
        <v>150</v>
      </c>
      <c r="D2639" s="1" t="s">
        <v>146</v>
      </c>
      <c r="E2639" t="s">
        <v>136</v>
      </c>
    </row>
    <row r="2640" spans="1:5" x14ac:dyDescent="0.35">
      <c r="A2640" s="1" t="s">
        <v>147</v>
      </c>
      <c r="B2640" s="1"/>
      <c r="C2640" s="1"/>
      <c r="D2640" s="1" t="s">
        <v>148</v>
      </c>
      <c r="E2640" t="s">
        <v>136</v>
      </c>
    </row>
    <row r="2641" spans="1:5" x14ac:dyDescent="0.35">
      <c r="A2641" s="1" t="s">
        <v>147</v>
      </c>
      <c r="B2641" s="1"/>
      <c r="C2641" s="1"/>
      <c r="D2641" s="1" t="s">
        <v>149</v>
      </c>
      <c r="E2641" t="s">
        <v>136</v>
      </c>
    </row>
    <row r="2642" spans="1:5" x14ac:dyDescent="0.35">
      <c r="A2642" s="1" t="s">
        <v>147</v>
      </c>
      <c r="B2642" s="1" t="s">
        <v>170</v>
      </c>
      <c r="C2642" s="1" t="s">
        <v>145</v>
      </c>
      <c r="D2642" s="1" t="s">
        <v>146</v>
      </c>
      <c r="E2642" t="s">
        <v>136</v>
      </c>
    </row>
    <row r="2643" spans="1:5" x14ac:dyDescent="0.35">
      <c r="A2643" s="1" t="s">
        <v>147</v>
      </c>
      <c r="B2643" s="1"/>
      <c r="C2643" s="1"/>
      <c r="D2643" s="1" t="s">
        <v>148</v>
      </c>
      <c r="E2643" t="s">
        <v>136</v>
      </c>
    </row>
    <row r="2644" spans="1:5" x14ac:dyDescent="0.35">
      <c r="A2644" s="1" t="s">
        <v>147</v>
      </c>
      <c r="B2644" s="1"/>
      <c r="C2644" s="1"/>
      <c r="D2644" s="1" t="s">
        <v>149</v>
      </c>
      <c r="E2644" t="s">
        <v>136</v>
      </c>
    </row>
    <row r="2645" spans="1:5" x14ac:dyDescent="0.35">
      <c r="A2645" s="1" t="s">
        <v>147</v>
      </c>
      <c r="B2645" s="1"/>
      <c r="C2645" s="1" t="s">
        <v>150</v>
      </c>
      <c r="D2645" s="1" t="s">
        <v>146</v>
      </c>
      <c r="E2645" t="s">
        <v>136</v>
      </c>
    </row>
    <row r="2646" spans="1:5" x14ac:dyDescent="0.35">
      <c r="A2646" s="1" t="s">
        <v>147</v>
      </c>
      <c r="B2646" s="1"/>
      <c r="C2646" s="1"/>
      <c r="D2646" s="1" t="s">
        <v>148</v>
      </c>
      <c r="E2646" t="s">
        <v>136</v>
      </c>
    </row>
    <row r="2647" spans="1:5" x14ac:dyDescent="0.35">
      <c r="A2647" s="1" t="s">
        <v>147</v>
      </c>
      <c r="B2647" s="1"/>
      <c r="C2647" s="1"/>
      <c r="D2647" s="1" t="s">
        <v>149</v>
      </c>
      <c r="E2647" t="s">
        <v>136</v>
      </c>
    </row>
    <row r="2648" spans="1:5" x14ac:dyDescent="0.35">
      <c r="A2648" s="1" t="s">
        <v>75</v>
      </c>
      <c r="B2648" s="1" t="s">
        <v>144</v>
      </c>
      <c r="C2648" s="1" t="s">
        <v>145</v>
      </c>
      <c r="D2648" s="1" t="s">
        <v>146</v>
      </c>
      <c r="E2648">
        <v>103.98</v>
      </c>
    </row>
    <row r="2649" spans="1:5" x14ac:dyDescent="0.35">
      <c r="A2649" s="1" t="s">
        <v>147</v>
      </c>
      <c r="B2649" s="1"/>
      <c r="C2649" s="1"/>
      <c r="D2649" s="1" t="s">
        <v>148</v>
      </c>
      <c r="E2649">
        <v>103.28</v>
      </c>
    </row>
    <row r="2650" spans="1:5" x14ac:dyDescent="0.35">
      <c r="A2650" s="1" t="s">
        <v>147</v>
      </c>
      <c r="B2650" s="1"/>
      <c r="C2650" s="1"/>
      <c r="D2650" s="1" t="s">
        <v>149</v>
      </c>
      <c r="E2650">
        <v>0.7</v>
      </c>
    </row>
    <row r="2651" spans="1:5" x14ac:dyDescent="0.35">
      <c r="A2651" s="1" t="s">
        <v>147</v>
      </c>
      <c r="B2651" s="1"/>
      <c r="C2651" s="1" t="s">
        <v>150</v>
      </c>
      <c r="D2651" s="1" t="s">
        <v>146</v>
      </c>
      <c r="E2651" t="s">
        <v>136</v>
      </c>
    </row>
    <row r="2652" spans="1:5" x14ac:dyDescent="0.35">
      <c r="A2652" s="1" t="s">
        <v>147</v>
      </c>
      <c r="B2652" s="1"/>
      <c r="C2652" s="1"/>
      <c r="D2652" s="1" t="s">
        <v>148</v>
      </c>
      <c r="E2652" t="s">
        <v>136</v>
      </c>
    </row>
    <row r="2653" spans="1:5" x14ac:dyDescent="0.35">
      <c r="A2653" s="1" t="s">
        <v>147</v>
      </c>
      <c r="B2653" s="1"/>
      <c r="C2653" s="1"/>
      <c r="D2653" s="1" t="s">
        <v>149</v>
      </c>
      <c r="E2653" t="s">
        <v>136</v>
      </c>
    </row>
    <row r="2654" spans="1:5" x14ac:dyDescent="0.35">
      <c r="A2654" s="1" t="s">
        <v>147</v>
      </c>
      <c r="B2654" s="1" t="s">
        <v>151</v>
      </c>
      <c r="C2654" s="1" t="s">
        <v>145</v>
      </c>
      <c r="D2654" s="1" t="s">
        <v>146</v>
      </c>
      <c r="E2654">
        <v>28.8</v>
      </c>
    </row>
    <row r="2655" spans="1:5" x14ac:dyDescent="0.35">
      <c r="A2655" s="1" t="s">
        <v>147</v>
      </c>
      <c r="B2655" s="1"/>
      <c r="C2655" s="1"/>
      <c r="D2655" s="1" t="s">
        <v>148</v>
      </c>
      <c r="E2655">
        <v>28.28</v>
      </c>
    </row>
    <row r="2656" spans="1:5" x14ac:dyDescent="0.35">
      <c r="A2656" s="1" t="s">
        <v>147</v>
      </c>
      <c r="B2656" s="1"/>
      <c r="C2656" s="1"/>
      <c r="D2656" s="1" t="s">
        <v>149</v>
      </c>
      <c r="E2656">
        <v>0.52</v>
      </c>
    </row>
    <row r="2657" spans="1:5" x14ac:dyDescent="0.35">
      <c r="A2657" s="1" t="s">
        <v>147</v>
      </c>
      <c r="B2657" s="1"/>
      <c r="C2657" s="1" t="s">
        <v>150</v>
      </c>
      <c r="D2657" s="1" t="s">
        <v>146</v>
      </c>
      <c r="E2657" t="s">
        <v>136</v>
      </c>
    </row>
    <row r="2658" spans="1:5" x14ac:dyDescent="0.35">
      <c r="A2658" s="1" t="s">
        <v>147</v>
      </c>
      <c r="B2658" s="1"/>
      <c r="C2658" s="1"/>
      <c r="D2658" s="1" t="s">
        <v>148</v>
      </c>
      <c r="E2658" t="s">
        <v>136</v>
      </c>
    </row>
    <row r="2659" spans="1:5" x14ac:dyDescent="0.35">
      <c r="A2659" s="1" t="s">
        <v>147</v>
      </c>
      <c r="B2659" s="1"/>
      <c r="C2659" s="1"/>
      <c r="D2659" s="1" t="s">
        <v>149</v>
      </c>
      <c r="E2659" t="s">
        <v>136</v>
      </c>
    </row>
    <row r="2660" spans="1:5" x14ac:dyDescent="0.35">
      <c r="A2660" s="1" t="s">
        <v>147</v>
      </c>
      <c r="B2660" s="1" t="s">
        <v>152</v>
      </c>
      <c r="C2660" s="1" t="s">
        <v>145</v>
      </c>
      <c r="D2660" s="1" t="s">
        <v>146</v>
      </c>
      <c r="E2660" t="s">
        <v>136</v>
      </c>
    </row>
    <row r="2661" spans="1:5" x14ac:dyDescent="0.35">
      <c r="A2661" s="1" t="s">
        <v>147</v>
      </c>
      <c r="B2661" s="1"/>
      <c r="C2661" s="1"/>
      <c r="D2661" s="1" t="s">
        <v>148</v>
      </c>
      <c r="E2661" t="s">
        <v>136</v>
      </c>
    </row>
    <row r="2662" spans="1:5" x14ac:dyDescent="0.35">
      <c r="A2662" s="1" t="s">
        <v>147</v>
      </c>
      <c r="B2662" s="1"/>
      <c r="C2662" s="1"/>
      <c r="D2662" s="1" t="s">
        <v>149</v>
      </c>
      <c r="E2662" t="s">
        <v>136</v>
      </c>
    </row>
    <row r="2663" spans="1:5" x14ac:dyDescent="0.35">
      <c r="A2663" s="1" t="s">
        <v>147</v>
      </c>
      <c r="B2663" s="1"/>
      <c r="C2663" s="1" t="s">
        <v>150</v>
      </c>
      <c r="D2663" s="1" t="s">
        <v>146</v>
      </c>
      <c r="E2663" t="s">
        <v>136</v>
      </c>
    </row>
    <row r="2664" spans="1:5" x14ac:dyDescent="0.35">
      <c r="A2664" s="1" t="s">
        <v>147</v>
      </c>
      <c r="B2664" s="1"/>
      <c r="C2664" s="1"/>
      <c r="D2664" s="1" t="s">
        <v>148</v>
      </c>
      <c r="E2664" t="s">
        <v>136</v>
      </c>
    </row>
    <row r="2665" spans="1:5" x14ac:dyDescent="0.35">
      <c r="A2665" s="1" t="s">
        <v>147</v>
      </c>
      <c r="B2665" s="1"/>
      <c r="C2665" s="1"/>
      <c r="D2665" s="1" t="s">
        <v>149</v>
      </c>
      <c r="E2665" t="s">
        <v>136</v>
      </c>
    </row>
    <row r="2666" spans="1:5" x14ac:dyDescent="0.35">
      <c r="A2666" s="1" t="s">
        <v>147</v>
      </c>
      <c r="B2666" s="1" t="s">
        <v>153</v>
      </c>
      <c r="C2666" s="1" t="s">
        <v>145</v>
      </c>
      <c r="D2666" s="1" t="s">
        <v>146</v>
      </c>
      <c r="E2666" t="s">
        <v>136</v>
      </c>
    </row>
    <row r="2667" spans="1:5" x14ac:dyDescent="0.35">
      <c r="A2667" s="1" t="s">
        <v>147</v>
      </c>
      <c r="B2667" s="1"/>
      <c r="C2667" s="1"/>
      <c r="D2667" s="1" t="s">
        <v>148</v>
      </c>
      <c r="E2667" t="s">
        <v>136</v>
      </c>
    </row>
    <row r="2668" spans="1:5" x14ac:dyDescent="0.35">
      <c r="A2668" s="1" t="s">
        <v>147</v>
      </c>
      <c r="B2668" s="1"/>
      <c r="C2668" s="1"/>
      <c r="D2668" s="1" t="s">
        <v>149</v>
      </c>
      <c r="E2668" t="s">
        <v>136</v>
      </c>
    </row>
    <row r="2669" spans="1:5" x14ac:dyDescent="0.35">
      <c r="A2669" s="1" t="s">
        <v>147</v>
      </c>
      <c r="B2669" s="1"/>
      <c r="C2669" s="1" t="s">
        <v>150</v>
      </c>
      <c r="D2669" s="1" t="s">
        <v>146</v>
      </c>
      <c r="E2669" t="s">
        <v>136</v>
      </c>
    </row>
    <row r="2670" spans="1:5" x14ac:dyDescent="0.35">
      <c r="A2670" s="1" t="s">
        <v>147</v>
      </c>
      <c r="B2670" s="1"/>
      <c r="C2670" s="1"/>
      <c r="D2670" s="1" t="s">
        <v>148</v>
      </c>
      <c r="E2670" t="s">
        <v>136</v>
      </c>
    </row>
    <row r="2671" spans="1:5" x14ac:dyDescent="0.35">
      <c r="A2671" s="1" t="s">
        <v>147</v>
      </c>
      <c r="B2671" s="1"/>
      <c r="C2671" s="1"/>
      <c r="D2671" s="1" t="s">
        <v>149</v>
      </c>
      <c r="E2671" t="s">
        <v>136</v>
      </c>
    </row>
    <row r="2672" spans="1:5" x14ac:dyDescent="0.35">
      <c r="A2672" s="1" t="s">
        <v>147</v>
      </c>
      <c r="B2672" s="1" t="s">
        <v>154</v>
      </c>
      <c r="C2672" s="1" t="s">
        <v>145</v>
      </c>
      <c r="D2672" s="1" t="s">
        <v>146</v>
      </c>
      <c r="E2672" t="s">
        <v>136</v>
      </c>
    </row>
    <row r="2673" spans="1:5" x14ac:dyDescent="0.35">
      <c r="A2673" s="1" t="s">
        <v>147</v>
      </c>
      <c r="B2673" s="1"/>
      <c r="C2673" s="1"/>
      <c r="D2673" s="1" t="s">
        <v>148</v>
      </c>
      <c r="E2673" t="s">
        <v>136</v>
      </c>
    </row>
    <row r="2674" spans="1:5" x14ac:dyDescent="0.35">
      <c r="A2674" s="1" t="s">
        <v>147</v>
      </c>
      <c r="B2674" s="1"/>
      <c r="C2674" s="1"/>
      <c r="D2674" s="1" t="s">
        <v>149</v>
      </c>
      <c r="E2674" t="s">
        <v>136</v>
      </c>
    </row>
    <row r="2675" spans="1:5" x14ac:dyDescent="0.35">
      <c r="A2675" s="1" t="s">
        <v>147</v>
      </c>
      <c r="B2675" s="1"/>
      <c r="C2675" s="1" t="s">
        <v>150</v>
      </c>
      <c r="D2675" s="1" t="s">
        <v>146</v>
      </c>
      <c r="E2675" t="s">
        <v>136</v>
      </c>
    </row>
    <row r="2676" spans="1:5" x14ac:dyDescent="0.35">
      <c r="A2676" s="1" t="s">
        <v>147</v>
      </c>
      <c r="B2676" s="1"/>
      <c r="C2676" s="1"/>
      <c r="D2676" s="1" t="s">
        <v>148</v>
      </c>
      <c r="E2676" t="s">
        <v>136</v>
      </c>
    </row>
    <row r="2677" spans="1:5" x14ac:dyDescent="0.35">
      <c r="A2677" s="1" t="s">
        <v>147</v>
      </c>
      <c r="B2677" s="1"/>
      <c r="C2677" s="1"/>
      <c r="D2677" s="1" t="s">
        <v>149</v>
      </c>
      <c r="E2677" t="s">
        <v>136</v>
      </c>
    </row>
    <row r="2678" spans="1:5" x14ac:dyDescent="0.35">
      <c r="A2678" s="1" t="s">
        <v>147</v>
      </c>
      <c r="B2678" s="1" t="s">
        <v>155</v>
      </c>
      <c r="C2678" s="1" t="s">
        <v>145</v>
      </c>
      <c r="D2678" s="1" t="s">
        <v>146</v>
      </c>
      <c r="E2678">
        <v>75.180000000000007</v>
      </c>
    </row>
    <row r="2679" spans="1:5" x14ac:dyDescent="0.35">
      <c r="A2679" s="1" t="s">
        <v>147</v>
      </c>
      <c r="B2679" s="1"/>
      <c r="C2679" s="1"/>
      <c r="D2679" s="1" t="s">
        <v>148</v>
      </c>
      <c r="E2679">
        <v>75</v>
      </c>
    </row>
    <row r="2680" spans="1:5" x14ac:dyDescent="0.35">
      <c r="A2680" s="1" t="s">
        <v>147</v>
      </c>
      <c r="B2680" s="1"/>
      <c r="C2680" s="1"/>
      <c r="D2680" s="1" t="s">
        <v>149</v>
      </c>
      <c r="E2680">
        <v>0.18</v>
      </c>
    </row>
    <row r="2681" spans="1:5" x14ac:dyDescent="0.35">
      <c r="A2681" s="1" t="s">
        <v>147</v>
      </c>
      <c r="B2681" s="1"/>
      <c r="C2681" s="1" t="s">
        <v>150</v>
      </c>
      <c r="D2681" s="1" t="s">
        <v>146</v>
      </c>
      <c r="E2681" t="s">
        <v>136</v>
      </c>
    </row>
    <row r="2682" spans="1:5" x14ac:dyDescent="0.35">
      <c r="A2682" s="1" t="s">
        <v>147</v>
      </c>
      <c r="B2682" s="1"/>
      <c r="C2682" s="1"/>
      <c r="D2682" s="1" t="s">
        <v>148</v>
      </c>
      <c r="E2682" t="s">
        <v>136</v>
      </c>
    </row>
    <row r="2683" spans="1:5" x14ac:dyDescent="0.35">
      <c r="A2683" s="1" t="s">
        <v>147</v>
      </c>
      <c r="B2683" s="1"/>
      <c r="C2683" s="1"/>
      <c r="D2683" s="1" t="s">
        <v>149</v>
      </c>
      <c r="E2683" t="s">
        <v>136</v>
      </c>
    </row>
    <row r="2684" spans="1:5" x14ac:dyDescent="0.35">
      <c r="A2684" s="1" t="s">
        <v>147</v>
      </c>
      <c r="B2684" s="1" t="s">
        <v>156</v>
      </c>
      <c r="C2684" s="1" t="s">
        <v>145</v>
      </c>
      <c r="D2684" s="1" t="s">
        <v>146</v>
      </c>
      <c r="E2684" t="s">
        <v>136</v>
      </c>
    </row>
    <row r="2685" spans="1:5" x14ac:dyDescent="0.35">
      <c r="A2685" s="1" t="s">
        <v>147</v>
      </c>
      <c r="B2685" s="1"/>
      <c r="C2685" s="1"/>
      <c r="D2685" s="1" t="s">
        <v>148</v>
      </c>
      <c r="E2685" t="s">
        <v>136</v>
      </c>
    </row>
    <row r="2686" spans="1:5" x14ac:dyDescent="0.35">
      <c r="A2686" s="1" t="s">
        <v>147</v>
      </c>
      <c r="B2686" s="1"/>
      <c r="C2686" s="1"/>
      <c r="D2686" s="1" t="s">
        <v>149</v>
      </c>
      <c r="E2686" t="s">
        <v>136</v>
      </c>
    </row>
    <row r="2687" spans="1:5" x14ac:dyDescent="0.35">
      <c r="A2687" s="1" t="s">
        <v>147</v>
      </c>
      <c r="B2687" s="1"/>
      <c r="C2687" s="1" t="s">
        <v>150</v>
      </c>
      <c r="D2687" s="1" t="s">
        <v>146</v>
      </c>
      <c r="E2687" t="s">
        <v>136</v>
      </c>
    </row>
    <row r="2688" spans="1:5" x14ac:dyDescent="0.35">
      <c r="A2688" s="1" t="s">
        <v>147</v>
      </c>
      <c r="B2688" s="1"/>
      <c r="C2688" s="1"/>
      <c r="D2688" s="1" t="s">
        <v>148</v>
      </c>
      <c r="E2688" t="s">
        <v>136</v>
      </c>
    </row>
    <row r="2689" spans="1:5" x14ac:dyDescent="0.35">
      <c r="A2689" s="1" t="s">
        <v>147</v>
      </c>
      <c r="B2689" s="1"/>
      <c r="C2689" s="1"/>
      <c r="D2689" s="1" t="s">
        <v>149</v>
      </c>
      <c r="E2689" t="s">
        <v>136</v>
      </c>
    </row>
    <row r="2690" spans="1:5" x14ac:dyDescent="0.35">
      <c r="A2690" s="1" t="s">
        <v>147</v>
      </c>
      <c r="B2690" s="1" t="s">
        <v>157</v>
      </c>
      <c r="C2690" s="1" t="s">
        <v>145</v>
      </c>
      <c r="D2690" s="1" t="s">
        <v>146</v>
      </c>
      <c r="E2690" t="s">
        <v>136</v>
      </c>
    </row>
    <row r="2691" spans="1:5" x14ac:dyDescent="0.35">
      <c r="A2691" s="1" t="s">
        <v>147</v>
      </c>
      <c r="B2691" s="1"/>
      <c r="C2691" s="1"/>
      <c r="D2691" s="1" t="s">
        <v>148</v>
      </c>
      <c r="E2691" t="s">
        <v>136</v>
      </c>
    </row>
    <row r="2692" spans="1:5" x14ac:dyDescent="0.35">
      <c r="A2692" s="1" t="s">
        <v>147</v>
      </c>
      <c r="B2692" s="1"/>
      <c r="C2692" s="1"/>
      <c r="D2692" s="1" t="s">
        <v>149</v>
      </c>
      <c r="E2692" t="s">
        <v>136</v>
      </c>
    </row>
    <row r="2693" spans="1:5" x14ac:dyDescent="0.35">
      <c r="A2693" s="1" t="s">
        <v>147</v>
      </c>
      <c r="B2693" s="1"/>
      <c r="C2693" s="1" t="s">
        <v>150</v>
      </c>
      <c r="D2693" s="1" t="s">
        <v>146</v>
      </c>
      <c r="E2693" t="s">
        <v>136</v>
      </c>
    </row>
    <row r="2694" spans="1:5" x14ac:dyDescent="0.35">
      <c r="A2694" s="1" t="s">
        <v>147</v>
      </c>
      <c r="B2694" s="1"/>
      <c r="C2694" s="1"/>
      <c r="D2694" s="1" t="s">
        <v>148</v>
      </c>
      <c r="E2694" t="s">
        <v>136</v>
      </c>
    </row>
    <row r="2695" spans="1:5" x14ac:dyDescent="0.35">
      <c r="A2695" s="1" t="s">
        <v>147</v>
      </c>
      <c r="B2695" s="1"/>
      <c r="C2695" s="1"/>
      <c r="D2695" s="1" t="s">
        <v>149</v>
      </c>
      <c r="E2695" t="s">
        <v>136</v>
      </c>
    </row>
    <row r="2696" spans="1:5" x14ac:dyDescent="0.35">
      <c r="A2696" s="1" t="s">
        <v>147</v>
      </c>
      <c r="B2696" s="1" t="s">
        <v>158</v>
      </c>
      <c r="C2696" s="1" t="s">
        <v>145</v>
      </c>
      <c r="D2696" s="1" t="s">
        <v>146</v>
      </c>
      <c r="E2696" t="s">
        <v>136</v>
      </c>
    </row>
    <row r="2697" spans="1:5" x14ac:dyDescent="0.35">
      <c r="A2697" s="1" t="s">
        <v>147</v>
      </c>
      <c r="B2697" s="1"/>
      <c r="C2697" s="1"/>
      <c r="D2697" s="1" t="s">
        <v>148</v>
      </c>
      <c r="E2697" t="s">
        <v>136</v>
      </c>
    </row>
    <row r="2698" spans="1:5" x14ac:dyDescent="0.35">
      <c r="A2698" s="1" t="s">
        <v>147</v>
      </c>
      <c r="B2698" s="1"/>
      <c r="C2698" s="1"/>
      <c r="D2698" s="1" t="s">
        <v>149</v>
      </c>
      <c r="E2698" t="s">
        <v>136</v>
      </c>
    </row>
    <row r="2699" spans="1:5" x14ac:dyDescent="0.35">
      <c r="A2699" s="1" t="s">
        <v>147</v>
      </c>
      <c r="B2699" s="1"/>
      <c r="C2699" s="1" t="s">
        <v>150</v>
      </c>
      <c r="D2699" s="1" t="s">
        <v>146</v>
      </c>
      <c r="E2699" t="s">
        <v>136</v>
      </c>
    </row>
    <row r="2700" spans="1:5" x14ac:dyDescent="0.35">
      <c r="A2700" s="1" t="s">
        <v>147</v>
      </c>
      <c r="B2700" s="1"/>
      <c r="C2700" s="1"/>
      <c r="D2700" s="1" t="s">
        <v>148</v>
      </c>
      <c r="E2700" t="s">
        <v>136</v>
      </c>
    </row>
    <row r="2701" spans="1:5" x14ac:dyDescent="0.35">
      <c r="A2701" s="1" t="s">
        <v>147</v>
      </c>
      <c r="B2701" s="1"/>
      <c r="C2701" s="1"/>
      <c r="D2701" s="1" t="s">
        <v>149</v>
      </c>
      <c r="E2701" t="s">
        <v>136</v>
      </c>
    </row>
    <row r="2702" spans="1:5" x14ac:dyDescent="0.35">
      <c r="A2702" s="1" t="s">
        <v>147</v>
      </c>
      <c r="B2702" s="1" t="s">
        <v>159</v>
      </c>
      <c r="C2702" s="1" t="s">
        <v>145</v>
      </c>
      <c r="D2702" s="1" t="s">
        <v>146</v>
      </c>
      <c r="E2702" t="s">
        <v>136</v>
      </c>
    </row>
    <row r="2703" spans="1:5" x14ac:dyDescent="0.35">
      <c r="A2703" s="1" t="s">
        <v>147</v>
      </c>
      <c r="B2703" s="1"/>
      <c r="C2703" s="1"/>
      <c r="D2703" s="1" t="s">
        <v>148</v>
      </c>
      <c r="E2703" t="s">
        <v>136</v>
      </c>
    </row>
    <row r="2704" spans="1:5" x14ac:dyDescent="0.35">
      <c r="A2704" s="1" t="s">
        <v>147</v>
      </c>
      <c r="B2704" s="1"/>
      <c r="C2704" s="1"/>
      <c r="D2704" s="1" t="s">
        <v>149</v>
      </c>
      <c r="E2704" t="s">
        <v>136</v>
      </c>
    </row>
    <row r="2705" spans="1:5" x14ac:dyDescent="0.35">
      <c r="A2705" s="1" t="s">
        <v>147</v>
      </c>
      <c r="B2705" s="1"/>
      <c r="C2705" s="1" t="s">
        <v>150</v>
      </c>
      <c r="D2705" s="1" t="s">
        <v>146</v>
      </c>
      <c r="E2705" t="s">
        <v>136</v>
      </c>
    </row>
    <row r="2706" spans="1:5" x14ac:dyDescent="0.35">
      <c r="A2706" s="1" t="s">
        <v>147</v>
      </c>
      <c r="B2706" s="1"/>
      <c r="C2706" s="1"/>
      <c r="D2706" s="1" t="s">
        <v>148</v>
      </c>
      <c r="E2706" t="s">
        <v>136</v>
      </c>
    </row>
    <row r="2707" spans="1:5" x14ac:dyDescent="0.35">
      <c r="A2707" s="1" t="s">
        <v>147</v>
      </c>
      <c r="B2707" s="1"/>
      <c r="C2707" s="1"/>
      <c r="D2707" s="1" t="s">
        <v>149</v>
      </c>
      <c r="E2707" t="s">
        <v>136</v>
      </c>
    </row>
    <row r="2708" spans="1:5" x14ac:dyDescent="0.35">
      <c r="A2708" s="1" t="s">
        <v>147</v>
      </c>
      <c r="B2708" s="1" t="s">
        <v>160</v>
      </c>
      <c r="C2708" s="1" t="s">
        <v>145</v>
      </c>
      <c r="D2708" s="1" t="s">
        <v>146</v>
      </c>
      <c r="E2708" t="s">
        <v>136</v>
      </c>
    </row>
    <row r="2709" spans="1:5" x14ac:dyDescent="0.35">
      <c r="A2709" s="1" t="s">
        <v>147</v>
      </c>
      <c r="B2709" s="1"/>
      <c r="C2709" s="1"/>
      <c r="D2709" s="1" t="s">
        <v>148</v>
      </c>
      <c r="E2709" t="s">
        <v>136</v>
      </c>
    </row>
    <row r="2710" spans="1:5" x14ac:dyDescent="0.35">
      <c r="A2710" s="1" t="s">
        <v>147</v>
      </c>
      <c r="B2710" s="1"/>
      <c r="C2710" s="1"/>
      <c r="D2710" s="1" t="s">
        <v>149</v>
      </c>
      <c r="E2710" t="s">
        <v>136</v>
      </c>
    </row>
    <row r="2711" spans="1:5" x14ac:dyDescent="0.35">
      <c r="A2711" s="1" t="s">
        <v>147</v>
      </c>
      <c r="B2711" s="1"/>
      <c r="C2711" s="1" t="s">
        <v>150</v>
      </c>
      <c r="D2711" s="1" t="s">
        <v>146</v>
      </c>
      <c r="E2711" t="s">
        <v>136</v>
      </c>
    </row>
    <row r="2712" spans="1:5" x14ac:dyDescent="0.35">
      <c r="A2712" s="1" t="s">
        <v>147</v>
      </c>
      <c r="B2712" s="1"/>
      <c r="C2712" s="1"/>
      <c r="D2712" s="1" t="s">
        <v>148</v>
      </c>
      <c r="E2712" t="s">
        <v>136</v>
      </c>
    </row>
    <row r="2713" spans="1:5" x14ac:dyDescent="0.35">
      <c r="A2713" s="1" t="s">
        <v>147</v>
      </c>
      <c r="B2713" s="1"/>
      <c r="C2713" s="1"/>
      <c r="D2713" s="1" t="s">
        <v>149</v>
      </c>
      <c r="E2713" t="s">
        <v>136</v>
      </c>
    </row>
    <row r="2714" spans="1:5" x14ac:dyDescent="0.35">
      <c r="A2714" s="1" t="s">
        <v>147</v>
      </c>
      <c r="B2714" s="1" t="s">
        <v>161</v>
      </c>
      <c r="C2714" s="1" t="s">
        <v>145</v>
      </c>
      <c r="D2714" s="1" t="s">
        <v>146</v>
      </c>
      <c r="E2714" t="s">
        <v>136</v>
      </c>
    </row>
    <row r="2715" spans="1:5" x14ac:dyDescent="0.35">
      <c r="A2715" s="1" t="s">
        <v>147</v>
      </c>
      <c r="B2715" s="1"/>
      <c r="C2715" s="1"/>
      <c r="D2715" s="1" t="s">
        <v>148</v>
      </c>
      <c r="E2715" t="s">
        <v>136</v>
      </c>
    </row>
    <row r="2716" spans="1:5" x14ac:dyDescent="0.35">
      <c r="A2716" s="1" t="s">
        <v>147</v>
      </c>
      <c r="B2716" s="1"/>
      <c r="C2716" s="1"/>
      <c r="D2716" s="1" t="s">
        <v>149</v>
      </c>
      <c r="E2716" t="s">
        <v>136</v>
      </c>
    </row>
    <row r="2717" spans="1:5" x14ac:dyDescent="0.35">
      <c r="A2717" s="1" t="s">
        <v>147</v>
      </c>
      <c r="B2717" s="1"/>
      <c r="C2717" s="1" t="s">
        <v>150</v>
      </c>
      <c r="D2717" s="1" t="s">
        <v>146</v>
      </c>
      <c r="E2717" t="s">
        <v>136</v>
      </c>
    </row>
    <row r="2718" spans="1:5" x14ac:dyDescent="0.35">
      <c r="A2718" s="1" t="s">
        <v>147</v>
      </c>
      <c r="B2718" s="1"/>
      <c r="C2718" s="1"/>
      <c r="D2718" s="1" t="s">
        <v>148</v>
      </c>
      <c r="E2718" t="s">
        <v>136</v>
      </c>
    </row>
    <row r="2719" spans="1:5" x14ac:dyDescent="0.35">
      <c r="A2719" s="1" t="s">
        <v>147</v>
      </c>
      <c r="B2719" s="1"/>
      <c r="C2719" s="1"/>
      <c r="D2719" s="1" t="s">
        <v>149</v>
      </c>
      <c r="E2719" t="s">
        <v>136</v>
      </c>
    </row>
    <row r="2720" spans="1:5" x14ac:dyDescent="0.35">
      <c r="A2720" s="1" t="s">
        <v>147</v>
      </c>
      <c r="B2720" s="1" t="s">
        <v>162</v>
      </c>
      <c r="C2720" s="1" t="s">
        <v>145</v>
      </c>
      <c r="D2720" s="1" t="s">
        <v>146</v>
      </c>
      <c r="E2720" t="s">
        <v>136</v>
      </c>
    </row>
    <row r="2721" spans="1:5" x14ac:dyDescent="0.35">
      <c r="A2721" s="1" t="s">
        <v>147</v>
      </c>
      <c r="B2721" s="1"/>
      <c r="C2721" s="1"/>
      <c r="D2721" s="1" t="s">
        <v>148</v>
      </c>
      <c r="E2721" t="s">
        <v>136</v>
      </c>
    </row>
    <row r="2722" spans="1:5" x14ac:dyDescent="0.35">
      <c r="A2722" s="1" t="s">
        <v>147</v>
      </c>
      <c r="B2722" s="1"/>
      <c r="C2722" s="1"/>
      <c r="D2722" s="1" t="s">
        <v>149</v>
      </c>
      <c r="E2722" t="s">
        <v>136</v>
      </c>
    </row>
    <row r="2723" spans="1:5" x14ac:dyDescent="0.35">
      <c r="A2723" s="1" t="s">
        <v>147</v>
      </c>
      <c r="B2723" s="1"/>
      <c r="C2723" s="1" t="s">
        <v>150</v>
      </c>
      <c r="D2723" s="1" t="s">
        <v>146</v>
      </c>
      <c r="E2723" t="s">
        <v>136</v>
      </c>
    </row>
    <row r="2724" spans="1:5" x14ac:dyDescent="0.35">
      <c r="A2724" s="1" t="s">
        <v>147</v>
      </c>
      <c r="B2724" s="1"/>
      <c r="C2724" s="1"/>
      <c r="D2724" s="1" t="s">
        <v>148</v>
      </c>
      <c r="E2724" t="s">
        <v>136</v>
      </c>
    </row>
    <row r="2725" spans="1:5" x14ac:dyDescent="0.35">
      <c r="A2725" s="1" t="s">
        <v>147</v>
      </c>
      <c r="B2725" s="1"/>
      <c r="C2725" s="1"/>
      <c r="D2725" s="1" t="s">
        <v>149</v>
      </c>
      <c r="E2725" t="s">
        <v>136</v>
      </c>
    </row>
    <row r="2726" spans="1:5" x14ac:dyDescent="0.35">
      <c r="A2726" s="1" t="s">
        <v>147</v>
      </c>
      <c r="B2726" s="1" t="s">
        <v>163</v>
      </c>
      <c r="C2726" s="1" t="s">
        <v>145</v>
      </c>
      <c r="D2726" s="1" t="s">
        <v>146</v>
      </c>
      <c r="E2726">
        <v>1.22</v>
      </c>
    </row>
    <row r="2727" spans="1:5" x14ac:dyDescent="0.35">
      <c r="A2727" s="1" t="s">
        <v>147</v>
      </c>
      <c r="B2727" s="1"/>
      <c r="C2727" s="1"/>
      <c r="D2727" s="1" t="s">
        <v>148</v>
      </c>
      <c r="E2727" t="s">
        <v>136</v>
      </c>
    </row>
    <row r="2728" spans="1:5" x14ac:dyDescent="0.35">
      <c r="A2728" s="1" t="s">
        <v>147</v>
      </c>
      <c r="B2728" s="1"/>
      <c r="C2728" s="1"/>
      <c r="D2728" s="1" t="s">
        <v>149</v>
      </c>
      <c r="E2728">
        <v>1.22</v>
      </c>
    </row>
    <row r="2729" spans="1:5" x14ac:dyDescent="0.35">
      <c r="A2729" s="1" t="s">
        <v>147</v>
      </c>
      <c r="B2729" s="1"/>
      <c r="C2729" s="1" t="s">
        <v>150</v>
      </c>
      <c r="D2729" s="1" t="s">
        <v>146</v>
      </c>
      <c r="E2729" t="s">
        <v>136</v>
      </c>
    </row>
    <row r="2730" spans="1:5" x14ac:dyDescent="0.35">
      <c r="A2730" s="1" t="s">
        <v>147</v>
      </c>
      <c r="B2730" s="1"/>
      <c r="C2730" s="1"/>
      <c r="D2730" s="1" t="s">
        <v>148</v>
      </c>
      <c r="E2730" t="s">
        <v>136</v>
      </c>
    </row>
    <row r="2731" spans="1:5" x14ac:dyDescent="0.35">
      <c r="A2731" s="1" t="s">
        <v>147</v>
      </c>
      <c r="B2731" s="1"/>
      <c r="C2731" s="1"/>
      <c r="D2731" s="1" t="s">
        <v>149</v>
      </c>
      <c r="E2731" t="s">
        <v>136</v>
      </c>
    </row>
    <row r="2732" spans="1:5" x14ac:dyDescent="0.35">
      <c r="A2732" s="1" t="s">
        <v>147</v>
      </c>
      <c r="B2732" s="1" t="s">
        <v>164</v>
      </c>
      <c r="C2732" s="1" t="s">
        <v>145</v>
      </c>
      <c r="D2732" s="1" t="s">
        <v>146</v>
      </c>
      <c r="E2732" t="s">
        <v>136</v>
      </c>
    </row>
    <row r="2733" spans="1:5" x14ac:dyDescent="0.35">
      <c r="A2733" s="1" t="s">
        <v>147</v>
      </c>
      <c r="B2733" s="1"/>
      <c r="C2733" s="1"/>
      <c r="D2733" s="1" t="s">
        <v>148</v>
      </c>
      <c r="E2733" t="s">
        <v>136</v>
      </c>
    </row>
    <row r="2734" spans="1:5" x14ac:dyDescent="0.35">
      <c r="A2734" s="1" t="s">
        <v>147</v>
      </c>
      <c r="B2734" s="1"/>
      <c r="C2734" s="1"/>
      <c r="D2734" s="1" t="s">
        <v>149</v>
      </c>
      <c r="E2734" t="s">
        <v>136</v>
      </c>
    </row>
    <row r="2735" spans="1:5" x14ac:dyDescent="0.35">
      <c r="A2735" s="1" t="s">
        <v>147</v>
      </c>
      <c r="B2735" s="1"/>
      <c r="C2735" s="1" t="s">
        <v>150</v>
      </c>
      <c r="D2735" s="1" t="s">
        <v>146</v>
      </c>
      <c r="E2735" t="s">
        <v>136</v>
      </c>
    </row>
    <row r="2736" spans="1:5" x14ac:dyDescent="0.35">
      <c r="A2736" s="1" t="s">
        <v>147</v>
      </c>
      <c r="B2736" s="1"/>
      <c r="C2736" s="1"/>
      <c r="D2736" s="1" t="s">
        <v>148</v>
      </c>
      <c r="E2736" t="s">
        <v>136</v>
      </c>
    </row>
    <row r="2737" spans="1:5" x14ac:dyDescent="0.35">
      <c r="A2737" s="1" t="s">
        <v>147</v>
      </c>
      <c r="B2737" s="1"/>
      <c r="C2737" s="1"/>
      <c r="D2737" s="1" t="s">
        <v>149</v>
      </c>
      <c r="E2737" t="s">
        <v>136</v>
      </c>
    </row>
    <row r="2738" spans="1:5" x14ac:dyDescent="0.35">
      <c r="A2738" s="1" t="s">
        <v>147</v>
      </c>
      <c r="B2738" s="1" t="s">
        <v>165</v>
      </c>
      <c r="C2738" s="1" t="s">
        <v>145</v>
      </c>
      <c r="D2738" s="1" t="s">
        <v>146</v>
      </c>
      <c r="E2738" t="s">
        <v>136</v>
      </c>
    </row>
    <row r="2739" spans="1:5" x14ac:dyDescent="0.35">
      <c r="A2739" s="1" t="s">
        <v>147</v>
      </c>
      <c r="B2739" s="1"/>
      <c r="C2739" s="1"/>
      <c r="D2739" s="1" t="s">
        <v>148</v>
      </c>
      <c r="E2739" t="s">
        <v>136</v>
      </c>
    </row>
    <row r="2740" spans="1:5" x14ac:dyDescent="0.35">
      <c r="A2740" s="1" t="s">
        <v>147</v>
      </c>
      <c r="B2740" s="1"/>
      <c r="C2740" s="1"/>
      <c r="D2740" s="1" t="s">
        <v>149</v>
      </c>
      <c r="E2740" t="s">
        <v>136</v>
      </c>
    </row>
    <row r="2741" spans="1:5" x14ac:dyDescent="0.35">
      <c r="A2741" s="1" t="s">
        <v>147</v>
      </c>
      <c r="B2741" s="1"/>
      <c r="C2741" s="1" t="s">
        <v>150</v>
      </c>
      <c r="D2741" s="1" t="s">
        <v>146</v>
      </c>
      <c r="E2741" t="s">
        <v>136</v>
      </c>
    </row>
    <row r="2742" spans="1:5" x14ac:dyDescent="0.35">
      <c r="A2742" s="1" t="s">
        <v>147</v>
      </c>
      <c r="B2742" s="1"/>
      <c r="C2742" s="1"/>
      <c r="D2742" s="1" t="s">
        <v>148</v>
      </c>
      <c r="E2742" t="s">
        <v>136</v>
      </c>
    </row>
    <row r="2743" spans="1:5" x14ac:dyDescent="0.35">
      <c r="A2743" s="1" t="s">
        <v>147</v>
      </c>
      <c r="B2743" s="1"/>
      <c r="C2743" s="1"/>
      <c r="D2743" s="1" t="s">
        <v>149</v>
      </c>
      <c r="E2743" t="s">
        <v>136</v>
      </c>
    </row>
    <row r="2744" spans="1:5" x14ac:dyDescent="0.35">
      <c r="A2744" s="1" t="s">
        <v>147</v>
      </c>
      <c r="B2744" s="1" t="s">
        <v>166</v>
      </c>
      <c r="C2744" s="1" t="s">
        <v>145</v>
      </c>
      <c r="D2744" s="1" t="s">
        <v>146</v>
      </c>
      <c r="E2744">
        <v>0.61</v>
      </c>
    </row>
    <row r="2745" spans="1:5" x14ac:dyDescent="0.35">
      <c r="A2745" s="1" t="s">
        <v>147</v>
      </c>
      <c r="B2745" s="1"/>
      <c r="C2745" s="1"/>
      <c r="D2745" s="1" t="s">
        <v>148</v>
      </c>
      <c r="E2745" t="s">
        <v>136</v>
      </c>
    </row>
    <row r="2746" spans="1:5" x14ac:dyDescent="0.35">
      <c r="A2746" s="1" t="s">
        <v>147</v>
      </c>
      <c r="B2746" s="1"/>
      <c r="C2746" s="1"/>
      <c r="D2746" s="1" t="s">
        <v>149</v>
      </c>
      <c r="E2746">
        <v>0.61</v>
      </c>
    </row>
    <row r="2747" spans="1:5" x14ac:dyDescent="0.35">
      <c r="A2747" s="1" t="s">
        <v>147</v>
      </c>
      <c r="B2747" s="1"/>
      <c r="C2747" s="1" t="s">
        <v>150</v>
      </c>
      <c r="D2747" s="1" t="s">
        <v>146</v>
      </c>
      <c r="E2747" t="s">
        <v>136</v>
      </c>
    </row>
    <row r="2748" spans="1:5" x14ac:dyDescent="0.35">
      <c r="A2748" s="1" t="s">
        <v>147</v>
      </c>
      <c r="B2748" s="1"/>
      <c r="C2748" s="1"/>
      <c r="D2748" s="1" t="s">
        <v>148</v>
      </c>
      <c r="E2748" t="s">
        <v>136</v>
      </c>
    </row>
    <row r="2749" spans="1:5" x14ac:dyDescent="0.35">
      <c r="A2749" s="1" t="s">
        <v>147</v>
      </c>
      <c r="B2749" s="1"/>
      <c r="C2749" s="1"/>
      <c r="D2749" s="1" t="s">
        <v>149</v>
      </c>
      <c r="E2749" t="s">
        <v>136</v>
      </c>
    </row>
    <row r="2750" spans="1:5" x14ac:dyDescent="0.35">
      <c r="A2750" s="1" t="s">
        <v>147</v>
      </c>
      <c r="B2750" s="1" t="s">
        <v>167</v>
      </c>
      <c r="C2750" s="1" t="s">
        <v>145</v>
      </c>
      <c r="D2750" s="1" t="s">
        <v>146</v>
      </c>
      <c r="E2750">
        <v>0.61</v>
      </c>
    </row>
    <row r="2751" spans="1:5" x14ac:dyDescent="0.35">
      <c r="A2751" s="1" t="s">
        <v>147</v>
      </c>
      <c r="B2751" s="1"/>
      <c r="C2751" s="1"/>
      <c r="D2751" s="1" t="s">
        <v>148</v>
      </c>
      <c r="E2751" t="s">
        <v>136</v>
      </c>
    </row>
    <row r="2752" spans="1:5" x14ac:dyDescent="0.35">
      <c r="A2752" s="1" t="s">
        <v>147</v>
      </c>
      <c r="B2752" s="1"/>
      <c r="C2752" s="1"/>
      <c r="D2752" s="1" t="s">
        <v>149</v>
      </c>
      <c r="E2752">
        <v>0.61</v>
      </c>
    </row>
    <row r="2753" spans="1:5" x14ac:dyDescent="0.35">
      <c r="A2753" s="1" t="s">
        <v>147</v>
      </c>
      <c r="B2753" s="1"/>
      <c r="C2753" s="1" t="s">
        <v>150</v>
      </c>
      <c r="D2753" s="1" t="s">
        <v>146</v>
      </c>
      <c r="E2753" t="s">
        <v>136</v>
      </c>
    </row>
    <row r="2754" spans="1:5" x14ac:dyDescent="0.35">
      <c r="A2754" s="1" t="s">
        <v>147</v>
      </c>
      <c r="B2754" s="1"/>
      <c r="C2754" s="1"/>
      <c r="D2754" s="1" t="s">
        <v>148</v>
      </c>
      <c r="E2754" t="s">
        <v>136</v>
      </c>
    </row>
    <row r="2755" spans="1:5" x14ac:dyDescent="0.35">
      <c r="A2755" s="1" t="s">
        <v>147</v>
      </c>
      <c r="B2755" s="1"/>
      <c r="C2755" s="1"/>
      <c r="D2755" s="1" t="s">
        <v>149</v>
      </c>
      <c r="E2755" t="s">
        <v>136</v>
      </c>
    </row>
    <row r="2756" spans="1:5" x14ac:dyDescent="0.35">
      <c r="A2756" s="1" t="s">
        <v>147</v>
      </c>
      <c r="B2756" s="1" t="s">
        <v>168</v>
      </c>
      <c r="C2756" s="1" t="s">
        <v>145</v>
      </c>
      <c r="D2756" s="1" t="s">
        <v>146</v>
      </c>
      <c r="E2756" t="s">
        <v>136</v>
      </c>
    </row>
    <row r="2757" spans="1:5" x14ac:dyDescent="0.35">
      <c r="A2757" s="1" t="s">
        <v>147</v>
      </c>
      <c r="B2757" s="1"/>
      <c r="C2757" s="1"/>
      <c r="D2757" s="1" t="s">
        <v>148</v>
      </c>
      <c r="E2757" t="s">
        <v>136</v>
      </c>
    </row>
    <row r="2758" spans="1:5" x14ac:dyDescent="0.35">
      <c r="A2758" s="1" t="s">
        <v>147</v>
      </c>
      <c r="B2758" s="1"/>
      <c r="C2758" s="1"/>
      <c r="D2758" s="1" t="s">
        <v>149</v>
      </c>
      <c r="E2758" t="s">
        <v>136</v>
      </c>
    </row>
    <row r="2759" spans="1:5" x14ac:dyDescent="0.35">
      <c r="A2759" s="1" t="s">
        <v>147</v>
      </c>
      <c r="B2759" s="1"/>
      <c r="C2759" s="1" t="s">
        <v>150</v>
      </c>
      <c r="D2759" s="1" t="s">
        <v>146</v>
      </c>
      <c r="E2759" t="s">
        <v>136</v>
      </c>
    </row>
    <row r="2760" spans="1:5" x14ac:dyDescent="0.35">
      <c r="A2760" s="1" t="s">
        <v>147</v>
      </c>
      <c r="B2760" s="1"/>
      <c r="C2760" s="1"/>
      <c r="D2760" s="1" t="s">
        <v>148</v>
      </c>
      <c r="E2760" t="s">
        <v>136</v>
      </c>
    </row>
    <row r="2761" spans="1:5" x14ac:dyDescent="0.35">
      <c r="A2761" s="1" t="s">
        <v>147</v>
      </c>
      <c r="B2761" s="1"/>
      <c r="C2761" s="1"/>
      <c r="D2761" s="1" t="s">
        <v>149</v>
      </c>
      <c r="E2761" t="s">
        <v>136</v>
      </c>
    </row>
    <row r="2762" spans="1:5" x14ac:dyDescent="0.35">
      <c r="A2762" s="1" t="s">
        <v>147</v>
      </c>
      <c r="B2762" s="1" t="s">
        <v>169</v>
      </c>
      <c r="C2762" s="1" t="s">
        <v>145</v>
      </c>
      <c r="D2762" s="1" t="s">
        <v>146</v>
      </c>
      <c r="E2762" t="s">
        <v>136</v>
      </c>
    </row>
    <row r="2763" spans="1:5" x14ac:dyDescent="0.35">
      <c r="A2763" s="1" t="s">
        <v>147</v>
      </c>
      <c r="B2763" s="1"/>
      <c r="C2763" s="1"/>
      <c r="D2763" s="1" t="s">
        <v>148</v>
      </c>
      <c r="E2763" t="s">
        <v>136</v>
      </c>
    </row>
    <row r="2764" spans="1:5" x14ac:dyDescent="0.35">
      <c r="A2764" s="1" t="s">
        <v>147</v>
      </c>
      <c r="B2764" s="1"/>
      <c r="C2764" s="1"/>
      <c r="D2764" s="1" t="s">
        <v>149</v>
      </c>
      <c r="E2764" t="s">
        <v>136</v>
      </c>
    </row>
    <row r="2765" spans="1:5" x14ac:dyDescent="0.35">
      <c r="A2765" s="1" t="s">
        <v>147</v>
      </c>
      <c r="B2765" s="1"/>
      <c r="C2765" s="1" t="s">
        <v>150</v>
      </c>
      <c r="D2765" s="1" t="s">
        <v>146</v>
      </c>
      <c r="E2765" t="s">
        <v>136</v>
      </c>
    </row>
    <row r="2766" spans="1:5" x14ac:dyDescent="0.35">
      <c r="A2766" s="1" t="s">
        <v>147</v>
      </c>
      <c r="B2766" s="1"/>
      <c r="C2766" s="1"/>
      <c r="D2766" s="1" t="s">
        <v>148</v>
      </c>
      <c r="E2766" t="s">
        <v>136</v>
      </c>
    </row>
    <row r="2767" spans="1:5" x14ac:dyDescent="0.35">
      <c r="A2767" s="1" t="s">
        <v>147</v>
      </c>
      <c r="B2767" s="1"/>
      <c r="C2767" s="1"/>
      <c r="D2767" s="1" t="s">
        <v>149</v>
      </c>
      <c r="E2767" t="s">
        <v>136</v>
      </c>
    </row>
    <row r="2768" spans="1:5" x14ac:dyDescent="0.35">
      <c r="A2768" s="1" t="s">
        <v>147</v>
      </c>
      <c r="B2768" s="1" t="s">
        <v>170</v>
      </c>
      <c r="C2768" s="1" t="s">
        <v>145</v>
      </c>
      <c r="D2768" s="1" t="s">
        <v>146</v>
      </c>
      <c r="E2768" t="s">
        <v>136</v>
      </c>
    </row>
    <row r="2769" spans="1:5" x14ac:dyDescent="0.35">
      <c r="A2769" s="1" t="s">
        <v>147</v>
      </c>
      <c r="B2769" s="1"/>
      <c r="C2769" s="1"/>
      <c r="D2769" s="1" t="s">
        <v>148</v>
      </c>
      <c r="E2769" t="s">
        <v>136</v>
      </c>
    </row>
    <row r="2770" spans="1:5" x14ac:dyDescent="0.35">
      <c r="A2770" s="1" t="s">
        <v>147</v>
      </c>
      <c r="B2770" s="1"/>
      <c r="C2770" s="1"/>
      <c r="D2770" s="1" t="s">
        <v>149</v>
      </c>
      <c r="E2770" t="s">
        <v>136</v>
      </c>
    </row>
    <row r="2771" spans="1:5" x14ac:dyDescent="0.35">
      <c r="A2771" s="1" t="s">
        <v>147</v>
      </c>
      <c r="B2771" s="1"/>
      <c r="C2771" s="1" t="s">
        <v>150</v>
      </c>
      <c r="D2771" s="1" t="s">
        <v>146</v>
      </c>
      <c r="E2771" t="s">
        <v>136</v>
      </c>
    </row>
    <row r="2772" spans="1:5" x14ac:dyDescent="0.35">
      <c r="A2772" s="1" t="s">
        <v>147</v>
      </c>
      <c r="B2772" s="1"/>
      <c r="C2772" s="1"/>
      <c r="D2772" s="1" t="s">
        <v>148</v>
      </c>
      <c r="E2772" t="s">
        <v>136</v>
      </c>
    </row>
    <row r="2773" spans="1:5" x14ac:dyDescent="0.35">
      <c r="A2773" s="1" t="s">
        <v>147</v>
      </c>
      <c r="B2773" s="1"/>
      <c r="C2773" s="1"/>
      <c r="D2773" s="1" t="s">
        <v>149</v>
      </c>
      <c r="E2773" t="s">
        <v>136</v>
      </c>
    </row>
    <row r="2774" spans="1:5" x14ac:dyDescent="0.35">
      <c r="A2774" s="1" t="s">
        <v>71</v>
      </c>
      <c r="B2774" s="1" t="s">
        <v>144</v>
      </c>
      <c r="C2774" s="1" t="s">
        <v>145</v>
      </c>
      <c r="D2774" s="1" t="s">
        <v>146</v>
      </c>
      <c r="E2774">
        <v>96.06</v>
      </c>
    </row>
    <row r="2775" spans="1:5" x14ac:dyDescent="0.35">
      <c r="A2775" s="1" t="s">
        <v>147</v>
      </c>
      <c r="B2775" s="1"/>
      <c r="C2775" s="1"/>
      <c r="D2775" s="1" t="s">
        <v>148</v>
      </c>
      <c r="E2775">
        <v>88.07</v>
      </c>
    </row>
    <row r="2776" spans="1:5" x14ac:dyDescent="0.35">
      <c r="A2776" s="1" t="s">
        <v>147</v>
      </c>
      <c r="B2776" s="1"/>
      <c r="C2776" s="1"/>
      <c r="D2776" s="1" t="s">
        <v>149</v>
      </c>
      <c r="E2776">
        <v>7.99</v>
      </c>
    </row>
    <row r="2777" spans="1:5" x14ac:dyDescent="0.35">
      <c r="A2777" s="1" t="s">
        <v>147</v>
      </c>
      <c r="B2777" s="1"/>
      <c r="C2777" s="1" t="s">
        <v>150</v>
      </c>
      <c r="D2777" s="1" t="s">
        <v>146</v>
      </c>
      <c r="E2777" t="s">
        <v>136</v>
      </c>
    </row>
    <row r="2778" spans="1:5" x14ac:dyDescent="0.35">
      <c r="A2778" s="1" t="s">
        <v>147</v>
      </c>
      <c r="B2778" s="1"/>
      <c r="C2778" s="1"/>
      <c r="D2778" s="1" t="s">
        <v>148</v>
      </c>
      <c r="E2778" t="s">
        <v>136</v>
      </c>
    </row>
    <row r="2779" spans="1:5" x14ac:dyDescent="0.35">
      <c r="A2779" s="1" t="s">
        <v>147</v>
      </c>
      <c r="B2779" s="1"/>
      <c r="C2779" s="1"/>
      <c r="D2779" s="1" t="s">
        <v>149</v>
      </c>
      <c r="E2779" t="s">
        <v>136</v>
      </c>
    </row>
    <row r="2780" spans="1:5" x14ac:dyDescent="0.35">
      <c r="A2780" s="1" t="s">
        <v>147</v>
      </c>
      <c r="B2780" s="1" t="s">
        <v>151</v>
      </c>
      <c r="C2780" s="1" t="s">
        <v>145</v>
      </c>
      <c r="D2780" s="1" t="s">
        <v>146</v>
      </c>
      <c r="E2780">
        <v>3</v>
      </c>
    </row>
    <row r="2781" spans="1:5" x14ac:dyDescent="0.35">
      <c r="A2781" s="1" t="s">
        <v>147</v>
      </c>
      <c r="B2781" s="1"/>
      <c r="C2781" s="1"/>
      <c r="D2781" s="1" t="s">
        <v>148</v>
      </c>
      <c r="E2781">
        <v>7.0000000000000007E-2</v>
      </c>
    </row>
    <row r="2782" spans="1:5" x14ac:dyDescent="0.35">
      <c r="A2782" s="1" t="s">
        <v>147</v>
      </c>
      <c r="B2782" s="1"/>
      <c r="C2782" s="1"/>
      <c r="D2782" s="1" t="s">
        <v>149</v>
      </c>
      <c r="E2782">
        <v>2.93</v>
      </c>
    </row>
    <row r="2783" spans="1:5" x14ac:dyDescent="0.35">
      <c r="A2783" s="1" t="s">
        <v>147</v>
      </c>
      <c r="B2783" s="1"/>
      <c r="C2783" s="1" t="s">
        <v>150</v>
      </c>
      <c r="D2783" s="1" t="s">
        <v>146</v>
      </c>
      <c r="E2783" t="s">
        <v>136</v>
      </c>
    </row>
    <row r="2784" spans="1:5" x14ac:dyDescent="0.35">
      <c r="A2784" s="1" t="s">
        <v>147</v>
      </c>
      <c r="B2784" s="1"/>
      <c r="C2784" s="1"/>
      <c r="D2784" s="1" t="s">
        <v>148</v>
      </c>
      <c r="E2784" t="s">
        <v>136</v>
      </c>
    </row>
    <row r="2785" spans="1:5" x14ac:dyDescent="0.35">
      <c r="A2785" s="1" t="s">
        <v>147</v>
      </c>
      <c r="B2785" s="1"/>
      <c r="C2785" s="1"/>
      <c r="D2785" s="1" t="s">
        <v>149</v>
      </c>
      <c r="E2785" t="s">
        <v>136</v>
      </c>
    </row>
    <row r="2786" spans="1:5" x14ac:dyDescent="0.35">
      <c r="A2786" s="1" t="s">
        <v>147</v>
      </c>
      <c r="B2786" s="1" t="s">
        <v>152</v>
      </c>
      <c r="C2786" s="1" t="s">
        <v>145</v>
      </c>
      <c r="D2786" s="1" t="s">
        <v>146</v>
      </c>
      <c r="E2786" t="s">
        <v>136</v>
      </c>
    </row>
    <row r="2787" spans="1:5" x14ac:dyDescent="0.35">
      <c r="A2787" s="1" t="s">
        <v>147</v>
      </c>
      <c r="B2787" s="1"/>
      <c r="C2787" s="1"/>
      <c r="D2787" s="1" t="s">
        <v>148</v>
      </c>
      <c r="E2787" t="s">
        <v>136</v>
      </c>
    </row>
    <row r="2788" spans="1:5" x14ac:dyDescent="0.35">
      <c r="A2788" s="1" t="s">
        <v>147</v>
      </c>
      <c r="B2788" s="1"/>
      <c r="C2788" s="1"/>
      <c r="D2788" s="1" t="s">
        <v>149</v>
      </c>
      <c r="E2788" t="s">
        <v>136</v>
      </c>
    </row>
    <row r="2789" spans="1:5" x14ac:dyDescent="0.35">
      <c r="A2789" s="1" t="s">
        <v>147</v>
      </c>
      <c r="B2789" s="1"/>
      <c r="C2789" s="1" t="s">
        <v>150</v>
      </c>
      <c r="D2789" s="1" t="s">
        <v>146</v>
      </c>
      <c r="E2789" t="s">
        <v>136</v>
      </c>
    </row>
    <row r="2790" spans="1:5" x14ac:dyDescent="0.35">
      <c r="A2790" s="1" t="s">
        <v>147</v>
      </c>
      <c r="B2790" s="1"/>
      <c r="C2790" s="1"/>
      <c r="D2790" s="1" t="s">
        <v>148</v>
      </c>
      <c r="E2790" t="s">
        <v>136</v>
      </c>
    </row>
    <row r="2791" spans="1:5" x14ac:dyDescent="0.35">
      <c r="A2791" s="1" t="s">
        <v>147</v>
      </c>
      <c r="B2791" s="1"/>
      <c r="C2791" s="1"/>
      <c r="D2791" s="1" t="s">
        <v>149</v>
      </c>
      <c r="E2791" t="s">
        <v>136</v>
      </c>
    </row>
    <row r="2792" spans="1:5" x14ac:dyDescent="0.35">
      <c r="A2792" s="1" t="s">
        <v>147</v>
      </c>
      <c r="B2792" s="1" t="s">
        <v>153</v>
      </c>
      <c r="C2792" s="1" t="s">
        <v>145</v>
      </c>
      <c r="D2792" s="1" t="s">
        <v>146</v>
      </c>
      <c r="E2792" t="s">
        <v>136</v>
      </c>
    </row>
    <row r="2793" spans="1:5" x14ac:dyDescent="0.35">
      <c r="A2793" s="1" t="s">
        <v>147</v>
      </c>
      <c r="B2793" s="1"/>
      <c r="C2793" s="1"/>
      <c r="D2793" s="1" t="s">
        <v>148</v>
      </c>
      <c r="E2793" t="s">
        <v>136</v>
      </c>
    </row>
    <row r="2794" spans="1:5" x14ac:dyDescent="0.35">
      <c r="A2794" s="1" t="s">
        <v>147</v>
      </c>
      <c r="B2794" s="1"/>
      <c r="C2794" s="1"/>
      <c r="D2794" s="1" t="s">
        <v>149</v>
      </c>
      <c r="E2794" t="s">
        <v>136</v>
      </c>
    </row>
    <row r="2795" spans="1:5" x14ac:dyDescent="0.35">
      <c r="A2795" s="1" t="s">
        <v>147</v>
      </c>
      <c r="B2795" s="1"/>
      <c r="C2795" s="1" t="s">
        <v>150</v>
      </c>
      <c r="D2795" s="1" t="s">
        <v>146</v>
      </c>
      <c r="E2795" t="s">
        <v>136</v>
      </c>
    </row>
    <row r="2796" spans="1:5" x14ac:dyDescent="0.35">
      <c r="A2796" s="1" t="s">
        <v>147</v>
      </c>
      <c r="B2796" s="1"/>
      <c r="C2796" s="1"/>
      <c r="D2796" s="1" t="s">
        <v>148</v>
      </c>
      <c r="E2796" t="s">
        <v>136</v>
      </c>
    </row>
    <row r="2797" spans="1:5" x14ac:dyDescent="0.35">
      <c r="A2797" s="1" t="s">
        <v>147</v>
      </c>
      <c r="B2797" s="1"/>
      <c r="C2797" s="1"/>
      <c r="D2797" s="1" t="s">
        <v>149</v>
      </c>
      <c r="E2797" t="s">
        <v>136</v>
      </c>
    </row>
    <row r="2798" spans="1:5" x14ac:dyDescent="0.35">
      <c r="A2798" s="1" t="s">
        <v>147</v>
      </c>
      <c r="B2798" s="1" t="s">
        <v>154</v>
      </c>
      <c r="C2798" s="1" t="s">
        <v>145</v>
      </c>
      <c r="D2798" s="1" t="s">
        <v>146</v>
      </c>
      <c r="E2798" t="s">
        <v>136</v>
      </c>
    </row>
    <row r="2799" spans="1:5" x14ac:dyDescent="0.35">
      <c r="A2799" s="1" t="s">
        <v>147</v>
      </c>
      <c r="B2799" s="1"/>
      <c r="C2799" s="1"/>
      <c r="D2799" s="1" t="s">
        <v>148</v>
      </c>
      <c r="E2799" t="s">
        <v>136</v>
      </c>
    </row>
    <row r="2800" spans="1:5" x14ac:dyDescent="0.35">
      <c r="A2800" s="1" t="s">
        <v>147</v>
      </c>
      <c r="B2800" s="1"/>
      <c r="C2800" s="1"/>
      <c r="D2800" s="1" t="s">
        <v>149</v>
      </c>
      <c r="E2800" t="s">
        <v>136</v>
      </c>
    </row>
    <row r="2801" spans="1:5" x14ac:dyDescent="0.35">
      <c r="A2801" s="1" t="s">
        <v>147</v>
      </c>
      <c r="B2801" s="1"/>
      <c r="C2801" s="1" t="s">
        <v>150</v>
      </c>
      <c r="D2801" s="1" t="s">
        <v>146</v>
      </c>
      <c r="E2801" t="s">
        <v>136</v>
      </c>
    </row>
    <row r="2802" spans="1:5" x14ac:dyDescent="0.35">
      <c r="A2802" s="1" t="s">
        <v>147</v>
      </c>
      <c r="B2802" s="1"/>
      <c r="C2802" s="1"/>
      <c r="D2802" s="1" t="s">
        <v>148</v>
      </c>
      <c r="E2802" t="s">
        <v>136</v>
      </c>
    </row>
    <row r="2803" spans="1:5" x14ac:dyDescent="0.35">
      <c r="A2803" s="1" t="s">
        <v>147</v>
      </c>
      <c r="B2803" s="1"/>
      <c r="C2803" s="1"/>
      <c r="D2803" s="1" t="s">
        <v>149</v>
      </c>
      <c r="E2803" t="s">
        <v>136</v>
      </c>
    </row>
    <row r="2804" spans="1:5" x14ac:dyDescent="0.35">
      <c r="A2804" s="1" t="s">
        <v>147</v>
      </c>
      <c r="B2804" s="1" t="s">
        <v>155</v>
      </c>
      <c r="C2804" s="1" t="s">
        <v>145</v>
      </c>
      <c r="D2804" s="1" t="s">
        <v>146</v>
      </c>
      <c r="E2804">
        <v>92.86</v>
      </c>
    </row>
    <row r="2805" spans="1:5" x14ac:dyDescent="0.35">
      <c r="A2805" s="1" t="s">
        <v>147</v>
      </c>
      <c r="B2805" s="1"/>
      <c r="C2805" s="1"/>
      <c r="D2805" s="1" t="s">
        <v>148</v>
      </c>
      <c r="E2805">
        <v>88</v>
      </c>
    </row>
    <row r="2806" spans="1:5" x14ac:dyDescent="0.35">
      <c r="A2806" s="1" t="s">
        <v>147</v>
      </c>
      <c r="B2806" s="1"/>
      <c r="C2806" s="1"/>
      <c r="D2806" s="1" t="s">
        <v>149</v>
      </c>
      <c r="E2806">
        <v>4.8600000000000003</v>
      </c>
    </row>
    <row r="2807" spans="1:5" x14ac:dyDescent="0.35">
      <c r="A2807" s="1" t="s">
        <v>147</v>
      </c>
      <c r="B2807" s="1"/>
      <c r="C2807" s="1" t="s">
        <v>150</v>
      </c>
      <c r="D2807" s="1" t="s">
        <v>146</v>
      </c>
      <c r="E2807" t="s">
        <v>136</v>
      </c>
    </row>
    <row r="2808" spans="1:5" x14ac:dyDescent="0.35">
      <c r="A2808" s="1" t="s">
        <v>147</v>
      </c>
      <c r="B2808" s="1"/>
      <c r="C2808" s="1"/>
      <c r="D2808" s="1" t="s">
        <v>148</v>
      </c>
      <c r="E2808" t="s">
        <v>136</v>
      </c>
    </row>
    <row r="2809" spans="1:5" x14ac:dyDescent="0.35">
      <c r="A2809" s="1" t="s">
        <v>147</v>
      </c>
      <c r="B2809" s="1"/>
      <c r="C2809" s="1"/>
      <c r="D2809" s="1" t="s">
        <v>149</v>
      </c>
      <c r="E2809" t="s">
        <v>136</v>
      </c>
    </row>
    <row r="2810" spans="1:5" x14ac:dyDescent="0.35">
      <c r="A2810" s="1" t="s">
        <v>147</v>
      </c>
      <c r="B2810" s="1" t="s">
        <v>156</v>
      </c>
      <c r="C2810" s="1" t="s">
        <v>145</v>
      </c>
      <c r="D2810" s="1" t="s">
        <v>146</v>
      </c>
      <c r="E2810" t="s">
        <v>136</v>
      </c>
    </row>
    <row r="2811" spans="1:5" x14ac:dyDescent="0.35">
      <c r="A2811" s="1" t="s">
        <v>147</v>
      </c>
      <c r="B2811" s="1"/>
      <c r="C2811" s="1"/>
      <c r="D2811" s="1" t="s">
        <v>148</v>
      </c>
      <c r="E2811" t="s">
        <v>136</v>
      </c>
    </row>
    <row r="2812" spans="1:5" x14ac:dyDescent="0.35">
      <c r="A2812" s="1" t="s">
        <v>147</v>
      </c>
      <c r="B2812" s="1"/>
      <c r="C2812" s="1"/>
      <c r="D2812" s="1" t="s">
        <v>149</v>
      </c>
      <c r="E2812" t="s">
        <v>136</v>
      </c>
    </row>
    <row r="2813" spans="1:5" x14ac:dyDescent="0.35">
      <c r="A2813" s="1" t="s">
        <v>147</v>
      </c>
      <c r="B2813" s="1"/>
      <c r="C2813" s="1" t="s">
        <v>150</v>
      </c>
      <c r="D2813" s="1" t="s">
        <v>146</v>
      </c>
      <c r="E2813" t="s">
        <v>136</v>
      </c>
    </row>
    <row r="2814" spans="1:5" x14ac:dyDescent="0.35">
      <c r="A2814" s="1" t="s">
        <v>147</v>
      </c>
      <c r="B2814" s="1"/>
      <c r="C2814" s="1"/>
      <c r="D2814" s="1" t="s">
        <v>148</v>
      </c>
      <c r="E2814" t="s">
        <v>136</v>
      </c>
    </row>
    <row r="2815" spans="1:5" x14ac:dyDescent="0.35">
      <c r="A2815" s="1" t="s">
        <v>147</v>
      </c>
      <c r="B2815" s="1"/>
      <c r="C2815" s="1"/>
      <c r="D2815" s="1" t="s">
        <v>149</v>
      </c>
      <c r="E2815" t="s">
        <v>136</v>
      </c>
    </row>
    <row r="2816" spans="1:5" x14ac:dyDescent="0.35">
      <c r="A2816" s="1" t="s">
        <v>147</v>
      </c>
      <c r="B2816" s="1" t="s">
        <v>157</v>
      </c>
      <c r="C2816" s="1" t="s">
        <v>145</v>
      </c>
      <c r="D2816" s="1" t="s">
        <v>146</v>
      </c>
      <c r="E2816" t="s">
        <v>136</v>
      </c>
    </row>
    <row r="2817" spans="1:5" x14ac:dyDescent="0.35">
      <c r="A2817" s="1" t="s">
        <v>147</v>
      </c>
      <c r="B2817" s="1"/>
      <c r="C2817" s="1"/>
      <c r="D2817" s="1" t="s">
        <v>148</v>
      </c>
      <c r="E2817" t="s">
        <v>136</v>
      </c>
    </row>
    <row r="2818" spans="1:5" x14ac:dyDescent="0.35">
      <c r="A2818" s="1" t="s">
        <v>147</v>
      </c>
      <c r="B2818" s="1"/>
      <c r="C2818" s="1"/>
      <c r="D2818" s="1" t="s">
        <v>149</v>
      </c>
      <c r="E2818" t="s">
        <v>136</v>
      </c>
    </row>
    <row r="2819" spans="1:5" x14ac:dyDescent="0.35">
      <c r="A2819" s="1" t="s">
        <v>147</v>
      </c>
      <c r="B2819" s="1"/>
      <c r="C2819" s="1" t="s">
        <v>150</v>
      </c>
      <c r="D2819" s="1" t="s">
        <v>146</v>
      </c>
      <c r="E2819" t="s">
        <v>136</v>
      </c>
    </row>
    <row r="2820" spans="1:5" x14ac:dyDescent="0.35">
      <c r="A2820" s="1" t="s">
        <v>147</v>
      </c>
      <c r="B2820" s="1"/>
      <c r="C2820" s="1"/>
      <c r="D2820" s="1" t="s">
        <v>148</v>
      </c>
      <c r="E2820" t="s">
        <v>136</v>
      </c>
    </row>
    <row r="2821" spans="1:5" x14ac:dyDescent="0.35">
      <c r="A2821" s="1" t="s">
        <v>147</v>
      </c>
      <c r="B2821" s="1"/>
      <c r="C2821" s="1"/>
      <c r="D2821" s="1" t="s">
        <v>149</v>
      </c>
      <c r="E2821" t="s">
        <v>136</v>
      </c>
    </row>
    <row r="2822" spans="1:5" x14ac:dyDescent="0.35">
      <c r="A2822" s="1" t="s">
        <v>147</v>
      </c>
      <c r="B2822" s="1" t="s">
        <v>158</v>
      </c>
      <c r="C2822" s="1" t="s">
        <v>145</v>
      </c>
      <c r="D2822" s="1" t="s">
        <v>146</v>
      </c>
      <c r="E2822">
        <v>0.13</v>
      </c>
    </row>
    <row r="2823" spans="1:5" x14ac:dyDescent="0.35">
      <c r="A2823" s="1" t="s">
        <v>147</v>
      </c>
      <c r="B2823" s="1"/>
      <c r="C2823" s="1"/>
      <c r="D2823" s="1" t="s">
        <v>148</v>
      </c>
      <c r="E2823" t="s">
        <v>136</v>
      </c>
    </row>
    <row r="2824" spans="1:5" x14ac:dyDescent="0.35">
      <c r="A2824" s="1" t="s">
        <v>147</v>
      </c>
      <c r="B2824" s="1"/>
      <c r="C2824" s="1"/>
      <c r="D2824" s="1" t="s">
        <v>149</v>
      </c>
      <c r="E2824">
        <v>0.13</v>
      </c>
    </row>
    <row r="2825" spans="1:5" x14ac:dyDescent="0.35">
      <c r="A2825" s="1" t="s">
        <v>147</v>
      </c>
      <c r="B2825" s="1"/>
      <c r="C2825" s="1" t="s">
        <v>150</v>
      </c>
      <c r="D2825" s="1" t="s">
        <v>146</v>
      </c>
      <c r="E2825" t="s">
        <v>136</v>
      </c>
    </row>
    <row r="2826" spans="1:5" x14ac:dyDescent="0.35">
      <c r="A2826" s="1" t="s">
        <v>147</v>
      </c>
      <c r="B2826" s="1"/>
      <c r="C2826" s="1"/>
      <c r="D2826" s="1" t="s">
        <v>148</v>
      </c>
      <c r="E2826" t="s">
        <v>136</v>
      </c>
    </row>
    <row r="2827" spans="1:5" x14ac:dyDescent="0.35">
      <c r="A2827" s="1" t="s">
        <v>147</v>
      </c>
      <c r="B2827" s="1"/>
      <c r="C2827" s="1"/>
      <c r="D2827" s="1" t="s">
        <v>149</v>
      </c>
      <c r="E2827" t="s">
        <v>136</v>
      </c>
    </row>
    <row r="2828" spans="1:5" x14ac:dyDescent="0.35">
      <c r="A2828" s="1" t="s">
        <v>147</v>
      </c>
      <c r="B2828" s="1" t="s">
        <v>159</v>
      </c>
      <c r="C2828" s="1" t="s">
        <v>145</v>
      </c>
      <c r="D2828" s="1" t="s">
        <v>146</v>
      </c>
      <c r="E2828" t="s">
        <v>136</v>
      </c>
    </row>
    <row r="2829" spans="1:5" x14ac:dyDescent="0.35">
      <c r="A2829" s="1" t="s">
        <v>147</v>
      </c>
      <c r="B2829" s="1"/>
      <c r="C2829" s="1"/>
      <c r="D2829" s="1" t="s">
        <v>148</v>
      </c>
      <c r="E2829" t="s">
        <v>136</v>
      </c>
    </row>
    <row r="2830" spans="1:5" x14ac:dyDescent="0.35">
      <c r="A2830" s="1" t="s">
        <v>147</v>
      </c>
      <c r="B2830" s="1"/>
      <c r="C2830" s="1"/>
      <c r="D2830" s="1" t="s">
        <v>149</v>
      </c>
      <c r="E2830" t="s">
        <v>136</v>
      </c>
    </row>
    <row r="2831" spans="1:5" x14ac:dyDescent="0.35">
      <c r="A2831" s="1" t="s">
        <v>147</v>
      </c>
      <c r="B2831" s="1"/>
      <c r="C2831" s="1" t="s">
        <v>150</v>
      </c>
      <c r="D2831" s="1" t="s">
        <v>146</v>
      </c>
      <c r="E2831" t="s">
        <v>136</v>
      </c>
    </row>
    <row r="2832" spans="1:5" x14ac:dyDescent="0.35">
      <c r="A2832" s="1" t="s">
        <v>147</v>
      </c>
      <c r="B2832" s="1"/>
      <c r="C2832" s="1"/>
      <c r="D2832" s="1" t="s">
        <v>148</v>
      </c>
      <c r="E2832" t="s">
        <v>136</v>
      </c>
    </row>
    <row r="2833" spans="1:5" x14ac:dyDescent="0.35">
      <c r="A2833" s="1" t="s">
        <v>147</v>
      </c>
      <c r="B2833" s="1"/>
      <c r="C2833" s="1"/>
      <c r="D2833" s="1" t="s">
        <v>149</v>
      </c>
      <c r="E2833" t="s">
        <v>136</v>
      </c>
    </row>
    <row r="2834" spans="1:5" x14ac:dyDescent="0.35">
      <c r="A2834" s="1" t="s">
        <v>147</v>
      </c>
      <c r="B2834" s="1" t="s">
        <v>160</v>
      </c>
      <c r="C2834" s="1" t="s">
        <v>145</v>
      </c>
      <c r="D2834" s="1" t="s">
        <v>146</v>
      </c>
      <c r="E2834">
        <v>0.08</v>
      </c>
    </row>
    <row r="2835" spans="1:5" x14ac:dyDescent="0.35">
      <c r="A2835" s="1" t="s">
        <v>147</v>
      </c>
      <c r="B2835" s="1"/>
      <c r="C2835" s="1"/>
      <c r="D2835" s="1" t="s">
        <v>148</v>
      </c>
      <c r="E2835" t="s">
        <v>136</v>
      </c>
    </row>
    <row r="2836" spans="1:5" x14ac:dyDescent="0.35">
      <c r="A2836" s="1" t="s">
        <v>147</v>
      </c>
      <c r="B2836" s="1"/>
      <c r="C2836" s="1"/>
      <c r="D2836" s="1" t="s">
        <v>149</v>
      </c>
      <c r="E2836">
        <v>0.08</v>
      </c>
    </row>
    <row r="2837" spans="1:5" x14ac:dyDescent="0.35">
      <c r="A2837" s="1" t="s">
        <v>147</v>
      </c>
      <c r="B2837" s="1"/>
      <c r="C2837" s="1" t="s">
        <v>150</v>
      </c>
      <c r="D2837" s="1" t="s">
        <v>146</v>
      </c>
      <c r="E2837" t="s">
        <v>136</v>
      </c>
    </row>
    <row r="2838" spans="1:5" x14ac:dyDescent="0.35">
      <c r="A2838" s="1" t="s">
        <v>147</v>
      </c>
      <c r="B2838" s="1"/>
      <c r="C2838" s="1"/>
      <c r="D2838" s="1" t="s">
        <v>148</v>
      </c>
      <c r="E2838" t="s">
        <v>136</v>
      </c>
    </row>
    <row r="2839" spans="1:5" x14ac:dyDescent="0.35">
      <c r="A2839" s="1" t="s">
        <v>147</v>
      </c>
      <c r="B2839" s="1"/>
      <c r="C2839" s="1"/>
      <c r="D2839" s="1" t="s">
        <v>149</v>
      </c>
      <c r="E2839" t="s">
        <v>136</v>
      </c>
    </row>
    <row r="2840" spans="1:5" x14ac:dyDescent="0.35">
      <c r="A2840" s="1" t="s">
        <v>147</v>
      </c>
      <c r="B2840" s="1" t="s">
        <v>161</v>
      </c>
      <c r="C2840" s="1" t="s">
        <v>145</v>
      </c>
      <c r="D2840" s="1" t="s">
        <v>146</v>
      </c>
      <c r="E2840" t="s">
        <v>136</v>
      </c>
    </row>
    <row r="2841" spans="1:5" x14ac:dyDescent="0.35">
      <c r="A2841" s="1" t="s">
        <v>147</v>
      </c>
      <c r="B2841" s="1"/>
      <c r="C2841" s="1"/>
      <c r="D2841" s="1" t="s">
        <v>148</v>
      </c>
      <c r="E2841" t="s">
        <v>136</v>
      </c>
    </row>
    <row r="2842" spans="1:5" x14ac:dyDescent="0.35">
      <c r="A2842" s="1" t="s">
        <v>147</v>
      </c>
      <c r="B2842" s="1"/>
      <c r="C2842" s="1"/>
      <c r="D2842" s="1" t="s">
        <v>149</v>
      </c>
      <c r="E2842" t="s">
        <v>136</v>
      </c>
    </row>
    <row r="2843" spans="1:5" x14ac:dyDescent="0.35">
      <c r="A2843" s="1" t="s">
        <v>147</v>
      </c>
      <c r="B2843" s="1"/>
      <c r="C2843" s="1" t="s">
        <v>150</v>
      </c>
      <c r="D2843" s="1" t="s">
        <v>146</v>
      </c>
      <c r="E2843" t="s">
        <v>136</v>
      </c>
    </row>
    <row r="2844" spans="1:5" x14ac:dyDescent="0.35">
      <c r="A2844" s="1" t="s">
        <v>147</v>
      </c>
      <c r="B2844" s="1"/>
      <c r="C2844" s="1"/>
      <c r="D2844" s="1" t="s">
        <v>148</v>
      </c>
      <c r="E2844" t="s">
        <v>136</v>
      </c>
    </row>
    <row r="2845" spans="1:5" x14ac:dyDescent="0.35">
      <c r="A2845" s="1" t="s">
        <v>147</v>
      </c>
      <c r="B2845" s="1"/>
      <c r="C2845" s="1"/>
      <c r="D2845" s="1" t="s">
        <v>149</v>
      </c>
      <c r="E2845" t="s">
        <v>136</v>
      </c>
    </row>
    <row r="2846" spans="1:5" x14ac:dyDescent="0.35">
      <c r="A2846" s="1" t="s">
        <v>147</v>
      </c>
      <c r="B2846" s="1" t="s">
        <v>162</v>
      </c>
      <c r="C2846" s="1" t="s">
        <v>145</v>
      </c>
      <c r="D2846" s="1" t="s">
        <v>146</v>
      </c>
      <c r="E2846" t="s">
        <v>136</v>
      </c>
    </row>
    <row r="2847" spans="1:5" x14ac:dyDescent="0.35">
      <c r="A2847" s="1" t="s">
        <v>147</v>
      </c>
      <c r="B2847" s="1"/>
      <c r="C2847" s="1"/>
      <c r="D2847" s="1" t="s">
        <v>148</v>
      </c>
      <c r="E2847" t="s">
        <v>136</v>
      </c>
    </row>
    <row r="2848" spans="1:5" x14ac:dyDescent="0.35">
      <c r="A2848" s="1" t="s">
        <v>147</v>
      </c>
      <c r="B2848" s="1"/>
      <c r="C2848" s="1"/>
      <c r="D2848" s="1" t="s">
        <v>149</v>
      </c>
      <c r="E2848" t="s">
        <v>136</v>
      </c>
    </row>
    <row r="2849" spans="1:5" x14ac:dyDescent="0.35">
      <c r="A2849" s="1" t="s">
        <v>147</v>
      </c>
      <c r="B2849" s="1"/>
      <c r="C2849" s="1" t="s">
        <v>150</v>
      </c>
      <c r="D2849" s="1" t="s">
        <v>146</v>
      </c>
      <c r="E2849" t="s">
        <v>136</v>
      </c>
    </row>
    <row r="2850" spans="1:5" x14ac:dyDescent="0.35">
      <c r="A2850" s="1" t="s">
        <v>147</v>
      </c>
      <c r="B2850" s="1"/>
      <c r="C2850" s="1"/>
      <c r="D2850" s="1" t="s">
        <v>148</v>
      </c>
      <c r="E2850" t="s">
        <v>136</v>
      </c>
    </row>
    <row r="2851" spans="1:5" x14ac:dyDescent="0.35">
      <c r="A2851" s="1" t="s">
        <v>147</v>
      </c>
      <c r="B2851" s="1"/>
      <c r="C2851" s="1"/>
      <c r="D2851" s="1" t="s">
        <v>149</v>
      </c>
      <c r="E2851" t="s">
        <v>136</v>
      </c>
    </row>
    <row r="2852" spans="1:5" x14ac:dyDescent="0.35">
      <c r="A2852" s="1" t="s">
        <v>147</v>
      </c>
      <c r="B2852" s="1" t="s">
        <v>163</v>
      </c>
      <c r="C2852" s="1" t="s">
        <v>145</v>
      </c>
      <c r="D2852" s="1" t="s">
        <v>146</v>
      </c>
      <c r="E2852">
        <v>98.07</v>
      </c>
    </row>
    <row r="2853" spans="1:5" x14ac:dyDescent="0.35">
      <c r="A2853" s="1" t="s">
        <v>147</v>
      </c>
      <c r="B2853" s="1"/>
      <c r="C2853" s="1"/>
      <c r="D2853" s="1" t="s">
        <v>148</v>
      </c>
      <c r="E2853">
        <v>98.07</v>
      </c>
    </row>
    <row r="2854" spans="1:5" x14ac:dyDescent="0.35">
      <c r="A2854" s="1" t="s">
        <v>147</v>
      </c>
      <c r="B2854" s="1"/>
      <c r="C2854" s="1"/>
      <c r="D2854" s="1" t="s">
        <v>149</v>
      </c>
      <c r="E2854" t="s">
        <v>136</v>
      </c>
    </row>
    <row r="2855" spans="1:5" x14ac:dyDescent="0.35">
      <c r="A2855" s="1" t="s">
        <v>147</v>
      </c>
      <c r="B2855" s="1"/>
      <c r="C2855" s="1" t="s">
        <v>150</v>
      </c>
      <c r="D2855" s="1" t="s">
        <v>146</v>
      </c>
      <c r="E2855" t="s">
        <v>136</v>
      </c>
    </row>
    <row r="2856" spans="1:5" x14ac:dyDescent="0.35">
      <c r="A2856" s="1" t="s">
        <v>147</v>
      </c>
      <c r="B2856" s="1"/>
      <c r="C2856" s="1"/>
      <c r="D2856" s="1" t="s">
        <v>148</v>
      </c>
      <c r="E2856" t="s">
        <v>136</v>
      </c>
    </row>
    <row r="2857" spans="1:5" x14ac:dyDescent="0.35">
      <c r="A2857" s="1" t="s">
        <v>147</v>
      </c>
      <c r="B2857" s="1"/>
      <c r="C2857" s="1"/>
      <c r="D2857" s="1" t="s">
        <v>149</v>
      </c>
      <c r="E2857" t="s">
        <v>136</v>
      </c>
    </row>
    <row r="2858" spans="1:5" x14ac:dyDescent="0.35">
      <c r="A2858" s="1" t="s">
        <v>147</v>
      </c>
      <c r="B2858" s="1" t="s">
        <v>164</v>
      </c>
      <c r="C2858" s="1" t="s">
        <v>145</v>
      </c>
      <c r="D2858" s="1" t="s">
        <v>146</v>
      </c>
      <c r="E2858" t="s">
        <v>136</v>
      </c>
    </row>
    <row r="2859" spans="1:5" x14ac:dyDescent="0.35">
      <c r="A2859" s="1" t="s">
        <v>147</v>
      </c>
      <c r="B2859" s="1"/>
      <c r="C2859" s="1"/>
      <c r="D2859" s="1" t="s">
        <v>148</v>
      </c>
      <c r="E2859" t="s">
        <v>136</v>
      </c>
    </row>
    <row r="2860" spans="1:5" x14ac:dyDescent="0.35">
      <c r="A2860" s="1" t="s">
        <v>147</v>
      </c>
      <c r="B2860" s="1"/>
      <c r="C2860" s="1"/>
      <c r="D2860" s="1" t="s">
        <v>149</v>
      </c>
      <c r="E2860" t="s">
        <v>136</v>
      </c>
    </row>
    <row r="2861" spans="1:5" x14ac:dyDescent="0.35">
      <c r="A2861" s="1" t="s">
        <v>147</v>
      </c>
      <c r="B2861" s="1"/>
      <c r="C2861" s="1" t="s">
        <v>150</v>
      </c>
      <c r="D2861" s="1" t="s">
        <v>146</v>
      </c>
      <c r="E2861" t="s">
        <v>136</v>
      </c>
    </row>
    <row r="2862" spans="1:5" x14ac:dyDescent="0.35">
      <c r="A2862" s="1" t="s">
        <v>147</v>
      </c>
      <c r="B2862" s="1"/>
      <c r="C2862" s="1"/>
      <c r="D2862" s="1" t="s">
        <v>148</v>
      </c>
      <c r="E2862" t="s">
        <v>136</v>
      </c>
    </row>
    <row r="2863" spans="1:5" x14ac:dyDescent="0.35">
      <c r="A2863" s="1" t="s">
        <v>147</v>
      </c>
      <c r="B2863" s="1"/>
      <c r="C2863" s="1"/>
      <c r="D2863" s="1" t="s">
        <v>149</v>
      </c>
      <c r="E2863" t="s">
        <v>136</v>
      </c>
    </row>
    <row r="2864" spans="1:5" x14ac:dyDescent="0.35">
      <c r="A2864" s="1" t="s">
        <v>147</v>
      </c>
      <c r="B2864" s="1" t="s">
        <v>165</v>
      </c>
      <c r="C2864" s="1" t="s">
        <v>145</v>
      </c>
      <c r="D2864" s="1" t="s">
        <v>146</v>
      </c>
      <c r="E2864" t="s">
        <v>136</v>
      </c>
    </row>
    <row r="2865" spans="1:5" x14ac:dyDescent="0.35">
      <c r="A2865" s="1" t="s">
        <v>147</v>
      </c>
      <c r="B2865" s="1"/>
      <c r="C2865" s="1"/>
      <c r="D2865" s="1" t="s">
        <v>148</v>
      </c>
      <c r="E2865" t="s">
        <v>136</v>
      </c>
    </row>
    <row r="2866" spans="1:5" x14ac:dyDescent="0.35">
      <c r="A2866" s="1" t="s">
        <v>147</v>
      </c>
      <c r="B2866" s="1"/>
      <c r="C2866" s="1"/>
      <c r="D2866" s="1" t="s">
        <v>149</v>
      </c>
      <c r="E2866" t="s">
        <v>136</v>
      </c>
    </row>
    <row r="2867" spans="1:5" x14ac:dyDescent="0.35">
      <c r="A2867" s="1" t="s">
        <v>147</v>
      </c>
      <c r="B2867" s="1"/>
      <c r="C2867" s="1" t="s">
        <v>150</v>
      </c>
      <c r="D2867" s="1" t="s">
        <v>146</v>
      </c>
      <c r="E2867" t="s">
        <v>136</v>
      </c>
    </row>
    <row r="2868" spans="1:5" x14ac:dyDescent="0.35">
      <c r="A2868" s="1" t="s">
        <v>147</v>
      </c>
      <c r="B2868" s="1"/>
      <c r="C2868" s="1"/>
      <c r="D2868" s="1" t="s">
        <v>148</v>
      </c>
      <c r="E2868" t="s">
        <v>136</v>
      </c>
    </row>
    <row r="2869" spans="1:5" x14ac:dyDescent="0.35">
      <c r="A2869" s="1" t="s">
        <v>147</v>
      </c>
      <c r="B2869" s="1"/>
      <c r="C2869" s="1"/>
      <c r="D2869" s="1" t="s">
        <v>149</v>
      </c>
      <c r="E2869" t="s">
        <v>136</v>
      </c>
    </row>
    <row r="2870" spans="1:5" x14ac:dyDescent="0.35">
      <c r="A2870" s="1" t="s">
        <v>147</v>
      </c>
      <c r="B2870" s="1" t="s">
        <v>166</v>
      </c>
      <c r="C2870" s="1" t="s">
        <v>145</v>
      </c>
      <c r="D2870" s="1" t="s">
        <v>146</v>
      </c>
      <c r="E2870">
        <v>98.07</v>
      </c>
    </row>
    <row r="2871" spans="1:5" x14ac:dyDescent="0.35">
      <c r="A2871" s="1" t="s">
        <v>147</v>
      </c>
      <c r="B2871" s="1"/>
      <c r="C2871" s="1"/>
      <c r="D2871" s="1" t="s">
        <v>148</v>
      </c>
      <c r="E2871">
        <v>98.07</v>
      </c>
    </row>
    <row r="2872" spans="1:5" x14ac:dyDescent="0.35">
      <c r="A2872" s="1" t="s">
        <v>147</v>
      </c>
      <c r="B2872" s="1"/>
      <c r="C2872" s="1"/>
      <c r="D2872" s="1" t="s">
        <v>149</v>
      </c>
      <c r="E2872" t="s">
        <v>136</v>
      </c>
    </row>
    <row r="2873" spans="1:5" x14ac:dyDescent="0.35">
      <c r="A2873" s="1" t="s">
        <v>147</v>
      </c>
      <c r="B2873" s="1"/>
      <c r="C2873" s="1" t="s">
        <v>150</v>
      </c>
      <c r="D2873" s="1" t="s">
        <v>146</v>
      </c>
      <c r="E2873" t="s">
        <v>136</v>
      </c>
    </row>
    <row r="2874" spans="1:5" x14ac:dyDescent="0.35">
      <c r="A2874" s="1" t="s">
        <v>147</v>
      </c>
      <c r="B2874" s="1"/>
      <c r="C2874" s="1"/>
      <c r="D2874" s="1" t="s">
        <v>148</v>
      </c>
      <c r="E2874" t="s">
        <v>136</v>
      </c>
    </row>
    <row r="2875" spans="1:5" x14ac:dyDescent="0.35">
      <c r="A2875" s="1" t="s">
        <v>147</v>
      </c>
      <c r="B2875" s="1"/>
      <c r="C2875" s="1"/>
      <c r="D2875" s="1" t="s">
        <v>149</v>
      </c>
      <c r="E2875" t="s">
        <v>136</v>
      </c>
    </row>
    <row r="2876" spans="1:5" x14ac:dyDescent="0.35">
      <c r="A2876" s="1" t="s">
        <v>147</v>
      </c>
      <c r="B2876" s="1" t="s">
        <v>167</v>
      </c>
      <c r="C2876" s="1" t="s">
        <v>145</v>
      </c>
      <c r="D2876" s="1" t="s">
        <v>146</v>
      </c>
      <c r="E2876" t="s">
        <v>136</v>
      </c>
    </row>
    <row r="2877" spans="1:5" x14ac:dyDescent="0.35">
      <c r="A2877" s="1" t="s">
        <v>147</v>
      </c>
      <c r="B2877" s="1"/>
      <c r="C2877" s="1"/>
      <c r="D2877" s="1" t="s">
        <v>148</v>
      </c>
      <c r="E2877" t="s">
        <v>136</v>
      </c>
    </row>
    <row r="2878" spans="1:5" x14ac:dyDescent="0.35">
      <c r="A2878" s="1" t="s">
        <v>147</v>
      </c>
      <c r="B2878" s="1"/>
      <c r="C2878" s="1"/>
      <c r="D2878" s="1" t="s">
        <v>149</v>
      </c>
      <c r="E2878" t="s">
        <v>136</v>
      </c>
    </row>
    <row r="2879" spans="1:5" x14ac:dyDescent="0.35">
      <c r="A2879" s="1" t="s">
        <v>147</v>
      </c>
      <c r="B2879" s="1"/>
      <c r="C2879" s="1" t="s">
        <v>150</v>
      </c>
      <c r="D2879" s="1" t="s">
        <v>146</v>
      </c>
      <c r="E2879" t="s">
        <v>136</v>
      </c>
    </row>
    <row r="2880" spans="1:5" x14ac:dyDescent="0.35">
      <c r="A2880" s="1" t="s">
        <v>147</v>
      </c>
      <c r="B2880" s="1"/>
      <c r="C2880" s="1"/>
      <c r="D2880" s="1" t="s">
        <v>148</v>
      </c>
      <c r="E2880" t="s">
        <v>136</v>
      </c>
    </row>
    <row r="2881" spans="1:5" x14ac:dyDescent="0.35">
      <c r="A2881" s="1" t="s">
        <v>147</v>
      </c>
      <c r="B2881" s="1"/>
      <c r="C2881" s="1"/>
      <c r="D2881" s="1" t="s">
        <v>149</v>
      </c>
      <c r="E2881" t="s">
        <v>136</v>
      </c>
    </row>
    <row r="2882" spans="1:5" x14ac:dyDescent="0.35">
      <c r="A2882" s="1" t="s">
        <v>147</v>
      </c>
      <c r="B2882" s="1" t="s">
        <v>168</v>
      </c>
      <c r="C2882" s="1" t="s">
        <v>145</v>
      </c>
      <c r="D2882" s="1" t="s">
        <v>146</v>
      </c>
      <c r="E2882" t="s">
        <v>136</v>
      </c>
    </row>
    <row r="2883" spans="1:5" x14ac:dyDescent="0.35">
      <c r="A2883" s="1" t="s">
        <v>147</v>
      </c>
      <c r="B2883" s="1"/>
      <c r="C2883" s="1"/>
      <c r="D2883" s="1" t="s">
        <v>148</v>
      </c>
      <c r="E2883" t="s">
        <v>136</v>
      </c>
    </row>
    <row r="2884" spans="1:5" x14ac:dyDescent="0.35">
      <c r="A2884" s="1" t="s">
        <v>147</v>
      </c>
      <c r="B2884" s="1"/>
      <c r="C2884" s="1"/>
      <c r="D2884" s="1" t="s">
        <v>149</v>
      </c>
      <c r="E2884" t="s">
        <v>136</v>
      </c>
    </row>
    <row r="2885" spans="1:5" x14ac:dyDescent="0.35">
      <c r="A2885" s="1" t="s">
        <v>147</v>
      </c>
      <c r="B2885" s="1"/>
      <c r="C2885" s="1" t="s">
        <v>150</v>
      </c>
      <c r="D2885" s="1" t="s">
        <v>146</v>
      </c>
      <c r="E2885" t="s">
        <v>136</v>
      </c>
    </row>
    <row r="2886" spans="1:5" x14ac:dyDescent="0.35">
      <c r="A2886" s="1" t="s">
        <v>147</v>
      </c>
      <c r="B2886" s="1"/>
      <c r="C2886" s="1"/>
      <c r="D2886" s="1" t="s">
        <v>148</v>
      </c>
      <c r="E2886" t="s">
        <v>136</v>
      </c>
    </row>
    <row r="2887" spans="1:5" x14ac:dyDescent="0.35">
      <c r="A2887" s="1" t="s">
        <v>147</v>
      </c>
      <c r="B2887" s="1"/>
      <c r="C2887" s="1"/>
      <c r="D2887" s="1" t="s">
        <v>149</v>
      </c>
      <c r="E2887" t="s">
        <v>136</v>
      </c>
    </row>
    <row r="2888" spans="1:5" x14ac:dyDescent="0.35">
      <c r="A2888" s="1" t="s">
        <v>147</v>
      </c>
      <c r="B2888" s="1" t="s">
        <v>169</v>
      </c>
      <c r="C2888" s="1" t="s">
        <v>145</v>
      </c>
      <c r="D2888" s="1" t="s">
        <v>146</v>
      </c>
      <c r="E2888" t="s">
        <v>136</v>
      </c>
    </row>
    <row r="2889" spans="1:5" x14ac:dyDescent="0.35">
      <c r="A2889" s="1" t="s">
        <v>147</v>
      </c>
      <c r="B2889" s="1"/>
      <c r="C2889" s="1"/>
      <c r="D2889" s="1" t="s">
        <v>148</v>
      </c>
      <c r="E2889" t="s">
        <v>136</v>
      </c>
    </row>
    <row r="2890" spans="1:5" x14ac:dyDescent="0.35">
      <c r="A2890" s="1" t="s">
        <v>147</v>
      </c>
      <c r="B2890" s="1"/>
      <c r="C2890" s="1"/>
      <c r="D2890" s="1" t="s">
        <v>149</v>
      </c>
      <c r="E2890" t="s">
        <v>136</v>
      </c>
    </row>
    <row r="2891" spans="1:5" x14ac:dyDescent="0.35">
      <c r="A2891" s="1" t="s">
        <v>147</v>
      </c>
      <c r="B2891" s="1"/>
      <c r="C2891" s="1" t="s">
        <v>150</v>
      </c>
      <c r="D2891" s="1" t="s">
        <v>146</v>
      </c>
      <c r="E2891" t="s">
        <v>136</v>
      </c>
    </row>
    <row r="2892" spans="1:5" x14ac:dyDescent="0.35">
      <c r="A2892" s="1" t="s">
        <v>147</v>
      </c>
      <c r="B2892" s="1"/>
      <c r="C2892" s="1"/>
      <c r="D2892" s="1" t="s">
        <v>148</v>
      </c>
      <c r="E2892" t="s">
        <v>136</v>
      </c>
    </row>
    <row r="2893" spans="1:5" x14ac:dyDescent="0.35">
      <c r="A2893" s="1" t="s">
        <v>147</v>
      </c>
      <c r="B2893" s="1"/>
      <c r="C2893" s="1"/>
      <c r="D2893" s="1" t="s">
        <v>149</v>
      </c>
      <c r="E2893" t="s">
        <v>136</v>
      </c>
    </row>
    <row r="2894" spans="1:5" x14ac:dyDescent="0.35">
      <c r="A2894" s="1" t="s">
        <v>147</v>
      </c>
      <c r="B2894" s="1" t="s">
        <v>170</v>
      </c>
      <c r="C2894" s="1" t="s">
        <v>145</v>
      </c>
      <c r="D2894" s="1" t="s">
        <v>146</v>
      </c>
      <c r="E2894" t="s">
        <v>136</v>
      </c>
    </row>
    <row r="2895" spans="1:5" x14ac:dyDescent="0.35">
      <c r="A2895" s="1" t="s">
        <v>147</v>
      </c>
      <c r="B2895" s="1"/>
      <c r="C2895" s="1"/>
      <c r="D2895" s="1" t="s">
        <v>148</v>
      </c>
      <c r="E2895" t="s">
        <v>136</v>
      </c>
    </row>
    <row r="2896" spans="1:5" x14ac:dyDescent="0.35">
      <c r="A2896" s="1" t="s">
        <v>147</v>
      </c>
      <c r="B2896" s="1"/>
      <c r="C2896" s="1"/>
      <c r="D2896" s="1" t="s">
        <v>149</v>
      </c>
      <c r="E2896" t="s">
        <v>136</v>
      </c>
    </row>
    <row r="2897" spans="1:5" x14ac:dyDescent="0.35">
      <c r="A2897" s="1" t="s">
        <v>147</v>
      </c>
      <c r="B2897" s="1"/>
      <c r="C2897" s="1" t="s">
        <v>150</v>
      </c>
      <c r="D2897" s="1" t="s">
        <v>146</v>
      </c>
      <c r="E2897" t="s">
        <v>136</v>
      </c>
    </row>
    <row r="2898" spans="1:5" x14ac:dyDescent="0.35">
      <c r="A2898" s="1" t="s">
        <v>147</v>
      </c>
      <c r="B2898" s="1"/>
      <c r="C2898" s="1"/>
      <c r="D2898" s="1" t="s">
        <v>148</v>
      </c>
      <c r="E2898" t="s">
        <v>136</v>
      </c>
    </row>
    <row r="2899" spans="1:5" x14ac:dyDescent="0.35">
      <c r="A2899" s="1" t="s">
        <v>147</v>
      </c>
      <c r="B2899" s="1"/>
      <c r="C2899" s="1"/>
      <c r="D2899" s="1" t="s">
        <v>149</v>
      </c>
      <c r="E2899" t="s">
        <v>136</v>
      </c>
    </row>
    <row r="2900" spans="1:5" x14ac:dyDescent="0.35">
      <c r="A2900" s="1" t="s">
        <v>73</v>
      </c>
      <c r="B2900" s="1" t="s">
        <v>144</v>
      </c>
      <c r="C2900" s="1" t="s">
        <v>145</v>
      </c>
      <c r="D2900" s="1" t="s">
        <v>146</v>
      </c>
      <c r="E2900">
        <v>8.33</v>
      </c>
    </row>
    <row r="2901" spans="1:5" x14ac:dyDescent="0.35">
      <c r="A2901" s="1" t="s">
        <v>147</v>
      </c>
      <c r="B2901" s="1"/>
      <c r="C2901" s="1"/>
      <c r="D2901" s="1" t="s">
        <v>148</v>
      </c>
      <c r="E2901">
        <v>2</v>
      </c>
    </row>
    <row r="2902" spans="1:5" x14ac:dyDescent="0.35">
      <c r="A2902" s="1" t="s">
        <v>147</v>
      </c>
      <c r="B2902" s="1"/>
      <c r="C2902" s="1"/>
      <c r="D2902" s="1" t="s">
        <v>149</v>
      </c>
      <c r="E2902">
        <v>6.33</v>
      </c>
    </row>
    <row r="2903" spans="1:5" x14ac:dyDescent="0.35">
      <c r="A2903" s="1" t="s">
        <v>147</v>
      </c>
      <c r="B2903" s="1"/>
      <c r="C2903" s="1" t="s">
        <v>150</v>
      </c>
      <c r="D2903" s="1" t="s">
        <v>146</v>
      </c>
      <c r="E2903" t="s">
        <v>136</v>
      </c>
    </row>
    <row r="2904" spans="1:5" x14ac:dyDescent="0.35">
      <c r="A2904" s="1" t="s">
        <v>147</v>
      </c>
      <c r="B2904" s="1"/>
      <c r="C2904" s="1"/>
      <c r="D2904" s="1" t="s">
        <v>148</v>
      </c>
      <c r="E2904" t="s">
        <v>136</v>
      </c>
    </row>
    <row r="2905" spans="1:5" x14ac:dyDescent="0.35">
      <c r="A2905" s="1" t="s">
        <v>147</v>
      </c>
      <c r="B2905" s="1"/>
      <c r="C2905" s="1"/>
      <c r="D2905" s="1" t="s">
        <v>149</v>
      </c>
      <c r="E2905" t="s">
        <v>136</v>
      </c>
    </row>
    <row r="2906" spans="1:5" x14ac:dyDescent="0.35">
      <c r="A2906" s="1" t="s">
        <v>147</v>
      </c>
      <c r="B2906" s="1" t="s">
        <v>151</v>
      </c>
      <c r="C2906" s="1" t="s">
        <v>145</v>
      </c>
      <c r="D2906" s="1" t="s">
        <v>146</v>
      </c>
      <c r="E2906">
        <v>8.33</v>
      </c>
    </row>
    <row r="2907" spans="1:5" x14ac:dyDescent="0.35">
      <c r="A2907" s="1" t="s">
        <v>147</v>
      </c>
      <c r="B2907" s="1"/>
      <c r="C2907" s="1"/>
      <c r="D2907" s="1" t="s">
        <v>148</v>
      </c>
      <c r="E2907">
        <v>2</v>
      </c>
    </row>
    <row r="2908" spans="1:5" x14ac:dyDescent="0.35">
      <c r="A2908" s="1" t="s">
        <v>147</v>
      </c>
      <c r="B2908" s="1"/>
      <c r="C2908" s="1"/>
      <c r="D2908" s="1" t="s">
        <v>149</v>
      </c>
      <c r="E2908">
        <v>6.33</v>
      </c>
    </row>
    <row r="2909" spans="1:5" x14ac:dyDescent="0.35">
      <c r="A2909" s="1" t="s">
        <v>147</v>
      </c>
      <c r="B2909" s="1"/>
      <c r="C2909" s="1" t="s">
        <v>150</v>
      </c>
      <c r="D2909" s="1" t="s">
        <v>146</v>
      </c>
      <c r="E2909" t="s">
        <v>136</v>
      </c>
    </row>
    <row r="2910" spans="1:5" x14ac:dyDescent="0.35">
      <c r="A2910" s="1" t="s">
        <v>147</v>
      </c>
      <c r="B2910" s="1"/>
      <c r="C2910" s="1"/>
      <c r="D2910" s="1" t="s">
        <v>148</v>
      </c>
      <c r="E2910" t="s">
        <v>136</v>
      </c>
    </row>
    <row r="2911" spans="1:5" x14ac:dyDescent="0.35">
      <c r="A2911" s="1" t="s">
        <v>147</v>
      </c>
      <c r="B2911" s="1"/>
      <c r="C2911" s="1"/>
      <c r="D2911" s="1" t="s">
        <v>149</v>
      </c>
      <c r="E2911" t="s">
        <v>136</v>
      </c>
    </row>
    <row r="2912" spans="1:5" x14ac:dyDescent="0.35">
      <c r="A2912" s="1" t="s">
        <v>147</v>
      </c>
      <c r="B2912" s="1" t="s">
        <v>152</v>
      </c>
      <c r="C2912" s="1" t="s">
        <v>145</v>
      </c>
      <c r="D2912" s="1" t="s">
        <v>146</v>
      </c>
      <c r="E2912" t="s">
        <v>136</v>
      </c>
    </row>
    <row r="2913" spans="1:5" x14ac:dyDescent="0.35">
      <c r="A2913" s="1" t="s">
        <v>147</v>
      </c>
      <c r="B2913" s="1"/>
      <c r="C2913" s="1"/>
      <c r="D2913" s="1" t="s">
        <v>148</v>
      </c>
      <c r="E2913" t="s">
        <v>136</v>
      </c>
    </row>
    <row r="2914" spans="1:5" x14ac:dyDescent="0.35">
      <c r="A2914" s="1" t="s">
        <v>147</v>
      </c>
      <c r="B2914" s="1"/>
      <c r="C2914" s="1"/>
      <c r="D2914" s="1" t="s">
        <v>149</v>
      </c>
      <c r="E2914" t="s">
        <v>136</v>
      </c>
    </row>
    <row r="2915" spans="1:5" x14ac:dyDescent="0.35">
      <c r="A2915" s="1" t="s">
        <v>147</v>
      </c>
      <c r="B2915" s="1"/>
      <c r="C2915" s="1" t="s">
        <v>150</v>
      </c>
      <c r="D2915" s="1" t="s">
        <v>146</v>
      </c>
      <c r="E2915" t="s">
        <v>136</v>
      </c>
    </row>
    <row r="2916" spans="1:5" x14ac:dyDescent="0.35">
      <c r="A2916" s="1" t="s">
        <v>147</v>
      </c>
      <c r="B2916" s="1"/>
      <c r="C2916" s="1"/>
      <c r="D2916" s="1" t="s">
        <v>148</v>
      </c>
      <c r="E2916" t="s">
        <v>136</v>
      </c>
    </row>
    <row r="2917" spans="1:5" x14ac:dyDescent="0.35">
      <c r="A2917" s="1" t="s">
        <v>147</v>
      </c>
      <c r="B2917" s="1"/>
      <c r="C2917" s="1"/>
      <c r="D2917" s="1" t="s">
        <v>149</v>
      </c>
      <c r="E2917" t="s">
        <v>136</v>
      </c>
    </row>
    <row r="2918" spans="1:5" x14ac:dyDescent="0.35">
      <c r="A2918" s="1" t="s">
        <v>147</v>
      </c>
      <c r="B2918" s="1" t="s">
        <v>153</v>
      </c>
      <c r="C2918" s="1" t="s">
        <v>145</v>
      </c>
      <c r="D2918" s="1" t="s">
        <v>146</v>
      </c>
      <c r="E2918" t="s">
        <v>136</v>
      </c>
    </row>
    <row r="2919" spans="1:5" x14ac:dyDescent="0.35">
      <c r="A2919" s="1" t="s">
        <v>147</v>
      </c>
      <c r="B2919" s="1"/>
      <c r="C2919" s="1"/>
      <c r="D2919" s="1" t="s">
        <v>148</v>
      </c>
      <c r="E2919" t="s">
        <v>136</v>
      </c>
    </row>
    <row r="2920" spans="1:5" x14ac:dyDescent="0.35">
      <c r="A2920" s="1" t="s">
        <v>147</v>
      </c>
      <c r="B2920" s="1"/>
      <c r="C2920" s="1"/>
      <c r="D2920" s="1" t="s">
        <v>149</v>
      </c>
      <c r="E2920" t="s">
        <v>136</v>
      </c>
    </row>
    <row r="2921" spans="1:5" x14ac:dyDescent="0.35">
      <c r="A2921" s="1" t="s">
        <v>147</v>
      </c>
      <c r="B2921" s="1"/>
      <c r="C2921" s="1" t="s">
        <v>150</v>
      </c>
      <c r="D2921" s="1" t="s">
        <v>146</v>
      </c>
      <c r="E2921" t="s">
        <v>136</v>
      </c>
    </row>
    <row r="2922" spans="1:5" x14ac:dyDescent="0.35">
      <c r="A2922" s="1" t="s">
        <v>147</v>
      </c>
      <c r="B2922" s="1"/>
      <c r="C2922" s="1"/>
      <c r="D2922" s="1" t="s">
        <v>148</v>
      </c>
      <c r="E2922" t="s">
        <v>136</v>
      </c>
    </row>
    <row r="2923" spans="1:5" x14ac:dyDescent="0.35">
      <c r="A2923" s="1" t="s">
        <v>147</v>
      </c>
      <c r="B2923" s="1"/>
      <c r="C2923" s="1"/>
      <c r="D2923" s="1" t="s">
        <v>149</v>
      </c>
      <c r="E2923" t="s">
        <v>136</v>
      </c>
    </row>
    <row r="2924" spans="1:5" x14ac:dyDescent="0.35">
      <c r="A2924" s="1" t="s">
        <v>147</v>
      </c>
      <c r="B2924" s="1" t="s">
        <v>154</v>
      </c>
      <c r="C2924" s="1" t="s">
        <v>145</v>
      </c>
      <c r="D2924" s="1" t="s">
        <v>146</v>
      </c>
      <c r="E2924" t="s">
        <v>136</v>
      </c>
    </row>
    <row r="2925" spans="1:5" x14ac:dyDescent="0.35">
      <c r="A2925" s="1" t="s">
        <v>147</v>
      </c>
      <c r="B2925" s="1"/>
      <c r="C2925" s="1"/>
      <c r="D2925" s="1" t="s">
        <v>148</v>
      </c>
      <c r="E2925" t="s">
        <v>136</v>
      </c>
    </row>
    <row r="2926" spans="1:5" x14ac:dyDescent="0.35">
      <c r="A2926" s="1" t="s">
        <v>147</v>
      </c>
      <c r="B2926" s="1"/>
      <c r="C2926" s="1"/>
      <c r="D2926" s="1" t="s">
        <v>149</v>
      </c>
      <c r="E2926" t="s">
        <v>136</v>
      </c>
    </row>
    <row r="2927" spans="1:5" x14ac:dyDescent="0.35">
      <c r="A2927" s="1" t="s">
        <v>147</v>
      </c>
      <c r="B2927" s="1"/>
      <c r="C2927" s="1" t="s">
        <v>150</v>
      </c>
      <c r="D2927" s="1" t="s">
        <v>146</v>
      </c>
      <c r="E2927" t="s">
        <v>136</v>
      </c>
    </row>
    <row r="2928" spans="1:5" x14ac:dyDescent="0.35">
      <c r="A2928" s="1" t="s">
        <v>147</v>
      </c>
      <c r="B2928" s="1"/>
      <c r="C2928" s="1"/>
      <c r="D2928" s="1" t="s">
        <v>148</v>
      </c>
      <c r="E2928" t="s">
        <v>136</v>
      </c>
    </row>
    <row r="2929" spans="1:5" x14ac:dyDescent="0.35">
      <c r="A2929" s="1" t="s">
        <v>147</v>
      </c>
      <c r="B2929" s="1"/>
      <c r="C2929" s="1"/>
      <c r="D2929" s="1" t="s">
        <v>149</v>
      </c>
      <c r="E2929" t="s">
        <v>136</v>
      </c>
    </row>
    <row r="2930" spans="1:5" x14ac:dyDescent="0.35">
      <c r="A2930" s="1" t="s">
        <v>147</v>
      </c>
      <c r="B2930" s="1" t="s">
        <v>155</v>
      </c>
      <c r="C2930" s="1" t="s">
        <v>145</v>
      </c>
      <c r="D2930" s="1" t="s">
        <v>146</v>
      </c>
      <c r="E2930" t="s">
        <v>136</v>
      </c>
    </row>
    <row r="2931" spans="1:5" x14ac:dyDescent="0.35">
      <c r="A2931" s="1" t="s">
        <v>147</v>
      </c>
      <c r="B2931" s="1"/>
      <c r="C2931" s="1"/>
      <c r="D2931" s="1" t="s">
        <v>148</v>
      </c>
      <c r="E2931" t="s">
        <v>136</v>
      </c>
    </row>
    <row r="2932" spans="1:5" x14ac:dyDescent="0.35">
      <c r="A2932" s="1" t="s">
        <v>147</v>
      </c>
      <c r="B2932" s="1"/>
      <c r="C2932" s="1"/>
      <c r="D2932" s="1" t="s">
        <v>149</v>
      </c>
      <c r="E2932" t="s">
        <v>136</v>
      </c>
    </row>
    <row r="2933" spans="1:5" x14ac:dyDescent="0.35">
      <c r="A2933" s="1" t="s">
        <v>147</v>
      </c>
      <c r="B2933" s="1"/>
      <c r="C2933" s="1" t="s">
        <v>150</v>
      </c>
      <c r="D2933" s="1" t="s">
        <v>146</v>
      </c>
      <c r="E2933" t="s">
        <v>136</v>
      </c>
    </row>
    <row r="2934" spans="1:5" x14ac:dyDescent="0.35">
      <c r="A2934" s="1" t="s">
        <v>147</v>
      </c>
      <c r="B2934" s="1"/>
      <c r="C2934" s="1"/>
      <c r="D2934" s="1" t="s">
        <v>148</v>
      </c>
      <c r="E2934" t="s">
        <v>136</v>
      </c>
    </row>
    <row r="2935" spans="1:5" x14ac:dyDescent="0.35">
      <c r="A2935" s="1" t="s">
        <v>147</v>
      </c>
      <c r="B2935" s="1"/>
      <c r="C2935" s="1"/>
      <c r="D2935" s="1" t="s">
        <v>149</v>
      </c>
      <c r="E2935" t="s">
        <v>136</v>
      </c>
    </row>
    <row r="2936" spans="1:5" x14ac:dyDescent="0.35">
      <c r="A2936" s="1" t="s">
        <v>147</v>
      </c>
      <c r="B2936" s="1" t="s">
        <v>156</v>
      </c>
      <c r="C2936" s="1" t="s">
        <v>145</v>
      </c>
      <c r="D2936" s="1" t="s">
        <v>146</v>
      </c>
      <c r="E2936" t="s">
        <v>136</v>
      </c>
    </row>
    <row r="2937" spans="1:5" x14ac:dyDescent="0.35">
      <c r="A2937" s="1" t="s">
        <v>147</v>
      </c>
      <c r="B2937" s="1"/>
      <c r="C2937" s="1"/>
      <c r="D2937" s="1" t="s">
        <v>148</v>
      </c>
      <c r="E2937" t="s">
        <v>136</v>
      </c>
    </row>
    <row r="2938" spans="1:5" x14ac:dyDescent="0.35">
      <c r="A2938" s="1" t="s">
        <v>147</v>
      </c>
      <c r="B2938" s="1"/>
      <c r="C2938" s="1"/>
      <c r="D2938" s="1" t="s">
        <v>149</v>
      </c>
      <c r="E2938" t="s">
        <v>136</v>
      </c>
    </row>
    <row r="2939" spans="1:5" x14ac:dyDescent="0.35">
      <c r="A2939" s="1" t="s">
        <v>147</v>
      </c>
      <c r="B2939" s="1"/>
      <c r="C2939" s="1" t="s">
        <v>150</v>
      </c>
      <c r="D2939" s="1" t="s">
        <v>146</v>
      </c>
      <c r="E2939" t="s">
        <v>136</v>
      </c>
    </row>
    <row r="2940" spans="1:5" x14ac:dyDescent="0.35">
      <c r="A2940" s="1" t="s">
        <v>147</v>
      </c>
      <c r="B2940" s="1"/>
      <c r="C2940" s="1"/>
      <c r="D2940" s="1" t="s">
        <v>148</v>
      </c>
      <c r="E2940" t="s">
        <v>136</v>
      </c>
    </row>
    <row r="2941" spans="1:5" x14ac:dyDescent="0.35">
      <c r="A2941" s="1" t="s">
        <v>147</v>
      </c>
      <c r="B2941" s="1"/>
      <c r="C2941" s="1"/>
      <c r="D2941" s="1" t="s">
        <v>149</v>
      </c>
      <c r="E2941" t="s">
        <v>136</v>
      </c>
    </row>
    <row r="2942" spans="1:5" x14ac:dyDescent="0.35">
      <c r="A2942" s="1" t="s">
        <v>147</v>
      </c>
      <c r="B2942" s="1" t="s">
        <v>157</v>
      </c>
      <c r="C2942" s="1" t="s">
        <v>145</v>
      </c>
      <c r="D2942" s="1" t="s">
        <v>146</v>
      </c>
      <c r="E2942" t="s">
        <v>136</v>
      </c>
    </row>
    <row r="2943" spans="1:5" x14ac:dyDescent="0.35">
      <c r="A2943" s="1" t="s">
        <v>147</v>
      </c>
      <c r="B2943" s="1"/>
      <c r="C2943" s="1"/>
      <c r="D2943" s="1" t="s">
        <v>148</v>
      </c>
      <c r="E2943" t="s">
        <v>136</v>
      </c>
    </row>
    <row r="2944" spans="1:5" x14ac:dyDescent="0.35">
      <c r="A2944" s="1" t="s">
        <v>147</v>
      </c>
      <c r="B2944" s="1"/>
      <c r="C2944" s="1"/>
      <c r="D2944" s="1" t="s">
        <v>149</v>
      </c>
      <c r="E2944" t="s">
        <v>136</v>
      </c>
    </row>
    <row r="2945" spans="1:5" x14ac:dyDescent="0.35">
      <c r="A2945" s="1" t="s">
        <v>147</v>
      </c>
      <c r="B2945" s="1"/>
      <c r="C2945" s="1" t="s">
        <v>150</v>
      </c>
      <c r="D2945" s="1" t="s">
        <v>146</v>
      </c>
      <c r="E2945" t="s">
        <v>136</v>
      </c>
    </row>
    <row r="2946" spans="1:5" x14ac:dyDescent="0.35">
      <c r="A2946" s="1" t="s">
        <v>147</v>
      </c>
      <c r="B2946" s="1"/>
      <c r="C2946" s="1"/>
      <c r="D2946" s="1" t="s">
        <v>148</v>
      </c>
      <c r="E2946" t="s">
        <v>136</v>
      </c>
    </row>
    <row r="2947" spans="1:5" x14ac:dyDescent="0.35">
      <c r="A2947" s="1" t="s">
        <v>147</v>
      </c>
      <c r="B2947" s="1"/>
      <c r="C2947" s="1"/>
      <c r="D2947" s="1" t="s">
        <v>149</v>
      </c>
      <c r="E2947" t="s">
        <v>136</v>
      </c>
    </row>
    <row r="2948" spans="1:5" x14ac:dyDescent="0.35">
      <c r="A2948" s="1" t="s">
        <v>147</v>
      </c>
      <c r="B2948" s="1" t="s">
        <v>158</v>
      </c>
      <c r="C2948" s="1" t="s">
        <v>145</v>
      </c>
      <c r="D2948" s="1" t="s">
        <v>146</v>
      </c>
      <c r="E2948" t="s">
        <v>136</v>
      </c>
    </row>
    <row r="2949" spans="1:5" x14ac:dyDescent="0.35">
      <c r="A2949" s="1" t="s">
        <v>147</v>
      </c>
      <c r="B2949" s="1"/>
      <c r="C2949" s="1"/>
      <c r="D2949" s="1" t="s">
        <v>148</v>
      </c>
      <c r="E2949" t="s">
        <v>136</v>
      </c>
    </row>
    <row r="2950" spans="1:5" x14ac:dyDescent="0.35">
      <c r="A2950" s="1" t="s">
        <v>147</v>
      </c>
      <c r="B2950" s="1"/>
      <c r="C2950" s="1"/>
      <c r="D2950" s="1" t="s">
        <v>149</v>
      </c>
      <c r="E2950" t="s">
        <v>136</v>
      </c>
    </row>
    <row r="2951" spans="1:5" x14ac:dyDescent="0.35">
      <c r="A2951" s="1" t="s">
        <v>147</v>
      </c>
      <c r="B2951" s="1"/>
      <c r="C2951" s="1" t="s">
        <v>150</v>
      </c>
      <c r="D2951" s="1" t="s">
        <v>146</v>
      </c>
      <c r="E2951" t="s">
        <v>136</v>
      </c>
    </row>
    <row r="2952" spans="1:5" x14ac:dyDescent="0.35">
      <c r="A2952" s="1" t="s">
        <v>147</v>
      </c>
      <c r="B2952" s="1"/>
      <c r="C2952" s="1"/>
      <c r="D2952" s="1" t="s">
        <v>148</v>
      </c>
      <c r="E2952" t="s">
        <v>136</v>
      </c>
    </row>
    <row r="2953" spans="1:5" x14ac:dyDescent="0.35">
      <c r="A2953" s="1" t="s">
        <v>147</v>
      </c>
      <c r="B2953" s="1"/>
      <c r="C2953" s="1"/>
      <c r="D2953" s="1" t="s">
        <v>149</v>
      </c>
      <c r="E2953" t="s">
        <v>136</v>
      </c>
    </row>
    <row r="2954" spans="1:5" x14ac:dyDescent="0.35">
      <c r="A2954" s="1" t="s">
        <v>147</v>
      </c>
      <c r="B2954" s="1" t="s">
        <v>159</v>
      </c>
      <c r="C2954" s="1" t="s">
        <v>145</v>
      </c>
      <c r="D2954" s="1" t="s">
        <v>146</v>
      </c>
      <c r="E2954" t="s">
        <v>136</v>
      </c>
    </row>
    <row r="2955" spans="1:5" x14ac:dyDescent="0.35">
      <c r="A2955" s="1" t="s">
        <v>147</v>
      </c>
      <c r="B2955" s="1"/>
      <c r="C2955" s="1"/>
      <c r="D2955" s="1" t="s">
        <v>148</v>
      </c>
      <c r="E2955" t="s">
        <v>136</v>
      </c>
    </row>
    <row r="2956" spans="1:5" x14ac:dyDescent="0.35">
      <c r="A2956" s="1" t="s">
        <v>147</v>
      </c>
      <c r="B2956" s="1"/>
      <c r="C2956" s="1"/>
      <c r="D2956" s="1" t="s">
        <v>149</v>
      </c>
      <c r="E2956" t="s">
        <v>136</v>
      </c>
    </row>
    <row r="2957" spans="1:5" x14ac:dyDescent="0.35">
      <c r="A2957" s="1" t="s">
        <v>147</v>
      </c>
      <c r="B2957" s="1"/>
      <c r="C2957" s="1" t="s">
        <v>150</v>
      </c>
      <c r="D2957" s="1" t="s">
        <v>146</v>
      </c>
      <c r="E2957" t="s">
        <v>136</v>
      </c>
    </row>
    <row r="2958" spans="1:5" x14ac:dyDescent="0.35">
      <c r="A2958" s="1" t="s">
        <v>147</v>
      </c>
      <c r="B2958" s="1"/>
      <c r="C2958" s="1"/>
      <c r="D2958" s="1" t="s">
        <v>148</v>
      </c>
      <c r="E2958" t="s">
        <v>136</v>
      </c>
    </row>
    <row r="2959" spans="1:5" x14ac:dyDescent="0.35">
      <c r="A2959" s="1" t="s">
        <v>147</v>
      </c>
      <c r="B2959" s="1"/>
      <c r="C2959" s="1"/>
      <c r="D2959" s="1" t="s">
        <v>149</v>
      </c>
      <c r="E2959" t="s">
        <v>136</v>
      </c>
    </row>
    <row r="2960" spans="1:5" x14ac:dyDescent="0.35">
      <c r="A2960" s="1" t="s">
        <v>147</v>
      </c>
      <c r="B2960" s="1" t="s">
        <v>160</v>
      </c>
      <c r="C2960" s="1" t="s">
        <v>145</v>
      </c>
      <c r="D2960" s="1" t="s">
        <v>146</v>
      </c>
      <c r="E2960" t="s">
        <v>136</v>
      </c>
    </row>
    <row r="2961" spans="1:5" x14ac:dyDescent="0.35">
      <c r="A2961" s="1" t="s">
        <v>147</v>
      </c>
      <c r="B2961" s="1"/>
      <c r="C2961" s="1"/>
      <c r="D2961" s="1" t="s">
        <v>148</v>
      </c>
      <c r="E2961" t="s">
        <v>136</v>
      </c>
    </row>
    <row r="2962" spans="1:5" x14ac:dyDescent="0.35">
      <c r="A2962" s="1" t="s">
        <v>147</v>
      </c>
      <c r="B2962" s="1"/>
      <c r="C2962" s="1"/>
      <c r="D2962" s="1" t="s">
        <v>149</v>
      </c>
      <c r="E2962" t="s">
        <v>136</v>
      </c>
    </row>
    <row r="2963" spans="1:5" x14ac:dyDescent="0.35">
      <c r="A2963" s="1" t="s">
        <v>147</v>
      </c>
      <c r="B2963" s="1"/>
      <c r="C2963" s="1" t="s">
        <v>150</v>
      </c>
      <c r="D2963" s="1" t="s">
        <v>146</v>
      </c>
      <c r="E2963" t="s">
        <v>136</v>
      </c>
    </row>
    <row r="2964" spans="1:5" x14ac:dyDescent="0.35">
      <c r="A2964" s="1" t="s">
        <v>147</v>
      </c>
      <c r="B2964" s="1"/>
      <c r="C2964" s="1"/>
      <c r="D2964" s="1" t="s">
        <v>148</v>
      </c>
      <c r="E2964" t="s">
        <v>136</v>
      </c>
    </row>
    <row r="2965" spans="1:5" x14ac:dyDescent="0.35">
      <c r="A2965" s="1" t="s">
        <v>147</v>
      </c>
      <c r="B2965" s="1"/>
      <c r="C2965" s="1"/>
      <c r="D2965" s="1" t="s">
        <v>149</v>
      </c>
      <c r="E2965" t="s">
        <v>136</v>
      </c>
    </row>
    <row r="2966" spans="1:5" x14ac:dyDescent="0.35">
      <c r="A2966" s="1" t="s">
        <v>147</v>
      </c>
      <c r="B2966" s="1" t="s">
        <v>161</v>
      </c>
      <c r="C2966" s="1" t="s">
        <v>145</v>
      </c>
      <c r="D2966" s="1" t="s">
        <v>146</v>
      </c>
      <c r="E2966" t="s">
        <v>136</v>
      </c>
    </row>
    <row r="2967" spans="1:5" x14ac:dyDescent="0.35">
      <c r="A2967" s="1" t="s">
        <v>147</v>
      </c>
      <c r="B2967" s="1"/>
      <c r="C2967" s="1"/>
      <c r="D2967" s="1" t="s">
        <v>148</v>
      </c>
      <c r="E2967" t="s">
        <v>136</v>
      </c>
    </row>
    <row r="2968" spans="1:5" x14ac:dyDescent="0.35">
      <c r="A2968" s="1" t="s">
        <v>147</v>
      </c>
      <c r="B2968" s="1"/>
      <c r="C2968" s="1"/>
      <c r="D2968" s="1" t="s">
        <v>149</v>
      </c>
      <c r="E2968" t="s">
        <v>136</v>
      </c>
    </row>
    <row r="2969" spans="1:5" x14ac:dyDescent="0.35">
      <c r="A2969" s="1" t="s">
        <v>147</v>
      </c>
      <c r="B2969" s="1"/>
      <c r="C2969" s="1" t="s">
        <v>150</v>
      </c>
      <c r="D2969" s="1" t="s">
        <v>146</v>
      </c>
      <c r="E2969" t="s">
        <v>136</v>
      </c>
    </row>
    <row r="2970" spans="1:5" x14ac:dyDescent="0.35">
      <c r="A2970" s="1" t="s">
        <v>147</v>
      </c>
      <c r="B2970" s="1"/>
      <c r="C2970" s="1"/>
      <c r="D2970" s="1" t="s">
        <v>148</v>
      </c>
      <c r="E2970" t="s">
        <v>136</v>
      </c>
    </row>
    <row r="2971" spans="1:5" x14ac:dyDescent="0.35">
      <c r="A2971" s="1" t="s">
        <v>147</v>
      </c>
      <c r="B2971" s="1"/>
      <c r="C2971" s="1"/>
      <c r="D2971" s="1" t="s">
        <v>149</v>
      </c>
      <c r="E2971" t="s">
        <v>136</v>
      </c>
    </row>
    <row r="2972" spans="1:5" x14ac:dyDescent="0.35">
      <c r="A2972" s="1" t="s">
        <v>147</v>
      </c>
      <c r="B2972" s="1" t="s">
        <v>162</v>
      </c>
      <c r="C2972" s="1" t="s">
        <v>145</v>
      </c>
      <c r="D2972" s="1" t="s">
        <v>146</v>
      </c>
      <c r="E2972" t="s">
        <v>136</v>
      </c>
    </row>
    <row r="2973" spans="1:5" x14ac:dyDescent="0.35">
      <c r="A2973" s="1" t="s">
        <v>147</v>
      </c>
      <c r="B2973" s="1"/>
      <c r="C2973" s="1"/>
      <c r="D2973" s="1" t="s">
        <v>148</v>
      </c>
      <c r="E2973" t="s">
        <v>136</v>
      </c>
    </row>
    <row r="2974" spans="1:5" x14ac:dyDescent="0.35">
      <c r="A2974" s="1" t="s">
        <v>147</v>
      </c>
      <c r="B2974" s="1"/>
      <c r="C2974" s="1"/>
      <c r="D2974" s="1" t="s">
        <v>149</v>
      </c>
      <c r="E2974" t="s">
        <v>136</v>
      </c>
    </row>
    <row r="2975" spans="1:5" x14ac:dyDescent="0.35">
      <c r="A2975" s="1" t="s">
        <v>147</v>
      </c>
      <c r="B2975" s="1"/>
      <c r="C2975" s="1" t="s">
        <v>150</v>
      </c>
      <c r="D2975" s="1" t="s">
        <v>146</v>
      </c>
      <c r="E2975" t="s">
        <v>136</v>
      </c>
    </row>
    <row r="2976" spans="1:5" x14ac:dyDescent="0.35">
      <c r="A2976" s="1" t="s">
        <v>147</v>
      </c>
      <c r="B2976" s="1"/>
      <c r="C2976" s="1"/>
      <c r="D2976" s="1" t="s">
        <v>148</v>
      </c>
      <c r="E2976" t="s">
        <v>136</v>
      </c>
    </row>
    <row r="2977" spans="1:5" x14ac:dyDescent="0.35">
      <c r="A2977" s="1" t="s">
        <v>147</v>
      </c>
      <c r="B2977" s="1"/>
      <c r="C2977" s="1"/>
      <c r="D2977" s="1" t="s">
        <v>149</v>
      </c>
      <c r="E2977" t="s">
        <v>136</v>
      </c>
    </row>
    <row r="2978" spans="1:5" x14ac:dyDescent="0.35">
      <c r="A2978" s="1" t="s">
        <v>147</v>
      </c>
      <c r="B2978" s="1" t="s">
        <v>163</v>
      </c>
      <c r="C2978" s="1" t="s">
        <v>145</v>
      </c>
      <c r="D2978" s="1" t="s">
        <v>146</v>
      </c>
      <c r="E2978">
        <v>11416</v>
      </c>
    </row>
    <row r="2979" spans="1:5" x14ac:dyDescent="0.35">
      <c r="A2979" s="1" t="s">
        <v>147</v>
      </c>
      <c r="B2979" s="1"/>
      <c r="C2979" s="1"/>
      <c r="D2979" s="1" t="s">
        <v>148</v>
      </c>
      <c r="E2979">
        <v>11416</v>
      </c>
    </row>
    <row r="2980" spans="1:5" x14ac:dyDescent="0.35">
      <c r="A2980" s="1" t="s">
        <v>147</v>
      </c>
      <c r="B2980" s="1"/>
      <c r="C2980" s="1"/>
      <c r="D2980" s="1" t="s">
        <v>149</v>
      </c>
      <c r="E2980" t="s">
        <v>136</v>
      </c>
    </row>
    <row r="2981" spans="1:5" x14ac:dyDescent="0.35">
      <c r="A2981" s="1" t="s">
        <v>147</v>
      </c>
      <c r="B2981" s="1"/>
      <c r="C2981" s="1" t="s">
        <v>150</v>
      </c>
      <c r="D2981" s="1" t="s">
        <v>146</v>
      </c>
      <c r="E2981" t="s">
        <v>136</v>
      </c>
    </row>
    <row r="2982" spans="1:5" x14ac:dyDescent="0.35">
      <c r="A2982" s="1" t="s">
        <v>147</v>
      </c>
      <c r="B2982" s="1"/>
      <c r="C2982" s="1"/>
      <c r="D2982" s="1" t="s">
        <v>148</v>
      </c>
      <c r="E2982" t="s">
        <v>136</v>
      </c>
    </row>
    <row r="2983" spans="1:5" x14ac:dyDescent="0.35">
      <c r="A2983" s="1" t="s">
        <v>147</v>
      </c>
      <c r="B2983" s="1"/>
      <c r="C2983" s="1"/>
      <c r="D2983" s="1" t="s">
        <v>149</v>
      </c>
      <c r="E2983" t="s">
        <v>136</v>
      </c>
    </row>
    <row r="2984" spans="1:5" x14ac:dyDescent="0.35">
      <c r="A2984" s="1" t="s">
        <v>147</v>
      </c>
      <c r="B2984" s="1" t="s">
        <v>164</v>
      </c>
      <c r="C2984" s="1" t="s">
        <v>145</v>
      </c>
      <c r="D2984" s="1" t="s">
        <v>146</v>
      </c>
      <c r="E2984" t="s">
        <v>136</v>
      </c>
    </row>
    <row r="2985" spans="1:5" x14ac:dyDescent="0.35">
      <c r="A2985" s="1" t="s">
        <v>147</v>
      </c>
      <c r="B2985" s="1"/>
      <c r="C2985" s="1"/>
      <c r="D2985" s="1" t="s">
        <v>148</v>
      </c>
      <c r="E2985" t="s">
        <v>136</v>
      </c>
    </row>
    <row r="2986" spans="1:5" x14ac:dyDescent="0.35">
      <c r="A2986" s="1" t="s">
        <v>147</v>
      </c>
      <c r="B2986" s="1"/>
      <c r="C2986" s="1"/>
      <c r="D2986" s="1" t="s">
        <v>149</v>
      </c>
      <c r="E2986" t="s">
        <v>136</v>
      </c>
    </row>
    <row r="2987" spans="1:5" x14ac:dyDescent="0.35">
      <c r="A2987" s="1" t="s">
        <v>147</v>
      </c>
      <c r="B2987" s="1"/>
      <c r="C2987" s="1" t="s">
        <v>150</v>
      </c>
      <c r="D2987" s="1" t="s">
        <v>146</v>
      </c>
      <c r="E2987" t="s">
        <v>136</v>
      </c>
    </row>
    <row r="2988" spans="1:5" x14ac:dyDescent="0.35">
      <c r="A2988" s="1" t="s">
        <v>147</v>
      </c>
      <c r="B2988" s="1"/>
      <c r="C2988" s="1"/>
      <c r="D2988" s="1" t="s">
        <v>148</v>
      </c>
      <c r="E2988" t="s">
        <v>136</v>
      </c>
    </row>
    <row r="2989" spans="1:5" x14ac:dyDescent="0.35">
      <c r="A2989" s="1" t="s">
        <v>147</v>
      </c>
      <c r="B2989" s="1"/>
      <c r="C2989" s="1"/>
      <c r="D2989" s="1" t="s">
        <v>149</v>
      </c>
      <c r="E2989" t="s">
        <v>136</v>
      </c>
    </row>
    <row r="2990" spans="1:5" x14ac:dyDescent="0.35">
      <c r="A2990" s="1" t="s">
        <v>147</v>
      </c>
      <c r="B2990" s="1" t="s">
        <v>165</v>
      </c>
      <c r="C2990" s="1" t="s">
        <v>145</v>
      </c>
      <c r="D2990" s="1" t="s">
        <v>146</v>
      </c>
      <c r="E2990" t="s">
        <v>136</v>
      </c>
    </row>
    <row r="2991" spans="1:5" x14ac:dyDescent="0.35">
      <c r="A2991" s="1" t="s">
        <v>147</v>
      </c>
      <c r="B2991" s="1"/>
      <c r="C2991" s="1"/>
      <c r="D2991" s="1" t="s">
        <v>148</v>
      </c>
      <c r="E2991" t="s">
        <v>136</v>
      </c>
    </row>
    <row r="2992" spans="1:5" x14ac:dyDescent="0.35">
      <c r="A2992" s="1" t="s">
        <v>147</v>
      </c>
      <c r="B2992" s="1"/>
      <c r="C2992" s="1"/>
      <c r="D2992" s="1" t="s">
        <v>149</v>
      </c>
      <c r="E2992" t="s">
        <v>136</v>
      </c>
    </row>
    <row r="2993" spans="1:5" x14ac:dyDescent="0.35">
      <c r="A2993" s="1" t="s">
        <v>147</v>
      </c>
      <c r="B2993" s="1"/>
      <c r="C2993" s="1" t="s">
        <v>150</v>
      </c>
      <c r="D2993" s="1" t="s">
        <v>146</v>
      </c>
      <c r="E2993" t="s">
        <v>136</v>
      </c>
    </row>
    <row r="2994" spans="1:5" x14ac:dyDescent="0.35">
      <c r="A2994" s="1" t="s">
        <v>147</v>
      </c>
      <c r="B2994" s="1"/>
      <c r="C2994" s="1"/>
      <c r="D2994" s="1" t="s">
        <v>148</v>
      </c>
      <c r="E2994" t="s">
        <v>136</v>
      </c>
    </row>
    <row r="2995" spans="1:5" x14ac:dyDescent="0.35">
      <c r="A2995" s="1" t="s">
        <v>147</v>
      </c>
      <c r="B2995" s="1"/>
      <c r="C2995" s="1"/>
      <c r="D2995" s="1" t="s">
        <v>149</v>
      </c>
      <c r="E2995" t="s">
        <v>136</v>
      </c>
    </row>
    <row r="2996" spans="1:5" x14ac:dyDescent="0.35">
      <c r="A2996" s="1" t="s">
        <v>147</v>
      </c>
      <c r="B2996" s="1" t="s">
        <v>166</v>
      </c>
      <c r="C2996" s="1" t="s">
        <v>145</v>
      </c>
      <c r="D2996" s="1" t="s">
        <v>146</v>
      </c>
      <c r="E2996">
        <v>4725</v>
      </c>
    </row>
    <row r="2997" spans="1:5" x14ac:dyDescent="0.35">
      <c r="A2997" s="1" t="s">
        <v>147</v>
      </c>
      <c r="B2997" s="1"/>
      <c r="C2997" s="1"/>
      <c r="D2997" s="1" t="s">
        <v>148</v>
      </c>
      <c r="E2997">
        <v>4725</v>
      </c>
    </row>
    <row r="2998" spans="1:5" x14ac:dyDescent="0.35">
      <c r="A2998" s="1" t="s">
        <v>147</v>
      </c>
      <c r="B2998" s="1"/>
      <c r="C2998" s="1"/>
      <c r="D2998" s="1" t="s">
        <v>149</v>
      </c>
      <c r="E2998" t="s">
        <v>136</v>
      </c>
    </row>
    <row r="2999" spans="1:5" x14ac:dyDescent="0.35">
      <c r="A2999" s="1" t="s">
        <v>147</v>
      </c>
      <c r="B2999" s="1"/>
      <c r="C2999" s="1" t="s">
        <v>150</v>
      </c>
      <c r="D2999" s="1" t="s">
        <v>146</v>
      </c>
      <c r="E2999" t="s">
        <v>136</v>
      </c>
    </row>
    <row r="3000" spans="1:5" x14ac:dyDescent="0.35">
      <c r="A3000" s="1" t="s">
        <v>147</v>
      </c>
      <c r="B3000" s="1"/>
      <c r="C3000" s="1"/>
      <c r="D3000" s="1" t="s">
        <v>148</v>
      </c>
      <c r="E3000" t="s">
        <v>136</v>
      </c>
    </row>
    <row r="3001" spans="1:5" x14ac:dyDescent="0.35">
      <c r="A3001" s="1" t="s">
        <v>147</v>
      </c>
      <c r="B3001" s="1"/>
      <c r="C3001" s="1"/>
      <c r="D3001" s="1" t="s">
        <v>149</v>
      </c>
      <c r="E3001" t="s">
        <v>136</v>
      </c>
    </row>
    <row r="3002" spans="1:5" x14ac:dyDescent="0.35">
      <c r="A3002" s="1" t="s">
        <v>147</v>
      </c>
      <c r="B3002" s="1" t="s">
        <v>167</v>
      </c>
      <c r="C3002" s="1" t="s">
        <v>145</v>
      </c>
      <c r="D3002" s="1" t="s">
        <v>146</v>
      </c>
      <c r="E3002">
        <v>6691</v>
      </c>
    </row>
    <row r="3003" spans="1:5" x14ac:dyDescent="0.35">
      <c r="A3003" s="1" t="s">
        <v>147</v>
      </c>
      <c r="B3003" s="1"/>
      <c r="C3003" s="1"/>
      <c r="D3003" s="1" t="s">
        <v>148</v>
      </c>
      <c r="E3003">
        <v>6691</v>
      </c>
    </row>
    <row r="3004" spans="1:5" x14ac:dyDescent="0.35">
      <c r="A3004" s="1" t="s">
        <v>147</v>
      </c>
      <c r="B3004" s="1"/>
      <c r="C3004" s="1"/>
      <c r="D3004" s="1" t="s">
        <v>149</v>
      </c>
      <c r="E3004" t="s">
        <v>136</v>
      </c>
    </row>
    <row r="3005" spans="1:5" x14ac:dyDescent="0.35">
      <c r="A3005" s="1" t="s">
        <v>147</v>
      </c>
      <c r="B3005" s="1"/>
      <c r="C3005" s="1" t="s">
        <v>150</v>
      </c>
      <c r="D3005" s="1" t="s">
        <v>146</v>
      </c>
      <c r="E3005" t="s">
        <v>136</v>
      </c>
    </row>
    <row r="3006" spans="1:5" x14ac:dyDescent="0.35">
      <c r="A3006" s="1" t="s">
        <v>147</v>
      </c>
      <c r="B3006" s="1"/>
      <c r="C3006" s="1"/>
      <c r="D3006" s="1" t="s">
        <v>148</v>
      </c>
      <c r="E3006" t="s">
        <v>136</v>
      </c>
    </row>
    <row r="3007" spans="1:5" x14ac:dyDescent="0.35">
      <c r="A3007" s="1" t="s">
        <v>147</v>
      </c>
      <c r="B3007" s="1"/>
      <c r="C3007" s="1"/>
      <c r="D3007" s="1" t="s">
        <v>149</v>
      </c>
      <c r="E3007" t="s">
        <v>136</v>
      </c>
    </row>
    <row r="3008" spans="1:5" x14ac:dyDescent="0.35">
      <c r="A3008" s="1" t="s">
        <v>147</v>
      </c>
      <c r="B3008" s="1" t="s">
        <v>168</v>
      </c>
      <c r="C3008" s="1" t="s">
        <v>145</v>
      </c>
      <c r="D3008" s="1" t="s">
        <v>146</v>
      </c>
      <c r="E3008" t="s">
        <v>136</v>
      </c>
    </row>
    <row r="3009" spans="1:5" x14ac:dyDescent="0.35">
      <c r="A3009" s="1" t="s">
        <v>147</v>
      </c>
      <c r="B3009" s="1"/>
      <c r="C3009" s="1"/>
      <c r="D3009" s="1" t="s">
        <v>148</v>
      </c>
      <c r="E3009" t="s">
        <v>136</v>
      </c>
    </row>
    <row r="3010" spans="1:5" x14ac:dyDescent="0.35">
      <c r="A3010" s="1" t="s">
        <v>147</v>
      </c>
      <c r="B3010" s="1"/>
      <c r="C3010" s="1"/>
      <c r="D3010" s="1" t="s">
        <v>149</v>
      </c>
      <c r="E3010" t="s">
        <v>136</v>
      </c>
    </row>
    <row r="3011" spans="1:5" x14ac:dyDescent="0.35">
      <c r="A3011" s="1" t="s">
        <v>147</v>
      </c>
      <c r="B3011" s="1"/>
      <c r="C3011" s="1" t="s">
        <v>150</v>
      </c>
      <c r="D3011" s="1" t="s">
        <v>146</v>
      </c>
      <c r="E3011" t="s">
        <v>136</v>
      </c>
    </row>
    <row r="3012" spans="1:5" x14ac:dyDescent="0.35">
      <c r="A3012" s="1" t="s">
        <v>147</v>
      </c>
      <c r="B3012" s="1"/>
      <c r="C3012" s="1"/>
      <c r="D3012" s="1" t="s">
        <v>148</v>
      </c>
      <c r="E3012" t="s">
        <v>136</v>
      </c>
    </row>
    <row r="3013" spans="1:5" x14ac:dyDescent="0.35">
      <c r="A3013" s="1" t="s">
        <v>147</v>
      </c>
      <c r="B3013" s="1"/>
      <c r="C3013" s="1"/>
      <c r="D3013" s="1" t="s">
        <v>149</v>
      </c>
      <c r="E3013" t="s">
        <v>136</v>
      </c>
    </row>
    <row r="3014" spans="1:5" x14ac:dyDescent="0.35">
      <c r="A3014" s="1" t="s">
        <v>147</v>
      </c>
      <c r="B3014" s="1" t="s">
        <v>169</v>
      </c>
      <c r="C3014" s="1" t="s">
        <v>145</v>
      </c>
      <c r="D3014" s="1" t="s">
        <v>146</v>
      </c>
      <c r="E3014" t="s">
        <v>136</v>
      </c>
    </row>
    <row r="3015" spans="1:5" x14ac:dyDescent="0.35">
      <c r="A3015" s="1" t="s">
        <v>147</v>
      </c>
      <c r="B3015" s="1"/>
      <c r="C3015" s="1"/>
      <c r="D3015" s="1" t="s">
        <v>148</v>
      </c>
      <c r="E3015" t="s">
        <v>136</v>
      </c>
    </row>
    <row r="3016" spans="1:5" x14ac:dyDescent="0.35">
      <c r="A3016" s="1" t="s">
        <v>147</v>
      </c>
      <c r="B3016" s="1"/>
      <c r="C3016" s="1"/>
      <c r="D3016" s="1" t="s">
        <v>149</v>
      </c>
      <c r="E3016" t="s">
        <v>136</v>
      </c>
    </row>
    <row r="3017" spans="1:5" x14ac:dyDescent="0.35">
      <c r="A3017" s="1" t="s">
        <v>147</v>
      </c>
      <c r="B3017" s="1"/>
      <c r="C3017" s="1" t="s">
        <v>150</v>
      </c>
      <c r="D3017" s="1" t="s">
        <v>146</v>
      </c>
      <c r="E3017" t="s">
        <v>136</v>
      </c>
    </row>
    <row r="3018" spans="1:5" x14ac:dyDescent="0.35">
      <c r="A3018" s="1" t="s">
        <v>147</v>
      </c>
      <c r="B3018" s="1"/>
      <c r="C3018" s="1"/>
      <c r="D3018" s="1" t="s">
        <v>148</v>
      </c>
      <c r="E3018" t="s">
        <v>136</v>
      </c>
    </row>
    <row r="3019" spans="1:5" x14ac:dyDescent="0.35">
      <c r="A3019" s="1" t="s">
        <v>147</v>
      </c>
      <c r="B3019" s="1"/>
      <c r="C3019" s="1"/>
      <c r="D3019" s="1" t="s">
        <v>149</v>
      </c>
      <c r="E3019" t="s">
        <v>136</v>
      </c>
    </row>
    <row r="3020" spans="1:5" x14ac:dyDescent="0.35">
      <c r="A3020" s="1" t="s">
        <v>147</v>
      </c>
      <c r="B3020" s="1" t="s">
        <v>170</v>
      </c>
      <c r="C3020" s="1" t="s">
        <v>145</v>
      </c>
      <c r="D3020" s="1" t="s">
        <v>146</v>
      </c>
      <c r="E3020" t="s">
        <v>136</v>
      </c>
    </row>
    <row r="3021" spans="1:5" x14ac:dyDescent="0.35">
      <c r="A3021" s="1" t="s">
        <v>147</v>
      </c>
      <c r="B3021" s="1"/>
      <c r="C3021" s="1"/>
      <c r="D3021" s="1" t="s">
        <v>148</v>
      </c>
      <c r="E3021" t="s">
        <v>136</v>
      </c>
    </row>
    <row r="3022" spans="1:5" x14ac:dyDescent="0.35">
      <c r="A3022" s="1" t="s">
        <v>147</v>
      </c>
      <c r="B3022" s="1"/>
      <c r="C3022" s="1"/>
      <c r="D3022" s="1" t="s">
        <v>149</v>
      </c>
      <c r="E3022" t="s">
        <v>136</v>
      </c>
    </row>
    <row r="3023" spans="1:5" x14ac:dyDescent="0.35">
      <c r="A3023" s="1" t="s">
        <v>147</v>
      </c>
      <c r="B3023" s="1"/>
      <c r="C3023" s="1" t="s">
        <v>150</v>
      </c>
      <c r="D3023" s="1" t="s">
        <v>146</v>
      </c>
      <c r="E3023" t="s">
        <v>136</v>
      </c>
    </row>
    <row r="3024" spans="1:5" x14ac:dyDescent="0.35">
      <c r="A3024" s="1" t="s">
        <v>147</v>
      </c>
      <c r="B3024" s="1"/>
      <c r="C3024" s="1"/>
      <c r="D3024" s="1" t="s">
        <v>148</v>
      </c>
      <c r="E3024" t="s">
        <v>136</v>
      </c>
    </row>
    <row r="3025" spans="1:5" x14ac:dyDescent="0.35">
      <c r="A3025" s="1" t="s">
        <v>147</v>
      </c>
      <c r="B3025" s="1"/>
      <c r="C3025" s="1"/>
      <c r="D3025" s="1" t="s">
        <v>149</v>
      </c>
      <c r="E3025" t="s">
        <v>136</v>
      </c>
    </row>
    <row r="3026" spans="1:5" x14ac:dyDescent="0.35">
      <c r="A3026" s="1" t="s">
        <v>79</v>
      </c>
      <c r="B3026" s="1" t="s">
        <v>144</v>
      </c>
      <c r="C3026" s="1" t="s">
        <v>145</v>
      </c>
      <c r="D3026" s="1" t="s">
        <v>146</v>
      </c>
      <c r="E3026">
        <v>251</v>
      </c>
    </row>
    <row r="3027" spans="1:5" x14ac:dyDescent="0.35">
      <c r="A3027" s="1" t="s">
        <v>147</v>
      </c>
      <c r="B3027" s="1"/>
      <c r="C3027" s="1"/>
      <c r="D3027" s="1" t="s">
        <v>148</v>
      </c>
      <c r="E3027">
        <v>236.31</v>
      </c>
    </row>
    <row r="3028" spans="1:5" x14ac:dyDescent="0.35">
      <c r="A3028" s="1" t="s">
        <v>147</v>
      </c>
      <c r="B3028" s="1"/>
      <c r="C3028" s="1"/>
      <c r="D3028" s="1" t="s">
        <v>149</v>
      </c>
      <c r="E3028">
        <v>14.69</v>
      </c>
    </row>
    <row r="3029" spans="1:5" x14ac:dyDescent="0.35">
      <c r="A3029" s="1" t="s">
        <v>147</v>
      </c>
      <c r="B3029" s="1"/>
      <c r="C3029" s="1" t="s">
        <v>150</v>
      </c>
      <c r="D3029" s="1" t="s">
        <v>146</v>
      </c>
      <c r="E3029" t="s">
        <v>136</v>
      </c>
    </row>
    <row r="3030" spans="1:5" x14ac:dyDescent="0.35">
      <c r="A3030" s="1" t="s">
        <v>147</v>
      </c>
      <c r="B3030" s="1"/>
      <c r="C3030" s="1"/>
      <c r="D3030" s="1" t="s">
        <v>148</v>
      </c>
      <c r="E3030" t="s">
        <v>136</v>
      </c>
    </row>
    <row r="3031" spans="1:5" x14ac:dyDescent="0.35">
      <c r="A3031" s="1" t="s">
        <v>147</v>
      </c>
      <c r="B3031" s="1"/>
      <c r="C3031" s="1"/>
      <c r="D3031" s="1" t="s">
        <v>149</v>
      </c>
      <c r="E3031" t="s">
        <v>136</v>
      </c>
    </row>
    <row r="3032" spans="1:5" x14ac:dyDescent="0.35">
      <c r="A3032" s="1" t="s">
        <v>147</v>
      </c>
      <c r="B3032" s="1" t="s">
        <v>151</v>
      </c>
      <c r="C3032" s="1" t="s">
        <v>145</v>
      </c>
      <c r="D3032" s="1" t="s">
        <v>146</v>
      </c>
      <c r="E3032">
        <v>58.02</v>
      </c>
    </row>
    <row r="3033" spans="1:5" x14ac:dyDescent="0.35">
      <c r="A3033" s="1" t="s">
        <v>147</v>
      </c>
      <c r="B3033" s="1"/>
      <c r="C3033" s="1"/>
      <c r="D3033" s="1" t="s">
        <v>148</v>
      </c>
      <c r="E3033">
        <v>49.86</v>
      </c>
    </row>
    <row r="3034" spans="1:5" x14ac:dyDescent="0.35">
      <c r="A3034" s="1" t="s">
        <v>147</v>
      </c>
      <c r="B3034" s="1"/>
      <c r="C3034" s="1"/>
      <c r="D3034" s="1" t="s">
        <v>149</v>
      </c>
      <c r="E3034">
        <v>8.17</v>
      </c>
    </row>
    <row r="3035" spans="1:5" x14ac:dyDescent="0.35">
      <c r="A3035" s="1" t="s">
        <v>147</v>
      </c>
      <c r="B3035" s="1"/>
      <c r="C3035" s="1" t="s">
        <v>150</v>
      </c>
      <c r="D3035" s="1" t="s">
        <v>146</v>
      </c>
      <c r="E3035" t="s">
        <v>136</v>
      </c>
    </row>
    <row r="3036" spans="1:5" x14ac:dyDescent="0.35">
      <c r="A3036" s="1" t="s">
        <v>147</v>
      </c>
      <c r="B3036" s="1"/>
      <c r="C3036" s="1"/>
      <c r="D3036" s="1" t="s">
        <v>148</v>
      </c>
      <c r="E3036" t="s">
        <v>136</v>
      </c>
    </row>
    <row r="3037" spans="1:5" x14ac:dyDescent="0.35">
      <c r="A3037" s="1" t="s">
        <v>147</v>
      </c>
      <c r="B3037" s="1"/>
      <c r="C3037" s="1"/>
      <c r="D3037" s="1" t="s">
        <v>149</v>
      </c>
      <c r="E3037" t="s">
        <v>136</v>
      </c>
    </row>
    <row r="3038" spans="1:5" x14ac:dyDescent="0.35">
      <c r="A3038" s="1" t="s">
        <v>147</v>
      </c>
      <c r="B3038" s="1" t="s">
        <v>152</v>
      </c>
      <c r="C3038" s="1" t="s">
        <v>145</v>
      </c>
      <c r="D3038" s="1" t="s">
        <v>146</v>
      </c>
      <c r="E3038" t="s">
        <v>136</v>
      </c>
    </row>
    <row r="3039" spans="1:5" x14ac:dyDescent="0.35">
      <c r="A3039" s="1" t="s">
        <v>147</v>
      </c>
      <c r="B3039" s="1"/>
      <c r="C3039" s="1"/>
      <c r="D3039" s="1" t="s">
        <v>148</v>
      </c>
      <c r="E3039" t="s">
        <v>136</v>
      </c>
    </row>
    <row r="3040" spans="1:5" x14ac:dyDescent="0.35">
      <c r="A3040" s="1" t="s">
        <v>147</v>
      </c>
      <c r="B3040" s="1"/>
      <c r="C3040" s="1"/>
      <c r="D3040" s="1" t="s">
        <v>149</v>
      </c>
      <c r="E3040" t="s">
        <v>136</v>
      </c>
    </row>
    <row r="3041" spans="1:5" x14ac:dyDescent="0.35">
      <c r="A3041" s="1" t="s">
        <v>147</v>
      </c>
      <c r="B3041" s="1"/>
      <c r="C3041" s="1" t="s">
        <v>150</v>
      </c>
      <c r="D3041" s="1" t="s">
        <v>146</v>
      </c>
      <c r="E3041" t="s">
        <v>136</v>
      </c>
    </row>
    <row r="3042" spans="1:5" x14ac:dyDescent="0.35">
      <c r="A3042" s="1" t="s">
        <v>147</v>
      </c>
      <c r="B3042" s="1"/>
      <c r="C3042" s="1"/>
      <c r="D3042" s="1" t="s">
        <v>148</v>
      </c>
      <c r="E3042" t="s">
        <v>136</v>
      </c>
    </row>
    <row r="3043" spans="1:5" x14ac:dyDescent="0.35">
      <c r="A3043" s="1" t="s">
        <v>147</v>
      </c>
      <c r="B3043" s="1"/>
      <c r="C3043" s="1"/>
      <c r="D3043" s="1" t="s">
        <v>149</v>
      </c>
      <c r="E3043" t="s">
        <v>136</v>
      </c>
    </row>
    <row r="3044" spans="1:5" x14ac:dyDescent="0.35">
      <c r="A3044" s="1" t="s">
        <v>147</v>
      </c>
      <c r="B3044" s="1" t="s">
        <v>153</v>
      </c>
      <c r="C3044" s="1" t="s">
        <v>145</v>
      </c>
      <c r="D3044" s="1" t="s">
        <v>146</v>
      </c>
      <c r="E3044">
        <v>0.18</v>
      </c>
    </row>
    <row r="3045" spans="1:5" x14ac:dyDescent="0.35">
      <c r="A3045" s="1" t="s">
        <v>147</v>
      </c>
      <c r="B3045" s="1"/>
      <c r="C3045" s="1"/>
      <c r="D3045" s="1" t="s">
        <v>148</v>
      </c>
      <c r="E3045" t="s">
        <v>136</v>
      </c>
    </row>
    <row r="3046" spans="1:5" x14ac:dyDescent="0.35">
      <c r="A3046" s="1" t="s">
        <v>147</v>
      </c>
      <c r="B3046" s="1"/>
      <c r="C3046" s="1"/>
      <c r="D3046" s="1" t="s">
        <v>149</v>
      </c>
      <c r="E3046">
        <v>0.18</v>
      </c>
    </row>
    <row r="3047" spans="1:5" x14ac:dyDescent="0.35">
      <c r="A3047" s="1" t="s">
        <v>147</v>
      </c>
      <c r="B3047" s="1"/>
      <c r="C3047" s="1" t="s">
        <v>150</v>
      </c>
      <c r="D3047" s="1" t="s">
        <v>146</v>
      </c>
      <c r="E3047" t="s">
        <v>136</v>
      </c>
    </row>
    <row r="3048" spans="1:5" x14ac:dyDescent="0.35">
      <c r="A3048" s="1" t="s">
        <v>147</v>
      </c>
      <c r="B3048" s="1"/>
      <c r="C3048" s="1"/>
      <c r="D3048" s="1" t="s">
        <v>148</v>
      </c>
      <c r="E3048" t="s">
        <v>136</v>
      </c>
    </row>
    <row r="3049" spans="1:5" x14ac:dyDescent="0.35">
      <c r="A3049" s="1" t="s">
        <v>147</v>
      </c>
      <c r="B3049" s="1"/>
      <c r="C3049" s="1"/>
      <c r="D3049" s="1" t="s">
        <v>149</v>
      </c>
      <c r="E3049" t="s">
        <v>136</v>
      </c>
    </row>
    <row r="3050" spans="1:5" x14ac:dyDescent="0.35">
      <c r="A3050" s="1" t="s">
        <v>147</v>
      </c>
      <c r="B3050" s="1" t="s">
        <v>154</v>
      </c>
      <c r="C3050" s="1" t="s">
        <v>145</v>
      </c>
      <c r="D3050" s="1" t="s">
        <v>146</v>
      </c>
      <c r="E3050" t="s">
        <v>136</v>
      </c>
    </row>
    <row r="3051" spans="1:5" x14ac:dyDescent="0.35">
      <c r="A3051" s="1" t="s">
        <v>147</v>
      </c>
      <c r="B3051" s="1"/>
      <c r="C3051" s="1"/>
      <c r="D3051" s="1" t="s">
        <v>148</v>
      </c>
      <c r="E3051" t="s">
        <v>136</v>
      </c>
    </row>
    <row r="3052" spans="1:5" x14ac:dyDescent="0.35">
      <c r="A3052" s="1" t="s">
        <v>147</v>
      </c>
      <c r="B3052" s="1"/>
      <c r="C3052" s="1"/>
      <c r="D3052" s="1" t="s">
        <v>149</v>
      </c>
      <c r="E3052" t="s">
        <v>136</v>
      </c>
    </row>
    <row r="3053" spans="1:5" x14ac:dyDescent="0.35">
      <c r="A3053" s="1" t="s">
        <v>147</v>
      </c>
      <c r="B3053" s="1"/>
      <c r="C3053" s="1" t="s">
        <v>150</v>
      </c>
      <c r="D3053" s="1" t="s">
        <v>146</v>
      </c>
      <c r="E3053" t="s">
        <v>136</v>
      </c>
    </row>
    <row r="3054" spans="1:5" x14ac:dyDescent="0.35">
      <c r="A3054" s="1" t="s">
        <v>147</v>
      </c>
      <c r="B3054" s="1"/>
      <c r="C3054" s="1"/>
      <c r="D3054" s="1" t="s">
        <v>148</v>
      </c>
      <c r="E3054" t="s">
        <v>136</v>
      </c>
    </row>
    <row r="3055" spans="1:5" x14ac:dyDescent="0.35">
      <c r="A3055" s="1" t="s">
        <v>147</v>
      </c>
      <c r="B3055" s="1"/>
      <c r="C3055" s="1"/>
      <c r="D3055" s="1" t="s">
        <v>149</v>
      </c>
      <c r="E3055" t="s">
        <v>136</v>
      </c>
    </row>
    <row r="3056" spans="1:5" x14ac:dyDescent="0.35">
      <c r="A3056" s="1" t="s">
        <v>147</v>
      </c>
      <c r="B3056" s="1" t="s">
        <v>155</v>
      </c>
      <c r="C3056" s="1" t="s">
        <v>145</v>
      </c>
      <c r="D3056" s="1" t="s">
        <v>146</v>
      </c>
      <c r="E3056">
        <v>192.57</v>
      </c>
    </row>
    <row r="3057" spans="1:5" x14ac:dyDescent="0.35">
      <c r="A3057" s="1" t="s">
        <v>147</v>
      </c>
      <c r="B3057" s="1"/>
      <c r="C3057" s="1"/>
      <c r="D3057" s="1" t="s">
        <v>148</v>
      </c>
      <c r="E3057">
        <v>186.45</v>
      </c>
    </row>
    <row r="3058" spans="1:5" x14ac:dyDescent="0.35">
      <c r="A3058" s="1" t="s">
        <v>147</v>
      </c>
      <c r="B3058" s="1"/>
      <c r="C3058" s="1"/>
      <c r="D3058" s="1" t="s">
        <v>149</v>
      </c>
      <c r="E3058">
        <v>6.12</v>
      </c>
    </row>
    <row r="3059" spans="1:5" x14ac:dyDescent="0.35">
      <c r="A3059" s="1" t="s">
        <v>147</v>
      </c>
      <c r="B3059" s="1"/>
      <c r="C3059" s="1" t="s">
        <v>150</v>
      </c>
      <c r="D3059" s="1" t="s">
        <v>146</v>
      </c>
      <c r="E3059" t="s">
        <v>136</v>
      </c>
    </row>
    <row r="3060" spans="1:5" x14ac:dyDescent="0.35">
      <c r="A3060" s="1" t="s">
        <v>147</v>
      </c>
      <c r="B3060" s="1"/>
      <c r="C3060" s="1"/>
      <c r="D3060" s="1" t="s">
        <v>148</v>
      </c>
      <c r="E3060" t="s">
        <v>136</v>
      </c>
    </row>
    <row r="3061" spans="1:5" x14ac:dyDescent="0.35">
      <c r="A3061" s="1" t="s">
        <v>147</v>
      </c>
      <c r="B3061" s="1"/>
      <c r="C3061" s="1"/>
      <c r="D3061" s="1" t="s">
        <v>149</v>
      </c>
      <c r="E3061" t="s">
        <v>136</v>
      </c>
    </row>
    <row r="3062" spans="1:5" x14ac:dyDescent="0.35">
      <c r="A3062" s="1" t="s">
        <v>147</v>
      </c>
      <c r="B3062" s="1" t="s">
        <v>156</v>
      </c>
      <c r="C3062" s="1" t="s">
        <v>145</v>
      </c>
      <c r="D3062" s="1" t="s">
        <v>146</v>
      </c>
      <c r="E3062" t="s">
        <v>136</v>
      </c>
    </row>
    <row r="3063" spans="1:5" x14ac:dyDescent="0.35">
      <c r="A3063" s="1" t="s">
        <v>147</v>
      </c>
      <c r="B3063" s="1"/>
      <c r="C3063" s="1"/>
      <c r="D3063" s="1" t="s">
        <v>148</v>
      </c>
      <c r="E3063" t="s">
        <v>136</v>
      </c>
    </row>
    <row r="3064" spans="1:5" x14ac:dyDescent="0.35">
      <c r="A3064" s="1" t="s">
        <v>147</v>
      </c>
      <c r="B3064" s="1"/>
      <c r="C3064" s="1"/>
      <c r="D3064" s="1" t="s">
        <v>149</v>
      </c>
      <c r="E3064" t="s">
        <v>136</v>
      </c>
    </row>
    <row r="3065" spans="1:5" x14ac:dyDescent="0.35">
      <c r="A3065" s="1" t="s">
        <v>147</v>
      </c>
      <c r="B3065" s="1"/>
      <c r="C3065" s="1" t="s">
        <v>150</v>
      </c>
      <c r="D3065" s="1" t="s">
        <v>146</v>
      </c>
      <c r="E3065" t="s">
        <v>136</v>
      </c>
    </row>
    <row r="3066" spans="1:5" x14ac:dyDescent="0.35">
      <c r="A3066" s="1" t="s">
        <v>147</v>
      </c>
      <c r="B3066" s="1"/>
      <c r="C3066" s="1"/>
      <c r="D3066" s="1" t="s">
        <v>148</v>
      </c>
      <c r="E3066" t="s">
        <v>136</v>
      </c>
    </row>
    <row r="3067" spans="1:5" x14ac:dyDescent="0.35">
      <c r="A3067" s="1" t="s">
        <v>147</v>
      </c>
      <c r="B3067" s="1"/>
      <c r="C3067" s="1"/>
      <c r="D3067" s="1" t="s">
        <v>149</v>
      </c>
      <c r="E3067" t="s">
        <v>136</v>
      </c>
    </row>
    <row r="3068" spans="1:5" x14ac:dyDescent="0.35">
      <c r="A3068" s="1" t="s">
        <v>147</v>
      </c>
      <c r="B3068" s="1" t="s">
        <v>157</v>
      </c>
      <c r="C3068" s="1" t="s">
        <v>145</v>
      </c>
      <c r="D3068" s="1" t="s">
        <v>146</v>
      </c>
      <c r="E3068" t="s">
        <v>136</v>
      </c>
    </row>
    <row r="3069" spans="1:5" x14ac:dyDescent="0.35">
      <c r="A3069" s="1" t="s">
        <v>147</v>
      </c>
      <c r="B3069" s="1"/>
      <c r="C3069" s="1"/>
      <c r="D3069" s="1" t="s">
        <v>148</v>
      </c>
      <c r="E3069" t="s">
        <v>136</v>
      </c>
    </row>
    <row r="3070" spans="1:5" x14ac:dyDescent="0.35">
      <c r="A3070" s="1" t="s">
        <v>147</v>
      </c>
      <c r="B3070" s="1"/>
      <c r="C3070" s="1"/>
      <c r="D3070" s="1" t="s">
        <v>149</v>
      </c>
      <c r="E3070" t="s">
        <v>136</v>
      </c>
    </row>
    <row r="3071" spans="1:5" x14ac:dyDescent="0.35">
      <c r="A3071" s="1" t="s">
        <v>147</v>
      </c>
      <c r="B3071" s="1"/>
      <c r="C3071" s="1" t="s">
        <v>150</v>
      </c>
      <c r="D3071" s="1" t="s">
        <v>146</v>
      </c>
      <c r="E3071" t="s">
        <v>136</v>
      </c>
    </row>
    <row r="3072" spans="1:5" x14ac:dyDescent="0.35">
      <c r="A3072" s="1" t="s">
        <v>147</v>
      </c>
      <c r="B3072" s="1"/>
      <c r="C3072" s="1"/>
      <c r="D3072" s="1" t="s">
        <v>148</v>
      </c>
      <c r="E3072" t="s">
        <v>136</v>
      </c>
    </row>
    <row r="3073" spans="1:5" x14ac:dyDescent="0.35">
      <c r="A3073" s="1" t="s">
        <v>147</v>
      </c>
      <c r="B3073" s="1"/>
      <c r="C3073" s="1"/>
      <c r="D3073" s="1" t="s">
        <v>149</v>
      </c>
      <c r="E3073" t="s">
        <v>136</v>
      </c>
    </row>
    <row r="3074" spans="1:5" x14ac:dyDescent="0.35">
      <c r="A3074" s="1" t="s">
        <v>147</v>
      </c>
      <c r="B3074" s="1" t="s">
        <v>158</v>
      </c>
      <c r="C3074" s="1" t="s">
        <v>145</v>
      </c>
      <c r="D3074" s="1" t="s">
        <v>146</v>
      </c>
      <c r="E3074">
        <v>0.23</v>
      </c>
    </row>
    <row r="3075" spans="1:5" x14ac:dyDescent="0.35">
      <c r="A3075" s="1" t="s">
        <v>147</v>
      </c>
      <c r="B3075" s="1"/>
      <c r="C3075" s="1"/>
      <c r="D3075" s="1" t="s">
        <v>148</v>
      </c>
      <c r="E3075" t="s">
        <v>136</v>
      </c>
    </row>
    <row r="3076" spans="1:5" x14ac:dyDescent="0.35">
      <c r="A3076" s="1" t="s">
        <v>147</v>
      </c>
      <c r="B3076" s="1"/>
      <c r="C3076" s="1"/>
      <c r="D3076" s="1" t="s">
        <v>149</v>
      </c>
      <c r="E3076">
        <v>0.23</v>
      </c>
    </row>
    <row r="3077" spans="1:5" x14ac:dyDescent="0.35">
      <c r="A3077" s="1" t="s">
        <v>147</v>
      </c>
      <c r="B3077" s="1"/>
      <c r="C3077" s="1" t="s">
        <v>150</v>
      </c>
      <c r="D3077" s="1" t="s">
        <v>146</v>
      </c>
      <c r="E3077" t="s">
        <v>136</v>
      </c>
    </row>
    <row r="3078" spans="1:5" x14ac:dyDescent="0.35">
      <c r="A3078" s="1" t="s">
        <v>147</v>
      </c>
      <c r="B3078" s="1"/>
      <c r="C3078" s="1"/>
      <c r="D3078" s="1" t="s">
        <v>148</v>
      </c>
      <c r="E3078" t="s">
        <v>136</v>
      </c>
    </row>
    <row r="3079" spans="1:5" x14ac:dyDescent="0.35">
      <c r="A3079" s="1" t="s">
        <v>147</v>
      </c>
      <c r="B3079" s="1"/>
      <c r="C3079" s="1"/>
      <c r="D3079" s="1" t="s">
        <v>149</v>
      </c>
      <c r="E3079" t="s">
        <v>136</v>
      </c>
    </row>
    <row r="3080" spans="1:5" x14ac:dyDescent="0.35">
      <c r="A3080" s="1" t="s">
        <v>147</v>
      </c>
      <c r="B3080" s="1" t="s">
        <v>159</v>
      </c>
      <c r="C3080" s="1" t="s">
        <v>145</v>
      </c>
      <c r="D3080" s="1" t="s">
        <v>146</v>
      </c>
      <c r="E3080" t="s">
        <v>136</v>
      </c>
    </row>
    <row r="3081" spans="1:5" x14ac:dyDescent="0.35">
      <c r="A3081" s="1" t="s">
        <v>147</v>
      </c>
      <c r="B3081" s="1"/>
      <c r="C3081" s="1"/>
      <c r="D3081" s="1" t="s">
        <v>148</v>
      </c>
      <c r="E3081" t="s">
        <v>136</v>
      </c>
    </row>
    <row r="3082" spans="1:5" x14ac:dyDescent="0.35">
      <c r="A3082" s="1" t="s">
        <v>147</v>
      </c>
      <c r="B3082" s="1"/>
      <c r="C3082" s="1"/>
      <c r="D3082" s="1" t="s">
        <v>149</v>
      </c>
      <c r="E3082" t="s">
        <v>136</v>
      </c>
    </row>
    <row r="3083" spans="1:5" x14ac:dyDescent="0.35">
      <c r="A3083" s="1" t="s">
        <v>147</v>
      </c>
      <c r="B3083" s="1"/>
      <c r="C3083" s="1" t="s">
        <v>150</v>
      </c>
      <c r="D3083" s="1" t="s">
        <v>146</v>
      </c>
      <c r="E3083" t="s">
        <v>136</v>
      </c>
    </row>
    <row r="3084" spans="1:5" x14ac:dyDescent="0.35">
      <c r="A3084" s="1" t="s">
        <v>147</v>
      </c>
      <c r="B3084" s="1"/>
      <c r="C3084" s="1"/>
      <c r="D3084" s="1" t="s">
        <v>148</v>
      </c>
      <c r="E3084" t="s">
        <v>136</v>
      </c>
    </row>
    <row r="3085" spans="1:5" x14ac:dyDescent="0.35">
      <c r="A3085" s="1" t="s">
        <v>147</v>
      </c>
      <c r="B3085" s="1"/>
      <c r="C3085" s="1"/>
      <c r="D3085" s="1" t="s">
        <v>149</v>
      </c>
      <c r="E3085" t="s">
        <v>136</v>
      </c>
    </row>
    <row r="3086" spans="1:5" x14ac:dyDescent="0.35">
      <c r="A3086" s="1" t="s">
        <v>147</v>
      </c>
      <c r="B3086" s="1" t="s">
        <v>160</v>
      </c>
      <c r="C3086" s="1" t="s">
        <v>145</v>
      </c>
      <c r="D3086" s="1" t="s">
        <v>146</v>
      </c>
      <c r="E3086" t="s">
        <v>136</v>
      </c>
    </row>
    <row r="3087" spans="1:5" x14ac:dyDescent="0.35">
      <c r="A3087" s="1" t="s">
        <v>147</v>
      </c>
      <c r="B3087" s="1"/>
      <c r="C3087" s="1"/>
      <c r="D3087" s="1" t="s">
        <v>148</v>
      </c>
      <c r="E3087" t="s">
        <v>136</v>
      </c>
    </row>
    <row r="3088" spans="1:5" x14ac:dyDescent="0.35">
      <c r="A3088" s="1" t="s">
        <v>147</v>
      </c>
      <c r="B3088" s="1"/>
      <c r="C3088" s="1"/>
      <c r="D3088" s="1" t="s">
        <v>149</v>
      </c>
      <c r="E3088" t="s">
        <v>136</v>
      </c>
    </row>
    <row r="3089" spans="1:5" x14ac:dyDescent="0.35">
      <c r="A3089" s="1" t="s">
        <v>147</v>
      </c>
      <c r="B3089" s="1"/>
      <c r="C3089" s="1" t="s">
        <v>150</v>
      </c>
      <c r="D3089" s="1" t="s">
        <v>146</v>
      </c>
      <c r="E3089" t="s">
        <v>136</v>
      </c>
    </row>
    <row r="3090" spans="1:5" x14ac:dyDescent="0.35">
      <c r="A3090" s="1" t="s">
        <v>147</v>
      </c>
      <c r="B3090" s="1"/>
      <c r="C3090" s="1"/>
      <c r="D3090" s="1" t="s">
        <v>148</v>
      </c>
      <c r="E3090" t="s">
        <v>136</v>
      </c>
    </row>
    <row r="3091" spans="1:5" x14ac:dyDescent="0.35">
      <c r="A3091" s="1" t="s">
        <v>147</v>
      </c>
      <c r="B3091" s="1"/>
      <c r="C3091" s="1"/>
      <c r="D3091" s="1" t="s">
        <v>149</v>
      </c>
      <c r="E3091" t="s">
        <v>136</v>
      </c>
    </row>
    <row r="3092" spans="1:5" x14ac:dyDescent="0.35">
      <c r="A3092" s="1" t="s">
        <v>147</v>
      </c>
      <c r="B3092" s="1" t="s">
        <v>161</v>
      </c>
      <c r="C3092" s="1" t="s">
        <v>145</v>
      </c>
      <c r="D3092" s="1" t="s">
        <v>146</v>
      </c>
      <c r="E3092" t="s">
        <v>136</v>
      </c>
    </row>
    <row r="3093" spans="1:5" x14ac:dyDescent="0.35">
      <c r="A3093" s="1" t="s">
        <v>147</v>
      </c>
      <c r="B3093" s="1"/>
      <c r="C3093" s="1"/>
      <c r="D3093" s="1" t="s">
        <v>148</v>
      </c>
      <c r="E3093" t="s">
        <v>136</v>
      </c>
    </row>
    <row r="3094" spans="1:5" x14ac:dyDescent="0.35">
      <c r="A3094" s="1" t="s">
        <v>147</v>
      </c>
      <c r="B3094" s="1"/>
      <c r="C3094" s="1"/>
      <c r="D3094" s="1" t="s">
        <v>149</v>
      </c>
      <c r="E3094" t="s">
        <v>136</v>
      </c>
    </row>
    <row r="3095" spans="1:5" x14ac:dyDescent="0.35">
      <c r="A3095" s="1" t="s">
        <v>147</v>
      </c>
      <c r="B3095" s="1"/>
      <c r="C3095" s="1" t="s">
        <v>150</v>
      </c>
      <c r="D3095" s="1" t="s">
        <v>146</v>
      </c>
      <c r="E3095" t="s">
        <v>136</v>
      </c>
    </row>
    <row r="3096" spans="1:5" x14ac:dyDescent="0.35">
      <c r="A3096" s="1" t="s">
        <v>147</v>
      </c>
      <c r="B3096" s="1"/>
      <c r="C3096" s="1"/>
      <c r="D3096" s="1" t="s">
        <v>148</v>
      </c>
      <c r="E3096" t="s">
        <v>136</v>
      </c>
    </row>
    <row r="3097" spans="1:5" x14ac:dyDescent="0.35">
      <c r="A3097" s="1" t="s">
        <v>147</v>
      </c>
      <c r="B3097" s="1"/>
      <c r="C3097" s="1"/>
      <c r="D3097" s="1" t="s">
        <v>149</v>
      </c>
      <c r="E3097" t="s">
        <v>136</v>
      </c>
    </row>
    <row r="3098" spans="1:5" x14ac:dyDescent="0.35">
      <c r="A3098" s="1" t="s">
        <v>147</v>
      </c>
      <c r="B3098" s="1" t="s">
        <v>162</v>
      </c>
      <c r="C3098" s="1" t="s">
        <v>145</v>
      </c>
      <c r="D3098" s="1" t="s">
        <v>146</v>
      </c>
      <c r="E3098" t="s">
        <v>136</v>
      </c>
    </row>
    <row r="3099" spans="1:5" x14ac:dyDescent="0.35">
      <c r="A3099" s="1" t="s">
        <v>147</v>
      </c>
      <c r="B3099" s="1"/>
      <c r="C3099" s="1"/>
      <c r="D3099" s="1" t="s">
        <v>148</v>
      </c>
      <c r="E3099" t="s">
        <v>136</v>
      </c>
    </row>
    <row r="3100" spans="1:5" x14ac:dyDescent="0.35">
      <c r="A3100" s="1" t="s">
        <v>147</v>
      </c>
      <c r="B3100" s="1"/>
      <c r="C3100" s="1"/>
      <c r="D3100" s="1" t="s">
        <v>149</v>
      </c>
      <c r="E3100" t="s">
        <v>136</v>
      </c>
    </row>
    <row r="3101" spans="1:5" x14ac:dyDescent="0.35">
      <c r="A3101" s="1" t="s">
        <v>147</v>
      </c>
      <c r="B3101" s="1"/>
      <c r="C3101" s="1" t="s">
        <v>150</v>
      </c>
      <c r="D3101" s="1" t="s">
        <v>146</v>
      </c>
      <c r="E3101" t="s">
        <v>136</v>
      </c>
    </row>
    <row r="3102" spans="1:5" x14ac:dyDescent="0.35">
      <c r="A3102" s="1" t="s">
        <v>147</v>
      </c>
      <c r="B3102" s="1"/>
      <c r="C3102" s="1"/>
      <c r="D3102" s="1" t="s">
        <v>148</v>
      </c>
      <c r="E3102" t="s">
        <v>136</v>
      </c>
    </row>
    <row r="3103" spans="1:5" x14ac:dyDescent="0.35">
      <c r="A3103" s="1" t="s">
        <v>147</v>
      </c>
      <c r="B3103" s="1"/>
      <c r="C3103" s="1"/>
      <c r="D3103" s="1" t="s">
        <v>149</v>
      </c>
      <c r="E3103" t="s">
        <v>136</v>
      </c>
    </row>
    <row r="3104" spans="1:5" x14ac:dyDescent="0.35">
      <c r="A3104" s="1" t="s">
        <v>147</v>
      </c>
      <c r="B3104" s="1" t="s">
        <v>163</v>
      </c>
      <c r="C3104" s="1" t="s">
        <v>145</v>
      </c>
      <c r="D3104" s="1" t="s">
        <v>146</v>
      </c>
      <c r="E3104">
        <v>623.6</v>
      </c>
    </row>
    <row r="3105" spans="1:5" x14ac:dyDescent="0.35">
      <c r="A3105" s="1" t="s">
        <v>147</v>
      </c>
      <c r="B3105" s="1"/>
      <c r="C3105" s="1"/>
      <c r="D3105" s="1" t="s">
        <v>148</v>
      </c>
      <c r="E3105">
        <v>623.6</v>
      </c>
    </row>
    <row r="3106" spans="1:5" x14ac:dyDescent="0.35">
      <c r="A3106" s="1" t="s">
        <v>147</v>
      </c>
      <c r="B3106" s="1"/>
      <c r="C3106" s="1"/>
      <c r="D3106" s="1" t="s">
        <v>149</v>
      </c>
      <c r="E3106" t="s">
        <v>136</v>
      </c>
    </row>
    <row r="3107" spans="1:5" x14ac:dyDescent="0.35">
      <c r="A3107" s="1" t="s">
        <v>147</v>
      </c>
      <c r="B3107" s="1"/>
      <c r="C3107" s="1" t="s">
        <v>150</v>
      </c>
      <c r="D3107" s="1" t="s">
        <v>146</v>
      </c>
      <c r="E3107" t="s">
        <v>136</v>
      </c>
    </row>
    <row r="3108" spans="1:5" x14ac:dyDescent="0.35">
      <c r="A3108" s="1" t="s">
        <v>147</v>
      </c>
      <c r="B3108" s="1"/>
      <c r="C3108" s="1"/>
      <c r="D3108" s="1" t="s">
        <v>148</v>
      </c>
      <c r="E3108" t="s">
        <v>136</v>
      </c>
    </row>
    <row r="3109" spans="1:5" x14ac:dyDescent="0.35">
      <c r="A3109" s="1" t="s">
        <v>147</v>
      </c>
      <c r="B3109" s="1"/>
      <c r="C3109" s="1"/>
      <c r="D3109" s="1" t="s">
        <v>149</v>
      </c>
      <c r="E3109" t="s">
        <v>136</v>
      </c>
    </row>
    <row r="3110" spans="1:5" x14ac:dyDescent="0.35">
      <c r="A3110" s="1" t="s">
        <v>147</v>
      </c>
      <c r="B3110" s="1" t="s">
        <v>164</v>
      </c>
      <c r="C3110" s="1" t="s">
        <v>145</v>
      </c>
      <c r="D3110" s="1" t="s">
        <v>146</v>
      </c>
      <c r="E3110" t="s">
        <v>136</v>
      </c>
    </row>
    <row r="3111" spans="1:5" x14ac:dyDescent="0.35">
      <c r="A3111" s="1" t="s">
        <v>147</v>
      </c>
      <c r="B3111" s="1"/>
      <c r="C3111" s="1"/>
      <c r="D3111" s="1" t="s">
        <v>148</v>
      </c>
      <c r="E3111" t="s">
        <v>136</v>
      </c>
    </row>
    <row r="3112" spans="1:5" x14ac:dyDescent="0.35">
      <c r="A3112" s="1" t="s">
        <v>147</v>
      </c>
      <c r="B3112" s="1"/>
      <c r="C3112" s="1"/>
      <c r="D3112" s="1" t="s">
        <v>149</v>
      </c>
      <c r="E3112" t="s">
        <v>136</v>
      </c>
    </row>
    <row r="3113" spans="1:5" x14ac:dyDescent="0.35">
      <c r="A3113" s="1" t="s">
        <v>147</v>
      </c>
      <c r="B3113" s="1"/>
      <c r="C3113" s="1" t="s">
        <v>150</v>
      </c>
      <c r="D3113" s="1" t="s">
        <v>146</v>
      </c>
      <c r="E3113" t="s">
        <v>136</v>
      </c>
    </row>
    <row r="3114" spans="1:5" x14ac:dyDescent="0.35">
      <c r="A3114" s="1" t="s">
        <v>147</v>
      </c>
      <c r="B3114" s="1"/>
      <c r="C3114" s="1"/>
      <c r="D3114" s="1" t="s">
        <v>148</v>
      </c>
      <c r="E3114" t="s">
        <v>136</v>
      </c>
    </row>
    <row r="3115" spans="1:5" x14ac:dyDescent="0.35">
      <c r="A3115" s="1" t="s">
        <v>147</v>
      </c>
      <c r="B3115" s="1"/>
      <c r="C3115" s="1"/>
      <c r="D3115" s="1" t="s">
        <v>149</v>
      </c>
      <c r="E3115" t="s">
        <v>136</v>
      </c>
    </row>
    <row r="3116" spans="1:5" x14ac:dyDescent="0.35">
      <c r="A3116" s="1" t="s">
        <v>147</v>
      </c>
      <c r="B3116" s="1" t="s">
        <v>165</v>
      </c>
      <c r="C3116" s="1" t="s">
        <v>145</v>
      </c>
      <c r="D3116" s="1" t="s">
        <v>146</v>
      </c>
      <c r="E3116">
        <v>120</v>
      </c>
    </row>
    <row r="3117" spans="1:5" x14ac:dyDescent="0.35">
      <c r="A3117" s="1" t="s">
        <v>147</v>
      </c>
      <c r="B3117" s="1"/>
      <c r="C3117" s="1"/>
      <c r="D3117" s="1" t="s">
        <v>148</v>
      </c>
      <c r="E3117">
        <v>120</v>
      </c>
    </row>
    <row r="3118" spans="1:5" x14ac:dyDescent="0.35">
      <c r="A3118" s="1" t="s">
        <v>147</v>
      </c>
      <c r="B3118" s="1"/>
      <c r="C3118" s="1"/>
      <c r="D3118" s="1" t="s">
        <v>149</v>
      </c>
      <c r="E3118" t="s">
        <v>136</v>
      </c>
    </row>
    <row r="3119" spans="1:5" x14ac:dyDescent="0.35">
      <c r="A3119" s="1" t="s">
        <v>147</v>
      </c>
      <c r="B3119" s="1"/>
      <c r="C3119" s="1" t="s">
        <v>150</v>
      </c>
      <c r="D3119" s="1" t="s">
        <v>146</v>
      </c>
      <c r="E3119" t="s">
        <v>136</v>
      </c>
    </row>
    <row r="3120" spans="1:5" x14ac:dyDescent="0.35">
      <c r="A3120" s="1" t="s">
        <v>147</v>
      </c>
      <c r="B3120" s="1"/>
      <c r="C3120" s="1"/>
      <c r="D3120" s="1" t="s">
        <v>148</v>
      </c>
      <c r="E3120" t="s">
        <v>136</v>
      </c>
    </row>
    <row r="3121" spans="1:5" x14ac:dyDescent="0.35">
      <c r="A3121" s="1" t="s">
        <v>147</v>
      </c>
      <c r="B3121" s="1"/>
      <c r="C3121" s="1"/>
      <c r="D3121" s="1" t="s">
        <v>149</v>
      </c>
      <c r="E3121" t="s">
        <v>136</v>
      </c>
    </row>
    <row r="3122" spans="1:5" x14ac:dyDescent="0.35">
      <c r="A3122" s="1" t="s">
        <v>147</v>
      </c>
      <c r="B3122" s="1" t="s">
        <v>166</v>
      </c>
      <c r="C3122" s="1" t="s">
        <v>145</v>
      </c>
      <c r="D3122" s="1" t="s">
        <v>146</v>
      </c>
      <c r="E3122">
        <v>503.6</v>
      </c>
    </row>
    <row r="3123" spans="1:5" x14ac:dyDescent="0.35">
      <c r="A3123" s="1" t="s">
        <v>147</v>
      </c>
      <c r="B3123" s="1"/>
      <c r="C3123" s="1"/>
      <c r="D3123" s="1" t="s">
        <v>148</v>
      </c>
      <c r="E3123">
        <v>503.6</v>
      </c>
    </row>
    <row r="3124" spans="1:5" x14ac:dyDescent="0.35">
      <c r="A3124" s="1" t="s">
        <v>147</v>
      </c>
      <c r="B3124" s="1"/>
      <c r="C3124" s="1"/>
      <c r="D3124" s="1" t="s">
        <v>149</v>
      </c>
      <c r="E3124" t="s">
        <v>136</v>
      </c>
    </row>
    <row r="3125" spans="1:5" x14ac:dyDescent="0.35">
      <c r="A3125" s="1" t="s">
        <v>147</v>
      </c>
      <c r="B3125" s="1"/>
      <c r="C3125" s="1" t="s">
        <v>150</v>
      </c>
      <c r="D3125" s="1" t="s">
        <v>146</v>
      </c>
      <c r="E3125" t="s">
        <v>136</v>
      </c>
    </row>
    <row r="3126" spans="1:5" x14ac:dyDescent="0.35">
      <c r="A3126" s="1" t="s">
        <v>147</v>
      </c>
      <c r="B3126" s="1"/>
      <c r="C3126" s="1"/>
      <c r="D3126" s="1" t="s">
        <v>148</v>
      </c>
      <c r="E3126" t="s">
        <v>136</v>
      </c>
    </row>
    <row r="3127" spans="1:5" x14ac:dyDescent="0.35">
      <c r="A3127" s="1" t="s">
        <v>147</v>
      </c>
      <c r="B3127" s="1"/>
      <c r="C3127" s="1"/>
      <c r="D3127" s="1" t="s">
        <v>149</v>
      </c>
      <c r="E3127" t="s">
        <v>136</v>
      </c>
    </row>
    <row r="3128" spans="1:5" x14ac:dyDescent="0.35">
      <c r="A3128" s="1" t="s">
        <v>147</v>
      </c>
      <c r="B3128" s="1" t="s">
        <v>167</v>
      </c>
      <c r="C3128" s="1" t="s">
        <v>145</v>
      </c>
      <c r="D3128" s="1" t="s">
        <v>146</v>
      </c>
      <c r="E3128" t="s">
        <v>136</v>
      </c>
    </row>
    <row r="3129" spans="1:5" x14ac:dyDescent="0.35">
      <c r="A3129" s="1" t="s">
        <v>147</v>
      </c>
      <c r="B3129" s="1"/>
      <c r="C3129" s="1"/>
      <c r="D3129" s="1" t="s">
        <v>148</v>
      </c>
      <c r="E3129" t="s">
        <v>136</v>
      </c>
    </row>
    <row r="3130" spans="1:5" x14ac:dyDescent="0.35">
      <c r="A3130" s="1" t="s">
        <v>147</v>
      </c>
      <c r="B3130" s="1"/>
      <c r="C3130" s="1"/>
      <c r="D3130" s="1" t="s">
        <v>149</v>
      </c>
      <c r="E3130" t="s">
        <v>136</v>
      </c>
    </row>
    <row r="3131" spans="1:5" x14ac:dyDescent="0.35">
      <c r="A3131" s="1" t="s">
        <v>147</v>
      </c>
      <c r="B3131" s="1"/>
      <c r="C3131" s="1" t="s">
        <v>150</v>
      </c>
      <c r="D3131" s="1" t="s">
        <v>146</v>
      </c>
      <c r="E3131" t="s">
        <v>136</v>
      </c>
    </row>
    <row r="3132" spans="1:5" x14ac:dyDescent="0.35">
      <c r="A3132" s="1" t="s">
        <v>147</v>
      </c>
      <c r="B3132" s="1"/>
      <c r="C3132" s="1"/>
      <c r="D3132" s="1" t="s">
        <v>148</v>
      </c>
      <c r="E3132" t="s">
        <v>136</v>
      </c>
    </row>
    <row r="3133" spans="1:5" x14ac:dyDescent="0.35">
      <c r="A3133" s="1" t="s">
        <v>147</v>
      </c>
      <c r="B3133" s="1"/>
      <c r="C3133" s="1"/>
      <c r="D3133" s="1" t="s">
        <v>149</v>
      </c>
      <c r="E3133" t="s">
        <v>136</v>
      </c>
    </row>
    <row r="3134" spans="1:5" x14ac:dyDescent="0.35">
      <c r="A3134" s="1" t="s">
        <v>147</v>
      </c>
      <c r="B3134" s="1" t="s">
        <v>168</v>
      </c>
      <c r="C3134" s="1" t="s">
        <v>145</v>
      </c>
      <c r="D3134" s="1" t="s">
        <v>146</v>
      </c>
      <c r="E3134" t="s">
        <v>136</v>
      </c>
    </row>
    <row r="3135" spans="1:5" x14ac:dyDescent="0.35">
      <c r="A3135" s="1" t="s">
        <v>147</v>
      </c>
      <c r="B3135" s="1"/>
      <c r="C3135" s="1"/>
      <c r="D3135" s="1" t="s">
        <v>148</v>
      </c>
      <c r="E3135" t="s">
        <v>136</v>
      </c>
    </row>
    <row r="3136" spans="1:5" x14ac:dyDescent="0.35">
      <c r="A3136" s="1" t="s">
        <v>147</v>
      </c>
      <c r="B3136" s="1"/>
      <c r="C3136" s="1"/>
      <c r="D3136" s="1" t="s">
        <v>149</v>
      </c>
      <c r="E3136" t="s">
        <v>136</v>
      </c>
    </row>
    <row r="3137" spans="1:5" x14ac:dyDescent="0.35">
      <c r="A3137" s="1" t="s">
        <v>147</v>
      </c>
      <c r="B3137" s="1"/>
      <c r="C3137" s="1" t="s">
        <v>150</v>
      </c>
      <c r="D3137" s="1" t="s">
        <v>146</v>
      </c>
      <c r="E3137" t="s">
        <v>136</v>
      </c>
    </row>
    <row r="3138" spans="1:5" x14ac:dyDescent="0.35">
      <c r="A3138" s="1" t="s">
        <v>147</v>
      </c>
      <c r="B3138" s="1"/>
      <c r="C3138" s="1"/>
      <c r="D3138" s="1" t="s">
        <v>148</v>
      </c>
      <c r="E3138" t="s">
        <v>136</v>
      </c>
    </row>
    <row r="3139" spans="1:5" x14ac:dyDescent="0.35">
      <c r="A3139" s="1" t="s">
        <v>147</v>
      </c>
      <c r="B3139" s="1"/>
      <c r="C3139" s="1"/>
      <c r="D3139" s="1" t="s">
        <v>149</v>
      </c>
      <c r="E3139" t="s">
        <v>136</v>
      </c>
    </row>
    <row r="3140" spans="1:5" x14ac:dyDescent="0.35">
      <c r="A3140" s="1" t="s">
        <v>147</v>
      </c>
      <c r="B3140" s="1" t="s">
        <v>169</v>
      </c>
      <c r="C3140" s="1" t="s">
        <v>145</v>
      </c>
      <c r="D3140" s="1" t="s">
        <v>146</v>
      </c>
      <c r="E3140" t="s">
        <v>136</v>
      </c>
    </row>
    <row r="3141" spans="1:5" x14ac:dyDescent="0.35">
      <c r="A3141" s="1" t="s">
        <v>147</v>
      </c>
      <c r="B3141" s="1"/>
      <c r="C3141" s="1"/>
      <c r="D3141" s="1" t="s">
        <v>148</v>
      </c>
      <c r="E3141" t="s">
        <v>136</v>
      </c>
    </row>
    <row r="3142" spans="1:5" x14ac:dyDescent="0.35">
      <c r="A3142" s="1" t="s">
        <v>147</v>
      </c>
      <c r="B3142" s="1"/>
      <c r="C3142" s="1"/>
      <c r="D3142" s="1" t="s">
        <v>149</v>
      </c>
      <c r="E3142" t="s">
        <v>136</v>
      </c>
    </row>
    <row r="3143" spans="1:5" x14ac:dyDescent="0.35">
      <c r="A3143" s="1" t="s">
        <v>147</v>
      </c>
      <c r="B3143" s="1"/>
      <c r="C3143" s="1" t="s">
        <v>150</v>
      </c>
      <c r="D3143" s="1" t="s">
        <v>146</v>
      </c>
      <c r="E3143" t="s">
        <v>136</v>
      </c>
    </row>
    <row r="3144" spans="1:5" x14ac:dyDescent="0.35">
      <c r="A3144" s="1" t="s">
        <v>147</v>
      </c>
      <c r="B3144" s="1"/>
      <c r="C3144" s="1"/>
      <c r="D3144" s="1" t="s">
        <v>148</v>
      </c>
      <c r="E3144" t="s">
        <v>136</v>
      </c>
    </row>
    <row r="3145" spans="1:5" x14ac:dyDescent="0.35">
      <c r="A3145" s="1" t="s">
        <v>147</v>
      </c>
      <c r="B3145" s="1"/>
      <c r="C3145" s="1"/>
      <c r="D3145" s="1" t="s">
        <v>149</v>
      </c>
      <c r="E3145" t="s">
        <v>136</v>
      </c>
    </row>
    <row r="3146" spans="1:5" x14ac:dyDescent="0.35">
      <c r="A3146" s="1" t="s">
        <v>147</v>
      </c>
      <c r="B3146" s="1" t="s">
        <v>170</v>
      </c>
      <c r="C3146" s="1" t="s">
        <v>145</v>
      </c>
      <c r="D3146" s="1" t="s">
        <v>146</v>
      </c>
      <c r="E3146" t="s">
        <v>136</v>
      </c>
    </row>
    <row r="3147" spans="1:5" x14ac:dyDescent="0.35">
      <c r="A3147" s="1" t="s">
        <v>147</v>
      </c>
      <c r="B3147" s="1"/>
      <c r="C3147" s="1"/>
      <c r="D3147" s="1" t="s">
        <v>148</v>
      </c>
      <c r="E3147" t="s">
        <v>136</v>
      </c>
    </row>
    <row r="3148" spans="1:5" x14ac:dyDescent="0.35">
      <c r="A3148" s="1" t="s">
        <v>147</v>
      </c>
      <c r="B3148" s="1"/>
      <c r="C3148" s="1"/>
      <c r="D3148" s="1" t="s">
        <v>149</v>
      </c>
      <c r="E3148" t="s">
        <v>136</v>
      </c>
    </row>
    <row r="3149" spans="1:5" x14ac:dyDescent="0.35">
      <c r="A3149" s="1" t="s">
        <v>147</v>
      </c>
      <c r="B3149" s="1"/>
      <c r="C3149" s="1" t="s">
        <v>150</v>
      </c>
      <c r="D3149" s="1" t="s">
        <v>146</v>
      </c>
      <c r="E3149" t="s">
        <v>136</v>
      </c>
    </row>
    <row r="3150" spans="1:5" x14ac:dyDescent="0.35">
      <c r="A3150" s="1" t="s">
        <v>147</v>
      </c>
      <c r="B3150" s="1"/>
      <c r="C3150" s="1"/>
      <c r="D3150" s="1" t="s">
        <v>148</v>
      </c>
      <c r="E3150" t="s">
        <v>136</v>
      </c>
    </row>
    <row r="3151" spans="1:5" x14ac:dyDescent="0.35">
      <c r="A3151" s="1" t="s">
        <v>147</v>
      </c>
      <c r="B3151" s="1"/>
      <c r="C3151" s="1"/>
      <c r="D3151" s="1" t="s">
        <v>149</v>
      </c>
      <c r="E3151" t="s">
        <v>136</v>
      </c>
    </row>
    <row r="3152" spans="1:5" x14ac:dyDescent="0.35">
      <c r="A3152" s="1" t="s">
        <v>89</v>
      </c>
      <c r="B3152" s="1" t="s">
        <v>144</v>
      </c>
      <c r="C3152" s="1" t="s">
        <v>145</v>
      </c>
      <c r="D3152" s="1" t="s">
        <v>146</v>
      </c>
      <c r="E3152">
        <v>520.44000000000005</v>
      </c>
    </row>
    <row r="3153" spans="1:5" x14ac:dyDescent="0.35">
      <c r="A3153" s="1" t="s">
        <v>147</v>
      </c>
      <c r="B3153" s="1"/>
      <c r="C3153" s="1"/>
      <c r="D3153" s="1" t="s">
        <v>148</v>
      </c>
      <c r="E3153">
        <v>510.52</v>
      </c>
    </row>
    <row r="3154" spans="1:5" x14ac:dyDescent="0.35">
      <c r="A3154" s="1" t="s">
        <v>147</v>
      </c>
      <c r="B3154" s="1"/>
      <c r="C3154" s="1"/>
      <c r="D3154" s="1" t="s">
        <v>149</v>
      </c>
      <c r="E3154">
        <v>9.92</v>
      </c>
    </row>
    <row r="3155" spans="1:5" x14ac:dyDescent="0.35">
      <c r="A3155" s="1" t="s">
        <v>147</v>
      </c>
      <c r="B3155" s="1"/>
      <c r="C3155" s="1" t="s">
        <v>150</v>
      </c>
      <c r="D3155" s="1" t="s">
        <v>146</v>
      </c>
      <c r="E3155" t="s">
        <v>136</v>
      </c>
    </row>
    <row r="3156" spans="1:5" x14ac:dyDescent="0.35">
      <c r="A3156" s="1" t="s">
        <v>147</v>
      </c>
      <c r="B3156" s="1"/>
      <c r="C3156" s="1"/>
      <c r="D3156" s="1" t="s">
        <v>148</v>
      </c>
      <c r="E3156" t="s">
        <v>136</v>
      </c>
    </row>
    <row r="3157" spans="1:5" x14ac:dyDescent="0.35">
      <c r="A3157" s="1" t="s">
        <v>147</v>
      </c>
      <c r="B3157" s="1"/>
      <c r="C3157" s="1"/>
      <c r="D3157" s="1" t="s">
        <v>149</v>
      </c>
      <c r="E3157" t="s">
        <v>136</v>
      </c>
    </row>
    <row r="3158" spans="1:5" x14ac:dyDescent="0.35">
      <c r="A3158" s="1" t="s">
        <v>147</v>
      </c>
      <c r="B3158" s="1" t="s">
        <v>151</v>
      </c>
      <c r="C3158" s="1" t="s">
        <v>145</v>
      </c>
      <c r="D3158" s="1" t="s">
        <v>146</v>
      </c>
      <c r="E3158">
        <v>109.32</v>
      </c>
    </row>
    <row r="3159" spans="1:5" x14ac:dyDescent="0.35">
      <c r="A3159" s="1" t="s">
        <v>147</v>
      </c>
      <c r="B3159" s="1"/>
      <c r="C3159" s="1"/>
      <c r="D3159" s="1" t="s">
        <v>148</v>
      </c>
      <c r="E3159">
        <v>101.87</v>
      </c>
    </row>
    <row r="3160" spans="1:5" x14ac:dyDescent="0.35">
      <c r="A3160" s="1" t="s">
        <v>147</v>
      </c>
      <c r="B3160" s="1"/>
      <c r="C3160" s="1"/>
      <c r="D3160" s="1" t="s">
        <v>149</v>
      </c>
      <c r="E3160">
        <v>7.45</v>
      </c>
    </row>
    <row r="3161" spans="1:5" x14ac:dyDescent="0.35">
      <c r="A3161" s="1" t="s">
        <v>147</v>
      </c>
      <c r="B3161" s="1"/>
      <c r="C3161" s="1" t="s">
        <v>150</v>
      </c>
      <c r="D3161" s="1" t="s">
        <v>146</v>
      </c>
      <c r="E3161" t="s">
        <v>136</v>
      </c>
    </row>
    <row r="3162" spans="1:5" x14ac:dyDescent="0.35">
      <c r="A3162" s="1" t="s">
        <v>147</v>
      </c>
      <c r="B3162" s="1"/>
      <c r="C3162" s="1"/>
      <c r="D3162" s="1" t="s">
        <v>148</v>
      </c>
      <c r="E3162" t="s">
        <v>136</v>
      </c>
    </row>
    <row r="3163" spans="1:5" x14ac:dyDescent="0.35">
      <c r="A3163" s="1" t="s">
        <v>147</v>
      </c>
      <c r="B3163" s="1"/>
      <c r="C3163" s="1"/>
      <c r="D3163" s="1" t="s">
        <v>149</v>
      </c>
      <c r="E3163" t="s">
        <v>136</v>
      </c>
    </row>
    <row r="3164" spans="1:5" x14ac:dyDescent="0.35">
      <c r="A3164" s="1" t="s">
        <v>147</v>
      </c>
      <c r="B3164" s="1" t="s">
        <v>152</v>
      </c>
      <c r="C3164" s="1" t="s">
        <v>145</v>
      </c>
      <c r="D3164" s="1" t="s">
        <v>146</v>
      </c>
      <c r="E3164" t="s">
        <v>136</v>
      </c>
    </row>
    <row r="3165" spans="1:5" x14ac:dyDescent="0.35">
      <c r="A3165" s="1" t="s">
        <v>147</v>
      </c>
      <c r="B3165" s="1"/>
      <c r="C3165" s="1"/>
      <c r="D3165" s="1" t="s">
        <v>148</v>
      </c>
      <c r="E3165" t="s">
        <v>136</v>
      </c>
    </row>
    <row r="3166" spans="1:5" x14ac:dyDescent="0.35">
      <c r="A3166" s="1" t="s">
        <v>147</v>
      </c>
      <c r="B3166" s="1"/>
      <c r="C3166" s="1"/>
      <c r="D3166" s="1" t="s">
        <v>149</v>
      </c>
      <c r="E3166" t="s">
        <v>136</v>
      </c>
    </row>
    <row r="3167" spans="1:5" x14ac:dyDescent="0.35">
      <c r="A3167" s="1" t="s">
        <v>147</v>
      </c>
      <c r="B3167" s="1"/>
      <c r="C3167" s="1" t="s">
        <v>150</v>
      </c>
      <c r="D3167" s="1" t="s">
        <v>146</v>
      </c>
      <c r="E3167" t="s">
        <v>136</v>
      </c>
    </row>
    <row r="3168" spans="1:5" x14ac:dyDescent="0.35">
      <c r="A3168" s="1" t="s">
        <v>147</v>
      </c>
      <c r="B3168" s="1"/>
      <c r="C3168" s="1"/>
      <c r="D3168" s="1" t="s">
        <v>148</v>
      </c>
      <c r="E3168" t="s">
        <v>136</v>
      </c>
    </row>
    <row r="3169" spans="1:5" x14ac:dyDescent="0.35">
      <c r="A3169" s="1" t="s">
        <v>147</v>
      </c>
      <c r="B3169" s="1"/>
      <c r="C3169" s="1"/>
      <c r="D3169" s="1" t="s">
        <v>149</v>
      </c>
      <c r="E3169" t="s">
        <v>136</v>
      </c>
    </row>
    <row r="3170" spans="1:5" x14ac:dyDescent="0.35">
      <c r="A3170" s="1" t="s">
        <v>147</v>
      </c>
      <c r="B3170" s="1" t="s">
        <v>153</v>
      </c>
      <c r="C3170" s="1" t="s">
        <v>145</v>
      </c>
      <c r="D3170" s="1" t="s">
        <v>146</v>
      </c>
      <c r="E3170" t="s">
        <v>136</v>
      </c>
    </row>
    <row r="3171" spans="1:5" x14ac:dyDescent="0.35">
      <c r="A3171" s="1" t="s">
        <v>147</v>
      </c>
      <c r="B3171" s="1"/>
      <c r="C3171" s="1"/>
      <c r="D3171" s="1" t="s">
        <v>148</v>
      </c>
      <c r="E3171" t="s">
        <v>136</v>
      </c>
    </row>
    <row r="3172" spans="1:5" x14ac:dyDescent="0.35">
      <c r="A3172" s="1" t="s">
        <v>147</v>
      </c>
      <c r="B3172" s="1"/>
      <c r="C3172" s="1"/>
      <c r="D3172" s="1" t="s">
        <v>149</v>
      </c>
      <c r="E3172" t="s">
        <v>136</v>
      </c>
    </row>
    <row r="3173" spans="1:5" x14ac:dyDescent="0.35">
      <c r="A3173" s="1" t="s">
        <v>147</v>
      </c>
      <c r="B3173" s="1"/>
      <c r="C3173" s="1" t="s">
        <v>150</v>
      </c>
      <c r="D3173" s="1" t="s">
        <v>146</v>
      </c>
      <c r="E3173" t="s">
        <v>136</v>
      </c>
    </row>
    <row r="3174" spans="1:5" x14ac:dyDescent="0.35">
      <c r="A3174" s="1" t="s">
        <v>147</v>
      </c>
      <c r="B3174" s="1"/>
      <c r="C3174" s="1"/>
      <c r="D3174" s="1" t="s">
        <v>148</v>
      </c>
      <c r="E3174" t="s">
        <v>136</v>
      </c>
    </row>
    <row r="3175" spans="1:5" x14ac:dyDescent="0.35">
      <c r="A3175" s="1" t="s">
        <v>147</v>
      </c>
      <c r="B3175" s="1"/>
      <c r="C3175" s="1"/>
      <c r="D3175" s="1" t="s">
        <v>149</v>
      </c>
      <c r="E3175" t="s">
        <v>136</v>
      </c>
    </row>
    <row r="3176" spans="1:5" x14ac:dyDescent="0.35">
      <c r="A3176" s="1" t="s">
        <v>147</v>
      </c>
      <c r="B3176" s="1" t="s">
        <v>154</v>
      </c>
      <c r="C3176" s="1" t="s">
        <v>145</v>
      </c>
      <c r="D3176" s="1" t="s">
        <v>146</v>
      </c>
      <c r="E3176" t="s">
        <v>136</v>
      </c>
    </row>
    <row r="3177" spans="1:5" x14ac:dyDescent="0.35">
      <c r="A3177" s="1" t="s">
        <v>147</v>
      </c>
      <c r="B3177" s="1"/>
      <c r="C3177" s="1"/>
      <c r="D3177" s="1" t="s">
        <v>148</v>
      </c>
      <c r="E3177" t="s">
        <v>136</v>
      </c>
    </row>
    <row r="3178" spans="1:5" x14ac:dyDescent="0.35">
      <c r="A3178" s="1" t="s">
        <v>147</v>
      </c>
      <c r="B3178" s="1"/>
      <c r="C3178" s="1"/>
      <c r="D3178" s="1" t="s">
        <v>149</v>
      </c>
      <c r="E3178" t="s">
        <v>136</v>
      </c>
    </row>
    <row r="3179" spans="1:5" x14ac:dyDescent="0.35">
      <c r="A3179" s="1" t="s">
        <v>147</v>
      </c>
      <c r="B3179" s="1"/>
      <c r="C3179" s="1" t="s">
        <v>150</v>
      </c>
      <c r="D3179" s="1" t="s">
        <v>146</v>
      </c>
      <c r="E3179" t="s">
        <v>136</v>
      </c>
    </row>
    <row r="3180" spans="1:5" x14ac:dyDescent="0.35">
      <c r="A3180" s="1" t="s">
        <v>147</v>
      </c>
      <c r="B3180" s="1"/>
      <c r="C3180" s="1"/>
      <c r="D3180" s="1" t="s">
        <v>148</v>
      </c>
      <c r="E3180" t="s">
        <v>136</v>
      </c>
    </row>
    <row r="3181" spans="1:5" x14ac:dyDescent="0.35">
      <c r="A3181" s="1" t="s">
        <v>147</v>
      </c>
      <c r="B3181" s="1"/>
      <c r="C3181" s="1"/>
      <c r="D3181" s="1" t="s">
        <v>149</v>
      </c>
      <c r="E3181" t="s">
        <v>136</v>
      </c>
    </row>
    <row r="3182" spans="1:5" x14ac:dyDescent="0.35">
      <c r="A3182" s="1" t="s">
        <v>147</v>
      </c>
      <c r="B3182" s="1" t="s">
        <v>155</v>
      </c>
      <c r="C3182" s="1" t="s">
        <v>145</v>
      </c>
      <c r="D3182" s="1" t="s">
        <v>146</v>
      </c>
      <c r="E3182">
        <v>392.62</v>
      </c>
    </row>
    <row r="3183" spans="1:5" x14ac:dyDescent="0.35">
      <c r="A3183" s="1" t="s">
        <v>147</v>
      </c>
      <c r="B3183" s="1"/>
      <c r="C3183" s="1"/>
      <c r="D3183" s="1" t="s">
        <v>148</v>
      </c>
      <c r="E3183">
        <v>390.15</v>
      </c>
    </row>
    <row r="3184" spans="1:5" x14ac:dyDescent="0.35">
      <c r="A3184" s="1" t="s">
        <v>147</v>
      </c>
      <c r="B3184" s="1"/>
      <c r="C3184" s="1"/>
      <c r="D3184" s="1" t="s">
        <v>149</v>
      </c>
      <c r="E3184">
        <v>2.4700000000000002</v>
      </c>
    </row>
    <row r="3185" spans="1:5" x14ac:dyDescent="0.35">
      <c r="A3185" s="1" t="s">
        <v>147</v>
      </c>
      <c r="B3185" s="1"/>
      <c r="C3185" s="1" t="s">
        <v>150</v>
      </c>
      <c r="D3185" s="1" t="s">
        <v>146</v>
      </c>
      <c r="E3185" t="s">
        <v>136</v>
      </c>
    </row>
    <row r="3186" spans="1:5" x14ac:dyDescent="0.35">
      <c r="A3186" s="1" t="s">
        <v>147</v>
      </c>
      <c r="B3186" s="1"/>
      <c r="C3186" s="1"/>
      <c r="D3186" s="1" t="s">
        <v>148</v>
      </c>
      <c r="E3186" t="s">
        <v>136</v>
      </c>
    </row>
    <row r="3187" spans="1:5" x14ac:dyDescent="0.35">
      <c r="A3187" s="1" t="s">
        <v>147</v>
      </c>
      <c r="B3187" s="1"/>
      <c r="C3187" s="1"/>
      <c r="D3187" s="1" t="s">
        <v>149</v>
      </c>
      <c r="E3187" t="s">
        <v>136</v>
      </c>
    </row>
    <row r="3188" spans="1:5" x14ac:dyDescent="0.35">
      <c r="A3188" s="1" t="s">
        <v>147</v>
      </c>
      <c r="B3188" s="1" t="s">
        <v>156</v>
      </c>
      <c r="C3188" s="1" t="s">
        <v>145</v>
      </c>
      <c r="D3188" s="1" t="s">
        <v>146</v>
      </c>
      <c r="E3188" t="s">
        <v>136</v>
      </c>
    </row>
    <row r="3189" spans="1:5" x14ac:dyDescent="0.35">
      <c r="A3189" s="1" t="s">
        <v>147</v>
      </c>
      <c r="B3189" s="1"/>
      <c r="C3189" s="1"/>
      <c r="D3189" s="1" t="s">
        <v>148</v>
      </c>
      <c r="E3189" t="s">
        <v>136</v>
      </c>
    </row>
    <row r="3190" spans="1:5" x14ac:dyDescent="0.35">
      <c r="A3190" s="1" t="s">
        <v>147</v>
      </c>
      <c r="B3190" s="1"/>
      <c r="C3190" s="1"/>
      <c r="D3190" s="1" t="s">
        <v>149</v>
      </c>
      <c r="E3190" t="s">
        <v>136</v>
      </c>
    </row>
    <row r="3191" spans="1:5" x14ac:dyDescent="0.35">
      <c r="A3191" s="1" t="s">
        <v>147</v>
      </c>
      <c r="B3191" s="1"/>
      <c r="C3191" s="1" t="s">
        <v>150</v>
      </c>
      <c r="D3191" s="1" t="s">
        <v>146</v>
      </c>
      <c r="E3191" t="s">
        <v>136</v>
      </c>
    </row>
    <row r="3192" spans="1:5" x14ac:dyDescent="0.35">
      <c r="A3192" s="1" t="s">
        <v>147</v>
      </c>
      <c r="B3192" s="1"/>
      <c r="C3192" s="1"/>
      <c r="D3192" s="1" t="s">
        <v>148</v>
      </c>
      <c r="E3192" t="s">
        <v>136</v>
      </c>
    </row>
    <row r="3193" spans="1:5" x14ac:dyDescent="0.35">
      <c r="A3193" s="1" t="s">
        <v>147</v>
      </c>
      <c r="B3193" s="1"/>
      <c r="C3193" s="1"/>
      <c r="D3193" s="1" t="s">
        <v>149</v>
      </c>
      <c r="E3193" t="s">
        <v>136</v>
      </c>
    </row>
    <row r="3194" spans="1:5" x14ac:dyDescent="0.35">
      <c r="A3194" s="1" t="s">
        <v>147</v>
      </c>
      <c r="B3194" s="1" t="s">
        <v>157</v>
      </c>
      <c r="C3194" s="1" t="s">
        <v>145</v>
      </c>
      <c r="D3194" s="1" t="s">
        <v>146</v>
      </c>
      <c r="E3194" t="s">
        <v>136</v>
      </c>
    </row>
    <row r="3195" spans="1:5" x14ac:dyDescent="0.35">
      <c r="A3195" s="1" t="s">
        <v>147</v>
      </c>
      <c r="B3195" s="1"/>
      <c r="C3195" s="1"/>
      <c r="D3195" s="1" t="s">
        <v>148</v>
      </c>
      <c r="E3195" t="s">
        <v>136</v>
      </c>
    </row>
    <row r="3196" spans="1:5" x14ac:dyDescent="0.35">
      <c r="A3196" s="1" t="s">
        <v>147</v>
      </c>
      <c r="B3196" s="1"/>
      <c r="C3196" s="1"/>
      <c r="D3196" s="1" t="s">
        <v>149</v>
      </c>
      <c r="E3196" t="s">
        <v>136</v>
      </c>
    </row>
    <row r="3197" spans="1:5" x14ac:dyDescent="0.35">
      <c r="A3197" s="1" t="s">
        <v>147</v>
      </c>
      <c r="B3197" s="1"/>
      <c r="C3197" s="1" t="s">
        <v>150</v>
      </c>
      <c r="D3197" s="1" t="s">
        <v>146</v>
      </c>
      <c r="E3197" t="s">
        <v>136</v>
      </c>
    </row>
    <row r="3198" spans="1:5" x14ac:dyDescent="0.35">
      <c r="A3198" s="1" t="s">
        <v>147</v>
      </c>
      <c r="B3198" s="1"/>
      <c r="C3198" s="1"/>
      <c r="D3198" s="1" t="s">
        <v>148</v>
      </c>
      <c r="E3198" t="s">
        <v>136</v>
      </c>
    </row>
    <row r="3199" spans="1:5" x14ac:dyDescent="0.35">
      <c r="A3199" s="1" t="s">
        <v>147</v>
      </c>
      <c r="B3199" s="1"/>
      <c r="C3199" s="1"/>
      <c r="D3199" s="1" t="s">
        <v>149</v>
      </c>
      <c r="E3199" t="s">
        <v>136</v>
      </c>
    </row>
    <row r="3200" spans="1:5" x14ac:dyDescent="0.35">
      <c r="A3200" s="1" t="s">
        <v>147</v>
      </c>
      <c r="B3200" s="1" t="s">
        <v>158</v>
      </c>
      <c r="C3200" s="1" t="s">
        <v>145</v>
      </c>
      <c r="D3200" s="1" t="s">
        <v>146</v>
      </c>
      <c r="E3200">
        <v>18.5</v>
      </c>
    </row>
    <row r="3201" spans="1:5" x14ac:dyDescent="0.35">
      <c r="A3201" s="1" t="s">
        <v>147</v>
      </c>
      <c r="B3201" s="1"/>
      <c r="C3201" s="1"/>
      <c r="D3201" s="1" t="s">
        <v>148</v>
      </c>
      <c r="E3201">
        <v>18.5</v>
      </c>
    </row>
    <row r="3202" spans="1:5" x14ac:dyDescent="0.35">
      <c r="A3202" s="1" t="s">
        <v>147</v>
      </c>
      <c r="B3202" s="1"/>
      <c r="C3202" s="1"/>
      <c r="D3202" s="1" t="s">
        <v>149</v>
      </c>
      <c r="E3202" t="s">
        <v>136</v>
      </c>
    </row>
    <row r="3203" spans="1:5" x14ac:dyDescent="0.35">
      <c r="A3203" s="1" t="s">
        <v>147</v>
      </c>
      <c r="B3203" s="1"/>
      <c r="C3203" s="1" t="s">
        <v>150</v>
      </c>
      <c r="D3203" s="1" t="s">
        <v>146</v>
      </c>
      <c r="E3203" t="s">
        <v>136</v>
      </c>
    </row>
    <row r="3204" spans="1:5" x14ac:dyDescent="0.35">
      <c r="A3204" s="1" t="s">
        <v>147</v>
      </c>
      <c r="B3204" s="1"/>
      <c r="C3204" s="1"/>
      <c r="D3204" s="1" t="s">
        <v>148</v>
      </c>
      <c r="E3204" t="s">
        <v>136</v>
      </c>
    </row>
    <row r="3205" spans="1:5" x14ac:dyDescent="0.35">
      <c r="A3205" s="1" t="s">
        <v>147</v>
      </c>
      <c r="B3205" s="1"/>
      <c r="C3205" s="1"/>
      <c r="D3205" s="1" t="s">
        <v>149</v>
      </c>
      <c r="E3205" t="s">
        <v>136</v>
      </c>
    </row>
    <row r="3206" spans="1:5" x14ac:dyDescent="0.35">
      <c r="A3206" s="1" t="s">
        <v>147</v>
      </c>
      <c r="B3206" s="1" t="s">
        <v>159</v>
      </c>
      <c r="C3206" s="1" t="s">
        <v>145</v>
      </c>
      <c r="D3206" s="1" t="s">
        <v>146</v>
      </c>
      <c r="E3206" t="s">
        <v>136</v>
      </c>
    </row>
    <row r="3207" spans="1:5" x14ac:dyDescent="0.35">
      <c r="A3207" s="1" t="s">
        <v>147</v>
      </c>
      <c r="B3207" s="1"/>
      <c r="C3207" s="1"/>
      <c r="D3207" s="1" t="s">
        <v>148</v>
      </c>
      <c r="E3207" t="s">
        <v>136</v>
      </c>
    </row>
    <row r="3208" spans="1:5" x14ac:dyDescent="0.35">
      <c r="A3208" s="1" t="s">
        <v>147</v>
      </c>
      <c r="B3208" s="1"/>
      <c r="C3208" s="1"/>
      <c r="D3208" s="1" t="s">
        <v>149</v>
      </c>
      <c r="E3208" t="s">
        <v>136</v>
      </c>
    </row>
    <row r="3209" spans="1:5" x14ac:dyDescent="0.35">
      <c r="A3209" s="1" t="s">
        <v>147</v>
      </c>
      <c r="B3209" s="1"/>
      <c r="C3209" s="1" t="s">
        <v>150</v>
      </c>
      <c r="D3209" s="1" t="s">
        <v>146</v>
      </c>
      <c r="E3209" t="s">
        <v>136</v>
      </c>
    </row>
    <row r="3210" spans="1:5" x14ac:dyDescent="0.35">
      <c r="A3210" s="1" t="s">
        <v>147</v>
      </c>
      <c r="B3210" s="1"/>
      <c r="C3210" s="1"/>
      <c r="D3210" s="1" t="s">
        <v>148</v>
      </c>
      <c r="E3210" t="s">
        <v>136</v>
      </c>
    </row>
    <row r="3211" spans="1:5" x14ac:dyDescent="0.35">
      <c r="A3211" s="1" t="s">
        <v>147</v>
      </c>
      <c r="B3211" s="1"/>
      <c r="C3211" s="1"/>
      <c r="D3211" s="1" t="s">
        <v>149</v>
      </c>
      <c r="E3211" t="s">
        <v>136</v>
      </c>
    </row>
    <row r="3212" spans="1:5" x14ac:dyDescent="0.35">
      <c r="A3212" s="1" t="s">
        <v>147</v>
      </c>
      <c r="B3212" s="1" t="s">
        <v>160</v>
      </c>
      <c r="C3212" s="1" t="s">
        <v>145</v>
      </c>
      <c r="D3212" s="1" t="s">
        <v>146</v>
      </c>
      <c r="E3212" t="s">
        <v>136</v>
      </c>
    </row>
    <row r="3213" spans="1:5" x14ac:dyDescent="0.35">
      <c r="A3213" s="1" t="s">
        <v>147</v>
      </c>
      <c r="B3213" s="1"/>
      <c r="C3213" s="1"/>
      <c r="D3213" s="1" t="s">
        <v>148</v>
      </c>
      <c r="E3213" t="s">
        <v>136</v>
      </c>
    </row>
    <row r="3214" spans="1:5" x14ac:dyDescent="0.35">
      <c r="A3214" s="1" t="s">
        <v>147</v>
      </c>
      <c r="B3214" s="1"/>
      <c r="C3214" s="1"/>
      <c r="D3214" s="1" t="s">
        <v>149</v>
      </c>
      <c r="E3214" t="s">
        <v>136</v>
      </c>
    </row>
    <row r="3215" spans="1:5" x14ac:dyDescent="0.35">
      <c r="A3215" s="1" t="s">
        <v>147</v>
      </c>
      <c r="B3215" s="1"/>
      <c r="C3215" s="1" t="s">
        <v>150</v>
      </c>
      <c r="D3215" s="1" t="s">
        <v>146</v>
      </c>
      <c r="E3215" t="s">
        <v>136</v>
      </c>
    </row>
    <row r="3216" spans="1:5" x14ac:dyDescent="0.35">
      <c r="A3216" s="1" t="s">
        <v>147</v>
      </c>
      <c r="B3216" s="1"/>
      <c r="C3216" s="1"/>
      <c r="D3216" s="1" t="s">
        <v>148</v>
      </c>
      <c r="E3216" t="s">
        <v>136</v>
      </c>
    </row>
    <row r="3217" spans="1:5" x14ac:dyDescent="0.35">
      <c r="A3217" s="1" t="s">
        <v>147</v>
      </c>
      <c r="B3217" s="1"/>
      <c r="C3217" s="1"/>
      <c r="D3217" s="1" t="s">
        <v>149</v>
      </c>
      <c r="E3217" t="s">
        <v>136</v>
      </c>
    </row>
    <row r="3218" spans="1:5" x14ac:dyDescent="0.35">
      <c r="A3218" s="1" t="s">
        <v>147</v>
      </c>
      <c r="B3218" s="1" t="s">
        <v>161</v>
      </c>
      <c r="C3218" s="1" t="s">
        <v>145</v>
      </c>
      <c r="D3218" s="1" t="s">
        <v>146</v>
      </c>
      <c r="E3218" t="s">
        <v>136</v>
      </c>
    </row>
    <row r="3219" spans="1:5" x14ac:dyDescent="0.35">
      <c r="A3219" s="1" t="s">
        <v>147</v>
      </c>
      <c r="B3219" s="1"/>
      <c r="C3219" s="1"/>
      <c r="D3219" s="1" t="s">
        <v>148</v>
      </c>
      <c r="E3219" t="s">
        <v>136</v>
      </c>
    </row>
    <row r="3220" spans="1:5" x14ac:dyDescent="0.35">
      <c r="A3220" s="1" t="s">
        <v>147</v>
      </c>
      <c r="B3220" s="1"/>
      <c r="C3220" s="1"/>
      <c r="D3220" s="1" t="s">
        <v>149</v>
      </c>
      <c r="E3220" t="s">
        <v>136</v>
      </c>
    </row>
    <row r="3221" spans="1:5" x14ac:dyDescent="0.35">
      <c r="A3221" s="1" t="s">
        <v>147</v>
      </c>
      <c r="B3221" s="1"/>
      <c r="C3221" s="1" t="s">
        <v>150</v>
      </c>
      <c r="D3221" s="1" t="s">
        <v>146</v>
      </c>
      <c r="E3221" t="s">
        <v>136</v>
      </c>
    </row>
    <row r="3222" spans="1:5" x14ac:dyDescent="0.35">
      <c r="A3222" s="1" t="s">
        <v>147</v>
      </c>
      <c r="B3222" s="1"/>
      <c r="C3222" s="1"/>
      <c r="D3222" s="1" t="s">
        <v>148</v>
      </c>
      <c r="E3222" t="s">
        <v>136</v>
      </c>
    </row>
    <row r="3223" spans="1:5" x14ac:dyDescent="0.35">
      <c r="A3223" s="1" t="s">
        <v>147</v>
      </c>
      <c r="B3223" s="1"/>
      <c r="C3223" s="1"/>
      <c r="D3223" s="1" t="s">
        <v>149</v>
      </c>
      <c r="E3223" t="s">
        <v>136</v>
      </c>
    </row>
    <row r="3224" spans="1:5" x14ac:dyDescent="0.35">
      <c r="A3224" s="1" t="s">
        <v>147</v>
      </c>
      <c r="B3224" s="1" t="s">
        <v>162</v>
      </c>
      <c r="C3224" s="1" t="s">
        <v>145</v>
      </c>
      <c r="D3224" s="1" t="s">
        <v>146</v>
      </c>
      <c r="E3224" t="s">
        <v>136</v>
      </c>
    </row>
    <row r="3225" spans="1:5" x14ac:dyDescent="0.35">
      <c r="A3225" s="1" t="s">
        <v>147</v>
      </c>
      <c r="B3225" s="1"/>
      <c r="C3225" s="1"/>
      <c r="D3225" s="1" t="s">
        <v>148</v>
      </c>
      <c r="E3225" t="s">
        <v>136</v>
      </c>
    </row>
    <row r="3226" spans="1:5" x14ac:dyDescent="0.35">
      <c r="A3226" s="1" t="s">
        <v>147</v>
      </c>
      <c r="B3226" s="1"/>
      <c r="C3226" s="1"/>
      <c r="D3226" s="1" t="s">
        <v>149</v>
      </c>
      <c r="E3226" t="s">
        <v>136</v>
      </c>
    </row>
    <row r="3227" spans="1:5" x14ac:dyDescent="0.35">
      <c r="A3227" s="1" t="s">
        <v>147</v>
      </c>
      <c r="B3227" s="1"/>
      <c r="C3227" s="1" t="s">
        <v>150</v>
      </c>
      <c r="D3227" s="1" t="s">
        <v>146</v>
      </c>
      <c r="E3227" t="s">
        <v>136</v>
      </c>
    </row>
    <row r="3228" spans="1:5" x14ac:dyDescent="0.35">
      <c r="A3228" s="1" t="s">
        <v>147</v>
      </c>
      <c r="B3228" s="1"/>
      <c r="C3228" s="1"/>
      <c r="D3228" s="1" t="s">
        <v>148</v>
      </c>
      <c r="E3228" t="s">
        <v>136</v>
      </c>
    </row>
    <row r="3229" spans="1:5" x14ac:dyDescent="0.35">
      <c r="A3229" s="1" t="s">
        <v>147</v>
      </c>
      <c r="B3229" s="1"/>
      <c r="C3229" s="1"/>
      <c r="D3229" s="1" t="s">
        <v>149</v>
      </c>
      <c r="E3229" t="s">
        <v>136</v>
      </c>
    </row>
    <row r="3230" spans="1:5" x14ac:dyDescent="0.35">
      <c r="A3230" s="1" t="s">
        <v>147</v>
      </c>
      <c r="B3230" s="1" t="s">
        <v>163</v>
      </c>
      <c r="C3230" s="1" t="s">
        <v>145</v>
      </c>
      <c r="D3230" s="1" t="s">
        <v>146</v>
      </c>
      <c r="E3230">
        <v>132.1</v>
      </c>
    </row>
    <row r="3231" spans="1:5" x14ac:dyDescent="0.35">
      <c r="A3231" s="1" t="s">
        <v>147</v>
      </c>
      <c r="B3231" s="1"/>
      <c r="C3231" s="1"/>
      <c r="D3231" s="1" t="s">
        <v>148</v>
      </c>
      <c r="E3231">
        <v>104.4</v>
      </c>
    </row>
    <row r="3232" spans="1:5" x14ac:dyDescent="0.35">
      <c r="A3232" s="1" t="s">
        <v>147</v>
      </c>
      <c r="B3232" s="1"/>
      <c r="C3232" s="1"/>
      <c r="D3232" s="1" t="s">
        <v>149</v>
      </c>
      <c r="E3232">
        <v>27.7</v>
      </c>
    </row>
    <row r="3233" spans="1:5" x14ac:dyDescent="0.35">
      <c r="A3233" s="1" t="s">
        <v>147</v>
      </c>
      <c r="B3233" s="1"/>
      <c r="C3233" s="1" t="s">
        <v>150</v>
      </c>
      <c r="D3233" s="1" t="s">
        <v>146</v>
      </c>
      <c r="E3233" t="s">
        <v>136</v>
      </c>
    </row>
    <row r="3234" spans="1:5" x14ac:dyDescent="0.35">
      <c r="A3234" s="1" t="s">
        <v>147</v>
      </c>
      <c r="B3234" s="1"/>
      <c r="C3234" s="1"/>
      <c r="D3234" s="1" t="s">
        <v>148</v>
      </c>
      <c r="E3234" t="s">
        <v>136</v>
      </c>
    </row>
    <row r="3235" spans="1:5" x14ac:dyDescent="0.35">
      <c r="A3235" s="1" t="s">
        <v>147</v>
      </c>
      <c r="B3235" s="1"/>
      <c r="C3235" s="1"/>
      <c r="D3235" s="1" t="s">
        <v>149</v>
      </c>
      <c r="E3235" t="s">
        <v>136</v>
      </c>
    </row>
    <row r="3236" spans="1:5" x14ac:dyDescent="0.35">
      <c r="A3236" s="1" t="s">
        <v>147</v>
      </c>
      <c r="B3236" s="1" t="s">
        <v>164</v>
      </c>
      <c r="C3236" s="1" t="s">
        <v>145</v>
      </c>
      <c r="D3236" s="1" t="s">
        <v>146</v>
      </c>
      <c r="E3236" t="s">
        <v>136</v>
      </c>
    </row>
    <row r="3237" spans="1:5" x14ac:dyDescent="0.35">
      <c r="A3237" s="1" t="s">
        <v>147</v>
      </c>
      <c r="B3237" s="1"/>
      <c r="C3237" s="1"/>
      <c r="D3237" s="1" t="s">
        <v>148</v>
      </c>
      <c r="E3237" t="s">
        <v>136</v>
      </c>
    </row>
    <row r="3238" spans="1:5" x14ac:dyDescent="0.35">
      <c r="A3238" s="1" t="s">
        <v>147</v>
      </c>
      <c r="B3238" s="1"/>
      <c r="C3238" s="1"/>
      <c r="D3238" s="1" t="s">
        <v>149</v>
      </c>
      <c r="E3238" t="s">
        <v>136</v>
      </c>
    </row>
    <row r="3239" spans="1:5" x14ac:dyDescent="0.35">
      <c r="A3239" s="1" t="s">
        <v>147</v>
      </c>
      <c r="B3239" s="1"/>
      <c r="C3239" s="1" t="s">
        <v>150</v>
      </c>
      <c r="D3239" s="1" t="s">
        <v>146</v>
      </c>
      <c r="E3239" t="s">
        <v>136</v>
      </c>
    </row>
    <row r="3240" spans="1:5" x14ac:dyDescent="0.35">
      <c r="A3240" s="1" t="s">
        <v>147</v>
      </c>
      <c r="B3240" s="1"/>
      <c r="C3240" s="1"/>
      <c r="D3240" s="1" t="s">
        <v>148</v>
      </c>
      <c r="E3240" t="s">
        <v>136</v>
      </c>
    </row>
    <row r="3241" spans="1:5" x14ac:dyDescent="0.35">
      <c r="A3241" s="1" t="s">
        <v>147</v>
      </c>
      <c r="B3241" s="1"/>
      <c r="C3241" s="1"/>
      <c r="D3241" s="1" t="s">
        <v>149</v>
      </c>
      <c r="E3241" t="s">
        <v>136</v>
      </c>
    </row>
    <row r="3242" spans="1:5" x14ac:dyDescent="0.35">
      <c r="A3242" s="1" t="s">
        <v>147</v>
      </c>
      <c r="B3242" s="1" t="s">
        <v>165</v>
      </c>
      <c r="C3242" s="1" t="s">
        <v>145</v>
      </c>
      <c r="D3242" s="1" t="s">
        <v>146</v>
      </c>
      <c r="E3242" t="s">
        <v>136</v>
      </c>
    </row>
    <row r="3243" spans="1:5" x14ac:dyDescent="0.35">
      <c r="A3243" s="1" t="s">
        <v>147</v>
      </c>
      <c r="B3243" s="1"/>
      <c r="C3243" s="1"/>
      <c r="D3243" s="1" t="s">
        <v>148</v>
      </c>
      <c r="E3243" t="s">
        <v>136</v>
      </c>
    </row>
    <row r="3244" spans="1:5" x14ac:dyDescent="0.35">
      <c r="A3244" s="1" t="s">
        <v>147</v>
      </c>
      <c r="B3244" s="1"/>
      <c r="C3244" s="1"/>
      <c r="D3244" s="1" t="s">
        <v>149</v>
      </c>
      <c r="E3244" t="s">
        <v>136</v>
      </c>
    </row>
    <row r="3245" spans="1:5" x14ac:dyDescent="0.35">
      <c r="A3245" s="1" t="s">
        <v>147</v>
      </c>
      <c r="B3245" s="1"/>
      <c r="C3245" s="1" t="s">
        <v>150</v>
      </c>
      <c r="D3245" s="1" t="s">
        <v>146</v>
      </c>
      <c r="E3245" t="s">
        <v>136</v>
      </c>
    </row>
    <row r="3246" spans="1:5" x14ac:dyDescent="0.35">
      <c r="A3246" s="1" t="s">
        <v>147</v>
      </c>
      <c r="B3246" s="1"/>
      <c r="C3246" s="1"/>
      <c r="D3246" s="1" t="s">
        <v>148</v>
      </c>
      <c r="E3246" t="s">
        <v>136</v>
      </c>
    </row>
    <row r="3247" spans="1:5" x14ac:dyDescent="0.35">
      <c r="A3247" s="1" t="s">
        <v>147</v>
      </c>
      <c r="B3247" s="1"/>
      <c r="C3247" s="1"/>
      <c r="D3247" s="1" t="s">
        <v>149</v>
      </c>
      <c r="E3247" t="s">
        <v>136</v>
      </c>
    </row>
    <row r="3248" spans="1:5" x14ac:dyDescent="0.35">
      <c r="A3248" s="1" t="s">
        <v>147</v>
      </c>
      <c r="B3248" s="1" t="s">
        <v>166</v>
      </c>
      <c r="C3248" s="1" t="s">
        <v>145</v>
      </c>
      <c r="D3248" s="1" t="s">
        <v>146</v>
      </c>
      <c r="E3248">
        <v>132.1</v>
      </c>
    </row>
    <row r="3249" spans="1:5" x14ac:dyDescent="0.35">
      <c r="A3249" s="1" t="s">
        <v>147</v>
      </c>
      <c r="B3249" s="1"/>
      <c r="C3249" s="1"/>
      <c r="D3249" s="1" t="s">
        <v>148</v>
      </c>
      <c r="E3249">
        <v>104.4</v>
      </c>
    </row>
    <row r="3250" spans="1:5" x14ac:dyDescent="0.35">
      <c r="A3250" s="1" t="s">
        <v>147</v>
      </c>
      <c r="B3250" s="1"/>
      <c r="C3250" s="1"/>
      <c r="D3250" s="1" t="s">
        <v>149</v>
      </c>
      <c r="E3250">
        <v>27.7</v>
      </c>
    </row>
    <row r="3251" spans="1:5" x14ac:dyDescent="0.35">
      <c r="A3251" s="1" t="s">
        <v>147</v>
      </c>
      <c r="B3251" s="1"/>
      <c r="C3251" s="1" t="s">
        <v>150</v>
      </c>
      <c r="D3251" s="1" t="s">
        <v>146</v>
      </c>
      <c r="E3251" t="s">
        <v>136</v>
      </c>
    </row>
    <row r="3252" spans="1:5" x14ac:dyDescent="0.35">
      <c r="A3252" s="1" t="s">
        <v>147</v>
      </c>
      <c r="B3252" s="1"/>
      <c r="C3252" s="1"/>
      <c r="D3252" s="1" t="s">
        <v>148</v>
      </c>
      <c r="E3252" t="s">
        <v>136</v>
      </c>
    </row>
    <row r="3253" spans="1:5" x14ac:dyDescent="0.35">
      <c r="A3253" s="1" t="s">
        <v>147</v>
      </c>
      <c r="B3253" s="1"/>
      <c r="C3253" s="1"/>
      <c r="D3253" s="1" t="s">
        <v>149</v>
      </c>
      <c r="E3253" t="s">
        <v>136</v>
      </c>
    </row>
    <row r="3254" spans="1:5" x14ac:dyDescent="0.35">
      <c r="A3254" s="1" t="s">
        <v>147</v>
      </c>
      <c r="B3254" s="1" t="s">
        <v>167</v>
      </c>
      <c r="C3254" s="1" t="s">
        <v>145</v>
      </c>
      <c r="D3254" s="1" t="s">
        <v>146</v>
      </c>
      <c r="E3254" t="s">
        <v>136</v>
      </c>
    </row>
    <row r="3255" spans="1:5" x14ac:dyDescent="0.35">
      <c r="A3255" s="1" t="s">
        <v>147</v>
      </c>
      <c r="B3255" s="1"/>
      <c r="C3255" s="1"/>
      <c r="D3255" s="1" t="s">
        <v>148</v>
      </c>
      <c r="E3255" t="s">
        <v>136</v>
      </c>
    </row>
    <row r="3256" spans="1:5" x14ac:dyDescent="0.35">
      <c r="A3256" s="1" t="s">
        <v>147</v>
      </c>
      <c r="B3256" s="1"/>
      <c r="C3256" s="1"/>
      <c r="D3256" s="1" t="s">
        <v>149</v>
      </c>
      <c r="E3256" t="s">
        <v>136</v>
      </c>
    </row>
    <row r="3257" spans="1:5" x14ac:dyDescent="0.35">
      <c r="A3257" s="1" t="s">
        <v>147</v>
      </c>
      <c r="B3257" s="1"/>
      <c r="C3257" s="1" t="s">
        <v>150</v>
      </c>
      <c r="D3257" s="1" t="s">
        <v>146</v>
      </c>
      <c r="E3257" t="s">
        <v>136</v>
      </c>
    </row>
    <row r="3258" spans="1:5" x14ac:dyDescent="0.35">
      <c r="A3258" s="1" t="s">
        <v>147</v>
      </c>
      <c r="B3258" s="1"/>
      <c r="C3258" s="1"/>
      <c r="D3258" s="1" t="s">
        <v>148</v>
      </c>
      <c r="E3258" t="s">
        <v>136</v>
      </c>
    </row>
    <row r="3259" spans="1:5" x14ac:dyDescent="0.35">
      <c r="A3259" s="1" t="s">
        <v>147</v>
      </c>
      <c r="B3259" s="1"/>
      <c r="C3259" s="1"/>
      <c r="D3259" s="1" t="s">
        <v>149</v>
      </c>
      <c r="E3259" t="s">
        <v>136</v>
      </c>
    </row>
    <row r="3260" spans="1:5" x14ac:dyDescent="0.35">
      <c r="A3260" s="1" t="s">
        <v>147</v>
      </c>
      <c r="B3260" s="1" t="s">
        <v>168</v>
      </c>
      <c r="C3260" s="1" t="s">
        <v>145</v>
      </c>
      <c r="D3260" s="1" t="s">
        <v>146</v>
      </c>
      <c r="E3260" t="s">
        <v>136</v>
      </c>
    </row>
    <row r="3261" spans="1:5" x14ac:dyDescent="0.35">
      <c r="A3261" s="1" t="s">
        <v>147</v>
      </c>
      <c r="B3261" s="1"/>
      <c r="C3261" s="1"/>
      <c r="D3261" s="1" t="s">
        <v>148</v>
      </c>
      <c r="E3261" t="s">
        <v>136</v>
      </c>
    </row>
    <row r="3262" spans="1:5" x14ac:dyDescent="0.35">
      <c r="A3262" s="1" t="s">
        <v>147</v>
      </c>
      <c r="B3262" s="1"/>
      <c r="C3262" s="1"/>
      <c r="D3262" s="1" t="s">
        <v>149</v>
      </c>
      <c r="E3262" t="s">
        <v>136</v>
      </c>
    </row>
    <row r="3263" spans="1:5" x14ac:dyDescent="0.35">
      <c r="A3263" s="1" t="s">
        <v>147</v>
      </c>
      <c r="B3263" s="1"/>
      <c r="C3263" s="1" t="s">
        <v>150</v>
      </c>
      <c r="D3263" s="1" t="s">
        <v>146</v>
      </c>
      <c r="E3263" t="s">
        <v>136</v>
      </c>
    </row>
    <row r="3264" spans="1:5" x14ac:dyDescent="0.35">
      <c r="A3264" s="1" t="s">
        <v>147</v>
      </c>
      <c r="B3264" s="1"/>
      <c r="C3264" s="1"/>
      <c r="D3264" s="1" t="s">
        <v>148</v>
      </c>
      <c r="E3264" t="s">
        <v>136</v>
      </c>
    </row>
    <row r="3265" spans="1:5" x14ac:dyDescent="0.35">
      <c r="A3265" s="1" t="s">
        <v>147</v>
      </c>
      <c r="B3265" s="1"/>
      <c r="C3265" s="1"/>
      <c r="D3265" s="1" t="s">
        <v>149</v>
      </c>
      <c r="E3265" t="s">
        <v>136</v>
      </c>
    </row>
    <row r="3266" spans="1:5" x14ac:dyDescent="0.35">
      <c r="A3266" s="1" t="s">
        <v>147</v>
      </c>
      <c r="B3266" s="1" t="s">
        <v>169</v>
      </c>
      <c r="C3266" s="1" t="s">
        <v>145</v>
      </c>
      <c r="D3266" s="1" t="s">
        <v>146</v>
      </c>
      <c r="E3266" t="s">
        <v>136</v>
      </c>
    </row>
    <row r="3267" spans="1:5" x14ac:dyDescent="0.35">
      <c r="A3267" s="1" t="s">
        <v>147</v>
      </c>
      <c r="B3267" s="1"/>
      <c r="C3267" s="1"/>
      <c r="D3267" s="1" t="s">
        <v>148</v>
      </c>
      <c r="E3267" t="s">
        <v>136</v>
      </c>
    </row>
    <row r="3268" spans="1:5" x14ac:dyDescent="0.35">
      <c r="A3268" s="1" t="s">
        <v>147</v>
      </c>
      <c r="B3268" s="1"/>
      <c r="C3268" s="1"/>
      <c r="D3268" s="1" t="s">
        <v>149</v>
      </c>
      <c r="E3268" t="s">
        <v>136</v>
      </c>
    </row>
    <row r="3269" spans="1:5" x14ac:dyDescent="0.35">
      <c r="A3269" s="1" t="s">
        <v>147</v>
      </c>
      <c r="B3269" s="1"/>
      <c r="C3269" s="1" t="s">
        <v>150</v>
      </c>
      <c r="D3269" s="1" t="s">
        <v>146</v>
      </c>
      <c r="E3269" t="s">
        <v>136</v>
      </c>
    </row>
    <row r="3270" spans="1:5" x14ac:dyDescent="0.35">
      <c r="A3270" s="1" t="s">
        <v>147</v>
      </c>
      <c r="B3270" s="1"/>
      <c r="C3270" s="1"/>
      <c r="D3270" s="1" t="s">
        <v>148</v>
      </c>
      <c r="E3270" t="s">
        <v>136</v>
      </c>
    </row>
    <row r="3271" spans="1:5" x14ac:dyDescent="0.35">
      <c r="A3271" s="1" t="s">
        <v>147</v>
      </c>
      <c r="B3271" s="1"/>
      <c r="C3271" s="1"/>
      <c r="D3271" s="1" t="s">
        <v>149</v>
      </c>
      <c r="E3271" t="s">
        <v>136</v>
      </c>
    </row>
    <row r="3272" spans="1:5" x14ac:dyDescent="0.35">
      <c r="A3272" s="1" t="s">
        <v>147</v>
      </c>
      <c r="B3272" s="1" t="s">
        <v>170</v>
      </c>
      <c r="C3272" s="1" t="s">
        <v>145</v>
      </c>
      <c r="D3272" s="1" t="s">
        <v>146</v>
      </c>
      <c r="E3272" t="s">
        <v>136</v>
      </c>
    </row>
    <row r="3273" spans="1:5" x14ac:dyDescent="0.35">
      <c r="A3273" s="1" t="s">
        <v>147</v>
      </c>
      <c r="B3273" s="1"/>
      <c r="C3273" s="1"/>
      <c r="D3273" s="1" t="s">
        <v>148</v>
      </c>
      <c r="E3273" t="s">
        <v>136</v>
      </c>
    </row>
    <row r="3274" spans="1:5" x14ac:dyDescent="0.35">
      <c r="A3274" s="1" t="s">
        <v>147</v>
      </c>
      <c r="B3274" s="1"/>
      <c r="C3274" s="1"/>
      <c r="D3274" s="1" t="s">
        <v>149</v>
      </c>
      <c r="E3274" t="s">
        <v>136</v>
      </c>
    </row>
    <row r="3275" spans="1:5" x14ac:dyDescent="0.35">
      <c r="A3275" s="1" t="s">
        <v>147</v>
      </c>
      <c r="B3275" s="1"/>
      <c r="C3275" s="1" t="s">
        <v>150</v>
      </c>
      <c r="D3275" s="1" t="s">
        <v>146</v>
      </c>
      <c r="E3275" t="s">
        <v>136</v>
      </c>
    </row>
    <row r="3276" spans="1:5" x14ac:dyDescent="0.35">
      <c r="A3276" s="1" t="s">
        <v>147</v>
      </c>
      <c r="B3276" s="1"/>
      <c r="C3276" s="1"/>
      <c r="D3276" s="1" t="s">
        <v>148</v>
      </c>
      <c r="E3276" t="s">
        <v>136</v>
      </c>
    </row>
    <row r="3277" spans="1:5" x14ac:dyDescent="0.35">
      <c r="A3277" s="1" t="s">
        <v>147</v>
      </c>
      <c r="B3277" s="1"/>
      <c r="C3277" s="1"/>
      <c r="D3277" s="1" t="s">
        <v>149</v>
      </c>
      <c r="E3277" t="s">
        <v>136</v>
      </c>
    </row>
    <row r="3278" spans="1:5" x14ac:dyDescent="0.35">
      <c r="A3278" s="1" t="s">
        <v>81</v>
      </c>
      <c r="B3278" s="1" t="s">
        <v>144</v>
      </c>
      <c r="C3278" s="1" t="s">
        <v>145</v>
      </c>
      <c r="D3278" s="1" t="s">
        <v>146</v>
      </c>
      <c r="E3278">
        <v>635</v>
      </c>
    </row>
    <row r="3279" spans="1:5" x14ac:dyDescent="0.35">
      <c r="A3279" s="1" t="s">
        <v>147</v>
      </c>
      <c r="B3279" s="1"/>
      <c r="C3279" s="1"/>
      <c r="D3279" s="1" t="s">
        <v>148</v>
      </c>
      <c r="E3279">
        <v>551.55999999999995</v>
      </c>
    </row>
    <row r="3280" spans="1:5" x14ac:dyDescent="0.35">
      <c r="A3280" s="1" t="s">
        <v>147</v>
      </c>
      <c r="B3280" s="1"/>
      <c r="C3280" s="1"/>
      <c r="D3280" s="1" t="s">
        <v>149</v>
      </c>
      <c r="E3280">
        <v>83.43</v>
      </c>
    </row>
    <row r="3281" spans="1:5" x14ac:dyDescent="0.35">
      <c r="A3281" s="1" t="s">
        <v>147</v>
      </c>
      <c r="B3281" s="1"/>
      <c r="C3281" s="1" t="s">
        <v>150</v>
      </c>
      <c r="D3281" s="1" t="s">
        <v>146</v>
      </c>
      <c r="E3281" t="s">
        <v>136</v>
      </c>
    </row>
    <row r="3282" spans="1:5" x14ac:dyDescent="0.35">
      <c r="A3282" s="1" t="s">
        <v>147</v>
      </c>
      <c r="B3282" s="1"/>
      <c r="C3282" s="1"/>
      <c r="D3282" s="1" t="s">
        <v>148</v>
      </c>
      <c r="E3282" t="s">
        <v>136</v>
      </c>
    </row>
    <row r="3283" spans="1:5" x14ac:dyDescent="0.35">
      <c r="A3283" s="1" t="s">
        <v>147</v>
      </c>
      <c r="B3283" s="1"/>
      <c r="C3283" s="1"/>
      <c r="D3283" s="1" t="s">
        <v>149</v>
      </c>
      <c r="E3283" t="s">
        <v>136</v>
      </c>
    </row>
    <row r="3284" spans="1:5" x14ac:dyDescent="0.35">
      <c r="A3284" s="1" t="s">
        <v>147</v>
      </c>
      <c r="B3284" s="1" t="s">
        <v>151</v>
      </c>
      <c r="C3284" s="1" t="s">
        <v>145</v>
      </c>
      <c r="D3284" s="1" t="s">
        <v>146</v>
      </c>
      <c r="E3284">
        <v>137.01</v>
      </c>
    </row>
    <row r="3285" spans="1:5" x14ac:dyDescent="0.35">
      <c r="A3285" s="1" t="s">
        <v>147</v>
      </c>
      <c r="B3285" s="1"/>
      <c r="C3285" s="1"/>
      <c r="D3285" s="1" t="s">
        <v>148</v>
      </c>
      <c r="E3285">
        <v>95.94</v>
      </c>
    </row>
    <row r="3286" spans="1:5" x14ac:dyDescent="0.35">
      <c r="A3286" s="1" t="s">
        <v>147</v>
      </c>
      <c r="B3286" s="1"/>
      <c r="C3286" s="1"/>
      <c r="D3286" s="1" t="s">
        <v>149</v>
      </c>
      <c r="E3286">
        <v>41.07</v>
      </c>
    </row>
    <row r="3287" spans="1:5" x14ac:dyDescent="0.35">
      <c r="A3287" s="1" t="s">
        <v>147</v>
      </c>
      <c r="B3287" s="1"/>
      <c r="C3287" s="1" t="s">
        <v>150</v>
      </c>
      <c r="D3287" s="1" t="s">
        <v>146</v>
      </c>
      <c r="E3287" t="s">
        <v>136</v>
      </c>
    </row>
    <row r="3288" spans="1:5" x14ac:dyDescent="0.35">
      <c r="A3288" s="1" t="s">
        <v>147</v>
      </c>
      <c r="B3288" s="1"/>
      <c r="C3288" s="1"/>
      <c r="D3288" s="1" t="s">
        <v>148</v>
      </c>
      <c r="E3288" t="s">
        <v>136</v>
      </c>
    </row>
    <row r="3289" spans="1:5" x14ac:dyDescent="0.35">
      <c r="A3289" s="1" t="s">
        <v>147</v>
      </c>
      <c r="B3289" s="1"/>
      <c r="C3289" s="1"/>
      <c r="D3289" s="1" t="s">
        <v>149</v>
      </c>
      <c r="E3289" t="s">
        <v>136</v>
      </c>
    </row>
    <row r="3290" spans="1:5" x14ac:dyDescent="0.35">
      <c r="A3290" s="1" t="s">
        <v>147</v>
      </c>
      <c r="B3290" s="1" t="s">
        <v>152</v>
      </c>
      <c r="C3290" s="1" t="s">
        <v>145</v>
      </c>
      <c r="D3290" s="1" t="s">
        <v>146</v>
      </c>
      <c r="E3290" t="s">
        <v>136</v>
      </c>
    </row>
    <row r="3291" spans="1:5" x14ac:dyDescent="0.35">
      <c r="A3291" s="1" t="s">
        <v>147</v>
      </c>
      <c r="B3291" s="1"/>
      <c r="C3291" s="1"/>
      <c r="D3291" s="1" t="s">
        <v>148</v>
      </c>
      <c r="E3291" t="s">
        <v>136</v>
      </c>
    </row>
    <row r="3292" spans="1:5" x14ac:dyDescent="0.35">
      <c r="A3292" s="1" t="s">
        <v>147</v>
      </c>
      <c r="B3292" s="1"/>
      <c r="C3292" s="1"/>
      <c r="D3292" s="1" t="s">
        <v>149</v>
      </c>
      <c r="E3292" t="s">
        <v>136</v>
      </c>
    </row>
    <row r="3293" spans="1:5" x14ac:dyDescent="0.35">
      <c r="A3293" s="1" t="s">
        <v>147</v>
      </c>
      <c r="B3293" s="1"/>
      <c r="C3293" s="1" t="s">
        <v>150</v>
      </c>
      <c r="D3293" s="1" t="s">
        <v>146</v>
      </c>
      <c r="E3293" t="s">
        <v>136</v>
      </c>
    </row>
    <row r="3294" spans="1:5" x14ac:dyDescent="0.35">
      <c r="A3294" s="1" t="s">
        <v>147</v>
      </c>
      <c r="B3294" s="1"/>
      <c r="C3294" s="1"/>
      <c r="D3294" s="1" t="s">
        <v>148</v>
      </c>
      <c r="E3294" t="s">
        <v>136</v>
      </c>
    </row>
    <row r="3295" spans="1:5" x14ac:dyDescent="0.35">
      <c r="A3295" s="1" t="s">
        <v>147</v>
      </c>
      <c r="B3295" s="1"/>
      <c r="C3295" s="1"/>
      <c r="D3295" s="1" t="s">
        <v>149</v>
      </c>
      <c r="E3295" t="s">
        <v>136</v>
      </c>
    </row>
    <row r="3296" spans="1:5" x14ac:dyDescent="0.35">
      <c r="A3296" s="1" t="s">
        <v>147</v>
      </c>
      <c r="B3296" s="1" t="s">
        <v>153</v>
      </c>
      <c r="C3296" s="1" t="s">
        <v>145</v>
      </c>
      <c r="D3296" s="1" t="s">
        <v>146</v>
      </c>
      <c r="E3296" t="s">
        <v>136</v>
      </c>
    </row>
    <row r="3297" spans="1:5" x14ac:dyDescent="0.35">
      <c r="A3297" s="1" t="s">
        <v>147</v>
      </c>
      <c r="B3297" s="1"/>
      <c r="C3297" s="1"/>
      <c r="D3297" s="1" t="s">
        <v>148</v>
      </c>
      <c r="E3297" t="s">
        <v>136</v>
      </c>
    </row>
    <row r="3298" spans="1:5" x14ac:dyDescent="0.35">
      <c r="A3298" s="1" t="s">
        <v>147</v>
      </c>
      <c r="B3298" s="1"/>
      <c r="C3298" s="1"/>
      <c r="D3298" s="1" t="s">
        <v>149</v>
      </c>
      <c r="E3298" t="s">
        <v>136</v>
      </c>
    </row>
    <row r="3299" spans="1:5" x14ac:dyDescent="0.35">
      <c r="A3299" s="1" t="s">
        <v>147</v>
      </c>
      <c r="B3299" s="1"/>
      <c r="C3299" s="1" t="s">
        <v>150</v>
      </c>
      <c r="D3299" s="1" t="s">
        <v>146</v>
      </c>
      <c r="E3299" t="s">
        <v>136</v>
      </c>
    </row>
    <row r="3300" spans="1:5" x14ac:dyDescent="0.35">
      <c r="A3300" s="1" t="s">
        <v>147</v>
      </c>
      <c r="B3300" s="1"/>
      <c r="C3300" s="1"/>
      <c r="D3300" s="1" t="s">
        <v>148</v>
      </c>
      <c r="E3300" t="s">
        <v>136</v>
      </c>
    </row>
    <row r="3301" spans="1:5" x14ac:dyDescent="0.35">
      <c r="A3301" s="1" t="s">
        <v>147</v>
      </c>
      <c r="B3301" s="1"/>
      <c r="C3301" s="1"/>
      <c r="D3301" s="1" t="s">
        <v>149</v>
      </c>
      <c r="E3301" t="s">
        <v>136</v>
      </c>
    </row>
    <row r="3302" spans="1:5" x14ac:dyDescent="0.35">
      <c r="A3302" s="1" t="s">
        <v>147</v>
      </c>
      <c r="B3302" s="1" t="s">
        <v>154</v>
      </c>
      <c r="C3302" s="1" t="s">
        <v>145</v>
      </c>
      <c r="D3302" s="1" t="s">
        <v>146</v>
      </c>
      <c r="E3302" t="s">
        <v>136</v>
      </c>
    </row>
    <row r="3303" spans="1:5" x14ac:dyDescent="0.35">
      <c r="A3303" s="1" t="s">
        <v>147</v>
      </c>
      <c r="B3303" s="1"/>
      <c r="C3303" s="1"/>
      <c r="D3303" s="1" t="s">
        <v>148</v>
      </c>
      <c r="E3303" t="s">
        <v>136</v>
      </c>
    </row>
    <row r="3304" spans="1:5" x14ac:dyDescent="0.35">
      <c r="A3304" s="1" t="s">
        <v>147</v>
      </c>
      <c r="B3304" s="1"/>
      <c r="C3304" s="1"/>
      <c r="D3304" s="1" t="s">
        <v>149</v>
      </c>
      <c r="E3304" t="s">
        <v>136</v>
      </c>
    </row>
    <row r="3305" spans="1:5" x14ac:dyDescent="0.35">
      <c r="A3305" s="1" t="s">
        <v>147</v>
      </c>
      <c r="B3305" s="1"/>
      <c r="C3305" s="1" t="s">
        <v>150</v>
      </c>
      <c r="D3305" s="1" t="s">
        <v>146</v>
      </c>
      <c r="E3305" t="s">
        <v>136</v>
      </c>
    </row>
    <row r="3306" spans="1:5" x14ac:dyDescent="0.35">
      <c r="A3306" s="1" t="s">
        <v>147</v>
      </c>
      <c r="B3306" s="1"/>
      <c r="C3306" s="1"/>
      <c r="D3306" s="1" t="s">
        <v>148</v>
      </c>
      <c r="E3306" t="s">
        <v>136</v>
      </c>
    </row>
    <row r="3307" spans="1:5" x14ac:dyDescent="0.35">
      <c r="A3307" s="1" t="s">
        <v>147</v>
      </c>
      <c r="B3307" s="1"/>
      <c r="C3307" s="1"/>
      <c r="D3307" s="1" t="s">
        <v>149</v>
      </c>
      <c r="E3307" t="s">
        <v>136</v>
      </c>
    </row>
    <row r="3308" spans="1:5" x14ac:dyDescent="0.35">
      <c r="A3308" s="1" t="s">
        <v>147</v>
      </c>
      <c r="B3308" s="1" t="s">
        <v>155</v>
      </c>
      <c r="C3308" s="1" t="s">
        <v>145</v>
      </c>
      <c r="D3308" s="1" t="s">
        <v>146</v>
      </c>
      <c r="E3308">
        <v>455.3</v>
      </c>
    </row>
    <row r="3309" spans="1:5" x14ac:dyDescent="0.35">
      <c r="A3309" s="1" t="s">
        <v>147</v>
      </c>
      <c r="B3309" s="1"/>
      <c r="C3309" s="1"/>
      <c r="D3309" s="1" t="s">
        <v>148</v>
      </c>
      <c r="E3309">
        <v>455.3</v>
      </c>
    </row>
    <row r="3310" spans="1:5" x14ac:dyDescent="0.35">
      <c r="A3310" s="1" t="s">
        <v>147</v>
      </c>
      <c r="B3310" s="1"/>
      <c r="C3310" s="1"/>
      <c r="D3310" s="1" t="s">
        <v>149</v>
      </c>
      <c r="E3310">
        <v>0</v>
      </c>
    </row>
    <row r="3311" spans="1:5" x14ac:dyDescent="0.35">
      <c r="A3311" s="1" t="s">
        <v>147</v>
      </c>
      <c r="B3311" s="1"/>
      <c r="C3311" s="1" t="s">
        <v>150</v>
      </c>
      <c r="D3311" s="1" t="s">
        <v>146</v>
      </c>
      <c r="E3311" t="s">
        <v>136</v>
      </c>
    </row>
    <row r="3312" spans="1:5" x14ac:dyDescent="0.35">
      <c r="A3312" s="1" t="s">
        <v>147</v>
      </c>
      <c r="B3312" s="1"/>
      <c r="C3312" s="1"/>
      <c r="D3312" s="1" t="s">
        <v>148</v>
      </c>
      <c r="E3312" t="s">
        <v>136</v>
      </c>
    </row>
    <row r="3313" spans="1:5" x14ac:dyDescent="0.35">
      <c r="A3313" s="1" t="s">
        <v>147</v>
      </c>
      <c r="B3313" s="1"/>
      <c r="C3313" s="1"/>
      <c r="D3313" s="1" t="s">
        <v>149</v>
      </c>
      <c r="E3313" t="s">
        <v>136</v>
      </c>
    </row>
    <row r="3314" spans="1:5" x14ac:dyDescent="0.35">
      <c r="A3314" s="1" t="s">
        <v>147</v>
      </c>
      <c r="B3314" s="1" t="s">
        <v>156</v>
      </c>
      <c r="C3314" s="1" t="s">
        <v>145</v>
      </c>
      <c r="D3314" s="1" t="s">
        <v>146</v>
      </c>
      <c r="E3314" t="s">
        <v>136</v>
      </c>
    </row>
    <row r="3315" spans="1:5" x14ac:dyDescent="0.35">
      <c r="A3315" s="1" t="s">
        <v>147</v>
      </c>
      <c r="B3315" s="1"/>
      <c r="C3315" s="1"/>
      <c r="D3315" s="1" t="s">
        <v>148</v>
      </c>
      <c r="E3315" t="s">
        <v>136</v>
      </c>
    </row>
    <row r="3316" spans="1:5" x14ac:dyDescent="0.35">
      <c r="A3316" s="1" t="s">
        <v>147</v>
      </c>
      <c r="B3316" s="1"/>
      <c r="C3316" s="1"/>
      <c r="D3316" s="1" t="s">
        <v>149</v>
      </c>
      <c r="E3316" t="s">
        <v>136</v>
      </c>
    </row>
    <row r="3317" spans="1:5" x14ac:dyDescent="0.35">
      <c r="A3317" s="1" t="s">
        <v>147</v>
      </c>
      <c r="B3317" s="1"/>
      <c r="C3317" s="1" t="s">
        <v>150</v>
      </c>
      <c r="D3317" s="1" t="s">
        <v>146</v>
      </c>
      <c r="E3317" t="s">
        <v>136</v>
      </c>
    </row>
    <row r="3318" spans="1:5" x14ac:dyDescent="0.35">
      <c r="A3318" s="1" t="s">
        <v>147</v>
      </c>
      <c r="B3318" s="1"/>
      <c r="C3318" s="1"/>
      <c r="D3318" s="1" t="s">
        <v>148</v>
      </c>
      <c r="E3318" t="s">
        <v>136</v>
      </c>
    </row>
    <row r="3319" spans="1:5" x14ac:dyDescent="0.35">
      <c r="A3319" s="1" t="s">
        <v>147</v>
      </c>
      <c r="B3319" s="1"/>
      <c r="C3319" s="1"/>
      <c r="D3319" s="1" t="s">
        <v>149</v>
      </c>
      <c r="E3319" t="s">
        <v>136</v>
      </c>
    </row>
    <row r="3320" spans="1:5" x14ac:dyDescent="0.35">
      <c r="A3320" s="1" t="s">
        <v>147</v>
      </c>
      <c r="B3320" s="1" t="s">
        <v>157</v>
      </c>
      <c r="C3320" s="1" t="s">
        <v>145</v>
      </c>
      <c r="D3320" s="1" t="s">
        <v>146</v>
      </c>
      <c r="E3320" t="s">
        <v>136</v>
      </c>
    </row>
    <row r="3321" spans="1:5" x14ac:dyDescent="0.35">
      <c r="A3321" s="1" t="s">
        <v>147</v>
      </c>
      <c r="B3321" s="1"/>
      <c r="C3321" s="1"/>
      <c r="D3321" s="1" t="s">
        <v>148</v>
      </c>
      <c r="E3321" t="s">
        <v>136</v>
      </c>
    </row>
    <row r="3322" spans="1:5" x14ac:dyDescent="0.35">
      <c r="A3322" s="1" t="s">
        <v>147</v>
      </c>
      <c r="B3322" s="1"/>
      <c r="C3322" s="1"/>
      <c r="D3322" s="1" t="s">
        <v>149</v>
      </c>
      <c r="E3322" t="s">
        <v>136</v>
      </c>
    </row>
    <row r="3323" spans="1:5" x14ac:dyDescent="0.35">
      <c r="A3323" s="1" t="s">
        <v>147</v>
      </c>
      <c r="B3323" s="1"/>
      <c r="C3323" s="1" t="s">
        <v>150</v>
      </c>
      <c r="D3323" s="1" t="s">
        <v>146</v>
      </c>
      <c r="E3323" t="s">
        <v>136</v>
      </c>
    </row>
    <row r="3324" spans="1:5" x14ac:dyDescent="0.35">
      <c r="A3324" s="1" t="s">
        <v>147</v>
      </c>
      <c r="B3324" s="1"/>
      <c r="C3324" s="1"/>
      <c r="D3324" s="1" t="s">
        <v>148</v>
      </c>
      <c r="E3324" t="s">
        <v>136</v>
      </c>
    </row>
    <row r="3325" spans="1:5" x14ac:dyDescent="0.35">
      <c r="A3325" s="1" t="s">
        <v>147</v>
      </c>
      <c r="B3325" s="1"/>
      <c r="C3325" s="1"/>
      <c r="D3325" s="1" t="s">
        <v>149</v>
      </c>
      <c r="E3325" t="s">
        <v>136</v>
      </c>
    </row>
    <row r="3326" spans="1:5" x14ac:dyDescent="0.35">
      <c r="A3326" s="1" t="s">
        <v>147</v>
      </c>
      <c r="B3326" s="1" t="s">
        <v>158</v>
      </c>
      <c r="C3326" s="1" t="s">
        <v>145</v>
      </c>
      <c r="D3326" s="1" t="s">
        <v>146</v>
      </c>
      <c r="E3326">
        <v>42.32</v>
      </c>
    </row>
    <row r="3327" spans="1:5" x14ac:dyDescent="0.35">
      <c r="A3327" s="1" t="s">
        <v>147</v>
      </c>
      <c r="B3327" s="1"/>
      <c r="C3327" s="1"/>
      <c r="D3327" s="1" t="s">
        <v>148</v>
      </c>
      <c r="E3327">
        <v>0.32</v>
      </c>
    </row>
    <row r="3328" spans="1:5" x14ac:dyDescent="0.35">
      <c r="A3328" s="1" t="s">
        <v>147</v>
      </c>
      <c r="B3328" s="1"/>
      <c r="C3328" s="1"/>
      <c r="D3328" s="1" t="s">
        <v>149</v>
      </c>
      <c r="E3328">
        <v>42</v>
      </c>
    </row>
    <row r="3329" spans="1:5" x14ac:dyDescent="0.35">
      <c r="A3329" s="1" t="s">
        <v>147</v>
      </c>
      <c r="B3329" s="1"/>
      <c r="C3329" s="1" t="s">
        <v>150</v>
      </c>
      <c r="D3329" s="1" t="s">
        <v>146</v>
      </c>
      <c r="E3329" t="s">
        <v>136</v>
      </c>
    </row>
    <row r="3330" spans="1:5" x14ac:dyDescent="0.35">
      <c r="A3330" s="1" t="s">
        <v>147</v>
      </c>
      <c r="B3330" s="1"/>
      <c r="C3330" s="1"/>
      <c r="D3330" s="1" t="s">
        <v>148</v>
      </c>
      <c r="E3330" t="s">
        <v>136</v>
      </c>
    </row>
    <row r="3331" spans="1:5" x14ac:dyDescent="0.35">
      <c r="A3331" s="1" t="s">
        <v>147</v>
      </c>
      <c r="B3331" s="1"/>
      <c r="C3331" s="1"/>
      <c r="D3331" s="1" t="s">
        <v>149</v>
      </c>
      <c r="E3331" t="s">
        <v>136</v>
      </c>
    </row>
    <row r="3332" spans="1:5" x14ac:dyDescent="0.35">
      <c r="A3332" s="1" t="s">
        <v>147</v>
      </c>
      <c r="B3332" s="1" t="s">
        <v>159</v>
      </c>
      <c r="C3332" s="1" t="s">
        <v>145</v>
      </c>
      <c r="D3332" s="1" t="s">
        <v>146</v>
      </c>
      <c r="E3332" t="s">
        <v>136</v>
      </c>
    </row>
    <row r="3333" spans="1:5" x14ac:dyDescent="0.35">
      <c r="A3333" s="1" t="s">
        <v>147</v>
      </c>
      <c r="B3333" s="1"/>
      <c r="C3333" s="1"/>
      <c r="D3333" s="1" t="s">
        <v>148</v>
      </c>
      <c r="E3333" t="s">
        <v>136</v>
      </c>
    </row>
    <row r="3334" spans="1:5" x14ac:dyDescent="0.35">
      <c r="A3334" s="1" t="s">
        <v>147</v>
      </c>
      <c r="B3334" s="1"/>
      <c r="C3334" s="1"/>
      <c r="D3334" s="1" t="s">
        <v>149</v>
      </c>
      <c r="E3334" t="s">
        <v>136</v>
      </c>
    </row>
    <row r="3335" spans="1:5" x14ac:dyDescent="0.35">
      <c r="A3335" s="1" t="s">
        <v>147</v>
      </c>
      <c r="B3335" s="1"/>
      <c r="C3335" s="1" t="s">
        <v>150</v>
      </c>
      <c r="D3335" s="1" t="s">
        <v>146</v>
      </c>
      <c r="E3335" t="s">
        <v>136</v>
      </c>
    </row>
    <row r="3336" spans="1:5" x14ac:dyDescent="0.35">
      <c r="A3336" s="1" t="s">
        <v>147</v>
      </c>
      <c r="B3336" s="1"/>
      <c r="C3336" s="1"/>
      <c r="D3336" s="1" t="s">
        <v>148</v>
      </c>
      <c r="E3336" t="s">
        <v>136</v>
      </c>
    </row>
    <row r="3337" spans="1:5" x14ac:dyDescent="0.35">
      <c r="A3337" s="1" t="s">
        <v>147</v>
      </c>
      <c r="B3337" s="1"/>
      <c r="C3337" s="1"/>
      <c r="D3337" s="1" t="s">
        <v>149</v>
      </c>
      <c r="E3337" t="s">
        <v>136</v>
      </c>
    </row>
    <row r="3338" spans="1:5" x14ac:dyDescent="0.35">
      <c r="A3338" s="1" t="s">
        <v>147</v>
      </c>
      <c r="B3338" s="1" t="s">
        <v>160</v>
      </c>
      <c r="C3338" s="1" t="s">
        <v>145</v>
      </c>
      <c r="D3338" s="1" t="s">
        <v>146</v>
      </c>
      <c r="E3338">
        <v>0.36</v>
      </c>
    </row>
    <row r="3339" spans="1:5" x14ac:dyDescent="0.35">
      <c r="A3339" s="1" t="s">
        <v>147</v>
      </c>
      <c r="B3339" s="1"/>
      <c r="C3339" s="1"/>
      <c r="D3339" s="1" t="s">
        <v>148</v>
      </c>
      <c r="E3339" t="s">
        <v>136</v>
      </c>
    </row>
    <row r="3340" spans="1:5" x14ac:dyDescent="0.35">
      <c r="A3340" s="1" t="s">
        <v>147</v>
      </c>
      <c r="B3340" s="1"/>
      <c r="C3340" s="1"/>
      <c r="D3340" s="1" t="s">
        <v>149</v>
      </c>
      <c r="E3340">
        <v>0.36</v>
      </c>
    </row>
    <row r="3341" spans="1:5" x14ac:dyDescent="0.35">
      <c r="A3341" s="1" t="s">
        <v>147</v>
      </c>
      <c r="B3341" s="1"/>
      <c r="C3341" s="1" t="s">
        <v>150</v>
      </c>
      <c r="D3341" s="1" t="s">
        <v>146</v>
      </c>
      <c r="E3341" t="s">
        <v>136</v>
      </c>
    </row>
    <row r="3342" spans="1:5" x14ac:dyDescent="0.35">
      <c r="A3342" s="1" t="s">
        <v>147</v>
      </c>
      <c r="B3342" s="1"/>
      <c r="C3342" s="1"/>
      <c r="D3342" s="1" t="s">
        <v>148</v>
      </c>
      <c r="E3342" t="s">
        <v>136</v>
      </c>
    </row>
    <row r="3343" spans="1:5" x14ac:dyDescent="0.35">
      <c r="A3343" s="1" t="s">
        <v>147</v>
      </c>
      <c r="B3343" s="1"/>
      <c r="C3343" s="1"/>
      <c r="D3343" s="1" t="s">
        <v>149</v>
      </c>
      <c r="E3343" t="s">
        <v>136</v>
      </c>
    </row>
    <row r="3344" spans="1:5" x14ac:dyDescent="0.35">
      <c r="A3344" s="1" t="s">
        <v>147</v>
      </c>
      <c r="B3344" s="1" t="s">
        <v>161</v>
      </c>
      <c r="C3344" s="1" t="s">
        <v>145</v>
      </c>
      <c r="D3344" s="1" t="s">
        <v>146</v>
      </c>
      <c r="E3344">
        <v>0.01</v>
      </c>
    </row>
    <row r="3345" spans="1:5" x14ac:dyDescent="0.35">
      <c r="A3345" s="1" t="s">
        <v>147</v>
      </c>
      <c r="B3345" s="1"/>
      <c r="C3345" s="1"/>
      <c r="D3345" s="1" t="s">
        <v>148</v>
      </c>
      <c r="E3345" t="s">
        <v>136</v>
      </c>
    </row>
    <row r="3346" spans="1:5" x14ac:dyDescent="0.35">
      <c r="A3346" s="1" t="s">
        <v>147</v>
      </c>
      <c r="B3346" s="1"/>
      <c r="C3346" s="1"/>
      <c r="D3346" s="1" t="s">
        <v>149</v>
      </c>
      <c r="E3346">
        <v>0.01</v>
      </c>
    </row>
    <row r="3347" spans="1:5" x14ac:dyDescent="0.35">
      <c r="A3347" s="1" t="s">
        <v>147</v>
      </c>
      <c r="B3347" s="1"/>
      <c r="C3347" s="1" t="s">
        <v>150</v>
      </c>
      <c r="D3347" s="1" t="s">
        <v>146</v>
      </c>
      <c r="E3347" t="s">
        <v>136</v>
      </c>
    </row>
    <row r="3348" spans="1:5" x14ac:dyDescent="0.35">
      <c r="A3348" s="1" t="s">
        <v>147</v>
      </c>
      <c r="B3348" s="1"/>
      <c r="C3348" s="1"/>
      <c r="D3348" s="1" t="s">
        <v>148</v>
      </c>
      <c r="E3348" t="s">
        <v>136</v>
      </c>
    </row>
    <row r="3349" spans="1:5" x14ac:dyDescent="0.35">
      <c r="A3349" s="1" t="s">
        <v>147</v>
      </c>
      <c r="B3349" s="1"/>
      <c r="C3349" s="1"/>
      <c r="D3349" s="1" t="s">
        <v>149</v>
      </c>
      <c r="E3349" t="s">
        <v>136</v>
      </c>
    </row>
    <row r="3350" spans="1:5" x14ac:dyDescent="0.35">
      <c r="A3350" s="1" t="s">
        <v>147</v>
      </c>
      <c r="B3350" s="1" t="s">
        <v>162</v>
      </c>
      <c r="C3350" s="1" t="s">
        <v>145</v>
      </c>
      <c r="D3350" s="1" t="s">
        <v>146</v>
      </c>
      <c r="E3350" t="s">
        <v>136</v>
      </c>
    </row>
    <row r="3351" spans="1:5" x14ac:dyDescent="0.35">
      <c r="A3351" s="1" t="s">
        <v>147</v>
      </c>
      <c r="B3351" s="1"/>
      <c r="C3351" s="1"/>
      <c r="D3351" s="1" t="s">
        <v>148</v>
      </c>
      <c r="E3351" t="s">
        <v>136</v>
      </c>
    </row>
    <row r="3352" spans="1:5" x14ac:dyDescent="0.35">
      <c r="A3352" s="1" t="s">
        <v>147</v>
      </c>
      <c r="B3352" s="1"/>
      <c r="C3352" s="1"/>
      <c r="D3352" s="1" t="s">
        <v>149</v>
      </c>
      <c r="E3352" t="s">
        <v>136</v>
      </c>
    </row>
    <row r="3353" spans="1:5" x14ac:dyDescent="0.35">
      <c r="A3353" s="1" t="s">
        <v>147</v>
      </c>
      <c r="B3353" s="1"/>
      <c r="C3353" s="1" t="s">
        <v>150</v>
      </c>
      <c r="D3353" s="1" t="s">
        <v>146</v>
      </c>
      <c r="E3353" t="s">
        <v>136</v>
      </c>
    </row>
    <row r="3354" spans="1:5" x14ac:dyDescent="0.35">
      <c r="A3354" s="1" t="s">
        <v>147</v>
      </c>
      <c r="B3354" s="1"/>
      <c r="C3354" s="1"/>
      <c r="D3354" s="1" t="s">
        <v>148</v>
      </c>
      <c r="E3354" t="s">
        <v>136</v>
      </c>
    </row>
    <row r="3355" spans="1:5" x14ac:dyDescent="0.35">
      <c r="A3355" s="1" t="s">
        <v>147</v>
      </c>
      <c r="B3355" s="1"/>
      <c r="C3355" s="1"/>
      <c r="D3355" s="1" t="s">
        <v>149</v>
      </c>
      <c r="E3355" t="s">
        <v>136</v>
      </c>
    </row>
    <row r="3356" spans="1:5" x14ac:dyDescent="0.35">
      <c r="A3356" s="1" t="s">
        <v>147</v>
      </c>
      <c r="B3356" s="1" t="s">
        <v>163</v>
      </c>
      <c r="C3356" s="1" t="s">
        <v>145</v>
      </c>
      <c r="D3356" s="1" t="s">
        <v>146</v>
      </c>
      <c r="E3356">
        <v>609.6</v>
      </c>
    </row>
    <row r="3357" spans="1:5" x14ac:dyDescent="0.35">
      <c r="A3357" s="1" t="s">
        <v>147</v>
      </c>
      <c r="B3357" s="1"/>
      <c r="C3357" s="1"/>
      <c r="D3357" s="1" t="s">
        <v>148</v>
      </c>
      <c r="E3357">
        <v>469.2</v>
      </c>
    </row>
    <row r="3358" spans="1:5" x14ac:dyDescent="0.35">
      <c r="A3358" s="1" t="s">
        <v>147</v>
      </c>
      <c r="B3358" s="1"/>
      <c r="C3358" s="1"/>
      <c r="D3358" s="1" t="s">
        <v>149</v>
      </c>
      <c r="E3358">
        <v>140.4</v>
      </c>
    </row>
    <row r="3359" spans="1:5" x14ac:dyDescent="0.35">
      <c r="A3359" s="1" t="s">
        <v>147</v>
      </c>
      <c r="B3359" s="1"/>
      <c r="C3359" s="1" t="s">
        <v>150</v>
      </c>
      <c r="D3359" s="1" t="s">
        <v>146</v>
      </c>
      <c r="E3359" t="s">
        <v>136</v>
      </c>
    </row>
    <row r="3360" spans="1:5" x14ac:dyDescent="0.35">
      <c r="A3360" s="1" t="s">
        <v>147</v>
      </c>
      <c r="B3360" s="1"/>
      <c r="C3360" s="1"/>
      <c r="D3360" s="1" t="s">
        <v>148</v>
      </c>
      <c r="E3360" t="s">
        <v>136</v>
      </c>
    </row>
    <row r="3361" spans="1:5" x14ac:dyDescent="0.35">
      <c r="A3361" s="1" t="s">
        <v>147</v>
      </c>
      <c r="B3361" s="1"/>
      <c r="C3361" s="1"/>
      <c r="D3361" s="1" t="s">
        <v>149</v>
      </c>
      <c r="E3361" t="s">
        <v>136</v>
      </c>
    </row>
    <row r="3362" spans="1:5" x14ac:dyDescent="0.35">
      <c r="A3362" s="1" t="s">
        <v>147</v>
      </c>
      <c r="B3362" s="1" t="s">
        <v>164</v>
      </c>
      <c r="C3362" s="1" t="s">
        <v>145</v>
      </c>
      <c r="D3362" s="1" t="s">
        <v>146</v>
      </c>
      <c r="E3362" t="s">
        <v>136</v>
      </c>
    </row>
    <row r="3363" spans="1:5" x14ac:dyDescent="0.35">
      <c r="A3363" s="1" t="s">
        <v>147</v>
      </c>
      <c r="B3363" s="1"/>
      <c r="C3363" s="1"/>
      <c r="D3363" s="1" t="s">
        <v>148</v>
      </c>
      <c r="E3363" t="s">
        <v>136</v>
      </c>
    </row>
    <row r="3364" spans="1:5" x14ac:dyDescent="0.35">
      <c r="A3364" s="1" t="s">
        <v>147</v>
      </c>
      <c r="B3364" s="1"/>
      <c r="C3364" s="1"/>
      <c r="D3364" s="1" t="s">
        <v>149</v>
      </c>
      <c r="E3364" t="s">
        <v>136</v>
      </c>
    </row>
    <row r="3365" spans="1:5" x14ac:dyDescent="0.35">
      <c r="A3365" s="1" t="s">
        <v>147</v>
      </c>
      <c r="B3365" s="1"/>
      <c r="C3365" s="1" t="s">
        <v>150</v>
      </c>
      <c r="D3365" s="1" t="s">
        <v>146</v>
      </c>
      <c r="E3365" t="s">
        <v>136</v>
      </c>
    </row>
    <row r="3366" spans="1:5" x14ac:dyDescent="0.35">
      <c r="A3366" s="1" t="s">
        <v>147</v>
      </c>
      <c r="B3366" s="1"/>
      <c r="C3366" s="1"/>
      <c r="D3366" s="1" t="s">
        <v>148</v>
      </c>
      <c r="E3366" t="s">
        <v>136</v>
      </c>
    </row>
    <row r="3367" spans="1:5" x14ac:dyDescent="0.35">
      <c r="A3367" s="1" t="s">
        <v>147</v>
      </c>
      <c r="B3367" s="1"/>
      <c r="C3367" s="1"/>
      <c r="D3367" s="1" t="s">
        <v>149</v>
      </c>
      <c r="E3367" t="s">
        <v>136</v>
      </c>
    </row>
    <row r="3368" spans="1:5" x14ac:dyDescent="0.35">
      <c r="A3368" s="1" t="s">
        <v>147</v>
      </c>
      <c r="B3368" s="1" t="s">
        <v>165</v>
      </c>
      <c r="C3368" s="1" t="s">
        <v>145</v>
      </c>
      <c r="D3368" s="1" t="s">
        <v>146</v>
      </c>
      <c r="E3368" t="s">
        <v>136</v>
      </c>
    </row>
    <row r="3369" spans="1:5" x14ac:dyDescent="0.35">
      <c r="A3369" s="1" t="s">
        <v>147</v>
      </c>
      <c r="B3369" s="1"/>
      <c r="C3369" s="1"/>
      <c r="D3369" s="1" t="s">
        <v>148</v>
      </c>
      <c r="E3369" t="s">
        <v>136</v>
      </c>
    </row>
    <row r="3370" spans="1:5" x14ac:dyDescent="0.35">
      <c r="A3370" s="1" t="s">
        <v>147</v>
      </c>
      <c r="B3370" s="1"/>
      <c r="C3370" s="1"/>
      <c r="D3370" s="1" t="s">
        <v>149</v>
      </c>
      <c r="E3370" t="s">
        <v>136</v>
      </c>
    </row>
    <row r="3371" spans="1:5" x14ac:dyDescent="0.35">
      <c r="A3371" s="1" t="s">
        <v>147</v>
      </c>
      <c r="B3371" s="1"/>
      <c r="C3371" s="1" t="s">
        <v>150</v>
      </c>
      <c r="D3371" s="1" t="s">
        <v>146</v>
      </c>
      <c r="E3371" t="s">
        <v>136</v>
      </c>
    </row>
    <row r="3372" spans="1:5" x14ac:dyDescent="0.35">
      <c r="A3372" s="1" t="s">
        <v>147</v>
      </c>
      <c r="B3372" s="1"/>
      <c r="C3372" s="1"/>
      <c r="D3372" s="1" t="s">
        <v>148</v>
      </c>
      <c r="E3372" t="s">
        <v>136</v>
      </c>
    </row>
    <row r="3373" spans="1:5" x14ac:dyDescent="0.35">
      <c r="A3373" s="1" t="s">
        <v>147</v>
      </c>
      <c r="B3373" s="1"/>
      <c r="C3373" s="1"/>
      <c r="D3373" s="1" t="s">
        <v>149</v>
      </c>
      <c r="E3373" t="s">
        <v>136</v>
      </c>
    </row>
    <row r="3374" spans="1:5" x14ac:dyDescent="0.35">
      <c r="A3374" s="1" t="s">
        <v>147</v>
      </c>
      <c r="B3374" s="1" t="s">
        <v>166</v>
      </c>
      <c r="C3374" s="1" t="s">
        <v>145</v>
      </c>
      <c r="D3374" s="1" t="s">
        <v>146</v>
      </c>
      <c r="E3374">
        <v>609.6</v>
      </c>
    </row>
    <row r="3375" spans="1:5" x14ac:dyDescent="0.35">
      <c r="A3375" s="1" t="s">
        <v>147</v>
      </c>
      <c r="B3375" s="1"/>
      <c r="C3375" s="1"/>
      <c r="D3375" s="1" t="s">
        <v>148</v>
      </c>
      <c r="E3375">
        <v>469.2</v>
      </c>
    </row>
    <row r="3376" spans="1:5" x14ac:dyDescent="0.35">
      <c r="A3376" s="1" t="s">
        <v>147</v>
      </c>
      <c r="B3376" s="1"/>
      <c r="C3376" s="1"/>
      <c r="D3376" s="1" t="s">
        <v>149</v>
      </c>
      <c r="E3376">
        <v>140.4</v>
      </c>
    </row>
    <row r="3377" spans="1:5" x14ac:dyDescent="0.35">
      <c r="A3377" s="1" t="s">
        <v>147</v>
      </c>
      <c r="B3377" s="1"/>
      <c r="C3377" s="1" t="s">
        <v>150</v>
      </c>
      <c r="D3377" s="1" t="s">
        <v>146</v>
      </c>
      <c r="E3377" t="s">
        <v>136</v>
      </c>
    </row>
    <row r="3378" spans="1:5" x14ac:dyDescent="0.35">
      <c r="A3378" s="1" t="s">
        <v>147</v>
      </c>
      <c r="B3378" s="1"/>
      <c r="C3378" s="1"/>
      <c r="D3378" s="1" t="s">
        <v>148</v>
      </c>
      <c r="E3378" t="s">
        <v>136</v>
      </c>
    </row>
    <row r="3379" spans="1:5" x14ac:dyDescent="0.35">
      <c r="A3379" s="1" t="s">
        <v>147</v>
      </c>
      <c r="B3379" s="1"/>
      <c r="C3379" s="1"/>
      <c r="D3379" s="1" t="s">
        <v>149</v>
      </c>
      <c r="E3379" t="s">
        <v>136</v>
      </c>
    </row>
    <row r="3380" spans="1:5" x14ac:dyDescent="0.35">
      <c r="A3380" s="1" t="s">
        <v>147</v>
      </c>
      <c r="B3380" s="1" t="s">
        <v>167</v>
      </c>
      <c r="C3380" s="1" t="s">
        <v>145</v>
      </c>
      <c r="D3380" s="1" t="s">
        <v>146</v>
      </c>
      <c r="E3380" t="s">
        <v>136</v>
      </c>
    </row>
    <row r="3381" spans="1:5" x14ac:dyDescent="0.35">
      <c r="A3381" s="1" t="s">
        <v>147</v>
      </c>
      <c r="B3381" s="1"/>
      <c r="C3381" s="1"/>
      <c r="D3381" s="1" t="s">
        <v>148</v>
      </c>
      <c r="E3381" t="s">
        <v>136</v>
      </c>
    </row>
    <row r="3382" spans="1:5" x14ac:dyDescent="0.35">
      <c r="A3382" s="1" t="s">
        <v>147</v>
      </c>
      <c r="B3382" s="1"/>
      <c r="C3382" s="1"/>
      <c r="D3382" s="1" t="s">
        <v>149</v>
      </c>
      <c r="E3382" t="s">
        <v>136</v>
      </c>
    </row>
    <row r="3383" spans="1:5" x14ac:dyDescent="0.35">
      <c r="A3383" s="1" t="s">
        <v>147</v>
      </c>
      <c r="B3383" s="1"/>
      <c r="C3383" s="1" t="s">
        <v>150</v>
      </c>
      <c r="D3383" s="1" t="s">
        <v>146</v>
      </c>
      <c r="E3383" t="s">
        <v>136</v>
      </c>
    </row>
    <row r="3384" spans="1:5" x14ac:dyDescent="0.35">
      <c r="A3384" s="1" t="s">
        <v>147</v>
      </c>
      <c r="B3384" s="1"/>
      <c r="C3384" s="1"/>
      <c r="D3384" s="1" t="s">
        <v>148</v>
      </c>
      <c r="E3384" t="s">
        <v>136</v>
      </c>
    </row>
    <row r="3385" spans="1:5" x14ac:dyDescent="0.35">
      <c r="A3385" s="1" t="s">
        <v>147</v>
      </c>
      <c r="B3385" s="1"/>
      <c r="C3385" s="1"/>
      <c r="D3385" s="1" t="s">
        <v>149</v>
      </c>
      <c r="E3385" t="s">
        <v>136</v>
      </c>
    </row>
    <row r="3386" spans="1:5" x14ac:dyDescent="0.35">
      <c r="A3386" s="1" t="s">
        <v>147</v>
      </c>
      <c r="B3386" s="1" t="s">
        <v>168</v>
      </c>
      <c r="C3386" s="1" t="s">
        <v>145</v>
      </c>
      <c r="D3386" s="1" t="s">
        <v>146</v>
      </c>
      <c r="E3386" t="s">
        <v>136</v>
      </c>
    </row>
    <row r="3387" spans="1:5" x14ac:dyDescent="0.35">
      <c r="A3387" s="1" t="s">
        <v>147</v>
      </c>
      <c r="B3387" s="1"/>
      <c r="C3387" s="1"/>
      <c r="D3387" s="1" t="s">
        <v>148</v>
      </c>
      <c r="E3387" t="s">
        <v>136</v>
      </c>
    </row>
    <row r="3388" spans="1:5" x14ac:dyDescent="0.35">
      <c r="A3388" s="1" t="s">
        <v>147</v>
      </c>
      <c r="B3388" s="1"/>
      <c r="C3388" s="1"/>
      <c r="D3388" s="1" t="s">
        <v>149</v>
      </c>
      <c r="E3388" t="s">
        <v>136</v>
      </c>
    </row>
    <row r="3389" spans="1:5" x14ac:dyDescent="0.35">
      <c r="A3389" s="1" t="s">
        <v>147</v>
      </c>
      <c r="B3389" s="1"/>
      <c r="C3389" s="1" t="s">
        <v>150</v>
      </c>
      <c r="D3389" s="1" t="s">
        <v>146</v>
      </c>
      <c r="E3389" t="s">
        <v>136</v>
      </c>
    </row>
    <row r="3390" spans="1:5" x14ac:dyDescent="0.35">
      <c r="A3390" s="1" t="s">
        <v>147</v>
      </c>
      <c r="B3390" s="1"/>
      <c r="C3390" s="1"/>
      <c r="D3390" s="1" t="s">
        <v>148</v>
      </c>
      <c r="E3390" t="s">
        <v>136</v>
      </c>
    </row>
    <row r="3391" spans="1:5" x14ac:dyDescent="0.35">
      <c r="A3391" s="1" t="s">
        <v>147</v>
      </c>
      <c r="B3391" s="1"/>
      <c r="C3391" s="1"/>
      <c r="D3391" s="1" t="s">
        <v>149</v>
      </c>
      <c r="E3391" t="s">
        <v>136</v>
      </c>
    </row>
    <row r="3392" spans="1:5" x14ac:dyDescent="0.35">
      <c r="A3392" s="1" t="s">
        <v>147</v>
      </c>
      <c r="B3392" s="1" t="s">
        <v>169</v>
      </c>
      <c r="C3392" s="1" t="s">
        <v>145</v>
      </c>
      <c r="D3392" s="1" t="s">
        <v>146</v>
      </c>
      <c r="E3392" t="s">
        <v>136</v>
      </c>
    </row>
    <row r="3393" spans="1:5" x14ac:dyDescent="0.35">
      <c r="A3393" s="1" t="s">
        <v>147</v>
      </c>
      <c r="B3393" s="1"/>
      <c r="C3393" s="1"/>
      <c r="D3393" s="1" t="s">
        <v>148</v>
      </c>
      <c r="E3393" t="s">
        <v>136</v>
      </c>
    </row>
    <row r="3394" spans="1:5" x14ac:dyDescent="0.35">
      <c r="A3394" s="1" t="s">
        <v>147</v>
      </c>
      <c r="B3394" s="1"/>
      <c r="C3394" s="1"/>
      <c r="D3394" s="1" t="s">
        <v>149</v>
      </c>
      <c r="E3394" t="s">
        <v>136</v>
      </c>
    </row>
    <row r="3395" spans="1:5" x14ac:dyDescent="0.35">
      <c r="A3395" s="1" t="s">
        <v>147</v>
      </c>
      <c r="B3395" s="1"/>
      <c r="C3395" s="1" t="s">
        <v>150</v>
      </c>
      <c r="D3395" s="1" t="s">
        <v>146</v>
      </c>
      <c r="E3395" t="s">
        <v>136</v>
      </c>
    </row>
    <row r="3396" spans="1:5" x14ac:dyDescent="0.35">
      <c r="A3396" s="1" t="s">
        <v>147</v>
      </c>
      <c r="B3396" s="1"/>
      <c r="C3396" s="1"/>
      <c r="D3396" s="1" t="s">
        <v>148</v>
      </c>
      <c r="E3396" t="s">
        <v>136</v>
      </c>
    </row>
    <row r="3397" spans="1:5" x14ac:dyDescent="0.35">
      <c r="A3397" s="1" t="s">
        <v>147</v>
      </c>
      <c r="B3397" s="1"/>
      <c r="C3397" s="1"/>
      <c r="D3397" s="1" t="s">
        <v>149</v>
      </c>
      <c r="E3397" t="s">
        <v>136</v>
      </c>
    </row>
    <row r="3398" spans="1:5" x14ac:dyDescent="0.35">
      <c r="A3398" s="1" t="s">
        <v>147</v>
      </c>
      <c r="B3398" s="1" t="s">
        <v>170</v>
      </c>
      <c r="C3398" s="1" t="s">
        <v>145</v>
      </c>
      <c r="D3398" s="1" t="s">
        <v>146</v>
      </c>
      <c r="E3398" t="s">
        <v>136</v>
      </c>
    </row>
    <row r="3399" spans="1:5" x14ac:dyDescent="0.35">
      <c r="A3399" s="1" t="s">
        <v>147</v>
      </c>
      <c r="B3399" s="1"/>
      <c r="C3399" s="1"/>
      <c r="D3399" s="1" t="s">
        <v>148</v>
      </c>
      <c r="E3399" t="s">
        <v>136</v>
      </c>
    </row>
    <row r="3400" spans="1:5" x14ac:dyDescent="0.35">
      <c r="A3400" s="1" t="s">
        <v>147</v>
      </c>
      <c r="B3400" s="1"/>
      <c r="C3400" s="1"/>
      <c r="D3400" s="1" t="s">
        <v>149</v>
      </c>
      <c r="E3400" t="s">
        <v>136</v>
      </c>
    </row>
    <row r="3401" spans="1:5" x14ac:dyDescent="0.35">
      <c r="A3401" s="1" t="s">
        <v>147</v>
      </c>
      <c r="B3401" s="1"/>
      <c r="C3401" s="1" t="s">
        <v>150</v>
      </c>
      <c r="D3401" s="1" t="s">
        <v>146</v>
      </c>
      <c r="E3401" t="s">
        <v>136</v>
      </c>
    </row>
    <row r="3402" spans="1:5" x14ac:dyDescent="0.35">
      <c r="A3402" s="1" t="s">
        <v>147</v>
      </c>
      <c r="B3402" s="1"/>
      <c r="C3402" s="1"/>
      <c r="D3402" s="1" t="s">
        <v>148</v>
      </c>
      <c r="E3402" t="s">
        <v>136</v>
      </c>
    </row>
    <row r="3403" spans="1:5" x14ac:dyDescent="0.35">
      <c r="A3403" s="1" t="s">
        <v>147</v>
      </c>
      <c r="B3403" s="1"/>
      <c r="C3403" s="1"/>
      <c r="D3403" s="1" t="s">
        <v>149</v>
      </c>
      <c r="E3403" t="s">
        <v>136</v>
      </c>
    </row>
    <row r="3404" spans="1:5" x14ac:dyDescent="0.35">
      <c r="A3404" s="1" t="s">
        <v>85</v>
      </c>
      <c r="B3404" s="1" t="s">
        <v>144</v>
      </c>
      <c r="C3404" s="1" t="s">
        <v>145</v>
      </c>
      <c r="D3404" s="1" t="s">
        <v>146</v>
      </c>
      <c r="E3404">
        <v>293.77999999999997</v>
      </c>
    </row>
    <row r="3405" spans="1:5" x14ac:dyDescent="0.35">
      <c r="A3405" s="1" t="s">
        <v>147</v>
      </c>
      <c r="B3405" s="1"/>
      <c r="C3405" s="1"/>
      <c r="D3405" s="1" t="s">
        <v>148</v>
      </c>
      <c r="E3405">
        <v>200.18</v>
      </c>
    </row>
    <row r="3406" spans="1:5" x14ac:dyDescent="0.35">
      <c r="A3406" s="1" t="s">
        <v>147</v>
      </c>
      <c r="B3406" s="1"/>
      <c r="C3406" s="1"/>
      <c r="D3406" s="1" t="s">
        <v>149</v>
      </c>
      <c r="E3406">
        <v>93.61</v>
      </c>
    </row>
    <row r="3407" spans="1:5" x14ac:dyDescent="0.35">
      <c r="A3407" s="1" t="s">
        <v>147</v>
      </c>
      <c r="B3407" s="1"/>
      <c r="C3407" s="1" t="s">
        <v>150</v>
      </c>
      <c r="D3407" s="1" t="s">
        <v>146</v>
      </c>
      <c r="E3407" t="s">
        <v>136</v>
      </c>
    </row>
    <row r="3408" spans="1:5" x14ac:dyDescent="0.35">
      <c r="A3408" s="1" t="s">
        <v>147</v>
      </c>
      <c r="B3408" s="1"/>
      <c r="C3408" s="1"/>
      <c r="D3408" s="1" t="s">
        <v>148</v>
      </c>
      <c r="E3408" t="s">
        <v>136</v>
      </c>
    </row>
    <row r="3409" spans="1:5" x14ac:dyDescent="0.35">
      <c r="A3409" s="1" t="s">
        <v>147</v>
      </c>
      <c r="B3409" s="1"/>
      <c r="C3409" s="1"/>
      <c r="D3409" s="1" t="s">
        <v>149</v>
      </c>
      <c r="E3409" t="s">
        <v>136</v>
      </c>
    </row>
    <row r="3410" spans="1:5" x14ac:dyDescent="0.35">
      <c r="A3410" s="1" t="s">
        <v>147</v>
      </c>
      <c r="B3410" s="1" t="s">
        <v>151</v>
      </c>
      <c r="C3410" s="1" t="s">
        <v>145</v>
      </c>
      <c r="D3410" s="1" t="s">
        <v>146</v>
      </c>
      <c r="E3410">
        <v>157.01</v>
      </c>
    </row>
    <row r="3411" spans="1:5" x14ac:dyDescent="0.35">
      <c r="A3411" s="1" t="s">
        <v>147</v>
      </c>
      <c r="B3411" s="1"/>
      <c r="C3411" s="1"/>
      <c r="D3411" s="1" t="s">
        <v>148</v>
      </c>
      <c r="E3411">
        <v>67.8</v>
      </c>
    </row>
    <row r="3412" spans="1:5" x14ac:dyDescent="0.35">
      <c r="A3412" s="1" t="s">
        <v>147</v>
      </c>
      <c r="B3412" s="1"/>
      <c r="C3412" s="1"/>
      <c r="D3412" s="1" t="s">
        <v>149</v>
      </c>
      <c r="E3412">
        <v>89.21</v>
      </c>
    </row>
    <row r="3413" spans="1:5" x14ac:dyDescent="0.35">
      <c r="A3413" s="1" t="s">
        <v>147</v>
      </c>
      <c r="B3413" s="1"/>
      <c r="C3413" s="1" t="s">
        <v>150</v>
      </c>
      <c r="D3413" s="1" t="s">
        <v>146</v>
      </c>
      <c r="E3413" t="s">
        <v>136</v>
      </c>
    </row>
    <row r="3414" spans="1:5" x14ac:dyDescent="0.35">
      <c r="A3414" s="1" t="s">
        <v>147</v>
      </c>
      <c r="B3414" s="1"/>
      <c r="C3414" s="1"/>
      <c r="D3414" s="1" t="s">
        <v>148</v>
      </c>
      <c r="E3414" t="s">
        <v>136</v>
      </c>
    </row>
    <row r="3415" spans="1:5" x14ac:dyDescent="0.35">
      <c r="A3415" s="1" t="s">
        <v>147</v>
      </c>
      <c r="B3415" s="1"/>
      <c r="C3415" s="1"/>
      <c r="D3415" s="1" t="s">
        <v>149</v>
      </c>
      <c r="E3415" t="s">
        <v>136</v>
      </c>
    </row>
    <row r="3416" spans="1:5" x14ac:dyDescent="0.35">
      <c r="A3416" s="1" t="s">
        <v>147</v>
      </c>
      <c r="B3416" s="1" t="s">
        <v>152</v>
      </c>
      <c r="C3416" s="1" t="s">
        <v>145</v>
      </c>
      <c r="D3416" s="1" t="s">
        <v>146</v>
      </c>
      <c r="E3416" t="s">
        <v>136</v>
      </c>
    </row>
    <row r="3417" spans="1:5" x14ac:dyDescent="0.35">
      <c r="A3417" s="1" t="s">
        <v>147</v>
      </c>
      <c r="B3417" s="1"/>
      <c r="C3417" s="1"/>
      <c r="D3417" s="1" t="s">
        <v>148</v>
      </c>
      <c r="E3417" t="s">
        <v>136</v>
      </c>
    </row>
    <row r="3418" spans="1:5" x14ac:dyDescent="0.35">
      <c r="A3418" s="1" t="s">
        <v>147</v>
      </c>
      <c r="B3418" s="1"/>
      <c r="C3418" s="1"/>
      <c r="D3418" s="1" t="s">
        <v>149</v>
      </c>
      <c r="E3418" t="s">
        <v>136</v>
      </c>
    </row>
    <row r="3419" spans="1:5" x14ac:dyDescent="0.35">
      <c r="A3419" s="1" t="s">
        <v>147</v>
      </c>
      <c r="B3419" s="1"/>
      <c r="C3419" s="1" t="s">
        <v>150</v>
      </c>
      <c r="D3419" s="1" t="s">
        <v>146</v>
      </c>
      <c r="E3419" t="s">
        <v>136</v>
      </c>
    </row>
    <row r="3420" spans="1:5" x14ac:dyDescent="0.35">
      <c r="A3420" s="1" t="s">
        <v>147</v>
      </c>
      <c r="B3420" s="1"/>
      <c r="C3420" s="1"/>
      <c r="D3420" s="1" t="s">
        <v>148</v>
      </c>
      <c r="E3420" t="s">
        <v>136</v>
      </c>
    </row>
    <row r="3421" spans="1:5" x14ac:dyDescent="0.35">
      <c r="A3421" s="1" t="s">
        <v>147</v>
      </c>
      <c r="B3421" s="1"/>
      <c r="C3421" s="1"/>
      <c r="D3421" s="1" t="s">
        <v>149</v>
      </c>
      <c r="E3421" t="s">
        <v>136</v>
      </c>
    </row>
    <row r="3422" spans="1:5" x14ac:dyDescent="0.35">
      <c r="A3422" s="1" t="s">
        <v>147</v>
      </c>
      <c r="B3422" s="1" t="s">
        <v>153</v>
      </c>
      <c r="C3422" s="1" t="s">
        <v>145</v>
      </c>
      <c r="D3422" s="1" t="s">
        <v>146</v>
      </c>
      <c r="E3422">
        <v>136.78</v>
      </c>
    </row>
    <row r="3423" spans="1:5" x14ac:dyDescent="0.35">
      <c r="A3423" s="1" t="s">
        <v>147</v>
      </c>
      <c r="B3423" s="1"/>
      <c r="C3423" s="1"/>
      <c r="D3423" s="1" t="s">
        <v>148</v>
      </c>
      <c r="E3423">
        <v>132.38</v>
      </c>
    </row>
    <row r="3424" spans="1:5" x14ac:dyDescent="0.35">
      <c r="A3424" s="1" t="s">
        <v>147</v>
      </c>
      <c r="B3424" s="1"/>
      <c r="C3424" s="1"/>
      <c r="D3424" s="1" t="s">
        <v>149</v>
      </c>
      <c r="E3424">
        <v>4.4000000000000004</v>
      </c>
    </row>
    <row r="3425" spans="1:5" x14ac:dyDescent="0.35">
      <c r="A3425" s="1" t="s">
        <v>147</v>
      </c>
      <c r="B3425" s="1"/>
      <c r="C3425" s="1" t="s">
        <v>150</v>
      </c>
      <c r="D3425" s="1" t="s">
        <v>146</v>
      </c>
      <c r="E3425" t="s">
        <v>136</v>
      </c>
    </row>
    <row r="3426" spans="1:5" x14ac:dyDescent="0.35">
      <c r="A3426" s="1" t="s">
        <v>147</v>
      </c>
      <c r="B3426" s="1"/>
      <c r="C3426" s="1"/>
      <c r="D3426" s="1" t="s">
        <v>148</v>
      </c>
      <c r="E3426" t="s">
        <v>136</v>
      </c>
    </row>
    <row r="3427" spans="1:5" x14ac:dyDescent="0.35">
      <c r="A3427" s="1" t="s">
        <v>147</v>
      </c>
      <c r="B3427" s="1"/>
      <c r="C3427" s="1"/>
      <c r="D3427" s="1" t="s">
        <v>149</v>
      </c>
      <c r="E3427" t="s">
        <v>136</v>
      </c>
    </row>
    <row r="3428" spans="1:5" x14ac:dyDescent="0.35">
      <c r="A3428" s="1" t="s">
        <v>147</v>
      </c>
      <c r="B3428" s="1" t="s">
        <v>154</v>
      </c>
      <c r="C3428" s="1" t="s">
        <v>145</v>
      </c>
      <c r="D3428" s="1" t="s">
        <v>146</v>
      </c>
      <c r="E3428" t="s">
        <v>136</v>
      </c>
    </row>
    <row r="3429" spans="1:5" x14ac:dyDescent="0.35">
      <c r="A3429" s="1" t="s">
        <v>147</v>
      </c>
      <c r="B3429" s="1"/>
      <c r="C3429" s="1"/>
      <c r="D3429" s="1" t="s">
        <v>148</v>
      </c>
      <c r="E3429" t="s">
        <v>136</v>
      </c>
    </row>
    <row r="3430" spans="1:5" x14ac:dyDescent="0.35">
      <c r="A3430" s="1" t="s">
        <v>147</v>
      </c>
      <c r="B3430" s="1"/>
      <c r="C3430" s="1"/>
      <c r="D3430" s="1" t="s">
        <v>149</v>
      </c>
      <c r="E3430" t="s">
        <v>136</v>
      </c>
    </row>
    <row r="3431" spans="1:5" x14ac:dyDescent="0.35">
      <c r="A3431" s="1" t="s">
        <v>147</v>
      </c>
      <c r="B3431" s="1"/>
      <c r="C3431" s="1" t="s">
        <v>150</v>
      </c>
      <c r="D3431" s="1" t="s">
        <v>146</v>
      </c>
      <c r="E3431" t="s">
        <v>136</v>
      </c>
    </row>
    <row r="3432" spans="1:5" x14ac:dyDescent="0.35">
      <c r="A3432" s="1" t="s">
        <v>147</v>
      </c>
      <c r="B3432" s="1"/>
      <c r="C3432" s="1"/>
      <c r="D3432" s="1" t="s">
        <v>148</v>
      </c>
      <c r="E3432" t="s">
        <v>136</v>
      </c>
    </row>
    <row r="3433" spans="1:5" x14ac:dyDescent="0.35">
      <c r="A3433" s="1" t="s">
        <v>147</v>
      </c>
      <c r="B3433" s="1"/>
      <c r="C3433" s="1"/>
      <c r="D3433" s="1" t="s">
        <v>149</v>
      </c>
      <c r="E3433" t="s">
        <v>136</v>
      </c>
    </row>
    <row r="3434" spans="1:5" x14ac:dyDescent="0.35">
      <c r="A3434" s="1" t="s">
        <v>147</v>
      </c>
      <c r="B3434" s="1" t="s">
        <v>155</v>
      </c>
      <c r="C3434" s="1" t="s">
        <v>145</v>
      </c>
      <c r="D3434" s="1" t="s">
        <v>146</v>
      </c>
      <c r="E3434" t="s">
        <v>136</v>
      </c>
    </row>
    <row r="3435" spans="1:5" x14ac:dyDescent="0.35">
      <c r="A3435" s="1" t="s">
        <v>147</v>
      </c>
      <c r="B3435" s="1"/>
      <c r="C3435" s="1"/>
      <c r="D3435" s="1" t="s">
        <v>148</v>
      </c>
      <c r="E3435" t="s">
        <v>136</v>
      </c>
    </row>
    <row r="3436" spans="1:5" x14ac:dyDescent="0.35">
      <c r="A3436" s="1" t="s">
        <v>147</v>
      </c>
      <c r="B3436" s="1"/>
      <c r="C3436" s="1"/>
      <c r="D3436" s="1" t="s">
        <v>149</v>
      </c>
      <c r="E3436" t="s">
        <v>136</v>
      </c>
    </row>
    <row r="3437" spans="1:5" x14ac:dyDescent="0.35">
      <c r="A3437" s="1" t="s">
        <v>147</v>
      </c>
      <c r="B3437" s="1"/>
      <c r="C3437" s="1" t="s">
        <v>150</v>
      </c>
      <c r="D3437" s="1" t="s">
        <v>146</v>
      </c>
      <c r="E3437" t="s">
        <v>136</v>
      </c>
    </row>
    <row r="3438" spans="1:5" x14ac:dyDescent="0.35">
      <c r="A3438" s="1" t="s">
        <v>147</v>
      </c>
      <c r="B3438" s="1"/>
      <c r="C3438" s="1"/>
      <c r="D3438" s="1" t="s">
        <v>148</v>
      </c>
      <c r="E3438" t="s">
        <v>136</v>
      </c>
    </row>
    <row r="3439" spans="1:5" x14ac:dyDescent="0.35">
      <c r="A3439" s="1" t="s">
        <v>147</v>
      </c>
      <c r="B3439" s="1"/>
      <c r="C3439" s="1"/>
      <c r="D3439" s="1" t="s">
        <v>149</v>
      </c>
      <c r="E3439" t="s">
        <v>136</v>
      </c>
    </row>
    <row r="3440" spans="1:5" x14ac:dyDescent="0.35">
      <c r="A3440" s="1" t="s">
        <v>147</v>
      </c>
      <c r="B3440" s="1" t="s">
        <v>156</v>
      </c>
      <c r="C3440" s="1" t="s">
        <v>145</v>
      </c>
      <c r="D3440" s="1" t="s">
        <v>146</v>
      </c>
      <c r="E3440" t="s">
        <v>136</v>
      </c>
    </row>
    <row r="3441" spans="1:5" x14ac:dyDescent="0.35">
      <c r="A3441" s="1" t="s">
        <v>147</v>
      </c>
      <c r="B3441" s="1"/>
      <c r="C3441" s="1"/>
      <c r="D3441" s="1" t="s">
        <v>148</v>
      </c>
      <c r="E3441" t="s">
        <v>136</v>
      </c>
    </row>
    <row r="3442" spans="1:5" x14ac:dyDescent="0.35">
      <c r="A3442" s="1" t="s">
        <v>147</v>
      </c>
      <c r="B3442" s="1"/>
      <c r="C3442" s="1"/>
      <c r="D3442" s="1" t="s">
        <v>149</v>
      </c>
      <c r="E3442" t="s">
        <v>136</v>
      </c>
    </row>
    <row r="3443" spans="1:5" x14ac:dyDescent="0.35">
      <c r="A3443" s="1" t="s">
        <v>147</v>
      </c>
      <c r="B3443" s="1"/>
      <c r="C3443" s="1" t="s">
        <v>150</v>
      </c>
      <c r="D3443" s="1" t="s">
        <v>146</v>
      </c>
      <c r="E3443" t="s">
        <v>136</v>
      </c>
    </row>
    <row r="3444" spans="1:5" x14ac:dyDescent="0.35">
      <c r="A3444" s="1" t="s">
        <v>147</v>
      </c>
      <c r="B3444" s="1"/>
      <c r="C3444" s="1"/>
      <c r="D3444" s="1" t="s">
        <v>148</v>
      </c>
      <c r="E3444" t="s">
        <v>136</v>
      </c>
    </row>
    <row r="3445" spans="1:5" x14ac:dyDescent="0.35">
      <c r="A3445" s="1" t="s">
        <v>147</v>
      </c>
      <c r="B3445" s="1"/>
      <c r="C3445" s="1"/>
      <c r="D3445" s="1" t="s">
        <v>149</v>
      </c>
      <c r="E3445" t="s">
        <v>136</v>
      </c>
    </row>
    <row r="3446" spans="1:5" x14ac:dyDescent="0.35">
      <c r="A3446" s="1" t="s">
        <v>147</v>
      </c>
      <c r="B3446" s="1" t="s">
        <v>157</v>
      </c>
      <c r="C3446" s="1" t="s">
        <v>145</v>
      </c>
      <c r="D3446" s="1" t="s">
        <v>146</v>
      </c>
      <c r="E3446" t="s">
        <v>136</v>
      </c>
    </row>
    <row r="3447" spans="1:5" x14ac:dyDescent="0.35">
      <c r="A3447" s="1" t="s">
        <v>147</v>
      </c>
      <c r="B3447" s="1"/>
      <c r="C3447" s="1"/>
      <c r="D3447" s="1" t="s">
        <v>148</v>
      </c>
      <c r="E3447" t="s">
        <v>136</v>
      </c>
    </row>
    <row r="3448" spans="1:5" x14ac:dyDescent="0.35">
      <c r="A3448" s="1" t="s">
        <v>147</v>
      </c>
      <c r="B3448" s="1"/>
      <c r="C3448" s="1"/>
      <c r="D3448" s="1" t="s">
        <v>149</v>
      </c>
      <c r="E3448" t="s">
        <v>136</v>
      </c>
    </row>
    <row r="3449" spans="1:5" x14ac:dyDescent="0.35">
      <c r="A3449" s="1" t="s">
        <v>147</v>
      </c>
      <c r="B3449" s="1"/>
      <c r="C3449" s="1" t="s">
        <v>150</v>
      </c>
      <c r="D3449" s="1" t="s">
        <v>146</v>
      </c>
      <c r="E3449" t="s">
        <v>136</v>
      </c>
    </row>
    <row r="3450" spans="1:5" x14ac:dyDescent="0.35">
      <c r="A3450" s="1" t="s">
        <v>147</v>
      </c>
      <c r="B3450" s="1"/>
      <c r="C3450" s="1"/>
      <c r="D3450" s="1" t="s">
        <v>148</v>
      </c>
      <c r="E3450" t="s">
        <v>136</v>
      </c>
    </row>
    <row r="3451" spans="1:5" x14ac:dyDescent="0.35">
      <c r="A3451" s="1" t="s">
        <v>147</v>
      </c>
      <c r="B3451" s="1"/>
      <c r="C3451" s="1"/>
      <c r="D3451" s="1" t="s">
        <v>149</v>
      </c>
      <c r="E3451" t="s">
        <v>136</v>
      </c>
    </row>
    <row r="3452" spans="1:5" x14ac:dyDescent="0.35">
      <c r="A3452" s="1" t="s">
        <v>147</v>
      </c>
      <c r="B3452" s="1" t="s">
        <v>158</v>
      </c>
      <c r="C3452" s="1" t="s">
        <v>145</v>
      </c>
      <c r="D3452" s="1" t="s">
        <v>146</v>
      </c>
      <c r="E3452" t="s">
        <v>136</v>
      </c>
    </row>
    <row r="3453" spans="1:5" x14ac:dyDescent="0.35">
      <c r="A3453" s="1" t="s">
        <v>147</v>
      </c>
      <c r="B3453" s="1"/>
      <c r="C3453" s="1"/>
      <c r="D3453" s="1" t="s">
        <v>148</v>
      </c>
      <c r="E3453" t="s">
        <v>136</v>
      </c>
    </row>
    <row r="3454" spans="1:5" x14ac:dyDescent="0.35">
      <c r="A3454" s="1" t="s">
        <v>147</v>
      </c>
      <c r="B3454" s="1"/>
      <c r="C3454" s="1"/>
      <c r="D3454" s="1" t="s">
        <v>149</v>
      </c>
      <c r="E3454" t="s">
        <v>136</v>
      </c>
    </row>
    <row r="3455" spans="1:5" x14ac:dyDescent="0.35">
      <c r="A3455" s="1" t="s">
        <v>147</v>
      </c>
      <c r="B3455" s="1"/>
      <c r="C3455" s="1" t="s">
        <v>150</v>
      </c>
      <c r="D3455" s="1" t="s">
        <v>146</v>
      </c>
      <c r="E3455" t="s">
        <v>136</v>
      </c>
    </row>
    <row r="3456" spans="1:5" x14ac:dyDescent="0.35">
      <c r="A3456" s="1" t="s">
        <v>147</v>
      </c>
      <c r="B3456" s="1"/>
      <c r="C3456" s="1"/>
      <c r="D3456" s="1" t="s">
        <v>148</v>
      </c>
      <c r="E3456" t="s">
        <v>136</v>
      </c>
    </row>
    <row r="3457" spans="1:5" x14ac:dyDescent="0.35">
      <c r="A3457" s="1" t="s">
        <v>147</v>
      </c>
      <c r="B3457" s="1"/>
      <c r="C3457" s="1"/>
      <c r="D3457" s="1" t="s">
        <v>149</v>
      </c>
      <c r="E3457" t="s">
        <v>136</v>
      </c>
    </row>
    <row r="3458" spans="1:5" x14ac:dyDescent="0.35">
      <c r="A3458" s="1" t="s">
        <v>147</v>
      </c>
      <c r="B3458" s="1" t="s">
        <v>159</v>
      </c>
      <c r="C3458" s="1" t="s">
        <v>145</v>
      </c>
      <c r="D3458" s="1" t="s">
        <v>146</v>
      </c>
      <c r="E3458" t="s">
        <v>136</v>
      </c>
    </row>
    <row r="3459" spans="1:5" x14ac:dyDescent="0.35">
      <c r="A3459" s="1" t="s">
        <v>147</v>
      </c>
      <c r="B3459" s="1"/>
      <c r="C3459" s="1"/>
      <c r="D3459" s="1" t="s">
        <v>148</v>
      </c>
      <c r="E3459" t="s">
        <v>136</v>
      </c>
    </row>
    <row r="3460" spans="1:5" x14ac:dyDescent="0.35">
      <c r="A3460" s="1" t="s">
        <v>147</v>
      </c>
      <c r="B3460" s="1"/>
      <c r="C3460" s="1"/>
      <c r="D3460" s="1" t="s">
        <v>149</v>
      </c>
      <c r="E3460" t="s">
        <v>136</v>
      </c>
    </row>
    <row r="3461" spans="1:5" x14ac:dyDescent="0.35">
      <c r="A3461" s="1" t="s">
        <v>147</v>
      </c>
      <c r="B3461" s="1"/>
      <c r="C3461" s="1" t="s">
        <v>150</v>
      </c>
      <c r="D3461" s="1" t="s">
        <v>146</v>
      </c>
      <c r="E3461" t="s">
        <v>136</v>
      </c>
    </row>
    <row r="3462" spans="1:5" x14ac:dyDescent="0.35">
      <c r="A3462" s="1" t="s">
        <v>147</v>
      </c>
      <c r="B3462" s="1"/>
      <c r="C3462" s="1"/>
      <c r="D3462" s="1" t="s">
        <v>148</v>
      </c>
      <c r="E3462" t="s">
        <v>136</v>
      </c>
    </row>
    <row r="3463" spans="1:5" x14ac:dyDescent="0.35">
      <c r="A3463" s="1" t="s">
        <v>147</v>
      </c>
      <c r="B3463" s="1"/>
      <c r="C3463" s="1"/>
      <c r="D3463" s="1" t="s">
        <v>149</v>
      </c>
      <c r="E3463" t="s">
        <v>136</v>
      </c>
    </row>
    <row r="3464" spans="1:5" x14ac:dyDescent="0.35">
      <c r="A3464" s="1" t="s">
        <v>147</v>
      </c>
      <c r="B3464" s="1" t="s">
        <v>160</v>
      </c>
      <c r="C3464" s="1" t="s">
        <v>145</v>
      </c>
      <c r="D3464" s="1" t="s">
        <v>146</v>
      </c>
      <c r="E3464" t="s">
        <v>136</v>
      </c>
    </row>
    <row r="3465" spans="1:5" x14ac:dyDescent="0.35">
      <c r="A3465" s="1" t="s">
        <v>147</v>
      </c>
      <c r="B3465" s="1"/>
      <c r="C3465" s="1"/>
      <c r="D3465" s="1" t="s">
        <v>148</v>
      </c>
      <c r="E3465" t="s">
        <v>136</v>
      </c>
    </row>
    <row r="3466" spans="1:5" x14ac:dyDescent="0.35">
      <c r="A3466" s="1" t="s">
        <v>147</v>
      </c>
      <c r="B3466" s="1"/>
      <c r="C3466" s="1"/>
      <c r="D3466" s="1" t="s">
        <v>149</v>
      </c>
      <c r="E3466" t="s">
        <v>136</v>
      </c>
    </row>
    <row r="3467" spans="1:5" x14ac:dyDescent="0.35">
      <c r="A3467" s="1" t="s">
        <v>147</v>
      </c>
      <c r="B3467" s="1"/>
      <c r="C3467" s="1" t="s">
        <v>150</v>
      </c>
      <c r="D3467" s="1" t="s">
        <v>146</v>
      </c>
      <c r="E3467" t="s">
        <v>136</v>
      </c>
    </row>
    <row r="3468" spans="1:5" x14ac:dyDescent="0.35">
      <c r="A3468" s="1" t="s">
        <v>147</v>
      </c>
      <c r="B3468" s="1"/>
      <c r="C3468" s="1"/>
      <c r="D3468" s="1" t="s">
        <v>148</v>
      </c>
      <c r="E3468" t="s">
        <v>136</v>
      </c>
    </row>
    <row r="3469" spans="1:5" x14ac:dyDescent="0.35">
      <c r="A3469" s="1" t="s">
        <v>147</v>
      </c>
      <c r="B3469" s="1"/>
      <c r="C3469" s="1"/>
      <c r="D3469" s="1" t="s">
        <v>149</v>
      </c>
      <c r="E3469" t="s">
        <v>136</v>
      </c>
    </row>
    <row r="3470" spans="1:5" x14ac:dyDescent="0.35">
      <c r="A3470" s="1" t="s">
        <v>147</v>
      </c>
      <c r="B3470" s="1" t="s">
        <v>161</v>
      </c>
      <c r="C3470" s="1" t="s">
        <v>145</v>
      </c>
      <c r="D3470" s="1" t="s">
        <v>146</v>
      </c>
      <c r="E3470" t="s">
        <v>136</v>
      </c>
    </row>
    <row r="3471" spans="1:5" x14ac:dyDescent="0.35">
      <c r="A3471" s="1" t="s">
        <v>147</v>
      </c>
      <c r="B3471" s="1"/>
      <c r="C3471" s="1"/>
      <c r="D3471" s="1" t="s">
        <v>148</v>
      </c>
      <c r="E3471" t="s">
        <v>136</v>
      </c>
    </row>
    <row r="3472" spans="1:5" x14ac:dyDescent="0.35">
      <c r="A3472" s="1" t="s">
        <v>147</v>
      </c>
      <c r="B3472" s="1"/>
      <c r="C3472" s="1"/>
      <c r="D3472" s="1" t="s">
        <v>149</v>
      </c>
      <c r="E3472" t="s">
        <v>136</v>
      </c>
    </row>
    <row r="3473" spans="1:5" x14ac:dyDescent="0.35">
      <c r="A3473" s="1" t="s">
        <v>147</v>
      </c>
      <c r="B3473" s="1"/>
      <c r="C3473" s="1" t="s">
        <v>150</v>
      </c>
      <c r="D3473" s="1" t="s">
        <v>146</v>
      </c>
      <c r="E3473" t="s">
        <v>136</v>
      </c>
    </row>
    <row r="3474" spans="1:5" x14ac:dyDescent="0.35">
      <c r="A3474" s="1" t="s">
        <v>147</v>
      </c>
      <c r="B3474" s="1"/>
      <c r="C3474" s="1"/>
      <c r="D3474" s="1" t="s">
        <v>148</v>
      </c>
      <c r="E3474" t="s">
        <v>136</v>
      </c>
    </row>
    <row r="3475" spans="1:5" x14ac:dyDescent="0.35">
      <c r="A3475" s="1" t="s">
        <v>147</v>
      </c>
      <c r="B3475" s="1"/>
      <c r="C3475" s="1"/>
      <c r="D3475" s="1" t="s">
        <v>149</v>
      </c>
      <c r="E3475" t="s">
        <v>136</v>
      </c>
    </row>
    <row r="3476" spans="1:5" x14ac:dyDescent="0.35">
      <c r="A3476" s="1" t="s">
        <v>147</v>
      </c>
      <c r="B3476" s="1" t="s">
        <v>162</v>
      </c>
      <c r="C3476" s="1" t="s">
        <v>145</v>
      </c>
      <c r="D3476" s="1" t="s">
        <v>146</v>
      </c>
      <c r="E3476" t="s">
        <v>136</v>
      </c>
    </row>
    <row r="3477" spans="1:5" x14ac:dyDescent="0.35">
      <c r="A3477" s="1" t="s">
        <v>147</v>
      </c>
      <c r="B3477" s="1"/>
      <c r="C3477" s="1"/>
      <c r="D3477" s="1" t="s">
        <v>148</v>
      </c>
      <c r="E3477" t="s">
        <v>136</v>
      </c>
    </row>
    <row r="3478" spans="1:5" x14ac:dyDescent="0.35">
      <c r="A3478" s="1" t="s">
        <v>147</v>
      </c>
      <c r="B3478" s="1"/>
      <c r="C3478" s="1"/>
      <c r="D3478" s="1" t="s">
        <v>149</v>
      </c>
      <c r="E3478" t="s">
        <v>136</v>
      </c>
    </row>
    <row r="3479" spans="1:5" x14ac:dyDescent="0.35">
      <c r="A3479" s="1" t="s">
        <v>147</v>
      </c>
      <c r="B3479" s="1"/>
      <c r="C3479" s="1" t="s">
        <v>150</v>
      </c>
      <c r="D3479" s="1" t="s">
        <v>146</v>
      </c>
      <c r="E3479" t="s">
        <v>136</v>
      </c>
    </row>
    <row r="3480" spans="1:5" x14ac:dyDescent="0.35">
      <c r="A3480" s="1" t="s">
        <v>147</v>
      </c>
      <c r="B3480" s="1"/>
      <c r="C3480" s="1"/>
      <c r="D3480" s="1" t="s">
        <v>148</v>
      </c>
      <c r="E3480" t="s">
        <v>136</v>
      </c>
    </row>
    <row r="3481" spans="1:5" x14ac:dyDescent="0.35">
      <c r="A3481" s="1" t="s">
        <v>147</v>
      </c>
      <c r="B3481" s="1"/>
      <c r="C3481" s="1"/>
      <c r="D3481" s="1" t="s">
        <v>149</v>
      </c>
      <c r="E3481" t="s">
        <v>136</v>
      </c>
    </row>
    <row r="3482" spans="1:5" x14ac:dyDescent="0.35">
      <c r="A3482" s="1" t="s">
        <v>147</v>
      </c>
      <c r="B3482" s="1" t="s">
        <v>163</v>
      </c>
      <c r="C3482" s="1" t="s">
        <v>145</v>
      </c>
      <c r="D3482" s="1" t="s">
        <v>146</v>
      </c>
      <c r="E3482">
        <v>504.63</v>
      </c>
    </row>
    <row r="3483" spans="1:5" x14ac:dyDescent="0.35">
      <c r="A3483" s="1" t="s">
        <v>147</v>
      </c>
      <c r="B3483" s="1"/>
      <c r="C3483" s="1"/>
      <c r="D3483" s="1" t="s">
        <v>148</v>
      </c>
      <c r="E3483">
        <v>404.63</v>
      </c>
    </row>
    <row r="3484" spans="1:5" x14ac:dyDescent="0.35">
      <c r="A3484" s="1" t="s">
        <v>147</v>
      </c>
      <c r="B3484" s="1"/>
      <c r="C3484" s="1"/>
      <c r="D3484" s="1" t="s">
        <v>149</v>
      </c>
      <c r="E3484">
        <v>100</v>
      </c>
    </row>
    <row r="3485" spans="1:5" x14ac:dyDescent="0.35">
      <c r="A3485" s="1" t="s">
        <v>147</v>
      </c>
      <c r="B3485" s="1"/>
      <c r="C3485" s="1" t="s">
        <v>150</v>
      </c>
      <c r="D3485" s="1" t="s">
        <v>146</v>
      </c>
      <c r="E3485" t="s">
        <v>136</v>
      </c>
    </row>
    <row r="3486" spans="1:5" x14ac:dyDescent="0.35">
      <c r="A3486" s="1" t="s">
        <v>147</v>
      </c>
      <c r="B3486" s="1"/>
      <c r="C3486" s="1"/>
      <c r="D3486" s="1" t="s">
        <v>148</v>
      </c>
      <c r="E3486" t="s">
        <v>136</v>
      </c>
    </row>
    <row r="3487" spans="1:5" x14ac:dyDescent="0.35">
      <c r="A3487" s="1" t="s">
        <v>147</v>
      </c>
      <c r="B3487" s="1"/>
      <c r="C3487" s="1"/>
      <c r="D3487" s="1" t="s">
        <v>149</v>
      </c>
      <c r="E3487" t="s">
        <v>136</v>
      </c>
    </row>
    <row r="3488" spans="1:5" x14ac:dyDescent="0.35">
      <c r="A3488" s="1" t="s">
        <v>147</v>
      </c>
      <c r="B3488" s="1" t="s">
        <v>164</v>
      </c>
      <c r="C3488" s="1" t="s">
        <v>145</v>
      </c>
      <c r="D3488" s="1" t="s">
        <v>146</v>
      </c>
      <c r="E3488" t="s">
        <v>136</v>
      </c>
    </row>
    <row r="3489" spans="1:5" x14ac:dyDescent="0.35">
      <c r="A3489" s="1" t="s">
        <v>147</v>
      </c>
      <c r="B3489" s="1"/>
      <c r="C3489" s="1"/>
      <c r="D3489" s="1" t="s">
        <v>148</v>
      </c>
      <c r="E3489" t="s">
        <v>136</v>
      </c>
    </row>
    <row r="3490" spans="1:5" x14ac:dyDescent="0.35">
      <c r="A3490" s="1" t="s">
        <v>147</v>
      </c>
      <c r="B3490" s="1"/>
      <c r="C3490" s="1"/>
      <c r="D3490" s="1" t="s">
        <v>149</v>
      </c>
      <c r="E3490" t="s">
        <v>136</v>
      </c>
    </row>
    <row r="3491" spans="1:5" x14ac:dyDescent="0.35">
      <c r="A3491" s="1" t="s">
        <v>147</v>
      </c>
      <c r="B3491" s="1"/>
      <c r="C3491" s="1" t="s">
        <v>150</v>
      </c>
      <c r="D3491" s="1" t="s">
        <v>146</v>
      </c>
      <c r="E3491" t="s">
        <v>136</v>
      </c>
    </row>
    <row r="3492" spans="1:5" x14ac:dyDescent="0.35">
      <c r="A3492" s="1" t="s">
        <v>147</v>
      </c>
      <c r="B3492" s="1"/>
      <c r="C3492" s="1"/>
      <c r="D3492" s="1" t="s">
        <v>148</v>
      </c>
      <c r="E3492" t="s">
        <v>136</v>
      </c>
    </row>
    <row r="3493" spans="1:5" x14ac:dyDescent="0.35">
      <c r="A3493" s="1" t="s">
        <v>147</v>
      </c>
      <c r="B3493" s="1"/>
      <c r="C3493" s="1"/>
      <c r="D3493" s="1" t="s">
        <v>149</v>
      </c>
      <c r="E3493" t="s">
        <v>136</v>
      </c>
    </row>
    <row r="3494" spans="1:5" x14ac:dyDescent="0.35">
      <c r="A3494" s="1" t="s">
        <v>147</v>
      </c>
      <c r="B3494" s="1" t="s">
        <v>165</v>
      </c>
      <c r="C3494" s="1" t="s">
        <v>145</v>
      </c>
      <c r="D3494" s="1" t="s">
        <v>146</v>
      </c>
      <c r="E3494" t="s">
        <v>136</v>
      </c>
    </row>
    <row r="3495" spans="1:5" x14ac:dyDescent="0.35">
      <c r="A3495" s="1" t="s">
        <v>147</v>
      </c>
      <c r="B3495" s="1"/>
      <c r="C3495" s="1"/>
      <c r="D3495" s="1" t="s">
        <v>148</v>
      </c>
      <c r="E3495" t="s">
        <v>136</v>
      </c>
    </row>
    <row r="3496" spans="1:5" x14ac:dyDescent="0.35">
      <c r="A3496" s="1" t="s">
        <v>147</v>
      </c>
      <c r="B3496" s="1"/>
      <c r="C3496" s="1"/>
      <c r="D3496" s="1" t="s">
        <v>149</v>
      </c>
      <c r="E3496" t="s">
        <v>136</v>
      </c>
    </row>
    <row r="3497" spans="1:5" x14ac:dyDescent="0.35">
      <c r="A3497" s="1" t="s">
        <v>147</v>
      </c>
      <c r="B3497" s="1"/>
      <c r="C3497" s="1" t="s">
        <v>150</v>
      </c>
      <c r="D3497" s="1" t="s">
        <v>146</v>
      </c>
      <c r="E3497" t="s">
        <v>136</v>
      </c>
    </row>
    <row r="3498" spans="1:5" x14ac:dyDescent="0.35">
      <c r="A3498" s="1" t="s">
        <v>147</v>
      </c>
      <c r="B3498" s="1"/>
      <c r="C3498" s="1"/>
      <c r="D3498" s="1" t="s">
        <v>148</v>
      </c>
      <c r="E3498" t="s">
        <v>136</v>
      </c>
    </row>
    <row r="3499" spans="1:5" x14ac:dyDescent="0.35">
      <c r="A3499" s="1" t="s">
        <v>147</v>
      </c>
      <c r="B3499" s="1"/>
      <c r="C3499" s="1"/>
      <c r="D3499" s="1" t="s">
        <v>149</v>
      </c>
      <c r="E3499" t="s">
        <v>136</v>
      </c>
    </row>
    <row r="3500" spans="1:5" x14ac:dyDescent="0.35">
      <c r="A3500" s="1" t="s">
        <v>147</v>
      </c>
      <c r="B3500" s="1" t="s">
        <v>166</v>
      </c>
      <c r="C3500" s="1" t="s">
        <v>145</v>
      </c>
      <c r="D3500" s="1" t="s">
        <v>146</v>
      </c>
      <c r="E3500">
        <v>150.63</v>
      </c>
    </row>
    <row r="3501" spans="1:5" x14ac:dyDescent="0.35">
      <c r="A3501" s="1" t="s">
        <v>147</v>
      </c>
      <c r="B3501" s="1"/>
      <c r="C3501" s="1"/>
      <c r="D3501" s="1" t="s">
        <v>148</v>
      </c>
      <c r="E3501">
        <v>50.63</v>
      </c>
    </row>
    <row r="3502" spans="1:5" x14ac:dyDescent="0.35">
      <c r="A3502" s="1" t="s">
        <v>147</v>
      </c>
      <c r="B3502" s="1"/>
      <c r="C3502" s="1"/>
      <c r="D3502" s="1" t="s">
        <v>149</v>
      </c>
      <c r="E3502">
        <v>100</v>
      </c>
    </row>
    <row r="3503" spans="1:5" x14ac:dyDescent="0.35">
      <c r="A3503" s="1" t="s">
        <v>147</v>
      </c>
      <c r="B3503" s="1"/>
      <c r="C3503" s="1" t="s">
        <v>150</v>
      </c>
      <c r="D3503" s="1" t="s">
        <v>146</v>
      </c>
      <c r="E3503" t="s">
        <v>136</v>
      </c>
    </row>
    <row r="3504" spans="1:5" x14ac:dyDescent="0.35">
      <c r="A3504" s="1" t="s">
        <v>147</v>
      </c>
      <c r="B3504" s="1"/>
      <c r="C3504" s="1"/>
      <c r="D3504" s="1" t="s">
        <v>148</v>
      </c>
      <c r="E3504" t="s">
        <v>136</v>
      </c>
    </row>
    <row r="3505" spans="1:5" x14ac:dyDescent="0.35">
      <c r="A3505" s="1" t="s">
        <v>147</v>
      </c>
      <c r="B3505" s="1"/>
      <c r="C3505" s="1"/>
      <c r="D3505" s="1" t="s">
        <v>149</v>
      </c>
      <c r="E3505" t="s">
        <v>136</v>
      </c>
    </row>
    <row r="3506" spans="1:5" x14ac:dyDescent="0.35">
      <c r="A3506" s="1" t="s">
        <v>147</v>
      </c>
      <c r="B3506" s="1" t="s">
        <v>167</v>
      </c>
      <c r="C3506" s="1" t="s">
        <v>145</v>
      </c>
      <c r="D3506" s="1" t="s">
        <v>146</v>
      </c>
      <c r="E3506">
        <v>354</v>
      </c>
    </row>
    <row r="3507" spans="1:5" x14ac:dyDescent="0.35">
      <c r="A3507" s="1" t="s">
        <v>147</v>
      </c>
      <c r="B3507" s="1"/>
      <c r="C3507" s="1"/>
      <c r="D3507" s="1" t="s">
        <v>148</v>
      </c>
      <c r="E3507">
        <v>354</v>
      </c>
    </row>
    <row r="3508" spans="1:5" x14ac:dyDescent="0.35">
      <c r="A3508" s="1" t="s">
        <v>147</v>
      </c>
      <c r="B3508" s="1"/>
      <c r="C3508" s="1"/>
      <c r="D3508" s="1" t="s">
        <v>149</v>
      </c>
      <c r="E3508" t="s">
        <v>136</v>
      </c>
    </row>
    <row r="3509" spans="1:5" x14ac:dyDescent="0.35">
      <c r="A3509" s="1" t="s">
        <v>147</v>
      </c>
      <c r="B3509" s="1"/>
      <c r="C3509" s="1" t="s">
        <v>150</v>
      </c>
      <c r="D3509" s="1" t="s">
        <v>146</v>
      </c>
      <c r="E3509" t="s">
        <v>136</v>
      </c>
    </row>
    <row r="3510" spans="1:5" x14ac:dyDescent="0.35">
      <c r="A3510" s="1" t="s">
        <v>147</v>
      </c>
      <c r="B3510" s="1"/>
      <c r="C3510" s="1"/>
      <c r="D3510" s="1" t="s">
        <v>148</v>
      </c>
      <c r="E3510" t="s">
        <v>136</v>
      </c>
    </row>
    <row r="3511" spans="1:5" x14ac:dyDescent="0.35">
      <c r="A3511" s="1" t="s">
        <v>147</v>
      </c>
      <c r="B3511" s="1"/>
      <c r="C3511" s="1"/>
      <c r="D3511" s="1" t="s">
        <v>149</v>
      </c>
      <c r="E3511" t="s">
        <v>136</v>
      </c>
    </row>
    <row r="3512" spans="1:5" x14ac:dyDescent="0.35">
      <c r="A3512" s="1" t="s">
        <v>147</v>
      </c>
      <c r="B3512" s="1" t="s">
        <v>168</v>
      </c>
      <c r="C3512" s="1" t="s">
        <v>145</v>
      </c>
      <c r="D3512" s="1" t="s">
        <v>146</v>
      </c>
      <c r="E3512" t="s">
        <v>136</v>
      </c>
    </row>
    <row r="3513" spans="1:5" x14ac:dyDescent="0.35">
      <c r="A3513" s="1" t="s">
        <v>147</v>
      </c>
      <c r="B3513" s="1"/>
      <c r="C3513" s="1"/>
      <c r="D3513" s="1" t="s">
        <v>148</v>
      </c>
      <c r="E3513" t="s">
        <v>136</v>
      </c>
    </row>
    <row r="3514" spans="1:5" x14ac:dyDescent="0.35">
      <c r="A3514" s="1" t="s">
        <v>147</v>
      </c>
      <c r="B3514" s="1"/>
      <c r="C3514" s="1"/>
      <c r="D3514" s="1" t="s">
        <v>149</v>
      </c>
      <c r="E3514" t="s">
        <v>136</v>
      </c>
    </row>
    <row r="3515" spans="1:5" x14ac:dyDescent="0.35">
      <c r="A3515" s="1" t="s">
        <v>147</v>
      </c>
      <c r="B3515" s="1"/>
      <c r="C3515" s="1" t="s">
        <v>150</v>
      </c>
      <c r="D3515" s="1" t="s">
        <v>146</v>
      </c>
      <c r="E3515" t="s">
        <v>136</v>
      </c>
    </row>
    <row r="3516" spans="1:5" x14ac:dyDescent="0.35">
      <c r="A3516" s="1" t="s">
        <v>147</v>
      </c>
      <c r="B3516" s="1"/>
      <c r="C3516" s="1"/>
      <c r="D3516" s="1" t="s">
        <v>148</v>
      </c>
      <c r="E3516" t="s">
        <v>136</v>
      </c>
    </row>
    <row r="3517" spans="1:5" x14ac:dyDescent="0.35">
      <c r="A3517" s="1" t="s">
        <v>147</v>
      </c>
      <c r="B3517" s="1"/>
      <c r="C3517" s="1"/>
      <c r="D3517" s="1" t="s">
        <v>149</v>
      </c>
      <c r="E3517" t="s">
        <v>136</v>
      </c>
    </row>
    <row r="3518" spans="1:5" x14ac:dyDescent="0.35">
      <c r="A3518" s="1" t="s">
        <v>147</v>
      </c>
      <c r="B3518" s="1" t="s">
        <v>169</v>
      </c>
      <c r="C3518" s="1" t="s">
        <v>145</v>
      </c>
      <c r="D3518" s="1" t="s">
        <v>146</v>
      </c>
      <c r="E3518" t="s">
        <v>136</v>
      </c>
    </row>
    <row r="3519" spans="1:5" x14ac:dyDescent="0.35">
      <c r="A3519" s="1" t="s">
        <v>147</v>
      </c>
      <c r="B3519" s="1"/>
      <c r="C3519" s="1"/>
      <c r="D3519" s="1" t="s">
        <v>148</v>
      </c>
      <c r="E3519" t="s">
        <v>136</v>
      </c>
    </row>
    <row r="3520" spans="1:5" x14ac:dyDescent="0.35">
      <c r="A3520" s="1" t="s">
        <v>147</v>
      </c>
      <c r="B3520" s="1"/>
      <c r="C3520" s="1"/>
      <c r="D3520" s="1" t="s">
        <v>149</v>
      </c>
      <c r="E3520" t="s">
        <v>136</v>
      </c>
    </row>
    <row r="3521" spans="1:5" x14ac:dyDescent="0.35">
      <c r="A3521" s="1" t="s">
        <v>147</v>
      </c>
      <c r="B3521" s="1"/>
      <c r="C3521" s="1" t="s">
        <v>150</v>
      </c>
      <c r="D3521" s="1" t="s">
        <v>146</v>
      </c>
      <c r="E3521" t="s">
        <v>136</v>
      </c>
    </row>
    <row r="3522" spans="1:5" x14ac:dyDescent="0.35">
      <c r="A3522" s="1" t="s">
        <v>147</v>
      </c>
      <c r="B3522" s="1"/>
      <c r="C3522" s="1"/>
      <c r="D3522" s="1" t="s">
        <v>148</v>
      </c>
      <c r="E3522" t="s">
        <v>136</v>
      </c>
    </row>
    <row r="3523" spans="1:5" x14ac:dyDescent="0.35">
      <c r="A3523" s="1" t="s">
        <v>147</v>
      </c>
      <c r="B3523" s="1"/>
      <c r="C3523" s="1"/>
      <c r="D3523" s="1" t="s">
        <v>149</v>
      </c>
      <c r="E3523" t="s">
        <v>136</v>
      </c>
    </row>
    <row r="3524" spans="1:5" x14ac:dyDescent="0.35">
      <c r="A3524" s="1" t="s">
        <v>147</v>
      </c>
      <c r="B3524" s="1" t="s">
        <v>170</v>
      </c>
      <c r="C3524" s="1" t="s">
        <v>145</v>
      </c>
      <c r="D3524" s="1" t="s">
        <v>146</v>
      </c>
      <c r="E3524" t="s">
        <v>136</v>
      </c>
    </row>
    <row r="3525" spans="1:5" x14ac:dyDescent="0.35">
      <c r="A3525" s="1" t="s">
        <v>147</v>
      </c>
      <c r="B3525" s="1"/>
      <c r="C3525" s="1"/>
      <c r="D3525" s="1" t="s">
        <v>148</v>
      </c>
      <c r="E3525" t="s">
        <v>136</v>
      </c>
    </row>
    <row r="3526" spans="1:5" x14ac:dyDescent="0.35">
      <c r="A3526" s="1" t="s">
        <v>147</v>
      </c>
      <c r="B3526" s="1"/>
      <c r="C3526" s="1"/>
      <c r="D3526" s="1" t="s">
        <v>149</v>
      </c>
      <c r="E3526" t="s">
        <v>136</v>
      </c>
    </row>
    <row r="3527" spans="1:5" x14ac:dyDescent="0.35">
      <c r="A3527" s="1" t="s">
        <v>147</v>
      </c>
      <c r="B3527" s="1"/>
      <c r="C3527" s="1" t="s">
        <v>150</v>
      </c>
      <c r="D3527" s="1" t="s">
        <v>146</v>
      </c>
      <c r="E3527" t="s">
        <v>136</v>
      </c>
    </row>
    <row r="3528" spans="1:5" x14ac:dyDescent="0.35">
      <c r="A3528" s="1" t="s">
        <v>147</v>
      </c>
      <c r="B3528" s="1"/>
      <c r="C3528" s="1"/>
      <c r="D3528" s="1" t="s">
        <v>148</v>
      </c>
      <c r="E3528" t="s">
        <v>136</v>
      </c>
    </row>
    <row r="3529" spans="1:5" x14ac:dyDescent="0.35">
      <c r="A3529" s="1" t="s">
        <v>147</v>
      </c>
      <c r="B3529" s="1"/>
      <c r="C3529" s="1"/>
      <c r="D3529" s="1" t="s">
        <v>149</v>
      </c>
      <c r="E3529" t="s">
        <v>136</v>
      </c>
    </row>
    <row r="3530" spans="1:5" x14ac:dyDescent="0.35">
      <c r="A3530" s="1" t="s">
        <v>87</v>
      </c>
      <c r="B3530" s="1" t="s">
        <v>144</v>
      </c>
      <c r="C3530" s="1" t="s">
        <v>145</v>
      </c>
      <c r="D3530" s="1" t="s">
        <v>146</v>
      </c>
      <c r="E3530">
        <v>301.89</v>
      </c>
    </row>
    <row r="3531" spans="1:5" x14ac:dyDescent="0.35">
      <c r="A3531" s="1" t="s">
        <v>147</v>
      </c>
      <c r="B3531" s="1"/>
      <c r="C3531" s="1"/>
      <c r="D3531" s="1" t="s">
        <v>148</v>
      </c>
      <c r="E3531">
        <v>299.52</v>
      </c>
    </row>
    <row r="3532" spans="1:5" x14ac:dyDescent="0.35">
      <c r="A3532" s="1" t="s">
        <v>147</v>
      </c>
      <c r="B3532" s="1"/>
      <c r="C3532" s="1"/>
      <c r="D3532" s="1" t="s">
        <v>149</v>
      </c>
      <c r="E3532">
        <v>2.38</v>
      </c>
    </row>
    <row r="3533" spans="1:5" x14ac:dyDescent="0.35">
      <c r="A3533" s="1" t="s">
        <v>147</v>
      </c>
      <c r="B3533" s="1"/>
      <c r="C3533" s="1" t="s">
        <v>150</v>
      </c>
      <c r="D3533" s="1" t="s">
        <v>146</v>
      </c>
      <c r="E3533" t="s">
        <v>136</v>
      </c>
    </row>
    <row r="3534" spans="1:5" x14ac:dyDescent="0.35">
      <c r="A3534" s="1" t="s">
        <v>147</v>
      </c>
      <c r="B3534" s="1"/>
      <c r="C3534" s="1"/>
      <c r="D3534" s="1" t="s">
        <v>148</v>
      </c>
      <c r="E3534" t="s">
        <v>136</v>
      </c>
    </row>
    <row r="3535" spans="1:5" x14ac:dyDescent="0.35">
      <c r="A3535" s="1" t="s">
        <v>147</v>
      </c>
      <c r="B3535" s="1"/>
      <c r="C3535" s="1"/>
      <c r="D3535" s="1" t="s">
        <v>149</v>
      </c>
      <c r="E3535" t="s">
        <v>136</v>
      </c>
    </row>
    <row r="3536" spans="1:5" x14ac:dyDescent="0.35">
      <c r="A3536" s="1" t="s">
        <v>147</v>
      </c>
      <c r="B3536" s="1" t="s">
        <v>151</v>
      </c>
      <c r="C3536" s="1" t="s">
        <v>145</v>
      </c>
      <c r="D3536" s="1" t="s">
        <v>146</v>
      </c>
      <c r="E3536">
        <v>138.91</v>
      </c>
    </row>
    <row r="3537" spans="1:5" x14ac:dyDescent="0.35">
      <c r="A3537" s="1" t="s">
        <v>147</v>
      </c>
      <c r="B3537" s="1"/>
      <c r="C3537" s="1"/>
      <c r="D3537" s="1" t="s">
        <v>148</v>
      </c>
      <c r="E3537">
        <v>137.24</v>
      </c>
    </row>
    <row r="3538" spans="1:5" x14ac:dyDescent="0.35">
      <c r="A3538" s="1" t="s">
        <v>147</v>
      </c>
      <c r="B3538" s="1"/>
      <c r="C3538" s="1"/>
      <c r="D3538" s="1" t="s">
        <v>149</v>
      </c>
      <c r="E3538">
        <v>1.68</v>
      </c>
    </row>
    <row r="3539" spans="1:5" x14ac:dyDescent="0.35">
      <c r="A3539" s="1" t="s">
        <v>147</v>
      </c>
      <c r="B3539" s="1"/>
      <c r="C3539" s="1" t="s">
        <v>150</v>
      </c>
      <c r="D3539" s="1" t="s">
        <v>146</v>
      </c>
      <c r="E3539" t="s">
        <v>136</v>
      </c>
    </row>
    <row r="3540" spans="1:5" x14ac:dyDescent="0.35">
      <c r="A3540" s="1" t="s">
        <v>147</v>
      </c>
      <c r="B3540" s="1"/>
      <c r="C3540" s="1"/>
      <c r="D3540" s="1" t="s">
        <v>148</v>
      </c>
      <c r="E3540" t="s">
        <v>136</v>
      </c>
    </row>
    <row r="3541" spans="1:5" x14ac:dyDescent="0.35">
      <c r="A3541" s="1" t="s">
        <v>147</v>
      </c>
      <c r="B3541" s="1"/>
      <c r="C3541" s="1"/>
      <c r="D3541" s="1" t="s">
        <v>149</v>
      </c>
      <c r="E3541" t="s">
        <v>136</v>
      </c>
    </row>
    <row r="3542" spans="1:5" x14ac:dyDescent="0.35">
      <c r="A3542" s="1" t="s">
        <v>147</v>
      </c>
      <c r="B3542" s="1" t="s">
        <v>152</v>
      </c>
      <c r="C3542" s="1" t="s">
        <v>145</v>
      </c>
      <c r="D3542" s="1" t="s">
        <v>146</v>
      </c>
      <c r="E3542" t="s">
        <v>136</v>
      </c>
    </row>
    <row r="3543" spans="1:5" x14ac:dyDescent="0.35">
      <c r="A3543" s="1" t="s">
        <v>147</v>
      </c>
      <c r="B3543" s="1"/>
      <c r="C3543" s="1"/>
      <c r="D3543" s="1" t="s">
        <v>148</v>
      </c>
      <c r="E3543" t="s">
        <v>136</v>
      </c>
    </row>
    <row r="3544" spans="1:5" x14ac:dyDescent="0.35">
      <c r="A3544" s="1" t="s">
        <v>147</v>
      </c>
      <c r="B3544" s="1"/>
      <c r="C3544" s="1"/>
      <c r="D3544" s="1" t="s">
        <v>149</v>
      </c>
      <c r="E3544" t="s">
        <v>136</v>
      </c>
    </row>
    <row r="3545" spans="1:5" x14ac:dyDescent="0.35">
      <c r="A3545" s="1" t="s">
        <v>147</v>
      </c>
      <c r="B3545" s="1"/>
      <c r="C3545" s="1" t="s">
        <v>150</v>
      </c>
      <c r="D3545" s="1" t="s">
        <v>146</v>
      </c>
      <c r="E3545" t="s">
        <v>136</v>
      </c>
    </row>
    <row r="3546" spans="1:5" x14ac:dyDescent="0.35">
      <c r="A3546" s="1" t="s">
        <v>147</v>
      </c>
      <c r="B3546" s="1"/>
      <c r="C3546" s="1"/>
      <c r="D3546" s="1" t="s">
        <v>148</v>
      </c>
      <c r="E3546" t="s">
        <v>136</v>
      </c>
    </row>
    <row r="3547" spans="1:5" x14ac:dyDescent="0.35">
      <c r="A3547" s="1" t="s">
        <v>147</v>
      </c>
      <c r="B3547" s="1"/>
      <c r="C3547" s="1"/>
      <c r="D3547" s="1" t="s">
        <v>149</v>
      </c>
      <c r="E3547" t="s">
        <v>136</v>
      </c>
    </row>
    <row r="3548" spans="1:5" x14ac:dyDescent="0.35">
      <c r="A3548" s="1" t="s">
        <v>147</v>
      </c>
      <c r="B3548" s="1" t="s">
        <v>153</v>
      </c>
      <c r="C3548" s="1" t="s">
        <v>145</v>
      </c>
      <c r="D3548" s="1" t="s">
        <v>146</v>
      </c>
      <c r="E3548">
        <v>10.63</v>
      </c>
    </row>
    <row r="3549" spans="1:5" x14ac:dyDescent="0.35">
      <c r="A3549" s="1" t="s">
        <v>147</v>
      </c>
      <c r="B3549" s="1"/>
      <c r="C3549" s="1"/>
      <c r="D3549" s="1" t="s">
        <v>148</v>
      </c>
      <c r="E3549">
        <v>10.63</v>
      </c>
    </row>
    <row r="3550" spans="1:5" x14ac:dyDescent="0.35">
      <c r="A3550" s="1" t="s">
        <v>147</v>
      </c>
      <c r="B3550" s="1"/>
      <c r="C3550" s="1"/>
      <c r="D3550" s="1" t="s">
        <v>149</v>
      </c>
      <c r="E3550" t="s">
        <v>136</v>
      </c>
    </row>
    <row r="3551" spans="1:5" x14ac:dyDescent="0.35">
      <c r="A3551" s="1" t="s">
        <v>147</v>
      </c>
      <c r="B3551" s="1"/>
      <c r="C3551" s="1" t="s">
        <v>150</v>
      </c>
      <c r="D3551" s="1" t="s">
        <v>146</v>
      </c>
      <c r="E3551" t="s">
        <v>136</v>
      </c>
    </row>
    <row r="3552" spans="1:5" x14ac:dyDescent="0.35">
      <c r="A3552" s="1" t="s">
        <v>147</v>
      </c>
      <c r="B3552" s="1"/>
      <c r="C3552" s="1"/>
      <c r="D3552" s="1" t="s">
        <v>148</v>
      </c>
      <c r="E3552" t="s">
        <v>136</v>
      </c>
    </row>
    <row r="3553" spans="1:5" x14ac:dyDescent="0.35">
      <c r="A3553" s="1" t="s">
        <v>147</v>
      </c>
      <c r="B3553" s="1"/>
      <c r="C3553" s="1"/>
      <c r="D3553" s="1" t="s">
        <v>149</v>
      </c>
      <c r="E3553" t="s">
        <v>136</v>
      </c>
    </row>
    <row r="3554" spans="1:5" x14ac:dyDescent="0.35">
      <c r="A3554" s="1" t="s">
        <v>147</v>
      </c>
      <c r="B3554" s="1" t="s">
        <v>154</v>
      </c>
      <c r="C3554" s="1" t="s">
        <v>145</v>
      </c>
      <c r="D3554" s="1" t="s">
        <v>146</v>
      </c>
      <c r="E3554" t="s">
        <v>136</v>
      </c>
    </row>
    <row r="3555" spans="1:5" x14ac:dyDescent="0.35">
      <c r="A3555" s="1" t="s">
        <v>147</v>
      </c>
      <c r="B3555" s="1"/>
      <c r="C3555" s="1"/>
      <c r="D3555" s="1" t="s">
        <v>148</v>
      </c>
      <c r="E3555" t="s">
        <v>136</v>
      </c>
    </row>
    <row r="3556" spans="1:5" x14ac:dyDescent="0.35">
      <c r="A3556" s="1" t="s">
        <v>147</v>
      </c>
      <c r="B3556" s="1"/>
      <c r="C3556" s="1"/>
      <c r="D3556" s="1" t="s">
        <v>149</v>
      </c>
      <c r="E3556" t="s">
        <v>136</v>
      </c>
    </row>
    <row r="3557" spans="1:5" x14ac:dyDescent="0.35">
      <c r="A3557" s="1" t="s">
        <v>147</v>
      </c>
      <c r="B3557" s="1"/>
      <c r="C3557" s="1" t="s">
        <v>150</v>
      </c>
      <c r="D3557" s="1" t="s">
        <v>146</v>
      </c>
      <c r="E3557" t="s">
        <v>136</v>
      </c>
    </row>
    <row r="3558" spans="1:5" x14ac:dyDescent="0.35">
      <c r="A3558" s="1" t="s">
        <v>147</v>
      </c>
      <c r="B3558" s="1"/>
      <c r="C3558" s="1"/>
      <c r="D3558" s="1" t="s">
        <v>148</v>
      </c>
      <c r="E3558" t="s">
        <v>136</v>
      </c>
    </row>
    <row r="3559" spans="1:5" x14ac:dyDescent="0.35">
      <c r="A3559" s="1" t="s">
        <v>147</v>
      </c>
      <c r="B3559" s="1"/>
      <c r="C3559" s="1"/>
      <c r="D3559" s="1" t="s">
        <v>149</v>
      </c>
      <c r="E3559" t="s">
        <v>136</v>
      </c>
    </row>
    <row r="3560" spans="1:5" x14ac:dyDescent="0.35">
      <c r="A3560" s="1" t="s">
        <v>147</v>
      </c>
      <c r="B3560" s="1" t="s">
        <v>155</v>
      </c>
      <c r="C3560" s="1" t="s">
        <v>145</v>
      </c>
      <c r="D3560" s="1" t="s">
        <v>146</v>
      </c>
      <c r="E3560">
        <v>61.7</v>
      </c>
    </row>
    <row r="3561" spans="1:5" x14ac:dyDescent="0.35">
      <c r="A3561" s="1" t="s">
        <v>147</v>
      </c>
      <c r="B3561" s="1"/>
      <c r="C3561" s="1"/>
      <c r="D3561" s="1" t="s">
        <v>148</v>
      </c>
      <c r="E3561">
        <v>61</v>
      </c>
    </row>
    <row r="3562" spans="1:5" x14ac:dyDescent="0.35">
      <c r="A3562" s="1" t="s">
        <v>147</v>
      </c>
      <c r="B3562" s="1"/>
      <c r="C3562" s="1"/>
      <c r="D3562" s="1" t="s">
        <v>149</v>
      </c>
      <c r="E3562">
        <v>0.7</v>
      </c>
    </row>
    <row r="3563" spans="1:5" x14ac:dyDescent="0.35">
      <c r="A3563" s="1" t="s">
        <v>147</v>
      </c>
      <c r="B3563" s="1"/>
      <c r="C3563" s="1" t="s">
        <v>150</v>
      </c>
      <c r="D3563" s="1" t="s">
        <v>146</v>
      </c>
      <c r="E3563" t="s">
        <v>136</v>
      </c>
    </row>
    <row r="3564" spans="1:5" x14ac:dyDescent="0.35">
      <c r="A3564" s="1" t="s">
        <v>147</v>
      </c>
      <c r="B3564" s="1"/>
      <c r="C3564" s="1"/>
      <c r="D3564" s="1" t="s">
        <v>148</v>
      </c>
      <c r="E3564" t="s">
        <v>136</v>
      </c>
    </row>
    <row r="3565" spans="1:5" x14ac:dyDescent="0.35">
      <c r="A3565" s="1" t="s">
        <v>147</v>
      </c>
      <c r="B3565" s="1"/>
      <c r="C3565" s="1"/>
      <c r="D3565" s="1" t="s">
        <v>149</v>
      </c>
      <c r="E3565" t="s">
        <v>136</v>
      </c>
    </row>
    <row r="3566" spans="1:5" x14ac:dyDescent="0.35">
      <c r="A3566" s="1" t="s">
        <v>147</v>
      </c>
      <c r="B3566" s="1" t="s">
        <v>156</v>
      </c>
      <c r="C3566" s="1" t="s">
        <v>145</v>
      </c>
      <c r="D3566" s="1" t="s">
        <v>146</v>
      </c>
      <c r="E3566" t="s">
        <v>136</v>
      </c>
    </row>
    <row r="3567" spans="1:5" x14ac:dyDescent="0.35">
      <c r="A3567" s="1" t="s">
        <v>147</v>
      </c>
      <c r="B3567" s="1"/>
      <c r="C3567" s="1"/>
      <c r="D3567" s="1" t="s">
        <v>148</v>
      </c>
      <c r="E3567" t="s">
        <v>136</v>
      </c>
    </row>
    <row r="3568" spans="1:5" x14ac:dyDescent="0.35">
      <c r="A3568" s="1" t="s">
        <v>147</v>
      </c>
      <c r="B3568" s="1"/>
      <c r="C3568" s="1"/>
      <c r="D3568" s="1" t="s">
        <v>149</v>
      </c>
      <c r="E3568" t="s">
        <v>136</v>
      </c>
    </row>
    <row r="3569" spans="1:5" x14ac:dyDescent="0.35">
      <c r="A3569" s="1" t="s">
        <v>147</v>
      </c>
      <c r="B3569" s="1"/>
      <c r="C3569" s="1" t="s">
        <v>150</v>
      </c>
      <c r="D3569" s="1" t="s">
        <v>146</v>
      </c>
      <c r="E3569" t="s">
        <v>136</v>
      </c>
    </row>
    <row r="3570" spans="1:5" x14ac:dyDescent="0.35">
      <c r="A3570" s="1" t="s">
        <v>147</v>
      </c>
      <c r="B3570" s="1"/>
      <c r="C3570" s="1"/>
      <c r="D3570" s="1" t="s">
        <v>148</v>
      </c>
      <c r="E3570" t="s">
        <v>136</v>
      </c>
    </row>
    <row r="3571" spans="1:5" x14ac:dyDescent="0.35">
      <c r="A3571" s="1" t="s">
        <v>147</v>
      </c>
      <c r="B3571" s="1"/>
      <c r="C3571" s="1"/>
      <c r="D3571" s="1" t="s">
        <v>149</v>
      </c>
      <c r="E3571" t="s">
        <v>136</v>
      </c>
    </row>
    <row r="3572" spans="1:5" x14ac:dyDescent="0.35">
      <c r="A3572" s="1" t="s">
        <v>147</v>
      </c>
      <c r="B3572" s="1" t="s">
        <v>157</v>
      </c>
      <c r="C3572" s="1" t="s">
        <v>145</v>
      </c>
      <c r="D3572" s="1" t="s">
        <v>146</v>
      </c>
      <c r="E3572" t="s">
        <v>136</v>
      </c>
    </row>
    <row r="3573" spans="1:5" x14ac:dyDescent="0.35">
      <c r="A3573" s="1" t="s">
        <v>147</v>
      </c>
      <c r="B3573" s="1"/>
      <c r="C3573" s="1"/>
      <c r="D3573" s="1" t="s">
        <v>148</v>
      </c>
      <c r="E3573" t="s">
        <v>136</v>
      </c>
    </row>
    <row r="3574" spans="1:5" x14ac:dyDescent="0.35">
      <c r="A3574" s="1" t="s">
        <v>147</v>
      </c>
      <c r="B3574" s="1"/>
      <c r="C3574" s="1"/>
      <c r="D3574" s="1" t="s">
        <v>149</v>
      </c>
      <c r="E3574" t="s">
        <v>136</v>
      </c>
    </row>
    <row r="3575" spans="1:5" x14ac:dyDescent="0.35">
      <c r="A3575" s="1" t="s">
        <v>147</v>
      </c>
      <c r="B3575" s="1"/>
      <c r="C3575" s="1" t="s">
        <v>150</v>
      </c>
      <c r="D3575" s="1" t="s">
        <v>146</v>
      </c>
      <c r="E3575" t="s">
        <v>136</v>
      </c>
    </row>
    <row r="3576" spans="1:5" x14ac:dyDescent="0.35">
      <c r="A3576" s="1" t="s">
        <v>147</v>
      </c>
      <c r="B3576" s="1"/>
      <c r="C3576" s="1"/>
      <c r="D3576" s="1" t="s">
        <v>148</v>
      </c>
      <c r="E3576" t="s">
        <v>136</v>
      </c>
    </row>
    <row r="3577" spans="1:5" x14ac:dyDescent="0.35">
      <c r="A3577" s="1" t="s">
        <v>147</v>
      </c>
      <c r="B3577" s="1"/>
      <c r="C3577" s="1"/>
      <c r="D3577" s="1" t="s">
        <v>149</v>
      </c>
      <c r="E3577" t="s">
        <v>136</v>
      </c>
    </row>
    <row r="3578" spans="1:5" x14ac:dyDescent="0.35">
      <c r="A3578" s="1" t="s">
        <v>147</v>
      </c>
      <c r="B3578" s="1" t="s">
        <v>158</v>
      </c>
      <c r="C3578" s="1" t="s">
        <v>145</v>
      </c>
      <c r="D3578" s="1" t="s">
        <v>146</v>
      </c>
      <c r="E3578">
        <v>87.2</v>
      </c>
    </row>
    <row r="3579" spans="1:5" x14ac:dyDescent="0.35">
      <c r="A3579" s="1" t="s">
        <v>147</v>
      </c>
      <c r="B3579" s="1"/>
      <c r="C3579" s="1"/>
      <c r="D3579" s="1" t="s">
        <v>148</v>
      </c>
      <c r="E3579">
        <v>87.2</v>
      </c>
    </row>
    <row r="3580" spans="1:5" x14ac:dyDescent="0.35">
      <c r="A3580" s="1" t="s">
        <v>147</v>
      </c>
      <c r="B3580" s="1"/>
      <c r="C3580" s="1"/>
      <c r="D3580" s="1" t="s">
        <v>149</v>
      </c>
      <c r="E3580" t="s">
        <v>136</v>
      </c>
    </row>
    <row r="3581" spans="1:5" x14ac:dyDescent="0.35">
      <c r="A3581" s="1" t="s">
        <v>147</v>
      </c>
      <c r="B3581" s="1"/>
      <c r="C3581" s="1" t="s">
        <v>150</v>
      </c>
      <c r="D3581" s="1" t="s">
        <v>146</v>
      </c>
      <c r="E3581" t="s">
        <v>136</v>
      </c>
    </row>
    <row r="3582" spans="1:5" x14ac:dyDescent="0.35">
      <c r="A3582" s="1" t="s">
        <v>147</v>
      </c>
      <c r="B3582" s="1"/>
      <c r="C3582" s="1"/>
      <c r="D3582" s="1" t="s">
        <v>148</v>
      </c>
      <c r="E3582" t="s">
        <v>136</v>
      </c>
    </row>
    <row r="3583" spans="1:5" x14ac:dyDescent="0.35">
      <c r="A3583" s="1" t="s">
        <v>147</v>
      </c>
      <c r="B3583" s="1"/>
      <c r="C3583" s="1"/>
      <c r="D3583" s="1" t="s">
        <v>149</v>
      </c>
      <c r="E3583" t="s">
        <v>136</v>
      </c>
    </row>
    <row r="3584" spans="1:5" x14ac:dyDescent="0.35">
      <c r="A3584" s="1" t="s">
        <v>147</v>
      </c>
      <c r="B3584" s="1" t="s">
        <v>159</v>
      </c>
      <c r="C3584" s="1" t="s">
        <v>145</v>
      </c>
      <c r="D3584" s="1" t="s">
        <v>146</v>
      </c>
      <c r="E3584" t="s">
        <v>136</v>
      </c>
    </row>
    <row r="3585" spans="1:5" x14ac:dyDescent="0.35">
      <c r="A3585" s="1" t="s">
        <v>147</v>
      </c>
      <c r="B3585" s="1"/>
      <c r="C3585" s="1"/>
      <c r="D3585" s="1" t="s">
        <v>148</v>
      </c>
      <c r="E3585" t="s">
        <v>136</v>
      </c>
    </row>
    <row r="3586" spans="1:5" x14ac:dyDescent="0.35">
      <c r="A3586" s="1" t="s">
        <v>147</v>
      </c>
      <c r="B3586" s="1"/>
      <c r="C3586" s="1"/>
      <c r="D3586" s="1" t="s">
        <v>149</v>
      </c>
      <c r="E3586" t="s">
        <v>136</v>
      </c>
    </row>
    <row r="3587" spans="1:5" x14ac:dyDescent="0.35">
      <c r="A3587" s="1" t="s">
        <v>147</v>
      </c>
      <c r="B3587" s="1"/>
      <c r="C3587" s="1" t="s">
        <v>150</v>
      </c>
      <c r="D3587" s="1" t="s">
        <v>146</v>
      </c>
      <c r="E3587" t="s">
        <v>136</v>
      </c>
    </row>
    <row r="3588" spans="1:5" x14ac:dyDescent="0.35">
      <c r="A3588" s="1" t="s">
        <v>147</v>
      </c>
      <c r="B3588" s="1"/>
      <c r="C3588" s="1"/>
      <c r="D3588" s="1" t="s">
        <v>148</v>
      </c>
      <c r="E3588" t="s">
        <v>136</v>
      </c>
    </row>
    <row r="3589" spans="1:5" x14ac:dyDescent="0.35">
      <c r="A3589" s="1" t="s">
        <v>147</v>
      </c>
      <c r="B3589" s="1"/>
      <c r="C3589" s="1"/>
      <c r="D3589" s="1" t="s">
        <v>149</v>
      </c>
      <c r="E3589" t="s">
        <v>136</v>
      </c>
    </row>
    <row r="3590" spans="1:5" x14ac:dyDescent="0.35">
      <c r="A3590" s="1" t="s">
        <v>147</v>
      </c>
      <c r="B3590" s="1" t="s">
        <v>160</v>
      </c>
      <c r="C3590" s="1" t="s">
        <v>145</v>
      </c>
      <c r="D3590" s="1" t="s">
        <v>146</v>
      </c>
      <c r="E3590" t="s">
        <v>136</v>
      </c>
    </row>
    <row r="3591" spans="1:5" x14ac:dyDescent="0.35">
      <c r="A3591" s="1" t="s">
        <v>147</v>
      </c>
      <c r="B3591" s="1"/>
      <c r="C3591" s="1"/>
      <c r="D3591" s="1" t="s">
        <v>148</v>
      </c>
      <c r="E3591" t="s">
        <v>136</v>
      </c>
    </row>
    <row r="3592" spans="1:5" x14ac:dyDescent="0.35">
      <c r="A3592" s="1" t="s">
        <v>147</v>
      </c>
      <c r="B3592" s="1"/>
      <c r="C3592" s="1"/>
      <c r="D3592" s="1" t="s">
        <v>149</v>
      </c>
      <c r="E3592" t="s">
        <v>136</v>
      </c>
    </row>
    <row r="3593" spans="1:5" x14ac:dyDescent="0.35">
      <c r="A3593" s="1" t="s">
        <v>147</v>
      </c>
      <c r="B3593" s="1"/>
      <c r="C3593" s="1" t="s">
        <v>150</v>
      </c>
      <c r="D3593" s="1" t="s">
        <v>146</v>
      </c>
      <c r="E3593" t="s">
        <v>136</v>
      </c>
    </row>
    <row r="3594" spans="1:5" x14ac:dyDescent="0.35">
      <c r="A3594" s="1" t="s">
        <v>147</v>
      </c>
      <c r="B3594" s="1"/>
      <c r="C3594" s="1"/>
      <c r="D3594" s="1" t="s">
        <v>148</v>
      </c>
      <c r="E3594" t="s">
        <v>136</v>
      </c>
    </row>
    <row r="3595" spans="1:5" x14ac:dyDescent="0.35">
      <c r="A3595" s="1" t="s">
        <v>147</v>
      </c>
      <c r="B3595" s="1"/>
      <c r="C3595" s="1"/>
      <c r="D3595" s="1" t="s">
        <v>149</v>
      </c>
      <c r="E3595" t="s">
        <v>136</v>
      </c>
    </row>
    <row r="3596" spans="1:5" x14ac:dyDescent="0.35">
      <c r="A3596" s="1" t="s">
        <v>147</v>
      </c>
      <c r="B3596" s="1" t="s">
        <v>161</v>
      </c>
      <c r="C3596" s="1" t="s">
        <v>145</v>
      </c>
      <c r="D3596" s="1" t="s">
        <v>146</v>
      </c>
      <c r="E3596">
        <v>3.45</v>
      </c>
    </row>
    <row r="3597" spans="1:5" x14ac:dyDescent="0.35">
      <c r="A3597" s="1" t="s">
        <v>147</v>
      </c>
      <c r="B3597" s="1"/>
      <c r="C3597" s="1"/>
      <c r="D3597" s="1" t="s">
        <v>148</v>
      </c>
      <c r="E3597">
        <v>3.45</v>
      </c>
    </row>
    <row r="3598" spans="1:5" x14ac:dyDescent="0.35">
      <c r="A3598" s="1" t="s">
        <v>147</v>
      </c>
      <c r="B3598" s="1"/>
      <c r="C3598" s="1"/>
      <c r="D3598" s="1" t="s">
        <v>149</v>
      </c>
      <c r="E3598" t="s">
        <v>136</v>
      </c>
    </row>
    <row r="3599" spans="1:5" x14ac:dyDescent="0.35">
      <c r="A3599" s="1" t="s">
        <v>147</v>
      </c>
      <c r="B3599" s="1"/>
      <c r="C3599" s="1" t="s">
        <v>150</v>
      </c>
      <c r="D3599" s="1" t="s">
        <v>146</v>
      </c>
      <c r="E3599" t="s">
        <v>136</v>
      </c>
    </row>
    <row r="3600" spans="1:5" x14ac:dyDescent="0.35">
      <c r="A3600" s="1" t="s">
        <v>147</v>
      </c>
      <c r="B3600" s="1"/>
      <c r="C3600" s="1"/>
      <c r="D3600" s="1" t="s">
        <v>148</v>
      </c>
      <c r="E3600" t="s">
        <v>136</v>
      </c>
    </row>
    <row r="3601" spans="1:5" x14ac:dyDescent="0.35">
      <c r="A3601" s="1" t="s">
        <v>147</v>
      </c>
      <c r="B3601" s="1"/>
      <c r="C3601" s="1"/>
      <c r="D3601" s="1" t="s">
        <v>149</v>
      </c>
      <c r="E3601" t="s">
        <v>136</v>
      </c>
    </row>
    <row r="3602" spans="1:5" x14ac:dyDescent="0.35">
      <c r="A3602" s="1" t="s">
        <v>147</v>
      </c>
      <c r="B3602" s="1" t="s">
        <v>162</v>
      </c>
      <c r="C3602" s="1" t="s">
        <v>145</v>
      </c>
      <c r="D3602" s="1" t="s">
        <v>146</v>
      </c>
      <c r="E3602" t="s">
        <v>136</v>
      </c>
    </row>
    <row r="3603" spans="1:5" x14ac:dyDescent="0.35">
      <c r="A3603" s="1" t="s">
        <v>147</v>
      </c>
      <c r="B3603" s="1"/>
      <c r="C3603" s="1"/>
      <c r="D3603" s="1" t="s">
        <v>148</v>
      </c>
      <c r="E3603" t="s">
        <v>136</v>
      </c>
    </row>
    <row r="3604" spans="1:5" x14ac:dyDescent="0.35">
      <c r="A3604" s="1" t="s">
        <v>147</v>
      </c>
      <c r="B3604" s="1"/>
      <c r="C3604" s="1"/>
      <c r="D3604" s="1" t="s">
        <v>149</v>
      </c>
      <c r="E3604" t="s">
        <v>136</v>
      </c>
    </row>
    <row r="3605" spans="1:5" x14ac:dyDescent="0.35">
      <c r="A3605" s="1" t="s">
        <v>147</v>
      </c>
      <c r="B3605" s="1"/>
      <c r="C3605" s="1" t="s">
        <v>150</v>
      </c>
      <c r="D3605" s="1" t="s">
        <v>146</v>
      </c>
      <c r="E3605" t="s">
        <v>136</v>
      </c>
    </row>
    <row r="3606" spans="1:5" x14ac:dyDescent="0.35">
      <c r="A3606" s="1" t="s">
        <v>147</v>
      </c>
      <c r="B3606" s="1"/>
      <c r="C3606" s="1"/>
      <c r="D3606" s="1" t="s">
        <v>148</v>
      </c>
      <c r="E3606" t="s">
        <v>136</v>
      </c>
    </row>
    <row r="3607" spans="1:5" x14ac:dyDescent="0.35">
      <c r="A3607" s="1" t="s">
        <v>147</v>
      </c>
      <c r="B3607" s="1"/>
      <c r="C3607" s="1"/>
      <c r="D3607" s="1" t="s">
        <v>149</v>
      </c>
      <c r="E3607" t="s">
        <v>136</v>
      </c>
    </row>
    <row r="3608" spans="1:5" x14ac:dyDescent="0.35">
      <c r="A3608" s="1" t="s">
        <v>147</v>
      </c>
      <c r="B3608" s="1" t="s">
        <v>163</v>
      </c>
      <c r="C3608" s="1" t="s">
        <v>145</v>
      </c>
      <c r="D3608" s="1" t="s">
        <v>146</v>
      </c>
      <c r="E3608">
        <v>639.6</v>
      </c>
    </row>
    <row r="3609" spans="1:5" x14ac:dyDescent="0.35">
      <c r="A3609" s="1" t="s">
        <v>147</v>
      </c>
      <c r="B3609" s="1"/>
      <c r="C3609" s="1"/>
      <c r="D3609" s="1" t="s">
        <v>148</v>
      </c>
      <c r="E3609">
        <v>639.6</v>
      </c>
    </row>
    <row r="3610" spans="1:5" x14ac:dyDescent="0.35">
      <c r="A3610" s="1" t="s">
        <v>147</v>
      </c>
      <c r="B3610" s="1"/>
      <c r="C3610" s="1"/>
      <c r="D3610" s="1" t="s">
        <v>149</v>
      </c>
      <c r="E3610" t="s">
        <v>136</v>
      </c>
    </row>
    <row r="3611" spans="1:5" x14ac:dyDescent="0.35">
      <c r="A3611" s="1" t="s">
        <v>147</v>
      </c>
      <c r="B3611" s="1"/>
      <c r="C3611" s="1" t="s">
        <v>150</v>
      </c>
      <c r="D3611" s="1" t="s">
        <v>146</v>
      </c>
      <c r="E3611" t="s">
        <v>136</v>
      </c>
    </row>
    <row r="3612" spans="1:5" x14ac:dyDescent="0.35">
      <c r="A3612" s="1" t="s">
        <v>147</v>
      </c>
      <c r="B3612" s="1"/>
      <c r="C3612" s="1"/>
      <c r="D3612" s="1" t="s">
        <v>148</v>
      </c>
      <c r="E3612" t="s">
        <v>136</v>
      </c>
    </row>
    <row r="3613" spans="1:5" x14ac:dyDescent="0.35">
      <c r="A3613" s="1" t="s">
        <v>147</v>
      </c>
      <c r="B3613" s="1"/>
      <c r="C3613" s="1"/>
      <c r="D3613" s="1" t="s">
        <v>149</v>
      </c>
      <c r="E3613" t="s">
        <v>136</v>
      </c>
    </row>
    <row r="3614" spans="1:5" x14ac:dyDescent="0.35">
      <c r="A3614" s="1" t="s">
        <v>147</v>
      </c>
      <c r="B3614" s="1" t="s">
        <v>164</v>
      </c>
      <c r="C3614" s="1" t="s">
        <v>145</v>
      </c>
      <c r="D3614" s="1" t="s">
        <v>146</v>
      </c>
      <c r="E3614" t="s">
        <v>136</v>
      </c>
    </row>
    <row r="3615" spans="1:5" x14ac:dyDescent="0.35">
      <c r="A3615" s="1" t="s">
        <v>147</v>
      </c>
      <c r="B3615" s="1"/>
      <c r="C3615" s="1"/>
      <c r="D3615" s="1" t="s">
        <v>148</v>
      </c>
      <c r="E3615" t="s">
        <v>136</v>
      </c>
    </row>
    <row r="3616" spans="1:5" x14ac:dyDescent="0.35">
      <c r="A3616" s="1" t="s">
        <v>147</v>
      </c>
      <c r="B3616" s="1"/>
      <c r="C3616" s="1"/>
      <c r="D3616" s="1" t="s">
        <v>149</v>
      </c>
      <c r="E3616" t="s">
        <v>136</v>
      </c>
    </row>
    <row r="3617" spans="1:5" x14ac:dyDescent="0.35">
      <c r="A3617" s="1" t="s">
        <v>147</v>
      </c>
      <c r="B3617" s="1"/>
      <c r="C3617" s="1" t="s">
        <v>150</v>
      </c>
      <c r="D3617" s="1" t="s">
        <v>146</v>
      </c>
      <c r="E3617" t="s">
        <v>136</v>
      </c>
    </row>
    <row r="3618" spans="1:5" x14ac:dyDescent="0.35">
      <c r="A3618" s="1" t="s">
        <v>147</v>
      </c>
      <c r="B3618" s="1"/>
      <c r="C3618" s="1"/>
      <c r="D3618" s="1" t="s">
        <v>148</v>
      </c>
      <c r="E3618" t="s">
        <v>136</v>
      </c>
    </row>
    <row r="3619" spans="1:5" x14ac:dyDescent="0.35">
      <c r="A3619" s="1" t="s">
        <v>147</v>
      </c>
      <c r="B3619" s="1"/>
      <c r="C3619" s="1"/>
      <c r="D3619" s="1" t="s">
        <v>149</v>
      </c>
      <c r="E3619" t="s">
        <v>136</v>
      </c>
    </row>
    <row r="3620" spans="1:5" x14ac:dyDescent="0.35">
      <c r="A3620" s="1" t="s">
        <v>147</v>
      </c>
      <c r="B3620" s="1" t="s">
        <v>165</v>
      </c>
      <c r="C3620" s="1" t="s">
        <v>145</v>
      </c>
      <c r="D3620" s="1" t="s">
        <v>146</v>
      </c>
      <c r="E3620">
        <v>182.8</v>
      </c>
    </row>
    <row r="3621" spans="1:5" x14ac:dyDescent="0.35">
      <c r="A3621" s="1" t="s">
        <v>147</v>
      </c>
      <c r="B3621" s="1"/>
      <c r="C3621" s="1"/>
      <c r="D3621" s="1" t="s">
        <v>148</v>
      </c>
      <c r="E3621">
        <v>182.8</v>
      </c>
    </row>
    <row r="3622" spans="1:5" x14ac:dyDescent="0.35">
      <c r="A3622" s="1" t="s">
        <v>147</v>
      </c>
      <c r="B3622" s="1"/>
      <c r="C3622" s="1"/>
      <c r="D3622" s="1" t="s">
        <v>149</v>
      </c>
      <c r="E3622" t="s">
        <v>136</v>
      </c>
    </row>
    <row r="3623" spans="1:5" x14ac:dyDescent="0.35">
      <c r="A3623" s="1" t="s">
        <v>147</v>
      </c>
      <c r="B3623" s="1"/>
      <c r="C3623" s="1" t="s">
        <v>150</v>
      </c>
      <c r="D3623" s="1" t="s">
        <v>146</v>
      </c>
      <c r="E3623" t="s">
        <v>136</v>
      </c>
    </row>
    <row r="3624" spans="1:5" x14ac:dyDescent="0.35">
      <c r="A3624" s="1" t="s">
        <v>147</v>
      </c>
      <c r="B3624" s="1"/>
      <c r="C3624" s="1"/>
      <c r="D3624" s="1" t="s">
        <v>148</v>
      </c>
      <c r="E3624" t="s">
        <v>136</v>
      </c>
    </row>
    <row r="3625" spans="1:5" x14ac:dyDescent="0.35">
      <c r="A3625" s="1" t="s">
        <v>147</v>
      </c>
      <c r="B3625" s="1"/>
      <c r="C3625" s="1"/>
      <c r="D3625" s="1" t="s">
        <v>149</v>
      </c>
      <c r="E3625" t="s">
        <v>136</v>
      </c>
    </row>
    <row r="3626" spans="1:5" x14ac:dyDescent="0.35">
      <c r="A3626" s="1" t="s">
        <v>147</v>
      </c>
      <c r="B3626" s="1" t="s">
        <v>166</v>
      </c>
      <c r="C3626" s="1" t="s">
        <v>145</v>
      </c>
      <c r="D3626" s="1" t="s">
        <v>146</v>
      </c>
      <c r="E3626">
        <v>456.8</v>
      </c>
    </row>
    <row r="3627" spans="1:5" x14ac:dyDescent="0.35">
      <c r="A3627" s="1" t="s">
        <v>147</v>
      </c>
      <c r="B3627" s="1"/>
      <c r="C3627" s="1"/>
      <c r="D3627" s="1" t="s">
        <v>148</v>
      </c>
      <c r="E3627">
        <v>456.8</v>
      </c>
    </row>
    <row r="3628" spans="1:5" x14ac:dyDescent="0.35">
      <c r="A3628" s="1" t="s">
        <v>147</v>
      </c>
      <c r="B3628" s="1"/>
      <c r="C3628" s="1"/>
      <c r="D3628" s="1" t="s">
        <v>149</v>
      </c>
      <c r="E3628" t="s">
        <v>136</v>
      </c>
    </row>
    <row r="3629" spans="1:5" x14ac:dyDescent="0.35">
      <c r="A3629" s="1" t="s">
        <v>147</v>
      </c>
      <c r="B3629" s="1"/>
      <c r="C3629" s="1" t="s">
        <v>150</v>
      </c>
      <c r="D3629" s="1" t="s">
        <v>146</v>
      </c>
      <c r="E3629" t="s">
        <v>136</v>
      </c>
    </row>
    <row r="3630" spans="1:5" x14ac:dyDescent="0.35">
      <c r="A3630" s="1" t="s">
        <v>147</v>
      </c>
      <c r="B3630" s="1"/>
      <c r="C3630" s="1"/>
      <c r="D3630" s="1" t="s">
        <v>148</v>
      </c>
      <c r="E3630" t="s">
        <v>136</v>
      </c>
    </row>
    <row r="3631" spans="1:5" x14ac:dyDescent="0.35">
      <c r="A3631" s="1" t="s">
        <v>147</v>
      </c>
      <c r="B3631" s="1"/>
      <c r="C3631" s="1"/>
      <c r="D3631" s="1" t="s">
        <v>149</v>
      </c>
      <c r="E3631" t="s">
        <v>136</v>
      </c>
    </row>
    <row r="3632" spans="1:5" x14ac:dyDescent="0.35">
      <c r="A3632" s="1" t="s">
        <v>147</v>
      </c>
      <c r="B3632" s="1" t="s">
        <v>167</v>
      </c>
      <c r="C3632" s="1" t="s">
        <v>145</v>
      </c>
      <c r="D3632" s="1" t="s">
        <v>146</v>
      </c>
      <c r="E3632" t="s">
        <v>136</v>
      </c>
    </row>
    <row r="3633" spans="1:5" x14ac:dyDescent="0.35">
      <c r="A3633" s="1" t="s">
        <v>147</v>
      </c>
      <c r="B3633" s="1"/>
      <c r="C3633" s="1"/>
      <c r="D3633" s="1" t="s">
        <v>148</v>
      </c>
      <c r="E3633" t="s">
        <v>136</v>
      </c>
    </row>
    <row r="3634" spans="1:5" x14ac:dyDescent="0.35">
      <c r="A3634" s="1" t="s">
        <v>147</v>
      </c>
      <c r="B3634" s="1"/>
      <c r="C3634" s="1"/>
      <c r="D3634" s="1" t="s">
        <v>149</v>
      </c>
      <c r="E3634" t="s">
        <v>136</v>
      </c>
    </row>
    <row r="3635" spans="1:5" x14ac:dyDescent="0.35">
      <c r="A3635" s="1" t="s">
        <v>147</v>
      </c>
      <c r="B3635" s="1"/>
      <c r="C3635" s="1" t="s">
        <v>150</v>
      </c>
      <c r="D3635" s="1" t="s">
        <v>146</v>
      </c>
      <c r="E3635" t="s">
        <v>136</v>
      </c>
    </row>
    <row r="3636" spans="1:5" x14ac:dyDescent="0.35">
      <c r="A3636" s="1" t="s">
        <v>147</v>
      </c>
      <c r="B3636" s="1"/>
      <c r="C3636" s="1"/>
      <c r="D3636" s="1" t="s">
        <v>148</v>
      </c>
      <c r="E3636" t="s">
        <v>136</v>
      </c>
    </row>
    <row r="3637" spans="1:5" x14ac:dyDescent="0.35">
      <c r="A3637" s="1" t="s">
        <v>147</v>
      </c>
      <c r="B3637" s="1"/>
      <c r="C3637" s="1"/>
      <c r="D3637" s="1" t="s">
        <v>149</v>
      </c>
      <c r="E3637" t="s">
        <v>136</v>
      </c>
    </row>
    <row r="3638" spans="1:5" x14ac:dyDescent="0.35">
      <c r="A3638" s="1" t="s">
        <v>147</v>
      </c>
      <c r="B3638" s="1" t="s">
        <v>168</v>
      </c>
      <c r="C3638" s="1" t="s">
        <v>145</v>
      </c>
      <c r="D3638" s="1" t="s">
        <v>146</v>
      </c>
      <c r="E3638" t="s">
        <v>136</v>
      </c>
    </row>
    <row r="3639" spans="1:5" x14ac:dyDescent="0.35">
      <c r="A3639" s="1" t="s">
        <v>147</v>
      </c>
      <c r="B3639" s="1"/>
      <c r="C3639" s="1"/>
      <c r="D3639" s="1" t="s">
        <v>148</v>
      </c>
      <c r="E3639" t="s">
        <v>136</v>
      </c>
    </row>
    <row r="3640" spans="1:5" x14ac:dyDescent="0.35">
      <c r="A3640" s="1" t="s">
        <v>147</v>
      </c>
      <c r="B3640" s="1"/>
      <c r="C3640" s="1"/>
      <c r="D3640" s="1" t="s">
        <v>149</v>
      </c>
      <c r="E3640" t="s">
        <v>136</v>
      </c>
    </row>
    <row r="3641" spans="1:5" x14ac:dyDescent="0.35">
      <c r="A3641" s="1" t="s">
        <v>147</v>
      </c>
      <c r="B3641" s="1"/>
      <c r="C3641" s="1" t="s">
        <v>150</v>
      </c>
      <c r="D3641" s="1" t="s">
        <v>146</v>
      </c>
      <c r="E3641" t="s">
        <v>136</v>
      </c>
    </row>
    <row r="3642" spans="1:5" x14ac:dyDescent="0.35">
      <c r="A3642" s="1" t="s">
        <v>147</v>
      </c>
      <c r="B3642" s="1"/>
      <c r="C3642" s="1"/>
      <c r="D3642" s="1" t="s">
        <v>148</v>
      </c>
      <c r="E3642" t="s">
        <v>136</v>
      </c>
    </row>
    <row r="3643" spans="1:5" x14ac:dyDescent="0.35">
      <c r="A3643" s="1" t="s">
        <v>147</v>
      </c>
      <c r="B3643" s="1"/>
      <c r="C3643" s="1"/>
      <c r="D3643" s="1" t="s">
        <v>149</v>
      </c>
      <c r="E3643" t="s">
        <v>136</v>
      </c>
    </row>
    <row r="3644" spans="1:5" x14ac:dyDescent="0.35">
      <c r="A3644" s="1" t="s">
        <v>147</v>
      </c>
      <c r="B3644" s="1" t="s">
        <v>169</v>
      </c>
      <c r="C3644" s="1" t="s">
        <v>145</v>
      </c>
      <c r="D3644" s="1" t="s">
        <v>146</v>
      </c>
      <c r="E3644" t="s">
        <v>136</v>
      </c>
    </row>
    <row r="3645" spans="1:5" x14ac:dyDescent="0.35">
      <c r="A3645" s="1" t="s">
        <v>147</v>
      </c>
      <c r="B3645" s="1"/>
      <c r="C3645" s="1"/>
      <c r="D3645" s="1" t="s">
        <v>148</v>
      </c>
      <c r="E3645" t="s">
        <v>136</v>
      </c>
    </row>
    <row r="3646" spans="1:5" x14ac:dyDescent="0.35">
      <c r="A3646" s="1" t="s">
        <v>147</v>
      </c>
      <c r="B3646" s="1"/>
      <c r="C3646" s="1"/>
      <c r="D3646" s="1" t="s">
        <v>149</v>
      </c>
      <c r="E3646" t="s">
        <v>136</v>
      </c>
    </row>
    <row r="3647" spans="1:5" x14ac:dyDescent="0.35">
      <c r="A3647" s="1" t="s">
        <v>147</v>
      </c>
      <c r="B3647" s="1"/>
      <c r="C3647" s="1" t="s">
        <v>150</v>
      </c>
      <c r="D3647" s="1" t="s">
        <v>146</v>
      </c>
      <c r="E3647" t="s">
        <v>136</v>
      </c>
    </row>
    <row r="3648" spans="1:5" x14ac:dyDescent="0.35">
      <c r="A3648" s="1" t="s">
        <v>147</v>
      </c>
      <c r="B3648" s="1"/>
      <c r="C3648" s="1"/>
      <c r="D3648" s="1" t="s">
        <v>148</v>
      </c>
      <c r="E3648" t="s">
        <v>136</v>
      </c>
    </row>
    <row r="3649" spans="1:5" x14ac:dyDescent="0.35">
      <c r="A3649" s="1" t="s">
        <v>147</v>
      </c>
      <c r="B3649" s="1"/>
      <c r="C3649" s="1"/>
      <c r="D3649" s="1" t="s">
        <v>149</v>
      </c>
      <c r="E3649" t="s">
        <v>136</v>
      </c>
    </row>
    <row r="3650" spans="1:5" x14ac:dyDescent="0.35">
      <c r="A3650" s="1" t="s">
        <v>147</v>
      </c>
      <c r="B3650" s="1" t="s">
        <v>170</v>
      </c>
      <c r="C3650" s="1" t="s">
        <v>145</v>
      </c>
      <c r="D3650" s="1" t="s">
        <v>146</v>
      </c>
      <c r="E3650" t="s">
        <v>136</v>
      </c>
    </row>
    <row r="3651" spans="1:5" x14ac:dyDescent="0.35">
      <c r="A3651" s="1" t="s">
        <v>147</v>
      </c>
      <c r="B3651" s="1"/>
      <c r="C3651" s="1"/>
      <c r="D3651" s="1" t="s">
        <v>148</v>
      </c>
      <c r="E3651" t="s">
        <v>136</v>
      </c>
    </row>
    <row r="3652" spans="1:5" x14ac:dyDescent="0.35">
      <c r="A3652" s="1" t="s">
        <v>147</v>
      </c>
      <c r="B3652" s="1"/>
      <c r="C3652" s="1"/>
      <c r="D3652" s="1" t="s">
        <v>149</v>
      </c>
      <c r="E3652" t="s">
        <v>136</v>
      </c>
    </row>
    <row r="3653" spans="1:5" x14ac:dyDescent="0.35">
      <c r="A3653" s="1" t="s">
        <v>147</v>
      </c>
      <c r="B3653" s="1"/>
      <c r="C3653" s="1" t="s">
        <v>150</v>
      </c>
      <c r="D3653" s="1" t="s">
        <v>146</v>
      </c>
      <c r="E3653" t="s">
        <v>136</v>
      </c>
    </row>
    <row r="3654" spans="1:5" x14ac:dyDescent="0.35">
      <c r="A3654" s="1" t="s">
        <v>147</v>
      </c>
      <c r="B3654" s="1"/>
      <c r="C3654" s="1"/>
      <c r="D3654" s="1" t="s">
        <v>148</v>
      </c>
      <c r="E3654" t="s">
        <v>136</v>
      </c>
    </row>
    <row r="3655" spans="1:5" x14ac:dyDescent="0.35">
      <c r="A3655" s="1" t="s">
        <v>147</v>
      </c>
      <c r="B3655" s="1"/>
      <c r="C3655" s="1"/>
      <c r="D3655" s="1" t="s">
        <v>149</v>
      </c>
      <c r="E3655" t="s">
        <v>136</v>
      </c>
    </row>
    <row r="3656" spans="1:5" x14ac:dyDescent="0.35">
      <c r="A3656" s="1" t="s">
        <v>77</v>
      </c>
      <c r="B3656" s="1" t="s">
        <v>144</v>
      </c>
      <c r="C3656" s="1" t="s">
        <v>145</v>
      </c>
      <c r="D3656" s="1" t="s">
        <v>146</v>
      </c>
      <c r="E3656">
        <v>4658.93</v>
      </c>
    </row>
    <row r="3657" spans="1:5" x14ac:dyDescent="0.35">
      <c r="A3657" s="1" t="s">
        <v>147</v>
      </c>
      <c r="B3657" s="1"/>
      <c r="C3657" s="1"/>
      <c r="D3657" s="1" t="s">
        <v>148</v>
      </c>
      <c r="E3657">
        <v>4630.93</v>
      </c>
    </row>
    <row r="3658" spans="1:5" x14ac:dyDescent="0.35">
      <c r="A3658" s="1" t="s">
        <v>147</v>
      </c>
      <c r="B3658" s="1"/>
      <c r="C3658" s="1"/>
      <c r="D3658" s="1" t="s">
        <v>149</v>
      </c>
      <c r="E3658">
        <v>28</v>
      </c>
    </row>
    <row r="3659" spans="1:5" x14ac:dyDescent="0.35">
      <c r="A3659" s="1" t="s">
        <v>147</v>
      </c>
      <c r="B3659" s="1"/>
      <c r="C3659" s="1" t="s">
        <v>150</v>
      </c>
      <c r="D3659" s="1" t="s">
        <v>146</v>
      </c>
      <c r="E3659" t="s">
        <v>136</v>
      </c>
    </row>
    <row r="3660" spans="1:5" x14ac:dyDescent="0.35">
      <c r="A3660" s="1" t="s">
        <v>147</v>
      </c>
      <c r="B3660" s="1"/>
      <c r="C3660" s="1"/>
      <c r="D3660" s="1" t="s">
        <v>148</v>
      </c>
      <c r="E3660" t="s">
        <v>136</v>
      </c>
    </row>
    <row r="3661" spans="1:5" x14ac:dyDescent="0.35">
      <c r="A3661" s="1" t="s">
        <v>147</v>
      </c>
      <c r="B3661" s="1"/>
      <c r="C3661" s="1"/>
      <c r="D3661" s="1" t="s">
        <v>149</v>
      </c>
      <c r="E3661" t="s">
        <v>136</v>
      </c>
    </row>
    <row r="3662" spans="1:5" x14ac:dyDescent="0.35">
      <c r="A3662" s="1" t="s">
        <v>147</v>
      </c>
      <c r="B3662" s="1" t="s">
        <v>151</v>
      </c>
      <c r="C3662" s="1" t="s">
        <v>145</v>
      </c>
      <c r="D3662" s="1" t="s">
        <v>146</v>
      </c>
      <c r="E3662">
        <v>411</v>
      </c>
    </row>
    <row r="3663" spans="1:5" x14ac:dyDescent="0.35">
      <c r="A3663" s="1" t="s">
        <v>147</v>
      </c>
      <c r="B3663" s="1"/>
      <c r="C3663" s="1"/>
      <c r="D3663" s="1" t="s">
        <v>148</v>
      </c>
      <c r="E3663">
        <v>388</v>
      </c>
    </row>
    <row r="3664" spans="1:5" x14ac:dyDescent="0.35">
      <c r="A3664" s="1" t="s">
        <v>147</v>
      </c>
      <c r="B3664" s="1"/>
      <c r="C3664" s="1"/>
      <c r="D3664" s="1" t="s">
        <v>149</v>
      </c>
      <c r="E3664">
        <v>23</v>
      </c>
    </row>
    <row r="3665" spans="1:5" x14ac:dyDescent="0.35">
      <c r="A3665" s="1" t="s">
        <v>147</v>
      </c>
      <c r="B3665" s="1"/>
      <c r="C3665" s="1" t="s">
        <v>150</v>
      </c>
      <c r="D3665" s="1" t="s">
        <v>146</v>
      </c>
      <c r="E3665" t="s">
        <v>136</v>
      </c>
    </row>
    <row r="3666" spans="1:5" x14ac:dyDescent="0.35">
      <c r="A3666" s="1" t="s">
        <v>147</v>
      </c>
      <c r="B3666" s="1"/>
      <c r="C3666" s="1"/>
      <c r="D3666" s="1" t="s">
        <v>148</v>
      </c>
      <c r="E3666" t="s">
        <v>136</v>
      </c>
    </row>
    <row r="3667" spans="1:5" x14ac:dyDescent="0.35">
      <c r="A3667" s="1" t="s">
        <v>147</v>
      </c>
      <c r="B3667" s="1"/>
      <c r="C3667" s="1"/>
      <c r="D3667" s="1" t="s">
        <v>149</v>
      </c>
      <c r="E3667" t="s">
        <v>136</v>
      </c>
    </row>
    <row r="3668" spans="1:5" x14ac:dyDescent="0.35">
      <c r="A3668" s="1" t="s">
        <v>147</v>
      </c>
      <c r="B3668" s="1" t="s">
        <v>152</v>
      </c>
      <c r="C3668" s="1" t="s">
        <v>145</v>
      </c>
      <c r="D3668" s="1" t="s">
        <v>146</v>
      </c>
      <c r="E3668">
        <v>540</v>
      </c>
    </row>
    <row r="3669" spans="1:5" x14ac:dyDescent="0.35">
      <c r="A3669" s="1" t="s">
        <v>147</v>
      </c>
      <c r="B3669" s="1"/>
      <c r="C3669" s="1"/>
      <c r="D3669" s="1" t="s">
        <v>148</v>
      </c>
      <c r="E3669">
        <v>540</v>
      </c>
    </row>
    <row r="3670" spans="1:5" x14ac:dyDescent="0.35">
      <c r="A3670" s="1" t="s">
        <v>147</v>
      </c>
      <c r="B3670" s="1"/>
      <c r="C3670" s="1"/>
      <c r="D3670" s="1" t="s">
        <v>149</v>
      </c>
      <c r="E3670" t="s">
        <v>136</v>
      </c>
    </row>
    <row r="3671" spans="1:5" x14ac:dyDescent="0.35">
      <c r="A3671" s="1" t="s">
        <v>147</v>
      </c>
      <c r="B3671" s="1"/>
      <c r="C3671" s="1" t="s">
        <v>150</v>
      </c>
      <c r="D3671" s="1" t="s">
        <v>146</v>
      </c>
      <c r="E3671" t="s">
        <v>136</v>
      </c>
    </row>
    <row r="3672" spans="1:5" x14ac:dyDescent="0.35">
      <c r="A3672" s="1" t="s">
        <v>147</v>
      </c>
      <c r="B3672" s="1"/>
      <c r="C3672" s="1"/>
      <c r="D3672" s="1" t="s">
        <v>148</v>
      </c>
      <c r="E3672" t="s">
        <v>136</v>
      </c>
    </row>
    <row r="3673" spans="1:5" x14ac:dyDescent="0.35">
      <c r="A3673" s="1" t="s">
        <v>147</v>
      </c>
      <c r="B3673" s="1"/>
      <c r="C3673" s="1"/>
      <c r="D3673" s="1" t="s">
        <v>149</v>
      </c>
      <c r="E3673" t="s">
        <v>136</v>
      </c>
    </row>
    <row r="3674" spans="1:5" x14ac:dyDescent="0.35">
      <c r="A3674" s="1" t="s">
        <v>147</v>
      </c>
      <c r="B3674" s="1" t="s">
        <v>153</v>
      </c>
      <c r="C3674" s="1" t="s">
        <v>145</v>
      </c>
      <c r="D3674" s="1" t="s">
        <v>146</v>
      </c>
      <c r="E3674">
        <v>2395</v>
      </c>
    </row>
    <row r="3675" spans="1:5" x14ac:dyDescent="0.35">
      <c r="A3675" s="1" t="s">
        <v>147</v>
      </c>
      <c r="B3675" s="1"/>
      <c r="C3675" s="1"/>
      <c r="D3675" s="1" t="s">
        <v>148</v>
      </c>
      <c r="E3675">
        <v>2390</v>
      </c>
    </row>
    <row r="3676" spans="1:5" x14ac:dyDescent="0.35">
      <c r="A3676" s="1" t="s">
        <v>147</v>
      </c>
      <c r="B3676" s="1"/>
      <c r="C3676" s="1"/>
      <c r="D3676" s="1" t="s">
        <v>149</v>
      </c>
      <c r="E3676">
        <v>5</v>
      </c>
    </row>
    <row r="3677" spans="1:5" x14ac:dyDescent="0.35">
      <c r="A3677" s="1" t="s">
        <v>147</v>
      </c>
      <c r="B3677" s="1"/>
      <c r="C3677" s="1" t="s">
        <v>150</v>
      </c>
      <c r="D3677" s="1" t="s">
        <v>146</v>
      </c>
      <c r="E3677" t="s">
        <v>136</v>
      </c>
    </row>
    <row r="3678" spans="1:5" x14ac:dyDescent="0.35">
      <c r="A3678" s="1" t="s">
        <v>147</v>
      </c>
      <c r="B3678" s="1"/>
      <c r="C3678" s="1"/>
      <c r="D3678" s="1" t="s">
        <v>148</v>
      </c>
      <c r="E3678" t="s">
        <v>136</v>
      </c>
    </row>
    <row r="3679" spans="1:5" x14ac:dyDescent="0.35">
      <c r="A3679" s="1" t="s">
        <v>147</v>
      </c>
      <c r="B3679" s="1"/>
      <c r="C3679" s="1"/>
      <c r="D3679" s="1" t="s">
        <v>149</v>
      </c>
      <c r="E3679" t="s">
        <v>136</v>
      </c>
    </row>
    <row r="3680" spans="1:5" x14ac:dyDescent="0.35">
      <c r="A3680" s="1" t="s">
        <v>147</v>
      </c>
      <c r="B3680" s="1" t="s">
        <v>154</v>
      </c>
      <c r="C3680" s="1" t="s">
        <v>145</v>
      </c>
      <c r="D3680" s="1" t="s">
        <v>146</v>
      </c>
      <c r="E3680" t="s">
        <v>136</v>
      </c>
    </row>
    <row r="3681" spans="1:5" x14ac:dyDescent="0.35">
      <c r="A3681" s="1" t="s">
        <v>147</v>
      </c>
      <c r="B3681" s="1"/>
      <c r="C3681" s="1"/>
      <c r="D3681" s="1" t="s">
        <v>148</v>
      </c>
      <c r="E3681" t="s">
        <v>136</v>
      </c>
    </row>
    <row r="3682" spans="1:5" x14ac:dyDescent="0.35">
      <c r="A3682" s="1" t="s">
        <v>147</v>
      </c>
      <c r="B3682" s="1"/>
      <c r="C3682" s="1"/>
      <c r="D3682" s="1" t="s">
        <v>149</v>
      </c>
      <c r="E3682" t="s">
        <v>136</v>
      </c>
    </row>
    <row r="3683" spans="1:5" x14ac:dyDescent="0.35">
      <c r="A3683" s="1" t="s">
        <v>147</v>
      </c>
      <c r="B3683" s="1"/>
      <c r="C3683" s="1" t="s">
        <v>150</v>
      </c>
      <c r="D3683" s="1" t="s">
        <v>146</v>
      </c>
      <c r="E3683" t="s">
        <v>136</v>
      </c>
    </row>
    <row r="3684" spans="1:5" x14ac:dyDescent="0.35">
      <c r="A3684" s="1" t="s">
        <v>147</v>
      </c>
      <c r="B3684" s="1"/>
      <c r="C3684" s="1"/>
      <c r="D3684" s="1" t="s">
        <v>148</v>
      </c>
      <c r="E3684" t="s">
        <v>136</v>
      </c>
    </row>
    <row r="3685" spans="1:5" x14ac:dyDescent="0.35">
      <c r="A3685" s="1" t="s">
        <v>147</v>
      </c>
      <c r="B3685" s="1"/>
      <c r="C3685" s="1"/>
      <c r="D3685" s="1" t="s">
        <v>149</v>
      </c>
      <c r="E3685" t="s">
        <v>136</v>
      </c>
    </row>
    <row r="3686" spans="1:5" x14ac:dyDescent="0.35">
      <c r="A3686" s="1" t="s">
        <v>147</v>
      </c>
      <c r="B3686" s="1" t="s">
        <v>155</v>
      </c>
      <c r="C3686" s="1" t="s">
        <v>145</v>
      </c>
      <c r="D3686" s="1" t="s">
        <v>146</v>
      </c>
      <c r="E3686">
        <v>1305.53</v>
      </c>
    </row>
    <row r="3687" spans="1:5" x14ac:dyDescent="0.35">
      <c r="A3687" s="1" t="s">
        <v>147</v>
      </c>
      <c r="B3687" s="1"/>
      <c r="C3687" s="1"/>
      <c r="D3687" s="1" t="s">
        <v>148</v>
      </c>
      <c r="E3687">
        <v>1305.53</v>
      </c>
    </row>
    <row r="3688" spans="1:5" x14ac:dyDescent="0.35">
      <c r="A3688" s="1" t="s">
        <v>147</v>
      </c>
      <c r="B3688" s="1"/>
      <c r="C3688" s="1"/>
      <c r="D3688" s="1" t="s">
        <v>149</v>
      </c>
      <c r="E3688" t="s">
        <v>136</v>
      </c>
    </row>
    <row r="3689" spans="1:5" x14ac:dyDescent="0.35">
      <c r="A3689" s="1" t="s">
        <v>147</v>
      </c>
      <c r="B3689" s="1"/>
      <c r="C3689" s="1" t="s">
        <v>150</v>
      </c>
      <c r="D3689" s="1" t="s">
        <v>146</v>
      </c>
      <c r="E3689" t="s">
        <v>136</v>
      </c>
    </row>
    <row r="3690" spans="1:5" x14ac:dyDescent="0.35">
      <c r="A3690" s="1" t="s">
        <v>147</v>
      </c>
      <c r="B3690" s="1"/>
      <c r="C3690" s="1"/>
      <c r="D3690" s="1" t="s">
        <v>148</v>
      </c>
      <c r="E3690" t="s">
        <v>136</v>
      </c>
    </row>
    <row r="3691" spans="1:5" x14ac:dyDescent="0.35">
      <c r="A3691" s="1" t="s">
        <v>147</v>
      </c>
      <c r="B3691" s="1"/>
      <c r="C3691" s="1"/>
      <c r="D3691" s="1" t="s">
        <v>149</v>
      </c>
      <c r="E3691" t="s">
        <v>136</v>
      </c>
    </row>
    <row r="3692" spans="1:5" x14ac:dyDescent="0.35">
      <c r="A3692" s="1" t="s">
        <v>147</v>
      </c>
      <c r="B3692" s="1" t="s">
        <v>156</v>
      </c>
      <c r="C3692" s="1" t="s">
        <v>145</v>
      </c>
      <c r="D3692" s="1" t="s">
        <v>146</v>
      </c>
      <c r="E3692" t="s">
        <v>136</v>
      </c>
    </row>
    <row r="3693" spans="1:5" x14ac:dyDescent="0.35">
      <c r="A3693" s="1" t="s">
        <v>147</v>
      </c>
      <c r="B3693" s="1"/>
      <c r="C3693" s="1"/>
      <c r="D3693" s="1" t="s">
        <v>148</v>
      </c>
      <c r="E3693" t="s">
        <v>136</v>
      </c>
    </row>
    <row r="3694" spans="1:5" x14ac:dyDescent="0.35">
      <c r="A3694" s="1" t="s">
        <v>147</v>
      </c>
      <c r="B3694" s="1"/>
      <c r="C3694" s="1"/>
      <c r="D3694" s="1" t="s">
        <v>149</v>
      </c>
      <c r="E3694" t="s">
        <v>136</v>
      </c>
    </row>
    <row r="3695" spans="1:5" x14ac:dyDescent="0.35">
      <c r="A3695" s="1" t="s">
        <v>147</v>
      </c>
      <c r="B3695" s="1"/>
      <c r="C3695" s="1" t="s">
        <v>150</v>
      </c>
      <c r="D3695" s="1" t="s">
        <v>146</v>
      </c>
      <c r="E3695" t="s">
        <v>136</v>
      </c>
    </row>
    <row r="3696" spans="1:5" x14ac:dyDescent="0.35">
      <c r="A3696" s="1" t="s">
        <v>147</v>
      </c>
      <c r="B3696" s="1"/>
      <c r="C3696" s="1"/>
      <c r="D3696" s="1" t="s">
        <v>148</v>
      </c>
      <c r="E3696" t="s">
        <v>136</v>
      </c>
    </row>
    <row r="3697" spans="1:5" x14ac:dyDescent="0.35">
      <c r="A3697" s="1" t="s">
        <v>147</v>
      </c>
      <c r="B3697" s="1"/>
      <c r="C3697" s="1"/>
      <c r="D3697" s="1" t="s">
        <v>149</v>
      </c>
      <c r="E3697" t="s">
        <v>136</v>
      </c>
    </row>
    <row r="3698" spans="1:5" x14ac:dyDescent="0.35">
      <c r="A3698" s="1" t="s">
        <v>147</v>
      </c>
      <c r="B3698" s="1" t="s">
        <v>157</v>
      </c>
      <c r="C3698" s="1" t="s">
        <v>145</v>
      </c>
      <c r="D3698" s="1" t="s">
        <v>146</v>
      </c>
      <c r="E3698" t="s">
        <v>136</v>
      </c>
    </row>
    <row r="3699" spans="1:5" x14ac:dyDescent="0.35">
      <c r="A3699" s="1" t="s">
        <v>147</v>
      </c>
      <c r="B3699" s="1"/>
      <c r="C3699" s="1"/>
      <c r="D3699" s="1" t="s">
        <v>148</v>
      </c>
      <c r="E3699" t="s">
        <v>136</v>
      </c>
    </row>
    <row r="3700" spans="1:5" x14ac:dyDescent="0.35">
      <c r="A3700" s="1" t="s">
        <v>147</v>
      </c>
      <c r="B3700" s="1"/>
      <c r="C3700" s="1"/>
      <c r="D3700" s="1" t="s">
        <v>149</v>
      </c>
      <c r="E3700" t="s">
        <v>136</v>
      </c>
    </row>
    <row r="3701" spans="1:5" x14ac:dyDescent="0.35">
      <c r="A3701" s="1" t="s">
        <v>147</v>
      </c>
      <c r="B3701" s="1"/>
      <c r="C3701" s="1" t="s">
        <v>150</v>
      </c>
      <c r="D3701" s="1" t="s">
        <v>146</v>
      </c>
      <c r="E3701" t="s">
        <v>136</v>
      </c>
    </row>
    <row r="3702" spans="1:5" x14ac:dyDescent="0.35">
      <c r="A3702" s="1" t="s">
        <v>147</v>
      </c>
      <c r="B3702" s="1"/>
      <c r="C3702" s="1"/>
      <c r="D3702" s="1" t="s">
        <v>148</v>
      </c>
      <c r="E3702" t="s">
        <v>136</v>
      </c>
    </row>
    <row r="3703" spans="1:5" x14ac:dyDescent="0.35">
      <c r="A3703" s="1" t="s">
        <v>147</v>
      </c>
      <c r="B3703" s="1"/>
      <c r="C3703" s="1"/>
      <c r="D3703" s="1" t="s">
        <v>149</v>
      </c>
      <c r="E3703" t="s">
        <v>136</v>
      </c>
    </row>
    <row r="3704" spans="1:5" x14ac:dyDescent="0.35">
      <c r="A3704" s="1" t="s">
        <v>147</v>
      </c>
      <c r="B3704" s="1" t="s">
        <v>158</v>
      </c>
      <c r="C3704" s="1" t="s">
        <v>145</v>
      </c>
      <c r="D3704" s="1" t="s">
        <v>146</v>
      </c>
      <c r="E3704" t="s">
        <v>136</v>
      </c>
    </row>
    <row r="3705" spans="1:5" x14ac:dyDescent="0.35">
      <c r="A3705" s="1" t="s">
        <v>147</v>
      </c>
      <c r="B3705" s="1"/>
      <c r="C3705" s="1"/>
      <c r="D3705" s="1" t="s">
        <v>148</v>
      </c>
      <c r="E3705" t="s">
        <v>136</v>
      </c>
    </row>
    <row r="3706" spans="1:5" x14ac:dyDescent="0.35">
      <c r="A3706" s="1" t="s">
        <v>147</v>
      </c>
      <c r="B3706" s="1"/>
      <c r="C3706" s="1"/>
      <c r="D3706" s="1" t="s">
        <v>149</v>
      </c>
      <c r="E3706" t="s">
        <v>136</v>
      </c>
    </row>
    <row r="3707" spans="1:5" x14ac:dyDescent="0.35">
      <c r="A3707" s="1" t="s">
        <v>147</v>
      </c>
      <c r="B3707" s="1"/>
      <c r="C3707" s="1" t="s">
        <v>150</v>
      </c>
      <c r="D3707" s="1" t="s">
        <v>146</v>
      </c>
      <c r="E3707" t="s">
        <v>136</v>
      </c>
    </row>
    <row r="3708" spans="1:5" x14ac:dyDescent="0.35">
      <c r="A3708" s="1" t="s">
        <v>147</v>
      </c>
      <c r="B3708" s="1"/>
      <c r="C3708" s="1"/>
      <c r="D3708" s="1" t="s">
        <v>148</v>
      </c>
      <c r="E3708" t="s">
        <v>136</v>
      </c>
    </row>
    <row r="3709" spans="1:5" x14ac:dyDescent="0.35">
      <c r="A3709" s="1" t="s">
        <v>147</v>
      </c>
      <c r="B3709" s="1"/>
      <c r="C3709" s="1"/>
      <c r="D3709" s="1" t="s">
        <v>149</v>
      </c>
      <c r="E3709" t="s">
        <v>136</v>
      </c>
    </row>
    <row r="3710" spans="1:5" x14ac:dyDescent="0.35">
      <c r="A3710" s="1" t="s">
        <v>147</v>
      </c>
      <c r="B3710" s="1" t="s">
        <v>159</v>
      </c>
      <c r="C3710" s="1" t="s">
        <v>145</v>
      </c>
      <c r="D3710" s="1" t="s">
        <v>146</v>
      </c>
      <c r="E3710" t="s">
        <v>136</v>
      </c>
    </row>
    <row r="3711" spans="1:5" x14ac:dyDescent="0.35">
      <c r="A3711" s="1" t="s">
        <v>147</v>
      </c>
      <c r="B3711" s="1"/>
      <c r="C3711" s="1"/>
      <c r="D3711" s="1" t="s">
        <v>148</v>
      </c>
      <c r="E3711" t="s">
        <v>136</v>
      </c>
    </row>
    <row r="3712" spans="1:5" x14ac:dyDescent="0.35">
      <c r="A3712" s="1" t="s">
        <v>147</v>
      </c>
      <c r="B3712" s="1"/>
      <c r="C3712" s="1"/>
      <c r="D3712" s="1" t="s">
        <v>149</v>
      </c>
      <c r="E3712" t="s">
        <v>136</v>
      </c>
    </row>
    <row r="3713" spans="1:5" x14ac:dyDescent="0.35">
      <c r="A3713" s="1" t="s">
        <v>147</v>
      </c>
      <c r="B3713" s="1"/>
      <c r="C3713" s="1" t="s">
        <v>150</v>
      </c>
      <c r="D3713" s="1" t="s">
        <v>146</v>
      </c>
      <c r="E3713" t="s">
        <v>136</v>
      </c>
    </row>
    <row r="3714" spans="1:5" x14ac:dyDescent="0.35">
      <c r="A3714" s="1" t="s">
        <v>147</v>
      </c>
      <c r="B3714" s="1"/>
      <c r="C3714" s="1"/>
      <c r="D3714" s="1" t="s">
        <v>148</v>
      </c>
      <c r="E3714" t="s">
        <v>136</v>
      </c>
    </row>
    <row r="3715" spans="1:5" x14ac:dyDescent="0.35">
      <c r="A3715" s="1" t="s">
        <v>147</v>
      </c>
      <c r="B3715" s="1"/>
      <c r="C3715" s="1"/>
      <c r="D3715" s="1" t="s">
        <v>149</v>
      </c>
      <c r="E3715" t="s">
        <v>136</v>
      </c>
    </row>
    <row r="3716" spans="1:5" x14ac:dyDescent="0.35">
      <c r="A3716" s="1" t="s">
        <v>147</v>
      </c>
      <c r="B3716" s="1" t="s">
        <v>160</v>
      </c>
      <c r="C3716" s="1" t="s">
        <v>145</v>
      </c>
      <c r="D3716" s="1" t="s">
        <v>146</v>
      </c>
      <c r="E3716" t="s">
        <v>136</v>
      </c>
    </row>
    <row r="3717" spans="1:5" x14ac:dyDescent="0.35">
      <c r="A3717" s="1" t="s">
        <v>147</v>
      </c>
      <c r="B3717" s="1"/>
      <c r="C3717" s="1"/>
      <c r="D3717" s="1" t="s">
        <v>148</v>
      </c>
      <c r="E3717" t="s">
        <v>136</v>
      </c>
    </row>
    <row r="3718" spans="1:5" x14ac:dyDescent="0.35">
      <c r="A3718" s="1" t="s">
        <v>147</v>
      </c>
      <c r="B3718" s="1"/>
      <c r="C3718" s="1"/>
      <c r="D3718" s="1" t="s">
        <v>149</v>
      </c>
      <c r="E3718" t="s">
        <v>136</v>
      </c>
    </row>
    <row r="3719" spans="1:5" x14ac:dyDescent="0.35">
      <c r="A3719" s="1" t="s">
        <v>147</v>
      </c>
      <c r="B3719" s="1"/>
      <c r="C3719" s="1" t="s">
        <v>150</v>
      </c>
      <c r="D3719" s="1" t="s">
        <v>146</v>
      </c>
      <c r="E3719" t="s">
        <v>136</v>
      </c>
    </row>
    <row r="3720" spans="1:5" x14ac:dyDescent="0.35">
      <c r="A3720" s="1" t="s">
        <v>147</v>
      </c>
      <c r="B3720" s="1"/>
      <c r="C3720" s="1"/>
      <c r="D3720" s="1" t="s">
        <v>148</v>
      </c>
      <c r="E3720" t="s">
        <v>136</v>
      </c>
    </row>
    <row r="3721" spans="1:5" x14ac:dyDescent="0.35">
      <c r="A3721" s="1" t="s">
        <v>147</v>
      </c>
      <c r="B3721" s="1"/>
      <c r="C3721" s="1"/>
      <c r="D3721" s="1" t="s">
        <v>149</v>
      </c>
      <c r="E3721" t="s">
        <v>136</v>
      </c>
    </row>
    <row r="3722" spans="1:5" x14ac:dyDescent="0.35">
      <c r="A3722" s="1" t="s">
        <v>147</v>
      </c>
      <c r="B3722" s="1" t="s">
        <v>161</v>
      </c>
      <c r="C3722" s="1" t="s">
        <v>145</v>
      </c>
      <c r="D3722" s="1" t="s">
        <v>146</v>
      </c>
      <c r="E3722">
        <v>7.4</v>
      </c>
    </row>
    <row r="3723" spans="1:5" x14ac:dyDescent="0.35">
      <c r="A3723" s="1" t="s">
        <v>147</v>
      </c>
      <c r="B3723" s="1"/>
      <c r="C3723" s="1"/>
      <c r="D3723" s="1" t="s">
        <v>148</v>
      </c>
      <c r="E3723">
        <v>7.4</v>
      </c>
    </row>
    <row r="3724" spans="1:5" x14ac:dyDescent="0.35">
      <c r="A3724" s="1" t="s">
        <v>147</v>
      </c>
      <c r="B3724" s="1"/>
      <c r="C3724" s="1"/>
      <c r="D3724" s="1" t="s">
        <v>149</v>
      </c>
      <c r="E3724" t="s">
        <v>136</v>
      </c>
    </row>
    <row r="3725" spans="1:5" x14ac:dyDescent="0.35">
      <c r="A3725" s="1" t="s">
        <v>147</v>
      </c>
      <c r="B3725" s="1"/>
      <c r="C3725" s="1" t="s">
        <v>150</v>
      </c>
      <c r="D3725" s="1" t="s">
        <v>146</v>
      </c>
      <c r="E3725" t="s">
        <v>136</v>
      </c>
    </row>
    <row r="3726" spans="1:5" x14ac:dyDescent="0.35">
      <c r="A3726" s="1" t="s">
        <v>147</v>
      </c>
      <c r="B3726" s="1"/>
      <c r="C3726" s="1"/>
      <c r="D3726" s="1" t="s">
        <v>148</v>
      </c>
      <c r="E3726" t="s">
        <v>136</v>
      </c>
    </row>
    <row r="3727" spans="1:5" x14ac:dyDescent="0.35">
      <c r="A3727" s="1" t="s">
        <v>147</v>
      </c>
      <c r="B3727" s="1"/>
      <c r="C3727" s="1"/>
      <c r="D3727" s="1" t="s">
        <v>149</v>
      </c>
      <c r="E3727" t="s">
        <v>136</v>
      </c>
    </row>
    <row r="3728" spans="1:5" x14ac:dyDescent="0.35">
      <c r="A3728" s="1" t="s">
        <v>147</v>
      </c>
      <c r="B3728" s="1" t="s">
        <v>162</v>
      </c>
      <c r="C3728" s="1" t="s">
        <v>145</v>
      </c>
      <c r="D3728" s="1" t="s">
        <v>146</v>
      </c>
      <c r="E3728" t="s">
        <v>136</v>
      </c>
    </row>
    <row r="3729" spans="1:5" x14ac:dyDescent="0.35">
      <c r="A3729" s="1" t="s">
        <v>147</v>
      </c>
      <c r="B3729" s="1"/>
      <c r="C3729" s="1"/>
      <c r="D3729" s="1" t="s">
        <v>148</v>
      </c>
      <c r="E3729" t="s">
        <v>136</v>
      </c>
    </row>
    <row r="3730" spans="1:5" x14ac:dyDescent="0.35">
      <c r="A3730" s="1" t="s">
        <v>147</v>
      </c>
      <c r="B3730" s="1"/>
      <c r="C3730" s="1"/>
      <c r="D3730" s="1" t="s">
        <v>149</v>
      </c>
      <c r="E3730" t="s">
        <v>136</v>
      </c>
    </row>
    <row r="3731" spans="1:5" x14ac:dyDescent="0.35">
      <c r="A3731" s="1" t="s">
        <v>147</v>
      </c>
      <c r="B3731" s="1"/>
      <c r="C3731" s="1" t="s">
        <v>150</v>
      </c>
      <c r="D3731" s="1" t="s">
        <v>146</v>
      </c>
      <c r="E3731" t="s">
        <v>136</v>
      </c>
    </row>
    <row r="3732" spans="1:5" x14ac:dyDescent="0.35">
      <c r="A3732" s="1" t="s">
        <v>147</v>
      </c>
      <c r="B3732" s="1"/>
      <c r="C3732" s="1"/>
      <c r="D3732" s="1" t="s">
        <v>148</v>
      </c>
      <c r="E3732" t="s">
        <v>136</v>
      </c>
    </row>
    <row r="3733" spans="1:5" x14ac:dyDescent="0.35">
      <c r="A3733" s="1" t="s">
        <v>147</v>
      </c>
      <c r="B3733" s="1"/>
      <c r="C3733" s="1"/>
      <c r="D3733" s="1" t="s">
        <v>149</v>
      </c>
      <c r="E3733" t="s">
        <v>136</v>
      </c>
    </row>
    <row r="3734" spans="1:5" x14ac:dyDescent="0.35">
      <c r="A3734" s="1" t="s">
        <v>147</v>
      </c>
      <c r="B3734" s="1" t="s">
        <v>163</v>
      </c>
      <c r="C3734" s="1" t="s">
        <v>145</v>
      </c>
      <c r="D3734" s="1" t="s">
        <v>146</v>
      </c>
      <c r="E3734">
        <v>7393</v>
      </c>
    </row>
    <row r="3735" spans="1:5" x14ac:dyDescent="0.35">
      <c r="A3735" s="1" t="s">
        <v>147</v>
      </c>
      <c r="B3735" s="1"/>
      <c r="C3735" s="1"/>
      <c r="D3735" s="1" t="s">
        <v>148</v>
      </c>
      <c r="E3735">
        <v>7393</v>
      </c>
    </row>
    <row r="3736" spans="1:5" x14ac:dyDescent="0.35">
      <c r="A3736" s="1" t="s">
        <v>147</v>
      </c>
      <c r="B3736" s="1"/>
      <c r="C3736" s="1"/>
      <c r="D3736" s="1" t="s">
        <v>149</v>
      </c>
      <c r="E3736" t="s">
        <v>136</v>
      </c>
    </row>
    <row r="3737" spans="1:5" x14ac:dyDescent="0.35">
      <c r="A3737" s="1" t="s">
        <v>147</v>
      </c>
      <c r="B3737" s="1"/>
      <c r="C3737" s="1" t="s">
        <v>150</v>
      </c>
      <c r="D3737" s="1" t="s">
        <v>146</v>
      </c>
      <c r="E3737" t="s">
        <v>136</v>
      </c>
    </row>
    <row r="3738" spans="1:5" x14ac:dyDescent="0.35">
      <c r="A3738" s="1" t="s">
        <v>147</v>
      </c>
      <c r="B3738" s="1"/>
      <c r="C3738" s="1"/>
      <c r="D3738" s="1" t="s">
        <v>148</v>
      </c>
      <c r="E3738" t="s">
        <v>136</v>
      </c>
    </row>
    <row r="3739" spans="1:5" x14ac:dyDescent="0.35">
      <c r="A3739" s="1" t="s">
        <v>147</v>
      </c>
      <c r="B3739" s="1"/>
      <c r="C3739" s="1"/>
      <c r="D3739" s="1" t="s">
        <v>149</v>
      </c>
      <c r="E3739" t="s">
        <v>136</v>
      </c>
    </row>
    <row r="3740" spans="1:5" x14ac:dyDescent="0.35">
      <c r="A3740" s="1" t="s">
        <v>147</v>
      </c>
      <c r="B3740" s="1" t="s">
        <v>164</v>
      </c>
      <c r="C3740" s="1" t="s">
        <v>145</v>
      </c>
      <c r="D3740" s="1" t="s">
        <v>146</v>
      </c>
      <c r="E3740">
        <v>814</v>
      </c>
    </row>
    <row r="3741" spans="1:5" x14ac:dyDescent="0.35">
      <c r="A3741" s="1" t="s">
        <v>147</v>
      </c>
      <c r="B3741" s="1"/>
      <c r="C3741" s="1"/>
      <c r="D3741" s="1" t="s">
        <v>148</v>
      </c>
      <c r="E3741">
        <v>814</v>
      </c>
    </row>
    <row r="3742" spans="1:5" x14ac:dyDescent="0.35">
      <c r="A3742" s="1" t="s">
        <v>147</v>
      </c>
      <c r="B3742" s="1"/>
      <c r="C3742" s="1"/>
      <c r="D3742" s="1" t="s">
        <v>149</v>
      </c>
      <c r="E3742" t="s">
        <v>136</v>
      </c>
    </row>
    <row r="3743" spans="1:5" x14ac:dyDescent="0.35">
      <c r="A3743" s="1" t="s">
        <v>147</v>
      </c>
      <c r="B3743" s="1"/>
      <c r="C3743" s="1" t="s">
        <v>150</v>
      </c>
      <c r="D3743" s="1" t="s">
        <v>146</v>
      </c>
      <c r="E3743" t="s">
        <v>136</v>
      </c>
    </row>
    <row r="3744" spans="1:5" x14ac:dyDescent="0.35">
      <c r="A3744" s="1" t="s">
        <v>147</v>
      </c>
      <c r="B3744" s="1"/>
      <c r="C3744" s="1"/>
      <c r="D3744" s="1" t="s">
        <v>148</v>
      </c>
      <c r="E3744" t="s">
        <v>136</v>
      </c>
    </row>
    <row r="3745" spans="1:5" x14ac:dyDescent="0.35">
      <c r="A3745" s="1" t="s">
        <v>147</v>
      </c>
      <c r="B3745" s="1"/>
      <c r="C3745" s="1"/>
      <c r="D3745" s="1" t="s">
        <v>149</v>
      </c>
      <c r="E3745" t="s">
        <v>136</v>
      </c>
    </row>
    <row r="3746" spans="1:5" x14ac:dyDescent="0.35">
      <c r="A3746" s="1" t="s">
        <v>147</v>
      </c>
      <c r="B3746" s="1" t="s">
        <v>165</v>
      </c>
      <c r="C3746" s="1" t="s">
        <v>145</v>
      </c>
      <c r="D3746" s="1" t="s">
        <v>146</v>
      </c>
      <c r="E3746">
        <v>4116</v>
      </c>
    </row>
    <row r="3747" spans="1:5" x14ac:dyDescent="0.35">
      <c r="A3747" s="1" t="s">
        <v>147</v>
      </c>
      <c r="B3747" s="1"/>
      <c r="C3747" s="1"/>
      <c r="D3747" s="1" t="s">
        <v>148</v>
      </c>
      <c r="E3747">
        <v>4116</v>
      </c>
    </row>
    <row r="3748" spans="1:5" x14ac:dyDescent="0.35">
      <c r="A3748" s="1" t="s">
        <v>147</v>
      </c>
      <c r="B3748" s="1"/>
      <c r="C3748" s="1"/>
      <c r="D3748" s="1" t="s">
        <v>149</v>
      </c>
      <c r="E3748" t="s">
        <v>136</v>
      </c>
    </row>
    <row r="3749" spans="1:5" x14ac:dyDescent="0.35">
      <c r="A3749" s="1" t="s">
        <v>147</v>
      </c>
      <c r="B3749" s="1"/>
      <c r="C3749" s="1" t="s">
        <v>150</v>
      </c>
      <c r="D3749" s="1" t="s">
        <v>146</v>
      </c>
      <c r="E3749" t="s">
        <v>136</v>
      </c>
    </row>
    <row r="3750" spans="1:5" x14ac:dyDescent="0.35">
      <c r="A3750" s="1" t="s">
        <v>147</v>
      </c>
      <c r="B3750" s="1"/>
      <c r="C3750" s="1"/>
      <c r="D3750" s="1" t="s">
        <v>148</v>
      </c>
      <c r="E3750" t="s">
        <v>136</v>
      </c>
    </row>
    <row r="3751" spans="1:5" x14ac:dyDescent="0.35">
      <c r="A3751" s="1" t="s">
        <v>147</v>
      </c>
      <c r="B3751" s="1"/>
      <c r="C3751" s="1"/>
      <c r="D3751" s="1" t="s">
        <v>149</v>
      </c>
      <c r="E3751" t="s">
        <v>136</v>
      </c>
    </row>
    <row r="3752" spans="1:5" x14ac:dyDescent="0.35">
      <c r="A3752" s="1" t="s">
        <v>147</v>
      </c>
      <c r="B3752" s="1" t="s">
        <v>166</v>
      </c>
      <c r="C3752" s="1" t="s">
        <v>145</v>
      </c>
      <c r="D3752" s="1" t="s">
        <v>146</v>
      </c>
      <c r="E3752" t="s">
        <v>136</v>
      </c>
    </row>
    <row r="3753" spans="1:5" x14ac:dyDescent="0.35">
      <c r="A3753" s="1" t="s">
        <v>147</v>
      </c>
      <c r="B3753" s="1"/>
      <c r="C3753" s="1"/>
      <c r="D3753" s="1" t="s">
        <v>148</v>
      </c>
      <c r="E3753" t="s">
        <v>136</v>
      </c>
    </row>
    <row r="3754" spans="1:5" x14ac:dyDescent="0.35">
      <c r="A3754" s="1" t="s">
        <v>147</v>
      </c>
      <c r="B3754" s="1"/>
      <c r="C3754" s="1"/>
      <c r="D3754" s="1" t="s">
        <v>149</v>
      </c>
      <c r="E3754" t="s">
        <v>136</v>
      </c>
    </row>
    <row r="3755" spans="1:5" x14ac:dyDescent="0.35">
      <c r="A3755" s="1" t="s">
        <v>147</v>
      </c>
      <c r="B3755" s="1"/>
      <c r="C3755" s="1" t="s">
        <v>150</v>
      </c>
      <c r="D3755" s="1" t="s">
        <v>146</v>
      </c>
      <c r="E3755" t="s">
        <v>136</v>
      </c>
    </row>
    <row r="3756" spans="1:5" x14ac:dyDescent="0.35">
      <c r="A3756" s="1" t="s">
        <v>147</v>
      </c>
      <c r="B3756" s="1"/>
      <c r="C3756" s="1"/>
      <c r="D3756" s="1" t="s">
        <v>148</v>
      </c>
      <c r="E3756" t="s">
        <v>136</v>
      </c>
    </row>
    <row r="3757" spans="1:5" x14ac:dyDescent="0.35">
      <c r="A3757" s="1" t="s">
        <v>147</v>
      </c>
      <c r="B3757" s="1"/>
      <c r="C3757" s="1"/>
      <c r="D3757" s="1" t="s">
        <v>149</v>
      </c>
      <c r="E3757" t="s">
        <v>136</v>
      </c>
    </row>
    <row r="3758" spans="1:5" x14ac:dyDescent="0.35">
      <c r="A3758" s="1" t="s">
        <v>147</v>
      </c>
      <c r="B3758" s="1" t="s">
        <v>167</v>
      </c>
      <c r="C3758" s="1" t="s">
        <v>145</v>
      </c>
      <c r="D3758" s="1" t="s">
        <v>146</v>
      </c>
      <c r="E3758">
        <v>834</v>
      </c>
    </row>
    <row r="3759" spans="1:5" x14ac:dyDescent="0.35">
      <c r="A3759" s="1" t="s">
        <v>147</v>
      </c>
      <c r="B3759" s="1"/>
      <c r="C3759" s="1"/>
      <c r="D3759" s="1" t="s">
        <v>148</v>
      </c>
      <c r="E3759">
        <v>834</v>
      </c>
    </row>
    <row r="3760" spans="1:5" x14ac:dyDescent="0.35">
      <c r="A3760" s="1" t="s">
        <v>147</v>
      </c>
      <c r="B3760" s="1"/>
      <c r="C3760" s="1"/>
      <c r="D3760" s="1" t="s">
        <v>149</v>
      </c>
      <c r="E3760" t="s">
        <v>136</v>
      </c>
    </row>
    <row r="3761" spans="1:5" x14ac:dyDescent="0.35">
      <c r="A3761" s="1" t="s">
        <v>147</v>
      </c>
      <c r="B3761" s="1"/>
      <c r="C3761" s="1" t="s">
        <v>150</v>
      </c>
      <c r="D3761" s="1" t="s">
        <v>146</v>
      </c>
      <c r="E3761" t="s">
        <v>136</v>
      </c>
    </row>
    <row r="3762" spans="1:5" x14ac:dyDescent="0.35">
      <c r="A3762" s="1" t="s">
        <v>147</v>
      </c>
      <c r="B3762" s="1"/>
      <c r="C3762" s="1"/>
      <c r="D3762" s="1" t="s">
        <v>148</v>
      </c>
      <c r="E3762" t="s">
        <v>136</v>
      </c>
    </row>
    <row r="3763" spans="1:5" x14ac:dyDescent="0.35">
      <c r="A3763" s="1" t="s">
        <v>147</v>
      </c>
      <c r="B3763" s="1"/>
      <c r="C3763" s="1"/>
      <c r="D3763" s="1" t="s">
        <v>149</v>
      </c>
      <c r="E3763" t="s">
        <v>136</v>
      </c>
    </row>
    <row r="3764" spans="1:5" x14ac:dyDescent="0.35">
      <c r="A3764" s="1" t="s">
        <v>147</v>
      </c>
      <c r="B3764" s="1" t="s">
        <v>168</v>
      </c>
      <c r="C3764" s="1" t="s">
        <v>145</v>
      </c>
      <c r="D3764" s="1" t="s">
        <v>146</v>
      </c>
      <c r="E3764">
        <v>1629</v>
      </c>
    </row>
    <row r="3765" spans="1:5" x14ac:dyDescent="0.35">
      <c r="A3765" s="1" t="s">
        <v>147</v>
      </c>
      <c r="B3765" s="1"/>
      <c r="C3765" s="1"/>
      <c r="D3765" s="1" t="s">
        <v>148</v>
      </c>
      <c r="E3765">
        <v>1629</v>
      </c>
    </row>
    <row r="3766" spans="1:5" x14ac:dyDescent="0.35">
      <c r="A3766" s="1" t="s">
        <v>147</v>
      </c>
      <c r="B3766" s="1"/>
      <c r="C3766" s="1"/>
      <c r="D3766" s="1" t="s">
        <v>149</v>
      </c>
      <c r="E3766" t="s">
        <v>136</v>
      </c>
    </row>
    <row r="3767" spans="1:5" x14ac:dyDescent="0.35">
      <c r="A3767" s="1" t="s">
        <v>147</v>
      </c>
      <c r="B3767" s="1"/>
      <c r="C3767" s="1" t="s">
        <v>150</v>
      </c>
      <c r="D3767" s="1" t="s">
        <v>146</v>
      </c>
      <c r="E3767" t="s">
        <v>136</v>
      </c>
    </row>
    <row r="3768" spans="1:5" x14ac:dyDescent="0.35">
      <c r="A3768" s="1" t="s">
        <v>147</v>
      </c>
      <c r="B3768" s="1"/>
      <c r="C3768" s="1"/>
      <c r="D3768" s="1" t="s">
        <v>148</v>
      </c>
      <c r="E3768" t="s">
        <v>136</v>
      </c>
    </row>
    <row r="3769" spans="1:5" x14ac:dyDescent="0.35">
      <c r="A3769" s="1" t="s">
        <v>147</v>
      </c>
      <c r="B3769" s="1"/>
      <c r="C3769" s="1"/>
      <c r="D3769" s="1" t="s">
        <v>149</v>
      </c>
      <c r="E3769" t="s">
        <v>136</v>
      </c>
    </row>
    <row r="3770" spans="1:5" x14ac:dyDescent="0.35">
      <c r="A3770" s="1" t="s">
        <v>147</v>
      </c>
      <c r="B3770" s="1" t="s">
        <v>169</v>
      </c>
      <c r="C3770" s="1" t="s">
        <v>145</v>
      </c>
      <c r="D3770" s="1" t="s">
        <v>146</v>
      </c>
      <c r="E3770" t="s">
        <v>136</v>
      </c>
    </row>
    <row r="3771" spans="1:5" x14ac:dyDescent="0.35">
      <c r="A3771" s="1" t="s">
        <v>147</v>
      </c>
      <c r="B3771" s="1"/>
      <c r="C3771" s="1"/>
      <c r="D3771" s="1" t="s">
        <v>148</v>
      </c>
      <c r="E3771" t="s">
        <v>136</v>
      </c>
    </row>
    <row r="3772" spans="1:5" x14ac:dyDescent="0.35">
      <c r="A3772" s="1" t="s">
        <v>147</v>
      </c>
      <c r="B3772" s="1"/>
      <c r="C3772" s="1"/>
      <c r="D3772" s="1" t="s">
        <v>149</v>
      </c>
      <c r="E3772" t="s">
        <v>136</v>
      </c>
    </row>
    <row r="3773" spans="1:5" x14ac:dyDescent="0.35">
      <c r="A3773" s="1" t="s">
        <v>147</v>
      </c>
      <c r="B3773" s="1"/>
      <c r="C3773" s="1" t="s">
        <v>150</v>
      </c>
      <c r="D3773" s="1" t="s">
        <v>146</v>
      </c>
      <c r="E3773" t="s">
        <v>136</v>
      </c>
    </row>
    <row r="3774" spans="1:5" x14ac:dyDescent="0.35">
      <c r="A3774" s="1" t="s">
        <v>147</v>
      </c>
      <c r="B3774" s="1"/>
      <c r="C3774" s="1"/>
      <c r="D3774" s="1" t="s">
        <v>148</v>
      </c>
      <c r="E3774" t="s">
        <v>136</v>
      </c>
    </row>
    <row r="3775" spans="1:5" x14ac:dyDescent="0.35">
      <c r="A3775" s="1" t="s">
        <v>147</v>
      </c>
      <c r="B3775" s="1"/>
      <c r="C3775" s="1"/>
      <c r="D3775" s="1" t="s">
        <v>149</v>
      </c>
      <c r="E3775" t="s">
        <v>136</v>
      </c>
    </row>
    <row r="3776" spans="1:5" x14ac:dyDescent="0.35">
      <c r="A3776" s="1" t="s">
        <v>147</v>
      </c>
      <c r="B3776" s="1" t="s">
        <v>170</v>
      </c>
      <c r="C3776" s="1" t="s">
        <v>145</v>
      </c>
      <c r="D3776" s="1" t="s">
        <v>146</v>
      </c>
      <c r="E3776" t="s">
        <v>136</v>
      </c>
    </row>
    <row r="3777" spans="1:5" x14ac:dyDescent="0.35">
      <c r="A3777" s="1" t="s">
        <v>147</v>
      </c>
      <c r="B3777" s="1"/>
      <c r="C3777" s="1"/>
      <c r="D3777" s="1" t="s">
        <v>148</v>
      </c>
      <c r="E3777" t="s">
        <v>136</v>
      </c>
    </row>
    <row r="3778" spans="1:5" x14ac:dyDescent="0.35">
      <c r="A3778" s="1" t="s">
        <v>147</v>
      </c>
      <c r="B3778" s="1"/>
      <c r="C3778" s="1"/>
      <c r="D3778" s="1" t="s">
        <v>149</v>
      </c>
      <c r="E3778" t="s">
        <v>136</v>
      </c>
    </row>
    <row r="3779" spans="1:5" x14ac:dyDescent="0.35">
      <c r="A3779" s="1" t="s">
        <v>147</v>
      </c>
      <c r="B3779" s="1"/>
      <c r="C3779" s="1" t="s">
        <v>150</v>
      </c>
      <c r="D3779" s="1" t="s">
        <v>146</v>
      </c>
      <c r="E3779" t="s">
        <v>136</v>
      </c>
    </row>
    <row r="3780" spans="1:5" x14ac:dyDescent="0.35">
      <c r="A3780" s="1" t="s">
        <v>147</v>
      </c>
      <c r="B3780" s="1"/>
      <c r="C3780" s="1"/>
      <c r="D3780" s="1" t="s">
        <v>148</v>
      </c>
      <c r="E3780" t="s">
        <v>136</v>
      </c>
    </row>
    <row r="3781" spans="1:5" x14ac:dyDescent="0.35">
      <c r="A3781" s="1" t="s">
        <v>147</v>
      </c>
      <c r="B3781" s="1"/>
      <c r="C3781" s="1"/>
      <c r="D3781" s="1" t="s">
        <v>149</v>
      </c>
      <c r="E3781" t="s">
        <v>136</v>
      </c>
    </row>
    <row r="3782" spans="1:5" x14ac:dyDescent="0.35">
      <c r="A3782" s="1" t="s">
        <v>83</v>
      </c>
      <c r="B3782" s="1" t="s">
        <v>144</v>
      </c>
      <c r="C3782" s="1" t="s">
        <v>145</v>
      </c>
      <c r="D3782" s="1" t="s">
        <v>146</v>
      </c>
      <c r="E3782">
        <v>2375.42</v>
      </c>
    </row>
    <row r="3783" spans="1:5" x14ac:dyDescent="0.35">
      <c r="A3783" s="1" t="s">
        <v>147</v>
      </c>
      <c r="B3783" s="1"/>
      <c r="C3783" s="1"/>
      <c r="D3783" s="1" t="s">
        <v>148</v>
      </c>
      <c r="E3783">
        <v>2370.6999999999998</v>
      </c>
    </row>
    <row r="3784" spans="1:5" x14ac:dyDescent="0.35">
      <c r="A3784" s="1" t="s">
        <v>147</v>
      </c>
      <c r="B3784" s="1"/>
      <c r="C3784" s="1"/>
      <c r="D3784" s="1" t="s">
        <v>149</v>
      </c>
      <c r="E3784">
        <v>4.72</v>
      </c>
    </row>
    <row r="3785" spans="1:5" x14ac:dyDescent="0.35">
      <c r="A3785" s="1" t="s">
        <v>147</v>
      </c>
      <c r="B3785" s="1"/>
      <c r="C3785" s="1" t="s">
        <v>150</v>
      </c>
      <c r="D3785" s="1" t="s">
        <v>146</v>
      </c>
      <c r="E3785" t="s">
        <v>136</v>
      </c>
    </row>
    <row r="3786" spans="1:5" x14ac:dyDescent="0.35">
      <c r="A3786" s="1" t="s">
        <v>147</v>
      </c>
      <c r="B3786" s="1"/>
      <c r="C3786" s="1"/>
      <c r="D3786" s="1" t="s">
        <v>148</v>
      </c>
      <c r="E3786" t="s">
        <v>136</v>
      </c>
    </row>
    <row r="3787" spans="1:5" x14ac:dyDescent="0.35">
      <c r="A3787" s="1" t="s">
        <v>147</v>
      </c>
      <c r="B3787" s="1"/>
      <c r="C3787" s="1"/>
      <c r="D3787" s="1" t="s">
        <v>149</v>
      </c>
      <c r="E3787" t="s">
        <v>136</v>
      </c>
    </row>
    <row r="3788" spans="1:5" x14ac:dyDescent="0.35">
      <c r="A3788" s="1" t="s">
        <v>147</v>
      </c>
      <c r="B3788" s="1" t="s">
        <v>151</v>
      </c>
      <c r="C3788" s="1" t="s">
        <v>145</v>
      </c>
      <c r="D3788" s="1" t="s">
        <v>146</v>
      </c>
      <c r="E3788">
        <v>106.94</v>
      </c>
    </row>
    <row r="3789" spans="1:5" x14ac:dyDescent="0.35">
      <c r="A3789" s="1" t="s">
        <v>147</v>
      </c>
      <c r="B3789" s="1"/>
      <c r="C3789" s="1"/>
      <c r="D3789" s="1" t="s">
        <v>148</v>
      </c>
      <c r="E3789">
        <v>103.6</v>
      </c>
    </row>
    <row r="3790" spans="1:5" x14ac:dyDescent="0.35">
      <c r="A3790" s="1" t="s">
        <v>147</v>
      </c>
      <c r="B3790" s="1"/>
      <c r="C3790" s="1"/>
      <c r="D3790" s="1" t="s">
        <v>149</v>
      </c>
      <c r="E3790">
        <v>3.34</v>
      </c>
    </row>
    <row r="3791" spans="1:5" x14ac:dyDescent="0.35">
      <c r="A3791" s="1" t="s">
        <v>147</v>
      </c>
      <c r="B3791" s="1"/>
      <c r="C3791" s="1" t="s">
        <v>150</v>
      </c>
      <c r="D3791" s="1" t="s">
        <v>146</v>
      </c>
      <c r="E3791" t="s">
        <v>136</v>
      </c>
    </row>
    <row r="3792" spans="1:5" x14ac:dyDescent="0.35">
      <c r="A3792" s="1" t="s">
        <v>147</v>
      </c>
      <c r="B3792" s="1"/>
      <c r="C3792" s="1"/>
      <c r="D3792" s="1" t="s">
        <v>148</v>
      </c>
      <c r="E3792" t="s">
        <v>136</v>
      </c>
    </row>
    <row r="3793" spans="1:5" x14ac:dyDescent="0.35">
      <c r="A3793" s="1" t="s">
        <v>147</v>
      </c>
      <c r="B3793" s="1"/>
      <c r="C3793" s="1"/>
      <c r="D3793" s="1" t="s">
        <v>149</v>
      </c>
      <c r="E3793" t="s">
        <v>136</v>
      </c>
    </row>
    <row r="3794" spans="1:5" x14ac:dyDescent="0.35">
      <c r="A3794" s="1" t="s">
        <v>147</v>
      </c>
      <c r="B3794" s="1" t="s">
        <v>152</v>
      </c>
      <c r="C3794" s="1" t="s">
        <v>145</v>
      </c>
      <c r="D3794" s="1" t="s">
        <v>146</v>
      </c>
      <c r="E3794" t="s">
        <v>136</v>
      </c>
    </row>
    <row r="3795" spans="1:5" x14ac:dyDescent="0.35">
      <c r="A3795" s="1" t="s">
        <v>147</v>
      </c>
      <c r="B3795" s="1"/>
      <c r="C3795" s="1"/>
      <c r="D3795" s="1" t="s">
        <v>148</v>
      </c>
      <c r="E3795" t="s">
        <v>136</v>
      </c>
    </row>
    <row r="3796" spans="1:5" x14ac:dyDescent="0.35">
      <c r="A3796" s="1" t="s">
        <v>147</v>
      </c>
      <c r="B3796" s="1"/>
      <c r="C3796" s="1"/>
      <c r="D3796" s="1" t="s">
        <v>149</v>
      </c>
      <c r="E3796" t="s">
        <v>136</v>
      </c>
    </row>
    <row r="3797" spans="1:5" x14ac:dyDescent="0.35">
      <c r="A3797" s="1" t="s">
        <v>147</v>
      </c>
      <c r="B3797" s="1"/>
      <c r="C3797" s="1" t="s">
        <v>150</v>
      </c>
      <c r="D3797" s="1" t="s">
        <v>146</v>
      </c>
      <c r="E3797" t="s">
        <v>136</v>
      </c>
    </row>
    <row r="3798" spans="1:5" x14ac:dyDescent="0.35">
      <c r="A3798" s="1" t="s">
        <v>147</v>
      </c>
      <c r="B3798" s="1"/>
      <c r="C3798" s="1"/>
      <c r="D3798" s="1" t="s">
        <v>148</v>
      </c>
      <c r="E3798" t="s">
        <v>136</v>
      </c>
    </row>
    <row r="3799" spans="1:5" x14ac:dyDescent="0.35">
      <c r="A3799" s="1" t="s">
        <v>147</v>
      </c>
      <c r="B3799" s="1"/>
      <c r="C3799" s="1"/>
      <c r="D3799" s="1" t="s">
        <v>149</v>
      </c>
      <c r="E3799" t="s">
        <v>136</v>
      </c>
    </row>
    <row r="3800" spans="1:5" x14ac:dyDescent="0.35">
      <c r="A3800" s="1" t="s">
        <v>147</v>
      </c>
      <c r="B3800" s="1" t="s">
        <v>153</v>
      </c>
      <c r="C3800" s="1" t="s">
        <v>145</v>
      </c>
      <c r="D3800" s="1" t="s">
        <v>146</v>
      </c>
      <c r="E3800" t="s">
        <v>136</v>
      </c>
    </row>
    <row r="3801" spans="1:5" x14ac:dyDescent="0.35">
      <c r="A3801" s="1" t="s">
        <v>147</v>
      </c>
      <c r="B3801" s="1"/>
      <c r="C3801" s="1"/>
      <c r="D3801" s="1" t="s">
        <v>148</v>
      </c>
      <c r="E3801" t="s">
        <v>136</v>
      </c>
    </row>
    <row r="3802" spans="1:5" x14ac:dyDescent="0.35">
      <c r="A3802" s="1" t="s">
        <v>147</v>
      </c>
      <c r="B3802" s="1"/>
      <c r="C3802" s="1"/>
      <c r="D3802" s="1" t="s">
        <v>149</v>
      </c>
      <c r="E3802" t="s">
        <v>136</v>
      </c>
    </row>
    <row r="3803" spans="1:5" x14ac:dyDescent="0.35">
      <c r="A3803" s="1" t="s">
        <v>147</v>
      </c>
      <c r="B3803" s="1"/>
      <c r="C3803" s="1" t="s">
        <v>150</v>
      </c>
      <c r="D3803" s="1" t="s">
        <v>146</v>
      </c>
      <c r="E3803" t="s">
        <v>136</v>
      </c>
    </row>
    <row r="3804" spans="1:5" x14ac:dyDescent="0.35">
      <c r="A3804" s="1" t="s">
        <v>147</v>
      </c>
      <c r="B3804" s="1"/>
      <c r="C3804" s="1"/>
      <c r="D3804" s="1" t="s">
        <v>148</v>
      </c>
      <c r="E3804" t="s">
        <v>136</v>
      </c>
    </row>
    <row r="3805" spans="1:5" x14ac:dyDescent="0.35">
      <c r="A3805" s="1" t="s">
        <v>147</v>
      </c>
      <c r="B3805" s="1"/>
      <c r="C3805" s="1"/>
      <c r="D3805" s="1" t="s">
        <v>149</v>
      </c>
      <c r="E3805" t="s">
        <v>136</v>
      </c>
    </row>
    <row r="3806" spans="1:5" x14ac:dyDescent="0.35">
      <c r="A3806" s="1" t="s">
        <v>147</v>
      </c>
      <c r="B3806" s="1" t="s">
        <v>154</v>
      </c>
      <c r="C3806" s="1" t="s">
        <v>145</v>
      </c>
      <c r="D3806" s="1" t="s">
        <v>146</v>
      </c>
      <c r="E3806" t="s">
        <v>136</v>
      </c>
    </row>
    <row r="3807" spans="1:5" x14ac:dyDescent="0.35">
      <c r="A3807" s="1" t="s">
        <v>147</v>
      </c>
      <c r="B3807" s="1"/>
      <c r="C3807" s="1"/>
      <c r="D3807" s="1" t="s">
        <v>148</v>
      </c>
      <c r="E3807" t="s">
        <v>136</v>
      </c>
    </row>
    <row r="3808" spans="1:5" x14ac:dyDescent="0.35">
      <c r="A3808" s="1" t="s">
        <v>147</v>
      </c>
      <c r="B3808" s="1"/>
      <c r="C3808" s="1"/>
      <c r="D3808" s="1" t="s">
        <v>149</v>
      </c>
      <c r="E3808" t="s">
        <v>136</v>
      </c>
    </row>
    <row r="3809" spans="1:5" x14ac:dyDescent="0.35">
      <c r="A3809" s="1" t="s">
        <v>147</v>
      </c>
      <c r="B3809" s="1"/>
      <c r="C3809" s="1" t="s">
        <v>150</v>
      </c>
      <c r="D3809" s="1" t="s">
        <v>146</v>
      </c>
      <c r="E3809" t="s">
        <v>136</v>
      </c>
    </row>
    <row r="3810" spans="1:5" x14ac:dyDescent="0.35">
      <c r="A3810" s="1" t="s">
        <v>147</v>
      </c>
      <c r="B3810" s="1"/>
      <c r="C3810" s="1"/>
      <c r="D3810" s="1" t="s">
        <v>148</v>
      </c>
      <c r="E3810" t="s">
        <v>136</v>
      </c>
    </row>
    <row r="3811" spans="1:5" x14ac:dyDescent="0.35">
      <c r="A3811" s="1" t="s">
        <v>147</v>
      </c>
      <c r="B3811" s="1"/>
      <c r="C3811" s="1"/>
      <c r="D3811" s="1" t="s">
        <v>149</v>
      </c>
      <c r="E3811" t="s">
        <v>136</v>
      </c>
    </row>
    <row r="3812" spans="1:5" x14ac:dyDescent="0.35">
      <c r="A3812" s="1" t="s">
        <v>147</v>
      </c>
      <c r="B3812" s="1" t="s">
        <v>155</v>
      </c>
      <c r="C3812" s="1" t="s">
        <v>145</v>
      </c>
      <c r="D3812" s="1" t="s">
        <v>146</v>
      </c>
      <c r="E3812">
        <v>2193.63</v>
      </c>
    </row>
    <row r="3813" spans="1:5" x14ac:dyDescent="0.35">
      <c r="A3813" s="1" t="s">
        <v>147</v>
      </c>
      <c r="B3813" s="1"/>
      <c r="C3813" s="1"/>
      <c r="D3813" s="1" t="s">
        <v>148</v>
      </c>
      <c r="E3813">
        <v>2192.25</v>
      </c>
    </row>
    <row r="3814" spans="1:5" x14ac:dyDescent="0.35">
      <c r="A3814" s="1" t="s">
        <v>147</v>
      </c>
      <c r="B3814" s="1"/>
      <c r="C3814" s="1"/>
      <c r="D3814" s="1" t="s">
        <v>149</v>
      </c>
      <c r="E3814">
        <v>1.38</v>
      </c>
    </row>
    <row r="3815" spans="1:5" x14ac:dyDescent="0.35">
      <c r="A3815" s="1" t="s">
        <v>147</v>
      </c>
      <c r="B3815" s="1"/>
      <c r="C3815" s="1" t="s">
        <v>150</v>
      </c>
      <c r="D3815" s="1" t="s">
        <v>146</v>
      </c>
      <c r="E3815" t="s">
        <v>136</v>
      </c>
    </row>
    <row r="3816" spans="1:5" x14ac:dyDescent="0.35">
      <c r="A3816" s="1" t="s">
        <v>147</v>
      </c>
      <c r="B3816" s="1"/>
      <c r="C3816" s="1"/>
      <c r="D3816" s="1" t="s">
        <v>148</v>
      </c>
      <c r="E3816" t="s">
        <v>136</v>
      </c>
    </row>
    <row r="3817" spans="1:5" x14ac:dyDescent="0.35">
      <c r="A3817" s="1" t="s">
        <v>147</v>
      </c>
      <c r="B3817" s="1"/>
      <c r="C3817" s="1"/>
      <c r="D3817" s="1" t="s">
        <v>149</v>
      </c>
      <c r="E3817" t="s">
        <v>136</v>
      </c>
    </row>
    <row r="3818" spans="1:5" x14ac:dyDescent="0.35">
      <c r="A3818" s="1" t="s">
        <v>147</v>
      </c>
      <c r="B3818" s="1" t="s">
        <v>156</v>
      </c>
      <c r="C3818" s="1" t="s">
        <v>145</v>
      </c>
      <c r="D3818" s="1" t="s">
        <v>146</v>
      </c>
      <c r="E3818" t="s">
        <v>136</v>
      </c>
    </row>
    <row r="3819" spans="1:5" x14ac:dyDescent="0.35">
      <c r="A3819" s="1" t="s">
        <v>147</v>
      </c>
      <c r="B3819" s="1"/>
      <c r="C3819" s="1"/>
      <c r="D3819" s="1" t="s">
        <v>148</v>
      </c>
      <c r="E3819" t="s">
        <v>136</v>
      </c>
    </row>
    <row r="3820" spans="1:5" x14ac:dyDescent="0.35">
      <c r="A3820" s="1" t="s">
        <v>147</v>
      </c>
      <c r="B3820" s="1"/>
      <c r="C3820" s="1"/>
      <c r="D3820" s="1" t="s">
        <v>149</v>
      </c>
      <c r="E3820" t="s">
        <v>136</v>
      </c>
    </row>
    <row r="3821" spans="1:5" x14ac:dyDescent="0.35">
      <c r="A3821" s="1" t="s">
        <v>147</v>
      </c>
      <c r="B3821" s="1"/>
      <c r="C3821" s="1" t="s">
        <v>150</v>
      </c>
      <c r="D3821" s="1" t="s">
        <v>146</v>
      </c>
      <c r="E3821" t="s">
        <v>136</v>
      </c>
    </row>
    <row r="3822" spans="1:5" x14ac:dyDescent="0.35">
      <c r="A3822" s="1" t="s">
        <v>147</v>
      </c>
      <c r="B3822" s="1"/>
      <c r="C3822" s="1"/>
      <c r="D3822" s="1" t="s">
        <v>148</v>
      </c>
      <c r="E3822" t="s">
        <v>136</v>
      </c>
    </row>
    <row r="3823" spans="1:5" x14ac:dyDescent="0.35">
      <c r="A3823" s="1" t="s">
        <v>147</v>
      </c>
      <c r="B3823" s="1"/>
      <c r="C3823" s="1"/>
      <c r="D3823" s="1" t="s">
        <v>149</v>
      </c>
      <c r="E3823" t="s">
        <v>136</v>
      </c>
    </row>
    <row r="3824" spans="1:5" x14ac:dyDescent="0.35">
      <c r="A3824" s="1" t="s">
        <v>147</v>
      </c>
      <c r="B3824" s="1" t="s">
        <v>157</v>
      </c>
      <c r="C3824" s="1" t="s">
        <v>145</v>
      </c>
      <c r="D3824" s="1" t="s">
        <v>146</v>
      </c>
      <c r="E3824" t="s">
        <v>136</v>
      </c>
    </row>
    <row r="3825" spans="1:5" x14ac:dyDescent="0.35">
      <c r="A3825" s="1" t="s">
        <v>147</v>
      </c>
      <c r="B3825" s="1"/>
      <c r="C3825" s="1"/>
      <c r="D3825" s="1" t="s">
        <v>148</v>
      </c>
      <c r="E3825" t="s">
        <v>136</v>
      </c>
    </row>
    <row r="3826" spans="1:5" x14ac:dyDescent="0.35">
      <c r="A3826" s="1" t="s">
        <v>147</v>
      </c>
      <c r="B3826" s="1"/>
      <c r="C3826" s="1"/>
      <c r="D3826" s="1" t="s">
        <v>149</v>
      </c>
      <c r="E3826" t="s">
        <v>136</v>
      </c>
    </row>
    <row r="3827" spans="1:5" x14ac:dyDescent="0.35">
      <c r="A3827" s="1" t="s">
        <v>147</v>
      </c>
      <c r="B3827" s="1"/>
      <c r="C3827" s="1" t="s">
        <v>150</v>
      </c>
      <c r="D3827" s="1" t="s">
        <v>146</v>
      </c>
      <c r="E3827" t="s">
        <v>136</v>
      </c>
    </row>
    <row r="3828" spans="1:5" x14ac:dyDescent="0.35">
      <c r="A3828" s="1" t="s">
        <v>147</v>
      </c>
      <c r="B3828" s="1"/>
      <c r="C3828" s="1"/>
      <c r="D3828" s="1" t="s">
        <v>148</v>
      </c>
      <c r="E3828" t="s">
        <v>136</v>
      </c>
    </row>
    <row r="3829" spans="1:5" x14ac:dyDescent="0.35">
      <c r="A3829" s="1" t="s">
        <v>147</v>
      </c>
      <c r="B3829" s="1"/>
      <c r="C3829" s="1"/>
      <c r="D3829" s="1" t="s">
        <v>149</v>
      </c>
      <c r="E3829" t="s">
        <v>136</v>
      </c>
    </row>
    <row r="3830" spans="1:5" x14ac:dyDescent="0.35">
      <c r="A3830" s="1" t="s">
        <v>147</v>
      </c>
      <c r="B3830" s="1" t="s">
        <v>158</v>
      </c>
      <c r="C3830" s="1" t="s">
        <v>145</v>
      </c>
      <c r="D3830" s="1" t="s">
        <v>146</v>
      </c>
      <c r="E3830">
        <v>74.849999999999994</v>
      </c>
    </row>
    <row r="3831" spans="1:5" x14ac:dyDescent="0.35">
      <c r="A3831" s="1" t="s">
        <v>147</v>
      </c>
      <c r="B3831" s="1"/>
      <c r="C3831" s="1"/>
      <c r="D3831" s="1" t="s">
        <v>148</v>
      </c>
      <c r="E3831">
        <v>74.849999999999994</v>
      </c>
    </row>
    <row r="3832" spans="1:5" x14ac:dyDescent="0.35">
      <c r="A3832" s="1" t="s">
        <v>147</v>
      </c>
      <c r="B3832" s="1"/>
      <c r="C3832" s="1"/>
      <c r="D3832" s="1" t="s">
        <v>149</v>
      </c>
      <c r="E3832" t="s">
        <v>136</v>
      </c>
    </row>
    <row r="3833" spans="1:5" x14ac:dyDescent="0.35">
      <c r="A3833" s="1" t="s">
        <v>147</v>
      </c>
      <c r="B3833" s="1"/>
      <c r="C3833" s="1" t="s">
        <v>150</v>
      </c>
      <c r="D3833" s="1" t="s">
        <v>146</v>
      </c>
      <c r="E3833" t="s">
        <v>136</v>
      </c>
    </row>
    <row r="3834" spans="1:5" x14ac:dyDescent="0.35">
      <c r="A3834" s="1" t="s">
        <v>147</v>
      </c>
      <c r="B3834" s="1"/>
      <c r="C3834" s="1"/>
      <c r="D3834" s="1" t="s">
        <v>148</v>
      </c>
      <c r="E3834" t="s">
        <v>136</v>
      </c>
    </row>
    <row r="3835" spans="1:5" x14ac:dyDescent="0.35">
      <c r="A3835" s="1" t="s">
        <v>147</v>
      </c>
      <c r="B3835" s="1"/>
      <c r="C3835" s="1"/>
      <c r="D3835" s="1" t="s">
        <v>149</v>
      </c>
      <c r="E3835" t="s">
        <v>136</v>
      </c>
    </row>
    <row r="3836" spans="1:5" x14ac:dyDescent="0.35">
      <c r="A3836" s="1" t="s">
        <v>147</v>
      </c>
      <c r="B3836" s="1" t="s">
        <v>159</v>
      </c>
      <c r="C3836" s="1" t="s">
        <v>145</v>
      </c>
      <c r="D3836" s="1" t="s">
        <v>146</v>
      </c>
      <c r="E3836" t="s">
        <v>136</v>
      </c>
    </row>
    <row r="3837" spans="1:5" x14ac:dyDescent="0.35">
      <c r="A3837" s="1" t="s">
        <v>147</v>
      </c>
      <c r="B3837" s="1"/>
      <c r="C3837" s="1"/>
      <c r="D3837" s="1" t="s">
        <v>148</v>
      </c>
      <c r="E3837" t="s">
        <v>136</v>
      </c>
    </row>
    <row r="3838" spans="1:5" x14ac:dyDescent="0.35">
      <c r="A3838" s="1" t="s">
        <v>147</v>
      </c>
      <c r="B3838" s="1"/>
      <c r="C3838" s="1"/>
      <c r="D3838" s="1" t="s">
        <v>149</v>
      </c>
      <c r="E3838" t="s">
        <v>136</v>
      </c>
    </row>
    <row r="3839" spans="1:5" x14ac:dyDescent="0.35">
      <c r="A3839" s="1" t="s">
        <v>147</v>
      </c>
      <c r="B3839" s="1"/>
      <c r="C3839" s="1" t="s">
        <v>150</v>
      </c>
      <c r="D3839" s="1" t="s">
        <v>146</v>
      </c>
      <c r="E3839" t="s">
        <v>136</v>
      </c>
    </row>
    <row r="3840" spans="1:5" x14ac:dyDescent="0.35">
      <c r="A3840" s="1" t="s">
        <v>147</v>
      </c>
      <c r="B3840" s="1"/>
      <c r="C3840" s="1"/>
      <c r="D3840" s="1" t="s">
        <v>148</v>
      </c>
      <c r="E3840" t="s">
        <v>136</v>
      </c>
    </row>
    <row r="3841" spans="1:5" x14ac:dyDescent="0.35">
      <c r="A3841" s="1" t="s">
        <v>147</v>
      </c>
      <c r="B3841" s="1"/>
      <c r="C3841" s="1"/>
      <c r="D3841" s="1" t="s">
        <v>149</v>
      </c>
      <c r="E3841" t="s">
        <v>136</v>
      </c>
    </row>
    <row r="3842" spans="1:5" x14ac:dyDescent="0.35">
      <c r="A3842" s="1" t="s">
        <v>147</v>
      </c>
      <c r="B3842" s="1" t="s">
        <v>160</v>
      </c>
      <c r="C3842" s="1" t="s">
        <v>145</v>
      </c>
      <c r="D3842" s="1" t="s">
        <v>146</v>
      </c>
      <c r="E3842" t="s">
        <v>136</v>
      </c>
    </row>
    <row r="3843" spans="1:5" x14ac:dyDescent="0.35">
      <c r="A3843" s="1" t="s">
        <v>147</v>
      </c>
      <c r="B3843" s="1"/>
      <c r="C3843" s="1"/>
      <c r="D3843" s="1" t="s">
        <v>148</v>
      </c>
      <c r="E3843" t="s">
        <v>136</v>
      </c>
    </row>
    <row r="3844" spans="1:5" x14ac:dyDescent="0.35">
      <c r="A3844" s="1" t="s">
        <v>147</v>
      </c>
      <c r="B3844" s="1"/>
      <c r="C3844" s="1"/>
      <c r="D3844" s="1" t="s">
        <v>149</v>
      </c>
      <c r="E3844" t="s">
        <v>136</v>
      </c>
    </row>
    <row r="3845" spans="1:5" x14ac:dyDescent="0.35">
      <c r="A3845" s="1" t="s">
        <v>147</v>
      </c>
      <c r="B3845" s="1"/>
      <c r="C3845" s="1" t="s">
        <v>150</v>
      </c>
      <c r="D3845" s="1" t="s">
        <v>146</v>
      </c>
      <c r="E3845" t="s">
        <v>136</v>
      </c>
    </row>
    <row r="3846" spans="1:5" x14ac:dyDescent="0.35">
      <c r="A3846" s="1" t="s">
        <v>147</v>
      </c>
      <c r="B3846" s="1"/>
      <c r="C3846" s="1"/>
      <c r="D3846" s="1" t="s">
        <v>148</v>
      </c>
      <c r="E3846" t="s">
        <v>136</v>
      </c>
    </row>
    <row r="3847" spans="1:5" x14ac:dyDescent="0.35">
      <c r="A3847" s="1" t="s">
        <v>147</v>
      </c>
      <c r="B3847" s="1"/>
      <c r="C3847" s="1"/>
      <c r="D3847" s="1" t="s">
        <v>149</v>
      </c>
      <c r="E3847" t="s">
        <v>136</v>
      </c>
    </row>
    <row r="3848" spans="1:5" x14ac:dyDescent="0.35">
      <c r="A3848" s="1" t="s">
        <v>147</v>
      </c>
      <c r="B3848" s="1" t="s">
        <v>161</v>
      </c>
      <c r="C3848" s="1" t="s">
        <v>145</v>
      </c>
      <c r="D3848" s="1" t="s">
        <v>146</v>
      </c>
      <c r="E3848" t="s">
        <v>136</v>
      </c>
    </row>
    <row r="3849" spans="1:5" x14ac:dyDescent="0.35">
      <c r="A3849" s="1" t="s">
        <v>147</v>
      </c>
      <c r="B3849" s="1"/>
      <c r="C3849" s="1"/>
      <c r="D3849" s="1" t="s">
        <v>148</v>
      </c>
      <c r="E3849" t="s">
        <v>136</v>
      </c>
    </row>
    <row r="3850" spans="1:5" x14ac:dyDescent="0.35">
      <c r="A3850" s="1" t="s">
        <v>147</v>
      </c>
      <c r="B3850" s="1"/>
      <c r="C3850" s="1"/>
      <c r="D3850" s="1" t="s">
        <v>149</v>
      </c>
      <c r="E3850" t="s">
        <v>136</v>
      </c>
    </row>
    <row r="3851" spans="1:5" x14ac:dyDescent="0.35">
      <c r="A3851" s="1" t="s">
        <v>147</v>
      </c>
      <c r="B3851" s="1"/>
      <c r="C3851" s="1" t="s">
        <v>150</v>
      </c>
      <c r="D3851" s="1" t="s">
        <v>146</v>
      </c>
      <c r="E3851" t="s">
        <v>136</v>
      </c>
    </row>
    <row r="3852" spans="1:5" x14ac:dyDescent="0.35">
      <c r="A3852" s="1" t="s">
        <v>147</v>
      </c>
      <c r="B3852" s="1"/>
      <c r="C3852" s="1"/>
      <c r="D3852" s="1" t="s">
        <v>148</v>
      </c>
      <c r="E3852" t="s">
        <v>136</v>
      </c>
    </row>
    <row r="3853" spans="1:5" x14ac:dyDescent="0.35">
      <c r="A3853" s="1" t="s">
        <v>147</v>
      </c>
      <c r="B3853" s="1"/>
      <c r="C3853" s="1"/>
      <c r="D3853" s="1" t="s">
        <v>149</v>
      </c>
      <c r="E3853" t="s">
        <v>136</v>
      </c>
    </row>
    <row r="3854" spans="1:5" x14ac:dyDescent="0.35">
      <c r="A3854" s="1" t="s">
        <v>147</v>
      </c>
      <c r="B3854" s="1" t="s">
        <v>162</v>
      </c>
      <c r="C3854" s="1" t="s">
        <v>145</v>
      </c>
      <c r="D3854" s="1" t="s">
        <v>146</v>
      </c>
      <c r="E3854" t="s">
        <v>136</v>
      </c>
    </row>
    <row r="3855" spans="1:5" x14ac:dyDescent="0.35">
      <c r="A3855" s="1" t="s">
        <v>147</v>
      </c>
      <c r="B3855" s="1"/>
      <c r="C3855" s="1"/>
      <c r="D3855" s="1" t="s">
        <v>148</v>
      </c>
      <c r="E3855" t="s">
        <v>136</v>
      </c>
    </row>
    <row r="3856" spans="1:5" x14ac:dyDescent="0.35">
      <c r="A3856" s="1" t="s">
        <v>147</v>
      </c>
      <c r="B3856" s="1"/>
      <c r="C3856" s="1"/>
      <c r="D3856" s="1" t="s">
        <v>149</v>
      </c>
      <c r="E3856" t="s">
        <v>136</v>
      </c>
    </row>
    <row r="3857" spans="1:5" x14ac:dyDescent="0.35">
      <c r="A3857" s="1" t="s">
        <v>147</v>
      </c>
      <c r="B3857" s="1"/>
      <c r="C3857" s="1" t="s">
        <v>150</v>
      </c>
      <c r="D3857" s="1" t="s">
        <v>146</v>
      </c>
      <c r="E3857" t="s">
        <v>136</v>
      </c>
    </row>
    <row r="3858" spans="1:5" x14ac:dyDescent="0.35">
      <c r="A3858" s="1" t="s">
        <v>147</v>
      </c>
      <c r="B3858" s="1"/>
      <c r="C3858" s="1"/>
      <c r="D3858" s="1" t="s">
        <v>148</v>
      </c>
      <c r="E3858" t="s">
        <v>136</v>
      </c>
    </row>
    <row r="3859" spans="1:5" x14ac:dyDescent="0.35">
      <c r="A3859" s="1" t="s">
        <v>147</v>
      </c>
      <c r="B3859" s="1"/>
      <c r="C3859" s="1"/>
      <c r="D3859" s="1" t="s">
        <v>149</v>
      </c>
      <c r="E3859" t="s">
        <v>136</v>
      </c>
    </row>
    <row r="3860" spans="1:5" x14ac:dyDescent="0.35">
      <c r="A3860" s="1" t="s">
        <v>147</v>
      </c>
      <c r="B3860" s="1" t="s">
        <v>163</v>
      </c>
      <c r="C3860" s="1" t="s">
        <v>145</v>
      </c>
      <c r="D3860" s="1" t="s">
        <v>146</v>
      </c>
      <c r="E3860">
        <v>683.84</v>
      </c>
    </row>
    <row r="3861" spans="1:5" x14ac:dyDescent="0.35">
      <c r="A3861" s="1" t="s">
        <v>147</v>
      </c>
      <c r="B3861" s="1"/>
      <c r="C3861" s="1"/>
      <c r="D3861" s="1" t="s">
        <v>148</v>
      </c>
      <c r="E3861">
        <v>683.84</v>
      </c>
    </row>
    <row r="3862" spans="1:5" x14ac:dyDescent="0.35">
      <c r="A3862" s="1" t="s">
        <v>147</v>
      </c>
      <c r="B3862" s="1"/>
      <c r="C3862" s="1"/>
      <c r="D3862" s="1" t="s">
        <v>149</v>
      </c>
      <c r="E3862" t="s">
        <v>136</v>
      </c>
    </row>
    <row r="3863" spans="1:5" x14ac:dyDescent="0.35">
      <c r="A3863" s="1" t="s">
        <v>147</v>
      </c>
      <c r="B3863" s="1"/>
      <c r="C3863" s="1" t="s">
        <v>150</v>
      </c>
      <c r="D3863" s="1" t="s">
        <v>146</v>
      </c>
      <c r="E3863" t="s">
        <v>136</v>
      </c>
    </row>
    <row r="3864" spans="1:5" x14ac:dyDescent="0.35">
      <c r="A3864" s="1" t="s">
        <v>147</v>
      </c>
      <c r="B3864" s="1"/>
      <c r="C3864" s="1"/>
      <c r="D3864" s="1" t="s">
        <v>148</v>
      </c>
      <c r="E3864" t="s">
        <v>136</v>
      </c>
    </row>
    <row r="3865" spans="1:5" x14ac:dyDescent="0.35">
      <c r="A3865" s="1" t="s">
        <v>147</v>
      </c>
      <c r="B3865" s="1"/>
      <c r="C3865" s="1"/>
      <c r="D3865" s="1" t="s">
        <v>149</v>
      </c>
      <c r="E3865" t="s">
        <v>136</v>
      </c>
    </row>
    <row r="3866" spans="1:5" x14ac:dyDescent="0.35">
      <c r="A3866" s="1" t="s">
        <v>147</v>
      </c>
      <c r="B3866" s="1" t="s">
        <v>164</v>
      </c>
      <c r="C3866" s="1" t="s">
        <v>145</v>
      </c>
      <c r="D3866" s="1" t="s">
        <v>146</v>
      </c>
      <c r="E3866" t="s">
        <v>136</v>
      </c>
    </row>
    <row r="3867" spans="1:5" x14ac:dyDescent="0.35">
      <c r="A3867" s="1" t="s">
        <v>147</v>
      </c>
      <c r="B3867" s="1"/>
      <c r="C3867" s="1"/>
      <c r="D3867" s="1" t="s">
        <v>148</v>
      </c>
      <c r="E3867" t="s">
        <v>136</v>
      </c>
    </row>
    <row r="3868" spans="1:5" x14ac:dyDescent="0.35">
      <c r="A3868" s="1" t="s">
        <v>147</v>
      </c>
      <c r="B3868" s="1"/>
      <c r="C3868" s="1"/>
      <c r="D3868" s="1" t="s">
        <v>149</v>
      </c>
      <c r="E3868" t="s">
        <v>136</v>
      </c>
    </row>
    <row r="3869" spans="1:5" x14ac:dyDescent="0.35">
      <c r="A3869" s="1" t="s">
        <v>147</v>
      </c>
      <c r="B3869" s="1"/>
      <c r="C3869" s="1" t="s">
        <v>150</v>
      </c>
      <c r="D3869" s="1" t="s">
        <v>146</v>
      </c>
      <c r="E3869" t="s">
        <v>136</v>
      </c>
    </row>
    <row r="3870" spans="1:5" x14ac:dyDescent="0.35">
      <c r="A3870" s="1" t="s">
        <v>147</v>
      </c>
      <c r="B3870" s="1"/>
      <c r="C3870" s="1"/>
      <c r="D3870" s="1" t="s">
        <v>148</v>
      </c>
      <c r="E3870" t="s">
        <v>136</v>
      </c>
    </row>
    <row r="3871" spans="1:5" x14ac:dyDescent="0.35">
      <c r="A3871" s="1" t="s">
        <v>147</v>
      </c>
      <c r="B3871" s="1"/>
      <c r="C3871" s="1"/>
      <c r="D3871" s="1" t="s">
        <v>149</v>
      </c>
      <c r="E3871" t="s">
        <v>136</v>
      </c>
    </row>
    <row r="3872" spans="1:5" x14ac:dyDescent="0.35">
      <c r="A3872" s="1" t="s">
        <v>147</v>
      </c>
      <c r="B3872" s="1" t="s">
        <v>165</v>
      </c>
      <c r="C3872" s="1" t="s">
        <v>145</v>
      </c>
      <c r="D3872" s="1" t="s">
        <v>146</v>
      </c>
      <c r="E3872">
        <v>36</v>
      </c>
    </row>
    <row r="3873" spans="1:5" x14ac:dyDescent="0.35">
      <c r="A3873" s="1" t="s">
        <v>147</v>
      </c>
      <c r="B3873" s="1"/>
      <c r="C3873" s="1"/>
      <c r="D3873" s="1" t="s">
        <v>148</v>
      </c>
      <c r="E3873">
        <v>36</v>
      </c>
    </row>
    <row r="3874" spans="1:5" x14ac:dyDescent="0.35">
      <c r="A3874" s="1" t="s">
        <v>147</v>
      </c>
      <c r="B3874" s="1"/>
      <c r="C3874" s="1"/>
      <c r="D3874" s="1" t="s">
        <v>149</v>
      </c>
      <c r="E3874" t="s">
        <v>136</v>
      </c>
    </row>
    <row r="3875" spans="1:5" x14ac:dyDescent="0.35">
      <c r="A3875" s="1" t="s">
        <v>147</v>
      </c>
      <c r="B3875" s="1"/>
      <c r="C3875" s="1" t="s">
        <v>150</v>
      </c>
      <c r="D3875" s="1" t="s">
        <v>146</v>
      </c>
      <c r="E3875" t="s">
        <v>136</v>
      </c>
    </row>
    <row r="3876" spans="1:5" x14ac:dyDescent="0.35">
      <c r="A3876" s="1" t="s">
        <v>147</v>
      </c>
      <c r="B3876" s="1"/>
      <c r="C3876" s="1"/>
      <c r="D3876" s="1" t="s">
        <v>148</v>
      </c>
      <c r="E3876" t="s">
        <v>136</v>
      </c>
    </row>
    <row r="3877" spans="1:5" x14ac:dyDescent="0.35">
      <c r="A3877" s="1" t="s">
        <v>147</v>
      </c>
      <c r="B3877" s="1"/>
      <c r="C3877" s="1"/>
      <c r="D3877" s="1" t="s">
        <v>149</v>
      </c>
      <c r="E3877" t="s">
        <v>136</v>
      </c>
    </row>
    <row r="3878" spans="1:5" x14ac:dyDescent="0.35">
      <c r="A3878" s="1" t="s">
        <v>147</v>
      </c>
      <c r="B3878" s="1" t="s">
        <v>166</v>
      </c>
      <c r="C3878" s="1" t="s">
        <v>145</v>
      </c>
      <c r="D3878" s="1" t="s">
        <v>146</v>
      </c>
      <c r="E3878">
        <v>194.2</v>
      </c>
    </row>
    <row r="3879" spans="1:5" x14ac:dyDescent="0.35">
      <c r="A3879" s="1" t="s">
        <v>147</v>
      </c>
      <c r="B3879" s="1"/>
      <c r="C3879" s="1"/>
      <c r="D3879" s="1" t="s">
        <v>148</v>
      </c>
      <c r="E3879">
        <v>194.2</v>
      </c>
    </row>
    <row r="3880" spans="1:5" x14ac:dyDescent="0.35">
      <c r="A3880" s="1" t="s">
        <v>147</v>
      </c>
      <c r="B3880" s="1"/>
      <c r="C3880" s="1"/>
      <c r="D3880" s="1" t="s">
        <v>149</v>
      </c>
      <c r="E3880" t="s">
        <v>136</v>
      </c>
    </row>
    <row r="3881" spans="1:5" x14ac:dyDescent="0.35">
      <c r="A3881" s="1" t="s">
        <v>147</v>
      </c>
      <c r="B3881" s="1"/>
      <c r="C3881" s="1" t="s">
        <v>150</v>
      </c>
      <c r="D3881" s="1" t="s">
        <v>146</v>
      </c>
      <c r="E3881" t="s">
        <v>136</v>
      </c>
    </row>
    <row r="3882" spans="1:5" x14ac:dyDescent="0.35">
      <c r="A3882" s="1" t="s">
        <v>147</v>
      </c>
      <c r="B3882" s="1"/>
      <c r="C3882" s="1"/>
      <c r="D3882" s="1" t="s">
        <v>148</v>
      </c>
      <c r="E3882" t="s">
        <v>136</v>
      </c>
    </row>
    <row r="3883" spans="1:5" x14ac:dyDescent="0.35">
      <c r="A3883" s="1" t="s">
        <v>147</v>
      </c>
      <c r="B3883" s="1"/>
      <c r="C3883" s="1"/>
      <c r="D3883" s="1" t="s">
        <v>149</v>
      </c>
      <c r="E3883" t="s">
        <v>136</v>
      </c>
    </row>
    <row r="3884" spans="1:5" x14ac:dyDescent="0.35">
      <c r="A3884" s="1" t="s">
        <v>147</v>
      </c>
      <c r="B3884" s="1" t="s">
        <v>167</v>
      </c>
      <c r="C3884" s="1" t="s">
        <v>145</v>
      </c>
      <c r="D3884" s="1" t="s">
        <v>146</v>
      </c>
      <c r="E3884">
        <v>453.64</v>
      </c>
    </row>
    <row r="3885" spans="1:5" x14ac:dyDescent="0.35">
      <c r="A3885" s="1" t="s">
        <v>147</v>
      </c>
      <c r="B3885" s="1"/>
      <c r="C3885" s="1"/>
      <c r="D3885" s="1" t="s">
        <v>148</v>
      </c>
      <c r="E3885">
        <v>453.64</v>
      </c>
    </row>
    <row r="3886" spans="1:5" x14ac:dyDescent="0.35">
      <c r="A3886" s="1" t="s">
        <v>147</v>
      </c>
      <c r="B3886" s="1"/>
      <c r="C3886" s="1"/>
      <c r="D3886" s="1" t="s">
        <v>149</v>
      </c>
      <c r="E3886" t="s">
        <v>136</v>
      </c>
    </row>
    <row r="3887" spans="1:5" x14ac:dyDescent="0.35">
      <c r="A3887" s="1" t="s">
        <v>147</v>
      </c>
      <c r="B3887" s="1"/>
      <c r="C3887" s="1" t="s">
        <v>150</v>
      </c>
      <c r="D3887" s="1" t="s">
        <v>146</v>
      </c>
      <c r="E3887" t="s">
        <v>136</v>
      </c>
    </row>
    <row r="3888" spans="1:5" x14ac:dyDescent="0.35">
      <c r="A3888" s="1" t="s">
        <v>147</v>
      </c>
      <c r="B3888" s="1"/>
      <c r="C3888" s="1"/>
      <c r="D3888" s="1" t="s">
        <v>148</v>
      </c>
      <c r="E3888" t="s">
        <v>136</v>
      </c>
    </row>
    <row r="3889" spans="1:5" x14ac:dyDescent="0.35">
      <c r="A3889" s="1" t="s">
        <v>147</v>
      </c>
      <c r="B3889" s="1"/>
      <c r="C3889" s="1"/>
      <c r="D3889" s="1" t="s">
        <v>149</v>
      </c>
      <c r="E3889" t="s">
        <v>136</v>
      </c>
    </row>
    <row r="3890" spans="1:5" x14ac:dyDescent="0.35">
      <c r="A3890" s="1" t="s">
        <v>147</v>
      </c>
      <c r="B3890" s="1" t="s">
        <v>168</v>
      </c>
      <c r="C3890" s="1" t="s">
        <v>145</v>
      </c>
      <c r="D3890" s="1" t="s">
        <v>146</v>
      </c>
      <c r="E3890" t="s">
        <v>136</v>
      </c>
    </row>
    <row r="3891" spans="1:5" x14ac:dyDescent="0.35">
      <c r="A3891" s="1" t="s">
        <v>147</v>
      </c>
      <c r="B3891" s="1"/>
      <c r="C3891" s="1"/>
      <c r="D3891" s="1" t="s">
        <v>148</v>
      </c>
      <c r="E3891" t="s">
        <v>136</v>
      </c>
    </row>
    <row r="3892" spans="1:5" x14ac:dyDescent="0.35">
      <c r="A3892" s="1" t="s">
        <v>147</v>
      </c>
      <c r="B3892" s="1"/>
      <c r="C3892" s="1"/>
      <c r="D3892" s="1" t="s">
        <v>149</v>
      </c>
      <c r="E3892" t="s">
        <v>136</v>
      </c>
    </row>
    <row r="3893" spans="1:5" x14ac:dyDescent="0.35">
      <c r="A3893" s="1" t="s">
        <v>147</v>
      </c>
      <c r="B3893" s="1"/>
      <c r="C3893" s="1" t="s">
        <v>150</v>
      </c>
      <c r="D3893" s="1" t="s">
        <v>146</v>
      </c>
      <c r="E3893" t="s">
        <v>136</v>
      </c>
    </row>
    <row r="3894" spans="1:5" x14ac:dyDescent="0.35">
      <c r="A3894" s="1" t="s">
        <v>147</v>
      </c>
      <c r="B3894" s="1"/>
      <c r="C3894" s="1"/>
      <c r="D3894" s="1" t="s">
        <v>148</v>
      </c>
      <c r="E3894" t="s">
        <v>136</v>
      </c>
    </row>
    <row r="3895" spans="1:5" x14ac:dyDescent="0.35">
      <c r="A3895" s="1" t="s">
        <v>147</v>
      </c>
      <c r="B3895" s="1"/>
      <c r="C3895" s="1"/>
      <c r="D3895" s="1" t="s">
        <v>149</v>
      </c>
      <c r="E3895" t="s">
        <v>136</v>
      </c>
    </row>
    <row r="3896" spans="1:5" x14ac:dyDescent="0.35">
      <c r="A3896" s="1" t="s">
        <v>147</v>
      </c>
      <c r="B3896" s="1" t="s">
        <v>169</v>
      </c>
      <c r="C3896" s="1" t="s">
        <v>145</v>
      </c>
      <c r="D3896" s="1" t="s">
        <v>146</v>
      </c>
      <c r="E3896" t="s">
        <v>136</v>
      </c>
    </row>
    <row r="3897" spans="1:5" x14ac:dyDescent="0.35">
      <c r="A3897" s="1" t="s">
        <v>147</v>
      </c>
      <c r="B3897" s="1"/>
      <c r="C3897" s="1"/>
      <c r="D3897" s="1" t="s">
        <v>148</v>
      </c>
      <c r="E3897" t="s">
        <v>136</v>
      </c>
    </row>
    <row r="3898" spans="1:5" x14ac:dyDescent="0.35">
      <c r="A3898" s="1" t="s">
        <v>147</v>
      </c>
      <c r="B3898" s="1"/>
      <c r="C3898" s="1"/>
      <c r="D3898" s="1" t="s">
        <v>149</v>
      </c>
      <c r="E3898" t="s">
        <v>136</v>
      </c>
    </row>
    <row r="3899" spans="1:5" x14ac:dyDescent="0.35">
      <c r="A3899" s="1" t="s">
        <v>147</v>
      </c>
      <c r="B3899" s="1"/>
      <c r="C3899" s="1" t="s">
        <v>150</v>
      </c>
      <c r="D3899" s="1" t="s">
        <v>146</v>
      </c>
      <c r="E3899" t="s">
        <v>136</v>
      </c>
    </row>
    <row r="3900" spans="1:5" x14ac:dyDescent="0.35">
      <c r="A3900" s="1" t="s">
        <v>147</v>
      </c>
      <c r="B3900" s="1"/>
      <c r="C3900" s="1"/>
      <c r="D3900" s="1" t="s">
        <v>148</v>
      </c>
      <c r="E3900" t="s">
        <v>136</v>
      </c>
    </row>
    <row r="3901" spans="1:5" x14ac:dyDescent="0.35">
      <c r="A3901" s="1" t="s">
        <v>147</v>
      </c>
      <c r="B3901" s="1"/>
      <c r="C3901" s="1"/>
      <c r="D3901" s="1" t="s">
        <v>149</v>
      </c>
      <c r="E3901" t="s">
        <v>136</v>
      </c>
    </row>
    <row r="3902" spans="1:5" x14ac:dyDescent="0.35">
      <c r="A3902" s="1" t="s">
        <v>147</v>
      </c>
      <c r="B3902" s="1" t="s">
        <v>170</v>
      </c>
      <c r="C3902" s="1" t="s">
        <v>145</v>
      </c>
      <c r="D3902" s="1" t="s">
        <v>146</v>
      </c>
      <c r="E3902" t="s">
        <v>136</v>
      </c>
    </row>
    <row r="3903" spans="1:5" x14ac:dyDescent="0.35">
      <c r="A3903" s="1" t="s">
        <v>147</v>
      </c>
      <c r="B3903" s="1"/>
      <c r="C3903" s="1"/>
      <c r="D3903" s="1" t="s">
        <v>148</v>
      </c>
      <c r="E3903" t="s">
        <v>136</v>
      </c>
    </row>
    <row r="3904" spans="1:5" x14ac:dyDescent="0.35">
      <c r="A3904" s="1" t="s">
        <v>147</v>
      </c>
      <c r="B3904" s="1"/>
      <c r="C3904" s="1"/>
      <c r="D3904" s="1" t="s">
        <v>149</v>
      </c>
      <c r="E3904" t="s">
        <v>136</v>
      </c>
    </row>
    <row r="3905" spans="1:5" x14ac:dyDescent="0.35">
      <c r="A3905" s="1" t="s">
        <v>147</v>
      </c>
      <c r="B3905" s="1"/>
      <c r="C3905" s="1" t="s">
        <v>150</v>
      </c>
      <c r="D3905" s="1" t="s">
        <v>146</v>
      </c>
      <c r="E3905" t="s">
        <v>136</v>
      </c>
    </row>
    <row r="3906" spans="1:5" x14ac:dyDescent="0.35">
      <c r="A3906" s="1" t="s">
        <v>147</v>
      </c>
      <c r="B3906" s="1"/>
      <c r="C3906" s="1"/>
      <c r="D3906" s="1" t="s">
        <v>148</v>
      </c>
      <c r="E3906" t="s">
        <v>136</v>
      </c>
    </row>
    <row r="3907" spans="1:5" x14ac:dyDescent="0.35">
      <c r="A3907" s="1" t="s">
        <v>147</v>
      </c>
      <c r="B3907" s="1"/>
      <c r="C3907" s="1"/>
      <c r="D3907" s="1" t="s">
        <v>149</v>
      </c>
      <c r="E3907" t="s">
        <v>136</v>
      </c>
    </row>
    <row r="3908" spans="1:5" x14ac:dyDescent="0.35">
      <c r="A3908" s="1" t="s">
        <v>91</v>
      </c>
      <c r="B3908" s="1" t="s">
        <v>144</v>
      </c>
      <c r="C3908" s="1" t="s">
        <v>145</v>
      </c>
      <c r="D3908" s="1" t="s">
        <v>146</v>
      </c>
      <c r="E3908">
        <v>597.04</v>
      </c>
    </row>
    <row r="3909" spans="1:5" x14ac:dyDescent="0.35">
      <c r="A3909" s="1" t="s">
        <v>147</v>
      </c>
      <c r="B3909" s="1"/>
      <c r="C3909" s="1"/>
      <c r="D3909" s="1" t="s">
        <v>148</v>
      </c>
      <c r="E3909">
        <v>589.57000000000005</v>
      </c>
    </row>
    <row r="3910" spans="1:5" x14ac:dyDescent="0.35">
      <c r="A3910" s="1" t="s">
        <v>147</v>
      </c>
      <c r="B3910" s="1"/>
      <c r="C3910" s="1"/>
      <c r="D3910" s="1" t="s">
        <v>149</v>
      </c>
      <c r="E3910">
        <v>7.47</v>
      </c>
    </row>
    <row r="3911" spans="1:5" x14ac:dyDescent="0.35">
      <c r="A3911" s="1" t="s">
        <v>147</v>
      </c>
      <c r="B3911" s="1"/>
      <c r="C3911" s="1" t="s">
        <v>150</v>
      </c>
      <c r="D3911" s="1" t="s">
        <v>146</v>
      </c>
      <c r="E3911" t="s">
        <v>136</v>
      </c>
    </row>
    <row r="3912" spans="1:5" x14ac:dyDescent="0.35">
      <c r="A3912" s="1" t="s">
        <v>147</v>
      </c>
      <c r="B3912" s="1"/>
      <c r="C3912" s="1"/>
      <c r="D3912" s="1" t="s">
        <v>148</v>
      </c>
      <c r="E3912" t="s">
        <v>136</v>
      </c>
    </row>
    <row r="3913" spans="1:5" x14ac:dyDescent="0.35">
      <c r="A3913" s="1" t="s">
        <v>147</v>
      </c>
      <c r="B3913" s="1"/>
      <c r="C3913" s="1"/>
      <c r="D3913" s="1" t="s">
        <v>149</v>
      </c>
      <c r="E3913" t="s">
        <v>136</v>
      </c>
    </row>
    <row r="3914" spans="1:5" x14ac:dyDescent="0.35">
      <c r="A3914" s="1" t="s">
        <v>147</v>
      </c>
      <c r="B3914" s="1" t="s">
        <v>151</v>
      </c>
      <c r="C3914" s="1" t="s">
        <v>145</v>
      </c>
      <c r="D3914" s="1" t="s">
        <v>146</v>
      </c>
      <c r="E3914">
        <v>238.56</v>
      </c>
    </row>
    <row r="3915" spans="1:5" x14ac:dyDescent="0.35">
      <c r="A3915" s="1" t="s">
        <v>147</v>
      </c>
      <c r="B3915" s="1"/>
      <c r="C3915" s="1"/>
      <c r="D3915" s="1" t="s">
        <v>148</v>
      </c>
      <c r="E3915">
        <v>231.09</v>
      </c>
    </row>
    <row r="3916" spans="1:5" x14ac:dyDescent="0.35">
      <c r="A3916" s="1" t="s">
        <v>147</v>
      </c>
      <c r="B3916" s="1"/>
      <c r="C3916" s="1"/>
      <c r="D3916" s="1" t="s">
        <v>149</v>
      </c>
      <c r="E3916">
        <v>7.47</v>
      </c>
    </row>
    <row r="3917" spans="1:5" x14ac:dyDescent="0.35">
      <c r="A3917" s="1" t="s">
        <v>147</v>
      </c>
      <c r="B3917" s="1"/>
      <c r="C3917" s="1" t="s">
        <v>150</v>
      </c>
      <c r="D3917" s="1" t="s">
        <v>146</v>
      </c>
      <c r="E3917" t="s">
        <v>136</v>
      </c>
    </row>
    <row r="3918" spans="1:5" x14ac:dyDescent="0.35">
      <c r="A3918" s="1" t="s">
        <v>147</v>
      </c>
      <c r="B3918" s="1"/>
      <c r="C3918" s="1"/>
      <c r="D3918" s="1" t="s">
        <v>148</v>
      </c>
      <c r="E3918" t="s">
        <v>136</v>
      </c>
    </row>
    <row r="3919" spans="1:5" x14ac:dyDescent="0.35">
      <c r="A3919" s="1" t="s">
        <v>147</v>
      </c>
      <c r="B3919" s="1"/>
      <c r="C3919" s="1"/>
      <c r="D3919" s="1" t="s">
        <v>149</v>
      </c>
      <c r="E3919" t="s">
        <v>136</v>
      </c>
    </row>
    <row r="3920" spans="1:5" x14ac:dyDescent="0.35">
      <c r="A3920" s="1" t="s">
        <v>147</v>
      </c>
      <c r="B3920" s="1" t="s">
        <v>152</v>
      </c>
      <c r="C3920" s="1" t="s">
        <v>145</v>
      </c>
      <c r="D3920" s="1" t="s">
        <v>146</v>
      </c>
      <c r="E3920" t="s">
        <v>136</v>
      </c>
    </row>
    <row r="3921" spans="1:5" x14ac:dyDescent="0.35">
      <c r="A3921" s="1" t="s">
        <v>147</v>
      </c>
      <c r="B3921" s="1"/>
      <c r="C3921" s="1"/>
      <c r="D3921" s="1" t="s">
        <v>148</v>
      </c>
      <c r="E3921" t="s">
        <v>136</v>
      </c>
    </row>
    <row r="3922" spans="1:5" x14ac:dyDescent="0.35">
      <c r="A3922" s="1" t="s">
        <v>147</v>
      </c>
      <c r="B3922" s="1"/>
      <c r="C3922" s="1"/>
      <c r="D3922" s="1" t="s">
        <v>149</v>
      </c>
      <c r="E3922" t="s">
        <v>136</v>
      </c>
    </row>
    <row r="3923" spans="1:5" x14ac:dyDescent="0.35">
      <c r="A3923" s="1" t="s">
        <v>147</v>
      </c>
      <c r="B3923" s="1"/>
      <c r="C3923" s="1" t="s">
        <v>150</v>
      </c>
      <c r="D3923" s="1" t="s">
        <v>146</v>
      </c>
      <c r="E3923" t="s">
        <v>136</v>
      </c>
    </row>
    <row r="3924" spans="1:5" x14ac:dyDescent="0.35">
      <c r="A3924" s="1" t="s">
        <v>147</v>
      </c>
      <c r="B3924" s="1"/>
      <c r="C3924" s="1"/>
      <c r="D3924" s="1" t="s">
        <v>148</v>
      </c>
      <c r="E3924" t="s">
        <v>136</v>
      </c>
    </row>
    <row r="3925" spans="1:5" x14ac:dyDescent="0.35">
      <c r="A3925" s="1" t="s">
        <v>147</v>
      </c>
      <c r="B3925" s="1"/>
      <c r="C3925" s="1"/>
      <c r="D3925" s="1" t="s">
        <v>149</v>
      </c>
      <c r="E3925" t="s">
        <v>136</v>
      </c>
    </row>
    <row r="3926" spans="1:5" x14ac:dyDescent="0.35">
      <c r="A3926" s="1" t="s">
        <v>147</v>
      </c>
      <c r="B3926" s="1" t="s">
        <v>153</v>
      </c>
      <c r="C3926" s="1" t="s">
        <v>145</v>
      </c>
      <c r="D3926" s="1" t="s">
        <v>146</v>
      </c>
      <c r="E3926">
        <v>6.23</v>
      </c>
    </row>
    <row r="3927" spans="1:5" x14ac:dyDescent="0.35">
      <c r="A3927" s="1" t="s">
        <v>147</v>
      </c>
      <c r="B3927" s="1"/>
      <c r="C3927" s="1"/>
      <c r="D3927" s="1" t="s">
        <v>148</v>
      </c>
      <c r="E3927">
        <v>6.23</v>
      </c>
    </row>
    <row r="3928" spans="1:5" x14ac:dyDescent="0.35">
      <c r="A3928" s="1" t="s">
        <v>147</v>
      </c>
      <c r="B3928" s="1"/>
      <c r="C3928" s="1"/>
      <c r="D3928" s="1" t="s">
        <v>149</v>
      </c>
      <c r="E3928" t="s">
        <v>136</v>
      </c>
    </row>
    <row r="3929" spans="1:5" x14ac:dyDescent="0.35">
      <c r="A3929" s="1" t="s">
        <v>147</v>
      </c>
      <c r="B3929" s="1"/>
      <c r="C3929" s="1" t="s">
        <v>150</v>
      </c>
      <c r="D3929" s="1" t="s">
        <v>146</v>
      </c>
      <c r="E3929" t="s">
        <v>136</v>
      </c>
    </row>
    <row r="3930" spans="1:5" x14ac:dyDescent="0.35">
      <c r="A3930" s="1" t="s">
        <v>147</v>
      </c>
      <c r="B3930" s="1"/>
      <c r="C3930" s="1"/>
      <c r="D3930" s="1" t="s">
        <v>148</v>
      </c>
      <c r="E3930" t="s">
        <v>136</v>
      </c>
    </row>
    <row r="3931" spans="1:5" x14ac:dyDescent="0.35">
      <c r="A3931" s="1" t="s">
        <v>147</v>
      </c>
      <c r="B3931" s="1"/>
      <c r="C3931" s="1"/>
      <c r="D3931" s="1" t="s">
        <v>149</v>
      </c>
      <c r="E3931" t="s">
        <v>136</v>
      </c>
    </row>
    <row r="3932" spans="1:5" x14ac:dyDescent="0.35">
      <c r="A3932" s="1" t="s">
        <v>147</v>
      </c>
      <c r="B3932" s="1" t="s">
        <v>154</v>
      </c>
      <c r="C3932" s="1" t="s">
        <v>145</v>
      </c>
      <c r="D3932" s="1" t="s">
        <v>146</v>
      </c>
      <c r="E3932" t="s">
        <v>136</v>
      </c>
    </row>
    <row r="3933" spans="1:5" x14ac:dyDescent="0.35">
      <c r="A3933" s="1" t="s">
        <v>147</v>
      </c>
      <c r="B3933" s="1"/>
      <c r="C3933" s="1"/>
      <c r="D3933" s="1" t="s">
        <v>148</v>
      </c>
      <c r="E3933" t="s">
        <v>136</v>
      </c>
    </row>
    <row r="3934" spans="1:5" x14ac:dyDescent="0.35">
      <c r="A3934" s="1" t="s">
        <v>147</v>
      </c>
      <c r="B3934" s="1"/>
      <c r="C3934" s="1"/>
      <c r="D3934" s="1" t="s">
        <v>149</v>
      </c>
      <c r="E3934" t="s">
        <v>136</v>
      </c>
    </row>
    <row r="3935" spans="1:5" x14ac:dyDescent="0.35">
      <c r="A3935" s="1" t="s">
        <v>147</v>
      </c>
      <c r="B3935" s="1"/>
      <c r="C3935" s="1" t="s">
        <v>150</v>
      </c>
      <c r="D3935" s="1" t="s">
        <v>146</v>
      </c>
      <c r="E3935" t="s">
        <v>136</v>
      </c>
    </row>
    <row r="3936" spans="1:5" x14ac:dyDescent="0.35">
      <c r="A3936" s="1" t="s">
        <v>147</v>
      </c>
      <c r="B3936" s="1"/>
      <c r="C3936" s="1"/>
      <c r="D3936" s="1" t="s">
        <v>148</v>
      </c>
      <c r="E3936" t="s">
        <v>136</v>
      </c>
    </row>
    <row r="3937" spans="1:5" x14ac:dyDescent="0.35">
      <c r="A3937" s="1" t="s">
        <v>147</v>
      </c>
      <c r="B3937" s="1"/>
      <c r="C3937" s="1"/>
      <c r="D3937" s="1" t="s">
        <v>149</v>
      </c>
      <c r="E3937" t="s">
        <v>136</v>
      </c>
    </row>
    <row r="3938" spans="1:5" x14ac:dyDescent="0.35">
      <c r="A3938" s="1" t="s">
        <v>147</v>
      </c>
      <c r="B3938" s="1" t="s">
        <v>155</v>
      </c>
      <c r="C3938" s="1" t="s">
        <v>145</v>
      </c>
      <c r="D3938" s="1" t="s">
        <v>146</v>
      </c>
      <c r="E3938">
        <v>351</v>
      </c>
    </row>
    <row r="3939" spans="1:5" x14ac:dyDescent="0.35">
      <c r="A3939" s="1" t="s">
        <v>147</v>
      </c>
      <c r="B3939" s="1"/>
      <c r="C3939" s="1"/>
      <c r="D3939" s="1" t="s">
        <v>148</v>
      </c>
      <c r="E3939">
        <v>351</v>
      </c>
    </row>
    <row r="3940" spans="1:5" x14ac:dyDescent="0.35">
      <c r="A3940" s="1" t="s">
        <v>147</v>
      </c>
      <c r="B3940" s="1"/>
      <c r="C3940" s="1"/>
      <c r="D3940" s="1" t="s">
        <v>149</v>
      </c>
      <c r="E3940" t="s">
        <v>136</v>
      </c>
    </row>
    <row r="3941" spans="1:5" x14ac:dyDescent="0.35">
      <c r="A3941" s="1" t="s">
        <v>147</v>
      </c>
      <c r="B3941" s="1"/>
      <c r="C3941" s="1" t="s">
        <v>150</v>
      </c>
      <c r="D3941" s="1" t="s">
        <v>146</v>
      </c>
      <c r="E3941" t="s">
        <v>136</v>
      </c>
    </row>
    <row r="3942" spans="1:5" x14ac:dyDescent="0.35">
      <c r="A3942" s="1" t="s">
        <v>147</v>
      </c>
      <c r="B3942" s="1"/>
      <c r="C3942" s="1"/>
      <c r="D3942" s="1" t="s">
        <v>148</v>
      </c>
      <c r="E3942" t="s">
        <v>136</v>
      </c>
    </row>
    <row r="3943" spans="1:5" x14ac:dyDescent="0.35">
      <c r="A3943" s="1" t="s">
        <v>147</v>
      </c>
      <c r="B3943" s="1"/>
      <c r="C3943" s="1"/>
      <c r="D3943" s="1" t="s">
        <v>149</v>
      </c>
      <c r="E3943" t="s">
        <v>136</v>
      </c>
    </row>
    <row r="3944" spans="1:5" x14ac:dyDescent="0.35">
      <c r="A3944" s="1" t="s">
        <v>147</v>
      </c>
      <c r="B3944" s="1" t="s">
        <v>156</v>
      </c>
      <c r="C3944" s="1" t="s">
        <v>145</v>
      </c>
      <c r="D3944" s="1" t="s">
        <v>146</v>
      </c>
      <c r="E3944" t="s">
        <v>136</v>
      </c>
    </row>
    <row r="3945" spans="1:5" x14ac:dyDescent="0.35">
      <c r="A3945" s="1" t="s">
        <v>147</v>
      </c>
      <c r="B3945" s="1"/>
      <c r="C3945" s="1"/>
      <c r="D3945" s="1" t="s">
        <v>148</v>
      </c>
      <c r="E3945" t="s">
        <v>136</v>
      </c>
    </row>
    <row r="3946" spans="1:5" x14ac:dyDescent="0.35">
      <c r="A3946" s="1" t="s">
        <v>147</v>
      </c>
      <c r="B3946" s="1"/>
      <c r="C3946" s="1"/>
      <c r="D3946" s="1" t="s">
        <v>149</v>
      </c>
      <c r="E3946" t="s">
        <v>136</v>
      </c>
    </row>
    <row r="3947" spans="1:5" x14ac:dyDescent="0.35">
      <c r="A3947" s="1" t="s">
        <v>147</v>
      </c>
      <c r="B3947" s="1"/>
      <c r="C3947" s="1" t="s">
        <v>150</v>
      </c>
      <c r="D3947" s="1" t="s">
        <v>146</v>
      </c>
      <c r="E3947" t="s">
        <v>136</v>
      </c>
    </row>
    <row r="3948" spans="1:5" x14ac:dyDescent="0.35">
      <c r="A3948" s="1" t="s">
        <v>147</v>
      </c>
      <c r="B3948" s="1"/>
      <c r="C3948" s="1"/>
      <c r="D3948" s="1" t="s">
        <v>148</v>
      </c>
      <c r="E3948" t="s">
        <v>136</v>
      </c>
    </row>
    <row r="3949" spans="1:5" x14ac:dyDescent="0.35">
      <c r="A3949" s="1" t="s">
        <v>147</v>
      </c>
      <c r="B3949" s="1"/>
      <c r="C3949" s="1"/>
      <c r="D3949" s="1" t="s">
        <v>149</v>
      </c>
      <c r="E3949" t="s">
        <v>136</v>
      </c>
    </row>
    <row r="3950" spans="1:5" x14ac:dyDescent="0.35">
      <c r="A3950" s="1" t="s">
        <v>147</v>
      </c>
      <c r="B3950" s="1" t="s">
        <v>157</v>
      </c>
      <c r="C3950" s="1" t="s">
        <v>145</v>
      </c>
      <c r="D3950" s="1" t="s">
        <v>146</v>
      </c>
      <c r="E3950" t="s">
        <v>136</v>
      </c>
    </row>
    <row r="3951" spans="1:5" x14ac:dyDescent="0.35">
      <c r="A3951" s="1" t="s">
        <v>147</v>
      </c>
      <c r="B3951" s="1"/>
      <c r="C3951" s="1"/>
      <c r="D3951" s="1" t="s">
        <v>148</v>
      </c>
      <c r="E3951" t="s">
        <v>136</v>
      </c>
    </row>
    <row r="3952" spans="1:5" x14ac:dyDescent="0.35">
      <c r="A3952" s="1" t="s">
        <v>147</v>
      </c>
      <c r="B3952" s="1"/>
      <c r="C3952" s="1"/>
      <c r="D3952" s="1" t="s">
        <v>149</v>
      </c>
      <c r="E3952" t="s">
        <v>136</v>
      </c>
    </row>
    <row r="3953" spans="1:5" x14ac:dyDescent="0.35">
      <c r="A3953" s="1" t="s">
        <v>147</v>
      </c>
      <c r="B3953" s="1"/>
      <c r="C3953" s="1" t="s">
        <v>150</v>
      </c>
      <c r="D3953" s="1" t="s">
        <v>146</v>
      </c>
      <c r="E3953" t="s">
        <v>136</v>
      </c>
    </row>
    <row r="3954" spans="1:5" x14ac:dyDescent="0.35">
      <c r="A3954" s="1" t="s">
        <v>147</v>
      </c>
      <c r="B3954" s="1"/>
      <c r="C3954" s="1"/>
      <c r="D3954" s="1" t="s">
        <v>148</v>
      </c>
      <c r="E3954" t="s">
        <v>136</v>
      </c>
    </row>
    <row r="3955" spans="1:5" x14ac:dyDescent="0.35">
      <c r="A3955" s="1" t="s">
        <v>147</v>
      </c>
      <c r="B3955" s="1"/>
      <c r="C3955" s="1"/>
      <c r="D3955" s="1" t="s">
        <v>149</v>
      </c>
      <c r="E3955" t="s">
        <v>136</v>
      </c>
    </row>
    <row r="3956" spans="1:5" x14ac:dyDescent="0.35">
      <c r="A3956" s="1" t="s">
        <v>147</v>
      </c>
      <c r="B3956" s="1" t="s">
        <v>158</v>
      </c>
      <c r="C3956" s="1" t="s">
        <v>145</v>
      </c>
      <c r="D3956" s="1" t="s">
        <v>146</v>
      </c>
      <c r="E3956">
        <v>0.25</v>
      </c>
    </row>
    <row r="3957" spans="1:5" x14ac:dyDescent="0.35">
      <c r="A3957" s="1" t="s">
        <v>147</v>
      </c>
      <c r="B3957" s="1"/>
      <c r="C3957" s="1"/>
      <c r="D3957" s="1" t="s">
        <v>148</v>
      </c>
      <c r="E3957">
        <v>0.25</v>
      </c>
    </row>
    <row r="3958" spans="1:5" x14ac:dyDescent="0.35">
      <c r="A3958" s="1" t="s">
        <v>147</v>
      </c>
      <c r="B3958" s="1"/>
      <c r="C3958" s="1"/>
      <c r="D3958" s="1" t="s">
        <v>149</v>
      </c>
      <c r="E3958" t="s">
        <v>136</v>
      </c>
    </row>
    <row r="3959" spans="1:5" x14ac:dyDescent="0.35">
      <c r="A3959" s="1" t="s">
        <v>147</v>
      </c>
      <c r="B3959" s="1"/>
      <c r="C3959" s="1" t="s">
        <v>150</v>
      </c>
      <c r="D3959" s="1" t="s">
        <v>146</v>
      </c>
      <c r="E3959" t="s">
        <v>136</v>
      </c>
    </row>
    <row r="3960" spans="1:5" x14ac:dyDescent="0.35">
      <c r="A3960" s="1" t="s">
        <v>147</v>
      </c>
      <c r="B3960" s="1"/>
      <c r="C3960" s="1"/>
      <c r="D3960" s="1" t="s">
        <v>148</v>
      </c>
      <c r="E3960" t="s">
        <v>136</v>
      </c>
    </row>
    <row r="3961" spans="1:5" x14ac:dyDescent="0.35">
      <c r="A3961" s="1" t="s">
        <v>147</v>
      </c>
      <c r="B3961" s="1"/>
      <c r="C3961" s="1"/>
      <c r="D3961" s="1" t="s">
        <v>149</v>
      </c>
      <c r="E3961" t="s">
        <v>136</v>
      </c>
    </row>
    <row r="3962" spans="1:5" x14ac:dyDescent="0.35">
      <c r="A3962" s="1" t="s">
        <v>147</v>
      </c>
      <c r="B3962" s="1" t="s">
        <v>159</v>
      </c>
      <c r="C3962" s="1" t="s">
        <v>145</v>
      </c>
      <c r="D3962" s="1" t="s">
        <v>146</v>
      </c>
      <c r="E3962" t="s">
        <v>136</v>
      </c>
    </row>
    <row r="3963" spans="1:5" x14ac:dyDescent="0.35">
      <c r="A3963" s="1" t="s">
        <v>147</v>
      </c>
      <c r="B3963" s="1"/>
      <c r="C3963" s="1"/>
      <c r="D3963" s="1" t="s">
        <v>148</v>
      </c>
      <c r="E3963" t="s">
        <v>136</v>
      </c>
    </row>
    <row r="3964" spans="1:5" x14ac:dyDescent="0.35">
      <c r="A3964" s="1" t="s">
        <v>147</v>
      </c>
      <c r="B3964" s="1"/>
      <c r="C3964" s="1"/>
      <c r="D3964" s="1" t="s">
        <v>149</v>
      </c>
      <c r="E3964" t="s">
        <v>136</v>
      </c>
    </row>
    <row r="3965" spans="1:5" x14ac:dyDescent="0.35">
      <c r="A3965" s="1" t="s">
        <v>147</v>
      </c>
      <c r="B3965" s="1"/>
      <c r="C3965" s="1" t="s">
        <v>150</v>
      </c>
      <c r="D3965" s="1" t="s">
        <v>146</v>
      </c>
      <c r="E3965" t="s">
        <v>136</v>
      </c>
    </row>
    <row r="3966" spans="1:5" x14ac:dyDescent="0.35">
      <c r="A3966" s="1" t="s">
        <v>147</v>
      </c>
      <c r="B3966" s="1"/>
      <c r="C3966" s="1"/>
      <c r="D3966" s="1" t="s">
        <v>148</v>
      </c>
      <c r="E3966" t="s">
        <v>136</v>
      </c>
    </row>
    <row r="3967" spans="1:5" x14ac:dyDescent="0.35">
      <c r="A3967" s="1" t="s">
        <v>147</v>
      </c>
      <c r="B3967" s="1"/>
      <c r="C3967" s="1"/>
      <c r="D3967" s="1" t="s">
        <v>149</v>
      </c>
      <c r="E3967" t="s">
        <v>136</v>
      </c>
    </row>
    <row r="3968" spans="1:5" x14ac:dyDescent="0.35">
      <c r="A3968" s="1" t="s">
        <v>147</v>
      </c>
      <c r="B3968" s="1" t="s">
        <v>160</v>
      </c>
      <c r="C3968" s="1" t="s">
        <v>145</v>
      </c>
      <c r="D3968" s="1" t="s">
        <v>146</v>
      </c>
      <c r="E3968" t="s">
        <v>136</v>
      </c>
    </row>
    <row r="3969" spans="1:5" x14ac:dyDescent="0.35">
      <c r="A3969" s="1" t="s">
        <v>147</v>
      </c>
      <c r="B3969" s="1"/>
      <c r="C3969" s="1"/>
      <c r="D3969" s="1" t="s">
        <v>148</v>
      </c>
      <c r="E3969" t="s">
        <v>136</v>
      </c>
    </row>
    <row r="3970" spans="1:5" x14ac:dyDescent="0.35">
      <c r="A3970" s="1" t="s">
        <v>147</v>
      </c>
      <c r="B3970" s="1"/>
      <c r="C3970" s="1"/>
      <c r="D3970" s="1" t="s">
        <v>149</v>
      </c>
      <c r="E3970" t="s">
        <v>136</v>
      </c>
    </row>
    <row r="3971" spans="1:5" x14ac:dyDescent="0.35">
      <c r="A3971" s="1" t="s">
        <v>147</v>
      </c>
      <c r="B3971" s="1"/>
      <c r="C3971" s="1" t="s">
        <v>150</v>
      </c>
      <c r="D3971" s="1" t="s">
        <v>146</v>
      </c>
      <c r="E3971" t="s">
        <v>136</v>
      </c>
    </row>
    <row r="3972" spans="1:5" x14ac:dyDescent="0.35">
      <c r="A3972" s="1" t="s">
        <v>147</v>
      </c>
      <c r="B3972" s="1"/>
      <c r="C3972" s="1"/>
      <c r="D3972" s="1" t="s">
        <v>148</v>
      </c>
      <c r="E3972" t="s">
        <v>136</v>
      </c>
    </row>
    <row r="3973" spans="1:5" x14ac:dyDescent="0.35">
      <c r="A3973" s="1" t="s">
        <v>147</v>
      </c>
      <c r="B3973" s="1"/>
      <c r="C3973" s="1"/>
      <c r="D3973" s="1" t="s">
        <v>149</v>
      </c>
      <c r="E3973" t="s">
        <v>136</v>
      </c>
    </row>
    <row r="3974" spans="1:5" x14ac:dyDescent="0.35">
      <c r="A3974" s="1" t="s">
        <v>147</v>
      </c>
      <c r="B3974" s="1" t="s">
        <v>161</v>
      </c>
      <c r="C3974" s="1" t="s">
        <v>145</v>
      </c>
      <c r="D3974" s="1" t="s">
        <v>146</v>
      </c>
      <c r="E3974">
        <v>1</v>
      </c>
    </row>
    <row r="3975" spans="1:5" x14ac:dyDescent="0.35">
      <c r="A3975" s="1" t="s">
        <v>147</v>
      </c>
      <c r="B3975" s="1"/>
      <c r="C3975" s="1"/>
      <c r="D3975" s="1" t="s">
        <v>148</v>
      </c>
      <c r="E3975">
        <v>1</v>
      </c>
    </row>
    <row r="3976" spans="1:5" x14ac:dyDescent="0.35">
      <c r="A3976" s="1" t="s">
        <v>147</v>
      </c>
      <c r="B3976" s="1"/>
      <c r="C3976" s="1"/>
      <c r="D3976" s="1" t="s">
        <v>149</v>
      </c>
      <c r="E3976" t="s">
        <v>136</v>
      </c>
    </row>
    <row r="3977" spans="1:5" x14ac:dyDescent="0.35">
      <c r="A3977" s="1" t="s">
        <v>147</v>
      </c>
      <c r="B3977" s="1"/>
      <c r="C3977" s="1" t="s">
        <v>150</v>
      </c>
      <c r="D3977" s="1" t="s">
        <v>146</v>
      </c>
      <c r="E3977" t="s">
        <v>136</v>
      </c>
    </row>
    <row r="3978" spans="1:5" x14ac:dyDescent="0.35">
      <c r="A3978" s="1" t="s">
        <v>147</v>
      </c>
      <c r="B3978" s="1"/>
      <c r="C3978" s="1"/>
      <c r="D3978" s="1" t="s">
        <v>148</v>
      </c>
      <c r="E3978" t="s">
        <v>136</v>
      </c>
    </row>
    <row r="3979" spans="1:5" x14ac:dyDescent="0.35">
      <c r="A3979" s="1" t="s">
        <v>147</v>
      </c>
      <c r="B3979" s="1"/>
      <c r="C3979" s="1"/>
      <c r="D3979" s="1" t="s">
        <v>149</v>
      </c>
      <c r="E3979" t="s">
        <v>136</v>
      </c>
    </row>
    <row r="3980" spans="1:5" x14ac:dyDescent="0.35">
      <c r="A3980" s="1" t="s">
        <v>147</v>
      </c>
      <c r="B3980" s="1" t="s">
        <v>162</v>
      </c>
      <c r="C3980" s="1" t="s">
        <v>145</v>
      </c>
      <c r="D3980" s="1" t="s">
        <v>146</v>
      </c>
      <c r="E3980" t="s">
        <v>136</v>
      </c>
    </row>
    <row r="3981" spans="1:5" x14ac:dyDescent="0.35">
      <c r="A3981" s="1" t="s">
        <v>147</v>
      </c>
      <c r="B3981" s="1"/>
      <c r="C3981" s="1"/>
      <c r="D3981" s="1" t="s">
        <v>148</v>
      </c>
      <c r="E3981" t="s">
        <v>136</v>
      </c>
    </row>
    <row r="3982" spans="1:5" x14ac:dyDescent="0.35">
      <c r="A3982" s="1" t="s">
        <v>147</v>
      </c>
      <c r="B3982" s="1"/>
      <c r="C3982" s="1"/>
      <c r="D3982" s="1" t="s">
        <v>149</v>
      </c>
      <c r="E3982" t="s">
        <v>136</v>
      </c>
    </row>
    <row r="3983" spans="1:5" x14ac:dyDescent="0.35">
      <c r="A3983" s="1" t="s">
        <v>147</v>
      </c>
      <c r="B3983" s="1"/>
      <c r="C3983" s="1" t="s">
        <v>150</v>
      </c>
      <c r="D3983" s="1" t="s">
        <v>146</v>
      </c>
      <c r="E3983" t="s">
        <v>136</v>
      </c>
    </row>
    <row r="3984" spans="1:5" x14ac:dyDescent="0.35">
      <c r="A3984" s="1" t="s">
        <v>147</v>
      </c>
      <c r="B3984" s="1"/>
      <c r="C3984" s="1"/>
      <c r="D3984" s="1" t="s">
        <v>148</v>
      </c>
      <c r="E3984" t="s">
        <v>136</v>
      </c>
    </row>
    <row r="3985" spans="1:5" x14ac:dyDescent="0.35">
      <c r="A3985" s="1" t="s">
        <v>147</v>
      </c>
      <c r="B3985" s="1"/>
      <c r="C3985" s="1"/>
      <c r="D3985" s="1" t="s">
        <v>149</v>
      </c>
      <c r="E3985" t="s">
        <v>136</v>
      </c>
    </row>
    <row r="3986" spans="1:5" x14ac:dyDescent="0.35">
      <c r="A3986" s="1" t="s">
        <v>147</v>
      </c>
      <c r="B3986" s="1" t="s">
        <v>163</v>
      </c>
      <c r="C3986" s="1" t="s">
        <v>145</v>
      </c>
      <c r="D3986" s="1" t="s">
        <v>146</v>
      </c>
      <c r="E3986">
        <v>193.65</v>
      </c>
    </row>
    <row r="3987" spans="1:5" x14ac:dyDescent="0.35">
      <c r="A3987" s="1" t="s">
        <v>147</v>
      </c>
      <c r="B3987" s="1"/>
      <c r="C3987" s="1"/>
      <c r="D3987" s="1" t="s">
        <v>148</v>
      </c>
      <c r="E3987">
        <v>176.85</v>
      </c>
    </row>
    <row r="3988" spans="1:5" x14ac:dyDescent="0.35">
      <c r="A3988" s="1" t="s">
        <v>147</v>
      </c>
      <c r="B3988" s="1"/>
      <c r="C3988" s="1"/>
      <c r="D3988" s="1" t="s">
        <v>149</v>
      </c>
      <c r="E3988">
        <v>16.8</v>
      </c>
    </row>
    <row r="3989" spans="1:5" x14ac:dyDescent="0.35">
      <c r="A3989" s="1" t="s">
        <v>147</v>
      </c>
      <c r="B3989" s="1"/>
      <c r="C3989" s="1" t="s">
        <v>150</v>
      </c>
      <c r="D3989" s="1" t="s">
        <v>146</v>
      </c>
      <c r="E3989" t="s">
        <v>136</v>
      </c>
    </row>
    <row r="3990" spans="1:5" x14ac:dyDescent="0.35">
      <c r="A3990" s="1" t="s">
        <v>147</v>
      </c>
      <c r="B3990" s="1"/>
      <c r="C3990" s="1"/>
      <c r="D3990" s="1" t="s">
        <v>148</v>
      </c>
      <c r="E3990" t="s">
        <v>136</v>
      </c>
    </row>
    <row r="3991" spans="1:5" x14ac:dyDescent="0.35">
      <c r="A3991" s="1" t="s">
        <v>147</v>
      </c>
      <c r="B3991" s="1"/>
      <c r="C3991" s="1"/>
      <c r="D3991" s="1" t="s">
        <v>149</v>
      </c>
      <c r="E3991" t="s">
        <v>136</v>
      </c>
    </row>
    <row r="3992" spans="1:5" x14ac:dyDescent="0.35">
      <c r="A3992" s="1" t="s">
        <v>147</v>
      </c>
      <c r="B3992" s="1" t="s">
        <v>164</v>
      </c>
      <c r="C3992" s="1" t="s">
        <v>145</v>
      </c>
      <c r="D3992" s="1" t="s">
        <v>146</v>
      </c>
      <c r="E3992" t="s">
        <v>136</v>
      </c>
    </row>
    <row r="3993" spans="1:5" x14ac:dyDescent="0.35">
      <c r="A3993" s="1" t="s">
        <v>147</v>
      </c>
      <c r="B3993" s="1"/>
      <c r="C3993" s="1"/>
      <c r="D3993" s="1" t="s">
        <v>148</v>
      </c>
      <c r="E3993" t="s">
        <v>136</v>
      </c>
    </row>
    <row r="3994" spans="1:5" x14ac:dyDescent="0.35">
      <c r="A3994" s="1" t="s">
        <v>147</v>
      </c>
      <c r="B3994" s="1"/>
      <c r="C3994" s="1"/>
      <c r="D3994" s="1" t="s">
        <v>149</v>
      </c>
      <c r="E3994" t="s">
        <v>136</v>
      </c>
    </row>
    <row r="3995" spans="1:5" x14ac:dyDescent="0.35">
      <c r="A3995" s="1" t="s">
        <v>147</v>
      </c>
      <c r="B3995" s="1"/>
      <c r="C3995" s="1" t="s">
        <v>150</v>
      </c>
      <c r="D3995" s="1" t="s">
        <v>146</v>
      </c>
      <c r="E3995" t="s">
        <v>136</v>
      </c>
    </row>
    <row r="3996" spans="1:5" x14ac:dyDescent="0.35">
      <c r="A3996" s="1" t="s">
        <v>147</v>
      </c>
      <c r="B3996" s="1"/>
      <c r="C3996" s="1"/>
      <c r="D3996" s="1" t="s">
        <v>148</v>
      </c>
      <c r="E3996" t="s">
        <v>136</v>
      </c>
    </row>
    <row r="3997" spans="1:5" x14ac:dyDescent="0.35">
      <c r="A3997" s="1" t="s">
        <v>147</v>
      </c>
      <c r="B3997" s="1"/>
      <c r="C3997" s="1"/>
      <c r="D3997" s="1" t="s">
        <v>149</v>
      </c>
      <c r="E3997" t="s">
        <v>136</v>
      </c>
    </row>
    <row r="3998" spans="1:5" x14ac:dyDescent="0.35">
      <c r="A3998" s="1" t="s">
        <v>147</v>
      </c>
      <c r="B3998" s="1" t="s">
        <v>165</v>
      </c>
      <c r="C3998" s="1" t="s">
        <v>145</v>
      </c>
      <c r="D3998" s="1" t="s">
        <v>146</v>
      </c>
      <c r="E3998">
        <v>120</v>
      </c>
    </row>
    <row r="3999" spans="1:5" x14ac:dyDescent="0.35">
      <c r="A3999" s="1" t="s">
        <v>147</v>
      </c>
      <c r="B3999" s="1"/>
      <c r="C3999" s="1"/>
      <c r="D3999" s="1" t="s">
        <v>148</v>
      </c>
      <c r="E3999">
        <v>120</v>
      </c>
    </row>
    <row r="4000" spans="1:5" x14ac:dyDescent="0.35">
      <c r="A4000" s="1" t="s">
        <v>147</v>
      </c>
      <c r="B4000" s="1"/>
      <c r="C4000" s="1"/>
      <c r="D4000" s="1" t="s">
        <v>149</v>
      </c>
      <c r="E4000" t="s">
        <v>136</v>
      </c>
    </row>
    <row r="4001" spans="1:5" x14ac:dyDescent="0.35">
      <c r="A4001" s="1" t="s">
        <v>147</v>
      </c>
      <c r="B4001" s="1"/>
      <c r="C4001" s="1" t="s">
        <v>150</v>
      </c>
      <c r="D4001" s="1" t="s">
        <v>146</v>
      </c>
      <c r="E4001" t="s">
        <v>136</v>
      </c>
    </row>
    <row r="4002" spans="1:5" x14ac:dyDescent="0.35">
      <c r="A4002" s="1" t="s">
        <v>147</v>
      </c>
      <c r="B4002" s="1"/>
      <c r="C4002" s="1"/>
      <c r="D4002" s="1" t="s">
        <v>148</v>
      </c>
      <c r="E4002" t="s">
        <v>136</v>
      </c>
    </row>
    <row r="4003" spans="1:5" x14ac:dyDescent="0.35">
      <c r="A4003" s="1" t="s">
        <v>147</v>
      </c>
      <c r="B4003" s="1"/>
      <c r="C4003" s="1"/>
      <c r="D4003" s="1" t="s">
        <v>149</v>
      </c>
      <c r="E4003" t="s">
        <v>136</v>
      </c>
    </row>
    <row r="4004" spans="1:5" x14ac:dyDescent="0.35">
      <c r="A4004" s="1" t="s">
        <v>147</v>
      </c>
      <c r="B4004" s="1" t="s">
        <v>166</v>
      </c>
      <c r="C4004" s="1" t="s">
        <v>145</v>
      </c>
      <c r="D4004" s="1" t="s">
        <v>146</v>
      </c>
      <c r="E4004">
        <v>73.650000000000006</v>
      </c>
    </row>
    <row r="4005" spans="1:5" x14ac:dyDescent="0.35">
      <c r="A4005" s="1" t="s">
        <v>147</v>
      </c>
      <c r="B4005" s="1"/>
      <c r="C4005" s="1"/>
      <c r="D4005" s="1" t="s">
        <v>148</v>
      </c>
      <c r="E4005">
        <v>56.85</v>
      </c>
    </row>
    <row r="4006" spans="1:5" x14ac:dyDescent="0.35">
      <c r="A4006" s="1" t="s">
        <v>147</v>
      </c>
      <c r="B4006" s="1"/>
      <c r="C4006" s="1"/>
      <c r="D4006" s="1" t="s">
        <v>149</v>
      </c>
      <c r="E4006">
        <v>16.8</v>
      </c>
    </row>
    <row r="4007" spans="1:5" x14ac:dyDescent="0.35">
      <c r="A4007" s="1" t="s">
        <v>147</v>
      </c>
      <c r="B4007" s="1"/>
      <c r="C4007" s="1" t="s">
        <v>150</v>
      </c>
      <c r="D4007" s="1" t="s">
        <v>146</v>
      </c>
      <c r="E4007" t="s">
        <v>136</v>
      </c>
    </row>
    <row r="4008" spans="1:5" x14ac:dyDescent="0.35">
      <c r="A4008" s="1" t="s">
        <v>147</v>
      </c>
      <c r="B4008" s="1"/>
      <c r="C4008" s="1"/>
      <c r="D4008" s="1" t="s">
        <v>148</v>
      </c>
      <c r="E4008" t="s">
        <v>136</v>
      </c>
    </row>
    <row r="4009" spans="1:5" x14ac:dyDescent="0.35">
      <c r="A4009" s="1" t="s">
        <v>147</v>
      </c>
      <c r="B4009" s="1"/>
      <c r="C4009" s="1"/>
      <c r="D4009" s="1" t="s">
        <v>149</v>
      </c>
      <c r="E4009" t="s">
        <v>136</v>
      </c>
    </row>
    <row r="4010" spans="1:5" x14ac:dyDescent="0.35">
      <c r="A4010" s="1" t="s">
        <v>147</v>
      </c>
      <c r="B4010" s="1" t="s">
        <v>167</v>
      </c>
      <c r="C4010" s="1" t="s">
        <v>145</v>
      </c>
      <c r="D4010" s="1" t="s">
        <v>146</v>
      </c>
      <c r="E4010" t="s">
        <v>136</v>
      </c>
    </row>
    <row r="4011" spans="1:5" x14ac:dyDescent="0.35">
      <c r="A4011" s="1" t="s">
        <v>147</v>
      </c>
      <c r="B4011" s="1"/>
      <c r="C4011" s="1"/>
      <c r="D4011" s="1" t="s">
        <v>148</v>
      </c>
      <c r="E4011" t="s">
        <v>136</v>
      </c>
    </row>
    <row r="4012" spans="1:5" x14ac:dyDescent="0.35">
      <c r="A4012" s="1" t="s">
        <v>147</v>
      </c>
      <c r="B4012" s="1"/>
      <c r="C4012" s="1"/>
      <c r="D4012" s="1" t="s">
        <v>149</v>
      </c>
      <c r="E4012" t="s">
        <v>136</v>
      </c>
    </row>
    <row r="4013" spans="1:5" x14ac:dyDescent="0.35">
      <c r="A4013" s="1" t="s">
        <v>147</v>
      </c>
      <c r="B4013" s="1"/>
      <c r="C4013" s="1" t="s">
        <v>150</v>
      </c>
      <c r="D4013" s="1" t="s">
        <v>146</v>
      </c>
      <c r="E4013" t="s">
        <v>136</v>
      </c>
    </row>
    <row r="4014" spans="1:5" x14ac:dyDescent="0.35">
      <c r="A4014" s="1" t="s">
        <v>147</v>
      </c>
      <c r="B4014" s="1"/>
      <c r="C4014" s="1"/>
      <c r="D4014" s="1" t="s">
        <v>148</v>
      </c>
      <c r="E4014" t="s">
        <v>136</v>
      </c>
    </row>
    <row r="4015" spans="1:5" x14ac:dyDescent="0.35">
      <c r="A4015" s="1" t="s">
        <v>147</v>
      </c>
      <c r="B4015" s="1"/>
      <c r="C4015" s="1"/>
      <c r="D4015" s="1" t="s">
        <v>149</v>
      </c>
      <c r="E4015" t="s">
        <v>136</v>
      </c>
    </row>
    <row r="4016" spans="1:5" x14ac:dyDescent="0.35">
      <c r="A4016" s="1" t="s">
        <v>147</v>
      </c>
      <c r="B4016" s="1" t="s">
        <v>168</v>
      </c>
      <c r="C4016" s="1" t="s">
        <v>145</v>
      </c>
      <c r="D4016" s="1" t="s">
        <v>146</v>
      </c>
      <c r="E4016" t="s">
        <v>136</v>
      </c>
    </row>
    <row r="4017" spans="1:5" x14ac:dyDescent="0.35">
      <c r="A4017" s="1" t="s">
        <v>147</v>
      </c>
      <c r="B4017" s="1"/>
      <c r="C4017" s="1"/>
      <c r="D4017" s="1" t="s">
        <v>148</v>
      </c>
      <c r="E4017" t="s">
        <v>136</v>
      </c>
    </row>
    <row r="4018" spans="1:5" x14ac:dyDescent="0.35">
      <c r="A4018" s="1" t="s">
        <v>147</v>
      </c>
      <c r="B4018" s="1"/>
      <c r="C4018" s="1"/>
      <c r="D4018" s="1" t="s">
        <v>149</v>
      </c>
      <c r="E4018" t="s">
        <v>136</v>
      </c>
    </row>
    <row r="4019" spans="1:5" x14ac:dyDescent="0.35">
      <c r="A4019" s="1" t="s">
        <v>147</v>
      </c>
      <c r="B4019" s="1"/>
      <c r="C4019" s="1" t="s">
        <v>150</v>
      </c>
      <c r="D4019" s="1" t="s">
        <v>146</v>
      </c>
      <c r="E4019" t="s">
        <v>136</v>
      </c>
    </row>
    <row r="4020" spans="1:5" x14ac:dyDescent="0.35">
      <c r="A4020" s="1" t="s">
        <v>147</v>
      </c>
      <c r="B4020" s="1"/>
      <c r="C4020" s="1"/>
      <c r="D4020" s="1" t="s">
        <v>148</v>
      </c>
      <c r="E4020" t="s">
        <v>136</v>
      </c>
    </row>
    <row r="4021" spans="1:5" x14ac:dyDescent="0.35">
      <c r="A4021" s="1" t="s">
        <v>147</v>
      </c>
      <c r="B4021" s="1"/>
      <c r="C4021" s="1"/>
      <c r="D4021" s="1" t="s">
        <v>149</v>
      </c>
      <c r="E4021" t="s">
        <v>136</v>
      </c>
    </row>
    <row r="4022" spans="1:5" x14ac:dyDescent="0.35">
      <c r="A4022" s="1" t="s">
        <v>147</v>
      </c>
      <c r="B4022" s="1" t="s">
        <v>169</v>
      </c>
      <c r="C4022" s="1" t="s">
        <v>145</v>
      </c>
      <c r="D4022" s="1" t="s">
        <v>146</v>
      </c>
      <c r="E4022" t="s">
        <v>136</v>
      </c>
    </row>
    <row r="4023" spans="1:5" x14ac:dyDescent="0.35">
      <c r="A4023" s="1" t="s">
        <v>147</v>
      </c>
      <c r="B4023" s="1"/>
      <c r="C4023" s="1"/>
      <c r="D4023" s="1" t="s">
        <v>148</v>
      </c>
      <c r="E4023" t="s">
        <v>136</v>
      </c>
    </row>
    <row r="4024" spans="1:5" x14ac:dyDescent="0.35">
      <c r="A4024" s="1" t="s">
        <v>147</v>
      </c>
      <c r="B4024" s="1"/>
      <c r="C4024" s="1"/>
      <c r="D4024" s="1" t="s">
        <v>149</v>
      </c>
      <c r="E4024" t="s">
        <v>136</v>
      </c>
    </row>
    <row r="4025" spans="1:5" x14ac:dyDescent="0.35">
      <c r="A4025" s="1" t="s">
        <v>147</v>
      </c>
      <c r="B4025" s="1"/>
      <c r="C4025" s="1" t="s">
        <v>150</v>
      </c>
      <c r="D4025" s="1" t="s">
        <v>146</v>
      </c>
      <c r="E4025" t="s">
        <v>136</v>
      </c>
    </row>
    <row r="4026" spans="1:5" x14ac:dyDescent="0.35">
      <c r="A4026" s="1" t="s">
        <v>147</v>
      </c>
      <c r="B4026" s="1"/>
      <c r="C4026" s="1"/>
      <c r="D4026" s="1" t="s">
        <v>148</v>
      </c>
      <c r="E4026" t="s">
        <v>136</v>
      </c>
    </row>
    <row r="4027" spans="1:5" x14ac:dyDescent="0.35">
      <c r="A4027" s="1" t="s">
        <v>147</v>
      </c>
      <c r="B4027" s="1"/>
      <c r="C4027" s="1"/>
      <c r="D4027" s="1" t="s">
        <v>149</v>
      </c>
      <c r="E4027" t="s">
        <v>136</v>
      </c>
    </row>
    <row r="4028" spans="1:5" x14ac:dyDescent="0.35">
      <c r="A4028" s="1" t="s">
        <v>147</v>
      </c>
      <c r="B4028" s="1" t="s">
        <v>170</v>
      </c>
      <c r="C4028" s="1" t="s">
        <v>145</v>
      </c>
      <c r="D4028" s="1" t="s">
        <v>146</v>
      </c>
      <c r="E4028" t="s">
        <v>136</v>
      </c>
    </row>
    <row r="4029" spans="1:5" x14ac:dyDescent="0.35">
      <c r="A4029" s="1" t="s">
        <v>147</v>
      </c>
      <c r="B4029" s="1"/>
      <c r="C4029" s="1"/>
      <c r="D4029" s="1" t="s">
        <v>148</v>
      </c>
      <c r="E4029" t="s">
        <v>136</v>
      </c>
    </row>
    <row r="4030" spans="1:5" x14ac:dyDescent="0.35">
      <c r="A4030" s="1" t="s">
        <v>147</v>
      </c>
      <c r="B4030" s="1"/>
      <c r="C4030" s="1"/>
      <c r="D4030" s="1" t="s">
        <v>149</v>
      </c>
      <c r="E4030" t="s">
        <v>136</v>
      </c>
    </row>
    <row r="4031" spans="1:5" x14ac:dyDescent="0.35">
      <c r="A4031" s="1" t="s">
        <v>147</v>
      </c>
      <c r="B4031" s="1"/>
      <c r="C4031" s="1" t="s">
        <v>150</v>
      </c>
      <c r="D4031" s="1" t="s">
        <v>146</v>
      </c>
      <c r="E4031" t="s">
        <v>136</v>
      </c>
    </row>
    <row r="4032" spans="1:5" x14ac:dyDescent="0.35">
      <c r="A4032" s="1" t="s">
        <v>147</v>
      </c>
      <c r="B4032" s="1"/>
      <c r="C4032" s="1"/>
      <c r="D4032" s="1" t="s">
        <v>148</v>
      </c>
      <c r="E4032" t="s">
        <v>136</v>
      </c>
    </row>
    <row r="4033" spans="1:5" x14ac:dyDescent="0.35">
      <c r="A4033" s="1" t="s">
        <v>147</v>
      </c>
      <c r="B4033" s="1"/>
      <c r="C4033" s="1"/>
      <c r="D4033" s="1" t="s">
        <v>149</v>
      </c>
      <c r="E4033" t="s">
        <v>136</v>
      </c>
    </row>
    <row r="4034" spans="1:5" x14ac:dyDescent="0.35">
      <c r="A4034" s="1" t="s">
        <v>95</v>
      </c>
      <c r="B4034" s="1" t="s">
        <v>144</v>
      </c>
      <c r="C4034" s="1" t="s">
        <v>145</v>
      </c>
      <c r="D4034" s="1" t="s">
        <v>146</v>
      </c>
      <c r="E4034">
        <v>3078.61</v>
      </c>
    </row>
    <row r="4035" spans="1:5" x14ac:dyDescent="0.35">
      <c r="A4035" s="1" t="s">
        <v>147</v>
      </c>
      <c r="B4035" s="1"/>
      <c r="C4035" s="1"/>
      <c r="D4035" s="1" t="s">
        <v>148</v>
      </c>
      <c r="E4035">
        <v>2945.43</v>
      </c>
    </row>
    <row r="4036" spans="1:5" x14ac:dyDescent="0.35">
      <c r="A4036" s="1" t="s">
        <v>147</v>
      </c>
      <c r="B4036" s="1"/>
      <c r="C4036" s="1"/>
      <c r="D4036" s="1" t="s">
        <v>149</v>
      </c>
      <c r="E4036">
        <v>133.19</v>
      </c>
    </row>
    <row r="4037" spans="1:5" x14ac:dyDescent="0.35">
      <c r="A4037" s="1" t="s">
        <v>147</v>
      </c>
      <c r="B4037" s="1"/>
      <c r="C4037" s="1" t="s">
        <v>150</v>
      </c>
      <c r="D4037" s="1" t="s">
        <v>146</v>
      </c>
      <c r="E4037" t="s">
        <v>136</v>
      </c>
    </row>
    <row r="4038" spans="1:5" x14ac:dyDescent="0.35">
      <c r="A4038" s="1" t="s">
        <v>147</v>
      </c>
      <c r="B4038" s="1"/>
      <c r="C4038" s="1"/>
      <c r="D4038" s="1" t="s">
        <v>148</v>
      </c>
      <c r="E4038" t="s">
        <v>136</v>
      </c>
    </row>
    <row r="4039" spans="1:5" x14ac:dyDescent="0.35">
      <c r="A4039" s="1" t="s">
        <v>147</v>
      </c>
      <c r="B4039" s="1"/>
      <c r="C4039" s="1"/>
      <c r="D4039" s="1" t="s">
        <v>149</v>
      </c>
      <c r="E4039" t="s">
        <v>136</v>
      </c>
    </row>
    <row r="4040" spans="1:5" x14ac:dyDescent="0.35">
      <c r="A4040" s="1" t="s">
        <v>147</v>
      </c>
      <c r="B4040" s="1" t="s">
        <v>151</v>
      </c>
      <c r="C4040" s="1" t="s">
        <v>145</v>
      </c>
      <c r="D4040" s="1" t="s">
        <v>146</v>
      </c>
      <c r="E4040">
        <v>196.77</v>
      </c>
    </row>
    <row r="4041" spans="1:5" x14ac:dyDescent="0.35">
      <c r="A4041" s="1" t="s">
        <v>147</v>
      </c>
      <c r="B4041" s="1"/>
      <c r="C4041" s="1"/>
      <c r="D4041" s="1" t="s">
        <v>148</v>
      </c>
      <c r="E4041">
        <v>73</v>
      </c>
    </row>
    <row r="4042" spans="1:5" x14ac:dyDescent="0.35">
      <c r="A4042" s="1" t="s">
        <v>147</v>
      </c>
      <c r="B4042" s="1"/>
      <c r="C4042" s="1"/>
      <c r="D4042" s="1" t="s">
        <v>149</v>
      </c>
      <c r="E4042">
        <v>123.77</v>
      </c>
    </row>
    <row r="4043" spans="1:5" x14ac:dyDescent="0.35">
      <c r="A4043" s="1" t="s">
        <v>147</v>
      </c>
      <c r="B4043" s="1"/>
      <c r="C4043" s="1" t="s">
        <v>150</v>
      </c>
      <c r="D4043" s="1" t="s">
        <v>146</v>
      </c>
      <c r="E4043" t="s">
        <v>136</v>
      </c>
    </row>
    <row r="4044" spans="1:5" x14ac:dyDescent="0.35">
      <c r="A4044" s="1" t="s">
        <v>147</v>
      </c>
      <c r="B4044" s="1"/>
      <c r="C4044" s="1"/>
      <c r="D4044" s="1" t="s">
        <v>148</v>
      </c>
      <c r="E4044" t="s">
        <v>136</v>
      </c>
    </row>
    <row r="4045" spans="1:5" x14ac:dyDescent="0.35">
      <c r="A4045" s="1" t="s">
        <v>147</v>
      </c>
      <c r="B4045" s="1"/>
      <c r="C4045" s="1"/>
      <c r="D4045" s="1" t="s">
        <v>149</v>
      </c>
      <c r="E4045" t="s">
        <v>136</v>
      </c>
    </row>
    <row r="4046" spans="1:5" x14ac:dyDescent="0.35">
      <c r="A4046" s="1" t="s">
        <v>147</v>
      </c>
      <c r="B4046" s="1" t="s">
        <v>152</v>
      </c>
      <c r="C4046" s="1" t="s">
        <v>145</v>
      </c>
      <c r="D4046" s="1" t="s">
        <v>146</v>
      </c>
      <c r="E4046" t="s">
        <v>136</v>
      </c>
    </row>
    <row r="4047" spans="1:5" x14ac:dyDescent="0.35">
      <c r="A4047" s="1" t="s">
        <v>147</v>
      </c>
      <c r="B4047" s="1"/>
      <c r="C4047" s="1"/>
      <c r="D4047" s="1" t="s">
        <v>148</v>
      </c>
      <c r="E4047" t="s">
        <v>136</v>
      </c>
    </row>
    <row r="4048" spans="1:5" x14ac:dyDescent="0.35">
      <c r="A4048" s="1" t="s">
        <v>147</v>
      </c>
      <c r="B4048" s="1"/>
      <c r="C4048" s="1"/>
      <c r="D4048" s="1" t="s">
        <v>149</v>
      </c>
      <c r="E4048" t="s">
        <v>136</v>
      </c>
    </row>
    <row r="4049" spans="1:5" x14ac:dyDescent="0.35">
      <c r="A4049" s="1" t="s">
        <v>147</v>
      </c>
      <c r="B4049" s="1"/>
      <c r="C4049" s="1" t="s">
        <v>150</v>
      </c>
      <c r="D4049" s="1" t="s">
        <v>146</v>
      </c>
      <c r="E4049" t="s">
        <v>136</v>
      </c>
    </row>
    <row r="4050" spans="1:5" x14ac:dyDescent="0.35">
      <c r="A4050" s="1" t="s">
        <v>147</v>
      </c>
      <c r="B4050" s="1"/>
      <c r="C4050" s="1"/>
      <c r="D4050" s="1" t="s">
        <v>148</v>
      </c>
      <c r="E4050" t="s">
        <v>136</v>
      </c>
    </row>
    <row r="4051" spans="1:5" x14ac:dyDescent="0.35">
      <c r="A4051" s="1" t="s">
        <v>147</v>
      </c>
      <c r="B4051" s="1"/>
      <c r="C4051" s="1"/>
      <c r="D4051" s="1" t="s">
        <v>149</v>
      </c>
      <c r="E4051" t="s">
        <v>136</v>
      </c>
    </row>
    <row r="4052" spans="1:5" x14ac:dyDescent="0.35">
      <c r="A4052" s="1" t="s">
        <v>147</v>
      </c>
      <c r="B4052" s="1" t="s">
        <v>153</v>
      </c>
      <c r="C4052" s="1" t="s">
        <v>145</v>
      </c>
      <c r="D4052" s="1" t="s">
        <v>146</v>
      </c>
      <c r="E4052" t="s">
        <v>136</v>
      </c>
    </row>
    <row r="4053" spans="1:5" x14ac:dyDescent="0.35">
      <c r="A4053" s="1" t="s">
        <v>147</v>
      </c>
      <c r="B4053" s="1"/>
      <c r="C4053" s="1"/>
      <c r="D4053" s="1" t="s">
        <v>148</v>
      </c>
      <c r="E4053" t="s">
        <v>136</v>
      </c>
    </row>
    <row r="4054" spans="1:5" x14ac:dyDescent="0.35">
      <c r="A4054" s="1" t="s">
        <v>147</v>
      </c>
      <c r="B4054" s="1"/>
      <c r="C4054" s="1"/>
      <c r="D4054" s="1" t="s">
        <v>149</v>
      </c>
      <c r="E4054" t="s">
        <v>136</v>
      </c>
    </row>
    <row r="4055" spans="1:5" x14ac:dyDescent="0.35">
      <c r="A4055" s="1" t="s">
        <v>147</v>
      </c>
      <c r="B4055" s="1"/>
      <c r="C4055" s="1" t="s">
        <v>150</v>
      </c>
      <c r="D4055" s="1" t="s">
        <v>146</v>
      </c>
      <c r="E4055" t="s">
        <v>136</v>
      </c>
    </row>
    <row r="4056" spans="1:5" x14ac:dyDescent="0.35">
      <c r="A4056" s="1" t="s">
        <v>147</v>
      </c>
      <c r="B4056" s="1"/>
      <c r="C4056" s="1"/>
      <c r="D4056" s="1" t="s">
        <v>148</v>
      </c>
      <c r="E4056" t="s">
        <v>136</v>
      </c>
    </row>
    <row r="4057" spans="1:5" x14ac:dyDescent="0.35">
      <c r="A4057" s="1" t="s">
        <v>147</v>
      </c>
      <c r="B4057" s="1"/>
      <c r="C4057" s="1"/>
      <c r="D4057" s="1" t="s">
        <v>149</v>
      </c>
      <c r="E4057" t="s">
        <v>136</v>
      </c>
    </row>
    <row r="4058" spans="1:5" x14ac:dyDescent="0.35">
      <c r="A4058" s="1" t="s">
        <v>147</v>
      </c>
      <c r="B4058" s="1" t="s">
        <v>154</v>
      </c>
      <c r="C4058" s="1" t="s">
        <v>145</v>
      </c>
      <c r="D4058" s="1" t="s">
        <v>146</v>
      </c>
      <c r="E4058" t="s">
        <v>136</v>
      </c>
    </row>
    <row r="4059" spans="1:5" x14ac:dyDescent="0.35">
      <c r="A4059" s="1" t="s">
        <v>147</v>
      </c>
      <c r="B4059" s="1"/>
      <c r="C4059" s="1"/>
      <c r="D4059" s="1" t="s">
        <v>148</v>
      </c>
      <c r="E4059" t="s">
        <v>136</v>
      </c>
    </row>
    <row r="4060" spans="1:5" x14ac:dyDescent="0.35">
      <c r="A4060" s="1" t="s">
        <v>147</v>
      </c>
      <c r="B4060" s="1"/>
      <c r="C4060" s="1"/>
      <c r="D4060" s="1" t="s">
        <v>149</v>
      </c>
      <c r="E4060" t="s">
        <v>136</v>
      </c>
    </row>
    <row r="4061" spans="1:5" x14ac:dyDescent="0.35">
      <c r="A4061" s="1" t="s">
        <v>147</v>
      </c>
      <c r="B4061" s="1"/>
      <c r="C4061" s="1" t="s">
        <v>150</v>
      </c>
      <c r="D4061" s="1" t="s">
        <v>146</v>
      </c>
      <c r="E4061" t="s">
        <v>136</v>
      </c>
    </row>
    <row r="4062" spans="1:5" x14ac:dyDescent="0.35">
      <c r="A4062" s="1" t="s">
        <v>147</v>
      </c>
      <c r="B4062" s="1"/>
      <c r="C4062" s="1"/>
      <c r="D4062" s="1" t="s">
        <v>148</v>
      </c>
      <c r="E4062" t="s">
        <v>136</v>
      </c>
    </row>
    <row r="4063" spans="1:5" x14ac:dyDescent="0.35">
      <c r="A4063" s="1" t="s">
        <v>147</v>
      </c>
      <c r="B4063" s="1"/>
      <c r="C4063" s="1"/>
      <c r="D4063" s="1" t="s">
        <v>149</v>
      </c>
      <c r="E4063" t="s">
        <v>136</v>
      </c>
    </row>
    <row r="4064" spans="1:5" x14ac:dyDescent="0.35">
      <c r="A4064" s="1" t="s">
        <v>147</v>
      </c>
      <c r="B4064" s="1" t="s">
        <v>155</v>
      </c>
      <c r="C4064" s="1" t="s">
        <v>145</v>
      </c>
      <c r="D4064" s="1" t="s">
        <v>146</v>
      </c>
      <c r="E4064">
        <v>2860.8</v>
      </c>
    </row>
    <row r="4065" spans="1:5" x14ac:dyDescent="0.35">
      <c r="A4065" s="1" t="s">
        <v>147</v>
      </c>
      <c r="B4065" s="1"/>
      <c r="C4065" s="1"/>
      <c r="D4065" s="1" t="s">
        <v>148</v>
      </c>
      <c r="E4065">
        <v>2860.4</v>
      </c>
    </row>
    <row r="4066" spans="1:5" x14ac:dyDescent="0.35">
      <c r="A4066" s="1" t="s">
        <v>147</v>
      </c>
      <c r="B4066" s="1"/>
      <c r="C4066" s="1"/>
      <c r="D4066" s="1" t="s">
        <v>149</v>
      </c>
      <c r="E4066">
        <v>0.4</v>
      </c>
    </row>
    <row r="4067" spans="1:5" x14ac:dyDescent="0.35">
      <c r="A4067" s="1" t="s">
        <v>147</v>
      </c>
      <c r="B4067" s="1"/>
      <c r="C4067" s="1" t="s">
        <v>150</v>
      </c>
      <c r="D4067" s="1" t="s">
        <v>146</v>
      </c>
      <c r="E4067" t="s">
        <v>136</v>
      </c>
    </row>
    <row r="4068" spans="1:5" x14ac:dyDescent="0.35">
      <c r="A4068" s="1" t="s">
        <v>147</v>
      </c>
      <c r="B4068" s="1"/>
      <c r="C4068" s="1"/>
      <c r="D4068" s="1" t="s">
        <v>148</v>
      </c>
      <c r="E4068" t="s">
        <v>136</v>
      </c>
    </row>
    <row r="4069" spans="1:5" x14ac:dyDescent="0.35">
      <c r="A4069" s="1" t="s">
        <v>147</v>
      </c>
      <c r="B4069" s="1"/>
      <c r="C4069" s="1"/>
      <c r="D4069" s="1" t="s">
        <v>149</v>
      </c>
      <c r="E4069" t="s">
        <v>136</v>
      </c>
    </row>
    <row r="4070" spans="1:5" x14ac:dyDescent="0.35">
      <c r="A4070" s="1" t="s">
        <v>147</v>
      </c>
      <c r="B4070" s="1" t="s">
        <v>156</v>
      </c>
      <c r="C4070" s="1" t="s">
        <v>145</v>
      </c>
      <c r="D4070" s="1" t="s">
        <v>146</v>
      </c>
      <c r="E4070" t="s">
        <v>136</v>
      </c>
    </row>
    <row r="4071" spans="1:5" x14ac:dyDescent="0.35">
      <c r="A4071" s="1" t="s">
        <v>147</v>
      </c>
      <c r="B4071" s="1"/>
      <c r="C4071" s="1"/>
      <c r="D4071" s="1" t="s">
        <v>148</v>
      </c>
      <c r="E4071" t="s">
        <v>136</v>
      </c>
    </row>
    <row r="4072" spans="1:5" x14ac:dyDescent="0.35">
      <c r="A4072" s="1" t="s">
        <v>147</v>
      </c>
      <c r="B4072" s="1"/>
      <c r="C4072" s="1"/>
      <c r="D4072" s="1" t="s">
        <v>149</v>
      </c>
      <c r="E4072" t="s">
        <v>136</v>
      </c>
    </row>
    <row r="4073" spans="1:5" x14ac:dyDescent="0.35">
      <c r="A4073" s="1" t="s">
        <v>147</v>
      </c>
      <c r="B4073" s="1"/>
      <c r="C4073" s="1" t="s">
        <v>150</v>
      </c>
      <c r="D4073" s="1" t="s">
        <v>146</v>
      </c>
      <c r="E4073" t="s">
        <v>136</v>
      </c>
    </row>
    <row r="4074" spans="1:5" x14ac:dyDescent="0.35">
      <c r="A4074" s="1" t="s">
        <v>147</v>
      </c>
      <c r="B4074" s="1"/>
      <c r="C4074" s="1"/>
      <c r="D4074" s="1" t="s">
        <v>148</v>
      </c>
      <c r="E4074" t="s">
        <v>136</v>
      </c>
    </row>
    <row r="4075" spans="1:5" x14ac:dyDescent="0.35">
      <c r="A4075" s="1" t="s">
        <v>147</v>
      </c>
      <c r="B4075" s="1"/>
      <c r="C4075" s="1"/>
      <c r="D4075" s="1" t="s">
        <v>149</v>
      </c>
      <c r="E4075" t="s">
        <v>136</v>
      </c>
    </row>
    <row r="4076" spans="1:5" x14ac:dyDescent="0.35">
      <c r="A4076" s="1" t="s">
        <v>147</v>
      </c>
      <c r="B4076" s="1" t="s">
        <v>157</v>
      </c>
      <c r="C4076" s="1" t="s">
        <v>145</v>
      </c>
      <c r="D4076" s="1" t="s">
        <v>146</v>
      </c>
      <c r="E4076" t="s">
        <v>136</v>
      </c>
    </row>
    <row r="4077" spans="1:5" x14ac:dyDescent="0.35">
      <c r="A4077" s="1" t="s">
        <v>147</v>
      </c>
      <c r="B4077" s="1"/>
      <c r="C4077" s="1"/>
      <c r="D4077" s="1" t="s">
        <v>148</v>
      </c>
      <c r="E4077" t="s">
        <v>136</v>
      </c>
    </row>
    <row r="4078" spans="1:5" x14ac:dyDescent="0.35">
      <c r="A4078" s="1" t="s">
        <v>147</v>
      </c>
      <c r="B4078" s="1"/>
      <c r="C4078" s="1"/>
      <c r="D4078" s="1" t="s">
        <v>149</v>
      </c>
      <c r="E4078" t="s">
        <v>136</v>
      </c>
    </row>
    <row r="4079" spans="1:5" x14ac:dyDescent="0.35">
      <c r="A4079" s="1" t="s">
        <v>147</v>
      </c>
      <c r="B4079" s="1"/>
      <c r="C4079" s="1" t="s">
        <v>150</v>
      </c>
      <c r="D4079" s="1" t="s">
        <v>146</v>
      </c>
      <c r="E4079" t="s">
        <v>136</v>
      </c>
    </row>
    <row r="4080" spans="1:5" x14ac:dyDescent="0.35">
      <c r="A4080" s="1" t="s">
        <v>147</v>
      </c>
      <c r="B4080" s="1"/>
      <c r="C4080" s="1"/>
      <c r="D4080" s="1" t="s">
        <v>148</v>
      </c>
      <c r="E4080" t="s">
        <v>136</v>
      </c>
    </row>
    <row r="4081" spans="1:5" x14ac:dyDescent="0.35">
      <c r="A4081" s="1" t="s">
        <v>147</v>
      </c>
      <c r="B4081" s="1"/>
      <c r="C4081" s="1"/>
      <c r="D4081" s="1" t="s">
        <v>149</v>
      </c>
      <c r="E4081" t="s">
        <v>136</v>
      </c>
    </row>
    <row r="4082" spans="1:5" x14ac:dyDescent="0.35">
      <c r="A4082" s="1" t="s">
        <v>147</v>
      </c>
      <c r="B4082" s="1" t="s">
        <v>158</v>
      </c>
      <c r="C4082" s="1" t="s">
        <v>145</v>
      </c>
      <c r="D4082" s="1" t="s">
        <v>146</v>
      </c>
      <c r="E4082">
        <v>21.03</v>
      </c>
    </row>
    <row r="4083" spans="1:5" x14ac:dyDescent="0.35">
      <c r="A4083" s="1" t="s">
        <v>147</v>
      </c>
      <c r="B4083" s="1"/>
      <c r="C4083" s="1"/>
      <c r="D4083" s="1" t="s">
        <v>148</v>
      </c>
      <c r="E4083">
        <v>12.03</v>
      </c>
    </row>
    <row r="4084" spans="1:5" x14ac:dyDescent="0.35">
      <c r="A4084" s="1" t="s">
        <v>147</v>
      </c>
      <c r="B4084" s="1"/>
      <c r="C4084" s="1"/>
      <c r="D4084" s="1" t="s">
        <v>149</v>
      </c>
      <c r="E4084">
        <v>9</v>
      </c>
    </row>
    <row r="4085" spans="1:5" x14ac:dyDescent="0.35">
      <c r="A4085" s="1" t="s">
        <v>147</v>
      </c>
      <c r="B4085" s="1"/>
      <c r="C4085" s="1" t="s">
        <v>150</v>
      </c>
      <c r="D4085" s="1" t="s">
        <v>146</v>
      </c>
      <c r="E4085" t="s">
        <v>136</v>
      </c>
    </row>
    <row r="4086" spans="1:5" x14ac:dyDescent="0.35">
      <c r="A4086" s="1" t="s">
        <v>147</v>
      </c>
      <c r="B4086" s="1"/>
      <c r="C4086" s="1"/>
      <c r="D4086" s="1" t="s">
        <v>148</v>
      </c>
      <c r="E4086" t="s">
        <v>136</v>
      </c>
    </row>
    <row r="4087" spans="1:5" x14ac:dyDescent="0.35">
      <c r="A4087" s="1" t="s">
        <v>147</v>
      </c>
      <c r="B4087" s="1"/>
      <c r="C4087" s="1"/>
      <c r="D4087" s="1" t="s">
        <v>149</v>
      </c>
      <c r="E4087" t="s">
        <v>136</v>
      </c>
    </row>
    <row r="4088" spans="1:5" x14ac:dyDescent="0.35">
      <c r="A4088" s="1" t="s">
        <v>147</v>
      </c>
      <c r="B4088" s="1" t="s">
        <v>159</v>
      </c>
      <c r="C4088" s="1" t="s">
        <v>145</v>
      </c>
      <c r="D4088" s="1" t="s">
        <v>146</v>
      </c>
      <c r="E4088" t="s">
        <v>136</v>
      </c>
    </row>
    <row r="4089" spans="1:5" x14ac:dyDescent="0.35">
      <c r="A4089" s="1" t="s">
        <v>147</v>
      </c>
      <c r="B4089" s="1"/>
      <c r="C4089" s="1"/>
      <c r="D4089" s="1" t="s">
        <v>148</v>
      </c>
      <c r="E4089" t="s">
        <v>136</v>
      </c>
    </row>
    <row r="4090" spans="1:5" x14ac:dyDescent="0.35">
      <c r="A4090" s="1" t="s">
        <v>147</v>
      </c>
      <c r="B4090" s="1"/>
      <c r="C4090" s="1"/>
      <c r="D4090" s="1" t="s">
        <v>149</v>
      </c>
      <c r="E4090" t="s">
        <v>136</v>
      </c>
    </row>
    <row r="4091" spans="1:5" x14ac:dyDescent="0.35">
      <c r="A4091" s="1" t="s">
        <v>147</v>
      </c>
      <c r="B4091" s="1"/>
      <c r="C4091" s="1" t="s">
        <v>150</v>
      </c>
      <c r="D4091" s="1" t="s">
        <v>146</v>
      </c>
      <c r="E4091" t="s">
        <v>136</v>
      </c>
    </row>
    <row r="4092" spans="1:5" x14ac:dyDescent="0.35">
      <c r="A4092" s="1" t="s">
        <v>147</v>
      </c>
      <c r="B4092" s="1"/>
      <c r="C4092" s="1"/>
      <c r="D4092" s="1" t="s">
        <v>148</v>
      </c>
      <c r="E4092" t="s">
        <v>136</v>
      </c>
    </row>
    <row r="4093" spans="1:5" x14ac:dyDescent="0.35">
      <c r="A4093" s="1" t="s">
        <v>147</v>
      </c>
      <c r="B4093" s="1"/>
      <c r="C4093" s="1"/>
      <c r="D4093" s="1" t="s">
        <v>149</v>
      </c>
      <c r="E4093" t="s">
        <v>136</v>
      </c>
    </row>
    <row r="4094" spans="1:5" x14ac:dyDescent="0.35">
      <c r="A4094" s="1" t="s">
        <v>147</v>
      </c>
      <c r="B4094" s="1" t="s">
        <v>160</v>
      </c>
      <c r="C4094" s="1" t="s">
        <v>145</v>
      </c>
      <c r="D4094" s="1" t="s">
        <v>146</v>
      </c>
      <c r="E4094" t="s">
        <v>136</v>
      </c>
    </row>
    <row r="4095" spans="1:5" x14ac:dyDescent="0.35">
      <c r="A4095" s="1" t="s">
        <v>147</v>
      </c>
      <c r="B4095" s="1"/>
      <c r="C4095" s="1"/>
      <c r="D4095" s="1" t="s">
        <v>148</v>
      </c>
      <c r="E4095" t="s">
        <v>136</v>
      </c>
    </row>
    <row r="4096" spans="1:5" x14ac:dyDescent="0.35">
      <c r="A4096" s="1" t="s">
        <v>147</v>
      </c>
      <c r="B4096" s="1"/>
      <c r="C4096" s="1"/>
      <c r="D4096" s="1" t="s">
        <v>149</v>
      </c>
      <c r="E4096" t="s">
        <v>136</v>
      </c>
    </row>
    <row r="4097" spans="1:5" x14ac:dyDescent="0.35">
      <c r="A4097" s="1" t="s">
        <v>147</v>
      </c>
      <c r="B4097" s="1"/>
      <c r="C4097" s="1" t="s">
        <v>150</v>
      </c>
      <c r="D4097" s="1" t="s">
        <v>146</v>
      </c>
      <c r="E4097" t="s">
        <v>136</v>
      </c>
    </row>
    <row r="4098" spans="1:5" x14ac:dyDescent="0.35">
      <c r="A4098" s="1" t="s">
        <v>147</v>
      </c>
      <c r="B4098" s="1"/>
      <c r="C4098" s="1"/>
      <c r="D4098" s="1" t="s">
        <v>148</v>
      </c>
      <c r="E4098" t="s">
        <v>136</v>
      </c>
    </row>
    <row r="4099" spans="1:5" x14ac:dyDescent="0.35">
      <c r="A4099" s="1" t="s">
        <v>147</v>
      </c>
      <c r="B4099" s="1"/>
      <c r="C4099" s="1"/>
      <c r="D4099" s="1" t="s">
        <v>149</v>
      </c>
      <c r="E4099" t="s">
        <v>136</v>
      </c>
    </row>
    <row r="4100" spans="1:5" x14ac:dyDescent="0.35">
      <c r="A4100" s="1" t="s">
        <v>147</v>
      </c>
      <c r="B4100" s="1" t="s">
        <v>161</v>
      </c>
      <c r="C4100" s="1" t="s">
        <v>145</v>
      </c>
      <c r="D4100" s="1" t="s">
        <v>146</v>
      </c>
      <c r="E4100">
        <v>0.02</v>
      </c>
    </row>
    <row r="4101" spans="1:5" x14ac:dyDescent="0.35">
      <c r="A4101" s="1" t="s">
        <v>147</v>
      </c>
      <c r="B4101" s="1"/>
      <c r="C4101" s="1"/>
      <c r="D4101" s="1" t="s">
        <v>148</v>
      </c>
      <c r="E4101" t="s">
        <v>136</v>
      </c>
    </row>
    <row r="4102" spans="1:5" x14ac:dyDescent="0.35">
      <c r="A4102" s="1" t="s">
        <v>147</v>
      </c>
      <c r="B4102" s="1"/>
      <c r="C4102" s="1"/>
      <c r="D4102" s="1" t="s">
        <v>149</v>
      </c>
      <c r="E4102">
        <v>0.02</v>
      </c>
    </row>
    <row r="4103" spans="1:5" x14ac:dyDescent="0.35">
      <c r="A4103" s="1" t="s">
        <v>147</v>
      </c>
      <c r="B4103" s="1"/>
      <c r="C4103" s="1" t="s">
        <v>150</v>
      </c>
      <c r="D4103" s="1" t="s">
        <v>146</v>
      </c>
      <c r="E4103" t="s">
        <v>136</v>
      </c>
    </row>
    <row r="4104" spans="1:5" x14ac:dyDescent="0.35">
      <c r="A4104" s="1" t="s">
        <v>147</v>
      </c>
      <c r="B4104" s="1"/>
      <c r="C4104" s="1"/>
      <c r="D4104" s="1" t="s">
        <v>148</v>
      </c>
      <c r="E4104" t="s">
        <v>136</v>
      </c>
    </row>
    <row r="4105" spans="1:5" x14ac:dyDescent="0.35">
      <c r="A4105" s="1" t="s">
        <v>147</v>
      </c>
      <c r="B4105" s="1"/>
      <c r="C4105" s="1"/>
      <c r="D4105" s="1" t="s">
        <v>149</v>
      </c>
      <c r="E4105" t="s">
        <v>136</v>
      </c>
    </row>
    <row r="4106" spans="1:5" x14ac:dyDescent="0.35">
      <c r="A4106" s="1" t="s">
        <v>147</v>
      </c>
      <c r="B4106" s="1" t="s">
        <v>162</v>
      </c>
      <c r="C4106" s="1" t="s">
        <v>145</v>
      </c>
      <c r="D4106" s="1" t="s">
        <v>146</v>
      </c>
      <c r="E4106" t="s">
        <v>136</v>
      </c>
    </row>
    <row r="4107" spans="1:5" x14ac:dyDescent="0.35">
      <c r="A4107" s="1" t="s">
        <v>147</v>
      </c>
      <c r="B4107" s="1"/>
      <c r="C4107" s="1"/>
      <c r="D4107" s="1" t="s">
        <v>148</v>
      </c>
      <c r="E4107" t="s">
        <v>136</v>
      </c>
    </row>
    <row r="4108" spans="1:5" x14ac:dyDescent="0.35">
      <c r="A4108" s="1" t="s">
        <v>147</v>
      </c>
      <c r="B4108" s="1"/>
      <c r="C4108" s="1"/>
      <c r="D4108" s="1" t="s">
        <v>149</v>
      </c>
      <c r="E4108" t="s">
        <v>136</v>
      </c>
    </row>
    <row r="4109" spans="1:5" x14ac:dyDescent="0.35">
      <c r="A4109" s="1" t="s">
        <v>147</v>
      </c>
      <c r="B4109" s="1"/>
      <c r="C4109" s="1" t="s">
        <v>150</v>
      </c>
      <c r="D4109" s="1" t="s">
        <v>146</v>
      </c>
      <c r="E4109" t="s">
        <v>136</v>
      </c>
    </row>
    <row r="4110" spans="1:5" x14ac:dyDescent="0.35">
      <c r="A4110" s="1" t="s">
        <v>147</v>
      </c>
      <c r="B4110" s="1"/>
      <c r="C4110" s="1"/>
      <c r="D4110" s="1" t="s">
        <v>148</v>
      </c>
      <c r="E4110" t="s">
        <v>136</v>
      </c>
    </row>
    <row r="4111" spans="1:5" x14ac:dyDescent="0.35">
      <c r="A4111" s="1" t="s">
        <v>147</v>
      </c>
      <c r="B4111" s="1"/>
      <c r="C4111" s="1"/>
      <c r="D4111" s="1" t="s">
        <v>149</v>
      </c>
      <c r="E4111" t="s">
        <v>136</v>
      </c>
    </row>
    <row r="4112" spans="1:5" x14ac:dyDescent="0.35">
      <c r="A4112" s="1" t="s">
        <v>147</v>
      </c>
      <c r="B4112" s="1" t="s">
        <v>163</v>
      </c>
      <c r="C4112" s="1" t="s">
        <v>145</v>
      </c>
      <c r="D4112" s="1" t="s">
        <v>146</v>
      </c>
      <c r="E4112">
        <v>11468.3</v>
      </c>
    </row>
    <row r="4113" spans="1:5" x14ac:dyDescent="0.35">
      <c r="A4113" s="1" t="s">
        <v>147</v>
      </c>
      <c r="B4113" s="1"/>
      <c r="C4113" s="1"/>
      <c r="D4113" s="1" t="s">
        <v>148</v>
      </c>
      <c r="E4113">
        <v>11448.6</v>
      </c>
    </row>
    <row r="4114" spans="1:5" x14ac:dyDescent="0.35">
      <c r="A4114" s="1" t="s">
        <v>147</v>
      </c>
      <c r="B4114" s="1"/>
      <c r="C4114" s="1"/>
      <c r="D4114" s="1" t="s">
        <v>149</v>
      </c>
      <c r="E4114">
        <v>19.7</v>
      </c>
    </row>
    <row r="4115" spans="1:5" x14ac:dyDescent="0.35">
      <c r="A4115" s="1" t="s">
        <v>147</v>
      </c>
      <c r="B4115" s="1"/>
      <c r="C4115" s="1" t="s">
        <v>150</v>
      </c>
      <c r="D4115" s="1" t="s">
        <v>146</v>
      </c>
      <c r="E4115" t="s">
        <v>136</v>
      </c>
    </row>
    <row r="4116" spans="1:5" x14ac:dyDescent="0.35">
      <c r="A4116" s="1" t="s">
        <v>147</v>
      </c>
      <c r="B4116" s="1"/>
      <c r="C4116" s="1"/>
      <c r="D4116" s="1" t="s">
        <v>148</v>
      </c>
      <c r="E4116" t="s">
        <v>136</v>
      </c>
    </row>
    <row r="4117" spans="1:5" x14ac:dyDescent="0.35">
      <c r="A4117" s="1" t="s">
        <v>147</v>
      </c>
      <c r="B4117" s="1"/>
      <c r="C4117" s="1"/>
      <c r="D4117" s="1" t="s">
        <v>149</v>
      </c>
      <c r="E4117" t="s">
        <v>136</v>
      </c>
    </row>
    <row r="4118" spans="1:5" x14ac:dyDescent="0.35">
      <c r="A4118" s="1" t="s">
        <v>147</v>
      </c>
      <c r="B4118" s="1" t="s">
        <v>164</v>
      </c>
      <c r="C4118" s="1" t="s">
        <v>145</v>
      </c>
      <c r="D4118" s="1" t="s">
        <v>146</v>
      </c>
      <c r="E4118" t="s">
        <v>136</v>
      </c>
    </row>
    <row r="4119" spans="1:5" x14ac:dyDescent="0.35">
      <c r="A4119" s="1" t="s">
        <v>147</v>
      </c>
      <c r="B4119" s="1"/>
      <c r="C4119" s="1"/>
      <c r="D4119" s="1" t="s">
        <v>148</v>
      </c>
      <c r="E4119" t="s">
        <v>136</v>
      </c>
    </row>
    <row r="4120" spans="1:5" x14ac:dyDescent="0.35">
      <c r="A4120" s="1" t="s">
        <v>147</v>
      </c>
      <c r="B4120" s="1"/>
      <c r="C4120" s="1"/>
      <c r="D4120" s="1" t="s">
        <v>149</v>
      </c>
      <c r="E4120" t="s">
        <v>136</v>
      </c>
    </row>
    <row r="4121" spans="1:5" x14ac:dyDescent="0.35">
      <c r="A4121" s="1" t="s">
        <v>147</v>
      </c>
      <c r="B4121" s="1"/>
      <c r="C4121" s="1" t="s">
        <v>150</v>
      </c>
      <c r="D4121" s="1" t="s">
        <v>146</v>
      </c>
      <c r="E4121" t="s">
        <v>136</v>
      </c>
    </row>
    <row r="4122" spans="1:5" x14ac:dyDescent="0.35">
      <c r="A4122" s="1" t="s">
        <v>147</v>
      </c>
      <c r="B4122" s="1"/>
      <c r="C4122" s="1"/>
      <c r="D4122" s="1" t="s">
        <v>148</v>
      </c>
      <c r="E4122" t="s">
        <v>136</v>
      </c>
    </row>
    <row r="4123" spans="1:5" x14ac:dyDescent="0.35">
      <c r="A4123" s="1" t="s">
        <v>147</v>
      </c>
      <c r="B4123" s="1"/>
      <c r="C4123" s="1"/>
      <c r="D4123" s="1" t="s">
        <v>149</v>
      </c>
      <c r="E4123" t="s">
        <v>136</v>
      </c>
    </row>
    <row r="4124" spans="1:5" x14ac:dyDescent="0.35">
      <c r="A4124" s="1" t="s">
        <v>147</v>
      </c>
      <c r="B4124" s="1" t="s">
        <v>165</v>
      </c>
      <c r="C4124" s="1" t="s">
        <v>145</v>
      </c>
      <c r="D4124" s="1" t="s">
        <v>146</v>
      </c>
      <c r="E4124" t="s">
        <v>136</v>
      </c>
    </row>
    <row r="4125" spans="1:5" x14ac:dyDescent="0.35">
      <c r="A4125" s="1" t="s">
        <v>147</v>
      </c>
      <c r="B4125" s="1"/>
      <c r="C4125" s="1"/>
      <c r="D4125" s="1" t="s">
        <v>148</v>
      </c>
      <c r="E4125" t="s">
        <v>136</v>
      </c>
    </row>
    <row r="4126" spans="1:5" x14ac:dyDescent="0.35">
      <c r="A4126" s="1" t="s">
        <v>147</v>
      </c>
      <c r="B4126" s="1"/>
      <c r="C4126" s="1"/>
      <c r="D4126" s="1" t="s">
        <v>149</v>
      </c>
      <c r="E4126" t="s">
        <v>136</v>
      </c>
    </row>
    <row r="4127" spans="1:5" x14ac:dyDescent="0.35">
      <c r="A4127" s="1" t="s">
        <v>147</v>
      </c>
      <c r="B4127" s="1"/>
      <c r="C4127" s="1" t="s">
        <v>150</v>
      </c>
      <c r="D4127" s="1" t="s">
        <v>146</v>
      </c>
      <c r="E4127" t="s">
        <v>136</v>
      </c>
    </row>
    <row r="4128" spans="1:5" x14ac:dyDescent="0.35">
      <c r="A4128" s="1" t="s">
        <v>147</v>
      </c>
      <c r="B4128" s="1"/>
      <c r="C4128" s="1"/>
      <c r="D4128" s="1" t="s">
        <v>148</v>
      </c>
      <c r="E4128" t="s">
        <v>136</v>
      </c>
    </row>
    <row r="4129" spans="1:5" x14ac:dyDescent="0.35">
      <c r="A4129" s="1" t="s">
        <v>147</v>
      </c>
      <c r="B4129" s="1"/>
      <c r="C4129" s="1"/>
      <c r="D4129" s="1" t="s">
        <v>149</v>
      </c>
      <c r="E4129" t="s">
        <v>136</v>
      </c>
    </row>
    <row r="4130" spans="1:5" x14ac:dyDescent="0.35">
      <c r="A4130" s="1" t="s">
        <v>147</v>
      </c>
      <c r="B4130" s="1" t="s">
        <v>166</v>
      </c>
      <c r="C4130" s="1" t="s">
        <v>145</v>
      </c>
      <c r="D4130" s="1" t="s">
        <v>146</v>
      </c>
      <c r="E4130">
        <v>88.2</v>
      </c>
    </row>
    <row r="4131" spans="1:5" x14ac:dyDescent="0.35">
      <c r="A4131" s="1" t="s">
        <v>147</v>
      </c>
      <c r="B4131" s="1"/>
      <c r="C4131" s="1"/>
      <c r="D4131" s="1" t="s">
        <v>148</v>
      </c>
      <c r="E4131">
        <v>78</v>
      </c>
    </row>
    <row r="4132" spans="1:5" x14ac:dyDescent="0.35">
      <c r="A4132" s="1" t="s">
        <v>147</v>
      </c>
      <c r="B4132" s="1"/>
      <c r="C4132" s="1"/>
      <c r="D4132" s="1" t="s">
        <v>149</v>
      </c>
      <c r="E4132">
        <v>10.199999999999999</v>
      </c>
    </row>
    <row r="4133" spans="1:5" x14ac:dyDescent="0.35">
      <c r="A4133" s="1" t="s">
        <v>147</v>
      </c>
      <c r="B4133" s="1"/>
      <c r="C4133" s="1" t="s">
        <v>150</v>
      </c>
      <c r="D4133" s="1" t="s">
        <v>146</v>
      </c>
      <c r="E4133" t="s">
        <v>136</v>
      </c>
    </row>
    <row r="4134" spans="1:5" x14ac:dyDescent="0.35">
      <c r="A4134" s="1" t="s">
        <v>147</v>
      </c>
      <c r="B4134" s="1"/>
      <c r="C4134" s="1"/>
      <c r="D4134" s="1" t="s">
        <v>148</v>
      </c>
      <c r="E4134" t="s">
        <v>136</v>
      </c>
    </row>
    <row r="4135" spans="1:5" x14ac:dyDescent="0.35">
      <c r="A4135" s="1" t="s">
        <v>147</v>
      </c>
      <c r="B4135" s="1"/>
      <c r="C4135" s="1"/>
      <c r="D4135" s="1" t="s">
        <v>149</v>
      </c>
      <c r="E4135" t="s">
        <v>136</v>
      </c>
    </row>
    <row r="4136" spans="1:5" x14ac:dyDescent="0.35">
      <c r="A4136" s="1" t="s">
        <v>147</v>
      </c>
      <c r="B4136" s="1" t="s">
        <v>167</v>
      </c>
      <c r="C4136" s="1" t="s">
        <v>145</v>
      </c>
      <c r="D4136" s="1" t="s">
        <v>146</v>
      </c>
      <c r="E4136">
        <v>11380.1</v>
      </c>
    </row>
    <row r="4137" spans="1:5" x14ac:dyDescent="0.35">
      <c r="A4137" s="1" t="s">
        <v>147</v>
      </c>
      <c r="B4137" s="1"/>
      <c r="C4137" s="1"/>
      <c r="D4137" s="1" t="s">
        <v>148</v>
      </c>
      <c r="E4137">
        <v>11370.6</v>
      </c>
    </row>
    <row r="4138" spans="1:5" x14ac:dyDescent="0.35">
      <c r="A4138" s="1" t="s">
        <v>147</v>
      </c>
      <c r="B4138" s="1"/>
      <c r="C4138" s="1"/>
      <c r="D4138" s="1" t="s">
        <v>149</v>
      </c>
      <c r="E4138">
        <v>9.5</v>
      </c>
    </row>
    <row r="4139" spans="1:5" x14ac:dyDescent="0.35">
      <c r="A4139" s="1" t="s">
        <v>147</v>
      </c>
      <c r="B4139" s="1"/>
      <c r="C4139" s="1" t="s">
        <v>150</v>
      </c>
      <c r="D4139" s="1" t="s">
        <v>146</v>
      </c>
      <c r="E4139" t="s">
        <v>136</v>
      </c>
    </row>
    <row r="4140" spans="1:5" x14ac:dyDescent="0.35">
      <c r="A4140" s="1" t="s">
        <v>147</v>
      </c>
      <c r="B4140" s="1"/>
      <c r="C4140" s="1"/>
      <c r="D4140" s="1" t="s">
        <v>148</v>
      </c>
      <c r="E4140" t="s">
        <v>136</v>
      </c>
    </row>
    <row r="4141" spans="1:5" x14ac:dyDescent="0.35">
      <c r="A4141" s="1" t="s">
        <v>147</v>
      </c>
      <c r="B4141" s="1"/>
      <c r="C4141" s="1"/>
      <c r="D4141" s="1" t="s">
        <v>149</v>
      </c>
      <c r="E4141" t="s">
        <v>136</v>
      </c>
    </row>
    <row r="4142" spans="1:5" x14ac:dyDescent="0.35">
      <c r="A4142" s="1" t="s">
        <v>147</v>
      </c>
      <c r="B4142" s="1" t="s">
        <v>168</v>
      </c>
      <c r="C4142" s="1" t="s">
        <v>145</v>
      </c>
      <c r="D4142" s="1" t="s">
        <v>146</v>
      </c>
      <c r="E4142" t="s">
        <v>136</v>
      </c>
    </row>
    <row r="4143" spans="1:5" x14ac:dyDescent="0.35">
      <c r="A4143" s="1" t="s">
        <v>147</v>
      </c>
      <c r="B4143" s="1"/>
      <c r="C4143" s="1"/>
      <c r="D4143" s="1" t="s">
        <v>148</v>
      </c>
      <c r="E4143" t="s">
        <v>136</v>
      </c>
    </row>
    <row r="4144" spans="1:5" x14ac:dyDescent="0.35">
      <c r="A4144" s="1" t="s">
        <v>147</v>
      </c>
      <c r="B4144" s="1"/>
      <c r="C4144" s="1"/>
      <c r="D4144" s="1" t="s">
        <v>149</v>
      </c>
      <c r="E4144" t="s">
        <v>136</v>
      </c>
    </row>
    <row r="4145" spans="1:5" x14ac:dyDescent="0.35">
      <c r="A4145" s="1" t="s">
        <v>147</v>
      </c>
      <c r="B4145" s="1"/>
      <c r="C4145" s="1" t="s">
        <v>150</v>
      </c>
      <c r="D4145" s="1" t="s">
        <v>146</v>
      </c>
      <c r="E4145" t="s">
        <v>136</v>
      </c>
    </row>
    <row r="4146" spans="1:5" x14ac:dyDescent="0.35">
      <c r="A4146" s="1" t="s">
        <v>147</v>
      </c>
      <c r="B4146" s="1"/>
      <c r="C4146" s="1"/>
      <c r="D4146" s="1" t="s">
        <v>148</v>
      </c>
      <c r="E4146" t="s">
        <v>136</v>
      </c>
    </row>
    <row r="4147" spans="1:5" x14ac:dyDescent="0.35">
      <c r="A4147" s="1" t="s">
        <v>147</v>
      </c>
      <c r="B4147" s="1"/>
      <c r="C4147" s="1"/>
      <c r="D4147" s="1" t="s">
        <v>149</v>
      </c>
      <c r="E4147" t="s">
        <v>136</v>
      </c>
    </row>
    <row r="4148" spans="1:5" x14ac:dyDescent="0.35">
      <c r="A4148" s="1" t="s">
        <v>147</v>
      </c>
      <c r="B4148" s="1" t="s">
        <v>169</v>
      </c>
      <c r="C4148" s="1" t="s">
        <v>145</v>
      </c>
      <c r="D4148" s="1" t="s">
        <v>146</v>
      </c>
      <c r="E4148" t="s">
        <v>136</v>
      </c>
    </row>
    <row r="4149" spans="1:5" x14ac:dyDescent="0.35">
      <c r="A4149" s="1" t="s">
        <v>147</v>
      </c>
      <c r="B4149" s="1"/>
      <c r="C4149" s="1"/>
      <c r="D4149" s="1" t="s">
        <v>148</v>
      </c>
      <c r="E4149" t="s">
        <v>136</v>
      </c>
    </row>
    <row r="4150" spans="1:5" x14ac:dyDescent="0.35">
      <c r="A4150" s="1" t="s">
        <v>147</v>
      </c>
      <c r="B4150" s="1"/>
      <c r="C4150" s="1"/>
      <c r="D4150" s="1" t="s">
        <v>149</v>
      </c>
      <c r="E4150" t="s">
        <v>136</v>
      </c>
    </row>
    <row r="4151" spans="1:5" x14ac:dyDescent="0.35">
      <c r="A4151" s="1" t="s">
        <v>147</v>
      </c>
      <c r="B4151" s="1"/>
      <c r="C4151" s="1" t="s">
        <v>150</v>
      </c>
      <c r="D4151" s="1" t="s">
        <v>146</v>
      </c>
      <c r="E4151" t="s">
        <v>136</v>
      </c>
    </row>
    <row r="4152" spans="1:5" x14ac:dyDescent="0.35">
      <c r="A4152" s="1" t="s">
        <v>147</v>
      </c>
      <c r="B4152" s="1"/>
      <c r="C4152" s="1"/>
      <c r="D4152" s="1" t="s">
        <v>148</v>
      </c>
      <c r="E4152" t="s">
        <v>136</v>
      </c>
    </row>
    <row r="4153" spans="1:5" x14ac:dyDescent="0.35">
      <c r="A4153" s="1" t="s">
        <v>147</v>
      </c>
      <c r="B4153" s="1"/>
      <c r="C4153" s="1"/>
      <c r="D4153" s="1" t="s">
        <v>149</v>
      </c>
      <c r="E4153" t="s">
        <v>136</v>
      </c>
    </row>
    <row r="4154" spans="1:5" x14ac:dyDescent="0.35">
      <c r="A4154" s="1" t="s">
        <v>147</v>
      </c>
      <c r="B4154" s="1" t="s">
        <v>170</v>
      </c>
      <c r="C4154" s="1" t="s">
        <v>145</v>
      </c>
      <c r="D4154" s="1" t="s">
        <v>146</v>
      </c>
      <c r="E4154" t="s">
        <v>136</v>
      </c>
    </row>
    <row r="4155" spans="1:5" x14ac:dyDescent="0.35">
      <c r="A4155" s="1" t="s">
        <v>147</v>
      </c>
      <c r="B4155" s="1"/>
      <c r="C4155" s="1"/>
      <c r="D4155" s="1" t="s">
        <v>148</v>
      </c>
      <c r="E4155" t="s">
        <v>136</v>
      </c>
    </row>
    <row r="4156" spans="1:5" x14ac:dyDescent="0.35">
      <c r="A4156" s="1" t="s">
        <v>147</v>
      </c>
      <c r="B4156" s="1"/>
      <c r="C4156" s="1"/>
      <c r="D4156" s="1" t="s">
        <v>149</v>
      </c>
      <c r="E4156" t="s">
        <v>136</v>
      </c>
    </row>
    <row r="4157" spans="1:5" x14ac:dyDescent="0.35">
      <c r="A4157" s="1" t="s">
        <v>147</v>
      </c>
      <c r="B4157" s="1"/>
      <c r="C4157" s="1" t="s">
        <v>150</v>
      </c>
      <c r="D4157" s="1" t="s">
        <v>146</v>
      </c>
      <c r="E4157" t="s">
        <v>136</v>
      </c>
    </row>
    <row r="4158" spans="1:5" x14ac:dyDescent="0.35">
      <c r="A4158" s="1" t="s">
        <v>147</v>
      </c>
      <c r="B4158" s="1"/>
      <c r="C4158" s="1"/>
      <c r="D4158" s="1" t="s">
        <v>148</v>
      </c>
      <c r="E4158" t="s">
        <v>136</v>
      </c>
    </row>
    <row r="4159" spans="1:5" x14ac:dyDescent="0.35">
      <c r="A4159" s="1" t="s">
        <v>147</v>
      </c>
      <c r="B4159" s="1"/>
      <c r="C4159" s="1"/>
      <c r="D4159" s="1" t="s">
        <v>149</v>
      </c>
      <c r="E4159" t="s">
        <v>136</v>
      </c>
    </row>
    <row r="4160" spans="1:5" x14ac:dyDescent="0.35">
      <c r="A4160" s="1" t="s">
        <v>97</v>
      </c>
      <c r="B4160" s="1" t="s">
        <v>144</v>
      </c>
      <c r="C4160" s="1" t="s">
        <v>145</v>
      </c>
      <c r="D4160" s="1" t="s">
        <v>146</v>
      </c>
      <c r="E4160">
        <v>181.63</v>
      </c>
    </row>
    <row r="4161" spans="1:5" x14ac:dyDescent="0.35">
      <c r="A4161" s="1" t="s">
        <v>147</v>
      </c>
      <c r="B4161" s="1"/>
      <c r="C4161" s="1"/>
      <c r="D4161" s="1" t="s">
        <v>148</v>
      </c>
      <c r="E4161">
        <v>165.31</v>
      </c>
    </row>
    <row r="4162" spans="1:5" x14ac:dyDescent="0.35">
      <c r="A4162" s="1" t="s">
        <v>147</v>
      </c>
      <c r="B4162" s="1"/>
      <c r="C4162" s="1"/>
      <c r="D4162" s="1" t="s">
        <v>149</v>
      </c>
      <c r="E4162">
        <v>16.329999999999998</v>
      </c>
    </row>
    <row r="4163" spans="1:5" x14ac:dyDescent="0.35">
      <c r="A4163" s="1" t="s">
        <v>147</v>
      </c>
      <c r="B4163" s="1"/>
      <c r="C4163" s="1" t="s">
        <v>150</v>
      </c>
      <c r="D4163" s="1" t="s">
        <v>146</v>
      </c>
      <c r="E4163" t="s">
        <v>136</v>
      </c>
    </row>
    <row r="4164" spans="1:5" x14ac:dyDescent="0.35">
      <c r="A4164" s="1" t="s">
        <v>147</v>
      </c>
      <c r="B4164" s="1"/>
      <c r="C4164" s="1"/>
      <c r="D4164" s="1" t="s">
        <v>148</v>
      </c>
      <c r="E4164" t="s">
        <v>136</v>
      </c>
    </row>
    <row r="4165" spans="1:5" x14ac:dyDescent="0.35">
      <c r="A4165" s="1" t="s">
        <v>147</v>
      </c>
      <c r="B4165" s="1"/>
      <c r="C4165" s="1"/>
      <c r="D4165" s="1" t="s">
        <v>149</v>
      </c>
      <c r="E4165" t="s">
        <v>136</v>
      </c>
    </row>
    <row r="4166" spans="1:5" x14ac:dyDescent="0.35">
      <c r="A4166" s="1" t="s">
        <v>147</v>
      </c>
      <c r="B4166" s="1" t="s">
        <v>151</v>
      </c>
      <c r="C4166" s="1" t="s">
        <v>145</v>
      </c>
      <c r="D4166" s="1" t="s">
        <v>146</v>
      </c>
      <c r="E4166">
        <v>27.55</v>
      </c>
    </row>
    <row r="4167" spans="1:5" x14ac:dyDescent="0.35">
      <c r="A4167" s="1" t="s">
        <v>147</v>
      </c>
      <c r="B4167" s="1"/>
      <c r="C4167" s="1"/>
      <c r="D4167" s="1" t="s">
        <v>148</v>
      </c>
      <c r="E4167">
        <v>12.35</v>
      </c>
    </row>
    <row r="4168" spans="1:5" x14ac:dyDescent="0.35">
      <c r="A4168" s="1" t="s">
        <v>147</v>
      </c>
      <c r="B4168" s="1"/>
      <c r="C4168" s="1"/>
      <c r="D4168" s="1" t="s">
        <v>149</v>
      </c>
      <c r="E4168">
        <v>15.2</v>
      </c>
    </row>
    <row r="4169" spans="1:5" x14ac:dyDescent="0.35">
      <c r="A4169" s="1" t="s">
        <v>147</v>
      </c>
      <c r="B4169" s="1"/>
      <c r="C4169" s="1" t="s">
        <v>150</v>
      </c>
      <c r="D4169" s="1" t="s">
        <v>146</v>
      </c>
      <c r="E4169" t="s">
        <v>136</v>
      </c>
    </row>
    <row r="4170" spans="1:5" x14ac:dyDescent="0.35">
      <c r="A4170" s="1" t="s">
        <v>147</v>
      </c>
      <c r="B4170" s="1"/>
      <c r="C4170" s="1"/>
      <c r="D4170" s="1" t="s">
        <v>148</v>
      </c>
      <c r="E4170" t="s">
        <v>136</v>
      </c>
    </row>
    <row r="4171" spans="1:5" x14ac:dyDescent="0.35">
      <c r="A4171" s="1" t="s">
        <v>147</v>
      </c>
      <c r="B4171" s="1"/>
      <c r="C4171" s="1"/>
      <c r="D4171" s="1" t="s">
        <v>149</v>
      </c>
      <c r="E4171" t="s">
        <v>136</v>
      </c>
    </row>
    <row r="4172" spans="1:5" x14ac:dyDescent="0.35">
      <c r="A4172" s="1" t="s">
        <v>147</v>
      </c>
      <c r="B4172" s="1" t="s">
        <v>152</v>
      </c>
      <c r="C4172" s="1" t="s">
        <v>145</v>
      </c>
      <c r="D4172" s="1" t="s">
        <v>146</v>
      </c>
      <c r="E4172" t="s">
        <v>136</v>
      </c>
    </row>
    <row r="4173" spans="1:5" x14ac:dyDescent="0.35">
      <c r="A4173" s="1" t="s">
        <v>147</v>
      </c>
      <c r="B4173" s="1"/>
      <c r="C4173" s="1"/>
      <c r="D4173" s="1" t="s">
        <v>148</v>
      </c>
      <c r="E4173" t="s">
        <v>136</v>
      </c>
    </row>
    <row r="4174" spans="1:5" x14ac:dyDescent="0.35">
      <c r="A4174" s="1" t="s">
        <v>147</v>
      </c>
      <c r="B4174" s="1"/>
      <c r="C4174" s="1"/>
      <c r="D4174" s="1" t="s">
        <v>149</v>
      </c>
      <c r="E4174" t="s">
        <v>136</v>
      </c>
    </row>
    <row r="4175" spans="1:5" x14ac:dyDescent="0.35">
      <c r="A4175" s="1" t="s">
        <v>147</v>
      </c>
      <c r="B4175" s="1"/>
      <c r="C4175" s="1" t="s">
        <v>150</v>
      </c>
      <c r="D4175" s="1" t="s">
        <v>146</v>
      </c>
      <c r="E4175" t="s">
        <v>136</v>
      </c>
    </row>
    <row r="4176" spans="1:5" x14ac:dyDescent="0.35">
      <c r="A4176" s="1" t="s">
        <v>147</v>
      </c>
      <c r="B4176" s="1"/>
      <c r="C4176" s="1"/>
      <c r="D4176" s="1" t="s">
        <v>148</v>
      </c>
      <c r="E4176" t="s">
        <v>136</v>
      </c>
    </row>
    <row r="4177" spans="1:5" x14ac:dyDescent="0.35">
      <c r="A4177" s="1" t="s">
        <v>147</v>
      </c>
      <c r="B4177" s="1"/>
      <c r="C4177" s="1"/>
      <c r="D4177" s="1" t="s">
        <v>149</v>
      </c>
      <c r="E4177" t="s">
        <v>136</v>
      </c>
    </row>
    <row r="4178" spans="1:5" x14ac:dyDescent="0.35">
      <c r="A4178" s="1" t="s">
        <v>147</v>
      </c>
      <c r="B4178" s="1" t="s">
        <v>153</v>
      </c>
      <c r="C4178" s="1" t="s">
        <v>145</v>
      </c>
      <c r="D4178" s="1" t="s">
        <v>146</v>
      </c>
      <c r="E4178" t="s">
        <v>136</v>
      </c>
    </row>
    <row r="4179" spans="1:5" x14ac:dyDescent="0.35">
      <c r="A4179" s="1" t="s">
        <v>147</v>
      </c>
      <c r="B4179" s="1"/>
      <c r="C4179" s="1"/>
      <c r="D4179" s="1" t="s">
        <v>148</v>
      </c>
      <c r="E4179" t="s">
        <v>136</v>
      </c>
    </row>
    <row r="4180" spans="1:5" x14ac:dyDescent="0.35">
      <c r="A4180" s="1" t="s">
        <v>147</v>
      </c>
      <c r="B4180" s="1"/>
      <c r="C4180" s="1"/>
      <c r="D4180" s="1" t="s">
        <v>149</v>
      </c>
      <c r="E4180" t="s">
        <v>136</v>
      </c>
    </row>
    <row r="4181" spans="1:5" x14ac:dyDescent="0.35">
      <c r="A4181" s="1" t="s">
        <v>147</v>
      </c>
      <c r="B4181" s="1"/>
      <c r="C4181" s="1" t="s">
        <v>150</v>
      </c>
      <c r="D4181" s="1" t="s">
        <v>146</v>
      </c>
      <c r="E4181" t="s">
        <v>136</v>
      </c>
    </row>
    <row r="4182" spans="1:5" x14ac:dyDescent="0.35">
      <c r="A4182" s="1" t="s">
        <v>147</v>
      </c>
      <c r="B4182" s="1"/>
      <c r="C4182" s="1"/>
      <c r="D4182" s="1" t="s">
        <v>148</v>
      </c>
      <c r="E4182" t="s">
        <v>136</v>
      </c>
    </row>
    <row r="4183" spans="1:5" x14ac:dyDescent="0.35">
      <c r="A4183" s="1" t="s">
        <v>147</v>
      </c>
      <c r="B4183" s="1"/>
      <c r="C4183" s="1"/>
      <c r="D4183" s="1" t="s">
        <v>149</v>
      </c>
      <c r="E4183" t="s">
        <v>136</v>
      </c>
    </row>
    <row r="4184" spans="1:5" x14ac:dyDescent="0.35">
      <c r="A4184" s="1" t="s">
        <v>147</v>
      </c>
      <c r="B4184" s="1" t="s">
        <v>154</v>
      </c>
      <c r="C4184" s="1" t="s">
        <v>145</v>
      </c>
      <c r="D4184" s="1" t="s">
        <v>146</v>
      </c>
      <c r="E4184" t="s">
        <v>136</v>
      </c>
    </row>
    <row r="4185" spans="1:5" x14ac:dyDescent="0.35">
      <c r="A4185" s="1" t="s">
        <v>147</v>
      </c>
      <c r="B4185" s="1"/>
      <c r="C4185" s="1"/>
      <c r="D4185" s="1" t="s">
        <v>148</v>
      </c>
      <c r="E4185" t="s">
        <v>136</v>
      </c>
    </row>
    <row r="4186" spans="1:5" x14ac:dyDescent="0.35">
      <c r="A4186" s="1" t="s">
        <v>147</v>
      </c>
      <c r="B4186" s="1"/>
      <c r="C4186" s="1"/>
      <c r="D4186" s="1" t="s">
        <v>149</v>
      </c>
      <c r="E4186" t="s">
        <v>136</v>
      </c>
    </row>
    <row r="4187" spans="1:5" x14ac:dyDescent="0.35">
      <c r="A4187" s="1" t="s">
        <v>147</v>
      </c>
      <c r="B4187" s="1"/>
      <c r="C4187" s="1" t="s">
        <v>150</v>
      </c>
      <c r="D4187" s="1" t="s">
        <v>146</v>
      </c>
      <c r="E4187" t="s">
        <v>136</v>
      </c>
    </row>
    <row r="4188" spans="1:5" x14ac:dyDescent="0.35">
      <c r="A4188" s="1" t="s">
        <v>147</v>
      </c>
      <c r="B4188" s="1"/>
      <c r="C4188" s="1"/>
      <c r="D4188" s="1" t="s">
        <v>148</v>
      </c>
      <c r="E4188" t="s">
        <v>136</v>
      </c>
    </row>
    <row r="4189" spans="1:5" x14ac:dyDescent="0.35">
      <c r="A4189" s="1" t="s">
        <v>147</v>
      </c>
      <c r="B4189" s="1"/>
      <c r="C4189" s="1"/>
      <c r="D4189" s="1" t="s">
        <v>149</v>
      </c>
      <c r="E4189" t="s">
        <v>136</v>
      </c>
    </row>
    <row r="4190" spans="1:5" x14ac:dyDescent="0.35">
      <c r="A4190" s="1" t="s">
        <v>147</v>
      </c>
      <c r="B4190" s="1" t="s">
        <v>155</v>
      </c>
      <c r="C4190" s="1" t="s">
        <v>145</v>
      </c>
      <c r="D4190" s="1" t="s">
        <v>146</v>
      </c>
      <c r="E4190">
        <v>153.25</v>
      </c>
    </row>
    <row r="4191" spans="1:5" x14ac:dyDescent="0.35">
      <c r="A4191" s="1" t="s">
        <v>147</v>
      </c>
      <c r="B4191" s="1"/>
      <c r="C4191" s="1"/>
      <c r="D4191" s="1" t="s">
        <v>148</v>
      </c>
      <c r="E4191">
        <v>152.12</v>
      </c>
    </row>
    <row r="4192" spans="1:5" x14ac:dyDescent="0.35">
      <c r="A4192" s="1" t="s">
        <v>147</v>
      </c>
      <c r="B4192" s="1"/>
      <c r="C4192" s="1"/>
      <c r="D4192" s="1" t="s">
        <v>149</v>
      </c>
      <c r="E4192">
        <v>1.1200000000000001</v>
      </c>
    </row>
    <row r="4193" spans="1:5" x14ac:dyDescent="0.35">
      <c r="A4193" s="1" t="s">
        <v>147</v>
      </c>
      <c r="B4193" s="1"/>
      <c r="C4193" s="1" t="s">
        <v>150</v>
      </c>
      <c r="D4193" s="1" t="s">
        <v>146</v>
      </c>
      <c r="E4193" t="s">
        <v>136</v>
      </c>
    </row>
    <row r="4194" spans="1:5" x14ac:dyDescent="0.35">
      <c r="A4194" s="1" t="s">
        <v>147</v>
      </c>
      <c r="B4194" s="1"/>
      <c r="C4194" s="1"/>
      <c r="D4194" s="1" t="s">
        <v>148</v>
      </c>
      <c r="E4194" t="s">
        <v>136</v>
      </c>
    </row>
    <row r="4195" spans="1:5" x14ac:dyDescent="0.35">
      <c r="A4195" s="1" t="s">
        <v>147</v>
      </c>
      <c r="B4195" s="1"/>
      <c r="C4195" s="1"/>
      <c r="D4195" s="1" t="s">
        <v>149</v>
      </c>
      <c r="E4195" t="s">
        <v>136</v>
      </c>
    </row>
    <row r="4196" spans="1:5" x14ac:dyDescent="0.35">
      <c r="A4196" s="1" t="s">
        <v>147</v>
      </c>
      <c r="B4196" s="1" t="s">
        <v>156</v>
      </c>
      <c r="C4196" s="1" t="s">
        <v>145</v>
      </c>
      <c r="D4196" s="1" t="s">
        <v>146</v>
      </c>
      <c r="E4196" t="s">
        <v>136</v>
      </c>
    </row>
    <row r="4197" spans="1:5" x14ac:dyDescent="0.35">
      <c r="A4197" s="1" t="s">
        <v>147</v>
      </c>
      <c r="B4197" s="1"/>
      <c r="C4197" s="1"/>
      <c r="D4197" s="1" t="s">
        <v>148</v>
      </c>
      <c r="E4197" t="s">
        <v>136</v>
      </c>
    </row>
    <row r="4198" spans="1:5" x14ac:dyDescent="0.35">
      <c r="A4198" s="1" t="s">
        <v>147</v>
      </c>
      <c r="B4198" s="1"/>
      <c r="C4198" s="1"/>
      <c r="D4198" s="1" t="s">
        <v>149</v>
      </c>
      <c r="E4198" t="s">
        <v>136</v>
      </c>
    </row>
    <row r="4199" spans="1:5" x14ac:dyDescent="0.35">
      <c r="A4199" s="1" t="s">
        <v>147</v>
      </c>
      <c r="B4199" s="1"/>
      <c r="C4199" s="1" t="s">
        <v>150</v>
      </c>
      <c r="D4199" s="1" t="s">
        <v>146</v>
      </c>
      <c r="E4199" t="s">
        <v>136</v>
      </c>
    </row>
    <row r="4200" spans="1:5" x14ac:dyDescent="0.35">
      <c r="A4200" s="1" t="s">
        <v>147</v>
      </c>
      <c r="B4200" s="1"/>
      <c r="C4200" s="1"/>
      <c r="D4200" s="1" t="s">
        <v>148</v>
      </c>
      <c r="E4200" t="s">
        <v>136</v>
      </c>
    </row>
    <row r="4201" spans="1:5" x14ac:dyDescent="0.35">
      <c r="A4201" s="1" t="s">
        <v>147</v>
      </c>
      <c r="B4201" s="1"/>
      <c r="C4201" s="1"/>
      <c r="D4201" s="1" t="s">
        <v>149</v>
      </c>
      <c r="E4201" t="s">
        <v>136</v>
      </c>
    </row>
    <row r="4202" spans="1:5" x14ac:dyDescent="0.35">
      <c r="A4202" s="1" t="s">
        <v>147</v>
      </c>
      <c r="B4202" s="1" t="s">
        <v>157</v>
      </c>
      <c r="C4202" s="1" t="s">
        <v>145</v>
      </c>
      <c r="D4202" s="1" t="s">
        <v>146</v>
      </c>
      <c r="E4202" t="s">
        <v>136</v>
      </c>
    </row>
    <row r="4203" spans="1:5" x14ac:dyDescent="0.35">
      <c r="A4203" s="1" t="s">
        <v>147</v>
      </c>
      <c r="B4203" s="1"/>
      <c r="C4203" s="1"/>
      <c r="D4203" s="1" t="s">
        <v>148</v>
      </c>
      <c r="E4203" t="s">
        <v>136</v>
      </c>
    </row>
    <row r="4204" spans="1:5" x14ac:dyDescent="0.35">
      <c r="A4204" s="1" t="s">
        <v>147</v>
      </c>
      <c r="B4204" s="1"/>
      <c r="C4204" s="1"/>
      <c r="D4204" s="1" t="s">
        <v>149</v>
      </c>
      <c r="E4204" t="s">
        <v>136</v>
      </c>
    </row>
    <row r="4205" spans="1:5" x14ac:dyDescent="0.35">
      <c r="A4205" s="1" t="s">
        <v>147</v>
      </c>
      <c r="B4205" s="1"/>
      <c r="C4205" s="1" t="s">
        <v>150</v>
      </c>
      <c r="D4205" s="1" t="s">
        <v>146</v>
      </c>
      <c r="E4205" t="s">
        <v>136</v>
      </c>
    </row>
    <row r="4206" spans="1:5" x14ac:dyDescent="0.35">
      <c r="A4206" s="1" t="s">
        <v>147</v>
      </c>
      <c r="B4206" s="1"/>
      <c r="C4206" s="1"/>
      <c r="D4206" s="1" t="s">
        <v>148</v>
      </c>
      <c r="E4206" t="s">
        <v>136</v>
      </c>
    </row>
    <row r="4207" spans="1:5" x14ac:dyDescent="0.35">
      <c r="A4207" s="1" t="s">
        <v>147</v>
      </c>
      <c r="B4207" s="1"/>
      <c r="C4207" s="1"/>
      <c r="D4207" s="1" t="s">
        <v>149</v>
      </c>
      <c r="E4207" t="s">
        <v>136</v>
      </c>
    </row>
    <row r="4208" spans="1:5" x14ac:dyDescent="0.35">
      <c r="A4208" s="1" t="s">
        <v>147</v>
      </c>
      <c r="B4208" s="1" t="s">
        <v>158</v>
      </c>
      <c r="C4208" s="1" t="s">
        <v>145</v>
      </c>
      <c r="D4208" s="1" t="s">
        <v>146</v>
      </c>
      <c r="E4208">
        <v>0.84</v>
      </c>
    </row>
    <row r="4209" spans="1:5" x14ac:dyDescent="0.35">
      <c r="A4209" s="1" t="s">
        <v>147</v>
      </c>
      <c r="B4209" s="1"/>
      <c r="C4209" s="1"/>
      <c r="D4209" s="1" t="s">
        <v>148</v>
      </c>
      <c r="E4209">
        <v>0.84</v>
      </c>
    </row>
    <row r="4210" spans="1:5" x14ac:dyDescent="0.35">
      <c r="A4210" s="1" t="s">
        <v>147</v>
      </c>
      <c r="B4210" s="1"/>
      <c r="C4210" s="1"/>
      <c r="D4210" s="1" t="s">
        <v>149</v>
      </c>
      <c r="E4210" t="s">
        <v>136</v>
      </c>
    </row>
    <row r="4211" spans="1:5" x14ac:dyDescent="0.35">
      <c r="A4211" s="1" t="s">
        <v>147</v>
      </c>
      <c r="B4211" s="1"/>
      <c r="C4211" s="1" t="s">
        <v>150</v>
      </c>
      <c r="D4211" s="1" t="s">
        <v>146</v>
      </c>
      <c r="E4211" t="s">
        <v>136</v>
      </c>
    </row>
    <row r="4212" spans="1:5" x14ac:dyDescent="0.35">
      <c r="A4212" s="1" t="s">
        <v>147</v>
      </c>
      <c r="B4212" s="1"/>
      <c r="C4212" s="1"/>
      <c r="D4212" s="1" t="s">
        <v>148</v>
      </c>
      <c r="E4212" t="s">
        <v>136</v>
      </c>
    </row>
    <row r="4213" spans="1:5" x14ac:dyDescent="0.35">
      <c r="A4213" s="1" t="s">
        <v>147</v>
      </c>
      <c r="B4213" s="1"/>
      <c r="C4213" s="1"/>
      <c r="D4213" s="1" t="s">
        <v>149</v>
      </c>
      <c r="E4213" t="s">
        <v>136</v>
      </c>
    </row>
    <row r="4214" spans="1:5" x14ac:dyDescent="0.35">
      <c r="A4214" s="1" t="s">
        <v>147</v>
      </c>
      <c r="B4214" s="1" t="s">
        <v>159</v>
      </c>
      <c r="C4214" s="1" t="s">
        <v>145</v>
      </c>
      <c r="D4214" s="1" t="s">
        <v>146</v>
      </c>
      <c r="E4214" t="s">
        <v>136</v>
      </c>
    </row>
    <row r="4215" spans="1:5" x14ac:dyDescent="0.35">
      <c r="A4215" s="1" t="s">
        <v>147</v>
      </c>
      <c r="B4215" s="1"/>
      <c r="C4215" s="1"/>
      <c r="D4215" s="1" t="s">
        <v>148</v>
      </c>
      <c r="E4215" t="s">
        <v>136</v>
      </c>
    </row>
    <row r="4216" spans="1:5" x14ac:dyDescent="0.35">
      <c r="A4216" s="1" t="s">
        <v>147</v>
      </c>
      <c r="B4216" s="1"/>
      <c r="C4216" s="1"/>
      <c r="D4216" s="1" t="s">
        <v>149</v>
      </c>
      <c r="E4216" t="s">
        <v>136</v>
      </c>
    </row>
    <row r="4217" spans="1:5" x14ac:dyDescent="0.35">
      <c r="A4217" s="1" t="s">
        <v>147</v>
      </c>
      <c r="B4217" s="1"/>
      <c r="C4217" s="1" t="s">
        <v>150</v>
      </c>
      <c r="D4217" s="1" t="s">
        <v>146</v>
      </c>
      <c r="E4217" t="s">
        <v>136</v>
      </c>
    </row>
    <row r="4218" spans="1:5" x14ac:dyDescent="0.35">
      <c r="A4218" s="1" t="s">
        <v>147</v>
      </c>
      <c r="B4218" s="1"/>
      <c r="C4218" s="1"/>
      <c r="D4218" s="1" t="s">
        <v>148</v>
      </c>
      <c r="E4218" t="s">
        <v>136</v>
      </c>
    </row>
    <row r="4219" spans="1:5" x14ac:dyDescent="0.35">
      <c r="A4219" s="1" t="s">
        <v>147</v>
      </c>
      <c r="B4219" s="1"/>
      <c r="C4219" s="1"/>
      <c r="D4219" s="1" t="s">
        <v>149</v>
      </c>
      <c r="E4219" t="s">
        <v>136</v>
      </c>
    </row>
    <row r="4220" spans="1:5" x14ac:dyDescent="0.35">
      <c r="A4220" s="1" t="s">
        <v>147</v>
      </c>
      <c r="B4220" s="1" t="s">
        <v>160</v>
      </c>
      <c r="C4220" s="1" t="s">
        <v>145</v>
      </c>
      <c r="D4220" s="1" t="s">
        <v>146</v>
      </c>
      <c r="E4220" t="s">
        <v>136</v>
      </c>
    </row>
    <row r="4221" spans="1:5" x14ac:dyDescent="0.35">
      <c r="A4221" s="1" t="s">
        <v>147</v>
      </c>
      <c r="B4221" s="1"/>
      <c r="C4221" s="1"/>
      <c r="D4221" s="1" t="s">
        <v>148</v>
      </c>
      <c r="E4221" t="s">
        <v>136</v>
      </c>
    </row>
    <row r="4222" spans="1:5" x14ac:dyDescent="0.35">
      <c r="A4222" s="1" t="s">
        <v>147</v>
      </c>
      <c r="B4222" s="1"/>
      <c r="C4222" s="1"/>
      <c r="D4222" s="1" t="s">
        <v>149</v>
      </c>
      <c r="E4222" t="s">
        <v>136</v>
      </c>
    </row>
    <row r="4223" spans="1:5" x14ac:dyDescent="0.35">
      <c r="A4223" s="1" t="s">
        <v>147</v>
      </c>
      <c r="B4223" s="1"/>
      <c r="C4223" s="1" t="s">
        <v>150</v>
      </c>
      <c r="D4223" s="1" t="s">
        <v>146</v>
      </c>
      <c r="E4223" t="s">
        <v>136</v>
      </c>
    </row>
    <row r="4224" spans="1:5" x14ac:dyDescent="0.35">
      <c r="A4224" s="1" t="s">
        <v>147</v>
      </c>
      <c r="B4224" s="1"/>
      <c r="C4224" s="1"/>
      <c r="D4224" s="1" t="s">
        <v>148</v>
      </c>
      <c r="E4224" t="s">
        <v>136</v>
      </c>
    </row>
    <row r="4225" spans="1:5" x14ac:dyDescent="0.35">
      <c r="A4225" s="1" t="s">
        <v>147</v>
      </c>
      <c r="B4225" s="1"/>
      <c r="C4225" s="1"/>
      <c r="D4225" s="1" t="s">
        <v>149</v>
      </c>
      <c r="E4225" t="s">
        <v>136</v>
      </c>
    </row>
    <row r="4226" spans="1:5" x14ac:dyDescent="0.35">
      <c r="A4226" s="1" t="s">
        <v>147</v>
      </c>
      <c r="B4226" s="1" t="s">
        <v>161</v>
      </c>
      <c r="C4226" s="1" t="s">
        <v>145</v>
      </c>
      <c r="D4226" s="1" t="s">
        <v>146</v>
      </c>
      <c r="E4226" t="s">
        <v>136</v>
      </c>
    </row>
    <row r="4227" spans="1:5" x14ac:dyDescent="0.35">
      <c r="A4227" s="1" t="s">
        <v>147</v>
      </c>
      <c r="B4227" s="1"/>
      <c r="C4227" s="1"/>
      <c r="D4227" s="1" t="s">
        <v>148</v>
      </c>
      <c r="E4227" t="s">
        <v>136</v>
      </c>
    </row>
    <row r="4228" spans="1:5" x14ac:dyDescent="0.35">
      <c r="A4228" s="1" t="s">
        <v>147</v>
      </c>
      <c r="B4228" s="1"/>
      <c r="C4228" s="1"/>
      <c r="D4228" s="1" t="s">
        <v>149</v>
      </c>
      <c r="E4228" t="s">
        <v>136</v>
      </c>
    </row>
    <row r="4229" spans="1:5" x14ac:dyDescent="0.35">
      <c r="A4229" s="1" t="s">
        <v>147</v>
      </c>
      <c r="B4229" s="1"/>
      <c r="C4229" s="1" t="s">
        <v>150</v>
      </c>
      <c r="D4229" s="1" t="s">
        <v>146</v>
      </c>
      <c r="E4229" t="s">
        <v>136</v>
      </c>
    </row>
    <row r="4230" spans="1:5" x14ac:dyDescent="0.35">
      <c r="A4230" s="1" t="s">
        <v>147</v>
      </c>
      <c r="B4230" s="1"/>
      <c r="C4230" s="1"/>
      <c r="D4230" s="1" t="s">
        <v>148</v>
      </c>
      <c r="E4230" t="s">
        <v>136</v>
      </c>
    </row>
    <row r="4231" spans="1:5" x14ac:dyDescent="0.35">
      <c r="A4231" s="1" t="s">
        <v>147</v>
      </c>
      <c r="B4231" s="1"/>
      <c r="C4231" s="1"/>
      <c r="D4231" s="1" t="s">
        <v>149</v>
      </c>
      <c r="E4231" t="s">
        <v>136</v>
      </c>
    </row>
    <row r="4232" spans="1:5" x14ac:dyDescent="0.35">
      <c r="A4232" s="1" t="s">
        <v>147</v>
      </c>
      <c r="B4232" s="1" t="s">
        <v>162</v>
      </c>
      <c r="C4232" s="1" t="s">
        <v>145</v>
      </c>
      <c r="D4232" s="1" t="s">
        <v>146</v>
      </c>
      <c r="E4232" t="s">
        <v>136</v>
      </c>
    </row>
    <row r="4233" spans="1:5" x14ac:dyDescent="0.35">
      <c r="A4233" s="1" t="s">
        <v>147</v>
      </c>
      <c r="B4233" s="1"/>
      <c r="C4233" s="1"/>
      <c r="D4233" s="1" t="s">
        <v>148</v>
      </c>
      <c r="E4233" t="s">
        <v>136</v>
      </c>
    </row>
    <row r="4234" spans="1:5" x14ac:dyDescent="0.35">
      <c r="A4234" s="1" t="s">
        <v>147</v>
      </c>
      <c r="B4234" s="1"/>
      <c r="C4234" s="1"/>
      <c r="D4234" s="1" t="s">
        <v>149</v>
      </c>
      <c r="E4234" t="s">
        <v>136</v>
      </c>
    </row>
    <row r="4235" spans="1:5" x14ac:dyDescent="0.35">
      <c r="A4235" s="1" t="s">
        <v>147</v>
      </c>
      <c r="B4235" s="1"/>
      <c r="C4235" s="1" t="s">
        <v>150</v>
      </c>
      <c r="D4235" s="1" t="s">
        <v>146</v>
      </c>
      <c r="E4235" t="s">
        <v>136</v>
      </c>
    </row>
    <row r="4236" spans="1:5" x14ac:dyDescent="0.35">
      <c r="A4236" s="1" t="s">
        <v>147</v>
      </c>
      <c r="B4236" s="1"/>
      <c r="C4236" s="1"/>
      <c r="D4236" s="1" t="s">
        <v>148</v>
      </c>
      <c r="E4236" t="s">
        <v>136</v>
      </c>
    </row>
    <row r="4237" spans="1:5" x14ac:dyDescent="0.35">
      <c r="A4237" s="1" t="s">
        <v>147</v>
      </c>
      <c r="B4237" s="1"/>
      <c r="C4237" s="1"/>
      <c r="D4237" s="1" t="s">
        <v>149</v>
      </c>
      <c r="E4237" t="s">
        <v>136</v>
      </c>
    </row>
    <row r="4238" spans="1:5" x14ac:dyDescent="0.35">
      <c r="A4238" s="1" t="s">
        <v>147</v>
      </c>
      <c r="B4238" s="1" t="s">
        <v>163</v>
      </c>
      <c r="C4238" s="1" t="s">
        <v>145</v>
      </c>
      <c r="D4238" s="1" t="s">
        <v>146</v>
      </c>
      <c r="E4238">
        <v>213.59</v>
      </c>
    </row>
    <row r="4239" spans="1:5" x14ac:dyDescent="0.35">
      <c r="A4239" s="1" t="s">
        <v>147</v>
      </c>
      <c r="B4239" s="1"/>
      <c r="C4239" s="1"/>
      <c r="D4239" s="1" t="s">
        <v>148</v>
      </c>
      <c r="E4239">
        <v>199.59</v>
      </c>
    </row>
    <row r="4240" spans="1:5" x14ac:dyDescent="0.35">
      <c r="A4240" s="1" t="s">
        <v>147</v>
      </c>
      <c r="B4240" s="1"/>
      <c r="C4240" s="1"/>
      <c r="D4240" s="1" t="s">
        <v>149</v>
      </c>
      <c r="E4240">
        <v>14</v>
      </c>
    </row>
    <row r="4241" spans="1:5" x14ac:dyDescent="0.35">
      <c r="A4241" s="1" t="s">
        <v>147</v>
      </c>
      <c r="B4241" s="1"/>
      <c r="C4241" s="1" t="s">
        <v>150</v>
      </c>
      <c r="D4241" s="1" t="s">
        <v>146</v>
      </c>
      <c r="E4241" t="s">
        <v>136</v>
      </c>
    </row>
    <row r="4242" spans="1:5" x14ac:dyDescent="0.35">
      <c r="A4242" s="1" t="s">
        <v>147</v>
      </c>
      <c r="B4242" s="1"/>
      <c r="C4242" s="1"/>
      <c r="D4242" s="1" t="s">
        <v>148</v>
      </c>
      <c r="E4242" t="s">
        <v>136</v>
      </c>
    </row>
    <row r="4243" spans="1:5" x14ac:dyDescent="0.35">
      <c r="A4243" s="1" t="s">
        <v>147</v>
      </c>
      <c r="B4243" s="1"/>
      <c r="C4243" s="1"/>
      <c r="D4243" s="1" t="s">
        <v>149</v>
      </c>
      <c r="E4243" t="s">
        <v>136</v>
      </c>
    </row>
    <row r="4244" spans="1:5" x14ac:dyDescent="0.35">
      <c r="A4244" s="1" t="s">
        <v>147</v>
      </c>
      <c r="B4244" s="1" t="s">
        <v>164</v>
      </c>
      <c r="C4244" s="1" t="s">
        <v>145</v>
      </c>
      <c r="D4244" s="1" t="s">
        <v>146</v>
      </c>
      <c r="E4244" t="s">
        <v>136</v>
      </c>
    </row>
    <row r="4245" spans="1:5" x14ac:dyDescent="0.35">
      <c r="A4245" s="1" t="s">
        <v>147</v>
      </c>
      <c r="B4245" s="1"/>
      <c r="C4245" s="1"/>
      <c r="D4245" s="1" t="s">
        <v>148</v>
      </c>
      <c r="E4245" t="s">
        <v>136</v>
      </c>
    </row>
    <row r="4246" spans="1:5" x14ac:dyDescent="0.35">
      <c r="A4246" s="1" t="s">
        <v>147</v>
      </c>
      <c r="B4246" s="1"/>
      <c r="C4246" s="1"/>
      <c r="D4246" s="1" t="s">
        <v>149</v>
      </c>
      <c r="E4246" t="s">
        <v>136</v>
      </c>
    </row>
    <row r="4247" spans="1:5" x14ac:dyDescent="0.35">
      <c r="A4247" s="1" t="s">
        <v>147</v>
      </c>
      <c r="B4247" s="1"/>
      <c r="C4247" s="1" t="s">
        <v>150</v>
      </c>
      <c r="D4247" s="1" t="s">
        <v>146</v>
      </c>
      <c r="E4247" t="s">
        <v>136</v>
      </c>
    </row>
    <row r="4248" spans="1:5" x14ac:dyDescent="0.35">
      <c r="A4248" s="1" t="s">
        <v>147</v>
      </c>
      <c r="B4248" s="1"/>
      <c r="C4248" s="1"/>
      <c r="D4248" s="1" t="s">
        <v>148</v>
      </c>
      <c r="E4248" t="s">
        <v>136</v>
      </c>
    </row>
    <row r="4249" spans="1:5" x14ac:dyDescent="0.35">
      <c r="A4249" s="1" t="s">
        <v>147</v>
      </c>
      <c r="B4249" s="1"/>
      <c r="C4249" s="1"/>
      <c r="D4249" s="1" t="s">
        <v>149</v>
      </c>
      <c r="E4249" t="s">
        <v>136</v>
      </c>
    </row>
    <row r="4250" spans="1:5" x14ac:dyDescent="0.35">
      <c r="A4250" s="1" t="s">
        <v>147</v>
      </c>
      <c r="B4250" s="1" t="s">
        <v>165</v>
      </c>
      <c r="C4250" s="1" t="s">
        <v>145</v>
      </c>
      <c r="D4250" s="1" t="s">
        <v>146</v>
      </c>
      <c r="E4250">
        <v>85</v>
      </c>
    </row>
    <row r="4251" spans="1:5" x14ac:dyDescent="0.35">
      <c r="A4251" s="1" t="s">
        <v>147</v>
      </c>
      <c r="B4251" s="1"/>
      <c r="C4251" s="1"/>
      <c r="D4251" s="1" t="s">
        <v>148</v>
      </c>
      <c r="E4251">
        <v>85</v>
      </c>
    </row>
    <row r="4252" spans="1:5" x14ac:dyDescent="0.35">
      <c r="A4252" s="1" t="s">
        <v>147</v>
      </c>
      <c r="B4252" s="1"/>
      <c r="C4252" s="1"/>
      <c r="D4252" s="1" t="s">
        <v>149</v>
      </c>
      <c r="E4252" t="s">
        <v>136</v>
      </c>
    </row>
    <row r="4253" spans="1:5" x14ac:dyDescent="0.35">
      <c r="A4253" s="1" t="s">
        <v>147</v>
      </c>
      <c r="B4253" s="1"/>
      <c r="C4253" s="1" t="s">
        <v>150</v>
      </c>
      <c r="D4253" s="1" t="s">
        <v>146</v>
      </c>
      <c r="E4253" t="s">
        <v>136</v>
      </c>
    </row>
    <row r="4254" spans="1:5" x14ac:dyDescent="0.35">
      <c r="A4254" s="1" t="s">
        <v>147</v>
      </c>
      <c r="B4254" s="1"/>
      <c r="C4254" s="1"/>
      <c r="D4254" s="1" t="s">
        <v>148</v>
      </c>
      <c r="E4254" t="s">
        <v>136</v>
      </c>
    </row>
    <row r="4255" spans="1:5" x14ac:dyDescent="0.35">
      <c r="A4255" s="1" t="s">
        <v>147</v>
      </c>
      <c r="B4255" s="1"/>
      <c r="C4255" s="1"/>
      <c r="D4255" s="1" t="s">
        <v>149</v>
      </c>
      <c r="E4255" t="s">
        <v>136</v>
      </c>
    </row>
    <row r="4256" spans="1:5" x14ac:dyDescent="0.35">
      <c r="A4256" s="1" t="s">
        <v>147</v>
      </c>
      <c r="B4256" s="1" t="s">
        <v>166</v>
      </c>
      <c r="C4256" s="1" t="s">
        <v>145</v>
      </c>
      <c r="D4256" s="1" t="s">
        <v>146</v>
      </c>
      <c r="E4256">
        <v>42.8</v>
      </c>
    </row>
    <row r="4257" spans="1:5" x14ac:dyDescent="0.35">
      <c r="A4257" s="1" t="s">
        <v>147</v>
      </c>
      <c r="B4257" s="1"/>
      <c r="C4257" s="1"/>
      <c r="D4257" s="1" t="s">
        <v>148</v>
      </c>
      <c r="E4257">
        <v>28.8</v>
      </c>
    </row>
    <row r="4258" spans="1:5" x14ac:dyDescent="0.35">
      <c r="A4258" s="1" t="s">
        <v>147</v>
      </c>
      <c r="B4258" s="1"/>
      <c r="C4258" s="1"/>
      <c r="D4258" s="1" t="s">
        <v>149</v>
      </c>
      <c r="E4258">
        <v>14</v>
      </c>
    </row>
    <row r="4259" spans="1:5" x14ac:dyDescent="0.35">
      <c r="A4259" s="1" t="s">
        <v>147</v>
      </c>
      <c r="B4259" s="1"/>
      <c r="C4259" s="1" t="s">
        <v>150</v>
      </c>
      <c r="D4259" s="1" t="s">
        <v>146</v>
      </c>
      <c r="E4259" t="s">
        <v>136</v>
      </c>
    </row>
    <row r="4260" spans="1:5" x14ac:dyDescent="0.35">
      <c r="A4260" s="1" t="s">
        <v>147</v>
      </c>
      <c r="B4260" s="1"/>
      <c r="C4260" s="1"/>
      <c r="D4260" s="1" t="s">
        <v>148</v>
      </c>
      <c r="E4260" t="s">
        <v>136</v>
      </c>
    </row>
    <row r="4261" spans="1:5" x14ac:dyDescent="0.35">
      <c r="A4261" s="1" t="s">
        <v>147</v>
      </c>
      <c r="B4261" s="1"/>
      <c r="C4261" s="1"/>
      <c r="D4261" s="1" t="s">
        <v>149</v>
      </c>
      <c r="E4261" t="s">
        <v>136</v>
      </c>
    </row>
    <row r="4262" spans="1:5" x14ac:dyDescent="0.35">
      <c r="A4262" s="1" t="s">
        <v>147</v>
      </c>
      <c r="B4262" s="1" t="s">
        <v>167</v>
      </c>
      <c r="C4262" s="1" t="s">
        <v>145</v>
      </c>
      <c r="D4262" s="1" t="s">
        <v>146</v>
      </c>
      <c r="E4262">
        <v>85.79</v>
      </c>
    </row>
    <row r="4263" spans="1:5" x14ac:dyDescent="0.35">
      <c r="A4263" s="1" t="s">
        <v>147</v>
      </c>
      <c r="B4263" s="1"/>
      <c r="C4263" s="1"/>
      <c r="D4263" s="1" t="s">
        <v>148</v>
      </c>
      <c r="E4263">
        <v>85.79</v>
      </c>
    </row>
    <row r="4264" spans="1:5" x14ac:dyDescent="0.35">
      <c r="A4264" s="1" t="s">
        <v>147</v>
      </c>
      <c r="B4264" s="1"/>
      <c r="C4264" s="1"/>
      <c r="D4264" s="1" t="s">
        <v>149</v>
      </c>
      <c r="E4264" t="s">
        <v>136</v>
      </c>
    </row>
    <row r="4265" spans="1:5" x14ac:dyDescent="0.35">
      <c r="A4265" s="1" t="s">
        <v>147</v>
      </c>
      <c r="B4265" s="1"/>
      <c r="C4265" s="1" t="s">
        <v>150</v>
      </c>
      <c r="D4265" s="1" t="s">
        <v>146</v>
      </c>
      <c r="E4265" t="s">
        <v>136</v>
      </c>
    </row>
    <row r="4266" spans="1:5" x14ac:dyDescent="0.35">
      <c r="A4266" s="1" t="s">
        <v>147</v>
      </c>
      <c r="B4266" s="1"/>
      <c r="C4266" s="1"/>
      <c r="D4266" s="1" t="s">
        <v>148</v>
      </c>
      <c r="E4266" t="s">
        <v>136</v>
      </c>
    </row>
    <row r="4267" spans="1:5" x14ac:dyDescent="0.35">
      <c r="A4267" s="1" t="s">
        <v>147</v>
      </c>
      <c r="B4267" s="1"/>
      <c r="C4267" s="1"/>
      <c r="D4267" s="1" t="s">
        <v>149</v>
      </c>
      <c r="E4267" t="s">
        <v>136</v>
      </c>
    </row>
    <row r="4268" spans="1:5" x14ac:dyDescent="0.35">
      <c r="A4268" s="1" t="s">
        <v>147</v>
      </c>
      <c r="B4268" s="1" t="s">
        <v>168</v>
      </c>
      <c r="C4268" s="1" t="s">
        <v>145</v>
      </c>
      <c r="D4268" s="1" t="s">
        <v>146</v>
      </c>
      <c r="E4268" t="s">
        <v>136</v>
      </c>
    </row>
    <row r="4269" spans="1:5" x14ac:dyDescent="0.35">
      <c r="A4269" s="1" t="s">
        <v>147</v>
      </c>
      <c r="B4269" s="1"/>
      <c r="C4269" s="1"/>
      <c r="D4269" s="1" t="s">
        <v>148</v>
      </c>
      <c r="E4269" t="s">
        <v>136</v>
      </c>
    </row>
    <row r="4270" spans="1:5" x14ac:dyDescent="0.35">
      <c r="A4270" s="1" t="s">
        <v>147</v>
      </c>
      <c r="B4270" s="1"/>
      <c r="C4270" s="1"/>
      <c r="D4270" s="1" t="s">
        <v>149</v>
      </c>
      <c r="E4270" t="s">
        <v>136</v>
      </c>
    </row>
    <row r="4271" spans="1:5" x14ac:dyDescent="0.35">
      <c r="A4271" s="1" t="s">
        <v>147</v>
      </c>
      <c r="B4271" s="1"/>
      <c r="C4271" s="1" t="s">
        <v>150</v>
      </c>
      <c r="D4271" s="1" t="s">
        <v>146</v>
      </c>
      <c r="E4271" t="s">
        <v>136</v>
      </c>
    </row>
    <row r="4272" spans="1:5" x14ac:dyDescent="0.35">
      <c r="A4272" s="1" t="s">
        <v>147</v>
      </c>
      <c r="B4272" s="1"/>
      <c r="C4272" s="1"/>
      <c r="D4272" s="1" t="s">
        <v>148</v>
      </c>
      <c r="E4272" t="s">
        <v>136</v>
      </c>
    </row>
    <row r="4273" spans="1:5" x14ac:dyDescent="0.35">
      <c r="A4273" s="1" t="s">
        <v>147</v>
      </c>
      <c r="B4273" s="1"/>
      <c r="C4273" s="1"/>
      <c r="D4273" s="1" t="s">
        <v>149</v>
      </c>
      <c r="E4273" t="s">
        <v>136</v>
      </c>
    </row>
    <row r="4274" spans="1:5" x14ac:dyDescent="0.35">
      <c r="A4274" s="1" t="s">
        <v>147</v>
      </c>
      <c r="B4274" s="1" t="s">
        <v>169</v>
      </c>
      <c r="C4274" s="1" t="s">
        <v>145</v>
      </c>
      <c r="D4274" s="1" t="s">
        <v>146</v>
      </c>
      <c r="E4274" t="s">
        <v>136</v>
      </c>
    </row>
    <row r="4275" spans="1:5" x14ac:dyDescent="0.35">
      <c r="A4275" s="1" t="s">
        <v>147</v>
      </c>
      <c r="B4275" s="1"/>
      <c r="C4275" s="1"/>
      <c r="D4275" s="1" t="s">
        <v>148</v>
      </c>
      <c r="E4275" t="s">
        <v>136</v>
      </c>
    </row>
    <row r="4276" spans="1:5" x14ac:dyDescent="0.35">
      <c r="A4276" s="1" t="s">
        <v>147</v>
      </c>
      <c r="B4276" s="1"/>
      <c r="C4276" s="1"/>
      <c r="D4276" s="1" t="s">
        <v>149</v>
      </c>
      <c r="E4276" t="s">
        <v>136</v>
      </c>
    </row>
    <row r="4277" spans="1:5" x14ac:dyDescent="0.35">
      <c r="A4277" s="1" t="s">
        <v>147</v>
      </c>
      <c r="B4277" s="1"/>
      <c r="C4277" s="1" t="s">
        <v>150</v>
      </c>
      <c r="D4277" s="1" t="s">
        <v>146</v>
      </c>
      <c r="E4277" t="s">
        <v>136</v>
      </c>
    </row>
    <row r="4278" spans="1:5" x14ac:dyDescent="0.35">
      <c r="A4278" s="1" t="s">
        <v>147</v>
      </c>
      <c r="B4278" s="1"/>
      <c r="C4278" s="1"/>
      <c r="D4278" s="1" t="s">
        <v>148</v>
      </c>
      <c r="E4278" t="s">
        <v>136</v>
      </c>
    </row>
    <row r="4279" spans="1:5" x14ac:dyDescent="0.35">
      <c r="A4279" s="1" t="s">
        <v>147</v>
      </c>
      <c r="B4279" s="1"/>
      <c r="C4279" s="1"/>
      <c r="D4279" s="1" t="s">
        <v>149</v>
      </c>
      <c r="E4279" t="s">
        <v>136</v>
      </c>
    </row>
    <row r="4280" spans="1:5" x14ac:dyDescent="0.35">
      <c r="A4280" s="1" t="s">
        <v>147</v>
      </c>
      <c r="B4280" s="1" t="s">
        <v>170</v>
      </c>
      <c r="C4280" s="1" t="s">
        <v>145</v>
      </c>
      <c r="D4280" s="1" t="s">
        <v>146</v>
      </c>
      <c r="E4280" t="s">
        <v>136</v>
      </c>
    </row>
    <row r="4281" spans="1:5" x14ac:dyDescent="0.35">
      <c r="A4281" s="1" t="s">
        <v>147</v>
      </c>
      <c r="B4281" s="1"/>
      <c r="C4281" s="1"/>
      <c r="D4281" s="1" t="s">
        <v>148</v>
      </c>
      <c r="E4281" t="s">
        <v>136</v>
      </c>
    </row>
    <row r="4282" spans="1:5" x14ac:dyDescent="0.35">
      <c r="A4282" s="1" t="s">
        <v>147</v>
      </c>
      <c r="B4282" s="1"/>
      <c r="C4282" s="1"/>
      <c r="D4282" s="1" t="s">
        <v>149</v>
      </c>
      <c r="E4282" t="s">
        <v>136</v>
      </c>
    </row>
    <row r="4283" spans="1:5" x14ac:dyDescent="0.35">
      <c r="A4283" s="1" t="s">
        <v>147</v>
      </c>
      <c r="B4283" s="1"/>
      <c r="C4283" s="1" t="s">
        <v>150</v>
      </c>
      <c r="D4283" s="1" t="s">
        <v>146</v>
      </c>
      <c r="E4283" t="s">
        <v>136</v>
      </c>
    </row>
    <row r="4284" spans="1:5" x14ac:dyDescent="0.35">
      <c r="A4284" s="1" t="s">
        <v>147</v>
      </c>
      <c r="B4284" s="1"/>
      <c r="C4284" s="1"/>
      <c r="D4284" s="1" t="s">
        <v>148</v>
      </c>
      <c r="E4284" t="s">
        <v>136</v>
      </c>
    </row>
    <row r="4285" spans="1:5" x14ac:dyDescent="0.35">
      <c r="A4285" s="1" t="s">
        <v>147</v>
      </c>
      <c r="B4285" s="1"/>
      <c r="C4285" s="1"/>
      <c r="D4285" s="1" t="s">
        <v>149</v>
      </c>
      <c r="E4285" t="s">
        <v>136</v>
      </c>
    </row>
    <row r="4286" spans="1:5" x14ac:dyDescent="0.35">
      <c r="A4286" s="1" t="s">
        <v>107</v>
      </c>
      <c r="B4286" s="1" t="s">
        <v>144</v>
      </c>
      <c r="C4286" s="1" t="s">
        <v>145</v>
      </c>
      <c r="D4286" s="1" t="s">
        <v>146</v>
      </c>
      <c r="E4286">
        <v>2.4700000000000002</v>
      </c>
    </row>
    <row r="4287" spans="1:5" x14ac:dyDescent="0.35">
      <c r="A4287" s="1" t="s">
        <v>147</v>
      </c>
      <c r="B4287" s="1"/>
      <c r="C4287" s="1"/>
      <c r="D4287" s="1" t="s">
        <v>148</v>
      </c>
      <c r="E4287">
        <v>2.46</v>
      </c>
    </row>
    <row r="4288" spans="1:5" x14ac:dyDescent="0.35">
      <c r="A4288" s="1" t="s">
        <v>147</v>
      </c>
      <c r="B4288" s="1"/>
      <c r="C4288" s="1"/>
      <c r="D4288" s="1" t="s">
        <v>149</v>
      </c>
      <c r="E4288">
        <v>0.01</v>
      </c>
    </row>
    <row r="4289" spans="1:5" x14ac:dyDescent="0.35">
      <c r="A4289" s="1" t="s">
        <v>147</v>
      </c>
      <c r="B4289" s="1"/>
      <c r="C4289" s="1" t="s">
        <v>150</v>
      </c>
      <c r="D4289" s="1" t="s">
        <v>146</v>
      </c>
      <c r="E4289" t="s">
        <v>136</v>
      </c>
    </row>
    <row r="4290" spans="1:5" x14ac:dyDescent="0.35">
      <c r="A4290" s="1" t="s">
        <v>147</v>
      </c>
      <c r="B4290" s="1"/>
      <c r="C4290" s="1"/>
      <c r="D4290" s="1" t="s">
        <v>148</v>
      </c>
      <c r="E4290" t="s">
        <v>136</v>
      </c>
    </row>
    <row r="4291" spans="1:5" x14ac:dyDescent="0.35">
      <c r="A4291" s="1" t="s">
        <v>147</v>
      </c>
      <c r="B4291" s="1"/>
      <c r="C4291" s="1"/>
      <c r="D4291" s="1" t="s">
        <v>149</v>
      </c>
      <c r="E4291" t="s">
        <v>136</v>
      </c>
    </row>
    <row r="4292" spans="1:5" x14ac:dyDescent="0.35">
      <c r="A4292" s="1" t="s">
        <v>147</v>
      </c>
      <c r="B4292" s="1" t="s">
        <v>151</v>
      </c>
      <c r="C4292" s="1" t="s">
        <v>145</v>
      </c>
      <c r="D4292" s="1" t="s">
        <v>146</v>
      </c>
      <c r="E4292">
        <v>0.55000000000000004</v>
      </c>
    </row>
    <row r="4293" spans="1:5" x14ac:dyDescent="0.35">
      <c r="A4293" s="1" t="s">
        <v>147</v>
      </c>
      <c r="B4293" s="1"/>
      <c r="C4293" s="1"/>
      <c r="D4293" s="1" t="s">
        <v>148</v>
      </c>
      <c r="E4293">
        <v>0.54</v>
      </c>
    </row>
    <row r="4294" spans="1:5" x14ac:dyDescent="0.35">
      <c r="A4294" s="1" t="s">
        <v>147</v>
      </c>
      <c r="B4294" s="1"/>
      <c r="C4294" s="1"/>
      <c r="D4294" s="1" t="s">
        <v>149</v>
      </c>
      <c r="E4294">
        <v>0.01</v>
      </c>
    </row>
    <row r="4295" spans="1:5" x14ac:dyDescent="0.35">
      <c r="A4295" s="1" t="s">
        <v>147</v>
      </c>
      <c r="B4295" s="1"/>
      <c r="C4295" s="1" t="s">
        <v>150</v>
      </c>
      <c r="D4295" s="1" t="s">
        <v>146</v>
      </c>
      <c r="E4295" t="s">
        <v>136</v>
      </c>
    </row>
    <row r="4296" spans="1:5" x14ac:dyDescent="0.35">
      <c r="A4296" s="1" t="s">
        <v>147</v>
      </c>
      <c r="B4296" s="1"/>
      <c r="C4296" s="1"/>
      <c r="D4296" s="1" t="s">
        <v>148</v>
      </c>
      <c r="E4296" t="s">
        <v>136</v>
      </c>
    </row>
    <row r="4297" spans="1:5" x14ac:dyDescent="0.35">
      <c r="A4297" s="1" t="s">
        <v>147</v>
      </c>
      <c r="B4297" s="1"/>
      <c r="C4297" s="1"/>
      <c r="D4297" s="1" t="s">
        <v>149</v>
      </c>
      <c r="E4297" t="s">
        <v>136</v>
      </c>
    </row>
    <row r="4298" spans="1:5" x14ac:dyDescent="0.35">
      <c r="A4298" s="1" t="s">
        <v>147</v>
      </c>
      <c r="B4298" s="1" t="s">
        <v>152</v>
      </c>
      <c r="C4298" s="1" t="s">
        <v>145</v>
      </c>
      <c r="D4298" s="1" t="s">
        <v>146</v>
      </c>
      <c r="E4298" t="s">
        <v>136</v>
      </c>
    </row>
    <row r="4299" spans="1:5" x14ac:dyDescent="0.35">
      <c r="A4299" s="1" t="s">
        <v>147</v>
      </c>
      <c r="B4299" s="1"/>
      <c r="C4299" s="1"/>
      <c r="D4299" s="1" t="s">
        <v>148</v>
      </c>
      <c r="E4299" t="s">
        <v>136</v>
      </c>
    </row>
    <row r="4300" spans="1:5" x14ac:dyDescent="0.35">
      <c r="A4300" s="1" t="s">
        <v>147</v>
      </c>
      <c r="B4300" s="1"/>
      <c r="C4300" s="1"/>
      <c r="D4300" s="1" t="s">
        <v>149</v>
      </c>
      <c r="E4300" t="s">
        <v>136</v>
      </c>
    </row>
    <row r="4301" spans="1:5" x14ac:dyDescent="0.35">
      <c r="A4301" s="1" t="s">
        <v>147</v>
      </c>
      <c r="B4301" s="1"/>
      <c r="C4301" s="1" t="s">
        <v>150</v>
      </c>
      <c r="D4301" s="1" t="s">
        <v>146</v>
      </c>
      <c r="E4301" t="s">
        <v>136</v>
      </c>
    </row>
    <row r="4302" spans="1:5" x14ac:dyDescent="0.35">
      <c r="A4302" s="1" t="s">
        <v>147</v>
      </c>
      <c r="B4302" s="1"/>
      <c r="C4302" s="1"/>
      <c r="D4302" s="1" t="s">
        <v>148</v>
      </c>
      <c r="E4302" t="s">
        <v>136</v>
      </c>
    </row>
    <row r="4303" spans="1:5" x14ac:dyDescent="0.35">
      <c r="A4303" s="1" t="s">
        <v>147</v>
      </c>
      <c r="B4303" s="1"/>
      <c r="C4303" s="1"/>
      <c r="D4303" s="1" t="s">
        <v>149</v>
      </c>
      <c r="E4303" t="s">
        <v>136</v>
      </c>
    </row>
    <row r="4304" spans="1:5" x14ac:dyDescent="0.35">
      <c r="A4304" s="1" t="s">
        <v>147</v>
      </c>
      <c r="B4304" s="1" t="s">
        <v>153</v>
      </c>
      <c r="C4304" s="1" t="s">
        <v>145</v>
      </c>
      <c r="D4304" s="1" t="s">
        <v>146</v>
      </c>
      <c r="E4304" t="s">
        <v>136</v>
      </c>
    </row>
    <row r="4305" spans="1:5" x14ac:dyDescent="0.35">
      <c r="A4305" s="1" t="s">
        <v>147</v>
      </c>
      <c r="B4305" s="1"/>
      <c r="C4305" s="1"/>
      <c r="D4305" s="1" t="s">
        <v>148</v>
      </c>
      <c r="E4305" t="s">
        <v>136</v>
      </c>
    </row>
    <row r="4306" spans="1:5" x14ac:dyDescent="0.35">
      <c r="A4306" s="1" t="s">
        <v>147</v>
      </c>
      <c r="B4306" s="1"/>
      <c r="C4306" s="1"/>
      <c r="D4306" s="1" t="s">
        <v>149</v>
      </c>
      <c r="E4306" t="s">
        <v>136</v>
      </c>
    </row>
    <row r="4307" spans="1:5" x14ac:dyDescent="0.35">
      <c r="A4307" s="1" t="s">
        <v>147</v>
      </c>
      <c r="B4307" s="1"/>
      <c r="C4307" s="1" t="s">
        <v>150</v>
      </c>
      <c r="D4307" s="1" t="s">
        <v>146</v>
      </c>
      <c r="E4307" t="s">
        <v>136</v>
      </c>
    </row>
    <row r="4308" spans="1:5" x14ac:dyDescent="0.35">
      <c r="A4308" s="1" t="s">
        <v>147</v>
      </c>
      <c r="B4308" s="1"/>
      <c r="C4308" s="1"/>
      <c r="D4308" s="1" t="s">
        <v>148</v>
      </c>
      <c r="E4308" t="s">
        <v>136</v>
      </c>
    </row>
    <row r="4309" spans="1:5" x14ac:dyDescent="0.35">
      <c r="A4309" s="1" t="s">
        <v>147</v>
      </c>
      <c r="B4309" s="1"/>
      <c r="C4309" s="1"/>
      <c r="D4309" s="1" t="s">
        <v>149</v>
      </c>
      <c r="E4309" t="s">
        <v>136</v>
      </c>
    </row>
    <row r="4310" spans="1:5" x14ac:dyDescent="0.35">
      <c r="A4310" s="1" t="s">
        <v>147</v>
      </c>
      <c r="B4310" s="1" t="s">
        <v>154</v>
      </c>
      <c r="C4310" s="1" t="s">
        <v>145</v>
      </c>
      <c r="D4310" s="1" t="s">
        <v>146</v>
      </c>
      <c r="E4310" t="s">
        <v>136</v>
      </c>
    </row>
    <row r="4311" spans="1:5" x14ac:dyDescent="0.35">
      <c r="A4311" s="1" t="s">
        <v>147</v>
      </c>
      <c r="B4311" s="1"/>
      <c r="C4311" s="1"/>
      <c r="D4311" s="1" t="s">
        <v>148</v>
      </c>
      <c r="E4311" t="s">
        <v>136</v>
      </c>
    </row>
    <row r="4312" spans="1:5" x14ac:dyDescent="0.35">
      <c r="A4312" s="1" t="s">
        <v>147</v>
      </c>
      <c r="B4312" s="1"/>
      <c r="C4312" s="1"/>
      <c r="D4312" s="1" t="s">
        <v>149</v>
      </c>
      <c r="E4312" t="s">
        <v>136</v>
      </c>
    </row>
    <row r="4313" spans="1:5" x14ac:dyDescent="0.35">
      <c r="A4313" s="1" t="s">
        <v>147</v>
      </c>
      <c r="B4313" s="1"/>
      <c r="C4313" s="1" t="s">
        <v>150</v>
      </c>
      <c r="D4313" s="1" t="s">
        <v>146</v>
      </c>
      <c r="E4313" t="s">
        <v>136</v>
      </c>
    </row>
    <row r="4314" spans="1:5" x14ac:dyDescent="0.35">
      <c r="A4314" s="1" t="s">
        <v>147</v>
      </c>
      <c r="B4314" s="1"/>
      <c r="C4314" s="1"/>
      <c r="D4314" s="1" t="s">
        <v>148</v>
      </c>
      <c r="E4314" t="s">
        <v>136</v>
      </c>
    </row>
    <row r="4315" spans="1:5" x14ac:dyDescent="0.35">
      <c r="A4315" s="1" t="s">
        <v>147</v>
      </c>
      <c r="B4315" s="1"/>
      <c r="C4315" s="1"/>
      <c r="D4315" s="1" t="s">
        <v>149</v>
      </c>
      <c r="E4315" t="s">
        <v>136</v>
      </c>
    </row>
    <row r="4316" spans="1:5" x14ac:dyDescent="0.35">
      <c r="A4316" s="1" t="s">
        <v>147</v>
      </c>
      <c r="B4316" s="1" t="s">
        <v>155</v>
      </c>
      <c r="C4316" s="1" t="s">
        <v>145</v>
      </c>
      <c r="D4316" s="1" t="s">
        <v>146</v>
      </c>
      <c r="E4316">
        <v>1.92</v>
      </c>
    </row>
    <row r="4317" spans="1:5" x14ac:dyDescent="0.35">
      <c r="A4317" s="1" t="s">
        <v>147</v>
      </c>
      <c r="B4317" s="1"/>
      <c r="C4317" s="1"/>
      <c r="D4317" s="1" t="s">
        <v>148</v>
      </c>
      <c r="E4317">
        <v>1.92</v>
      </c>
    </row>
    <row r="4318" spans="1:5" x14ac:dyDescent="0.35">
      <c r="A4318" s="1" t="s">
        <v>147</v>
      </c>
      <c r="B4318" s="1"/>
      <c r="C4318" s="1"/>
      <c r="D4318" s="1" t="s">
        <v>149</v>
      </c>
      <c r="E4318" t="s">
        <v>136</v>
      </c>
    </row>
    <row r="4319" spans="1:5" x14ac:dyDescent="0.35">
      <c r="A4319" s="1" t="s">
        <v>147</v>
      </c>
      <c r="B4319" s="1"/>
      <c r="C4319" s="1" t="s">
        <v>150</v>
      </c>
      <c r="D4319" s="1" t="s">
        <v>146</v>
      </c>
      <c r="E4319" t="s">
        <v>136</v>
      </c>
    </row>
    <row r="4320" spans="1:5" x14ac:dyDescent="0.35">
      <c r="A4320" s="1" t="s">
        <v>147</v>
      </c>
      <c r="B4320" s="1"/>
      <c r="C4320" s="1"/>
      <c r="D4320" s="1" t="s">
        <v>148</v>
      </c>
      <c r="E4320" t="s">
        <v>136</v>
      </c>
    </row>
    <row r="4321" spans="1:5" x14ac:dyDescent="0.35">
      <c r="A4321" s="1" t="s">
        <v>147</v>
      </c>
      <c r="B4321" s="1"/>
      <c r="C4321" s="1"/>
      <c r="D4321" s="1" t="s">
        <v>149</v>
      </c>
      <c r="E4321" t="s">
        <v>136</v>
      </c>
    </row>
    <row r="4322" spans="1:5" x14ac:dyDescent="0.35">
      <c r="A4322" s="1" t="s">
        <v>147</v>
      </c>
      <c r="B4322" s="1" t="s">
        <v>156</v>
      </c>
      <c r="C4322" s="1" t="s">
        <v>145</v>
      </c>
      <c r="D4322" s="1" t="s">
        <v>146</v>
      </c>
      <c r="E4322" t="s">
        <v>136</v>
      </c>
    </row>
    <row r="4323" spans="1:5" x14ac:dyDescent="0.35">
      <c r="A4323" s="1" t="s">
        <v>147</v>
      </c>
      <c r="B4323" s="1"/>
      <c r="C4323" s="1"/>
      <c r="D4323" s="1" t="s">
        <v>148</v>
      </c>
      <c r="E4323" t="s">
        <v>136</v>
      </c>
    </row>
    <row r="4324" spans="1:5" x14ac:dyDescent="0.35">
      <c r="A4324" s="1" t="s">
        <v>147</v>
      </c>
      <c r="B4324" s="1"/>
      <c r="C4324" s="1"/>
      <c r="D4324" s="1" t="s">
        <v>149</v>
      </c>
      <c r="E4324" t="s">
        <v>136</v>
      </c>
    </row>
    <row r="4325" spans="1:5" x14ac:dyDescent="0.35">
      <c r="A4325" s="1" t="s">
        <v>147</v>
      </c>
      <c r="B4325" s="1"/>
      <c r="C4325" s="1" t="s">
        <v>150</v>
      </c>
      <c r="D4325" s="1" t="s">
        <v>146</v>
      </c>
      <c r="E4325" t="s">
        <v>136</v>
      </c>
    </row>
    <row r="4326" spans="1:5" x14ac:dyDescent="0.35">
      <c r="A4326" s="1" t="s">
        <v>147</v>
      </c>
      <c r="B4326" s="1"/>
      <c r="C4326" s="1"/>
      <c r="D4326" s="1" t="s">
        <v>148</v>
      </c>
      <c r="E4326" t="s">
        <v>136</v>
      </c>
    </row>
    <row r="4327" spans="1:5" x14ac:dyDescent="0.35">
      <c r="A4327" s="1" t="s">
        <v>147</v>
      </c>
      <c r="B4327" s="1"/>
      <c r="C4327" s="1"/>
      <c r="D4327" s="1" t="s">
        <v>149</v>
      </c>
      <c r="E4327" t="s">
        <v>136</v>
      </c>
    </row>
    <row r="4328" spans="1:5" x14ac:dyDescent="0.35">
      <c r="A4328" s="1" t="s">
        <v>147</v>
      </c>
      <c r="B4328" s="1" t="s">
        <v>157</v>
      </c>
      <c r="C4328" s="1" t="s">
        <v>145</v>
      </c>
      <c r="D4328" s="1" t="s">
        <v>146</v>
      </c>
      <c r="E4328" t="s">
        <v>136</v>
      </c>
    </row>
    <row r="4329" spans="1:5" x14ac:dyDescent="0.35">
      <c r="A4329" s="1" t="s">
        <v>147</v>
      </c>
      <c r="B4329" s="1"/>
      <c r="C4329" s="1"/>
      <c r="D4329" s="1" t="s">
        <v>148</v>
      </c>
      <c r="E4329" t="s">
        <v>136</v>
      </c>
    </row>
    <row r="4330" spans="1:5" x14ac:dyDescent="0.35">
      <c r="A4330" s="1" t="s">
        <v>147</v>
      </c>
      <c r="B4330" s="1"/>
      <c r="C4330" s="1"/>
      <c r="D4330" s="1" t="s">
        <v>149</v>
      </c>
      <c r="E4330" t="s">
        <v>136</v>
      </c>
    </row>
    <row r="4331" spans="1:5" x14ac:dyDescent="0.35">
      <c r="A4331" s="1" t="s">
        <v>147</v>
      </c>
      <c r="B4331" s="1"/>
      <c r="C4331" s="1" t="s">
        <v>150</v>
      </c>
      <c r="D4331" s="1" t="s">
        <v>146</v>
      </c>
      <c r="E4331" t="s">
        <v>136</v>
      </c>
    </row>
    <row r="4332" spans="1:5" x14ac:dyDescent="0.35">
      <c r="A4332" s="1" t="s">
        <v>147</v>
      </c>
      <c r="B4332" s="1"/>
      <c r="C4332" s="1"/>
      <c r="D4332" s="1" t="s">
        <v>148</v>
      </c>
      <c r="E4332" t="s">
        <v>136</v>
      </c>
    </row>
    <row r="4333" spans="1:5" x14ac:dyDescent="0.35">
      <c r="A4333" s="1" t="s">
        <v>147</v>
      </c>
      <c r="B4333" s="1"/>
      <c r="C4333" s="1"/>
      <c r="D4333" s="1" t="s">
        <v>149</v>
      </c>
      <c r="E4333" t="s">
        <v>136</v>
      </c>
    </row>
    <row r="4334" spans="1:5" x14ac:dyDescent="0.35">
      <c r="A4334" s="1" t="s">
        <v>147</v>
      </c>
      <c r="B4334" s="1" t="s">
        <v>158</v>
      </c>
      <c r="C4334" s="1" t="s">
        <v>145</v>
      </c>
      <c r="D4334" s="1" t="s">
        <v>146</v>
      </c>
      <c r="E4334" t="s">
        <v>136</v>
      </c>
    </row>
    <row r="4335" spans="1:5" x14ac:dyDescent="0.35">
      <c r="A4335" s="1" t="s">
        <v>147</v>
      </c>
      <c r="B4335" s="1"/>
      <c r="C4335" s="1"/>
      <c r="D4335" s="1" t="s">
        <v>148</v>
      </c>
      <c r="E4335" t="s">
        <v>136</v>
      </c>
    </row>
    <row r="4336" spans="1:5" x14ac:dyDescent="0.35">
      <c r="A4336" s="1" t="s">
        <v>147</v>
      </c>
      <c r="B4336" s="1"/>
      <c r="C4336" s="1"/>
      <c r="D4336" s="1" t="s">
        <v>149</v>
      </c>
      <c r="E4336" t="s">
        <v>136</v>
      </c>
    </row>
    <row r="4337" spans="1:5" x14ac:dyDescent="0.35">
      <c r="A4337" s="1" t="s">
        <v>147</v>
      </c>
      <c r="B4337" s="1"/>
      <c r="C4337" s="1" t="s">
        <v>150</v>
      </c>
      <c r="D4337" s="1" t="s">
        <v>146</v>
      </c>
      <c r="E4337" t="s">
        <v>136</v>
      </c>
    </row>
    <row r="4338" spans="1:5" x14ac:dyDescent="0.35">
      <c r="A4338" s="1" t="s">
        <v>147</v>
      </c>
      <c r="B4338" s="1"/>
      <c r="C4338" s="1"/>
      <c r="D4338" s="1" t="s">
        <v>148</v>
      </c>
      <c r="E4338" t="s">
        <v>136</v>
      </c>
    </row>
    <row r="4339" spans="1:5" x14ac:dyDescent="0.35">
      <c r="A4339" s="1" t="s">
        <v>147</v>
      </c>
      <c r="B4339" s="1"/>
      <c r="C4339" s="1"/>
      <c r="D4339" s="1" t="s">
        <v>149</v>
      </c>
      <c r="E4339" t="s">
        <v>136</v>
      </c>
    </row>
    <row r="4340" spans="1:5" x14ac:dyDescent="0.35">
      <c r="A4340" s="1" t="s">
        <v>147</v>
      </c>
      <c r="B4340" s="1" t="s">
        <v>159</v>
      </c>
      <c r="C4340" s="1" t="s">
        <v>145</v>
      </c>
      <c r="D4340" s="1" t="s">
        <v>146</v>
      </c>
      <c r="E4340" t="s">
        <v>136</v>
      </c>
    </row>
    <row r="4341" spans="1:5" x14ac:dyDescent="0.35">
      <c r="A4341" s="1" t="s">
        <v>147</v>
      </c>
      <c r="B4341" s="1"/>
      <c r="C4341" s="1"/>
      <c r="D4341" s="1" t="s">
        <v>148</v>
      </c>
      <c r="E4341" t="s">
        <v>136</v>
      </c>
    </row>
    <row r="4342" spans="1:5" x14ac:dyDescent="0.35">
      <c r="A4342" s="1" t="s">
        <v>147</v>
      </c>
      <c r="B4342" s="1"/>
      <c r="C4342" s="1"/>
      <c r="D4342" s="1" t="s">
        <v>149</v>
      </c>
      <c r="E4342" t="s">
        <v>136</v>
      </c>
    </row>
    <row r="4343" spans="1:5" x14ac:dyDescent="0.35">
      <c r="A4343" s="1" t="s">
        <v>147</v>
      </c>
      <c r="B4343" s="1"/>
      <c r="C4343" s="1" t="s">
        <v>150</v>
      </c>
      <c r="D4343" s="1" t="s">
        <v>146</v>
      </c>
      <c r="E4343" t="s">
        <v>136</v>
      </c>
    </row>
    <row r="4344" spans="1:5" x14ac:dyDescent="0.35">
      <c r="A4344" s="1" t="s">
        <v>147</v>
      </c>
      <c r="B4344" s="1"/>
      <c r="C4344" s="1"/>
      <c r="D4344" s="1" t="s">
        <v>148</v>
      </c>
      <c r="E4344" t="s">
        <v>136</v>
      </c>
    </row>
    <row r="4345" spans="1:5" x14ac:dyDescent="0.35">
      <c r="A4345" s="1" t="s">
        <v>147</v>
      </c>
      <c r="B4345" s="1"/>
      <c r="C4345" s="1"/>
      <c r="D4345" s="1" t="s">
        <v>149</v>
      </c>
      <c r="E4345" t="s">
        <v>136</v>
      </c>
    </row>
    <row r="4346" spans="1:5" x14ac:dyDescent="0.35">
      <c r="A4346" s="1" t="s">
        <v>147</v>
      </c>
      <c r="B4346" s="1" t="s">
        <v>160</v>
      </c>
      <c r="C4346" s="1" t="s">
        <v>145</v>
      </c>
      <c r="D4346" s="1" t="s">
        <v>146</v>
      </c>
      <c r="E4346" t="s">
        <v>136</v>
      </c>
    </row>
    <row r="4347" spans="1:5" x14ac:dyDescent="0.35">
      <c r="A4347" s="1" t="s">
        <v>147</v>
      </c>
      <c r="B4347" s="1"/>
      <c r="C4347" s="1"/>
      <c r="D4347" s="1" t="s">
        <v>148</v>
      </c>
      <c r="E4347" t="s">
        <v>136</v>
      </c>
    </row>
    <row r="4348" spans="1:5" x14ac:dyDescent="0.35">
      <c r="A4348" s="1" t="s">
        <v>147</v>
      </c>
      <c r="B4348" s="1"/>
      <c r="C4348" s="1"/>
      <c r="D4348" s="1" t="s">
        <v>149</v>
      </c>
      <c r="E4348" t="s">
        <v>136</v>
      </c>
    </row>
    <row r="4349" spans="1:5" x14ac:dyDescent="0.35">
      <c r="A4349" s="1" t="s">
        <v>147</v>
      </c>
      <c r="B4349" s="1"/>
      <c r="C4349" s="1" t="s">
        <v>150</v>
      </c>
      <c r="D4349" s="1" t="s">
        <v>146</v>
      </c>
      <c r="E4349" t="s">
        <v>136</v>
      </c>
    </row>
    <row r="4350" spans="1:5" x14ac:dyDescent="0.35">
      <c r="A4350" s="1" t="s">
        <v>147</v>
      </c>
      <c r="B4350" s="1"/>
      <c r="C4350" s="1"/>
      <c r="D4350" s="1" t="s">
        <v>148</v>
      </c>
      <c r="E4350" t="s">
        <v>136</v>
      </c>
    </row>
    <row r="4351" spans="1:5" x14ac:dyDescent="0.35">
      <c r="A4351" s="1" t="s">
        <v>147</v>
      </c>
      <c r="B4351" s="1"/>
      <c r="C4351" s="1"/>
      <c r="D4351" s="1" t="s">
        <v>149</v>
      </c>
      <c r="E4351" t="s">
        <v>136</v>
      </c>
    </row>
    <row r="4352" spans="1:5" x14ac:dyDescent="0.35">
      <c r="A4352" s="1" t="s">
        <v>147</v>
      </c>
      <c r="B4352" s="1" t="s">
        <v>161</v>
      </c>
      <c r="C4352" s="1" t="s">
        <v>145</v>
      </c>
      <c r="D4352" s="1" t="s">
        <v>146</v>
      </c>
      <c r="E4352" t="s">
        <v>136</v>
      </c>
    </row>
    <row r="4353" spans="1:5" x14ac:dyDescent="0.35">
      <c r="A4353" s="1" t="s">
        <v>147</v>
      </c>
      <c r="B4353" s="1"/>
      <c r="C4353" s="1"/>
      <c r="D4353" s="1" t="s">
        <v>148</v>
      </c>
      <c r="E4353" t="s">
        <v>136</v>
      </c>
    </row>
    <row r="4354" spans="1:5" x14ac:dyDescent="0.35">
      <c r="A4354" s="1" t="s">
        <v>147</v>
      </c>
      <c r="B4354" s="1"/>
      <c r="C4354" s="1"/>
      <c r="D4354" s="1" t="s">
        <v>149</v>
      </c>
      <c r="E4354" t="s">
        <v>136</v>
      </c>
    </row>
    <row r="4355" spans="1:5" x14ac:dyDescent="0.35">
      <c r="A4355" s="1" t="s">
        <v>147</v>
      </c>
      <c r="B4355" s="1"/>
      <c r="C4355" s="1" t="s">
        <v>150</v>
      </c>
      <c r="D4355" s="1" t="s">
        <v>146</v>
      </c>
      <c r="E4355" t="s">
        <v>136</v>
      </c>
    </row>
    <row r="4356" spans="1:5" x14ac:dyDescent="0.35">
      <c r="A4356" s="1" t="s">
        <v>147</v>
      </c>
      <c r="B4356" s="1"/>
      <c r="C4356" s="1"/>
      <c r="D4356" s="1" t="s">
        <v>148</v>
      </c>
      <c r="E4356" t="s">
        <v>136</v>
      </c>
    </row>
    <row r="4357" spans="1:5" x14ac:dyDescent="0.35">
      <c r="A4357" s="1" t="s">
        <v>147</v>
      </c>
      <c r="B4357" s="1"/>
      <c r="C4357" s="1"/>
      <c r="D4357" s="1" t="s">
        <v>149</v>
      </c>
      <c r="E4357" t="s">
        <v>136</v>
      </c>
    </row>
    <row r="4358" spans="1:5" x14ac:dyDescent="0.35">
      <c r="A4358" s="1" t="s">
        <v>147</v>
      </c>
      <c r="B4358" s="1" t="s">
        <v>162</v>
      </c>
      <c r="C4358" s="1" t="s">
        <v>145</v>
      </c>
      <c r="D4358" s="1" t="s">
        <v>146</v>
      </c>
      <c r="E4358" t="s">
        <v>136</v>
      </c>
    </row>
    <row r="4359" spans="1:5" x14ac:dyDescent="0.35">
      <c r="A4359" s="1" t="s">
        <v>147</v>
      </c>
      <c r="B4359" s="1"/>
      <c r="C4359" s="1"/>
      <c r="D4359" s="1" t="s">
        <v>148</v>
      </c>
      <c r="E4359" t="s">
        <v>136</v>
      </c>
    </row>
    <row r="4360" spans="1:5" x14ac:dyDescent="0.35">
      <c r="A4360" s="1" t="s">
        <v>147</v>
      </c>
      <c r="B4360" s="1"/>
      <c r="C4360" s="1"/>
      <c r="D4360" s="1" t="s">
        <v>149</v>
      </c>
      <c r="E4360" t="s">
        <v>136</v>
      </c>
    </row>
    <row r="4361" spans="1:5" x14ac:dyDescent="0.35">
      <c r="A4361" s="1" t="s">
        <v>147</v>
      </c>
      <c r="B4361" s="1"/>
      <c r="C4361" s="1" t="s">
        <v>150</v>
      </c>
      <c r="D4361" s="1" t="s">
        <v>146</v>
      </c>
      <c r="E4361" t="s">
        <v>136</v>
      </c>
    </row>
    <row r="4362" spans="1:5" x14ac:dyDescent="0.35">
      <c r="A4362" s="1" t="s">
        <v>147</v>
      </c>
      <c r="B4362" s="1"/>
      <c r="C4362" s="1"/>
      <c r="D4362" s="1" t="s">
        <v>148</v>
      </c>
      <c r="E4362" t="s">
        <v>136</v>
      </c>
    </row>
    <row r="4363" spans="1:5" x14ac:dyDescent="0.35">
      <c r="A4363" s="1" t="s">
        <v>147</v>
      </c>
      <c r="B4363" s="1"/>
      <c r="C4363" s="1"/>
      <c r="D4363" s="1" t="s">
        <v>149</v>
      </c>
      <c r="E4363" t="s">
        <v>136</v>
      </c>
    </row>
    <row r="4364" spans="1:5" x14ac:dyDescent="0.35">
      <c r="A4364" s="1" t="s">
        <v>147</v>
      </c>
      <c r="B4364" s="1" t="s">
        <v>163</v>
      </c>
      <c r="C4364" s="1" t="s">
        <v>145</v>
      </c>
      <c r="D4364" s="1" t="s">
        <v>146</v>
      </c>
      <c r="E4364">
        <v>28.3</v>
      </c>
    </row>
    <row r="4365" spans="1:5" x14ac:dyDescent="0.35">
      <c r="A4365" s="1" t="s">
        <v>147</v>
      </c>
      <c r="B4365" s="1"/>
      <c r="C4365" s="1"/>
      <c r="D4365" s="1" t="s">
        <v>148</v>
      </c>
      <c r="E4365">
        <v>27.76</v>
      </c>
    </row>
    <row r="4366" spans="1:5" x14ac:dyDescent="0.35">
      <c r="A4366" s="1" t="s">
        <v>147</v>
      </c>
      <c r="B4366" s="1"/>
      <c r="C4366" s="1"/>
      <c r="D4366" s="1" t="s">
        <v>149</v>
      </c>
      <c r="E4366">
        <v>0.54</v>
      </c>
    </row>
    <row r="4367" spans="1:5" x14ac:dyDescent="0.35">
      <c r="A4367" s="1" t="s">
        <v>147</v>
      </c>
      <c r="B4367" s="1"/>
      <c r="C4367" s="1" t="s">
        <v>150</v>
      </c>
      <c r="D4367" s="1" t="s">
        <v>146</v>
      </c>
      <c r="E4367" t="s">
        <v>136</v>
      </c>
    </row>
    <row r="4368" spans="1:5" x14ac:dyDescent="0.35">
      <c r="A4368" s="1" t="s">
        <v>147</v>
      </c>
      <c r="B4368" s="1"/>
      <c r="C4368" s="1"/>
      <c r="D4368" s="1" t="s">
        <v>148</v>
      </c>
      <c r="E4368" t="s">
        <v>136</v>
      </c>
    </row>
    <row r="4369" spans="1:5" x14ac:dyDescent="0.35">
      <c r="A4369" s="1" t="s">
        <v>147</v>
      </c>
      <c r="B4369" s="1"/>
      <c r="C4369" s="1"/>
      <c r="D4369" s="1" t="s">
        <v>149</v>
      </c>
      <c r="E4369" t="s">
        <v>136</v>
      </c>
    </row>
    <row r="4370" spans="1:5" x14ac:dyDescent="0.35">
      <c r="A4370" s="1" t="s">
        <v>147</v>
      </c>
      <c r="B4370" s="1" t="s">
        <v>164</v>
      </c>
      <c r="C4370" s="1" t="s">
        <v>145</v>
      </c>
      <c r="D4370" s="1" t="s">
        <v>146</v>
      </c>
      <c r="E4370" t="s">
        <v>136</v>
      </c>
    </row>
    <row r="4371" spans="1:5" x14ac:dyDescent="0.35">
      <c r="A4371" s="1" t="s">
        <v>147</v>
      </c>
      <c r="B4371" s="1"/>
      <c r="C4371" s="1"/>
      <c r="D4371" s="1" t="s">
        <v>148</v>
      </c>
      <c r="E4371" t="s">
        <v>136</v>
      </c>
    </row>
    <row r="4372" spans="1:5" x14ac:dyDescent="0.35">
      <c r="A4372" s="1" t="s">
        <v>147</v>
      </c>
      <c r="B4372" s="1"/>
      <c r="C4372" s="1"/>
      <c r="D4372" s="1" t="s">
        <v>149</v>
      </c>
      <c r="E4372" t="s">
        <v>136</v>
      </c>
    </row>
    <row r="4373" spans="1:5" x14ac:dyDescent="0.35">
      <c r="A4373" s="1" t="s">
        <v>147</v>
      </c>
      <c r="B4373" s="1"/>
      <c r="C4373" s="1" t="s">
        <v>150</v>
      </c>
      <c r="D4373" s="1" t="s">
        <v>146</v>
      </c>
      <c r="E4373" t="s">
        <v>136</v>
      </c>
    </row>
    <row r="4374" spans="1:5" x14ac:dyDescent="0.35">
      <c r="A4374" s="1" t="s">
        <v>147</v>
      </c>
      <c r="B4374" s="1"/>
      <c r="C4374" s="1"/>
      <c r="D4374" s="1" t="s">
        <v>148</v>
      </c>
      <c r="E4374" t="s">
        <v>136</v>
      </c>
    </row>
    <row r="4375" spans="1:5" x14ac:dyDescent="0.35">
      <c r="A4375" s="1" t="s">
        <v>147</v>
      </c>
      <c r="B4375" s="1"/>
      <c r="C4375" s="1"/>
      <c r="D4375" s="1" t="s">
        <v>149</v>
      </c>
      <c r="E4375" t="s">
        <v>136</v>
      </c>
    </row>
    <row r="4376" spans="1:5" x14ac:dyDescent="0.35">
      <c r="A4376" s="1" t="s">
        <v>147</v>
      </c>
      <c r="B4376" s="1" t="s">
        <v>165</v>
      </c>
      <c r="C4376" s="1" t="s">
        <v>145</v>
      </c>
      <c r="D4376" s="1" t="s">
        <v>146</v>
      </c>
      <c r="E4376" t="s">
        <v>136</v>
      </c>
    </row>
    <row r="4377" spans="1:5" x14ac:dyDescent="0.35">
      <c r="A4377" s="1" t="s">
        <v>147</v>
      </c>
      <c r="B4377" s="1"/>
      <c r="C4377" s="1"/>
      <c r="D4377" s="1" t="s">
        <v>148</v>
      </c>
      <c r="E4377" t="s">
        <v>136</v>
      </c>
    </row>
    <row r="4378" spans="1:5" x14ac:dyDescent="0.35">
      <c r="A4378" s="1" t="s">
        <v>147</v>
      </c>
      <c r="B4378" s="1"/>
      <c r="C4378" s="1"/>
      <c r="D4378" s="1" t="s">
        <v>149</v>
      </c>
      <c r="E4378" t="s">
        <v>136</v>
      </c>
    </row>
    <row r="4379" spans="1:5" x14ac:dyDescent="0.35">
      <c r="A4379" s="1" t="s">
        <v>147</v>
      </c>
      <c r="B4379" s="1"/>
      <c r="C4379" s="1" t="s">
        <v>150</v>
      </c>
      <c r="D4379" s="1" t="s">
        <v>146</v>
      </c>
      <c r="E4379" t="s">
        <v>136</v>
      </c>
    </row>
    <row r="4380" spans="1:5" x14ac:dyDescent="0.35">
      <c r="A4380" s="1" t="s">
        <v>147</v>
      </c>
      <c r="B4380" s="1"/>
      <c r="C4380" s="1"/>
      <c r="D4380" s="1" t="s">
        <v>148</v>
      </c>
      <c r="E4380" t="s">
        <v>136</v>
      </c>
    </row>
    <row r="4381" spans="1:5" x14ac:dyDescent="0.35">
      <c r="A4381" s="1" t="s">
        <v>147</v>
      </c>
      <c r="B4381" s="1"/>
      <c r="C4381" s="1"/>
      <c r="D4381" s="1" t="s">
        <v>149</v>
      </c>
      <c r="E4381" t="s">
        <v>136</v>
      </c>
    </row>
    <row r="4382" spans="1:5" x14ac:dyDescent="0.35">
      <c r="A4382" s="1" t="s">
        <v>147</v>
      </c>
      <c r="B4382" s="1" t="s">
        <v>166</v>
      </c>
      <c r="C4382" s="1" t="s">
        <v>145</v>
      </c>
      <c r="D4382" s="1" t="s">
        <v>146</v>
      </c>
      <c r="E4382">
        <v>28.3</v>
      </c>
    </row>
    <row r="4383" spans="1:5" x14ac:dyDescent="0.35">
      <c r="A4383" s="1" t="s">
        <v>147</v>
      </c>
      <c r="B4383" s="1"/>
      <c r="C4383" s="1"/>
      <c r="D4383" s="1" t="s">
        <v>148</v>
      </c>
      <c r="E4383">
        <v>27.76</v>
      </c>
    </row>
    <row r="4384" spans="1:5" x14ac:dyDescent="0.35">
      <c r="A4384" s="1" t="s">
        <v>147</v>
      </c>
      <c r="B4384" s="1"/>
      <c r="C4384" s="1"/>
      <c r="D4384" s="1" t="s">
        <v>149</v>
      </c>
      <c r="E4384">
        <v>0.54</v>
      </c>
    </row>
    <row r="4385" spans="1:5" x14ac:dyDescent="0.35">
      <c r="A4385" s="1" t="s">
        <v>147</v>
      </c>
      <c r="B4385" s="1"/>
      <c r="C4385" s="1" t="s">
        <v>150</v>
      </c>
      <c r="D4385" s="1" t="s">
        <v>146</v>
      </c>
      <c r="E4385" t="s">
        <v>136</v>
      </c>
    </row>
    <row r="4386" spans="1:5" x14ac:dyDescent="0.35">
      <c r="A4386" s="1" t="s">
        <v>147</v>
      </c>
      <c r="B4386" s="1"/>
      <c r="C4386" s="1"/>
      <c r="D4386" s="1" t="s">
        <v>148</v>
      </c>
      <c r="E4386" t="s">
        <v>136</v>
      </c>
    </row>
    <row r="4387" spans="1:5" x14ac:dyDescent="0.35">
      <c r="A4387" s="1" t="s">
        <v>147</v>
      </c>
      <c r="B4387" s="1"/>
      <c r="C4387" s="1"/>
      <c r="D4387" s="1" t="s">
        <v>149</v>
      </c>
      <c r="E4387" t="s">
        <v>136</v>
      </c>
    </row>
    <row r="4388" spans="1:5" x14ac:dyDescent="0.35">
      <c r="A4388" s="1" t="s">
        <v>147</v>
      </c>
      <c r="B4388" s="1" t="s">
        <v>167</v>
      </c>
      <c r="C4388" s="1" t="s">
        <v>145</v>
      </c>
      <c r="D4388" s="1" t="s">
        <v>146</v>
      </c>
      <c r="E4388" t="s">
        <v>136</v>
      </c>
    </row>
    <row r="4389" spans="1:5" x14ac:dyDescent="0.35">
      <c r="A4389" s="1" t="s">
        <v>147</v>
      </c>
      <c r="B4389" s="1"/>
      <c r="C4389" s="1"/>
      <c r="D4389" s="1" t="s">
        <v>148</v>
      </c>
      <c r="E4389" t="s">
        <v>136</v>
      </c>
    </row>
    <row r="4390" spans="1:5" x14ac:dyDescent="0.35">
      <c r="A4390" s="1" t="s">
        <v>147</v>
      </c>
      <c r="B4390" s="1"/>
      <c r="C4390" s="1"/>
      <c r="D4390" s="1" t="s">
        <v>149</v>
      </c>
      <c r="E4390" t="s">
        <v>136</v>
      </c>
    </row>
    <row r="4391" spans="1:5" x14ac:dyDescent="0.35">
      <c r="A4391" s="1" t="s">
        <v>147</v>
      </c>
      <c r="B4391" s="1"/>
      <c r="C4391" s="1" t="s">
        <v>150</v>
      </c>
      <c r="D4391" s="1" t="s">
        <v>146</v>
      </c>
      <c r="E4391" t="s">
        <v>136</v>
      </c>
    </row>
    <row r="4392" spans="1:5" x14ac:dyDescent="0.35">
      <c r="A4392" s="1" t="s">
        <v>147</v>
      </c>
      <c r="B4392" s="1"/>
      <c r="C4392" s="1"/>
      <c r="D4392" s="1" t="s">
        <v>148</v>
      </c>
      <c r="E4392" t="s">
        <v>136</v>
      </c>
    </row>
    <row r="4393" spans="1:5" x14ac:dyDescent="0.35">
      <c r="A4393" s="1" t="s">
        <v>147</v>
      </c>
      <c r="B4393" s="1"/>
      <c r="C4393" s="1"/>
      <c r="D4393" s="1" t="s">
        <v>149</v>
      </c>
      <c r="E4393" t="s">
        <v>136</v>
      </c>
    </row>
    <row r="4394" spans="1:5" x14ac:dyDescent="0.35">
      <c r="A4394" s="1" t="s">
        <v>147</v>
      </c>
      <c r="B4394" s="1" t="s">
        <v>168</v>
      </c>
      <c r="C4394" s="1" t="s">
        <v>145</v>
      </c>
      <c r="D4394" s="1" t="s">
        <v>146</v>
      </c>
      <c r="E4394" t="s">
        <v>136</v>
      </c>
    </row>
    <row r="4395" spans="1:5" x14ac:dyDescent="0.35">
      <c r="A4395" s="1" t="s">
        <v>147</v>
      </c>
      <c r="B4395" s="1"/>
      <c r="C4395" s="1"/>
      <c r="D4395" s="1" t="s">
        <v>148</v>
      </c>
      <c r="E4395" t="s">
        <v>136</v>
      </c>
    </row>
    <row r="4396" spans="1:5" x14ac:dyDescent="0.35">
      <c r="A4396" s="1" t="s">
        <v>147</v>
      </c>
      <c r="B4396" s="1"/>
      <c r="C4396" s="1"/>
      <c r="D4396" s="1" t="s">
        <v>149</v>
      </c>
      <c r="E4396" t="s">
        <v>136</v>
      </c>
    </row>
    <row r="4397" spans="1:5" x14ac:dyDescent="0.35">
      <c r="A4397" s="1" t="s">
        <v>147</v>
      </c>
      <c r="B4397" s="1"/>
      <c r="C4397" s="1" t="s">
        <v>150</v>
      </c>
      <c r="D4397" s="1" t="s">
        <v>146</v>
      </c>
      <c r="E4397" t="s">
        <v>136</v>
      </c>
    </row>
    <row r="4398" spans="1:5" x14ac:dyDescent="0.35">
      <c r="A4398" s="1" t="s">
        <v>147</v>
      </c>
      <c r="B4398" s="1"/>
      <c r="C4398" s="1"/>
      <c r="D4398" s="1" t="s">
        <v>148</v>
      </c>
      <c r="E4398" t="s">
        <v>136</v>
      </c>
    </row>
    <row r="4399" spans="1:5" x14ac:dyDescent="0.35">
      <c r="A4399" s="1" t="s">
        <v>147</v>
      </c>
      <c r="B4399" s="1"/>
      <c r="C4399" s="1"/>
      <c r="D4399" s="1" t="s">
        <v>149</v>
      </c>
      <c r="E4399" t="s">
        <v>136</v>
      </c>
    </row>
    <row r="4400" spans="1:5" x14ac:dyDescent="0.35">
      <c r="A4400" s="1" t="s">
        <v>147</v>
      </c>
      <c r="B4400" s="1" t="s">
        <v>169</v>
      </c>
      <c r="C4400" s="1" t="s">
        <v>145</v>
      </c>
      <c r="D4400" s="1" t="s">
        <v>146</v>
      </c>
      <c r="E4400" t="s">
        <v>136</v>
      </c>
    </row>
    <row r="4401" spans="1:5" x14ac:dyDescent="0.35">
      <c r="A4401" s="1" t="s">
        <v>147</v>
      </c>
      <c r="B4401" s="1"/>
      <c r="C4401" s="1"/>
      <c r="D4401" s="1" t="s">
        <v>148</v>
      </c>
      <c r="E4401" t="s">
        <v>136</v>
      </c>
    </row>
    <row r="4402" spans="1:5" x14ac:dyDescent="0.35">
      <c r="A4402" s="1" t="s">
        <v>147</v>
      </c>
      <c r="B4402" s="1"/>
      <c r="C4402" s="1"/>
      <c r="D4402" s="1" t="s">
        <v>149</v>
      </c>
      <c r="E4402" t="s">
        <v>136</v>
      </c>
    </row>
    <row r="4403" spans="1:5" x14ac:dyDescent="0.35">
      <c r="A4403" s="1" t="s">
        <v>147</v>
      </c>
      <c r="B4403" s="1"/>
      <c r="C4403" s="1" t="s">
        <v>150</v>
      </c>
      <c r="D4403" s="1" t="s">
        <v>146</v>
      </c>
      <c r="E4403" t="s">
        <v>136</v>
      </c>
    </row>
    <row r="4404" spans="1:5" x14ac:dyDescent="0.35">
      <c r="A4404" s="1" t="s">
        <v>147</v>
      </c>
      <c r="B4404" s="1"/>
      <c r="C4404" s="1"/>
      <c r="D4404" s="1" t="s">
        <v>148</v>
      </c>
      <c r="E4404" t="s">
        <v>136</v>
      </c>
    </row>
    <row r="4405" spans="1:5" x14ac:dyDescent="0.35">
      <c r="A4405" s="1" t="s">
        <v>147</v>
      </c>
      <c r="B4405" s="1"/>
      <c r="C4405" s="1"/>
      <c r="D4405" s="1" t="s">
        <v>149</v>
      </c>
      <c r="E4405" t="s">
        <v>136</v>
      </c>
    </row>
    <row r="4406" spans="1:5" x14ac:dyDescent="0.35">
      <c r="A4406" s="1" t="s">
        <v>147</v>
      </c>
      <c r="B4406" s="1" t="s">
        <v>170</v>
      </c>
      <c r="C4406" s="1" t="s">
        <v>145</v>
      </c>
      <c r="D4406" s="1" t="s">
        <v>146</v>
      </c>
      <c r="E4406" t="s">
        <v>136</v>
      </c>
    </row>
    <row r="4407" spans="1:5" x14ac:dyDescent="0.35">
      <c r="A4407" s="1" t="s">
        <v>147</v>
      </c>
      <c r="B4407" s="1"/>
      <c r="C4407" s="1"/>
      <c r="D4407" s="1" t="s">
        <v>148</v>
      </c>
      <c r="E4407" t="s">
        <v>136</v>
      </c>
    </row>
    <row r="4408" spans="1:5" x14ac:dyDescent="0.35">
      <c r="A4408" s="1" t="s">
        <v>147</v>
      </c>
      <c r="B4408" s="1"/>
      <c r="C4408" s="1"/>
      <c r="D4408" s="1" t="s">
        <v>149</v>
      </c>
      <c r="E4408" t="s">
        <v>136</v>
      </c>
    </row>
    <row r="4409" spans="1:5" x14ac:dyDescent="0.35">
      <c r="A4409" s="1" t="s">
        <v>147</v>
      </c>
      <c r="B4409" s="1"/>
      <c r="C4409" s="1" t="s">
        <v>150</v>
      </c>
      <c r="D4409" s="1" t="s">
        <v>146</v>
      </c>
      <c r="E4409" t="s">
        <v>136</v>
      </c>
    </row>
    <row r="4410" spans="1:5" x14ac:dyDescent="0.35">
      <c r="A4410" s="1" t="s">
        <v>147</v>
      </c>
      <c r="B4410" s="1"/>
      <c r="C4410" s="1"/>
      <c r="D4410" s="1" t="s">
        <v>148</v>
      </c>
      <c r="E4410" t="s">
        <v>136</v>
      </c>
    </row>
    <row r="4411" spans="1:5" x14ac:dyDescent="0.35">
      <c r="A4411" s="1" t="s">
        <v>147</v>
      </c>
      <c r="B4411" s="1"/>
      <c r="C4411" s="1"/>
      <c r="D4411" s="1" t="s">
        <v>149</v>
      </c>
      <c r="E4411" t="s">
        <v>136</v>
      </c>
    </row>
    <row r="4412" spans="1:5" x14ac:dyDescent="0.35">
      <c r="A4412" s="1" t="s">
        <v>101</v>
      </c>
      <c r="B4412" s="1" t="s">
        <v>144</v>
      </c>
      <c r="C4412" s="1" t="s">
        <v>145</v>
      </c>
      <c r="D4412" s="1" t="s">
        <v>146</v>
      </c>
      <c r="E4412">
        <v>480.73</v>
      </c>
    </row>
    <row r="4413" spans="1:5" x14ac:dyDescent="0.35">
      <c r="A4413" s="1" t="s">
        <v>147</v>
      </c>
      <c r="B4413" s="1"/>
      <c r="C4413" s="1"/>
      <c r="D4413" s="1" t="s">
        <v>148</v>
      </c>
      <c r="E4413">
        <v>474</v>
      </c>
    </row>
    <row r="4414" spans="1:5" x14ac:dyDescent="0.35">
      <c r="A4414" s="1" t="s">
        <v>147</v>
      </c>
      <c r="B4414" s="1"/>
      <c r="C4414" s="1"/>
      <c r="D4414" s="1" t="s">
        <v>149</v>
      </c>
      <c r="E4414">
        <v>6.73</v>
      </c>
    </row>
    <row r="4415" spans="1:5" x14ac:dyDescent="0.35">
      <c r="A4415" s="1" t="s">
        <v>147</v>
      </c>
      <c r="B4415" s="1"/>
      <c r="C4415" s="1" t="s">
        <v>150</v>
      </c>
      <c r="D4415" s="1" t="s">
        <v>146</v>
      </c>
      <c r="E4415" t="s">
        <v>136</v>
      </c>
    </row>
    <row r="4416" spans="1:5" x14ac:dyDescent="0.35">
      <c r="A4416" s="1" t="s">
        <v>147</v>
      </c>
      <c r="B4416" s="1"/>
      <c r="C4416" s="1"/>
      <c r="D4416" s="1" t="s">
        <v>148</v>
      </c>
      <c r="E4416" t="s">
        <v>136</v>
      </c>
    </row>
    <row r="4417" spans="1:5" x14ac:dyDescent="0.35">
      <c r="A4417" s="1" t="s">
        <v>147</v>
      </c>
      <c r="B4417" s="1"/>
      <c r="C4417" s="1"/>
      <c r="D4417" s="1" t="s">
        <v>149</v>
      </c>
      <c r="E4417" t="s">
        <v>136</v>
      </c>
    </row>
    <row r="4418" spans="1:5" x14ac:dyDescent="0.35">
      <c r="A4418" s="1" t="s">
        <v>147</v>
      </c>
      <c r="B4418" s="1" t="s">
        <v>151</v>
      </c>
      <c r="C4418" s="1" t="s">
        <v>145</v>
      </c>
      <c r="D4418" s="1" t="s">
        <v>146</v>
      </c>
      <c r="E4418">
        <v>272.73</v>
      </c>
    </row>
    <row r="4419" spans="1:5" x14ac:dyDescent="0.35">
      <c r="A4419" s="1" t="s">
        <v>147</v>
      </c>
      <c r="B4419" s="1"/>
      <c r="C4419" s="1"/>
      <c r="D4419" s="1" t="s">
        <v>148</v>
      </c>
      <c r="E4419">
        <v>266</v>
      </c>
    </row>
    <row r="4420" spans="1:5" x14ac:dyDescent="0.35">
      <c r="A4420" s="1" t="s">
        <v>147</v>
      </c>
      <c r="B4420" s="1"/>
      <c r="C4420" s="1"/>
      <c r="D4420" s="1" t="s">
        <v>149</v>
      </c>
      <c r="E4420">
        <v>6.73</v>
      </c>
    </row>
    <row r="4421" spans="1:5" x14ac:dyDescent="0.35">
      <c r="A4421" s="1" t="s">
        <v>147</v>
      </c>
      <c r="B4421" s="1"/>
      <c r="C4421" s="1" t="s">
        <v>150</v>
      </c>
      <c r="D4421" s="1" t="s">
        <v>146</v>
      </c>
      <c r="E4421" t="s">
        <v>136</v>
      </c>
    </row>
    <row r="4422" spans="1:5" x14ac:dyDescent="0.35">
      <c r="A4422" s="1" t="s">
        <v>147</v>
      </c>
      <c r="B4422" s="1"/>
      <c r="C4422" s="1"/>
      <c r="D4422" s="1" t="s">
        <v>148</v>
      </c>
      <c r="E4422" t="s">
        <v>136</v>
      </c>
    </row>
    <row r="4423" spans="1:5" x14ac:dyDescent="0.35">
      <c r="A4423" s="1" t="s">
        <v>147</v>
      </c>
      <c r="B4423" s="1"/>
      <c r="C4423" s="1"/>
      <c r="D4423" s="1" t="s">
        <v>149</v>
      </c>
      <c r="E4423" t="s">
        <v>136</v>
      </c>
    </row>
    <row r="4424" spans="1:5" x14ac:dyDescent="0.35">
      <c r="A4424" s="1" t="s">
        <v>147</v>
      </c>
      <c r="B4424" s="1" t="s">
        <v>152</v>
      </c>
      <c r="C4424" s="1" t="s">
        <v>145</v>
      </c>
      <c r="D4424" s="1" t="s">
        <v>146</v>
      </c>
      <c r="E4424" t="s">
        <v>136</v>
      </c>
    </row>
    <row r="4425" spans="1:5" x14ac:dyDescent="0.35">
      <c r="A4425" s="1" t="s">
        <v>147</v>
      </c>
      <c r="B4425" s="1"/>
      <c r="C4425" s="1"/>
      <c r="D4425" s="1" t="s">
        <v>148</v>
      </c>
      <c r="E4425" t="s">
        <v>136</v>
      </c>
    </row>
    <row r="4426" spans="1:5" x14ac:dyDescent="0.35">
      <c r="A4426" s="1" t="s">
        <v>147</v>
      </c>
      <c r="B4426" s="1"/>
      <c r="C4426" s="1"/>
      <c r="D4426" s="1" t="s">
        <v>149</v>
      </c>
      <c r="E4426" t="s">
        <v>136</v>
      </c>
    </row>
    <row r="4427" spans="1:5" x14ac:dyDescent="0.35">
      <c r="A4427" s="1" t="s">
        <v>147</v>
      </c>
      <c r="B4427" s="1"/>
      <c r="C4427" s="1" t="s">
        <v>150</v>
      </c>
      <c r="D4427" s="1" t="s">
        <v>146</v>
      </c>
      <c r="E4427" t="s">
        <v>136</v>
      </c>
    </row>
    <row r="4428" spans="1:5" x14ac:dyDescent="0.35">
      <c r="A4428" s="1" t="s">
        <v>147</v>
      </c>
      <c r="B4428" s="1"/>
      <c r="C4428" s="1"/>
      <c r="D4428" s="1" t="s">
        <v>148</v>
      </c>
      <c r="E4428" t="s">
        <v>136</v>
      </c>
    </row>
    <row r="4429" spans="1:5" x14ac:dyDescent="0.35">
      <c r="A4429" s="1" t="s">
        <v>147</v>
      </c>
      <c r="B4429" s="1"/>
      <c r="C4429" s="1"/>
      <c r="D4429" s="1" t="s">
        <v>149</v>
      </c>
      <c r="E4429" t="s">
        <v>136</v>
      </c>
    </row>
    <row r="4430" spans="1:5" x14ac:dyDescent="0.35">
      <c r="A4430" s="1" t="s">
        <v>147</v>
      </c>
      <c r="B4430" s="1" t="s">
        <v>153</v>
      </c>
      <c r="C4430" s="1" t="s">
        <v>145</v>
      </c>
      <c r="D4430" s="1" t="s">
        <v>146</v>
      </c>
      <c r="E4430">
        <v>159</v>
      </c>
    </row>
    <row r="4431" spans="1:5" x14ac:dyDescent="0.35">
      <c r="A4431" s="1" t="s">
        <v>147</v>
      </c>
      <c r="B4431" s="1"/>
      <c r="C4431" s="1"/>
      <c r="D4431" s="1" t="s">
        <v>148</v>
      </c>
      <c r="E4431">
        <v>159</v>
      </c>
    </row>
    <row r="4432" spans="1:5" x14ac:dyDescent="0.35">
      <c r="A4432" s="1" t="s">
        <v>147</v>
      </c>
      <c r="B4432" s="1"/>
      <c r="C4432" s="1"/>
      <c r="D4432" s="1" t="s">
        <v>149</v>
      </c>
      <c r="E4432" t="s">
        <v>136</v>
      </c>
    </row>
    <row r="4433" spans="1:5" x14ac:dyDescent="0.35">
      <c r="A4433" s="1" t="s">
        <v>147</v>
      </c>
      <c r="B4433" s="1"/>
      <c r="C4433" s="1" t="s">
        <v>150</v>
      </c>
      <c r="D4433" s="1" t="s">
        <v>146</v>
      </c>
      <c r="E4433" t="s">
        <v>136</v>
      </c>
    </row>
    <row r="4434" spans="1:5" x14ac:dyDescent="0.35">
      <c r="A4434" s="1" t="s">
        <v>147</v>
      </c>
      <c r="B4434" s="1"/>
      <c r="C4434" s="1"/>
      <c r="D4434" s="1" t="s">
        <v>148</v>
      </c>
      <c r="E4434" t="s">
        <v>136</v>
      </c>
    </row>
    <row r="4435" spans="1:5" x14ac:dyDescent="0.35">
      <c r="A4435" s="1" t="s">
        <v>147</v>
      </c>
      <c r="B4435" s="1"/>
      <c r="C4435" s="1"/>
      <c r="D4435" s="1" t="s">
        <v>149</v>
      </c>
      <c r="E4435" t="s">
        <v>136</v>
      </c>
    </row>
    <row r="4436" spans="1:5" x14ac:dyDescent="0.35">
      <c r="A4436" s="1" t="s">
        <v>147</v>
      </c>
      <c r="B4436" s="1" t="s">
        <v>154</v>
      </c>
      <c r="C4436" s="1" t="s">
        <v>145</v>
      </c>
      <c r="D4436" s="1" t="s">
        <v>146</v>
      </c>
      <c r="E4436" t="s">
        <v>136</v>
      </c>
    </row>
    <row r="4437" spans="1:5" x14ac:dyDescent="0.35">
      <c r="A4437" s="1" t="s">
        <v>147</v>
      </c>
      <c r="B4437" s="1"/>
      <c r="C4437" s="1"/>
      <c r="D4437" s="1" t="s">
        <v>148</v>
      </c>
      <c r="E4437" t="s">
        <v>136</v>
      </c>
    </row>
    <row r="4438" spans="1:5" x14ac:dyDescent="0.35">
      <c r="A4438" s="1" t="s">
        <v>147</v>
      </c>
      <c r="B4438" s="1"/>
      <c r="C4438" s="1"/>
      <c r="D4438" s="1" t="s">
        <v>149</v>
      </c>
      <c r="E4438" t="s">
        <v>136</v>
      </c>
    </row>
    <row r="4439" spans="1:5" x14ac:dyDescent="0.35">
      <c r="A4439" s="1" t="s">
        <v>147</v>
      </c>
      <c r="B4439" s="1"/>
      <c r="C4439" s="1" t="s">
        <v>150</v>
      </c>
      <c r="D4439" s="1" t="s">
        <v>146</v>
      </c>
      <c r="E4439" t="s">
        <v>136</v>
      </c>
    </row>
    <row r="4440" spans="1:5" x14ac:dyDescent="0.35">
      <c r="A4440" s="1" t="s">
        <v>147</v>
      </c>
      <c r="B4440" s="1"/>
      <c r="C4440" s="1"/>
      <c r="D4440" s="1" t="s">
        <v>148</v>
      </c>
      <c r="E4440" t="s">
        <v>136</v>
      </c>
    </row>
    <row r="4441" spans="1:5" x14ac:dyDescent="0.35">
      <c r="A4441" s="1" t="s">
        <v>147</v>
      </c>
      <c r="B4441" s="1"/>
      <c r="C4441" s="1"/>
      <c r="D4441" s="1" t="s">
        <v>149</v>
      </c>
      <c r="E4441" t="s">
        <v>136</v>
      </c>
    </row>
    <row r="4442" spans="1:5" x14ac:dyDescent="0.35">
      <c r="A4442" s="1" t="s">
        <v>147</v>
      </c>
      <c r="B4442" s="1" t="s">
        <v>155</v>
      </c>
      <c r="C4442" s="1" t="s">
        <v>145</v>
      </c>
      <c r="D4442" s="1" t="s">
        <v>146</v>
      </c>
      <c r="E4442" t="s">
        <v>136</v>
      </c>
    </row>
    <row r="4443" spans="1:5" x14ac:dyDescent="0.35">
      <c r="A4443" s="1" t="s">
        <v>147</v>
      </c>
      <c r="B4443" s="1"/>
      <c r="C4443" s="1"/>
      <c r="D4443" s="1" t="s">
        <v>148</v>
      </c>
      <c r="E4443" t="s">
        <v>136</v>
      </c>
    </row>
    <row r="4444" spans="1:5" x14ac:dyDescent="0.35">
      <c r="A4444" s="1" t="s">
        <v>147</v>
      </c>
      <c r="B4444" s="1"/>
      <c r="C4444" s="1"/>
      <c r="D4444" s="1" t="s">
        <v>149</v>
      </c>
      <c r="E4444" t="s">
        <v>136</v>
      </c>
    </row>
    <row r="4445" spans="1:5" x14ac:dyDescent="0.35">
      <c r="A4445" s="1" t="s">
        <v>147</v>
      </c>
      <c r="B4445" s="1"/>
      <c r="C4445" s="1" t="s">
        <v>150</v>
      </c>
      <c r="D4445" s="1" t="s">
        <v>146</v>
      </c>
      <c r="E4445" t="s">
        <v>136</v>
      </c>
    </row>
    <row r="4446" spans="1:5" x14ac:dyDescent="0.35">
      <c r="A4446" s="1" t="s">
        <v>147</v>
      </c>
      <c r="B4446" s="1"/>
      <c r="C4446" s="1"/>
      <c r="D4446" s="1" t="s">
        <v>148</v>
      </c>
      <c r="E4446" t="s">
        <v>136</v>
      </c>
    </row>
    <row r="4447" spans="1:5" x14ac:dyDescent="0.35">
      <c r="A4447" s="1" t="s">
        <v>147</v>
      </c>
      <c r="B4447" s="1"/>
      <c r="C4447" s="1"/>
      <c r="D4447" s="1" t="s">
        <v>149</v>
      </c>
      <c r="E4447" t="s">
        <v>136</v>
      </c>
    </row>
    <row r="4448" spans="1:5" x14ac:dyDescent="0.35">
      <c r="A4448" s="1" t="s">
        <v>147</v>
      </c>
      <c r="B4448" s="1" t="s">
        <v>156</v>
      </c>
      <c r="C4448" s="1" t="s">
        <v>145</v>
      </c>
      <c r="D4448" s="1" t="s">
        <v>146</v>
      </c>
      <c r="E4448" t="s">
        <v>136</v>
      </c>
    </row>
    <row r="4449" spans="1:5" x14ac:dyDescent="0.35">
      <c r="A4449" s="1" t="s">
        <v>147</v>
      </c>
      <c r="B4449" s="1"/>
      <c r="C4449" s="1"/>
      <c r="D4449" s="1" t="s">
        <v>148</v>
      </c>
      <c r="E4449" t="s">
        <v>136</v>
      </c>
    </row>
    <row r="4450" spans="1:5" x14ac:dyDescent="0.35">
      <c r="A4450" s="1" t="s">
        <v>147</v>
      </c>
      <c r="B4450" s="1"/>
      <c r="C4450" s="1"/>
      <c r="D4450" s="1" t="s">
        <v>149</v>
      </c>
      <c r="E4450" t="s">
        <v>136</v>
      </c>
    </row>
    <row r="4451" spans="1:5" x14ac:dyDescent="0.35">
      <c r="A4451" s="1" t="s">
        <v>147</v>
      </c>
      <c r="B4451" s="1"/>
      <c r="C4451" s="1" t="s">
        <v>150</v>
      </c>
      <c r="D4451" s="1" t="s">
        <v>146</v>
      </c>
      <c r="E4451" t="s">
        <v>136</v>
      </c>
    </row>
    <row r="4452" spans="1:5" x14ac:dyDescent="0.35">
      <c r="A4452" s="1" t="s">
        <v>147</v>
      </c>
      <c r="B4452" s="1"/>
      <c r="C4452" s="1"/>
      <c r="D4452" s="1" t="s">
        <v>148</v>
      </c>
      <c r="E4452" t="s">
        <v>136</v>
      </c>
    </row>
    <row r="4453" spans="1:5" x14ac:dyDescent="0.35">
      <c r="A4453" s="1" t="s">
        <v>147</v>
      </c>
      <c r="B4453" s="1"/>
      <c r="C4453" s="1"/>
      <c r="D4453" s="1" t="s">
        <v>149</v>
      </c>
      <c r="E4453" t="s">
        <v>136</v>
      </c>
    </row>
    <row r="4454" spans="1:5" x14ac:dyDescent="0.35">
      <c r="A4454" s="1" t="s">
        <v>147</v>
      </c>
      <c r="B4454" s="1" t="s">
        <v>157</v>
      </c>
      <c r="C4454" s="1" t="s">
        <v>145</v>
      </c>
      <c r="D4454" s="1" t="s">
        <v>146</v>
      </c>
      <c r="E4454" t="s">
        <v>136</v>
      </c>
    </row>
    <row r="4455" spans="1:5" x14ac:dyDescent="0.35">
      <c r="A4455" s="1" t="s">
        <v>147</v>
      </c>
      <c r="B4455" s="1"/>
      <c r="C4455" s="1"/>
      <c r="D4455" s="1" t="s">
        <v>148</v>
      </c>
      <c r="E4455" t="s">
        <v>136</v>
      </c>
    </row>
    <row r="4456" spans="1:5" x14ac:dyDescent="0.35">
      <c r="A4456" s="1" t="s">
        <v>147</v>
      </c>
      <c r="B4456" s="1"/>
      <c r="C4456" s="1"/>
      <c r="D4456" s="1" t="s">
        <v>149</v>
      </c>
      <c r="E4456" t="s">
        <v>136</v>
      </c>
    </row>
    <row r="4457" spans="1:5" x14ac:dyDescent="0.35">
      <c r="A4457" s="1" t="s">
        <v>147</v>
      </c>
      <c r="B4457" s="1"/>
      <c r="C4457" s="1" t="s">
        <v>150</v>
      </c>
      <c r="D4457" s="1" t="s">
        <v>146</v>
      </c>
      <c r="E4457" t="s">
        <v>136</v>
      </c>
    </row>
    <row r="4458" spans="1:5" x14ac:dyDescent="0.35">
      <c r="A4458" s="1" t="s">
        <v>147</v>
      </c>
      <c r="B4458" s="1"/>
      <c r="C4458" s="1"/>
      <c r="D4458" s="1" t="s">
        <v>148</v>
      </c>
      <c r="E4458" t="s">
        <v>136</v>
      </c>
    </row>
    <row r="4459" spans="1:5" x14ac:dyDescent="0.35">
      <c r="A4459" s="1" t="s">
        <v>147</v>
      </c>
      <c r="B4459" s="1"/>
      <c r="C4459" s="1"/>
      <c r="D4459" s="1" t="s">
        <v>149</v>
      </c>
      <c r="E4459" t="s">
        <v>136</v>
      </c>
    </row>
    <row r="4460" spans="1:5" x14ac:dyDescent="0.35">
      <c r="A4460" s="1" t="s">
        <v>147</v>
      </c>
      <c r="B4460" s="1" t="s">
        <v>158</v>
      </c>
      <c r="C4460" s="1" t="s">
        <v>145</v>
      </c>
      <c r="D4460" s="1" t="s">
        <v>146</v>
      </c>
      <c r="E4460">
        <v>49</v>
      </c>
    </row>
    <row r="4461" spans="1:5" x14ac:dyDescent="0.35">
      <c r="A4461" s="1" t="s">
        <v>147</v>
      </c>
      <c r="B4461" s="1"/>
      <c r="C4461" s="1"/>
      <c r="D4461" s="1" t="s">
        <v>148</v>
      </c>
      <c r="E4461">
        <v>49</v>
      </c>
    </row>
    <row r="4462" spans="1:5" x14ac:dyDescent="0.35">
      <c r="A4462" s="1" t="s">
        <v>147</v>
      </c>
      <c r="B4462" s="1"/>
      <c r="C4462" s="1"/>
      <c r="D4462" s="1" t="s">
        <v>149</v>
      </c>
      <c r="E4462" t="s">
        <v>136</v>
      </c>
    </row>
    <row r="4463" spans="1:5" x14ac:dyDescent="0.35">
      <c r="A4463" s="1" t="s">
        <v>147</v>
      </c>
      <c r="B4463" s="1"/>
      <c r="C4463" s="1" t="s">
        <v>150</v>
      </c>
      <c r="D4463" s="1" t="s">
        <v>146</v>
      </c>
      <c r="E4463" t="s">
        <v>136</v>
      </c>
    </row>
    <row r="4464" spans="1:5" x14ac:dyDescent="0.35">
      <c r="A4464" s="1" t="s">
        <v>147</v>
      </c>
      <c r="B4464" s="1"/>
      <c r="C4464" s="1"/>
      <c r="D4464" s="1" t="s">
        <v>148</v>
      </c>
      <c r="E4464" t="s">
        <v>136</v>
      </c>
    </row>
    <row r="4465" spans="1:5" x14ac:dyDescent="0.35">
      <c r="A4465" s="1" t="s">
        <v>147</v>
      </c>
      <c r="B4465" s="1"/>
      <c r="C4465" s="1"/>
      <c r="D4465" s="1" t="s">
        <v>149</v>
      </c>
      <c r="E4465" t="s">
        <v>136</v>
      </c>
    </row>
    <row r="4466" spans="1:5" x14ac:dyDescent="0.35">
      <c r="A4466" s="1" t="s">
        <v>147</v>
      </c>
      <c r="B4466" s="1" t="s">
        <v>159</v>
      </c>
      <c r="C4466" s="1" t="s">
        <v>145</v>
      </c>
      <c r="D4466" s="1" t="s">
        <v>146</v>
      </c>
      <c r="E4466" t="s">
        <v>136</v>
      </c>
    </row>
    <row r="4467" spans="1:5" x14ac:dyDescent="0.35">
      <c r="A4467" s="1" t="s">
        <v>147</v>
      </c>
      <c r="B4467" s="1"/>
      <c r="C4467" s="1"/>
      <c r="D4467" s="1" t="s">
        <v>148</v>
      </c>
      <c r="E4467" t="s">
        <v>136</v>
      </c>
    </row>
    <row r="4468" spans="1:5" x14ac:dyDescent="0.35">
      <c r="A4468" s="1" t="s">
        <v>147</v>
      </c>
      <c r="B4468" s="1"/>
      <c r="C4468" s="1"/>
      <c r="D4468" s="1" t="s">
        <v>149</v>
      </c>
      <c r="E4468" t="s">
        <v>136</v>
      </c>
    </row>
    <row r="4469" spans="1:5" x14ac:dyDescent="0.35">
      <c r="A4469" s="1" t="s">
        <v>147</v>
      </c>
      <c r="B4469" s="1"/>
      <c r="C4469" s="1" t="s">
        <v>150</v>
      </c>
      <c r="D4469" s="1" t="s">
        <v>146</v>
      </c>
      <c r="E4469" t="s">
        <v>136</v>
      </c>
    </row>
    <row r="4470" spans="1:5" x14ac:dyDescent="0.35">
      <c r="A4470" s="1" t="s">
        <v>147</v>
      </c>
      <c r="B4470" s="1"/>
      <c r="C4470" s="1"/>
      <c r="D4470" s="1" t="s">
        <v>148</v>
      </c>
      <c r="E4470" t="s">
        <v>136</v>
      </c>
    </row>
    <row r="4471" spans="1:5" x14ac:dyDescent="0.35">
      <c r="A4471" s="1" t="s">
        <v>147</v>
      </c>
      <c r="B4471" s="1"/>
      <c r="C4471" s="1"/>
      <c r="D4471" s="1" t="s">
        <v>149</v>
      </c>
      <c r="E4471" t="s">
        <v>136</v>
      </c>
    </row>
    <row r="4472" spans="1:5" x14ac:dyDescent="0.35">
      <c r="A4472" s="1" t="s">
        <v>147</v>
      </c>
      <c r="B4472" s="1" t="s">
        <v>160</v>
      </c>
      <c r="C4472" s="1" t="s">
        <v>145</v>
      </c>
      <c r="D4472" s="1" t="s">
        <v>146</v>
      </c>
      <c r="E4472" t="s">
        <v>136</v>
      </c>
    </row>
    <row r="4473" spans="1:5" x14ac:dyDescent="0.35">
      <c r="A4473" s="1" t="s">
        <v>147</v>
      </c>
      <c r="B4473" s="1"/>
      <c r="C4473" s="1"/>
      <c r="D4473" s="1" t="s">
        <v>148</v>
      </c>
      <c r="E4473" t="s">
        <v>136</v>
      </c>
    </row>
    <row r="4474" spans="1:5" x14ac:dyDescent="0.35">
      <c r="A4474" s="1" t="s">
        <v>147</v>
      </c>
      <c r="B4474" s="1"/>
      <c r="C4474" s="1"/>
      <c r="D4474" s="1" t="s">
        <v>149</v>
      </c>
      <c r="E4474" t="s">
        <v>136</v>
      </c>
    </row>
    <row r="4475" spans="1:5" x14ac:dyDescent="0.35">
      <c r="A4475" s="1" t="s">
        <v>147</v>
      </c>
      <c r="B4475" s="1"/>
      <c r="C4475" s="1" t="s">
        <v>150</v>
      </c>
      <c r="D4475" s="1" t="s">
        <v>146</v>
      </c>
      <c r="E4475" t="s">
        <v>136</v>
      </c>
    </row>
    <row r="4476" spans="1:5" x14ac:dyDescent="0.35">
      <c r="A4476" s="1" t="s">
        <v>147</v>
      </c>
      <c r="B4476" s="1"/>
      <c r="C4476" s="1"/>
      <c r="D4476" s="1" t="s">
        <v>148</v>
      </c>
      <c r="E4476" t="s">
        <v>136</v>
      </c>
    </row>
    <row r="4477" spans="1:5" x14ac:dyDescent="0.35">
      <c r="A4477" s="1" t="s">
        <v>147</v>
      </c>
      <c r="B4477" s="1"/>
      <c r="C4477" s="1"/>
      <c r="D4477" s="1" t="s">
        <v>149</v>
      </c>
      <c r="E4477" t="s">
        <v>136</v>
      </c>
    </row>
    <row r="4478" spans="1:5" x14ac:dyDescent="0.35">
      <c r="A4478" s="1" t="s">
        <v>147</v>
      </c>
      <c r="B4478" s="1" t="s">
        <v>161</v>
      </c>
      <c r="C4478" s="1" t="s">
        <v>145</v>
      </c>
      <c r="D4478" s="1" t="s">
        <v>146</v>
      </c>
      <c r="E4478" t="s">
        <v>136</v>
      </c>
    </row>
    <row r="4479" spans="1:5" x14ac:dyDescent="0.35">
      <c r="A4479" s="1" t="s">
        <v>147</v>
      </c>
      <c r="B4479" s="1"/>
      <c r="C4479" s="1"/>
      <c r="D4479" s="1" t="s">
        <v>148</v>
      </c>
      <c r="E4479" t="s">
        <v>136</v>
      </c>
    </row>
    <row r="4480" spans="1:5" x14ac:dyDescent="0.35">
      <c r="A4480" s="1" t="s">
        <v>147</v>
      </c>
      <c r="B4480" s="1"/>
      <c r="C4480" s="1"/>
      <c r="D4480" s="1" t="s">
        <v>149</v>
      </c>
      <c r="E4480" t="s">
        <v>136</v>
      </c>
    </row>
    <row r="4481" spans="1:5" x14ac:dyDescent="0.35">
      <c r="A4481" s="1" t="s">
        <v>147</v>
      </c>
      <c r="B4481" s="1"/>
      <c r="C4481" s="1" t="s">
        <v>150</v>
      </c>
      <c r="D4481" s="1" t="s">
        <v>146</v>
      </c>
      <c r="E4481" t="s">
        <v>136</v>
      </c>
    </row>
    <row r="4482" spans="1:5" x14ac:dyDescent="0.35">
      <c r="A4482" s="1" t="s">
        <v>147</v>
      </c>
      <c r="B4482" s="1"/>
      <c r="C4482" s="1"/>
      <c r="D4482" s="1" t="s">
        <v>148</v>
      </c>
      <c r="E4482" t="s">
        <v>136</v>
      </c>
    </row>
    <row r="4483" spans="1:5" x14ac:dyDescent="0.35">
      <c r="A4483" s="1" t="s">
        <v>147</v>
      </c>
      <c r="B4483" s="1"/>
      <c r="C4483" s="1"/>
      <c r="D4483" s="1" t="s">
        <v>149</v>
      </c>
      <c r="E4483" t="s">
        <v>136</v>
      </c>
    </row>
    <row r="4484" spans="1:5" x14ac:dyDescent="0.35">
      <c r="A4484" s="1" t="s">
        <v>147</v>
      </c>
      <c r="B4484" s="1" t="s">
        <v>162</v>
      </c>
      <c r="C4484" s="1" t="s">
        <v>145</v>
      </c>
      <c r="D4484" s="1" t="s">
        <v>146</v>
      </c>
      <c r="E4484" t="s">
        <v>136</v>
      </c>
    </row>
    <row r="4485" spans="1:5" x14ac:dyDescent="0.35">
      <c r="A4485" s="1" t="s">
        <v>147</v>
      </c>
      <c r="B4485" s="1"/>
      <c r="C4485" s="1"/>
      <c r="D4485" s="1" t="s">
        <v>148</v>
      </c>
      <c r="E4485" t="s">
        <v>136</v>
      </c>
    </row>
    <row r="4486" spans="1:5" x14ac:dyDescent="0.35">
      <c r="A4486" s="1" t="s">
        <v>147</v>
      </c>
      <c r="B4486" s="1"/>
      <c r="C4486" s="1"/>
      <c r="D4486" s="1" t="s">
        <v>149</v>
      </c>
      <c r="E4486" t="s">
        <v>136</v>
      </c>
    </row>
    <row r="4487" spans="1:5" x14ac:dyDescent="0.35">
      <c r="A4487" s="1" t="s">
        <v>147</v>
      </c>
      <c r="B4487" s="1"/>
      <c r="C4487" s="1" t="s">
        <v>150</v>
      </c>
      <c r="D4487" s="1" t="s">
        <v>146</v>
      </c>
      <c r="E4487" t="s">
        <v>136</v>
      </c>
    </row>
    <row r="4488" spans="1:5" x14ac:dyDescent="0.35">
      <c r="A4488" s="1" t="s">
        <v>147</v>
      </c>
      <c r="B4488" s="1"/>
      <c r="C4488" s="1"/>
      <c r="D4488" s="1" t="s">
        <v>148</v>
      </c>
      <c r="E4488" t="s">
        <v>136</v>
      </c>
    </row>
    <row r="4489" spans="1:5" x14ac:dyDescent="0.35">
      <c r="A4489" s="1" t="s">
        <v>147</v>
      </c>
      <c r="B4489" s="1"/>
      <c r="C4489" s="1"/>
      <c r="D4489" s="1" t="s">
        <v>149</v>
      </c>
      <c r="E4489" t="s">
        <v>136</v>
      </c>
    </row>
    <row r="4490" spans="1:5" x14ac:dyDescent="0.35">
      <c r="A4490" s="1" t="s">
        <v>147</v>
      </c>
      <c r="B4490" s="1" t="s">
        <v>163</v>
      </c>
      <c r="C4490" s="1" t="s">
        <v>145</v>
      </c>
      <c r="D4490" s="1" t="s">
        <v>146</v>
      </c>
      <c r="E4490">
        <v>1419.81</v>
      </c>
    </row>
    <row r="4491" spans="1:5" x14ac:dyDescent="0.35">
      <c r="A4491" s="1" t="s">
        <v>147</v>
      </c>
      <c r="B4491" s="1"/>
      <c r="C4491" s="1"/>
      <c r="D4491" s="1" t="s">
        <v>148</v>
      </c>
      <c r="E4491">
        <v>1351.81</v>
      </c>
    </row>
    <row r="4492" spans="1:5" x14ac:dyDescent="0.35">
      <c r="A4492" s="1" t="s">
        <v>147</v>
      </c>
      <c r="B4492" s="1"/>
      <c r="C4492" s="1"/>
      <c r="D4492" s="1" t="s">
        <v>149</v>
      </c>
      <c r="E4492">
        <v>68</v>
      </c>
    </row>
    <row r="4493" spans="1:5" x14ac:dyDescent="0.35">
      <c r="A4493" s="1" t="s">
        <v>147</v>
      </c>
      <c r="B4493" s="1"/>
      <c r="C4493" s="1" t="s">
        <v>150</v>
      </c>
      <c r="D4493" s="1" t="s">
        <v>146</v>
      </c>
      <c r="E4493" t="s">
        <v>136</v>
      </c>
    </row>
    <row r="4494" spans="1:5" x14ac:dyDescent="0.35">
      <c r="A4494" s="1" t="s">
        <v>147</v>
      </c>
      <c r="B4494" s="1"/>
      <c r="C4494" s="1"/>
      <c r="D4494" s="1" t="s">
        <v>148</v>
      </c>
      <c r="E4494" t="s">
        <v>136</v>
      </c>
    </row>
    <row r="4495" spans="1:5" x14ac:dyDescent="0.35">
      <c r="A4495" s="1" t="s">
        <v>147</v>
      </c>
      <c r="B4495" s="1"/>
      <c r="C4495" s="1"/>
      <c r="D4495" s="1" t="s">
        <v>149</v>
      </c>
      <c r="E4495" t="s">
        <v>136</v>
      </c>
    </row>
    <row r="4496" spans="1:5" x14ac:dyDescent="0.35">
      <c r="A4496" s="1" t="s">
        <v>147</v>
      </c>
      <c r="B4496" s="1" t="s">
        <v>164</v>
      </c>
      <c r="C4496" s="1" t="s">
        <v>145</v>
      </c>
      <c r="D4496" s="1" t="s">
        <v>146</v>
      </c>
      <c r="E4496" t="s">
        <v>136</v>
      </c>
    </row>
    <row r="4497" spans="1:5" x14ac:dyDescent="0.35">
      <c r="A4497" s="1" t="s">
        <v>147</v>
      </c>
      <c r="B4497" s="1"/>
      <c r="C4497" s="1"/>
      <c r="D4497" s="1" t="s">
        <v>148</v>
      </c>
      <c r="E4497" t="s">
        <v>136</v>
      </c>
    </row>
    <row r="4498" spans="1:5" x14ac:dyDescent="0.35">
      <c r="A4498" s="1" t="s">
        <v>147</v>
      </c>
      <c r="B4498" s="1"/>
      <c r="C4498" s="1"/>
      <c r="D4498" s="1" t="s">
        <v>149</v>
      </c>
      <c r="E4498" t="s">
        <v>136</v>
      </c>
    </row>
    <row r="4499" spans="1:5" x14ac:dyDescent="0.35">
      <c r="A4499" s="1" t="s">
        <v>147</v>
      </c>
      <c r="B4499" s="1"/>
      <c r="C4499" s="1" t="s">
        <v>150</v>
      </c>
      <c r="D4499" s="1" t="s">
        <v>146</v>
      </c>
      <c r="E4499" t="s">
        <v>136</v>
      </c>
    </row>
    <row r="4500" spans="1:5" x14ac:dyDescent="0.35">
      <c r="A4500" s="1" t="s">
        <v>147</v>
      </c>
      <c r="B4500" s="1"/>
      <c r="C4500" s="1"/>
      <c r="D4500" s="1" t="s">
        <v>148</v>
      </c>
      <c r="E4500" t="s">
        <v>136</v>
      </c>
    </row>
    <row r="4501" spans="1:5" x14ac:dyDescent="0.35">
      <c r="A4501" s="1" t="s">
        <v>147</v>
      </c>
      <c r="B4501" s="1"/>
      <c r="C4501" s="1"/>
      <c r="D4501" s="1" t="s">
        <v>149</v>
      </c>
      <c r="E4501" t="s">
        <v>136</v>
      </c>
    </row>
    <row r="4502" spans="1:5" x14ac:dyDescent="0.35">
      <c r="A4502" s="1" t="s">
        <v>147</v>
      </c>
      <c r="B4502" s="1" t="s">
        <v>165</v>
      </c>
      <c r="C4502" s="1" t="s">
        <v>145</v>
      </c>
      <c r="D4502" s="1" t="s">
        <v>146</v>
      </c>
      <c r="E4502">
        <v>125</v>
      </c>
    </row>
    <row r="4503" spans="1:5" x14ac:dyDescent="0.35">
      <c r="A4503" s="1" t="s">
        <v>147</v>
      </c>
      <c r="B4503" s="1"/>
      <c r="C4503" s="1"/>
      <c r="D4503" s="1" t="s">
        <v>148</v>
      </c>
      <c r="E4503">
        <v>125</v>
      </c>
    </row>
    <row r="4504" spans="1:5" x14ac:dyDescent="0.35">
      <c r="A4504" s="1" t="s">
        <v>147</v>
      </c>
      <c r="B4504" s="1"/>
      <c r="C4504" s="1"/>
      <c r="D4504" s="1" t="s">
        <v>149</v>
      </c>
      <c r="E4504" t="s">
        <v>136</v>
      </c>
    </row>
    <row r="4505" spans="1:5" x14ac:dyDescent="0.35">
      <c r="A4505" s="1" t="s">
        <v>147</v>
      </c>
      <c r="B4505" s="1"/>
      <c r="C4505" s="1" t="s">
        <v>150</v>
      </c>
      <c r="D4505" s="1" t="s">
        <v>146</v>
      </c>
      <c r="E4505" t="s">
        <v>136</v>
      </c>
    </row>
    <row r="4506" spans="1:5" x14ac:dyDescent="0.35">
      <c r="A4506" s="1" t="s">
        <v>147</v>
      </c>
      <c r="B4506" s="1"/>
      <c r="C4506" s="1"/>
      <c r="D4506" s="1" t="s">
        <v>148</v>
      </c>
      <c r="E4506" t="s">
        <v>136</v>
      </c>
    </row>
    <row r="4507" spans="1:5" x14ac:dyDescent="0.35">
      <c r="A4507" s="1" t="s">
        <v>147</v>
      </c>
      <c r="B4507" s="1"/>
      <c r="C4507" s="1"/>
      <c r="D4507" s="1" t="s">
        <v>149</v>
      </c>
      <c r="E4507" t="s">
        <v>136</v>
      </c>
    </row>
    <row r="4508" spans="1:5" x14ac:dyDescent="0.35">
      <c r="A4508" s="1" t="s">
        <v>147</v>
      </c>
      <c r="B4508" s="1" t="s">
        <v>166</v>
      </c>
      <c r="C4508" s="1" t="s">
        <v>145</v>
      </c>
      <c r="D4508" s="1" t="s">
        <v>146</v>
      </c>
      <c r="E4508">
        <v>1294.81</v>
      </c>
    </row>
    <row r="4509" spans="1:5" x14ac:dyDescent="0.35">
      <c r="A4509" s="1" t="s">
        <v>147</v>
      </c>
      <c r="B4509" s="1"/>
      <c r="C4509" s="1"/>
      <c r="D4509" s="1" t="s">
        <v>148</v>
      </c>
      <c r="E4509">
        <v>1226.81</v>
      </c>
    </row>
    <row r="4510" spans="1:5" x14ac:dyDescent="0.35">
      <c r="A4510" s="1" t="s">
        <v>147</v>
      </c>
      <c r="B4510" s="1"/>
      <c r="C4510" s="1"/>
      <c r="D4510" s="1" t="s">
        <v>149</v>
      </c>
      <c r="E4510">
        <v>68</v>
      </c>
    </row>
    <row r="4511" spans="1:5" x14ac:dyDescent="0.35">
      <c r="A4511" s="1" t="s">
        <v>147</v>
      </c>
      <c r="B4511" s="1"/>
      <c r="C4511" s="1" t="s">
        <v>150</v>
      </c>
      <c r="D4511" s="1" t="s">
        <v>146</v>
      </c>
      <c r="E4511" t="s">
        <v>136</v>
      </c>
    </row>
    <row r="4512" spans="1:5" x14ac:dyDescent="0.35">
      <c r="A4512" s="1" t="s">
        <v>147</v>
      </c>
      <c r="B4512" s="1"/>
      <c r="C4512" s="1"/>
      <c r="D4512" s="1" t="s">
        <v>148</v>
      </c>
      <c r="E4512" t="s">
        <v>136</v>
      </c>
    </row>
    <row r="4513" spans="1:5" x14ac:dyDescent="0.35">
      <c r="A4513" s="1" t="s">
        <v>147</v>
      </c>
      <c r="B4513" s="1"/>
      <c r="C4513" s="1"/>
      <c r="D4513" s="1" t="s">
        <v>149</v>
      </c>
      <c r="E4513" t="s">
        <v>136</v>
      </c>
    </row>
    <row r="4514" spans="1:5" x14ac:dyDescent="0.35">
      <c r="A4514" s="1" t="s">
        <v>147</v>
      </c>
      <c r="B4514" s="1" t="s">
        <v>167</v>
      </c>
      <c r="C4514" s="1" t="s">
        <v>145</v>
      </c>
      <c r="D4514" s="1" t="s">
        <v>146</v>
      </c>
      <c r="E4514" t="s">
        <v>136</v>
      </c>
    </row>
    <row r="4515" spans="1:5" x14ac:dyDescent="0.35">
      <c r="A4515" s="1" t="s">
        <v>147</v>
      </c>
      <c r="B4515" s="1"/>
      <c r="C4515" s="1"/>
      <c r="D4515" s="1" t="s">
        <v>148</v>
      </c>
      <c r="E4515" t="s">
        <v>136</v>
      </c>
    </row>
    <row r="4516" spans="1:5" x14ac:dyDescent="0.35">
      <c r="A4516" s="1" t="s">
        <v>147</v>
      </c>
      <c r="B4516" s="1"/>
      <c r="C4516" s="1"/>
      <c r="D4516" s="1" t="s">
        <v>149</v>
      </c>
      <c r="E4516" t="s">
        <v>136</v>
      </c>
    </row>
    <row r="4517" spans="1:5" x14ac:dyDescent="0.35">
      <c r="A4517" s="1" t="s">
        <v>147</v>
      </c>
      <c r="B4517" s="1"/>
      <c r="C4517" s="1" t="s">
        <v>150</v>
      </c>
      <c r="D4517" s="1" t="s">
        <v>146</v>
      </c>
      <c r="E4517" t="s">
        <v>136</v>
      </c>
    </row>
    <row r="4518" spans="1:5" x14ac:dyDescent="0.35">
      <c r="A4518" s="1" t="s">
        <v>147</v>
      </c>
      <c r="B4518" s="1"/>
      <c r="C4518" s="1"/>
      <c r="D4518" s="1" t="s">
        <v>148</v>
      </c>
      <c r="E4518" t="s">
        <v>136</v>
      </c>
    </row>
    <row r="4519" spans="1:5" x14ac:dyDescent="0.35">
      <c r="A4519" s="1" t="s">
        <v>147</v>
      </c>
      <c r="B4519" s="1"/>
      <c r="C4519" s="1"/>
      <c r="D4519" s="1" t="s">
        <v>149</v>
      </c>
      <c r="E4519" t="s">
        <v>136</v>
      </c>
    </row>
    <row r="4520" spans="1:5" x14ac:dyDescent="0.35">
      <c r="A4520" s="1" t="s">
        <v>147</v>
      </c>
      <c r="B4520" s="1" t="s">
        <v>168</v>
      </c>
      <c r="C4520" s="1" t="s">
        <v>145</v>
      </c>
      <c r="D4520" s="1" t="s">
        <v>146</v>
      </c>
      <c r="E4520" t="s">
        <v>136</v>
      </c>
    </row>
    <row r="4521" spans="1:5" x14ac:dyDescent="0.35">
      <c r="A4521" s="1" t="s">
        <v>147</v>
      </c>
      <c r="B4521" s="1"/>
      <c r="C4521" s="1"/>
      <c r="D4521" s="1" t="s">
        <v>148</v>
      </c>
      <c r="E4521" t="s">
        <v>136</v>
      </c>
    </row>
    <row r="4522" spans="1:5" x14ac:dyDescent="0.35">
      <c r="A4522" s="1" t="s">
        <v>147</v>
      </c>
      <c r="B4522" s="1"/>
      <c r="C4522" s="1"/>
      <c r="D4522" s="1" t="s">
        <v>149</v>
      </c>
      <c r="E4522" t="s">
        <v>136</v>
      </c>
    </row>
    <row r="4523" spans="1:5" x14ac:dyDescent="0.35">
      <c r="A4523" s="1" t="s">
        <v>147</v>
      </c>
      <c r="B4523" s="1"/>
      <c r="C4523" s="1" t="s">
        <v>150</v>
      </c>
      <c r="D4523" s="1" t="s">
        <v>146</v>
      </c>
      <c r="E4523" t="s">
        <v>136</v>
      </c>
    </row>
    <row r="4524" spans="1:5" x14ac:dyDescent="0.35">
      <c r="A4524" s="1" t="s">
        <v>147</v>
      </c>
      <c r="B4524" s="1"/>
      <c r="C4524" s="1"/>
      <c r="D4524" s="1" t="s">
        <v>148</v>
      </c>
      <c r="E4524" t="s">
        <v>136</v>
      </c>
    </row>
    <row r="4525" spans="1:5" x14ac:dyDescent="0.35">
      <c r="A4525" s="1" t="s">
        <v>147</v>
      </c>
      <c r="B4525" s="1"/>
      <c r="C4525" s="1"/>
      <c r="D4525" s="1" t="s">
        <v>149</v>
      </c>
      <c r="E4525" t="s">
        <v>136</v>
      </c>
    </row>
    <row r="4526" spans="1:5" x14ac:dyDescent="0.35">
      <c r="A4526" s="1" t="s">
        <v>147</v>
      </c>
      <c r="B4526" s="1" t="s">
        <v>169</v>
      </c>
      <c r="C4526" s="1" t="s">
        <v>145</v>
      </c>
      <c r="D4526" s="1" t="s">
        <v>146</v>
      </c>
      <c r="E4526" t="s">
        <v>136</v>
      </c>
    </row>
    <row r="4527" spans="1:5" x14ac:dyDescent="0.35">
      <c r="A4527" s="1" t="s">
        <v>147</v>
      </c>
      <c r="B4527" s="1"/>
      <c r="C4527" s="1"/>
      <c r="D4527" s="1" t="s">
        <v>148</v>
      </c>
      <c r="E4527" t="s">
        <v>136</v>
      </c>
    </row>
    <row r="4528" spans="1:5" x14ac:dyDescent="0.35">
      <c r="A4528" s="1" t="s">
        <v>147</v>
      </c>
      <c r="B4528" s="1"/>
      <c r="C4528" s="1"/>
      <c r="D4528" s="1" t="s">
        <v>149</v>
      </c>
      <c r="E4528" t="s">
        <v>136</v>
      </c>
    </row>
    <row r="4529" spans="1:5" x14ac:dyDescent="0.35">
      <c r="A4529" s="1" t="s">
        <v>147</v>
      </c>
      <c r="B4529" s="1"/>
      <c r="C4529" s="1" t="s">
        <v>150</v>
      </c>
      <c r="D4529" s="1" t="s">
        <v>146</v>
      </c>
      <c r="E4529" t="s">
        <v>136</v>
      </c>
    </row>
    <row r="4530" spans="1:5" x14ac:dyDescent="0.35">
      <c r="A4530" s="1" t="s">
        <v>147</v>
      </c>
      <c r="B4530" s="1"/>
      <c r="C4530" s="1"/>
      <c r="D4530" s="1" t="s">
        <v>148</v>
      </c>
      <c r="E4530" t="s">
        <v>136</v>
      </c>
    </row>
    <row r="4531" spans="1:5" x14ac:dyDescent="0.35">
      <c r="A4531" s="1" t="s">
        <v>147</v>
      </c>
      <c r="B4531" s="1"/>
      <c r="C4531" s="1"/>
      <c r="D4531" s="1" t="s">
        <v>149</v>
      </c>
      <c r="E4531" t="s">
        <v>136</v>
      </c>
    </row>
    <row r="4532" spans="1:5" x14ac:dyDescent="0.35">
      <c r="A4532" s="1" t="s">
        <v>147</v>
      </c>
      <c r="B4532" s="1" t="s">
        <v>170</v>
      </c>
      <c r="C4532" s="1" t="s">
        <v>145</v>
      </c>
      <c r="D4532" s="1" t="s">
        <v>146</v>
      </c>
      <c r="E4532" t="s">
        <v>136</v>
      </c>
    </row>
    <row r="4533" spans="1:5" x14ac:dyDescent="0.35">
      <c r="A4533" s="1" t="s">
        <v>147</v>
      </c>
      <c r="B4533" s="1"/>
      <c r="C4533" s="1"/>
      <c r="D4533" s="1" t="s">
        <v>148</v>
      </c>
      <c r="E4533" t="s">
        <v>136</v>
      </c>
    </row>
    <row r="4534" spans="1:5" x14ac:dyDescent="0.35">
      <c r="A4534" s="1" t="s">
        <v>147</v>
      </c>
      <c r="B4534" s="1"/>
      <c r="C4534" s="1"/>
      <c r="D4534" s="1" t="s">
        <v>149</v>
      </c>
      <c r="E4534" t="s">
        <v>136</v>
      </c>
    </row>
    <row r="4535" spans="1:5" x14ac:dyDescent="0.35">
      <c r="A4535" s="1" t="s">
        <v>147</v>
      </c>
      <c r="B4535" s="1"/>
      <c r="C4535" s="1" t="s">
        <v>150</v>
      </c>
      <c r="D4535" s="1" t="s">
        <v>146</v>
      </c>
      <c r="E4535" t="s">
        <v>136</v>
      </c>
    </row>
    <row r="4536" spans="1:5" x14ac:dyDescent="0.35">
      <c r="A4536" s="1" t="s">
        <v>147</v>
      </c>
      <c r="B4536" s="1"/>
      <c r="C4536" s="1"/>
      <c r="D4536" s="1" t="s">
        <v>148</v>
      </c>
      <c r="E4536" t="s">
        <v>136</v>
      </c>
    </row>
    <row r="4537" spans="1:5" x14ac:dyDescent="0.35">
      <c r="A4537" s="1" t="s">
        <v>147</v>
      </c>
      <c r="B4537" s="1"/>
      <c r="C4537" s="1"/>
      <c r="D4537" s="1" t="s">
        <v>149</v>
      </c>
      <c r="E4537" t="s">
        <v>136</v>
      </c>
    </row>
    <row r="4538" spans="1:5" x14ac:dyDescent="0.35">
      <c r="A4538" s="1" t="s">
        <v>111</v>
      </c>
      <c r="B4538" s="1" t="s">
        <v>144</v>
      </c>
      <c r="C4538" s="1" t="s">
        <v>145</v>
      </c>
      <c r="D4538" s="1" t="s">
        <v>146</v>
      </c>
      <c r="E4538">
        <v>23.75</v>
      </c>
    </row>
    <row r="4539" spans="1:5" x14ac:dyDescent="0.35">
      <c r="A4539" s="1" t="s">
        <v>147</v>
      </c>
      <c r="B4539" s="1"/>
      <c r="C4539" s="1"/>
      <c r="D4539" s="1" t="s">
        <v>148</v>
      </c>
      <c r="E4539">
        <v>19.2</v>
      </c>
    </row>
    <row r="4540" spans="1:5" x14ac:dyDescent="0.35">
      <c r="A4540" s="1" t="s">
        <v>147</v>
      </c>
      <c r="B4540" s="1"/>
      <c r="C4540" s="1"/>
      <c r="D4540" s="1" t="s">
        <v>149</v>
      </c>
      <c r="E4540">
        <v>4.55</v>
      </c>
    </row>
    <row r="4541" spans="1:5" x14ac:dyDescent="0.35">
      <c r="A4541" s="1" t="s">
        <v>147</v>
      </c>
      <c r="B4541" s="1"/>
      <c r="C4541" s="1" t="s">
        <v>150</v>
      </c>
      <c r="D4541" s="1" t="s">
        <v>146</v>
      </c>
      <c r="E4541" t="s">
        <v>136</v>
      </c>
    </row>
    <row r="4542" spans="1:5" x14ac:dyDescent="0.35">
      <c r="A4542" s="1" t="s">
        <v>147</v>
      </c>
      <c r="B4542" s="1"/>
      <c r="C4542" s="1"/>
      <c r="D4542" s="1" t="s">
        <v>148</v>
      </c>
      <c r="E4542" t="s">
        <v>136</v>
      </c>
    </row>
    <row r="4543" spans="1:5" x14ac:dyDescent="0.35">
      <c r="A4543" s="1" t="s">
        <v>147</v>
      </c>
      <c r="B4543" s="1"/>
      <c r="C4543" s="1"/>
      <c r="D4543" s="1" t="s">
        <v>149</v>
      </c>
      <c r="E4543" t="s">
        <v>136</v>
      </c>
    </row>
    <row r="4544" spans="1:5" x14ac:dyDescent="0.35">
      <c r="A4544" s="1" t="s">
        <v>147</v>
      </c>
      <c r="B4544" s="1" t="s">
        <v>151</v>
      </c>
      <c r="C4544" s="1" t="s">
        <v>145</v>
      </c>
      <c r="D4544" s="1" t="s">
        <v>146</v>
      </c>
      <c r="E4544">
        <v>17.75</v>
      </c>
    </row>
    <row r="4545" spans="1:5" x14ac:dyDescent="0.35">
      <c r="A4545" s="1" t="s">
        <v>147</v>
      </c>
      <c r="B4545" s="1"/>
      <c r="C4545" s="1"/>
      <c r="D4545" s="1" t="s">
        <v>148</v>
      </c>
      <c r="E4545">
        <v>13.2</v>
      </c>
    </row>
    <row r="4546" spans="1:5" x14ac:dyDescent="0.35">
      <c r="A4546" s="1" t="s">
        <v>147</v>
      </c>
      <c r="B4546" s="1"/>
      <c r="C4546" s="1"/>
      <c r="D4546" s="1" t="s">
        <v>149</v>
      </c>
      <c r="E4546">
        <v>4.55</v>
      </c>
    </row>
    <row r="4547" spans="1:5" x14ac:dyDescent="0.35">
      <c r="A4547" s="1" t="s">
        <v>147</v>
      </c>
      <c r="B4547" s="1"/>
      <c r="C4547" s="1" t="s">
        <v>150</v>
      </c>
      <c r="D4547" s="1" t="s">
        <v>146</v>
      </c>
      <c r="E4547" t="s">
        <v>136</v>
      </c>
    </row>
    <row r="4548" spans="1:5" x14ac:dyDescent="0.35">
      <c r="A4548" s="1" t="s">
        <v>147</v>
      </c>
      <c r="B4548" s="1"/>
      <c r="C4548" s="1"/>
      <c r="D4548" s="1" t="s">
        <v>148</v>
      </c>
      <c r="E4548" t="s">
        <v>136</v>
      </c>
    </row>
    <row r="4549" spans="1:5" x14ac:dyDescent="0.35">
      <c r="A4549" s="1" t="s">
        <v>147</v>
      </c>
      <c r="B4549" s="1"/>
      <c r="C4549" s="1"/>
      <c r="D4549" s="1" t="s">
        <v>149</v>
      </c>
      <c r="E4549" t="s">
        <v>136</v>
      </c>
    </row>
    <row r="4550" spans="1:5" x14ac:dyDescent="0.35">
      <c r="A4550" s="1" t="s">
        <v>147</v>
      </c>
      <c r="B4550" s="1" t="s">
        <v>152</v>
      </c>
      <c r="C4550" s="1" t="s">
        <v>145</v>
      </c>
      <c r="D4550" s="1" t="s">
        <v>146</v>
      </c>
      <c r="E4550" t="s">
        <v>136</v>
      </c>
    </row>
    <row r="4551" spans="1:5" x14ac:dyDescent="0.35">
      <c r="A4551" s="1" t="s">
        <v>147</v>
      </c>
      <c r="B4551" s="1"/>
      <c r="C4551" s="1"/>
      <c r="D4551" s="1" t="s">
        <v>148</v>
      </c>
      <c r="E4551" t="s">
        <v>136</v>
      </c>
    </row>
    <row r="4552" spans="1:5" x14ac:dyDescent="0.35">
      <c r="A4552" s="1" t="s">
        <v>147</v>
      </c>
      <c r="B4552" s="1"/>
      <c r="C4552" s="1"/>
      <c r="D4552" s="1" t="s">
        <v>149</v>
      </c>
      <c r="E4552" t="s">
        <v>136</v>
      </c>
    </row>
    <row r="4553" spans="1:5" x14ac:dyDescent="0.35">
      <c r="A4553" s="1" t="s">
        <v>147</v>
      </c>
      <c r="B4553" s="1"/>
      <c r="C4553" s="1" t="s">
        <v>150</v>
      </c>
      <c r="D4553" s="1" t="s">
        <v>146</v>
      </c>
      <c r="E4553" t="s">
        <v>136</v>
      </c>
    </row>
    <row r="4554" spans="1:5" x14ac:dyDescent="0.35">
      <c r="A4554" s="1" t="s">
        <v>147</v>
      </c>
      <c r="B4554" s="1"/>
      <c r="C4554" s="1"/>
      <c r="D4554" s="1" t="s">
        <v>148</v>
      </c>
      <c r="E4554" t="s">
        <v>136</v>
      </c>
    </row>
    <row r="4555" spans="1:5" x14ac:dyDescent="0.35">
      <c r="A4555" s="1" t="s">
        <v>147</v>
      </c>
      <c r="B4555" s="1"/>
      <c r="C4555" s="1"/>
      <c r="D4555" s="1" t="s">
        <v>149</v>
      </c>
      <c r="E4555" t="s">
        <v>136</v>
      </c>
    </row>
    <row r="4556" spans="1:5" x14ac:dyDescent="0.35">
      <c r="A4556" s="1" t="s">
        <v>147</v>
      </c>
      <c r="B4556" s="1" t="s">
        <v>153</v>
      </c>
      <c r="C4556" s="1" t="s">
        <v>145</v>
      </c>
      <c r="D4556" s="1" t="s">
        <v>146</v>
      </c>
      <c r="E4556">
        <v>6</v>
      </c>
    </row>
    <row r="4557" spans="1:5" x14ac:dyDescent="0.35">
      <c r="A4557" s="1" t="s">
        <v>147</v>
      </c>
      <c r="B4557" s="1"/>
      <c r="C4557" s="1"/>
      <c r="D4557" s="1" t="s">
        <v>148</v>
      </c>
      <c r="E4557">
        <v>6</v>
      </c>
    </row>
    <row r="4558" spans="1:5" x14ac:dyDescent="0.35">
      <c r="A4558" s="1" t="s">
        <v>147</v>
      </c>
      <c r="B4558" s="1"/>
      <c r="C4558" s="1"/>
      <c r="D4558" s="1" t="s">
        <v>149</v>
      </c>
      <c r="E4558" t="s">
        <v>136</v>
      </c>
    </row>
    <row r="4559" spans="1:5" x14ac:dyDescent="0.35">
      <c r="A4559" s="1" t="s">
        <v>147</v>
      </c>
      <c r="B4559" s="1"/>
      <c r="C4559" s="1" t="s">
        <v>150</v>
      </c>
      <c r="D4559" s="1" t="s">
        <v>146</v>
      </c>
      <c r="E4559" t="s">
        <v>136</v>
      </c>
    </row>
    <row r="4560" spans="1:5" x14ac:dyDescent="0.35">
      <c r="A4560" s="1" t="s">
        <v>147</v>
      </c>
      <c r="B4560" s="1"/>
      <c r="C4560" s="1"/>
      <c r="D4560" s="1" t="s">
        <v>148</v>
      </c>
      <c r="E4560" t="s">
        <v>136</v>
      </c>
    </row>
    <row r="4561" spans="1:5" x14ac:dyDescent="0.35">
      <c r="A4561" s="1" t="s">
        <v>147</v>
      </c>
      <c r="B4561" s="1"/>
      <c r="C4561" s="1"/>
      <c r="D4561" s="1" t="s">
        <v>149</v>
      </c>
      <c r="E4561" t="s">
        <v>136</v>
      </c>
    </row>
    <row r="4562" spans="1:5" x14ac:dyDescent="0.35">
      <c r="A4562" s="1" t="s">
        <v>147</v>
      </c>
      <c r="B4562" s="1" t="s">
        <v>154</v>
      </c>
      <c r="C4562" s="1" t="s">
        <v>145</v>
      </c>
      <c r="D4562" s="1" t="s">
        <v>146</v>
      </c>
      <c r="E4562" t="s">
        <v>136</v>
      </c>
    </row>
    <row r="4563" spans="1:5" x14ac:dyDescent="0.35">
      <c r="A4563" s="1" t="s">
        <v>147</v>
      </c>
      <c r="B4563" s="1"/>
      <c r="C4563" s="1"/>
      <c r="D4563" s="1" t="s">
        <v>148</v>
      </c>
      <c r="E4563" t="s">
        <v>136</v>
      </c>
    </row>
    <row r="4564" spans="1:5" x14ac:dyDescent="0.35">
      <c r="A4564" s="1" t="s">
        <v>147</v>
      </c>
      <c r="B4564" s="1"/>
      <c r="C4564" s="1"/>
      <c r="D4564" s="1" t="s">
        <v>149</v>
      </c>
      <c r="E4564" t="s">
        <v>136</v>
      </c>
    </row>
    <row r="4565" spans="1:5" x14ac:dyDescent="0.35">
      <c r="A4565" s="1" t="s">
        <v>147</v>
      </c>
      <c r="B4565" s="1"/>
      <c r="C4565" s="1" t="s">
        <v>150</v>
      </c>
      <c r="D4565" s="1" t="s">
        <v>146</v>
      </c>
      <c r="E4565" t="s">
        <v>136</v>
      </c>
    </row>
    <row r="4566" spans="1:5" x14ac:dyDescent="0.35">
      <c r="A4566" s="1" t="s">
        <v>147</v>
      </c>
      <c r="B4566" s="1"/>
      <c r="C4566" s="1"/>
      <c r="D4566" s="1" t="s">
        <v>148</v>
      </c>
      <c r="E4566" t="s">
        <v>136</v>
      </c>
    </row>
    <row r="4567" spans="1:5" x14ac:dyDescent="0.35">
      <c r="A4567" s="1" t="s">
        <v>147</v>
      </c>
      <c r="B4567" s="1"/>
      <c r="C4567" s="1"/>
      <c r="D4567" s="1" t="s">
        <v>149</v>
      </c>
      <c r="E4567" t="s">
        <v>136</v>
      </c>
    </row>
    <row r="4568" spans="1:5" x14ac:dyDescent="0.35">
      <c r="A4568" s="1" t="s">
        <v>147</v>
      </c>
      <c r="B4568" s="1" t="s">
        <v>155</v>
      </c>
      <c r="C4568" s="1" t="s">
        <v>145</v>
      </c>
      <c r="D4568" s="1" t="s">
        <v>146</v>
      </c>
      <c r="E4568" t="s">
        <v>136</v>
      </c>
    </row>
    <row r="4569" spans="1:5" x14ac:dyDescent="0.35">
      <c r="A4569" s="1" t="s">
        <v>147</v>
      </c>
      <c r="B4569" s="1"/>
      <c r="C4569" s="1"/>
      <c r="D4569" s="1" t="s">
        <v>148</v>
      </c>
      <c r="E4569" t="s">
        <v>136</v>
      </c>
    </row>
    <row r="4570" spans="1:5" x14ac:dyDescent="0.35">
      <c r="A4570" s="1" t="s">
        <v>147</v>
      </c>
      <c r="B4570" s="1"/>
      <c r="C4570" s="1"/>
      <c r="D4570" s="1" t="s">
        <v>149</v>
      </c>
      <c r="E4570" t="s">
        <v>136</v>
      </c>
    </row>
    <row r="4571" spans="1:5" x14ac:dyDescent="0.35">
      <c r="A4571" s="1" t="s">
        <v>147</v>
      </c>
      <c r="B4571" s="1"/>
      <c r="C4571" s="1" t="s">
        <v>150</v>
      </c>
      <c r="D4571" s="1" t="s">
        <v>146</v>
      </c>
      <c r="E4571" t="s">
        <v>136</v>
      </c>
    </row>
    <row r="4572" spans="1:5" x14ac:dyDescent="0.35">
      <c r="A4572" s="1" t="s">
        <v>147</v>
      </c>
      <c r="B4572" s="1"/>
      <c r="C4572" s="1"/>
      <c r="D4572" s="1" t="s">
        <v>148</v>
      </c>
      <c r="E4572" t="s">
        <v>136</v>
      </c>
    </row>
    <row r="4573" spans="1:5" x14ac:dyDescent="0.35">
      <c r="A4573" s="1" t="s">
        <v>147</v>
      </c>
      <c r="B4573" s="1"/>
      <c r="C4573" s="1"/>
      <c r="D4573" s="1" t="s">
        <v>149</v>
      </c>
      <c r="E4573" t="s">
        <v>136</v>
      </c>
    </row>
    <row r="4574" spans="1:5" x14ac:dyDescent="0.35">
      <c r="A4574" s="1" t="s">
        <v>147</v>
      </c>
      <c r="B4574" s="1" t="s">
        <v>156</v>
      </c>
      <c r="C4574" s="1" t="s">
        <v>145</v>
      </c>
      <c r="D4574" s="1" t="s">
        <v>146</v>
      </c>
      <c r="E4574" t="s">
        <v>136</v>
      </c>
    </row>
    <row r="4575" spans="1:5" x14ac:dyDescent="0.35">
      <c r="A4575" s="1" t="s">
        <v>147</v>
      </c>
      <c r="B4575" s="1"/>
      <c r="C4575" s="1"/>
      <c r="D4575" s="1" t="s">
        <v>148</v>
      </c>
      <c r="E4575" t="s">
        <v>136</v>
      </c>
    </row>
    <row r="4576" spans="1:5" x14ac:dyDescent="0.35">
      <c r="A4576" s="1" t="s">
        <v>147</v>
      </c>
      <c r="B4576" s="1"/>
      <c r="C4576" s="1"/>
      <c r="D4576" s="1" t="s">
        <v>149</v>
      </c>
      <c r="E4576" t="s">
        <v>136</v>
      </c>
    </row>
    <row r="4577" spans="1:5" x14ac:dyDescent="0.35">
      <c r="A4577" s="1" t="s">
        <v>147</v>
      </c>
      <c r="B4577" s="1"/>
      <c r="C4577" s="1" t="s">
        <v>150</v>
      </c>
      <c r="D4577" s="1" t="s">
        <v>146</v>
      </c>
      <c r="E4577" t="s">
        <v>136</v>
      </c>
    </row>
    <row r="4578" spans="1:5" x14ac:dyDescent="0.35">
      <c r="A4578" s="1" t="s">
        <v>147</v>
      </c>
      <c r="B4578" s="1"/>
      <c r="C4578" s="1"/>
      <c r="D4578" s="1" t="s">
        <v>148</v>
      </c>
      <c r="E4578" t="s">
        <v>136</v>
      </c>
    </row>
    <row r="4579" spans="1:5" x14ac:dyDescent="0.35">
      <c r="A4579" s="1" t="s">
        <v>147</v>
      </c>
      <c r="B4579" s="1"/>
      <c r="C4579" s="1"/>
      <c r="D4579" s="1" t="s">
        <v>149</v>
      </c>
      <c r="E4579" t="s">
        <v>136</v>
      </c>
    </row>
    <row r="4580" spans="1:5" x14ac:dyDescent="0.35">
      <c r="A4580" s="1" t="s">
        <v>147</v>
      </c>
      <c r="B4580" s="1" t="s">
        <v>157</v>
      </c>
      <c r="C4580" s="1" t="s">
        <v>145</v>
      </c>
      <c r="D4580" s="1" t="s">
        <v>146</v>
      </c>
      <c r="E4580" t="s">
        <v>136</v>
      </c>
    </row>
    <row r="4581" spans="1:5" x14ac:dyDescent="0.35">
      <c r="A4581" s="1" t="s">
        <v>147</v>
      </c>
      <c r="B4581" s="1"/>
      <c r="C4581" s="1"/>
      <c r="D4581" s="1" t="s">
        <v>148</v>
      </c>
      <c r="E4581" t="s">
        <v>136</v>
      </c>
    </row>
    <row r="4582" spans="1:5" x14ac:dyDescent="0.35">
      <c r="A4582" s="1" t="s">
        <v>147</v>
      </c>
      <c r="B4582" s="1"/>
      <c r="C4582" s="1"/>
      <c r="D4582" s="1" t="s">
        <v>149</v>
      </c>
      <c r="E4582" t="s">
        <v>136</v>
      </c>
    </row>
    <row r="4583" spans="1:5" x14ac:dyDescent="0.35">
      <c r="A4583" s="1" t="s">
        <v>147</v>
      </c>
      <c r="B4583" s="1"/>
      <c r="C4583" s="1" t="s">
        <v>150</v>
      </c>
      <c r="D4583" s="1" t="s">
        <v>146</v>
      </c>
      <c r="E4583" t="s">
        <v>136</v>
      </c>
    </row>
    <row r="4584" spans="1:5" x14ac:dyDescent="0.35">
      <c r="A4584" s="1" t="s">
        <v>147</v>
      </c>
      <c r="B4584" s="1"/>
      <c r="C4584" s="1"/>
      <c r="D4584" s="1" t="s">
        <v>148</v>
      </c>
      <c r="E4584" t="s">
        <v>136</v>
      </c>
    </row>
    <row r="4585" spans="1:5" x14ac:dyDescent="0.35">
      <c r="A4585" s="1" t="s">
        <v>147</v>
      </c>
      <c r="B4585" s="1"/>
      <c r="C4585" s="1"/>
      <c r="D4585" s="1" t="s">
        <v>149</v>
      </c>
      <c r="E4585" t="s">
        <v>136</v>
      </c>
    </row>
    <row r="4586" spans="1:5" x14ac:dyDescent="0.35">
      <c r="A4586" s="1" t="s">
        <v>147</v>
      </c>
      <c r="B4586" s="1" t="s">
        <v>158</v>
      </c>
      <c r="C4586" s="1" t="s">
        <v>145</v>
      </c>
      <c r="D4586" s="1" t="s">
        <v>146</v>
      </c>
      <c r="E4586" t="s">
        <v>136</v>
      </c>
    </row>
    <row r="4587" spans="1:5" x14ac:dyDescent="0.35">
      <c r="A4587" s="1" t="s">
        <v>147</v>
      </c>
      <c r="B4587" s="1"/>
      <c r="C4587" s="1"/>
      <c r="D4587" s="1" t="s">
        <v>148</v>
      </c>
      <c r="E4587" t="s">
        <v>136</v>
      </c>
    </row>
    <row r="4588" spans="1:5" x14ac:dyDescent="0.35">
      <c r="A4588" s="1" t="s">
        <v>147</v>
      </c>
      <c r="B4588" s="1"/>
      <c r="C4588" s="1"/>
      <c r="D4588" s="1" t="s">
        <v>149</v>
      </c>
      <c r="E4588" t="s">
        <v>136</v>
      </c>
    </row>
    <row r="4589" spans="1:5" x14ac:dyDescent="0.35">
      <c r="A4589" s="1" t="s">
        <v>147</v>
      </c>
      <c r="B4589" s="1"/>
      <c r="C4589" s="1" t="s">
        <v>150</v>
      </c>
      <c r="D4589" s="1" t="s">
        <v>146</v>
      </c>
      <c r="E4589" t="s">
        <v>136</v>
      </c>
    </row>
    <row r="4590" spans="1:5" x14ac:dyDescent="0.35">
      <c r="A4590" s="1" t="s">
        <v>147</v>
      </c>
      <c r="B4590" s="1"/>
      <c r="C4590" s="1"/>
      <c r="D4590" s="1" t="s">
        <v>148</v>
      </c>
      <c r="E4590" t="s">
        <v>136</v>
      </c>
    </row>
    <row r="4591" spans="1:5" x14ac:dyDescent="0.35">
      <c r="A4591" s="1" t="s">
        <v>147</v>
      </c>
      <c r="B4591" s="1"/>
      <c r="C4591" s="1"/>
      <c r="D4591" s="1" t="s">
        <v>149</v>
      </c>
      <c r="E4591" t="s">
        <v>136</v>
      </c>
    </row>
    <row r="4592" spans="1:5" x14ac:dyDescent="0.35">
      <c r="A4592" s="1" t="s">
        <v>147</v>
      </c>
      <c r="B4592" s="1" t="s">
        <v>159</v>
      </c>
      <c r="C4592" s="1" t="s">
        <v>145</v>
      </c>
      <c r="D4592" s="1" t="s">
        <v>146</v>
      </c>
      <c r="E4592" t="s">
        <v>136</v>
      </c>
    </row>
    <row r="4593" spans="1:5" x14ac:dyDescent="0.35">
      <c r="A4593" s="1" t="s">
        <v>147</v>
      </c>
      <c r="B4593" s="1"/>
      <c r="C4593" s="1"/>
      <c r="D4593" s="1" t="s">
        <v>148</v>
      </c>
      <c r="E4593" t="s">
        <v>136</v>
      </c>
    </row>
    <row r="4594" spans="1:5" x14ac:dyDescent="0.35">
      <c r="A4594" s="1" t="s">
        <v>147</v>
      </c>
      <c r="B4594" s="1"/>
      <c r="C4594" s="1"/>
      <c r="D4594" s="1" t="s">
        <v>149</v>
      </c>
      <c r="E4594" t="s">
        <v>136</v>
      </c>
    </row>
    <row r="4595" spans="1:5" x14ac:dyDescent="0.35">
      <c r="A4595" s="1" t="s">
        <v>147</v>
      </c>
      <c r="B4595" s="1"/>
      <c r="C4595" s="1" t="s">
        <v>150</v>
      </c>
      <c r="D4595" s="1" t="s">
        <v>146</v>
      </c>
      <c r="E4595" t="s">
        <v>136</v>
      </c>
    </row>
    <row r="4596" spans="1:5" x14ac:dyDescent="0.35">
      <c r="A4596" s="1" t="s">
        <v>147</v>
      </c>
      <c r="B4596" s="1"/>
      <c r="C4596" s="1"/>
      <c r="D4596" s="1" t="s">
        <v>148</v>
      </c>
      <c r="E4596" t="s">
        <v>136</v>
      </c>
    </row>
    <row r="4597" spans="1:5" x14ac:dyDescent="0.35">
      <c r="A4597" s="1" t="s">
        <v>147</v>
      </c>
      <c r="B4597" s="1"/>
      <c r="C4597" s="1"/>
      <c r="D4597" s="1" t="s">
        <v>149</v>
      </c>
      <c r="E4597" t="s">
        <v>136</v>
      </c>
    </row>
    <row r="4598" spans="1:5" x14ac:dyDescent="0.35">
      <c r="A4598" s="1" t="s">
        <v>147</v>
      </c>
      <c r="B4598" s="1" t="s">
        <v>160</v>
      </c>
      <c r="C4598" s="1" t="s">
        <v>145</v>
      </c>
      <c r="D4598" s="1" t="s">
        <v>146</v>
      </c>
      <c r="E4598" t="s">
        <v>136</v>
      </c>
    </row>
    <row r="4599" spans="1:5" x14ac:dyDescent="0.35">
      <c r="A4599" s="1" t="s">
        <v>147</v>
      </c>
      <c r="B4599" s="1"/>
      <c r="C4599" s="1"/>
      <c r="D4599" s="1" t="s">
        <v>148</v>
      </c>
      <c r="E4599" t="s">
        <v>136</v>
      </c>
    </row>
    <row r="4600" spans="1:5" x14ac:dyDescent="0.35">
      <c r="A4600" s="1" t="s">
        <v>147</v>
      </c>
      <c r="B4600" s="1"/>
      <c r="C4600" s="1"/>
      <c r="D4600" s="1" t="s">
        <v>149</v>
      </c>
      <c r="E4600" t="s">
        <v>136</v>
      </c>
    </row>
    <row r="4601" spans="1:5" x14ac:dyDescent="0.35">
      <c r="A4601" s="1" t="s">
        <v>147</v>
      </c>
      <c r="B4601" s="1"/>
      <c r="C4601" s="1" t="s">
        <v>150</v>
      </c>
      <c r="D4601" s="1" t="s">
        <v>146</v>
      </c>
      <c r="E4601" t="s">
        <v>136</v>
      </c>
    </row>
    <row r="4602" spans="1:5" x14ac:dyDescent="0.35">
      <c r="A4602" s="1" t="s">
        <v>147</v>
      </c>
      <c r="B4602" s="1"/>
      <c r="C4602" s="1"/>
      <c r="D4602" s="1" t="s">
        <v>148</v>
      </c>
      <c r="E4602" t="s">
        <v>136</v>
      </c>
    </row>
    <row r="4603" spans="1:5" x14ac:dyDescent="0.35">
      <c r="A4603" s="1" t="s">
        <v>147</v>
      </c>
      <c r="B4603" s="1"/>
      <c r="C4603" s="1"/>
      <c r="D4603" s="1" t="s">
        <v>149</v>
      </c>
      <c r="E4603" t="s">
        <v>136</v>
      </c>
    </row>
    <row r="4604" spans="1:5" x14ac:dyDescent="0.35">
      <c r="A4604" s="1" t="s">
        <v>147</v>
      </c>
      <c r="B4604" s="1" t="s">
        <v>161</v>
      </c>
      <c r="C4604" s="1" t="s">
        <v>145</v>
      </c>
      <c r="D4604" s="1" t="s">
        <v>146</v>
      </c>
      <c r="E4604" t="s">
        <v>136</v>
      </c>
    </row>
    <row r="4605" spans="1:5" x14ac:dyDescent="0.35">
      <c r="A4605" s="1" t="s">
        <v>147</v>
      </c>
      <c r="B4605" s="1"/>
      <c r="C4605" s="1"/>
      <c r="D4605" s="1" t="s">
        <v>148</v>
      </c>
      <c r="E4605" t="s">
        <v>136</v>
      </c>
    </row>
    <row r="4606" spans="1:5" x14ac:dyDescent="0.35">
      <c r="A4606" s="1" t="s">
        <v>147</v>
      </c>
      <c r="B4606" s="1"/>
      <c r="C4606" s="1"/>
      <c r="D4606" s="1" t="s">
        <v>149</v>
      </c>
      <c r="E4606" t="s">
        <v>136</v>
      </c>
    </row>
    <row r="4607" spans="1:5" x14ac:dyDescent="0.35">
      <c r="A4607" s="1" t="s">
        <v>147</v>
      </c>
      <c r="B4607" s="1"/>
      <c r="C4607" s="1" t="s">
        <v>150</v>
      </c>
      <c r="D4607" s="1" t="s">
        <v>146</v>
      </c>
      <c r="E4607" t="s">
        <v>136</v>
      </c>
    </row>
    <row r="4608" spans="1:5" x14ac:dyDescent="0.35">
      <c r="A4608" s="1" t="s">
        <v>147</v>
      </c>
      <c r="B4608" s="1"/>
      <c r="C4608" s="1"/>
      <c r="D4608" s="1" t="s">
        <v>148</v>
      </c>
      <c r="E4608" t="s">
        <v>136</v>
      </c>
    </row>
    <row r="4609" spans="1:5" x14ac:dyDescent="0.35">
      <c r="A4609" s="1" t="s">
        <v>147</v>
      </c>
      <c r="B4609" s="1"/>
      <c r="C4609" s="1"/>
      <c r="D4609" s="1" t="s">
        <v>149</v>
      </c>
      <c r="E4609" t="s">
        <v>136</v>
      </c>
    </row>
    <row r="4610" spans="1:5" x14ac:dyDescent="0.35">
      <c r="A4610" s="1" t="s">
        <v>147</v>
      </c>
      <c r="B4610" s="1" t="s">
        <v>162</v>
      </c>
      <c r="C4610" s="1" t="s">
        <v>145</v>
      </c>
      <c r="D4610" s="1" t="s">
        <v>146</v>
      </c>
      <c r="E4610" t="s">
        <v>136</v>
      </c>
    </row>
    <row r="4611" spans="1:5" x14ac:dyDescent="0.35">
      <c r="A4611" s="1" t="s">
        <v>147</v>
      </c>
      <c r="B4611" s="1"/>
      <c r="C4611" s="1"/>
      <c r="D4611" s="1" t="s">
        <v>148</v>
      </c>
      <c r="E4611" t="s">
        <v>136</v>
      </c>
    </row>
    <row r="4612" spans="1:5" x14ac:dyDescent="0.35">
      <c r="A4612" s="1" t="s">
        <v>147</v>
      </c>
      <c r="B4612" s="1"/>
      <c r="C4612" s="1"/>
      <c r="D4612" s="1" t="s">
        <v>149</v>
      </c>
      <c r="E4612" t="s">
        <v>136</v>
      </c>
    </row>
    <row r="4613" spans="1:5" x14ac:dyDescent="0.35">
      <c r="A4613" s="1" t="s">
        <v>147</v>
      </c>
      <c r="B4613" s="1"/>
      <c r="C4613" s="1" t="s">
        <v>150</v>
      </c>
      <c r="D4613" s="1" t="s">
        <v>146</v>
      </c>
      <c r="E4613" t="s">
        <v>136</v>
      </c>
    </row>
    <row r="4614" spans="1:5" x14ac:dyDescent="0.35">
      <c r="A4614" s="1" t="s">
        <v>147</v>
      </c>
      <c r="B4614" s="1"/>
      <c r="C4614" s="1"/>
      <c r="D4614" s="1" t="s">
        <v>148</v>
      </c>
      <c r="E4614" t="s">
        <v>136</v>
      </c>
    </row>
    <row r="4615" spans="1:5" x14ac:dyDescent="0.35">
      <c r="A4615" s="1" t="s">
        <v>147</v>
      </c>
      <c r="B4615" s="1"/>
      <c r="C4615" s="1"/>
      <c r="D4615" s="1" t="s">
        <v>149</v>
      </c>
      <c r="E4615" t="s">
        <v>136</v>
      </c>
    </row>
    <row r="4616" spans="1:5" x14ac:dyDescent="0.35">
      <c r="A4616" s="1" t="s">
        <v>147</v>
      </c>
      <c r="B4616" s="1" t="s">
        <v>163</v>
      </c>
      <c r="C4616" s="1" t="s">
        <v>145</v>
      </c>
      <c r="D4616" s="1" t="s">
        <v>146</v>
      </c>
      <c r="E4616">
        <v>107.4</v>
      </c>
    </row>
    <row r="4617" spans="1:5" x14ac:dyDescent="0.35">
      <c r="A4617" s="1" t="s">
        <v>147</v>
      </c>
      <c r="B4617" s="1"/>
      <c r="C4617" s="1"/>
      <c r="D4617" s="1" t="s">
        <v>148</v>
      </c>
      <c r="E4617">
        <v>107.4</v>
      </c>
    </row>
    <row r="4618" spans="1:5" x14ac:dyDescent="0.35">
      <c r="A4618" s="1" t="s">
        <v>147</v>
      </c>
      <c r="B4618" s="1"/>
      <c r="C4618" s="1"/>
      <c r="D4618" s="1" t="s">
        <v>149</v>
      </c>
      <c r="E4618" t="s">
        <v>136</v>
      </c>
    </row>
    <row r="4619" spans="1:5" x14ac:dyDescent="0.35">
      <c r="A4619" s="1" t="s">
        <v>147</v>
      </c>
      <c r="B4619" s="1"/>
      <c r="C4619" s="1" t="s">
        <v>150</v>
      </c>
      <c r="D4619" s="1" t="s">
        <v>146</v>
      </c>
      <c r="E4619" t="s">
        <v>136</v>
      </c>
    </row>
    <row r="4620" spans="1:5" x14ac:dyDescent="0.35">
      <c r="A4620" s="1" t="s">
        <v>147</v>
      </c>
      <c r="B4620" s="1"/>
      <c r="C4620" s="1"/>
      <c r="D4620" s="1" t="s">
        <v>148</v>
      </c>
      <c r="E4620" t="s">
        <v>136</v>
      </c>
    </row>
    <row r="4621" spans="1:5" x14ac:dyDescent="0.35">
      <c r="A4621" s="1" t="s">
        <v>147</v>
      </c>
      <c r="B4621" s="1"/>
      <c r="C4621" s="1"/>
      <c r="D4621" s="1" t="s">
        <v>149</v>
      </c>
      <c r="E4621" t="s">
        <v>136</v>
      </c>
    </row>
    <row r="4622" spans="1:5" x14ac:dyDescent="0.35">
      <c r="A4622" s="1" t="s">
        <v>147</v>
      </c>
      <c r="B4622" s="1" t="s">
        <v>164</v>
      </c>
      <c r="C4622" s="1" t="s">
        <v>145</v>
      </c>
      <c r="D4622" s="1" t="s">
        <v>146</v>
      </c>
      <c r="E4622" t="s">
        <v>136</v>
      </c>
    </row>
    <row r="4623" spans="1:5" x14ac:dyDescent="0.35">
      <c r="A4623" s="1" t="s">
        <v>147</v>
      </c>
      <c r="B4623" s="1"/>
      <c r="C4623" s="1"/>
      <c r="D4623" s="1" t="s">
        <v>148</v>
      </c>
      <c r="E4623" t="s">
        <v>136</v>
      </c>
    </row>
    <row r="4624" spans="1:5" x14ac:dyDescent="0.35">
      <c r="A4624" s="1" t="s">
        <v>147</v>
      </c>
      <c r="B4624" s="1"/>
      <c r="C4624" s="1"/>
      <c r="D4624" s="1" t="s">
        <v>149</v>
      </c>
      <c r="E4624" t="s">
        <v>136</v>
      </c>
    </row>
    <row r="4625" spans="1:5" x14ac:dyDescent="0.35">
      <c r="A4625" s="1" t="s">
        <v>147</v>
      </c>
      <c r="B4625" s="1"/>
      <c r="C4625" s="1" t="s">
        <v>150</v>
      </c>
      <c r="D4625" s="1" t="s">
        <v>146</v>
      </c>
      <c r="E4625" t="s">
        <v>136</v>
      </c>
    </row>
    <row r="4626" spans="1:5" x14ac:dyDescent="0.35">
      <c r="A4626" s="1" t="s">
        <v>147</v>
      </c>
      <c r="B4626" s="1"/>
      <c r="C4626" s="1"/>
      <c r="D4626" s="1" t="s">
        <v>148</v>
      </c>
      <c r="E4626" t="s">
        <v>136</v>
      </c>
    </row>
    <row r="4627" spans="1:5" x14ac:dyDescent="0.35">
      <c r="A4627" s="1" t="s">
        <v>147</v>
      </c>
      <c r="B4627" s="1"/>
      <c r="C4627" s="1"/>
      <c r="D4627" s="1" t="s">
        <v>149</v>
      </c>
      <c r="E4627" t="s">
        <v>136</v>
      </c>
    </row>
    <row r="4628" spans="1:5" x14ac:dyDescent="0.35">
      <c r="A4628" s="1" t="s">
        <v>147</v>
      </c>
      <c r="B4628" s="1" t="s">
        <v>165</v>
      </c>
      <c r="C4628" s="1" t="s">
        <v>145</v>
      </c>
      <c r="D4628" s="1" t="s">
        <v>146</v>
      </c>
      <c r="E4628" t="s">
        <v>136</v>
      </c>
    </row>
    <row r="4629" spans="1:5" x14ac:dyDescent="0.35">
      <c r="A4629" s="1" t="s">
        <v>147</v>
      </c>
      <c r="B4629" s="1"/>
      <c r="C4629" s="1"/>
      <c r="D4629" s="1" t="s">
        <v>148</v>
      </c>
      <c r="E4629" t="s">
        <v>136</v>
      </c>
    </row>
    <row r="4630" spans="1:5" x14ac:dyDescent="0.35">
      <c r="A4630" s="1" t="s">
        <v>147</v>
      </c>
      <c r="B4630" s="1"/>
      <c r="C4630" s="1"/>
      <c r="D4630" s="1" t="s">
        <v>149</v>
      </c>
      <c r="E4630" t="s">
        <v>136</v>
      </c>
    </row>
    <row r="4631" spans="1:5" x14ac:dyDescent="0.35">
      <c r="A4631" s="1" t="s">
        <v>147</v>
      </c>
      <c r="B4631" s="1"/>
      <c r="C4631" s="1" t="s">
        <v>150</v>
      </c>
      <c r="D4631" s="1" t="s">
        <v>146</v>
      </c>
      <c r="E4631" t="s">
        <v>136</v>
      </c>
    </row>
    <row r="4632" spans="1:5" x14ac:dyDescent="0.35">
      <c r="A4632" s="1" t="s">
        <v>147</v>
      </c>
      <c r="B4632" s="1"/>
      <c r="C4632" s="1"/>
      <c r="D4632" s="1" t="s">
        <v>148</v>
      </c>
      <c r="E4632" t="s">
        <v>136</v>
      </c>
    </row>
    <row r="4633" spans="1:5" x14ac:dyDescent="0.35">
      <c r="A4633" s="1" t="s">
        <v>147</v>
      </c>
      <c r="B4633" s="1"/>
      <c r="C4633" s="1"/>
      <c r="D4633" s="1" t="s">
        <v>149</v>
      </c>
      <c r="E4633" t="s">
        <v>136</v>
      </c>
    </row>
    <row r="4634" spans="1:5" x14ac:dyDescent="0.35">
      <c r="A4634" s="1" t="s">
        <v>147</v>
      </c>
      <c r="B4634" s="1" t="s">
        <v>166</v>
      </c>
      <c r="C4634" s="1" t="s">
        <v>145</v>
      </c>
      <c r="D4634" s="1" t="s">
        <v>146</v>
      </c>
      <c r="E4634">
        <v>107.4</v>
      </c>
    </row>
    <row r="4635" spans="1:5" x14ac:dyDescent="0.35">
      <c r="A4635" s="1" t="s">
        <v>147</v>
      </c>
      <c r="B4635" s="1"/>
      <c r="C4635" s="1"/>
      <c r="D4635" s="1" t="s">
        <v>148</v>
      </c>
      <c r="E4635">
        <v>107.4</v>
      </c>
    </row>
    <row r="4636" spans="1:5" x14ac:dyDescent="0.35">
      <c r="A4636" s="1" t="s">
        <v>147</v>
      </c>
      <c r="B4636" s="1"/>
      <c r="C4636" s="1"/>
      <c r="D4636" s="1" t="s">
        <v>149</v>
      </c>
      <c r="E4636" t="s">
        <v>136</v>
      </c>
    </row>
    <row r="4637" spans="1:5" x14ac:dyDescent="0.35">
      <c r="A4637" s="1" t="s">
        <v>147</v>
      </c>
      <c r="B4637" s="1"/>
      <c r="C4637" s="1" t="s">
        <v>150</v>
      </c>
      <c r="D4637" s="1" t="s">
        <v>146</v>
      </c>
      <c r="E4637" t="s">
        <v>136</v>
      </c>
    </row>
    <row r="4638" spans="1:5" x14ac:dyDescent="0.35">
      <c r="A4638" s="1" t="s">
        <v>147</v>
      </c>
      <c r="B4638" s="1"/>
      <c r="C4638" s="1"/>
      <c r="D4638" s="1" t="s">
        <v>148</v>
      </c>
      <c r="E4638" t="s">
        <v>136</v>
      </c>
    </row>
    <row r="4639" spans="1:5" x14ac:dyDescent="0.35">
      <c r="A4639" s="1" t="s">
        <v>147</v>
      </c>
      <c r="B4639" s="1"/>
      <c r="C4639" s="1"/>
      <c r="D4639" s="1" t="s">
        <v>149</v>
      </c>
      <c r="E4639" t="s">
        <v>136</v>
      </c>
    </row>
    <row r="4640" spans="1:5" x14ac:dyDescent="0.35">
      <c r="A4640" s="1" t="s">
        <v>147</v>
      </c>
      <c r="B4640" s="1" t="s">
        <v>167</v>
      </c>
      <c r="C4640" s="1" t="s">
        <v>145</v>
      </c>
      <c r="D4640" s="1" t="s">
        <v>146</v>
      </c>
      <c r="E4640" t="s">
        <v>136</v>
      </c>
    </row>
    <row r="4641" spans="1:5" x14ac:dyDescent="0.35">
      <c r="A4641" s="1" t="s">
        <v>147</v>
      </c>
      <c r="B4641" s="1"/>
      <c r="C4641" s="1"/>
      <c r="D4641" s="1" t="s">
        <v>148</v>
      </c>
      <c r="E4641" t="s">
        <v>136</v>
      </c>
    </row>
    <row r="4642" spans="1:5" x14ac:dyDescent="0.35">
      <c r="A4642" s="1" t="s">
        <v>147</v>
      </c>
      <c r="B4642" s="1"/>
      <c r="C4642" s="1"/>
      <c r="D4642" s="1" t="s">
        <v>149</v>
      </c>
      <c r="E4642" t="s">
        <v>136</v>
      </c>
    </row>
    <row r="4643" spans="1:5" x14ac:dyDescent="0.35">
      <c r="A4643" s="1" t="s">
        <v>147</v>
      </c>
      <c r="B4643" s="1"/>
      <c r="C4643" s="1" t="s">
        <v>150</v>
      </c>
      <c r="D4643" s="1" t="s">
        <v>146</v>
      </c>
      <c r="E4643" t="s">
        <v>136</v>
      </c>
    </row>
    <row r="4644" spans="1:5" x14ac:dyDescent="0.35">
      <c r="A4644" s="1" t="s">
        <v>147</v>
      </c>
      <c r="B4644" s="1"/>
      <c r="C4644" s="1"/>
      <c r="D4644" s="1" t="s">
        <v>148</v>
      </c>
      <c r="E4644" t="s">
        <v>136</v>
      </c>
    </row>
    <row r="4645" spans="1:5" x14ac:dyDescent="0.35">
      <c r="A4645" s="1" t="s">
        <v>147</v>
      </c>
      <c r="B4645" s="1"/>
      <c r="C4645" s="1"/>
      <c r="D4645" s="1" t="s">
        <v>149</v>
      </c>
      <c r="E4645" t="s">
        <v>136</v>
      </c>
    </row>
    <row r="4646" spans="1:5" x14ac:dyDescent="0.35">
      <c r="A4646" s="1" t="s">
        <v>147</v>
      </c>
      <c r="B4646" s="1" t="s">
        <v>168</v>
      </c>
      <c r="C4646" s="1" t="s">
        <v>145</v>
      </c>
      <c r="D4646" s="1" t="s">
        <v>146</v>
      </c>
      <c r="E4646" t="s">
        <v>136</v>
      </c>
    </row>
    <row r="4647" spans="1:5" x14ac:dyDescent="0.35">
      <c r="A4647" s="1" t="s">
        <v>147</v>
      </c>
      <c r="B4647" s="1"/>
      <c r="C4647" s="1"/>
      <c r="D4647" s="1" t="s">
        <v>148</v>
      </c>
      <c r="E4647" t="s">
        <v>136</v>
      </c>
    </row>
    <row r="4648" spans="1:5" x14ac:dyDescent="0.35">
      <c r="A4648" s="1" t="s">
        <v>147</v>
      </c>
      <c r="B4648" s="1"/>
      <c r="C4648" s="1"/>
      <c r="D4648" s="1" t="s">
        <v>149</v>
      </c>
      <c r="E4648" t="s">
        <v>136</v>
      </c>
    </row>
    <row r="4649" spans="1:5" x14ac:dyDescent="0.35">
      <c r="A4649" s="1" t="s">
        <v>147</v>
      </c>
      <c r="B4649" s="1"/>
      <c r="C4649" s="1" t="s">
        <v>150</v>
      </c>
      <c r="D4649" s="1" t="s">
        <v>146</v>
      </c>
      <c r="E4649" t="s">
        <v>136</v>
      </c>
    </row>
    <row r="4650" spans="1:5" x14ac:dyDescent="0.35">
      <c r="A4650" s="1" t="s">
        <v>147</v>
      </c>
      <c r="B4650" s="1"/>
      <c r="C4650" s="1"/>
      <c r="D4650" s="1" t="s">
        <v>148</v>
      </c>
      <c r="E4650" t="s">
        <v>136</v>
      </c>
    </row>
    <row r="4651" spans="1:5" x14ac:dyDescent="0.35">
      <c r="A4651" s="1" t="s">
        <v>147</v>
      </c>
      <c r="B4651" s="1"/>
      <c r="C4651" s="1"/>
      <c r="D4651" s="1" t="s">
        <v>149</v>
      </c>
      <c r="E4651" t="s">
        <v>136</v>
      </c>
    </row>
    <row r="4652" spans="1:5" x14ac:dyDescent="0.35">
      <c r="A4652" s="1" t="s">
        <v>147</v>
      </c>
      <c r="B4652" s="1" t="s">
        <v>169</v>
      </c>
      <c r="C4652" s="1" t="s">
        <v>145</v>
      </c>
      <c r="D4652" s="1" t="s">
        <v>146</v>
      </c>
      <c r="E4652" t="s">
        <v>136</v>
      </c>
    </row>
    <row r="4653" spans="1:5" x14ac:dyDescent="0.35">
      <c r="A4653" s="1" t="s">
        <v>147</v>
      </c>
      <c r="B4653" s="1"/>
      <c r="C4653" s="1"/>
      <c r="D4653" s="1" t="s">
        <v>148</v>
      </c>
      <c r="E4653" t="s">
        <v>136</v>
      </c>
    </row>
    <row r="4654" spans="1:5" x14ac:dyDescent="0.35">
      <c r="A4654" s="1" t="s">
        <v>147</v>
      </c>
      <c r="B4654" s="1"/>
      <c r="C4654" s="1"/>
      <c r="D4654" s="1" t="s">
        <v>149</v>
      </c>
      <c r="E4654" t="s">
        <v>136</v>
      </c>
    </row>
    <row r="4655" spans="1:5" x14ac:dyDescent="0.35">
      <c r="A4655" s="1" t="s">
        <v>147</v>
      </c>
      <c r="B4655" s="1"/>
      <c r="C4655" s="1" t="s">
        <v>150</v>
      </c>
      <c r="D4655" s="1" t="s">
        <v>146</v>
      </c>
      <c r="E4655" t="s">
        <v>136</v>
      </c>
    </row>
    <row r="4656" spans="1:5" x14ac:dyDescent="0.35">
      <c r="A4656" s="1" t="s">
        <v>147</v>
      </c>
      <c r="B4656" s="1"/>
      <c r="C4656" s="1"/>
      <c r="D4656" s="1" t="s">
        <v>148</v>
      </c>
      <c r="E4656" t="s">
        <v>136</v>
      </c>
    </row>
    <row r="4657" spans="1:5" x14ac:dyDescent="0.35">
      <c r="A4657" s="1" t="s">
        <v>147</v>
      </c>
      <c r="B4657" s="1"/>
      <c r="C4657" s="1"/>
      <c r="D4657" s="1" t="s">
        <v>149</v>
      </c>
      <c r="E4657" t="s">
        <v>136</v>
      </c>
    </row>
    <row r="4658" spans="1:5" x14ac:dyDescent="0.35">
      <c r="A4658" s="1" t="s">
        <v>147</v>
      </c>
      <c r="B4658" s="1" t="s">
        <v>170</v>
      </c>
      <c r="C4658" s="1" t="s">
        <v>145</v>
      </c>
      <c r="D4658" s="1" t="s">
        <v>146</v>
      </c>
      <c r="E4658" t="s">
        <v>136</v>
      </c>
    </row>
    <row r="4659" spans="1:5" x14ac:dyDescent="0.35">
      <c r="A4659" s="1" t="s">
        <v>147</v>
      </c>
      <c r="B4659" s="1"/>
      <c r="C4659" s="1"/>
      <c r="D4659" s="1" t="s">
        <v>148</v>
      </c>
      <c r="E4659" t="s">
        <v>136</v>
      </c>
    </row>
    <row r="4660" spans="1:5" x14ac:dyDescent="0.35">
      <c r="A4660" s="1" t="s">
        <v>147</v>
      </c>
      <c r="B4660" s="1"/>
      <c r="C4660" s="1"/>
      <c r="D4660" s="1" t="s">
        <v>149</v>
      </c>
      <c r="E4660" t="s">
        <v>136</v>
      </c>
    </row>
    <row r="4661" spans="1:5" x14ac:dyDescent="0.35">
      <c r="A4661" s="1" t="s">
        <v>147</v>
      </c>
      <c r="B4661" s="1"/>
      <c r="C4661" s="1" t="s">
        <v>150</v>
      </c>
      <c r="D4661" s="1" t="s">
        <v>146</v>
      </c>
      <c r="E4661" t="s">
        <v>136</v>
      </c>
    </row>
    <row r="4662" spans="1:5" x14ac:dyDescent="0.35">
      <c r="A4662" s="1" t="s">
        <v>147</v>
      </c>
      <c r="B4662" s="1"/>
      <c r="C4662" s="1"/>
      <c r="D4662" s="1" t="s">
        <v>148</v>
      </c>
      <c r="E4662" t="s">
        <v>136</v>
      </c>
    </row>
    <row r="4663" spans="1:5" x14ac:dyDescent="0.35">
      <c r="A4663" s="1" t="s">
        <v>147</v>
      </c>
      <c r="B4663" s="1"/>
      <c r="C4663" s="1"/>
      <c r="D4663" s="1" t="s">
        <v>149</v>
      </c>
      <c r="E4663" t="s">
        <v>136</v>
      </c>
    </row>
    <row r="4664" spans="1:5" x14ac:dyDescent="0.35">
      <c r="A4664" s="1" t="s">
        <v>103</v>
      </c>
      <c r="B4664" s="1" t="s">
        <v>144</v>
      </c>
      <c r="C4664" s="1" t="s">
        <v>145</v>
      </c>
      <c r="D4664" s="1" t="s">
        <v>146</v>
      </c>
      <c r="E4664">
        <v>115.11</v>
      </c>
    </row>
    <row r="4665" spans="1:5" x14ac:dyDescent="0.35">
      <c r="A4665" s="1" t="s">
        <v>147</v>
      </c>
      <c r="B4665" s="1"/>
      <c r="C4665" s="1"/>
      <c r="D4665" s="1" t="s">
        <v>148</v>
      </c>
      <c r="E4665">
        <v>94.93</v>
      </c>
    </row>
    <row r="4666" spans="1:5" x14ac:dyDescent="0.35">
      <c r="A4666" s="1" t="s">
        <v>147</v>
      </c>
      <c r="B4666" s="1"/>
      <c r="C4666" s="1"/>
      <c r="D4666" s="1" t="s">
        <v>149</v>
      </c>
      <c r="E4666">
        <v>20.18</v>
      </c>
    </row>
    <row r="4667" spans="1:5" x14ac:dyDescent="0.35">
      <c r="A4667" s="1" t="s">
        <v>147</v>
      </c>
      <c r="B4667" s="1"/>
      <c r="C4667" s="1" t="s">
        <v>150</v>
      </c>
      <c r="D4667" s="1" t="s">
        <v>146</v>
      </c>
      <c r="E4667" t="s">
        <v>136</v>
      </c>
    </row>
    <row r="4668" spans="1:5" x14ac:dyDescent="0.35">
      <c r="A4668" s="1" t="s">
        <v>147</v>
      </c>
      <c r="B4668" s="1"/>
      <c r="C4668" s="1"/>
      <c r="D4668" s="1" t="s">
        <v>148</v>
      </c>
      <c r="E4668" t="s">
        <v>136</v>
      </c>
    </row>
    <row r="4669" spans="1:5" x14ac:dyDescent="0.35">
      <c r="A4669" s="1" t="s">
        <v>147</v>
      </c>
      <c r="B4669" s="1"/>
      <c r="C4669" s="1"/>
      <c r="D4669" s="1" t="s">
        <v>149</v>
      </c>
      <c r="E4669" t="s">
        <v>136</v>
      </c>
    </row>
    <row r="4670" spans="1:5" x14ac:dyDescent="0.35">
      <c r="A4670" s="1" t="s">
        <v>147</v>
      </c>
      <c r="B4670" s="1" t="s">
        <v>151</v>
      </c>
      <c r="C4670" s="1" t="s">
        <v>145</v>
      </c>
      <c r="D4670" s="1" t="s">
        <v>146</v>
      </c>
      <c r="E4670">
        <v>20.420000000000002</v>
      </c>
    </row>
    <row r="4671" spans="1:5" x14ac:dyDescent="0.35">
      <c r="A4671" s="1" t="s">
        <v>147</v>
      </c>
      <c r="B4671" s="1"/>
      <c r="C4671" s="1"/>
      <c r="D4671" s="1" t="s">
        <v>148</v>
      </c>
      <c r="E4671">
        <v>5.13</v>
      </c>
    </row>
    <row r="4672" spans="1:5" x14ac:dyDescent="0.35">
      <c r="A4672" s="1" t="s">
        <v>147</v>
      </c>
      <c r="B4672" s="1"/>
      <c r="C4672" s="1"/>
      <c r="D4672" s="1" t="s">
        <v>149</v>
      </c>
      <c r="E4672">
        <v>15.3</v>
      </c>
    </row>
    <row r="4673" spans="1:5" x14ac:dyDescent="0.35">
      <c r="A4673" s="1" t="s">
        <v>147</v>
      </c>
      <c r="B4673" s="1"/>
      <c r="C4673" s="1" t="s">
        <v>150</v>
      </c>
      <c r="D4673" s="1" t="s">
        <v>146</v>
      </c>
      <c r="E4673" t="s">
        <v>136</v>
      </c>
    </row>
    <row r="4674" spans="1:5" x14ac:dyDescent="0.35">
      <c r="A4674" s="1" t="s">
        <v>147</v>
      </c>
      <c r="B4674" s="1"/>
      <c r="C4674" s="1"/>
      <c r="D4674" s="1" t="s">
        <v>148</v>
      </c>
      <c r="E4674" t="s">
        <v>136</v>
      </c>
    </row>
    <row r="4675" spans="1:5" x14ac:dyDescent="0.35">
      <c r="A4675" s="1" t="s">
        <v>147</v>
      </c>
      <c r="B4675" s="1"/>
      <c r="C4675" s="1"/>
      <c r="D4675" s="1" t="s">
        <v>149</v>
      </c>
      <c r="E4675" t="s">
        <v>136</v>
      </c>
    </row>
    <row r="4676" spans="1:5" x14ac:dyDescent="0.35">
      <c r="A4676" s="1" t="s">
        <v>147</v>
      </c>
      <c r="B4676" s="1" t="s">
        <v>152</v>
      </c>
      <c r="C4676" s="1" t="s">
        <v>145</v>
      </c>
      <c r="D4676" s="1" t="s">
        <v>146</v>
      </c>
      <c r="E4676" t="s">
        <v>136</v>
      </c>
    </row>
    <row r="4677" spans="1:5" x14ac:dyDescent="0.35">
      <c r="A4677" s="1" t="s">
        <v>147</v>
      </c>
      <c r="B4677" s="1"/>
      <c r="C4677" s="1"/>
      <c r="D4677" s="1" t="s">
        <v>148</v>
      </c>
      <c r="E4677" t="s">
        <v>136</v>
      </c>
    </row>
    <row r="4678" spans="1:5" x14ac:dyDescent="0.35">
      <c r="A4678" s="1" t="s">
        <v>147</v>
      </c>
      <c r="B4678" s="1"/>
      <c r="C4678" s="1"/>
      <c r="D4678" s="1" t="s">
        <v>149</v>
      </c>
      <c r="E4678" t="s">
        <v>136</v>
      </c>
    </row>
    <row r="4679" spans="1:5" x14ac:dyDescent="0.35">
      <c r="A4679" s="1" t="s">
        <v>147</v>
      </c>
      <c r="B4679" s="1"/>
      <c r="C4679" s="1" t="s">
        <v>150</v>
      </c>
      <c r="D4679" s="1" t="s">
        <v>146</v>
      </c>
      <c r="E4679" t="s">
        <v>136</v>
      </c>
    </row>
    <row r="4680" spans="1:5" x14ac:dyDescent="0.35">
      <c r="A4680" s="1" t="s">
        <v>147</v>
      </c>
      <c r="B4680" s="1"/>
      <c r="C4680" s="1"/>
      <c r="D4680" s="1" t="s">
        <v>148</v>
      </c>
      <c r="E4680" t="s">
        <v>136</v>
      </c>
    </row>
    <row r="4681" spans="1:5" x14ac:dyDescent="0.35">
      <c r="A4681" s="1" t="s">
        <v>147</v>
      </c>
      <c r="B4681" s="1"/>
      <c r="C4681" s="1"/>
      <c r="D4681" s="1" t="s">
        <v>149</v>
      </c>
      <c r="E4681" t="s">
        <v>136</v>
      </c>
    </row>
    <row r="4682" spans="1:5" x14ac:dyDescent="0.35">
      <c r="A4682" s="1" t="s">
        <v>147</v>
      </c>
      <c r="B4682" s="1" t="s">
        <v>153</v>
      </c>
      <c r="C4682" s="1" t="s">
        <v>145</v>
      </c>
      <c r="D4682" s="1" t="s">
        <v>146</v>
      </c>
      <c r="E4682" t="s">
        <v>136</v>
      </c>
    </row>
    <row r="4683" spans="1:5" x14ac:dyDescent="0.35">
      <c r="A4683" s="1" t="s">
        <v>147</v>
      </c>
      <c r="B4683" s="1"/>
      <c r="C4683" s="1"/>
      <c r="D4683" s="1" t="s">
        <v>148</v>
      </c>
      <c r="E4683" t="s">
        <v>136</v>
      </c>
    </row>
    <row r="4684" spans="1:5" x14ac:dyDescent="0.35">
      <c r="A4684" s="1" t="s">
        <v>147</v>
      </c>
      <c r="B4684" s="1"/>
      <c r="C4684" s="1"/>
      <c r="D4684" s="1" t="s">
        <v>149</v>
      </c>
      <c r="E4684" t="s">
        <v>136</v>
      </c>
    </row>
    <row r="4685" spans="1:5" x14ac:dyDescent="0.35">
      <c r="A4685" s="1" t="s">
        <v>147</v>
      </c>
      <c r="B4685" s="1"/>
      <c r="C4685" s="1" t="s">
        <v>150</v>
      </c>
      <c r="D4685" s="1" t="s">
        <v>146</v>
      </c>
      <c r="E4685" t="s">
        <v>136</v>
      </c>
    </row>
    <row r="4686" spans="1:5" x14ac:dyDescent="0.35">
      <c r="A4686" s="1" t="s">
        <v>147</v>
      </c>
      <c r="B4686" s="1"/>
      <c r="C4686" s="1"/>
      <c r="D4686" s="1" t="s">
        <v>148</v>
      </c>
      <c r="E4686" t="s">
        <v>136</v>
      </c>
    </row>
    <row r="4687" spans="1:5" x14ac:dyDescent="0.35">
      <c r="A4687" s="1" t="s">
        <v>147</v>
      </c>
      <c r="B4687" s="1"/>
      <c r="C4687" s="1"/>
      <c r="D4687" s="1" t="s">
        <v>149</v>
      </c>
      <c r="E4687" t="s">
        <v>136</v>
      </c>
    </row>
    <row r="4688" spans="1:5" x14ac:dyDescent="0.35">
      <c r="A4688" s="1" t="s">
        <v>147</v>
      </c>
      <c r="B4688" s="1" t="s">
        <v>154</v>
      </c>
      <c r="C4688" s="1" t="s">
        <v>145</v>
      </c>
      <c r="D4688" s="1" t="s">
        <v>146</v>
      </c>
      <c r="E4688" t="s">
        <v>136</v>
      </c>
    </row>
    <row r="4689" spans="1:5" x14ac:dyDescent="0.35">
      <c r="A4689" s="1" t="s">
        <v>147</v>
      </c>
      <c r="B4689" s="1"/>
      <c r="C4689" s="1"/>
      <c r="D4689" s="1" t="s">
        <v>148</v>
      </c>
      <c r="E4689" t="s">
        <v>136</v>
      </c>
    </row>
    <row r="4690" spans="1:5" x14ac:dyDescent="0.35">
      <c r="A4690" s="1" t="s">
        <v>147</v>
      </c>
      <c r="B4690" s="1"/>
      <c r="C4690" s="1"/>
      <c r="D4690" s="1" t="s">
        <v>149</v>
      </c>
      <c r="E4690" t="s">
        <v>136</v>
      </c>
    </row>
    <row r="4691" spans="1:5" x14ac:dyDescent="0.35">
      <c r="A4691" s="1" t="s">
        <v>147</v>
      </c>
      <c r="B4691" s="1"/>
      <c r="C4691" s="1" t="s">
        <v>150</v>
      </c>
      <c r="D4691" s="1" t="s">
        <v>146</v>
      </c>
      <c r="E4691" t="s">
        <v>136</v>
      </c>
    </row>
    <row r="4692" spans="1:5" x14ac:dyDescent="0.35">
      <c r="A4692" s="1" t="s">
        <v>147</v>
      </c>
      <c r="B4692" s="1"/>
      <c r="C4692" s="1"/>
      <c r="D4692" s="1" t="s">
        <v>148</v>
      </c>
      <c r="E4692" t="s">
        <v>136</v>
      </c>
    </row>
    <row r="4693" spans="1:5" x14ac:dyDescent="0.35">
      <c r="A4693" s="1" t="s">
        <v>147</v>
      </c>
      <c r="B4693" s="1"/>
      <c r="C4693" s="1"/>
      <c r="D4693" s="1" t="s">
        <v>149</v>
      </c>
      <c r="E4693" t="s">
        <v>136</v>
      </c>
    </row>
    <row r="4694" spans="1:5" x14ac:dyDescent="0.35">
      <c r="A4694" s="1" t="s">
        <v>147</v>
      </c>
      <c r="B4694" s="1" t="s">
        <v>155</v>
      </c>
      <c r="C4694" s="1" t="s">
        <v>145</v>
      </c>
      <c r="D4694" s="1" t="s">
        <v>146</v>
      </c>
      <c r="E4694">
        <v>60.89</v>
      </c>
    </row>
    <row r="4695" spans="1:5" x14ac:dyDescent="0.35">
      <c r="A4695" s="1" t="s">
        <v>147</v>
      </c>
      <c r="B4695" s="1"/>
      <c r="C4695" s="1"/>
      <c r="D4695" s="1" t="s">
        <v>148</v>
      </c>
      <c r="E4695">
        <v>56</v>
      </c>
    </row>
    <row r="4696" spans="1:5" x14ac:dyDescent="0.35">
      <c r="A4696" s="1" t="s">
        <v>147</v>
      </c>
      <c r="B4696" s="1"/>
      <c r="C4696" s="1"/>
      <c r="D4696" s="1" t="s">
        <v>149</v>
      </c>
      <c r="E4696">
        <v>4.8899999999999997</v>
      </c>
    </row>
    <row r="4697" spans="1:5" x14ac:dyDescent="0.35">
      <c r="A4697" s="1" t="s">
        <v>147</v>
      </c>
      <c r="B4697" s="1"/>
      <c r="C4697" s="1" t="s">
        <v>150</v>
      </c>
      <c r="D4697" s="1" t="s">
        <v>146</v>
      </c>
      <c r="E4697" t="s">
        <v>136</v>
      </c>
    </row>
    <row r="4698" spans="1:5" x14ac:dyDescent="0.35">
      <c r="A4698" s="1" t="s">
        <v>147</v>
      </c>
      <c r="B4698" s="1"/>
      <c r="C4698" s="1"/>
      <c r="D4698" s="1" t="s">
        <v>148</v>
      </c>
      <c r="E4698" t="s">
        <v>136</v>
      </c>
    </row>
    <row r="4699" spans="1:5" x14ac:dyDescent="0.35">
      <c r="A4699" s="1" t="s">
        <v>147</v>
      </c>
      <c r="B4699" s="1"/>
      <c r="C4699" s="1"/>
      <c r="D4699" s="1" t="s">
        <v>149</v>
      </c>
      <c r="E4699" t="s">
        <v>136</v>
      </c>
    </row>
    <row r="4700" spans="1:5" x14ac:dyDescent="0.35">
      <c r="A4700" s="1" t="s">
        <v>147</v>
      </c>
      <c r="B4700" s="1" t="s">
        <v>156</v>
      </c>
      <c r="C4700" s="1" t="s">
        <v>145</v>
      </c>
      <c r="D4700" s="1" t="s">
        <v>146</v>
      </c>
      <c r="E4700" t="s">
        <v>136</v>
      </c>
    </row>
    <row r="4701" spans="1:5" x14ac:dyDescent="0.35">
      <c r="A4701" s="1" t="s">
        <v>147</v>
      </c>
      <c r="B4701" s="1"/>
      <c r="C4701" s="1"/>
      <c r="D4701" s="1" t="s">
        <v>148</v>
      </c>
      <c r="E4701" t="s">
        <v>136</v>
      </c>
    </row>
    <row r="4702" spans="1:5" x14ac:dyDescent="0.35">
      <c r="A4702" s="1" t="s">
        <v>147</v>
      </c>
      <c r="B4702" s="1"/>
      <c r="C4702" s="1"/>
      <c r="D4702" s="1" t="s">
        <v>149</v>
      </c>
      <c r="E4702" t="s">
        <v>136</v>
      </c>
    </row>
    <row r="4703" spans="1:5" x14ac:dyDescent="0.35">
      <c r="A4703" s="1" t="s">
        <v>147</v>
      </c>
      <c r="B4703" s="1"/>
      <c r="C4703" s="1" t="s">
        <v>150</v>
      </c>
      <c r="D4703" s="1" t="s">
        <v>146</v>
      </c>
      <c r="E4703" t="s">
        <v>136</v>
      </c>
    </row>
    <row r="4704" spans="1:5" x14ac:dyDescent="0.35">
      <c r="A4704" s="1" t="s">
        <v>147</v>
      </c>
      <c r="B4704" s="1"/>
      <c r="C4704" s="1"/>
      <c r="D4704" s="1" t="s">
        <v>148</v>
      </c>
      <c r="E4704" t="s">
        <v>136</v>
      </c>
    </row>
    <row r="4705" spans="1:5" x14ac:dyDescent="0.35">
      <c r="A4705" s="1" t="s">
        <v>147</v>
      </c>
      <c r="B4705" s="1"/>
      <c r="C4705" s="1"/>
      <c r="D4705" s="1" t="s">
        <v>149</v>
      </c>
      <c r="E4705" t="s">
        <v>136</v>
      </c>
    </row>
    <row r="4706" spans="1:5" x14ac:dyDescent="0.35">
      <c r="A4706" s="1" t="s">
        <v>147</v>
      </c>
      <c r="B4706" s="1" t="s">
        <v>157</v>
      </c>
      <c r="C4706" s="1" t="s">
        <v>145</v>
      </c>
      <c r="D4706" s="1" t="s">
        <v>146</v>
      </c>
      <c r="E4706" t="s">
        <v>136</v>
      </c>
    </row>
    <row r="4707" spans="1:5" x14ac:dyDescent="0.35">
      <c r="A4707" s="1" t="s">
        <v>147</v>
      </c>
      <c r="B4707" s="1"/>
      <c r="C4707" s="1"/>
      <c r="D4707" s="1" t="s">
        <v>148</v>
      </c>
      <c r="E4707" t="s">
        <v>136</v>
      </c>
    </row>
    <row r="4708" spans="1:5" x14ac:dyDescent="0.35">
      <c r="A4708" s="1" t="s">
        <v>147</v>
      </c>
      <c r="B4708" s="1"/>
      <c r="C4708" s="1"/>
      <c r="D4708" s="1" t="s">
        <v>149</v>
      </c>
      <c r="E4708" t="s">
        <v>136</v>
      </c>
    </row>
    <row r="4709" spans="1:5" x14ac:dyDescent="0.35">
      <c r="A4709" s="1" t="s">
        <v>147</v>
      </c>
      <c r="B4709" s="1"/>
      <c r="C4709" s="1" t="s">
        <v>150</v>
      </c>
      <c r="D4709" s="1" t="s">
        <v>146</v>
      </c>
      <c r="E4709" t="s">
        <v>136</v>
      </c>
    </row>
    <row r="4710" spans="1:5" x14ac:dyDescent="0.35">
      <c r="A4710" s="1" t="s">
        <v>147</v>
      </c>
      <c r="B4710" s="1"/>
      <c r="C4710" s="1"/>
      <c r="D4710" s="1" t="s">
        <v>148</v>
      </c>
      <c r="E4710" t="s">
        <v>136</v>
      </c>
    </row>
    <row r="4711" spans="1:5" x14ac:dyDescent="0.35">
      <c r="A4711" s="1" t="s">
        <v>147</v>
      </c>
      <c r="B4711" s="1"/>
      <c r="C4711" s="1"/>
      <c r="D4711" s="1" t="s">
        <v>149</v>
      </c>
      <c r="E4711" t="s">
        <v>136</v>
      </c>
    </row>
    <row r="4712" spans="1:5" x14ac:dyDescent="0.35">
      <c r="A4712" s="1" t="s">
        <v>147</v>
      </c>
      <c r="B4712" s="1" t="s">
        <v>158</v>
      </c>
      <c r="C4712" s="1" t="s">
        <v>145</v>
      </c>
      <c r="D4712" s="1" t="s">
        <v>146</v>
      </c>
      <c r="E4712">
        <v>33.799999999999997</v>
      </c>
    </row>
    <row r="4713" spans="1:5" x14ac:dyDescent="0.35">
      <c r="A4713" s="1" t="s">
        <v>147</v>
      </c>
      <c r="B4713" s="1"/>
      <c r="C4713" s="1"/>
      <c r="D4713" s="1" t="s">
        <v>148</v>
      </c>
      <c r="E4713">
        <v>33.799999999999997</v>
      </c>
    </row>
    <row r="4714" spans="1:5" x14ac:dyDescent="0.35">
      <c r="A4714" s="1" t="s">
        <v>147</v>
      </c>
      <c r="B4714" s="1"/>
      <c r="C4714" s="1"/>
      <c r="D4714" s="1" t="s">
        <v>149</v>
      </c>
      <c r="E4714" t="s">
        <v>136</v>
      </c>
    </row>
    <row r="4715" spans="1:5" x14ac:dyDescent="0.35">
      <c r="A4715" s="1" t="s">
        <v>147</v>
      </c>
      <c r="B4715" s="1"/>
      <c r="C4715" s="1" t="s">
        <v>150</v>
      </c>
      <c r="D4715" s="1" t="s">
        <v>146</v>
      </c>
      <c r="E4715" t="s">
        <v>136</v>
      </c>
    </row>
    <row r="4716" spans="1:5" x14ac:dyDescent="0.35">
      <c r="A4716" s="1" t="s">
        <v>147</v>
      </c>
      <c r="B4716" s="1"/>
      <c r="C4716" s="1"/>
      <c r="D4716" s="1" t="s">
        <v>148</v>
      </c>
      <c r="E4716" t="s">
        <v>136</v>
      </c>
    </row>
    <row r="4717" spans="1:5" x14ac:dyDescent="0.35">
      <c r="A4717" s="1" t="s">
        <v>147</v>
      </c>
      <c r="B4717" s="1"/>
      <c r="C4717" s="1"/>
      <c r="D4717" s="1" t="s">
        <v>149</v>
      </c>
      <c r="E4717" t="s">
        <v>136</v>
      </c>
    </row>
    <row r="4718" spans="1:5" x14ac:dyDescent="0.35">
      <c r="A4718" s="1" t="s">
        <v>147</v>
      </c>
      <c r="B4718" s="1" t="s">
        <v>159</v>
      </c>
      <c r="C4718" s="1" t="s">
        <v>145</v>
      </c>
      <c r="D4718" s="1" t="s">
        <v>146</v>
      </c>
      <c r="E4718" t="s">
        <v>136</v>
      </c>
    </row>
    <row r="4719" spans="1:5" x14ac:dyDescent="0.35">
      <c r="A4719" s="1" t="s">
        <v>147</v>
      </c>
      <c r="B4719" s="1"/>
      <c r="C4719" s="1"/>
      <c r="D4719" s="1" t="s">
        <v>148</v>
      </c>
      <c r="E4719" t="s">
        <v>136</v>
      </c>
    </row>
    <row r="4720" spans="1:5" x14ac:dyDescent="0.35">
      <c r="A4720" s="1" t="s">
        <v>147</v>
      </c>
      <c r="B4720" s="1"/>
      <c r="C4720" s="1"/>
      <c r="D4720" s="1" t="s">
        <v>149</v>
      </c>
      <c r="E4720" t="s">
        <v>136</v>
      </c>
    </row>
    <row r="4721" spans="1:5" x14ac:dyDescent="0.35">
      <c r="A4721" s="1" t="s">
        <v>147</v>
      </c>
      <c r="B4721" s="1"/>
      <c r="C4721" s="1" t="s">
        <v>150</v>
      </c>
      <c r="D4721" s="1" t="s">
        <v>146</v>
      </c>
      <c r="E4721" t="s">
        <v>136</v>
      </c>
    </row>
    <row r="4722" spans="1:5" x14ac:dyDescent="0.35">
      <c r="A4722" s="1" t="s">
        <v>147</v>
      </c>
      <c r="B4722" s="1"/>
      <c r="C4722" s="1"/>
      <c r="D4722" s="1" t="s">
        <v>148</v>
      </c>
      <c r="E4722" t="s">
        <v>136</v>
      </c>
    </row>
    <row r="4723" spans="1:5" x14ac:dyDescent="0.35">
      <c r="A4723" s="1" t="s">
        <v>147</v>
      </c>
      <c r="B4723" s="1"/>
      <c r="C4723" s="1"/>
      <c r="D4723" s="1" t="s">
        <v>149</v>
      </c>
      <c r="E4723" t="s">
        <v>136</v>
      </c>
    </row>
    <row r="4724" spans="1:5" x14ac:dyDescent="0.35">
      <c r="A4724" s="1" t="s">
        <v>147</v>
      </c>
      <c r="B4724" s="1" t="s">
        <v>160</v>
      </c>
      <c r="C4724" s="1" t="s">
        <v>145</v>
      </c>
      <c r="D4724" s="1" t="s">
        <v>146</v>
      </c>
      <c r="E4724" t="s">
        <v>136</v>
      </c>
    </row>
    <row r="4725" spans="1:5" x14ac:dyDescent="0.35">
      <c r="A4725" s="1" t="s">
        <v>147</v>
      </c>
      <c r="B4725" s="1"/>
      <c r="C4725" s="1"/>
      <c r="D4725" s="1" t="s">
        <v>148</v>
      </c>
      <c r="E4725" t="s">
        <v>136</v>
      </c>
    </row>
    <row r="4726" spans="1:5" x14ac:dyDescent="0.35">
      <c r="A4726" s="1" t="s">
        <v>147</v>
      </c>
      <c r="B4726" s="1"/>
      <c r="C4726" s="1"/>
      <c r="D4726" s="1" t="s">
        <v>149</v>
      </c>
      <c r="E4726" t="s">
        <v>136</v>
      </c>
    </row>
    <row r="4727" spans="1:5" x14ac:dyDescent="0.35">
      <c r="A4727" s="1" t="s">
        <v>147</v>
      </c>
      <c r="B4727" s="1"/>
      <c r="C4727" s="1" t="s">
        <v>150</v>
      </c>
      <c r="D4727" s="1" t="s">
        <v>146</v>
      </c>
      <c r="E4727" t="s">
        <v>136</v>
      </c>
    </row>
    <row r="4728" spans="1:5" x14ac:dyDescent="0.35">
      <c r="A4728" s="1" t="s">
        <v>147</v>
      </c>
      <c r="B4728" s="1"/>
      <c r="C4728" s="1"/>
      <c r="D4728" s="1" t="s">
        <v>148</v>
      </c>
      <c r="E4728" t="s">
        <v>136</v>
      </c>
    </row>
    <row r="4729" spans="1:5" x14ac:dyDescent="0.35">
      <c r="A4729" s="1" t="s">
        <v>147</v>
      </c>
      <c r="B4729" s="1"/>
      <c r="C4729" s="1"/>
      <c r="D4729" s="1" t="s">
        <v>149</v>
      </c>
      <c r="E4729" t="s">
        <v>136</v>
      </c>
    </row>
    <row r="4730" spans="1:5" x14ac:dyDescent="0.35">
      <c r="A4730" s="1" t="s">
        <v>147</v>
      </c>
      <c r="B4730" s="1" t="s">
        <v>161</v>
      </c>
      <c r="C4730" s="1" t="s">
        <v>145</v>
      </c>
      <c r="D4730" s="1" t="s">
        <v>146</v>
      </c>
      <c r="E4730" t="s">
        <v>136</v>
      </c>
    </row>
    <row r="4731" spans="1:5" x14ac:dyDescent="0.35">
      <c r="A4731" s="1" t="s">
        <v>147</v>
      </c>
      <c r="B4731" s="1"/>
      <c r="C4731" s="1"/>
      <c r="D4731" s="1" t="s">
        <v>148</v>
      </c>
      <c r="E4731" t="s">
        <v>136</v>
      </c>
    </row>
    <row r="4732" spans="1:5" x14ac:dyDescent="0.35">
      <c r="A4732" s="1" t="s">
        <v>147</v>
      </c>
      <c r="B4732" s="1"/>
      <c r="C4732" s="1"/>
      <c r="D4732" s="1" t="s">
        <v>149</v>
      </c>
      <c r="E4732" t="s">
        <v>136</v>
      </c>
    </row>
    <row r="4733" spans="1:5" x14ac:dyDescent="0.35">
      <c r="A4733" s="1" t="s">
        <v>147</v>
      </c>
      <c r="B4733" s="1"/>
      <c r="C4733" s="1" t="s">
        <v>150</v>
      </c>
      <c r="D4733" s="1" t="s">
        <v>146</v>
      </c>
      <c r="E4733" t="s">
        <v>136</v>
      </c>
    </row>
    <row r="4734" spans="1:5" x14ac:dyDescent="0.35">
      <c r="A4734" s="1" t="s">
        <v>147</v>
      </c>
      <c r="B4734" s="1"/>
      <c r="C4734" s="1"/>
      <c r="D4734" s="1" t="s">
        <v>148</v>
      </c>
      <c r="E4734" t="s">
        <v>136</v>
      </c>
    </row>
    <row r="4735" spans="1:5" x14ac:dyDescent="0.35">
      <c r="A4735" s="1" t="s">
        <v>147</v>
      </c>
      <c r="B4735" s="1"/>
      <c r="C4735" s="1"/>
      <c r="D4735" s="1" t="s">
        <v>149</v>
      </c>
      <c r="E4735" t="s">
        <v>136</v>
      </c>
    </row>
    <row r="4736" spans="1:5" x14ac:dyDescent="0.35">
      <c r="A4736" s="1" t="s">
        <v>147</v>
      </c>
      <c r="B4736" s="1" t="s">
        <v>162</v>
      </c>
      <c r="C4736" s="1" t="s">
        <v>145</v>
      </c>
      <c r="D4736" s="1" t="s">
        <v>146</v>
      </c>
      <c r="E4736" t="s">
        <v>136</v>
      </c>
    </row>
    <row r="4737" spans="1:5" x14ac:dyDescent="0.35">
      <c r="A4737" s="1" t="s">
        <v>147</v>
      </c>
      <c r="B4737" s="1"/>
      <c r="C4737" s="1"/>
      <c r="D4737" s="1" t="s">
        <v>148</v>
      </c>
      <c r="E4737" t="s">
        <v>136</v>
      </c>
    </row>
    <row r="4738" spans="1:5" x14ac:dyDescent="0.35">
      <c r="A4738" s="1" t="s">
        <v>147</v>
      </c>
      <c r="B4738" s="1"/>
      <c r="C4738" s="1"/>
      <c r="D4738" s="1" t="s">
        <v>149</v>
      </c>
      <c r="E4738" t="s">
        <v>136</v>
      </c>
    </row>
    <row r="4739" spans="1:5" x14ac:dyDescent="0.35">
      <c r="A4739" s="1" t="s">
        <v>147</v>
      </c>
      <c r="B4739" s="1"/>
      <c r="C4739" s="1" t="s">
        <v>150</v>
      </c>
      <c r="D4739" s="1" t="s">
        <v>146</v>
      </c>
      <c r="E4739" t="s">
        <v>136</v>
      </c>
    </row>
    <row r="4740" spans="1:5" x14ac:dyDescent="0.35">
      <c r="A4740" s="1" t="s">
        <v>147</v>
      </c>
      <c r="B4740" s="1"/>
      <c r="C4740" s="1"/>
      <c r="D4740" s="1" t="s">
        <v>148</v>
      </c>
      <c r="E4740" t="s">
        <v>136</v>
      </c>
    </row>
    <row r="4741" spans="1:5" x14ac:dyDescent="0.35">
      <c r="A4741" s="1" t="s">
        <v>147</v>
      </c>
      <c r="B4741" s="1"/>
      <c r="C4741" s="1"/>
      <c r="D4741" s="1" t="s">
        <v>149</v>
      </c>
      <c r="E4741" t="s">
        <v>136</v>
      </c>
    </row>
    <row r="4742" spans="1:5" x14ac:dyDescent="0.35">
      <c r="A4742" s="1" t="s">
        <v>147</v>
      </c>
      <c r="B4742" s="1" t="s">
        <v>163</v>
      </c>
      <c r="C4742" s="1" t="s">
        <v>145</v>
      </c>
      <c r="D4742" s="1" t="s">
        <v>146</v>
      </c>
      <c r="E4742">
        <v>138.69999999999999</v>
      </c>
    </row>
    <row r="4743" spans="1:5" x14ac:dyDescent="0.35">
      <c r="A4743" s="1" t="s">
        <v>147</v>
      </c>
      <c r="B4743" s="1"/>
      <c r="C4743" s="1"/>
      <c r="D4743" s="1" t="s">
        <v>148</v>
      </c>
      <c r="E4743">
        <v>138.69999999999999</v>
      </c>
    </row>
    <row r="4744" spans="1:5" x14ac:dyDescent="0.35">
      <c r="A4744" s="1" t="s">
        <v>147</v>
      </c>
      <c r="B4744" s="1"/>
      <c r="C4744" s="1"/>
      <c r="D4744" s="1" t="s">
        <v>149</v>
      </c>
      <c r="E4744" t="s">
        <v>136</v>
      </c>
    </row>
    <row r="4745" spans="1:5" x14ac:dyDescent="0.35">
      <c r="A4745" s="1" t="s">
        <v>147</v>
      </c>
      <c r="B4745" s="1"/>
      <c r="C4745" s="1" t="s">
        <v>150</v>
      </c>
      <c r="D4745" s="1" t="s">
        <v>146</v>
      </c>
      <c r="E4745" t="s">
        <v>136</v>
      </c>
    </row>
    <row r="4746" spans="1:5" x14ac:dyDescent="0.35">
      <c r="A4746" s="1" t="s">
        <v>147</v>
      </c>
      <c r="B4746" s="1"/>
      <c r="C4746" s="1"/>
      <c r="D4746" s="1" t="s">
        <v>148</v>
      </c>
      <c r="E4746" t="s">
        <v>136</v>
      </c>
    </row>
    <row r="4747" spans="1:5" x14ac:dyDescent="0.35">
      <c r="A4747" s="1" t="s">
        <v>147</v>
      </c>
      <c r="B4747" s="1"/>
      <c r="C4747" s="1"/>
      <c r="D4747" s="1" t="s">
        <v>149</v>
      </c>
      <c r="E4747" t="s">
        <v>136</v>
      </c>
    </row>
    <row r="4748" spans="1:5" x14ac:dyDescent="0.35">
      <c r="A4748" s="1" t="s">
        <v>147</v>
      </c>
      <c r="B4748" s="1" t="s">
        <v>164</v>
      </c>
      <c r="C4748" s="1" t="s">
        <v>145</v>
      </c>
      <c r="D4748" s="1" t="s">
        <v>146</v>
      </c>
      <c r="E4748" t="s">
        <v>136</v>
      </c>
    </row>
    <row r="4749" spans="1:5" x14ac:dyDescent="0.35">
      <c r="A4749" s="1" t="s">
        <v>147</v>
      </c>
      <c r="B4749" s="1"/>
      <c r="C4749" s="1"/>
      <c r="D4749" s="1" t="s">
        <v>148</v>
      </c>
      <c r="E4749" t="s">
        <v>136</v>
      </c>
    </row>
    <row r="4750" spans="1:5" x14ac:dyDescent="0.35">
      <c r="A4750" s="1" t="s">
        <v>147</v>
      </c>
      <c r="B4750" s="1"/>
      <c r="C4750" s="1"/>
      <c r="D4750" s="1" t="s">
        <v>149</v>
      </c>
      <c r="E4750" t="s">
        <v>136</v>
      </c>
    </row>
    <row r="4751" spans="1:5" x14ac:dyDescent="0.35">
      <c r="A4751" s="1" t="s">
        <v>147</v>
      </c>
      <c r="B4751" s="1"/>
      <c r="C4751" s="1" t="s">
        <v>150</v>
      </c>
      <c r="D4751" s="1" t="s">
        <v>146</v>
      </c>
      <c r="E4751" t="s">
        <v>136</v>
      </c>
    </row>
    <row r="4752" spans="1:5" x14ac:dyDescent="0.35">
      <c r="A4752" s="1" t="s">
        <v>147</v>
      </c>
      <c r="B4752" s="1"/>
      <c r="C4752" s="1"/>
      <c r="D4752" s="1" t="s">
        <v>148</v>
      </c>
      <c r="E4752" t="s">
        <v>136</v>
      </c>
    </row>
    <row r="4753" spans="1:5" x14ac:dyDescent="0.35">
      <c r="A4753" s="1" t="s">
        <v>147</v>
      </c>
      <c r="B4753" s="1"/>
      <c r="C4753" s="1"/>
      <c r="D4753" s="1" t="s">
        <v>149</v>
      </c>
      <c r="E4753" t="s">
        <v>136</v>
      </c>
    </row>
    <row r="4754" spans="1:5" x14ac:dyDescent="0.35">
      <c r="A4754" s="1" t="s">
        <v>147</v>
      </c>
      <c r="B4754" s="1" t="s">
        <v>165</v>
      </c>
      <c r="C4754" s="1" t="s">
        <v>145</v>
      </c>
      <c r="D4754" s="1" t="s">
        <v>146</v>
      </c>
      <c r="E4754" t="s">
        <v>136</v>
      </c>
    </row>
    <row r="4755" spans="1:5" x14ac:dyDescent="0.35">
      <c r="A4755" s="1" t="s">
        <v>147</v>
      </c>
      <c r="B4755" s="1"/>
      <c r="C4755" s="1"/>
      <c r="D4755" s="1" t="s">
        <v>148</v>
      </c>
      <c r="E4755" t="s">
        <v>136</v>
      </c>
    </row>
    <row r="4756" spans="1:5" x14ac:dyDescent="0.35">
      <c r="A4756" s="1" t="s">
        <v>147</v>
      </c>
      <c r="B4756" s="1"/>
      <c r="C4756" s="1"/>
      <c r="D4756" s="1" t="s">
        <v>149</v>
      </c>
      <c r="E4756" t="s">
        <v>136</v>
      </c>
    </row>
    <row r="4757" spans="1:5" x14ac:dyDescent="0.35">
      <c r="A4757" s="1" t="s">
        <v>147</v>
      </c>
      <c r="B4757" s="1"/>
      <c r="C4757" s="1" t="s">
        <v>150</v>
      </c>
      <c r="D4757" s="1" t="s">
        <v>146</v>
      </c>
      <c r="E4757" t="s">
        <v>136</v>
      </c>
    </row>
    <row r="4758" spans="1:5" x14ac:dyDescent="0.35">
      <c r="A4758" s="1" t="s">
        <v>147</v>
      </c>
      <c r="B4758" s="1"/>
      <c r="C4758" s="1"/>
      <c r="D4758" s="1" t="s">
        <v>148</v>
      </c>
      <c r="E4758" t="s">
        <v>136</v>
      </c>
    </row>
    <row r="4759" spans="1:5" x14ac:dyDescent="0.35">
      <c r="A4759" s="1" t="s">
        <v>147</v>
      </c>
      <c r="B4759" s="1"/>
      <c r="C4759" s="1"/>
      <c r="D4759" s="1" t="s">
        <v>149</v>
      </c>
      <c r="E4759" t="s">
        <v>136</v>
      </c>
    </row>
    <row r="4760" spans="1:5" x14ac:dyDescent="0.35">
      <c r="A4760" s="1" t="s">
        <v>147</v>
      </c>
      <c r="B4760" s="1" t="s">
        <v>166</v>
      </c>
      <c r="C4760" s="1" t="s">
        <v>145</v>
      </c>
      <c r="D4760" s="1" t="s">
        <v>146</v>
      </c>
      <c r="E4760">
        <v>138.69999999999999</v>
      </c>
    </row>
    <row r="4761" spans="1:5" x14ac:dyDescent="0.35">
      <c r="A4761" s="1" t="s">
        <v>147</v>
      </c>
      <c r="B4761" s="1"/>
      <c r="C4761" s="1"/>
      <c r="D4761" s="1" t="s">
        <v>148</v>
      </c>
      <c r="E4761">
        <v>138.69999999999999</v>
      </c>
    </row>
    <row r="4762" spans="1:5" x14ac:dyDescent="0.35">
      <c r="A4762" s="1" t="s">
        <v>147</v>
      </c>
      <c r="B4762" s="1"/>
      <c r="C4762" s="1"/>
      <c r="D4762" s="1" t="s">
        <v>149</v>
      </c>
      <c r="E4762" t="s">
        <v>136</v>
      </c>
    </row>
    <row r="4763" spans="1:5" x14ac:dyDescent="0.35">
      <c r="A4763" s="1" t="s">
        <v>147</v>
      </c>
      <c r="B4763" s="1"/>
      <c r="C4763" s="1" t="s">
        <v>150</v>
      </c>
      <c r="D4763" s="1" t="s">
        <v>146</v>
      </c>
      <c r="E4763" t="s">
        <v>136</v>
      </c>
    </row>
    <row r="4764" spans="1:5" x14ac:dyDescent="0.35">
      <c r="A4764" s="1" t="s">
        <v>147</v>
      </c>
      <c r="B4764" s="1"/>
      <c r="C4764" s="1"/>
      <c r="D4764" s="1" t="s">
        <v>148</v>
      </c>
      <c r="E4764" t="s">
        <v>136</v>
      </c>
    </row>
    <row r="4765" spans="1:5" x14ac:dyDescent="0.35">
      <c r="A4765" s="1" t="s">
        <v>147</v>
      </c>
      <c r="B4765" s="1"/>
      <c r="C4765" s="1"/>
      <c r="D4765" s="1" t="s">
        <v>149</v>
      </c>
      <c r="E4765" t="s">
        <v>136</v>
      </c>
    </row>
    <row r="4766" spans="1:5" x14ac:dyDescent="0.35">
      <c r="A4766" s="1" t="s">
        <v>147</v>
      </c>
      <c r="B4766" s="1" t="s">
        <v>167</v>
      </c>
      <c r="C4766" s="1" t="s">
        <v>145</v>
      </c>
      <c r="D4766" s="1" t="s">
        <v>146</v>
      </c>
      <c r="E4766" t="s">
        <v>136</v>
      </c>
    </row>
    <row r="4767" spans="1:5" x14ac:dyDescent="0.35">
      <c r="A4767" s="1" t="s">
        <v>147</v>
      </c>
      <c r="B4767" s="1"/>
      <c r="C4767" s="1"/>
      <c r="D4767" s="1" t="s">
        <v>148</v>
      </c>
      <c r="E4767" t="s">
        <v>136</v>
      </c>
    </row>
    <row r="4768" spans="1:5" x14ac:dyDescent="0.35">
      <c r="A4768" s="1" t="s">
        <v>147</v>
      </c>
      <c r="B4768" s="1"/>
      <c r="C4768" s="1"/>
      <c r="D4768" s="1" t="s">
        <v>149</v>
      </c>
      <c r="E4768" t="s">
        <v>136</v>
      </c>
    </row>
    <row r="4769" spans="1:5" x14ac:dyDescent="0.35">
      <c r="A4769" s="1" t="s">
        <v>147</v>
      </c>
      <c r="B4769" s="1"/>
      <c r="C4769" s="1" t="s">
        <v>150</v>
      </c>
      <c r="D4769" s="1" t="s">
        <v>146</v>
      </c>
      <c r="E4769" t="s">
        <v>136</v>
      </c>
    </row>
    <row r="4770" spans="1:5" x14ac:dyDescent="0.35">
      <c r="A4770" s="1" t="s">
        <v>147</v>
      </c>
      <c r="B4770" s="1"/>
      <c r="C4770" s="1"/>
      <c r="D4770" s="1" t="s">
        <v>148</v>
      </c>
      <c r="E4770" t="s">
        <v>136</v>
      </c>
    </row>
    <row r="4771" spans="1:5" x14ac:dyDescent="0.35">
      <c r="A4771" s="1" t="s">
        <v>147</v>
      </c>
      <c r="B4771" s="1"/>
      <c r="C4771" s="1"/>
      <c r="D4771" s="1" t="s">
        <v>149</v>
      </c>
      <c r="E4771" t="s">
        <v>136</v>
      </c>
    </row>
    <row r="4772" spans="1:5" x14ac:dyDescent="0.35">
      <c r="A4772" s="1" t="s">
        <v>147</v>
      </c>
      <c r="B4772" s="1" t="s">
        <v>168</v>
      </c>
      <c r="C4772" s="1" t="s">
        <v>145</v>
      </c>
      <c r="D4772" s="1" t="s">
        <v>146</v>
      </c>
      <c r="E4772" t="s">
        <v>136</v>
      </c>
    </row>
    <row r="4773" spans="1:5" x14ac:dyDescent="0.35">
      <c r="A4773" s="1" t="s">
        <v>147</v>
      </c>
      <c r="B4773" s="1"/>
      <c r="C4773" s="1"/>
      <c r="D4773" s="1" t="s">
        <v>148</v>
      </c>
      <c r="E4773" t="s">
        <v>136</v>
      </c>
    </row>
    <row r="4774" spans="1:5" x14ac:dyDescent="0.35">
      <c r="A4774" s="1" t="s">
        <v>147</v>
      </c>
      <c r="B4774" s="1"/>
      <c r="C4774" s="1"/>
      <c r="D4774" s="1" t="s">
        <v>149</v>
      </c>
      <c r="E4774" t="s">
        <v>136</v>
      </c>
    </row>
    <row r="4775" spans="1:5" x14ac:dyDescent="0.35">
      <c r="A4775" s="1" t="s">
        <v>147</v>
      </c>
      <c r="B4775" s="1"/>
      <c r="C4775" s="1" t="s">
        <v>150</v>
      </c>
      <c r="D4775" s="1" t="s">
        <v>146</v>
      </c>
      <c r="E4775" t="s">
        <v>136</v>
      </c>
    </row>
    <row r="4776" spans="1:5" x14ac:dyDescent="0.35">
      <c r="A4776" s="1" t="s">
        <v>147</v>
      </c>
      <c r="B4776" s="1"/>
      <c r="C4776" s="1"/>
      <c r="D4776" s="1" t="s">
        <v>148</v>
      </c>
      <c r="E4776" t="s">
        <v>136</v>
      </c>
    </row>
    <row r="4777" spans="1:5" x14ac:dyDescent="0.35">
      <c r="A4777" s="1" t="s">
        <v>147</v>
      </c>
      <c r="B4777" s="1"/>
      <c r="C4777" s="1"/>
      <c r="D4777" s="1" t="s">
        <v>149</v>
      </c>
      <c r="E4777" t="s">
        <v>136</v>
      </c>
    </row>
    <row r="4778" spans="1:5" x14ac:dyDescent="0.35">
      <c r="A4778" s="1" t="s">
        <v>147</v>
      </c>
      <c r="B4778" s="1" t="s">
        <v>169</v>
      </c>
      <c r="C4778" s="1" t="s">
        <v>145</v>
      </c>
      <c r="D4778" s="1" t="s">
        <v>146</v>
      </c>
      <c r="E4778" t="s">
        <v>136</v>
      </c>
    </row>
    <row r="4779" spans="1:5" x14ac:dyDescent="0.35">
      <c r="A4779" s="1" t="s">
        <v>147</v>
      </c>
      <c r="B4779" s="1"/>
      <c r="C4779" s="1"/>
      <c r="D4779" s="1" t="s">
        <v>148</v>
      </c>
      <c r="E4779" t="s">
        <v>136</v>
      </c>
    </row>
    <row r="4780" spans="1:5" x14ac:dyDescent="0.35">
      <c r="A4780" s="1" t="s">
        <v>147</v>
      </c>
      <c r="B4780" s="1"/>
      <c r="C4780" s="1"/>
      <c r="D4780" s="1" t="s">
        <v>149</v>
      </c>
      <c r="E4780" t="s">
        <v>136</v>
      </c>
    </row>
    <row r="4781" spans="1:5" x14ac:dyDescent="0.35">
      <c r="A4781" s="1" t="s">
        <v>147</v>
      </c>
      <c r="B4781" s="1"/>
      <c r="C4781" s="1" t="s">
        <v>150</v>
      </c>
      <c r="D4781" s="1" t="s">
        <v>146</v>
      </c>
      <c r="E4781" t="s">
        <v>136</v>
      </c>
    </row>
    <row r="4782" spans="1:5" x14ac:dyDescent="0.35">
      <c r="A4782" s="1" t="s">
        <v>147</v>
      </c>
      <c r="B4782" s="1"/>
      <c r="C4782" s="1"/>
      <c r="D4782" s="1" t="s">
        <v>148</v>
      </c>
      <c r="E4782" t="s">
        <v>136</v>
      </c>
    </row>
    <row r="4783" spans="1:5" x14ac:dyDescent="0.35">
      <c r="A4783" s="1" t="s">
        <v>147</v>
      </c>
      <c r="B4783" s="1"/>
      <c r="C4783" s="1"/>
      <c r="D4783" s="1" t="s">
        <v>149</v>
      </c>
      <c r="E4783" t="s">
        <v>136</v>
      </c>
    </row>
    <row r="4784" spans="1:5" x14ac:dyDescent="0.35">
      <c r="A4784" s="1" t="s">
        <v>147</v>
      </c>
      <c r="B4784" s="1" t="s">
        <v>170</v>
      </c>
      <c r="C4784" s="1" t="s">
        <v>145</v>
      </c>
      <c r="D4784" s="1" t="s">
        <v>146</v>
      </c>
      <c r="E4784" t="s">
        <v>136</v>
      </c>
    </row>
    <row r="4785" spans="1:5" x14ac:dyDescent="0.35">
      <c r="A4785" s="1" t="s">
        <v>147</v>
      </c>
      <c r="B4785" s="1"/>
      <c r="C4785" s="1"/>
      <c r="D4785" s="1" t="s">
        <v>148</v>
      </c>
      <c r="E4785" t="s">
        <v>136</v>
      </c>
    </row>
    <row r="4786" spans="1:5" x14ac:dyDescent="0.35">
      <c r="A4786" s="1" t="s">
        <v>147</v>
      </c>
      <c r="B4786" s="1"/>
      <c r="C4786" s="1"/>
      <c r="D4786" s="1" t="s">
        <v>149</v>
      </c>
      <c r="E4786" t="s">
        <v>136</v>
      </c>
    </row>
    <row r="4787" spans="1:5" x14ac:dyDescent="0.35">
      <c r="A4787" s="1" t="s">
        <v>147</v>
      </c>
      <c r="B4787" s="1"/>
      <c r="C4787" s="1" t="s">
        <v>150</v>
      </c>
      <c r="D4787" s="1" t="s">
        <v>146</v>
      </c>
      <c r="E4787" t="s">
        <v>136</v>
      </c>
    </row>
    <row r="4788" spans="1:5" x14ac:dyDescent="0.35">
      <c r="A4788" s="1" t="s">
        <v>147</v>
      </c>
      <c r="B4788" s="1"/>
      <c r="C4788" s="1"/>
      <c r="D4788" s="1" t="s">
        <v>148</v>
      </c>
      <c r="E4788" t="s">
        <v>136</v>
      </c>
    </row>
    <row r="4789" spans="1:5" x14ac:dyDescent="0.35">
      <c r="A4789" s="1" t="s">
        <v>147</v>
      </c>
      <c r="B4789" s="1"/>
      <c r="C4789" s="1"/>
      <c r="D4789" s="1" t="s">
        <v>149</v>
      </c>
      <c r="E4789" t="s">
        <v>136</v>
      </c>
    </row>
    <row r="4790" spans="1:5" x14ac:dyDescent="0.35">
      <c r="A4790" s="1" t="s">
        <v>138</v>
      </c>
      <c r="B4790" s="1" t="s">
        <v>144</v>
      </c>
      <c r="C4790" s="1" t="s">
        <v>145</v>
      </c>
      <c r="D4790" s="1" t="s">
        <v>146</v>
      </c>
      <c r="E4790">
        <v>49.46</v>
      </c>
    </row>
    <row r="4791" spans="1:5" x14ac:dyDescent="0.35">
      <c r="A4791" s="1" t="s">
        <v>147</v>
      </c>
      <c r="B4791" s="1"/>
      <c r="C4791" s="1"/>
      <c r="D4791" s="1" t="s">
        <v>148</v>
      </c>
      <c r="E4791" t="s">
        <v>136</v>
      </c>
    </row>
    <row r="4792" spans="1:5" x14ac:dyDescent="0.35">
      <c r="A4792" s="1" t="s">
        <v>147</v>
      </c>
      <c r="B4792" s="1"/>
      <c r="C4792" s="1"/>
      <c r="D4792" s="1" t="s">
        <v>149</v>
      </c>
      <c r="E4792">
        <v>49.46</v>
      </c>
    </row>
    <row r="4793" spans="1:5" x14ac:dyDescent="0.35">
      <c r="A4793" s="1" t="s">
        <v>147</v>
      </c>
      <c r="B4793" s="1"/>
      <c r="C4793" s="1" t="s">
        <v>150</v>
      </c>
      <c r="D4793" s="1" t="s">
        <v>146</v>
      </c>
      <c r="E4793" t="s">
        <v>136</v>
      </c>
    </row>
    <row r="4794" spans="1:5" x14ac:dyDescent="0.35">
      <c r="A4794" s="1" t="s">
        <v>147</v>
      </c>
      <c r="B4794" s="1"/>
      <c r="C4794" s="1"/>
      <c r="D4794" s="1" t="s">
        <v>148</v>
      </c>
      <c r="E4794" t="s">
        <v>136</v>
      </c>
    </row>
    <row r="4795" spans="1:5" x14ac:dyDescent="0.35">
      <c r="A4795" s="1" t="s">
        <v>147</v>
      </c>
      <c r="B4795" s="1"/>
      <c r="C4795" s="1"/>
      <c r="D4795" s="1" t="s">
        <v>149</v>
      </c>
      <c r="E4795" t="s">
        <v>136</v>
      </c>
    </row>
    <row r="4796" spans="1:5" x14ac:dyDescent="0.35">
      <c r="A4796" s="1" t="s">
        <v>147</v>
      </c>
      <c r="B4796" s="1" t="s">
        <v>151</v>
      </c>
      <c r="C4796" s="1" t="s">
        <v>145</v>
      </c>
      <c r="D4796" s="1" t="s">
        <v>146</v>
      </c>
      <c r="E4796">
        <v>45.91</v>
      </c>
    </row>
    <row r="4797" spans="1:5" x14ac:dyDescent="0.35">
      <c r="A4797" s="1" t="s">
        <v>147</v>
      </c>
      <c r="B4797" s="1"/>
      <c r="C4797" s="1"/>
      <c r="D4797" s="1" t="s">
        <v>148</v>
      </c>
      <c r="E4797" t="s">
        <v>136</v>
      </c>
    </row>
    <row r="4798" spans="1:5" x14ac:dyDescent="0.35">
      <c r="A4798" s="1" t="s">
        <v>147</v>
      </c>
      <c r="B4798" s="1"/>
      <c r="C4798" s="1"/>
      <c r="D4798" s="1" t="s">
        <v>149</v>
      </c>
      <c r="E4798">
        <v>45.91</v>
      </c>
    </row>
    <row r="4799" spans="1:5" x14ac:dyDescent="0.35">
      <c r="A4799" s="1" t="s">
        <v>147</v>
      </c>
      <c r="B4799" s="1"/>
      <c r="C4799" s="1" t="s">
        <v>150</v>
      </c>
      <c r="D4799" s="1" t="s">
        <v>146</v>
      </c>
      <c r="E4799" t="s">
        <v>136</v>
      </c>
    </row>
    <row r="4800" spans="1:5" x14ac:dyDescent="0.35">
      <c r="A4800" s="1" t="s">
        <v>147</v>
      </c>
      <c r="B4800" s="1"/>
      <c r="C4800" s="1"/>
      <c r="D4800" s="1" t="s">
        <v>148</v>
      </c>
      <c r="E4800" t="s">
        <v>136</v>
      </c>
    </row>
    <row r="4801" spans="1:5" x14ac:dyDescent="0.35">
      <c r="A4801" s="1" t="s">
        <v>147</v>
      </c>
      <c r="B4801" s="1"/>
      <c r="C4801" s="1"/>
      <c r="D4801" s="1" t="s">
        <v>149</v>
      </c>
      <c r="E4801" t="s">
        <v>136</v>
      </c>
    </row>
    <row r="4802" spans="1:5" x14ac:dyDescent="0.35">
      <c r="A4802" s="1" t="s">
        <v>147</v>
      </c>
      <c r="B4802" s="1" t="s">
        <v>152</v>
      </c>
      <c r="C4802" s="1" t="s">
        <v>145</v>
      </c>
      <c r="D4802" s="1" t="s">
        <v>146</v>
      </c>
      <c r="E4802" t="s">
        <v>136</v>
      </c>
    </row>
    <row r="4803" spans="1:5" x14ac:dyDescent="0.35">
      <c r="A4803" s="1" t="s">
        <v>147</v>
      </c>
      <c r="B4803" s="1"/>
      <c r="C4803" s="1"/>
      <c r="D4803" s="1" t="s">
        <v>148</v>
      </c>
      <c r="E4803" t="s">
        <v>136</v>
      </c>
    </row>
    <row r="4804" spans="1:5" x14ac:dyDescent="0.35">
      <c r="A4804" s="1" t="s">
        <v>147</v>
      </c>
      <c r="B4804" s="1"/>
      <c r="C4804" s="1"/>
      <c r="D4804" s="1" t="s">
        <v>149</v>
      </c>
      <c r="E4804" t="s">
        <v>136</v>
      </c>
    </row>
    <row r="4805" spans="1:5" x14ac:dyDescent="0.35">
      <c r="A4805" s="1" t="s">
        <v>147</v>
      </c>
      <c r="B4805" s="1"/>
      <c r="C4805" s="1" t="s">
        <v>150</v>
      </c>
      <c r="D4805" s="1" t="s">
        <v>146</v>
      </c>
      <c r="E4805" t="s">
        <v>136</v>
      </c>
    </row>
    <row r="4806" spans="1:5" x14ac:dyDescent="0.35">
      <c r="A4806" s="1" t="s">
        <v>147</v>
      </c>
      <c r="B4806" s="1"/>
      <c r="C4806" s="1"/>
      <c r="D4806" s="1" t="s">
        <v>148</v>
      </c>
      <c r="E4806" t="s">
        <v>136</v>
      </c>
    </row>
    <row r="4807" spans="1:5" x14ac:dyDescent="0.35">
      <c r="A4807" s="1" t="s">
        <v>147</v>
      </c>
      <c r="B4807" s="1"/>
      <c r="C4807" s="1"/>
      <c r="D4807" s="1" t="s">
        <v>149</v>
      </c>
      <c r="E4807" t="s">
        <v>136</v>
      </c>
    </row>
    <row r="4808" spans="1:5" x14ac:dyDescent="0.35">
      <c r="A4808" s="1" t="s">
        <v>147</v>
      </c>
      <c r="B4808" s="1" t="s">
        <v>153</v>
      </c>
      <c r="C4808" s="1" t="s">
        <v>145</v>
      </c>
      <c r="D4808" s="1" t="s">
        <v>146</v>
      </c>
      <c r="E4808">
        <v>3.55</v>
      </c>
    </row>
    <row r="4809" spans="1:5" x14ac:dyDescent="0.35">
      <c r="A4809" s="1" t="s">
        <v>147</v>
      </c>
      <c r="B4809" s="1"/>
      <c r="C4809" s="1"/>
      <c r="D4809" s="1" t="s">
        <v>148</v>
      </c>
      <c r="E4809" t="s">
        <v>136</v>
      </c>
    </row>
    <row r="4810" spans="1:5" x14ac:dyDescent="0.35">
      <c r="A4810" s="1" t="s">
        <v>147</v>
      </c>
      <c r="B4810" s="1"/>
      <c r="C4810" s="1"/>
      <c r="D4810" s="1" t="s">
        <v>149</v>
      </c>
      <c r="E4810">
        <v>3.55</v>
      </c>
    </row>
    <row r="4811" spans="1:5" x14ac:dyDescent="0.35">
      <c r="A4811" s="1" t="s">
        <v>147</v>
      </c>
      <c r="B4811" s="1"/>
      <c r="C4811" s="1" t="s">
        <v>150</v>
      </c>
      <c r="D4811" s="1" t="s">
        <v>146</v>
      </c>
      <c r="E4811" t="s">
        <v>136</v>
      </c>
    </row>
    <row r="4812" spans="1:5" x14ac:dyDescent="0.35">
      <c r="A4812" s="1" t="s">
        <v>147</v>
      </c>
      <c r="B4812" s="1"/>
      <c r="C4812" s="1"/>
      <c r="D4812" s="1" t="s">
        <v>148</v>
      </c>
      <c r="E4812" t="s">
        <v>136</v>
      </c>
    </row>
    <row r="4813" spans="1:5" x14ac:dyDescent="0.35">
      <c r="A4813" s="1" t="s">
        <v>147</v>
      </c>
      <c r="B4813" s="1"/>
      <c r="C4813" s="1"/>
      <c r="D4813" s="1" t="s">
        <v>149</v>
      </c>
      <c r="E4813" t="s">
        <v>136</v>
      </c>
    </row>
    <row r="4814" spans="1:5" x14ac:dyDescent="0.35">
      <c r="A4814" s="1" t="s">
        <v>147</v>
      </c>
      <c r="B4814" s="1" t="s">
        <v>154</v>
      </c>
      <c r="C4814" s="1" t="s">
        <v>145</v>
      </c>
      <c r="D4814" s="1" t="s">
        <v>146</v>
      </c>
      <c r="E4814" t="s">
        <v>136</v>
      </c>
    </row>
    <row r="4815" spans="1:5" x14ac:dyDescent="0.35">
      <c r="A4815" s="1" t="s">
        <v>147</v>
      </c>
      <c r="B4815" s="1"/>
      <c r="C4815" s="1"/>
      <c r="D4815" s="1" t="s">
        <v>148</v>
      </c>
      <c r="E4815" t="s">
        <v>136</v>
      </c>
    </row>
    <row r="4816" spans="1:5" x14ac:dyDescent="0.35">
      <c r="A4816" s="1" t="s">
        <v>147</v>
      </c>
      <c r="B4816" s="1"/>
      <c r="C4816" s="1"/>
      <c r="D4816" s="1" t="s">
        <v>149</v>
      </c>
      <c r="E4816" t="s">
        <v>136</v>
      </c>
    </row>
    <row r="4817" spans="1:5" x14ac:dyDescent="0.35">
      <c r="A4817" s="1" t="s">
        <v>147</v>
      </c>
      <c r="B4817" s="1"/>
      <c r="C4817" s="1" t="s">
        <v>150</v>
      </c>
      <c r="D4817" s="1" t="s">
        <v>146</v>
      </c>
      <c r="E4817" t="s">
        <v>136</v>
      </c>
    </row>
    <row r="4818" spans="1:5" x14ac:dyDescent="0.35">
      <c r="A4818" s="1" t="s">
        <v>147</v>
      </c>
      <c r="B4818" s="1"/>
      <c r="C4818" s="1"/>
      <c r="D4818" s="1" t="s">
        <v>148</v>
      </c>
      <c r="E4818" t="s">
        <v>136</v>
      </c>
    </row>
    <row r="4819" spans="1:5" x14ac:dyDescent="0.35">
      <c r="A4819" s="1" t="s">
        <v>147</v>
      </c>
      <c r="B4819" s="1"/>
      <c r="C4819" s="1"/>
      <c r="D4819" s="1" t="s">
        <v>149</v>
      </c>
      <c r="E4819" t="s">
        <v>136</v>
      </c>
    </row>
    <row r="4820" spans="1:5" x14ac:dyDescent="0.35">
      <c r="A4820" s="1" t="s">
        <v>147</v>
      </c>
      <c r="B4820" s="1" t="s">
        <v>155</v>
      </c>
      <c r="C4820" s="1" t="s">
        <v>145</v>
      </c>
      <c r="D4820" s="1" t="s">
        <v>146</v>
      </c>
      <c r="E4820" t="s">
        <v>136</v>
      </c>
    </row>
    <row r="4821" spans="1:5" x14ac:dyDescent="0.35">
      <c r="A4821" s="1" t="s">
        <v>147</v>
      </c>
      <c r="B4821" s="1"/>
      <c r="C4821" s="1"/>
      <c r="D4821" s="1" t="s">
        <v>148</v>
      </c>
      <c r="E4821" t="s">
        <v>136</v>
      </c>
    </row>
    <row r="4822" spans="1:5" x14ac:dyDescent="0.35">
      <c r="A4822" s="1" t="s">
        <v>147</v>
      </c>
      <c r="B4822" s="1"/>
      <c r="C4822" s="1"/>
      <c r="D4822" s="1" t="s">
        <v>149</v>
      </c>
      <c r="E4822" t="s">
        <v>136</v>
      </c>
    </row>
    <row r="4823" spans="1:5" x14ac:dyDescent="0.35">
      <c r="A4823" s="1" t="s">
        <v>147</v>
      </c>
      <c r="B4823" s="1"/>
      <c r="C4823" s="1" t="s">
        <v>150</v>
      </c>
      <c r="D4823" s="1" t="s">
        <v>146</v>
      </c>
      <c r="E4823" t="s">
        <v>136</v>
      </c>
    </row>
    <row r="4824" spans="1:5" x14ac:dyDescent="0.35">
      <c r="A4824" s="1" t="s">
        <v>147</v>
      </c>
      <c r="B4824" s="1"/>
      <c r="C4824" s="1"/>
      <c r="D4824" s="1" t="s">
        <v>148</v>
      </c>
      <c r="E4824" t="s">
        <v>136</v>
      </c>
    </row>
    <row r="4825" spans="1:5" x14ac:dyDescent="0.35">
      <c r="A4825" s="1" t="s">
        <v>147</v>
      </c>
      <c r="B4825" s="1"/>
      <c r="C4825" s="1"/>
      <c r="D4825" s="1" t="s">
        <v>149</v>
      </c>
      <c r="E4825" t="s">
        <v>136</v>
      </c>
    </row>
    <row r="4826" spans="1:5" x14ac:dyDescent="0.35">
      <c r="A4826" s="1" t="s">
        <v>147</v>
      </c>
      <c r="B4826" s="1" t="s">
        <v>156</v>
      </c>
      <c r="C4826" s="1" t="s">
        <v>145</v>
      </c>
      <c r="D4826" s="1" t="s">
        <v>146</v>
      </c>
      <c r="E4826" t="s">
        <v>136</v>
      </c>
    </row>
    <row r="4827" spans="1:5" x14ac:dyDescent="0.35">
      <c r="A4827" s="1" t="s">
        <v>147</v>
      </c>
      <c r="B4827" s="1"/>
      <c r="C4827" s="1"/>
      <c r="D4827" s="1" t="s">
        <v>148</v>
      </c>
      <c r="E4827" t="s">
        <v>136</v>
      </c>
    </row>
    <row r="4828" spans="1:5" x14ac:dyDescent="0.35">
      <c r="A4828" s="1" t="s">
        <v>147</v>
      </c>
      <c r="B4828" s="1"/>
      <c r="C4828" s="1"/>
      <c r="D4828" s="1" t="s">
        <v>149</v>
      </c>
      <c r="E4828" t="s">
        <v>136</v>
      </c>
    </row>
    <row r="4829" spans="1:5" x14ac:dyDescent="0.35">
      <c r="A4829" s="1" t="s">
        <v>147</v>
      </c>
      <c r="B4829" s="1"/>
      <c r="C4829" s="1" t="s">
        <v>150</v>
      </c>
      <c r="D4829" s="1" t="s">
        <v>146</v>
      </c>
      <c r="E4829" t="s">
        <v>136</v>
      </c>
    </row>
    <row r="4830" spans="1:5" x14ac:dyDescent="0.35">
      <c r="A4830" s="1" t="s">
        <v>147</v>
      </c>
      <c r="B4830" s="1"/>
      <c r="C4830" s="1"/>
      <c r="D4830" s="1" t="s">
        <v>148</v>
      </c>
      <c r="E4830" t="s">
        <v>136</v>
      </c>
    </row>
    <row r="4831" spans="1:5" x14ac:dyDescent="0.35">
      <c r="A4831" s="1" t="s">
        <v>147</v>
      </c>
      <c r="B4831" s="1"/>
      <c r="C4831" s="1"/>
      <c r="D4831" s="1" t="s">
        <v>149</v>
      </c>
      <c r="E4831" t="s">
        <v>136</v>
      </c>
    </row>
    <row r="4832" spans="1:5" x14ac:dyDescent="0.35">
      <c r="A4832" s="1" t="s">
        <v>147</v>
      </c>
      <c r="B4832" s="1" t="s">
        <v>157</v>
      </c>
      <c r="C4832" s="1" t="s">
        <v>145</v>
      </c>
      <c r="D4832" s="1" t="s">
        <v>146</v>
      </c>
      <c r="E4832" t="s">
        <v>136</v>
      </c>
    </row>
    <row r="4833" spans="1:5" x14ac:dyDescent="0.35">
      <c r="A4833" s="1" t="s">
        <v>147</v>
      </c>
      <c r="B4833" s="1"/>
      <c r="C4833" s="1"/>
      <c r="D4833" s="1" t="s">
        <v>148</v>
      </c>
      <c r="E4833" t="s">
        <v>136</v>
      </c>
    </row>
    <row r="4834" spans="1:5" x14ac:dyDescent="0.35">
      <c r="A4834" s="1" t="s">
        <v>147</v>
      </c>
      <c r="B4834" s="1"/>
      <c r="C4834" s="1"/>
      <c r="D4834" s="1" t="s">
        <v>149</v>
      </c>
      <c r="E4834" t="s">
        <v>136</v>
      </c>
    </row>
    <row r="4835" spans="1:5" x14ac:dyDescent="0.35">
      <c r="A4835" s="1" t="s">
        <v>147</v>
      </c>
      <c r="B4835" s="1"/>
      <c r="C4835" s="1" t="s">
        <v>150</v>
      </c>
      <c r="D4835" s="1" t="s">
        <v>146</v>
      </c>
      <c r="E4835" t="s">
        <v>136</v>
      </c>
    </row>
    <row r="4836" spans="1:5" x14ac:dyDescent="0.35">
      <c r="A4836" s="1" t="s">
        <v>147</v>
      </c>
      <c r="B4836" s="1"/>
      <c r="C4836" s="1"/>
      <c r="D4836" s="1" t="s">
        <v>148</v>
      </c>
      <c r="E4836" t="s">
        <v>136</v>
      </c>
    </row>
    <row r="4837" spans="1:5" x14ac:dyDescent="0.35">
      <c r="A4837" s="1" t="s">
        <v>147</v>
      </c>
      <c r="B4837" s="1"/>
      <c r="C4837" s="1"/>
      <c r="D4837" s="1" t="s">
        <v>149</v>
      </c>
      <c r="E4837" t="s">
        <v>136</v>
      </c>
    </row>
    <row r="4838" spans="1:5" x14ac:dyDescent="0.35">
      <c r="A4838" s="1" t="s">
        <v>147</v>
      </c>
      <c r="B4838" s="1" t="s">
        <v>158</v>
      </c>
      <c r="C4838" s="1" t="s">
        <v>145</v>
      </c>
      <c r="D4838" s="1" t="s">
        <v>146</v>
      </c>
      <c r="E4838" t="s">
        <v>136</v>
      </c>
    </row>
    <row r="4839" spans="1:5" x14ac:dyDescent="0.35">
      <c r="A4839" s="1" t="s">
        <v>147</v>
      </c>
      <c r="B4839" s="1"/>
      <c r="C4839" s="1"/>
      <c r="D4839" s="1" t="s">
        <v>148</v>
      </c>
      <c r="E4839" t="s">
        <v>136</v>
      </c>
    </row>
    <row r="4840" spans="1:5" x14ac:dyDescent="0.35">
      <c r="A4840" s="1" t="s">
        <v>147</v>
      </c>
      <c r="B4840" s="1"/>
      <c r="C4840" s="1"/>
      <c r="D4840" s="1" t="s">
        <v>149</v>
      </c>
      <c r="E4840" t="s">
        <v>136</v>
      </c>
    </row>
    <row r="4841" spans="1:5" x14ac:dyDescent="0.35">
      <c r="A4841" s="1" t="s">
        <v>147</v>
      </c>
      <c r="B4841" s="1"/>
      <c r="C4841" s="1" t="s">
        <v>150</v>
      </c>
      <c r="D4841" s="1" t="s">
        <v>146</v>
      </c>
      <c r="E4841" t="s">
        <v>136</v>
      </c>
    </row>
    <row r="4842" spans="1:5" x14ac:dyDescent="0.35">
      <c r="A4842" s="1" t="s">
        <v>147</v>
      </c>
      <c r="B4842" s="1"/>
      <c r="C4842" s="1"/>
      <c r="D4842" s="1" t="s">
        <v>148</v>
      </c>
      <c r="E4842" t="s">
        <v>136</v>
      </c>
    </row>
    <row r="4843" spans="1:5" x14ac:dyDescent="0.35">
      <c r="A4843" s="1" t="s">
        <v>147</v>
      </c>
      <c r="B4843" s="1"/>
      <c r="C4843" s="1"/>
      <c r="D4843" s="1" t="s">
        <v>149</v>
      </c>
      <c r="E4843" t="s">
        <v>136</v>
      </c>
    </row>
    <row r="4844" spans="1:5" x14ac:dyDescent="0.35">
      <c r="A4844" s="1" t="s">
        <v>147</v>
      </c>
      <c r="B4844" s="1" t="s">
        <v>159</v>
      </c>
      <c r="C4844" s="1" t="s">
        <v>145</v>
      </c>
      <c r="D4844" s="1" t="s">
        <v>146</v>
      </c>
      <c r="E4844" t="s">
        <v>136</v>
      </c>
    </row>
    <row r="4845" spans="1:5" x14ac:dyDescent="0.35">
      <c r="A4845" s="1" t="s">
        <v>147</v>
      </c>
      <c r="B4845" s="1"/>
      <c r="C4845" s="1"/>
      <c r="D4845" s="1" t="s">
        <v>148</v>
      </c>
      <c r="E4845" t="s">
        <v>136</v>
      </c>
    </row>
    <row r="4846" spans="1:5" x14ac:dyDescent="0.35">
      <c r="A4846" s="1" t="s">
        <v>147</v>
      </c>
      <c r="B4846" s="1"/>
      <c r="C4846" s="1"/>
      <c r="D4846" s="1" t="s">
        <v>149</v>
      </c>
      <c r="E4846" t="s">
        <v>136</v>
      </c>
    </row>
    <row r="4847" spans="1:5" x14ac:dyDescent="0.35">
      <c r="A4847" s="1" t="s">
        <v>147</v>
      </c>
      <c r="B4847" s="1"/>
      <c r="C4847" s="1" t="s">
        <v>150</v>
      </c>
      <c r="D4847" s="1" t="s">
        <v>146</v>
      </c>
      <c r="E4847" t="s">
        <v>136</v>
      </c>
    </row>
    <row r="4848" spans="1:5" x14ac:dyDescent="0.35">
      <c r="A4848" s="1" t="s">
        <v>147</v>
      </c>
      <c r="B4848" s="1"/>
      <c r="C4848" s="1"/>
      <c r="D4848" s="1" t="s">
        <v>148</v>
      </c>
      <c r="E4848" t="s">
        <v>136</v>
      </c>
    </row>
    <row r="4849" spans="1:5" x14ac:dyDescent="0.35">
      <c r="A4849" s="1" t="s">
        <v>147</v>
      </c>
      <c r="B4849" s="1"/>
      <c r="C4849" s="1"/>
      <c r="D4849" s="1" t="s">
        <v>149</v>
      </c>
      <c r="E4849" t="s">
        <v>136</v>
      </c>
    </row>
    <row r="4850" spans="1:5" x14ac:dyDescent="0.35">
      <c r="A4850" s="1" t="s">
        <v>147</v>
      </c>
      <c r="B4850" s="1" t="s">
        <v>160</v>
      </c>
      <c r="C4850" s="1" t="s">
        <v>145</v>
      </c>
      <c r="D4850" s="1" t="s">
        <v>146</v>
      </c>
      <c r="E4850" t="s">
        <v>136</v>
      </c>
    </row>
    <row r="4851" spans="1:5" x14ac:dyDescent="0.35">
      <c r="A4851" s="1" t="s">
        <v>147</v>
      </c>
      <c r="B4851" s="1"/>
      <c r="C4851" s="1"/>
      <c r="D4851" s="1" t="s">
        <v>148</v>
      </c>
      <c r="E4851" t="s">
        <v>136</v>
      </c>
    </row>
    <row r="4852" spans="1:5" x14ac:dyDescent="0.35">
      <c r="A4852" s="1" t="s">
        <v>147</v>
      </c>
      <c r="B4852" s="1"/>
      <c r="C4852" s="1"/>
      <c r="D4852" s="1" t="s">
        <v>149</v>
      </c>
      <c r="E4852" t="s">
        <v>136</v>
      </c>
    </row>
    <row r="4853" spans="1:5" x14ac:dyDescent="0.35">
      <c r="A4853" s="1" t="s">
        <v>147</v>
      </c>
      <c r="B4853" s="1"/>
      <c r="C4853" s="1" t="s">
        <v>150</v>
      </c>
      <c r="D4853" s="1" t="s">
        <v>146</v>
      </c>
      <c r="E4853" t="s">
        <v>136</v>
      </c>
    </row>
    <row r="4854" spans="1:5" x14ac:dyDescent="0.35">
      <c r="A4854" s="1" t="s">
        <v>147</v>
      </c>
      <c r="B4854" s="1"/>
      <c r="C4854" s="1"/>
      <c r="D4854" s="1" t="s">
        <v>148</v>
      </c>
      <c r="E4854" t="s">
        <v>136</v>
      </c>
    </row>
    <row r="4855" spans="1:5" x14ac:dyDescent="0.35">
      <c r="A4855" s="1" t="s">
        <v>147</v>
      </c>
      <c r="B4855" s="1"/>
      <c r="C4855" s="1"/>
      <c r="D4855" s="1" t="s">
        <v>149</v>
      </c>
      <c r="E4855" t="s">
        <v>136</v>
      </c>
    </row>
    <row r="4856" spans="1:5" x14ac:dyDescent="0.35">
      <c r="A4856" s="1" t="s">
        <v>147</v>
      </c>
      <c r="B4856" s="1" t="s">
        <v>161</v>
      </c>
      <c r="C4856" s="1" t="s">
        <v>145</v>
      </c>
      <c r="D4856" s="1" t="s">
        <v>146</v>
      </c>
      <c r="E4856" t="s">
        <v>136</v>
      </c>
    </row>
    <row r="4857" spans="1:5" x14ac:dyDescent="0.35">
      <c r="A4857" s="1" t="s">
        <v>147</v>
      </c>
      <c r="B4857" s="1"/>
      <c r="C4857" s="1"/>
      <c r="D4857" s="1" t="s">
        <v>148</v>
      </c>
      <c r="E4857" t="s">
        <v>136</v>
      </c>
    </row>
    <row r="4858" spans="1:5" x14ac:dyDescent="0.35">
      <c r="A4858" s="1" t="s">
        <v>147</v>
      </c>
      <c r="B4858" s="1"/>
      <c r="C4858" s="1"/>
      <c r="D4858" s="1" t="s">
        <v>149</v>
      </c>
      <c r="E4858" t="s">
        <v>136</v>
      </c>
    </row>
    <row r="4859" spans="1:5" x14ac:dyDescent="0.35">
      <c r="A4859" s="1" t="s">
        <v>147</v>
      </c>
      <c r="B4859" s="1"/>
      <c r="C4859" s="1" t="s">
        <v>150</v>
      </c>
      <c r="D4859" s="1" t="s">
        <v>146</v>
      </c>
      <c r="E4859" t="s">
        <v>136</v>
      </c>
    </row>
    <row r="4860" spans="1:5" x14ac:dyDescent="0.35">
      <c r="A4860" s="1" t="s">
        <v>147</v>
      </c>
      <c r="B4860" s="1"/>
      <c r="C4860" s="1"/>
      <c r="D4860" s="1" t="s">
        <v>148</v>
      </c>
      <c r="E4860" t="s">
        <v>136</v>
      </c>
    </row>
    <row r="4861" spans="1:5" x14ac:dyDescent="0.35">
      <c r="A4861" s="1" t="s">
        <v>147</v>
      </c>
      <c r="B4861" s="1"/>
      <c r="C4861" s="1"/>
      <c r="D4861" s="1" t="s">
        <v>149</v>
      </c>
      <c r="E4861" t="s">
        <v>136</v>
      </c>
    </row>
    <row r="4862" spans="1:5" x14ac:dyDescent="0.35">
      <c r="A4862" s="1" t="s">
        <v>147</v>
      </c>
      <c r="B4862" s="1" t="s">
        <v>162</v>
      </c>
      <c r="C4862" s="1" t="s">
        <v>145</v>
      </c>
      <c r="D4862" s="1" t="s">
        <v>146</v>
      </c>
      <c r="E4862" t="s">
        <v>136</v>
      </c>
    </row>
    <row r="4863" spans="1:5" x14ac:dyDescent="0.35">
      <c r="A4863" s="1" t="s">
        <v>147</v>
      </c>
      <c r="B4863" s="1"/>
      <c r="C4863" s="1"/>
      <c r="D4863" s="1" t="s">
        <v>148</v>
      </c>
      <c r="E4863" t="s">
        <v>136</v>
      </c>
    </row>
    <row r="4864" spans="1:5" x14ac:dyDescent="0.35">
      <c r="A4864" s="1" t="s">
        <v>147</v>
      </c>
      <c r="B4864" s="1"/>
      <c r="C4864" s="1"/>
      <c r="D4864" s="1" t="s">
        <v>149</v>
      </c>
      <c r="E4864" t="s">
        <v>136</v>
      </c>
    </row>
    <row r="4865" spans="1:5" x14ac:dyDescent="0.35">
      <c r="A4865" s="1" t="s">
        <v>147</v>
      </c>
      <c r="B4865" s="1"/>
      <c r="C4865" s="1" t="s">
        <v>150</v>
      </c>
      <c r="D4865" s="1" t="s">
        <v>146</v>
      </c>
      <c r="E4865" t="s">
        <v>136</v>
      </c>
    </row>
    <row r="4866" spans="1:5" x14ac:dyDescent="0.35">
      <c r="A4866" s="1" t="s">
        <v>147</v>
      </c>
      <c r="B4866" s="1"/>
      <c r="C4866" s="1"/>
      <c r="D4866" s="1" t="s">
        <v>148</v>
      </c>
      <c r="E4866" t="s">
        <v>136</v>
      </c>
    </row>
    <row r="4867" spans="1:5" x14ac:dyDescent="0.35">
      <c r="A4867" s="1" t="s">
        <v>147</v>
      </c>
      <c r="B4867" s="1"/>
      <c r="C4867" s="1"/>
      <c r="D4867" s="1" t="s">
        <v>149</v>
      </c>
      <c r="E4867" t="s">
        <v>136</v>
      </c>
    </row>
    <row r="4868" spans="1:5" x14ac:dyDescent="0.35">
      <c r="A4868" s="1" t="s">
        <v>147</v>
      </c>
      <c r="B4868" s="1" t="s">
        <v>163</v>
      </c>
      <c r="C4868" s="1" t="s">
        <v>145</v>
      </c>
      <c r="D4868" s="1" t="s">
        <v>146</v>
      </c>
      <c r="E4868">
        <v>106</v>
      </c>
    </row>
    <row r="4869" spans="1:5" x14ac:dyDescent="0.35">
      <c r="A4869" s="1" t="s">
        <v>147</v>
      </c>
      <c r="B4869" s="1"/>
      <c r="C4869" s="1"/>
      <c r="D4869" s="1" t="s">
        <v>148</v>
      </c>
      <c r="E4869" t="s">
        <v>136</v>
      </c>
    </row>
    <row r="4870" spans="1:5" x14ac:dyDescent="0.35">
      <c r="A4870" s="1" t="s">
        <v>147</v>
      </c>
      <c r="B4870" s="1"/>
      <c r="C4870" s="1"/>
      <c r="D4870" s="1" t="s">
        <v>149</v>
      </c>
      <c r="E4870">
        <v>106</v>
      </c>
    </row>
    <row r="4871" spans="1:5" x14ac:dyDescent="0.35">
      <c r="A4871" s="1" t="s">
        <v>147</v>
      </c>
      <c r="B4871" s="1"/>
      <c r="C4871" s="1" t="s">
        <v>150</v>
      </c>
      <c r="D4871" s="1" t="s">
        <v>146</v>
      </c>
      <c r="E4871" t="s">
        <v>136</v>
      </c>
    </row>
    <row r="4872" spans="1:5" x14ac:dyDescent="0.35">
      <c r="A4872" s="1" t="s">
        <v>147</v>
      </c>
      <c r="B4872" s="1"/>
      <c r="C4872" s="1"/>
      <c r="D4872" s="1" t="s">
        <v>148</v>
      </c>
      <c r="E4872" t="s">
        <v>136</v>
      </c>
    </row>
    <row r="4873" spans="1:5" x14ac:dyDescent="0.35">
      <c r="A4873" s="1" t="s">
        <v>147</v>
      </c>
      <c r="B4873" s="1"/>
      <c r="C4873" s="1"/>
      <c r="D4873" s="1" t="s">
        <v>149</v>
      </c>
      <c r="E4873" t="s">
        <v>136</v>
      </c>
    </row>
    <row r="4874" spans="1:5" x14ac:dyDescent="0.35">
      <c r="A4874" s="1" t="s">
        <v>147</v>
      </c>
      <c r="B4874" s="1" t="s">
        <v>164</v>
      </c>
      <c r="C4874" s="1" t="s">
        <v>145</v>
      </c>
      <c r="D4874" s="1" t="s">
        <v>146</v>
      </c>
      <c r="E4874" t="s">
        <v>136</v>
      </c>
    </row>
    <row r="4875" spans="1:5" x14ac:dyDescent="0.35">
      <c r="A4875" s="1" t="s">
        <v>147</v>
      </c>
      <c r="B4875" s="1"/>
      <c r="C4875" s="1"/>
      <c r="D4875" s="1" t="s">
        <v>148</v>
      </c>
      <c r="E4875" t="s">
        <v>136</v>
      </c>
    </row>
    <row r="4876" spans="1:5" x14ac:dyDescent="0.35">
      <c r="A4876" s="1" t="s">
        <v>147</v>
      </c>
      <c r="B4876" s="1"/>
      <c r="C4876" s="1"/>
      <c r="D4876" s="1" t="s">
        <v>149</v>
      </c>
      <c r="E4876" t="s">
        <v>136</v>
      </c>
    </row>
    <row r="4877" spans="1:5" x14ac:dyDescent="0.35">
      <c r="A4877" s="1" t="s">
        <v>147</v>
      </c>
      <c r="B4877" s="1"/>
      <c r="C4877" s="1" t="s">
        <v>150</v>
      </c>
      <c r="D4877" s="1" t="s">
        <v>146</v>
      </c>
      <c r="E4877" t="s">
        <v>136</v>
      </c>
    </row>
    <row r="4878" spans="1:5" x14ac:dyDescent="0.35">
      <c r="A4878" s="1" t="s">
        <v>147</v>
      </c>
      <c r="B4878" s="1"/>
      <c r="C4878" s="1"/>
      <c r="D4878" s="1" t="s">
        <v>148</v>
      </c>
      <c r="E4878" t="s">
        <v>136</v>
      </c>
    </row>
    <row r="4879" spans="1:5" x14ac:dyDescent="0.35">
      <c r="A4879" s="1" t="s">
        <v>147</v>
      </c>
      <c r="B4879" s="1"/>
      <c r="C4879" s="1"/>
      <c r="D4879" s="1" t="s">
        <v>149</v>
      </c>
      <c r="E4879" t="s">
        <v>136</v>
      </c>
    </row>
    <row r="4880" spans="1:5" x14ac:dyDescent="0.35">
      <c r="A4880" s="1" t="s">
        <v>147</v>
      </c>
      <c r="B4880" s="1" t="s">
        <v>165</v>
      </c>
      <c r="C4880" s="1" t="s">
        <v>145</v>
      </c>
      <c r="D4880" s="1" t="s">
        <v>146</v>
      </c>
      <c r="E4880" t="s">
        <v>136</v>
      </c>
    </row>
    <row r="4881" spans="1:5" x14ac:dyDescent="0.35">
      <c r="A4881" s="1" t="s">
        <v>147</v>
      </c>
      <c r="B4881" s="1"/>
      <c r="C4881" s="1"/>
      <c r="D4881" s="1" t="s">
        <v>148</v>
      </c>
      <c r="E4881" t="s">
        <v>136</v>
      </c>
    </row>
    <row r="4882" spans="1:5" x14ac:dyDescent="0.35">
      <c r="A4882" s="1" t="s">
        <v>147</v>
      </c>
      <c r="B4882" s="1"/>
      <c r="C4882" s="1"/>
      <c r="D4882" s="1" t="s">
        <v>149</v>
      </c>
      <c r="E4882" t="s">
        <v>136</v>
      </c>
    </row>
    <row r="4883" spans="1:5" x14ac:dyDescent="0.35">
      <c r="A4883" s="1" t="s">
        <v>147</v>
      </c>
      <c r="B4883" s="1"/>
      <c r="C4883" s="1" t="s">
        <v>150</v>
      </c>
      <c r="D4883" s="1" t="s">
        <v>146</v>
      </c>
      <c r="E4883" t="s">
        <v>136</v>
      </c>
    </row>
    <row r="4884" spans="1:5" x14ac:dyDescent="0.35">
      <c r="A4884" s="1" t="s">
        <v>147</v>
      </c>
      <c r="B4884" s="1"/>
      <c r="C4884" s="1"/>
      <c r="D4884" s="1" t="s">
        <v>148</v>
      </c>
      <c r="E4884" t="s">
        <v>136</v>
      </c>
    </row>
    <row r="4885" spans="1:5" x14ac:dyDescent="0.35">
      <c r="A4885" s="1" t="s">
        <v>147</v>
      </c>
      <c r="B4885" s="1"/>
      <c r="C4885" s="1"/>
      <c r="D4885" s="1" t="s">
        <v>149</v>
      </c>
      <c r="E4885" t="s">
        <v>136</v>
      </c>
    </row>
    <row r="4886" spans="1:5" x14ac:dyDescent="0.35">
      <c r="A4886" s="1" t="s">
        <v>147</v>
      </c>
      <c r="B4886" s="1" t="s">
        <v>166</v>
      </c>
      <c r="C4886" s="1" t="s">
        <v>145</v>
      </c>
      <c r="D4886" s="1" t="s">
        <v>146</v>
      </c>
      <c r="E4886">
        <v>106</v>
      </c>
    </row>
    <row r="4887" spans="1:5" x14ac:dyDescent="0.35">
      <c r="A4887" s="1" t="s">
        <v>147</v>
      </c>
      <c r="B4887" s="1"/>
      <c r="C4887" s="1"/>
      <c r="D4887" s="1" t="s">
        <v>148</v>
      </c>
      <c r="E4887" t="s">
        <v>136</v>
      </c>
    </row>
    <row r="4888" spans="1:5" x14ac:dyDescent="0.35">
      <c r="A4888" s="1" t="s">
        <v>147</v>
      </c>
      <c r="B4888" s="1"/>
      <c r="C4888" s="1"/>
      <c r="D4888" s="1" t="s">
        <v>149</v>
      </c>
      <c r="E4888">
        <v>106</v>
      </c>
    </row>
    <row r="4889" spans="1:5" x14ac:dyDescent="0.35">
      <c r="A4889" s="1" t="s">
        <v>147</v>
      </c>
      <c r="B4889" s="1"/>
      <c r="C4889" s="1" t="s">
        <v>150</v>
      </c>
      <c r="D4889" s="1" t="s">
        <v>146</v>
      </c>
      <c r="E4889" t="s">
        <v>136</v>
      </c>
    </row>
    <row r="4890" spans="1:5" x14ac:dyDescent="0.35">
      <c r="A4890" s="1" t="s">
        <v>147</v>
      </c>
      <c r="B4890" s="1"/>
      <c r="C4890" s="1"/>
      <c r="D4890" s="1" t="s">
        <v>148</v>
      </c>
      <c r="E4890" t="s">
        <v>136</v>
      </c>
    </row>
    <row r="4891" spans="1:5" x14ac:dyDescent="0.35">
      <c r="A4891" s="1" t="s">
        <v>147</v>
      </c>
      <c r="B4891" s="1"/>
      <c r="C4891" s="1"/>
      <c r="D4891" s="1" t="s">
        <v>149</v>
      </c>
      <c r="E4891" t="s">
        <v>136</v>
      </c>
    </row>
    <row r="4892" spans="1:5" x14ac:dyDescent="0.35">
      <c r="A4892" s="1" t="s">
        <v>147</v>
      </c>
      <c r="B4892" s="1" t="s">
        <v>167</v>
      </c>
      <c r="C4892" s="1" t="s">
        <v>145</v>
      </c>
      <c r="D4892" s="1" t="s">
        <v>146</v>
      </c>
      <c r="E4892" t="s">
        <v>136</v>
      </c>
    </row>
    <row r="4893" spans="1:5" x14ac:dyDescent="0.35">
      <c r="A4893" s="1" t="s">
        <v>147</v>
      </c>
      <c r="B4893" s="1"/>
      <c r="C4893" s="1"/>
      <c r="D4893" s="1" t="s">
        <v>148</v>
      </c>
      <c r="E4893" t="s">
        <v>136</v>
      </c>
    </row>
    <row r="4894" spans="1:5" x14ac:dyDescent="0.35">
      <c r="A4894" s="1" t="s">
        <v>147</v>
      </c>
      <c r="B4894" s="1"/>
      <c r="C4894" s="1"/>
      <c r="D4894" s="1" t="s">
        <v>149</v>
      </c>
      <c r="E4894" t="s">
        <v>136</v>
      </c>
    </row>
    <row r="4895" spans="1:5" x14ac:dyDescent="0.35">
      <c r="A4895" s="1" t="s">
        <v>147</v>
      </c>
      <c r="B4895" s="1"/>
      <c r="C4895" s="1" t="s">
        <v>150</v>
      </c>
      <c r="D4895" s="1" t="s">
        <v>146</v>
      </c>
      <c r="E4895" t="s">
        <v>136</v>
      </c>
    </row>
    <row r="4896" spans="1:5" x14ac:dyDescent="0.35">
      <c r="A4896" s="1" t="s">
        <v>147</v>
      </c>
      <c r="B4896" s="1"/>
      <c r="C4896" s="1"/>
      <c r="D4896" s="1" t="s">
        <v>148</v>
      </c>
      <c r="E4896" t="s">
        <v>136</v>
      </c>
    </row>
    <row r="4897" spans="1:5" x14ac:dyDescent="0.35">
      <c r="A4897" s="1" t="s">
        <v>147</v>
      </c>
      <c r="B4897" s="1"/>
      <c r="C4897" s="1"/>
      <c r="D4897" s="1" t="s">
        <v>149</v>
      </c>
      <c r="E4897" t="s">
        <v>136</v>
      </c>
    </row>
    <row r="4898" spans="1:5" x14ac:dyDescent="0.35">
      <c r="A4898" s="1" t="s">
        <v>147</v>
      </c>
      <c r="B4898" s="1" t="s">
        <v>168</v>
      </c>
      <c r="C4898" s="1" t="s">
        <v>145</v>
      </c>
      <c r="D4898" s="1" t="s">
        <v>146</v>
      </c>
      <c r="E4898" t="s">
        <v>136</v>
      </c>
    </row>
    <row r="4899" spans="1:5" x14ac:dyDescent="0.35">
      <c r="A4899" s="1" t="s">
        <v>147</v>
      </c>
      <c r="B4899" s="1"/>
      <c r="C4899" s="1"/>
      <c r="D4899" s="1" t="s">
        <v>148</v>
      </c>
      <c r="E4899" t="s">
        <v>136</v>
      </c>
    </row>
    <row r="4900" spans="1:5" x14ac:dyDescent="0.35">
      <c r="A4900" s="1" t="s">
        <v>147</v>
      </c>
      <c r="B4900" s="1"/>
      <c r="C4900" s="1"/>
      <c r="D4900" s="1" t="s">
        <v>149</v>
      </c>
      <c r="E4900" t="s">
        <v>136</v>
      </c>
    </row>
    <row r="4901" spans="1:5" x14ac:dyDescent="0.35">
      <c r="A4901" s="1" t="s">
        <v>147</v>
      </c>
      <c r="B4901" s="1"/>
      <c r="C4901" s="1" t="s">
        <v>150</v>
      </c>
      <c r="D4901" s="1" t="s">
        <v>146</v>
      </c>
      <c r="E4901" t="s">
        <v>136</v>
      </c>
    </row>
    <row r="4902" spans="1:5" x14ac:dyDescent="0.35">
      <c r="A4902" s="1" t="s">
        <v>147</v>
      </c>
      <c r="B4902" s="1"/>
      <c r="C4902" s="1"/>
      <c r="D4902" s="1" t="s">
        <v>148</v>
      </c>
      <c r="E4902" t="s">
        <v>136</v>
      </c>
    </row>
    <row r="4903" spans="1:5" x14ac:dyDescent="0.35">
      <c r="A4903" s="1" t="s">
        <v>147</v>
      </c>
      <c r="B4903" s="1"/>
      <c r="C4903" s="1"/>
      <c r="D4903" s="1" t="s">
        <v>149</v>
      </c>
      <c r="E4903" t="s">
        <v>136</v>
      </c>
    </row>
    <row r="4904" spans="1:5" x14ac:dyDescent="0.35">
      <c r="A4904" s="1" t="s">
        <v>147</v>
      </c>
      <c r="B4904" s="1" t="s">
        <v>169</v>
      </c>
      <c r="C4904" s="1" t="s">
        <v>145</v>
      </c>
      <c r="D4904" s="1" t="s">
        <v>146</v>
      </c>
      <c r="E4904" t="s">
        <v>136</v>
      </c>
    </row>
    <row r="4905" spans="1:5" x14ac:dyDescent="0.35">
      <c r="A4905" s="1" t="s">
        <v>147</v>
      </c>
      <c r="B4905" s="1"/>
      <c r="C4905" s="1"/>
      <c r="D4905" s="1" t="s">
        <v>148</v>
      </c>
      <c r="E4905" t="s">
        <v>136</v>
      </c>
    </row>
    <row r="4906" spans="1:5" x14ac:dyDescent="0.35">
      <c r="A4906" s="1" t="s">
        <v>147</v>
      </c>
      <c r="B4906" s="1"/>
      <c r="C4906" s="1"/>
      <c r="D4906" s="1" t="s">
        <v>149</v>
      </c>
      <c r="E4906" t="s">
        <v>136</v>
      </c>
    </row>
    <row r="4907" spans="1:5" x14ac:dyDescent="0.35">
      <c r="A4907" s="1" t="s">
        <v>147</v>
      </c>
      <c r="B4907" s="1"/>
      <c r="C4907" s="1" t="s">
        <v>150</v>
      </c>
      <c r="D4907" s="1" t="s">
        <v>146</v>
      </c>
      <c r="E4907" t="s">
        <v>136</v>
      </c>
    </row>
    <row r="4908" spans="1:5" x14ac:dyDescent="0.35">
      <c r="A4908" s="1" t="s">
        <v>147</v>
      </c>
      <c r="B4908" s="1"/>
      <c r="C4908" s="1"/>
      <c r="D4908" s="1" t="s">
        <v>148</v>
      </c>
      <c r="E4908" t="s">
        <v>136</v>
      </c>
    </row>
    <row r="4909" spans="1:5" x14ac:dyDescent="0.35">
      <c r="A4909" s="1" t="s">
        <v>147</v>
      </c>
      <c r="B4909" s="1"/>
      <c r="C4909" s="1"/>
      <c r="D4909" s="1" t="s">
        <v>149</v>
      </c>
      <c r="E4909" t="s">
        <v>136</v>
      </c>
    </row>
    <row r="4910" spans="1:5" x14ac:dyDescent="0.35">
      <c r="A4910" s="1" t="s">
        <v>147</v>
      </c>
      <c r="B4910" s="1" t="s">
        <v>170</v>
      </c>
      <c r="C4910" s="1" t="s">
        <v>145</v>
      </c>
      <c r="D4910" s="1" t="s">
        <v>146</v>
      </c>
      <c r="E4910" t="s">
        <v>136</v>
      </c>
    </row>
    <row r="4911" spans="1:5" x14ac:dyDescent="0.35">
      <c r="A4911" s="1" t="s">
        <v>147</v>
      </c>
      <c r="B4911" s="1"/>
      <c r="C4911" s="1"/>
      <c r="D4911" s="1" t="s">
        <v>148</v>
      </c>
      <c r="E4911" t="s">
        <v>136</v>
      </c>
    </row>
    <row r="4912" spans="1:5" x14ac:dyDescent="0.35">
      <c r="A4912" s="1" t="s">
        <v>147</v>
      </c>
      <c r="B4912" s="1"/>
      <c r="C4912" s="1"/>
      <c r="D4912" s="1" t="s">
        <v>149</v>
      </c>
      <c r="E4912" t="s">
        <v>136</v>
      </c>
    </row>
    <row r="4913" spans="1:5" x14ac:dyDescent="0.35">
      <c r="A4913" s="1" t="s">
        <v>147</v>
      </c>
      <c r="B4913" s="1"/>
      <c r="C4913" s="1" t="s">
        <v>150</v>
      </c>
      <c r="D4913" s="1" t="s">
        <v>146</v>
      </c>
      <c r="E4913" t="s">
        <v>136</v>
      </c>
    </row>
    <row r="4914" spans="1:5" x14ac:dyDescent="0.35">
      <c r="A4914" s="1" t="s">
        <v>147</v>
      </c>
      <c r="B4914" s="1"/>
      <c r="C4914" s="1"/>
      <c r="D4914" s="1" t="s">
        <v>148</v>
      </c>
      <c r="E4914" t="s">
        <v>136</v>
      </c>
    </row>
    <row r="4915" spans="1:5" x14ac:dyDescent="0.35">
      <c r="A4915" s="1" t="s">
        <v>147</v>
      </c>
      <c r="B4915" s="1"/>
      <c r="C4915" s="1"/>
      <c r="D4915" s="1" t="s">
        <v>149</v>
      </c>
      <c r="E4915" t="s">
        <v>136</v>
      </c>
    </row>
    <row r="4916" spans="1:5" x14ac:dyDescent="0.35">
      <c r="A4916" s="1" t="s">
        <v>124</v>
      </c>
      <c r="B4916" s="1" t="s">
        <v>144</v>
      </c>
      <c r="C4916" s="1" t="s">
        <v>145</v>
      </c>
      <c r="D4916" s="1" t="s">
        <v>146</v>
      </c>
      <c r="E4916">
        <v>13516.07</v>
      </c>
    </row>
    <row r="4917" spans="1:5" x14ac:dyDescent="0.35">
      <c r="A4917" s="1" t="s">
        <v>147</v>
      </c>
      <c r="B4917" s="1"/>
      <c r="C4917" s="1"/>
      <c r="D4917" s="1" t="s">
        <v>148</v>
      </c>
      <c r="E4917">
        <v>13502.69</v>
      </c>
    </row>
    <row r="4918" spans="1:5" x14ac:dyDescent="0.35">
      <c r="A4918" s="1" t="s">
        <v>147</v>
      </c>
      <c r="B4918" s="1"/>
      <c r="C4918" s="1"/>
      <c r="D4918" s="1" t="s">
        <v>149</v>
      </c>
      <c r="E4918">
        <v>13.38</v>
      </c>
    </row>
    <row r="4919" spans="1:5" x14ac:dyDescent="0.35">
      <c r="A4919" s="1" t="s">
        <v>147</v>
      </c>
      <c r="B4919" s="1"/>
      <c r="C4919" s="1" t="s">
        <v>150</v>
      </c>
      <c r="D4919" s="1" t="s">
        <v>146</v>
      </c>
      <c r="E4919" t="s">
        <v>136</v>
      </c>
    </row>
    <row r="4920" spans="1:5" x14ac:dyDescent="0.35">
      <c r="A4920" s="1" t="s">
        <v>147</v>
      </c>
      <c r="B4920" s="1"/>
      <c r="C4920" s="1"/>
      <c r="D4920" s="1" t="s">
        <v>148</v>
      </c>
      <c r="E4920" t="s">
        <v>136</v>
      </c>
    </row>
    <row r="4921" spans="1:5" x14ac:dyDescent="0.35">
      <c r="A4921" s="1" t="s">
        <v>147</v>
      </c>
      <c r="B4921" s="1"/>
      <c r="C4921" s="1"/>
      <c r="D4921" s="1" t="s">
        <v>149</v>
      </c>
      <c r="E4921" t="s">
        <v>136</v>
      </c>
    </row>
    <row r="4922" spans="1:5" x14ac:dyDescent="0.35">
      <c r="A4922" s="1" t="s">
        <v>147</v>
      </c>
      <c r="B4922" s="1" t="s">
        <v>151</v>
      </c>
      <c r="C4922" s="1" t="s">
        <v>145</v>
      </c>
      <c r="D4922" s="1" t="s">
        <v>146</v>
      </c>
      <c r="E4922">
        <v>8457.73</v>
      </c>
    </row>
    <row r="4923" spans="1:5" x14ac:dyDescent="0.35">
      <c r="A4923" s="1" t="s">
        <v>147</v>
      </c>
      <c r="B4923" s="1"/>
      <c r="C4923" s="1"/>
      <c r="D4923" s="1" t="s">
        <v>148</v>
      </c>
      <c r="E4923">
        <v>8452</v>
      </c>
    </row>
    <row r="4924" spans="1:5" x14ac:dyDescent="0.35">
      <c r="A4924" s="1" t="s">
        <v>147</v>
      </c>
      <c r="B4924" s="1"/>
      <c r="C4924" s="1"/>
      <c r="D4924" s="1" t="s">
        <v>149</v>
      </c>
      <c r="E4924">
        <v>5.73</v>
      </c>
    </row>
    <row r="4925" spans="1:5" x14ac:dyDescent="0.35">
      <c r="A4925" s="1" t="s">
        <v>147</v>
      </c>
      <c r="B4925" s="1"/>
      <c r="C4925" s="1" t="s">
        <v>150</v>
      </c>
      <c r="D4925" s="1" t="s">
        <v>146</v>
      </c>
      <c r="E4925" t="s">
        <v>136</v>
      </c>
    </row>
    <row r="4926" spans="1:5" x14ac:dyDescent="0.35">
      <c r="A4926" s="1" t="s">
        <v>147</v>
      </c>
      <c r="B4926" s="1"/>
      <c r="C4926" s="1"/>
      <c r="D4926" s="1" t="s">
        <v>148</v>
      </c>
      <c r="E4926" t="s">
        <v>136</v>
      </c>
    </row>
    <row r="4927" spans="1:5" x14ac:dyDescent="0.35">
      <c r="A4927" s="1" t="s">
        <v>147</v>
      </c>
      <c r="B4927" s="1"/>
      <c r="C4927" s="1"/>
      <c r="D4927" s="1" t="s">
        <v>149</v>
      </c>
      <c r="E4927" t="s">
        <v>136</v>
      </c>
    </row>
    <row r="4928" spans="1:5" x14ac:dyDescent="0.35">
      <c r="A4928" s="1" t="s">
        <v>147</v>
      </c>
      <c r="B4928" s="1" t="s">
        <v>152</v>
      </c>
      <c r="C4928" s="1" t="s">
        <v>145</v>
      </c>
      <c r="D4928" s="1" t="s">
        <v>146</v>
      </c>
      <c r="E4928">
        <v>600</v>
      </c>
    </row>
    <row r="4929" spans="1:5" x14ac:dyDescent="0.35">
      <c r="A4929" s="1" t="s">
        <v>147</v>
      </c>
      <c r="B4929" s="1"/>
      <c r="C4929" s="1"/>
      <c r="D4929" s="1" t="s">
        <v>148</v>
      </c>
      <c r="E4929">
        <v>600</v>
      </c>
    </row>
    <row r="4930" spans="1:5" x14ac:dyDescent="0.35">
      <c r="A4930" s="1" t="s">
        <v>147</v>
      </c>
      <c r="B4930" s="1"/>
      <c r="C4930" s="1"/>
      <c r="D4930" s="1" t="s">
        <v>149</v>
      </c>
      <c r="E4930" t="s">
        <v>136</v>
      </c>
    </row>
    <row r="4931" spans="1:5" x14ac:dyDescent="0.35">
      <c r="A4931" s="1" t="s">
        <v>147</v>
      </c>
      <c r="B4931" s="1"/>
      <c r="C4931" s="1" t="s">
        <v>150</v>
      </c>
      <c r="D4931" s="1" t="s">
        <v>146</v>
      </c>
      <c r="E4931" t="s">
        <v>136</v>
      </c>
    </row>
    <row r="4932" spans="1:5" x14ac:dyDescent="0.35">
      <c r="A4932" s="1" t="s">
        <v>147</v>
      </c>
      <c r="B4932" s="1"/>
      <c r="C4932" s="1"/>
      <c r="D4932" s="1" t="s">
        <v>148</v>
      </c>
      <c r="E4932" t="s">
        <v>136</v>
      </c>
    </row>
    <row r="4933" spans="1:5" x14ac:dyDescent="0.35">
      <c r="A4933" s="1" t="s">
        <v>147</v>
      </c>
      <c r="B4933" s="1"/>
      <c r="C4933" s="1"/>
      <c r="D4933" s="1" t="s">
        <v>149</v>
      </c>
      <c r="E4933" t="s">
        <v>136</v>
      </c>
    </row>
    <row r="4934" spans="1:5" x14ac:dyDescent="0.35">
      <c r="A4934" s="1" t="s">
        <v>147</v>
      </c>
      <c r="B4934" s="1" t="s">
        <v>153</v>
      </c>
      <c r="C4934" s="1" t="s">
        <v>145</v>
      </c>
      <c r="D4934" s="1" t="s">
        <v>146</v>
      </c>
      <c r="E4934">
        <v>3442</v>
      </c>
    </row>
    <row r="4935" spans="1:5" x14ac:dyDescent="0.35">
      <c r="A4935" s="1" t="s">
        <v>147</v>
      </c>
      <c r="B4935" s="1"/>
      <c r="C4935" s="1"/>
      <c r="D4935" s="1" t="s">
        <v>148</v>
      </c>
      <c r="E4935">
        <v>3442</v>
      </c>
    </row>
    <row r="4936" spans="1:5" x14ac:dyDescent="0.35">
      <c r="A4936" s="1" t="s">
        <v>147</v>
      </c>
      <c r="B4936" s="1"/>
      <c r="C4936" s="1"/>
      <c r="D4936" s="1" t="s">
        <v>149</v>
      </c>
      <c r="E4936" t="s">
        <v>136</v>
      </c>
    </row>
    <row r="4937" spans="1:5" x14ac:dyDescent="0.35">
      <c r="A4937" s="1" t="s">
        <v>147</v>
      </c>
      <c r="B4937" s="1"/>
      <c r="C4937" s="1" t="s">
        <v>150</v>
      </c>
      <c r="D4937" s="1" t="s">
        <v>146</v>
      </c>
      <c r="E4937" t="s">
        <v>136</v>
      </c>
    </row>
    <row r="4938" spans="1:5" x14ac:dyDescent="0.35">
      <c r="A4938" s="1" t="s">
        <v>147</v>
      </c>
      <c r="B4938" s="1"/>
      <c r="C4938" s="1"/>
      <c r="D4938" s="1" t="s">
        <v>148</v>
      </c>
      <c r="E4938" t="s">
        <v>136</v>
      </c>
    </row>
    <row r="4939" spans="1:5" x14ac:dyDescent="0.35">
      <c r="A4939" s="1" t="s">
        <v>147</v>
      </c>
      <c r="B4939" s="1"/>
      <c r="C4939" s="1"/>
      <c r="D4939" s="1" t="s">
        <v>149</v>
      </c>
      <c r="E4939" t="s">
        <v>136</v>
      </c>
    </row>
    <row r="4940" spans="1:5" x14ac:dyDescent="0.35">
      <c r="A4940" s="1" t="s">
        <v>147</v>
      </c>
      <c r="B4940" s="1" t="s">
        <v>154</v>
      </c>
      <c r="C4940" s="1" t="s">
        <v>145</v>
      </c>
      <c r="D4940" s="1" t="s">
        <v>146</v>
      </c>
      <c r="E4940" t="s">
        <v>136</v>
      </c>
    </row>
    <row r="4941" spans="1:5" x14ac:dyDescent="0.35">
      <c r="A4941" s="1" t="s">
        <v>147</v>
      </c>
      <c r="B4941" s="1"/>
      <c r="C4941" s="1"/>
      <c r="D4941" s="1" t="s">
        <v>148</v>
      </c>
      <c r="E4941" t="s">
        <v>136</v>
      </c>
    </row>
    <row r="4942" spans="1:5" x14ac:dyDescent="0.35">
      <c r="A4942" s="1" t="s">
        <v>147</v>
      </c>
      <c r="B4942" s="1"/>
      <c r="C4942" s="1"/>
      <c r="D4942" s="1" t="s">
        <v>149</v>
      </c>
      <c r="E4942" t="s">
        <v>136</v>
      </c>
    </row>
    <row r="4943" spans="1:5" x14ac:dyDescent="0.35">
      <c r="A4943" s="1" t="s">
        <v>147</v>
      </c>
      <c r="B4943" s="1"/>
      <c r="C4943" s="1" t="s">
        <v>150</v>
      </c>
      <c r="D4943" s="1" t="s">
        <v>146</v>
      </c>
      <c r="E4943" t="s">
        <v>136</v>
      </c>
    </row>
    <row r="4944" spans="1:5" x14ac:dyDescent="0.35">
      <c r="A4944" s="1" t="s">
        <v>147</v>
      </c>
      <c r="B4944" s="1"/>
      <c r="C4944" s="1"/>
      <c r="D4944" s="1" t="s">
        <v>148</v>
      </c>
      <c r="E4944" t="s">
        <v>136</v>
      </c>
    </row>
    <row r="4945" spans="1:5" x14ac:dyDescent="0.35">
      <c r="A4945" s="1" t="s">
        <v>147</v>
      </c>
      <c r="B4945" s="1"/>
      <c r="C4945" s="1"/>
      <c r="D4945" s="1" t="s">
        <v>149</v>
      </c>
      <c r="E4945" t="s">
        <v>136</v>
      </c>
    </row>
    <row r="4946" spans="1:5" x14ac:dyDescent="0.35">
      <c r="A4946" s="1" t="s">
        <v>147</v>
      </c>
      <c r="B4946" s="1" t="s">
        <v>155</v>
      </c>
      <c r="C4946" s="1" t="s">
        <v>145</v>
      </c>
      <c r="D4946" s="1" t="s">
        <v>146</v>
      </c>
      <c r="E4946">
        <v>751.65</v>
      </c>
    </row>
    <row r="4947" spans="1:5" x14ac:dyDescent="0.35">
      <c r="A4947" s="1" t="s">
        <v>147</v>
      </c>
      <c r="B4947" s="1"/>
      <c r="C4947" s="1"/>
      <c r="D4947" s="1" t="s">
        <v>148</v>
      </c>
      <c r="E4947">
        <v>744</v>
      </c>
    </row>
    <row r="4948" spans="1:5" x14ac:dyDescent="0.35">
      <c r="A4948" s="1" t="s">
        <v>147</v>
      </c>
      <c r="B4948" s="1"/>
      <c r="C4948" s="1"/>
      <c r="D4948" s="1" t="s">
        <v>149</v>
      </c>
      <c r="E4948">
        <v>7.65</v>
      </c>
    </row>
    <row r="4949" spans="1:5" x14ac:dyDescent="0.35">
      <c r="A4949" s="1" t="s">
        <v>147</v>
      </c>
      <c r="B4949" s="1"/>
      <c r="C4949" s="1" t="s">
        <v>150</v>
      </c>
      <c r="D4949" s="1" t="s">
        <v>146</v>
      </c>
      <c r="E4949" t="s">
        <v>136</v>
      </c>
    </row>
    <row r="4950" spans="1:5" x14ac:dyDescent="0.35">
      <c r="A4950" s="1" t="s">
        <v>147</v>
      </c>
      <c r="B4950" s="1"/>
      <c r="C4950" s="1"/>
      <c r="D4950" s="1" t="s">
        <v>148</v>
      </c>
      <c r="E4950" t="s">
        <v>136</v>
      </c>
    </row>
    <row r="4951" spans="1:5" x14ac:dyDescent="0.35">
      <c r="A4951" s="1" t="s">
        <v>147</v>
      </c>
      <c r="B4951" s="1"/>
      <c r="C4951" s="1"/>
      <c r="D4951" s="1" t="s">
        <v>149</v>
      </c>
      <c r="E4951" t="s">
        <v>136</v>
      </c>
    </row>
    <row r="4952" spans="1:5" x14ac:dyDescent="0.35">
      <c r="A4952" s="1" t="s">
        <v>147</v>
      </c>
      <c r="B4952" s="1" t="s">
        <v>156</v>
      </c>
      <c r="C4952" s="1" t="s">
        <v>145</v>
      </c>
      <c r="D4952" s="1" t="s">
        <v>146</v>
      </c>
      <c r="E4952" t="s">
        <v>136</v>
      </c>
    </row>
    <row r="4953" spans="1:5" x14ac:dyDescent="0.35">
      <c r="A4953" s="1" t="s">
        <v>147</v>
      </c>
      <c r="B4953" s="1"/>
      <c r="C4953" s="1"/>
      <c r="D4953" s="1" t="s">
        <v>148</v>
      </c>
      <c r="E4953" t="s">
        <v>136</v>
      </c>
    </row>
    <row r="4954" spans="1:5" x14ac:dyDescent="0.35">
      <c r="A4954" s="1" t="s">
        <v>147</v>
      </c>
      <c r="B4954" s="1"/>
      <c r="C4954" s="1"/>
      <c r="D4954" s="1" t="s">
        <v>149</v>
      </c>
      <c r="E4954" t="s">
        <v>136</v>
      </c>
    </row>
    <row r="4955" spans="1:5" x14ac:dyDescent="0.35">
      <c r="A4955" s="1" t="s">
        <v>147</v>
      </c>
      <c r="B4955" s="1"/>
      <c r="C4955" s="1" t="s">
        <v>150</v>
      </c>
      <c r="D4955" s="1" t="s">
        <v>146</v>
      </c>
      <c r="E4955" t="s">
        <v>136</v>
      </c>
    </row>
    <row r="4956" spans="1:5" x14ac:dyDescent="0.35">
      <c r="A4956" s="1" t="s">
        <v>147</v>
      </c>
      <c r="B4956" s="1"/>
      <c r="C4956" s="1"/>
      <c r="D4956" s="1" t="s">
        <v>148</v>
      </c>
      <c r="E4956" t="s">
        <v>136</v>
      </c>
    </row>
    <row r="4957" spans="1:5" x14ac:dyDescent="0.35">
      <c r="A4957" s="1" t="s">
        <v>147</v>
      </c>
      <c r="B4957" s="1"/>
      <c r="C4957" s="1"/>
      <c r="D4957" s="1" t="s">
        <v>149</v>
      </c>
      <c r="E4957" t="s">
        <v>136</v>
      </c>
    </row>
    <row r="4958" spans="1:5" x14ac:dyDescent="0.35">
      <c r="A4958" s="1" t="s">
        <v>147</v>
      </c>
      <c r="B4958" s="1" t="s">
        <v>157</v>
      </c>
      <c r="C4958" s="1" t="s">
        <v>145</v>
      </c>
      <c r="D4958" s="1" t="s">
        <v>146</v>
      </c>
      <c r="E4958" t="s">
        <v>136</v>
      </c>
    </row>
    <row r="4959" spans="1:5" x14ac:dyDescent="0.35">
      <c r="A4959" s="1" t="s">
        <v>147</v>
      </c>
      <c r="B4959" s="1"/>
      <c r="C4959" s="1"/>
      <c r="D4959" s="1" t="s">
        <v>148</v>
      </c>
      <c r="E4959" t="s">
        <v>136</v>
      </c>
    </row>
    <row r="4960" spans="1:5" x14ac:dyDescent="0.35">
      <c r="A4960" s="1" t="s">
        <v>147</v>
      </c>
      <c r="B4960" s="1"/>
      <c r="C4960" s="1"/>
      <c r="D4960" s="1" t="s">
        <v>149</v>
      </c>
      <c r="E4960" t="s">
        <v>136</v>
      </c>
    </row>
    <row r="4961" spans="1:5" x14ac:dyDescent="0.35">
      <c r="A4961" s="1" t="s">
        <v>147</v>
      </c>
      <c r="B4961" s="1"/>
      <c r="C4961" s="1" t="s">
        <v>150</v>
      </c>
      <c r="D4961" s="1" t="s">
        <v>146</v>
      </c>
      <c r="E4961" t="s">
        <v>136</v>
      </c>
    </row>
    <row r="4962" spans="1:5" x14ac:dyDescent="0.35">
      <c r="A4962" s="1" t="s">
        <v>147</v>
      </c>
      <c r="B4962" s="1"/>
      <c r="C4962" s="1"/>
      <c r="D4962" s="1" t="s">
        <v>148</v>
      </c>
      <c r="E4962" t="s">
        <v>136</v>
      </c>
    </row>
    <row r="4963" spans="1:5" x14ac:dyDescent="0.35">
      <c r="A4963" s="1" t="s">
        <v>147</v>
      </c>
      <c r="B4963" s="1"/>
      <c r="C4963" s="1"/>
      <c r="D4963" s="1" t="s">
        <v>149</v>
      </c>
      <c r="E4963" t="s">
        <v>136</v>
      </c>
    </row>
    <row r="4964" spans="1:5" x14ac:dyDescent="0.35">
      <c r="A4964" s="1" t="s">
        <v>147</v>
      </c>
      <c r="B4964" s="1" t="s">
        <v>158</v>
      </c>
      <c r="C4964" s="1" t="s">
        <v>145</v>
      </c>
      <c r="D4964" s="1" t="s">
        <v>146</v>
      </c>
      <c r="E4964">
        <v>241.7</v>
      </c>
    </row>
    <row r="4965" spans="1:5" x14ac:dyDescent="0.35">
      <c r="A4965" s="1" t="s">
        <v>147</v>
      </c>
      <c r="B4965" s="1"/>
      <c r="C4965" s="1"/>
      <c r="D4965" s="1" t="s">
        <v>148</v>
      </c>
      <c r="E4965">
        <v>241.7</v>
      </c>
    </row>
    <row r="4966" spans="1:5" x14ac:dyDescent="0.35">
      <c r="A4966" s="1" t="s">
        <v>147</v>
      </c>
      <c r="B4966" s="1"/>
      <c r="C4966" s="1"/>
      <c r="D4966" s="1" t="s">
        <v>149</v>
      </c>
      <c r="E4966" t="s">
        <v>136</v>
      </c>
    </row>
    <row r="4967" spans="1:5" x14ac:dyDescent="0.35">
      <c r="A4967" s="1" t="s">
        <v>147</v>
      </c>
      <c r="B4967" s="1"/>
      <c r="C4967" s="1" t="s">
        <v>150</v>
      </c>
      <c r="D4967" s="1" t="s">
        <v>146</v>
      </c>
      <c r="E4967" t="s">
        <v>136</v>
      </c>
    </row>
    <row r="4968" spans="1:5" x14ac:dyDescent="0.35">
      <c r="A4968" s="1" t="s">
        <v>147</v>
      </c>
      <c r="B4968" s="1"/>
      <c r="C4968" s="1"/>
      <c r="D4968" s="1" t="s">
        <v>148</v>
      </c>
      <c r="E4968" t="s">
        <v>136</v>
      </c>
    </row>
    <row r="4969" spans="1:5" x14ac:dyDescent="0.35">
      <c r="A4969" s="1" t="s">
        <v>147</v>
      </c>
      <c r="B4969" s="1"/>
      <c r="C4969" s="1"/>
      <c r="D4969" s="1" t="s">
        <v>149</v>
      </c>
      <c r="E4969" t="s">
        <v>136</v>
      </c>
    </row>
    <row r="4970" spans="1:5" x14ac:dyDescent="0.35">
      <c r="A4970" s="1" t="s">
        <v>147</v>
      </c>
      <c r="B4970" s="1" t="s">
        <v>159</v>
      </c>
      <c r="C4970" s="1" t="s">
        <v>145</v>
      </c>
      <c r="D4970" s="1" t="s">
        <v>146</v>
      </c>
      <c r="E4970" t="s">
        <v>136</v>
      </c>
    </row>
    <row r="4971" spans="1:5" x14ac:dyDescent="0.35">
      <c r="A4971" s="1" t="s">
        <v>147</v>
      </c>
      <c r="B4971" s="1"/>
      <c r="C4971" s="1"/>
      <c r="D4971" s="1" t="s">
        <v>148</v>
      </c>
      <c r="E4971" t="s">
        <v>136</v>
      </c>
    </row>
    <row r="4972" spans="1:5" x14ac:dyDescent="0.35">
      <c r="A4972" s="1" t="s">
        <v>147</v>
      </c>
      <c r="B4972" s="1"/>
      <c r="C4972" s="1"/>
      <c r="D4972" s="1" t="s">
        <v>149</v>
      </c>
      <c r="E4972" t="s">
        <v>136</v>
      </c>
    </row>
    <row r="4973" spans="1:5" x14ac:dyDescent="0.35">
      <c r="A4973" s="1" t="s">
        <v>147</v>
      </c>
      <c r="B4973" s="1"/>
      <c r="C4973" s="1" t="s">
        <v>150</v>
      </c>
      <c r="D4973" s="1" t="s">
        <v>146</v>
      </c>
      <c r="E4973" t="s">
        <v>136</v>
      </c>
    </row>
    <row r="4974" spans="1:5" x14ac:dyDescent="0.35">
      <c r="A4974" s="1" t="s">
        <v>147</v>
      </c>
      <c r="B4974" s="1"/>
      <c r="C4974" s="1"/>
      <c r="D4974" s="1" t="s">
        <v>148</v>
      </c>
      <c r="E4974" t="s">
        <v>136</v>
      </c>
    </row>
    <row r="4975" spans="1:5" x14ac:dyDescent="0.35">
      <c r="A4975" s="1" t="s">
        <v>147</v>
      </c>
      <c r="B4975" s="1"/>
      <c r="C4975" s="1"/>
      <c r="D4975" s="1" t="s">
        <v>149</v>
      </c>
      <c r="E4975" t="s">
        <v>136</v>
      </c>
    </row>
    <row r="4976" spans="1:5" x14ac:dyDescent="0.35">
      <c r="A4976" s="1" t="s">
        <v>147</v>
      </c>
      <c r="B4976" s="1" t="s">
        <v>160</v>
      </c>
      <c r="C4976" s="1" t="s">
        <v>145</v>
      </c>
      <c r="D4976" s="1" t="s">
        <v>146</v>
      </c>
      <c r="E4976" t="s">
        <v>136</v>
      </c>
    </row>
    <row r="4977" spans="1:5" x14ac:dyDescent="0.35">
      <c r="A4977" s="1" t="s">
        <v>147</v>
      </c>
      <c r="B4977" s="1"/>
      <c r="C4977" s="1"/>
      <c r="D4977" s="1" t="s">
        <v>148</v>
      </c>
      <c r="E4977" t="s">
        <v>136</v>
      </c>
    </row>
    <row r="4978" spans="1:5" x14ac:dyDescent="0.35">
      <c r="A4978" s="1" t="s">
        <v>147</v>
      </c>
      <c r="B4978" s="1"/>
      <c r="C4978" s="1"/>
      <c r="D4978" s="1" t="s">
        <v>149</v>
      </c>
      <c r="E4978" t="s">
        <v>136</v>
      </c>
    </row>
    <row r="4979" spans="1:5" x14ac:dyDescent="0.35">
      <c r="A4979" s="1" t="s">
        <v>147</v>
      </c>
      <c r="B4979" s="1"/>
      <c r="C4979" s="1" t="s">
        <v>150</v>
      </c>
      <c r="D4979" s="1" t="s">
        <v>146</v>
      </c>
      <c r="E4979" t="s">
        <v>136</v>
      </c>
    </row>
    <row r="4980" spans="1:5" x14ac:dyDescent="0.35">
      <c r="A4980" s="1" t="s">
        <v>147</v>
      </c>
      <c r="B4980" s="1"/>
      <c r="C4980" s="1"/>
      <c r="D4980" s="1" t="s">
        <v>148</v>
      </c>
      <c r="E4980" t="s">
        <v>136</v>
      </c>
    </row>
    <row r="4981" spans="1:5" x14ac:dyDescent="0.35">
      <c r="A4981" s="1" t="s">
        <v>147</v>
      </c>
      <c r="B4981" s="1"/>
      <c r="C4981" s="1"/>
      <c r="D4981" s="1" t="s">
        <v>149</v>
      </c>
      <c r="E4981" t="s">
        <v>136</v>
      </c>
    </row>
    <row r="4982" spans="1:5" x14ac:dyDescent="0.35">
      <c r="A4982" s="1" t="s">
        <v>147</v>
      </c>
      <c r="B4982" s="1" t="s">
        <v>161</v>
      </c>
      <c r="C4982" s="1" t="s">
        <v>145</v>
      </c>
      <c r="D4982" s="1" t="s">
        <v>146</v>
      </c>
      <c r="E4982">
        <v>22.99</v>
      </c>
    </row>
    <row r="4983" spans="1:5" x14ac:dyDescent="0.35">
      <c r="A4983" s="1" t="s">
        <v>147</v>
      </c>
      <c r="B4983" s="1"/>
      <c r="C4983" s="1"/>
      <c r="D4983" s="1" t="s">
        <v>148</v>
      </c>
      <c r="E4983">
        <v>22.99</v>
      </c>
    </row>
    <row r="4984" spans="1:5" x14ac:dyDescent="0.35">
      <c r="A4984" s="1" t="s">
        <v>147</v>
      </c>
      <c r="B4984" s="1"/>
      <c r="C4984" s="1"/>
      <c r="D4984" s="1" t="s">
        <v>149</v>
      </c>
      <c r="E4984" t="s">
        <v>136</v>
      </c>
    </row>
    <row r="4985" spans="1:5" x14ac:dyDescent="0.35">
      <c r="A4985" s="1" t="s">
        <v>147</v>
      </c>
      <c r="B4985" s="1"/>
      <c r="C4985" s="1" t="s">
        <v>150</v>
      </c>
      <c r="D4985" s="1" t="s">
        <v>146</v>
      </c>
      <c r="E4985" t="s">
        <v>136</v>
      </c>
    </row>
    <row r="4986" spans="1:5" x14ac:dyDescent="0.35">
      <c r="A4986" s="1" t="s">
        <v>147</v>
      </c>
      <c r="B4986" s="1"/>
      <c r="C4986" s="1"/>
      <c r="D4986" s="1" t="s">
        <v>148</v>
      </c>
      <c r="E4986" t="s">
        <v>136</v>
      </c>
    </row>
    <row r="4987" spans="1:5" x14ac:dyDescent="0.35">
      <c r="A4987" s="1" t="s">
        <v>147</v>
      </c>
      <c r="B4987" s="1"/>
      <c r="C4987" s="1"/>
      <c r="D4987" s="1" t="s">
        <v>149</v>
      </c>
      <c r="E4987" t="s">
        <v>136</v>
      </c>
    </row>
    <row r="4988" spans="1:5" x14ac:dyDescent="0.35">
      <c r="A4988" s="1" t="s">
        <v>147</v>
      </c>
      <c r="B4988" s="1" t="s">
        <v>162</v>
      </c>
      <c r="C4988" s="1" t="s">
        <v>145</v>
      </c>
      <c r="D4988" s="1" t="s">
        <v>146</v>
      </c>
      <c r="E4988" t="s">
        <v>136</v>
      </c>
    </row>
    <row r="4989" spans="1:5" x14ac:dyDescent="0.35">
      <c r="A4989" s="1" t="s">
        <v>147</v>
      </c>
      <c r="B4989" s="1"/>
      <c r="C4989" s="1"/>
      <c r="D4989" s="1" t="s">
        <v>148</v>
      </c>
      <c r="E4989" t="s">
        <v>136</v>
      </c>
    </row>
    <row r="4990" spans="1:5" x14ac:dyDescent="0.35">
      <c r="A4990" s="1" t="s">
        <v>147</v>
      </c>
      <c r="B4990" s="1"/>
      <c r="C4990" s="1"/>
      <c r="D4990" s="1" t="s">
        <v>149</v>
      </c>
      <c r="E4990" t="s">
        <v>136</v>
      </c>
    </row>
    <row r="4991" spans="1:5" x14ac:dyDescent="0.35">
      <c r="A4991" s="1" t="s">
        <v>147</v>
      </c>
      <c r="B4991" s="1"/>
      <c r="C4991" s="1" t="s">
        <v>150</v>
      </c>
      <c r="D4991" s="1" t="s">
        <v>146</v>
      </c>
      <c r="E4991" t="s">
        <v>136</v>
      </c>
    </row>
    <row r="4992" spans="1:5" x14ac:dyDescent="0.35">
      <c r="A4992" s="1" t="s">
        <v>147</v>
      </c>
      <c r="B4992" s="1"/>
      <c r="C4992" s="1"/>
      <c r="D4992" s="1" t="s">
        <v>148</v>
      </c>
      <c r="E4992" t="s">
        <v>136</v>
      </c>
    </row>
    <row r="4993" spans="1:5" x14ac:dyDescent="0.35">
      <c r="A4993" s="1" t="s">
        <v>147</v>
      </c>
      <c r="B4993" s="1"/>
      <c r="C4993" s="1"/>
      <c r="D4993" s="1" t="s">
        <v>149</v>
      </c>
      <c r="E4993" t="s">
        <v>136</v>
      </c>
    </row>
    <row r="4994" spans="1:5" x14ac:dyDescent="0.35">
      <c r="A4994" s="1" t="s">
        <v>147</v>
      </c>
      <c r="B4994" s="1" t="s">
        <v>163</v>
      </c>
      <c r="C4994" s="1" t="s">
        <v>145</v>
      </c>
      <c r="D4994" s="1" t="s">
        <v>146</v>
      </c>
      <c r="E4994">
        <v>51719.4</v>
      </c>
    </row>
    <row r="4995" spans="1:5" x14ac:dyDescent="0.35">
      <c r="A4995" s="1" t="s">
        <v>147</v>
      </c>
      <c r="B4995" s="1"/>
      <c r="C4995" s="1"/>
      <c r="D4995" s="1" t="s">
        <v>148</v>
      </c>
      <c r="E4995">
        <v>51705</v>
      </c>
    </row>
    <row r="4996" spans="1:5" x14ac:dyDescent="0.35">
      <c r="A4996" s="1" t="s">
        <v>147</v>
      </c>
      <c r="B4996" s="1"/>
      <c r="C4996" s="1"/>
      <c r="D4996" s="1" t="s">
        <v>149</v>
      </c>
      <c r="E4996">
        <v>14.4</v>
      </c>
    </row>
    <row r="4997" spans="1:5" x14ac:dyDescent="0.35">
      <c r="A4997" s="1" t="s">
        <v>147</v>
      </c>
      <c r="B4997" s="1"/>
      <c r="C4997" s="1" t="s">
        <v>150</v>
      </c>
      <c r="D4997" s="1" t="s">
        <v>146</v>
      </c>
      <c r="E4997" t="s">
        <v>136</v>
      </c>
    </row>
    <row r="4998" spans="1:5" x14ac:dyDescent="0.35">
      <c r="A4998" s="1" t="s">
        <v>147</v>
      </c>
      <c r="B4998" s="1"/>
      <c r="C4998" s="1"/>
      <c r="D4998" s="1" t="s">
        <v>148</v>
      </c>
      <c r="E4998" t="s">
        <v>136</v>
      </c>
    </row>
    <row r="4999" spans="1:5" x14ac:dyDescent="0.35">
      <c r="A4999" s="1" t="s">
        <v>147</v>
      </c>
      <c r="B4999" s="1"/>
      <c r="C4999" s="1"/>
      <c r="D4999" s="1" t="s">
        <v>149</v>
      </c>
      <c r="E4999" t="s">
        <v>136</v>
      </c>
    </row>
    <row r="5000" spans="1:5" x14ac:dyDescent="0.35">
      <c r="A5000" s="1" t="s">
        <v>147</v>
      </c>
      <c r="B5000" s="1" t="s">
        <v>164</v>
      </c>
      <c r="C5000" s="1" t="s">
        <v>145</v>
      </c>
      <c r="D5000" s="1" t="s">
        <v>146</v>
      </c>
      <c r="E5000">
        <v>2732</v>
      </c>
    </row>
    <row r="5001" spans="1:5" x14ac:dyDescent="0.35">
      <c r="A5001" s="1" t="s">
        <v>147</v>
      </c>
      <c r="B5001" s="1"/>
      <c r="C5001" s="1"/>
      <c r="D5001" s="1" t="s">
        <v>148</v>
      </c>
      <c r="E5001">
        <v>2732</v>
      </c>
    </row>
    <row r="5002" spans="1:5" x14ac:dyDescent="0.35">
      <c r="A5002" s="1" t="s">
        <v>147</v>
      </c>
      <c r="B5002" s="1"/>
      <c r="C5002" s="1"/>
      <c r="D5002" s="1" t="s">
        <v>149</v>
      </c>
      <c r="E5002" t="s">
        <v>136</v>
      </c>
    </row>
    <row r="5003" spans="1:5" x14ac:dyDescent="0.35">
      <c r="A5003" s="1" t="s">
        <v>147</v>
      </c>
      <c r="B5003" s="1"/>
      <c r="C5003" s="1" t="s">
        <v>150</v>
      </c>
      <c r="D5003" s="1" t="s">
        <v>146</v>
      </c>
      <c r="E5003" t="s">
        <v>136</v>
      </c>
    </row>
    <row r="5004" spans="1:5" x14ac:dyDescent="0.35">
      <c r="A5004" s="1" t="s">
        <v>147</v>
      </c>
      <c r="B5004" s="1"/>
      <c r="C5004" s="1"/>
      <c r="D5004" s="1" t="s">
        <v>148</v>
      </c>
      <c r="E5004" t="s">
        <v>136</v>
      </c>
    </row>
    <row r="5005" spans="1:5" x14ac:dyDescent="0.35">
      <c r="A5005" s="1" t="s">
        <v>147</v>
      </c>
      <c r="B5005" s="1"/>
      <c r="C5005" s="1"/>
      <c r="D5005" s="1" t="s">
        <v>149</v>
      </c>
      <c r="E5005" t="s">
        <v>136</v>
      </c>
    </row>
    <row r="5006" spans="1:5" x14ac:dyDescent="0.35">
      <c r="A5006" s="1" t="s">
        <v>147</v>
      </c>
      <c r="B5006" s="1" t="s">
        <v>165</v>
      </c>
      <c r="C5006" s="1" t="s">
        <v>145</v>
      </c>
      <c r="D5006" s="1" t="s">
        <v>146</v>
      </c>
      <c r="E5006">
        <v>43608</v>
      </c>
    </row>
    <row r="5007" spans="1:5" x14ac:dyDescent="0.35">
      <c r="A5007" s="1" t="s">
        <v>147</v>
      </c>
      <c r="B5007" s="1"/>
      <c r="C5007" s="1"/>
      <c r="D5007" s="1" t="s">
        <v>148</v>
      </c>
      <c r="E5007">
        <v>43608</v>
      </c>
    </row>
    <row r="5008" spans="1:5" x14ac:dyDescent="0.35">
      <c r="A5008" s="1" t="s">
        <v>147</v>
      </c>
      <c r="B5008" s="1"/>
      <c r="C5008" s="1"/>
      <c r="D5008" s="1" t="s">
        <v>149</v>
      </c>
      <c r="E5008" t="s">
        <v>136</v>
      </c>
    </row>
    <row r="5009" spans="1:5" x14ac:dyDescent="0.35">
      <c r="A5009" s="1" t="s">
        <v>147</v>
      </c>
      <c r="B5009" s="1"/>
      <c r="C5009" s="1" t="s">
        <v>150</v>
      </c>
      <c r="D5009" s="1" t="s">
        <v>146</v>
      </c>
      <c r="E5009" t="s">
        <v>136</v>
      </c>
    </row>
    <row r="5010" spans="1:5" x14ac:dyDescent="0.35">
      <c r="A5010" s="1" t="s">
        <v>147</v>
      </c>
      <c r="B5010" s="1"/>
      <c r="C5010" s="1"/>
      <c r="D5010" s="1" t="s">
        <v>148</v>
      </c>
      <c r="E5010" t="s">
        <v>136</v>
      </c>
    </row>
    <row r="5011" spans="1:5" x14ac:dyDescent="0.35">
      <c r="A5011" s="1" t="s">
        <v>147</v>
      </c>
      <c r="B5011" s="1"/>
      <c r="C5011" s="1"/>
      <c r="D5011" s="1" t="s">
        <v>149</v>
      </c>
      <c r="E5011" t="s">
        <v>136</v>
      </c>
    </row>
    <row r="5012" spans="1:5" x14ac:dyDescent="0.35">
      <c r="A5012" s="1" t="s">
        <v>147</v>
      </c>
      <c r="B5012" s="1" t="s">
        <v>166</v>
      </c>
      <c r="C5012" s="1" t="s">
        <v>145</v>
      </c>
      <c r="D5012" s="1" t="s">
        <v>146</v>
      </c>
      <c r="E5012">
        <v>3445.4</v>
      </c>
    </row>
    <row r="5013" spans="1:5" x14ac:dyDescent="0.35">
      <c r="A5013" s="1" t="s">
        <v>147</v>
      </c>
      <c r="B5013" s="1"/>
      <c r="C5013" s="1"/>
      <c r="D5013" s="1" t="s">
        <v>148</v>
      </c>
      <c r="E5013">
        <v>3431</v>
      </c>
    </row>
    <row r="5014" spans="1:5" x14ac:dyDescent="0.35">
      <c r="A5014" s="1" t="s">
        <v>147</v>
      </c>
      <c r="B5014" s="1"/>
      <c r="C5014" s="1"/>
      <c r="D5014" s="1" t="s">
        <v>149</v>
      </c>
      <c r="E5014">
        <v>14.4</v>
      </c>
    </row>
    <row r="5015" spans="1:5" x14ac:dyDescent="0.35">
      <c r="A5015" s="1" t="s">
        <v>147</v>
      </c>
      <c r="B5015" s="1"/>
      <c r="C5015" s="1" t="s">
        <v>150</v>
      </c>
      <c r="D5015" s="1" t="s">
        <v>146</v>
      </c>
      <c r="E5015" t="s">
        <v>136</v>
      </c>
    </row>
    <row r="5016" spans="1:5" x14ac:dyDescent="0.35">
      <c r="A5016" s="1" t="s">
        <v>147</v>
      </c>
      <c r="B5016" s="1"/>
      <c r="C5016" s="1"/>
      <c r="D5016" s="1" t="s">
        <v>148</v>
      </c>
      <c r="E5016" t="s">
        <v>136</v>
      </c>
    </row>
    <row r="5017" spans="1:5" x14ac:dyDescent="0.35">
      <c r="A5017" s="1" t="s">
        <v>147</v>
      </c>
      <c r="B5017" s="1"/>
      <c r="C5017" s="1"/>
      <c r="D5017" s="1" t="s">
        <v>149</v>
      </c>
      <c r="E5017" t="s">
        <v>136</v>
      </c>
    </row>
    <row r="5018" spans="1:5" x14ac:dyDescent="0.35">
      <c r="A5018" s="1" t="s">
        <v>147</v>
      </c>
      <c r="B5018" s="1" t="s">
        <v>167</v>
      </c>
      <c r="C5018" s="1" t="s">
        <v>145</v>
      </c>
      <c r="D5018" s="1" t="s">
        <v>146</v>
      </c>
      <c r="E5018" t="s">
        <v>136</v>
      </c>
    </row>
    <row r="5019" spans="1:5" x14ac:dyDescent="0.35">
      <c r="A5019" s="1" t="s">
        <v>147</v>
      </c>
      <c r="B5019" s="1"/>
      <c r="C5019" s="1"/>
      <c r="D5019" s="1" t="s">
        <v>148</v>
      </c>
      <c r="E5019" t="s">
        <v>136</v>
      </c>
    </row>
    <row r="5020" spans="1:5" x14ac:dyDescent="0.35">
      <c r="A5020" s="1" t="s">
        <v>147</v>
      </c>
      <c r="B5020" s="1"/>
      <c r="C5020" s="1"/>
      <c r="D5020" s="1" t="s">
        <v>149</v>
      </c>
      <c r="E5020" t="s">
        <v>136</v>
      </c>
    </row>
    <row r="5021" spans="1:5" x14ac:dyDescent="0.35">
      <c r="A5021" s="1" t="s">
        <v>147</v>
      </c>
      <c r="B5021" s="1"/>
      <c r="C5021" s="1" t="s">
        <v>150</v>
      </c>
      <c r="D5021" s="1" t="s">
        <v>146</v>
      </c>
      <c r="E5021" t="s">
        <v>136</v>
      </c>
    </row>
    <row r="5022" spans="1:5" x14ac:dyDescent="0.35">
      <c r="A5022" s="1" t="s">
        <v>147</v>
      </c>
      <c r="B5022" s="1"/>
      <c r="C5022" s="1"/>
      <c r="D5022" s="1" t="s">
        <v>148</v>
      </c>
      <c r="E5022" t="s">
        <v>136</v>
      </c>
    </row>
    <row r="5023" spans="1:5" x14ac:dyDescent="0.35">
      <c r="A5023" s="1" t="s">
        <v>147</v>
      </c>
      <c r="B5023" s="1"/>
      <c r="C5023" s="1"/>
      <c r="D5023" s="1" t="s">
        <v>149</v>
      </c>
      <c r="E5023" t="s">
        <v>136</v>
      </c>
    </row>
    <row r="5024" spans="1:5" x14ac:dyDescent="0.35">
      <c r="A5024" s="1" t="s">
        <v>147</v>
      </c>
      <c r="B5024" s="1" t="s">
        <v>168</v>
      </c>
      <c r="C5024" s="1" t="s">
        <v>145</v>
      </c>
      <c r="D5024" s="1" t="s">
        <v>146</v>
      </c>
      <c r="E5024" t="s">
        <v>136</v>
      </c>
    </row>
    <row r="5025" spans="1:5" x14ac:dyDescent="0.35">
      <c r="A5025" s="1" t="s">
        <v>147</v>
      </c>
      <c r="B5025" s="1"/>
      <c r="C5025" s="1"/>
      <c r="D5025" s="1" t="s">
        <v>148</v>
      </c>
      <c r="E5025" t="s">
        <v>136</v>
      </c>
    </row>
    <row r="5026" spans="1:5" x14ac:dyDescent="0.35">
      <c r="A5026" s="1" t="s">
        <v>147</v>
      </c>
      <c r="B5026" s="1"/>
      <c r="C5026" s="1"/>
      <c r="D5026" s="1" t="s">
        <v>149</v>
      </c>
      <c r="E5026" t="s">
        <v>136</v>
      </c>
    </row>
    <row r="5027" spans="1:5" x14ac:dyDescent="0.35">
      <c r="A5027" s="1" t="s">
        <v>147</v>
      </c>
      <c r="B5027" s="1"/>
      <c r="C5027" s="1" t="s">
        <v>150</v>
      </c>
      <c r="D5027" s="1" t="s">
        <v>146</v>
      </c>
      <c r="E5027" t="s">
        <v>136</v>
      </c>
    </row>
    <row r="5028" spans="1:5" x14ac:dyDescent="0.35">
      <c r="A5028" s="1" t="s">
        <v>147</v>
      </c>
      <c r="B5028" s="1"/>
      <c r="C5028" s="1"/>
      <c r="D5028" s="1" t="s">
        <v>148</v>
      </c>
      <c r="E5028" t="s">
        <v>136</v>
      </c>
    </row>
    <row r="5029" spans="1:5" x14ac:dyDescent="0.35">
      <c r="A5029" s="1" t="s">
        <v>147</v>
      </c>
      <c r="B5029" s="1"/>
      <c r="C5029" s="1"/>
      <c r="D5029" s="1" t="s">
        <v>149</v>
      </c>
      <c r="E5029" t="s">
        <v>136</v>
      </c>
    </row>
    <row r="5030" spans="1:5" x14ac:dyDescent="0.35">
      <c r="A5030" s="1" t="s">
        <v>147</v>
      </c>
      <c r="B5030" s="1" t="s">
        <v>169</v>
      </c>
      <c r="C5030" s="1" t="s">
        <v>145</v>
      </c>
      <c r="D5030" s="1" t="s">
        <v>146</v>
      </c>
      <c r="E5030">
        <v>1934</v>
      </c>
    </row>
    <row r="5031" spans="1:5" x14ac:dyDescent="0.35">
      <c r="A5031" s="1" t="s">
        <v>147</v>
      </c>
      <c r="B5031" s="1"/>
      <c r="C5031" s="1"/>
      <c r="D5031" s="1" t="s">
        <v>148</v>
      </c>
      <c r="E5031">
        <v>1934</v>
      </c>
    </row>
    <row r="5032" spans="1:5" x14ac:dyDescent="0.35">
      <c r="A5032" s="1" t="s">
        <v>147</v>
      </c>
      <c r="B5032" s="1"/>
      <c r="C5032" s="1"/>
      <c r="D5032" s="1" t="s">
        <v>149</v>
      </c>
      <c r="E5032" t="s">
        <v>136</v>
      </c>
    </row>
    <row r="5033" spans="1:5" x14ac:dyDescent="0.35">
      <c r="A5033" s="1" t="s">
        <v>147</v>
      </c>
      <c r="B5033" s="1"/>
      <c r="C5033" s="1" t="s">
        <v>150</v>
      </c>
      <c r="D5033" s="1" t="s">
        <v>146</v>
      </c>
      <c r="E5033" t="s">
        <v>136</v>
      </c>
    </row>
    <row r="5034" spans="1:5" x14ac:dyDescent="0.35">
      <c r="A5034" s="1" t="s">
        <v>147</v>
      </c>
      <c r="B5034" s="1"/>
      <c r="C5034" s="1"/>
      <c r="D5034" s="1" t="s">
        <v>148</v>
      </c>
      <c r="E5034" t="s">
        <v>136</v>
      </c>
    </row>
    <row r="5035" spans="1:5" x14ac:dyDescent="0.35">
      <c r="A5035" s="1" t="s">
        <v>147</v>
      </c>
      <c r="B5035" s="1"/>
      <c r="C5035" s="1"/>
      <c r="D5035" s="1" t="s">
        <v>149</v>
      </c>
      <c r="E5035" t="s">
        <v>136</v>
      </c>
    </row>
    <row r="5036" spans="1:5" x14ac:dyDescent="0.35">
      <c r="A5036" s="1" t="s">
        <v>147</v>
      </c>
      <c r="B5036" s="1" t="s">
        <v>170</v>
      </c>
      <c r="C5036" s="1" t="s">
        <v>145</v>
      </c>
      <c r="D5036" s="1" t="s">
        <v>146</v>
      </c>
      <c r="E5036" t="s">
        <v>136</v>
      </c>
    </row>
    <row r="5037" spans="1:5" x14ac:dyDescent="0.35">
      <c r="A5037" s="1" t="s">
        <v>147</v>
      </c>
      <c r="B5037" s="1"/>
      <c r="C5037" s="1"/>
      <c r="D5037" s="1" t="s">
        <v>148</v>
      </c>
      <c r="E5037" t="s">
        <v>136</v>
      </c>
    </row>
    <row r="5038" spans="1:5" x14ac:dyDescent="0.35">
      <c r="A5038" s="1" t="s">
        <v>147</v>
      </c>
      <c r="B5038" s="1"/>
      <c r="C5038" s="1"/>
      <c r="D5038" s="1" t="s">
        <v>149</v>
      </c>
      <c r="E5038" t="s">
        <v>136</v>
      </c>
    </row>
    <row r="5039" spans="1:5" x14ac:dyDescent="0.35">
      <c r="A5039" s="1" t="s">
        <v>147</v>
      </c>
      <c r="B5039" s="1"/>
      <c r="C5039" s="1" t="s">
        <v>150</v>
      </c>
      <c r="D5039" s="1" t="s">
        <v>146</v>
      </c>
      <c r="E5039" t="s">
        <v>136</v>
      </c>
    </row>
    <row r="5040" spans="1:5" x14ac:dyDescent="0.35">
      <c r="A5040" s="1" t="s">
        <v>147</v>
      </c>
      <c r="B5040" s="1"/>
      <c r="C5040" s="1"/>
      <c r="D5040" s="1" t="s">
        <v>148</v>
      </c>
      <c r="E5040" t="s">
        <v>136</v>
      </c>
    </row>
    <row r="5041" spans="1:5" x14ac:dyDescent="0.35">
      <c r="A5041" s="1" t="s">
        <v>147</v>
      </c>
      <c r="B5041" s="1"/>
      <c r="C5041" s="1"/>
      <c r="D5041" s="1" t="s">
        <v>149</v>
      </c>
      <c r="E5041" t="s">
        <v>136</v>
      </c>
    </row>
    <row r="5042" spans="1:5" x14ac:dyDescent="0.35">
      <c r="A5042" s="1" t="s">
        <v>116</v>
      </c>
      <c r="B5042" s="1" t="s">
        <v>144</v>
      </c>
      <c r="C5042" s="1" t="s">
        <v>145</v>
      </c>
      <c r="D5042" s="1" t="s">
        <v>146</v>
      </c>
      <c r="E5042">
        <v>133.54</v>
      </c>
    </row>
    <row r="5043" spans="1:5" x14ac:dyDescent="0.35">
      <c r="A5043" s="1" t="s">
        <v>147</v>
      </c>
      <c r="B5043" s="1"/>
      <c r="C5043" s="1"/>
      <c r="D5043" s="1" t="s">
        <v>148</v>
      </c>
      <c r="E5043">
        <v>117.38</v>
      </c>
    </row>
    <row r="5044" spans="1:5" x14ac:dyDescent="0.35">
      <c r="A5044" s="1" t="s">
        <v>147</v>
      </c>
      <c r="B5044" s="1"/>
      <c r="C5044" s="1"/>
      <c r="D5044" s="1" t="s">
        <v>149</v>
      </c>
      <c r="E5044">
        <v>16.170000000000002</v>
      </c>
    </row>
    <row r="5045" spans="1:5" x14ac:dyDescent="0.35">
      <c r="A5045" s="1" t="s">
        <v>147</v>
      </c>
      <c r="B5045" s="1"/>
      <c r="C5045" s="1" t="s">
        <v>150</v>
      </c>
      <c r="D5045" s="1" t="s">
        <v>146</v>
      </c>
      <c r="E5045" t="s">
        <v>136</v>
      </c>
    </row>
    <row r="5046" spans="1:5" x14ac:dyDescent="0.35">
      <c r="A5046" s="1" t="s">
        <v>147</v>
      </c>
      <c r="B5046" s="1"/>
      <c r="C5046" s="1"/>
      <c r="D5046" s="1" t="s">
        <v>148</v>
      </c>
      <c r="E5046" t="s">
        <v>136</v>
      </c>
    </row>
    <row r="5047" spans="1:5" x14ac:dyDescent="0.35">
      <c r="A5047" s="1" t="s">
        <v>147</v>
      </c>
      <c r="B5047" s="1"/>
      <c r="C5047" s="1"/>
      <c r="D5047" s="1" t="s">
        <v>149</v>
      </c>
      <c r="E5047" t="s">
        <v>136</v>
      </c>
    </row>
    <row r="5048" spans="1:5" x14ac:dyDescent="0.35">
      <c r="A5048" s="1" t="s">
        <v>147</v>
      </c>
      <c r="B5048" s="1" t="s">
        <v>151</v>
      </c>
      <c r="C5048" s="1" t="s">
        <v>145</v>
      </c>
      <c r="D5048" s="1" t="s">
        <v>146</v>
      </c>
      <c r="E5048">
        <v>66.94</v>
      </c>
    </row>
    <row r="5049" spans="1:5" x14ac:dyDescent="0.35">
      <c r="A5049" s="1" t="s">
        <v>147</v>
      </c>
      <c r="B5049" s="1"/>
      <c r="C5049" s="1"/>
      <c r="D5049" s="1" t="s">
        <v>148</v>
      </c>
      <c r="E5049">
        <v>50.78</v>
      </c>
    </row>
    <row r="5050" spans="1:5" x14ac:dyDescent="0.35">
      <c r="A5050" s="1" t="s">
        <v>147</v>
      </c>
      <c r="B5050" s="1"/>
      <c r="C5050" s="1"/>
      <c r="D5050" s="1" t="s">
        <v>149</v>
      </c>
      <c r="E5050">
        <v>16.170000000000002</v>
      </c>
    </row>
    <row r="5051" spans="1:5" x14ac:dyDescent="0.35">
      <c r="A5051" s="1" t="s">
        <v>147</v>
      </c>
      <c r="B5051" s="1"/>
      <c r="C5051" s="1" t="s">
        <v>150</v>
      </c>
      <c r="D5051" s="1" t="s">
        <v>146</v>
      </c>
      <c r="E5051" t="s">
        <v>136</v>
      </c>
    </row>
    <row r="5052" spans="1:5" x14ac:dyDescent="0.35">
      <c r="A5052" s="1" t="s">
        <v>147</v>
      </c>
      <c r="B5052" s="1"/>
      <c r="C5052" s="1"/>
      <c r="D5052" s="1" t="s">
        <v>148</v>
      </c>
      <c r="E5052" t="s">
        <v>136</v>
      </c>
    </row>
    <row r="5053" spans="1:5" x14ac:dyDescent="0.35">
      <c r="A5053" s="1" t="s">
        <v>147</v>
      </c>
      <c r="B5053" s="1"/>
      <c r="C5053" s="1"/>
      <c r="D5053" s="1" t="s">
        <v>149</v>
      </c>
      <c r="E5053" t="s">
        <v>136</v>
      </c>
    </row>
    <row r="5054" spans="1:5" x14ac:dyDescent="0.35">
      <c r="A5054" s="1" t="s">
        <v>147</v>
      </c>
      <c r="B5054" s="1" t="s">
        <v>152</v>
      </c>
      <c r="C5054" s="1" t="s">
        <v>145</v>
      </c>
      <c r="D5054" s="1" t="s">
        <v>146</v>
      </c>
      <c r="E5054" t="s">
        <v>136</v>
      </c>
    </row>
    <row r="5055" spans="1:5" x14ac:dyDescent="0.35">
      <c r="A5055" s="1" t="s">
        <v>147</v>
      </c>
      <c r="B5055" s="1"/>
      <c r="C5055" s="1"/>
      <c r="D5055" s="1" t="s">
        <v>148</v>
      </c>
      <c r="E5055" t="s">
        <v>136</v>
      </c>
    </row>
    <row r="5056" spans="1:5" x14ac:dyDescent="0.35">
      <c r="A5056" s="1" t="s">
        <v>147</v>
      </c>
      <c r="B5056" s="1"/>
      <c r="C5056" s="1"/>
      <c r="D5056" s="1" t="s">
        <v>149</v>
      </c>
      <c r="E5056" t="s">
        <v>136</v>
      </c>
    </row>
    <row r="5057" spans="1:5" x14ac:dyDescent="0.35">
      <c r="A5057" s="1" t="s">
        <v>147</v>
      </c>
      <c r="B5057" s="1"/>
      <c r="C5057" s="1" t="s">
        <v>150</v>
      </c>
      <c r="D5057" s="1" t="s">
        <v>146</v>
      </c>
      <c r="E5057" t="s">
        <v>136</v>
      </c>
    </row>
    <row r="5058" spans="1:5" x14ac:dyDescent="0.35">
      <c r="A5058" s="1" t="s">
        <v>147</v>
      </c>
      <c r="B5058" s="1"/>
      <c r="C5058" s="1"/>
      <c r="D5058" s="1" t="s">
        <v>148</v>
      </c>
      <c r="E5058" t="s">
        <v>136</v>
      </c>
    </row>
    <row r="5059" spans="1:5" x14ac:dyDescent="0.35">
      <c r="A5059" s="1" t="s">
        <v>147</v>
      </c>
      <c r="B5059" s="1"/>
      <c r="C5059" s="1"/>
      <c r="D5059" s="1" t="s">
        <v>149</v>
      </c>
      <c r="E5059" t="s">
        <v>136</v>
      </c>
    </row>
    <row r="5060" spans="1:5" x14ac:dyDescent="0.35">
      <c r="A5060" s="1" t="s">
        <v>147</v>
      </c>
      <c r="B5060" s="1" t="s">
        <v>153</v>
      </c>
      <c r="C5060" s="1" t="s">
        <v>145</v>
      </c>
      <c r="D5060" s="1" t="s">
        <v>146</v>
      </c>
      <c r="E5060" t="s">
        <v>136</v>
      </c>
    </row>
    <row r="5061" spans="1:5" x14ac:dyDescent="0.35">
      <c r="A5061" s="1" t="s">
        <v>147</v>
      </c>
      <c r="B5061" s="1"/>
      <c r="C5061" s="1"/>
      <c r="D5061" s="1" t="s">
        <v>148</v>
      </c>
      <c r="E5061" t="s">
        <v>136</v>
      </c>
    </row>
    <row r="5062" spans="1:5" x14ac:dyDescent="0.35">
      <c r="A5062" s="1" t="s">
        <v>147</v>
      </c>
      <c r="B5062" s="1"/>
      <c r="C5062" s="1"/>
      <c r="D5062" s="1" t="s">
        <v>149</v>
      </c>
      <c r="E5062" t="s">
        <v>136</v>
      </c>
    </row>
    <row r="5063" spans="1:5" x14ac:dyDescent="0.35">
      <c r="A5063" s="1" t="s">
        <v>147</v>
      </c>
      <c r="B5063" s="1"/>
      <c r="C5063" s="1" t="s">
        <v>150</v>
      </c>
      <c r="D5063" s="1" t="s">
        <v>146</v>
      </c>
      <c r="E5063" t="s">
        <v>136</v>
      </c>
    </row>
    <row r="5064" spans="1:5" x14ac:dyDescent="0.35">
      <c r="A5064" s="1" t="s">
        <v>147</v>
      </c>
      <c r="B5064" s="1"/>
      <c r="C5064" s="1"/>
      <c r="D5064" s="1" t="s">
        <v>148</v>
      </c>
      <c r="E5064" t="s">
        <v>136</v>
      </c>
    </row>
    <row r="5065" spans="1:5" x14ac:dyDescent="0.35">
      <c r="A5065" s="1" t="s">
        <v>147</v>
      </c>
      <c r="B5065" s="1"/>
      <c r="C5065" s="1"/>
      <c r="D5065" s="1" t="s">
        <v>149</v>
      </c>
      <c r="E5065" t="s">
        <v>136</v>
      </c>
    </row>
    <row r="5066" spans="1:5" x14ac:dyDescent="0.35">
      <c r="A5066" s="1" t="s">
        <v>147</v>
      </c>
      <c r="B5066" s="1" t="s">
        <v>154</v>
      </c>
      <c r="C5066" s="1" t="s">
        <v>145</v>
      </c>
      <c r="D5066" s="1" t="s">
        <v>146</v>
      </c>
      <c r="E5066" t="s">
        <v>136</v>
      </c>
    </row>
    <row r="5067" spans="1:5" x14ac:dyDescent="0.35">
      <c r="A5067" s="1" t="s">
        <v>147</v>
      </c>
      <c r="B5067" s="1"/>
      <c r="C5067" s="1"/>
      <c r="D5067" s="1" t="s">
        <v>148</v>
      </c>
      <c r="E5067" t="s">
        <v>136</v>
      </c>
    </row>
    <row r="5068" spans="1:5" x14ac:dyDescent="0.35">
      <c r="A5068" s="1" t="s">
        <v>147</v>
      </c>
      <c r="B5068" s="1"/>
      <c r="C5068" s="1"/>
      <c r="D5068" s="1" t="s">
        <v>149</v>
      </c>
      <c r="E5068" t="s">
        <v>136</v>
      </c>
    </row>
    <row r="5069" spans="1:5" x14ac:dyDescent="0.35">
      <c r="A5069" s="1" t="s">
        <v>147</v>
      </c>
      <c r="B5069" s="1"/>
      <c r="C5069" s="1" t="s">
        <v>150</v>
      </c>
      <c r="D5069" s="1" t="s">
        <v>146</v>
      </c>
      <c r="E5069" t="s">
        <v>136</v>
      </c>
    </row>
    <row r="5070" spans="1:5" x14ac:dyDescent="0.35">
      <c r="A5070" s="1" t="s">
        <v>147</v>
      </c>
      <c r="B5070" s="1"/>
      <c r="C5070" s="1"/>
      <c r="D5070" s="1" t="s">
        <v>148</v>
      </c>
      <c r="E5070" t="s">
        <v>136</v>
      </c>
    </row>
    <row r="5071" spans="1:5" x14ac:dyDescent="0.35">
      <c r="A5071" s="1" t="s">
        <v>147</v>
      </c>
      <c r="B5071" s="1"/>
      <c r="C5071" s="1"/>
      <c r="D5071" s="1" t="s">
        <v>149</v>
      </c>
      <c r="E5071" t="s">
        <v>136</v>
      </c>
    </row>
    <row r="5072" spans="1:5" x14ac:dyDescent="0.35">
      <c r="A5072" s="1" t="s">
        <v>147</v>
      </c>
      <c r="B5072" s="1" t="s">
        <v>155</v>
      </c>
      <c r="C5072" s="1" t="s">
        <v>145</v>
      </c>
      <c r="D5072" s="1" t="s">
        <v>146</v>
      </c>
      <c r="E5072">
        <v>66.599999999999994</v>
      </c>
    </row>
    <row r="5073" spans="1:5" x14ac:dyDescent="0.35">
      <c r="A5073" s="1" t="s">
        <v>147</v>
      </c>
      <c r="B5073" s="1"/>
      <c r="C5073" s="1"/>
      <c r="D5073" s="1" t="s">
        <v>148</v>
      </c>
      <c r="E5073">
        <v>66.599999999999994</v>
      </c>
    </row>
    <row r="5074" spans="1:5" x14ac:dyDescent="0.35">
      <c r="A5074" s="1" t="s">
        <v>147</v>
      </c>
      <c r="B5074" s="1"/>
      <c r="C5074" s="1"/>
      <c r="D5074" s="1" t="s">
        <v>149</v>
      </c>
      <c r="E5074" t="s">
        <v>136</v>
      </c>
    </row>
    <row r="5075" spans="1:5" x14ac:dyDescent="0.35">
      <c r="A5075" s="1" t="s">
        <v>147</v>
      </c>
      <c r="B5075" s="1"/>
      <c r="C5075" s="1" t="s">
        <v>150</v>
      </c>
      <c r="D5075" s="1" t="s">
        <v>146</v>
      </c>
      <c r="E5075" t="s">
        <v>136</v>
      </c>
    </row>
    <row r="5076" spans="1:5" x14ac:dyDescent="0.35">
      <c r="A5076" s="1" t="s">
        <v>147</v>
      </c>
      <c r="B5076" s="1"/>
      <c r="C5076" s="1"/>
      <c r="D5076" s="1" t="s">
        <v>148</v>
      </c>
      <c r="E5076" t="s">
        <v>136</v>
      </c>
    </row>
    <row r="5077" spans="1:5" x14ac:dyDescent="0.35">
      <c r="A5077" s="1" t="s">
        <v>147</v>
      </c>
      <c r="B5077" s="1"/>
      <c r="C5077" s="1"/>
      <c r="D5077" s="1" t="s">
        <v>149</v>
      </c>
      <c r="E5077" t="s">
        <v>136</v>
      </c>
    </row>
    <row r="5078" spans="1:5" x14ac:dyDescent="0.35">
      <c r="A5078" s="1" t="s">
        <v>147</v>
      </c>
      <c r="B5078" s="1" t="s">
        <v>156</v>
      </c>
      <c r="C5078" s="1" t="s">
        <v>145</v>
      </c>
      <c r="D5078" s="1" t="s">
        <v>146</v>
      </c>
      <c r="E5078" t="s">
        <v>136</v>
      </c>
    </row>
    <row r="5079" spans="1:5" x14ac:dyDescent="0.35">
      <c r="A5079" s="1" t="s">
        <v>147</v>
      </c>
      <c r="B5079" s="1"/>
      <c r="C5079" s="1"/>
      <c r="D5079" s="1" t="s">
        <v>148</v>
      </c>
      <c r="E5079" t="s">
        <v>136</v>
      </c>
    </row>
    <row r="5080" spans="1:5" x14ac:dyDescent="0.35">
      <c r="A5080" s="1" t="s">
        <v>147</v>
      </c>
      <c r="B5080" s="1"/>
      <c r="C5080" s="1"/>
      <c r="D5080" s="1" t="s">
        <v>149</v>
      </c>
      <c r="E5080" t="s">
        <v>136</v>
      </c>
    </row>
    <row r="5081" spans="1:5" x14ac:dyDescent="0.35">
      <c r="A5081" s="1" t="s">
        <v>147</v>
      </c>
      <c r="B5081" s="1"/>
      <c r="C5081" s="1" t="s">
        <v>150</v>
      </c>
      <c r="D5081" s="1" t="s">
        <v>146</v>
      </c>
      <c r="E5081" t="s">
        <v>136</v>
      </c>
    </row>
    <row r="5082" spans="1:5" x14ac:dyDescent="0.35">
      <c r="A5082" s="1" t="s">
        <v>147</v>
      </c>
      <c r="B5082" s="1"/>
      <c r="C5082" s="1"/>
      <c r="D5082" s="1" t="s">
        <v>148</v>
      </c>
      <c r="E5082" t="s">
        <v>136</v>
      </c>
    </row>
    <row r="5083" spans="1:5" x14ac:dyDescent="0.35">
      <c r="A5083" s="1" t="s">
        <v>147</v>
      </c>
      <c r="B5083" s="1"/>
      <c r="C5083" s="1"/>
      <c r="D5083" s="1" t="s">
        <v>149</v>
      </c>
      <c r="E5083" t="s">
        <v>136</v>
      </c>
    </row>
    <row r="5084" spans="1:5" x14ac:dyDescent="0.35">
      <c r="A5084" s="1" t="s">
        <v>147</v>
      </c>
      <c r="B5084" s="1" t="s">
        <v>157</v>
      </c>
      <c r="C5084" s="1" t="s">
        <v>145</v>
      </c>
      <c r="D5084" s="1" t="s">
        <v>146</v>
      </c>
      <c r="E5084" t="s">
        <v>136</v>
      </c>
    </row>
    <row r="5085" spans="1:5" x14ac:dyDescent="0.35">
      <c r="A5085" s="1" t="s">
        <v>147</v>
      </c>
      <c r="B5085" s="1"/>
      <c r="C5085" s="1"/>
      <c r="D5085" s="1" t="s">
        <v>148</v>
      </c>
      <c r="E5085" t="s">
        <v>136</v>
      </c>
    </row>
    <row r="5086" spans="1:5" x14ac:dyDescent="0.35">
      <c r="A5086" s="1" t="s">
        <v>147</v>
      </c>
      <c r="B5086" s="1"/>
      <c r="C5086" s="1"/>
      <c r="D5086" s="1" t="s">
        <v>149</v>
      </c>
      <c r="E5086" t="s">
        <v>136</v>
      </c>
    </row>
    <row r="5087" spans="1:5" x14ac:dyDescent="0.35">
      <c r="A5087" s="1" t="s">
        <v>147</v>
      </c>
      <c r="B5087" s="1"/>
      <c r="C5087" s="1" t="s">
        <v>150</v>
      </c>
      <c r="D5087" s="1" t="s">
        <v>146</v>
      </c>
      <c r="E5087" t="s">
        <v>136</v>
      </c>
    </row>
    <row r="5088" spans="1:5" x14ac:dyDescent="0.35">
      <c r="A5088" s="1" t="s">
        <v>147</v>
      </c>
      <c r="B5088" s="1"/>
      <c r="C5088" s="1"/>
      <c r="D5088" s="1" t="s">
        <v>148</v>
      </c>
      <c r="E5088" t="s">
        <v>136</v>
      </c>
    </row>
    <row r="5089" spans="1:5" x14ac:dyDescent="0.35">
      <c r="A5089" s="1" t="s">
        <v>147</v>
      </c>
      <c r="B5089" s="1"/>
      <c r="C5089" s="1"/>
      <c r="D5089" s="1" t="s">
        <v>149</v>
      </c>
      <c r="E5089" t="s">
        <v>136</v>
      </c>
    </row>
    <row r="5090" spans="1:5" x14ac:dyDescent="0.35">
      <c r="A5090" s="1" t="s">
        <v>147</v>
      </c>
      <c r="B5090" s="1" t="s">
        <v>158</v>
      </c>
      <c r="C5090" s="1" t="s">
        <v>145</v>
      </c>
      <c r="D5090" s="1" t="s">
        <v>146</v>
      </c>
      <c r="E5090" t="s">
        <v>136</v>
      </c>
    </row>
    <row r="5091" spans="1:5" x14ac:dyDescent="0.35">
      <c r="A5091" s="1" t="s">
        <v>147</v>
      </c>
      <c r="B5091" s="1"/>
      <c r="C5091" s="1"/>
      <c r="D5091" s="1" t="s">
        <v>148</v>
      </c>
      <c r="E5091" t="s">
        <v>136</v>
      </c>
    </row>
    <row r="5092" spans="1:5" x14ac:dyDescent="0.35">
      <c r="A5092" s="1" t="s">
        <v>147</v>
      </c>
      <c r="B5092" s="1"/>
      <c r="C5092" s="1"/>
      <c r="D5092" s="1" t="s">
        <v>149</v>
      </c>
      <c r="E5092" t="s">
        <v>136</v>
      </c>
    </row>
    <row r="5093" spans="1:5" x14ac:dyDescent="0.35">
      <c r="A5093" s="1" t="s">
        <v>147</v>
      </c>
      <c r="B5093" s="1"/>
      <c r="C5093" s="1" t="s">
        <v>150</v>
      </c>
      <c r="D5093" s="1" t="s">
        <v>146</v>
      </c>
      <c r="E5093" t="s">
        <v>136</v>
      </c>
    </row>
    <row r="5094" spans="1:5" x14ac:dyDescent="0.35">
      <c r="A5094" s="1" t="s">
        <v>147</v>
      </c>
      <c r="B5094" s="1"/>
      <c r="C5094" s="1"/>
      <c r="D5094" s="1" t="s">
        <v>148</v>
      </c>
      <c r="E5094" t="s">
        <v>136</v>
      </c>
    </row>
    <row r="5095" spans="1:5" x14ac:dyDescent="0.35">
      <c r="A5095" s="1" t="s">
        <v>147</v>
      </c>
      <c r="B5095" s="1"/>
      <c r="C5095" s="1"/>
      <c r="D5095" s="1" t="s">
        <v>149</v>
      </c>
      <c r="E5095" t="s">
        <v>136</v>
      </c>
    </row>
    <row r="5096" spans="1:5" x14ac:dyDescent="0.35">
      <c r="A5096" s="1" t="s">
        <v>147</v>
      </c>
      <c r="B5096" s="1" t="s">
        <v>159</v>
      </c>
      <c r="C5096" s="1" t="s">
        <v>145</v>
      </c>
      <c r="D5096" s="1" t="s">
        <v>146</v>
      </c>
      <c r="E5096" t="s">
        <v>136</v>
      </c>
    </row>
    <row r="5097" spans="1:5" x14ac:dyDescent="0.35">
      <c r="A5097" s="1" t="s">
        <v>147</v>
      </c>
      <c r="B5097" s="1"/>
      <c r="C5097" s="1"/>
      <c r="D5097" s="1" t="s">
        <v>148</v>
      </c>
      <c r="E5097" t="s">
        <v>136</v>
      </c>
    </row>
    <row r="5098" spans="1:5" x14ac:dyDescent="0.35">
      <c r="A5098" s="1" t="s">
        <v>147</v>
      </c>
      <c r="B5098" s="1"/>
      <c r="C5098" s="1"/>
      <c r="D5098" s="1" t="s">
        <v>149</v>
      </c>
      <c r="E5098" t="s">
        <v>136</v>
      </c>
    </row>
    <row r="5099" spans="1:5" x14ac:dyDescent="0.35">
      <c r="A5099" s="1" t="s">
        <v>147</v>
      </c>
      <c r="B5099" s="1"/>
      <c r="C5099" s="1" t="s">
        <v>150</v>
      </c>
      <c r="D5099" s="1" t="s">
        <v>146</v>
      </c>
      <c r="E5099" t="s">
        <v>136</v>
      </c>
    </row>
    <row r="5100" spans="1:5" x14ac:dyDescent="0.35">
      <c r="A5100" s="1" t="s">
        <v>147</v>
      </c>
      <c r="B5100" s="1"/>
      <c r="C5100" s="1"/>
      <c r="D5100" s="1" t="s">
        <v>148</v>
      </c>
      <c r="E5100" t="s">
        <v>136</v>
      </c>
    </row>
    <row r="5101" spans="1:5" x14ac:dyDescent="0.35">
      <c r="A5101" s="1" t="s">
        <v>147</v>
      </c>
      <c r="B5101" s="1"/>
      <c r="C5101" s="1"/>
      <c r="D5101" s="1" t="s">
        <v>149</v>
      </c>
      <c r="E5101" t="s">
        <v>136</v>
      </c>
    </row>
    <row r="5102" spans="1:5" x14ac:dyDescent="0.35">
      <c r="A5102" s="1" t="s">
        <v>147</v>
      </c>
      <c r="B5102" s="1" t="s">
        <v>160</v>
      </c>
      <c r="C5102" s="1" t="s">
        <v>145</v>
      </c>
      <c r="D5102" s="1" t="s">
        <v>146</v>
      </c>
      <c r="E5102" t="s">
        <v>136</v>
      </c>
    </row>
    <row r="5103" spans="1:5" x14ac:dyDescent="0.35">
      <c r="A5103" s="1" t="s">
        <v>147</v>
      </c>
      <c r="B5103" s="1"/>
      <c r="C5103" s="1"/>
      <c r="D5103" s="1" t="s">
        <v>148</v>
      </c>
      <c r="E5103" t="s">
        <v>136</v>
      </c>
    </row>
    <row r="5104" spans="1:5" x14ac:dyDescent="0.35">
      <c r="A5104" s="1" t="s">
        <v>147</v>
      </c>
      <c r="B5104" s="1"/>
      <c r="C5104" s="1"/>
      <c r="D5104" s="1" t="s">
        <v>149</v>
      </c>
      <c r="E5104" t="s">
        <v>136</v>
      </c>
    </row>
    <row r="5105" spans="1:5" x14ac:dyDescent="0.35">
      <c r="A5105" s="1" t="s">
        <v>147</v>
      </c>
      <c r="B5105" s="1"/>
      <c r="C5105" s="1" t="s">
        <v>150</v>
      </c>
      <c r="D5105" s="1" t="s">
        <v>146</v>
      </c>
      <c r="E5105" t="s">
        <v>136</v>
      </c>
    </row>
    <row r="5106" spans="1:5" x14ac:dyDescent="0.35">
      <c r="A5106" s="1" t="s">
        <v>147</v>
      </c>
      <c r="B5106" s="1"/>
      <c r="C5106" s="1"/>
      <c r="D5106" s="1" t="s">
        <v>148</v>
      </c>
      <c r="E5106" t="s">
        <v>136</v>
      </c>
    </row>
    <row r="5107" spans="1:5" x14ac:dyDescent="0.35">
      <c r="A5107" s="1" t="s">
        <v>147</v>
      </c>
      <c r="B5107" s="1"/>
      <c r="C5107" s="1"/>
      <c r="D5107" s="1" t="s">
        <v>149</v>
      </c>
      <c r="E5107" t="s">
        <v>136</v>
      </c>
    </row>
    <row r="5108" spans="1:5" x14ac:dyDescent="0.35">
      <c r="A5108" s="1" t="s">
        <v>147</v>
      </c>
      <c r="B5108" s="1" t="s">
        <v>161</v>
      </c>
      <c r="C5108" s="1" t="s">
        <v>145</v>
      </c>
      <c r="D5108" s="1" t="s">
        <v>146</v>
      </c>
      <c r="E5108" t="s">
        <v>136</v>
      </c>
    </row>
    <row r="5109" spans="1:5" x14ac:dyDescent="0.35">
      <c r="A5109" s="1" t="s">
        <v>147</v>
      </c>
      <c r="B5109" s="1"/>
      <c r="C5109" s="1"/>
      <c r="D5109" s="1" t="s">
        <v>148</v>
      </c>
      <c r="E5109" t="s">
        <v>136</v>
      </c>
    </row>
    <row r="5110" spans="1:5" x14ac:dyDescent="0.35">
      <c r="A5110" s="1" t="s">
        <v>147</v>
      </c>
      <c r="B5110" s="1"/>
      <c r="C5110" s="1"/>
      <c r="D5110" s="1" t="s">
        <v>149</v>
      </c>
      <c r="E5110" t="s">
        <v>136</v>
      </c>
    </row>
    <row r="5111" spans="1:5" x14ac:dyDescent="0.35">
      <c r="A5111" s="1" t="s">
        <v>147</v>
      </c>
      <c r="B5111" s="1"/>
      <c r="C5111" s="1" t="s">
        <v>150</v>
      </c>
      <c r="D5111" s="1" t="s">
        <v>146</v>
      </c>
      <c r="E5111" t="s">
        <v>136</v>
      </c>
    </row>
    <row r="5112" spans="1:5" x14ac:dyDescent="0.35">
      <c r="A5112" s="1" t="s">
        <v>147</v>
      </c>
      <c r="B5112" s="1"/>
      <c r="C5112" s="1"/>
      <c r="D5112" s="1" t="s">
        <v>148</v>
      </c>
      <c r="E5112" t="s">
        <v>136</v>
      </c>
    </row>
    <row r="5113" spans="1:5" x14ac:dyDescent="0.35">
      <c r="A5113" s="1" t="s">
        <v>147</v>
      </c>
      <c r="B5113" s="1"/>
      <c r="C5113" s="1"/>
      <c r="D5113" s="1" t="s">
        <v>149</v>
      </c>
      <c r="E5113" t="s">
        <v>136</v>
      </c>
    </row>
    <row r="5114" spans="1:5" x14ac:dyDescent="0.35">
      <c r="A5114" s="1" t="s">
        <v>147</v>
      </c>
      <c r="B5114" s="1" t="s">
        <v>162</v>
      </c>
      <c r="C5114" s="1" t="s">
        <v>145</v>
      </c>
      <c r="D5114" s="1" t="s">
        <v>146</v>
      </c>
      <c r="E5114" t="s">
        <v>136</v>
      </c>
    </row>
    <row r="5115" spans="1:5" x14ac:dyDescent="0.35">
      <c r="A5115" s="1" t="s">
        <v>147</v>
      </c>
      <c r="B5115" s="1"/>
      <c r="C5115" s="1"/>
      <c r="D5115" s="1" t="s">
        <v>148</v>
      </c>
      <c r="E5115" t="s">
        <v>136</v>
      </c>
    </row>
    <row r="5116" spans="1:5" x14ac:dyDescent="0.35">
      <c r="A5116" s="1" t="s">
        <v>147</v>
      </c>
      <c r="B5116" s="1"/>
      <c r="C5116" s="1"/>
      <c r="D5116" s="1" t="s">
        <v>149</v>
      </c>
      <c r="E5116" t="s">
        <v>136</v>
      </c>
    </row>
    <row r="5117" spans="1:5" x14ac:dyDescent="0.35">
      <c r="A5117" s="1" t="s">
        <v>147</v>
      </c>
      <c r="B5117" s="1"/>
      <c r="C5117" s="1" t="s">
        <v>150</v>
      </c>
      <c r="D5117" s="1" t="s">
        <v>146</v>
      </c>
      <c r="E5117" t="s">
        <v>136</v>
      </c>
    </row>
    <row r="5118" spans="1:5" x14ac:dyDescent="0.35">
      <c r="A5118" s="1" t="s">
        <v>147</v>
      </c>
      <c r="B5118" s="1"/>
      <c r="C5118" s="1"/>
      <c r="D5118" s="1" t="s">
        <v>148</v>
      </c>
      <c r="E5118" t="s">
        <v>136</v>
      </c>
    </row>
    <row r="5119" spans="1:5" x14ac:dyDescent="0.35">
      <c r="A5119" s="1" t="s">
        <v>147</v>
      </c>
      <c r="B5119" s="1"/>
      <c r="C5119" s="1"/>
      <c r="D5119" s="1" t="s">
        <v>149</v>
      </c>
      <c r="E5119" t="s">
        <v>136</v>
      </c>
    </row>
    <row r="5120" spans="1:5" x14ac:dyDescent="0.35">
      <c r="A5120" s="1" t="s">
        <v>147</v>
      </c>
      <c r="B5120" s="1" t="s">
        <v>163</v>
      </c>
      <c r="C5120" s="1" t="s">
        <v>145</v>
      </c>
      <c r="D5120" s="1" t="s">
        <v>146</v>
      </c>
      <c r="E5120">
        <v>219.33</v>
      </c>
    </row>
    <row r="5121" spans="1:5" x14ac:dyDescent="0.35">
      <c r="A5121" s="1" t="s">
        <v>147</v>
      </c>
      <c r="B5121" s="1"/>
      <c r="C5121" s="1"/>
      <c r="D5121" s="1" t="s">
        <v>148</v>
      </c>
      <c r="E5121">
        <v>219.33</v>
      </c>
    </row>
    <row r="5122" spans="1:5" x14ac:dyDescent="0.35">
      <c r="A5122" s="1" t="s">
        <v>147</v>
      </c>
      <c r="B5122" s="1"/>
      <c r="C5122" s="1"/>
      <c r="D5122" s="1" t="s">
        <v>149</v>
      </c>
      <c r="E5122" t="s">
        <v>136</v>
      </c>
    </row>
    <row r="5123" spans="1:5" x14ac:dyDescent="0.35">
      <c r="A5123" s="1" t="s">
        <v>147</v>
      </c>
      <c r="B5123" s="1"/>
      <c r="C5123" s="1" t="s">
        <v>150</v>
      </c>
      <c r="D5123" s="1" t="s">
        <v>146</v>
      </c>
      <c r="E5123" t="s">
        <v>136</v>
      </c>
    </row>
    <row r="5124" spans="1:5" x14ac:dyDescent="0.35">
      <c r="A5124" s="1" t="s">
        <v>147</v>
      </c>
      <c r="B5124" s="1"/>
      <c r="C5124" s="1"/>
      <c r="D5124" s="1" t="s">
        <v>148</v>
      </c>
      <c r="E5124" t="s">
        <v>136</v>
      </c>
    </row>
    <row r="5125" spans="1:5" x14ac:dyDescent="0.35">
      <c r="A5125" s="1" t="s">
        <v>147</v>
      </c>
      <c r="B5125" s="1"/>
      <c r="C5125" s="1"/>
      <c r="D5125" s="1" t="s">
        <v>149</v>
      </c>
      <c r="E5125" t="s">
        <v>136</v>
      </c>
    </row>
    <row r="5126" spans="1:5" x14ac:dyDescent="0.35">
      <c r="A5126" s="1" t="s">
        <v>147</v>
      </c>
      <c r="B5126" s="1" t="s">
        <v>164</v>
      </c>
      <c r="C5126" s="1" t="s">
        <v>145</v>
      </c>
      <c r="D5126" s="1" t="s">
        <v>146</v>
      </c>
      <c r="E5126" t="s">
        <v>136</v>
      </c>
    </row>
    <row r="5127" spans="1:5" x14ac:dyDescent="0.35">
      <c r="A5127" s="1" t="s">
        <v>147</v>
      </c>
      <c r="B5127" s="1"/>
      <c r="C5127" s="1"/>
      <c r="D5127" s="1" t="s">
        <v>148</v>
      </c>
      <c r="E5127" t="s">
        <v>136</v>
      </c>
    </row>
    <row r="5128" spans="1:5" x14ac:dyDescent="0.35">
      <c r="A5128" s="1" t="s">
        <v>147</v>
      </c>
      <c r="B5128" s="1"/>
      <c r="C5128" s="1"/>
      <c r="D5128" s="1" t="s">
        <v>149</v>
      </c>
      <c r="E5128" t="s">
        <v>136</v>
      </c>
    </row>
    <row r="5129" spans="1:5" x14ac:dyDescent="0.35">
      <c r="A5129" s="1" t="s">
        <v>147</v>
      </c>
      <c r="B5129" s="1"/>
      <c r="C5129" s="1" t="s">
        <v>150</v>
      </c>
      <c r="D5129" s="1" t="s">
        <v>146</v>
      </c>
      <c r="E5129" t="s">
        <v>136</v>
      </c>
    </row>
    <row r="5130" spans="1:5" x14ac:dyDescent="0.35">
      <c r="A5130" s="1" t="s">
        <v>147</v>
      </c>
      <c r="B5130" s="1"/>
      <c r="C5130" s="1"/>
      <c r="D5130" s="1" t="s">
        <v>148</v>
      </c>
      <c r="E5130" t="s">
        <v>136</v>
      </c>
    </row>
    <row r="5131" spans="1:5" x14ac:dyDescent="0.35">
      <c r="A5131" s="1" t="s">
        <v>147</v>
      </c>
      <c r="B5131" s="1"/>
      <c r="C5131" s="1"/>
      <c r="D5131" s="1" t="s">
        <v>149</v>
      </c>
      <c r="E5131" t="s">
        <v>136</v>
      </c>
    </row>
    <row r="5132" spans="1:5" x14ac:dyDescent="0.35">
      <c r="A5132" s="1" t="s">
        <v>147</v>
      </c>
      <c r="B5132" s="1" t="s">
        <v>165</v>
      </c>
      <c r="C5132" s="1" t="s">
        <v>145</v>
      </c>
      <c r="D5132" s="1" t="s">
        <v>146</v>
      </c>
      <c r="E5132" t="s">
        <v>136</v>
      </c>
    </row>
    <row r="5133" spans="1:5" x14ac:dyDescent="0.35">
      <c r="A5133" s="1" t="s">
        <v>147</v>
      </c>
      <c r="B5133" s="1"/>
      <c r="C5133" s="1"/>
      <c r="D5133" s="1" t="s">
        <v>148</v>
      </c>
      <c r="E5133" t="s">
        <v>136</v>
      </c>
    </row>
    <row r="5134" spans="1:5" x14ac:dyDescent="0.35">
      <c r="A5134" s="1" t="s">
        <v>147</v>
      </c>
      <c r="B5134" s="1"/>
      <c r="C5134" s="1"/>
      <c r="D5134" s="1" t="s">
        <v>149</v>
      </c>
      <c r="E5134" t="s">
        <v>136</v>
      </c>
    </row>
    <row r="5135" spans="1:5" x14ac:dyDescent="0.35">
      <c r="A5135" s="1" t="s">
        <v>147</v>
      </c>
      <c r="B5135" s="1"/>
      <c r="C5135" s="1" t="s">
        <v>150</v>
      </c>
      <c r="D5135" s="1" t="s">
        <v>146</v>
      </c>
      <c r="E5135" t="s">
        <v>136</v>
      </c>
    </row>
    <row r="5136" spans="1:5" x14ac:dyDescent="0.35">
      <c r="A5136" s="1" t="s">
        <v>147</v>
      </c>
      <c r="B5136" s="1"/>
      <c r="C5136" s="1"/>
      <c r="D5136" s="1" t="s">
        <v>148</v>
      </c>
      <c r="E5136" t="s">
        <v>136</v>
      </c>
    </row>
    <row r="5137" spans="1:5" x14ac:dyDescent="0.35">
      <c r="A5137" s="1" t="s">
        <v>147</v>
      </c>
      <c r="B5137" s="1"/>
      <c r="C5137" s="1"/>
      <c r="D5137" s="1" t="s">
        <v>149</v>
      </c>
      <c r="E5137" t="s">
        <v>136</v>
      </c>
    </row>
    <row r="5138" spans="1:5" x14ac:dyDescent="0.35">
      <c r="A5138" s="1" t="s">
        <v>147</v>
      </c>
      <c r="B5138" s="1" t="s">
        <v>166</v>
      </c>
      <c r="C5138" s="1" t="s">
        <v>145</v>
      </c>
      <c r="D5138" s="1" t="s">
        <v>146</v>
      </c>
      <c r="E5138">
        <v>152.33000000000001</v>
      </c>
    </row>
    <row r="5139" spans="1:5" x14ac:dyDescent="0.35">
      <c r="A5139" s="1" t="s">
        <v>147</v>
      </c>
      <c r="B5139" s="1"/>
      <c r="C5139" s="1"/>
      <c r="D5139" s="1" t="s">
        <v>148</v>
      </c>
      <c r="E5139">
        <v>152.33000000000001</v>
      </c>
    </row>
    <row r="5140" spans="1:5" x14ac:dyDescent="0.35">
      <c r="A5140" s="1" t="s">
        <v>147</v>
      </c>
      <c r="B5140" s="1"/>
      <c r="C5140" s="1"/>
      <c r="D5140" s="1" t="s">
        <v>149</v>
      </c>
      <c r="E5140" t="s">
        <v>136</v>
      </c>
    </row>
    <row r="5141" spans="1:5" x14ac:dyDescent="0.35">
      <c r="A5141" s="1" t="s">
        <v>147</v>
      </c>
      <c r="B5141" s="1"/>
      <c r="C5141" s="1" t="s">
        <v>150</v>
      </c>
      <c r="D5141" s="1" t="s">
        <v>146</v>
      </c>
      <c r="E5141" t="s">
        <v>136</v>
      </c>
    </row>
    <row r="5142" spans="1:5" x14ac:dyDescent="0.35">
      <c r="A5142" s="1" t="s">
        <v>147</v>
      </c>
      <c r="B5142" s="1"/>
      <c r="C5142" s="1"/>
      <c r="D5142" s="1" t="s">
        <v>148</v>
      </c>
      <c r="E5142" t="s">
        <v>136</v>
      </c>
    </row>
    <row r="5143" spans="1:5" x14ac:dyDescent="0.35">
      <c r="A5143" s="1" t="s">
        <v>147</v>
      </c>
      <c r="B5143" s="1"/>
      <c r="C5143" s="1"/>
      <c r="D5143" s="1" t="s">
        <v>149</v>
      </c>
      <c r="E5143" t="s">
        <v>136</v>
      </c>
    </row>
    <row r="5144" spans="1:5" x14ac:dyDescent="0.35">
      <c r="A5144" s="1" t="s">
        <v>147</v>
      </c>
      <c r="B5144" s="1" t="s">
        <v>167</v>
      </c>
      <c r="C5144" s="1" t="s">
        <v>145</v>
      </c>
      <c r="D5144" s="1" t="s">
        <v>146</v>
      </c>
      <c r="E5144">
        <v>67</v>
      </c>
    </row>
    <row r="5145" spans="1:5" x14ac:dyDescent="0.35">
      <c r="A5145" s="1" t="s">
        <v>147</v>
      </c>
      <c r="B5145" s="1"/>
      <c r="C5145" s="1"/>
      <c r="D5145" s="1" t="s">
        <v>148</v>
      </c>
      <c r="E5145">
        <v>67</v>
      </c>
    </row>
    <row r="5146" spans="1:5" x14ac:dyDescent="0.35">
      <c r="A5146" s="1" t="s">
        <v>147</v>
      </c>
      <c r="B5146" s="1"/>
      <c r="C5146" s="1"/>
      <c r="D5146" s="1" t="s">
        <v>149</v>
      </c>
      <c r="E5146" t="s">
        <v>136</v>
      </c>
    </row>
    <row r="5147" spans="1:5" x14ac:dyDescent="0.35">
      <c r="A5147" s="1" t="s">
        <v>147</v>
      </c>
      <c r="B5147" s="1"/>
      <c r="C5147" s="1" t="s">
        <v>150</v>
      </c>
      <c r="D5147" s="1" t="s">
        <v>146</v>
      </c>
      <c r="E5147" t="s">
        <v>136</v>
      </c>
    </row>
    <row r="5148" spans="1:5" x14ac:dyDescent="0.35">
      <c r="A5148" s="1" t="s">
        <v>147</v>
      </c>
      <c r="B5148" s="1"/>
      <c r="C5148" s="1"/>
      <c r="D5148" s="1" t="s">
        <v>148</v>
      </c>
      <c r="E5148" t="s">
        <v>136</v>
      </c>
    </row>
    <row r="5149" spans="1:5" x14ac:dyDescent="0.35">
      <c r="A5149" s="1" t="s">
        <v>147</v>
      </c>
      <c r="B5149" s="1"/>
      <c r="C5149" s="1"/>
      <c r="D5149" s="1" t="s">
        <v>149</v>
      </c>
      <c r="E5149" t="s">
        <v>136</v>
      </c>
    </row>
    <row r="5150" spans="1:5" x14ac:dyDescent="0.35">
      <c r="A5150" s="1" t="s">
        <v>147</v>
      </c>
      <c r="B5150" s="1" t="s">
        <v>168</v>
      </c>
      <c r="C5150" s="1" t="s">
        <v>145</v>
      </c>
      <c r="D5150" s="1" t="s">
        <v>146</v>
      </c>
      <c r="E5150" t="s">
        <v>136</v>
      </c>
    </row>
    <row r="5151" spans="1:5" x14ac:dyDescent="0.35">
      <c r="A5151" s="1" t="s">
        <v>147</v>
      </c>
      <c r="B5151" s="1"/>
      <c r="C5151" s="1"/>
      <c r="D5151" s="1" t="s">
        <v>148</v>
      </c>
      <c r="E5151" t="s">
        <v>136</v>
      </c>
    </row>
    <row r="5152" spans="1:5" x14ac:dyDescent="0.35">
      <c r="A5152" s="1" t="s">
        <v>147</v>
      </c>
      <c r="B5152" s="1"/>
      <c r="C5152" s="1"/>
      <c r="D5152" s="1" t="s">
        <v>149</v>
      </c>
      <c r="E5152" t="s">
        <v>136</v>
      </c>
    </row>
    <row r="5153" spans="1:5" x14ac:dyDescent="0.35">
      <c r="A5153" s="1" t="s">
        <v>147</v>
      </c>
      <c r="B5153" s="1"/>
      <c r="C5153" s="1" t="s">
        <v>150</v>
      </c>
      <c r="D5153" s="1" t="s">
        <v>146</v>
      </c>
      <c r="E5153" t="s">
        <v>136</v>
      </c>
    </row>
    <row r="5154" spans="1:5" x14ac:dyDescent="0.35">
      <c r="A5154" s="1" t="s">
        <v>147</v>
      </c>
      <c r="B5154" s="1"/>
      <c r="C5154" s="1"/>
      <c r="D5154" s="1" t="s">
        <v>148</v>
      </c>
      <c r="E5154" t="s">
        <v>136</v>
      </c>
    </row>
    <row r="5155" spans="1:5" x14ac:dyDescent="0.35">
      <c r="A5155" s="1" t="s">
        <v>147</v>
      </c>
      <c r="B5155" s="1"/>
      <c r="C5155" s="1"/>
      <c r="D5155" s="1" t="s">
        <v>149</v>
      </c>
      <c r="E5155" t="s">
        <v>136</v>
      </c>
    </row>
    <row r="5156" spans="1:5" x14ac:dyDescent="0.35">
      <c r="A5156" s="1" t="s">
        <v>147</v>
      </c>
      <c r="B5156" s="1" t="s">
        <v>169</v>
      </c>
      <c r="C5156" s="1" t="s">
        <v>145</v>
      </c>
      <c r="D5156" s="1" t="s">
        <v>146</v>
      </c>
      <c r="E5156" t="s">
        <v>136</v>
      </c>
    </row>
    <row r="5157" spans="1:5" x14ac:dyDescent="0.35">
      <c r="A5157" s="1" t="s">
        <v>147</v>
      </c>
      <c r="B5157" s="1"/>
      <c r="C5157" s="1"/>
      <c r="D5157" s="1" t="s">
        <v>148</v>
      </c>
      <c r="E5157" t="s">
        <v>136</v>
      </c>
    </row>
    <row r="5158" spans="1:5" x14ac:dyDescent="0.35">
      <c r="A5158" s="1" t="s">
        <v>147</v>
      </c>
      <c r="B5158" s="1"/>
      <c r="C5158" s="1"/>
      <c r="D5158" s="1" t="s">
        <v>149</v>
      </c>
      <c r="E5158" t="s">
        <v>136</v>
      </c>
    </row>
    <row r="5159" spans="1:5" x14ac:dyDescent="0.35">
      <c r="A5159" s="1" t="s">
        <v>147</v>
      </c>
      <c r="B5159" s="1"/>
      <c r="C5159" s="1" t="s">
        <v>150</v>
      </c>
      <c r="D5159" s="1" t="s">
        <v>146</v>
      </c>
      <c r="E5159" t="s">
        <v>136</v>
      </c>
    </row>
    <row r="5160" spans="1:5" x14ac:dyDescent="0.35">
      <c r="A5160" s="1" t="s">
        <v>147</v>
      </c>
      <c r="B5160" s="1"/>
      <c r="C5160" s="1"/>
      <c r="D5160" s="1" t="s">
        <v>148</v>
      </c>
      <c r="E5160" t="s">
        <v>136</v>
      </c>
    </row>
    <row r="5161" spans="1:5" x14ac:dyDescent="0.35">
      <c r="A5161" s="1" t="s">
        <v>147</v>
      </c>
      <c r="B5161" s="1"/>
      <c r="C5161" s="1"/>
      <c r="D5161" s="1" t="s">
        <v>149</v>
      </c>
      <c r="E5161" t="s">
        <v>136</v>
      </c>
    </row>
    <row r="5162" spans="1:5" x14ac:dyDescent="0.35">
      <c r="A5162" s="1" t="s">
        <v>147</v>
      </c>
      <c r="B5162" s="1" t="s">
        <v>170</v>
      </c>
      <c r="C5162" s="1" t="s">
        <v>145</v>
      </c>
      <c r="D5162" s="1" t="s">
        <v>146</v>
      </c>
      <c r="E5162" t="s">
        <v>136</v>
      </c>
    </row>
    <row r="5163" spans="1:5" x14ac:dyDescent="0.35">
      <c r="A5163" s="1" t="s">
        <v>147</v>
      </c>
      <c r="B5163" s="1"/>
      <c r="C5163" s="1"/>
      <c r="D5163" s="1" t="s">
        <v>148</v>
      </c>
      <c r="E5163" t="s">
        <v>136</v>
      </c>
    </row>
    <row r="5164" spans="1:5" x14ac:dyDescent="0.35">
      <c r="A5164" s="1" t="s">
        <v>147</v>
      </c>
      <c r="B5164" s="1"/>
      <c r="C5164" s="1"/>
      <c r="D5164" s="1" t="s">
        <v>149</v>
      </c>
      <c r="E5164" t="s">
        <v>136</v>
      </c>
    </row>
    <row r="5165" spans="1:5" x14ac:dyDescent="0.35">
      <c r="A5165" s="1" t="s">
        <v>147</v>
      </c>
      <c r="B5165" s="1"/>
      <c r="C5165" s="1" t="s">
        <v>150</v>
      </c>
      <c r="D5165" s="1" t="s">
        <v>146</v>
      </c>
      <c r="E5165" t="s">
        <v>136</v>
      </c>
    </row>
    <row r="5166" spans="1:5" x14ac:dyDescent="0.35">
      <c r="A5166" s="1" t="s">
        <v>147</v>
      </c>
      <c r="B5166" s="1"/>
      <c r="C5166" s="1"/>
      <c r="D5166" s="1" t="s">
        <v>148</v>
      </c>
      <c r="E5166" t="s">
        <v>136</v>
      </c>
    </row>
    <row r="5167" spans="1:5" x14ac:dyDescent="0.35">
      <c r="A5167" s="1" t="s">
        <v>147</v>
      </c>
      <c r="B5167" s="1"/>
      <c r="C5167" s="1"/>
      <c r="D5167" s="1" t="s">
        <v>149</v>
      </c>
      <c r="E5167" t="s">
        <v>136</v>
      </c>
    </row>
    <row r="5168" spans="1:5" x14ac:dyDescent="0.35">
      <c r="A5168" s="1" t="s">
        <v>118</v>
      </c>
      <c r="B5168" s="1" t="s">
        <v>144</v>
      </c>
      <c r="C5168" s="1" t="s">
        <v>145</v>
      </c>
      <c r="D5168" s="1" t="s">
        <v>146</v>
      </c>
      <c r="E5168">
        <v>1085.92</v>
      </c>
    </row>
    <row r="5169" spans="1:5" x14ac:dyDescent="0.35">
      <c r="A5169" s="1" t="s">
        <v>147</v>
      </c>
      <c r="B5169" s="1"/>
      <c r="C5169" s="1"/>
      <c r="D5169" s="1" t="s">
        <v>148</v>
      </c>
      <c r="E5169">
        <v>1077</v>
      </c>
    </row>
    <row r="5170" spans="1:5" x14ac:dyDescent="0.35">
      <c r="A5170" s="1" t="s">
        <v>147</v>
      </c>
      <c r="B5170" s="1"/>
      <c r="C5170" s="1"/>
      <c r="D5170" s="1" t="s">
        <v>149</v>
      </c>
      <c r="E5170">
        <v>8.92</v>
      </c>
    </row>
    <row r="5171" spans="1:5" x14ac:dyDescent="0.35">
      <c r="A5171" s="1" t="s">
        <v>147</v>
      </c>
      <c r="B5171" s="1"/>
      <c r="C5171" s="1" t="s">
        <v>150</v>
      </c>
      <c r="D5171" s="1" t="s">
        <v>146</v>
      </c>
      <c r="E5171" t="s">
        <v>136</v>
      </c>
    </row>
    <row r="5172" spans="1:5" x14ac:dyDescent="0.35">
      <c r="A5172" s="1" t="s">
        <v>147</v>
      </c>
      <c r="B5172" s="1"/>
      <c r="C5172" s="1"/>
      <c r="D5172" s="1" t="s">
        <v>148</v>
      </c>
      <c r="E5172" t="s">
        <v>136</v>
      </c>
    </row>
    <row r="5173" spans="1:5" x14ac:dyDescent="0.35">
      <c r="A5173" s="1" t="s">
        <v>147</v>
      </c>
      <c r="B5173" s="1"/>
      <c r="C5173" s="1"/>
      <c r="D5173" s="1" t="s">
        <v>149</v>
      </c>
      <c r="E5173" t="s">
        <v>136</v>
      </c>
    </row>
    <row r="5174" spans="1:5" x14ac:dyDescent="0.35">
      <c r="A5174" s="1" t="s">
        <v>147</v>
      </c>
      <c r="B5174" s="1" t="s">
        <v>151</v>
      </c>
      <c r="C5174" s="1" t="s">
        <v>145</v>
      </c>
      <c r="D5174" s="1" t="s">
        <v>146</v>
      </c>
      <c r="E5174">
        <v>774.92</v>
      </c>
    </row>
    <row r="5175" spans="1:5" x14ac:dyDescent="0.35">
      <c r="A5175" s="1" t="s">
        <v>147</v>
      </c>
      <c r="B5175" s="1"/>
      <c r="C5175" s="1"/>
      <c r="D5175" s="1" t="s">
        <v>148</v>
      </c>
      <c r="E5175">
        <v>766</v>
      </c>
    </row>
    <row r="5176" spans="1:5" x14ac:dyDescent="0.35">
      <c r="A5176" s="1" t="s">
        <v>147</v>
      </c>
      <c r="B5176" s="1"/>
      <c r="C5176" s="1"/>
      <c r="D5176" s="1" t="s">
        <v>149</v>
      </c>
      <c r="E5176">
        <v>8.92</v>
      </c>
    </row>
    <row r="5177" spans="1:5" x14ac:dyDescent="0.35">
      <c r="A5177" s="1" t="s">
        <v>147</v>
      </c>
      <c r="B5177" s="1"/>
      <c r="C5177" s="1" t="s">
        <v>150</v>
      </c>
      <c r="D5177" s="1" t="s">
        <v>146</v>
      </c>
      <c r="E5177" t="s">
        <v>136</v>
      </c>
    </row>
    <row r="5178" spans="1:5" x14ac:dyDescent="0.35">
      <c r="A5178" s="1" t="s">
        <v>147</v>
      </c>
      <c r="B5178" s="1"/>
      <c r="C5178" s="1"/>
      <c r="D5178" s="1" t="s">
        <v>148</v>
      </c>
      <c r="E5178" t="s">
        <v>136</v>
      </c>
    </row>
    <row r="5179" spans="1:5" x14ac:dyDescent="0.35">
      <c r="A5179" s="1" t="s">
        <v>147</v>
      </c>
      <c r="B5179" s="1"/>
      <c r="C5179" s="1"/>
      <c r="D5179" s="1" t="s">
        <v>149</v>
      </c>
      <c r="E5179" t="s">
        <v>136</v>
      </c>
    </row>
    <row r="5180" spans="1:5" x14ac:dyDescent="0.35">
      <c r="A5180" s="1" t="s">
        <v>147</v>
      </c>
      <c r="B5180" s="1" t="s">
        <v>152</v>
      </c>
      <c r="C5180" s="1" t="s">
        <v>145</v>
      </c>
      <c r="D5180" s="1" t="s">
        <v>146</v>
      </c>
      <c r="E5180" t="s">
        <v>136</v>
      </c>
    </row>
    <row r="5181" spans="1:5" x14ac:dyDescent="0.35">
      <c r="A5181" s="1" t="s">
        <v>147</v>
      </c>
      <c r="B5181" s="1"/>
      <c r="C5181" s="1"/>
      <c r="D5181" s="1" t="s">
        <v>148</v>
      </c>
      <c r="E5181" t="s">
        <v>136</v>
      </c>
    </row>
    <row r="5182" spans="1:5" x14ac:dyDescent="0.35">
      <c r="A5182" s="1" t="s">
        <v>147</v>
      </c>
      <c r="B5182" s="1"/>
      <c r="C5182" s="1"/>
      <c r="D5182" s="1" t="s">
        <v>149</v>
      </c>
      <c r="E5182" t="s">
        <v>136</v>
      </c>
    </row>
    <row r="5183" spans="1:5" x14ac:dyDescent="0.35">
      <c r="A5183" s="1" t="s">
        <v>147</v>
      </c>
      <c r="B5183" s="1"/>
      <c r="C5183" s="1" t="s">
        <v>150</v>
      </c>
      <c r="D5183" s="1" t="s">
        <v>146</v>
      </c>
      <c r="E5183" t="s">
        <v>136</v>
      </c>
    </row>
    <row r="5184" spans="1:5" x14ac:dyDescent="0.35">
      <c r="A5184" s="1" t="s">
        <v>147</v>
      </c>
      <c r="B5184" s="1"/>
      <c r="C5184" s="1"/>
      <c r="D5184" s="1" t="s">
        <v>148</v>
      </c>
      <c r="E5184" t="s">
        <v>136</v>
      </c>
    </row>
    <row r="5185" spans="1:5" x14ac:dyDescent="0.35">
      <c r="A5185" s="1" t="s">
        <v>147</v>
      </c>
      <c r="B5185" s="1"/>
      <c r="C5185" s="1"/>
      <c r="D5185" s="1" t="s">
        <v>149</v>
      </c>
      <c r="E5185" t="s">
        <v>136</v>
      </c>
    </row>
    <row r="5186" spans="1:5" x14ac:dyDescent="0.35">
      <c r="A5186" s="1" t="s">
        <v>147</v>
      </c>
      <c r="B5186" s="1" t="s">
        <v>153</v>
      </c>
      <c r="C5186" s="1" t="s">
        <v>145</v>
      </c>
      <c r="D5186" s="1" t="s">
        <v>146</v>
      </c>
      <c r="E5186">
        <v>245</v>
      </c>
    </row>
    <row r="5187" spans="1:5" x14ac:dyDescent="0.35">
      <c r="A5187" s="1" t="s">
        <v>147</v>
      </c>
      <c r="B5187" s="1"/>
      <c r="C5187" s="1"/>
      <c r="D5187" s="1" t="s">
        <v>148</v>
      </c>
      <c r="E5187">
        <v>245</v>
      </c>
    </row>
    <row r="5188" spans="1:5" x14ac:dyDescent="0.35">
      <c r="A5188" s="1" t="s">
        <v>147</v>
      </c>
      <c r="B5188" s="1"/>
      <c r="C5188" s="1"/>
      <c r="D5188" s="1" t="s">
        <v>149</v>
      </c>
      <c r="E5188" t="s">
        <v>136</v>
      </c>
    </row>
    <row r="5189" spans="1:5" x14ac:dyDescent="0.35">
      <c r="A5189" s="1" t="s">
        <v>147</v>
      </c>
      <c r="B5189" s="1"/>
      <c r="C5189" s="1" t="s">
        <v>150</v>
      </c>
      <c r="D5189" s="1" t="s">
        <v>146</v>
      </c>
      <c r="E5189" t="s">
        <v>136</v>
      </c>
    </row>
    <row r="5190" spans="1:5" x14ac:dyDescent="0.35">
      <c r="A5190" s="1" t="s">
        <v>147</v>
      </c>
      <c r="B5190" s="1"/>
      <c r="C5190" s="1"/>
      <c r="D5190" s="1" t="s">
        <v>148</v>
      </c>
      <c r="E5190" t="s">
        <v>136</v>
      </c>
    </row>
    <row r="5191" spans="1:5" x14ac:dyDescent="0.35">
      <c r="A5191" s="1" t="s">
        <v>147</v>
      </c>
      <c r="B5191" s="1"/>
      <c r="C5191" s="1"/>
      <c r="D5191" s="1" t="s">
        <v>149</v>
      </c>
      <c r="E5191" t="s">
        <v>136</v>
      </c>
    </row>
    <row r="5192" spans="1:5" x14ac:dyDescent="0.35">
      <c r="A5192" s="1" t="s">
        <v>147</v>
      </c>
      <c r="B5192" s="1" t="s">
        <v>154</v>
      </c>
      <c r="C5192" s="1" t="s">
        <v>145</v>
      </c>
      <c r="D5192" s="1" t="s">
        <v>146</v>
      </c>
      <c r="E5192" t="s">
        <v>136</v>
      </c>
    </row>
    <row r="5193" spans="1:5" x14ac:dyDescent="0.35">
      <c r="A5193" s="1" t="s">
        <v>147</v>
      </c>
      <c r="B5193" s="1"/>
      <c r="C5193" s="1"/>
      <c r="D5193" s="1" t="s">
        <v>148</v>
      </c>
      <c r="E5193" t="s">
        <v>136</v>
      </c>
    </row>
    <row r="5194" spans="1:5" x14ac:dyDescent="0.35">
      <c r="A5194" s="1" t="s">
        <v>147</v>
      </c>
      <c r="B5194" s="1"/>
      <c r="C5194" s="1"/>
      <c r="D5194" s="1" t="s">
        <v>149</v>
      </c>
      <c r="E5194" t="s">
        <v>136</v>
      </c>
    </row>
    <row r="5195" spans="1:5" x14ac:dyDescent="0.35">
      <c r="A5195" s="1" t="s">
        <v>147</v>
      </c>
      <c r="B5195" s="1"/>
      <c r="C5195" s="1" t="s">
        <v>150</v>
      </c>
      <c r="D5195" s="1" t="s">
        <v>146</v>
      </c>
      <c r="E5195" t="s">
        <v>136</v>
      </c>
    </row>
    <row r="5196" spans="1:5" x14ac:dyDescent="0.35">
      <c r="A5196" s="1" t="s">
        <v>147</v>
      </c>
      <c r="B5196" s="1"/>
      <c r="C5196" s="1"/>
      <c r="D5196" s="1" t="s">
        <v>148</v>
      </c>
      <c r="E5196" t="s">
        <v>136</v>
      </c>
    </row>
    <row r="5197" spans="1:5" x14ac:dyDescent="0.35">
      <c r="A5197" s="1" t="s">
        <v>147</v>
      </c>
      <c r="B5197" s="1"/>
      <c r="C5197" s="1"/>
      <c r="D5197" s="1" t="s">
        <v>149</v>
      </c>
      <c r="E5197" t="s">
        <v>136</v>
      </c>
    </row>
    <row r="5198" spans="1:5" x14ac:dyDescent="0.35">
      <c r="A5198" s="1" t="s">
        <v>147</v>
      </c>
      <c r="B5198" s="1" t="s">
        <v>155</v>
      </c>
      <c r="C5198" s="1" t="s">
        <v>145</v>
      </c>
      <c r="D5198" s="1" t="s">
        <v>146</v>
      </c>
      <c r="E5198">
        <v>66</v>
      </c>
    </row>
    <row r="5199" spans="1:5" x14ac:dyDescent="0.35">
      <c r="A5199" s="1" t="s">
        <v>147</v>
      </c>
      <c r="B5199" s="1"/>
      <c r="C5199" s="1"/>
      <c r="D5199" s="1" t="s">
        <v>148</v>
      </c>
      <c r="E5199">
        <v>66</v>
      </c>
    </row>
    <row r="5200" spans="1:5" x14ac:dyDescent="0.35">
      <c r="A5200" s="1" t="s">
        <v>147</v>
      </c>
      <c r="B5200" s="1"/>
      <c r="C5200" s="1"/>
      <c r="D5200" s="1" t="s">
        <v>149</v>
      </c>
      <c r="E5200" t="s">
        <v>136</v>
      </c>
    </row>
    <row r="5201" spans="1:5" x14ac:dyDescent="0.35">
      <c r="A5201" s="1" t="s">
        <v>147</v>
      </c>
      <c r="B5201" s="1"/>
      <c r="C5201" s="1" t="s">
        <v>150</v>
      </c>
      <c r="D5201" s="1" t="s">
        <v>146</v>
      </c>
      <c r="E5201" t="s">
        <v>136</v>
      </c>
    </row>
    <row r="5202" spans="1:5" x14ac:dyDescent="0.35">
      <c r="A5202" s="1" t="s">
        <v>147</v>
      </c>
      <c r="B5202" s="1"/>
      <c r="C5202" s="1"/>
      <c r="D5202" s="1" t="s">
        <v>148</v>
      </c>
      <c r="E5202" t="s">
        <v>136</v>
      </c>
    </row>
    <row r="5203" spans="1:5" x14ac:dyDescent="0.35">
      <c r="A5203" s="1" t="s">
        <v>147</v>
      </c>
      <c r="B5203" s="1"/>
      <c r="C5203" s="1"/>
      <c r="D5203" s="1" t="s">
        <v>149</v>
      </c>
      <c r="E5203" t="s">
        <v>136</v>
      </c>
    </row>
    <row r="5204" spans="1:5" x14ac:dyDescent="0.35">
      <c r="A5204" s="1" t="s">
        <v>147</v>
      </c>
      <c r="B5204" s="1" t="s">
        <v>156</v>
      </c>
      <c r="C5204" s="1" t="s">
        <v>145</v>
      </c>
      <c r="D5204" s="1" t="s">
        <v>146</v>
      </c>
      <c r="E5204" t="s">
        <v>136</v>
      </c>
    </row>
    <row r="5205" spans="1:5" x14ac:dyDescent="0.35">
      <c r="A5205" s="1" t="s">
        <v>147</v>
      </c>
      <c r="B5205" s="1"/>
      <c r="C5205" s="1"/>
      <c r="D5205" s="1" t="s">
        <v>148</v>
      </c>
      <c r="E5205" t="s">
        <v>136</v>
      </c>
    </row>
    <row r="5206" spans="1:5" x14ac:dyDescent="0.35">
      <c r="A5206" s="1" t="s">
        <v>147</v>
      </c>
      <c r="B5206" s="1"/>
      <c r="C5206" s="1"/>
      <c r="D5206" s="1" t="s">
        <v>149</v>
      </c>
      <c r="E5206" t="s">
        <v>136</v>
      </c>
    </row>
    <row r="5207" spans="1:5" x14ac:dyDescent="0.35">
      <c r="A5207" s="1" t="s">
        <v>147</v>
      </c>
      <c r="B5207" s="1"/>
      <c r="C5207" s="1" t="s">
        <v>150</v>
      </c>
      <c r="D5207" s="1" t="s">
        <v>146</v>
      </c>
      <c r="E5207" t="s">
        <v>136</v>
      </c>
    </row>
    <row r="5208" spans="1:5" x14ac:dyDescent="0.35">
      <c r="A5208" s="1" t="s">
        <v>147</v>
      </c>
      <c r="B5208" s="1"/>
      <c r="C5208" s="1"/>
      <c r="D5208" s="1" t="s">
        <v>148</v>
      </c>
      <c r="E5208" t="s">
        <v>136</v>
      </c>
    </row>
    <row r="5209" spans="1:5" x14ac:dyDescent="0.35">
      <c r="A5209" s="1" t="s">
        <v>147</v>
      </c>
      <c r="B5209" s="1"/>
      <c r="C5209" s="1"/>
      <c r="D5209" s="1" t="s">
        <v>149</v>
      </c>
      <c r="E5209" t="s">
        <v>136</v>
      </c>
    </row>
    <row r="5210" spans="1:5" x14ac:dyDescent="0.35">
      <c r="A5210" s="1" t="s">
        <v>147</v>
      </c>
      <c r="B5210" s="1" t="s">
        <v>157</v>
      </c>
      <c r="C5210" s="1" t="s">
        <v>145</v>
      </c>
      <c r="D5210" s="1" t="s">
        <v>146</v>
      </c>
      <c r="E5210" t="s">
        <v>136</v>
      </c>
    </row>
    <row r="5211" spans="1:5" x14ac:dyDescent="0.35">
      <c r="A5211" s="1" t="s">
        <v>147</v>
      </c>
      <c r="B5211" s="1"/>
      <c r="C5211" s="1"/>
      <c r="D5211" s="1" t="s">
        <v>148</v>
      </c>
      <c r="E5211" t="s">
        <v>136</v>
      </c>
    </row>
    <row r="5212" spans="1:5" x14ac:dyDescent="0.35">
      <c r="A5212" s="1" t="s">
        <v>147</v>
      </c>
      <c r="B5212" s="1"/>
      <c r="C5212" s="1"/>
      <c r="D5212" s="1" t="s">
        <v>149</v>
      </c>
      <c r="E5212" t="s">
        <v>136</v>
      </c>
    </row>
    <row r="5213" spans="1:5" x14ac:dyDescent="0.35">
      <c r="A5213" s="1" t="s">
        <v>147</v>
      </c>
      <c r="B5213" s="1"/>
      <c r="C5213" s="1" t="s">
        <v>150</v>
      </c>
      <c r="D5213" s="1" t="s">
        <v>146</v>
      </c>
      <c r="E5213" t="s">
        <v>136</v>
      </c>
    </row>
    <row r="5214" spans="1:5" x14ac:dyDescent="0.35">
      <c r="A5214" s="1" t="s">
        <v>147</v>
      </c>
      <c r="B5214" s="1"/>
      <c r="C5214" s="1"/>
      <c r="D5214" s="1" t="s">
        <v>148</v>
      </c>
      <c r="E5214" t="s">
        <v>136</v>
      </c>
    </row>
    <row r="5215" spans="1:5" x14ac:dyDescent="0.35">
      <c r="A5215" s="1" t="s">
        <v>147</v>
      </c>
      <c r="B5215" s="1"/>
      <c r="C5215" s="1"/>
      <c r="D5215" s="1" t="s">
        <v>149</v>
      </c>
      <c r="E5215" t="s">
        <v>136</v>
      </c>
    </row>
    <row r="5216" spans="1:5" x14ac:dyDescent="0.35">
      <c r="A5216" s="1" t="s">
        <v>147</v>
      </c>
      <c r="B5216" s="1" t="s">
        <v>158</v>
      </c>
      <c r="C5216" s="1" t="s">
        <v>145</v>
      </c>
      <c r="D5216" s="1" t="s">
        <v>146</v>
      </c>
      <c r="E5216" t="s">
        <v>136</v>
      </c>
    </row>
    <row r="5217" spans="1:5" x14ac:dyDescent="0.35">
      <c r="A5217" s="1" t="s">
        <v>147</v>
      </c>
      <c r="B5217" s="1"/>
      <c r="C5217" s="1"/>
      <c r="D5217" s="1" t="s">
        <v>148</v>
      </c>
      <c r="E5217" t="s">
        <v>136</v>
      </c>
    </row>
    <row r="5218" spans="1:5" x14ac:dyDescent="0.35">
      <c r="A5218" s="1" t="s">
        <v>147</v>
      </c>
      <c r="B5218" s="1"/>
      <c r="C5218" s="1"/>
      <c r="D5218" s="1" t="s">
        <v>149</v>
      </c>
      <c r="E5218" t="s">
        <v>136</v>
      </c>
    </row>
    <row r="5219" spans="1:5" x14ac:dyDescent="0.35">
      <c r="A5219" s="1" t="s">
        <v>147</v>
      </c>
      <c r="B5219" s="1"/>
      <c r="C5219" s="1" t="s">
        <v>150</v>
      </c>
      <c r="D5219" s="1" t="s">
        <v>146</v>
      </c>
      <c r="E5219" t="s">
        <v>136</v>
      </c>
    </row>
    <row r="5220" spans="1:5" x14ac:dyDescent="0.35">
      <c r="A5220" s="1" t="s">
        <v>147</v>
      </c>
      <c r="B5220" s="1"/>
      <c r="C5220" s="1"/>
      <c r="D5220" s="1" t="s">
        <v>148</v>
      </c>
      <c r="E5220" t="s">
        <v>136</v>
      </c>
    </row>
    <row r="5221" spans="1:5" x14ac:dyDescent="0.35">
      <c r="A5221" s="1" t="s">
        <v>147</v>
      </c>
      <c r="B5221" s="1"/>
      <c r="C5221" s="1"/>
      <c r="D5221" s="1" t="s">
        <v>149</v>
      </c>
      <c r="E5221" t="s">
        <v>136</v>
      </c>
    </row>
    <row r="5222" spans="1:5" x14ac:dyDescent="0.35">
      <c r="A5222" s="1" t="s">
        <v>147</v>
      </c>
      <c r="B5222" s="1" t="s">
        <v>159</v>
      </c>
      <c r="C5222" s="1" t="s">
        <v>145</v>
      </c>
      <c r="D5222" s="1" t="s">
        <v>146</v>
      </c>
      <c r="E5222" t="s">
        <v>136</v>
      </c>
    </row>
    <row r="5223" spans="1:5" x14ac:dyDescent="0.35">
      <c r="A5223" s="1" t="s">
        <v>147</v>
      </c>
      <c r="B5223" s="1"/>
      <c r="C5223" s="1"/>
      <c r="D5223" s="1" t="s">
        <v>148</v>
      </c>
      <c r="E5223" t="s">
        <v>136</v>
      </c>
    </row>
    <row r="5224" spans="1:5" x14ac:dyDescent="0.35">
      <c r="A5224" s="1" t="s">
        <v>147</v>
      </c>
      <c r="B5224" s="1"/>
      <c r="C5224" s="1"/>
      <c r="D5224" s="1" t="s">
        <v>149</v>
      </c>
      <c r="E5224" t="s">
        <v>136</v>
      </c>
    </row>
    <row r="5225" spans="1:5" x14ac:dyDescent="0.35">
      <c r="A5225" s="1" t="s">
        <v>147</v>
      </c>
      <c r="B5225" s="1"/>
      <c r="C5225" s="1" t="s">
        <v>150</v>
      </c>
      <c r="D5225" s="1" t="s">
        <v>146</v>
      </c>
      <c r="E5225" t="s">
        <v>136</v>
      </c>
    </row>
    <row r="5226" spans="1:5" x14ac:dyDescent="0.35">
      <c r="A5226" s="1" t="s">
        <v>147</v>
      </c>
      <c r="B5226" s="1"/>
      <c r="C5226" s="1"/>
      <c r="D5226" s="1" t="s">
        <v>148</v>
      </c>
      <c r="E5226" t="s">
        <v>136</v>
      </c>
    </row>
    <row r="5227" spans="1:5" x14ac:dyDescent="0.35">
      <c r="A5227" s="1" t="s">
        <v>147</v>
      </c>
      <c r="B5227" s="1"/>
      <c r="C5227" s="1"/>
      <c r="D5227" s="1" t="s">
        <v>149</v>
      </c>
      <c r="E5227" t="s">
        <v>136</v>
      </c>
    </row>
    <row r="5228" spans="1:5" x14ac:dyDescent="0.35">
      <c r="A5228" s="1" t="s">
        <v>147</v>
      </c>
      <c r="B5228" s="1" t="s">
        <v>160</v>
      </c>
      <c r="C5228" s="1" t="s">
        <v>145</v>
      </c>
      <c r="D5228" s="1" t="s">
        <v>146</v>
      </c>
      <c r="E5228" t="s">
        <v>136</v>
      </c>
    </row>
    <row r="5229" spans="1:5" x14ac:dyDescent="0.35">
      <c r="A5229" s="1" t="s">
        <v>147</v>
      </c>
      <c r="B5229" s="1"/>
      <c r="C5229" s="1"/>
      <c r="D5229" s="1" t="s">
        <v>148</v>
      </c>
      <c r="E5229" t="s">
        <v>136</v>
      </c>
    </row>
    <row r="5230" spans="1:5" x14ac:dyDescent="0.35">
      <c r="A5230" s="1" t="s">
        <v>147</v>
      </c>
      <c r="B5230" s="1"/>
      <c r="C5230" s="1"/>
      <c r="D5230" s="1" t="s">
        <v>149</v>
      </c>
      <c r="E5230" t="s">
        <v>136</v>
      </c>
    </row>
    <row r="5231" spans="1:5" x14ac:dyDescent="0.35">
      <c r="A5231" s="1" t="s">
        <v>147</v>
      </c>
      <c r="B5231" s="1"/>
      <c r="C5231" s="1" t="s">
        <v>150</v>
      </c>
      <c r="D5231" s="1" t="s">
        <v>146</v>
      </c>
      <c r="E5231" t="s">
        <v>136</v>
      </c>
    </row>
    <row r="5232" spans="1:5" x14ac:dyDescent="0.35">
      <c r="A5232" s="1" t="s">
        <v>147</v>
      </c>
      <c r="B5232" s="1"/>
      <c r="C5232" s="1"/>
      <c r="D5232" s="1" t="s">
        <v>148</v>
      </c>
      <c r="E5232" t="s">
        <v>136</v>
      </c>
    </row>
    <row r="5233" spans="1:5" x14ac:dyDescent="0.35">
      <c r="A5233" s="1" t="s">
        <v>147</v>
      </c>
      <c r="B5233" s="1"/>
      <c r="C5233" s="1"/>
      <c r="D5233" s="1" t="s">
        <v>149</v>
      </c>
      <c r="E5233" t="s">
        <v>136</v>
      </c>
    </row>
    <row r="5234" spans="1:5" x14ac:dyDescent="0.35">
      <c r="A5234" s="1" t="s">
        <v>147</v>
      </c>
      <c r="B5234" s="1" t="s">
        <v>161</v>
      </c>
      <c r="C5234" s="1" t="s">
        <v>145</v>
      </c>
      <c r="D5234" s="1" t="s">
        <v>146</v>
      </c>
      <c r="E5234" t="s">
        <v>136</v>
      </c>
    </row>
    <row r="5235" spans="1:5" x14ac:dyDescent="0.35">
      <c r="A5235" s="1" t="s">
        <v>147</v>
      </c>
      <c r="B5235" s="1"/>
      <c r="C5235" s="1"/>
      <c r="D5235" s="1" t="s">
        <v>148</v>
      </c>
      <c r="E5235" t="s">
        <v>136</v>
      </c>
    </row>
    <row r="5236" spans="1:5" x14ac:dyDescent="0.35">
      <c r="A5236" s="1" t="s">
        <v>147</v>
      </c>
      <c r="B5236" s="1"/>
      <c r="C5236" s="1"/>
      <c r="D5236" s="1" t="s">
        <v>149</v>
      </c>
      <c r="E5236" t="s">
        <v>136</v>
      </c>
    </row>
    <row r="5237" spans="1:5" x14ac:dyDescent="0.35">
      <c r="A5237" s="1" t="s">
        <v>147</v>
      </c>
      <c r="B5237" s="1"/>
      <c r="C5237" s="1" t="s">
        <v>150</v>
      </c>
      <c r="D5237" s="1" t="s">
        <v>146</v>
      </c>
      <c r="E5237" t="s">
        <v>136</v>
      </c>
    </row>
    <row r="5238" spans="1:5" x14ac:dyDescent="0.35">
      <c r="A5238" s="1" t="s">
        <v>147</v>
      </c>
      <c r="B5238" s="1"/>
      <c r="C5238" s="1"/>
      <c r="D5238" s="1" t="s">
        <v>148</v>
      </c>
      <c r="E5238" t="s">
        <v>136</v>
      </c>
    </row>
    <row r="5239" spans="1:5" x14ac:dyDescent="0.35">
      <c r="A5239" s="1" t="s">
        <v>147</v>
      </c>
      <c r="B5239" s="1"/>
      <c r="C5239" s="1"/>
      <c r="D5239" s="1" t="s">
        <v>149</v>
      </c>
      <c r="E5239" t="s">
        <v>136</v>
      </c>
    </row>
    <row r="5240" spans="1:5" x14ac:dyDescent="0.35">
      <c r="A5240" s="1" t="s">
        <v>147</v>
      </c>
      <c r="B5240" s="1" t="s">
        <v>162</v>
      </c>
      <c r="C5240" s="1" t="s">
        <v>145</v>
      </c>
      <c r="D5240" s="1" t="s">
        <v>146</v>
      </c>
      <c r="E5240" t="s">
        <v>136</v>
      </c>
    </row>
    <row r="5241" spans="1:5" x14ac:dyDescent="0.35">
      <c r="A5241" s="1" t="s">
        <v>147</v>
      </c>
      <c r="B5241" s="1"/>
      <c r="C5241" s="1"/>
      <c r="D5241" s="1" t="s">
        <v>148</v>
      </c>
      <c r="E5241" t="s">
        <v>136</v>
      </c>
    </row>
    <row r="5242" spans="1:5" x14ac:dyDescent="0.35">
      <c r="A5242" s="1" t="s">
        <v>147</v>
      </c>
      <c r="B5242" s="1"/>
      <c r="C5242" s="1"/>
      <c r="D5242" s="1" t="s">
        <v>149</v>
      </c>
      <c r="E5242" t="s">
        <v>136</v>
      </c>
    </row>
    <row r="5243" spans="1:5" x14ac:dyDescent="0.35">
      <c r="A5243" s="1" t="s">
        <v>147</v>
      </c>
      <c r="B5243" s="1"/>
      <c r="C5243" s="1" t="s">
        <v>150</v>
      </c>
      <c r="D5243" s="1" t="s">
        <v>146</v>
      </c>
      <c r="E5243" t="s">
        <v>136</v>
      </c>
    </row>
    <row r="5244" spans="1:5" x14ac:dyDescent="0.35">
      <c r="A5244" s="1" t="s">
        <v>147</v>
      </c>
      <c r="B5244" s="1"/>
      <c r="C5244" s="1"/>
      <c r="D5244" s="1" t="s">
        <v>148</v>
      </c>
      <c r="E5244" t="s">
        <v>136</v>
      </c>
    </row>
    <row r="5245" spans="1:5" x14ac:dyDescent="0.35">
      <c r="A5245" s="1" t="s">
        <v>147</v>
      </c>
      <c r="B5245" s="1"/>
      <c r="C5245" s="1"/>
      <c r="D5245" s="1" t="s">
        <v>149</v>
      </c>
      <c r="E5245" t="s">
        <v>136</v>
      </c>
    </row>
    <row r="5246" spans="1:5" x14ac:dyDescent="0.35">
      <c r="A5246" s="1" t="s">
        <v>147</v>
      </c>
      <c r="B5246" s="1" t="s">
        <v>163</v>
      </c>
      <c r="C5246" s="1" t="s">
        <v>145</v>
      </c>
      <c r="D5246" s="1" t="s">
        <v>146</v>
      </c>
      <c r="E5246">
        <v>6072</v>
      </c>
    </row>
    <row r="5247" spans="1:5" x14ac:dyDescent="0.35">
      <c r="A5247" s="1" t="s">
        <v>147</v>
      </c>
      <c r="B5247" s="1"/>
      <c r="C5247" s="1"/>
      <c r="D5247" s="1" t="s">
        <v>148</v>
      </c>
      <c r="E5247">
        <v>6072</v>
      </c>
    </row>
    <row r="5248" spans="1:5" x14ac:dyDescent="0.35">
      <c r="A5248" s="1" t="s">
        <v>147</v>
      </c>
      <c r="B5248" s="1"/>
      <c r="C5248" s="1"/>
      <c r="D5248" s="1" t="s">
        <v>149</v>
      </c>
      <c r="E5248" t="s">
        <v>136</v>
      </c>
    </row>
    <row r="5249" spans="1:5" x14ac:dyDescent="0.35">
      <c r="A5249" s="1" t="s">
        <v>147</v>
      </c>
      <c r="B5249" s="1"/>
      <c r="C5249" s="1" t="s">
        <v>150</v>
      </c>
      <c r="D5249" s="1" t="s">
        <v>146</v>
      </c>
      <c r="E5249" t="s">
        <v>136</v>
      </c>
    </row>
    <row r="5250" spans="1:5" x14ac:dyDescent="0.35">
      <c r="A5250" s="1" t="s">
        <v>147</v>
      </c>
      <c r="B5250" s="1"/>
      <c r="C5250" s="1"/>
      <c r="D5250" s="1" t="s">
        <v>148</v>
      </c>
      <c r="E5250" t="s">
        <v>136</v>
      </c>
    </row>
    <row r="5251" spans="1:5" x14ac:dyDescent="0.35">
      <c r="A5251" s="1" t="s">
        <v>147</v>
      </c>
      <c r="B5251" s="1"/>
      <c r="C5251" s="1"/>
      <c r="D5251" s="1" t="s">
        <v>149</v>
      </c>
      <c r="E5251" t="s">
        <v>136</v>
      </c>
    </row>
    <row r="5252" spans="1:5" x14ac:dyDescent="0.35">
      <c r="A5252" s="1" t="s">
        <v>147</v>
      </c>
      <c r="B5252" s="1" t="s">
        <v>164</v>
      </c>
      <c r="C5252" s="1" t="s">
        <v>145</v>
      </c>
      <c r="D5252" s="1" t="s">
        <v>146</v>
      </c>
      <c r="E5252" t="s">
        <v>136</v>
      </c>
    </row>
    <row r="5253" spans="1:5" x14ac:dyDescent="0.35">
      <c r="A5253" s="1" t="s">
        <v>147</v>
      </c>
      <c r="B5253" s="1"/>
      <c r="C5253" s="1"/>
      <c r="D5253" s="1" t="s">
        <v>148</v>
      </c>
      <c r="E5253" t="s">
        <v>136</v>
      </c>
    </row>
    <row r="5254" spans="1:5" x14ac:dyDescent="0.35">
      <c r="A5254" s="1" t="s">
        <v>147</v>
      </c>
      <c r="B5254" s="1"/>
      <c r="C5254" s="1"/>
      <c r="D5254" s="1" t="s">
        <v>149</v>
      </c>
      <c r="E5254" t="s">
        <v>136</v>
      </c>
    </row>
    <row r="5255" spans="1:5" x14ac:dyDescent="0.35">
      <c r="A5255" s="1" t="s">
        <v>147</v>
      </c>
      <c r="B5255" s="1"/>
      <c r="C5255" s="1" t="s">
        <v>150</v>
      </c>
      <c r="D5255" s="1" t="s">
        <v>146</v>
      </c>
      <c r="E5255" t="s">
        <v>136</v>
      </c>
    </row>
    <row r="5256" spans="1:5" x14ac:dyDescent="0.35">
      <c r="A5256" s="1" t="s">
        <v>147</v>
      </c>
      <c r="B5256" s="1"/>
      <c r="C5256" s="1"/>
      <c r="D5256" s="1" t="s">
        <v>148</v>
      </c>
      <c r="E5256" t="s">
        <v>136</v>
      </c>
    </row>
    <row r="5257" spans="1:5" x14ac:dyDescent="0.35">
      <c r="A5257" s="1" t="s">
        <v>147</v>
      </c>
      <c r="B5257" s="1"/>
      <c r="C5257" s="1"/>
      <c r="D5257" s="1" t="s">
        <v>149</v>
      </c>
      <c r="E5257" t="s">
        <v>136</v>
      </c>
    </row>
    <row r="5258" spans="1:5" x14ac:dyDescent="0.35">
      <c r="A5258" s="1" t="s">
        <v>147</v>
      </c>
      <c r="B5258" s="1" t="s">
        <v>165</v>
      </c>
      <c r="C5258" s="1" t="s">
        <v>145</v>
      </c>
      <c r="D5258" s="1" t="s">
        <v>146</v>
      </c>
      <c r="E5258" t="s">
        <v>136</v>
      </c>
    </row>
    <row r="5259" spans="1:5" x14ac:dyDescent="0.35">
      <c r="A5259" s="1" t="s">
        <v>147</v>
      </c>
      <c r="B5259" s="1"/>
      <c r="C5259" s="1"/>
      <c r="D5259" s="1" t="s">
        <v>148</v>
      </c>
      <c r="E5259" t="s">
        <v>136</v>
      </c>
    </row>
    <row r="5260" spans="1:5" x14ac:dyDescent="0.35">
      <c r="A5260" s="1" t="s">
        <v>147</v>
      </c>
      <c r="B5260" s="1"/>
      <c r="C5260" s="1"/>
      <c r="D5260" s="1" t="s">
        <v>149</v>
      </c>
      <c r="E5260" t="s">
        <v>136</v>
      </c>
    </row>
    <row r="5261" spans="1:5" x14ac:dyDescent="0.35">
      <c r="A5261" s="1" t="s">
        <v>147</v>
      </c>
      <c r="B5261" s="1"/>
      <c r="C5261" s="1" t="s">
        <v>150</v>
      </c>
      <c r="D5261" s="1" t="s">
        <v>146</v>
      </c>
      <c r="E5261" t="s">
        <v>136</v>
      </c>
    </row>
    <row r="5262" spans="1:5" x14ac:dyDescent="0.35">
      <c r="A5262" s="1" t="s">
        <v>147</v>
      </c>
      <c r="B5262" s="1"/>
      <c r="C5262" s="1"/>
      <c r="D5262" s="1" t="s">
        <v>148</v>
      </c>
      <c r="E5262" t="s">
        <v>136</v>
      </c>
    </row>
    <row r="5263" spans="1:5" x14ac:dyDescent="0.35">
      <c r="A5263" s="1" t="s">
        <v>147</v>
      </c>
      <c r="B5263" s="1"/>
      <c r="C5263" s="1"/>
      <c r="D5263" s="1" t="s">
        <v>149</v>
      </c>
      <c r="E5263" t="s">
        <v>136</v>
      </c>
    </row>
    <row r="5264" spans="1:5" x14ac:dyDescent="0.35">
      <c r="A5264" s="1" t="s">
        <v>147</v>
      </c>
      <c r="B5264" s="1" t="s">
        <v>166</v>
      </c>
      <c r="C5264" s="1" t="s">
        <v>145</v>
      </c>
      <c r="D5264" s="1" t="s">
        <v>146</v>
      </c>
      <c r="E5264">
        <v>660</v>
      </c>
    </row>
    <row r="5265" spans="1:5" x14ac:dyDescent="0.35">
      <c r="A5265" s="1" t="s">
        <v>147</v>
      </c>
      <c r="B5265" s="1"/>
      <c r="C5265" s="1"/>
      <c r="D5265" s="1" t="s">
        <v>148</v>
      </c>
      <c r="E5265">
        <v>660</v>
      </c>
    </row>
    <row r="5266" spans="1:5" x14ac:dyDescent="0.35">
      <c r="A5266" s="1" t="s">
        <v>147</v>
      </c>
      <c r="B5266" s="1"/>
      <c r="C5266" s="1"/>
      <c r="D5266" s="1" t="s">
        <v>149</v>
      </c>
      <c r="E5266" t="s">
        <v>136</v>
      </c>
    </row>
    <row r="5267" spans="1:5" x14ac:dyDescent="0.35">
      <c r="A5267" s="1" t="s">
        <v>147</v>
      </c>
      <c r="B5267" s="1"/>
      <c r="C5267" s="1" t="s">
        <v>150</v>
      </c>
      <c r="D5267" s="1" t="s">
        <v>146</v>
      </c>
      <c r="E5267" t="s">
        <v>136</v>
      </c>
    </row>
    <row r="5268" spans="1:5" x14ac:dyDescent="0.35">
      <c r="A5268" s="1" t="s">
        <v>147</v>
      </c>
      <c r="B5268" s="1"/>
      <c r="C5268" s="1"/>
      <c r="D5268" s="1" t="s">
        <v>148</v>
      </c>
      <c r="E5268" t="s">
        <v>136</v>
      </c>
    </row>
    <row r="5269" spans="1:5" x14ac:dyDescent="0.35">
      <c r="A5269" s="1" t="s">
        <v>147</v>
      </c>
      <c r="B5269" s="1"/>
      <c r="C5269" s="1"/>
      <c r="D5269" s="1" t="s">
        <v>149</v>
      </c>
      <c r="E5269" t="s">
        <v>136</v>
      </c>
    </row>
    <row r="5270" spans="1:5" x14ac:dyDescent="0.35">
      <c r="A5270" s="1" t="s">
        <v>147</v>
      </c>
      <c r="B5270" s="1" t="s">
        <v>167</v>
      </c>
      <c r="C5270" s="1" t="s">
        <v>145</v>
      </c>
      <c r="D5270" s="1" t="s">
        <v>146</v>
      </c>
      <c r="E5270">
        <v>5412</v>
      </c>
    </row>
    <row r="5271" spans="1:5" x14ac:dyDescent="0.35">
      <c r="A5271" s="1" t="s">
        <v>147</v>
      </c>
      <c r="B5271" s="1"/>
      <c r="C5271" s="1"/>
      <c r="D5271" s="1" t="s">
        <v>148</v>
      </c>
      <c r="E5271">
        <v>5412</v>
      </c>
    </row>
    <row r="5272" spans="1:5" x14ac:dyDescent="0.35">
      <c r="A5272" s="1" t="s">
        <v>147</v>
      </c>
      <c r="B5272" s="1"/>
      <c r="C5272" s="1"/>
      <c r="D5272" s="1" t="s">
        <v>149</v>
      </c>
      <c r="E5272" t="s">
        <v>136</v>
      </c>
    </row>
    <row r="5273" spans="1:5" x14ac:dyDescent="0.35">
      <c r="A5273" s="1" t="s">
        <v>147</v>
      </c>
      <c r="B5273" s="1"/>
      <c r="C5273" s="1" t="s">
        <v>150</v>
      </c>
      <c r="D5273" s="1" t="s">
        <v>146</v>
      </c>
      <c r="E5273" t="s">
        <v>136</v>
      </c>
    </row>
    <row r="5274" spans="1:5" x14ac:dyDescent="0.35">
      <c r="A5274" s="1" t="s">
        <v>147</v>
      </c>
      <c r="B5274" s="1"/>
      <c r="C5274" s="1"/>
      <c r="D5274" s="1" t="s">
        <v>148</v>
      </c>
      <c r="E5274" t="s">
        <v>136</v>
      </c>
    </row>
    <row r="5275" spans="1:5" x14ac:dyDescent="0.35">
      <c r="A5275" s="1" t="s">
        <v>147</v>
      </c>
      <c r="B5275" s="1"/>
      <c r="C5275" s="1"/>
      <c r="D5275" s="1" t="s">
        <v>149</v>
      </c>
      <c r="E5275" t="s">
        <v>136</v>
      </c>
    </row>
    <row r="5276" spans="1:5" x14ac:dyDescent="0.35">
      <c r="A5276" s="1" t="s">
        <v>147</v>
      </c>
      <c r="B5276" s="1" t="s">
        <v>168</v>
      </c>
      <c r="C5276" s="1" t="s">
        <v>145</v>
      </c>
      <c r="D5276" s="1" t="s">
        <v>146</v>
      </c>
      <c r="E5276" t="s">
        <v>136</v>
      </c>
    </row>
    <row r="5277" spans="1:5" x14ac:dyDescent="0.35">
      <c r="A5277" s="1" t="s">
        <v>147</v>
      </c>
      <c r="B5277" s="1"/>
      <c r="C5277" s="1"/>
      <c r="D5277" s="1" t="s">
        <v>148</v>
      </c>
      <c r="E5277" t="s">
        <v>136</v>
      </c>
    </row>
    <row r="5278" spans="1:5" x14ac:dyDescent="0.35">
      <c r="A5278" s="1" t="s">
        <v>147</v>
      </c>
      <c r="B5278" s="1"/>
      <c r="C5278" s="1"/>
      <c r="D5278" s="1" t="s">
        <v>149</v>
      </c>
      <c r="E5278" t="s">
        <v>136</v>
      </c>
    </row>
    <row r="5279" spans="1:5" x14ac:dyDescent="0.35">
      <c r="A5279" s="1" t="s">
        <v>147</v>
      </c>
      <c r="B5279" s="1"/>
      <c r="C5279" s="1" t="s">
        <v>150</v>
      </c>
      <c r="D5279" s="1" t="s">
        <v>146</v>
      </c>
      <c r="E5279" t="s">
        <v>136</v>
      </c>
    </row>
    <row r="5280" spans="1:5" x14ac:dyDescent="0.35">
      <c r="A5280" s="1" t="s">
        <v>147</v>
      </c>
      <c r="B5280" s="1"/>
      <c r="C5280" s="1"/>
      <c r="D5280" s="1" t="s">
        <v>148</v>
      </c>
      <c r="E5280" t="s">
        <v>136</v>
      </c>
    </row>
    <row r="5281" spans="1:5" x14ac:dyDescent="0.35">
      <c r="A5281" s="1" t="s">
        <v>147</v>
      </c>
      <c r="B5281" s="1"/>
      <c r="C5281" s="1"/>
      <c r="D5281" s="1" t="s">
        <v>149</v>
      </c>
      <c r="E5281" t="s">
        <v>136</v>
      </c>
    </row>
    <row r="5282" spans="1:5" x14ac:dyDescent="0.35">
      <c r="A5282" s="1" t="s">
        <v>147</v>
      </c>
      <c r="B5282" s="1" t="s">
        <v>169</v>
      </c>
      <c r="C5282" s="1" t="s">
        <v>145</v>
      </c>
      <c r="D5282" s="1" t="s">
        <v>146</v>
      </c>
      <c r="E5282" t="s">
        <v>136</v>
      </c>
    </row>
    <row r="5283" spans="1:5" x14ac:dyDescent="0.35">
      <c r="A5283" s="1" t="s">
        <v>147</v>
      </c>
      <c r="B5283" s="1"/>
      <c r="C5283" s="1"/>
      <c r="D5283" s="1" t="s">
        <v>148</v>
      </c>
      <c r="E5283" t="s">
        <v>136</v>
      </c>
    </row>
    <row r="5284" spans="1:5" x14ac:dyDescent="0.35">
      <c r="A5284" s="1" t="s">
        <v>147</v>
      </c>
      <c r="B5284" s="1"/>
      <c r="C5284" s="1"/>
      <c r="D5284" s="1" t="s">
        <v>149</v>
      </c>
      <c r="E5284" t="s">
        <v>136</v>
      </c>
    </row>
    <row r="5285" spans="1:5" x14ac:dyDescent="0.35">
      <c r="A5285" s="1" t="s">
        <v>147</v>
      </c>
      <c r="B5285" s="1"/>
      <c r="C5285" s="1" t="s">
        <v>150</v>
      </c>
      <c r="D5285" s="1" t="s">
        <v>146</v>
      </c>
      <c r="E5285" t="s">
        <v>136</v>
      </c>
    </row>
    <row r="5286" spans="1:5" x14ac:dyDescent="0.35">
      <c r="A5286" s="1" t="s">
        <v>147</v>
      </c>
      <c r="B5286" s="1"/>
      <c r="C5286" s="1"/>
      <c r="D5286" s="1" t="s">
        <v>148</v>
      </c>
      <c r="E5286" t="s">
        <v>136</v>
      </c>
    </row>
    <row r="5287" spans="1:5" x14ac:dyDescent="0.35">
      <c r="A5287" s="1" t="s">
        <v>147</v>
      </c>
      <c r="B5287" s="1"/>
      <c r="C5287" s="1"/>
      <c r="D5287" s="1" t="s">
        <v>149</v>
      </c>
      <c r="E5287" t="s">
        <v>136</v>
      </c>
    </row>
    <row r="5288" spans="1:5" x14ac:dyDescent="0.35">
      <c r="A5288" s="1" t="s">
        <v>147</v>
      </c>
      <c r="B5288" s="1" t="s">
        <v>170</v>
      </c>
      <c r="C5288" s="1" t="s">
        <v>145</v>
      </c>
      <c r="D5288" s="1" t="s">
        <v>146</v>
      </c>
      <c r="E5288" t="s">
        <v>136</v>
      </c>
    </row>
    <row r="5289" spans="1:5" x14ac:dyDescent="0.35">
      <c r="A5289" s="1" t="s">
        <v>147</v>
      </c>
      <c r="B5289" s="1"/>
      <c r="C5289" s="1"/>
      <c r="D5289" s="1" t="s">
        <v>148</v>
      </c>
      <c r="E5289" t="s">
        <v>136</v>
      </c>
    </row>
    <row r="5290" spans="1:5" x14ac:dyDescent="0.35">
      <c r="A5290" s="1" t="s">
        <v>147</v>
      </c>
      <c r="B5290" s="1"/>
      <c r="C5290" s="1"/>
      <c r="D5290" s="1" t="s">
        <v>149</v>
      </c>
      <c r="E5290" t="s">
        <v>136</v>
      </c>
    </row>
    <row r="5291" spans="1:5" x14ac:dyDescent="0.35">
      <c r="A5291" s="1" t="s">
        <v>147</v>
      </c>
      <c r="B5291" s="1"/>
      <c r="C5291" s="1" t="s">
        <v>150</v>
      </c>
      <c r="D5291" s="1" t="s">
        <v>146</v>
      </c>
      <c r="E5291" t="s">
        <v>136</v>
      </c>
    </row>
    <row r="5292" spans="1:5" x14ac:dyDescent="0.35">
      <c r="A5292" s="1" t="s">
        <v>147</v>
      </c>
      <c r="B5292" s="1"/>
      <c r="C5292" s="1"/>
      <c r="D5292" s="1" t="s">
        <v>148</v>
      </c>
      <c r="E5292" t="s">
        <v>136</v>
      </c>
    </row>
    <row r="5293" spans="1:5" x14ac:dyDescent="0.35">
      <c r="A5293" s="1" t="s">
        <v>147</v>
      </c>
      <c r="B5293" s="1"/>
      <c r="C5293" s="1"/>
      <c r="D5293" s="1" t="s">
        <v>149</v>
      </c>
      <c r="E5293" t="s">
        <v>136</v>
      </c>
    </row>
    <row r="5294" spans="1:5" x14ac:dyDescent="0.35">
      <c r="A5294" s="1" t="s">
        <v>122</v>
      </c>
      <c r="B5294" s="1" t="s">
        <v>144</v>
      </c>
      <c r="C5294" s="1" t="s">
        <v>145</v>
      </c>
      <c r="D5294" s="1" t="s">
        <v>146</v>
      </c>
      <c r="E5294">
        <v>1817.85</v>
      </c>
    </row>
    <row r="5295" spans="1:5" x14ac:dyDescent="0.35">
      <c r="A5295" s="1" t="s">
        <v>147</v>
      </c>
      <c r="B5295" s="1"/>
      <c r="C5295" s="1"/>
      <c r="D5295" s="1" t="s">
        <v>148</v>
      </c>
      <c r="E5295">
        <v>1800.09</v>
      </c>
    </row>
    <row r="5296" spans="1:5" x14ac:dyDescent="0.35">
      <c r="A5296" s="1" t="s">
        <v>147</v>
      </c>
      <c r="B5296" s="1"/>
      <c r="C5296" s="1"/>
      <c r="D5296" s="1" t="s">
        <v>149</v>
      </c>
      <c r="E5296">
        <v>17.760000000000002</v>
      </c>
    </row>
    <row r="5297" spans="1:5" x14ac:dyDescent="0.35">
      <c r="A5297" s="1" t="s">
        <v>147</v>
      </c>
      <c r="B5297" s="1"/>
      <c r="C5297" s="1" t="s">
        <v>150</v>
      </c>
      <c r="D5297" s="1" t="s">
        <v>146</v>
      </c>
      <c r="E5297" t="s">
        <v>136</v>
      </c>
    </row>
    <row r="5298" spans="1:5" x14ac:dyDescent="0.35">
      <c r="A5298" s="1" t="s">
        <v>147</v>
      </c>
      <c r="B5298" s="1"/>
      <c r="C5298" s="1"/>
      <c r="D5298" s="1" t="s">
        <v>148</v>
      </c>
      <c r="E5298" t="s">
        <v>136</v>
      </c>
    </row>
    <row r="5299" spans="1:5" x14ac:dyDescent="0.35">
      <c r="A5299" s="1" t="s">
        <v>147</v>
      </c>
      <c r="B5299" s="1"/>
      <c r="C5299" s="1"/>
      <c r="D5299" s="1" t="s">
        <v>149</v>
      </c>
      <c r="E5299" t="s">
        <v>136</v>
      </c>
    </row>
    <row r="5300" spans="1:5" x14ac:dyDescent="0.35">
      <c r="A5300" s="1" t="s">
        <v>147</v>
      </c>
      <c r="B5300" s="1" t="s">
        <v>151</v>
      </c>
      <c r="C5300" s="1" t="s">
        <v>145</v>
      </c>
      <c r="D5300" s="1" t="s">
        <v>146</v>
      </c>
      <c r="E5300">
        <v>84.52</v>
      </c>
    </row>
    <row r="5301" spans="1:5" x14ac:dyDescent="0.35">
      <c r="A5301" s="1" t="s">
        <v>147</v>
      </c>
      <c r="B5301" s="1"/>
      <c r="C5301" s="1"/>
      <c r="D5301" s="1" t="s">
        <v>148</v>
      </c>
      <c r="E5301">
        <v>67.39</v>
      </c>
    </row>
    <row r="5302" spans="1:5" x14ac:dyDescent="0.35">
      <c r="A5302" s="1" t="s">
        <v>147</v>
      </c>
      <c r="B5302" s="1"/>
      <c r="C5302" s="1"/>
      <c r="D5302" s="1" t="s">
        <v>149</v>
      </c>
      <c r="E5302">
        <v>17.13</v>
      </c>
    </row>
    <row r="5303" spans="1:5" x14ac:dyDescent="0.35">
      <c r="A5303" s="1" t="s">
        <v>147</v>
      </c>
      <c r="B5303" s="1"/>
      <c r="C5303" s="1" t="s">
        <v>150</v>
      </c>
      <c r="D5303" s="1" t="s">
        <v>146</v>
      </c>
      <c r="E5303" t="s">
        <v>136</v>
      </c>
    </row>
    <row r="5304" spans="1:5" x14ac:dyDescent="0.35">
      <c r="A5304" s="1" t="s">
        <v>147</v>
      </c>
      <c r="B5304" s="1"/>
      <c r="C5304" s="1"/>
      <c r="D5304" s="1" t="s">
        <v>148</v>
      </c>
      <c r="E5304" t="s">
        <v>136</v>
      </c>
    </row>
    <row r="5305" spans="1:5" x14ac:dyDescent="0.35">
      <c r="A5305" s="1" t="s">
        <v>147</v>
      </c>
      <c r="B5305" s="1"/>
      <c r="C5305" s="1"/>
      <c r="D5305" s="1" t="s">
        <v>149</v>
      </c>
      <c r="E5305" t="s">
        <v>136</v>
      </c>
    </row>
    <row r="5306" spans="1:5" x14ac:dyDescent="0.35">
      <c r="A5306" s="1" t="s">
        <v>147</v>
      </c>
      <c r="B5306" s="1" t="s">
        <v>152</v>
      </c>
      <c r="C5306" s="1" t="s">
        <v>145</v>
      </c>
      <c r="D5306" s="1" t="s">
        <v>146</v>
      </c>
      <c r="E5306" t="s">
        <v>136</v>
      </c>
    </row>
    <row r="5307" spans="1:5" x14ac:dyDescent="0.35">
      <c r="A5307" s="1" t="s">
        <v>147</v>
      </c>
      <c r="B5307" s="1"/>
      <c r="C5307" s="1"/>
      <c r="D5307" s="1" t="s">
        <v>148</v>
      </c>
      <c r="E5307" t="s">
        <v>136</v>
      </c>
    </row>
    <row r="5308" spans="1:5" x14ac:dyDescent="0.35">
      <c r="A5308" s="1" t="s">
        <v>147</v>
      </c>
      <c r="B5308" s="1"/>
      <c r="C5308" s="1"/>
      <c r="D5308" s="1" t="s">
        <v>149</v>
      </c>
      <c r="E5308" t="s">
        <v>136</v>
      </c>
    </row>
    <row r="5309" spans="1:5" x14ac:dyDescent="0.35">
      <c r="A5309" s="1" t="s">
        <v>147</v>
      </c>
      <c r="B5309" s="1"/>
      <c r="C5309" s="1" t="s">
        <v>150</v>
      </c>
      <c r="D5309" s="1" t="s">
        <v>146</v>
      </c>
      <c r="E5309" t="s">
        <v>136</v>
      </c>
    </row>
    <row r="5310" spans="1:5" x14ac:dyDescent="0.35">
      <c r="A5310" s="1" t="s">
        <v>147</v>
      </c>
      <c r="B5310" s="1"/>
      <c r="C5310" s="1"/>
      <c r="D5310" s="1" t="s">
        <v>148</v>
      </c>
      <c r="E5310" t="s">
        <v>136</v>
      </c>
    </row>
    <row r="5311" spans="1:5" x14ac:dyDescent="0.35">
      <c r="A5311" s="1" t="s">
        <v>147</v>
      </c>
      <c r="B5311" s="1"/>
      <c r="C5311" s="1"/>
      <c r="D5311" s="1" t="s">
        <v>149</v>
      </c>
      <c r="E5311" t="s">
        <v>136</v>
      </c>
    </row>
    <row r="5312" spans="1:5" x14ac:dyDescent="0.35">
      <c r="A5312" s="1" t="s">
        <v>147</v>
      </c>
      <c r="B5312" s="1" t="s">
        <v>153</v>
      </c>
      <c r="C5312" s="1" t="s">
        <v>145</v>
      </c>
      <c r="D5312" s="1" t="s">
        <v>146</v>
      </c>
      <c r="E5312" t="s">
        <v>136</v>
      </c>
    </row>
    <row r="5313" spans="1:5" x14ac:dyDescent="0.35">
      <c r="A5313" s="1" t="s">
        <v>147</v>
      </c>
      <c r="B5313" s="1"/>
      <c r="C5313" s="1"/>
      <c r="D5313" s="1" t="s">
        <v>148</v>
      </c>
      <c r="E5313" t="s">
        <v>136</v>
      </c>
    </row>
    <row r="5314" spans="1:5" x14ac:dyDescent="0.35">
      <c r="A5314" s="1" t="s">
        <v>147</v>
      </c>
      <c r="B5314" s="1"/>
      <c r="C5314" s="1"/>
      <c r="D5314" s="1" t="s">
        <v>149</v>
      </c>
      <c r="E5314" t="s">
        <v>136</v>
      </c>
    </row>
    <row r="5315" spans="1:5" x14ac:dyDescent="0.35">
      <c r="A5315" s="1" t="s">
        <v>147</v>
      </c>
      <c r="B5315" s="1"/>
      <c r="C5315" s="1" t="s">
        <v>150</v>
      </c>
      <c r="D5315" s="1" t="s">
        <v>146</v>
      </c>
      <c r="E5315" t="s">
        <v>136</v>
      </c>
    </row>
    <row r="5316" spans="1:5" x14ac:dyDescent="0.35">
      <c r="A5316" s="1" t="s">
        <v>147</v>
      </c>
      <c r="B5316" s="1"/>
      <c r="C5316" s="1"/>
      <c r="D5316" s="1" t="s">
        <v>148</v>
      </c>
      <c r="E5316" t="s">
        <v>136</v>
      </c>
    </row>
    <row r="5317" spans="1:5" x14ac:dyDescent="0.35">
      <c r="A5317" s="1" t="s">
        <v>147</v>
      </c>
      <c r="B5317" s="1"/>
      <c r="C5317" s="1"/>
      <c r="D5317" s="1" t="s">
        <v>149</v>
      </c>
      <c r="E5317" t="s">
        <v>136</v>
      </c>
    </row>
    <row r="5318" spans="1:5" x14ac:dyDescent="0.35">
      <c r="A5318" s="1" t="s">
        <v>147</v>
      </c>
      <c r="B5318" s="1" t="s">
        <v>154</v>
      </c>
      <c r="C5318" s="1" t="s">
        <v>145</v>
      </c>
      <c r="D5318" s="1" t="s">
        <v>146</v>
      </c>
      <c r="E5318" t="s">
        <v>136</v>
      </c>
    </row>
    <row r="5319" spans="1:5" x14ac:dyDescent="0.35">
      <c r="A5319" s="1" t="s">
        <v>147</v>
      </c>
      <c r="B5319" s="1"/>
      <c r="C5319" s="1"/>
      <c r="D5319" s="1" t="s">
        <v>148</v>
      </c>
      <c r="E5319" t="s">
        <v>136</v>
      </c>
    </row>
    <row r="5320" spans="1:5" x14ac:dyDescent="0.35">
      <c r="A5320" s="1" t="s">
        <v>147</v>
      </c>
      <c r="B5320" s="1"/>
      <c r="C5320" s="1"/>
      <c r="D5320" s="1" t="s">
        <v>149</v>
      </c>
      <c r="E5320" t="s">
        <v>136</v>
      </c>
    </row>
    <row r="5321" spans="1:5" x14ac:dyDescent="0.35">
      <c r="A5321" s="1" t="s">
        <v>147</v>
      </c>
      <c r="B5321" s="1"/>
      <c r="C5321" s="1" t="s">
        <v>150</v>
      </c>
      <c r="D5321" s="1" t="s">
        <v>146</v>
      </c>
      <c r="E5321" t="s">
        <v>136</v>
      </c>
    </row>
    <row r="5322" spans="1:5" x14ac:dyDescent="0.35">
      <c r="A5322" s="1" t="s">
        <v>147</v>
      </c>
      <c r="B5322" s="1"/>
      <c r="C5322" s="1"/>
      <c r="D5322" s="1" t="s">
        <v>148</v>
      </c>
      <c r="E5322" t="s">
        <v>136</v>
      </c>
    </row>
    <row r="5323" spans="1:5" x14ac:dyDescent="0.35">
      <c r="A5323" s="1" t="s">
        <v>147</v>
      </c>
      <c r="B5323" s="1"/>
      <c r="C5323" s="1"/>
      <c r="D5323" s="1" t="s">
        <v>149</v>
      </c>
      <c r="E5323" t="s">
        <v>136</v>
      </c>
    </row>
    <row r="5324" spans="1:5" x14ac:dyDescent="0.35">
      <c r="A5324" s="1" t="s">
        <v>147</v>
      </c>
      <c r="B5324" s="1" t="s">
        <v>155</v>
      </c>
      <c r="C5324" s="1" t="s">
        <v>145</v>
      </c>
      <c r="D5324" s="1" t="s">
        <v>146</v>
      </c>
      <c r="E5324">
        <v>1637.13</v>
      </c>
    </row>
    <row r="5325" spans="1:5" x14ac:dyDescent="0.35">
      <c r="A5325" s="1" t="s">
        <v>147</v>
      </c>
      <c r="B5325" s="1"/>
      <c r="C5325" s="1"/>
      <c r="D5325" s="1" t="s">
        <v>148</v>
      </c>
      <c r="E5325">
        <v>1636.5</v>
      </c>
    </row>
    <row r="5326" spans="1:5" x14ac:dyDescent="0.35">
      <c r="A5326" s="1" t="s">
        <v>147</v>
      </c>
      <c r="B5326" s="1"/>
      <c r="C5326" s="1"/>
      <c r="D5326" s="1" t="s">
        <v>149</v>
      </c>
      <c r="E5326">
        <v>0.63</v>
      </c>
    </row>
    <row r="5327" spans="1:5" x14ac:dyDescent="0.35">
      <c r="A5327" s="1" t="s">
        <v>147</v>
      </c>
      <c r="B5327" s="1"/>
      <c r="C5327" s="1" t="s">
        <v>150</v>
      </c>
      <c r="D5327" s="1" t="s">
        <v>146</v>
      </c>
      <c r="E5327" t="s">
        <v>136</v>
      </c>
    </row>
    <row r="5328" spans="1:5" x14ac:dyDescent="0.35">
      <c r="A5328" s="1" t="s">
        <v>147</v>
      </c>
      <c r="B5328" s="1"/>
      <c r="C5328" s="1"/>
      <c r="D5328" s="1" t="s">
        <v>148</v>
      </c>
      <c r="E5328" t="s">
        <v>136</v>
      </c>
    </row>
    <row r="5329" spans="1:5" x14ac:dyDescent="0.35">
      <c r="A5329" s="1" t="s">
        <v>147</v>
      </c>
      <c r="B5329" s="1"/>
      <c r="C5329" s="1"/>
      <c r="D5329" s="1" t="s">
        <v>149</v>
      </c>
      <c r="E5329" t="s">
        <v>136</v>
      </c>
    </row>
    <row r="5330" spans="1:5" x14ac:dyDescent="0.35">
      <c r="A5330" s="1" t="s">
        <v>147</v>
      </c>
      <c r="B5330" s="1" t="s">
        <v>156</v>
      </c>
      <c r="C5330" s="1" t="s">
        <v>145</v>
      </c>
      <c r="D5330" s="1" t="s">
        <v>146</v>
      </c>
      <c r="E5330" t="s">
        <v>136</v>
      </c>
    </row>
    <row r="5331" spans="1:5" x14ac:dyDescent="0.35">
      <c r="A5331" s="1" t="s">
        <v>147</v>
      </c>
      <c r="B5331" s="1"/>
      <c r="C5331" s="1"/>
      <c r="D5331" s="1" t="s">
        <v>148</v>
      </c>
      <c r="E5331" t="s">
        <v>136</v>
      </c>
    </row>
    <row r="5332" spans="1:5" x14ac:dyDescent="0.35">
      <c r="A5332" s="1" t="s">
        <v>147</v>
      </c>
      <c r="B5332" s="1"/>
      <c r="C5332" s="1"/>
      <c r="D5332" s="1" t="s">
        <v>149</v>
      </c>
      <c r="E5332" t="s">
        <v>136</v>
      </c>
    </row>
    <row r="5333" spans="1:5" x14ac:dyDescent="0.35">
      <c r="A5333" s="1" t="s">
        <v>147</v>
      </c>
      <c r="B5333" s="1"/>
      <c r="C5333" s="1" t="s">
        <v>150</v>
      </c>
      <c r="D5333" s="1" t="s">
        <v>146</v>
      </c>
      <c r="E5333" t="s">
        <v>136</v>
      </c>
    </row>
    <row r="5334" spans="1:5" x14ac:dyDescent="0.35">
      <c r="A5334" s="1" t="s">
        <v>147</v>
      </c>
      <c r="B5334" s="1"/>
      <c r="C5334" s="1"/>
      <c r="D5334" s="1" t="s">
        <v>148</v>
      </c>
      <c r="E5334" t="s">
        <v>136</v>
      </c>
    </row>
    <row r="5335" spans="1:5" x14ac:dyDescent="0.35">
      <c r="A5335" s="1" t="s">
        <v>147</v>
      </c>
      <c r="B5335" s="1"/>
      <c r="C5335" s="1"/>
      <c r="D5335" s="1" t="s">
        <v>149</v>
      </c>
      <c r="E5335" t="s">
        <v>136</v>
      </c>
    </row>
    <row r="5336" spans="1:5" x14ac:dyDescent="0.35">
      <c r="A5336" s="1" t="s">
        <v>147</v>
      </c>
      <c r="B5336" s="1" t="s">
        <v>157</v>
      </c>
      <c r="C5336" s="1" t="s">
        <v>145</v>
      </c>
      <c r="D5336" s="1" t="s">
        <v>146</v>
      </c>
      <c r="E5336" t="s">
        <v>136</v>
      </c>
    </row>
    <row r="5337" spans="1:5" x14ac:dyDescent="0.35">
      <c r="A5337" s="1" t="s">
        <v>147</v>
      </c>
      <c r="B5337" s="1"/>
      <c r="C5337" s="1"/>
      <c r="D5337" s="1" t="s">
        <v>148</v>
      </c>
      <c r="E5337" t="s">
        <v>136</v>
      </c>
    </row>
    <row r="5338" spans="1:5" x14ac:dyDescent="0.35">
      <c r="A5338" s="1" t="s">
        <v>147</v>
      </c>
      <c r="B5338" s="1"/>
      <c r="C5338" s="1"/>
      <c r="D5338" s="1" t="s">
        <v>149</v>
      </c>
      <c r="E5338" t="s">
        <v>136</v>
      </c>
    </row>
    <row r="5339" spans="1:5" x14ac:dyDescent="0.35">
      <c r="A5339" s="1" t="s">
        <v>147</v>
      </c>
      <c r="B5339" s="1"/>
      <c r="C5339" s="1" t="s">
        <v>150</v>
      </c>
      <c r="D5339" s="1" t="s">
        <v>146</v>
      </c>
      <c r="E5339" t="s">
        <v>136</v>
      </c>
    </row>
    <row r="5340" spans="1:5" x14ac:dyDescent="0.35">
      <c r="A5340" s="1" t="s">
        <v>147</v>
      </c>
      <c r="B5340" s="1"/>
      <c r="C5340" s="1"/>
      <c r="D5340" s="1" t="s">
        <v>148</v>
      </c>
      <c r="E5340" t="s">
        <v>136</v>
      </c>
    </row>
    <row r="5341" spans="1:5" x14ac:dyDescent="0.35">
      <c r="A5341" s="1" t="s">
        <v>147</v>
      </c>
      <c r="B5341" s="1"/>
      <c r="C5341" s="1"/>
      <c r="D5341" s="1" t="s">
        <v>149</v>
      </c>
      <c r="E5341" t="s">
        <v>136</v>
      </c>
    </row>
    <row r="5342" spans="1:5" x14ac:dyDescent="0.35">
      <c r="A5342" s="1" t="s">
        <v>147</v>
      </c>
      <c r="B5342" s="1" t="s">
        <v>158</v>
      </c>
      <c r="C5342" s="1" t="s">
        <v>145</v>
      </c>
      <c r="D5342" s="1" t="s">
        <v>146</v>
      </c>
      <c r="E5342">
        <v>96.2</v>
      </c>
    </row>
    <row r="5343" spans="1:5" x14ac:dyDescent="0.35">
      <c r="A5343" s="1" t="s">
        <v>147</v>
      </c>
      <c r="B5343" s="1"/>
      <c r="C5343" s="1"/>
      <c r="D5343" s="1" t="s">
        <v>148</v>
      </c>
      <c r="E5343">
        <v>96.2</v>
      </c>
    </row>
    <row r="5344" spans="1:5" x14ac:dyDescent="0.35">
      <c r="A5344" s="1" t="s">
        <v>147</v>
      </c>
      <c r="B5344" s="1"/>
      <c r="C5344" s="1"/>
      <c r="D5344" s="1" t="s">
        <v>149</v>
      </c>
      <c r="E5344" t="s">
        <v>136</v>
      </c>
    </row>
    <row r="5345" spans="1:5" x14ac:dyDescent="0.35">
      <c r="A5345" s="1" t="s">
        <v>147</v>
      </c>
      <c r="B5345" s="1"/>
      <c r="C5345" s="1" t="s">
        <v>150</v>
      </c>
      <c r="D5345" s="1" t="s">
        <v>146</v>
      </c>
      <c r="E5345" t="s">
        <v>136</v>
      </c>
    </row>
    <row r="5346" spans="1:5" x14ac:dyDescent="0.35">
      <c r="A5346" s="1" t="s">
        <v>147</v>
      </c>
      <c r="B5346" s="1"/>
      <c r="C5346" s="1"/>
      <c r="D5346" s="1" t="s">
        <v>148</v>
      </c>
      <c r="E5346" t="s">
        <v>136</v>
      </c>
    </row>
    <row r="5347" spans="1:5" x14ac:dyDescent="0.35">
      <c r="A5347" s="1" t="s">
        <v>147</v>
      </c>
      <c r="B5347" s="1"/>
      <c r="C5347" s="1"/>
      <c r="D5347" s="1" t="s">
        <v>149</v>
      </c>
      <c r="E5347" t="s">
        <v>136</v>
      </c>
    </row>
    <row r="5348" spans="1:5" x14ac:dyDescent="0.35">
      <c r="A5348" s="1" t="s">
        <v>147</v>
      </c>
      <c r="B5348" s="1" t="s">
        <v>159</v>
      </c>
      <c r="C5348" s="1" t="s">
        <v>145</v>
      </c>
      <c r="D5348" s="1" t="s">
        <v>146</v>
      </c>
      <c r="E5348" t="s">
        <v>136</v>
      </c>
    </row>
    <row r="5349" spans="1:5" x14ac:dyDescent="0.35">
      <c r="A5349" s="1" t="s">
        <v>147</v>
      </c>
      <c r="B5349" s="1"/>
      <c r="C5349" s="1"/>
      <c r="D5349" s="1" t="s">
        <v>148</v>
      </c>
      <c r="E5349" t="s">
        <v>136</v>
      </c>
    </row>
    <row r="5350" spans="1:5" x14ac:dyDescent="0.35">
      <c r="A5350" s="1" t="s">
        <v>147</v>
      </c>
      <c r="B5350" s="1"/>
      <c r="C5350" s="1"/>
      <c r="D5350" s="1" t="s">
        <v>149</v>
      </c>
      <c r="E5350" t="s">
        <v>136</v>
      </c>
    </row>
    <row r="5351" spans="1:5" x14ac:dyDescent="0.35">
      <c r="A5351" s="1" t="s">
        <v>147</v>
      </c>
      <c r="B5351" s="1"/>
      <c r="C5351" s="1" t="s">
        <v>150</v>
      </c>
      <c r="D5351" s="1" t="s">
        <v>146</v>
      </c>
      <c r="E5351" t="s">
        <v>136</v>
      </c>
    </row>
    <row r="5352" spans="1:5" x14ac:dyDescent="0.35">
      <c r="A5352" s="1" t="s">
        <v>147</v>
      </c>
      <c r="B5352" s="1"/>
      <c r="C5352" s="1"/>
      <c r="D5352" s="1" t="s">
        <v>148</v>
      </c>
      <c r="E5352" t="s">
        <v>136</v>
      </c>
    </row>
    <row r="5353" spans="1:5" x14ac:dyDescent="0.35">
      <c r="A5353" s="1" t="s">
        <v>147</v>
      </c>
      <c r="B5353" s="1"/>
      <c r="C5353" s="1"/>
      <c r="D5353" s="1" t="s">
        <v>149</v>
      </c>
      <c r="E5353" t="s">
        <v>136</v>
      </c>
    </row>
    <row r="5354" spans="1:5" x14ac:dyDescent="0.35">
      <c r="A5354" s="1" t="s">
        <v>147</v>
      </c>
      <c r="B5354" s="1" t="s">
        <v>160</v>
      </c>
      <c r="C5354" s="1" t="s">
        <v>145</v>
      </c>
      <c r="D5354" s="1" t="s">
        <v>146</v>
      </c>
      <c r="E5354" t="s">
        <v>136</v>
      </c>
    </row>
    <row r="5355" spans="1:5" x14ac:dyDescent="0.35">
      <c r="A5355" s="1" t="s">
        <v>147</v>
      </c>
      <c r="B5355" s="1"/>
      <c r="C5355" s="1"/>
      <c r="D5355" s="1" t="s">
        <v>148</v>
      </c>
      <c r="E5355" t="s">
        <v>136</v>
      </c>
    </row>
    <row r="5356" spans="1:5" x14ac:dyDescent="0.35">
      <c r="A5356" s="1" t="s">
        <v>147</v>
      </c>
      <c r="B5356" s="1"/>
      <c r="C5356" s="1"/>
      <c r="D5356" s="1" t="s">
        <v>149</v>
      </c>
      <c r="E5356" t="s">
        <v>136</v>
      </c>
    </row>
    <row r="5357" spans="1:5" x14ac:dyDescent="0.35">
      <c r="A5357" s="1" t="s">
        <v>147</v>
      </c>
      <c r="B5357" s="1"/>
      <c r="C5357" s="1" t="s">
        <v>150</v>
      </c>
      <c r="D5357" s="1" t="s">
        <v>146</v>
      </c>
      <c r="E5357" t="s">
        <v>136</v>
      </c>
    </row>
    <row r="5358" spans="1:5" x14ac:dyDescent="0.35">
      <c r="A5358" s="1" t="s">
        <v>147</v>
      </c>
      <c r="B5358" s="1"/>
      <c r="C5358" s="1"/>
      <c r="D5358" s="1" t="s">
        <v>148</v>
      </c>
      <c r="E5358" t="s">
        <v>136</v>
      </c>
    </row>
    <row r="5359" spans="1:5" x14ac:dyDescent="0.35">
      <c r="A5359" s="1" t="s">
        <v>147</v>
      </c>
      <c r="B5359" s="1"/>
      <c r="C5359" s="1"/>
      <c r="D5359" s="1" t="s">
        <v>149</v>
      </c>
      <c r="E5359" t="s">
        <v>136</v>
      </c>
    </row>
    <row r="5360" spans="1:5" x14ac:dyDescent="0.35">
      <c r="A5360" s="1" t="s">
        <v>147</v>
      </c>
      <c r="B5360" s="1" t="s">
        <v>161</v>
      </c>
      <c r="C5360" s="1" t="s">
        <v>145</v>
      </c>
      <c r="D5360" s="1" t="s">
        <v>146</v>
      </c>
      <c r="E5360" t="s">
        <v>136</v>
      </c>
    </row>
    <row r="5361" spans="1:5" x14ac:dyDescent="0.35">
      <c r="A5361" s="1" t="s">
        <v>147</v>
      </c>
      <c r="B5361" s="1"/>
      <c r="C5361" s="1"/>
      <c r="D5361" s="1" t="s">
        <v>148</v>
      </c>
      <c r="E5361" t="s">
        <v>136</v>
      </c>
    </row>
    <row r="5362" spans="1:5" x14ac:dyDescent="0.35">
      <c r="A5362" s="1" t="s">
        <v>147</v>
      </c>
      <c r="B5362" s="1"/>
      <c r="C5362" s="1"/>
      <c r="D5362" s="1" t="s">
        <v>149</v>
      </c>
      <c r="E5362" t="s">
        <v>136</v>
      </c>
    </row>
    <row r="5363" spans="1:5" x14ac:dyDescent="0.35">
      <c r="A5363" s="1" t="s">
        <v>147</v>
      </c>
      <c r="B5363" s="1"/>
      <c r="C5363" s="1" t="s">
        <v>150</v>
      </c>
      <c r="D5363" s="1" t="s">
        <v>146</v>
      </c>
      <c r="E5363" t="s">
        <v>136</v>
      </c>
    </row>
    <row r="5364" spans="1:5" x14ac:dyDescent="0.35">
      <c r="A5364" s="1" t="s">
        <v>147</v>
      </c>
      <c r="B5364" s="1"/>
      <c r="C5364" s="1"/>
      <c r="D5364" s="1" t="s">
        <v>148</v>
      </c>
      <c r="E5364" t="s">
        <v>136</v>
      </c>
    </row>
    <row r="5365" spans="1:5" x14ac:dyDescent="0.35">
      <c r="A5365" s="1" t="s">
        <v>147</v>
      </c>
      <c r="B5365" s="1"/>
      <c r="C5365" s="1"/>
      <c r="D5365" s="1" t="s">
        <v>149</v>
      </c>
      <c r="E5365" t="s">
        <v>136</v>
      </c>
    </row>
    <row r="5366" spans="1:5" x14ac:dyDescent="0.35">
      <c r="A5366" s="1" t="s">
        <v>147</v>
      </c>
      <c r="B5366" s="1" t="s">
        <v>162</v>
      </c>
      <c r="C5366" s="1" t="s">
        <v>145</v>
      </c>
      <c r="D5366" s="1" t="s">
        <v>146</v>
      </c>
      <c r="E5366" t="s">
        <v>136</v>
      </c>
    </row>
    <row r="5367" spans="1:5" x14ac:dyDescent="0.35">
      <c r="A5367" s="1" t="s">
        <v>147</v>
      </c>
      <c r="B5367" s="1"/>
      <c r="C5367" s="1"/>
      <c r="D5367" s="1" t="s">
        <v>148</v>
      </c>
      <c r="E5367" t="s">
        <v>136</v>
      </c>
    </row>
    <row r="5368" spans="1:5" x14ac:dyDescent="0.35">
      <c r="A5368" s="1" t="s">
        <v>147</v>
      </c>
      <c r="B5368" s="1"/>
      <c r="C5368" s="1"/>
      <c r="D5368" s="1" t="s">
        <v>149</v>
      </c>
      <c r="E5368" t="s">
        <v>136</v>
      </c>
    </row>
    <row r="5369" spans="1:5" x14ac:dyDescent="0.35">
      <c r="A5369" s="1" t="s">
        <v>147</v>
      </c>
      <c r="B5369" s="1"/>
      <c r="C5369" s="1" t="s">
        <v>150</v>
      </c>
      <c r="D5369" s="1" t="s">
        <v>146</v>
      </c>
      <c r="E5369" t="s">
        <v>136</v>
      </c>
    </row>
    <row r="5370" spans="1:5" x14ac:dyDescent="0.35">
      <c r="A5370" s="1" t="s">
        <v>147</v>
      </c>
      <c r="B5370" s="1"/>
      <c r="C5370" s="1"/>
      <c r="D5370" s="1" t="s">
        <v>148</v>
      </c>
      <c r="E5370" t="s">
        <v>136</v>
      </c>
    </row>
    <row r="5371" spans="1:5" x14ac:dyDescent="0.35">
      <c r="A5371" s="1" t="s">
        <v>147</v>
      </c>
      <c r="B5371" s="1"/>
      <c r="C5371" s="1"/>
      <c r="D5371" s="1" t="s">
        <v>149</v>
      </c>
      <c r="E5371" t="s">
        <v>136</v>
      </c>
    </row>
    <row r="5372" spans="1:5" x14ac:dyDescent="0.35">
      <c r="A5372" s="1" t="s">
        <v>147</v>
      </c>
      <c r="B5372" s="1" t="s">
        <v>163</v>
      </c>
      <c r="C5372" s="1" t="s">
        <v>145</v>
      </c>
      <c r="D5372" s="1" t="s">
        <v>146</v>
      </c>
      <c r="E5372">
        <v>103.08</v>
      </c>
    </row>
    <row r="5373" spans="1:5" x14ac:dyDescent="0.35">
      <c r="A5373" s="1" t="s">
        <v>147</v>
      </c>
      <c r="B5373" s="1"/>
      <c r="C5373" s="1"/>
      <c r="D5373" s="1" t="s">
        <v>148</v>
      </c>
      <c r="E5373">
        <v>102</v>
      </c>
    </row>
    <row r="5374" spans="1:5" x14ac:dyDescent="0.35">
      <c r="A5374" s="1" t="s">
        <v>147</v>
      </c>
      <c r="B5374" s="1"/>
      <c r="C5374" s="1"/>
      <c r="D5374" s="1" t="s">
        <v>149</v>
      </c>
      <c r="E5374">
        <v>1.08</v>
      </c>
    </row>
    <row r="5375" spans="1:5" x14ac:dyDescent="0.35">
      <c r="A5375" s="1" t="s">
        <v>147</v>
      </c>
      <c r="B5375" s="1"/>
      <c r="C5375" s="1" t="s">
        <v>150</v>
      </c>
      <c r="D5375" s="1" t="s">
        <v>146</v>
      </c>
      <c r="E5375" t="s">
        <v>136</v>
      </c>
    </row>
    <row r="5376" spans="1:5" x14ac:dyDescent="0.35">
      <c r="A5376" s="1" t="s">
        <v>147</v>
      </c>
      <c r="B5376" s="1"/>
      <c r="C5376" s="1"/>
      <c r="D5376" s="1" t="s">
        <v>148</v>
      </c>
      <c r="E5376" t="s">
        <v>136</v>
      </c>
    </row>
    <row r="5377" spans="1:5" x14ac:dyDescent="0.35">
      <c r="A5377" s="1" t="s">
        <v>147</v>
      </c>
      <c r="B5377" s="1"/>
      <c r="C5377" s="1"/>
      <c r="D5377" s="1" t="s">
        <v>149</v>
      </c>
      <c r="E5377" t="s">
        <v>136</v>
      </c>
    </row>
    <row r="5378" spans="1:5" x14ac:dyDescent="0.35">
      <c r="A5378" s="1" t="s">
        <v>147</v>
      </c>
      <c r="B5378" s="1" t="s">
        <v>164</v>
      </c>
      <c r="C5378" s="1" t="s">
        <v>145</v>
      </c>
      <c r="D5378" s="1" t="s">
        <v>146</v>
      </c>
      <c r="E5378" t="s">
        <v>136</v>
      </c>
    </row>
    <row r="5379" spans="1:5" x14ac:dyDescent="0.35">
      <c r="A5379" s="1" t="s">
        <v>147</v>
      </c>
      <c r="B5379" s="1"/>
      <c r="C5379" s="1"/>
      <c r="D5379" s="1" t="s">
        <v>148</v>
      </c>
      <c r="E5379" t="s">
        <v>136</v>
      </c>
    </row>
    <row r="5380" spans="1:5" x14ac:dyDescent="0.35">
      <c r="A5380" s="1" t="s">
        <v>147</v>
      </c>
      <c r="B5380" s="1"/>
      <c r="C5380" s="1"/>
      <c r="D5380" s="1" t="s">
        <v>149</v>
      </c>
      <c r="E5380" t="s">
        <v>136</v>
      </c>
    </row>
    <row r="5381" spans="1:5" x14ac:dyDescent="0.35">
      <c r="A5381" s="1" t="s">
        <v>147</v>
      </c>
      <c r="B5381" s="1"/>
      <c r="C5381" s="1" t="s">
        <v>150</v>
      </c>
      <c r="D5381" s="1" t="s">
        <v>146</v>
      </c>
      <c r="E5381" t="s">
        <v>136</v>
      </c>
    </row>
    <row r="5382" spans="1:5" x14ac:dyDescent="0.35">
      <c r="A5382" s="1" t="s">
        <v>147</v>
      </c>
      <c r="B5382" s="1"/>
      <c r="C5382" s="1"/>
      <c r="D5382" s="1" t="s">
        <v>148</v>
      </c>
      <c r="E5382" t="s">
        <v>136</v>
      </c>
    </row>
    <row r="5383" spans="1:5" x14ac:dyDescent="0.35">
      <c r="A5383" s="1" t="s">
        <v>147</v>
      </c>
      <c r="B5383" s="1"/>
      <c r="C5383" s="1"/>
      <c r="D5383" s="1" t="s">
        <v>149</v>
      </c>
      <c r="E5383" t="s">
        <v>136</v>
      </c>
    </row>
    <row r="5384" spans="1:5" x14ac:dyDescent="0.35">
      <c r="A5384" s="1" t="s">
        <v>147</v>
      </c>
      <c r="B5384" s="1" t="s">
        <v>165</v>
      </c>
      <c r="C5384" s="1" t="s">
        <v>145</v>
      </c>
      <c r="D5384" s="1" t="s">
        <v>146</v>
      </c>
      <c r="E5384" t="s">
        <v>136</v>
      </c>
    </row>
    <row r="5385" spans="1:5" x14ac:dyDescent="0.35">
      <c r="A5385" s="1" t="s">
        <v>147</v>
      </c>
      <c r="B5385" s="1"/>
      <c r="C5385" s="1"/>
      <c r="D5385" s="1" t="s">
        <v>148</v>
      </c>
      <c r="E5385" t="s">
        <v>136</v>
      </c>
    </row>
    <row r="5386" spans="1:5" x14ac:dyDescent="0.35">
      <c r="A5386" s="1" t="s">
        <v>147</v>
      </c>
      <c r="B5386" s="1"/>
      <c r="C5386" s="1"/>
      <c r="D5386" s="1" t="s">
        <v>149</v>
      </c>
      <c r="E5386" t="s">
        <v>136</v>
      </c>
    </row>
    <row r="5387" spans="1:5" x14ac:dyDescent="0.35">
      <c r="A5387" s="1" t="s">
        <v>147</v>
      </c>
      <c r="B5387" s="1"/>
      <c r="C5387" s="1" t="s">
        <v>150</v>
      </c>
      <c r="D5387" s="1" t="s">
        <v>146</v>
      </c>
      <c r="E5387" t="s">
        <v>136</v>
      </c>
    </row>
    <row r="5388" spans="1:5" x14ac:dyDescent="0.35">
      <c r="A5388" s="1" t="s">
        <v>147</v>
      </c>
      <c r="B5388" s="1"/>
      <c r="C5388" s="1"/>
      <c r="D5388" s="1" t="s">
        <v>148</v>
      </c>
      <c r="E5388" t="s">
        <v>136</v>
      </c>
    </row>
    <row r="5389" spans="1:5" x14ac:dyDescent="0.35">
      <c r="A5389" s="1" t="s">
        <v>147</v>
      </c>
      <c r="B5389" s="1"/>
      <c r="C5389" s="1"/>
      <c r="D5389" s="1" t="s">
        <v>149</v>
      </c>
      <c r="E5389" t="s">
        <v>136</v>
      </c>
    </row>
    <row r="5390" spans="1:5" x14ac:dyDescent="0.35">
      <c r="A5390" s="1" t="s">
        <v>147</v>
      </c>
      <c r="B5390" s="1" t="s">
        <v>166</v>
      </c>
      <c r="C5390" s="1" t="s">
        <v>145</v>
      </c>
      <c r="D5390" s="1" t="s">
        <v>146</v>
      </c>
      <c r="E5390">
        <v>103.08</v>
      </c>
    </row>
    <row r="5391" spans="1:5" x14ac:dyDescent="0.35">
      <c r="A5391" s="1" t="s">
        <v>147</v>
      </c>
      <c r="B5391" s="1"/>
      <c r="C5391" s="1"/>
      <c r="D5391" s="1" t="s">
        <v>148</v>
      </c>
      <c r="E5391">
        <v>102</v>
      </c>
    </row>
    <row r="5392" spans="1:5" x14ac:dyDescent="0.35">
      <c r="A5392" s="1" t="s">
        <v>147</v>
      </c>
      <c r="B5392" s="1"/>
      <c r="C5392" s="1"/>
      <c r="D5392" s="1" t="s">
        <v>149</v>
      </c>
      <c r="E5392">
        <v>1.08</v>
      </c>
    </row>
    <row r="5393" spans="1:5" x14ac:dyDescent="0.35">
      <c r="A5393" s="1" t="s">
        <v>147</v>
      </c>
      <c r="B5393" s="1"/>
      <c r="C5393" s="1" t="s">
        <v>150</v>
      </c>
      <c r="D5393" s="1" t="s">
        <v>146</v>
      </c>
      <c r="E5393" t="s">
        <v>136</v>
      </c>
    </row>
    <row r="5394" spans="1:5" x14ac:dyDescent="0.35">
      <c r="A5394" s="1" t="s">
        <v>147</v>
      </c>
      <c r="B5394" s="1"/>
      <c r="C5394" s="1"/>
      <c r="D5394" s="1" t="s">
        <v>148</v>
      </c>
      <c r="E5394" t="s">
        <v>136</v>
      </c>
    </row>
    <row r="5395" spans="1:5" x14ac:dyDescent="0.35">
      <c r="A5395" s="1" t="s">
        <v>147</v>
      </c>
      <c r="B5395" s="1"/>
      <c r="C5395" s="1"/>
      <c r="D5395" s="1" t="s">
        <v>149</v>
      </c>
      <c r="E5395" t="s">
        <v>136</v>
      </c>
    </row>
    <row r="5396" spans="1:5" x14ac:dyDescent="0.35">
      <c r="A5396" s="1" t="s">
        <v>147</v>
      </c>
      <c r="B5396" s="1" t="s">
        <v>167</v>
      </c>
      <c r="C5396" s="1" t="s">
        <v>145</v>
      </c>
      <c r="D5396" s="1" t="s">
        <v>146</v>
      </c>
      <c r="E5396" t="s">
        <v>136</v>
      </c>
    </row>
    <row r="5397" spans="1:5" x14ac:dyDescent="0.35">
      <c r="A5397" s="1" t="s">
        <v>147</v>
      </c>
      <c r="B5397" s="1"/>
      <c r="C5397" s="1"/>
      <c r="D5397" s="1" t="s">
        <v>148</v>
      </c>
      <c r="E5397" t="s">
        <v>136</v>
      </c>
    </row>
    <row r="5398" spans="1:5" x14ac:dyDescent="0.35">
      <c r="A5398" s="1" t="s">
        <v>147</v>
      </c>
      <c r="B5398" s="1"/>
      <c r="C5398" s="1"/>
      <c r="D5398" s="1" t="s">
        <v>149</v>
      </c>
      <c r="E5398" t="s">
        <v>136</v>
      </c>
    </row>
    <row r="5399" spans="1:5" x14ac:dyDescent="0.35">
      <c r="A5399" s="1" t="s">
        <v>147</v>
      </c>
      <c r="B5399" s="1"/>
      <c r="C5399" s="1" t="s">
        <v>150</v>
      </c>
      <c r="D5399" s="1" t="s">
        <v>146</v>
      </c>
      <c r="E5399" t="s">
        <v>136</v>
      </c>
    </row>
    <row r="5400" spans="1:5" x14ac:dyDescent="0.35">
      <c r="A5400" s="1" t="s">
        <v>147</v>
      </c>
      <c r="B5400" s="1"/>
      <c r="C5400" s="1"/>
      <c r="D5400" s="1" t="s">
        <v>148</v>
      </c>
      <c r="E5400" t="s">
        <v>136</v>
      </c>
    </row>
    <row r="5401" spans="1:5" x14ac:dyDescent="0.35">
      <c r="A5401" s="1" t="s">
        <v>147</v>
      </c>
      <c r="B5401" s="1"/>
      <c r="C5401" s="1"/>
      <c r="D5401" s="1" t="s">
        <v>149</v>
      </c>
      <c r="E5401" t="s">
        <v>136</v>
      </c>
    </row>
    <row r="5402" spans="1:5" x14ac:dyDescent="0.35">
      <c r="A5402" s="1" t="s">
        <v>147</v>
      </c>
      <c r="B5402" s="1" t="s">
        <v>168</v>
      </c>
      <c r="C5402" s="1" t="s">
        <v>145</v>
      </c>
      <c r="D5402" s="1" t="s">
        <v>146</v>
      </c>
      <c r="E5402" t="s">
        <v>136</v>
      </c>
    </row>
    <row r="5403" spans="1:5" x14ac:dyDescent="0.35">
      <c r="A5403" s="1" t="s">
        <v>147</v>
      </c>
      <c r="B5403" s="1"/>
      <c r="C5403" s="1"/>
      <c r="D5403" s="1" t="s">
        <v>148</v>
      </c>
      <c r="E5403" t="s">
        <v>136</v>
      </c>
    </row>
    <row r="5404" spans="1:5" x14ac:dyDescent="0.35">
      <c r="A5404" s="1" t="s">
        <v>147</v>
      </c>
      <c r="B5404" s="1"/>
      <c r="C5404" s="1"/>
      <c r="D5404" s="1" t="s">
        <v>149</v>
      </c>
      <c r="E5404" t="s">
        <v>136</v>
      </c>
    </row>
    <row r="5405" spans="1:5" x14ac:dyDescent="0.35">
      <c r="A5405" s="1" t="s">
        <v>147</v>
      </c>
      <c r="B5405" s="1"/>
      <c r="C5405" s="1" t="s">
        <v>150</v>
      </c>
      <c r="D5405" s="1" t="s">
        <v>146</v>
      </c>
      <c r="E5405" t="s">
        <v>136</v>
      </c>
    </row>
    <row r="5406" spans="1:5" x14ac:dyDescent="0.35">
      <c r="A5406" s="1" t="s">
        <v>147</v>
      </c>
      <c r="B5406" s="1"/>
      <c r="C5406" s="1"/>
      <c r="D5406" s="1" t="s">
        <v>148</v>
      </c>
      <c r="E5406" t="s">
        <v>136</v>
      </c>
    </row>
    <row r="5407" spans="1:5" x14ac:dyDescent="0.35">
      <c r="A5407" s="1" t="s">
        <v>147</v>
      </c>
      <c r="B5407" s="1"/>
      <c r="C5407" s="1"/>
      <c r="D5407" s="1" t="s">
        <v>149</v>
      </c>
      <c r="E5407" t="s">
        <v>136</v>
      </c>
    </row>
    <row r="5408" spans="1:5" x14ac:dyDescent="0.35">
      <c r="A5408" s="1" t="s">
        <v>147</v>
      </c>
      <c r="B5408" s="1" t="s">
        <v>169</v>
      </c>
      <c r="C5408" s="1" t="s">
        <v>145</v>
      </c>
      <c r="D5408" s="1" t="s">
        <v>146</v>
      </c>
      <c r="E5408" t="s">
        <v>136</v>
      </c>
    </row>
    <row r="5409" spans="1:5" x14ac:dyDescent="0.35">
      <c r="A5409" s="1" t="s">
        <v>147</v>
      </c>
      <c r="B5409" s="1"/>
      <c r="C5409" s="1"/>
      <c r="D5409" s="1" t="s">
        <v>148</v>
      </c>
      <c r="E5409" t="s">
        <v>136</v>
      </c>
    </row>
    <row r="5410" spans="1:5" x14ac:dyDescent="0.35">
      <c r="A5410" s="1" t="s">
        <v>147</v>
      </c>
      <c r="B5410" s="1"/>
      <c r="C5410" s="1"/>
      <c r="D5410" s="1" t="s">
        <v>149</v>
      </c>
      <c r="E5410" t="s">
        <v>136</v>
      </c>
    </row>
    <row r="5411" spans="1:5" x14ac:dyDescent="0.35">
      <c r="A5411" s="1" t="s">
        <v>147</v>
      </c>
      <c r="B5411" s="1"/>
      <c r="C5411" s="1" t="s">
        <v>150</v>
      </c>
      <c r="D5411" s="1" t="s">
        <v>146</v>
      </c>
      <c r="E5411" t="s">
        <v>136</v>
      </c>
    </row>
    <row r="5412" spans="1:5" x14ac:dyDescent="0.35">
      <c r="A5412" s="1" t="s">
        <v>147</v>
      </c>
      <c r="B5412" s="1"/>
      <c r="C5412" s="1"/>
      <c r="D5412" s="1" t="s">
        <v>148</v>
      </c>
      <c r="E5412" t="s">
        <v>136</v>
      </c>
    </row>
    <row r="5413" spans="1:5" x14ac:dyDescent="0.35">
      <c r="A5413" s="1" t="s">
        <v>147</v>
      </c>
      <c r="B5413" s="1"/>
      <c r="C5413" s="1"/>
      <c r="D5413" s="1" t="s">
        <v>149</v>
      </c>
      <c r="E5413" t="s">
        <v>136</v>
      </c>
    </row>
    <row r="5414" spans="1:5" x14ac:dyDescent="0.35">
      <c r="A5414" s="1" t="s">
        <v>147</v>
      </c>
      <c r="B5414" s="1" t="s">
        <v>170</v>
      </c>
      <c r="C5414" s="1" t="s">
        <v>145</v>
      </c>
      <c r="D5414" s="1" t="s">
        <v>146</v>
      </c>
      <c r="E5414" t="s">
        <v>136</v>
      </c>
    </row>
    <row r="5415" spans="1:5" x14ac:dyDescent="0.35">
      <c r="A5415" s="1" t="s">
        <v>147</v>
      </c>
      <c r="B5415" s="1"/>
      <c r="C5415" s="1"/>
      <c r="D5415" s="1" t="s">
        <v>148</v>
      </c>
      <c r="E5415" t="s">
        <v>136</v>
      </c>
    </row>
    <row r="5416" spans="1:5" x14ac:dyDescent="0.35">
      <c r="A5416" s="1" t="s">
        <v>147</v>
      </c>
      <c r="B5416" s="1"/>
      <c r="C5416" s="1"/>
      <c r="D5416" s="1" t="s">
        <v>149</v>
      </c>
      <c r="E5416" t="s">
        <v>136</v>
      </c>
    </row>
    <row r="5417" spans="1:5" x14ac:dyDescent="0.35">
      <c r="A5417" s="1" t="s">
        <v>147</v>
      </c>
      <c r="B5417" s="1"/>
      <c r="C5417" s="1" t="s">
        <v>150</v>
      </c>
      <c r="D5417" s="1" t="s">
        <v>146</v>
      </c>
      <c r="E5417" t="s">
        <v>136</v>
      </c>
    </row>
    <row r="5418" spans="1:5" x14ac:dyDescent="0.35">
      <c r="A5418" s="1" t="s">
        <v>147</v>
      </c>
      <c r="B5418" s="1"/>
      <c r="C5418" s="1"/>
      <c r="D5418" s="1" t="s">
        <v>148</v>
      </c>
      <c r="E5418" t="s">
        <v>136</v>
      </c>
    </row>
    <row r="5419" spans="1:5" x14ac:dyDescent="0.35">
      <c r="A5419" s="1" t="s">
        <v>147</v>
      </c>
      <c r="B5419" s="1"/>
      <c r="C5419" s="1"/>
      <c r="D5419" s="1" t="s">
        <v>149</v>
      </c>
      <c r="E5419" t="s">
        <v>136</v>
      </c>
    </row>
    <row r="5420" spans="1:5" x14ac:dyDescent="0.35">
      <c r="A5420" s="1" t="s">
        <v>126</v>
      </c>
      <c r="B5420" s="1" t="s">
        <v>144</v>
      </c>
      <c r="C5420" s="1" t="s">
        <v>145</v>
      </c>
      <c r="D5420" s="1" t="s">
        <v>146</v>
      </c>
      <c r="E5420">
        <v>3403.69</v>
      </c>
    </row>
    <row r="5421" spans="1:5" x14ac:dyDescent="0.35">
      <c r="A5421" s="1" t="s">
        <v>147</v>
      </c>
      <c r="B5421" s="1"/>
      <c r="C5421" s="1"/>
      <c r="D5421" s="1" t="s">
        <v>148</v>
      </c>
      <c r="E5421">
        <v>3391.3</v>
      </c>
    </row>
    <row r="5422" spans="1:5" x14ac:dyDescent="0.35">
      <c r="A5422" s="1" t="s">
        <v>147</v>
      </c>
      <c r="B5422" s="1"/>
      <c r="C5422" s="1"/>
      <c r="D5422" s="1" t="s">
        <v>149</v>
      </c>
      <c r="E5422">
        <v>12.39</v>
      </c>
    </row>
    <row r="5423" spans="1:5" x14ac:dyDescent="0.35">
      <c r="A5423" s="1" t="s">
        <v>147</v>
      </c>
      <c r="B5423" s="1"/>
      <c r="C5423" s="1" t="s">
        <v>150</v>
      </c>
      <c r="D5423" s="1" t="s">
        <v>146</v>
      </c>
      <c r="E5423" t="s">
        <v>136</v>
      </c>
    </row>
    <row r="5424" spans="1:5" x14ac:dyDescent="0.35">
      <c r="A5424" s="1" t="s">
        <v>147</v>
      </c>
      <c r="B5424" s="1"/>
      <c r="C5424" s="1"/>
      <c r="D5424" s="1" t="s">
        <v>148</v>
      </c>
      <c r="E5424" t="s">
        <v>136</v>
      </c>
    </row>
    <row r="5425" spans="1:5" x14ac:dyDescent="0.35">
      <c r="A5425" s="1" t="s">
        <v>147</v>
      </c>
      <c r="B5425" s="1"/>
      <c r="C5425" s="1"/>
      <c r="D5425" s="1" t="s">
        <v>149</v>
      </c>
      <c r="E5425" t="s">
        <v>136</v>
      </c>
    </row>
    <row r="5426" spans="1:5" x14ac:dyDescent="0.35">
      <c r="A5426" s="1" t="s">
        <v>147</v>
      </c>
      <c r="B5426" s="1" t="s">
        <v>151</v>
      </c>
      <c r="C5426" s="1" t="s">
        <v>145</v>
      </c>
      <c r="D5426" s="1" t="s">
        <v>146</v>
      </c>
      <c r="E5426">
        <v>195.84</v>
      </c>
    </row>
    <row r="5427" spans="1:5" x14ac:dyDescent="0.35">
      <c r="A5427" s="1" t="s">
        <v>147</v>
      </c>
      <c r="B5427" s="1"/>
      <c r="C5427" s="1"/>
      <c r="D5427" s="1" t="s">
        <v>148</v>
      </c>
      <c r="E5427">
        <v>186</v>
      </c>
    </row>
    <row r="5428" spans="1:5" x14ac:dyDescent="0.35">
      <c r="A5428" s="1" t="s">
        <v>147</v>
      </c>
      <c r="B5428" s="1"/>
      <c r="C5428" s="1"/>
      <c r="D5428" s="1" t="s">
        <v>149</v>
      </c>
      <c r="E5428">
        <v>9.84</v>
      </c>
    </row>
    <row r="5429" spans="1:5" x14ac:dyDescent="0.35">
      <c r="A5429" s="1" t="s">
        <v>147</v>
      </c>
      <c r="B5429" s="1"/>
      <c r="C5429" s="1" t="s">
        <v>150</v>
      </c>
      <c r="D5429" s="1" t="s">
        <v>146</v>
      </c>
      <c r="E5429" t="s">
        <v>136</v>
      </c>
    </row>
    <row r="5430" spans="1:5" x14ac:dyDescent="0.35">
      <c r="A5430" s="1" t="s">
        <v>147</v>
      </c>
      <c r="B5430" s="1"/>
      <c r="C5430" s="1"/>
      <c r="D5430" s="1" t="s">
        <v>148</v>
      </c>
      <c r="E5430" t="s">
        <v>136</v>
      </c>
    </row>
    <row r="5431" spans="1:5" x14ac:dyDescent="0.35">
      <c r="A5431" s="1" t="s">
        <v>147</v>
      </c>
      <c r="B5431" s="1"/>
      <c r="C5431" s="1"/>
      <c r="D5431" s="1" t="s">
        <v>149</v>
      </c>
      <c r="E5431" t="s">
        <v>136</v>
      </c>
    </row>
    <row r="5432" spans="1:5" x14ac:dyDescent="0.35">
      <c r="A5432" s="1" t="s">
        <v>147</v>
      </c>
      <c r="B5432" s="1" t="s">
        <v>152</v>
      </c>
      <c r="C5432" s="1" t="s">
        <v>145</v>
      </c>
      <c r="D5432" s="1" t="s">
        <v>146</v>
      </c>
      <c r="E5432" t="s">
        <v>136</v>
      </c>
    </row>
    <row r="5433" spans="1:5" x14ac:dyDescent="0.35">
      <c r="A5433" s="1" t="s">
        <v>147</v>
      </c>
      <c r="B5433" s="1"/>
      <c r="C5433" s="1"/>
      <c r="D5433" s="1" t="s">
        <v>148</v>
      </c>
      <c r="E5433" t="s">
        <v>136</v>
      </c>
    </row>
    <row r="5434" spans="1:5" x14ac:dyDescent="0.35">
      <c r="A5434" s="1" t="s">
        <v>147</v>
      </c>
      <c r="B5434" s="1"/>
      <c r="C5434" s="1"/>
      <c r="D5434" s="1" t="s">
        <v>149</v>
      </c>
      <c r="E5434" t="s">
        <v>136</v>
      </c>
    </row>
    <row r="5435" spans="1:5" x14ac:dyDescent="0.35">
      <c r="A5435" s="1" t="s">
        <v>147</v>
      </c>
      <c r="B5435" s="1"/>
      <c r="C5435" s="1" t="s">
        <v>150</v>
      </c>
      <c r="D5435" s="1" t="s">
        <v>146</v>
      </c>
      <c r="E5435" t="s">
        <v>136</v>
      </c>
    </row>
    <row r="5436" spans="1:5" x14ac:dyDescent="0.35">
      <c r="A5436" s="1" t="s">
        <v>147</v>
      </c>
      <c r="B5436" s="1"/>
      <c r="C5436" s="1"/>
      <c r="D5436" s="1" t="s">
        <v>148</v>
      </c>
      <c r="E5436" t="s">
        <v>136</v>
      </c>
    </row>
    <row r="5437" spans="1:5" x14ac:dyDescent="0.35">
      <c r="A5437" s="1" t="s">
        <v>147</v>
      </c>
      <c r="B5437" s="1"/>
      <c r="C5437" s="1"/>
      <c r="D5437" s="1" t="s">
        <v>149</v>
      </c>
      <c r="E5437" t="s">
        <v>136</v>
      </c>
    </row>
    <row r="5438" spans="1:5" x14ac:dyDescent="0.35">
      <c r="A5438" s="1" t="s">
        <v>147</v>
      </c>
      <c r="B5438" s="1" t="s">
        <v>153</v>
      </c>
      <c r="C5438" s="1" t="s">
        <v>145</v>
      </c>
      <c r="D5438" s="1" t="s">
        <v>146</v>
      </c>
      <c r="E5438" t="s">
        <v>136</v>
      </c>
    </row>
    <row r="5439" spans="1:5" x14ac:dyDescent="0.35">
      <c r="A5439" s="1" t="s">
        <v>147</v>
      </c>
      <c r="B5439" s="1"/>
      <c r="C5439" s="1"/>
      <c r="D5439" s="1" t="s">
        <v>148</v>
      </c>
      <c r="E5439" t="s">
        <v>136</v>
      </c>
    </row>
    <row r="5440" spans="1:5" x14ac:dyDescent="0.35">
      <c r="A5440" s="1" t="s">
        <v>147</v>
      </c>
      <c r="B5440" s="1"/>
      <c r="C5440" s="1"/>
      <c r="D5440" s="1" t="s">
        <v>149</v>
      </c>
      <c r="E5440" t="s">
        <v>136</v>
      </c>
    </row>
    <row r="5441" spans="1:5" x14ac:dyDescent="0.35">
      <c r="A5441" s="1" t="s">
        <v>147</v>
      </c>
      <c r="B5441" s="1"/>
      <c r="C5441" s="1" t="s">
        <v>150</v>
      </c>
      <c r="D5441" s="1" t="s">
        <v>146</v>
      </c>
      <c r="E5441" t="s">
        <v>136</v>
      </c>
    </row>
    <row r="5442" spans="1:5" x14ac:dyDescent="0.35">
      <c r="A5442" s="1" t="s">
        <v>147</v>
      </c>
      <c r="B5442" s="1"/>
      <c r="C5442" s="1"/>
      <c r="D5442" s="1" t="s">
        <v>148</v>
      </c>
      <c r="E5442" t="s">
        <v>136</v>
      </c>
    </row>
    <row r="5443" spans="1:5" x14ac:dyDescent="0.35">
      <c r="A5443" s="1" t="s">
        <v>147</v>
      </c>
      <c r="B5443" s="1"/>
      <c r="C5443" s="1"/>
      <c r="D5443" s="1" t="s">
        <v>149</v>
      </c>
      <c r="E5443" t="s">
        <v>136</v>
      </c>
    </row>
    <row r="5444" spans="1:5" x14ac:dyDescent="0.35">
      <c r="A5444" s="1" t="s">
        <v>147</v>
      </c>
      <c r="B5444" s="1" t="s">
        <v>154</v>
      </c>
      <c r="C5444" s="1" t="s">
        <v>145</v>
      </c>
      <c r="D5444" s="1" t="s">
        <v>146</v>
      </c>
      <c r="E5444" t="s">
        <v>136</v>
      </c>
    </row>
    <row r="5445" spans="1:5" x14ac:dyDescent="0.35">
      <c r="A5445" s="1" t="s">
        <v>147</v>
      </c>
      <c r="B5445" s="1"/>
      <c r="C5445" s="1"/>
      <c r="D5445" s="1" t="s">
        <v>148</v>
      </c>
      <c r="E5445" t="s">
        <v>136</v>
      </c>
    </row>
    <row r="5446" spans="1:5" x14ac:dyDescent="0.35">
      <c r="A5446" s="1" t="s">
        <v>147</v>
      </c>
      <c r="B5446" s="1"/>
      <c r="C5446" s="1"/>
      <c r="D5446" s="1" t="s">
        <v>149</v>
      </c>
      <c r="E5446" t="s">
        <v>136</v>
      </c>
    </row>
    <row r="5447" spans="1:5" x14ac:dyDescent="0.35">
      <c r="A5447" s="1" t="s">
        <v>147</v>
      </c>
      <c r="B5447" s="1"/>
      <c r="C5447" s="1" t="s">
        <v>150</v>
      </c>
      <c r="D5447" s="1" t="s">
        <v>146</v>
      </c>
      <c r="E5447" t="s">
        <v>136</v>
      </c>
    </row>
    <row r="5448" spans="1:5" x14ac:dyDescent="0.35">
      <c r="A5448" s="1" t="s">
        <v>147</v>
      </c>
      <c r="B5448" s="1"/>
      <c r="C5448" s="1"/>
      <c r="D5448" s="1" t="s">
        <v>148</v>
      </c>
      <c r="E5448" t="s">
        <v>136</v>
      </c>
    </row>
    <row r="5449" spans="1:5" x14ac:dyDescent="0.35">
      <c r="A5449" s="1" t="s">
        <v>147</v>
      </c>
      <c r="B5449" s="1"/>
      <c r="C5449" s="1"/>
      <c r="D5449" s="1" t="s">
        <v>149</v>
      </c>
      <c r="E5449" t="s">
        <v>136</v>
      </c>
    </row>
    <row r="5450" spans="1:5" x14ac:dyDescent="0.35">
      <c r="A5450" s="1" t="s">
        <v>147</v>
      </c>
      <c r="B5450" s="1" t="s">
        <v>155</v>
      </c>
      <c r="C5450" s="1" t="s">
        <v>145</v>
      </c>
      <c r="D5450" s="1" t="s">
        <v>146</v>
      </c>
      <c r="E5450">
        <v>3165.05</v>
      </c>
    </row>
    <row r="5451" spans="1:5" x14ac:dyDescent="0.35">
      <c r="A5451" s="1" t="s">
        <v>147</v>
      </c>
      <c r="B5451" s="1"/>
      <c r="C5451" s="1"/>
      <c r="D5451" s="1" t="s">
        <v>148</v>
      </c>
      <c r="E5451">
        <v>3162.5</v>
      </c>
    </row>
    <row r="5452" spans="1:5" x14ac:dyDescent="0.35">
      <c r="A5452" s="1" t="s">
        <v>147</v>
      </c>
      <c r="B5452" s="1"/>
      <c r="C5452" s="1"/>
      <c r="D5452" s="1" t="s">
        <v>149</v>
      </c>
      <c r="E5452">
        <v>2.5499999999999998</v>
      </c>
    </row>
    <row r="5453" spans="1:5" x14ac:dyDescent="0.35">
      <c r="A5453" s="1" t="s">
        <v>147</v>
      </c>
      <c r="B5453" s="1"/>
      <c r="C5453" s="1" t="s">
        <v>150</v>
      </c>
      <c r="D5453" s="1" t="s">
        <v>146</v>
      </c>
      <c r="E5453" t="s">
        <v>136</v>
      </c>
    </row>
    <row r="5454" spans="1:5" x14ac:dyDescent="0.35">
      <c r="A5454" s="1" t="s">
        <v>147</v>
      </c>
      <c r="B5454" s="1"/>
      <c r="C5454" s="1"/>
      <c r="D5454" s="1" t="s">
        <v>148</v>
      </c>
      <c r="E5454" t="s">
        <v>136</v>
      </c>
    </row>
    <row r="5455" spans="1:5" x14ac:dyDescent="0.35">
      <c r="A5455" s="1" t="s">
        <v>147</v>
      </c>
      <c r="B5455" s="1"/>
      <c r="C5455" s="1"/>
      <c r="D5455" s="1" t="s">
        <v>149</v>
      </c>
      <c r="E5455" t="s">
        <v>136</v>
      </c>
    </row>
    <row r="5456" spans="1:5" x14ac:dyDescent="0.35">
      <c r="A5456" s="1" t="s">
        <v>147</v>
      </c>
      <c r="B5456" s="1" t="s">
        <v>156</v>
      </c>
      <c r="C5456" s="1" t="s">
        <v>145</v>
      </c>
      <c r="D5456" s="1" t="s">
        <v>146</v>
      </c>
      <c r="E5456" t="s">
        <v>136</v>
      </c>
    </row>
    <row r="5457" spans="1:5" x14ac:dyDescent="0.35">
      <c r="A5457" s="1" t="s">
        <v>147</v>
      </c>
      <c r="B5457" s="1"/>
      <c r="C5457" s="1"/>
      <c r="D5457" s="1" t="s">
        <v>148</v>
      </c>
      <c r="E5457" t="s">
        <v>136</v>
      </c>
    </row>
    <row r="5458" spans="1:5" x14ac:dyDescent="0.35">
      <c r="A5458" s="1" t="s">
        <v>147</v>
      </c>
      <c r="B5458" s="1"/>
      <c r="C5458" s="1"/>
      <c r="D5458" s="1" t="s">
        <v>149</v>
      </c>
      <c r="E5458" t="s">
        <v>136</v>
      </c>
    </row>
    <row r="5459" spans="1:5" x14ac:dyDescent="0.35">
      <c r="A5459" s="1" t="s">
        <v>147</v>
      </c>
      <c r="B5459" s="1"/>
      <c r="C5459" s="1" t="s">
        <v>150</v>
      </c>
      <c r="D5459" s="1" t="s">
        <v>146</v>
      </c>
      <c r="E5459" t="s">
        <v>136</v>
      </c>
    </row>
    <row r="5460" spans="1:5" x14ac:dyDescent="0.35">
      <c r="A5460" s="1" t="s">
        <v>147</v>
      </c>
      <c r="B5460" s="1"/>
      <c r="C5460" s="1"/>
      <c r="D5460" s="1" t="s">
        <v>148</v>
      </c>
      <c r="E5460" t="s">
        <v>136</v>
      </c>
    </row>
    <row r="5461" spans="1:5" x14ac:dyDescent="0.35">
      <c r="A5461" s="1" t="s">
        <v>147</v>
      </c>
      <c r="B5461" s="1"/>
      <c r="C5461" s="1"/>
      <c r="D5461" s="1" t="s">
        <v>149</v>
      </c>
      <c r="E5461" t="s">
        <v>136</v>
      </c>
    </row>
    <row r="5462" spans="1:5" x14ac:dyDescent="0.35">
      <c r="A5462" s="1" t="s">
        <v>147</v>
      </c>
      <c r="B5462" s="1" t="s">
        <v>157</v>
      </c>
      <c r="C5462" s="1" t="s">
        <v>145</v>
      </c>
      <c r="D5462" s="1" t="s">
        <v>146</v>
      </c>
      <c r="E5462" t="s">
        <v>136</v>
      </c>
    </row>
    <row r="5463" spans="1:5" x14ac:dyDescent="0.35">
      <c r="A5463" s="1" t="s">
        <v>147</v>
      </c>
      <c r="B5463" s="1"/>
      <c r="C5463" s="1"/>
      <c r="D5463" s="1" t="s">
        <v>148</v>
      </c>
      <c r="E5463" t="s">
        <v>136</v>
      </c>
    </row>
    <row r="5464" spans="1:5" x14ac:dyDescent="0.35">
      <c r="A5464" s="1" t="s">
        <v>147</v>
      </c>
      <c r="B5464" s="1"/>
      <c r="C5464" s="1"/>
      <c r="D5464" s="1" t="s">
        <v>149</v>
      </c>
      <c r="E5464" t="s">
        <v>136</v>
      </c>
    </row>
    <row r="5465" spans="1:5" x14ac:dyDescent="0.35">
      <c r="A5465" s="1" t="s">
        <v>147</v>
      </c>
      <c r="B5465" s="1"/>
      <c r="C5465" s="1" t="s">
        <v>150</v>
      </c>
      <c r="D5465" s="1" t="s">
        <v>146</v>
      </c>
      <c r="E5465" t="s">
        <v>136</v>
      </c>
    </row>
    <row r="5466" spans="1:5" x14ac:dyDescent="0.35">
      <c r="A5466" s="1" t="s">
        <v>147</v>
      </c>
      <c r="B5466" s="1"/>
      <c r="C5466" s="1"/>
      <c r="D5466" s="1" t="s">
        <v>148</v>
      </c>
      <c r="E5466" t="s">
        <v>136</v>
      </c>
    </row>
    <row r="5467" spans="1:5" x14ac:dyDescent="0.35">
      <c r="A5467" s="1" t="s">
        <v>147</v>
      </c>
      <c r="B5467" s="1"/>
      <c r="C5467" s="1"/>
      <c r="D5467" s="1" t="s">
        <v>149</v>
      </c>
      <c r="E5467" t="s">
        <v>136</v>
      </c>
    </row>
    <row r="5468" spans="1:5" x14ac:dyDescent="0.35">
      <c r="A5468" s="1" t="s">
        <v>147</v>
      </c>
      <c r="B5468" s="1" t="s">
        <v>158</v>
      </c>
      <c r="C5468" s="1" t="s">
        <v>145</v>
      </c>
      <c r="D5468" s="1" t="s">
        <v>146</v>
      </c>
      <c r="E5468">
        <v>42.8</v>
      </c>
    </row>
    <row r="5469" spans="1:5" x14ac:dyDescent="0.35">
      <c r="A5469" s="1" t="s">
        <v>147</v>
      </c>
      <c r="B5469" s="1"/>
      <c r="C5469" s="1"/>
      <c r="D5469" s="1" t="s">
        <v>148</v>
      </c>
      <c r="E5469">
        <v>42.8</v>
      </c>
    </row>
    <row r="5470" spans="1:5" x14ac:dyDescent="0.35">
      <c r="A5470" s="1" t="s">
        <v>147</v>
      </c>
      <c r="B5470" s="1"/>
      <c r="C5470" s="1"/>
      <c r="D5470" s="1" t="s">
        <v>149</v>
      </c>
      <c r="E5470" t="s">
        <v>136</v>
      </c>
    </row>
    <row r="5471" spans="1:5" x14ac:dyDescent="0.35">
      <c r="A5471" s="1" t="s">
        <v>147</v>
      </c>
      <c r="B5471" s="1"/>
      <c r="C5471" s="1" t="s">
        <v>150</v>
      </c>
      <c r="D5471" s="1" t="s">
        <v>146</v>
      </c>
      <c r="E5471" t="s">
        <v>136</v>
      </c>
    </row>
    <row r="5472" spans="1:5" x14ac:dyDescent="0.35">
      <c r="A5472" s="1" t="s">
        <v>147</v>
      </c>
      <c r="B5472" s="1"/>
      <c r="C5472" s="1"/>
      <c r="D5472" s="1" t="s">
        <v>148</v>
      </c>
      <c r="E5472" t="s">
        <v>136</v>
      </c>
    </row>
    <row r="5473" spans="1:5" x14ac:dyDescent="0.35">
      <c r="A5473" s="1" t="s">
        <v>147</v>
      </c>
      <c r="B5473" s="1"/>
      <c r="C5473" s="1"/>
      <c r="D5473" s="1" t="s">
        <v>149</v>
      </c>
      <c r="E5473" t="s">
        <v>136</v>
      </c>
    </row>
    <row r="5474" spans="1:5" x14ac:dyDescent="0.35">
      <c r="A5474" s="1" t="s">
        <v>147</v>
      </c>
      <c r="B5474" s="1" t="s">
        <v>159</v>
      </c>
      <c r="C5474" s="1" t="s">
        <v>145</v>
      </c>
      <c r="D5474" s="1" t="s">
        <v>146</v>
      </c>
      <c r="E5474" t="s">
        <v>136</v>
      </c>
    </row>
    <row r="5475" spans="1:5" x14ac:dyDescent="0.35">
      <c r="A5475" s="1" t="s">
        <v>147</v>
      </c>
      <c r="B5475" s="1"/>
      <c r="C5475" s="1"/>
      <c r="D5475" s="1" t="s">
        <v>148</v>
      </c>
      <c r="E5475" t="s">
        <v>136</v>
      </c>
    </row>
    <row r="5476" spans="1:5" x14ac:dyDescent="0.35">
      <c r="A5476" s="1" t="s">
        <v>147</v>
      </c>
      <c r="B5476" s="1"/>
      <c r="C5476" s="1"/>
      <c r="D5476" s="1" t="s">
        <v>149</v>
      </c>
      <c r="E5476" t="s">
        <v>136</v>
      </c>
    </row>
    <row r="5477" spans="1:5" x14ac:dyDescent="0.35">
      <c r="A5477" s="1" t="s">
        <v>147</v>
      </c>
      <c r="B5477" s="1"/>
      <c r="C5477" s="1" t="s">
        <v>150</v>
      </c>
      <c r="D5477" s="1" t="s">
        <v>146</v>
      </c>
      <c r="E5477" t="s">
        <v>136</v>
      </c>
    </row>
    <row r="5478" spans="1:5" x14ac:dyDescent="0.35">
      <c r="A5478" s="1" t="s">
        <v>147</v>
      </c>
      <c r="B5478" s="1"/>
      <c r="C5478" s="1"/>
      <c r="D5478" s="1" t="s">
        <v>148</v>
      </c>
      <c r="E5478" t="s">
        <v>136</v>
      </c>
    </row>
    <row r="5479" spans="1:5" x14ac:dyDescent="0.35">
      <c r="A5479" s="1" t="s">
        <v>147</v>
      </c>
      <c r="B5479" s="1"/>
      <c r="C5479" s="1"/>
      <c r="D5479" s="1" t="s">
        <v>149</v>
      </c>
      <c r="E5479" t="s">
        <v>136</v>
      </c>
    </row>
    <row r="5480" spans="1:5" x14ac:dyDescent="0.35">
      <c r="A5480" s="1" t="s">
        <v>147</v>
      </c>
      <c r="B5480" s="1" t="s">
        <v>160</v>
      </c>
      <c r="C5480" s="1" t="s">
        <v>145</v>
      </c>
      <c r="D5480" s="1" t="s">
        <v>146</v>
      </c>
      <c r="E5480" t="s">
        <v>136</v>
      </c>
    </row>
    <row r="5481" spans="1:5" x14ac:dyDescent="0.35">
      <c r="A5481" s="1" t="s">
        <v>147</v>
      </c>
      <c r="B5481" s="1"/>
      <c r="C5481" s="1"/>
      <c r="D5481" s="1" t="s">
        <v>148</v>
      </c>
      <c r="E5481" t="s">
        <v>136</v>
      </c>
    </row>
    <row r="5482" spans="1:5" x14ac:dyDescent="0.35">
      <c r="A5482" s="1" t="s">
        <v>147</v>
      </c>
      <c r="B5482" s="1"/>
      <c r="C5482" s="1"/>
      <c r="D5482" s="1" t="s">
        <v>149</v>
      </c>
      <c r="E5482" t="s">
        <v>136</v>
      </c>
    </row>
    <row r="5483" spans="1:5" x14ac:dyDescent="0.35">
      <c r="A5483" s="1" t="s">
        <v>147</v>
      </c>
      <c r="B5483" s="1"/>
      <c r="C5483" s="1" t="s">
        <v>150</v>
      </c>
      <c r="D5483" s="1" t="s">
        <v>146</v>
      </c>
      <c r="E5483" t="s">
        <v>136</v>
      </c>
    </row>
    <row r="5484" spans="1:5" x14ac:dyDescent="0.35">
      <c r="A5484" s="1" t="s">
        <v>147</v>
      </c>
      <c r="B5484" s="1"/>
      <c r="C5484" s="1"/>
      <c r="D5484" s="1" t="s">
        <v>148</v>
      </c>
      <c r="E5484" t="s">
        <v>136</v>
      </c>
    </row>
    <row r="5485" spans="1:5" x14ac:dyDescent="0.35">
      <c r="A5485" s="1" t="s">
        <v>147</v>
      </c>
      <c r="B5485" s="1"/>
      <c r="C5485" s="1"/>
      <c r="D5485" s="1" t="s">
        <v>149</v>
      </c>
      <c r="E5485" t="s">
        <v>136</v>
      </c>
    </row>
    <row r="5486" spans="1:5" x14ac:dyDescent="0.35">
      <c r="A5486" s="1" t="s">
        <v>147</v>
      </c>
      <c r="B5486" s="1" t="s">
        <v>161</v>
      </c>
      <c r="C5486" s="1" t="s">
        <v>145</v>
      </c>
      <c r="D5486" s="1" t="s">
        <v>146</v>
      </c>
      <c r="E5486" t="s">
        <v>136</v>
      </c>
    </row>
    <row r="5487" spans="1:5" x14ac:dyDescent="0.35">
      <c r="A5487" s="1" t="s">
        <v>147</v>
      </c>
      <c r="B5487" s="1"/>
      <c r="C5487" s="1"/>
      <c r="D5487" s="1" t="s">
        <v>148</v>
      </c>
      <c r="E5487" t="s">
        <v>136</v>
      </c>
    </row>
    <row r="5488" spans="1:5" x14ac:dyDescent="0.35">
      <c r="A5488" s="1" t="s">
        <v>147</v>
      </c>
      <c r="B5488" s="1"/>
      <c r="C5488" s="1"/>
      <c r="D5488" s="1" t="s">
        <v>149</v>
      </c>
      <c r="E5488" t="s">
        <v>136</v>
      </c>
    </row>
    <row r="5489" spans="1:5" x14ac:dyDescent="0.35">
      <c r="A5489" s="1" t="s">
        <v>147</v>
      </c>
      <c r="B5489" s="1"/>
      <c r="C5489" s="1" t="s">
        <v>150</v>
      </c>
      <c r="D5489" s="1" t="s">
        <v>146</v>
      </c>
      <c r="E5489" t="s">
        <v>136</v>
      </c>
    </row>
    <row r="5490" spans="1:5" x14ac:dyDescent="0.35">
      <c r="A5490" s="1" t="s">
        <v>147</v>
      </c>
      <c r="B5490" s="1"/>
      <c r="C5490" s="1"/>
      <c r="D5490" s="1" t="s">
        <v>148</v>
      </c>
      <c r="E5490" t="s">
        <v>136</v>
      </c>
    </row>
    <row r="5491" spans="1:5" x14ac:dyDescent="0.35">
      <c r="A5491" s="1" t="s">
        <v>147</v>
      </c>
      <c r="B5491" s="1"/>
      <c r="C5491" s="1"/>
      <c r="D5491" s="1" t="s">
        <v>149</v>
      </c>
      <c r="E5491" t="s">
        <v>136</v>
      </c>
    </row>
    <row r="5492" spans="1:5" x14ac:dyDescent="0.35">
      <c r="A5492" s="1" t="s">
        <v>147</v>
      </c>
      <c r="B5492" s="1" t="s">
        <v>162</v>
      </c>
      <c r="C5492" s="1" t="s">
        <v>145</v>
      </c>
      <c r="D5492" s="1" t="s">
        <v>146</v>
      </c>
      <c r="E5492" t="s">
        <v>136</v>
      </c>
    </row>
    <row r="5493" spans="1:5" x14ac:dyDescent="0.35">
      <c r="A5493" s="1" t="s">
        <v>147</v>
      </c>
      <c r="B5493" s="1"/>
      <c r="C5493" s="1"/>
      <c r="D5493" s="1" t="s">
        <v>148</v>
      </c>
      <c r="E5493" t="s">
        <v>136</v>
      </c>
    </row>
    <row r="5494" spans="1:5" x14ac:dyDescent="0.35">
      <c r="A5494" s="1" t="s">
        <v>147</v>
      </c>
      <c r="B5494" s="1"/>
      <c r="C5494" s="1"/>
      <c r="D5494" s="1" t="s">
        <v>149</v>
      </c>
      <c r="E5494" t="s">
        <v>136</v>
      </c>
    </row>
    <row r="5495" spans="1:5" x14ac:dyDescent="0.35">
      <c r="A5495" s="1" t="s">
        <v>147</v>
      </c>
      <c r="B5495" s="1"/>
      <c r="C5495" s="1" t="s">
        <v>150</v>
      </c>
      <c r="D5495" s="1" t="s">
        <v>146</v>
      </c>
      <c r="E5495" t="s">
        <v>136</v>
      </c>
    </row>
    <row r="5496" spans="1:5" x14ac:dyDescent="0.35">
      <c r="A5496" s="1" t="s">
        <v>147</v>
      </c>
      <c r="B5496" s="1"/>
      <c r="C5496" s="1"/>
      <c r="D5496" s="1" t="s">
        <v>148</v>
      </c>
      <c r="E5496" t="s">
        <v>136</v>
      </c>
    </row>
    <row r="5497" spans="1:5" x14ac:dyDescent="0.35">
      <c r="A5497" s="1" t="s">
        <v>147</v>
      </c>
      <c r="B5497" s="1"/>
      <c r="C5497" s="1"/>
      <c r="D5497" s="1" t="s">
        <v>149</v>
      </c>
      <c r="E5497" t="s">
        <v>136</v>
      </c>
    </row>
    <row r="5498" spans="1:5" x14ac:dyDescent="0.35">
      <c r="A5498" s="1" t="s">
        <v>147</v>
      </c>
      <c r="B5498" s="1" t="s">
        <v>163</v>
      </c>
      <c r="C5498" s="1" t="s">
        <v>145</v>
      </c>
      <c r="D5498" s="1" t="s">
        <v>146</v>
      </c>
      <c r="E5498">
        <v>524.79999999999995</v>
      </c>
    </row>
    <row r="5499" spans="1:5" x14ac:dyDescent="0.35">
      <c r="A5499" s="1" t="s">
        <v>147</v>
      </c>
      <c r="B5499" s="1"/>
      <c r="C5499" s="1"/>
      <c r="D5499" s="1" t="s">
        <v>148</v>
      </c>
      <c r="E5499">
        <v>520</v>
      </c>
    </row>
    <row r="5500" spans="1:5" x14ac:dyDescent="0.35">
      <c r="A5500" s="1" t="s">
        <v>147</v>
      </c>
      <c r="B5500" s="1"/>
      <c r="C5500" s="1"/>
      <c r="D5500" s="1" t="s">
        <v>149</v>
      </c>
      <c r="E5500">
        <v>4.8</v>
      </c>
    </row>
    <row r="5501" spans="1:5" x14ac:dyDescent="0.35">
      <c r="A5501" s="1" t="s">
        <v>147</v>
      </c>
      <c r="B5501" s="1"/>
      <c r="C5501" s="1" t="s">
        <v>150</v>
      </c>
      <c r="D5501" s="1" t="s">
        <v>146</v>
      </c>
      <c r="E5501" t="s">
        <v>136</v>
      </c>
    </row>
    <row r="5502" spans="1:5" x14ac:dyDescent="0.35">
      <c r="A5502" s="1" t="s">
        <v>147</v>
      </c>
      <c r="B5502" s="1"/>
      <c r="C5502" s="1"/>
      <c r="D5502" s="1" t="s">
        <v>148</v>
      </c>
      <c r="E5502" t="s">
        <v>136</v>
      </c>
    </row>
    <row r="5503" spans="1:5" x14ac:dyDescent="0.35">
      <c r="A5503" s="1" t="s">
        <v>147</v>
      </c>
      <c r="B5503" s="1"/>
      <c r="C5503" s="1"/>
      <c r="D5503" s="1" t="s">
        <v>149</v>
      </c>
      <c r="E5503" t="s">
        <v>136</v>
      </c>
    </row>
    <row r="5504" spans="1:5" x14ac:dyDescent="0.35">
      <c r="A5504" s="1" t="s">
        <v>147</v>
      </c>
      <c r="B5504" s="1" t="s">
        <v>164</v>
      </c>
      <c r="C5504" s="1" t="s">
        <v>145</v>
      </c>
      <c r="D5504" s="1" t="s">
        <v>146</v>
      </c>
      <c r="E5504" t="s">
        <v>136</v>
      </c>
    </row>
    <row r="5505" spans="1:5" x14ac:dyDescent="0.35">
      <c r="A5505" s="1" t="s">
        <v>147</v>
      </c>
      <c r="B5505" s="1"/>
      <c r="C5505" s="1"/>
      <c r="D5505" s="1" t="s">
        <v>148</v>
      </c>
      <c r="E5505" t="s">
        <v>136</v>
      </c>
    </row>
    <row r="5506" spans="1:5" x14ac:dyDescent="0.35">
      <c r="A5506" s="1" t="s">
        <v>147</v>
      </c>
      <c r="B5506" s="1"/>
      <c r="C5506" s="1"/>
      <c r="D5506" s="1" t="s">
        <v>149</v>
      </c>
      <c r="E5506" t="s">
        <v>136</v>
      </c>
    </row>
    <row r="5507" spans="1:5" x14ac:dyDescent="0.35">
      <c r="A5507" s="1" t="s">
        <v>147</v>
      </c>
      <c r="B5507" s="1"/>
      <c r="C5507" s="1" t="s">
        <v>150</v>
      </c>
      <c r="D5507" s="1" t="s">
        <v>146</v>
      </c>
      <c r="E5507" t="s">
        <v>136</v>
      </c>
    </row>
    <row r="5508" spans="1:5" x14ac:dyDescent="0.35">
      <c r="A5508" s="1" t="s">
        <v>147</v>
      </c>
      <c r="B5508" s="1"/>
      <c r="C5508" s="1"/>
      <c r="D5508" s="1" t="s">
        <v>148</v>
      </c>
      <c r="E5508" t="s">
        <v>136</v>
      </c>
    </row>
    <row r="5509" spans="1:5" x14ac:dyDescent="0.35">
      <c r="A5509" s="1" t="s">
        <v>147</v>
      </c>
      <c r="B5509" s="1"/>
      <c r="C5509" s="1"/>
      <c r="D5509" s="1" t="s">
        <v>149</v>
      </c>
      <c r="E5509" t="s">
        <v>136</v>
      </c>
    </row>
    <row r="5510" spans="1:5" x14ac:dyDescent="0.35">
      <c r="A5510" s="1" t="s">
        <v>147</v>
      </c>
      <c r="B5510" s="1" t="s">
        <v>165</v>
      </c>
      <c r="C5510" s="1" t="s">
        <v>145</v>
      </c>
      <c r="D5510" s="1" t="s">
        <v>146</v>
      </c>
      <c r="E5510">
        <v>330</v>
      </c>
    </row>
    <row r="5511" spans="1:5" x14ac:dyDescent="0.35">
      <c r="A5511" s="1" t="s">
        <v>147</v>
      </c>
      <c r="B5511" s="1"/>
      <c r="C5511" s="1"/>
      <c r="D5511" s="1" t="s">
        <v>148</v>
      </c>
      <c r="E5511">
        <v>330</v>
      </c>
    </row>
    <row r="5512" spans="1:5" x14ac:dyDescent="0.35">
      <c r="A5512" s="1" t="s">
        <v>147</v>
      </c>
      <c r="B5512" s="1"/>
      <c r="C5512" s="1"/>
      <c r="D5512" s="1" t="s">
        <v>149</v>
      </c>
      <c r="E5512" t="s">
        <v>136</v>
      </c>
    </row>
    <row r="5513" spans="1:5" x14ac:dyDescent="0.35">
      <c r="A5513" s="1" t="s">
        <v>147</v>
      </c>
      <c r="B5513" s="1"/>
      <c r="C5513" s="1" t="s">
        <v>150</v>
      </c>
      <c r="D5513" s="1" t="s">
        <v>146</v>
      </c>
      <c r="E5513" t="s">
        <v>136</v>
      </c>
    </row>
    <row r="5514" spans="1:5" x14ac:dyDescent="0.35">
      <c r="A5514" s="1" t="s">
        <v>147</v>
      </c>
      <c r="B5514" s="1"/>
      <c r="C5514" s="1"/>
      <c r="D5514" s="1" t="s">
        <v>148</v>
      </c>
      <c r="E5514" t="s">
        <v>136</v>
      </c>
    </row>
    <row r="5515" spans="1:5" x14ac:dyDescent="0.35">
      <c r="A5515" s="1" t="s">
        <v>147</v>
      </c>
      <c r="B5515" s="1"/>
      <c r="C5515" s="1"/>
      <c r="D5515" s="1" t="s">
        <v>149</v>
      </c>
      <c r="E5515" t="s">
        <v>136</v>
      </c>
    </row>
    <row r="5516" spans="1:5" x14ac:dyDescent="0.35">
      <c r="A5516" s="1" t="s">
        <v>147</v>
      </c>
      <c r="B5516" s="1" t="s">
        <v>166</v>
      </c>
      <c r="C5516" s="1" t="s">
        <v>145</v>
      </c>
      <c r="D5516" s="1" t="s">
        <v>146</v>
      </c>
      <c r="E5516">
        <v>194.8</v>
      </c>
    </row>
    <row r="5517" spans="1:5" x14ac:dyDescent="0.35">
      <c r="A5517" s="1" t="s">
        <v>147</v>
      </c>
      <c r="B5517" s="1"/>
      <c r="C5517" s="1"/>
      <c r="D5517" s="1" t="s">
        <v>148</v>
      </c>
      <c r="E5517">
        <v>190</v>
      </c>
    </row>
    <row r="5518" spans="1:5" x14ac:dyDescent="0.35">
      <c r="A5518" s="1" t="s">
        <v>147</v>
      </c>
      <c r="B5518" s="1"/>
      <c r="C5518" s="1"/>
      <c r="D5518" s="1" t="s">
        <v>149</v>
      </c>
      <c r="E5518">
        <v>4.8</v>
      </c>
    </row>
    <row r="5519" spans="1:5" x14ac:dyDescent="0.35">
      <c r="A5519" s="1" t="s">
        <v>147</v>
      </c>
      <c r="B5519" s="1"/>
      <c r="C5519" s="1" t="s">
        <v>150</v>
      </c>
      <c r="D5519" s="1" t="s">
        <v>146</v>
      </c>
      <c r="E5519" t="s">
        <v>136</v>
      </c>
    </row>
    <row r="5520" spans="1:5" x14ac:dyDescent="0.35">
      <c r="A5520" s="1" t="s">
        <v>147</v>
      </c>
      <c r="B5520" s="1"/>
      <c r="C5520" s="1"/>
      <c r="D5520" s="1" t="s">
        <v>148</v>
      </c>
      <c r="E5520" t="s">
        <v>136</v>
      </c>
    </row>
    <row r="5521" spans="1:5" x14ac:dyDescent="0.35">
      <c r="A5521" s="1" t="s">
        <v>147</v>
      </c>
      <c r="B5521" s="1"/>
      <c r="C5521" s="1"/>
      <c r="D5521" s="1" t="s">
        <v>149</v>
      </c>
      <c r="E5521" t="s">
        <v>136</v>
      </c>
    </row>
    <row r="5522" spans="1:5" x14ac:dyDescent="0.35">
      <c r="A5522" s="1" t="s">
        <v>147</v>
      </c>
      <c r="B5522" s="1" t="s">
        <v>167</v>
      </c>
      <c r="C5522" s="1" t="s">
        <v>145</v>
      </c>
      <c r="D5522" s="1" t="s">
        <v>146</v>
      </c>
      <c r="E5522" t="s">
        <v>136</v>
      </c>
    </row>
    <row r="5523" spans="1:5" x14ac:dyDescent="0.35">
      <c r="A5523" s="1" t="s">
        <v>147</v>
      </c>
      <c r="B5523" s="1"/>
      <c r="C5523" s="1"/>
      <c r="D5523" s="1" t="s">
        <v>148</v>
      </c>
      <c r="E5523" t="s">
        <v>136</v>
      </c>
    </row>
    <row r="5524" spans="1:5" x14ac:dyDescent="0.35">
      <c r="A5524" s="1" t="s">
        <v>147</v>
      </c>
      <c r="B5524" s="1"/>
      <c r="C5524" s="1"/>
      <c r="D5524" s="1" t="s">
        <v>149</v>
      </c>
      <c r="E5524" t="s">
        <v>136</v>
      </c>
    </row>
    <row r="5525" spans="1:5" x14ac:dyDescent="0.35">
      <c r="A5525" s="1" t="s">
        <v>147</v>
      </c>
      <c r="B5525" s="1"/>
      <c r="C5525" s="1" t="s">
        <v>150</v>
      </c>
      <c r="D5525" s="1" t="s">
        <v>146</v>
      </c>
      <c r="E5525" t="s">
        <v>136</v>
      </c>
    </row>
    <row r="5526" spans="1:5" x14ac:dyDescent="0.35">
      <c r="A5526" s="1" t="s">
        <v>147</v>
      </c>
      <c r="B5526" s="1"/>
      <c r="C5526" s="1"/>
      <c r="D5526" s="1" t="s">
        <v>148</v>
      </c>
      <c r="E5526" t="s">
        <v>136</v>
      </c>
    </row>
    <row r="5527" spans="1:5" x14ac:dyDescent="0.35">
      <c r="A5527" s="1" t="s">
        <v>147</v>
      </c>
      <c r="B5527" s="1"/>
      <c r="C5527" s="1"/>
      <c r="D5527" s="1" t="s">
        <v>149</v>
      </c>
      <c r="E5527" t="s">
        <v>136</v>
      </c>
    </row>
    <row r="5528" spans="1:5" x14ac:dyDescent="0.35">
      <c r="A5528" s="1" t="s">
        <v>147</v>
      </c>
      <c r="B5528" s="1" t="s">
        <v>168</v>
      </c>
      <c r="C5528" s="1" t="s">
        <v>145</v>
      </c>
      <c r="D5528" s="1" t="s">
        <v>146</v>
      </c>
      <c r="E5528" t="s">
        <v>136</v>
      </c>
    </row>
    <row r="5529" spans="1:5" x14ac:dyDescent="0.35">
      <c r="A5529" s="1" t="s">
        <v>147</v>
      </c>
      <c r="B5529" s="1"/>
      <c r="C5529" s="1"/>
      <c r="D5529" s="1" t="s">
        <v>148</v>
      </c>
      <c r="E5529" t="s">
        <v>136</v>
      </c>
    </row>
    <row r="5530" spans="1:5" x14ac:dyDescent="0.35">
      <c r="A5530" s="1" t="s">
        <v>147</v>
      </c>
      <c r="B5530" s="1"/>
      <c r="C5530" s="1"/>
      <c r="D5530" s="1" t="s">
        <v>149</v>
      </c>
      <c r="E5530" t="s">
        <v>136</v>
      </c>
    </row>
    <row r="5531" spans="1:5" x14ac:dyDescent="0.35">
      <c r="A5531" s="1" t="s">
        <v>147</v>
      </c>
      <c r="B5531" s="1"/>
      <c r="C5531" s="1" t="s">
        <v>150</v>
      </c>
      <c r="D5531" s="1" t="s">
        <v>146</v>
      </c>
      <c r="E5531" t="s">
        <v>136</v>
      </c>
    </row>
    <row r="5532" spans="1:5" x14ac:dyDescent="0.35">
      <c r="A5532" s="1" t="s">
        <v>147</v>
      </c>
      <c r="B5532" s="1"/>
      <c r="C5532" s="1"/>
      <c r="D5532" s="1" t="s">
        <v>148</v>
      </c>
      <c r="E5532" t="s">
        <v>136</v>
      </c>
    </row>
    <row r="5533" spans="1:5" x14ac:dyDescent="0.35">
      <c r="A5533" s="1" t="s">
        <v>147</v>
      </c>
      <c r="B5533" s="1"/>
      <c r="C5533" s="1"/>
      <c r="D5533" s="1" t="s">
        <v>149</v>
      </c>
      <c r="E5533" t="s">
        <v>136</v>
      </c>
    </row>
    <row r="5534" spans="1:5" x14ac:dyDescent="0.35">
      <c r="A5534" s="1" t="s">
        <v>147</v>
      </c>
      <c r="B5534" s="1" t="s">
        <v>169</v>
      </c>
      <c r="C5534" s="1" t="s">
        <v>145</v>
      </c>
      <c r="D5534" s="1" t="s">
        <v>146</v>
      </c>
      <c r="E5534" t="s">
        <v>136</v>
      </c>
    </row>
    <row r="5535" spans="1:5" x14ac:dyDescent="0.35">
      <c r="A5535" s="1" t="s">
        <v>147</v>
      </c>
      <c r="B5535" s="1"/>
      <c r="C5535" s="1"/>
      <c r="D5535" s="1" t="s">
        <v>148</v>
      </c>
      <c r="E5535" t="s">
        <v>136</v>
      </c>
    </row>
    <row r="5536" spans="1:5" x14ac:dyDescent="0.35">
      <c r="A5536" s="1" t="s">
        <v>147</v>
      </c>
      <c r="B5536" s="1"/>
      <c r="C5536" s="1"/>
      <c r="D5536" s="1" t="s">
        <v>149</v>
      </c>
      <c r="E5536" t="s">
        <v>136</v>
      </c>
    </row>
    <row r="5537" spans="1:5" x14ac:dyDescent="0.35">
      <c r="A5537" s="1" t="s">
        <v>147</v>
      </c>
      <c r="B5537" s="1"/>
      <c r="C5537" s="1" t="s">
        <v>150</v>
      </c>
      <c r="D5537" s="1" t="s">
        <v>146</v>
      </c>
      <c r="E5537" t="s">
        <v>136</v>
      </c>
    </row>
    <row r="5538" spans="1:5" x14ac:dyDescent="0.35">
      <c r="A5538" s="1" t="s">
        <v>147</v>
      </c>
      <c r="B5538" s="1"/>
      <c r="C5538" s="1"/>
      <c r="D5538" s="1" t="s">
        <v>148</v>
      </c>
      <c r="E5538" t="s">
        <v>136</v>
      </c>
    </row>
    <row r="5539" spans="1:5" x14ac:dyDescent="0.35">
      <c r="A5539" s="1" t="s">
        <v>147</v>
      </c>
      <c r="B5539" s="1"/>
      <c r="C5539" s="1"/>
      <c r="D5539" s="1" t="s">
        <v>149</v>
      </c>
      <c r="E5539" t="s">
        <v>136</v>
      </c>
    </row>
    <row r="5540" spans="1:5" x14ac:dyDescent="0.35">
      <c r="A5540" s="1" t="s">
        <v>147</v>
      </c>
      <c r="B5540" s="1" t="s">
        <v>170</v>
      </c>
      <c r="C5540" s="1" t="s">
        <v>145</v>
      </c>
      <c r="D5540" s="1" t="s">
        <v>146</v>
      </c>
      <c r="E5540" t="s">
        <v>136</v>
      </c>
    </row>
    <row r="5541" spans="1:5" x14ac:dyDescent="0.35">
      <c r="A5541" s="1" t="s">
        <v>147</v>
      </c>
      <c r="B5541" s="1"/>
      <c r="C5541" s="1"/>
      <c r="D5541" s="1" t="s">
        <v>148</v>
      </c>
      <c r="E5541" t="s">
        <v>136</v>
      </c>
    </row>
    <row r="5542" spans="1:5" x14ac:dyDescent="0.35">
      <c r="A5542" s="1" t="s">
        <v>147</v>
      </c>
      <c r="B5542" s="1"/>
      <c r="C5542" s="1"/>
      <c r="D5542" s="1" t="s">
        <v>149</v>
      </c>
      <c r="E5542" t="s">
        <v>136</v>
      </c>
    </row>
    <row r="5543" spans="1:5" x14ac:dyDescent="0.35">
      <c r="A5543" s="1" t="s">
        <v>147</v>
      </c>
      <c r="B5543" s="1"/>
      <c r="C5543" s="1" t="s">
        <v>150</v>
      </c>
      <c r="D5543" s="1" t="s">
        <v>146</v>
      </c>
      <c r="E5543" t="s">
        <v>136</v>
      </c>
    </row>
    <row r="5544" spans="1:5" x14ac:dyDescent="0.35">
      <c r="A5544" s="1" t="s">
        <v>147</v>
      </c>
      <c r="B5544" s="1"/>
      <c r="C5544" s="1"/>
      <c r="D5544" s="1" t="s">
        <v>148</v>
      </c>
      <c r="E5544" t="s">
        <v>136</v>
      </c>
    </row>
    <row r="5545" spans="1:5" x14ac:dyDescent="0.35">
      <c r="A5545" s="1" t="s">
        <v>147</v>
      </c>
      <c r="B5545" s="1"/>
      <c r="C5545" s="1"/>
      <c r="D5545" s="1" t="s">
        <v>149</v>
      </c>
      <c r="E5545" t="s">
        <v>136</v>
      </c>
    </row>
    <row r="5546" spans="1:5" x14ac:dyDescent="0.35">
      <c r="A5546" s="1" t="s">
        <v>128</v>
      </c>
      <c r="B5546" s="1" t="s">
        <v>144</v>
      </c>
      <c r="C5546" s="1" t="s">
        <v>145</v>
      </c>
      <c r="D5546" s="1" t="s">
        <v>146</v>
      </c>
      <c r="E5546">
        <v>1285.19</v>
      </c>
    </row>
    <row r="5547" spans="1:5" x14ac:dyDescent="0.35">
      <c r="A5547" s="1" t="s">
        <v>147</v>
      </c>
      <c r="B5547" s="1"/>
      <c r="C5547" s="1"/>
      <c r="D5547" s="1" t="s">
        <v>148</v>
      </c>
      <c r="E5547">
        <v>1281.53</v>
      </c>
    </row>
    <row r="5548" spans="1:5" x14ac:dyDescent="0.35">
      <c r="A5548" s="1" t="s">
        <v>147</v>
      </c>
      <c r="B5548" s="1"/>
      <c r="C5548" s="1"/>
      <c r="D5548" s="1" t="s">
        <v>149</v>
      </c>
      <c r="E5548">
        <v>3.67</v>
      </c>
    </row>
    <row r="5549" spans="1:5" x14ac:dyDescent="0.35">
      <c r="A5549" s="1" t="s">
        <v>147</v>
      </c>
      <c r="B5549" s="1"/>
      <c r="C5549" s="1" t="s">
        <v>150</v>
      </c>
      <c r="D5549" s="1" t="s">
        <v>146</v>
      </c>
      <c r="E5549" t="s">
        <v>136</v>
      </c>
    </row>
    <row r="5550" spans="1:5" x14ac:dyDescent="0.35">
      <c r="A5550" s="1" t="s">
        <v>147</v>
      </c>
      <c r="B5550" s="1"/>
      <c r="C5550" s="1"/>
      <c r="D5550" s="1" t="s">
        <v>148</v>
      </c>
      <c r="E5550" t="s">
        <v>136</v>
      </c>
    </row>
    <row r="5551" spans="1:5" x14ac:dyDescent="0.35">
      <c r="A5551" s="1" t="s">
        <v>147</v>
      </c>
      <c r="B5551" s="1"/>
      <c r="C5551" s="1"/>
      <c r="D5551" s="1" t="s">
        <v>149</v>
      </c>
      <c r="E5551" t="s">
        <v>136</v>
      </c>
    </row>
    <row r="5552" spans="1:5" x14ac:dyDescent="0.35">
      <c r="A5552" s="1" t="s">
        <v>147</v>
      </c>
      <c r="B5552" s="1" t="s">
        <v>151</v>
      </c>
      <c r="C5552" s="1" t="s">
        <v>145</v>
      </c>
      <c r="D5552" s="1" t="s">
        <v>146</v>
      </c>
      <c r="E5552">
        <v>105.18</v>
      </c>
    </row>
    <row r="5553" spans="1:5" x14ac:dyDescent="0.35">
      <c r="A5553" s="1" t="s">
        <v>147</v>
      </c>
      <c r="B5553" s="1"/>
      <c r="C5553" s="1"/>
      <c r="D5553" s="1" t="s">
        <v>148</v>
      </c>
      <c r="E5553">
        <v>102.08</v>
      </c>
    </row>
    <row r="5554" spans="1:5" x14ac:dyDescent="0.35">
      <c r="A5554" s="1" t="s">
        <v>147</v>
      </c>
      <c r="B5554" s="1"/>
      <c r="C5554" s="1"/>
      <c r="D5554" s="1" t="s">
        <v>149</v>
      </c>
      <c r="E5554">
        <v>3.1</v>
      </c>
    </row>
    <row r="5555" spans="1:5" x14ac:dyDescent="0.35">
      <c r="A5555" s="1" t="s">
        <v>147</v>
      </c>
      <c r="B5555" s="1"/>
      <c r="C5555" s="1" t="s">
        <v>150</v>
      </c>
      <c r="D5555" s="1" t="s">
        <v>146</v>
      </c>
      <c r="E5555" t="s">
        <v>136</v>
      </c>
    </row>
    <row r="5556" spans="1:5" x14ac:dyDescent="0.35">
      <c r="A5556" s="1" t="s">
        <v>147</v>
      </c>
      <c r="B5556" s="1"/>
      <c r="C5556" s="1"/>
      <c r="D5556" s="1" t="s">
        <v>148</v>
      </c>
      <c r="E5556" t="s">
        <v>136</v>
      </c>
    </row>
    <row r="5557" spans="1:5" x14ac:dyDescent="0.35">
      <c r="A5557" s="1" t="s">
        <v>147</v>
      </c>
      <c r="B5557" s="1"/>
      <c r="C5557" s="1"/>
      <c r="D5557" s="1" t="s">
        <v>149</v>
      </c>
      <c r="E5557" t="s">
        <v>136</v>
      </c>
    </row>
    <row r="5558" spans="1:5" x14ac:dyDescent="0.35">
      <c r="A5558" s="1" t="s">
        <v>147</v>
      </c>
      <c r="B5558" s="1" t="s">
        <v>152</v>
      </c>
      <c r="C5558" s="1" t="s">
        <v>145</v>
      </c>
      <c r="D5558" s="1" t="s">
        <v>146</v>
      </c>
      <c r="E5558" t="s">
        <v>136</v>
      </c>
    </row>
    <row r="5559" spans="1:5" x14ac:dyDescent="0.35">
      <c r="A5559" s="1" t="s">
        <v>147</v>
      </c>
      <c r="B5559" s="1"/>
      <c r="C5559" s="1"/>
      <c r="D5559" s="1" t="s">
        <v>148</v>
      </c>
      <c r="E5559" t="s">
        <v>136</v>
      </c>
    </row>
    <row r="5560" spans="1:5" x14ac:dyDescent="0.35">
      <c r="A5560" s="1" t="s">
        <v>147</v>
      </c>
      <c r="B5560" s="1"/>
      <c r="C5560" s="1"/>
      <c r="D5560" s="1" t="s">
        <v>149</v>
      </c>
      <c r="E5560" t="s">
        <v>136</v>
      </c>
    </row>
    <row r="5561" spans="1:5" x14ac:dyDescent="0.35">
      <c r="A5561" s="1" t="s">
        <v>147</v>
      </c>
      <c r="B5561" s="1"/>
      <c r="C5561" s="1" t="s">
        <v>150</v>
      </c>
      <c r="D5561" s="1" t="s">
        <v>146</v>
      </c>
      <c r="E5561" t="s">
        <v>136</v>
      </c>
    </row>
    <row r="5562" spans="1:5" x14ac:dyDescent="0.35">
      <c r="A5562" s="1" t="s">
        <v>147</v>
      </c>
      <c r="B5562" s="1"/>
      <c r="C5562" s="1"/>
      <c r="D5562" s="1" t="s">
        <v>148</v>
      </c>
      <c r="E5562" t="s">
        <v>136</v>
      </c>
    </row>
    <row r="5563" spans="1:5" x14ac:dyDescent="0.35">
      <c r="A5563" s="1" t="s">
        <v>147</v>
      </c>
      <c r="B5563" s="1"/>
      <c r="C5563" s="1"/>
      <c r="D5563" s="1" t="s">
        <v>149</v>
      </c>
      <c r="E5563" t="s">
        <v>136</v>
      </c>
    </row>
    <row r="5564" spans="1:5" x14ac:dyDescent="0.35">
      <c r="A5564" s="1" t="s">
        <v>147</v>
      </c>
      <c r="B5564" s="1" t="s">
        <v>153</v>
      </c>
      <c r="C5564" s="1" t="s">
        <v>145</v>
      </c>
      <c r="D5564" s="1" t="s">
        <v>146</v>
      </c>
      <c r="E5564" t="s">
        <v>136</v>
      </c>
    </row>
    <row r="5565" spans="1:5" x14ac:dyDescent="0.35">
      <c r="A5565" s="1" t="s">
        <v>147</v>
      </c>
      <c r="B5565" s="1"/>
      <c r="C5565" s="1"/>
      <c r="D5565" s="1" t="s">
        <v>148</v>
      </c>
      <c r="E5565" t="s">
        <v>136</v>
      </c>
    </row>
    <row r="5566" spans="1:5" x14ac:dyDescent="0.35">
      <c r="A5566" s="1" t="s">
        <v>147</v>
      </c>
      <c r="B5566" s="1"/>
      <c r="C5566" s="1"/>
      <c r="D5566" s="1" t="s">
        <v>149</v>
      </c>
      <c r="E5566" t="s">
        <v>136</v>
      </c>
    </row>
    <row r="5567" spans="1:5" x14ac:dyDescent="0.35">
      <c r="A5567" s="1" t="s">
        <v>147</v>
      </c>
      <c r="B5567" s="1"/>
      <c r="C5567" s="1" t="s">
        <v>150</v>
      </c>
      <c r="D5567" s="1" t="s">
        <v>146</v>
      </c>
      <c r="E5567" t="s">
        <v>136</v>
      </c>
    </row>
    <row r="5568" spans="1:5" x14ac:dyDescent="0.35">
      <c r="A5568" s="1" t="s">
        <v>147</v>
      </c>
      <c r="B5568" s="1"/>
      <c r="C5568" s="1"/>
      <c r="D5568" s="1" t="s">
        <v>148</v>
      </c>
      <c r="E5568" t="s">
        <v>136</v>
      </c>
    </row>
    <row r="5569" spans="1:5" x14ac:dyDescent="0.35">
      <c r="A5569" s="1" t="s">
        <v>147</v>
      </c>
      <c r="B5569" s="1"/>
      <c r="C5569" s="1"/>
      <c r="D5569" s="1" t="s">
        <v>149</v>
      </c>
      <c r="E5569" t="s">
        <v>136</v>
      </c>
    </row>
    <row r="5570" spans="1:5" x14ac:dyDescent="0.35">
      <c r="A5570" s="1" t="s">
        <v>147</v>
      </c>
      <c r="B5570" s="1" t="s">
        <v>154</v>
      </c>
      <c r="C5570" s="1" t="s">
        <v>145</v>
      </c>
      <c r="D5570" s="1" t="s">
        <v>146</v>
      </c>
      <c r="E5570" t="s">
        <v>136</v>
      </c>
    </row>
    <row r="5571" spans="1:5" x14ac:dyDescent="0.35">
      <c r="A5571" s="1" t="s">
        <v>147</v>
      </c>
      <c r="B5571" s="1"/>
      <c r="C5571" s="1"/>
      <c r="D5571" s="1" t="s">
        <v>148</v>
      </c>
      <c r="E5571" t="s">
        <v>136</v>
      </c>
    </row>
    <row r="5572" spans="1:5" x14ac:dyDescent="0.35">
      <c r="A5572" s="1" t="s">
        <v>147</v>
      </c>
      <c r="B5572" s="1"/>
      <c r="C5572" s="1"/>
      <c r="D5572" s="1" t="s">
        <v>149</v>
      </c>
      <c r="E5572" t="s">
        <v>136</v>
      </c>
    </row>
    <row r="5573" spans="1:5" x14ac:dyDescent="0.35">
      <c r="A5573" s="1" t="s">
        <v>147</v>
      </c>
      <c r="B5573" s="1"/>
      <c r="C5573" s="1" t="s">
        <v>150</v>
      </c>
      <c r="D5573" s="1" t="s">
        <v>146</v>
      </c>
      <c r="E5573" t="s">
        <v>136</v>
      </c>
    </row>
    <row r="5574" spans="1:5" x14ac:dyDescent="0.35">
      <c r="A5574" s="1" t="s">
        <v>147</v>
      </c>
      <c r="B5574" s="1"/>
      <c r="C5574" s="1"/>
      <c r="D5574" s="1" t="s">
        <v>148</v>
      </c>
      <c r="E5574" t="s">
        <v>136</v>
      </c>
    </row>
    <row r="5575" spans="1:5" x14ac:dyDescent="0.35">
      <c r="A5575" s="1" t="s">
        <v>147</v>
      </c>
      <c r="B5575" s="1"/>
      <c r="C5575" s="1"/>
      <c r="D5575" s="1" t="s">
        <v>149</v>
      </c>
      <c r="E5575" t="s">
        <v>136</v>
      </c>
    </row>
    <row r="5576" spans="1:5" x14ac:dyDescent="0.35">
      <c r="A5576" s="1" t="s">
        <v>147</v>
      </c>
      <c r="B5576" s="1" t="s">
        <v>155</v>
      </c>
      <c r="C5576" s="1" t="s">
        <v>145</v>
      </c>
      <c r="D5576" s="1" t="s">
        <v>146</v>
      </c>
      <c r="E5576">
        <v>1080.02</v>
      </c>
    </row>
    <row r="5577" spans="1:5" x14ac:dyDescent="0.35">
      <c r="A5577" s="1" t="s">
        <v>147</v>
      </c>
      <c r="B5577" s="1"/>
      <c r="C5577" s="1"/>
      <c r="D5577" s="1" t="s">
        <v>148</v>
      </c>
      <c r="E5577">
        <v>1079.45</v>
      </c>
    </row>
    <row r="5578" spans="1:5" x14ac:dyDescent="0.35">
      <c r="A5578" s="1" t="s">
        <v>147</v>
      </c>
      <c r="B5578" s="1"/>
      <c r="C5578" s="1"/>
      <c r="D5578" s="1" t="s">
        <v>149</v>
      </c>
      <c r="E5578">
        <v>0.56000000000000005</v>
      </c>
    </row>
    <row r="5579" spans="1:5" x14ac:dyDescent="0.35">
      <c r="A5579" s="1" t="s">
        <v>147</v>
      </c>
      <c r="B5579" s="1"/>
      <c r="C5579" s="1" t="s">
        <v>150</v>
      </c>
      <c r="D5579" s="1" t="s">
        <v>146</v>
      </c>
      <c r="E5579" t="s">
        <v>136</v>
      </c>
    </row>
    <row r="5580" spans="1:5" x14ac:dyDescent="0.35">
      <c r="A5580" s="1" t="s">
        <v>147</v>
      </c>
      <c r="B5580" s="1"/>
      <c r="C5580" s="1"/>
      <c r="D5580" s="1" t="s">
        <v>148</v>
      </c>
      <c r="E5580" t="s">
        <v>136</v>
      </c>
    </row>
    <row r="5581" spans="1:5" x14ac:dyDescent="0.35">
      <c r="A5581" s="1" t="s">
        <v>147</v>
      </c>
      <c r="B5581" s="1"/>
      <c r="C5581" s="1"/>
      <c r="D5581" s="1" t="s">
        <v>149</v>
      </c>
      <c r="E5581" t="s">
        <v>136</v>
      </c>
    </row>
    <row r="5582" spans="1:5" x14ac:dyDescent="0.35">
      <c r="A5582" s="1" t="s">
        <v>147</v>
      </c>
      <c r="B5582" s="1" t="s">
        <v>156</v>
      </c>
      <c r="C5582" s="1" t="s">
        <v>145</v>
      </c>
      <c r="D5582" s="1" t="s">
        <v>146</v>
      </c>
      <c r="E5582" t="s">
        <v>136</v>
      </c>
    </row>
    <row r="5583" spans="1:5" x14ac:dyDescent="0.35">
      <c r="A5583" s="1" t="s">
        <v>147</v>
      </c>
      <c r="B5583" s="1"/>
      <c r="C5583" s="1"/>
      <c r="D5583" s="1" t="s">
        <v>148</v>
      </c>
      <c r="E5583" t="s">
        <v>136</v>
      </c>
    </row>
    <row r="5584" spans="1:5" x14ac:dyDescent="0.35">
      <c r="A5584" s="1" t="s">
        <v>147</v>
      </c>
      <c r="B5584" s="1"/>
      <c r="C5584" s="1"/>
      <c r="D5584" s="1" t="s">
        <v>149</v>
      </c>
      <c r="E5584" t="s">
        <v>136</v>
      </c>
    </row>
    <row r="5585" spans="1:5" x14ac:dyDescent="0.35">
      <c r="A5585" s="1" t="s">
        <v>147</v>
      </c>
      <c r="B5585" s="1"/>
      <c r="C5585" s="1" t="s">
        <v>150</v>
      </c>
      <c r="D5585" s="1" t="s">
        <v>146</v>
      </c>
      <c r="E5585" t="s">
        <v>136</v>
      </c>
    </row>
    <row r="5586" spans="1:5" x14ac:dyDescent="0.35">
      <c r="A5586" s="1" t="s">
        <v>147</v>
      </c>
      <c r="B5586" s="1"/>
      <c r="C5586" s="1"/>
      <c r="D5586" s="1" t="s">
        <v>148</v>
      </c>
      <c r="E5586" t="s">
        <v>136</v>
      </c>
    </row>
    <row r="5587" spans="1:5" x14ac:dyDescent="0.35">
      <c r="A5587" s="1" t="s">
        <v>147</v>
      </c>
      <c r="B5587" s="1"/>
      <c r="C5587" s="1"/>
      <c r="D5587" s="1" t="s">
        <v>149</v>
      </c>
      <c r="E5587" t="s">
        <v>136</v>
      </c>
    </row>
    <row r="5588" spans="1:5" x14ac:dyDescent="0.35">
      <c r="A5588" s="1" t="s">
        <v>147</v>
      </c>
      <c r="B5588" s="1" t="s">
        <v>157</v>
      </c>
      <c r="C5588" s="1" t="s">
        <v>145</v>
      </c>
      <c r="D5588" s="1" t="s">
        <v>146</v>
      </c>
      <c r="E5588" t="s">
        <v>136</v>
      </c>
    </row>
    <row r="5589" spans="1:5" x14ac:dyDescent="0.35">
      <c r="A5589" s="1" t="s">
        <v>147</v>
      </c>
      <c r="B5589" s="1"/>
      <c r="C5589" s="1"/>
      <c r="D5589" s="1" t="s">
        <v>148</v>
      </c>
      <c r="E5589" t="s">
        <v>136</v>
      </c>
    </row>
    <row r="5590" spans="1:5" x14ac:dyDescent="0.35">
      <c r="A5590" s="1" t="s">
        <v>147</v>
      </c>
      <c r="B5590" s="1"/>
      <c r="C5590" s="1"/>
      <c r="D5590" s="1" t="s">
        <v>149</v>
      </c>
      <c r="E5590" t="s">
        <v>136</v>
      </c>
    </row>
    <row r="5591" spans="1:5" x14ac:dyDescent="0.35">
      <c r="A5591" s="1" t="s">
        <v>147</v>
      </c>
      <c r="B5591" s="1"/>
      <c r="C5591" s="1" t="s">
        <v>150</v>
      </c>
      <c r="D5591" s="1" t="s">
        <v>146</v>
      </c>
      <c r="E5591" t="s">
        <v>136</v>
      </c>
    </row>
    <row r="5592" spans="1:5" x14ac:dyDescent="0.35">
      <c r="A5592" s="1" t="s">
        <v>147</v>
      </c>
      <c r="B5592" s="1"/>
      <c r="C5592" s="1"/>
      <c r="D5592" s="1" t="s">
        <v>148</v>
      </c>
      <c r="E5592" t="s">
        <v>136</v>
      </c>
    </row>
    <row r="5593" spans="1:5" x14ac:dyDescent="0.35">
      <c r="A5593" s="1" t="s">
        <v>147</v>
      </c>
      <c r="B5593" s="1"/>
      <c r="C5593" s="1"/>
      <c r="D5593" s="1" t="s">
        <v>149</v>
      </c>
      <c r="E5593" t="s">
        <v>136</v>
      </c>
    </row>
    <row r="5594" spans="1:5" x14ac:dyDescent="0.35">
      <c r="A5594" s="1" t="s">
        <v>147</v>
      </c>
      <c r="B5594" s="1" t="s">
        <v>158</v>
      </c>
      <c r="C5594" s="1" t="s">
        <v>145</v>
      </c>
      <c r="D5594" s="1" t="s">
        <v>146</v>
      </c>
      <c r="E5594">
        <v>100</v>
      </c>
    </row>
    <row r="5595" spans="1:5" x14ac:dyDescent="0.35">
      <c r="A5595" s="1" t="s">
        <v>147</v>
      </c>
      <c r="B5595" s="1"/>
      <c r="C5595" s="1"/>
      <c r="D5595" s="1" t="s">
        <v>148</v>
      </c>
      <c r="E5595">
        <v>100</v>
      </c>
    </row>
    <row r="5596" spans="1:5" x14ac:dyDescent="0.35">
      <c r="A5596" s="1" t="s">
        <v>147</v>
      </c>
      <c r="B5596" s="1"/>
      <c r="C5596" s="1"/>
      <c r="D5596" s="1" t="s">
        <v>149</v>
      </c>
      <c r="E5596" t="s">
        <v>136</v>
      </c>
    </row>
    <row r="5597" spans="1:5" x14ac:dyDescent="0.35">
      <c r="A5597" s="1" t="s">
        <v>147</v>
      </c>
      <c r="B5597" s="1"/>
      <c r="C5597" s="1" t="s">
        <v>150</v>
      </c>
      <c r="D5597" s="1" t="s">
        <v>146</v>
      </c>
      <c r="E5597" t="s">
        <v>136</v>
      </c>
    </row>
    <row r="5598" spans="1:5" x14ac:dyDescent="0.35">
      <c r="A5598" s="1" t="s">
        <v>147</v>
      </c>
      <c r="B5598" s="1"/>
      <c r="C5598" s="1"/>
      <c r="D5598" s="1" t="s">
        <v>148</v>
      </c>
      <c r="E5598" t="s">
        <v>136</v>
      </c>
    </row>
    <row r="5599" spans="1:5" x14ac:dyDescent="0.35">
      <c r="A5599" s="1" t="s">
        <v>147</v>
      </c>
      <c r="B5599" s="1"/>
      <c r="C5599" s="1"/>
      <c r="D5599" s="1" t="s">
        <v>149</v>
      </c>
      <c r="E5599" t="s">
        <v>136</v>
      </c>
    </row>
    <row r="5600" spans="1:5" x14ac:dyDescent="0.35">
      <c r="A5600" s="1" t="s">
        <v>147</v>
      </c>
      <c r="B5600" s="1" t="s">
        <v>159</v>
      </c>
      <c r="C5600" s="1" t="s">
        <v>145</v>
      </c>
      <c r="D5600" s="1" t="s">
        <v>146</v>
      </c>
      <c r="E5600" t="s">
        <v>136</v>
      </c>
    </row>
    <row r="5601" spans="1:5" x14ac:dyDescent="0.35">
      <c r="A5601" s="1" t="s">
        <v>147</v>
      </c>
      <c r="B5601" s="1"/>
      <c r="C5601" s="1"/>
      <c r="D5601" s="1" t="s">
        <v>148</v>
      </c>
      <c r="E5601" t="s">
        <v>136</v>
      </c>
    </row>
    <row r="5602" spans="1:5" x14ac:dyDescent="0.35">
      <c r="A5602" s="1" t="s">
        <v>147</v>
      </c>
      <c r="B5602" s="1"/>
      <c r="C5602" s="1"/>
      <c r="D5602" s="1" t="s">
        <v>149</v>
      </c>
      <c r="E5602" t="s">
        <v>136</v>
      </c>
    </row>
    <row r="5603" spans="1:5" x14ac:dyDescent="0.35">
      <c r="A5603" s="1" t="s">
        <v>147</v>
      </c>
      <c r="B5603" s="1"/>
      <c r="C5603" s="1" t="s">
        <v>150</v>
      </c>
      <c r="D5603" s="1" t="s">
        <v>146</v>
      </c>
      <c r="E5603" t="s">
        <v>136</v>
      </c>
    </row>
    <row r="5604" spans="1:5" x14ac:dyDescent="0.35">
      <c r="A5604" s="1" t="s">
        <v>147</v>
      </c>
      <c r="B5604" s="1"/>
      <c r="C5604" s="1"/>
      <c r="D5604" s="1" t="s">
        <v>148</v>
      </c>
      <c r="E5604" t="s">
        <v>136</v>
      </c>
    </row>
    <row r="5605" spans="1:5" x14ac:dyDescent="0.35">
      <c r="A5605" s="1" t="s">
        <v>147</v>
      </c>
      <c r="B5605" s="1"/>
      <c r="C5605" s="1"/>
      <c r="D5605" s="1" t="s">
        <v>149</v>
      </c>
      <c r="E5605" t="s">
        <v>136</v>
      </c>
    </row>
    <row r="5606" spans="1:5" x14ac:dyDescent="0.35">
      <c r="A5606" s="1" t="s">
        <v>147</v>
      </c>
      <c r="B5606" s="1" t="s">
        <v>160</v>
      </c>
      <c r="C5606" s="1" t="s">
        <v>145</v>
      </c>
      <c r="D5606" s="1" t="s">
        <v>146</v>
      </c>
      <c r="E5606" t="s">
        <v>136</v>
      </c>
    </row>
    <row r="5607" spans="1:5" x14ac:dyDescent="0.35">
      <c r="A5607" s="1" t="s">
        <v>147</v>
      </c>
      <c r="B5607" s="1"/>
      <c r="C5607" s="1"/>
      <c r="D5607" s="1" t="s">
        <v>148</v>
      </c>
      <c r="E5607" t="s">
        <v>136</v>
      </c>
    </row>
    <row r="5608" spans="1:5" x14ac:dyDescent="0.35">
      <c r="A5608" s="1" t="s">
        <v>147</v>
      </c>
      <c r="B5608" s="1"/>
      <c r="C5608" s="1"/>
      <c r="D5608" s="1" t="s">
        <v>149</v>
      </c>
      <c r="E5608" t="s">
        <v>136</v>
      </c>
    </row>
    <row r="5609" spans="1:5" x14ac:dyDescent="0.35">
      <c r="A5609" s="1" t="s">
        <v>147</v>
      </c>
      <c r="B5609" s="1"/>
      <c r="C5609" s="1" t="s">
        <v>150</v>
      </c>
      <c r="D5609" s="1" t="s">
        <v>146</v>
      </c>
      <c r="E5609" t="s">
        <v>136</v>
      </c>
    </row>
    <row r="5610" spans="1:5" x14ac:dyDescent="0.35">
      <c r="A5610" s="1" t="s">
        <v>147</v>
      </c>
      <c r="B5610" s="1"/>
      <c r="C5610" s="1"/>
      <c r="D5610" s="1" t="s">
        <v>148</v>
      </c>
      <c r="E5610" t="s">
        <v>136</v>
      </c>
    </row>
    <row r="5611" spans="1:5" x14ac:dyDescent="0.35">
      <c r="A5611" s="1" t="s">
        <v>147</v>
      </c>
      <c r="B5611" s="1"/>
      <c r="C5611" s="1"/>
      <c r="D5611" s="1" t="s">
        <v>149</v>
      </c>
      <c r="E5611" t="s">
        <v>136</v>
      </c>
    </row>
    <row r="5612" spans="1:5" x14ac:dyDescent="0.35">
      <c r="A5612" s="1" t="s">
        <v>147</v>
      </c>
      <c r="B5612" s="1" t="s">
        <v>161</v>
      </c>
      <c r="C5612" s="1" t="s">
        <v>145</v>
      </c>
      <c r="D5612" s="1" t="s">
        <v>146</v>
      </c>
      <c r="E5612" t="s">
        <v>136</v>
      </c>
    </row>
    <row r="5613" spans="1:5" x14ac:dyDescent="0.35">
      <c r="A5613" s="1" t="s">
        <v>147</v>
      </c>
      <c r="B5613" s="1"/>
      <c r="C5613" s="1"/>
      <c r="D5613" s="1" t="s">
        <v>148</v>
      </c>
      <c r="E5613" t="s">
        <v>136</v>
      </c>
    </row>
    <row r="5614" spans="1:5" x14ac:dyDescent="0.35">
      <c r="A5614" s="1" t="s">
        <v>147</v>
      </c>
      <c r="B5614" s="1"/>
      <c r="C5614" s="1"/>
      <c r="D5614" s="1" t="s">
        <v>149</v>
      </c>
      <c r="E5614" t="s">
        <v>136</v>
      </c>
    </row>
    <row r="5615" spans="1:5" x14ac:dyDescent="0.35">
      <c r="A5615" s="1" t="s">
        <v>147</v>
      </c>
      <c r="B5615" s="1"/>
      <c r="C5615" s="1" t="s">
        <v>150</v>
      </c>
      <c r="D5615" s="1" t="s">
        <v>146</v>
      </c>
      <c r="E5615" t="s">
        <v>136</v>
      </c>
    </row>
    <row r="5616" spans="1:5" x14ac:dyDescent="0.35">
      <c r="A5616" s="1" t="s">
        <v>147</v>
      </c>
      <c r="B5616" s="1"/>
      <c r="C5616" s="1"/>
      <c r="D5616" s="1" t="s">
        <v>148</v>
      </c>
      <c r="E5616" t="s">
        <v>136</v>
      </c>
    </row>
    <row r="5617" spans="1:5" x14ac:dyDescent="0.35">
      <c r="A5617" s="1" t="s">
        <v>147</v>
      </c>
      <c r="B5617" s="1"/>
      <c r="C5617" s="1"/>
      <c r="D5617" s="1" t="s">
        <v>149</v>
      </c>
      <c r="E5617" t="s">
        <v>136</v>
      </c>
    </row>
    <row r="5618" spans="1:5" x14ac:dyDescent="0.35">
      <c r="A5618" s="1" t="s">
        <v>147</v>
      </c>
      <c r="B5618" s="1" t="s">
        <v>162</v>
      </c>
      <c r="C5618" s="1" t="s">
        <v>145</v>
      </c>
      <c r="D5618" s="1" t="s">
        <v>146</v>
      </c>
      <c r="E5618" t="s">
        <v>136</v>
      </c>
    </row>
    <row r="5619" spans="1:5" x14ac:dyDescent="0.35">
      <c r="A5619" s="1" t="s">
        <v>147</v>
      </c>
      <c r="B5619" s="1"/>
      <c r="C5619" s="1"/>
      <c r="D5619" s="1" t="s">
        <v>148</v>
      </c>
      <c r="E5619" t="s">
        <v>136</v>
      </c>
    </row>
    <row r="5620" spans="1:5" x14ac:dyDescent="0.35">
      <c r="A5620" s="1" t="s">
        <v>147</v>
      </c>
      <c r="B5620" s="1"/>
      <c r="C5620" s="1"/>
      <c r="D5620" s="1" t="s">
        <v>149</v>
      </c>
      <c r="E5620" t="s">
        <v>136</v>
      </c>
    </row>
    <row r="5621" spans="1:5" x14ac:dyDescent="0.35">
      <c r="A5621" s="1" t="s">
        <v>147</v>
      </c>
      <c r="B5621" s="1"/>
      <c r="C5621" s="1" t="s">
        <v>150</v>
      </c>
      <c r="D5621" s="1" t="s">
        <v>146</v>
      </c>
      <c r="E5621" t="s">
        <v>136</v>
      </c>
    </row>
    <row r="5622" spans="1:5" x14ac:dyDescent="0.35">
      <c r="A5622" s="1" t="s">
        <v>147</v>
      </c>
      <c r="B5622" s="1"/>
      <c r="C5622" s="1"/>
      <c r="D5622" s="1" t="s">
        <v>148</v>
      </c>
      <c r="E5622" t="s">
        <v>136</v>
      </c>
    </row>
    <row r="5623" spans="1:5" x14ac:dyDescent="0.35">
      <c r="A5623" s="1" t="s">
        <v>147</v>
      </c>
      <c r="B5623" s="1"/>
      <c r="C5623" s="1"/>
      <c r="D5623" s="1" t="s">
        <v>149</v>
      </c>
      <c r="E5623" t="s">
        <v>136</v>
      </c>
    </row>
    <row r="5624" spans="1:5" x14ac:dyDescent="0.35">
      <c r="A5624" s="1" t="s">
        <v>147</v>
      </c>
      <c r="B5624" s="1" t="s">
        <v>163</v>
      </c>
      <c r="C5624" s="1" t="s">
        <v>145</v>
      </c>
      <c r="D5624" s="1" t="s">
        <v>146</v>
      </c>
      <c r="E5624">
        <v>1851.75</v>
      </c>
    </row>
    <row r="5625" spans="1:5" x14ac:dyDescent="0.35">
      <c r="A5625" s="1" t="s">
        <v>147</v>
      </c>
      <c r="B5625" s="1"/>
      <c r="C5625" s="1"/>
      <c r="D5625" s="1" t="s">
        <v>148</v>
      </c>
      <c r="E5625">
        <v>1851.75</v>
      </c>
    </row>
    <row r="5626" spans="1:5" x14ac:dyDescent="0.35">
      <c r="A5626" s="1" t="s">
        <v>147</v>
      </c>
      <c r="B5626" s="1"/>
      <c r="C5626" s="1"/>
      <c r="D5626" s="1" t="s">
        <v>149</v>
      </c>
      <c r="E5626" t="s">
        <v>136</v>
      </c>
    </row>
    <row r="5627" spans="1:5" x14ac:dyDescent="0.35">
      <c r="A5627" s="1" t="s">
        <v>147</v>
      </c>
      <c r="B5627" s="1"/>
      <c r="C5627" s="1" t="s">
        <v>150</v>
      </c>
      <c r="D5627" s="1" t="s">
        <v>146</v>
      </c>
      <c r="E5627" t="s">
        <v>136</v>
      </c>
    </row>
    <row r="5628" spans="1:5" x14ac:dyDescent="0.35">
      <c r="A5628" s="1" t="s">
        <v>147</v>
      </c>
      <c r="B5628" s="1"/>
      <c r="C5628" s="1"/>
      <c r="D5628" s="1" t="s">
        <v>148</v>
      </c>
      <c r="E5628" t="s">
        <v>136</v>
      </c>
    </row>
    <row r="5629" spans="1:5" x14ac:dyDescent="0.35">
      <c r="A5629" s="1" t="s">
        <v>147</v>
      </c>
      <c r="B5629" s="1"/>
      <c r="C5629" s="1"/>
      <c r="D5629" s="1" t="s">
        <v>149</v>
      </c>
      <c r="E5629" t="s">
        <v>136</v>
      </c>
    </row>
    <row r="5630" spans="1:5" x14ac:dyDescent="0.35">
      <c r="A5630" s="1" t="s">
        <v>147</v>
      </c>
      <c r="B5630" s="1" t="s">
        <v>164</v>
      </c>
      <c r="C5630" s="1" t="s">
        <v>145</v>
      </c>
      <c r="D5630" s="1" t="s">
        <v>146</v>
      </c>
      <c r="E5630" t="s">
        <v>136</v>
      </c>
    </row>
    <row r="5631" spans="1:5" x14ac:dyDescent="0.35">
      <c r="A5631" s="1" t="s">
        <v>147</v>
      </c>
      <c r="B5631" s="1"/>
      <c r="C5631" s="1"/>
      <c r="D5631" s="1" t="s">
        <v>148</v>
      </c>
      <c r="E5631" t="s">
        <v>136</v>
      </c>
    </row>
    <row r="5632" spans="1:5" x14ac:dyDescent="0.35">
      <c r="A5632" s="1" t="s">
        <v>147</v>
      </c>
      <c r="B5632" s="1"/>
      <c r="C5632" s="1"/>
      <c r="D5632" s="1" t="s">
        <v>149</v>
      </c>
      <c r="E5632" t="s">
        <v>136</v>
      </c>
    </row>
    <row r="5633" spans="1:5" x14ac:dyDescent="0.35">
      <c r="A5633" s="1" t="s">
        <v>147</v>
      </c>
      <c r="B5633" s="1"/>
      <c r="C5633" s="1" t="s">
        <v>150</v>
      </c>
      <c r="D5633" s="1" t="s">
        <v>146</v>
      </c>
      <c r="E5633" t="s">
        <v>136</v>
      </c>
    </row>
    <row r="5634" spans="1:5" x14ac:dyDescent="0.35">
      <c r="A5634" s="1" t="s">
        <v>147</v>
      </c>
      <c r="B5634" s="1"/>
      <c r="C5634" s="1"/>
      <c r="D5634" s="1" t="s">
        <v>148</v>
      </c>
      <c r="E5634" t="s">
        <v>136</v>
      </c>
    </row>
    <row r="5635" spans="1:5" x14ac:dyDescent="0.35">
      <c r="A5635" s="1" t="s">
        <v>147</v>
      </c>
      <c r="B5635" s="1"/>
      <c r="C5635" s="1"/>
      <c r="D5635" s="1" t="s">
        <v>149</v>
      </c>
      <c r="E5635" t="s">
        <v>136</v>
      </c>
    </row>
    <row r="5636" spans="1:5" x14ac:dyDescent="0.35">
      <c r="A5636" s="1" t="s">
        <v>147</v>
      </c>
      <c r="B5636" s="1" t="s">
        <v>165</v>
      </c>
      <c r="C5636" s="1" t="s">
        <v>145</v>
      </c>
      <c r="D5636" s="1" t="s">
        <v>146</v>
      </c>
      <c r="E5636">
        <v>1841</v>
      </c>
    </row>
    <row r="5637" spans="1:5" x14ac:dyDescent="0.35">
      <c r="A5637" s="1" t="s">
        <v>147</v>
      </c>
      <c r="B5637" s="1"/>
      <c r="C5637" s="1"/>
      <c r="D5637" s="1" t="s">
        <v>148</v>
      </c>
      <c r="E5637">
        <v>1841</v>
      </c>
    </row>
    <row r="5638" spans="1:5" x14ac:dyDescent="0.35">
      <c r="A5638" s="1" t="s">
        <v>147</v>
      </c>
      <c r="B5638" s="1"/>
      <c r="C5638" s="1"/>
      <c r="D5638" s="1" t="s">
        <v>149</v>
      </c>
      <c r="E5638" t="s">
        <v>136</v>
      </c>
    </row>
    <row r="5639" spans="1:5" x14ac:dyDescent="0.35">
      <c r="A5639" s="1" t="s">
        <v>147</v>
      </c>
      <c r="B5639" s="1"/>
      <c r="C5639" s="1" t="s">
        <v>150</v>
      </c>
      <c r="D5639" s="1" t="s">
        <v>146</v>
      </c>
      <c r="E5639" t="s">
        <v>136</v>
      </c>
    </row>
    <row r="5640" spans="1:5" x14ac:dyDescent="0.35">
      <c r="A5640" s="1" t="s">
        <v>147</v>
      </c>
      <c r="B5640" s="1"/>
      <c r="C5640" s="1"/>
      <c r="D5640" s="1" t="s">
        <v>148</v>
      </c>
      <c r="E5640" t="s">
        <v>136</v>
      </c>
    </row>
    <row r="5641" spans="1:5" x14ac:dyDescent="0.35">
      <c r="A5641" s="1" t="s">
        <v>147</v>
      </c>
      <c r="B5641" s="1"/>
      <c r="C5641" s="1"/>
      <c r="D5641" s="1" t="s">
        <v>149</v>
      </c>
      <c r="E5641" t="s">
        <v>136</v>
      </c>
    </row>
    <row r="5642" spans="1:5" x14ac:dyDescent="0.35">
      <c r="A5642" s="1" t="s">
        <v>147</v>
      </c>
      <c r="B5642" s="1" t="s">
        <v>166</v>
      </c>
      <c r="C5642" s="1" t="s">
        <v>145</v>
      </c>
      <c r="D5642" s="1" t="s">
        <v>146</v>
      </c>
      <c r="E5642">
        <v>10.75</v>
      </c>
    </row>
    <row r="5643" spans="1:5" x14ac:dyDescent="0.35">
      <c r="A5643" s="1" t="s">
        <v>147</v>
      </c>
      <c r="B5643" s="1"/>
      <c r="C5643" s="1"/>
      <c r="D5643" s="1" t="s">
        <v>148</v>
      </c>
      <c r="E5643">
        <v>10.75</v>
      </c>
    </row>
    <row r="5644" spans="1:5" x14ac:dyDescent="0.35">
      <c r="A5644" s="1" t="s">
        <v>147</v>
      </c>
      <c r="B5644" s="1"/>
      <c r="C5644" s="1"/>
      <c r="D5644" s="1" t="s">
        <v>149</v>
      </c>
      <c r="E5644" t="s">
        <v>136</v>
      </c>
    </row>
    <row r="5645" spans="1:5" x14ac:dyDescent="0.35">
      <c r="A5645" s="1" t="s">
        <v>147</v>
      </c>
      <c r="B5645" s="1"/>
      <c r="C5645" s="1" t="s">
        <v>150</v>
      </c>
      <c r="D5645" s="1" t="s">
        <v>146</v>
      </c>
      <c r="E5645" t="s">
        <v>136</v>
      </c>
    </row>
    <row r="5646" spans="1:5" x14ac:dyDescent="0.35">
      <c r="A5646" s="1" t="s">
        <v>147</v>
      </c>
      <c r="B5646" s="1"/>
      <c r="C5646" s="1"/>
      <c r="D5646" s="1" t="s">
        <v>148</v>
      </c>
      <c r="E5646" t="s">
        <v>136</v>
      </c>
    </row>
    <row r="5647" spans="1:5" x14ac:dyDescent="0.35">
      <c r="A5647" s="1" t="s">
        <v>147</v>
      </c>
      <c r="B5647" s="1"/>
      <c r="C5647" s="1"/>
      <c r="D5647" s="1" t="s">
        <v>149</v>
      </c>
      <c r="E5647" t="s">
        <v>136</v>
      </c>
    </row>
    <row r="5648" spans="1:5" x14ac:dyDescent="0.35">
      <c r="A5648" s="1" t="s">
        <v>147</v>
      </c>
      <c r="B5648" s="1" t="s">
        <v>167</v>
      </c>
      <c r="C5648" s="1" t="s">
        <v>145</v>
      </c>
      <c r="D5648" s="1" t="s">
        <v>146</v>
      </c>
      <c r="E5648" t="s">
        <v>136</v>
      </c>
    </row>
    <row r="5649" spans="1:5" x14ac:dyDescent="0.35">
      <c r="A5649" s="1" t="s">
        <v>147</v>
      </c>
      <c r="B5649" s="1"/>
      <c r="C5649" s="1"/>
      <c r="D5649" s="1" t="s">
        <v>148</v>
      </c>
      <c r="E5649" t="s">
        <v>136</v>
      </c>
    </row>
    <row r="5650" spans="1:5" x14ac:dyDescent="0.35">
      <c r="A5650" s="1" t="s">
        <v>147</v>
      </c>
      <c r="B5650" s="1"/>
      <c r="C5650" s="1"/>
      <c r="D5650" s="1" t="s">
        <v>149</v>
      </c>
      <c r="E5650" t="s">
        <v>136</v>
      </c>
    </row>
    <row r="5651" spans="1:5" x14ac:dyDescent="0.35">
      <c r="A5651" s="1" t="s">
        <v>147</v>
      </c>
      <c r="B5651" s="1"/>
      <c r="C5651" s="1" t="s">
        <v>150</v>
      </c>
      <c r="D5651" s="1" t="s">
        <v>146</v>
      </c>
      <c r="E5651" t="s">
        <v>136</v>
      </c>
    </row>
    <row r="5652" spans="1:5" x14ac:dyDescent="0.35">
      <c r="A5652" s="1" t="s">
        <v>147</v>
      </c>
      <c r="B5652" s="1"/>
      <c r="C5652" s="1"/>
      <c r="D5652" s="1" t="s">
        <v>148</v>
      </c>
      <c r="E5652" t="s">
        <v>136</v>
      </c>
    </row>
    <row r="5653" spans="1:5" x14ac:dyDescent="0.35">
      <c r="A5653" s="1" t="s">
        <v>147</v>
      </c>
      <c r="B5653" s="1"/>
      <c r="C5653" s="1"/>
      <c r="D5653" s="1" t="s">
        <v>149</v>
      </c>
      <c r="E5653" t="s">
        <v>136</v>
      </c>
    </row>
    <row r="5654" spans="1:5" x14ac:dyDescent="0.35">
      <c r="A5654" s="1" t="s">
        <v>147</v>
      </c>
      <c r="B5654" s="1" t="s">
        <v>168</v>
      </c>
      <c r="C5654" s="1" t="s">
        <v>145</v>
      </c>
      <c r="D5654" s="1" t="s">
        <v>146</v>
      </c>
      <c r="E5654" t="s">
        <v>136</v>
      </c>
    </row>
    <row r="5655" spans="1:5" x14ac:dyDescent="0.35">
      <c r="A5655" s="1" t="s">
        <v>147</v>
      </c>
      <c r="B5655" s="1"/>
      <c r="C5655" s="1"/>
      <c r="D5655" s="1" t="s">
        <v>148</v>
      </c>
      <c r="E5655" t="s">
        <v>136</v>
      </c>
    </row>
    <row r="5656" spans="1:5" x14ac:dyDescent="0.35">
      <c r="A5656" s="1" t="s">
        <v>147</v>
      </c>
      <c r="B5656" s="1"/>
      <c r="C5656" s="1"/>
      <c r="D5656" s="1" t="s">
        <v>149</v>
      </c>
      <c r="E5656" t="s">
        <v>136</v>
      </c>
    </row>
    <row r="5657" spans="1:5" x14ac:dyDescent="0.35">
      <c r="A5657" s="1" t="s">
        <v>147</v>
      </c>
      <c r="B5657" s="1"/>
      <c r="C5657" s="1" t="s">
        <v>150</v>
      </c>
      <c r="D5657" s="1" t="s">
        <v>146</v>
      </c>
      <c r="E5657" t="s">
        <v>136</v>
      </c>
    </row>
    <row r="5658" spans="1:5" x14ac:dyDescent="0.35">
      <c r="A5658" s="1" t="s">
        <v>147</v>
      </c>
      <c r="B5658" s="1"/>
      <c r="C5658" s="1"/>
      <c r="D5658" s="1" t="s">
        <v>148</v>
      </c>
      <c r="E5658" t="s">
        <v>136</v>
      </c>
    </row>
    <row r="5659" spans="1:5" x14ac:dyDescent="0.35">
      <c r="A5659" s="1" t="s">
        <v>147</v>
      </c>
      <c r="B5659" s="1"/>
      <c r="C5659" s="1"/>
      <c r="D5659" s="1" t="s">
        <v>149</v>
      </c>
      <c r="E5659" t="s">
        <v>136</v>
      </c>
    </row>
    <row r="5660" spans="1:5" x14ac:dyDescent="0.35">
      <c r="A5660" s="1" t="s">
        <v>147</v>
      </c>
      <c r="B5660" s="1" t="s">
        <v>169</v>
      </c>
      <c r="C5660" s="1" t="s">
        <v>145</v>
      </c>
      <c r="D5660" s="1" t="s">
        <v>146</v>
      </c>
      <c r="E5660" t="s">
        <v>136</v>
      </c>
    </row>
    <row r="5661" spans="1:5" x14ac:dyDescent="0.35">
      <c r="A5661" s="1" t="s">
        <v>147</v>
      </c>
      <c r="B5661" s="1"/>
      <c r="C5661" s="1"/>
      <c r="D5661" s="1" t="s">
        <v>148</v>
      </c>
      <c r="E5661" t="s">
        <v>136</v>
      </c>
    </row>
    <row r="5662" spans="1:5" x14ac:dyDescent="0.35">
      <c r="A5662" s="1" t="s">
        <v>147</v>
      </c>
      <c r="B5662" s="1"/>
      <c r="C5662" s="1"/>
      <c r="D5662" s="1" t="s">
        <v>149</v>
      </c>
      <c r="E5662" t="s">
        <v>136</v>
      </c>
    </row>
    <row r="5663" spans="1:5" x14ac:dyDescent="0.35">
      <c r="A5663" s="1" t="s">
        <v>147</v>
      </c>
      <c r="B5663" s="1"/>
      <c r="C5663" s="1" t="s">
        <v>150</v>
      </c>
      <c r="D5663" s="1" t="s">
        <v>146</v>
      </c>
      <c r="E5663" t="s">
        <v>136</v>
      </c>
    </row>
    <row r="5664" spans="1:5" x14ac:dyDescent="0.35">
      <c r="A5664" s="1" t="s">
        <v>147</v>
      </c>
      <c r="B5664" s="1"/>
      <c r="C5664" s="1"/>
      <c r="D5664" s="1" t="s">
        <v>148</v>
      </c>
      <c r="E5664" t="s">
        <v>136</v>
      </c>
    </row>
    <row r="5665" spans="1:5" x14ac:dyDescent="0.35">
      <c r="A5665" s="1" t="s">
        <v>147</v>
      </c>
      <c r="B5665" s="1"/>
      <c r="C5665" s="1"/>
      <c r="D5665" s="1" t="s">
        <v>149</v>
      </c>
      <c r="E5665" t="s">
        <v>136</v>
      </c>
    </row>
    <row r="5666" spans="1:5" x14ac:dyDescent="0.35">
      <c r="A5666" s="1" t="s">
        <v>147</v>
      </c>
      <c r="B5666" s="1" t="s">
        <v>170</v>
      </c>
      <c r="C5666" s="1" t="s">
        <v>145</v>
      </c>
      <c r="D5666" s="1" t="s">
        <v>146</v>
      </c>
      <c r="E5666" t="s">
        <v>136</v>
      </c>
    </row>
    <row r="5667" spans="1:5" x14ac:dyDescent="0.35">
      <c r="A5667" s="1" t="s">
        <v>147</v>
      </c>
      <c r="B5667" s="1"/>
      <c r="C5667" s="1"/>
      <c r="D5667" s="1" t="s">
        <v>148</v>
      </c>
      <c r="E5667" t="s">
        <v>136</v>
      </c>
    </row>
    <row r="5668" spans="1:5" x14ac:dyDescent="0.35">
      <c r="A5668" s="1" t="s">
        <v>147</v>
      </c>
      <c r="B5668" s="1"/>
      <c r="C5668" s="1"/>
      <c r="D5668" s="1" t="s">
        <v>149</v>
      </c>
      <c r="E5668" t="s">
        <v>136</v>
      </c>
    </row>
    <row r="5669" spans="1:5" x14ac:dyDescent="0.35">
      <c r="A5669" s="1" t="s">
        <v>147</v>
      </c>
      <c r="B5669" s="1"/>
      <c r="C5669" s="1" t="s">
        <v>150</v>
      </c>
      <c r="D5669" s="1" t="s">
        <v>146</v>
      </c>
      <c r="E5669" t="s">
        <v>136</v>
      </c>
    </row>
    <row r="5670" spans="1:5" x14ac:dyDescent="0.35">
      <c r="A5670" s="1" t="s">
        <v>147</v>
      </c>
      <c r="B5670" s="1"/>
      <c r="C5670" s="1"/>
      <c r="D5670" s="1" t="s">
        <v>148</v>
      </c>
      <c r="E5670" t="s">
        <v>136</v>
      </c>
    </row>
    <row r="5671" spans="1:5" x14ac:dyDescent="0.35">
      <c r="A5671" s="1" t="s">
        <v>147</v>
      </c>
      <c r="B5671" s="1"/>
      <c r="C5671" s="1"/>
      <c r="D5671" s="1" t="s">
        <v>149</v>
      </c>
      <c r="E5671" t="s">
        <v>136</v>
      </c>
    </row>
    <row r="5672" spans="1:5" x14ac:dyDescent="0.35">
      <c r="A5672" s="1" t="s">
        <v>147</v>
      </c>
      <c r="B5672" s="1"/>
      <c r="C5672" s="1"/>
      <c r="D5672" s="1"/>
    </row>
    <row r="5673" spans="1:5" x14ac:dyDescent="0.35">
      <c r="A5673" s="1" t="s">
        <v>147</v>
      </c>
      <c r="B5673" s="1"/>
      <c r="C5673" s="1"/>
      <c r="D567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9F77-6323-4974-85CA-474607272DE4}">
  <dimension ref="A1:D2251"/>
  <sheetViews>
    <sheetView workbookViewId="0">
      <selection activeCell="D16" sqref="D16"/>
    </sheetView>
  </sheetViews>
  <sheetFormatPr defaultRowHeight="14.5" x14ac:dyDescent="0.35"/>
  <cols>
    <col min="1" max="1" width="19.1796875" bestFit="1" customWidth="1"/>
    <col min="2" max="2" width="30.81640625" bestFit="1" customWidth="1"/>
    <col min="3" max="3" width="6.81640625" bestFit="1" customWidth="1"/>
    <col min="4" max="4" width="11.08984375" bestFit="1" customWidth="1"/>
  </cols>
  <sheetData>
    <row r="1" spans="1:4" x14ac:dyDescent="0.35">
      <c r="A1" t="s">
        <v>130</v>
      </c>
      <c r="B1" t="s">
        <v>131</v>
      </c>
      <c r="C1" t="s">
        <v>132</v>
      </c>
      <c r="D1" t="s">
        <v>133</v>
      </c>
    </row>
    <row r="2" spans="1:4" x14ac:dyDescent="0.35">
      <c r="A2" s="1" t="s">
        <v>53</v>
      </c>
      <c r="B2" s="1" t="s">
        <v>134</v>
      </c>
      <c r="C2">
        <v>2000</v>
      </c>
      <c r="D2">
        <v>4.5199999999999996</v>
      </c>
    </row>
    <row r="3" spans="1:4" x14ac:dyDescent="0.35">
      <c r="A3" s="1" t="s">
        <v>53</v>
      </c>
      <c r="B3" s="1"/>
      <c r="C3">
        <v>2001</v>
      </c>
      <c r="D3">
        <v>4.5199999999999996</v>
      </c>
    </row>
    <row r="4" spans="1:4" x14ac:dyDescent="0.35">
      <c r="A4" s="1" t="s">
        <v>53</v>
      </c>
      <c r="B4" s="1"/>
      <c r="C4">
        <v>2002</v>
      </c>
      <c r="D4">
        <v>4.18</v>
      </c>
    </row>
    <row r="5" spans="1:4" x14ac:dyDescent="0.35">
      <c r="A5" s="1" t="s">
        <v>53</v>
      </c>
      <c r="B5" s="1"/>
      <c r="C5">
        <v>2003</v>
      </c>
      <c r="D5">
        <v>4.0999999999999996</v>
      </c>
    </row>
    <row r="6" spans="1:4" x14ac:dyDescent="0.35">
      <c r="A6" s="1" t="s">
        <v>53</v>
      </c>
      <c r="B6" s="1"/>
      <c r="C6">
        <v>2004</v>
      </c>
      <c r="D6">
        <v>3.93</v>
      </c>
    </row>
    <row r="7" spans="1:4" x14ac:dyDescent="0.35">
      <c r="A7" s="1" t="s">
        <v>53</v>
      </c>
      <c r="B7" s="1"/>
      <c r="C7">
        <v>2005</v>
      </c>
      <c r="D7">
        <v>3.52</v>
      </c>
    </row>
    <row r="8" spans="1:4" x14ac:dyDescent="0.35">
      <c r="A8" s="1" t="s">
        <v>53</v>
      </c>
      <c r="B8" s="1"/>
      <c r="C8">
        <v>2006</v>
      </c>
      <c r="D8">
        <v>3.02</v>
      </c>
    </row>
    <row r="9" spans="1:4" x14ac:dyDescent="0.35">
      <c r="A9" s="1" t="s">
        <v>53</v>
      </c>
      <c r="B9" s="1"/>
      <c r="C9">
        <v>2007</v>
      </c>
      <c r="D9">
        <v>2.81</v>
      </c>
    </row>
    <row r="10" spans="1:4" x14ac:dyDescent="0.35">
      <c r="A10" s="1" t="s">
        <v>53</v>
      </c>
      <c r="B10" s="1"/>
      <c r="C10">
        <v>2008</v>
      </c>
      <c r="D10">
        <v>2.57</v>
      </c>
    </row>
    <row r="11" spans="1:4" x14ac:dyDescent="0.35">
      <c r="A11" s="1" t="s">
        <v>53</v>
      </c>
      <c r="B11" s="1"/>
      <c r="C11">
        <v>2009</v>
      </c>
      <c r="D11">
        <v>1.93</v>
      </c>
    </row>
    <row r="12" spans="1:4" x14ac:dyDescent="0.35">
      <c r="A12" s="1" t="s">
        <v>53</v>
      </c>
      <c r="B12" s="1"/>
      <c r="C12">
        <v>2010</v>
      </c>
      <c r="D12">
        <v>2.1</v>
      </c>
    </row>
    <row r="13" spans="1:4" x14ac:dyDescent="0.35">
      <c r="A13" s="1" t="s">
        <v>53</v>
      </c>
      <c r="B13" s="1"/>
      <c r="C13">
        <v>2011</v>
      </c>
      <c r="D13">
        <v>2.09</v>
      </c>
    </row>
    <row r="14" spans="1:4" x14ac:dyDescent="0.35">
      <c r="A14" s="1" t="s">
        <v>53</v>
      </c>
      <c r="B14" s="1"/>
      <c r="C14">
        <v>2012</v>
      </c>
      <c r="D14">
        <v>1.86</v>
      </c>
    </row>
    <row r="15" spans="1:4" x14ac:dyDescent="0.35">
      <c r="A15" s="1" t="s">
        <v>53</v>
      </c>
      <c r="B15" s="1"/>
      <c r="C15">
        <v>2013</v>
      </c>
      <c r="D15">
        <v>1.59</v>
      </c>
    </row>
    <row r="16" spans="1:4" x14ac:dyDescent="0.35">
      <c r="A16" s="1" t="s">
        <v>53</v>
      </c>
      <c r="B16" s="1"/>
      <c r="C16">
        <v>2014</v>
      </c>
      <c r="D16">
        <v>1.59</v>
      </c>
    </row>
    <row r="17" spans="1:4" x14ac:dyDescent="0.35">
      <c r="A17" s="1" t="s">
        <v>53</v>
      </c>
      <c r="B17" s="1"/>
      <c r="C17">
        <v>2015</v>
      </c>
      <c r="D17">
        <v>1.66</v>
      </c>
    </row>
    <row r="18" spans="1:4" x14ac:dyDescent="0.35">
      <c r="A18" s="1" t="s">
        <v>53</v>
      </c>
      <c r="B18" s="1"/>
      <c r="C18">
        <v>2016</v>
      </c>
      <c r="D18">
        <v>2.4900000000000002</v>
      </c>
    </row>
    <row r="19" spans="1:4" x14ac:dyDescent="0.35">
      <c r="A19" s="1" t="s">
        <v>53</v>
      </c>
      <c r="B19" s="1"/>
      <c r="C19">
        <v>2017</v>
      </c>
      <c r="D19">
        <v>2.88</v>
      </c>
    </row>
    <row r="20" spans="1:4" x14ac:dyDescent="0.35">
      <c r="A20" s="1" t="s">
        <v>53</v>
      </c>
      <c r="B20" s="1"/>
      <c r="C20">
        <v>2018</v>
      </c>
      <c r="D20">
        <v>2.73</v>
      </c>
    </row>
    <row r="21" spans="1:4" x14ac:dyDescent="0.35">
      <c r="A21" s="1" t="s">
        <v>53</v>
      </c>
      <c r="B21" s="1"/>
      <c r="C21">
        <v>2019</v>
      </c>
      <c r="D21">
        <v>2.4700000000000002</v>
      </c>
    </row>
    <row r="22" spans="1:4" x14ac:dyDescent="0.35">
      <c r="A22" s="1" t="s">
        <v>53</v>
      </c>
      <c r="B22" s="1"/>
      <c r="C22">
        <v>2020</v>
      </c>
      <c r="D22">
        <v>2.31</v>
      </c>
    </row>
    <row r="23" spans="1:4" x14ac:dyDescent="0.35">
      <c r="A23" s="1" t="s">
        <v>53</v>
      </c>
      <c r="B23" s="1"/>
      <c r="C23">
        <v>2021</v>
      </c>
      <c r="D23">
        <v>1.97</v>
      </c>
    </row>
    <row r="24" spans="1:4" x14ac:dyDescent="0.35">
      <c r="A24" s="1" t="s">
        <v>53</v>
      </c>
      <c r="B24" s="1"/>
      <c r="C24">
        <v>2022</v>
      </c>
      <c r="D24">
        <v>2.2200000000000002</v>
      </c>
    </row>
    <row r="25" spans="1:4" x14ac:dyDescent="0.35">
      <c r="A25" s="1" t="s">
        <v>53</v>
      </c>
      <c r="B25" s="1"/>
      <c r="C25">
        <v>2023</v>
      </c>
      <c r="D25">
        <v>2.16</v>
      </c>
    </row>
    <row r="26" spans="1:4" x14ac:dyDescent="0.35">
      <c r="A26" s="1" t="s">
        <v>53</v>
      </c>
      <c r="B26" s="1"/>
      <c r="C26">
        <v>2024</v>
      </c>
      <c r="D26">
        <v>2.09</v>
      </c>
    </row>
    <row r="27" spans="1:4" x14ac:dyDescent="0.35">
      <c r="A27" s="1" t="s">
        <v>53</v>
      </c>
      <c r="B27" s="1" t="s">
        <v>135</v>
      </c>
      <c r="C27">
        <v>2000</v>
      </c>
      <c r="D27">
        <v>0.21</v>
      </c>
    </row>
    <row r="28" spans="1:4" x14ac:dyDescent="0.35">
      <c r="A28" s="1" t="s">
        <v>53</v>
      </c>
      <c r="B28" s="1"/>
      <c r="C28">
        <v>2001</v>
      </c>
      <c r="D28">
        <v>0.26</v>
      </c>
    </row>
    <row r="29" spans="1:4" x14ac:dyDescent="0.35">
      <c r="A29" s="1" t="s">
        <v>53</v>
      </c>
      <c r="B29" s="1"/>
      <c r="C29">
        <v>2002</v>
      </c>
      <c r="D29">
        <v>0.21</v>
      </c>
    </row>
    <row r="30" spans="1:4" x14ac:dyDescent="0.35">
      <c r="A30" s="1" t="s">
        <v>53</v>
      </c>
      <c r="B30" s="1"/>
      <c r="C30">
        <v>2003</v>
      </c>
      <c r="D30">
        <v>0.9</v>
      </c>
    </row>
    <row r="31" spans="1:4" x14ac:dyDescent="0.35">
      <c r="A31" s="1" t="s">
        <v>53</v>
      </c>
      <c r="B31" s="1"/>
      <c r="C31">
        <v>2004</v>
      </c>
      <c r="D31">
        <v>0.8</v>
      </c>
    </row>
    <row r="32" spans="1:4" x14ac:dyDescent="0.35">
      <c r="A32" s="1" t="s">
        <v>53</v>
      </c>
      <c r="B32" s="1"/>
      <c r="C32">
        <v>2005</v>
      </c>
      <c r="D32">
        <v>1.69</v>
      </c>
    </row>
    <row r="33" spans="1:4" x14ac:dyDescent="0.35">
      <c r="A33" s="1" t="s">
        <v>53</v>
      </c>
      <c r="B33" s="1"/>
      <c r="C33">
        <v>2006</v>
      </c>
      <c r="D33">
        <v>0.62</v>
      </c>
    </row>
    <row r="34" spans="1:4" x14ac:dyDescent="0.35">
      <c r="A34" s="1" t="s">
        <v>53</v>
      </c>
      <c r="B34" s="1"/>
      <c r="C34">
        <v>2007</v>
      </c>
      <c r="D34">
        <v>0.61</v>
      </c>
    </row>
    <row r="35" spans="1:4" x14ac:dyDescent="0.35">
      <c r="A35" s="1" t="s">
        <v>53</v>
      </c>
      <c r="B35" s="1"/>
      <c r="C35">
        <v>2008</v>
      </c>
      <c r="D35">
        <v>0.7</v>
      </c>
    </row>
    <row r="36" spans="1:4" x14ac:dyDescent="0.35">
      <c r="A36" s="1" t="s">
        <v>53</v>
      </c>
      <c r="B36" s="1"/>
      <c r="C36">
        <v>2009</v>
      </c>
      <c r="D36">
        <v>0.89</v>
      </c>
    </row>
    <row r="37" spans="1:4" x14ac:dyDescent="0.35">
      <c r="A37" s="1" t="s">
        <v>53</v>
      </c>
      <c r="B37" s="1"/>
      <c r="C37">
        <v>2010</v>
      </c>
      <c r="D37">
        <v>0.38</v>
      </c>
    </row>
    <row r="38" spans="1:4" x14ac:dyDescent="0.35">
      <c r="A38" s="1" t="s">
        <v>53</v>
      </c>
      <c r="B38" s="1"/>
      <c r="C38">
        <v>2011</v>
      </c>
      <c r="D38">
        <v>0.94</v>
      </c>
    </row>
    <row r="39" spans="1:4" x14ac:dyDescent="0.35">
      <c r="A39" s="1" t="s">
        <v>53</v>
      </c>
      <c r="B39" s="1"/>
      <c r="C39">
        <v>2012</v>
      </c>
      <c r="D39">
        <v>1.02</v>
      </c>
    </row>
    <row r="40" spans="1:4" x14ac:dyDescent="0.35">
      <c r="A40" s="1" t="s">
        <v>53</v>
      </c>
      <c r="B40" s="1"/>
      <c r="C40">
        <v>2013</v>
      </c>
      <c r="D40">
        <v>0.49</v>
      </c>
    </row>
    <row r="41" spans="1:4" x14ac:dyDescent="0.35">
      <c r="A41" s="1" t="s">
        <v>53</v>
      </c>
      <c r="B41" s="1"/>
      <c r="C41">
        <v>2014</v>
      </c>
      <c r="D41">
        <v>0.61</v>
      </c>
    </row>
    <row r="42" spans="1:4" x14ac:dyDescent="0.35">
      <c r="A42" s="1" t="s">
        <v>53</v>
      </c>
      <c r="B42" s="1"/>
      <c r="C42">
        <v>2015</v>
      </c>
      <c r="D42">
        <v>0.52</v>
      </c>
    </row>
    <row r="43" spans="1:4" x14ac:dyDescent="0.35">
      <c r="A43" s="1" t="s">
        <v>53</v>
      </c>
      <c r="B43" s="1"/>
      <c r="C43">
        <v>2016</v>
      </c>
      <c r="D43">
        <v>0.65</v>
      </c>
    </row>
    <row r="44" spans="1:4" x14ac:dyDescent="0.35">
      <c r="A44" s="1" t="s">
        <v>53</v>
      </c>
      <c r="B44" s="1"/>
      <c r="C44">
        <v>2017</v>
      </c>
      <c r="D44">
        <v>0.66</v>
      </c>
    </row>
    <row r="45" spans="1:4" x14ac:dyDescent="0.35">
      <c r="A45" s="1" t="s">
        <v>53</v>
      </c>
      <c r="B45" s="1"/>
      <c r="C45">
        <v>2018</v>
      </c>
      <c r="D45">
        <v>1.06</v>
      </c>
    </row>
    <row r="46" spans="1:4" x14ac:dyDescent="0.35">
      <c r="A46" s="1" t="s">
        <v>53</v>
      </c>
      <c r="B46" s="1"/>
      <c r="C46">
        <v>2019</v>
      </c>
      <c r="D46">
        <v>1.07</v>
      </c>
    </row>
    <row r="47" spans="1:4" x14ac:dyDescent="0.35">
      <c r="A47" s="1" t="s">
        <v>53</v>
      </c>
      <c r="B47" s="1"/>
      <c r="C47">
        <v>2020</v>
      </c>
      <c r="D47">
        <v>1.1000000000000001</v>
      </c>
    </row>
    <row r="48" spans="1:4" x14ac:dyDescent="0.35">
      <c r="A48" s="1" t="s">
        <v>53</v>
      </c>
      <c r="B48" s="1"/>
      <c r="C48">
        <v>2021</v>
      </c>
      <c r="D48">
        <v>0.95</v>
      </c>
    </row>
    <row r="49" spans="1:4" x14ac:dyDescent="0.35">
      <c r="A49" s="1" t="s">
        <v>53</v>
      </c>
      <c r="B49" s="1"/>
      <c r="C49">
        <v>2022</v>
      </c>
      <c r="D49">
        <v>0.95</v>
      </c>
    </row>
    <row r="50" spans="1:4" x14ac:dyDescent="0.35">
      <c r="A50" s="1" t="s">
        <v>53</v>
      </c>
      <c r="B50" s="1"/>
      <c r="C50">
        <v>2023</v>
      </c>
      <c r="D50">
        <v>0.97</v>
      </c>
    </row>
    <row r="51" spans="1:4" x14ac:dyDescent="0.35">
      <c r="A51" s="1" t="s">
        <v>53</v>
      </c>
      <c r="B51" s="1"/>
      <c r="C51">
        <v>2024</v>
      </c>
      <c r="D51" t="s">
        <v>136</v>
      </c>
    </row>
    <row r="52" spans="1:4" x14ac:dyDescent="0.35">
      <c r="A52" s="1" t="s">
        <v>28</v>
      </c>
      <c r="B52" s="1" t="s">
        <v>134</v>
      </c>
      <c r="C52">
        <v>2000</v>
      </c>
      <c r="D52">
        <v>61.16</v>
      </c>
    </row>
    <row r="53" spans="1:4" x14ac:dyDescent="0.35">
      <c r="A53" s="1" t="s">
        <v>28</v>
      </c>
      <c r="B53" s="1"/>
      <c r="C53">
        <v>2001</v>
      </c>
      <c r="D53">
        <v>54.38</v>
      </c>
    </row>
    <row r="54" spans="1:4" x14ac:dyDescent="0.35">
      <c r="A54" s="1" t="s">
        <v>28</v>
      </c>
      <c r="B54" s="1"/>
      <c r="C54">
        <v>2002</v>
      </c>
      <c r="D54">
        <v>54.38</v>
      </c>
    </row>
    <row r="55" spans="1:4" x14ac:dyDescent="0.35">
      <c r="A55" s="1" t="s">
        <v>28</v>
      </c>
      <c r="B55" s="1"/>
      <c r="C55">
        <v>2003</v>
      </c>
      <c r="D55">
        <v>54.38</v>
      </c>
    </row>
    <row r="56" spans="1:4" x14ac:dyDescent="0.35">
      <c r="A56" s="1" t="s">
        <v>28</v>
      </c>
      <c r="B56" s="1"/>
      <c r="C56">
        <v>2004</v>
      </c>
      <c r="D56">
        <v>71.290000000000006</v>
      </c>
    </row>
    <row r="57" spans="1:4" x14ac:dyDescent="0.35">
      <c r="A57" s="1" t="s">
        <v>28</v>
      </c>
      <c r="B57" s="1"/>
      <c r="C57">
        <v>2005</v>
      </c>
      <c r="D57">
        <v>71.290000000000006</v>
      </c>
    </row>
    <row r="58" spans="1:4" x14ac:dyDescent="0.35">
      <c r="A58" s="1" t="s">
        <v>28</v>
      </c>
      <c r="B58" s="1"/>
      <c r="C58">
        <v>2006</v>
      </c>
      <c r="D58">
        <v>71.180000000000007</v>
      </c>
    </row>
    <row r="59" spans="1:4" x14ac:dyDescent="0.35">
      <c r="A59" s="1" t="s">
        <v>28</v>
      </c>
      <c r="B59" s="1"/>
      <c r="C59">
        <v>2007</v>
      </c>
      <c r="D59">
        <v>76.62</v>
      </c>
    </row>
    <row r="60" spans="1:4" x14ac:dyDescent="0.35">
      <c r="A60" s="1" t="s">
        <v>28</v>
      </c>
      <c r="B60" s="1"/>
      <c r="C60">
        <v>2008</v>
      </c>
      <c r="D60">
        <v>77.19</v>
      </c>
    </row>
    <row r="61" spans="1:4" x14ac:dyDescent="0.35">
      <c r="A61" s="1" t="s">
        <v>28</v>
      </c>
      <c r="B61" s="1"/>
      <c r="C61">
        <v>2009</v>
      </c>
      <c r="D61">
        <v>77.19</v>
      </c>
    </row>
    <row r="62" spans="1:4" x14ac:dyDescent="0.35">
      <c r="A62" s="1" t="s">
        <v>28</v>
      </c>
      <c r="B62" s="1"/>
      <c r="C62">
        <v>2010</v>
      </c>
      <c r="D62">
        <v>66.95</v>
      </c>
    </row>
    <row r="63" spans="1:4" x14ac:dyDescent="0.35">
      <c r="A63" s="1" t="s">
        <v>28</v>
      </c>
      <c r="B63" s="1"/>
      <c r="C63">
        <v>2011</v>
      </c>
      <c r="D63">
        <v>59.15</v>
      </c>
    </row>
    <row r="64" spans="1:4" x14ac:dyDescent="0.35">
      <c r="A64" s="1" t="s">
        <v>28</v>
      </c>
      <c r="B64" s="1"/>
      <c r="C64">
        <v>2012</v>
      </c>
      <c r="D64">
        <v>51.22</v>
      </c>
    </row>
    <row r="65" spans="1:4" x14ac:dyDescent="0.35">
      <c r="A65" s="1" t="s">
        <v>28</v>
      </c>
      <c r="B65" s="1"/>
      <c r="C65">
        <v>2013</v>
      </c>
      <c r="D65">
        <v>44.18</v>
      </c>
    </row>
    <row r="66" spans="1:4" x14ac:dyDescent="0.35">
      <c r="A66" s="1" t="s">
        <v>28</v>
      </c>
      <c r="B66" s="1"/>
      <c r="C66">
        <v>2014</v>
      </c>
      <c r="D66">
        <v>43.6</v>
      </c>
    </row>
    <row r="67" spans="1:4" x14ac:dyDescent="0.35">
      <c r="A67" s="1" t="s">
        <v>28</v>
      </c>
      <c r="B67" s="1"/>
      <c r="C67">
        <v>2015</v>
      </c>
      <c r="D67">
        <v>42.57</v>
      </c>
    </row>
    <row r="68" spans="1:4" x14ac:dyDescent="0.35">
      <c r="A68" s="1" t="s">
        <v>28</v>
      </c>
      <c r="B68" s="1"/>
      <c r="C68">
        <v>2016</v>
      </c>
      <c r="D68">
        <v>55.85</v>
      </c>
    </row>
    <row r="69" spans="1:4" x14ac:dyDescent="0.35">
      <c r="A69" s="1" t="s">
        <v>28</v>
      </c>
      <c r="B69" s="1"/>
      <c r="C69">
        <v>2017</v>
      </c>
      <c r="D69">
        <v>51.13</v>
      </c>
    </row>
    <row r="70" spans="1:4" x14ac:dyDescent="0.35">
      <c r="A70" s="1" t="s">
        <v>28</v>
      </c>
      <c r="B70" s="1"/>
      <c r="C70">
        <v>2018</v>
      </c>
      <c r="D70">
        <v>57.12</v>
      </c>
    </row>
    <row r="71" spans="1:4" x14ac:dyDescent="0.35">
      <c r="A71" s="1" t="s">
        <v>28</v>
      </c>
      <c r="B71" s="1"/>
      <c r="C71">
        <v>2019</v>
      </c>
      <c r="D71">
        <v>59.39</v>
      </c>
    </row>
    <row r="72" spans="1:4" x14ac:dyDescent="0.35">
      <c r="A72" s="1" t="s">
        <v>28</v>
      </c>
      <c r="B72" s="1"/>
      <c r="C72">
        <v>2020</v>
      </c>
      <c r="D72">
        <v>61.6</v>
      </c>
    </row>
    <row r="73" spans="1:4" x14ac:dyDescent="0.35">
      <c r="A73" s="1" t="s">
        <v>28</v>
      </c>
      <c r="B73" s="1"/>
      <c r="C73">
        <v>2021</v>
      </c>
      <c r="D73">
        <v>61.6</v>
      </c>
    </row>
    <row r="74" spans="1:4" x14ac:dyDescent="0.35">
      <c r="A74" s="1" t="s">
        <v>28</v>
      </c>
      <c r="B74" s="1"/>
      <c r="C74">
        <v>2022</v>
      </c>
      <c r="D74">
        <v>63.3</v>
      </c>
    </row>
    <row r="75" spans="1:4" x14ac:dyDescent="0.35">
      <c r="A75" s="1" t="s">
        <v>28</v>
      </c>
      <c r="B75" s="1"/>
      <c r="C75">
        <v>2023</v>
      </c>
      <c r="D75">
        <v>63.44</v>
      </c>
    </row>
    <row r="76" spans="1:4" x14ac:dyDescent="0.35">
      <c r="A76" s="1" t="s">
        <v>28</v>
      </c>
      <c r="B76" s="1"/>
      <c r="C76">
        <v>2024</v>
      </c>
      <c r="D76">
        <v>63.73</v>
      </c>
    </row>
    <row r="77" spans="1:4" x14ac:dyDescent="0.35">
      <c r="A77" s="1" t="s">
        <v>28</v>
      </c>
      <c r="B77" s="1" t="s">
        <v>135</v>
      </c>
      <c r="C77">
        <v>2000</v>
      </c>
      <c r="D77">
        <v>74.78</v>
      </c>
    </row>
    <row r="78" spans="1:4" x14ac:dyDescent="0.35">
      <c r="A78" s="1" t="s">
        <v>28</v>
      </c>
      <c r="B78" s="1"/>
      <c r="C78">
        <v>2001</v>
      </c>
      <c r="D78">
        <v>73.86</v>
      </c>
    </row>
    <row r="79" spans="1:4" x14ac:dyDescent="0.35">
      <c r="A79" s="1" t="s">
        <v>28</v>
      </c>
      <c r="B79" s="1"/>
      <c r="C79">
        <v>2002</v>
      </c>
      <c r="D79">
        <v>75.97</v>
      </c>
    </row>
    <row r="80" spans="1:4" x14ac:dyDescent="0.35">
      <c r="A80" s="1" t="s">
        <v>28</v>
      </c>
      <c r="B80" s="1"/>
      <c r="C80">
        <v>2003</v>
      </c>
      <c r="D80">
        <v>74.2</v>
      </c>
    </row>
    <row r="81" spans="1:4" x14ac:dyDescent="0.35">
      <c r="A81" s="1" t="s">
        <v>28</v>
      </c>
      <c r="B81" s="1"/>
      <c r="C81">
        <v>2004</v>
      </c>
      <c r="D81">
        <v>85.21</v>
      </c>
    </row>
    <row r="82" spans="1:4" x14ac:dyDescent="0.35">
      <c r="A82" s="1" t="s">
        <v>28</v>
      </c>
      <c r="B82" s="1"/>
      <c r="C82">
        <v>2005</v>
      </c>
      <c r="D82">
        <v>89.43</v>
      </c>
    </row>
    <row r="83" spans="1:4" x14ac:dyDescent="0.35">
      <c r="A83" s="1" t="s">
        <v>28</v>
      </c>
      <c r="B83" s="1"/>
      <c r="C83">
        <v>2006</v>
      </c>
      <c r="D83">
        <v>82.38</v>
      </c>
    </row>
    <row r="84" spans="1:4" x14ac:dyDescent="0.35">
      <c r="A84" s="1" t="s">
        <v>28</v>
      </c>
      <c r="B84" s="1"/>
      <c r="C84">
        <v>2007</v>
      </c>
      <c r="D84">
        <v>85.95</v>
      </c>
    </row>
    <row r="85" spans="1:4" x14ac:dyDescent="0.35">
      <c r="A85" s="1" t="s">
        <v>28</v>
      </c>
      <c r="B85" s="1"/>
      <c r="C85">
        <v>2008</v>
      </c>
      <c r="D85">
        <v>85.74</v>
      </c>
    </row>
    <row r="86" spans="1:4" x14ac:dyDescent="0.35">
      <c r="A86" s="1" t="s">
        <v>28</v>
      </c>
      <c r="B86" s="1"/>
      <c r="C86">
        <v>2009</v>
      </c>
      <c r="D86">
        <v>75.16</v>
      </c>
    </row>
    <row r="87" spans="1:4" x14ac:dyDescent="0.35">
      <c r="A87" s="1" t="s">
        <v>28</v>
      </c>
      <c r="B87" s="1"/>
      <c r="C87">
        <v>2010</v>
      </c>
      <c r="D87">
        <v>74.81</v>
      </c>
    </row>
    <row r="88" spans="1:4" x14ac:dyDescent="0.35">
      <c r="A88" s="1" t="s">
        <v>28</v>
      </c>
      <c r="B88" s="1"/>
      <c r="C88">
        <v>2011</v>
      </c>
      <c r="D88">
        <v>68.569999999999993</v>
      </c>
    </row>
    <row r="89" spans="1:4" x14ac:dyDescent="0.35">
      <c r="A89" s="1" t="s">
        <v>28</v>
      </c>
      <c r="B89" s="1"/>
      <c r="C89">
        <v>2012</v>
      </c>
      <c r="D89">
        <v>57.4</v>
      </c>
    </row>
    <row r="90" spans="1:4" x14ac:dyDescent="0.35">
      <c r="A90" s="1" t="s">
        <v>28</v>
      </c>
      <c r="B90" s="1"/>
      <c r="C90">
        <v>2013</v>
      </c>
      <c r="D90">
        <v>45.99</v>
      </c>
    </row>
    <row r="91" spans="1:4" x14ac:dyDescent="0.35">
      <c r="A91" s="1" t="s">
        <v>28</v>
      </c>
      <c r="B91" s="1"/>
      <c r="C91">
        <v>2014</v>
      </c>
      <c r="D91">
        <v>47.68</v>
      </c>
    </row>
    <row r="92" spans="1:4" x14ac:dyDescent="0.35">
      <c r="A92" s="1" t="s">
        <v>28</v>
      </c>
      <c r="B92" s="1"/>
      <c r="C92">
        <v>2015</v>
      </c>
      <c r="D92">
        <v>46.34</v>
      </c>
    </row>
    <row r="93" spans="1:4" x14ac:dyDescent="0.35">
      <c r="A93" s="1" t="s">
        <v>28</v>
      </c>
      <c r="B93" s="1"/>
      <c r="C93">
        <v>2016</v>
      </c>
      <c r="D93">
        <v>52.57</v>
      </c>
    </row>
    <row r="94" spans="1:4" x14ac:dyDescent="0.35">
      <c r="A94" s="1" t="s">
        <v>28</v>
      </c>
      <c r="B94" s="1"/>
      <c r="C94">
        <v>2017</v>
      </c>
      <c r="D94">
        <v>64.42</v>
      </c>
    </row>
    <row r="95" spans="1:4" x14ac:dyDescent="0.35">
      <c r="A95" s="1" t="s">
        <v>28</v>
      </c>
      <c r="B95" s="1"/>
      <c r="C95">
        <v>2018</v>
      </c>
      <c r="D95">
        <v>72.31</v>
      </c>
    </row>
    <row r="96" spans="1:4" x14ac:dyDescent="0.35">
      <c r="A96" s="1" t="s">
        <v>28</v>
      </c>
      <c r="B96" s="1"/>
      <c r="C96">
        <v>2019</v>
      </c>
      <c r="D96">
        <v>72.849999999999994</v>
      </c>
    </row>
    <row r="97" spans="1:4" x14ac:dyDescent="0.35">
      <c r="A97" s="1" t="s">
        <v>28</v>
      </c>
      <c r="B97" s="1"/>
      <c r="C97">
        <v>2020</v>
      </c>
      <c r="D97">
        <v>80.510000000000005</v>
      </c>
    </row>
    <row r="98" spans="1:4" x14ac:dyDescent="0.35">
      <c r="A98" s="1" t="s">
        <v>28</v>
      </c>
      <c r="B98" s="1"/>
      <c r="C98">
        <v>2021</v>
      </c>
      <c r="D98">
        <v>73.989999999999995</v>
      </c>
    </row>
    <row r="99" spans="1:4" x14ac:dyDescent="0.35">
      <c r="A99" s="1" t="s">
        <v>28</v>
      </c>
      <c r="B99" s="1"/>
      <c r="C99">
        <v>2022</v>
      </c>
      <c r="D99">
        <v>76.3</v>
      </c>
    </row>
    <row r="100" spans="1:4" x14ac:dyDescent="0.35">
      <c r="A100" s="1" t="s">
        <v>28</v>
      </c>
      <c r="B100" s="1"/>
      <c r="C100">
        <v>2023</v>
      </c>
      <c r="D100">
        <v>76.34</v>
      </c>
    </row>
    <row r="101" spans="1:4" x14ac:dyDescent="0.35">
      <c r="A101" s="1" t="s">
        <v>28</v>
      </c>
      <c r="B101" s="1"/>
      <c r="C101">
        <v>2024</v>
      </c>
      <c r="D101" t="s">
        <v>136</v>
      </c>
    </row>
    <row r="102" spans="1:4" x14ac:dyDescent="0.35">
      <c r="A102" s="1" t="s">
        <v>35</v>
      </c>
      <c r="B102" s="1" t="s">
        <v>134</v>
      </c>
      <c r="C102">
        <v>2000</v>
      </c>
      <c r="D102">
        <v>0.88</v>
      </c>
    </row>
    <row r="103" spans="1:4" x14ac:dyDescent="0.35">
      <c r="A103" s="1" t="s">
        <v>35</v>
      </c>
      <c r="B103" s="1"/>
      <c r="C103">
        <v>2001</v>
      </c>
      <c r="D103">
        <v>0.83</v>
      </c>
    </row>
    <row r="104" spans="1:4" x14ac:dyDescent="0.35">
      <c r="A104" s="1" t="s">
        <v>35</v>
      </c>
      <c r="B104" s="1"/>
      <c r="C104">
        <v>2002</v>
      </c>
      <c r="D104">
        <v>0.83</v>
      </c>
    </row>
    <row r="105" spans="1:4" x14ac:dyDescent="0.35">
      <c r="A105" s="1" t="s">
        <v>35</v>
      </c>
      <c r="B105" s="1"/>
      <c r="C105">
        <v>2003</v>
      </c>
      <c r="D105">
        <v>0.83</v>
      </c>
    </row>
    <row r="106" spans="1:4" x14ac:dyDescent="0.35">
      <c r="A106" s="1" t="s">
        <v>35</v>
      </c>
      <c r="B106" s="1"/>
      <c r="C106">
        <v>2004</v>
      </c>
      <c r="D106">
        <v>0.83</v>
      </c>
    </row>
    <row r="107" spans="1:4" x14ac:dyDescent="0.35">
      <c r="A107" s="1" t="s">
        <v>35</v>
      </c>
      <c r="B107" s="1"/>
      <c r="C107">
        <v>2005</v>
      </c>
      <c r="D107">
        <v>0.81</v>
      </c>
    </row>
    <row r="108" spans="1:4" x14ac:dyDescent="0.35">
      <c r="A108" s="1" t="s">
        <v>35</v>
      </c>
      <c r="B108" s="1"/>
      <c r="C108">
        <v>2006</v>
      </c>
      <c r="D108">
        <v>0.35</v>
      </c>
    </row>
    <row r="109" spans="1:4" x14ac:dyDescent="0.35">
      <c r="A109" s="1" t="s">
        <v>35</v>
      </c>
      <c r="B109" s="1"/>
      <c r="C109">
        <v>2007</v>
      </c>
      <c r="D109">
        <v>0.28999999999999998</v>
      </c>
    </row>
    <row r="110" spans="1:4" x14ac:dyDescent="0.35">
      <c r="A110" s="1" t="s">
        <v>35</v>
      </c>
      <c r="B110" s="1"/>
      <c r="C110">
        <v>2008</v>
      </c>
      <c r="D110">
        <v>0.26</v>
      </c>
    </row>
    <row r="111" spans="1:4" x14ac:dyDescent="0.35">
      <c r="A111" s="1" t="s">
        <v>35</v>
      </c>
      <c r="B111" s="1"/>
      <c r="C111">
        <v>2009</v>
      </c>
      <c r="D111">
        <v>0.35</v>
      </c>
    </row>
    <row r="112" spans="1:4" x14ac:dyDescent="0.35">
      <c r="A112" s="1" t="s">
        <v>35</v>
      </c>
      <c r="B112" s="1"/>
      <c r="C112">
        <v>2010</v>
      </c>
      <c r="D112">
        <v>0.51</v>
      </c>
    </row>
    <row r="113" spans="1:4" x14ac:dyDescent="0.35">
      <c r="A113" s="1" t="s">
        <v>35</v>
      </c>
      <c r="B113" s="1"/>
      <c r="C113">
        <v>2011</v>
      </c>
      <c r="D113">
        <v>0.5</v>
      </c>
    </row>
    <row r="114" spans="1:4" x14ac:dyDescent="0.35">
      <c r="A114" s="1" t="s">
        <v>35</v>
      </c>
      <c r="B114" s="1"/>
      <c r="C114">
        <v>2012</v>
      </c>
      <c r="D114">
        <v>0.81</v>
      </c>
    </row>
    <row r="115" spans="1:4" x14ac:dyDescent="0.35">
      <c r="A115" s="1" t="s">
        <v>35</v>
      </c>
      <c r="B115" s="1"/>
      <c r="C115">
        <v>2013</v>
      </c>
      <c r="D115">
        <v>0.36</v>
      </c>
    </row>
    <row r="116" spans="1:4" x14ac:dyDescent="0.35">
      <c r="A116" s="1" t="s">
        <v>35</v>
      </c>
      <c r="B116" s="1"/>
      <c r="C116">
        <v>2014</v>
      </c>
      <c r="D116">
        <v>0.74</v>
      </c>
    </row>
    <row r="117" spans="1:4" x14ac:dyDescent="0.35">
      <c r="A117" s="1" t="s">
        <v>35</v>
      </c>
      <c r="B117" s="1"/>
      <c r="C117">
        <v>2015</v>
      </c>
      <c r="D117">
        <v>1.9</v>
      </c>
    </row>
    <row r="118" spans="1:4" x14ac:dyDescent="0.35">
      <c r="A118" s="1" t="s">
        <v>35</v>
      </c>
      <c r="B118" s="1"/>
      <c r="C118">
        <v>2016</v>
      </c>
      <c r="D118">
        <v>1.33</v>
      </c>
    </row>
    <row r="119" spans="1:4" x14ac:dyDescent="0.35">
      <c r="A119" s="1" t="s">
        <v>35</v>
      </c>
      <c r="B119" s="1"/>
      <c r="C119">
        <v>2017</v>
      </c>
      <c r="D119">
        <v>1.45</v>
      </c>
    </row>
    <row r="120" spans="1:4" x14ac:dyDescent="0.35">
      <c r="A120" s="1" t="s">
        <v>35</v>
      </c>
      <c r="B120" s="1"/>
      <c r="C120">
        <v>2018</v>
      </c>
      <c r="D120">
        <v>1.74</v>
      </c>
    </row>
    <row r="121" spans="1:4" x14ac:dyDescent="0.35">
      <c r="A121" s="1" t="s">
        <v>35</v>
      </c>
      <c r="B121" s="1"/>
      <c r="C121">
        <v>2019</v>
      </c>
      <c r="D121">
        <v>1.41</v>
      </c>
    </row>
    <row r="122" spans="1:4" x14ac:dyDescent="0.35">
      <c r="A122" s="1" t="s">
        <v>35</v>
      </c>
      <c r="B122" s="1"/>
      <c r="C122">
        <v>2020</v>
      </c>
      <c r="D122">
        <v>1.75</v>
      </c>
    </row>
    <row r="123" spans="1:4" x14ac:dyDescent="0.35">
      <c r="A123" s="1" t="s">
        <v>35</v>
      </c>
      <c r="B123" s="1"/>
      <c r="C123">
        <v>2021</v>
      </c>
      <c r="D123">
        <v>2.12</v>
      </c>
    </row>
    <row r="124" spans="1:4" x14ac:dyDescent="0.35">
      <c r="A124" s="1" t="s">
        <v>35</v>
      </c>
      <c r="B124" s="1"/>
      <c r="C124">
        <v>2022</v>
      </c>
      <c r="D124">
        <v>10.119999999999999</v>
      </c>
    </row>
    <row r="125" spans="1:4" x14ac:dyDescent="0.35">
      <c r="A125" s="1" t="s">
        <v>35</v>
      </c>
      <c r="B125" s="1"/>
      <c r="C125">
        <v>2023</v>
      </c>
      <c r="D125">
        <v>10.62</v>
      </c>
    </row>
    <row r="126" spans="1:4" x14ac:dyDescent="0.35">
      <c r="A126" s="1" t="s">
        <v>35</v>
      </c>
      <c r="B126" s="1"/>
      <c r="C126">
        <v>2024</v>
      </c>
      <c r="D126">
        <v>10.62</v>
      </c>
    </row>
    <row r="127" spans="1:4" x14ac:dyDescent="0.35">
      <c r="A127" s="1" t="s">
        <v>35</v>
      </c>
      <c r="B127" s="1" t="s">
        <v>135</v>
      </c>
      <c r="C127">
        <v>2000</v>
      </c>
      <c r="D127">
        <v>1.95</v>
      </c>
    </row>
    <row r="128" spans="1:4" x14ac:dyDescent="0.35">
      <c r="A128" s="1" t="s">
        <v>35</v>
      </c>
      <c r="B128" s="1"/>
      <c r="C128">
        <v>2001</v>
      </c>
      <c r="D128">
        <v>2.38</v>
      </c>
    </row>
    <row r="129" spans="1:4" x14ac:dyDescent="0.35">
      <c r="A129" s="1" t="s">
        <v>35</v>
      </c>
      <c r="B129" s="1"/>
      <c r="C129">
        <v>2002</v>
      </c>
      <c r="D129">
        <v>2.42</v>
      </c>
    </row>
    <row r="130" spans="1:4" x14ac:dyDescent="0.35">
      <c r="A130" s="1" t="s">
        <v>35</v>
      </c>
      <c r="B130" s="1"/>
      <c r="C130">
        <v>2003</v>
      </c>
      <c r="D130">
        <v>2.11</v>
      </c>
    </row>
    <row r="131" spans="1:4" x14ac:dyDescent="0.35">
      <c r="A131" s="1" t="s">
        <v>35</v>
      </c>
      <c r="B131" s="1"/>
      <c r="C131">
        <v>2004</v>
      </c>
      <c r="D131">
        <v>1.84</v>
      </c>
    </row>
    <row r="132" spans="1:4" x14ac:dyDescent="0.35">
      <c r="A132" s="1" t="s">
        <v>35</v>
      </c>
      <c r="B132" s="1"/>
      <c r="C132">
        <v>2005</v>
      </c>
      <c r="D132">
        <v>0.7</v>
      </c>
    </row>
    <row r="133" spans="1:4" x14ac:dyDescent="0.35">
      <c r="A133" s="1" t="s">
        <v>35</v>
      </c>
      <c r="B133" s="1"/>
      <c r="C133">
        <v>2006</v>
      </c>
      <c r="D133">
        <v>0</v>
      </c>
    </row>
    <row r="134" spans="1:4" x14ac:dyDescent="0.35">
      <c r="A134" s="1" t="s">
        <v>35</v>
      </c>
      <c r="B134" s="1"/>
      <c r="C134">
        <v>2007</v>
      </c>
      <c r="D134">
        <v>0</v>
      </c>
    </row>
    <row r="135" spans="1:4" x14ac:dyDescent="0.35">
      <c r="A135" s="1" t="s">
        <v>35</v>
      </c>
      <c r="B135" s="1"/>
      <c r="C135">
        <v>2008</v>
      </c>
      <c r="D135">
        <v>0.16</v>
      </c>
    </row>
    <row r="136" spans="1:4" x14ac:dyDescent="0.35">
      <c r="A136" s="1" t="s">
        <v>35</v>
      </c>
      <c r="B136" s="1"/>
      <c r="C136">
        <v>2009</v>
      </c>
      <c r="D136">
        <v>0.19</v>
      </c>
    </row>
    <row r="137" spans="1:4" x14ac:dyDescent="0.35">
      <c r="A137" s="1" t="s">
        <v>35</v>
      </c>
      <c r="B137" s="1"/>
      <c r="C137">
        <v>2010</v>
      </c>
      <c r="D137">
        <v>0</v>
      </c>
    </row>
    <row r="138" spans="1:4" x14ac:dyDescent="0.35">
      <c r="A138" s="1" t="s">
        <v>35</v>
      </c>
      <c r="B138" s="1"/>
      <c r="C138">
        <v>2011</v>
      </c>
      <c r="D138">
        <v>0</v>
      </c>
    </row>
    <row r="139" spans="1:4" x14ac:dyDescent="0.35">
      <c r="A139" s="1" t="s">
        <v>35</v>
      </c>
      <c r="B139" s="1"/>
      <c r="C139">
        <v>2012</v>
      </c>
      <c r="D139">
        <v>0.28000000000000003</v>
      </c>
    </row>
    <row r="140" spans="1:4" x14ac:dyDescent="0.35">
      <c r="A140" s="1" t="s">
        <v>35</v>
      </c>
      <c r="B140" s="1"/>
      <c r="C140">
        <v>2013</v>
      </c>
      <c r="D140">
        <v>0</v>
      </c>
    </row>
    <row r="141" spans="1:4" x14ac:dyDescent="0.35">
      <c r="A141" s="1" t="s">
        <v>35</v>
      </c>
      <c r="B141" s="1"/>
      <c r="C141">
        <v>2014</v>
      </c>
      <c r="D141">
        <v>0.28999999999999998</v>
      </c>
    </row>
    <row r="142" spans="1:4" x14ac:dyDescent="0.35">
      <c r="A142" s="1" t="s">
        <v>35</v>
      </c>
      <c r="B142" s="1"/>
      <c r="C142">
        <v>2015</v>
      </c>
      <c r="D142">
        <v>1.22</v>
      </c>
    </row>
    <row r="143" spans="1:4" x14ac:dyDescent="0.35">
      <c r="A143" s="1" t="s">
        <v>35</v>
      </c>
      <c r="B143" s="1"/>
      <c r="C143">
        <v>2016</v>
      </c>
      <c r="D143">
        <v>1.33</v>
      </c>
    </row>
    <row r="144" spans="1:4" x14ac:dyDescent="0.35">
      <c r="A144" s="1" t="s">
        <v>35</v>
      </c>
      <c r="B144" s="1"/>
      <c r="C144">
        <v>2017</v>
      </c>
      <c r="D144">
        <v>1.21</v>
      </c>
    </row>
    <row r="145" spans="1:4" x14ac:dyDescent="0.35">
      <c r="A145" s="1" t="s">
        <v>35</v>
      </c>
      <c r="B145" s="1"/>
      <c r="C145">
        <v>2018</v>
      </c>
      <c r="D145">
        <v>1.26</v>
      </c>
    </row>
    <row r="146" spans="1:4" x14ac:dyDescent="0.35">
      <c r="A146" s="1" t="s">
        <v>35</v>
      </c>
      <c r="B146" s="1"/>
      <c r="C146">
        <v>2019</v>
      </c>
      <c r="D146">
        <v>0.42</v>
      </c>
    </row>
    <row r="147" spans="1:4" x14ac:dyDescent="0.35">
      <c r="A147" s="1" t="s">
        <v>35</v>
      </c>
      <c r="B147" s="1"/>
      <c r="C147">
        <v>2020</v>
      </c>
      <c r="D147">
        <v>0.52</v>
      </c>
    </row>
    <row r="148" spans="1:4" x14ac:dyDescent="0.35">
      <c r="A148" s="1" t="s">
        <v>35</v>
      </c>
      <c r="B148" s="1"/>
      <c r="C148">
        <v>2021</v>
      </c>
      <c r="D148">
        <v>0.63</v>
      </c>
    </row>
    <row r="149" spans="1:4" x14ac:dyDescent="0.35">
      <c r="A149" s="1" t="s">
        <v>35</v>
      </c>
      <c r="B149" s="1"/>
      <c r="C149">
        <v>2022</v>
      </c>
      <c r="D149">
        <v>3.28</v>
      </c>
    </row>
    <row r="150" spans="1:4" x14ac:dyDescent="0.35">
      <c r="A150" s="1" t="s">
        <v>35</v>
      </c>
      <c r="B150" s="1"/>
      <c r="C150">
        <v>2023</v>
      </c>
      <c r="D150">
        <v>3.45</v>
      </c>
    </row>
    <row r="151" spans="1:4" x14ac:dyDescent="0.35">
      <c r="A151" s="1" t="s">
        <v>35</v>
      </c>
      <c r="B151" s="1"/>
      <c r="C151">
        <v>2024</v>
      </c>
      <c r="D151" t="s">
        <v>136</v>
      </c>
    </row>
    <row r="152" spans="1:4" x14ac:dyDescent="0.35">
      <c r="A152" s="1" t="s">
        <v>39</v>
      </c>
      <c r="B152" s="1" t="s">
        <v>134</v>
      </c>
      <c r="C152">
        <v>2000</v>
      </c>
      <c r="D152" t="s">
        <v>136</v>
      </c>
    </row>
    <row r="153" spans="1:4" x14ac:dyDescent="0.35">
      <c r="A153" s="1" t="s">
        <v>39</v>
      </c>
      <c r="B153" s="1"/>
      <c r="C153">
        <v>2001</v>
      </c>
      <c r="D153" t="s">
        <v>136</v>
      </c>
    </row>
    <row r="154" spans="1:4" x14ac:dyDescent="0.35">
      <c r="A154" s="1" t="s">
        <v>39</v>
      </c>
      <c r="B154" s="1"/>
      <c r="C154">
        <v>2002</v>
      </c>
      <c r="D154" t="s">
        <v>136</v>
      </c>
    </row>
    <row r="155" spans="1:4" x14ac:dyDescent="0.35">
      <c r="A155" s="1" t="s">
        <v>39</v>
      </c>
      <c r="B155" s="1"/>
      <c r="C155">
        <v>2003</v>
      </c>
      <c r="D155" t="s">
        <v>136</v>
      </c>
    </row>
    <row r="156" spans="1:4" x14ac:dyDescent="0.35">
      <c r="A156" s="1" t="s">
        <v>39</v>
      </c>
      <c r="B156" s="1"/>
      <c r="C156">
        <v>2004</v>
      </c>
      <c r="D156" t="s">
        <v>136</v>
      </c>
    </row>
    <row r="157" spans="1:4" x14ac:dyDescent="0.35">
      <c r="A157" s="1" t="s">
        <v>39</v>
      </c>
      <c r="B157" s="1"/>
      <c r="C157">
        <v>2005</v>
      </c>
      <c r="D157" t="s">
        <v>136</v>
      </c>
    </row>
    <row r="158" spans="1:4" x14ac:dyDescent="0.35">
      <c r="A158" s="1" t="s">
        <v>39</v>
      </c>
      <c r="B158" s="1"/>
      <c r="C158">
        <v>2006</v>
      </c>
      <c r="D158" t="s">
        <v>136</v>
      </c>
    </row>
    <row r="159" spans="1:4" x14ac:dyDescent="0.35">
      <c r="A159" s="1" t="s">
        <v>39</v>
      </c>
      <c r="B159" s="1"/>
      <c r="C159">
        <v>2007</v>
      </c>
      <c r="D159" t="s">
        <v>136</v>
      </c>
    </row>
    <row r="160" spans="1:4" x14ac:dyDescent="0.35">
      <c r="A160" s="1" t="s">
        <v>39</v>
      </c>
      <c r="B160" s="1"/>
      <c r="C160">
        <v>2008</v>
      </c>
      <c r="D160" t="s">
        <v>136</v>
      </c>
    </row>
    <row r="161" spans="1:4" x14ac:dyDescent="0.35">
      <c r="A161" s="1" t="s">
        <v>39</v>
      </c>
      <c r="B161" s="1"/>
      <c r="C161">
        <v>2009</v>
      </c>
      <c r="D161">
        <v>0.01</v>
      </c>
    </row>
    <row r="162" spans="1:4" x14ac:dyDescent="0.35">
      <c r="A162" s="1" t="s">
        <v>39</v>
      </c>
      <c r="B162" s="1"/>
      <c r="C162">
        <v>2010</v>
      </c>
      <c r="D162">
        <v>0.06</v>
      </c>
    </row>
    <row r="163" spans="1:4" x14ac:dyDescent="0.35">
      <c r="A163" s="1" t="s">
        <v>39</v>
      </c>
      <c r="B163" s="1"/>
      <c r="C163">
        <v>2011</v>
      </c>
      <c r="D163">
        <v>0.05</v>
      </c>
    </row>
    <row r="164" spans="1:4" x14ac:dyDescent="0.35">
      <c r="A164" s="1" t="s">
        <v>39</v>
      </c>
      <c r="B164" s="1"/>
      <c r="C164">
        <v>2012</v>
      </c>
      <c r="D164">
        <v>0.51</v>
      </c>
    </row>
    <row r="165" spans="1:4" x14ac:dyDescent="0.35">
      <c r="A165" s="1" t="s">
        <v>39</v>
      </c>
      <c r="B165" s="1"/>
      <c r="C165">
        <v>2013</v>
      </c>
      <c r="D165">
        <v>0.54</v>
      </c>
    </row>
    <row r="166" spans="1:4" x14ac:dyDescent="0.35">
      <c r="A166" s="1" t="s">
        <v>39</v>
      </c>
      <c r="B166" s="1"/>
      <c r="C166">
        <v>2014</v>
      </c>
      <c r="D166">
        <v>0.2</v>
      </c>
    </row>
    <row r="167" spans="1:4" x14ac:dyDescent="0.35">
      <c r="A167" s="1" t="s">
        <v>39</v>
      </c>
      <c r="B167" s="1"/>
      <c r="C167">
        <v>2015</v>
      </c>
      <c r="D167">
        <v>0.23</v>
      </c>
    </row>
    <row r="168" spans="1:4" x14ac:dyDescent="0.35">
      <c r="A168" s="1" t="s">
        <v>39</v>
      </c>
      <c r="B168" s="1"/>
      <c r="C168">
        <v>2016</v>
      </c>
      <c r="D168">
        <v>0.36</v>
      </c>
    </row>
    <row r="169" spans="1:4" x14ac:dyDescent="0.35">
      <c r="A169" s="1" t="s">
        <v>39</v>
      </c>
      <c r="B169" s="1"/>
      <c r="C169">
        <v>2017</v>
      </c>
      <c r="D169">
        <v>0.37</v>
      </c>
    </row>
    <row r="170" spans="1:4" x14ac:dyDescent="0.35">
      <c r="A170" s="1" t="s">
        <v>39</v>
      </c>
      <c r="B170" s="1"/>
      <c r="C170">
        <v>2018</v>
      </c>
      <c r="D170">
        <v>0.4</v>
      </c>
    </row>
    <row r="171" spans="1:4" x14ac:dyDescent="0.35">
      <c r="A171" s="1" t="s">
        <v>39</v>
      </c>
      <c r="B171" s="1"/>
      <c r="C171">
        <v>2019</v>
      </c>
      <c r="D171">
        <v>0.64</v>
      </c>
    </row>
    <row r="172" spans="1:4" x14ac:dyDescent="0.35">
      <c r="A172" s="1" t="s">
        <v>39</v>
      </c>
      <c r="B172" s="1"/>
      <c r="C172">
        <v>2020</v>
      </c>
      <c r="D172">
        <v>0.64</v>
      </c>
    </row>
    <row r="173" spans="1:4" x14ac:dyDescent="0.35">
      <c r="A173" s="1" t="s">
        <v>39</v>
      </c>
      <c r="B173" s="1"/>
      <c r="C173">
        <v>2021</v>
      </c>
      <c r="D173">
        <v>0.68</v>
      </c>
    </row>
    <row r="174" spans="1:4" x14ac:dyDescent="0.35">
      <c r="A174" s="1" t="s">
        <v>39</v>
      </c>
      <c r="B174" s="1"/>
      <c r="C174">
        <v>2022</v>
      </c>
      <c r="D174">
        <v>0.68</v>
      </c>
    </row>
    <row r="175" spans="1:4" x14ac:dyDescent="0.35">
      <c r="A175" s="1" t="s">
        <v>39</v>
      </c>
      <c r="B175" s="1"/>
      <c r="C175">
        <v>2023</v>
      </c>
      <c r="D175">
        <v>1.1100000000000001</v>
      </c>
    </row>
    <row r="176" spans="1:4" x14ac:dyDescent="0.35">
      <c r="A176" s="1" t="s">
        <v>39</v>
      </c>
      <c r="B176" s="1"/>
      <c r="C176">
        <v>2024</v>
      </c>
      <c r="D176">
        <v>1.1100000000000001</v>
      </c>
    </row>
    <row r="177" spans="1:4" x14ac:dyDescent="0.35">
      <c r="A177" s="1" t="s">
        <v>39</v>
      </c>
      <c r="B177" s="1" t="s">
        <v>135</v>
      </c>
      <c r="C177">
        <v>2000</v>
      </c>
      <c r="D177" t="s">
        <v>136</v>
      </c>
    </row>
    <row r="178" spans="1:4" x14ac:dyDescent="0.35">
      <c r="A178" s="1" t="s">
        <v>39</v>
      </c>
      <c r="B178" s="1"/>
      <c r="C178">
        <v>2001</v>
      </c>
      <c r="D178" t="s">
        <v>136</v>
      </c>
    </row>
    <row r="179" spans="1:4" x14ac:dyDescent="0.35">
      <c r="A179" s="1" t="s">
        <v>39</v>
      </c>
      <c r="B179" s="1"/>
      <c r="C179">
        <v>2002</v>
      </c>
      <c r="D179" t="s">
        <v>136</v>
      </c>
    </row>
    <row r="180" spans="1:4" x14ac:dyDescent="0.35">
      <c r="A180" s="1" t="s">
        <v>39</v>
      </c>
      <c r="B180" s="1"/>
      <c r="C180">
        <v>2003</v>
      </c>
      <c r="D180" t="s">
        <v>136</v>
      </c>
    </row>
    <row r="181" spans="1:4" x14ac:dyDescent="0.35">
      <c r="A181" s="1" t="s">
        <v>39</v>
      </c>
      <c r="B181" s="1"/>
      <c r="C181">
        <v>2004</v>
      </c>
      <c r="D181" t="s">
        <v>136</v>
      </c>
    </row>
    <row r="182" spans="1:4" x14ac:dyDescent="0.35">
      <c r="A182" s="1" t="s">
        <v>39</v>
      </c>
      <c r="B182" s="1"/>
      <c r="C182">
        <v>2005</v>
      </c>
      <c r="D182" t="s">
        <v>136</v>
      </c>
    </row>
    <row r="183" spans="1:4" x14ac:dyDescent="0.35">
      <c r="A183" s="1" t="s">
        <v>39</v>
      </c>
      <c r="B183" s="1"/>
      <c r="C183">
        <v>2006</v>
      </c>
      <c r="D183" t="s">
        <v>136</v>
      </c>
    </row>
    <row r="184" spans="1:4" x14ac:dyDescent="0.35">
      <c r="A184" s="1" t="s">
        <v>39</v>
      </c>
      <c r="B184" s="1"/>
      <c r="C184">
        <v>2007</v>
      </c>
      <c r="D184" t="s">
        <v>136</v>
      </c>
    </row>
    <row r="185" spans="1:4" x14ac:dyDescent="0.35">
      <c r="A185" s="1" t="s">
        <v>39</v>
      </c>
      <c r="B185" s="1"/>
      <c r="C185">
        <v>2008</v>
      </c>
      <c r="D185" t="s">
        <v>136</v>
      </c>
    </row>
    <row r="186" spans="1:4" x14ac:dyDescent="0.35">
      <c r="A186" s="1" t="s">
        <v>39</v>
      </c>
      <c r="B186" s="1"/>
      <c r="C186">
        <v>2009</v>
      </c>
      <c r="D186">
        <v>0.01</v>
      </c>
    </row>
    <row r="187" spans="1:4" x14ac:dyDescent="0.35">
      <c r="A187" s="1" t="s">
        <v>39</v>
      </c>
      <c r="B187" s="1"/>
      <c r="C187">
        <v>2010</v>
      </c>
      <c r="D187">
        <v>0.04</v>
      </c>
    </row>
    <row r="188" spans="1:4" x14ac:dyDescent="0.35">
      <c r="A188" s="1" t="s">
        <v>39</v>
      </c>
      <c r="B188" s="1"/>
      <c r="C188">
        <v>2011</v>
      </c>
      <c r="D188">
        <v>0.06</v>
      </c>
    </row>
    <row r="189" spans="1:4" x14ac:dyDescent="0.35">
      <c r="A189" s="1" t="s">
        <v>39</v>
      </c>
      <c r="B189" s="1"/>
      <c r="C189">
        <v>2012</v>
      </c>
      <c r="D189">
        <v>0.28999999999999998</v>
      </c>
    </row>
    <row r="190" spans="1:4" x14ac:dyDescent="0.35">
      <c r="A190" s="1" t="s">
        <v>39</v>
      </c>
      <c r="B190" s="1"/>
      <c r="C190">
        <v>2013</v>
      </c>
      <c r="D190">
        <v>0.25</v>
      </c>
    </row>
    <row r="191" spans="1:4" x14ac:dyDescent="0.35">
      <c r="A191" s="1" t="s">
        <v>39</v>
      </c>
      <c r="B191" s="1"/>
      <c r="C191">
        <v>2014</v>
      </c>
      <c r="D191">
        <v>0.12</v>
      </c>
    </row>
    <row r="192" spans="1:4" x14ac:dyDescent="0.35">
      <c r="A192" s="1" t="s">
        <v>39</v>
      </c>
      <c r="B192" s="1"/>
      <c r="C192">
        <v>2015</v>
      </c>
      <c r="D192">
        <v>0.11</v>
      </c>
    </row>
    <row r="193" spans="1:4" x14ac:dyDescent="0.35">
      <c r="A193" s="1" t="s">
        <v>39</v>
      </c>
      <c r="B193" s="1"/>
      <c r="C193">
        <v>2016</v>
      </c>
      <c r="D193">
        <v>0.19</v>
      </c>
    </row>
    <row r="194" spans="1:4" x14ac:dyDescent="0.35">
      <c r="A194" s="1" t="s">
        <v>39</v>
      </c>
      <c r="B194" s="1"/>
      <c r="C194">
        <v>2017</v>
      </c>
      <c r="D194">
        <v>0.18</v>
      </c>
    </row>
    <row r="195" spans="1:4" x14ac:dyDescent="0.35">
      <c r="A195" s="1" t="s">
        <v>39</v>
      </c>
      <c r="B195" s="1"/>
      <c r="C195">
        <v>2018</v>
      </c>
      <c r="D195">
        <v>0.17</v>
      </c>
    </row>
    <row r="196" spans="1:4" x14ac:dyDescent="0.35">
      <c r="A196" s="1" t="s">
        <v>39</v>
      </c>
      <c r="B196" s="1"/>
      <c r="C196">
        <v>2019</v>
      </c>
      <c r="D196">
        <v>0.18</v>
      </c>
    </row>
    <row r="197" spans="1:4" x14ac:dyDescent="0.35">
      <c r="A197" s="1" t="s">
        <v>39</v>
      </c>
      <c r="B197" s="1"/>
      <c r="C197">
        <v>2020</v>
      </c>
      <c r="D197">
        <v>0.26</v>
      </c>
    </row>
    <row r="198" spans="1:4" x14ac:dyDescent="0.35">
      <c r="A198" s="1" t="s">
        <v>39</v>
      </c>
      <c r="B198" s="1"/>
      <c r="C198">
        <v>2021</v>
      </c>
      <c r="D198">
        <v>0.25</v>
      </c>
    </row>
    <row r="199" spans="1:4" x14ac:dyDescent="0.35">
      <c r="A199" s="1" t="s">
        <v>39</v>
      </c>
      <c r="B199" s="1"/>
      <c r="C199">
        <v>2022</v>
      </c>
      <c r="D199">
        <v>0.23</v>
      </c>
    </row>
    <row r="200" spans="1:4" x14ac:dyDescent="0.35">
      <c r="A200" s="1" t="s">
        <v>39</v>
      </c>
      <c r="B200" s="1"/>
      <c r="C200">
        <v>2023</v>
      </c>
      <c r="D200">
        <v>0.22</v>
      </c>
    </row>
    <row r="201" spans="1:4" x14ac:dyDescent="0.35">
      <c r="A201" s="1" t="s">
        <v>39</v>
      </c>
      <c r="B201" s="1"/>
      <c r="C201">
        <v>2024</v>
      </c>
      <c r="D201" t="s">
        <v>136</v>
      </c>
    </row>
    <row r="202" spans="1:4" x14ac:dyDescent="0.35">
      <c r="A202" s="1" t="s">
        <v>37</v>
      </c>
      <c r="B202" s="1" t="s">
        <v>134</v>
      </c>
      <c r="C202">
        <v>2000</v>
      </c>
      <c r="D202">
        <v>40</v>
      </c>
    </row>
    <row r="203" spans="1:4" x14ac:dyDescent="0.35">
      <c r="A203" s="1" t="s">
        <v>37</v>
      </c>
      <c r="B203" s="1"/>
      <c r="C203">
        <v>2001</v>
      </c>
      <c r="D203">
        <v>40</v>
      </c>
    </row>
    <row r="204" spans="1:4" x14ac:dyDescent="0.35">
      <c r="A204" s="1" t="s">
        <v>37</v>
      </c>
      <c r="B204" s="1"/>
      <c r="C204">
        <v>2002</v>
      </c>
      <c r="D204">
        <v>40</v>
      </c>
    </row>
    <row r="205" spans="1:4" x14ac:dyDescent="0.35">
      <c r="A205" s="1" t="s">
        <v>37</v>
      </c>
      <c r="B205" s="1"/>
      <c r="C205">
        <v>2003</v>
      </c>
      <c r="D205">
        <v>17.579999999999998</v>
      </c>
    </row>
    <row r="206" spans="1:4" x14ac:dyDescent="0.35">
      <c r="A206" s="1" t="s">
        <v>37</v>
      </c>
      <c r="B206" s="1"/>
      <c r="C206">
        <v>2004</v>
      </c>
      <c r="D206">
        <v>15.07</v>
      </c>
    </row>
    <row r="207" spans="1:4" x14ac:dyDescent="0.35">
      <c r="A207" s="1" t="s">
        <v>37</v>
      </c>
      <c r="B207" s="1"/>
      <c r="C207">
        <v>2005</v>
      </c>
      <c r="D207">
        <v>13.6</v>
      </c>
    </row>
    <row r="208" spans="1:4" x14ac:dyDescent="0.35">
      <c r="A208" s="1" t="s">
        <v>37</v>
      </c>
      <c r="B208" s="1"/>
      <c r="C208">
        <v>2006</v>
      </c>
      <c r="D208">
        <v>12.44</v>
      </c>
    </row>
    <row r="209" spans="1:4" x14ac:dyDescent="0.35">
      <c r="A209" s="1" t="s">
        <v>37</v>
      </c>
      <c r="B209" s="1"/>
      <c r="C209">
        <v>2007</v>
      </c>
      <c r="D209">
        <v>12.59</v>
      </c>
    </row>
    <row r="210" spans="1:4" x14ac:dyDescent="0.35">
      <c r="A210" s="1" t="s">
        <v>37</v>
      </c>
      <c r="B210" s="1"/>
      <c r="C210">
        <v>2008</v>
      </c>
      <c r="D210">
        <v>12.54</v>
      </c>
    </row>
    <row r="211" spans="1:4" x14ac:dyDescent="0.35">
      <c r="A211" s="1" t="s">
        <v>37</v>
      </c>
      <c r="B211" s="1"/>
      <c r="C211">
        <v>2009</v>
      </c>
      <c r="D211">
        <v>12.54</v>
      </c>
    </row>
    <row r="212" spans="1:4" x14ac:dyDescent="0.35">
      <c r="A212" s="1" t="s">
        <v>37</v>
      </c>
      <c r="B212" s="1"/>
      <c r="C212">
        <v>2010</v>
      </c>
      <c r="D212">
        <v>13.3</v>
      </c>
    </row>
    <row r="213" spans="1:4" x14ac:dyDescent="0.35">
      <c r="A213" s="1" t="s">
        <v>37</v>
      </c>
      <c r="B213" s="1"/>
      <c r="C213">
        <v>2011</v>
      </c>
      <c r="D213">
        <v>10.6</v>
      </c>
    </row>
    <row r="214" spans="1:4" x14ac:dyDescent="0.35">
      <c r="A214" s="1" t="s">
        <v>37</v>
      </c>
      <c r="B214" s="1"/>
      <c r="C214">
        <v>2012</v>
      </c>
      <c r="D214">
        <v>9.07</v>
      </c>
    </row>
    <row r="215" spans="1:4" x14ac:dyDescent="0.35">
      <c r="A215" s="1" t="s">
        <v>37</v>
      </c>
      <c r="B215" s="1"/>
      <c r="C215">
        <v>2013</v>
      </c>
      <c r="D215">
        <v>13.32</v>
      </c>
    </row>
    <row r="216" spans="1:4" x14ac:dyDescent="0.35">
      <c r="A216" s="1" t="s">
        <v>37</v>
      </c>
      <c r="B216" s="1"/>
      <c r="C216">
        <v>2014</v>
      </c>
      <c r="D216">
        <v>11.72</v>
      </c>
    </row>
    <row r="217" spans="1:4" x14ac:dyDescent="0.35">
      <c r="A217" s="1" t="s">
        <v>37</v>
      </c>
      <c r="B217" s="1"/>
      <c r="C217">
        <v>2015</v>
      </c>
      <c r="D217">
        <v>10.75</v>
      </c>
    </row>
    <row r="218" spans="1:4" x14ac:dyDescent="0.35">
      <c r="A218" s="1" t="s">
        <v>37</v>
      </c>
      <c r="B218" s="1"/>
      <c r="C218">
        <v>2016</v>
      </c>
      <c r="D218">
        <v>10.96</v>
      </c>
    </row>
    <row r="219" spans="1:4" x14ac:dyDescent="0.35">
      <c r="A219" s="1" t="s">
        <v>37</v>
      </c>
      <c r="B219" s="1"/>
      <c r="C219">
        <v>2017</v>
      </c>
      <c r="D219">
        <v>19.75</v>
      </c>
    </row>
    <row r="220" spans="1:4" x14ac:dyDescent="0.35">
      <c r="A220" s="1" t="s">
        <v>37</v>
      </c>
      <c r="B220" s="1"/>
      <c r="C220">
        <v>2018</v>
      </c>
      <c r="D220">
        <v>23.05</v>
      </c>
    </row>
    <row r="221" spans="1:4" x14ac:dyDescent="0.35">
      <c r="A221" s="1" t="s">
        <v>37</v>
      </c>
      <c r="B221" s="1"/>
      <c r="C221">
        <v>2019</v>
      </c>
      <c r="D221">
        <v>21.14</v>
      </c>
    </row>
    <row r="222" spans="1:4" x14ac:dyDescent="0.35">
      <c r="A222" s="1" t="s">
        <v>37</v>
      </c>
      <c r="B222" s="1"/>
      <c r="C222">
        <v>2020</v>
      </c>
      <c r="D222">
        <v>21.23</v>
      </c>
    </row>
    <row r="223" spans="1:4" x14ac:dyDescent="0.35">
      <c r="A223" s="1" t="s">
        <v>37</v>
      </c>
      <c r="B223" s="1"/>
      <c r="C223">
        <v>2021</v>
      </c>
      <c r="D223">
        <v>19.149999999999999</v>
      </c>
    </row>
    <row r="224" spans="1:4" x14ac:dyDescent="0.35">
      <c r="A224" s="1" t="s">
        <v>37</v>
      </c>
      <c r="B224" s="1"/>
      <c r="C224">
        <v>2022</v>
      </c>
      <c r="D224">
        <v>23.99</v>
      </c>
    </row>
    <row r="225" spans="1:4" x14ac:dyDescent="0.35">
      <c r="A225" s="1" t="s">
        <v>37</v>
      </c>
      <c r="B225" s="1"/>
      <c r="C225">
        <v>2023</v>
      </c>
      <c r="D225">
        <v>34.92</v>
      </c>
    </row>
    <row r="226" spans="1:4" x14ac:dyDescent="0.35">
      <c r="A226" s="1" t="s">
        <v>37</v>
      </c>
      <c r="B226" s="1"/>
      <c r="C226">
        <v>2024</v>
      </c>
      <c r="D226">
        <v>37.85</v>
      </c>
    </row>
    <row r="227" spans="1:4" x14ac:dyDescent="0.35">
      <c r="A227" s="1" t="s">
        <v>37</v>
      </c>
      <c r="B227" s="1" t="s">
        <v>135</v>
      </c>
      <c r="C227">
        <v>2000</v>
      </c>
      <c r="D227">
        <v>25.17</v>
      </c>
    </row>
    <row r="228" spans="1:4" x14ac:dyDescent="0.35">
      <c r="A228" s="1" t="s">
        <v>37</v>
      </c>
      <c r="B228" s="1"/>
      <c r="C228">
        <v>2001</v>
      </c>
      <c r="D228">
        <v>14.71</v>
      </c>
    </row>
    <row r="229" spans="1:4" x14ac:dyDescent="0.35">
      <c r="A229" s="1" t="s">
        <v>37</v>
      </c>
      <c r="B229" s="1"/>
      <c r="C229">
        <v>2002</v>
      </c>
      <c r="D229">
        <v>17.48</v>
      </c>
    </row>
    <row r="230" spans="1:4" x14ac:dyDescent="0.35">
      <c r="A230" s="1" t="s">
        <v>37</v>
      </c>
      <c r="B230" s="1"/>
      <c r="C230">
        <v>2003</v>
      </c>
      <c r="D230">
        <v>21.57</v>
      </c>
    </row>
    <row r="231" spans="1:4" x14ac:dyDescent="0.35">
      <c r="A231" s="1" t="s">
        <v>37</v>
      </c>
      <c r="B231" s="1"/>
      <c r="C231">
        <v>2004</v>
      </c>
      <c r="D231">
        <v>21.47</v>
      </c>
    </row>
    <row r="232" spans="1:4" x14ac:dyDescent="0.35">
      <c r="A232" s="1" t="s">
        <v>37</v>
      </c>
      <c r="B232" s="1"/>
      <c r="C232">
        <v>2005</v>
      </c>
      <c r="D232">
        <v>19.489999999999998</v>
      </c>
    </row>
    <row r="233" spans="1:4" x14ac:dyDescent="0.35">
      <c r="A233" s="1" t="s">
        <v>37</v>
      </c>
      <c r="B233" s="1"/>
      <c r="C233">
        <v>2006</v>
      </c>
      <c r="D233">
        <v>14.74</v>
      </c>
    </row>
    <row r="234" spans="1:4" x14ac:dyDescent="0.35">
      <c r="A234" s="1" t="s">
        <v>37</v>
      </c>
      <c r="B234" s="1"/>
      <c r="C234">
        <v>2007</v>
      </c>
      <c r="D234">
        <v>18.21</v>
      </c>
    </row>
    <row r="235" spans="1:4" x14ac:dyDescent="0.35">
      <c r="A235" s="1" t="s">
        <v>37</v>
      </c>
      <c r="B235" s="1"/>
      <c r="C235">
        <v>2008</v>
      </c>
      <c r="D235">
        <v>21.97</v>
      </c>
    </row>
    <row r="236" spans="1:4" x14ac:dyDescent="0.35">
      <c r="A236" s="1" t="s">
        <v>37</v>
      </c>
      <c r="B236" s="1"/>
      <c r="C236">
        <v>2009</v>
      </c>
      <c r="D236">
        <v>18.93</v>
      </c>
    </row>
    <row r="237" spans="1:4" x14ac:dyDescent="0.35">
      <c r="A237" s="1" t="s">
        <v>37</v>
      </c>
      <c r="B237" s="1"/>
      <c r="C237">
        <v>2010</v>
      </c>
      <c r="D237">
        <v>20.83</v>
      </c>
    </row>
    <row r="238" spans="1:4" x14ac:dyDescent="0.35">
      <c r="A238" s="1" t="s">
        <v>37</v>
      </c>
      <c r="B238" s="1"/>
      <c r="C238">
        <v>2011</v>
      </c>
      <c r="D238">
        <v>15.52</v>
      </c>
    </row>
    <row r="239" spans="1:4" x14ac:dyDescent="0.35">
      <c r="A239" s="1" t="s">
        <v>37</v>
      </c>
      <c r="B239" s="1"/>
      <c r="C239">
        <v>2012</v>
      </c>
      <c r="D239">
        <v>15.64</v>
      </c>
    </row>
    <row r="240" spans="1:4" x14ac:dyDescent="0.35">
      <c r="A240" s="1" t="s">
        <v>37</v>
      </c>
      <c r="B240" s="1"/>
      <c r="C240">
        <v>2013</v>
      </c>
      <c r="D240">
        <v>14.71</v>
      </c>
    </row>
    <row r="241" spans="1:4" x14ac:dyDescent="0.35">
      <c r="A241" s="1" t="s">
        <v>37</v>
      </c>
      <c r="B241" s="1"/>
      <c r="C241">
        <v>2014</v>
      </c>
      <c r="D241">
        <v>10.72</v>
      </c>
    </row>
    <row r="242" spans="1:4" x14ac:dyDescent="0.35">
      <c r="A242" s="1" t="s">
        <v>37</v>
      </c>
      <c r="B242" s="1"/>
      <c r="C242">
        <v>2015</v>
      </c>
      <c r="D242">
        <v>9.7899999999999991</v>
      </c>
    </row>
    <row r="243" spans="1:4" x14ac:dyDescent="0.35">
      <c r="A243" s="1" t="s">
        <v>37</v>
      </c>
      <c r="B243" s="1"/>
      <c r="C243">
        <v>2016</v>
      </c>
      <c r="D243">
        <v>14.81</v>
      </c>
    </row>
    <row r="244" spans="1:4" x14ac:dyDescent="0.35">
      <c r="A244" s="1" t="s">
        <v>37</v>
      </c>
      <c r="B244" s="1"/>
      <c r="C244">
        <v>2017</v>
      </c>
      <c r="D244">
        <v>13.09</v>
      </c>
    </row>
    <row r="245" spans="1:4" x14ac:dyDescent="0.35">
      <c r="A245" s="1" t="s">
        <v>37</v>
      </c>
      <c r="B245" s="1"/>
      <c r="C245">
        <v>2018</v>
      </c>
      <c r="D245">
        <v>16.86</v>
      </c>
    </row>
    <row r="246" spans="1:4" x14ac:dyDescent="0.35">
      <c r="A246" s="1" t="s">
        <v>37</v>
      </c>
      <c r="B246" s="1"/>
      <c r="C246">
        <v>2019</v>
      </c>
      <c r="D246">
        <v>25.17</v>
      </c>
    </row>
    <row r="247" spans="1:4" x14ac:dyDescent="0.35">
      <c r="A247" s="1" t="s">
        <v>37</v>
      </c>
      <c r="B247" s="1"/>
      <c r="C247">
        <v>2020</v>
      </c>
      <c r="D247">
        <v>27.87</v>
      </c>
    </row>
    <row r="248" spans="1:4" x14ac:dyDescent="0.35">
      <c r="A248" s="1" t="s">
        <v>37</v>
      </c>
      <c r="B248" s="1"/>
      <c r="C248">
        <v>2021</v>
      </c>
      <c r="D248">
        <v>24.4</v>
      </c>
    </row>
    <row r="249" spans="1:4" x14ac:dyDescent="0.35">
      <c r="A249" s="1" t="s">
        <v>37</v>
      </c>
      <c r="B249" s="1"/>
      <c r="C249">
        <v>2022</v>
      </c>
      <c r="D249">
        <v>23.79</v>
      </c>
    </row>
    <row r="250" spans="1:4" x14ac:dyDescent="0.35">
      <c r="A250" s="1" t="s">
        <v>37</v>
      </c>
      <c r="B250" s="1"/>
      <c r="C250">
        <v>2023</v>
      </c>
      <c r="D250">
        <v>24.52</v>
      </c>
    </row>
    <row r="251" spans="1:4" x14ac:dyDescent="0.35">
      <c r="A251" s="1" t="s">
        <v>37</v>
      </c>
      <c r="B251" s="1"/>
      <c r="C251">
        <v>2024</v>
      </c>
      <c r="D251" t="s">
        <v>136</v>
      </c>
    </row>
    <row r="252" spans="1:4" x14ac:dyDescent="0.35">
      <c r="A252" s="1" t="s">
        <v>32</v>
      </c>
      <c r="B252" s="1" t="s">
        <v>134</v>
      </c>
      <c r="C252">
        <v>2000</v>
      </c>
      <c r="D252">
        <v>90.8</v>
      </c>
    </row>
    <row r="253" spans="1:4" x14ac:dyDescent="0.35">
      <c r="A253" s="1" t="s">
        <v>32</v>
      </c>
      <c r="B253" s="1"/>
      <c r="C253">
        <v>2001</v>
      </c>
      <c r="D253">
        <v>90.8</v>
      </c>
    </row>
    <row r="254" spans="1:4" x14ac:dyDescent="0.35">
      <c r="A254" s="1" t="s">
        <v>32</v>
      </c>
      <c r="B254" s="1"/>
      <c r="C254">
        <v>2002</v>
      </c>
      <c r="D254">
        <v>90.8</v>
      </c>
    </row>
    <row r="255" spans="1:4" x14ac:dyDescent="0.35">
      <c r="A255" s="1" t="s">
        <v>32</v>
      </c>
      <c r="B255" s="1"/>
      <c r="C255">
        <v>2003</v>
      </c>
      <c r="D255">
        <v>90.8</v>
      </c>
    </row>
    <row r="256" spans="1:4" x14ac:dyDescent="0.35">
      <c r="A256" s="1" t="s">
        <v>32</v>
      </c>
      <c r="B256" s="1"/>
      <c r="C256">
        <v>2004</v>
      </c>
      <c r="D256">
        <v>90.8</v>
      </c>
    </row>
    <row r="257" spans="1:4" x14ac:dyDescent="0.35">
      <c r="A257" s="1" t="s">
        <v>32</v>
      </c>
      <c r="B257" s="1"/>
      <c r="C257">
        <v>2005</v>
      </c>
      <c r="D257">
        <v>90.8</v>
      </c>
    </row>
    <row r="258" spans="1:4" x14ac:dyDescent="0.35">
      <c r="A258" s="1" t="s">
        <v>32</v>
      </c>
      <c r="B258" s="1"/>
      <c r="C258">
        <v>2006</v>
      </c>
      <c r="D258">
        <v>90.8</v>
      </c>
    </row>
    <row r="259" spans="1:4" x14ac:dyDescent="0.35">
      <c r="A259" s="1" t="s">
        <v>32</v>
      </c>
      <c r="B259" s="1"/>
      <c r="C259">
        <v>2007</v>
      </c>
      <c r="D259">
        <v>90.8</v>
      </c>
    </row>
    <row r="260" spans="1:4" x14ac:dyDescent="0.35">
      <c r="A260" s="1" t="s">
        <v>32</v>
      </c>
      <c r="B260" s="1"/>
      <c r="C260">
        <v>2008</v>
      </c>
      <c r="D260">
        <v>90.8</v>
      </c>
    </row>
    <row r="261" spans="1:4" x14ac:dyDescent="0.35">
      <c r="A261" s="1" t="s">
        <v>32</v>
      </c>
      <c r="B261" s="1"/>
      <c r="C261">
        <v>2009</v>
      </c>
      <c r="D261">
        <v>90.8</v>
      </c>
    </row>
    <row r="262" spans="1:4" x14ac:dyDescent="0.35">
      <c r="A262" s="1" t="s">
        <v>32</v>
      </c>
      <c r="B262" s="1"/>
      <c r="C262">
        <v>2010</v>
      </c>
      <c r="D262">
        <v>90.8</v>
      </c>
    </row>
    <row r="263" spans="1:4" x14ac:dyDescent="0.35">
      <c r="A263" s="1" t="s">
        <v>32</v>
      </c>
      <c r="B263" s="1"/>
      <c r="C263">
        <v>2011</v>
      </c>
      <c r="D263">
        <v>77.94</v>
      </c>
    </row>
    <row r="264" spans="1:4" x14ac:dyDescent="0.35">
      <c r="A264" s="1" t="s">
        <v>32</v>
      </c>
      <c r="B264" s="1"/>
      <c r="C264">
        <v>2012</v>
      </c>
      <c r="D264">
        <v>78.06</v>
      </c>
    </row>
    <row r="265" spans="1:4" x14ac:dyDescent="0.35">
      <c r="A265" s="1" t="s">
        <v>32</v>
      </c>
      <c r="B265" s="1"/>
      <c r="C265">
        <v>2013</v>
      </c>
      <c r="D265">
        <v>72.91</v>
      </c>
    </row>
    <row r="266" spans="1:4" x14ac:dyDescent="0.35">
      <c r="A266" s="1" t="s">
        <v>32</v>
      </c>
      <c r="B266" s="1"/>
      <c r="C266">
        <v>2014</v>
      </c>
      <c r="D266">
        <v>72.91</v>
      </c>
    </row>
    <row r="267" spans="1:4" x14ac:dyDescent="0.35">
      <c r="A267" s="1" t="s">
        <v>32</v>
      </c>
      <c r="B267" s="1"/>
      <c r="C267">
        <v>2015</v>
      </c>
      <c r="D267">
        <v>73.02</v>
      </c>
    </row>
    <row r="268" spans="1:4" x14ac:dyDescent="0.35">
      <c r="A268" s="1" t="s">
        <v>32</v>
      </c>
      <c r="B268" s="1"/>
      <c r="C268">
        <v>2016</v>
      </c>
      <c r="D268">
        <v>73.3</v>
      </c>
    </row>
    <row r="269" spans="1:4" x14ac:dyDescent="0.35">
      <c r="A269" s="1" t="s">
        <v>32</v>
      </c>
      <c r="B269" s="1"/>
      <c r="C269">
        <v>2017</v>
      </c>
      <c r="D269">
        <v>51.74</v>
      </c>
    </row>
    <row r="270" spans="1:4" x14ac:dyDescent="0.35">
      <c r="A270" s="1" t="s">
        <v>32</v>
      </c>
      <c r="B270" s="1"/>
      <c r="C270">
        <v>2018</v>
      </c>
      <c r="D270">
        <v>51.75</v>
      </c>
    </row>
    <row r="271" spans="1:4" x14ac:dyDescent="0.35">
      <c r="A271" s="1" t="s">
        <v>32</v>
      </c>
      <c r="B271" s="1"/>
      <c r="C271">
        <v>2019</v>
      </c>
      <c r="D271">
        <v>51.77</v>
      </c>
    </row>
    <row r="272" spans="1:4" x14ac:dyDescent="0.35">
      <c r="A272" s="1" t="s">
        <v>32</v>
      </c>
      <c r="B272" s="1"/>
      <c r="C272">
        <v>2020</v>
      </c>
      <c r="D272">
        <v>51.83</v>
      </c>
    </row>
    <row r="273" spans="1:4" x14ac:dyDescent="0.35">
      <c r="A273" s="1" t="s">
        <v>32</v>
      </c>
      <c r="B273" s="1"/>
      <c r="C273">
        <v>2021</v>
      </c>
      <c r="D273">
        <v>54.83</v>
      </c>
    </row>
    <row r="274" spans="1:4" x14ac:dyDescent="0.35">
      <c r="A274" s="1" t="s">
        <v>32</v>
      </c>
      <c r="B274" s="1"/>
      <c r="C274">
        <v>2022</v>
      </c>
      <c r="D274">
        <v>60.13</v>
      </c>
    </row>
    <row r="275" spans="1:4" x14ac:dyDescent="0.35">
      <c r="A275" s="1" t="s">
        <v>32</v>
      </c>
      <c r="B275" s="1"/>
      <c r="C275">
        <v>2023</v>
      </c>
      <c r="D275">
        <v>60.33</v>
      </c>
    </row>
    <row r="276" spans="1:4" x14ac:dyDescent="0.35">
      <c r="A276" s="1" t="s">
        <v>32</v>
      </c>
      <c r="B276" s="1"/>
      <c r="C276">
        <v>2024</v>
      </c>
      <c r="D276">
        <v>60.33</v>
      </c>
    </row>
    <row r="277" spans="1:4" x14ac:dyDescent="0.35">
      <c r="A277" s="1" t="s">
        <v>32</v>
      </c>
      <c r="B277" s="1" t="s">
        <v>135</v>
      </c>
      <c r="C277">
        <v>2000</v>
      </c>
      <c r="D277">
        <v>94.5</v>
      </c>
    </row>
    <row r="278" spans="1:4" x14ac:dyDescent="0.35">
      <c r="A278" s="1" t="s">
        <v>32</v>
      </c>
      <c r="B278" s="1"/>
      <c r="C278">
        <v>2001</v>
      </c>
      <c r="D278">
        <v>95.09</v>
      </c>
    </row>
    <row r="279" spans="1:4" x14ac:dyDescent="0.35">
      <c r="A279" s="1" t="s">
        <v>32</v>
      </c>
      <c r="B279" s="1"/>
      <c r="C279">
        <v>2002</v>
      </c>
      <c r="D279">
        <v>95.51</v>
      </c>
    </row>
    <row r="280" spans="1:4" x14ac:dyDescent="0.35">
      <c r="A280" s="1" t="s">
        <v>32</v>
      </c>
      <c r="B280" s="1"/>
      <c r="C280">
        <v>2003</v>
      </c>
      <c r="D280">
        <v>94.56</v>
      </c>
    </row>
    <row r="281" spans="1:4" x14ac:dyDescent="0.35">
      <c r="A281" s="1" t="s">
        <v>32</v>
      </c>
      <c r="B281" s="1"/>
      <c r="C281">
        <v>2004</v>
      </c>
      <c r="D281">
        <v>94.08</v>
      </c>
    </row>
    <row r="282" spans="1:4" x14ac:dyDescent="0.35">
      <c r="A282" s="1" t="s">
        <v>32</v>
      </c>
      <c r="B282" s="1"/>
      <c r="C282">
        <v>2005</v>
      </c>
      <c r="D282">
        <v>94.48</v>
      </c>
    </row>
    <row r="283" spans="1:4" x14ac:dyDescent="0.35">
      <c r="A283" s="1" t="s">
        <v>32</v>
      </c>
      <c r="B283" s="1"/>
      <c r="C283">
        <v>2006</v>
      </c>
      <c r="D283">
        <v>96.29</v>
      </c>
    </row>
    <row r="284" spans="1:4" x14ac:dyDescent="0.35">
      <c r="A284" s="1" t="s">
        <v>32</v>
      </c>
      <c r="B284" s="1"/>
      <c r="C284">
        <v>2007</v>
      </c>
      <c r="D284">
        <v>97.07</v>
      </c>
    </row>
    <row r="285" spans="1:4" x14ac:dyDescent="0.35">
      <c r="A285" s="1" t="s">
        <v>32</v>
      </c>
      <c r="B285" s="1"/>
      <c r="C285">
        <v>2008</v>
      </c>
      <c r="D285">
        <v>97.25</v>
      </c>
    </row>
    <row r="286" spans="1:4" x14ac:dyDescent="0.35">
      <c r="A286" s="1" t="s">
        <v>32</v>
      </c>
      <c r="B286" s="1"/>
      <c r="C286">
        <v>2009</v>
      </c>
      <c r="D286">
        <v>97.11</v>
      </c>
    </row>
    <row r="287" spans="1:4" x14ac:dyDescent="0.35">
      <c r="A287" s="1" t="s">
        <v>32</v>
      </c>
      <c r="B287" s="1"/>
      <c r="C287">
        <v>2010</v>
      </c>
      <c r="D287">
        <v>88.46</v>
      </c>
    </row>
    <row r="288" spans="1:4" x14ac:dyDescent="0.35">
      <c r="A288" s="1" t="s">
        <v>32</v>
      </c>
      <c r="B288" s="1"/>
      <c r="C288">
        <v>2011</v>
      </c>
      <c r="D288">
        <v>91.66</v>
      </c>
    </row>
    <row r="289" spans="1:4" x14ac:dyDescent="0.35">
      <c r="A289" s="1" t="s">
        <v>32</v>
      </c>
      <c r="B289" s="1"/>
      <c r="C289">
        <v>2012</v>
      </c>
      <c r="D289">
        <v>98.15</v>
      </c>
    </row>
    <row r="290" spans="1:4" x14ac:dyDescent="0.35">
      <c r="A290" s="1" t="s">
        <v>32</v>
      </c>
      <c r="B290" s="1"/>
      <c r="C290">
        <v>2013</v>
      </c>
      <c r="D290">
        <v>91.02</v>
      </c>
    </row>
    <row r="291" spans="1:4" x14ac:dyDescent="0.35">
      <c r="A291" s="1" t="s">
        <v>32</v>
      </c>
      <c r="B291" s="1"/>
      <c r="C291">
        <v>2014</v>
      </c>
      <c r="D291">
        <v>87.75</v>
      </c>
    </row>
    <row r="292" spans="1:4" x14ac:dyDescent="0.35">
      <c r="A292" s="1" t="s">
        <v>32</v>
      </c>
      <c r="B292" s="1"/>
      <c r="C292">
        <v>2015</v>
      </c>
      <c r="D292">
        <v>88.58</v>
      </c>
    </row>
    <row r="293" spans="1:4" x14ac:dyDescent="0.35">
      <c r="A293" s="1" t="s">
        <v>32</v>
      </c>
      <c r="B293" s="1"/>
      <c r="C293">
        <v>2016</v>
      </c>
      <c r="D293">
        <v>91.35</v>
      </c>
    </row>
    <row r="294" spans="1:4" x14ac:dyDescent="0.35">
      <c r="A294" s="1" t="s">
        <v>32</v>
      </c>
      <c r="B294" s="1"/>
      <c r="C294">
        <v>2017</v>
      </c>
      <c r="D294">
        <v>71.02</v>
      </c>
    </row>
    <row r="295" spans="1:4" x14ac:dyDescent="0.35">
      <c r="A295" s="1" t="s">
        <v>32</v>
      </c>
      <c r="B295" s="1"/>
      <c r="C295">
        <v>2018</v>
      </c>
      <c r="D295">
        <v>68.180000000000007</v>
      </c>
    </row>
    <row r="296" spans="1:4" x14ac:dyDescent="0.35">
      <c r="A296" s="1" t="s">
        <v>32</v>
      </c>
      <c r="B296" s="1"/>
      <c r="C296">
        <v>2019</v>
      </c>
      <c r="D296">
        <v>64.650000000000006</v>
      </c>
    </row>
    <row r="297" spans="1:4" x14ac:dyDescent="0.35">
      <c r="A297" s="1" t="s">
        <v>32</v>
      </c>
      <c r="B297" s="1"/>
      <c r="C297">
        <v>2020</v>
      </c>
      <c r="D297">
        <v>75.83</v>
      </c>
    </row>
    <row r="298" spans="1:4" x14ac:dyDescent="0.35">
      <c r="A298" s="1" t="s">
        <v>32</v>
      </c>
      <c r="B298" s="1"/>
      <c r="C298">
        <v>2021</v>
      </c>
      <c r="D298">
        <v>68.319999999999993</v>
      </c>
    </row>
    <row r="299" spans="1:4" x14ac:dyDescent="0.35">
      <c r="A299" s="1" t="s">
        <v>32</v>
      </c>
      <c r="B299" s="1"/>
      <c r="C299">
        <v>2022</v>
      </c>
      <c r="D299">
        <v>72.97</v>
      </c>
    </row>
    <row r="300" spans="1:4" x14ac:dyDescent="0.35">
      <c r="A300" s="1" t="s">
        <v>32</v>
      </c>
      <c r="B300" s="1"/>
      <c r="C300">
        <v>2023</v>
      </c>
      <c r="D300">
        <v>95.62</v>
      </c>
    </row>
    <row r="301" spans="1:4" x14ac:dyDescent="0.35">
      <c r="A301" s="1" t="s">
        <v>32</v>
      </c>
      <c r="B301" s="1"/>
      <c r="C301">
        <v>2024</v>
      </c>
      <c r="D301" t="s">
        <v>136</v>
      </c>
    </row>
    <row r="302" spans="1:4" x14ac:dyDescent="0.35">
      <c r="A302" s="1" t="s">
        <v>48</v>
      </c>
      <c r="B302" s="1" t="s">
        <v>134</v>
      </c>
      <c r="C302">
        <v>2000</v>
      </c>
      <c r="D302" t="s">
        <v>136</v>
      </c>
    </row>
    <row r="303" spans="1:4" x14ac:dyDescent="0.35">
      <c r="A303" s="1" t="s">
        <v>48</v>
      </c>
      <c r="B303" s="1"/>
      <c r="C303">
        <v>2001</v>
      </c>
      <c r="D303" t="s">
        <v>136</v>
      </c>
    </row>
    <row r="304" spans="1:4" x14ac:dyDescent="0.35">
      <c r="A304" s="1" t="s">
        <v>48</v>
      </c>
      <c r="B304" s="1"/>
      <c r="C304">
        <v>2002</v>
      </c>
      <c r="D304">
        <v>2.69</v>
      </c>
    </row>
    <row r="305" spans="1:4" x14ac:dyDescent="0.35">
      <c r="A305" s="1" t="s">
        <v>48</v>
      </c>
      <c r="B305" s="1"/>
      <c r="C305">
        <v>2003</v>
      </c>
      <c r="D305">
        <v>3.4</v>
      </c>
    </row>
    <row r="306" spans="1:4" x14ac:dyDescent="0.35">
      <c r="A306" s="1" t="s">
        <v>48</v>
      </c>
      <c r="B306" s="1"/>
      <c r="C306">
        <v>2004</v>
      </c>
      <c r="D306">
        <v>3.02</v>
      </c>
    </row>
    <row r="307" spans="1:4" x14ac:dyDescent="0.35">
      <c r="A307" s="1" t="s">
        <v>48</v>
      </c>
      <c r="B307" s="1"/>
      <c r="C307">
        <v>2005</v>
      </c>
      <c r="D307">
        <v>3.02</v>
      </c>
    </row>
    <row r="308" spans="1:4" x14ac:dyDescent="0.35">
      <c r="A308" s="1" t="s">
        <v>48</v>
      </c>
      <c r="B308" s="1"/>
      <c r="C308">
        <v>2006</v>
      </c>
      <c r="D308">
        <v>2.99</v>
      </c>
    </row>
    <row r="309" spans="1:4" x14ac:dyDescent="0.35">
      <c r="A309" s="1" t="s">
        <v>48</v>
      </c>
      <c r="B309" s="1"/>
      <c r="C309">
        <v>2007</v>
      </c>
      <c r="D309">
        <v>2.83</v>
      </c>
    </row>
    <row r="310" spans="1:4" x14ac:dyDescent="0.35">
      <c r="A310" s="1" t="s">
        <v>48</v>
      </c>
      <c r="B310" s="1"/>
      <c r="C310">
        <v>2008</v>
      </c>
      <c r="D310">
        <v>2.37</v>
      </c>
    </row>
    <row r="311" spans="1:4" x14ac:dyDescent="0.35">
      <c r="A311" s="1" t="s">
        <v>48</v>
      </c>
      <c r="B311" s="1"/>
      <c r="C311">
        <v>2009</v>
      </c>
      <c r="D311">
        <v>2.46</v>
      </c>
    </row>
    <row r="312" spans="1:4" x14ac:dyDescent="0.35">
      <c r="A312" s="1" t="s">
        <v>48</v>
      </c>
      <c r="B312" s="1"/>
      <c r="C312">
        <v>2010</v>
      </c>
      <c r="D312">
        <v>7.33</v>
      </c>
    </row>
    <row r="313" spans="1:4" x14ac:dyDescent="0.35">
      <c r="A313" s="1" t="s">
        <v>48</v>
      </c>
      <c r="B313" s="1"/>
      <c r="C313">
        <v>2011</v>
      </c>
      <c r="D313">
        <v>18.420000000000002</v>
      </c>
    </row>
    <row r="314" spans="1:4" x14ac:dyDescent="0.35">
      <c r="A314" s="1" t="s">
        <v>48</v>
      </c>
      <c r="B314" s="1"/>
      <c r="C314">
        <v>2012</v>
      </c>
      <c r="D314">
        <v>21.03</v>
      </c>
    </row>
    <row r="315" spans="1:4" x14ac:dyDescent="0.35">
      <c r="A315" s="1" t="s">
        <v>48</v>
      </c>
      <c r="B315" s="1"/>
      <c r="C315">
        <v>2013</v>
      </c>
      <c r="D315">
        <v>23.22</v>
      </c>
    </row>
    <row r="316" spans="1:4" x14ac:dyDescent="0.35">
      <c r="A316" s="1" t="s">
        <v>48</v>
      </c>
      <c r="B316" s="1"/>
      <c r="C316">
        <v>2014</v>
      </c>
      <c r="D316">
        <v>23.22</v>
      </c>
    </row>
    <row r="317" spans="1:4" x14ac:dyDescent="0.35">
      <c r="A317" s="1" t="s">
        <v>48</v>
      </c>
      <c r="B317" s="1"/>
      <c r="C317">
        <v>2015</v>
      </c>
      <c r="D317">
        <v>18.579999999999998</v>
      </c>
    </row>
    <row r="318" spans="1:4" x14ac:dyDescent="0.35">
      <c r="A318" s="1" t="s">
        <v>48</v>
      </c>
      <c r="B318" s="1"/>
      <c r="C318">
        <v>2016</v>
      </c>
      <c r="D318">
        <v>18.829999999999998</v>
      </c>
    </row>
    <row r="319" spans="1:4" x14ac:dyDescent="0.35">
      <c r="A319" s="1" t="s">
        <v>48</v>
      </c>
      <c r="B319" s="1"/>
      <c r="C319">
        <v>2017</v>
      </c>
      <c r="D319">
        <v>18.91</v>
      </c>
    </row>
    <row r="320" spans="1:4" x14ac:dyDescent="0.35">
      <c r="A320" s="1" t="s">
        <v>48</v>
      </c>
      <c r="B320" s="1"/>
      <c r="C320">
        <v>2018</v>
      </c>
      <c r="D320">
        <v>21.06</v>
      </c>
    </row>
    <row r="321" spans="1:4" x14ac:dyDescent="0.35">
      <c r="A321" s="1" t="s">
        <v>48</v>
      </c>
      <c r="B321" s="1"/>
      <c r="C321">
        <v>2019</v>
      </c>
      <c r="D321">
        <v>23.48</v>
      </c>
    </row>
    <row r="322" spans="1:4" x14ac:dyDescent="0.35">
      <c r="A322" s="1" t="s">
        <v>48</v>
      </c>
      <c r="B322" s="1"/>
      <c r="C322">
        <v>2020</v>
      </c>
      <c r="D322">
        <v>22.75</v>
      </c>
    </row>
    <row r="323" spans="1:4" x14ac:dyDescent="0.35">
      <c r="A323" s="1" t="s">
        <v>48</v>
      </c>
      <c r="B323" s="1"/>
      <c r="C323">
        <v>2021</v>
      </c>
      <c r="D323">
        <v>23.67</v>
      </c>
    </row>
    <row r="324" spans="1:4" x14ac:dyDescent="0.35">
      <c r="A324" s="1" t="s">
        <v>48</v>
      </c>
      <c r="B324" s="1"/>
      <c r="C324">
        <v>2022</v>
      </c>
      <c r="D324">
        <v>23.2</v>
      </c>
    </row>
    <row r="325" spans="1:4" x14ac:dyDescent="0.35">
      <c r="A325" s="1" t="s">
        <v>48</v>
      </c>
      <c r="B325" s="1"/>
      <c r="C325">
        <v>2023</v>
      </c>
      <c r="D325">
        <v>25.1</v>
      </c>
    </row>
    <row r="326" spans="1:4" x14ac:dyDescent="0.35">
      <c r="A326" s="1" t="s">
        <v>48</v>
      </c>
      <c r="B326" s="1"/>
      <c r="C326">
        <v>2024</v>
      </c>
      <c r="D326">
        <v>26.84</v>
      </c>
    </row>
    <row r="327" spans="1:4" x14ac:dyDescent="0.35">
      <c r="A327" s="1" t="s">
        <v>48</v>
      </c>
      <c r="B327" s="1" t="s">
        <v>135</v>
      </c>
      <c r="C327">
        <v>2000</v>
      </c>
      <c r="D327">
        <v>3.11</v>
      </c>
    </row>
    <row r="328" spans="1:4" x14ac:dyDescent="0.35">
      <c r="A328" s="1" t="s">
        <v>48</v>
      </c>
      <c r="B328" s="1"/>
      <c r="C328">
        <v>2001</v>
      </c>
      <c r="D328">
        <v>2.16</v>
      </c>
    </row>
    <row r="329" spans="1:4" x14ac:dyDescent="0.35">
      <c r="A329" s="1" t="s">
        <v>48</v>
      </c>
      <c r="B329" s="1"/>
      <c r="C329">
        <v>2002</v>
      </c>
      <c r="D329">
        <v>3.16</v>
      </c>
    </row>
    <row r="330" spans="1:4" x14ac:dyDescent="0.35">
      <c r="A330" s="1" t="s">
        <v>48</v>
      </c>
      <c r="B330" s="1"/>
      <c r="C330">
        <v>2003</v>
      </c>
      <c r="D330">
        <v>2.7</v>
      </c>
    </row>
    <row r="331" spans="1:4" x14ac:dyDescent="0.35">
      <c r="A331" s="1" t="s">
        <v>48</v>
      </c>
      <c r="B331" s="1"/>
      <c r="C331">
        <v>2004</v>
      </c>
      <c r="D331">
        <v>2.94</v>
      </c>
    </row>
    <row r="332" spans="1:4" x14ac:dyDescent="0.35">
      <c r="A332" s="1" t="s">
        <v>48</v>
      </c>
      <c r="B332" s="1"/>
      <c r="C332">
        <v>2005</v>
      </c>
      <c r="D332">
        <v>2.73</v>
      </c>
    </row>
    <row r="333" spans="1:4" x14ac:dyDescent="0.35">
      <c r="A333" s="1" t="s">
        <v>48</v>
      </c>
      <c r="B333" s="1"/>
      <c r="C333">
        <v>2006</v>
      </c>
      <c r="D333">
        <v>2.97</v>
      </c>
    </row>
    <row r="334" spans="1:4" x14ac:dyDescent="0.35">
      <c r="A334" s="1" t="s">
        <v>48</v>
      </c>
      <c r="B334" s="1"/>
      <c r="C334">
        <v>2007</v>
      </c>
      <c r="D334">
        <v>2.56</v>
      </c>
    </row>
    <row r="335" spans="1:4" x14ac:dyDescent="0.35">
      <c r="A335" s="1" t="s">
        <v>48</v>
      </c>
      <c r="B335" s="1"/>
      <c r="C335">
        <v>2008</v>
      </c>
      <c r="D335">
        <v>1.93</v>
      </c>
    </row>
    <row r="336" spans="1:4" x14ac:dyDescent="0.35">
      <c r="A336" s="1" t="s">
        <v>48</v>
      </c>
      <c r="B336" s="1"/>
      <c r="C336">
        <v>2009</v>
      </c>
      <c r="D336">
        <v>1.58</v>
      </c>
    </row>
    <row r="337" spans="1:4" x14ac:dyDescent="0.35">
      <c r="A337" s="1" t="s">
        <v>48</v>
      </c>
      <c r="B337" s="1"/>
      <c r="C337">
        <v>2010</v>
      </c>
      <c r="D337">
        <v>1.21</v>
      </c>
    </row>
    <row r="338" spans="1:4" x14ac:dyDescent="0.35">
      <c r="A338" s="1" t="s">
        <v>48</v>
      </c>
      <c r="B338" s="1"/>
      <c r="C338">
        <v>2011</v>
      </c>
      <c r="D338">
        <v>7.04</v>
      </c>
    </row>
    <row r="339" spans="1:4" x14ac:dyDescent="0.35">
      <c r="A339" s="1" t="s">
        <v>48</v>
      </c>
      <c r="B339" s="1"/>
      <c r="C339">
        <v>2012</v>
      </c>
      <c r="D339">
        <v>19.010000000000002</v>
      </c>
    </row>
    <row r="340" spans="1:4" x14ac:dyDescent="0.35">
      <c r="A340" s="1" t="s">
        <v>48</v>
      </c>
      <c r="B340" s="1"/>
      <c r="C340">
        <v>2013</v>
      </c>
      <c r="D340">
        <v>21.28</v>
      </c>
    </row>
    <row r="341" spans="1:4" x14ac:dyDescent="0.35">
      <c r="A341" s="1" t="s">
        <v>48</v>
      </c>
      <c r="B341" s="1"/>
      <c r="C341">
        <v>2014</v>
      </c>
      <c r="D341">
        <v>22.21</v>
      </c>
    </row>
    <row r="342" spans="1:4" x14ac:dyDescent="0.35">
      <c r="A342" s="1" t="s">
        <v>48</v>
      </c>
      <c r="B342" s="1"/>
      <c r="C342">
        <v>2015</v>
      </c>
      <c r="D342">
        <v>20.27</v>
      </c>
    </row>
    <row r="343" spans="1:4" x14ac:dyDescent="0.35">
      <c r="A343" s="1" t="s">
        <v>48</v>
      </c>
      <c r="B343" s="1"/>
      <c r="C343">
        <v>2016</v>
      </c>
      <c r="D343">
        <v>18.600000000000001</v>
      </c>
    </row>
    <row r="344" spans="1:4" x14ac:dyDescent="0.35">
      <c r="A344" s="1" t="s">
        <v>48</v>
      </c>
      <c r="B344" s="1"/>
      <c r="C344">
        <v>2017</v>
      </c>
      <c r="D344">
        <v>17.64</v>
      </c>
    </row>
    <row r="345" spans="1:4" x14ac:dyDescent="0.35">
      <c r="A345" s="1" t="s">
        <v>48</v>
      </c>
      <c r="B345" s="1"/>
      <c r="C345">
        <v>2018</v>
      </c>
      <c r="D345">
        <v>20.8</v>
      </c>
    </row>
    <row r="346" spans="1:4" x14ac:dyDescent="0.35">
      <c r="A346" s="1" t="s">
        <v>48</v>
      </c>
      <c r="B346" s="1"/>
      <c r="C346">
        <v>2019</v>
      </c>
      <c r="D346">
        <v>18.66</v>
      </c>
    </row>
    <row r="347" spans="1:4" x14ac:dyDescent="0.35">
      <c r="A347" s="1" t="s">
        <v>48</v>
      </c>
      <c r="B347" s="1"/>
      <c r="C347">
        <v>2020</v>
      </c>
      <c r="D347">
        <v>16.82</v>
      </c>
    </row>
    <row r="348" spans="1:4" x14ac:dyDescent="0.35">
      <c r="A348" s="1" t="s">
        <v>48</v>
      </c>
      <c r="B348" s="1"/>
      <c r="C348">
        <v>2021</v>
      </c>
      <c r="D348">
        <v>18.27</v>
      </c>
    </row>
    <row r="349" spans="1:4" x14ac:dyDescent="0.35">
      <c r="A349" s="1" t="s">
        <v>48</v>
      </c>
      <c r="B349" s="1"/>
      <c r="C349">
        <v>2022</v>
      </c>
      <c r="D349">
        <v>16.82</v>
      </c>
    </row>
    <row r="350" spans="1:4" x14ac:dyDescent="0.35">
      <c r="A350" s="1" t="s">
        <v>48</v>
      </c>
      <c r="B350" s="1"/>
      <c r="C350">
        <v>2023</v>
      </c>
      <c r="D350">
        <v>15.97</v>
      </c>
    </row>
    <row r="351" spans="1:4" x14ac:dyDescent="0.35">
      <c r="A351" s="1" t="s">
        <v>48</v>
      </c>
      <c r="B351" s="1"/>
      <c r="C351">
        <v>2024</v>
      </c>
      <c r="D351" t="s">
        <v>136</v>
      </c>
    </row>
    <row r="352" spans="1:4" x14ac:dyDescent="0.35">
      <c r="A352" s="1" t="s">
        <v>44</v>
      </c>
      <c r="B352" s="1" t="s">
        <v>134</v>
      </c>
      <c r="C352">
        <v>2000</v>
      </c>
      <c r="D352">
        <v>87.59</v>
      </c>
    </row>
    <row r="353" spans="1:4" x14ac:dyDescent="0.35">
      <c r="A353" s="1" t="s">
        <v>44</v>
      </c>
      <c r="B353" s="1"/>
      <c r="C353">
        <v>2001</v>
      </c>
      <c r="D353">
        <v>87.69</v>
      </c>
    </row>
    <row r="354" spans="1:4" x14ac:dyDescent="0.35">
      <c r="A354" s="1" t="s">
        <v>44</v>
      </c>
      <c r="B354" s="1"/>
      <c r="C354">
        <v>2002</v>
      </c>
      <c r="D354">
        <v>80.569999999999993</v>
      </c>
    </row>
    <row r="355" spans="1:4" x14ac:dyDescent="0.35">
      <c r="A355" s="1" t="s">
        <v>44</v>
      </c>
      <c r="B355" s="1"/>
      <c r="C355">
        <v>2003</v>
      </c>
      <c r="D355">
        <v>80.47</v>
      </c>
    </row>
    <row r="356" spans="1:4" x14ac:dyDescent="0.35">
      <c r="A356" s="1" t="s">
        <v>44</v>
      </c>
      <c r="B356" s="1"/>
      <c r="C356">
        <v>2004</v>
      </c>
      <c r="D356">
        <v>79.58</v>
      </c>
    </row>
    <row r="357" spans="1:4" x14ac:dyDescent="0.35">
      <c r="A357" s="1" t="s">
        <v>44</v>
      </c>
      <c r="B357" s="1"/>
      <c r="C357">
        <v>2005</v>
      </c>
      <c r="D357">
        <v>79.14</v>
      </c>
    </row>
    <row r="358" spans="1:4" x14ac:dyDescent="0.35">
      <c r="A358" s="1" t="s">
        <v>44</v>
      </c>
      <c r="B358" s="1"/>
      <c r="C358">
        <v>2006</v>
      </c>
      <c r="D358">
        <v>77.02</v>
      </c>
    </row>
    <row r="359" spans="1:4" x14ac:dyDescent="0.35">
      <c r="A359" s="1" t="s">
        <v>44</v>
      </c>
      <c r="B359" s="1"/>
      <c r="C359">
        <v>2007</v>
      </c>
      <c r="D359">
        <v>75.41</v>
      </c>
    </row>
    <row r="360" spans="1:4" x14ac:dyDescent="0.35">
      <c r="A360" s="1" t="s">
        <v>44</v>
      </c>
      <c r="B360" s="1"/>
      <c r="C360">
        <v>2008</v>
      </c>
      <c r="D360">
        <v>74.209999999999994</v>
      </c>
    </row>
    <row r="361" spans="1:4" x14ac:dyDescent="0.35">
      <c r="A361" s="1" t="s">
        <v>44</v>
      </c>
      <c r="B361" s="1"/>
      <c r="C361">
        <v>2009</v>
      </c>
      <c r="D361">
        <v>68.209999999999994</v>
      </c>
    </row>
    <row r="362" spans="1:4" x14ac:dyDescent="0.35">
      <c r="A362" s="1" t="s">
        <v>44</v>
      </c>
      <c r="B362" s="1"/>
      <c r="C362">
        <v>2010</v>
      </c>
      <c r="D362">
        <v>69.58</v>
      </c>
    </row>
    <row r="363" spans="1:4" x14ac:dyDescent="0.35">
      <c r="A363" s="1" t="s">
        <v>44</v>
      </c>
      <c r="B363" s="1"/>
      <c r="C363">
        <v>2011</v>
      </c>
      <c r="D363">
        <v>70.8</v>
      </c>
    </row>
    <row r="364" spans="1:4" x14ac:dyDescent="0.35">
      <c r="A364" s="1" t="s">
        <v>44</v>
      </c>
      <c r="B364" s="1"/>
      <c r="C364">
        <v>2012</v>
      </c>
      <c r="D364">
        <v>64.53</v>
      </c>
    </row>
    <row r="365" spans="1:4" x14ac:dyDescent="0.35">
      <c r="A365" s="1" t="s">
        <v>44</v>
      </c>
      <c r="B365" s="1"/>
      <c r="C365">
        <v>2013</v>
      </c>
      <c r="D365">
        <v>56.2</v>
      </c>
    </row>
    <row r="366" spans="1:4" x14ac:dyDescent="0.35">
      <c r="A366" s="1" t="s">
        <v>44</v>
      </c>
      <c r="B366" s="1"/>
      <c r="C366">
        <v>2014</v>
      </c>
      <c r="D366">
        <v>56.2</v>
      </c>
    </row>
    <row r="367" spans="1:4" x14ac:dyDescent="0.35">
      <c r="A367" s="1" t="s">
        <v>44</v>
      </c>
      <c r="B367" s="1"/>
      <c r="C367">
        <v>2015</v>
      </c>
      <c r="D367">
        <v>53.94</v>
      </c>
    </row>
    <row r="368" spans="1:4" x14ac:dyDescent="0.35">
      <c r="A368" s="1" t="s">
        <v>44</v>
      </c>
      <c r="B368" s="1"/>
      <c r="C368">
        <v>2016</v>
      </c>
      <c r="D368">
        <v>53.94</v>
      </c>
    </row>
    <row r="369" spans="1:4" x14ac:dyDescent="0.35">
      <c r="A369" s="1" t="s">
        <v>44</v>
      </c>
      <c r="B369" s="1"/>
      <c r="C369">
        <v>2017</v>
      </c>
      <c r="D369">
        <v>51.69</v>
      </c>
    </row>
    <row r="370" spans="1:4" x14ac:dyDescent="0.35">
      <c r="A370" s="1" t="s">
        <v>44</v>
      </c>
      <c r="B370" s="1"/>
      <c r="C370">
        <v>2018</v>
      </c>
      <c r="D370">
        <v>51.48</v>
      </c>
    </row>
    <row r="371" spans="1:4" x14ac:dyDescent="0.35">
      <c r="A371" s="1" t="s">
        <v>44</v>
      </c>
      <c r="B371" s="1"/>
      <c r="C371">
        <v>2019</v>
      </c>
      <c r="D371">
        <v>54.06</v>
      </c>
    </row>
    <row r="372" spans="1:4" x14ac:dyDescent="0.35">
      <c r="A372" s="1" t="s">
        <v>44</v>
      </c>
      <c r="B372" s="1"/>
      <c r="C372">
        <v>2020</v>
      </c>
      <c r="D372">
        <v>54.09</v>
      </c>
    </row>
    <row r="373" spans="1:4" x14ac:dyDescent="0.35">
      <c r="A373" s="1" t="s">
        <v>44</v>
      </c>
      <c r="B373" s="1"/>
      <c r="C373">
        <v>2021</v>
      </c>
      <c r="D373">
        <v>54.42</v>
      </c>
    </row>
    <row r="374" spans="1:4" x14ac:dyDescent="0.35">
      <c r="A374" s="1" t="s">
        <v>44</v>
      </c>
      <c r="B374" s="1"/>
      <c r="C374">
        <v>2022</v>
      </c>
      <c r="D374">
        <v>54.46</v>
      </c>
    </row>
    <row r="375" spans="1:4" x14ac:dyDescent="0.35">
      <c r="A375" s="1" t="s">
        <v>44</v>
      </c>
      <c r="B375" s="1"/>
      <c r="C375">
        <v>2023</v>
      </c>
      <c r="D375">
        <v>55.51</v>
      </c>
    </row>
    <row r="376" spans="1:4" x14ac:dyDescent="0.35">
      <c r="A376" s="1" t="s">
        <v>44</v>
      </c>
      <c r="B376" s="1"/>
      <c r="C376">
        <v>2024</v>
      </c>
      <c r="D376">
        <v>55.51</v>
      </c>
    </row>
    <row r="377" spans="1:4" x14ac:dyDescent="0.35">
      <c r="A377" s="1" t="s">
        <v>44</v>
      </c>
      <c r="B377" s="1" t="s">
        <v>135</v>
      </c>
      <c r="C377">
        <v>2000</v>
      </c>
      <c r="D377">
        <v>96.54</v>
      </c>
    </row>
    <row r="378" spans="1:4" x14ac:dyDescent="0.35">
      <c r="A378" s="1" t="s">
        <v>44</v>
      </c>
      <c r="B378" s="1"/>
      <c r="C378">
        <v>2001</v>
      </c>
      <c r="D378">
        <v>95.75</v>
      </c>
    </row>
    <row r="379" spans="1:4" x14ac:dyDescent="0.35">
      <c r="A379" s="1" t="s">
        <v>44</v>
      </c>
      <c r="B379" s="1"/>
      <c r="C379">
        <v>2002</v>
      </c>
      <c r="D379">
        <v>93.86</v>
      </c>
    </row>
    <row r="380" spans="1:4" x14ac:dyDescent="0.35">
      <c r="A380" s="1" t="s">
        <v>44</v>
      </c>
      <c r="B380" s="1"/>
      <c r="C380">
        <v>2003</v>
      </c>
      <c r="D380">
        <v>93.44</v>
      </c>
    </row>
    <row r="381" spans="1:4" x14ac:dyDescent="0.35">
      <c r="A381" s="1" t="s">
        <v>44</v>
      </c>
      <c r="B381" s="1"/>
      <c r="C381">
        <v>2004</v>
      </c>
      <c r="D381">
        <v>93</v>
      </c>
    </row>
    <row r="382" spans="1:4" x14ac:dyDescent="0.35">
      <c r="A382" s="1" t="s">
        <v>44</v>
      </c>
      <c r="B382" s="1"/>
      <c r="C382">
        <v>2005</v>
      </c>
      <c r="D382">
        <v>92.14</v>
      </c>
    </row>
    <row r="383" spans="1:4" x14ac:dyDescent="0.35">
      <c r="A383" s="1" t="s">
        <v>44</v>
      </c>
      <c r="B383" s="1"/>
      <c r="C383">
        <v>2006</v>
      </c>
      <c r="D383">
        <v>91.85</v>
      </c>
    </row>
    <row r="384" spans="1:4" x14ac:dyDescent="0.35">
      <c r="A384" s="1" t="s">
        <v>44</v>
      </c>
      <c r="B384" s="1"/>
      <c r="C384">
        <v>2007</v>
      </c>
      <c r="D384">
        <v>88.51</v>
      </c>
    </row>
    <row r="385" spans="1:4" x14ac:dyDescent="0.35">
      <c r="A385" s="1" t="s">
        <v>44</v>
      </c>
      <c r="B385" s="1"/>
      <c r="C385">
        <v>2008</v>
      </c>
      <c r="D385">
        <v>91.43</v>
      </c>
    </row>
    <row r="386" spans="1:4" x14ac:dyDescent="0.35">
      <c r="A386" s="1" t="s">
        <v>44</v>
      </c>
      <c r="B386" s="1"/>
      <c r="C386">
        <v>2009</v>
      </c>
      <c r="D386">
        <v>88.11</v>
      </c>
    </row>
    <row r="387" spans="1:4" x14ac:dyDescent="0.35">
      <c r="A387" s="1" t="s">
        <v>44</v>
      </c>
      <c r="B387" s="1"/>
      <c r="C387">
        <v>2010</v>
      </c>
      <c r="D387">
        <v>85.98</v>
      </c>
    </row>
    <row r="388" spans="1:4" x14ac:dyDescent="0.35">
      <c r="A388" s="1" t="s">
        <v>44</v>
      </c>
      <c r="B388" s="1"/>
      <c r="C388">
        <v>2011</v>
      </c>
      <c r="D388">
        <v>86.06</v>
      </c>
    </row>
    <row r="389" spans="1:4" x14ac:dyDescent="0.35">
      <c r="A389" s="1" t="s">
        <v>44</v>
      </c>
      <c r="B389" s="1"/>
      <c r="C389">
        <v>2012</v>
      </c>
      <c r="D389">
        <v>84.77</v>
      </c>
    </row>
    <row r="390" spans="1:4" x14ac:dyDescent="0.35">
      <c r="A390" s="1" t="s">
        <v>44</v>
      </c>
      <c r="B390" s="1"/>
      <c r="C390">
        <v>2013</v>
      </c>
      <c r="D390">
        <v>79.09</v>
      </c>
    </row>
    <row r="391" spans="1:4" x14ac:dyDescent="0.35">
      <c r="A391" s="1" t="s">
        <v>44</v>
      </c>
      <c r="B391" s="1"/>
      <c r="C391">
        <v>2014</v>
      </c>
      <c r="D391">
        <v>79.489999999999995</v>
      </c>
    </row>
    <row r="392" spans="1:4" x14ac:dyDescent="0.35">
      <c r="A392" s="1" t="s">
        <v>44</v>
      </c>
      <c r="B392" s="1"/>
      <c r="C392">
        <v>2015</v>
      </c>
      <c r="D392">
        <v>71.010000000000005</v>
      </c>
    </row>
    <row r="393" spans="1:4" x14ac:dyDescent="0.35">
      <c r="A393" s="1" t="s">
        <v>44</v>
      </c>
      <c r="B393" s="1"/>
      <c r="C393">
        <v>2016</v>
      </c>
      <c r="D393">
        <v>74.45</v>
      </c>
    </row>
    <row r="394" spans="1:4" x14ac:dyDescent="0.35">
      <c r="A394" s="1" t="s">
        <v>44</v>
      </c>
      <c r="B394" s="1"/>
      <c r="C394">
        <v>2017</v>
      </c>
      <c r="D394">
        <v>74.63</v>
      </c>
    </row>
    <row r="395" spans="1:4" x14ac:dyDescent="0.35">
      <c r="A395" s="1" t="s">
        <v>44</v>
      </c>
      <c r="B395" s="1"/>
      <c r="C395">
        <v>2018</v>
      </c>
      <c r="D395">
        <v>72.39</v>
      </c>
    </row>
    <row r="396" spans="1:4" x14ac:dyDescent="0.35">
      <c r="A396" s="1" t="s">
        <v>44</v>
      </c>
      <c r="B396" s="1"/>
      <c r="C396">
        <v>2019</v>
      </c>
      <c r="D396">
        <v>75.930000000000007</v>
      </c>
    </row>
    <row r="397" spans="1:4" x14ac:dyDescent="0.35">
      <c r="A397" s="1" t="s">
        <v>44</v>
      </c>
      <c r="B397" s="1"/>
      <c r="C397">
        <v>2020</v>
      </c>
      <c r="D397">
        <v>76.73</v>
      </c>
    </row>
    <row r="398" spans="1:4" x14ac:dyDescent="0.35">
      <c r="A398" s="1" t="s">
        <v>44</v>
      </c>
      <c r="B398" s="1"/>
      <c r="C398">
        <v>2021</v>
      </c>
      <c r="D398">
        <v>76.78</v>
      </c>
    </row>
    <row r="399" spans="1:4" x14ac:dyDescent="0.35">
      <c r="A399" s="1" t="s">
        <v>44</v>
      </c>
      <c r="B399" s="1"/>
      <c r="C399">
        <v>2022</v>
      </c>
      <c r="D399">
        <v>76.78</v>
      </c>
    </row>
    <row r="400" spans="1:4" x14ac:dyDescent="0.35">
      <c r="A400" s="1" t="s">
        <v>44</v>
      </c>
      <c r="B400" s="1"/>
      <c r="C400">
        <v>2023</v>
      </c>
      <c r="D400">
        <v>77.05</v>
      </c>
    </row>
    <row r="401" spans="1:4" x14ac:dyDescent="0.35">
      <c r="A401" s="1" t="s">
        <v>44</v>
      </c>
      <c r="B401" s="1"/>
      <c r="C401">
        <v>2024</v>
      </c>
      <c r="D401" t="s">
        <v>136</v>
      </c>
    </row>
    <row r="402" spans="1:4" x14ac:dyDescent="0.35">
      <c r="A402" s="1" t="s">
        <v>114</v>
      </c>
      <c r="B402" s="1" t="s">
        <v>134</v>
      </c>
      <c r="C402">
        <v>2000</v>
      </c>
      <c r="D402">
        <v>6.45</v>
      </c>
    </row>
    <row r="403" spans="1:4" x14ac:dyDescent="0.35">
      <c r="A403" s="1" t="s">
        <v>114</v>
      </c>
      <c r="B403" s="1"/>
      <c r="C403">
        <v>2001</v>
      </c>
      <c r="D403">
        <v>6.45</v>
      </c>
    </row>
    <row r="404" spans="1:4" x14ac:dyDescent="0.35">
      <c r="A404" s="1" t="s">
        <v>114</v>
      </c>
      <c r="B404" s="1"/>
      <c r="C404">
        <v>2002</v>
      </c>
      <c r="D404">
        <v>6.45</v>
      </c>
    </row>
    <row r="405" spans="1:4" x14ac:dyDescent="0.35">
      <c r="A405" s="1" t="s">
        <v>114</v>
      </c>
      <c r="B405" s="1"/>
      <c r="C405">
        <v>2003</v>
      </c>
      <c r="D405">
        <v>1.31</v>
      </c>
    </row>
    <row r="406" spans="1:4" x14ac:dyDescent="0.35">
      <c r="A406" s="1" t="s">
        <v>114</v>
      </c>
      <c r="B406" s="1"/>
      <c r="C406">
        <v>2004</v>
      </c>
      <c r="D406">
        <v>1.29</v>
      </c>
    </row>
    <row r="407" spans="1:4" x14ac:dyDescent="0.35">
      <c r="A407" s="1" t="s">
        <v>114</v>
      </c>
      <c r="B407" s="1"/>
      <c r="C407">
        <v>2005</v>
      </c>
      <c r="D407">
        <v>1.27</v>
      </c>
    </row>
    <row r="408" spans="1:4" x14ac:dyDescent="0.35">
      <c r="A408" s="1" t="s">
        <v>114</v>
      </c>
      <c r="B408" s="1"/>
      <c r="C408">
        <v>2006</v>
      </c>
      <c r="D408">
        <v>1.27</v>
      </c>
    </row>
    <row r="409" spans="1:4" x14ac:dyDescent="0.35">
      <c r="A409" s="1" t="s">
        <v>114</v>
      </c>
      <c r="B409" s="1"/>
      <c r="C409">
        <v>2007</v>
      </c>
      <c r="D409">
        <v>1.1200000000000001</v>
      </c>
    </row>
    <row r="410" spans="1:4" x14ac:dyDescent="0.35">
      <c r="A410" s="1" t="s">
        <v>114</v>
      </c>
      <c r="B410" s="1"/>
      <c r="C410">
        <v>2008</v>
      </c>
      <c r="D410">
        <v>1.1200000000000001</v>
      </c>
    </row>
    <row r="411" spans="1:4" x14ac:dyDescent="0.35">
      <c r="A411" s="1" t="s">
        <v>114</v>
      </c>
      <c r="B411" s="1"/>
      <c r="C411">
        <v>2009</v>
      </c>
      <c r="D411">
        <v>1.1200000000000001</v>
      </c>
    </row>
    <row r="412" spans="1:4" x14ac:dyDescent="0.35">
      <c r="A412" s="1" t="s">
        <v>114</v>
      </c>
      <c r="B412" s="1"/>
      <c r="C412">
        <v>2010</v>
      </c>
      <c r="D412">
        <v>1.1200000000000001</v>
      </c>
    </row>
    <row r="413" spans="1:4" x14ac:dyDescent="0.35">
      <c r="A413" s="1" t="s">
        <v>114</v>
      </c>
      <c r="B413" s="1"/>
      <c r="C413">
        <v>2011</v>
      </c>
      <c r="D413">
        <v>1.1200000000000001</v>
      </c>
    </row>
    <row r="414" spans="1:4" x14ac:dyDescent="0.35">
      <c r="A414" s="1" t="s">
        <v>114</v>
      </c>
      <c r="B414" s="1"/>
      <c r="C414">
        <v>2012</v>
      </c>
      <c r="D414">
        <v>0.71</v>
      </c>
    </row>
    <row r="415" spans="1:4" x14ac:dyDescent="0.35">
      <c r="A415" s="1" t="s">
        <v>114</v>
      </c>
      <c r="B415" s="1"/>
      <c r="C415">
        <v>2013</v>
      </c>
      <c r="D415">
        <v>0.72</v>
      </c>
    </row>
    <row r="416" spans="1:4" x14ac:dyDescent="0.35">
      <c r="A416" s="1" t="s">
        <v>114</v>
      </c>
      <c r="B416" s="1"/>
      <c r="C416">
        <v>2014</v>
      </c>
      <c r="D416">
        <v>0.72</v>
      </c>
    </row>
    <row r="417" spans="1:4" x14ac:dyDescent="0.35">
      <c r="A417" s="1" t="s">
        <v>114</v>
      </c>
      <c r="B417" s="1"/>
      <c r="C417">
        <v>2015</v>
      </c>
      <c r="D417">
        <v>0.76</v>
      </c>
    </row>
    <row r="418" spans="1:4" x14ac:dyDescent="0.35">
      <c r="A418" s="1" t="s">
        <v>114</v>
      </c>
      <c r="B418" s="1"/>
      <c r="C418">
        <v>2016</v>
      </c>
      <c r="D418">
        <v>1.1499999999999999</v>
      </c>
    </row>
    <row r="419" spans="1:4" x14ac:dyDescent="0.35">
      <c r="A419" s="1" t="s">
        <v>114</v>
      </c>
      <c r="B419" s="1"/>
      <c r="C419">
        <v>2017</v>
      </c>
      <c r="D419">
        <v>1.1499999999999999</v>
      </c>
    </row>
    <row r="420" spans="1:4" x14ac:dyDescent="0.35">
      <c r="A420" s="1" t="s">
        <v>114</v>
      </c>
      <c r="B420" s="1"/>
      <c r="C420">
        <v>2018</v>
      </c>
      <c r="D420">
        <v>1.28</v>
      </c>
    </row>
    <row r="421" spans="1:4" x14ac:dyDescent="0.35">
      <c r="A421" s="1" t="s">
        <v>114</v>
      </c>
      <c r="B421" s="1"/>
      <c r="C421">
        <v>2019</v>
      </c>
      <c r="D421">
        <v>1.28</v>
      </c>
    </row>
    <row r="422" spans="1:4" x14ac:dyDescent="0.35">
      <c r="A422" s="1" t="s">
        <v>114</v>
      </c>
      <c r="B422" s="1"/>
      <c r="C422">
        <v>2020</v>
      </c>
      <c r="D422">
        <v>1.47</v>
      </c>
    </row>
    <row r="423" spans="1:4" x14ac:dyDescent="0.35">
      <c r="A423" s="1" t="s">
        <v>114</v>
      </c>
      <c r="B423" s="1"/>
      <c r="C423">
        <v>2021</v>
      </c>
      <c r="D423">
        <v>1.64</v>
      </c>
    </row>
    <row r="424" spans="1:4" x14ac:dyDescent="0.35">
      <c r="A424" s="1" t="s">
        <v>114</v>
      </c>
      <c r="B424" s="1"/>
      <c r="C424">
        <v>2022</v>
      </c>
      <c r="D424">
        <v>1.65</v>
      </c>
    </row>
    <row r="425" spans="1:4" x14ac:dyDescent="0.35">
      <c r="A425" s="1" t="s">
        <v>114</v>
      </c>
      <c r="B425" s="1"/>
      <c r="C425">
        <v>2023</v>
      </c>
      <c r="D425">
        <v>1.66</v>
      </c>
    </row>
    <row r="426" spans="1:4" x14ac:dyDescent="0.35">
      <c r="A426" s="1" t="s">
        <v>114</v>
      </c>
      <c r="B426" s="1"/>
      <c r="C426">
        <v>2024</v>
      </c>
      <c r="D426">
        <v>1.69</v>
      </c>
    </row>
    <row r="427" spans="1:4" x14ac:dyDescent="0.35">
      <c r="A427" s="1" t="s">
        <v>114</v>
      </c>
      <c r="B427" s="1" t="s">
        <v>135</v>
      </c>
      <c r="C427">
        <v>2000</v>
      </c>
      <c r="D427">
        <v>5.98</v>
      </c>
    </row>
    <row r="428" spans="1:4" x14ac:dyDescent="0.35">
      <c r="A428" s="1" t="s">
        <v>114</v>
      </c>
      <c r="B428" s="1"/>
      <c r="C428">
        <v>2001</v>
      </c>
      <c r="D428">
        <v>6.32</v>
      </c>
    </row>
    <row r="429" spans="1:4" x14ac:dyDescent="0.35">
      <c r="A429" s="1" t="s">
        <v>114</v>
      </c>
      <c r="B429" s="1"/>
      <c r="C429">
        <v>2002</v>
      </c>
      <c r="D429">
        <v>6.4</v>
      </c>
    </row>
    <row r="430" spans="1:4" x14ac:dyDescent="0.35">
      <c r="A430" s="1" t="s">
        <v>114</v>
      </c>
      <c r="B430" s="1"/>
      <c r="C430">
        <v>2003</v>
      </c>
      <c r="D430">
        <v>5.92</v>
      </c>
    </row>
    <row r="431" spans="1:4" x14ac:dyDescent="0.35">
      <c r="A431" s="1" t="s">
        <v>114</v>
      </c>
      <c r="B431" s="1"/>
      <c r="C431">
        <v>2004</v>
      </c>
      <c r="D431">
        <v>5.43</v>
      </c>
    </row>
    <row r="432" spans="1:4" x14ac:dyDescent="0.35">
      <c r="A432" s="1" t="s">
        <v>114</v>
      </c>
      <c r="B432" s="1"/>
      <c r="C432">
        <v>2005</v>
      </c>
      <c r="D432">
        <v>6.27</v>
      </c>
    </row>
    <row r="433" spans="1:4" x14ac:dyDescent="0.35">
      <c r="A433" s="1" t="s">
        <v>114</v>
      </c>
      <c r="B433" s="1"/>
      <c r="C433">
        <v>2006</v>
      </c>
      <c r="D433">
        <v>6.27</v>
      </c>
    </row>
    <row r="434" spans="1:4" x14ac:dyDescent="0.35">
      <c r="A434" s="1" t="s">
        <v>114</v>
      </c>
      <c r="B434" s="1"/>
      <c r="C434">
        <v>2007</v>
      </c>
      <c r="D434">
        <v>5.53</v>
      </c>
    </row>
    <row r="435" spans="1:4" x14ac:dyDescent="0.35">
      <c r="A435" s="1" t="s">
        <v>114</v>
      </c>
      <c r="B435" s="1"/>
      <c r="C435">
        <v>2008</v>
      </c>
      <c r="D435">
        <v>5.73</v>
      </c>
    </row>
    <row r="436" spans="1:4" x14ac:dyDescent="0.35">
      <c r="A436" s="1" t="s">
        <v>114</v>
      </c>
      <c r="B436" s="1"/>
      <c r="C436">
        <v>2009</v>
      </c>
      <c r="D436">
        <v>6.26</v>
      </c>
    </row>
    <row r="437" spans="1:4" x14ac:dyDescent="0.35">
      <c r="A437" s="1" t="s">
        <v>114</v>
      </c>
      <c r="B437" s="1"/>
      <c r="C437">
        <v>2010</v>
      </c>
      <c r="D437">
        <v>6.22</v>
      </c>
    </row>
    <row r="438" spans="1:4" x14ac:dyDescent="0.35">
      <c r="A438" s="1" t="s">
        <v>114</v>
      </c>
      <c r="B438" s="1"/>
      <c r="C438">
        <v>2011</v>
      </c>
      <c r="D438">
        <v>5.99</v>
      </c>
    </row>
    <row r="439" spans="1:4" x14ac:dyDescent="0.35">
      <c r="A439" s="1" t="s">
        <v>114</v>
      </c>
      <c r="B439" s="1"/>
      <c r="C439">
        <v>2012</v>
      </c>
      <c r="D439">
        <v>6.09</v>
      </c>
    </row>
    <row r="440" spans="1:4" x14ac:dyDescent="0.35">
      <c r="A440" s="1" t="s">
        <v>114</v>
      </c>
      <c r="B440" s="1"/>
      <c r="C440">
        <v>2013</v>
      </c>
      <c r="D440">
        <v>6.22</v>
      </c>
    </row>
    <row r="441" spans="1:4" x14ac:dyDescent="0.35">
      <c r="A441" s="1" t="s">
        <v>114</v>
      </c>
      <c r="B441" s="1"/>
      <c r="C441">
        <v>2014</v>
      </c>
      <c r="D441">
        <v>6.33</v>
      </c>
    </row>
    <row r="442" spans="1:4" x14ac:dyDescent="0.35">
      <c r="A442" s="1" t="s">
        <v>114</v>
      </c>
      <c r="B442" s="1"/>
      <c r="C442">
        <v>2015</v>
      </c>
      <c r="D442">
        <v>2.5299999999999998</v>
      </c>
    </row>
    <row r="443" spans="1:4" x14ac:dyDescent="0.35">
      <c r="A443" s="1" t="s">
        <v>114</v>
      </c>
      <c r="B443" s="1"/>
      <c r="C443">
        <v>2016</v>
      </c>
      <c r="D443">
        <v>5.09</v>
      </c>
    </row>
    <row r="444" spans="1:4" x14ac:dyDescent="0.35">
      <c r="A444" s="1" t="s">
        <v>114</v>
      </c>
      <c r="B444" s="1"/>
      <c r="C444">
        <v>2017</v>
      </c>
      <c r="D444">
        <v>4.96</v>
      </c>
    </row>
    <row r="445" spans="1:4" x14ac:dyDescent="0.35">
      <c r="A445" s="1" t="s">
        <v>114</v>
      </c>
      <c r="B445" s="1"/>
      <c r="C445">
        <v>2018</v>
      </c>
      <c r="D445">
        <v>5</v>
      </c>
    </row>
    <row r="446" spans="1:4" x14ac:dyDescent="0.35">
      <c r="A446" s="1" t="s">
        <v>114</v>
      </c>
      <c r="B446" s="1"/>
      <c r="C446">
        <v>2019</v>
      </c>
      <c r="D446">
        <v>4.6100000000000003</v>
      </c>
    </row>
    <row r="447" spans="1:4" x14ac:dyDescent="0.35">
      <c r="A447" s="1" t="s">
        <v>114</v>
      </c>
      <c r="B447" s="1"/>
      <c r="C447">
        <v>2020</v>
      </c>
      <c r="D447">
        <v>5.33</v>
      </c>
    </row>
    <row r="448" spans="1:4" x14ac:dyDescent="0.35">
      <c r="A448" s="1" t="s">
        <v>114</v>
      </c>
      <c r="B448" s="1"/>
      <c r="C448">
        <v>2021</v>
      </c>
      <c r="D448">
        <v>5.79</v>
      </c>
    </row>
    <row r="449" spans="1:4" x14ac:dyDescent="0.35">
      <c r="A449" s="1" t="s">
        <v>114</v>
      </c>
      <c r="B449" s="1"/>
      <c r="C449">
        <v>2022</v>
      </c>
      <c r="D449">
        <v>5.83</v>
      </c>
    </row>
    <row r="450" spans="1:4" x14ac:dyDescent="0.35">
      <c r="A450" s="1" t="s">
        <v>114</v>
      </c>
      <c r="B450" s="1"/>
      <c r="C450">
        <v>2023</v>
      </c>
      <c r="D450">
        <v>5.7</v>
      </c>
    </row>
    <row r="451" spans="1:4" x14ac:dyDescent="0.35">
      <c r="A451" s="1" t="s">
        <v>114</v>
      </c>
      <c r="B451" s="1"/>
      <c r="C451">
        <v>2024</v>
      </c>
      <c r="D451" t="s">
        <v>136</v>
      </c>
    </row>
    <row r="452" spans="1:4" x14ac:dyDescent="0.35">
      <c r="A452" s="1" t="s">
        <v>50</v>
      </c>
      <c r="B452" s="1" t="s">
        <v>134</v>
      </c>
      <c r="C452">
        <v>2000</v>
      </c>
      <c r="D452" t="s">
        <v>136</v>
      </c>
    </row>
    <row r="453" spans="1:4" x14ac:dyDescent="0.35">
      <c r="A453" s="1" t="s">
        <v>50</v>
      </c>
      <c r="B453" s="1"/>
      <c r="C453">
        <v>2001</v>
      </c>
      <c r="D453" t="s">
        <v>136</v>
      </c>
    </row>
    <row r="454" spans="1:4" x14ac:dyDescent="0.35">
      <c r="A454" s="1" t="s">
        <v>50</v>
      </c>
      <c r="B454" s="1"/>
      <c r="C454">
        <v>2002</v>
      </c>
      <c r="D454" t="s">
        <v>136</v>
      </c>
    </row>
    <row r="455" spans="1:4" x14ac:dyDescent="0.35">
      <c r="A455" s="1" t="s">
        <v>50</v>
      </c>
      <c r="B455" s="1"/>
      <c r="C455">
        <v>2003</v>
      </c>
      <c r="D455" t="s">
        <v>136</v>
      </c>
    </row>
    <row r="456" spans="1:4" x14ac:dyDescent="0.35">
      <c r="A456" s="1" t="s">
        <v>50</v>
      </c>
      <c r="B456" s="1"/>
      <c r="C456">
        <v>2004</v>
      </c>
      <c r="D456" t="s">
        <v>136</v>
      </c>
    </row>
    <row r="457" spans="1:4" x14ac:dyDescent="0.35">
      <c r="A457" s="1" t="s">
        <v>50</v>
      </c>
      <c r="B457" s="1"/>
      <c r="C457">
        <v>2005</v>
      </c>
      <c r="D457" t="s">
        <v>136</v>
      </c>
    </row>
    <row r="458" spans="1:4" x14ac:dyDescent="0.35">
      <c r="A458" s="1" t="s">
        <v>50</v>
      </c>
      <c r="B458" s="1"/>
      <c r="C458">
        <v>2006</v>
      </c>
      <c r="D458" t="s">
        <v>136</v>
      </c>
    </row>
    <row r="459" spans="1:4" x14ac:dyDescent="0.35">
      <c r="A459" s="1" t="s">
        <v>50</v>
      </c>
      <c r="B459" s="1"/>
      <c r="C459">
        <v>2007</v>
      </c>
      <c r="D459" t="s">
        <v>136</v>
      </c>
    </row>
    <row r="460" spans="1:4" x14ac:dyDescent="0.35">
      <c r="A460" s="1" t="s">
        <v>50</v>
      </c>
      <c r="B460" s="1"/>
      <c r="C460">
        <v>2008</v>
      </c>
      <c r="D460" t="s">
        <v>136</v>
      </c>
    </row>
    <row r="461" spans="1:4" x14ac:dyDescent="0.35">
      <c r="A461" s="1" t="s">
        <v>50</v>
      </c>
      <c r="B461" s="1"/>
      <c r="C461">
        <v>2009</v>
      </c>
      <c r="D461" t="s">
        <v>136</v>
      </c>
    </row>
    <row r="462" spans="1:4" x14ac:dyDescent="0.35">
      <c r="A462" s="1" t="s">
        <v>50</v>
      </c>
      <c r="B462" s="1"/>
      <c r="C462">
        <v>2010</v>
      </c>
      <c r="D462">
        <v>0.01</v>
      </c>
    </row>
    <row r="463" spans="1:4" x14ac:dyDescent="0.35">
      <c r="A463" s="1" t="s">
        <v>50</v>
      </c>
      <c r="B463" s="1"/>
      <c r="C463">
        <v>2011</v>
      </c>
      <c r="D463">
        <v>0.01</v>
      </c>
    </row>
    <row r="464" spans="1:4" x14ac:dyDescent="0.35">
      <c r="A464" s="1" t="s">
        <v>50</v>
      </c>
      <c r="B464" s="1"/>
      <c r="C464">
        <v>2012</v>
      </c>
      <c r="D464">
        <v>0.03</v>
      </c>
    </row>
    <row r="465" spans="1:4" x14ac:dyDescent="0.35">
      <c r="A465" s="1" t="s">
        <v>50</v>
      </c>
      <c r="B465" s="1"/>
      <c r="C465">
        <v>2013</v>
      </c>
      <c r="D465">
        <v>0.08</v>
      </c>
    </row>
    <row r="466" spans="1:4" x14ac:dyDescent="0.35">
      <c r="A466" s="1" t="s">
        <v>50</v>
      </c>
      <c r="B466" s="1"/>
      <c r="C466">
        <v>2014</v>
      </c>
      <c r="D466">
        <v>0.08</v>
      </c>
    </row>
    <row r="467" spans="1:4" x14ac:dyDescent="0.35">
      <c r="A467" s="1" t="s">
        <v>50</v>
      </c>
      <c r="B467" s="1"/>
      <c r="C467">
        <v>2015</v>
      </c>
      <c r="D467">
        <v>0.08</v>
      </c>
    </row>
    <row r="468" spans="1:4" x14ac:dyDescent="0.35">
      <c r="A468" s="1" t="s">
        <v>50</v>
      </c>
      <c r="B468" s="1"/>
      <c r="C468">
        <v>2016</v>
      </c>
      <c r="D468">
        <v>0.31</v>
      </c>
    </row>
    <row r="469" spans="1:4" x14ac:dyDescent="0.35">
      <c r="A469" s="1" t="s">
        <v>50</v>
      </c>
      <c r="B469" s="1"/>
      <c r="C469">
        <v>2017</v>
      </c>
      <c r="D469">
        <v>0.34</v>
      </c>
    </row>
    <row r="470" spans="1:4" x14ac:dyDescent="0.35">
      <c r="A470" s="1" t="s">
        <v>50</v>
      </c>
      <c r="B470" s="1"/>
      <c r="C470">
        <v>2018</v>
      </c>
      <c r="D470">
        <v>0.35</v>
      </c>
    </row>
    <row r="471" spans="1:4" x14ac:dyDescent="0.35">
      <c r="A471" s="1" t="s">
        <v>50</v>
      </c>
      <c r="B471" s="1"/>
      <c r="C471">
        <v>2019</v>
      </c>
      <c r="D471">
        <v>0.35</v>
      </c>
    </row>
    <row r="472" spans="1:4" x14ac:dyDescent="0.35">
      <c r="A472" s="1" t="s">
        <v>50</v>
      </c>
      <c r="B472" s="1"/>
      <c r="C472">
        <v>2020</v>
      </c>
      <c r="D472">
        <v>0.35</v>
      </c>
    </row>
    <row r="473" spans="1:4" x14ac:dyDescent="0.35">
      <c r="A473" s="1" t="s">
        <v>50</v>
      </c>
      <c r="B473" s="1"/>
      <c r="C473">
        <v>2021</v>
      </c>
      <c r="D473">
        <v>14.24</v>
      </c>
    </row>
    <row r="474" spans="1:4" x14ac:dyDescent="0.35">
      <c r="A474" s="1" t="s">
        <v>50</v>
      </c>
      <c r="B474" s="1"/>
      <c r="C474">
        <v>2022</v>
      </c>
      <c r="D474">
        <v>14.24</v>
      </c>
    </row>
    <row r="475" spans="1:4" x14ac:dyDescent="0.35">
      <c r="A475" s="1" t="s">
        <v>50</v>
      </c>
      <c r="B475" s="1"/>
      <c r="C475">
        <v>2023</v>
      </c>
      <c r="D475">
        <v>39.54</v>
      </c>
    </row>
    <row r="476" spans="1:4" x14ac:dyDescent="0.35">
      <c r="A476" s="1" t="s">
        <v>50</v>
      </c>
      <c r="B476" s="1"/>
      <c r="C476">
        <v>2024</v>
      </c>
      <c r="D476">
        <v>39.54</v>
      </c>
    </row>
    <row r="477" spans="1:4" x14ac:dyDescent="0.35">
      <c r="A477" s="1" t="s">
        <v>50</v>
      </c>
      <c r="B477" s="1" t="s">
        <v>135</v>
      </c>
      <c r="C477">
        <v>2000</v>
      </c>
      <c r="D477" t="s">
        <v>136</v>
      </c>
    </row>
    <row r="478" spans="1:4" x14ac:dyDescent="0.35">
      <c r="A478" s="1" t="s">
        <v>50</v>
      </c>
      <c r="B478" s="1"/>
      <c r="C478">
        <v>2001</v>
      </c>
      <c r="D478" t="s">
        <v>136</v>
      </c>
    </row>
    <row r="479" spans="1:4" x14ac:dyDescent="0.35">
      <c r="A479" s="1" t="s">
        <v>50</v>
      </c>
      <c r="B479" s="1"/>
      <c r="C479">
        <v>2002</v>
      </c>
      <c r="D479" t="s">
        <v>136</v>
      </c>
    </row>
    <row r="480" spans="1:4" x14ac:dyDescent="0.35">
      <c r="A480" s="1" t="s">
        <v>50</v>
      </c>
      <c r="B480" s="1"/>
      <c r="C480">
        <v>2003</v>
      </c>
      <c r="D480" t="s">
        <v>136</v>
      </c>
    </row>
    <row r="481" spans="1:4" x14ac:dyDescent="0.35">
      <c r="A481" s="1" t="s">
        <v>50</v>
      </c>
      <c r="B481" s="1"/>
      <c r="C481">
        <v>2004</v>
      </c>
      <c r="D481" t="s">
        <v>136</v>
      </c>
    </row>
    <row r="482" spans="1:4" x14ac:dyDescent="0.35">
      <c r="A482" s="1" t="s">
        <v>50</v>
      </c>
      <c r="B482" s="1"/>
      <c r="C482">
        <v>2005</v>
      </c>
      <c r="D482" t="s">
        <v>136</v>
      </c>
    </row>
    <row r="483" spans="1:4" x14ac:dyDescent="0.35">
      <c r="A483" s="1" t="s">
        <v>50</v>
      </c>
      <c r="B483" s="1"/>
      <c r="C483">
        <v>2006</v>
      </c>
      <c r="D483" t="s">
        <v>136</v>
      </c>
    </row>
    <row r="484" spans="1:4" x14ac:dyDescent="0.35">
      <c r="A484" s="1" t="s">
        <v>50</v>
      </c>
      <c r="B484" s="1"/>
      <c r="C484">
        <v>2007</v>
      </c>
      <c r="D484" t="s">
        <v>136</v>
      </c>
    </row>
    <row r="485" spans="1:4" x14ac:dyDescent="0.35">
      <c r="A485" s="1" t="s">
        <v>50</v>
      </c>
      <c r="B485" s="1"/>
      <c r="C485">
        <v>2008</v>
      </c>
      <c r="D485" t="s">
        <v>136</v>
      </c>
    </row>
    <row r="486" spans="1:4" x14ac:dyDescent="0.35">
      <c r="A486" s="1" t="s">
        <v>50</v>
      </c>
      <c r="B486" s="1"/>
      <c r="C486">
        <v>2009</v>
      </c>
      <c r="D486" t="s">
        <v>136</v>
      </c>
    </row>
    <row r="487" spans="1:4" x14ac:dyDescent="0.35">
      <c r="A487" s="1" t="s">
        <v>50</v>
      </c>
      <c r="B487" s="1"/>
      <c r="C487">
        <v>2010</v>
      </c>
      <c r="D487" t="s">
        <v>136</v>
      </c>
    </row>
    <row r="488" spans="1:4" x14ac:dyDescent="0.35">
      <c r="A488" s="1" t="s">
        <v>50</v>
      </c>
      <c r="B488" s="1"/>
      <c r="C488">
        <v>2011</v>
      </c>
      <c r="D488" t="s">
        <v>136</v>
      </c>
    </row>
    <row r="489" spans="1:4" x14ac:dyDescent="0.35">
      <c r="A489" s="1" t="s">
        <v>50</v>
      </c>
      <c r="B489" s="1"/>
      <c r="C489">
        <v>2012</v>
      </c>
      <c r="D489">
        <v>0.03</v>
      </c>
    </row>
    <row r="490" spans="1:4" x14ac:dyDescent="0.35">
      <c r="A490" s="1" t="s">
        <v>50</v>
      </c>
      <c r="B490" s="1"/>
      <c r="C490">
        <v>2013</v>
      </c>
      <c r="D490">
        <v>0.05</v>
      </c>
    </row>
    <row r="491" spans="1:4" x14ac:dyDescent="0.35">
      <c r="A491" s="1" t="s">
        <v>50</v>
      </c>
      <c r="B491" s="1"/>
      <c r="C491">
        <v>2014</v>
      </c>
      <c r="D491">
        <v>0.2</v>
      </c>
    </row>
    <row r="492" spans="1:4" x14ac:dyDescent="0.35">
      <c r="A492" s="1" t="s">
        <v>50</v>
      </c>
      <c r="B492" s="1"/>
      <c r="C492">
        <v>2015</v>
      </c>
      <c r="D492">
        <v>0.11</v>
      </c>
    </row>
    <row r="493" spans="1:4" x14ac:dyDescent="0.35">
      <c r="A493" s="1" t="s">
        <v>50</v>
      </c>
      <c r="B493" s="1"/>
      <c r="C493">
        <v>2016</v>
      </c>
      <c r="D493">
        <v>0.79</v>
      </c>
    </row>
    <row r="494" spans="1:4" x14ac:dyDescent="0.35">
      <c r="A494" s="1" t="s">
        <v>50</v>
      </c>
      <c r="B494" s="1"/>
      <c r="C494">
        <v>2017</v>
      </c>
      <c r="D494">
        <v>1.17</v>
      </c>
    </row>
    <row r="495" spans="1:4" x14ac:dyDescent="0.35">
      <c r="A495" s="1" t="s">
        <v>50</v>
      </c>
      <c r="B495" s="1"/>
      <c r="C495">
        <v>2018</v>
      </c>
      <c r="D495">
        <v>1.26</v>
      </c>
    </row>
    <row r="496" spans="1:4" x14ac:dyDescent="0.35">
      <c r="A496" s="1" t="s">
        <v>50</v>
      </c>
      <c r="B496" s="1"/>
      <c r="C496">
        <v>2019</v>
      </c>
      <c r="D496">
        <v>0.76</v>
      </c>
    </row>
    <row r="497" spans="1:4" x14ac:dyDescent="0.35">
      <c r="A497" s="1" t="s">
        <v>50</v>
      </c>
      <c r="B497" s="1"/>
      <c r="C497">
        <v>2020</v>
      </c>
      <c r="D497">
        <v>0.56000000000000005</v>
      </c>
    </row>
    <row r="498" spans="1:4" x14ac:dyDescent="0.35">
      <c r="A498" s="1" t="s">
        <v>50</v>
      </c>
      <c r="B498" s="1"/>
      <c r="C498">
        <v>2021</v>
      </c>
      <c r="D498">
        <v>35.93</v>
      </c>
    </row>
    <row r="499" spans="1:4" x14ac:dyDescent="0.35">
      <c r="A499" s="1" t="s">
        <v>50</v>
      </c>
      <c r="B499" s="1"/>
      <c r="C499">
        <v>2022</v>
      </c>
      <c r="D499">
        <v>35.39</v>
      </c>
    </row>
    <row r="500" spans="1:4" x14ac:dyDescent="0.35">
      <c r="A500" s="1" t="s">
        <v>50</v>
      </c>
      <c r="B500" s="1"/>
      <c r="C500">
        <v>2023</v>
      </c>
      <c r="D500">
        <v>35.03</v>
      </c>
    </row>
    <row r="501" spans="1:4" x14ac:dyDescent="0.35">
      <c r="A501" s="1" t="s">
        <v>50</v>
      </c>
      <c r="B501" s="1"/>
      <c r="C501">
        <v>2024</v>
      </c>
      <c r="D501" t="s">
        <v>136</v>
      </c>
    </row>
    <row r="502" spans="1:4" x14ac:dyDescent="0.35">
      <c r="A502" s="1" t="s">
        <v>137</v>
      </c>
      <c r="B502" s="1" t="s">
        <v>134</v>
      </c>
      <c r="C502">
        <v>2000</v>
      </c>
      <c r="D502">
        <v>16.940000000000001</v>
      </c>
    </row>
    <row r="503" spans="1:4" x14ac:dyDescent="0.35">
      <c r="A503" s="1" t="s">
        <v>137</v>
      </c>
      <c r="B503" s="1"/>
      <c r="C503">
        <v>2001</v>
      </c>
      <c r="D503">
        <v>16.940000000000001</v>
      </c>
    </row>
    <row r="504" spans="1:4" x14ac:dyDescent="0.35">
      <c r="A504" s="1" t="s">
        <v>137</v>
      </c>
      <c r="B504" s="1"/>
      <c r="C504">
        <v>2002</v>
      </c>
      <c r="D504">
        <v>17.11</v>
      </c>
    </row>
    <row r="505" spans="1:4" x14ac:dyDescent="0.35">
      <c r="A505" s="1" t="s">
        <v>137</v>
      </c>
      <c r="B505" s="1"/>
      <c r="C505">
        <v>2003</v>
      </c>
      <c r="D505">
        <v>15.54</v>
      </c>
    </row>
    <row r="506" spans="1:4" x14ac:dyDescent="0.35">
      <c r="A506" s="1" t="s">
        <v>137</v>
      </c>
      <c r="B506" s="1"/>
      <c r="C506">
        <v>2004</v>
      </c>
      <c r="D506">
        <v>15.38</v>
      </c>
    </row>
    <row r="507" spans="1:4" x14ac:dyDescent="0.35">
      <c r="A507" s="1" t="s">
        <v>137</v>
      </c>
      <c r="B507" s="1"/>
      <c r="C507">
        <v>2005</v>
      </c>
      <c r="D507">
        <v>14.19</v>
      </c>
    </row>
    <row r="508" spans="1:4" x14ac:dyDescent="0.35">
      <c r="A508" s="1" t="s">
        <v>137</v>
      </c>
      <c r="B508" s="1"/>
      <c r="C508">
        <v>2006</v>
      </c>
      <c r="D508">
        <v>13.6</v>
      </c>
    </row>
    <row r="509" spans="1:4" x14ac:dyDescent="0.35">
      <c r="A509" s="1" t="s">
        <v>137</v>
      </c>
      <c r="B509" s="1"/>
      <c r="C509">
        <v>2007</v>
      </c>
      <c r="D509">
        <v>13.61</v>
      </c>
    </row>
    <row r="510" spans="1:4" x14ac:dyDescent="0.35">
      <c r="A510" s="1" t="s">
        <v>137</v>
      </c>
      <c r="B510" s="1"/>
      <c r="C510">
        <v>2008</v>
      </c>
      <c r="D510">
        <v>13.47</v>
      </c>
    </row>
    <row r="511" spans="1:4" x14ac:dyDescent="0.35">
      <c r="A511" s="1" t="s">
        <v>137</v>
      </c>
      <c r="B511" s="1"/>
      <c r="C511">
        <v>2009</v>
      </c>
      <c r="D511">
        <v>13.01</v>
      </c>
    </row>
    <row r="512" spans="1:4" x14ac:dyDescent="0.35">
      <c r="A512" s="1" t="s">
        <v>137</v>
      </c>
      <c r="B512" s="1"/>
      <c r="C512">
        <v>2010</v>
      </c>
      <c r="D512">
        <v>12.42</v>
      </c>
    </row>
    <row r="513" spans="1:4" x14ac:dyDescent="0.35">
      <c r="A513" s="1" t="s">
        <v>137</v>
      </c>
      <c r="B513" s="1"/>
      <c r="C513">
        <v>2011</v>
      </c>
      <c r="D513">
        <v>11.63</v>
      </c>
    </row>
    <row r="514" spans="1:4" x14ac:dyDescent="0.35">
      <c r="A514" s="1" t="s">
        <v>137</v>
      </c>
      <c r="B514" s="1"/>
      <c r="C514">
        <v>2012</v>
      </c>
      <c r="D514">
        <v>10.99</v>
      </c>
    </row>
    <row r="515" spans="1:4" x14ac:dyDescent="0.35">
      <c r="A515" s="1" t="s">
        <v>137</v>
      </c>
      <c r="B515" s="1"/>
      <c r="C515">
        <v>2013</v>
      </c>
      <c r="D515">
        <v>10.58</v>
      </c>
    </row>
    <row r="516" spans="1:4" x14ac:dyDescent="0.35">
      <c r="A516" s="1" t="s">
        <v>137</v>
      </c>
      <c r="B516" s="1"/>
      <c r="C516">
        <v>2014</v>
      </c>
      <c r="D516">
        <v>10.58</v>
      </c>
    </row>
    <row r="517" spans="1:4" x14ac:dyDescent="0.35">
      <c r="A517" s="1" t="s">
        <v>137</v>
      </c>
      <c r="B517" s="1"/>
      <c r="C517">
        <v>2015</v>
      </c>
      <c r="D517">
        <v>10.36</v>
      </c>
    </row>
    <row r="518" spans="1:4" x14ac:dyDescent="0.35">
      <c r="A518" s="1" t="s">
        <v>137</v>
      </c>
      <c r="B518" s="1"/>
      <c r="C518">
        <v>2016</v>
      </c>
      <c r="D518">
        <v>9.4499999999999993</v>
      </c>
    </row>
    <row r="519" spans="1:4" x14ac:dyDescent="0.35">
      <c r="A519" s="1" t="s">
        <v>137</v>
      </c>
      <c r="B519" s="1"/>
      <c r="C519">
        <v>2017</v>
      </c>
      <c r="D519">
        <v>8.41</v>
      </c>
    </row>
    <row r="520" spans="1:4" x14ac:dyDescent="0.35">
      <c r="A520" s="1" t="s">
        <v>137</v>
      </c>
      <c r="B520" s="1"/>
      <c r="C520">
        <v>2018</v>
      </c>
      <c r="D520">
        <v>8.6</v>
      </c>
    </row>
    <row r="521" spans="1:4" x14ac:dyDescent="0.35">
      <c r="A521" s="1" t="s">
        <v>137</v>
      </c>
      <c r="B521" s="1"/>
      <c r="C521">
        <v>2019</v>
      </c>
      <c r="D521">
        <v>9.74</v>
      </c>
    </row>
    <row r="522" spans="1:4" x14ac:dyDescent="0.35">
      <c r="A522" s="1" t="s">
        <v>137</v>
      </c>
      <c r="B522" s="1"/>
      <c r="C522">
        <v>2020</v>
      </c>
      <c r="D522">
        <v>10.029999999999999</v>
      </c>
    </row>
    <row r="523" spans="1:4" x14ac:dyDescent="0.35">
      <c r="A523" s="1" t="s">
        <v>137</v>
      </c>
      <c r="B523" s="1"/>
      <c r="C523">
        <v>2021</v>
      </c>
      <c r="D523">
        <v>10.5</v>
      </c>
    </row>
    <row r="524" spans="1:4" x14ac:dyDescent="0.35">
      <c r="A524" s="1" t="s">
        <v>137</v>
      </c>
      <c r="B524" s="1"/>
      <c r="C524">
        <v>2022</v>
      </c>
      <c r="D524">
        <v>10.5</v>
      </c>
    </row>
    <row r="525" spans="1:4" x14ac:dyDescent="0.35">
      <c r="A525" s="1" t="s">
        <v>137</v>
      </c>
      <c r="B525" s="1"/>
      <c r="C525">
        <v>2023</v>
      </c>
      <c r="D525">
        <v>11.16</v>
      </c>
    </row>
    <row r="526" spans="1:4" x14ac:dyDescent="0.35">
      <c r="A526" s="1" t="s">
        <v>137</v>
      </c>
      <c r="B526" s="1"/>
      <c r="C526">
        <v>2024</v>
      </c>
      <c r="D526">
        <v>12.67</v>
      </c>
    </row>
    <row r="527" spans="1:4" x14ac:dyDescent="0.35">
      <c r="A527" s="1" t="s">
        <v>137</v>
      </c>
      <c r="B527" s="1" t="s">
        <v>135</v>
      </c>
      <c r="C527">
        <v>2000</v>
      </c>
      <c r="D527">
        <v>20.03</v>
      </c>
    </row>
    <row r="528" spans="1:4" x14ac:dyDescent="0.35">
      <c r="A528" s="1" t="s">
        <v>137</v>
      </c>
      <c r="B528" s="1"/>
      <c r="C528">
        <v>2001</v>
      </c>
      <c r="D528">
        <v>19.82</v>
      </c>
    </row>
    <row r="529" spans="1:4" x14ac:dyDescent="0.35">
      <c r="A529" s="1" t="s">
        <v>137</v>
      </c>
      <c r="B529" s="1"/>
      <c r="C529">
        <v>2002</v>
      </c>
      <c r="D529">
        <v>15.9</v>
      </c>
    </row>
    <row r="530" spans="1:4" x14ac:dyDescent="0.35">
      <c r="A530" s="1" t="s">
        <v>137</v>
      </c>
      <c r="B530" s="1"/>
      <c r="C530">
        <v>2003</v>
      </c>
      <c r="D530">
        <v>13.63</v>
      </c>
    </row>
    <row r="531" spans="1:4" x14ac:dyDescent="0.35">
      <c r="A531" s="1" t="s">
        <v>137</v>
      </c>
      <c r="B531" s="1"/>
      <c r="C531">
        <v>2004</v>
      </c>
      <c r="D531">
        <v>13.07</v>
      </c>
    </row>
    <row r="532" spans="1:4" x14ac:dyDescent="0.35">
      <c r="A532" s="1" t="s">
        <v>137</v>
      </c>
      <c r="B532" s="1"/>
      <c r="C532">
        <v>2005</v>
      </c>
      <c r="D532">
        <v>12.03</v>
      </c>
    </row>
    <row r="533" spans="1:4" x14ac:dyDescent="0.35">
      <c r="A533" s="1" t="s">
        <v>137</v>
      </c>
      <c r="B533" s="1"/>
      <c r="C533">
        <v>2006</v>
      </c>
      <c r="D533">
        <v>11.62</v>
      </c>
    </row>
    <row r="534" spans="1:4" x14ac:dyDescent="0.35">
      <c r="A534" s="1" t="s">
        <v>137</v>
      </c>
      <c r="B534" s="1"/>
      <c r="C534">
        <v>2007</v>
      </c>
      <c r="D534">
        <v>11.04</v>
      </c>
    </row>
    <row r="535" spans="1:4" x14ac:dyDescent="0.35">
      <c r="A535" s="1" t="s">
        <v>137</v>
      </c>
      <c r="B535" s="1"/>
      <c r="C535">
        <v>2008</v>
      </c>
      <c r="D535">
        <v>12.28</v>
      </c>
    </row>
    <row r="536" spans="1:4" x14ac:dyDescent="0.35">
      <c r="A536" s="1" t="s">
        <v>137</v>
      </c>
      <c r="B536" s="1"/>
      <c r="C536">
        <v>2009</v>
      </c>
      <c r="D536">
        <v>11.01</v>
      </c>
    </row>
    <row r="537" spans="1:4" x14ac:dyDescent="0.35">
      <c r="A537" s="1" t="s">
        <v>137</v>
      </c>
      <c r="B537" s="1"/>
      <c r="C537">
        <v>2010</v>
      </c>
      <c r="D537">
        <v>9.56</v>
      </c>
    </row>
    <row r="538" spans="1:4" x14ac:dyDescent="0.35">
      <c r="A538" s="1" t="s">
        <v>137</v>
      </c>
      <c r="B538" s="1"/>
      <c r="C538">
        <v>2011</v>
      </c>
      <c r="D538">
        <v>9.36</v>
      </c>
    </row>
    <row r="539" spans="1:4" x14ac:dyDescent="0.35">
      <c r="A539" s="1" t="s">
        <v>137</v>
      </c>
      <c r="B539" s="1"/>
      <c r="C539">
        <v>2012</v>
      </c>
      <c r="D539">
        <v>9.26</v>
      </c>
    </row>
    <row r="540" spans="1:4" x14ac:dyDescent="0.35">
      <c r="A540" s="1" t="s">
        <v>137</v>
      </c>
      <c r="B540" s="1"/>
      <c r="C540">
        <v>2013</v>
      </c>
      <c r="D540">
        <v>8.76</v>
      </c>
    </row>
    <row r="541" spans="1:4" x14ac:dyDescent="0.35">
      <c r="A541" s="1" t="s">
        <v>137</v>
      </c>
      <c r="B541" s="1"/>
      <c r="C541">
        <v>2014</v>
      </c>
      <c r="D541">
        <v>8.41</v>
      </c>
    </row>
    <row r="542" spans="1:4" x14ac:dyDescent="0.35">
      <c r="A542" s="1" t="s">
        <v>137</v>
      </c>
      <c r="B542" s="1"/>
      <c r="C542">
        <v>2015</v>
      </c>
      <c r="D542">
        <v>8.31</v>
      </c>
    </row>
    <row r="543" spans="1:4" x14ac:dyDescent="0.35">
      <c r="A543" s="1" t="s">
        <v>137</v>
      </c>
      <c r="B543" s="1"/>
      <c r="C543">
        <v>2016</v>
      </c>
      <c r="D543">
        <v>8.64</v>
      </c>
    </row>
    <row r="544" spans="1:4" x14ac:dyDescent="0.35">
      <c r="A544" s="1" t="s">
        <v>137</v>
      </c>
      <c r="B544" s="1"/>
      <c r="C544">
        <v>2017</v>
      </c>
      <c r="D544">
        <v>8.41</v>
      </c>
    </row>
    <row r="545" spans="1:4" x14ac:dyDescent="0.35">
      <c r="A545" s="1" t="s">
        <v>137</v>
      </c>
      <c r="B545" s="1"/>
      <c r="C545">
        <v>2018</v>
      </c>
      <c r="D545">
        <v>8.09</v>
      </c>
    </row>
    <row r="546" spans="1:4" x14ac:dyDescent="0.35">
      <c r="A546" s="1" t="s">
        <v>137</v>
      </c>
      <c r="B546" s="1"/>
      <c r="C546">
        <v>2019</v>
      </c>
      <c r="D546">
        <v>8.9700000000000006</v>
      </c>
    </row>
    <row r="547" spans="1:4" x14ac:dyDescent="0.35">
      <c r="A547" s="1" t="s">
        <v>137</v>
      </c>
      <c r="B547" s="1"/>
      <c r="C547">
        <v>2020</v>
      </c>
      <c r="D547">
        <v>12.18</v>
      </c>
    </row>
    <row r="548" spans="1:4" x14ac:dyDescent="0.35">
      <c r="A548" s="1" t="s">
        <v>137</v>
      </c>
      <c r="B548" s="1"/>
      <c r="C548">
        <v>2021</v>
      </c>
      <c r="D548">
        <v>12.31</v>
      </c>
    </row>
    <row r="549" spans="1:4" x14ac:dyDescent="0.35">
      <c r="A549" s="1" t="s">
        <v>137</v>
      </c>
      <c r="B549" s="1"/>
      <c r="C549">
        <v>2022</v>
      </c>
      <c r="D549">
        <v>12.23</v>
      </c>
    </row>
    <row r="550" spans="1:4" x14ac:dyDescent="0.35">
      <c r="A550" s="1" t="s">
        <v>137</v>
      </c>
      <c r="B550" s="1"/>
      <c r="C550">
        <v>2023</v>
      </c>
      <c r="D550">
        <v>11.79</v>
      </c>
    </row>
    <row r="551" spans="1:4" x14ac:dyDescent="0.35">
      <c r="A551" s="1" t="s">
        <v>137</v>
      </c>
      <c r="B551" s="1"/>
      <c r="C551">
        <v>2024</v>
      </c>
      <c r="D551" t="s">
        <v>136</v>
      </c>
    </row>
    <row r="552" spans="1:4" x14ac:dyDescent="0.35">
      <c r="A552" s="1" t="s">
        <v>67</v>
      </c>
      <c r="B552" s="1" t="s">
        <v>134</v>
      </c>
      <c r="C552">
        <v>2000</v>
      </c>
      <c r="D552">
        <v>15.64</v>
      </c>
    </row>
    <row r="553" spans="1:4" x14ac:dyDescent="0.35">
      <c r="A553" s="1" t="s">
        <v>67</v>
      </c>
      <c r="B553" s="1"/>
      <c r="C553">
        <v>2001</v>
      </c>
      <c r="D553">
        <v>15.64</v>
      </c>
    </row>
    <row r="554" spans="1:4" x14ac:dyDescent="0.35">
      <c r="A554" s="1" t="s">
        <v>67</v>
      </c>
      <c r="B554" s="1"/>
      <c r="C554">
        <v>2002</v>
      </c>
      <c r="D554">
        <v>15.64</v>
      </c>
    </row>
    <row r="555" spans="1:4" x14ac:dyDescent="0.35">
      <c r="A555" s="1" t="s">
        <v>67</v>
      </c>
      <c r="B555" s="1"/>
      <c r="C555">
        <v>2003</v>
      </c>
      <c r="D555">
        <v>15.64</v>
      </c>
    </row>
    <row r="556" spans="1:4" x14ac:dyDescent="0.35">
      <c r="A556" s="1" t="s">
        <v>67</v>
      </c>
      <c r="B556" s="1"/>
      <c r="C556">
        <v>2004</v>
      </c>
      <c r="D556">
        <v>15.64</v>
      </c>
    </row>
    <row r="557" spans="1:4" x14ac:dyDescent="0.35">
      <c r="A557" s="1" t="s">
        <v>67</v>
      </c>
      <c r="B557" s="1"/>
      <c r="C557">
        <v>2005</v>
      </c>
      <c r="D557">
        <v>15.64</v>
      </c>
    </row>
    <row r="558" spans="1:4" x14ac:dyDescent="0.35">
      <c r="A558" s="1" t="s">
        <v>67</v>
      </c>
      <c r="B558" s="1"/>
      <c r="C558">
        <v>2006</v>
      </c>
      <c r="D558">
        <v>15.64</v>
      </c>
    </row>
    <row r="559" spans="1:4" x14ac:dyDescent="0.35">
      <c r="A559" s="1" t="s">
        <v>67</v>
      </c>
      <c r="B559" s="1"/>
      <c r="C559">
        <v>2007</v>
      </c>
      <c r="D559">
        <v>9.36</v>
      </c>
    </row>
    <row r="560" spans="1:4" x14ac:dyDescent="0.35">
      <c r="A560" s="1" t="s">
        <v>67</v>
      </c>
      <c r="B560" s="1"/>
      <c r="C560">
        <v>2008</v>
      </c>
      <c r="D560">
        <v>9.36</v>
      </c>
    </row>
    <row r="561" spans="1:4" x14ac:dyDescent="0.35">
      <c r="A561" s="1" t="s">
        <v>67</v>
      </c>
      <c r="B561" s="1"/>
      <c r="C561">
        <v>2009</v>
      </c>
      <c r="D561">
        <v>9.36</v>
      </c>
    </row>
    <row r="562" spans="1:4" x14ac:dyDescent="0.35">
      <c r="A562" s="1" t="s">
        <v>67</v>
      </c>
      <c r="B562" s="1"/>
      <c r="C562">
        <v>2010</v>
      </c>
      <c r="D562">
        <v>7.02</v>
      </c>
    </row>
    <row r="563" spans="1:4" x14ac:dyDescent="0.35">
      <c r="A563" s="1" t="s">
        <v>67</v>
      </c>
      <c r="B563" s="1"/>
      <c r="C563">
        <v>2011</v>
      </c>
      <c r="D563">
        <v>7.02</v>
      </c>
    </row>
    <row r="564" spans="1:4" x14ac:dyDescent="0.35">
      <c r="A564" s="1" t="s">
        <v>67</v>
      </c>
      <c r="B564" s="1"/>
      <c r="C564">
        <v>2012</v>
      </c>
      <c r="D564">
        <v>36.11</v>
      </c>
    </row>
    <row r="565" spans="1:4" x14ac:dyDescent="0.35">
      <c r="A565" s="1" t="s">
        <v>67</v>
      </c>
      <c r="B565" s="1"/>
      <c r="C565">
        <v>2013</v>
      </c>
      <c r="D565">
        <v>36.11</v>
      </c>
    </row>
    <row r="566" spans="1:4" x14ac:dyDescent="0.35">
      <c r="A566" s="1" t="s">
        <v>67</v>
      </c>
      <c r="B566" s="1"/>
      <c r="C566">
        <v>2014</v>
      </c>
      <c r="D566">
        <v>36.11</v>
      </c>
    </row>
    <row r="567" spans="1:4" x14ac:dyDescent="0.35">
      <c r="A567" s="1" t="s">
        <v>67</v>
      </c>
      <c r="B567" s="1"/>
      <c r="C567">
        <v>2015</v>
      </c>
      <c r="D567">
        <v>36.11</v>
      </c>
    </row>
    <row r="568" spans="1:4" x14ac:dyDescent="0.35">
      <c r="A568" s="1" t="s">
        <v>67</v>
      </c>
      <c r="B568" s="1"/>
      <c r="C568">
        <v>2016</v>
      </c>
      <c r="D568">
        <v>33.81</v>
      </c>
    </row>
    <row r="569" spans="1:4" x14ac:dyDescent="0.35">
      <c r="A569" s="1" t="s">
        <v>67</v>
      </c>
      <c r="B569" s="1"/>
      <c r="C569">
        <v>2017</v>
      </c>
      <c r="D569">
        <v>31.79</v>
      </c>
    </row>
    <row r="570" spans="1:4" x14ac:dyDescent="0.35">
      <c r="A570" s="1" t="s">
        <v>67</v>
      </c>
      <c r="B570" s="1"/>
      <c r="C570">
        <v>2018</v>
      </c>
      <c r="D570">
        <v>31.76</v>
      </c>
    </row>
    <row r="571" spans="1:4" x14ac:dyDescent="0.35">
      <c r="A571" s="1" t="s">
        <v>67</v>
      </c>
      <c r="B571" s="1"/>
      <c r="C571">
        <v>2019</v>
      </c>
      <c r="D571">
        <v>31.75</v>
      </c>
    </row>
    <row r="572" spans="1:4" x14ac:dyDescent="0.35">
      <c r="A572" s="1" t="s">
        <v>67</v>
      </c>
      <c r="B572" s="1"/>
      <c r="C572">
        <v>2020</v>
      </c>
      <c r="D572">
        <v>31.75</v>
      </c>
    </row>
    <row r="573" spans="1:4" x14ac:dyDescent="0.35">
      <c r="A573" s="1" t="s">
        <v>67</v>
      </c>
      <c r="B573" s="1"/>
      <c r="C573">
        <v>2021</v>
      </c>
      <c r="D573">
        <v>31.73</v>
      </c>
    </row>
    <row r="574" spans="1:4" x14ac:dyDescent="0.35">
      <c r="A574" s="1" t="s">
        <v>67</v>
      </c>
      <c r="B574" s="1"/>
      <c r="C574">
        <v>2022</v>
      </c>
      <c r="D574">
        <v>31.7</v>
      </c>
    </row>
    <row r="575" spans="1:4" x14ac:dyDescent="0.35">
      <c r="A575" s="1" t="s">
        <v>67</v>
      </c>
      <c r="B575" s="1"/>
      <c r="C575">
        <v>2023</v>
      </c>
      <c r="D575">
        <v>31.7</v>
      </c>
    </row>
    <row r="576" spans="1:4" x14ac:dyDescent="0.35">
      <c r="A576" s="1" t="s">
        <v>67</v>
      </c>
      <c r="B576" s="1"/>
      <c r="C576">
        <v>2024</v>
      </c>
      <c r="D576">
        <v>31.7</v>
      </c>
    </row>
    <row r="577" spans="1:4" x14ac:dyDescent="0.35">
      <c r="A577" s="1" t="s">
        <v>67</v>
      </c>
      <c r="B577" s="1" t="s">
        <v>135</v>
      </c>
      <c r="C577">
        <v>2000</v>
      </c>
      <c r="D577">
        <v>13.92</v>
      </c>
    </row>
    <row r="578" spans="1:4" x14ac:dyDescent="0.35">
      <c r="A578" s="1" t="s">
        <v>67</v>
      </c>
      <c r="B578" s="1"/>
      <c r="C578">
        <v>2001</v>
      </c>
      <c r="D578">
        <v>41.94</v>
      </c>
    </row>
    <row r="579" spans="1:4" x14ac:dyDescent="0.35">
      <c r="A579" s="1" t="s">
        <v>67</v>
      </c>
      <c r="B579" s="1"/>
      <c r="C579">
        <v>2002</v>
      </c>
      <c r="D579">
        <v>41.94</v>
      </c>
    </row>
    <row r="580" spans="1:4" x14ac:dyDescent="0.35">
      <c r="A580" s="1" t="s">
        <v>67</v>
      </c>
      <c r="B580" s="1"/>
      <c r="C580">
        <v>2003</v>
      </c>
      <c r="D580">
        <v>39.39</v>
      </c>
    </row>
    <row r="581" spans="1:4" x14ac:dyDescent="0.35">
      <c r="A581" s="1" t="s">
        <v>67</v>
      </c>
      <c r="B581" s="1"/>
      <c r="C581">
        <v>2004</v>
      </c>
      <c r="D581">
        <v>31.97</v>
      </c>
    </row>
    <row r="582" spans="1:4" x14ac:dyDescent="0.35">
      <c r="A582" s="1" t="s">
        <v>67</v>
      </c>
      <c r="B582" s="1"/>
      <c r="C582">
        <v>2005</v>
      </c>
      <c r="D582">
        <v>30.23</v>
      </c>
    </row>
    <row r="583" spans="1:4" x14ac:dyDescent="0.35">
      <c r="A583" s="1" t="s">
        <v>67</v>
      </c>
      <c r="B583" s="1"/>
      <c r="C583">
        <v>2006</v>
      </c>
      <c r="D583">
        <v>27.46</v>
      </c>
    </row>
    <row r="584" spans="1:4" x14ac:dyDescent="0.35">
      <c r="A584" s="1" t="s">
        <v>67</v>
      </c>
      <c r="B584" s="1"/>
      <c r="C584">
        <v>2007</v>
      </c>
      <c r="D584">
        <v>24.53</v>
      </c>
    </row>
    <row r="585" spans="1:4" x14ac:dyDescent="0.35">
      <c r="A585" s="1" t="s">
        <v>67</v>
      </c>
      <c r="B585" s="1"/>
      <c r="C585">
        <v>2008</v>
      </c>
      <c r="D585">
        <v>8.81</v>
      </c>
    </row>
    <row r="586" spans="1:4" x14ac:dyDescent="0.35">
      <c r="A586" s="1" t="s">
        <v>67</v>
      </c>
      <c r="B586" s="1"/>
      <c r="C586">
        <v>2009</v>
      </c>
      <c r="D586">
        <v>7.69</v>
      </c>
    </row>
    <row r="587" spans="1:4" x14ac:dyDescent="0.35">
      <c r="A587" s="1" t="s">
        <v>67</v>
      </c>
      <c r="B587" s="1"/>
      <c r="C587">
        <v>2010</v>
      </c>
      <c r="D587">
        <v>6.84</v>
      </c>
    </row>
    <row r="588" spans="1:4" x14ac:dyDescent="0.35">
      <c r="A588" s="1" t="s">
        <v>67</v>
      </c>
      <c r="B588" s="1"/>
      <c r="C588">
        <v>2011</v>
      </c>
      <c r="D588">
        <v>4.91</v>
      </c>
    </row>
    <row r="589" spans="1:4" x14ac:dyDescent="0.35">
      <c r="A589" s="1" t="s">
        <v>67</v>
      </c>
      <c r="B589" s="1"/>
      <c r="C589">
        <v>2012</v>
      </c>
      <c r="D589">
        <v>12.67</v>
      </c>
    </row>
    <row r="590" spans="1:4" x14ac:dyDescent="0.35">
      <c r="A590" s="1" t="s">
        <v>67</v>
      </c>
      <c r="B590" s="1"/>
      <c r="C590">
        <v>2013</v>
      </c>
      <c r="D590">
        <v>17.5</v>
      </c>
    </row>
    <row r="591" spans="1:4" x14ac:dyDescent="0.35">
      <c r="A591" s="1" t="s">
        <v>67</v>
      </c>
      <c r="B591" s="1"/>
      <c r="C591">
        <v>2014</v>
      </c>
      <c r="D591">
        <v>38.56</v>
      </c>
    </row>
    <row r="592" spans="1:4" x14ac:dyDescent="0.35">
      <c r="A592" s="1" t="s">
        <v>67</v>
      </c>
      <c r="B592" s="1"/>
      <c r="C592">
        <v>2015</v>
      </c>
      <c r="D592">
        <v>35.950000000000003</v>
      </c>
    </row>
    <row r="593" spans="1:4" x14ac:dyDescent="0.35">
      <c r="A593" s="1" t="s">
        <v>67</v>
      </c>
      <c r="B593" s="1"/>
      <c r="C593">
        <v>2016</v>
      </c>
      <c r="D593">
        <v>33.700000000000003</v>
      </c>
    </row>
    <row r="594" spans="1:4" x14ac:dyDescent="0.35">
      <c r="A594" s="1" t="s">
        <v>67</v>
      </c>
      <c r="B594" s="1"/>
      <c r="C594">
        <v>2017</v>
      </c>
      <c r="D594">
        <v>32.86</v>
      </c>
    </row>
    <row r="595" spans="1:4" x14ac:dyDescent="0.35">
      <c r="A595" s="1" t="s">
        <v>67</v>
      </c>
      <c r="B595" s="1"/>
      <c r="C595">
        <v>2018</v>
      </c>
      <c r="D595">
        <v>32.72</v>
      </c>
    </row>
    <row r="596" spans="1:4" x14ac:dyDescent="0.35">
      <c r="A596" s="1" t="s">
        <v>67</v>
      </c>
      <c r="B596" s="1"/>
      <c r="C596">
        <v>2019</v>
      </c>
      <c r="D596">
        <v>45.72</v>
      </c>
    </row>
    <row r="597" spans="1:4" x14ac:dyDescent="0.35">
      <c r="A597" s="1" t="s">
        <v>67</v>
      </c>
      <c r="B597" s="1"/>
      <c r="C597">
        <v>2020</v>
      </c>
      <c r="D597">
        <v>45.23</v>
      </c>
    </row>
    <row r="598" spans="1:4" x14ac:dyDescent="0.35">
      <c r="A598" s="1" t="s">
        <v>67</v>
      </c>
      <c r="B598" s="1"/>
      <c r="C598">
        <v>2021</v>
      </c>
      <c r="D598">
        <v>43.67</v>
      </c>
    </row>
    <row r="599" spans="1:4" x14ac:dyDescent="0.35">
      <c r="A599" s="1" t="s">
        <v>67</v>
      </c>
      <c r="B599" s="1"/>
      <c r="C599">
        <v>2022</v>
      </c>
      <c r="D599">
        <v>43.22</v>
      </c>
    </row>
    <row r="600" spans="1:4" x14ac:dyDescent="0.35">
      <c r="A600" s="1" t="s">
        <v>67</v>
      </c>
      <c r="B600" s="1"/>
      <c r="C600">
        <v>2023</v>
      </c>
      <c r="D600">
        <v>34.49</v>
      </c>
    </row>
    <row r="601" spans="1:4" x14ac:dyDescent="0.35">
      <c r="A601" s="1" t="s">
        <v>67</v>
      </c>
      <c r="B601" s="1"/>
      <c r="C601">
        <v>2024</v>
      </c>
      <c r="D601" t="s">
        <v>136</v>
      </c>
    </row>
    <row r="602" spans="1:4" x14ac:dyDescent="0.35">
      <c r="A602" s="1" t="s">
        <v>55</v>
      </c>
      <c r="B602" s="1" t="s">
        <v>134</v>
      </c>
      <c r="C602">
        <v>2000</v>
      </c>
      <c r="D602" t="s">
        <v>136</v>
      </c>
    </row>
    <row r="603" spans="1:4" x14ac:dyDescent="0.35">
      <c r="A603" s="1" t="s">
        <v>55</v>
      </c>
      <c r="B603" s="1"/>
      <c r="C603">
        <v>2001</v>
      </c>
      <c r="D603" t="s">
        <v>136</v>
      </c>
    </row>
    <row r="604" spans="1:4" x14ac:dyDescent="0.35">
      <c r="A604" s="1" t="s">
        <v>55</v>
      </c>
      <c r="B604" s="1"/>
      <c r="C604">
        <v>2002</v>
      </c>
      <c r="D604" t="s">
        <v>136</v>
      </c>
    </row>
    <row r="605" spans="1:4" x14ac:dyDescent="0.35">
      <c r="A605" s="1" t="s">
        <v>55</v>
      </c>
      <c r="B605" s="1"/>
      <c r="C605">
        <v>2003</v>
      </c>
      <c r="D605" t="s">
        <v>136</v>
      </c>
    </row>
    <row r="606" spans="1:4" x14ac:dyDescent="0.35">
      <c r="A606" s="1" t="s">
        <v>55</v>
      </c>
      <c r="B606" s="1"/>
      <c r="C606">
        <v>2004</v>
      </c>
      <c r="D606" t="s">
        <v>136</v>
      </c>
    </row>
    <row r="607" spans="1:4" x14ac:dyDescent="0.35">
      <c r="A607" s="1" t="s">
        <v>55</v>
      </c>
      <c r="B607" s="1"/>
      <c r="C607">
        <v>2005</v>
      </c>
      <c r="D607" t="s">
        <v>136</v>
      </c>
    </row>
    <row r="608" spans="1:4" x14ac:dyDescent="0.35">
      <c r="A608" s="1" t="s">
        <v>55</v>
      </c>
      <c r="B608" s="1"/>
      <c r="C608">
        <v>2006</v>
      </c>
      <c r="D608" t="s">
        <v>136</v>
      </c>
    </row>
    <row r="609" spans="1:4" x14ac:dyDescent="0.35">
      <c r="A609" s="1" t="s">
        <v>55</v>
      </c>
      <c r="B609" s="1"/>
      <c r="C609">
        <v>2007</v>
      </c>
      <c r="D609">
        <v>0.5</v>
      </c>
    </row>
    <row r="610" spans="1:4" x14ac:dyDescent="0.35">
      <c r="A610" s="1" t="s">
        <v>55</v>
      </c>
      <c r="B610" s="1"/>
      <c r="C610">
        <v>2008</v>
      </c>
      <c r="D610">
        <v>0.59</v>
      </c>
    </row>
    <row r="611" spans="1:4" x14ac:dyDescent="0.35">
      <c r="A611" s="1" t="s">
        <v>55</v>
      </c>
      <c r="B611" s="1"/>
      <c r="C611">
        <v>2009</v>
      </c>
      <c r="D611">
        <v>0.59</v>
      </c>
    </row>
    <row r="612" spans="1:4" x14ac:dyDescent="0.35">
      <c r="A612" s="1" t="s">
        <v>55</v>
      </c>
      <c r="B612" s="1"/>
      <c r="C612">
        <v>2010</v>
      </c>
      <c r="D612">
        <v>0.59</v>
      </c>
    </row>
    <row r="613" spans="1:4" x14ac:dyDescent="0.35">
      <c r="A613" s="1" t="s">
        <v>55</v>
      </c>
      <c r="B613" s="1"/>
      <c r="C613">
        <v>2011</v>
      </c>
      <c r="D613">
        <v>0.59</v>
      </c>
    </row>
    <row r="614" spans="1:4" x14ac:dyDescent="0.35">
      <c r="A614" s="1" t="s">
        <v>55</v>
      </c>
      <c r="B614" s="1"/>
      <c r="C614">
        <v>2012</v>
      </c>
      <c r="D614">
        <v>0.61</v>
      </c>
    </row>
    <row r="615" spans="1:4" x14ac:dyDescent="0.35">
      <c r="A615" s="1" t="s">
        <v>55</v>
      </c>
      <c r="B615" s="1"/>
      <c r="C615">
        <v>2013</v>
      </c>
      <c r="D615">
        <v>0.61</v>
      </c>
    </row>
    <row r="616" spans="1:4" x14ac:dyDescent="0.35">
      <c r="A616" s="1" t="s">
        <v>55</v>
      </c>
      <c r="B616" s="1"/>
      <c r="C616">
        <v>2014</v>
      </c>
      <c r="D616">
        <v>5.88</v>
      </c>
    </row>
    <row r="617" spans="1:4" x14ac:dyDescent="0.35">
      <c r="A617" s="1" t="s">
        <v>55</v>
      </c>
      <c r="B617" s="1"/>
      <c r="C617">
        <v>2015</v>
      </c>
      <c r="D617">
        <v>5.18</v>
      </c>
    </row>
    <row r="618" spans="1:4" x14ac:dyDescent="0.35">
      <c r="A618" s="1" t="s">
        <v>55</v>
      </c>
      <c r="B618" s="1"/>
      <c r="C618">
        <v>2016</v>
      </c>
      <c r="D618">
        <v>5.83</v>
      </c>
    </row>
    <row r="619" spans="1:4" x14ac:dyDescent="0.35">
      <c r="A619" s="1" t="s">
        <v>55</v>
      </c>
      <c r="B619" s="1"/>
      <c r="C619">
        <v>2017</v>
      </c>
      <c r="D619">
        <v>10.55</v>
      </c>
    </row>
    <row r="620" spans="1:4" x14ac:dyDescent="0.35">
      <c r="A620" s="1" t="s">
        <v>55</v>
      </c>
      <c r="B620" s="1"/>
      <c r="C620">
        <v>2018</v>
      </c>
      <c r="D620">
        <v>11.47</v>
      </c>
    </row>
    <row r="621" spans="1:4" x14ac:dyDescent="0.35">
      <c r="A621" s="1" t="s">
        <v>55</v>
      </c>
      <c r="B621" s="1"/>
      <c r="C621">
        <v>2019</v>
      </c>
      <c r="D621">
        <v>11.49</v>
      </c>
    </row>
    <row r="622" spans="1:4" x14ac:dyDescent="0.35">
      <c r="A622" s="1" t="s">
        <v>55</v>
      </c>
      <c r="B622" s="1"/>
      <c r="C622">
        <v>2020</v>
      </c>
      <c r="D622">
        <v>11.49</v>
      </c>
    </row>
    <row r="623" spans="1:4" x14ac:dyDescent="0.35">
      <c r="A623" s="1" t="s">
        <v>55</v>
      </c>
      <c r="B623" s="1"/>
      <c r="C623">
        <v>2021</v>
      </c>
      <c r="D623">
        <v>11.19</v>
      </c>
    </row>
    <row r="624" spans="1:4" x14ac:dyDescent="0.35">
      <c r="A624" s="1" t="s">
        <v>55</v>
      </c>
      <c r="B624" s="1"/>
      <c r="C624">
        <v>2022</v>
      </c>
      <c r="D624">
        <v>11.06</v>
      </c>
    </row>
    <row r="625" spans="1:4" x14ac:dyDescent="0.35">
      <c r="A625" s="1" t="s">
        <v>55</v>
      </c>
      <c r="B625" s="1"/>
      <c r="C625">
        <v>2023</v>
      </c>
      <c r="D625">
        <v>11.06</v>
      </c>
    </row>
    <row r="626" spans="1:4" x14ac:dyDescent="0.35">
      <c r="A626" s="1" t="s">
        <v>55</v>
      </c>
      <c r="B626" s="1"/>
      <c r="C626">
        <v>2024</v>
      </c>
      <c r="D626">
        <v>11.06</v>
      </c>
    </row>
    <row r="627" spans="1:4" x14ac:dyDescent="0.35">
      <c r="A627" s="1" t="s">
        <v>55</v>
      </c>
      <c r="B627" s="1" t="s">
        <v>135</v>
      </c>
      <c r="C627">
        <v>2000</v>
      </c>
      <c r="D627" t="s">
        <v>136</v>
      </c>
    </row>
    <row r="628" spans="1:4" x14ac:dyDescent="0.35">
      <c r="A628" s="1" t="s">
        <v>55</v>
      </c>
      <c r="B628" s="1"/>
      <c r="C628">
        <v>2001</v>
      </c>
      <c r="D628" t="s">
        <v>136</v>
      </c>
    </row>
    <row r="629" spans="1:4" x14ac:dyDescent="0.35">
      <c r="A629" s="1" t="s">
        <v>55</v>
      </c>
      <c r="B629" s="1"/>
      <c r="C629">
        <v>2002</v>
      </c>
      <c r="D629" t="s">
        <v>136</v>
      </c>
    </row>
    <row r="630" spans="1:4" x14ac:dyDescent="0.35">
      <c r="A630" s="1" t="s">
        <v>55</v>
      </c>
      <c r="B630" s="1"/>
      <c r="C630">
        <v>2003</v>
      </c>
      <c r="D630" t="s">
        <v>136</v>
      </c>
    </row>
    <row r="631" spans="1:4" x14ac:dyDescent="0.35">
      <c r="A631" s="1" t="s">
        <v>55</v>
      </c>
      <c r="B631" s="1"/>
      <c r="C631">
        <v>2004</v>
      </c>
      <c r="D631" t="s">
        <v>136</v>
      </c>
    </row>
    <row r="632" spans="1:4" x14ac:dyDescent="0.35">
      <c r="A632" s="1" t="s">
        <v>55</v>
      </c>
      <c r="B632" s="1"/>
      <c r="C632">
        <v>2005</v>
      </c>
      <c r="D632" t="s">
        <v>136</v>
      </c>
    </row>
    <row r="633" spans="1:4" x14ac:dyDescent="0.35">
      <c r="A633" s="1" t="s">
        <v>55</v>
      </c>
      <c r="B633" s="1"/>
      <c r="C633">
        <v>2006</v>
      </c>
      <c r="D633" t="s">
        <v>136</v>
      </c>
    </row>
    <row r="634" spans="1:4" x14ac:dyDescent="0.35">
      <c r="A634" s="1" t="s">
        <v>55</v>
      </c>
      <c r="B634" s="1"/>
      <c r="C634">
        <v>2007</v>
      </c>
      <c r="D634">
        <v>7.0000000000000007E-2</v>
      </c>
    </row>
    <row r="635" spans="1:4" x14ac:dyDescent="0.35">
      <c r="A635" s="1" t="s">
        <v>55</v>
      </c>
      <c r="B635" s="1"/>
      <c r="C635">
        <v>2008</v>
      </c>
      <c r="D635">
        <v>0.67</v>
      </c>
    </row>
    <row r="636" spans="1:4" x14ac:dyDescent="0.35">
      <c r="A636" s="1" t="s">
        <v>55</v>
      </c>
      <c r="B636" s="1"/>
      <c r="C636">
        <v>2009</v>
      </c>
      <c r="D636">
        <v>0.66</v>
      </c>
    </row>
    <row r="637" spans="1:4" x14ac:dyDescent="0.35">
      <c r="A637" s="1" t="s">
        <v>55</v>
      </c>
      <c r="B637" s="1"/>
      <c r="C637">
        <v>2010</v>
      </c>
      <c r="D637">
        <v>0.63</v>
      </c>
    </row>
    <row r="638" spans="1:4" x14ac:dyDescent="0.35">
      <c r="A638" s="1" t="s">
        <v>55</v>
      </c>
      <c r="B638" s="1"/>
      <c r="C638">
        <v>2011</v>
      </c>
      <c r="D638">
        <v>0.62</v>
      </c>
    </row>
    <row r="639" spans="1:4" x14ac:dyDescent="0.35">
      <c r="A639" s="1" t="s">
        <v>55</v>
      </c>
      <c r="B639" s="1"/>
      <c r="C639">
        <v>2012</v>
      </c>
      <c r="D639">
        <v>0.64</v>
      </c>
    </row>
    <row r="640" spans="1:4" x14ac:dyDescent="0.35">
      <c r="A640" s="1" t="s">
        <v>55</v>
      </c>
      <c r="B640" s="1"/>
      <c r="C640">
        <v>2013</v>
      </c>
      <c r="D640">
        <v>0.75</v>
      </c>
    </row>
    <row r="641" spans="1:4" x14ac:dyDescent="0.35">
      <c r="A641" s="1" t="s">
        <v>55</v>
      </c>
      <c r="B641" s="1"/>
      <c r="C641">
        <v>2014</v>
      </c>
      <c r="D641">
        <v>5.89</v>
      </c>
    </row>
    <row r="642" spans="1:4" x14ac:dyDescent="0.35">
      <c r="A642" s="1" t="s">
        <v>55</v>
      </c>
      <c r="B642" s="1"/>
      <c r="C642">
        <v>2015</v>
      </c>
      <c r="D642">
        <v>6.06</v>
      </c>
    </row>
    <row r="643" spans="1:4" x14ac:dyDescent="0.35">
      <c r="A643" s="1" t="s">
        <v>55</v>
      </c>
      <c r="B643" s="1"/>
      <c r="C643">
        <v>2016</v>
      </c>
      <c r="D643">
        <v>6.68</v>
      </c>
    </row>
    <row r="644" spans="1:4" x14ac:dyDescent="0.35">
      <c r="A644" s="1" t="s">
        <v>55</v>
      </c>
      <c r="B644" s="1"/>
      <c r="C644">
        <v>2017</v>
      </c>
      <c r="D644">
        <v>12.4</v>
      </c>
    </row>
    <row r="645" spans="1:4" x14ac:dyDescent="0.35">
      <c r="A645" s="1" t="s">
        <v>55</v>
      </c>
      <c r="B645" s="1"/>
      <c r="C645">
        <v>2018</v>
      </c>
      <c r="D645">
        <v>13.02</v>
      </c>
    </row>
    <row r="646" spans="1:4" x14ac:dyDescent="0.35">
      <c r="A646" s="1" t="s">
        <v>55</v>
      </c>
      <c r="B646" s="1"/>
      <c r="C646">
        <v>2019</v>
      </c>
      <c r="D646">
        <v>12.71</v>
      </c>
    </row>
    <row r="647" spans="1:4" x14ac:dyDescent="0.35">
      <c r="A647" s="1" t="s">
        <v>55</v>
      </c>
      <c r="B647" s="1"/>
      <c r="C647">
        <v>2020</v>
      </c>
      <c r="D647">
        <v>12.37</v>
      </c>
    </row>
    <row r="648" spans="1:4" x14ac:dyDescent="0.35">
      <c r="A648" s="1" t="s">
        <v>55</v>
      </c>
      <c r="B648" s="1"/>
      <c r="C648">
        <v>2021</v>
      </c>
      <c r="D648">
        <v>11.75</v>
      </c>
    </row>
    <row r="649" spans="1:4" x14ac:dyDescent="0.35">
      <c r="A649" s="1" t="s">
        <v>55</v>
      </c>
      <c r="B649" s="1"/>
      <c r="C649">
        <v>2022</v>
      </c>
      <c r="D649">
        <v>11.16</v>
      </c>
    </row>
    <row r="650" spans="1:4" x14ac:dyDescent="0.35">
      <c r="A650" s="1" t="s">
        <v>55</v>
      </c>
      <c r="B650" s="1"/>
      <c r="C650">
        <v>2023</v>
      </c>
      <c r="D650">
        <v>11.16</v>
      </c>
    </row>
    <row r="651" spans="1:4" x14ac:dyDescent="0.35">
      <c r="A651" s="1" t="s">
        <v>55</v>
      </c>
      <c r="B651" s="1"/>
      <c r="C651">
        <v>2024</v>
      </c>
      <c r="D651" t="s">
        <v>136</v>
      </c>
    </row>
    <row r="652" spans="1:4" x14ac:dyDescent="0.35">
      <c r="A652" s="1" t="s">
        <v>109</v>
      </c>
      <c r="B652" s="1" t="s">
        <v>134</v>
      </c>
      <c r="C652">
        <v>2000</v>
      </c>
      <c r="D652">
        <v>91.3</v>
      </c>
    </row>
    <row r="653" spans="1:4" x14ac:dyDescent="0.35">
      <c r="A653" s="1" t="s">
        <v>109</v>
      </c>
      <c r="B653" s="1"/>
      <c r="C653">
        <v>2001</v>
      </c>
      <c r="D653">
        <v>91.3</v>
      </c>
    </row>
    <row r="654" spans="1:4" x14ac:dyDescent="0.35">
      <c r="A654" s="1" t="s">
        <v>109</v>
      </c>
      <c r="B654" s="1"/>
      <c r="C654">
        <v>2002</v>
      </c>
      <c r="D654">
        <v>91.3</v>
      </c>
    </row>
    <row r="655" spans="1:4" x14ac:dyDescent="0.35">
      <c r="A655" s="1" t="s">
        <v>109</v>
      </c>
      <c r="B655" s="1"/>
      <c r="C655">
        <v>2003</v>
      </c>
      <c r="D655">
        <v>91.3</v>
      </c>
    </row>
    <row r="656" spans="1:4" x14ac:dyDescent="0.35">
      <c r="A656" s="1" t="s">
        <v>109</v>
      </c>
      <c r="B656" s="1"/>
      <c r="C656">
        <v>2004</v>
      </c>
      <c r="D656">
        <v>91.3</v>
      </c>
    </row>
    <row r="657" spans="1:4" x14ac:dyDescent="0.35">
      <c r="A657" s="1" t="s">
        <v>109</v>
      </c>
      <c r="B657" s="1"/>
      <c r="C657">
        <v>2005</v>
      </c>
      <c r="D657">
        <v>91.3</v>
      </c>
    </row>
    <row r="658" spans="1:4" x14ac:dyDescent="0.35">
      <c r="A658" s="1" t="s">
        <v>109</v>
      </c>
      <c r="B658" s="1"/>
      <c r="C658">
        <v>2006</v>
      </c>
      <c r="D658">
        <v>91.3</v>
      </c>
    </row>
    <row r="659" spans="1:4" x14ac:dyDescent="0.35">
      <c r="A659" s="1" t="s">
        <v>109</v>
      </c>
      <c r="B659" s="1"/>
      <c r="C659">
        <v>2007</v>
      </c>
      <c r="D659">
        <v>91.3</v>
      </c>
    </row>
    <row r="660" spans="1:4" x14ac:dyDescent="0.35">
      <c r="A660" s="1" t="s">
        <v>109</v>
      </c>
      <c r="B660" s="1"/>
      <c r="C660">
        <v>2008</v>
      </c>
      <c r="D660">
        <v>92.59</v>
      </c>
    </row>
    <row r="661" spans="1:4" x14ac:dyDescent="0.35">
      <c r="A661" s="1" t="s">
        <v>109</v>
      </c>
      <c r="B661" s="1"/>
      <c r="C661">
        <v>2009</v>
      </c>
      <c r="D661">
        <v>92.59</v>
      </c>
    </row>
    <row r="662" spans="1:4" x14ac:dyDescent="0.35">
      <c r="A662" s="1" t="s">
        <v>109</v>
      </c>
      <c r="B662" s="1"/>
      <c r="C662">
        <v>2010</v>
      </c>
      <c r="D662">
        <v>92.59</v>
      </c>
    </row>
    <row r="663" spans="1:4" x14ac:dyDescent="0.35">
      <c r="A663" s="1" t="s">
        <v>109</v>
      </c>
      <c r="B663" s="1"/>
      <c r="C663">
        <v>2011</v>
      </c>
      <c r="D663">
        <v>94.93</v>
      </c>
    </row>
    <row r="664" spans="1:4" x14ac:dyDescent="0.35">
      <c r="A664" s="1" t="s">
        <v>109</v>
      </c>
      <c r="B664" s="1"/>
      <c r="C664">
        <v>2012</v>
      </c>
      <c r="D664">
        <v>94.93</v>
      </c>
    </row>
    <row r="665" spans="1:4" x14ac:dyDescent="0.35">
      <c r="A665" s="1" t="s">
        <v>109</v>
      </c>
      <c r="B665" s="1"/>
      <c r="C665">
        <v>2013</v>
      </c>
      <c r="D665">
        <v>94.93</v>
      </c>
    </row>
    <row r="666" spans="1:4" x14ac:dyDescent="0.35">
      <c r="A666" s="1" t="s">
        <v>109</v>
      </c>
      <c r="B666" s="1"/>
      <c r="C666">
        <v>2014</v>
      </c>
      <c r="D666">
        <v>94.44</v>
      </c>
    </row>
    <row r="667" spans="1:4" x14ac:dyDescent="0.35">
      <c r="A667" s="1" t="s">
        <v>109</v>
      </c>
      <c r="B667" s="1"/>
      <c r="C667">
        <v>2015</v>
      </c>
      <c r="D667">
        <v>94.44</v>
      </c>
    </row>
    <row r="668" spans="1:4" x14ac:dyDescent="0.35">
      <c r="A668" s="1" t="s">
        <v>109</v>
      </c>
      <c r="B668" s="1"/>
      <c r="C668">
        <v>2016</v>
      </c>
      <c r="D668">
        <v>94.45</v>
      </c>
    </row>
    <row r="669" spans="1:4" x14ac:dyDescent="0.35">
      <c r="A669" s="1" t="s">
        <v>109</v>
      </c>
      <c r="B669" s="1"/>
      <c r="C669">
        <v>2017</v>
      </c>
      <c r="D669">
        <v>94.45</v>
      </c>
    </row>
    <row r="670" spans="1:4" x14ac:dyDescent="0.35">
      <c r="A670" s="1" t="s">
        <v>109</v>
      </c>
      <c r="B670" s="1"/>
      <c r="C670">
        <v>2018</v>
      </c>
      <c r="D670">
        <v>94.45</v>
      </c>
    </row>
    <row r="671" spans="1:4" x14ac:dyDescent="0.35">
      <c r="A671" s="1" t="s">
        <v>109</v>
      </c>
      <c r="B671" s="1"/>
      <c r="C671">
        <v>2019</v>
      </c>
      <c r="D671">
        <v>94.45</v>
      </c>
    </row>
    <row r="672" spans="1:4" x14ac:dyDescent="0.35">
      <c r="A672" s="1" t="s">
        <v>109</v>
      </c>
      <c r="B672" s="1"/>
      <c r="C672">
        <v>2020</v>
      </c>
      <c r="D672">
        <v>94.45</v>
      </c>
    </row>
    <row r="673" spans="1:4" x14ac:dyDescent="0.35">
      <c r="A673" s="1" t="s">
        <v>109</v>
      </c>
      <c r="B673" s="1"/>
      <c r="C673">
        <v>2021</v>
      </c>
      <c r="D673">
        <v>94.74</v>
      </c>
    </row>
    <row r="674" spans="1:4" x14ac:dyDescent="0.35">
      <c r="A674" s="1" t="s">
        <v>109</v>
      </c>
      <c r="B674" s="1"/>
      <c r="C674">
        <v>2022</v>
      </c>
      <c r="D674">
        <v>94.74</v>
      </c>
    </row>
    <row r="675" spans="1:4" x14ac:dyDescent="0.35">
      <c r="A675" s="1" t="s">
        <v>109</v>
      </c>
      <c r="B675" s="1"/>
      <c r="C675">
        <v>2023</v>
      </c>
      <c r="D675">
        <v>95.23</v>
      </c>
    </row>
    <row r="676" spans="1:4" x14ac:dyDescent="0.35">
      <c r="A676" s="1" t="s">
        <v>109</v>
      </c>
      <c r="B676" s="1"/>
      <c r="C676">
        <v>2024</v>
      </c>
      <c r="D676">
        <v>95.23</v>
      </c>
    </row>
    <row r="677" spans="1:4" x14ac:dyDescent="0.35">
      <c r="A677" s="1" t="s">
        <v>109</v>
      </c>
      <c r="B677" s="1" t="s">
        <v>135</v>
      </c>
      <c r="C677">
        <v>2000</v>
      </c>
      <c r="D677">
        <v>97.72</v>
      </c>
    </row>
    <row r="678" spans="1:4" x14ac:dyDescent="0.35">
      <c r="A678" s="1" t="s">
        <v>109</v>
      </c>
      <c r="B678" s="1"/>
      <c r="C678">
        <v>2001</v>
      </c>
      <c r="D678">
        <v>97.85</v>
      </c>
    </row>
    <row r="679" spans="1:4" x14ac:dyDescent="0.35">
      <c r="A679" s="1" t="s">
        <v>109</v>
      </c>
      <c r="B679" s="1"/>
      <c r="C679">
        <v>2002</v>
      </c>
      <c r="D679">
        <v>97.91</v>
      </c>
    </row>
    <row r="680" spans="1:4" x14ac:dyDescent="0.35">
      <c r="A680" s="1" t="s">
        <v>109</v>
      </c>
      <c r="B680" s="1"/>
      <c r="C680">
        <v>2003</v>
      </c>
      <c r="D680">
        <v>97.99</v>
      </c>
    </row>
    <row r="681" spans="1:4" x14ac:dyDescent="0.35">
      <c r="A681" s="1" t="s">
        <v>109</v>
      </c>
      <c r="B681" s="1"/>
      <c r="C681">
        <v>2004</v>
      </c>
      <c r="D681">
        <v>98.05</v>
      </c>
    </row>
    <row r="682" spans="1:4" x14ac:dyDescent="0.35">
      <c r="A682" s="1" t="s">
        <v>109</v>
      </c>
      <c r="B682" s="1"/>
      <c r="C682">
        <v>2005</v>
      </c>
      <c r="D682">
        <v>97.99</v>
      </c>
    </row>
    <row r="683" spans="1:4" x14ac:dyDescent="0.35">
      <c r="A683" s="1" t="s">
        <v>109</v>
      </c>
      <c r="B683" s="1"/>
      <c r="C683">
        <v>2006</v>
      </c>
      <c r="D683">
        <v>98.13</v>
      </c>
    </row>
    <row r="684" spans="1:4" x14ac:dyDescent="0.35">
      <c r="A684" s="1" t="s">
        <v>109</v>
      </c>
      <c r="B684" s="1"/>
      <c r="C684">
        <v>2007</v>
      </c>
      <c r="D684">
        <v>98.27</v>
      </c>
    </row>
    <row r="685" spans="1:4" x14ac:dyDescent="0.35">
      <c r="A685" s="1" t="s">
        <v>109</v>
      </c>
      <c r="B685" s="1"/>
      <c r="C685">
        <v>2008</v>
      </c>
      <c r="D685">
        <v>98.19</v>
      </c>
    </row>
    <row r="686" spans="1:4" x14ac:dyDescent="0.35">
      <c r="A686" s="1" t="s">
        <v>109</v>
      </c>
      <c r="B686" s="1"/>
      <c r="C686">
        <v>2009</v>
      </c>
      <c r="D686">
        <v>98.38</v>
      </c>
    </row>
    <row r="687" spans="1:4" x14ac:dyDescent="0.35">
      <c r="A687" s="1" t="s">
        <v>109</v>
      </c>
      <c r="B687" s="1"/>
      <c r="C687">
        <v>2010</v>
      </c>
      <c r="D687">
        <v>98.45</v>
      </c>
    </row>
    <row r="688" spans="1:4" x14ac:dyDescent="0.35">
      <c r="A688" s="1" t="s">
        <v>109</v>
      </c>
      <c r="B688" s="1"/>
      <c r="C688">
        <v>2011</v>
      </c>
      <c r="D688">
        <v>98.6</v>
      </c>
    </row>
    <row r="689" spans="1:4" x14ac:dyDescent="0.35">
      <c r="A689" s="1" t="s">
        <v>109</v>
      </c>
      <c r="B689" s="1"/>
      <c r="C689">
        <v>2012</v>
      </c>
      <c r="D689">
        <v>98.6</v>
      </c>
    </row>
    <row r="690" spans="1:4" x14ac:dyDescent="0.35">
      <c r="A690" s="1" t="s">
        <v>109</v>
      </c>
      <c r="B690" s="1"/>
      <c r="C690">
        <v>2013</v>
      </c>
      <c r="D690">
        <v>98.48</v>
      </c>
    </row>
    <row r="691" spans="1:4" x14ac:dyDescent="0.35">
      <c r="A691" s="1" t="s">
        <v>109</v>
      </c>
      <c r="B691" s="1"/>
      <c r="C691">
        <v>2014</v>
      </c>
      <c r="D691">
        <v>98.6</v>
      </c>
    </row>
    <row r="692" spans="1:4" x14ac:dyDescent="0.35">
      <c r="A692" s="1" t="s">
        <v>109</v>
      </c>
      <c r="B692" s="1"/>
      <c r="C692">
        <v>2015</v>
      </c>
      <c r="D692">
        <v>98.49</v>
      </c>
    </row>
    <row r="693" spans="1:4" x14ac:dyDescent="0.35">
      <c r="A693" s="1" t="s">
        <v>109</v>
      </c>
      <c r="B693" s="1"/>
      <c r="C693">
        <v>2016</v>
      </c>
      <c r="D693">
        <v>98.09</v>
      </c>
    </row>
    <row r="694" spans="1:4" x14ac:dyDescent="0.35">
      <c r="A694" s="1" t="s">
        <v>109</v>
      </c>
      <c r="B694" s="1"/>
      <c r="C694">
        <v>2017</v>
      </c>
      <c r="D694">
        <v>97.9</v>
      </c>
    </row>
    <row r="695" spans="1:4" x14ac:dyDescent="0.35">
      <c r="A695" s="1" t="s">
        <v>109</v>
      </c>
      <c r="B695" s="1"/>
      <c r="C695">
        <v>2018</v>
      </c>
      <c r="D695">
        <v>98.3</v>
      </c>
    </row>
    <row r="696" spans="1:4" x14ac:dyDescent="0.35">
      <c r="A696" s="1" t="s">
        <v>109</v>
      </c>
      <c r="B696" s="1"/>
      <c r="C696">
        <v>2019</v>
      </c>
      <c r="D696">
        <v>98.45</v>
      </c>
    </row>
    <row r="697" spans="1:4" x14ac:dyDescent="0.35">
      <c r="A697" s="1" t="s">
        <v>109</v>
      </c>
      <c r="B697" s="1"/>
      <c r="C697">
        <v>2020</v>
      </c>
      <c r="D697">
        <v>98.48</v>
      </c>
    </row>
    <row r="698" spans="1:4" x14ac:dyDescent="0.35">
      <c r="A698" s="1" t="s">
        <v>109</v>
      </c>
      <c r="B698" s="1"/>
      <c r="C698">
        <v>2021</v>
      </c>
      <c r="D698">
        <v>98.6</v>
      </c>
    </row>
    <row r="699" spans="1:4" x14ac:dyDescent="0.35">
      <c r="A699" s="1" t="s">
        <v>109</v>
      </c>
      <c r="B699" s="1"/>
      <c r="C699">
        <v>2022</v>
      </c>
      <c r="D699">
        <v>98.71</v>
      </c>
    </row>
    <row r="700" spans="1:4" x14ac:dyDescent="0.35">
      <c r="A700" s="1" t="s">
        <v>109</v>
      </c>
      <c r="B700" s="1"/>
      <c r="C700">
        <v>2023</v>
      </c>
      <c r="D700">
        <v>98.99</v>
      </c>
    </row>
    <row r="701" spans="1:4" x14ac:dyDescent="0.35">
      <c r="A701" s="1" t="s">
        <v>109</v>
      </c>
      <c r="B701" s="1"/>
      <c r="C701">
        <v>2024</v>
      </c>
      <c r="D701" t="s">
        <v>136</v>
      </c>
    </row>
    <row r="702" spans="1:4" x14ac:dyDescent="0.35">
      <c r="A702" s="1" t="s">
        <v>57</v>
      </c>
      <c r="B702" s="1" t="s">
        <v>134</v>
      </c>
      <c r="C702">
        <v>2000</v>
      </c>
      <c r="D702">
        <v>71.62</v>
      </c>
    </row>
    <row r="703" spans="1:4" x14ac:dyDescent="0.35">
      <c r="A703" s="1" t="s">
        <v>57</v>
      </c>
      <c r="B703" s="1"/>
      <c r="C703">
        <v>2001</v>
      </c>
      <c r="D703">
        <v>69.5</v>
      </c>
    </row>
    <row r="704" spans="1:4" x14ac:dyDescent="0.35">
      <c r="A704" s="1" t="s">
        <v>57</v>
      </c>
      <c r="B704" s="1"/>
      <c r="C704">
        <v>2002</v>
      </c>
      <c r="D704">
        <v>70.98</v>
      </c>
    </row>
    <row r="705" spans="1:4" x14ac:dyDescent="0.35">
      <c r="A705" s="1" t="s">
        <v>57</v>
      </c>
      <c r="B705" s="1"/>
      <c r="C705">
        <v>2003</v>
      </c>
      <c r="D705">
        <v>78.88</v>
      </c>
    </row>
    <row r="706" spans="1:4" x14ac:dyDescent="0.35">
      <c r="A706" s="1" t="s">
        <v>57</v>
      </c>
      <c r="B706" s="1"/>
      <c r="C706">
        <v>2004</v>
      </c>
      <c r="D706">
        <v>78.61</v>
      </c>
    </row>
    <row r="707" spans="1:4" x14ac:dyDescent="0.35">
      <c r="A707" s="1" t="s">
        <v>57</v>
      </c>
      <c r="B707" s="1"/>
      <c r="C707">
        <v>2005</v>
      </c>
      <c r="D707">
        <v>78.599999999999994</v>
      </c>
    </row>
    <row r="708" spans="1:4" x14ac:dyDescent="0.35">
      <c r="A708" s="1" t="s">
        <v>57</v>
      </c>
      <c r="B708" s="1"/>
      <c r="C708">
        <v>2006</v>
      </c>
      <c r="D708">
        <v>78.55</v>
      </c>
    </row>
    <row r="709" spans="1:4" x14ac:dyDescent="0.35">
      <c r="A709" s="1" t="s">
        <v>57</v>
      </c>
      <c r="B709" s="1"/>
      <c r="C709">
        <v>2007</v>
      </c>
      <c r="D709">
        <v>82.44</v>
      </c>
    </row>
    <row r="710" spans="1:4" x14ac:dyDescent="0.35">
      <c r="A710" s="1" t="s">
        <v>57</v>
      </c>
      <c r="B710" s="1"/>
      <c r="C710">
        <v>2008</v>
      </c>
      <c r="D710">
        <v>78.08</v>
      </c>
    </row>
    <row r="711" spans="1:4" x14ac:dyDescent="0.35">
      <c r="A711" s="1" t="s">
        <v>57</v>
      </c>
      <c r="B711" s="1"/>
      <c r="C711">
        <v>2009</v>
      </c>
      <c r="D711">
        <v>88.45</v>
      </c>
    </row>
    <row r="712" spans="1:4" x14ac:dyDescent="0.35">
      <c r="A712" s="1" t="s">
        <v>57</v>
      </c>
      <c r="B712" s="1"/>
      <c r="C712">
        <v>2010</v>
      </c>
      <c r="D712">
        <v>93.65</v>
      </c>
    </row>
    <row r="713" spans="1:4" x14ac:dyDescent="0.35">
      <c r="A713" s="1" t="s">
        <v>57</v>
      </c>
      <c r="B713" s="1"/>
      <c r="C713">
        <v>2011</v>
      </c>
      <c r="D713">
        <v>91.67</v>
      </c>
    </row>
    <row r="714" spans="1:4" x14ac:dyDescent="0.35">
      <c r="A714" s="1" t="s">
        <v>57</v>
      </c>
      <c r="B714" s="1"/>
      <c r="C714">
        <v>2012</v>
      </c>
      <c r="D714">
        <v>91.67</v>
      </c>
    </row>
    <row r="715" spans="1:4" x14ac:dyDescent="0.35">
      <c r="A715" s="1" t="s">
        <v>57</v>
      </c>
      <c r="B715" s="1"/>
      <c r="C715">
        <v>2013</v>
      </c>
      <c r="D715">
        <v>92.13</v>
      </c>
    </row>
    <row r="716" spans="1:4" x14ac:dyDescent="0.35">
      <c r="A716" s="1" t="s">
        <v>57</v>
      </c>
      <c r="B716" s="1"/>
      <c r="C716">
        <v>2014</v>
      </c>
      <c r="D716">
        <v>92.15</v>
      </c>
    </row>
    <row r="717" spans="1:4" x14ac:dyDescent="0.35">
      <c r="A717" s="1" t="s">
        <v>57</v>
      </c>
      <c r="B717" s="1"/>
      <c r="C717">
        <v>2015</v>
      </c>
      <c r="D717">
        <v>94.82</v>
      </c>
    </row>
    <row r="718" spans="1:4" x14ac:dyDescent="0.35">
      <c r="A718" s="1" t="s">
        <v>57</v>
      </c>
      <c r="B718" s="1"/>
      <c r="C718">
        <v>2016</v>
      </c>
      <c r="D718">
        <v>96.39</v>
      </c>
    </row>
    <row r="719" spans="1:4" x14ac:dyDescent="0.35">
      <c r="A719" s="1" t="s">
        <v>57</v>
      </c>
      <c r="B719" s="1"/>
      <c r="C719">
        <v>2017</v>
      </c>
      <c r="D719">
        <v>97.78</v>
      </c>
    </row>
    <row r="720" spans="1:4" x14ac:dyDescent="0.35">
      <c r="A720" s="1" t="s">
        <v>57</v>
      </c>
      <c r="B720" s="1"/>
      <c r="C720">
        <v>2018</v>
      </c>
      <c r="D720">
        <v>98.08</v>
      </c>
    </row>
    <row r="721" spans="1:4" x14ac:dyDescent="0.35">
      <c r="A721" s="1" t="s">
        <v>57</v>
      </c>
      <c r="B721" s="1"/>
      <c r="C721">
        <v>2019</v>
      </c>
      <c r="D721">
        <v>97.72</v>
      </c>
    </row>
    <row r="722" spans="1:4" x14ac:dyDescent="0.35">
      <c r="A722" s="1" t="s">
        <v>57</v>
      </c>
      <c r="B722" s="1"/>
      <c r="C722">
        <v>2020</v>
      </c>
      <c r="D722">
        <v>97.84</v>
      </c>
    </row>
    <row r="723" spans="1:4" x14ac:dyDescent="0.35">
      <c r="A723" s="1" t="s">
        <v>57</v>
      </c>
      <c r="B723" s="1"/>
      <c r="C723">
        <v>2021</v>
      </c>
      <c r="D723">
        <v>97.86</v>
      </c>
    </row>
    <row r="724" spans="1:4" x14ac:dyDescent="0.35">
      <c r="A724" s="1" t="s">
        <v>57</v>
      </c>
      <c r="B724" s="1"/>
      <c r="C724">
        <v>2022</v>
      </c>
      <c r="D724">
        <v>98.17</v>
      </c>
    </row>
    <row r="725" spans="1:4" x14ac:dyDescent="0.35">
      <c r="A725" s="1" t="s">
        <v>57</v>
      </c>
      <c r="B725" s="1"/>
      <c r="C725">
        <v>2023</v>
      </c>
      <c r="D725">
        <v>98.25</v>
      </c>
    </row>
    <row r="726" spans="1:4" x14ac:dyDescent="0.35">
      <c r="A726" s="1" t="s">
        <v>57</v>
      </c>
      <c r="B726" s="1"/>
      <c r="C726">
        <v>2024</v>
      </c>
      <c r="D726">
        <v>98.37</v>
      </c>
    </row>
    <row r="727" spans="1:4" x14ac:dyDescent="0.35">
      <c r="A727" s="1" t="s">
        <v>57</v>
      </c>
      <c r="B727" s="1" t="s">
        <v>135</v>
      </c>
      <c r="C727">
        <v>2000</v>
      </c>
      <c r="D727">
        <v>98.68</v>
      </c>
    </row>
    <row r="728" spans="1:4" x14ac:dyDescent="0.35">
      <c r="A728" s="1" t="s">
        <v>57</v>
      </c>
      <c r="B728" s="1"/>
      <c r="C728">
        <v>2001</v>
      </c>
      <c r="D728">
        <v>99.18</v>
      </c>
    </row>
    <row r="729" spans="1:4" x14ac:dyDescent="0.35">
      <c r="A729" s="1" t="s">
        <v>57</v>
      </c>
      <c r="B729" s="1"/>
      <c r="C729">
        <v>2002</v>
      </c>
      <c r="D729">
        <v>99.09</v>
      </c>
    </row>
    <row r="730" spans="1:4" x14ac:dyDescent="0.35">
      <c r="A730" s="1" t="s">
        <v>57</v>
      </c>
      <c r="B730" s="1"/>
      <c r="C730">
        <v>2003</v>
      </c>
      <c r="D730">
        <v>99.32</v>
      </c>
    </row>
    <row r="731" spans="1:4" x14ac:dyDescent="0.35">
      <c r="A731" s="1" t="s">
        <v>57</v>
      </c>
      <c r="B731" s="1"/>
      <c r="C731">
        <v>2004</v>
      </c>
      <c r="D731">
        <v>99.31</v>
      </c>
    </row>
    <row r="732" spans="1:4" x14ac:dyDescent="0.35">
      <c r="A732" s="1" t="s">
        <v>57</v>
      </c>
      <c r="B732" s="1"/>
      <c r="C732">
        <v>2005</v>
      </c>
      <c r="D732">
        <v>99.59</v>
      </c>
    </row>
    <row r="733" spans="1:4" x14ac:dyDescent="0.35">
      <c r="A733" s="1" t="s">
        <v>57</v>
      </c>
      <c r="B733" s="1"/>
      <c r="C733">
        <v>2006</v>
      </c>
      <c r="D733">
        <v>99.7</v>
      </c>
    </row>
    <row r="734" spans="1:4" x14ac:dyDescent="0.35">
      <c r="A734" s="1" t="s">
        <v>57</v>
      </c>
      <c r="B734" s="1"/>
      <c r="C734">
        <v>2007</v>
      </c>
      <c r="D734">
        <v>95.49</v>
      </c>
    </row>
    <row r="735" spans="1:4" x14ac:dyDescent="0.35">
      <c r="A735" s="1" t="s">
        <v>57</v>
      </c>
      <c r="B735" s="1"/>
      <c r="C735">
        <v>2008</v>
      </c>
      <c r="D735">
        <v>87.64</v>
      </c>
    </row>
    <row r="736" spans="1:4" x14ac:dyDescent="0.35">
      <c r="A736" s="1" t="s">
        <v>57</v>
      </c>
      <c r="B736" s="1"/>
      <c r="C736">
        <v>2009</v>
      </c>
      <c r="D736">
        <v>88.9</v>
      </c>
    </row>
    <row r="737" spans="1:4" x14ac:dyDescent="0.35">
      <c r="A737" s="1" t="s">
        <v>57</v>
      </c>
      <c r="B737" s="1"/>
      <c r="C737">
        <v>2010</v>
      </c>
      <c r="D737">
        <v>99.38</v>
      </c>
    </row>
    <row r="738" spans="1:4" x14ac:dyDescent="0.35">
      <c r="A738" s="1" t="s">
        <v>57</v>
      </c>
      <c r="B738" s="1"/>
      <c r="C738">
        <v>2011</v>
      </c>
      <c r="D738">
        <v>99.42</v>
      </c>
    </row>
    <row r="739" spans="1:4" x14ac:dyDescent="0.35">
      <c r="A739" s="1" t="s">
        <v>57</v>
      </c>
      <c r="B739" s="1"/>
      <c r="C739">
        <v>2012</v>
      </c>
      <c r="D739">
        <v>99.84</v>
      </c>
    </row>
    <row r="740" spans="1:4" x14ac:dyDescent="0.35">
      <c r="A740" s="1" t="s">
        <v>57</v>
      </c>
      <c r="B740" s="1"/>
      <c r="C740">
        <v>2013</v>
      </c>
      <c r="D740">
        <v>99.91</v>
      </c>
    </row>
    <row r="741" spans="1:4" x14ac:dyDescent="0.35">
      <c r="A741" s="1" t="s">
        <v>57</v>
      </c>
      <c r="B741" s="1"/>
      <c r="C741">
        <v>2014</v>
      </c>
      <c r="D741">
        <v>99.96</v>
      </c>
    </row>
    <row r="742" spans="1:4" x14ac:dyDescent="0.35">
      <c r="A742" s="1" t="s">
        <v>57</v>
      </c>
      <c r="B742" s="1"/>
      <c r="C742">
        <v>2015</v>
      </c>
      <c r="D742">
        <v>99.97</v>
      </c>
    </row>
    <row r="743" spans="1:4" x14ac:dyDescent="0.35">
      <c r="A743" s="1" t="s">
        <v>57</v>
      </c>
      <c r="B743" s="1"/>
      <c r="C743">
        <v>2016</v>
      </c>
      <c r="D743">
        <v>99.99</v>
      </c>
    </row>
    <row r="744" spans="1:4" x14ac:dyDescent="0.35">
      <c r="A744" s="1" t="s">
        <v>57</v>
      </c>
      <c r="B744" s="1"/>
      <c r="C744">
        <v>2017</v>
      </c>
      <c r="D744">
        <v>99.99</v>
      </c>
    </row>
    <row r="745" spans="1:4" x14ac:dyDescent="0.35">
      <c r="A745" s="1" t="s">
        <v>57</v>
      </c>
      <c r="B745" s="1"/>
      <c r="C745">
        <v>2018</v>
      </c>
      <c r="D745">
        <v>100</v>
      </c>
    </row>
    <row r="746" spans="1:4" x14ac:dyDescent="0.35">
      <c r="A746" s="1" t="s">
        <v>57</v>
      </c>
      <c r="B746" s="1"/>
      <c r="C746">
        <v>2019</v>
      </c>
      <c r="D746">
        <v>100</v>
      </c>
    </row>
    <row r="747" spans="1:4" x14ac:dyDescent="0.35">
      <c r="A747" s="1" t="s">
        <v>57</v>
      </c>
      <c r="B747" s="1"/>
      <c r="C747">
        <v>2020</v>
      </c>
      <c r="D747">
        <v>100</v>
      </c>
    </row>
    <row r="748" spans="1:4" x14ac:dyDescent="0.35">
      <c r="A748" s="1" t="s">
        <v>57</v>
      </c>
      <c r="B748" s="1"/>
      <c r="C748">
        <v>2021</v>
      </c>
      <c r="D748">
        <v>100</v>
      </c>
    </row>
    <row r="749" spans="1:4" x14ac:dyDescent="0.35">
      <c r="A749" s="1" t="s">
        <v>57</v>
      </c>
      <c r="B749" s="1"/>
      <c r="C749">
        <v>2022</v>
      </c>
      <c r="D749">
        <v>100</v>
      </c>
    </row>
    <row r="750" spans="1:4" x14ac:dyDescent="0.35">
      <c r="A750" s="1" t="s">
        <v>57</v>
      </c>
      <c r="B750" s="1"/>
      <c r="C750">
        <v>2023</v>
      </c>
      <c r="D750">
        <v>100</v>
      </c>
    </row>
    <row r="751" spans="1:4" x14ac:dyDescent="0.35">
      <c r="A751" s="1" t="s">
        <v>57</v>
      </c>
      <c r="B751" s="1"/>
      <c r="C751">
        <v>2024</v>
      </c>
      <c r="D751" t="s">
        <v>136</v>
      </c>
    </row>
    <row r="752" spans="1:4" x14ac:dyDescent="0.35">
      <c r="A752" s="1" t="s">
        <v>59</v>
      </c>
      <c r="B752" s="1" t="s">
        <v>134</v>
      </c>
      <c r="C752">
        <v>2000</v>
      </c>
      <c r="D752">
        <v>49.72</v>
      </c>
    </row>
    <row r="753" spans="1:4" x14ac:dyDescent="0.35">
      <c r="A753" s="1" t="s">
        <v>59</v>
      </c>
      <c r="B753" s="1"/>
      <c r="C753">
        <v>2001</v>
      </c>
      <c r="D753">
        <v>49.72</v>
      </c>
    </row>
    <row r="754" spans="1:4" x14ac:dyDescent="0.35">
      <c r="A754" s="1" t="s">
        <v>59</v>
      </c>
      <c r="B754" s="1"/>
      <c r="C754">
        <v>2002</v>
      </c>
      <c r="D754">
        <v>49.94</v>
      </c>
    </row>
    <row r="755" spans="1:4" x14ac:dyDescent="0.35">
      <c r="A755" s="1" t="s">
        <v>59</v>
      </c>
      <c r="B755" s="1"/>
      <c r="C755">
        <v>2003</v>
      </c>
      <c r="D755">
        <v>49.36</v>
      </c>
    </row>
    <row r="756" spans="1:4" x14ac:dyDescent="0.35">
      <c r="A756" s="1" t="s">
        <v>59</v>
      </c>
      <c r="B756" s="1"/>
      <c r="C756">
        <v>2004</v>
      </c>
      <c r="D756">
        <v>49.36</v>
      </c>
    </row>
    <row r="757" spans="1:4" x14ac:dyDescent="0.35">
      <c r="A757" s="1" t="s">
        <v>59</v>
      </c>
      <c r="B757" s="1"/>
      <c r="C757">
        <v>2005</v>
      </c>
      <c r="D757">
        <v>49.5</v>
      </c>
    </row>
    <row r="758" spans="1:4" x14ac:dyDescent="0.35">
      <c r="A758" s="1" t="s">
        <v>59</v>
      </c>
      <c r="B758" s="1"/>
      <c r="C758">
        <v>2006</v>
      </c>
      <c r="D758">
        <v>49.22</v>
      </c>
    </row>
    <row r="759" spans="1:4" x14ac:dyDescent="0.35">
      <c r="A759" s="1" t="s">
        <v>59</v>
      </c>
      <c r="B759" s="1"/>
      <c r="C759">
        <v>2007</v>
      </c>
      <c r="D759">
        <v>44.82</v>
      </c>
    </row>
    <row r="760" spans="1:4" x14ac:dyDescent="0.35">
      <c r="A760" s="1" t="s">
        <v>59</v>
      </c>
      <c r="B760" s="1"/>
      <c r="C760">
        <v>2008</v>
      </c>
      <c r="D760">
        <v>45.54</v>
      </c>
    </row>
    <row r="761" spans="1:4" x14ac:dyDescent="0.35">
      <c r="A761" s="1" t="s">
        <v>59</v>
      </c>
      <c r="B761" s="1"/>
      <c r="C761">
        <v>2009</v>
      </c>
      <c r="D761">
        <v>45.66</v>
      </c>
    </row>
    <row r="762" spans="1:4" x14ac:dyDescent="0.35">
      <c r="A762" s="1" t="s">
        <v>59</v>
      </c>
      <c r="B762" s="1"/>
      <c r="C762">
        <v>2010</v>
      </c>
      <c r="D762">
        <v>43.02</v>
      </c>
    </row>
    <row r="763" spans="1:4" x14ac:dyDescent="0.35">
      <c r="A763" s="1" t="s">
        <v>59</v>
      </c>
      <c r="B763" s="1"/>
      <c r="C763">
        <v>2011</v>
      </c>
      <c r="D763">
        <v>42.69</v>
      </c>
    </row>
    <row r="764" spans="1:4" x14ac:dyDescent="0.35">
      <c r="A764" s="1" t="s">
        <v>59</v>
      </c>
      <c r="B764" s="1"/>
      <c r="C764">
        <v>2012</v>
      </c>
      <c r="D764">
        <v>37.86</v>
      </c>
    </row>
    <row r="765" spans="1:4" x14ac:dyDescent="0.35">
      <c r="A765" s="1" t="s">
        <v>59</v>
      </c>
      <c r="B765" s="1"/>
      <c r="C765">
        <v>2013</v>
      </c>
      <c r="D765">
        <v>38.46</v>
      </c>
    </row>
    <row r="766" spans="1:4" x14ac:dyDescent="0.35">
      <c r="A766" s="1" t="s">
        <v>59</v>
      </c>
      <c r="B766" s="1"/>
      <c r="C766">
        <v>2014</v>
      </c>
      <c r="D766">
        <v>38.9</v>
      </c>
    </row>
    <row r="767" spans="1:4" x14ac:dyDescent="0.35">
      <c r="A767" s="1" t="s">
        <v>59</v>
      </c>
      <c r="B767" s="1"/>
      <c r="C767">
        <v>2015</v>
      </c>
      <c r="D767">
        <v>38.93</v>
      </c>
    </row>
    <row r="768" spans="1:4" x14ac:dyDescent="0.35">
      <c r="A768" s="1" t="s">
        <v>59</v>
      </c>
      <c r="B768" s="1"/>
      <c r="C768">
        <v>2016</v>
      </c>
      <c r="D768">
        <v>36.75</v>
      </c>
    </row>
    <row r="769" spans="1:4" x14ac:dyDescent="0.35">
      <c r="A769" s="1" t="s">
        <v>59</v>
      </c>
      <c r="B769" s="1"/>
      <c r="C769">
        <v>2017</v>
      </c>
      <c r="D769">
        <v>37.43</v>
      </c>
    </row>
    <row r="770" spans="1:4" x14ac:dyDescent="0.35">
      <c r="A770" s="1" t="s">
        <v>59</v>
      </c>
      <c r="B770" s="1"/>
      <c r="C770">
        <v>2018</v>
      </c>
      <c r="D770">
        <v>38.29</v>
      </c>
    </row>
    <row r="771" spans="1:4" x14ac:dyDescent="0.35">
      <c r="A771" s="1" t="s">
        <v>59</v>
      </c>
      <c r="B771" s="1"/>
      <c r="C771">
        <v>2019</v>
      </c>
      <c r="D771">
        <v>45.65</v>
      </c>
    </row>
    <row r="772" spans="1:4" x14ac:dyDescent="0.35">
      <c r="A772" s="1" t="s">
        <v>59</v>
      </c>
      <c r="B772" s="1"/>
      <c r="C772">
        <v>2020</v>
      </c>
      <c r="D772">
        <v>45.65</v>
      </c>
    </row>
    <row r="773" spans="1:4" x14ac:dyDescent="0.35">
      <c r="A773" s="1" t="s">
        <v>59</v>
      </c>
      <c r="B773" s="1"/>
      <c r="C773">
        <v>2021</v>
      </c>
      <c r="D773">
        <v>45.68</v>
      </c>
    </row>
    <row r="774" spans="1:4" x14ac:dyDescent="0.35">
      <c r="A774" s="1" t="s">
        <v>59</v>
      </c>
      <c r="B774" s="1"/>
      <c r="C774">
        <v>2022</v>
      </c>
      <c r="D774">
        <v>45.68</v>
      </c>
    </row>
    <row r="775" spans="1:4" x14ac:dyDescent="0.35">
      <c r="A775" s="1" t="s">
        <v>59</v>
      </c>
      <c r="B775" s="1"/>
      <c r="C775">
        <v>2023</v>
      </c>
      <c r="D775">
        <v>45.69</v>
      </c>
    </row>
    <row r="776" spans="1:4" x14ac:dyDescent="0.35">
      <c r="A776" s="1" t="s">
        <v>59</v>
      </c>
      <c r="B776" s="1"/>
      <c r="C776">
        <v>2024</v>
      </c>
      <c r="D776">
        <v>46.52</v>
      </c>
    </row>
    <row r="777" spans="1:4" x14ac:dyDescent="0.35">
      <c r="A777" s="1" t="s">
        <v>59</v>
      </c>
      <c r="B777" s="1" t="s">
        <v>135</v>
      </c>
      <c r="C777">
        <v>2000</v>
      </c>
      <c r="D777">
        <v>58.91</v>
      </c>
    </row>
    <row r="778" spans="1:4" x14ac:dyDescent="0.35">
      <c r="A778" s="1" t="s">
        <v>59</v>
      </c>
      <c r="B778" s="1"/>
      <c r="C778">
        <v>2001</v>
      </c>
      <c r="D778">
        <v>58.91</v>
      </c>
    </row>
    <row r="779" spans="1:4" x14ac:dyDescent="0.35">
      <c r="A779" s="1" t="s">
        <v>59</v>
      </c>
      <c r="B779" s="1"/>
      <c r="C779">
        <v>2002</v>
      </c>
      <c r="D779">
        <v>58.91</v>
      </c>
    </row>
    <row r="780" spans="1:4" x14ac:dyDescent="0.35">
      <c r="A780" s="1" t="s">
        <v>59</v>
      </c>
      <c r="B780" s="1"/>
      <c r="C780">
        <v>2003</v>
      </c>
      <c r="D780">
        <v>58.91</v>
      </c>
    </row>
    <row r="781" spans="1:4" x14ac:dyDescent="0.35">
      <c r="A781" s="1" t="s">
        <v>59</v>
      </c>
      <c r="B781" s="1"/>
      <c r="C781">
        <v>2004</v>
      </c>
      <c r="D781">
        <v>58.92</v>
      </c>
    </row>
    <row r="782" spans="1:4" x14ac:dyDescent="0.35">
      <c r="A782" s="1" t="s">
        <v>59</v>
      </c>
      <c r="B782" s="1"/>
      <c r="C782">
        <v>2005</v>
      </c>
      <c r="D782">
        <v>58.92</v>
      </c>
    </row>
    <row r="783" spans="1:4" x14ac:dyDescent="0.35">
      <c r="A783" s="1" t="s">
        <v>59</v>
      </c>
      <c r="B783" s="1"/>
      <c r="C783">
        <v>2006</v>
      </c>
      <c r="D783">
        <v>58.92</v>
      </c>
    </row>
    <row r="784" spans="1:4" x14ac:dyDescent="0.35">
      <c r="A784" s="1" t="s">
        <v>59</v>
      </c>
      <c r="B784" s="1"/>
      <c r="C784">
        <v>2007</v>
      </c>
      <c r="D784">
        <v>58.91</v>
      </c>
    </row>
    <row r="785" spans="1:4" x14ac:dyDescent="0.35">
      <c r="A785" s="1" t="s">
        <v>59</v>
      </c>
      <c r="B785" s="1"/>
      <c r="C785">
        <v>2008</v>
      </c>
      <c r="D785">
        <v>58.92</v>
      </c>
    </row>
    <row r="786" spans="1:4" x14ac:dyDescent="0.35">
      <c r="A786" s="1" t="s">
        <v>59</v>
      </c>
      <c r="B786" s="1"/>
      <c r="C786">
        <v>2009</v>
      </c>
      <c r="D786">
        <v>57.17</v>
      </c>
    </row>
    <row r="787" spans="1:4" x14ac:dyDescent="0.35">
      <c r="A787" s="1" t="s">
        <v>59</v>
      </c>
      <c r="B787" s="1"/>
      <c r="C787">
        <v>2010</v>
      </c>
      <c r="D787">
        <v>51.8</v>
      </c>
    </row>
    <row r="788" spans="1:4" x14ac:dyDescent="0.35">
      <c r="A788" s="1" t="s">
        <v>59</v>
      </c>
      <c r="B788" s="1"/>
      <c r="C788">
        <v>2011</v>
      </c>
      <c r="D788">
        <v>45.73</v>
      </c>
    </row>
    <row r="789" spans="1:4" x14ac:dyDescent="0.35">
      <c r="A789" s="1" t="s">
        <v>59</v>
      </c>
      <c r="B789" s="1"/>
      <c r="C789">
        <v>2012</v>
      </c>
      <c r="D789">
        <v>46.24</v>
      </c>
    </row>
    <row r="790" spans="1:4" x14ac:dyDescent="0.35">
      <c r="A790" s="1" t="s">
        <v>59</v>
      </c>
      <c r="B790" s="1"/>
      <c r="C790">
        <v>2013</v>
      </c>
      <c r="D790">
        <v>49.44</v>
      </c>
    </row>
    <row r="791" spans="1:4" x14ac:dyDescent="0.35">
      <c r="A791" s="1" t="s">
        <v>59</v>
      </c>
      <c r="B791" s="1"/>
      <c r="C791">
        <v>2014</v>
      </c>
      <c r="D791">
        <v>44.79</v>
      </c>
    </row>
    <row r="792" spans="1:4" x14ac:dyDescent="0.35">
      <c r="A792" s="1" t="s">
        <v>59</v>
      </c>
      <c r="B792" s="1"/>
      <c r="C792">
        <v>2015</v>
      </c>
      <c r="D792">
        <v>48.2</v>
      </c>
    </row>
    <row r="793" spans="1:4" x14ac:dyDescent="0.35">
      <c r="A793" s="1" t="s">
        <v>59</v>
      </c>
      <c r="B793" s="1"/>
      <c r="C793">
        <v>2016</v>
      </c>
      <c r="D793">
        <v>41.57</v>
      </c>
    </row>
    <row r="794" spans="1:4" x14ac:dyDescent="0.35">
      <c r="A794" s="1" t="s">
        <v>59</v>
      </c>
      <c r="B794" s="1"/>
      <c r="C794">
        <v>2017</v>
      </c>
      <c r="D794">
        <v>48.93</v>
      </c>
    </row>
    <row r="795" spans="1:4" x14ac:dyDescent="0.35">
      <c r="A795" s="1" t="s">
        <v>59</v>
      </c>
      <c r="B795" s="1"/>
      <c r="C795">
        <v>2018</v>
      </c>
      <c r="D795">
        <v>53.94</v>
      </c>
    </row>
    <row r="796" spans="1:4" x14ac:dyDescent="0.35">
      <c r="A796" s="1" t="s">
        <v>59</v>
      </c>
      <c r="B796" s="1"/>
      <c r="C796">
        <v>2019</v>
      </c>
      <c r="D796">
        <v>41.07</v>
      </c>
    </row>
    <row r="797" spans="1:4" x14ac:dyDescent="0.35">
      <c r="A797" s="1" t="s">
        <v>59</v>
      </c>
      <c r="B797" s="1"/>
      <c r="C797">
        <v>2020</v>
      </c>
      <c r="D797">
        <v>38.07</v>
      </c>
    </row>
    <row r="798" spans="1:4" x14ac:dyDescent="0.35">
      <c r="A798" s="1" t="s">
        <v>59</v>
      </c>
      <c r="B798" s="1"/>
      <c r="C798">
        <v>2021</v>
      </c>
      <c r="D798">
        <v>38.08</v>
      </c>
    </row>
    <row r="799" spans="1:4" x14ac:dyDescent="0.35">
      <c r="A799" s="1" t="s">
        <v>59</v>
      </c>
      <c r="B799" s="1"/>
      <c r="C799">
        <v>2022</v>
      </c>
      <c r="D799">
        <v>38.049999999999997</v>
      </c>
    </row>
    <row r="800" spans="1:4" x14ac:dyDescent="0.35">
      <c r="A800" s="1" t="s">
        <v>59</v>
      </c>
      <c r="B800" s="1"/>
      <c r="C800">
        <v>2023</v>
      </c>
      <c r="D800">
        <v>38.049999999999997</v>
      </c>
    </row>
    <row r="801" spans="1:4" x14ac:dyDescent="0.35">
      <c r="A801" s="1" t="s">
        <v>59</v>
      </c>
      <c r="B801" s="1"/>
      <c r="C801">
        <v>2024</v>
      </c>
      <c r="D801" t="s">
        <v>136</v>
      </c>
    </row>
    <row r="802" spans="1:4" x14ac:dyDescent="0.35">
      <c r="A802" s="1" t="s">
        <v>61</v>
      </c>
      <c r="B802" s="1" t="s">
        <v>134</v>
      </c>
      <c r="C802">
        <v>2000</v>
      </c>
      <c r="D802">
        <v>65.010000000000005</v>
      </c>
    </row>
    <row r="803" spans="1:4" x14ac:dyDescent="0.35">
      <c r="A803" s="1" t="s">
        <v>61</v>
      </c>
      <c r="B803" s="1"/>
      <c r="C803">
        <v>2001</v>
      </c>
      <c r="D803">
        <v>65.010000000000005</v>
      </c>
    </row>
    <row r="804" spans="1:4" x14ac:dyDescent="0.35">
      <c r="A804" s="1" t="s">
        <v>61</v>
      </c>
      <c r="B804" s="1"/>
      <c r="C804">
        <v>2002</v>
      </c>
      <c r="D804">
        <v>65.010000000000005</v>
      </c>
    </row>
    <row r="805" spans="1:4" x14ac:dyDescent="0.35">
      <c r="A805" s="1" t="s">
        <v>61</v>
      </c>
      <c r="B805" s="1"/>
      <c r="C805">
        <v>2003</v>
      </c>
      <c r="D805">
        <v>65.010000000000005</v>
      </c>
    </row>
    <row r="806" spans="1:4" x14ac:dyDescent="0.35">
      <c r="A806" s="1" t="s">
        <v>61</v>
      </c>
      <c r="B806" s="1"/>
      <c r="C806">
        <v>2004</v>
      </c>
      <c r="D806">
        <v>68.31</v>
      </c>
    </row>
    <row r="807" spans="1:4" x14ac:dyDescent="0.35">
      <c r="A807" s="1" t="s">
        <v>61</v>
      </c>
      <c r="B807" s="1"/>
      <c r="C807">
        <v>2005</v>
      </c>
      <c r="D807">
        <v>68.31</v>
      </c>
    </row>
    <row r="808" spans="1:4" x14ac:dyDescent="0.35">
      <c r="A808" s="1" t="s">
        <v>61</v>
      </c>
      <c r="B808" s="1"/>
      <c r="C808">
        <v>2006</v>
      </c>
      <c r="D808">
        <v>68.28</v>
      </c>
    </row>
    <row r="809" spans="1:4" x14ac:dyDescent="0.35">
      <c r="A809" s="1" t="s">
        <v>61</v>
      </c>
      <c r="B809" s="1"/>
      <c r="C809">
        <v>2007</v>
      </c>
      <c r="D809">
        <v>61.06</v>
      </c>
    </row>
    <row r="810" spans="1:4" x14ac:dyDescent="0.35">
      <c r="A810" s="1" t="s">
        <v>61</v>
      </c>
      <c r="B810" s="1"/>
      <c r="C810">
        <v>2008</v>
      </c>
      <c r="D810">
        <v>59.7</v>
      </c>
    </row>
    <row r="811" spans="1:4" x14ac:dyDescent="0.35">
      <c r="A811" s="1" t="s">
        <v>61</v>
      </c>
      <c r="B811" s="1"/>
      <c r="C811">
        <v>2009</v>
      </c>
      <c r="D811">
        <v>60.04</v>
      </c>
    </row>
    <row r="812" spans="1:4" x14ac:dyDescent="0.35">
      <c r="A812" s="1" t="s">
        <v>61</v>
      </c>
      <c r="B812" s="1"/>
      <c r="C812">
        <v>2010</v>
      </c>
      <c r="D812">
        <v>53.43</v>
      </c>
    </row>
    <row r="813" spans="1:4" x14ac:dyDescent="0.35">
      <c r="A813" s="1" t="s">
        <v>61</v>
      </c>
      <c r="B813" s="1"/>
      <c r="C813">
        <v>2011</v>
      </c>
      <c r="D813">
        <v>54.53</v>
      </c>
    </row>
    <row r="814" spans="1:4" x14ac:dyDescent="0.35">
      <c r="A814" s="1" t="s">
        <v>61</v>
      </c>
      <c r="B814" s="1"/>
      <c r="C814">
        <v>2012</v>
      </c>
      <c r="D814">
        <v>51.91</v>
      </c>
    </row>
    <row r="815" spans="1:4" x14ac:dyDescent="0.35">
      <c r="A815" s="1" t="s">
        <v>61</v>
      </c>
      <c r="B815" s="1"/>
      <c r="C815">
        <v>2013</v>
      </c>
      <c r="D815">
        <v>56.35</v>
      </c>
    </row>
    <row r="816" spans="1:4" x14ac:dyDescent="0.35">
      <c r="A816" s="1" t="s">
        <v>61</v>
      </c>
      <c r="B816" s="1"/>
      <c r="C816">
        <v>2014</v>
      </c>
      <c r="D816">
        <v>56.44</v>
      </c>
    </row>
    <row r="817" spans="1:4" x14ac:dyDescent="0.35">
      <c r="A817" s="1" t="s">
        <v>61</v>
      </c>
      <c r="B817" s="1"/>
      <c r="C817">
        <v>2015</v>
      </c>
      <c r="D817">
        <v>50.28</v>
      </c>
    </row>
    <row r="818" spans="1:4" x14ac:dyDescent="0.35">
      <c r="A818" s="1" t="s">
        <v>61</v>
      </c>
      <c r="B818" s="1"/>
      <c r="C818">
        <v>2016</v>
      </c>
      <c r="D818">
        <v>42.67</v>
      </c>
    </row>
    <row r="819" spans="1:4" x14ac:dyDescent="0.35">
      <c r="A819" s="1" t="s">
        <v>61</v>
      </c>
      <c r="B819" s="1"/>
      <c r="C819">
        <v>2017</v>
      </c>
      <c r="D819">
        <v>35.33</v>
      </c>
    </row>
    <row r="820" spans="1:4" x14ac:dyDescent="0.35">
      <c r="A820" s="1" t="s">
        <v>61</v>
      </c>
      <c r="B820" s="1"/>
      <c r="C820">
        <v>2018</v>
      </c>
      <c r="D820">
        <v>34.840000000000003</v>
      </c>
    </row>
    <row r="821" spans="1:4" x14ac:dyDescent="0.35">
      <c r="A821" s="1" t="s">
        <v>61</v>
      </c>
      <c r="B821" s="1"/>
      <c r="C821">
        <v>2019</v>
      </c>
      <c r="D821">
        <v>32.54</v>
      </c>
    </row>
    <row r="822" spans="1:4" x14ac:dyDescent="0.35">
      <c r="A822" s="1" t="s">
        <v>61</v>
      </c>
      <c r="B822" s="1"/>
      <c r="C822">
        <v>2020</v>
      </c>
      <c r="D822">
        <v>31.85</v>
      </c>
    </row>
    <row r="823" spans="1:4" x14ac:dyDescent="0.35">
      <c r="A823" s="1" t="s">
        <v>61</v>
      </c>
      <c r="B823" s="1"/>
      <c r="C823">
        <v>2021</v>
      </c>
      <c r="D823">
        <v>31.36</v>
      </c>
    </row>
    <row r="824" spans="1:4" x14ac:dyDescent="0.35">
      <c r="A824" s="1" t="s">
        <v>61</v>
      </c>
      <c r="B824" s="1"/>
      <c r="C824">
        <v>2022</v>
      </c>
      <c r="D824">
        <v>31.04</v>
      </c>
    </row>
    <row r="825" spans="1:4" x14ac:dyDescent="0.35">
      <c r="A825" s="1" t="s">
        <v>61</v>
      </c>
      <c r="B825" s="1"/>
      <c r="C825">
        <v>2023</v>
      </c>
      <c r="D825">
        <v>31.27</v>
      </c>
    </row>
    <row r="826" spans="1:4" x14ac:dyDescent="0.35">
      <c r="A826" s="1" t="s">
        <v>61</v>
      </c>
      <c r="B826" s="1"/>
      <c r="C826">
        <v>2024</v>
      </c>
      <c r="D826">
        <v>30.21</v>
      </c>
    </row>
    <row r="827" spans="1:4" x14ac:dyDescent="0.35">
      <c r="A827" s="1" t="s">
        <v>61</v>
      </c>
      <c r="B827" s="1" t="s">
        <v>135</v>
      </c>
      <c r="C827">
        <v>2000</v>
      </c>
      <c r="D827">
        <v>91.52</v>
      </c>
    </row>
    <row r="828" spans="1:4" x14ac:dyDescent="0.35">
      <c r="A828" s="1" t="s">
        <v>61</v>
      </c>
      <c r="B828" s="1"/>
      <c r="C828">
        <v>2001</v>
      </c>
      <c r="D828">
        <v>84.12</v>
      </c>
    </row>
    <row r="829" spans="1:4" x14ac:dyDescent="0.35">
      <c r="A829" s="1" t="s">
        <v>61</v>
      </c>
      <c r="B829" s="1"/>
      <c r="C829">
        <v>2002</v>
      </c>
      <c r="D829">
        <v>69.3</v>
      </c>
    </row>
    <row r="830" spans="1:4" x14ac:dyDescent="0.35">
      <c r="A830" s="1" t="s">
        <v>61</v>
      </c>
      <c r="B830" s="1"/>
      <c r="C830">
        <v>2003</v>
      </c>
      <c r="D830">
        <v>66.14</v>
      </c>
    </row>
    <row r="831" spans="1:4" x14ac:dyDescent="0.35">
      <c r="A831" s="1" t="s">
        <v>61</v>
      </c>
      <c r="B831" s="1"/>
      <c r="C831">
        <v>2004</v>
      </c>
      <c r="D831">
        <v>87.47</v>
      </c>
    </row>
    <row r="832" spans="1:4" x14ac:dyDescent="0.35">
      <c r="A832" s="1" t="s">
        <v>61</v>
      </c>
      <c r="B832" s="1"/>
      <c r="C832">
        <v>2005</v>
      </c>
      <c r="D832">
        <v>82.96</v>
      </c>
    </row>
    <row r="833" spans="1:4" x14ac:dyDescent="0.35">
      <c r="A833" s="1" t="s">
        <v>61</v>
      </c>
      <c r="B833" s="1"/>
      <c r="C833">
        <v>2006</v>
      </c>
      <c r="D833">
        <v>66.69</v>
      </c>
    </row>
    <row r="834" spans="1:4" x14ac:dyDescent="0.35">
      <c r="A834" s="1" t="s">
        <v>61</v>
      </c>
      <c r="B834" s="1"/>
      <c r="C834">
        <v>2007</v>
      </c>
      <c r="D834">
        <v>53.47</v>
      </c>
    </row>
    <row r="835" spans="1:4" x14ac:dyDescent="0.35">
      <c r="A835" s="1" t="s">
        <v>61</v>
      </c>
      <c r="B835" s="1"/>
      <c r="C835">
        <v>2008</v>
      </c>
      <c r="D835">
        <v>74.48</v>
      </c>
    </row>
    <row r="836" spans="1:4" x14ac:dyDescent="0.35">
      <c r="A836" s="1" t="s">
        <v>61</v>
      </c>
      <c r="B836" s="1"/>
      <c r="C836">
        <v>2009</v>
      </c>
      <c r="D836">
        <v>76.81</v>
      </c>
    </row>
    <row r="837" spans="1:4" x14ac:dyDescent="0.35">
      <c r="A837" s="1" t="s">
        <v>61</v>
      </c>
      <c r="B837" s="1"/>
      <c r="C837">
        <v>2010</v>
      </c>
      <c r="D837">
        <v>68.86</v>
      </c>
    </row>
    <row r="838" spans="1:4" x14ac:dyDescent="0.35">
      <c r="A838" s="1" t="s">
        <v>61</v>
      </c>
      <c r="B838" s="1"/>
      <c r="C838">
        <v>2011</v>
      </c>
      <c r="D838">
        <v>67.55</v>
      </c>
    </row>
    <row r="839" spans="1:4" x14ac:dyDescent="0.35">
      <c r="A839" s="1" t="s">
        <v>61</v>
      </c>
      <c r="B839" s="1"/>
      <c r="C839">
        <v>2012</v>
      </c>
      <c r="D839">
        <v>67.17</v>
      </c>
    </row>
    <row r="840" spans="1:4" x14ac:dyDescent="0.35">
      <c r="A840" s="1" t="s">
        <v>61</v>
      </c>
      <c r="B840" s="1"/>
      <c r="C840">
        <v>2013</v>
      </c>
      <c r="D840">
        <v>64.03</v>
      </c>
    </row>
    <row r="841" spans="1:4" x14ac:dyDescent="0.35">
      <c r="A841" s="1" t="s">
        <v>61</v>
      </c>
      <c r="B841" s="1"/>
      <c r="C841">
        <v>2014</v>
      </c>
      <c r="D841">
        <v>64.790000000000006</v>
      </c>
    </row>
    <row r="842" spans="1:4" x14ac:dyDescent="0.35">
      <c r="A842" s="1" t="s">
        <v>61</v>
      </c>
      <c r="B842" s="1"/>
      <c r="C842">
        <v>2015</v>
      </c>
      <c r="D842">
        <v>51.02</v>
      </c>
    </row>
    <row r="843" spans="1:4" x14ac:dyDescent="0.35">
      <c r="A843" s="1" t="s">
        <v>61</v>
      </c>
      <c r="B843" s="1"/>
      <c r="C843">
        <v>2016</v>
      </c>
      <c r="D843">
        <v>42.96</v>
      </c>
    </row>
    <row r="844" spans="1:4" x14ac:dyDescent="0.35">
      <c r="A844" s="1" t="s">
        <v>61</v>
      </c>
      <c r="B844" s="1"/>
      <c r="C844">
        <v>2017</v>
      </c>
      <c r="D844">
        <v>41.21</v>
      </c>
    </row>
    <row r="845" spans="1:4" x14ac:dyDescent="0.35">
      <c r="A845" s="1" t="s">
        <v>61</v>
      </c>
      <c r="B845" s="1"/>
      <c r="C845">
        <v>2018</v>
      </c>
      <c r="D845">
        <v>37.35</v>
      </c>
    </row>
    <row r="846" spans="1:4" x14ac:dyDescent="0.35">
      <c r="A846" s="1" t="s">
        <v>61</v>
      </c>
      <c r="B846" s="1"/>
      <c r="C846">
        <v>2019</v>
      </c>
      <c r="D846">
        <v>40.65</v>
      </c>
    </row>
    <row r="847" spans="1:4" x14ac:dyDescent="0.35">
      <c r="A847" s="1" t="s">
        <v>61</v>
      </c>
      <c r="B847" s="1"/>
      <c r="C847">
        <v>2020</v>
      </c>
      <c r="D847">
        <v>36.549999999999997</v>
      </c>
    </row>
    <row r="848" spans="1:4" x14ac:dyDescent="0.35">
      <c r="A848" s="1" t="s">
        <v>61</v>
      </c>
      <c r="B848" s="1"/>
      <c r="C848">
        <v>2021</v>
      </c>
      <c r="D848">
        <v>34.56</v>
      </c>
    </row>
    <row r="849" spans="1:4" x14ac:dyDescent="0.35">
      <c r="A849" s="1" t="s">
        <v>61</v>
      </c>
      <c r="B849" s="1"/>
      <c r="C849">
        <v>2022</v>
      </c>
      <c r="D849">
        <v>35.880000000000003</v>
      </c>
    </row>
    <row r="850" spans="1:4" x14ac:dyDescent="0.35">
      <c r="A850" s="1" t="s">
        <v>61</v>
      </c>
      <c r="B850" s="1"/>
      <c r="C850">
        <v>2023</v>
      </c>
      <c r="D850">
        <v>36.200000000000003</v>
      </c>
    </row>
    <row r="851" spans="1:4" x14ac:dyDescent="0.35">
      <c r="A851" s="1" t="s">
        <v>61</v>
      </c>
      <c r="B851" s="1"/>
      <c r="C851">
        <v>2024</v>
      </c>
      <c r="D851" t="s">
        <v>136</v>
      </c>
    </row>
    <row r="852" spans="1:4" x14ac:dyDescent="0.35">
      <c r="A852" s="1" t="s">
        <v>63</v>
      </c>
      <c r="B852" s="1" t="s">
        <v>134</v>
      </c>
      <c r="C852">
        <v>2000</v>
      </c>
      <c r="D852">
        <v>38.14</v>
      </c>
    </row>
    <row r="853" spans="1:4" x14ac:dyDescent="0.35">
      <c r="A853" s="1" t="s">
        <v>63</v>
      </c>
      <c r="B853" s="1"/>
      <c r="C853">
        <v>2001</v>
      </c>
      <c r="D853">
        <v>38.14</v>
      </c>
    </row>
    <row r="854" spans="1:4" x14ac:dyDescent="0.35">
      <c r="A854" s="1" t="s">
        <v>63</v>
      </c>
      <c r="B854" s="1"/>
      <c r="C854">
        <v>2002</v>
      </c>
      <c r="D854">
        <v>38.14</v>
      </c>
    </row>
    <row r="855" spans="1:4" x14ac:dyDescent="0.35">
      <c r="A855" s="1" t="s">
        <v>63</v>
      </c>
      <c r="B855" s="1"/>
      <c r="C855">
        <v>2003</v>
      </c>
      <c r="D855">
        <v>38.14</v>
      </c>
    </row>
    <row r="856" spans="1:4" x14ac:dyDescent="0.35">
      <c r="A856" s="1" t="s">
        <v>63</v>
      </c>
      <c r="B856" s="1"/>
      <c r="C856">
        <v>2004</v>
      </c>
      <c r="D856">
        <v>38.14</v>
      </c>
    </row>
    <row r="857" spans="1:4" x14ac:dyDescent="0.35">
      <c r="A857" s="1" t="s">
        <v>63</v>
      </c>
      <c r="B857" s="1"/>
      <c r="C857">
        <v>2005</v>
      </c>
      <c r="D857">
        <v>38.14</v>
      </c>
    </row>
    <row r="858" spans="1:4" x14ac:dyDescent="0.35">
      <c r="A858" s="1" t="s">
        <v>63</v>
      </c>
      <c r="B858" s="1"/>
      <c r="C858">
        <v>2006</v>
      </c>
      <c r="D858">
        <v>38.14</v>
      </c>
    </row>
    <row r="859" spans="1:4" x14ac:dyDescent="0.35">
      <c r="A859" s="1" t="s">
        <v>63</v>
      </c>
      <c r="B859" s="1"/>
      <c r="C859">
        <v>2007</v>
      </c>
      <c r="D859">
        <v>37.25</v>
      </c>
    </row>
    <row r="860" spans="1:4" x14ac:dyDescent="0.35">
      <c r="A860" s="1" t="s">
        <v>63</v>
      </c>
      <c r="B860" s="1"/>
      <c r="C860">
        <v>2008</v>
      </c>
      <c r="D860">
        <v>40.17</v>
      </c>
    </row>
    <row r="861" spans="1:4" x14ac:dyDescent="0.35">
      <c r="A861" s="1" t="s">
        <v>63</v>
      </c>
      <c r="B861" s="1"/>
      <c r="C861">
        <v>2009</v>
      </c>
      <c r="D861">
        <v>39.67</v>
      </c>
    </row>
    <row r="862" spans="1:4" x14ac:dyDescent="0.35">
      <c r="A862" s="1" t="s">
        <v>63</v>
      </c>
      <c r="B862" s="1"/>
      <c r="C862">
        <v>2010</v>
      </c>
      <c r="D862">
        <v>50.84</v>
      </c>
    </row>
    <row r="863" spans="1:4" x14ac:dyDescent="0.35">
      <c r="A863" s="1" t="s">
        <v>63</v>
      </c>
      <c r="B863" s="1"/>
      <c r="C863">
        <v>2011</v>
      </c>
      <c r="D863">
        <v>62.42</v>
      </c>
    </row>
    <row r="864" spans="1:4" x14ac:dyDescent="0.35">
      <c r="A864" s="1" t="s">
        <v>63</v>
      </c>
      <c r="B864" s="1"/>
      <c r="C864">
        <v>2012</v>
      </c>
      <c r="D864">
        <v>60.06</v>
      </c>
    </row>
    <row r="865" spans="1:4" x14ac:dyDescent="0.35">
      <c r="A865" s="1" t="s">
        <v>63</v>
      </c>
      <c r="B865" s="1"/>
      <c r="C865">
        <v>2013</v>
      </c>
      <c r="D865">
        <v>38.049999999999997</v>
      </c>
    </row>
    <row r="866" spans="1:4" x14ac:dyDescent="0.35">
      <c r="A866" s="1" t="s">
        <v>63</v>
      </c>
      <c r="B866" s="1"/>
      <c r="C866">
        <v>2014</v>
      </c>
      <c r="D866">
        <v>38.049999999999997</v>
      </c>
    </row>
    <row r="867" spans="1:4" x14ac:dyDescent="0.35">
      <c r="A867" s="1" t="s">
        <v>63</v>
      </c>
      <c r="B867" s="1"/>
      <c r="C867">
        <v>2015</v>
      </c>
      <c r="D867">
        <v>61.05</v>
      </c>
    </row>
    <row r="868" spans="1:4" x14ac:dyDescent="0.35">
      <c r="A868" s="1" t="s">
        <v>63</v>
      </c>
      <c r="B868" s="1"/>
      <c r="C868">
        <v>2016</v>
      </c>
      <c r="D868">
        <v>62.05</v>
      </c>
    </row>
    <row r="869" spans="1:4" x14ac:dyDescent="0.35">
      <c r="A869" s="1" t="s">
        <v>63</v>
      </c>
      <c r="B869" s="1"/>
      <c r="C869">
        <v>2017</v>
      </c>
      <c r="D869">
        <v>60.34</v>
      </c>
    </row>
    <row r="870" spans="1:4" x14ac:dyDescent="0.35">
      <c r="A870" s="1" t="s">
        <v>63</v>
      </c>
      <c r="B870" s="1"/>
      <c r="C870">
        <v>2018</v>
      </c>
      <c r="D870">
        <v>60.74</v>
      </c>
    </row>
    <row r="871" spans="1:4" x14ac:dyDescent="0.35">
      <c r="A871" s="1" t="s">
        <v>63</v>
      </c>
      <c r="B871" s="1"/>
      <c r="C871">
        <v>2019</v>
      </c>
      <c r="D871">
        <v>62.52</v>
      </c>
    </row>
    <row r="872" spans="1:4" x14ac:dyDescent="0.35">
      <c r="A872" s="1" t="s">
        <v>63</v>
      </c>
      <c r="B872" s="1"/>
      <c r="C872">
        <v>2020</v>
      </c>
      <c r="D872">
        <v>61.63</v>
      </c>
    </row>
    <row r="873" spans="1:4" x14ac:dyDescent="0.35">
      <c r="A873" s="1" t="s">
        <v>63</v>
      </c>
      <c r="B873" s="1"/>
      <c r="C873">
        <v>2021</v>
      </c>
      <c r="D873">
        <v>65.959999999999994</v>
      </c>
    </row>
    <row r="874" spans="1:4" x14ac:dyDescent="0.35">
      <c r="A874" s="1" t="s">
        <v>63</v>
      </c>
      <c r="B874" s="1"/>
      <c r="C874">
        <v>2022</v>
      </c>
      <c r="D874">
        <v>65.989999999999995</v>
      </c>
    </row>
    <row r="875" spans="1:4" x14ac:dyDescent="0.35">
      <c r="A875" s="1" t="s">
        <v>63</v>
      </c>
      <c r="B875" s="1"/>
      <c r="C875">
        <v>2023</v>
      </c>
      <c r="D875">
        <v>66.010000000000005</v>
      </c>
    </row>
    <row r="876" spans="1:4" x14ac:dyDescent="0.35">
      <c r="A876" s="1" t="s">
        <v>63</v>
      </c>
      <c r="B876" s="1"/>
      <c r="C876">
        <v>2024</v>
      </c>
      <c r="D876">
        <v>66.010000000000005</v>
      </c>
    </row>
    <row r="877" spans="1:4" x14ac:dyDescent="0.35">
      <c r="A877" s="1" t="s">
        <v>63</v>
      </c>
      <c r="B877" s="1" t="s">
        <v>135</v>
      </c>
      <c r="C877">
        <v>2000</v>
      </c>
      <c r="D877">
        <v>55.97</v>
      </c>
    </row>
    <row r="878" spans="1:4" x14ac:dyDescent="0.35">
      <c r="A878" s="1" t="s">
        <v>63</v>
      </c>
      <c r="B878" s="1"/>
      <c r="C878">
        <v>2001</v>
      </c>
      <c r="D878">
        <v>57.26</v>
      </c>
    </row>
    <row r="879" spans="1:4" x14ac:dyDescent="0.35">
      <c r="A879" s="1" t="s">
        <v>63</v>
      </c>
      <c r="B879" s="1"/>
      <c r="C879">
        <v>2002</v>
      </c>
      <c r="D879">
        <v>58.62</v>
      </c>
    </row>
    <row r="880" spans="1:4" x14ac:dyDescent="0.35">
      <c r="A880" s="1" t="s">
        <v>63</v>
      </c>
      <c r="B880" s="1"/>
      <c r="C880">
        <v>2003</v>
      </c>
      <c r="D880">
        <v>46.35</v>
      </c>
    </row>
    <row r="881" spans="1:4" x14ac:dyDescent="0.35">
      <c r="A881" s="1" t="s">
        <v>63</v>
      </c>
      <c r="B881" s="1"/>
      <c r="C881">
        <v>2004</v>
      </c>
      <c r="D881">
        <v>61.46</v>
      </c>
    </row>
    <row r="882" spans="1:4" x14ac:dyDescent="0.35">
      <c r="A882" s="1" t="s">
        <v>63</v>
      </c>
      <c r="B882" s="1"/>
      <c r="C882">
        <v>2005</v>
      </c>
      <c r="D882">
        <v>60.76</v>
      </c>
    </row>
    <row r="883" spans="1:4" x14ac:dyDescent="0.35">
      <c r="A883" s="1" t="s">
        <v>63</v>
      </c>
      <c r="B883" s="1"/>
      <c r="C883">
        <v>2006</v>
      </c>
      <c r="D883">
        <v>63.09</v>
      </c>
    </row>
    <row r="884" spans="1:4" x14ac:dyDescent="0.35">
      <c r="A884" s="1" t="s">
        <v>63</v>
      </c>
      <c r="B884" s="1"/>
      <c r="C884">
        <v>2007</v>
      </c>
      <c r="D884">
        <v>64.69</v>
      </c>
    </row>
    <row r="885" spans="1:4" x14ac:dyDescent="0.35">
      <c r="A885" s="1" t="s">
        <v>63</v>
      </c>
      <c r="B885" s="1"/>
      <c r="C885">
        <v>2008</v>
      </c>
      <c r="D885">
        <v>74.349999999999994</v>
      </c>
    </row>
    <row r="886" spans="1:4" x14ac:dyDescent="0.35">
      <c r="A886" s="1" t="s">
        <v>63</v>
      </c>
      <c r="B886" s="1"/>
      <c r="C886">
        <v>2009</v>
      </c>
      <c r="D886">
        <v>70.3</v>
      </c>
    </row>
    <row r="887" spans="1:4" x14ac:dyDescent="0.35">
      <c r="A887" s="1" t="s">
        <v>63</v>
      </c>
      <c r="B887" s="1"/>
      <c r="C887">
        <v>2010</v>
      </c>
      <c r="D887">
        <v>77.37</v>
      </c>
    </row>
    <row r="888" spans="1:4" x14ac:dyDescent="0.35">
      <c r="A888" s="1" t="s">
        <v>63</v>
      </c>
      <c r="B888" s="1"/>
      <c r="C888">
        <v>2011</v>
      </c>
      <c r="D888">
        <v>75.91</v>
      </c>
    </row>
    <row r="889" spans="1:4" x14ac:dyDescent="0.35">
      <c r="A889" s="1" t="s">
        <v>63</v>
      </c>
      <c r="B889" s="1"/>
      <c r="C889">
        <v>2012</v>
      </c>
      <c r="D889">
        <v>67.69</v>
      </c>
    </row>
    <row r="890" spans="1:4" x14ac:dyDescent="0.35">
      <c r="A890" s="1" t="s">
        <v>63</v>
      </c>
      <c r="B890" s="1"/>
      <c r="C890">
        <v>2013</v>
      </c>
      <c r="D890">
        <v>74.099999999999994</v>
      </c>
    </row>
    <row r="891" spans="1:4" x14ac:dyDescent="0.35">
      <c r="A891" s="1" t="s">
        <v>63</v>
      </c>
      <c r="B891" s="1"/>
      <c r="C891">
        <v>2014</v>
      </c>
      <c r="D891">
        <v>60.3</v>
      </c>
    </row>
    <row r="892" spans="1:4" x14ac:dyDescent="0.35">
      <c r="A892" s="1" t="s">
        <v>63</v>
      </c>
      <c r="B892" s="1"/>
      <c r="C892">
        <v>2015</v>
      </c>
      <c r="D892">
        <v>78.87</v>
      </c>
    </row>
    <row r="893" spans="1:4" x14ac:dyDescent="0.35">
      <c r="A893" s="1" t="s">
        <v>63</v>
      </c>
      <c r="B893" s="1"/>
      <c r="C893">
        <v>2016</v>
      </c>
      <c r="D893">
        <v>67.95</v>
      </c>
    </row>
    <row r="894" spans="1:4" x14ac:dyDescent="0.35">
      <c r="A894" s="1" t="s">
        <v>63</v>
      </c>
      <c r="B894" s="1"/>
      <c r="C894">
        <v>2017</v>
      </c>
      <c r="D894">
        <v>69.3</v>
      </c>
    </row>
    <row r="895" spans="1:4" x14ac:dyDescent="0.35">
      <c r="A895" s="1" t="s">
        <v>63</v>
      </c>
      <c r="B895" s="1"/>
      <c r="C895">
        <v>2018</v>
      </c>
      <c r="D895">
        <v>63.29</v>
      </c>
    </row>
    <row r="896" spans="1:4" x14ac:dyDescent="0.35">
      <c r="A896" s="1" t="s">
        <v>63</v>
      </c>
      <c r="B896" s="1"/>
      <c r="C896">
        <v>2019</v>
      </c>
      <c r="D896">
        <v>63.9</v>
      </c>
    </row>
    <row r="897" spans="1:4" x14ac:dyDescent="0.35">
      <c r="A897" s="1" t="s">
        <v>63</v>
      </c>
      <c r="B897" s="1"/>
      <c r="C897">
        <v>2020</v>
      </c>
      <c r="D897">
        <v>61.85</v>
      </c>
    </row>
    <row r="898" spans="1:4" x14ac:dyDescent="0.35">
      <c r="A898" s="1" t="s">
        <v>63</v>
      </c>
      <c r="B898" s="1"/>
      <c r="C898">
        <v>2021</v>
      </c>
      <c r="D898">
        <v>88.13</v>
      </c>
    </row>
    <row r="899" spans="1:4" x14ac:dyDescent="0.35">
      <c r="A899" s="1" t="s">
        <v>63</v>
      </c>
      <c r="B899" s="1"/>
      <c r="C899">
        <v>2022</v>
      </c>
      <c r="D899">
        <v>90.64</v>
      </c>
    </row>
    <row r="900" spans="1:4" x14ac:dyDescent="0.35">
      <c r="A900" s="1" t="s">
        <v>63</v>
      </c>
      <c r="B900" s="1"/>
      <c r="C900">
        <v>2023</v>
      </c>
      <c r="D900">
        <v>90.65</v>
      </c>
    </row>
    <row r="901" spans="1:4" x14ac:dyDescent="0.35">
      <c r="A901" s="1" t="s">
        <v>63</v>
      </c>
      <c r="B901" s="1"/>
      <c r="C901">
        <v>2024</v>
      </c>
      <c r="D901" t="s">
        <v>136</v>
      </c>
    </row>
    <row r="902" spans="1:4" x14ac:dyDescent="0.35">
      <c r="A902" s="1" t="s">
        <v>65</v>
      </c>
      <c r="B902" s="1" t="s">
        <v>134</v>
      </c>
      <c r="C902">
        <v>2000</v>
      </c>
      <c r="D902" t="s">
        <v>136</v>
      </c>
    </row>
    <row r="903" spans="1:4" x14ac:dyDescent="0.35">
      <c r="A903" s="1" t="s">
        <v>65</v>
      </c>
      <c r="B903" s="1"/>
      <c r="C903">
        <v>2001</v>
      </c>
      <c r="D903" t="s">
        <v>136</v>
      </c>
    </row>
    <row r="904" spans="1:4" x14ac:dyDescent="0.35">
      <c r="A904" s="1" t="s">
        <v>65</v>
      </c>
      <c r="B904" s="1"/>
      <c r="C904">
        <v>2002</v>
      </c>
      <c r="D904" t="s">
        <v>136</v>
      </c>
    </row>
    <row r="905" spans="1:4" x14ac:dyDescent="0.35">
      <c r="A905" s="1" t="s">
        <v>65</v>
      </c>
      <c r="B905" s="1"/>
      <c r="C905">
        <v>2003</v>
      </c>
      <c r="D905" t="s">
        <v>136</v>
      </c>
    </row>
    <row r="906" spans="1:4" x14ac:dyDescent="0.35">
      <c r="A906" s="1" t="s">
        <v>65</v>
      </c>
      <c r="B906" s="1"/>
      <c r="C906">
        <v>2004</v>
      </c>
      <c r="D906" t="s">
        <v>136</v>
      </c>
    </row>
    <row r="907" spans="1:4" x14ac:dyDescent="0.35">
      <c r="A907" s="1" t="s">
        <v>65</v>
      </c>
      <c r="B907" s="1"/>
      <c r="C907">
        <v>2005</v>
      </c>
      <c r="D907" t="s">
        <v>136</v>
      </c>
    </row>
    <row r="908" spans="1:4" x14ac:dyDescent="0.35">
      <c r="A908" s="1" t="s">
        <v>65</v>
      </c>
      <c r="B908" s="1"/>
      <c r="C908">
        <v>2006</v>
      </c>
      <c r="D908" t="s">
        <v>136</v>
      </c>
    </row>
    <row r="909" spans="1:4" x14ac:dyDescent="0.35">
      <c r="A909" s="1" t="s">
        <v>65</v>
      </c>
      <c r="B909" s="1"/>
      <c r="C909">
        <v>2007</v>
      </c>
      <c r="D909" t="s">
        <v>136</v>
      </c>
    </row>
    <row r="910" spans="1:4" x14ac:dyDescent="0.35">
      <c r="A910" s="1" t="s">
        <v>65</v>
      </c>
      <c r="B910" s="1"/>
      <c r="C910">
        <v>2008</v>
      </c>
      <c r="D910" t="s">
        <v>136</v>
      </c>
    </row>
    <row r="911" spans="1:4" x14ac:dyDescent="0.35">
      <c r="A911" s="1" t="s">
        <v>65</v>
      </c>
      <c r="B911" s="1"/>
      <c r="C911">
        <v>2009</v>
      </c>
      <c r="D911">
        <v>0</v>
      </c>
    </row>
    <row r="912" spans="1:4" x14ac:dyDescent="0.35">
      <c r="A912" s="1" t="s">
        <v>65</v>
      </c>
      <c r="B912" s="1"/>
      <c r="C912">
        <v>2010</v>
      </c>
      <c r="D912">
        <v>0.02</v>
      </c>
    </row>
    <row r="913" spans="1:4" x14ac:dyDescent="0.35">
      <c r="A913" s="1" t="s">
        <v>65</v>
      </c>
      <c r="B913" s="1"/>
      <c r="C913">
        <v>2011</v>
      </c>
      <c r="D913">
        <v>0.06</v>
      </c>
    </row>
    <row r="914" spans="1:4" x14ac:dyDescent="0.35">
      <c r="A914" s="1" t="s">
        <v>65</v>
      </c>
      <c r="B914" s="1"/>
      <c r="C914">
        <v>2012</v>
      </c>
      <c r="D914">
        <v>0.06</v>
      </c>
    </row>
    <row r="915" spans="1:4" x14ac:dyDescent="0.35">
      <c r="A915" s="1" t="s">
        <v>65</v>
      </c>
      <c r="B915" s="1"/>
      <c r="C915">
        <v>2013</v>
      </c>
      <c r="D915">
        <v>0.26</v>
      </c>
    </row>
    <row r="916" spans="1:4" x14ac:dyDescent="0.35">
      <c r="A916" s="1" t="s">
        <v>65</v>
      </c>
      <c r="B916" s="1"/>
      <c r="C916">
        <v>2014</v>
      </c>
      <c r="D916">
        <v>0.43</v>
      </c>
    </row>
    <row r="917" spans="1:4" x14ac:dyDescent="0.35">
      <c r="A917" s="1" t="s">
        <v>65</v>
      </c>
      <c r="B917" s="1"/>
      <c r="C917">
        <v>2015</v>
      </c>
      <c r="D917">
        <v>0.66</v>
      </c>
    </row>
    <row r="918" spans="1:4" x14ac:dyDescent="0.35">
      <c r="A918" s="1" t="s">
        <v>65</v>
      </c>
      <c r="B918" s="1"/>
      <c r="C918">
        <v>2016</v>
      </c>
      <c r="D918">
        <v>2.4500000000000002</v>
      </c>
    </row>
    <row r="919" spans="1:4" x14ac:dyDescent="0.35">
      <c r="A919" s="1" t="s">
        <v>65</v>
      </c>
      <c r="B919" s="1"/>
      <c r="C919">
        <v>2017</v>
      </c>
      <c r="D919">
        <v>3.27</v>
      </c>
    </row>
    <row r="920" spans="1:4" x14ac:dyDescent="0.35">
      <c r="A920" s="1" t="s">
        <v>65</v>
      </c>
      <c r="B920" s="1"/>
      <c r="C920">
        <v>2018</v>
      </c>
      <c r="D920">
        <v>6.13</v>
      </c>
    </row>
    <row r="921" spans="1:4" x14ac:dyDescent="0.35">
      <c r="A921" s="1" t="s">
        <v>65</v>
      </c>
      <c r="B921" s="1"/>
      <c r="C921">
        <v>2019</v>
      </c>
      <c r="D921">
        <v>6.12</v>
      </c>
    </row>
    <row r="922" spans="1:4" x14ac:dyDescent="0.35">
      <c r="A922" s="1" t="s">
        <v>65</v>
      </c>
      <c r="B922" s="1"/>
      <c r="C922">
        <v>2020</v>
      </c>
      <c r="D922">
        <v>5.92</v>
      </c>
    </row>
    <row r="923" spans="1:4" x14ac:dyDescent="0.35">
      <c r="A923" s="1" t="s">
        <v>65</v>
      </c>
      <c r="B923" s="1"/>
      <c r="C923">
        <v>2021</v>
      </c>
      <c r="D923">
        <v>6.83</v>
      </c>
    </row>
    <row r="924" spans="1:4" x14ac:dyDescent="0.35">
      <c r="A924" s="1" t="s">
        <v>65</v>
      </c>
      <c r="B924" s="1"/>
      <c r="C924">
        <v>2022</v>
      </c>
      <c r="D924">
        <v>6.06</v>
      </c>
    </row>
    <row r="925" spans="1:4" x14ac:dyDescent="0.35">
      <c r="A925" s="1" t="s">
        <v>65</v>
      </c>
      <c r="B925" s="1"/>
      <c r="C925">
        <v>2023</v>
      </c>
      <c r="D925">
        <v>6.6</v>
      </c>
    </row>
    <row r="926" spans="1:4" x14ac:dyDescent="0.35">
      <c r="A926" s="1" t="s">
        <v>65</v>
      </c>
      <c r="B926" s="1"/>
      <c r="C926">
        <v>2024</v>
      </c>
      <c r="D926">
        <v>6.6</v>
      </c>
    </row>
    <row r="927" spans="1:4" x14ac:dyDescent="0.35">
      <c r="A927" s="1" t="s">
        <v>65</v>
      </c>
      <c r="B927" s="1" t="s">
        <v>135</v>
      </c>
      <c r="C927">
        <v>2000</v>
      </c>
      <c r="D927" t="s">
        <v>136</v>
      </c>
    </row>
    <row r="928" spans="1:4" x14ac:dyDescent="0.35">
      <c r="A928" s="1" t="s">
        <v>65</v>
      </c>
      <c r="B928" s="1"/>
      <c r="C928">
        <v>2001</v>
      </c>
      <c r="D928" t="s">
        <v>136</v>
      </c>
    </row>
    <row r="929" spans="1:4" x14ac:dyDescent="0.35">
      <c r="A929" s="1" t="s">
        <v>65</v>
      </c>
      <c r="B929" s="1"/>
      <c r="C929">
        <v>2002</v>
      </c>
      <c r="D929" t="s">
        <v>136</v>
      </c>
    </row>
    <row r="930" spans="1:4" x14ac:dyDescent="0.35">
      <c r="A930" s="1" t="s">
        <v>65</v>
      </c>
      <c r="B930" s="1"/>
      <c r="C930">
        <v>2003</v>
      </c>
      <c r="D930" t="s">
        <v>136</v>
      </c>
    </row>
    <row r="931" spans="1:4" x14ac:dyDescent="0.35">
      <c r="A931" s="1" t="s">
        <v>65</v>
      </c>
      <c r="B931" s="1"/>
      <c r="C931">
        <v>2004</v>
      </c>
      <c r="D931" t="s">
        <v>136</v>
      </c>
    </row>
    <row r="932" spans="1:4" x14ac:dyDescent="0.35">
      <c r="A932" s="1" t="s">
        <v>65</v>
      </c>
      <c r="B932" s="1"/>
      <c r="C932">
        <v>2005</v>
      </c>
      <c r="D932" t="s">
        <v>136</v>
      </c>
    </row>
    <row r="933" spans="1:4" x14ac:dyDescent="0.35">
      <c r="A933" s="1" t="s">
        <v>65</v>
      </c>
      <c r="B933" s="1"/>
      <c r="C933">
        <v>2006</v>
      </c>
      <c r="D933" t="s">
        <v>136</v>
      </c>
    </row>
    <row r="934" spans="1:4" x14ac:dyDescent="0.35">
      <c r="A934" s="1" t="s">
        <v>65</v>
      </c>
      <c r="B934" s="1"/>
      <c r="C934">
        <v>2007</v>
      </c>
      <c r="D934" t="s">
        <v>136</v>
      </c>
    </row>
    <row r="935" spans="1:4" x14ac:dyDescent="0.35">
      <c r="A935" s="1" t="s">
        <v>65</v>
      </c>
      <c r="B935" s="1"/>
      <c r="C935">
        <v>2008</v>
      </c>
      <c r="D935" t="s">
        <v>136</v>
      </c>
    </row>
    <row r="936" spans="1:4" x14ac:dyDescent="0.35">
      <c r="A936" s="1" t="s">
        <v>65</v>
      </c>
      <c r="B936" s="1"/>
      <c r="C936">
        <v>2009</v>
      </c>
      <c r="D936" t="s">
        <v>136</v>
      </c>
    </row>
    <row r="937" spans="1:4" x14ac:dyDescent="0.35">
      <c r="A937" s="1" t="s">
        <v>65</v>
      </c>
      <c r="B937" s="1"/>
      <c r="C937">
        <v>2010</v>
      </c>
      <c r="D937" t="s">
        <v>136</v>
      </c>
    </row>
    <row r="938" spans="1:4" x14ac:dyDescent="0.35">
      <c r="A938" s="1" t="s">
        <v>65</v>
      </c>
      <c r="B938" s="1"/>
      <c r="C938">
        <v>2011</v>
      </c>
      <c r="D938" t="s">
        <v>136</v>
      </c>
    </row>
    <row r="939" spans="1:4" x14ac:dyDescent="0.35">
      <c r="A939" s="1" t="s">
        <v>65</v>
      </c>
      <c r="B939" s="1"/>
      <c r="C939">
        <v>2012</v>
      </c>
      <c r="D939" t="s">
        <v>136</v>
      </c>
    </row>
    <row r="940" spans="1:4" x14ac:dyDescent="0.35">
      <c r="A940" s="1" t="s">
        <v>65</v>
      </c>
      <c r="B940" s="1"/>
      <c r="C940">
        <v>2013</v>
      </c>
      <c r="D940" t="s">
        <v>136</v>
      </c>
    </row>
    <row r="941" spans="1:4" x14ac:dyDescent="0.35">
      <c r="A941" s="1" t="s">
        <v>65</v>
      </c>
      <c r="B941" s="1"/>
      <c r="C941">
        <v>2014</v>
      </c>
      <c r="D941">
        <v>0</v>
      </c>
    </row>
    <row r="942" spans="1:4" x14ac:dyDescent="0.35">
      <c r="A942" s="1" t="s">
        <v>65</v>
      </c>
      <c r="B942" s="1"/>
      <c r="C942">
        <v>2015</v>
      </c>
      <c r="D942">
        <v>1.1599999999999999</v>
      </c>
    </row>
    <row r="943" spans="1:4" x14ac:dyDescent="0.35">
      <c r="A943" s="1" t="s">
        <v>65</v>
      </c>
      <c r="B943" s="1"/>
      <c r="C943">
        <v>2016</v>
      </c>
      <c r="D943">
        <v>4.38</v>
      </c>
    </row>
    <row r="944" spans="1:4" x14ac:dyDescent="0.35">
      <c r="A944" s="1" t="s">
        <v>65</v>
      </c>
      <c r="B944" s="1"/>
      <c r="C944">
        <v>2017</v>
      </c>
      <c r="D944">
        <v>5.81</v>
      </c>
    </row>
    <row r="945" spans="1:4" x14ac:dyDescent="0.35">
      <c r="A945" s="1" t="s">
        <v>65</v>
      </c>
      <c r="B945" s="1"/>
      <c r="C945">
        <v>2018</v>
      </c>
      <c r="D945">
        <v>10.64</v>
      </c>
    </row>
    <row r="946" spans="1:4" x14ac:dyDescent="0.35">
      <c r="A946" s="1" t="s">
        <v>65</v>
      </c>
      <c r="B946" s="1"/>
      <c r="C946">
        <v>2019</v>
      </c>
      <c r="D946">
        <v>10.62</v>
      </c>
    </row>
    <row r="947" spans="1:4" x14ac:dyDescent="0.35">
      <c r="A947" s="1" t="s">
        <v>65</v>
      </c>
      <c r="B947" s="1"/>
      <c r="C947">
        <v>2020</v>
      </c>
      <c r="D947">
        <v>10.3</v>
      </c>
    </row>
    <row r="948" spans="1:4" x14ac:dyDescent="0.35">
      <c r="A948" s="1" t="s">
        <v>65</v>
      </c>
      <c r="B948" s="1"/>
      <c r="C948">
        <v>2021</v>
      </c>
      <c r="D948">
        <v>11.8</v>
      </c>
    </row>
    <row r="949" spans="1:4" x14ac:dyDescent="0.35">
      <c r="A949" s="1" t="s">
        <v>65</v>
      </c>
      <c r="B949" s="1"/>
      <c r="C949">
        <v>2022</v>
      </c>
      <c r="D949">
        <v>10.52</v>
      </c>
    </row>
    <row r="950" spans="1:4" x14ac:dyDescent="0.35">
      <c r="A950" s="1" t="s">
        <v>65</v>
      </c>
      <c r="B950" s="1"/>
      <c r="C950">
        <v>2023</v>
      </c>
      <c r="D950">
        <v>11.43</v>
      </c>
    </row>
    <row r="951" spans="1:4" x14ac:dyDescent="0.35">
      <c r="A951" s="1" t="s">
        <v>65</v>
      </c>
      <c r="B951" s="1"/>
      <c r="C951">
        <v>2024</v>
      </c>
      <c r="D951" t="s">
        <v>136</v>
      </c>
    </row>
    <row r="952" spans="1:4" x14ac:dyDescent="0.35">
      <c r="A952" s="1" t="s">
        <v>69</v>
      </c>
      <c r="B952" s="1" t="s">
        <v>134</v>
      </c>
      <c r="C952">
        <v>2000</v>
      </c>
      <c r="D952">
        <v>76.930000000000007</v>
      </c>
    </row>
    <row r="953" spans="1:4" x14ac:dyDescent="0.35">
      <c r="A953" s="1" t="s">
        <v>69</v>
      </c>
      <c r="B953" s="1"/>
      <c r="C953">
        <v>2001</v>
      </c>
      <c r="D953">
        <v>76.930000000000007</v>
      </c>
    </row>
    <row r="954" spans="1:4" x14ac:dyDescent="0.35">
      <c r="A954" s="1" t="s">
        <v>69</v>
      </c>
      <c r="B954" s="1"/>
      <c r="C954">
        <v>2002</v>
      </c>
      <c r="D954">
        <v>76.989999999999995</v>
      </c>
    </row>
    <row r="955" spans="1:4" x14ac:dyDescent="0.35">
      <c r="A955" s="1" t="s">
        <v>69</v>
      </c>
      <c r="B955" s="1"/>
      <c r="C955">
        <v>2003</v>
      </c>
      <c r="D955">
        <v>65.709999999999994</v>
      </c>
    </row>
    <row r="956" spans="1:4" x14ac:dyDescent="0.35">
      <c r="A956" s="1" t="s">
        <v>69</v>
      </c>
      <c r="B956" s="1"/>
      <c r="C956">
        <v>2004</v>
      </c>
      <c r="D956">
        <v>67.62</v>
      </c>
    </row>
    <row r="957" spans="1:4" x14ac:dyDescent="0.35">
      <c r="A957" s="1" t="s">
        <v>69</v>
      </c>
      <c r="B957" s="1"/>
      <c r="C957">
        <v>2005</v>
      </c>
      <c r="D957">
        <v>70.87</v>
      </c>
    </row>
    <row r="958" spans="1:4" x14ac:dyDescent="0.35">
      <c r="A958" s="1" t="s">
        <v>69</v>
      </c>
      <c r="B958" s="1"/>
      <c r="C958">
        <v>2006</v>
      </c>
      <c r="D958">
        <v>74.569999999999993</v>
      </c>
    </row>
    <row r="959" spans="1:4" x14ac:dyDescent="0.35">
      <c r="A959" s="1" t="s">
        <v>69</v>
      </c>
      <c r="B959" s="1"/>
      <c r="C959">
        <v>2007</v>
      </c>
      <c r="D959">
        <v>68.59</v>
      </c>
    </row>
    <row r="960" spans="1:4" x14ac:dyDescent="0.35">
      <c r="A960" s="1" t="s">
        <v>69</v>
      </c>
      <c r="B960" s="1"/>
      <c r="C960">
        <v>2008</v>
      </c>
      <c r="D960">
        <v>67.28</v>
      </c>
    </row>
    <row r="961" spans="1:4" x14ac:dyDescent="0.35">
      <c r="A961" s="1" t="s">
        <v>69</v>
      </c>
      <c r="B961" s="1"/>
      <c r="C961">
        <v>2009</v>
      </c>
      <c r="D961">
        <v>68.650000000000006</v>
      </c>
    </row>
    <row r="962" spans="1:4" x14ac:dyDescent="0.35">
      <c r="A962" s="1" t="s">
        <v>69</v>
      </c>
      <c r="B962" s="1"/>
      <c r="C962">
        <v>2010</v>
      </c>
      <c r="D962">
        <v>68.09</v>
      </c>
    </row>
    <row r="963" spans="1:4" x14ac:dyDescent="0.35">
      <c r="A963" s="1" t="s">
        <v>69</v>
      </c>
      <c r="B963" s="1"/>
      <c r="C963">
        <v>2011</v>
      </c>
      <c r="D963">
        <v>64.430000000000007</v>
      </c>
    </row>
    <row r="964" spans="1:4" x14ac:dyDescent="0.35">
      <c r="A964" s="1" t="s">
        <v>69</v>
      </c>
      <c r="B964" s="1"/>
      <c r="C964">
        <v>2012</v>
      </c>
      <c r="D964">
        <v>65.59</v>
      </c>
    </row>
    <row r="965" spans="1:4" x14ac:dyDescent="0.35">
      <c r="A965" s="1" t="s">
        <v>69</v>
      </c>
      <c r="B965" s="1"/>
      <c r="C965">
        <v>2013</v>
      </c>
      <c r="D965">
        <v>65.569999999999993</v>
      </c>
    </row>
    <row r="966" spans="1:4" x14ac:dyDescent="0.35">
      <c r="A966" s="1" t="s">
        <v>69</v>
      </c>
      <c r="B966" s="1"/>
      <c r="C966">
        <v>2014</v>
      </c>
      <c r="D966">
        <v>65.45</v>
      </c>
    </row>
    <row r="967" spans="1:4" x14ac:dyDescent="0.35">
      <c r="A967" s="1" t="s">
        <v>69</v>
      </c>
      <c r="B967" s="1"/>
      <c r="C967">
        <v>2015</v>
      </c>
      <c r="D967">
        <v>65.33</v>
      </c>
    </row>
    <row r="968" spans="1:4" x14ac:dyDescent="0.35">
      <c r="A968" s="1" t="s">
        <v>69</v>
      </c>
      <c r="B968" s="1"/>
      <c r="C968">
        <v>2016</v>
      </c>
      <c r="D968">
        <v>66.14</v>
      </c>
    </row>
    <row r="969" spans="1:4" x14ac:dyDescent="0.35">
      <c r="A969" s="1" t="s">
        <v>69</v>
      </c>
      <c r="B969" s="1"/>
      <c r="C969">
        <v>2017</v>
      </c>
      <c r="D969">
        <v>67.56</v>
      </c>
    </row>
    <row r="970" spans="1:4" x14ac:dyDescent="0.35">
      <c r="A970" s="1" t="s">
        <v>69</v>
      </c>
      <c r="B970" s="1"/>
      <c r="C970">
        <v>2018</v>
      </c>
      <c r="D970">
        <v>71.84</v>
      </c>
    </row>
    <row r="971" spans="1:4" x14ac:dyDescent="0.35">
      <c r="A971" s="1" t="s">
        <v>69</v>
      </c>
      <c r="B971" s="1"/>
      <c r="C971">
        <v>2019</v>
      </c>
      <c r="D971">
        <v>72.099999999999994</v>
      </c>
    </row>
    <row r="972" spans="1:4" x14ac:dyDescent="0.35">
      <c r="A972" s="1" t="s">
        <v>69</v>
      </c>
      <c r="B972" s="1"/>
      <c r="C972">
        <v>2020</v>
      </c>
      <c r="D972">
        <v>75.41</v>
      </c>
    </row>
    <row r="973" spans="1:4" x14ac:dyDescent="0.35">
      <c r="A973" s="1" t="s">
        <v>69</v>
      </c>
      <c r="B973" s="1"/>
      <c r="C973">
        <v>2021</v>
      </c>
      <c r="D973">
        <v>76.72</v>
      </c>
    </row>
    <row r="974" spans="1:4" x14ac:dyDescent="0.35">
      <c r="A974" s="1" t="s">
        <v>69</v>
      </c>
      <c r="B974" s="1"/>
      <c r="C974">
        <v>2022</v>
      </c>
      <c r="D974">
        <v>79.599999999999994</v>
      </c>
    </row>
    <row r="975" spans="1:4" x14ac:dyDescent="0.35">
      <c r="A975" s="1" t="s">
        <v>69</v>
      </c>
      <c r="B975" s="1"/>
      <c r="C975">
        <v>2023</v>
      </c>
      <c r="D975">
        <v>82.89</v>
      </c>
    </row>
    <row r="976" spans="1:4" x14ac:dyDescent="0.35">
      <c r="A976" s="1" t="s">
        <v>69</v>
      </c>
      <c r="B976" s="1"/>
      <c r="C976">
        <v>2024</v>
      </c>
      <c r="D976">
        <v>83.23</v>
      </c>
    </row>
    <row r="977" spans="1:4" x14ac:dyDescent="0.35">
      <c r="A977" s="1" t="s">
        <v>69</v>
      </c>
      <c r="B977" s="1" t="s">
        <v>135</v>
      </c>
      <c r="C977">
        <v>2000</v>
      </c>
      <c r="D977">
        <v>57.38</v>
      </c>
    </row>
    <row r="978" spans="1:4" x14ac:dyDescent="0.35">
      <c r="A978" s="1" t="s">
        <v>69</v>
      </c>
      <c r="B978" s="1"/>
      <c r="C978">
        <v>2001</v>
      </c>
      <c r="D978">
        <v>57.3</v>
      </c>
    </row>
    <row r="979" spans="1:4" x14ac:dyDescent="0.35">
      <c r="A979" s="1" t="s">
        <v>69</v>
      </c>
      <c r="B979" s="1"/>
      <c r="C979">
        <v>2002</v>
      </c>
      <c r="D979">
        <v>72.22</v>
      </c>
    </row>
    <row r="980" spans="1:4" x14ac:dyDescent="0.35">
      <c r="A980" s="1" t="s">
        <v>69</v>
      </c>
      <c r="B980" s="1"/>
      <c r="C980">
        <v>2003</v>
      </c>
      <c r="D980">
        <v>80.680000000000007</v>
      </c>
    </row>
    <row r="981" spans="1:4" x14ac:dyDescent="0.35">
      <c r="A981" s="1" t="s">
        <v>69</v>
      </c>
      <c r="B981" s="1"/>
      <c r="C981">
        <v>2004</v>
      </c>
      <c r="D981">
        <v>78.98</v>
      </c>
    </row>
    <row r="982" spans="1:4" x14ac:dyDescent="0.35">
      <c r="A982" s="1" t="s">
        <v>69</v>
      </c>
      <c r="B982" s="1"/>
      <c r="C982">
        <v>2005</v>
      </c>
      <c r="D982">
        <v>73.25</v>
      </c>
    </row>
    <row r="983" spans="1:4" x14ac:dyDescent="0.35">
      <c r="A983" s="1" t="s">
        <v>69</v>
      </c>
      <c r="B983" s="1"/>
      <c r="C983">
        <v>2006</v>
      </c>
      <c r="D983">
        <v>71.069999999999993</v>
      </c>
    </row>
    <row r="984" spans="1:4" x14ac:dyDescent="0.35">
      <c r="A984" s="1" t="s">
        <v>69</v>
      </c>
      <c r="B984" s="1"/>
      <c r="C984">
        <v>2007</v>
      </c>
      <c r="D984">
        <v>71.12</v>
      </c>
    </row>
    <row r="985" spans="1:4" x14ac:dyDescent="0.35">
      <c r="A985" s="1" t="s">
        <v>69</v>
      </c>
      <c r="B985" s="1"/>
      <c r="C985">
        <v>2008</v>
      </c>
      <c r="D985">
        <v>67.66</v>
      </c>
    </row>
    <row r="986" spans="1:4" x14ac:dyDescent="0.35">
      <c r="A986" s="1" t="s">
        <v>69</v>
      </c>
      <c r="B986" s="1"/>
      <c r="C986">
        <v>2009</v>
      </c>
      <c r="D986">
        <v>59.68</v>
      </c>
    </row>
    <row r="987" spans="1:4" x14ac:dyDescent="0.35">
      <c r="A987" s="1" t="s">
        <v>69</v>
      </c>
      <c r="B987" s="1"/>
      <c r="C987">
        <v>2010</v>
      </c>
      <c r="D987">
        <v>62.94</v>
      </c>
    </row>
    <row r="988" spans="1:4" x14ac:dyDescent="0.35">
      <c r="A988" s="1" t="s">
        <v>69</v>
      </c>
      <c r="B988" s="1"/>
      <c r="C988">
        <v>2011</v>
      </c>
      <c r="D988">
        <v>68.33</v>
      </c>
    </row>
    <row r="989" spans="1:4" x14ac:dyDescent="0.35">
      <c r="A989" s="1" t="s">
        <v>69</v>
      </c>
      <c r="B989" s="1"/>
      <c r="C989">
        <v>2012</v>
      </c>
      <c r="D989">
        <v>71.27</v>
      </c>
    </row>
    <row r="990" spans="1:4" x14ac:dyDescent="0.35">
      <c r="A990" s="1" t="s">
        <v>69</v>
      </c>
      <c r="B990" s="1"/>
      <c r="C990">
        <v>2013</v>
      </c>
      <c r="D990">
        <v>72.400000000000006</v>
      </c>
    </row>
    <row r="991" spans="1:4" x14ac:dyDescent="0.35">
      <c r="A991" s="1" t="s">
        <v>69</v>
      </c>
      <c r="B991" s="1"/>
      <c r="C991">
        <v>2014</v>
      </c>
      <c r="D991">
        <v>75.27</v>
      </c>
    </row>
    <row r="992" spans="1:4" x14ac:dyDescent="0.35">
      <c r="A992" s="1" t="s">
        <v>69</v>
      </c>
      <c r="B992" s="1"/>
      <c r="C992">
        <v>2015</v>
      </c>
      <c r="D992">
        <v>83.38</v>
      </c>
    </row>
    <row r="993" spans="1:4" x14ac:dyDescent="0.35">
      <c r="A993" s="1" t="s">
        <v>69</v>
      </c>
      <c r="B993" s="1"/>
      <c r="C993">
        <v>2016</v>
      </c>
      <c r="D993">
        <v>82.52</v>
      </c>
    </row>
    <row r="994" spans="1:4" x14ac:dyDescent="0.35">
      <c r="A994" s="1" t="s">
        <v>69</v>
      </c>
      <c r="B994" s="1"/>
      <c r="C994">
        <v>2017</v>
      </c>
      <c r="D994">
        <v>79.33</v>
      </c>
    </row>
    <row r="995" spans="1:4" x14ac:dyDescent="0.35">
      <c r="A995" s="1" t="s">
        <v>69</v>
      </c>
      <c r="B995" s="1"/>
      <c r="C995">
        <v>2018</v>
      </c>
      <c r="D995">
        <v>83.68</v>
      </c>
    </row>
    <row r="996" spans="1:4" x14ac:dyDescent="0.35">
      <c r="A996" s="1" t="s">
        <v>69</v>
      </c>
      <c r="B996" s="1"/>
      <c r="C996">
        <v>2019</v>
      </c>
      <c r="D996">
        <v>89.64</v>
      </c>
    </row>
    <row r="997" spans="1:4" x14ac:dyDescent="0.35">
      <c r="A997" s="1" t="s">
        <v>69</v>
      </c>
      <c r="B997" s="1"/>
      <c r="C997">
        <v>2020</v>
      </c>
      <c r="D997">
        <v>91.46</v>
      </c>
    </row>
    <row r="998" spans="1:4" x14ac:dyDescent="0.35">
      <c r="A998" s="1" t="s">
        <v>69</v>
      </c>
      <c r="B998" s="1"/>
      <c r="C998">
        <v>2021</v>
      </c>
      <c r="D998">
        <v>88.22</v>
      </c>
    </row>
    <row r="999" spans="1:4" x14ac:dyDescent="0.35">
      <c r="A999" s="1" t="s">
        <v>69</v>
      </c>
      <c r="B999" s="1"/>
      <c r="C999">
        <v>2022</v>
      </c>
      <c r="D999">
        <v>86.32</v>
      </c>
    </row>
    <row r="1000" spans="1:4" x14ac:dyDescent="0.35">
      <c r="A1000" s="1" t="s">
        <v>69</v>
      </c>
      <c r="B1000" s="1"/>
      <c r="C1000">
        <v>2023</v>
      </c>
      <c r="D1000">
        <v>89.09</v>
      </c>
    </row>
    <row r="1001" spans="1:4" x14ac:dyDescent="0.35">
      <c r="A1001" s="1" t="s">
        <v>69</v>
      </c>
      <c r="B1001" s="1"/>
      <c r="C1001">
        <v>2024</v>
      </c>
      <c r="D1001" t="s">
        <v>136</v>
      </c>
    </row>
    <row r="1002" spans="1:4" x14ac:dyDescent="0.35">
      <c r="A1002" s="1" t="s">
        <v>75</v>
      </c>
      <c r="B1002" s="1" t="s">
        <v>134</v>
      </c>
      <c r="C1002">
        <v>2000</v>
      </c>
      <c r="D1002">
        <v>98.43</v>
      </c>
    </row>
    <row r="1003" spans="1:4" x14ac:dyDescent="0.35">
      <c r="A1003" s="1" t="s">
        <v>75</v>
      </c>
      <c r="B1003" s="1"/>
      <c r="C1003">
        <v>2001</v>
      </c>
      <c r="D1003">
        <v>98.43</v>
      </c>
    </row>
    <row r="1004" spans="1:4" x14ac:dyDescent="0.35">
      <c r="A1004" s="1" t="s">
        <v>75</v>
      </c>
      <c r="B1004" s="1"/>
      <c r="C1004">
        <v>2002</v>
      </c>
      <c r="D1004">
        <v>98.43</v>
      </c>
    </row>
    <row r="1005" spans="1:4" x14ac:dyDescent="0.35">
      <c r="A1005" s="1" t="s">
        <v>75</v>
      </c>
      <c r="B1005" s="1"/>
      <c r="C1005">
        <v>2003</v>
      </c>
      <c r="D1005">
        <v>99.34</v>
      </c>
    </row>
    <row r="1006" spans="1:4" x14ac:dyDescent="0.35">
      <c r="A1006" s="1" t="s">
        <v>75</v>
      </c>
      <c r="B1006" s="1"/>
      <c r="C1006">
        <v>2004</v>
      </c>
      <c r="D1006">
        <v>99.34</v>
      </c>
    </row>
    <row r="1007" spans="1:4" x14ac:dyDescent="0.35">
      <c r="A1007" s="1" t="s">
        <v>75</v>
      </c>
      <c r="B1007" s="1"/>
      <c r="C1007">
        <v>2005</v>
      </c>
      <c r="D1007">
        <v>99.34</v>
      </c>
    </row>
    <row r="1008" spans="1:4" x14ac:dyDescent="0.35">
      <c r="A1008" s="1" t="s">
        <v>75</v>
      </c>
      <c r="B1008" s="1"/>
      <c r="C1008">
        <v>2006</v>
      </c>
      <c r="D1008">
        <v>99.32</v>
      </c>
    </row>
    <row r="1009" spans="1:4" x14ac:dyDescent="0.35">
      <c r="A1009" s="1" t="s">
        <v>75</v>
      </c>
      <c r="B1009" s="1"/>
      <c r="C1009">
        <v>2007</v>
      </c>
      <c r="D1009">
        <v>99.32</v>
      </c>
    </row>
    <row r="1010" spans="1:4" x14ac:dyDescent="0.35">
      <c r="A1010" s="1" t="s">
        <v>75</v>
      </c>
      <c r="B1010" s="1"/>
      <c r="C1010">
        <v>2008</v>
      </c>
      <c r="D1010">
        <v>99.32</v>
      </c>
    </row>
    <row r="1011" spans="1:4" x14ac:dyDescent="0.35">
      <c r="A1011" s="1" t="s">
        <v>75</v>
      </c>
      <c r="B1011" s="1"/>
      <c r="C1011">
        <v>2009</v>
      </c>
      <c r="D1011">
        <v>99.32</v>
      </c>
    </row>
    <row r="1012" spans="1:4" x14ac:dyDescent="0.35">
      <c r="A1012" s="1" t="s">
        <v>75</v>
      </c>
      <c r="B1012" s="1"/>
      <c r="C1012">
        <v>2010</v>
      </c>
      <c r="D1012">
        <v>99.32</v>
      </c>
    </row>
    <row r="1013" spans="1:4" x14ac:dyDescent="0.35">
      <c r="A1013" s="1" t="s">
        <v>75</v>
      </c>
      <c r="B1013" s="1"/>
      <c r="C1013">
        <v>2011</v>
      </c>
      <c r="D1013">
        <v>99.32</v>
      </c>
    </row>
    <row r="1014" spans="1:4" x14ac:dyDescent="0.35">
      <c r="A1014" s="1" t="s">
        <v>75</v>
      </c>
      <c r="B1014" s="1"/>
      <c r="C1014">
        <v>2012</v>
      </c>
      <c r="D1014">
        <v>99.34</v>
      </c>
    </row>
    <row r="1015" spans="1:4" x14ac:dyDescent="0.35">
      <c r="A1015" s="1" t="s">
        <v>75</v>
      </c>
      <c r="B1015" s="1"/>
      <c r="C1015">
        <v>2013</v>
      </c>
      <c r="D1015">
        <v>99.33</v>
      </c>
    </row>
    <row r="1016" spans="1:4" x14ac:dyDescent="0.35">
      <c r="A1016" s="1" t="s">
        <v>75</v>
      </c>
      <c r="B1016" s="1"/>
      <c r="C1016">
        <v>2014</v>
      </c>
      <c r="D1016">
        <v>99.33</v>
      </c>
    </row>
    <row r="1017" spans="1:4" x14ac:dyDescent="0.35">
      <c r="A1017" s="1" t="s">
        <v>75</v>
      </c>
      <c r="B1017" s="1"/>
      <c r="C1017">
        <v>2015</v>
      </c>
      <c r="D1017">
        <v>99.33</v>
      </c>
    </row>
    <row r="1018" spans="1:4" x14ac:dyDescent="0.35">
      <c r="A1018" s="1" t="s">
        <v>75</v>
      </c>
      <c r="B1018" s="1"/>
      <c r="C1018">
        <v>2016</v>
      </c>
      <c r="D1018">
        <v>99.33</v>
      </c>
    </row>
    <row r="1019" spans="1:4" x14ac:dyDescent="0.35">
      <c r="A1019" s="1" t="s">
        <v>75</v>
      </c>
      <c r="B1019" s="1"/>
      <c r="C1019">
        <v>2017</v>
      </c>
      <c r="D1019">
        <v>99.33</v>
      </c>
    </row>
    <row r="1020" spans="1:4" x14ac:dyDescent="0.35">
      <c r="A1020" s="1" t="s">
        <v>75</v>
      </c>
      <c r="B1020" s="1"/>
      <c r="C1020">
        <v>2018</v>
      </c>
      <c r="D1020">
        <v>99.33</v>
      </c>
    </row>
    <row r="1021" spans="1:4" x14ac:dyDescent="0.35">
      <c r="A1021" s="1" t="s">
        <v>75</v>
      </c>
      <c r="B1021" s="1"/>
      <c r="C1021">
        <v>2019</v>
      </c>
      <c r="D1021">
        <v>99.34</v>
      </c>
    </row>
    <row r="1022" spans="1:4" x14ac:dyDescent="0.35">
      <c r="A1022" s="1" t="s">
        <v>75</v>
      </c>
      <c r="B1022" s="1"/>
      <c r="C1022">
        <v>2020</v>
      </c>
      <c r="D1022">
        <v>99.34</v>
      </c>
    </row>
    <row r="1023" spans="1:4" x14ac:dyDescent="0.35">
      <c r="A1023" s="1" t="s">
        <v>75</v>
      </c>
      <c r="B1023" s="1"/>
      <c r="C1023">
        <v>2021</v>
      </c>
      <c r="D1023">
        <v>99.31</v>
      </c>
    </row>
    <row r="1024" spans="1:4" x14ac:dyDescent="0.35">
      <c r="A1024" s="1" t="s">
        <v>75</v>
      </c>
      <c r="B1024" s="1"/>
      <c r="C1024">
        <v>2022</v>
      </c>
      <c r="D1024">
        <v>99.3</v>
      </c>
    </row>
    <row r="1025" spans="1:4" x14ac:dyDescent="0.35">
      <c r="A1025" s="1" t="s">
        <v>75</v>
      </c>
      <c r="B1025" s="1"/>
      <c r="C1025">
        <v>2023</v>
      </c>
      <c r="D1025">
        <v>99.41</v>
      </c>
    </row>
    <row r="1026" spans="1:4" x14ac:dyDescent="0.35">
      <c r="A1026" s="1" t="s">
        <v>75</v>
      </c>
      <c r="B1026" s="1"/>
      <c r="C1026">
        <v>2024</v>
      </c>
      <c r="D1026">
        <v>98.84</v>
      </c>
    </row>
    <row r="1027" spans="1:4" x14ac:dyDescent="0.35">
      <c r="A1027" s="1" t="s">
        <v>75</v>
      </c>
      <c r="B1027" s="1" t="s">
        <v>135</v>
      </c>
      <c r="C1027">
        <v>2000</v>
      </c>
      <c r="D1027">
        <v>99.9</v>
      </c>
    </row>
    <row r="1028" spans="1:4" x14ac:dyDescent="0.35">
      <c r="A1028" s="1" t="s">
        <v>75</v>
      </c>
      <c r="B1028" s="1"/>
      <c r="C1028">
        <v>2001</v>
      </c>
      <c r="D1028">
        <v>99.9</v>
      </c>
    </row>
    <row r="1029" spans="1:4" x14ac:dyDescent="0.35">
      <c r="A1029" s="1" t="s">
        <v>75</v>
      </c>
      <c r="B1029" s="1"/>
      <c r="C1029">
        <v>2002</v>
      </c>
      <c r="D1029">
        <v>99.91</v>
      </c>
    </row>
    <row r="1030" spans="1:4" x14ac:dyDescent="0.35">
      <c r="A1030" s="1" t="s">
        <v>75</v>
      </c>
      <c r="B1030" s="1"/>
      <c r="C1030">
        <v>2003</v>
      </c>
      <c r="D1030">
        <v>99.91</v>
      </c>
    </row>
    <row r="1031" spans="1:4" x14ac:dyDescent="0.35">
      <c r="A1031" s="1" t="s">
        <v>75</v>
      </c>
      <c r="B1031" s="1"/>
      <c r="C1031">
        <v>2004</v>
      </c>
      <c r="D1031">
        <v>99.91</v>
      </c>
    </row>
    <row r="1032" spans="1:4" x14ac:dyDescent="0.35">
      <c r="A1032" s="1" t="s">
        <v>75</v>
      </c>
      <c r="B1032" s="1"/>
      <c r="C1032">
        <v>2005</v>
      </c>
      <c r="D1032">
        <v>99.92</v>
      </c>
    </row>
    <row r="1033" spans="1:4" x14ac:dyDescent="0.35">
      <c r="A1033" s="1" t="s">
        <v>75</v>
      </c>
      <c r="B1033" s="1"/>
      <c r="C1033">
        <v>2006</v>
      </c>
      <c r="D1033">
        <v>99.92</v>
      </c>
    </row>
    <row r="1034" spans="1:4" x14ac:dyDescent="0.35">
      <c r="A1034" s="1" t="s">
        <v>75</v>
      </c>
      <c r="B1034" s="1"/>
      <c r="C1034">
        <v>2007</v>
      </c>
      <c r="D1034">
        <v>99.93</v>
      </c>
    </row>
    <row r="1035" spans="1:4" x14ac:dyDescent="0.35">
      <c r="A1035" s="1" t="s">
        <v>75</v>
      </c>
      <c r="B1035" s="1"/>
      <c r="C1035">
        <v>2008</v>
      </c>
      <c r="D1035">
        <v>99.92</v>
      </c>
    </row>
    <row r="1036" spans="1:4" x14ac:dyDescent="0.35">
      <c r="A1036" s="1" t="s">
        <v>75</v>
      </c>
      <c r="B1036" s="1"/>
      <c r="C1036">
        <v>2009</v>
      </c>
      <c r="D1036">
        <v>99.93</v>
      </c>
    </row>
    <row r="1037" spans="1:4" x14ac:dyDescent="0.35">
      <c r="A1037" s="1" t="s">
        <v>75</v>
      </c>
      <c r="B1037" s="1"/>
      <c r="C1037">
        <v>2010</v>
      </c>
      <c r="D1037">
        <v>99.92</v>
      </c>
    </row>
    <row r="1038" spans="1:4" x14ac:dyDescent="0.35">
      <c r="A1038" s="1" t="s">
        <v>75</v>
      </c>
      <c r="B1038" s="1"/>
      <c r="C1038">
        <v>2011</v>
      </c>
      <c r="D1038">
        <v>99.92</v>
      </c>
    </row>
    <row r="1039" spans="1:4" x14ac:dyDescent="0.35">
      <c r="A1039" s="1" t="s">
        <v>75</v>
      </c>
      <c r="B1039" s="1"/>
      <c r="C1039">
        <v>2012</v>
      </c>
      <c r="D1039">
        <v>99.92</v>
      </c>
    </row>
    <row r="1040" spans="1:4" x14ac:dyDescent="0.35">
      <c r="A1040" s="1" t="s">
        <v>75</v>
      </c>
      <c r="B1040" s="1"/>
      <c r="C1040">
        <v>2013</v>
      </c>
      <c r="D1040">
        <v>99.93</v>
      </c>
    </row>
    <row r="1041" spans="1:4" x14ac:dyDescent="0.35">
      <c r="A1041" s="1" t="s">
        <v>75</v>
      </c>
      <c r="B1041" s="1"/>
      <c r="C1041">
        <v>2014</v>
      </c>
      <c r="D1041">
        <v>99.93</v>
      </c>
    </row>
    <row r="1042" spans="1:4" x14ac:dyDescent="0.35">
      <c r="A1042" s="1" t="s">
        <v>75</v>
      </c>
      <c r="B1042" s="1"/>
      <c r="C1042">
        <v>2015</v>
      </c>
      <c r="D1042">
        <v>99.93</v>
      </c>
    </row>
    <row r="1043" spans="1:4" x14ac:dyDescent="0.35">
      <c r="A1043" s="1" t="s">
        <v>75</v>
      </c>
      <c r="B1043" s="1"/>
      <c r="C1043">
        <v>2016</v>
      </c>
      <c r="D1043">
        <v>99.93</v>
      </c>
    </row>
    <row r="1044" spans="1:4" x14ac:dyDescent="0.35">
      <c r="A1044" s="1" t="s">
        <v>75</v>
      </c>
      <c r="B1044" s="1"/>
      <c r="C1044">
        <v>2017</v>
      </c>
      <c r="D1044">
        <v>99.88</v>
      </c>
    </row>
    <row r="1045" spans="1:4" x14ac:dyDescent="0.35">
      <c r="A1045" s="1" t="s">
        <v>75</v>
      </c>
      <c r="B1045" s="1"/>
      <c r="C1045">
        <v>2018</v>
      </c>
      <c r="D1045">
        <v>99.88</v>
      </c>
    </row>
    <row r="1046" spans="1:4" x14ac:dyDescent="0.35">
      <c r="A1046" s="1" t="s">
        <v>75</v>
      </c>
      <c r="B1046" s="1"/>
      <c r="C1046">
        <v>2019</v>
      </c>
      <c r="D1046">
        <v>99.87</v>
      </c>
    </row>
    <row r="1047" spans="1:4" x14ac:dyDescent="0.35">
      <c r="A1047" s="1" t="s">
        <v>75</v>
      </c>
      <c r="B1047" s="1"/>
      <c r="C1047">
        <v>2020</v>
      </c>
      <c r="D1047">
        <v>99.88</v>
      </c>
    </row>
    <row r="1048" spans="1:4" x14ac:dyDescent="0.35">
      <c r="A1048" s="1" t="s">
        <v>75</v>
      </c>
      <c r="B1048" s="1"/>
      <c r="C1048">
        <v>2021</v>
      </c>
      <c r="D1048">
        <v>99.53</v>
      </c>
    </row>
    <row r="1049" spans="1:4" x14ac:dyDescent="0.35">
      <c r="A1049" s="1" t="s">
        <v>75</v>
      </c>
      <c r="B1049" s="1"/>
      <c r="C1049">
        <v>2022</v>
      </c>
      <c r="D1049">
        <v>99.83</v>
      </c>
    </row>
    <row r="1050" spans="1:4" x14ac:dyDescent="0.35">
      <c r="A1050" s="1" t="s">
        <v>75</v>
      </c>
      <c r="B1050" s="1"/>
      <c r="C1050">
        <v>2023</v>
      </c>
      <c r="D1050">
        <v>99.83</v>
      </c>
    </row>
    <row r="1051" spans="1:4" x14ac:dyDescent="0.35">
      <c r="A1051" s="1" t="s">
        <v>75</v>
      </c>
      <c r="B1051" s="1"/>
      <c r="C1051">
        <v>2024</v>
      </c>
      <c r="D1051" t="s">
        <v>136</v>
      </c>
    </row>
    <row r="1052" spans="1:4" x14ac:dyDescent="0.35">
      <c r="A1052" s="1" t="s">
        <v>71</v>
      </c>
      <c r="B1052" s="1" t="s">
        <v>134</v>
      </c>
      <c r="C1052">
        <v>2000</v>
      </c>
      <c r="D1052">
        <v>6.42</v>
      </c>
    </row>
    <row r="1053" spans="1:4" x14ac:dyDescent="0.35">
      <c r="A1053" s="1" t="s">
        <v>71</v>
      </c>
      <c r="B1053" s="1"/>
      <c r="C1053">
        <v>2001</v>
      </c>
      <c r="D1053">
        <v>6.42</v>
      </c>
    </row>
    <row r="1054" spans="1:4" x14ac:dyDescent="0.35">
      <c r="A1054" s="1" t="s">
        <v>71</v>
      </c>
      <c r="B1054" s="1"/>
      <c r="C1054">
        <v>2002</v>
      </c>
      <c r="D1054">
        <v>6.42</v>
      </c>
    </row>
    <row r="1055" spans="1:4" x14ac:dyDescent="0.35">
      <c r="A1055" s="1" t="s">
        <v>71</v>
      </c>
      <c r="B1055" s="1"/>
      <c r="C1055">
        <v>2003</v>
      </c>
      <c r="D1055">
        <v>6.42</v>
      </c>
    </row>
    <row r="1056" spans="1:4" x14ac:dyDescent="0.35">
      <c r="A1056" s="1" t="s">
        <v>71</v>
      </c>
      <c r="B1056" s="1"/>
      <c r="C1056">
        <v>2004</v>
      </c>
      <c r="D1056">
        <v>6.17</v>
      </c>
    </row>
    <row r="1057" spans="1:4" x14ac:dyDescent="0.35">
      <c r="A1057" s="1" t="s">
        <v>71</v>
      </c>
      <c r="B1057" s="1"/>
      <c r="C1057">
        <v>2005</v>
      </c>
      <c r="D1057">
        <v>6.17</v>
      </c>
    </row>
    <row r="1058" spans="1:4" x14ac:dyDescent="0.35">
      <c r="A1058" s="1" t="s">
        <v>71</v>
      </c>
      <c r="B1058" s="1"/>
      <c r="C1058">
        <v>2006</v>
      </c>
      <c r="D1058">
        <v>6.17</v>
      </c>
    </row>
    <row r="1059" spans="1:4" x14ac:dyDescent="0.35">
      <c r="A1059" s="1" t="s">
        <v>71</v>
      </c>
      <c r="B1059" s="1"/>
      <c r="C1059">
        <v>2007</v>
      </c>
      <c r="D1059">
        <v>5.8</v>
      </c>
    </row>
    <row r="1060" spans="1:4" x14ac:dyDescent="0.35">
      <c r="A1060" s="1" t="s">
        <v>71</v>
      </c>
      <c r="B1060" s="1"/>
      <c r="C1060">
        <v>2008</v>
      </c>
      <c r="D1060">
        <v>5.8</v>
      </c>
    </row>
    <row r="1061" spans="1:4" x14ac:dyDescent="0.35">
      <c r="A1061" s="1" t="s">
        <v>71</v>
      </c>
      <c r="B1061" s="1"/>
      <c r="C1061">
        <v>2009</v>
      </c>
      <c r="D1061">
        <v>5.8</v>
      </c>
    </row>
    <row r="1062" spans="1:4" x14ac:dyDescent="0.35">
      <c r="A1062" s="1" t="s">
        <v>71</v>
      </c>
      <c r="B1062" s="1"/>
      <c r="C1062">
        <v>2010</v>
      </c>
      <c r="D1062">
        <v>5.21</v>
      </c>
    </row>
    <row r="1063" spans="1:4" x14ac:dyDescent="0.35">
      <c r="A1063" s="1" t="s">
        <v>71</v>
      </c>
      <c r="B1063" s="1"/>
      <c r="C1063">
        <v>2011</v>
      </c>
      <c r="D1063">
        <v>5.09</v>
      </c>
    </row>
    <row r="1064" spans="1:4" x14ac:dyDescent="0.35">
      <c r="A1064" s="1" t="s">
        <v>71</v>
      </c>
      <c r="B1064" s="1"/>
      <c r="C1064">
        <v>2012</v>
      </c>
      <c r="D1064">
        <v>5.09</v>
      </c>
    </row>
    <row r="1065" spans="1:4" x14ac:dyDescent="0.35">
      <c r="A1065" s="1" t="s">
        <v>71</v>
      </c>
      <c r="B1065" s="1"/>
      <c r="C1065">
        <v>2013</v>
      </c>
      <c r="D1065">
        <v>5.07</v>
      </c>
    </row>
    <row r="1066" spans="1:4" x14ac:dyDescent="0.35">
      <c r="A1066" s="1" t="s">
        <v>71</v>
      </c>
      <c r="B1066" s="1"/>
      <c r="C1066">
        <v>2014</v>
      </c>
      <c r="D1066">
        <v>5.16</v>
      </c>
    </row>
    <row r="1067" spans="1:4" x14ac:dyDescent="0.35">
      <c r="A1067" s="1" t="s">
        <v>71</v>
      </c>
      <c r="B1067" s="1"/>
      <c r="C1067">
        <v>2015</v>
      </c>
      <c r="D1067">
        <v>5.18</v>
      </c>
    </row>
    <row r="1068" spans="1:4" x14ac:dyDescent="0.35">
      <c r="A1068" s="1" t="s">
        <v>71</v>
      </c>
      <c r="B1068" s="1"/>
      <c r="C1068">
        <v>2016</v>
      </c>
      <c r="D1068">
        <v>21.82</v>
      </c>
    </row>
    <row r="1069" spans="1:4" x14ac:dyDescent="0.35">
      <c r="A1069" s="1" t="s">
        <v>71</v>
      </c>
      <c r="B1069" s="1"/>
      <c r="C1069">
        <v>2017</v>
      </c>
      <c r="D1069">
        <v>48.9</v>
      </c>
    </row>
    <row r="1070" spans="1:4" x14ac:dyDescent="0.35">
      <c r="A1070" s="1" t="s">
        <v>71</v>
      </c>
      <c r="B1070" s="1"/>
      <c r="C1070">
        <v>2018</v>
      </c>
      <c r="D1070">
        <v>48.99</v>
      </c>
    </row>
    <row r="1071" spans="1:4" x14ac:dyDescent="0.35">
      <c r="A1071" s="1" t="s">
        <v>71</v>
      </c>
      <c r="B1071" s="1"/>
      <c r="C1071">
        <v>2019</v>
      </c>
      <c r="D1071">
        <v>49.1</v>
      </c>
    </row>
    <row r="1072" spans="1:4" x14ac:dyDescent="0.35">
      <c r="A1072" s="1" t="s">
        <v>71</v>
      </c>
      <c r="B1072" s="1"/>
      <c r="C1072">
        <v>2020</v>
      </c>
      <c r="D1072">
        <v>49.34</v>
      </c>
    </row>
    <row r="1073" spans="1:4" x14ac:dyDescent="0.35">
      <c r="A1073" s="1" t="s">
        <v>71</v>
      </c>
      <c r="B1073" s="1"/>
      <c r="C1073">
        <v>2021</v>
      </c>
      <c r="D1073">
        <v>49.26</v>
      </c>
    </row>
    <row r="1074" spans="1:4" x14ac:dyDescent="0.35">
      <c r="A1074" s="1" t="s">
        <v>71</v>
      </c>
      <c r="B1074" s="1"/>
      <c r="C1074">
        <v>2022</v>
      </c>
      <c r="D1074">
        <v>49.42</v>
      </c>
    </row>
    <row r="1075" spans="1:4" x14ac:dyDescent="0.35">
      <c r="A1075" s="1" t="s">
        <v>71</v>
      </c>
      <c r="B1075" s="1"/>
      <c r="C1075">
        <v>2023</v>
      </c>
      <c r="D1075">
        <v>49.48</v>
      </c>
    </row>
    <row r="1076" spans="1:4" x14ac:dyDescent="0.35">
      <c r="A1076" s="1" t="s">
        <v>71</v>
      </c>
      <c r="B1076" s="1"/>
      <c r="C1076">
        <v>2024</v>
      </c>
      <c r="D1076">
        <v>49.48</v>
      </c>
    </row>
    <row r="1077" spans="1:4" x14ac:dyDescent="0.35">
      <c r="A1077" s="1" t="s">
        <v>71</v>
      </c>
      <c r="B1077" s="1" t="s">
        <v>135</v>
      </c>
      <c r="C1077">
        <v>2000</v>
      </c>
      <c r="D1077">
        <v>11.09</v>
      </c>
    </row>
    <row r="1078" spans="1:4" x14ac:dyDescent="0.35">
      <c r="A1078" s="1" t="s">
        <v>71</v>
      </c>
      <c r="B1078" s="1"/>
      <c r="C1078">
        <v>2001</v>
      </c>
      <c r="D1078">
        <v>11.09</v>
      </c>
    </row>
    <row r="1079" spans="1:4" x14ac:dyDescent="0.35">
      <c r="A1079" s="1" t="s">
        <v>71</v>
      </c>
      <c r="B1079" s="1"/>
      <c r="C1079">
        <v>2002</v>
      </c>
      <c r="D1079">
        <v>11.09</v>
      </c>
    </row>
    <row r="1080" spans="1:4" x14ac:dyDescent="0.35">
      <c r="A1080" s="1" t="s">
        <v>71</v>
      </c>
      <c r="B1080" s="1"/>
      <c r="C1080">
        <v>2003</v>
      </c>
      <c r="D1080">
        <v>11.09</v>
      </c>
    </row>
    <row r="1081" spans="1:4" x14ac:dyDescent="0.35">
      <c r="A1081" s="1" t="s">
        <v>71</v>
      </c>
      <c r="B1081" s="1"/>
      <c r="C1081">
        <v>2004</v>
      </c>
      <c r="D1081">
        <v>11.09</v>
      </c>
    </row>
    <row r="1082" spans="1:4" x14ac:dyDescent="0.35">
      <c r="A1082" s="1" t="s">
        <v>71</v>
      </c>
      <c r="B1082" s="1"/>
      <c r="C1082">
        <v>2005</v>
      </c>
      <c r="D1082">
        <v>11.09</v>
      </c>
    </row>
    <row r="1083" spans="1:4" x14ac:dyDescent="0.35">
      <c r="A1083" s="1" t="s">
        <v>71</v>
      </c>
      <c r="B1083" s="1"/>
      <c r="C1083">
        <v>2006</v>
      </c>
      <c r="D1083">
        <v>11.09</v>
      </c>
    </row>
    <row r="1084" spans="1:4" x14ac:dyDescent="0.35">
      <c r="A1084" s="1" t="s">
        <v>71</v>
      </c>
      <c r="B1084" s="1"/>
      <c r="C1084">
        <v>2007</v>
      </c>
      <c r="D1084">
        <v>9.07</v>
      </c>
    </row>
    <row r="1085" spans="1:4" x14ac:dyDescent="0.35">
      <c r="A1085" s="1" t="s">
        <v>71</v>
      </c>
      <c r="B1085" s="1"/>
      <c r="C1085">
        <v>2008</v>
      </c>
      <c r="D1085">
        <v>9.07</v>
      </c>
    </row>
    <row r="1086" spans="1:4" x14ac:dyDescent="0.35">
      <c r="A1086" s="1" t="s">
        <v>71</v>
      </c>
      <c r="B1086" s="1"/>
      <c r="C1086">
        <v>2009</v>
      </c>
      <c r="D1086">
        <v>9.07</v>
      </c>
    </row>
    <row r="1087" spans="1:4" x14ac:dyDescent="0.35">
      <c r="A1087" s="1" t="s">
        <v>71</v>
      </c>
      <c r="B1087" s="1"/>
      <c r="C1087">
        <v>2010</v>
      </c>
      <c r="D1087">
        <v>9.07</v>
      </c>
    </row>
    <row r="1088" spans="1:4" x14ac:dyDescent="0.35">
      <c r="A1088" s="1" t="s">
        <v>71</v>
      </c>
      <c r="B1088" s="1"/>
      <c r="C1088">
        <v>2011</v>
      </c>
      <c r="D1088">
        <v>7.77</v>
      </c>
    </row>
    <row r="1089" spans="1:4" x14ac:dyDescent="0.35">
      <c r="A1089" s="1" t="s">
        <v>71</v>
      </c>
      <c r="B1089" s="1"/>
      <c r="C1089">
        <v>2012</v>
      </c>
      <c r="D1089">
        <v>7.77</v>
      </c>
    </row>
    <row r="1090" spans="1:4" x14ac:dyDescent="0.35">
      <c r="A1090" s="1" t="s">
        <v>71</v>
      </c>
      <c r="B1090" s="1"/>
      <c r="C1090">
        <v>2013</v>
      </c>
      <c r="D1090">
        <v>7.82</v>
      </c>
    </row>
    <row r="1091" spans="1:4" x14ac:dyDescent="0.35">
      <c r="A1091" s="1" t="s">
        <v>71</v>
      </c>
      <c r="B1091" s="1"/>
      <c r="C1091">
        <v>2014</v>
      </c>
      <c r="D1091">
        <v>7.86</v>
      </c>
    </row>
    <row r="1092" spans="1:4" x14ac:dyDescent="0.35">
      <c r="A1092" s="1" t="s">
        <v>71</v>
      </c>
      <c r="B1092" s="1"/>
      <c r="C1092">
        <v>2015</v>
      </c>
      <c r="D1092">
        <v>7.63</v>
      </c>
    </row>
    <row r="1093" spans="1:4" x14ac:dyDescent="0.35">
      <c r="A1093" s="1" t="s">
        <v>71</v>
      </c>
      <c r="B1093" s="1"/>
      <c r="C1093">
        <v>2016</v>
      </c>
      <c r="D1093">
        <v>7.95</v>
      </c>
    </row>
    <row r="1094" spans="1:4" x14ac:dyDescent="0.35">
      <c r="A1094" s="1" t="s">
        <v>71</v>
      </c>
      <c r="B1094" s="1"/>
      <c r="C1094">
        <v>2017</v>
      </c>
      <c r="D1094">
        <v>26.98</v>
      </c>
    </row>
    <row r="1095" spans="1:4" x14ac:dyDescent="0.35">
      <c r="A1095" s="1" t="s">
        <v>71</v>
      </c>
      <c r="B1095" s="1"/>
      <c r="C1095">
        <v>2018</v>
      </c>
      <c r="D1095">
        <v>32</v>
      </c>
    </row>
    <row r="1096" spans="1:4" x14ac:dyDescent="0.35">
      <c r="A1096" s="1" t="s">
        <v>71</v>
      </c>
      <c r="B1096" s="1"/>
      <c r="C1096">
        <v>2019</v>
      </c>
      <c r="D1096">
        <v>31.1</v>
      </c>
    </row>
    <row r="1097" spans="1:4" x14ac:dyDescent="0.35">
      <c r="A1097" s="1" t="s">
        <v>71</v>
      </c>
      <c r="B1097" s="1"/>
      <c r="C1097">
        <v>2020</v>
      </c>
      <c r="D1097">
        <v>29.35</v>
      </c>
    </row>
    <row r="1098" spans="1:4" x14ac:dyDescent="0.35">
      <c r="A1098" s="1" t="s">
        <v>71</v>
      </c>
      <c r="B1098" s="1"/>
      <c r="C1098">
        <v>2021</v>
      </c>
      <c r="D1098">
        <v>50.26</v>
      </c>
    </row>
    <row r="1099" spans="1:4" x14ac:dyDescent="0.35">
      <c r="A1099" s="1" t="s">
        <v>71</v>
      </c>
      <c r="B1099" s="1"/>
      <c r="C1099">
        <v>2022</v>
      </c>
      <c r="D1099">
        <v>52.21</v>
      </c>
    </row>
    <row r="1100" spans="1:4" x14ac:dyDescent="0.35">
      <c r="A1100" s="1" t="s">
        <v>71</v>
      </c>
      <c r="B1100" s="1"/>
      <c r="C1100">
        <v>2023</v>
      </c>
      <c r="D1100">
        <v>59.69</v>
      </c>
    </row>
    <row r="1101" spans="1:4" x14ac:dyDescent="0.35">
      <c r="A1101" s="1" t="s">
        <v>71</v>
      </c>
      <c r="B1101" s="1"/>
      <c r="C1101">
        <v>2024</v>
      </c>
      <c r="D1101" t="s">
        <v>136</v>
      </c>
    </row>
    <row r="1102" spans="1:4" x14ac:dyDescent="0.35">
      <c r="A1102" s="1" t="s">
        <v>73</v>
      </c>
      <c r="B1102" s="1" t="s">
        <v>134</v>
      </c>
      <c r="C1102">
        <v>2000</v>
      </c>
      <c r="D1102" t="s">
        <v>136</v>
      </c>
    </row>
    <row r="1103" spans="1:4" x14ac:dyDescent="0.35">
      <c r="A1103" s="1" t="s">
        <v>73</v>
      </c>
      <c r="B1103" s="1"/>
      <c r="C1103">
        <v>2001</v>
      </c>
      <c r="D1103" t="s">
        <v>136</v>
      </c>
    </row>
    <row r="1104" spans="1:4" x14ac:dyDescent="0.35">
      <c r="A1104" s="1" t="s">
        <v>73</v>
      </c>
      <c r="B1104" s="1"/>
      <c r="C1104">
        <v>2002</v>
      </c>
      <c r="D1104" t="s">
        <v>136</v>
      </c>
    </row>
    <row r="1105" spans="1:4" x14ac:dyDescent="0.35">
      <c r="A1105" s="1" t="s">
        <v>73</v>
      </c>
      <c r="B1105" s="1"/>
      <c r="C1105">
        <v>2003</v>
      </c>
      <c r="D1105">
        <v>0</v>
      </c>
    </row>
    <row r="1106" spans="1:4" x14ac:dyDescent="0.35">
      <c r="A1106" s="1" t="s">
        <v>73</v>
      </c>
      <c r="B1106" s="1"/>
      <c r="C1106">
        <v>2004</v>
      </c>
      <c r="D1106">
        <v>0.02</v>
      </c>
    </row>
    <row r="1107" spans="1:4" x14ac:dyDescent="0.35">
      <c r="A1107" s="1" t="s">
        <v>73</v>
      </c>
      <c r="B1107" s="1"/>
      <c r="C1107">
        <v>2005</v>
      </c>
      <c r="D1107">
        <v>0.02</v>
      </c>
    </row>
    <row r="1108" spans="1:4" x14ac:dyDescent="0.35">
      <c r="A1108" s="1" t="s">
        <v>73</v>
      </c>
      <c r="B1108" s="1"/>
      <c r="C1108">
        <v>2006</v>
      </c>
      <c r="D1108">
        <v>0.03</v>
      </c>
    </row>
    <row r="1109" spans="1:4" x14ac:dyDescent="0.35">
      <c r="A1109" s="1" t="s">
        <v>73</v>
      </c>
      <c r="B1109" s="1"/>
      <c r="C1109">
        <v>2007</v>
      </c>
      <c r="D1109">
        <v>0.04</v>
      </c>
    </row>
    <row r="1110" spans="1:4" x14ac:dyDescent="0.35">
      <c r="A1110" s="1" t="s">
        <v>73</v>
      </c>
      <c r="B1110" s="1"/>
      <c r="C1110">
        <v>2008</v>
      </c>
      <c r="D1110">
        <v>0.05</v>
      </c>
    </row>
    <row r="1111" spans="1:4" x14ac:dyDescent="0.35">
      <c r="A1111" s="1" t="s">
        <v>73</v>
      </c>
      <c r="B1111" s="1"/>
      <c r="C1111">
        <v>2009</v>
      </c>
      <c r="D1111">
        <v>0.06</v>
      </c>
    </row>
    <row r="1112" spans="1:4" x14ac:dyDescent="0.35">
      <c r="A1112" s="1" t="s">
        <v>73</v>
      </c>
      <c r="B1112" s="1"/>
      <c r="C1112">
        <v>2010</v>
      </c>
      <c r="D1112">
        <v>0.04</v>
      </c>
    </row>
    <row r="1113" spans="1:4" x14ac:dyDescent="0.35">
      <c r="A1113" s="1" t="s">
        <v>73</v>
      </c>
      <c r="B1113" s="1"/>
      <c r="C1113">
        <v>2011</v>
      </c>
      <c r="D1113">
        <v>0.05</v>
      </c>
    </row>
    <row r="1114" spans="1:4" x14ac:dyDescent="0.35">
      <c r="A1114" s="1" t="s">
        <v>73</v>
      </c>
      <c r="B1114" s="1"/>
      <c r="C1114">
        <v>2012</v>
      </c>
      <c r="D1114">
        <v>0.06</v>
      </c>
    </row>
    <row r="1115" spans="1:4" x14ac:dyDescent="0.35">
      <c r="A1115" s="1" t="s">
        <v>73</v>
      </c>
      <c r="B1115" s="1"/>
      <c r="C1115">
        <v>2013</v>
      </c>
      <c r="D1115">
        <v>0.05</v>
      </c>
    </row>
    <row r="1116" spans="1:4" x14ac:dyDescent="0.35">
      <c r="A1116" s="1" t="s">
        <v>73</v>
      </c>
      <c r="B1116" s="1"/>
      <c r="C1116">
        <v>2014</v>
      </c>
      <c r="D1116">
        <v>0.05</v>
      </c>
    </row>
    <row r="1117" spans="1:4" x14ac:dyDescent="0.35">
      <c r="A1117" s="1" t="s">
        <v>73</v>
      </c>
      <c r="B1117" s="1"/>
      <c r="C1117">
        <v>2015</v>
      </c>
      <c r="D1117">
        <v>0.05</v>
      </c>
    </row>
    <row r="1118" spans="1:4" x14ac:dyDescent="0.35">
      <c r="A1118" s="1" t="s">
        <v>73</v>
      </c>
      <c r="B1118" s="1"/>
      <c r="C1118">
        <v>2016</v>
      </c>
      <c r="D1118">
        <v>0.05</v>
      </c>
    </row>
    <row r="1119" spans="1:4" x14ac:dyDescent="0.35">
      <c r="A1119" s="1" t="s">
        <v>73</v>
      </c>
      <c r="B1119" s="1"/>
      <c r="C1119">
        <v>2017</v>
      </c>
      <c r="D1119">
        <v>0.05</v>
      </c>
    </row>
    <row r="1120" spans="1:4" x14ac:dyDescent="0.35">
      <c r="A1120" s="1" t="s">
        <v>73</v>
      </c>
      <c r="B1120" s="1"/>
      <c r="C1120">
        <v>2018</v>
      </c>
      <c r="D1120">
        <v>0.05</v>
      </c>
    </row>
    <row r="1121" spans="1:4" x14ac:dyDescent="0.35">
      <c r="A1121" s="1" t="s">
        <v>73</v>
      </c>
      <c r="B1121" s="1"/>
      <c r="C1121">
        <v>2019</v>
      </c>
      <c r="D1121">
        <v>0.05</v>
      </c>
    </row>
    <row r="1122" spans="1:4" x14ac:dyDescent="0.35">
      <c r="A1122" s="1" t="s">
        <v>73</v>
      </c>
      <c r="B1122" s="1"/>
      <c r="C1122">
        <v>2020</v>
      </c>
      <c r="D1122">
        <v>0.05</v>
      </c>
    </row>
    <row r="1123" spans="1:4" x14ac:dyDescent="0.35">
      <c r="A1123" s="1" t="s">
        <v>73</v>
      </c>
      <c r="B1123" s="1"/>
      <c r="C1123">
        <v>2021</v>
      </c>
      <c r="D1123">
        <v>0.06</v>
      </c>
    </row>
    <row r="1124" spans="1:4" x14ac:dyDescent="0.35">
      <c r="A1124" s="1" t="s">
        <v>73</v>
      </c>
      <c r="B1124" s="1"/>
      <c r="C1124">
        <v>2022</v>
      </c>
      <c r="D1124">
        <v>0.06</v>
      </c>
    </row>
    <row r="1125" spans="1:4" x14ac:dyDescent="0.35">
      <c r="A1125" s="1" t="s">
        <v>73</v>
      </c>
      <c r="B1125" s="1"/>
      <c r="C1125">
        <v>2023</v>
      </c>
      <c r="D1125">
        <v>7.0000000000000007E-2</v>
      </c>
    </row>
    <row r="1126" spans="1:4" x14ac:dyDescent="0.35">
      <c r="A1126" s="1" t="s">
        <v>73</v>
      </c>
      <c r="B1126" s="1"/>
      <c r="C1126">
        <v>2024</v>
      </c>
      <c r="D1126">
        <v>7.0000000000000007E-2</v>
      </c>
    </row>
    <row r="1127" spans="1:4" x14ac:dyDescent="0.35">
      <c r="A1127" s="1" t="s">
        <v>73</v>
      </c>
      <c r="B1127" s="1" t="s">
        <v>135</v>
      </c>
      <c r="C1127">
        <v>2000</v>
      </c>
      <c r="D1127" t="s">
        <v>136</v>
      </c>
    </row>
    <row r="1128" spans="1:4" x14ac:dyDescent="0.35">
      <c r="A1128" s="1" t="s">
        <v>73</v>
      </c>
      <c r="B1128" s="1"/>
      <c r="C1128">
        <v>2001</v>
      </c>
      <c r="D1128" t="s">
        <v>136</v>
      </c>
    </row>
    <row r="1129" spans="1:4" x14ac:dyDescent="0.35">
      <c r="A1129" s="1" t="s">
        <v>73</v>
      </c>
      <c r="B1129" s="1"/>
      <c r="C1129">
        <v>2002</v>
      </c>
      <c r="D1129" t="s">
        <v>136</v>
      </c>
    </row>
    <row r="1130" spans="1:4" x14ac:dyDescent="0.35">
      <c r="A1130" s="1" t="s">
        <v>73</v>
      </c>
      <c r="B1130" s="1"/>
      <c r="C1130">
        <v>2003</v>
      </c>
      <c r="D1130">
        <v>0</v>
      </c>
    </row>
    <row r="1131" spans="1:4" x14ac:dyDescent="0.35">
      <c r="A1131" s="1" t="s">
        <v>73</v>
      </c>
      <c r="B1131" s="1"/>
      <c r="C1131">
        <v>2004</v>
      </c>
      <c r="D1131">
        <v>0.01</v>
      </c>
    </row>
    <row r="1132" spans="1:4" x14ac:dyDescent="0.35">
      <c r="A1132" s="1" t="s">
        <v>73</v>
      </c>
      <c r="B1132" s="1"/>
      <c r="C1132">
        <v>2005</v>
      </c>
      <c r="D1132">
        <v>0.01</v>
      </c>
    </row>
    <row r="1133" spans="1:4" x14ac:dyDescent="0.35">
      <c r="A1133" s="1" t="s">
        <v>73</v>
      </c>
      <c r="B1133" s="1"/>
      <c r="C1133">
        <v>2006</v>
      </c>
      <c r="D1133">
        <v>0.01</v>
      </c>
    </row>
    <row r="1134" spans="1:4" x14ac:dyDescent="0.35">
      <c r="A1134" s="1" t="s">
        <v>73</v>
      </c>
      <c r="B1134" s="1"/>
      <c r="C1134">
        <v>2007</v>
      </c>
      <c r="D1134">
        <v>0.01</v>
      </c>
    </row>
    <row r="1135" spans="1:4" x14ac:dyDescent="0.35">
      <c r="A1135" s="1" t="s">
        <v>73</v>
      </c>
      <c r="B1135" s="1"/>
      <c r="C1135">
        <v>2008</v>
      </c>
      <c r="D1135">
        <v>0.01</v>
      </c>
    </row>
    <row r="1136" spans="1:4" x14ac:dyDescent="0.35">
      <c r="A1136" s="1" t="s">
        <v>73</v>
      </c>
      <c r="B1136" s="1"/>
      <c r="C1136">
        <v>2009</v>
      </c>
      <c r="D1136">
        <v>0.02</v>
      </c>
    </row>
    <row r="1137" spans="1:4" x14ac:dyDescent="0.35">
      <c r="A1137" s="1" t="s">
        <v>73</v>
      </c>
      <c r="B1137" s="1"/>
      <c r="C1137">
        <v>2010</v>
      </c>
      <c r="D1137">
        <v>0.02</v>
      </c>
    </row>
    <row r="1138" spans="1:4" x14ac:dyDescent="0.35">
      <c r="A1138" s="1" t="s">
        <v>73</v>
      </c>
      <c r="B1138" s="1"/>
      <c r="C1138">
        <v>2011</v>
      </c>
      <c r="D1138">
        <v>0.03</v>
      </c>
    </row>
    <row r="1139" spans="1:4" x14ac:dyDescent="0.35">
      <c r="A1139" s="1" t="s">
        <v>73</v>
      </c>
      <c r="B1139" s="1"/>
      <c r="C1139">
        <v>2012</v>
      </c>
      <c r="D1139">
        <v>0.02</v>
      </c>
    </row>
    <row r="1140" spans="1:4" x14ac:dyDescent="0.35">
      <c r="A1140" s="1" t="s">
        <v>73</v>
      </c>
      <c r="B1140" s="1"/>
      <c r="C1140">
        <v>2013</v>
      </c>
      <c r="D1140">
        <v>0.02</v>
      </c>
    </row>
    <row r="1141" spans="1:4" x14ac:dyDescent="0.35">
      <c r="A1141" s="1" t="s">
        <v>73</v>
      </c>
      <c r="B1141" s="1"/>
      <c r="C1141">
        <v>2014</v>
      </c>
      <c r="D1141">
        <v>0.02</v>
      </c>
    </row>
    <row r="1142" spans="1:4" x14ac:dyDescent="0.35">
      <c r="A1142" s="1" t="s">
        <v>73</v>
      </c>
      <c r="B1142" s="1"/>
      <c r="C1142">
        <v>2015</v>
      </c>
      <c r="D1142">
        <v>0.02</v>
      </c>
    </row>
    <row r="1143" spans="1:4" x14ac:dyDescent="0.35">
      <c r="A1143" s="1" t="s">
        <v>73</v>
      </c>
      <c r="B1143" s="1"/>
      <c r="C1143">
        <v>2016</v>
      </c>
      <c r="D1143">
        <v>0.02</v>
      </c>
    </row>
    <row r="1144" spans="1:4" x14ac:dyDescent="0.35">
      <c r="A1144" s="1" t="s">
        <v>73</v>
      </c>
      <c r="B1144" s="1"/>
      <c r="C1144">
        <v>2017</v>
      </c>
      <c r="D1144">
        <v>0.02</v>
      </c>
    </row>
    <row r="1145" spans="1:4" x14ac:dyDescent="0.35">
      <c r="A1145" s="1" t="s">
        <v>73</v>
      </c>
      <c r="B1145" s="1"/>
      <c r="C1145">
        <v>2018</v>
      </c>
      <c r="D1145">
        <v>0.02</v>
      </c>
    </row>
    <row r="1146" spans="1:4" x14ac:dyDescent="0.35">
      <c r="A1146" s="1" t="s">
        <v>73</v>
      </c>
      <c r="B1146" s="1"/>
      <c r="C1146">
        <v>2019</v>
      </c>
      <c r="D1146">
        <v>0.02</v>
      </c>
    </row>
    <row r="1147" spans="1:4" x14ac:dyDescent="0.35">
      <c r="A1147" s="1" t="s">
        <v>73</v>
      </c>
      <c r="B1147" s="1"/>
      <c r="C1147">
        <v>2020</v>
      </c>
      <c r="D1147">
        <v>0.03</v>
      </c>
    </row>
    <row r="1148" spans="1:4" x14ac:dyDescent="0.35">
      <c r="A1148" s="1" t="s">
        <v>73</v>
      </c>
      <c r="B1148" s="1"/>
      <c r="C1148">
        <v>2021</v>
      </c>
      <c r="D1148">
        <v>0.02</v>
      </c>
    </row>
    <row r="1149" spans="1:4" x14ac:dyDescent="0.35">
      <c r="A1149" s="1" t="s">
        <v>73</v>
      </c>
      <c r="B1149" s="1"/>
      <c r="C1149">
        <v>2022</v>
      </c>
      <c r="D1149">
        <v>0.02</v>
      </c>
    </row>
    <row r="1150" spans="1:4" x14ac:dyDescent="0.35">
      <c r="A1150" s="1" t="s">
        <v>73</v>
      </c>
      <c r="B1150" s="1"/>
      <c r="C1150">
        <v>2023</v>
      </c>
      <c r="D1150">
        <v>0.02</v>
      </c>
    </row>
    <row r="1151" spans="1:4" x14ac:dyDescent="0.35">
      <c r="A1151" s="1" t="s">
        <v>73</v>
      </c>
      <c r="B1151" s="1"/>
      <c r="C1151">
        <v>2024</v>
      </c>
      <c r="D1151" t="s">
        <v>136</v>
      </c>
    </row>
    <row r="1152" spans="1:4" x14ac:dyDescent="0.35">
      <c r="A1152" s="1" t="s">
        <v>79</v>
      </c>
      <c r="B1152" s="1" t="s">
        <v>134</v>
      </c>
      <c r="C1152">
        <v>2000</v>
      </c>
      <c r="D1152">
        <v>46.4</v>
      </c>
    </row>
    <row r="1153" spans="1:4" x14ac:dyDescent="0.35">
      <c r="A1153" s="1" t="s">
        <v>79</v>
      </c>
      <c r="B1153" s="1"/>
      <c r="C1153">
        <v>2001</v>
      </c>
      <c r="D1153">
        <v>46.4</v>
      </c>
    </row>
    <row r="1154" spans="1:4" x14ac:dyDescent="0.35">
      <c r="A1154" s="1" t="s">
        <v>79</v>
      </c>
      <c r="B1154" s="1"/>
      <c r="C1154">
        <v>2002</v>
      </c>
      <c r="D1154">
        <v>46.4</v>
      </c>
    </row>
    <row r="1155" spans="1:4" x14ac:dyDescent="0.35">
      <c r="A1155" s="1" t="s">
        <v>79</v>
      </c>
      <c r="B1155" s="1"/>
      <c r="C1155">
        <v>2003</v>
      </c>
      <c r="D1155">
        <v>42.67</v>
      </c>
    </row>
    <row r="1156" spans="1:4" x14ac:dyDescent="0.35">
      <c r="A1156" s="1" t="s">
        <v>79</v>
      </c>
      <c r="B1156" s="1"/>
      <c r="C1156">
        <v>2004</v>
      </c>
      <c r="D1156">
        <v>38.74</v>
      </c>
    </row>
    <row r="1157" spans="1:4" x14ac:dyDescent="0.35">
      <c r="A1157" s="1" t="s">
        <v>79</v>
      </c>
      <c r="B1157" s="1"/>
      <c r="C1157">
        <v>2005</v>
      </c>
      <c r="D1157">
        <v>34.9</v>
      </c>
    </row>
    <row r="1158" spans="1:4" x14ac:dyDescent="0.35">
      <c r="A1158" s="1" t="s">
        <v>79</v>
      </c>
      <c r="B1158" s="1"/>
      <c r="C1158">
        <v>2006</v>
      </c>
      <c r="D1158">
        <v>30.99</v>
      </c>
    </row>
    <row r="1159" spans="1:4" x14ac:dyDescent="0.35">
      <c r="A1159" s="1" t="s">
        <v>79</v>
      </c>
      <c r="B1159" s="1"/>
      <c r="C1159">
        <v>2007</v>
      </c>
      <c r="D1159">
        <v>30.29</v>
      </c>
    </row>
    <row r="1160" spans="1:4" x14ac:dyDescent="0.35">
      <c r="A1160" s="1" t="s">
        <v>79</v>
      </c>
      <c r="B1160" s="1"/>
      <c r="C1160">
        <v>2008</v>
      </c>
      <c r="D1160">
        <v>29.95</v>
      </c>
    </row>
    <row r="1161" spans="1:4" x14ac:dyDescent="0.35">
      <c r="A1161" s="1" t="s">
        <v>79</v>
      </c>
      <c r="B1161" s="1"/>
      <c r="C1161">
        <v>2009</v>
      </c>
      <c r="D1161">
        <v>30.01</v>
      </c>
    </row>
    <row r="1162" spans="1:4" x14ac:dyDescent="0.35">
      <c r="A1162" s="1" t="s">
        <v>79</v>
      </c>
      <c r="B1162" s="1"/>
      <c r="C1162">
        <v>2010</v>
      </c>
      <c r="D1162">
        <v>25.4</v>
      </c>
    </row>
    <row r="1163" spans="1:4" x14ac:dyDescent="0.35">
      <c r="A1163" s="1" t="s">
        <v>79</v>
      </c>
      <c r="B1163" s="1"/>
      <c r="C1163">
        <v>2011</v>
      </c>
      <c r="D1163">
        <v>25.42</v>
      </c>
    </row>
    <row r="1164" spans="1:4" x14ac:dyDescent="0.35">
      <c r="A1164" s="1" t="s">
        <v>79</v>
      </c>
      <c r="B1164" s="1"/>
      <c r="C1164">
        <v>2012</v>
      </c>
      <c r="D1164">
        <v>30.01</v>
      </c>
    </row>
    <row r="1165" spans="1:4" x14ac:dyDescent="0.35">
      <c r="A1165" s="1" t="s">
        <v>79</v>
      </c>
      <c r="B1165" s="1"/>
      <c r="C1165">
        <v>2013</v>
      </c>
      <c r="D1165">
        <v>30.04</v>
      </c>
    </row>
    <row r="1166" spans="1:4" x14ac:dyDescent="0.35">
      <c r="A1166" s="1" t="s">
        <v>79</v>
      </c>
      <c r="B1166" s="1"/>
      <c r="C1166">
        <v>2014</v>
      </c>
      <c r="D1166">
        <v>24.14</v>
      </c>
    </row>
    <row r="1167" spans="1:4" x14ac:dyDescent="0.35">
      <c r="A1167" s="1" t="s">
        <v>79</v>
      </c>
      <c r="B1167" s="1"/>
      <c r="C1167">
        <v>2015</v>
      </c>
      <c r="D1167">
        <v>24.25</v>
      </c>
    </row>
    <row r="1168" spans="1:4" x14ac:dyDescent="0.35">
      <c r="A1168" s="1" t="s">
        <v>79</v>
      </c>
      <c r="B1168" s="1"/>
      <c r="C1168">
        <v>2016</v>
      </c>
      <c r="D1168">
        <v>24.34</v>
      </c>
    </row>
    <row r="1169" spans="1:4" x14ac:dyDescent="0.35">
      <c r="A1169" s="1" t="s">
        <v>79</v>
      </c>
      <c r="B1169" s="1"/>
      <c r="C1169">
        <v>2017</v>
      </c>
      <c r="D1169">
        <v>22.44</v>
      </c>
    </row>
    <row r="1170" spans="1:4" x14ac:dyDescent="0.35">
      <c r="A1170" s="1" t="s">
        <v>79</v>
      </c>
      <c r="B1170" s="1"/>
      <c r="C1170">
        <v>2018</v>
      </c>
      <c r="D1170">
        <v>23.05</v>
      </c>
    </row>
    <row r="1171" spans="1:4" x14ac:dyDescent="0.35">
      <c r="A1171" s="1" t="s">
        <v>79</v>
      </c>
      <c r="B1171" s="1"/>
      <c r="C1171">
        <v>2019</v>
      </c>
      <c r="D1171">
        <v>23.17</v>
      </c>
    </row>
    <row r="1172" spans="1:4" x14ac:dyDescent="0.35">
      <c r="A1172" s="1" t="s">
        <v>79</v>
      </c>
      <c r="B1172" s="1"/>
      <c r="C1172">
        <v>2020</v>
      </c>
      <c r="D1172">
        <v>23.28</v>
      </c>
    </row>
    <row r="1173" spans="1:4" x14ac:dyDescent="0.35">
      <c r="A1173" s="1" t="s">
        <v>79</v>
      </c>
      <c r="B1173" s="1"/>
      <c r="C1173">
        <v>2021</v>
      </c>
      <c r="D1173">
        <v>23.26</v>
      </c>
    </row>
    <row r="1174" spans="1:4" x14ac:dyDescent="0.35">
      <c r="A1174" s="1" t="s">
        <v>79</v>
      </c>
      <c r="B1174" s="1"/>
      <c r="C1174">
        <v>2022</v>
      </c>
      <c r="D1174">
        <v>28.24</v>
      </c>
    </row>
    <row r="1175" spans="1:4" x14ac:dyDescent="0.35">
      <c r="A1175" s="1" t="s">
        <v>79</v>
      </c>
      <c r="B1175" s="1"/>
      <c r="C1175">
        <v>2023</v>
      </c>
      <c r="D1175">
        <v>28.7</v>
      </c>
    </row>
    <row r="1176" spans="1:4" x14ac:dyDescent="0.35">
      <c r="A1176" s="1" t="s">
        <v>79</v>
      </c>
      <c r="B1176" s="1"/>
      <c r="C1176">
        <v>2024</v>
      </c>
      <c r="D1176">
        <v>28.7</v>
      </c>
    </row>
    <row r="1177" spans="1:4" x14ac:dyDescent="0.35">
      <c r="A1177" s="1" t="s">
        <v>79</v>
      </c>
      <c r="B1177" s="1" t="s">
        <v>135</v>
      </c>
      <c r="C1177">
        <v>2000</v>
      </c>
      <c r="D1177">
        <v>69.290000000000006</v>
      </c>
    </row>
    <row r="1178" spans="1:4" x14ac:dyDescent="0.35">
      <c r="A1178" s="1" t="s">
        <v>79</v>
      </c>
      <c r="B1178" s="1"/>
      <c r="C1178">
        <v>2001</v>
      </c>
      <c r="D1178">
        <v>67.709999999999994</v>
      </c>
    </row>
    <row r="1179" spans="1:4" x14ac:dyDescent="0.35">
      <c r="A1179" s="1" t="s">
        <v>79</v>
      </c>
      <c r="B1179" s="1"/>
      <c r="C1179">
        <v>2002</v>
      </c>
      <c r="D1179">
        <v>68.73</v>
      </c>
    </row>
    <row r="1180" spans="1:4" x14ac:dyDescent="0.35">
      <c r="A1180" s="1" t="s">
        <v>79</v>
      </c>
      <c r="B1180" s="1"/>
      <c r="C1180">
        <v>2003</v>
      </c>
      <c r="D1180">
        <v>68.180000000000007</v>
      </c>
    </row>
    <row r="1181" spans="1:4" x14ac:dyDescent="0.35">
      <c r="A1181" s="1" t="s">
        <v>79</v>
      </c>
      <c r="B1181" s="1"/>
      <c r="C1181">
        <v>2004</v>
      </c>
      <c r="D1181">
        <v>64.849999999999994</v>
      </c>
    </row>
    <row r="1182" spans="1:4" x14ac:dyDescent="0.35">
      <c r="A1182" s="1" t="s">
        <v>79</v>
      </c>
      <c r="B1182" s="1"/>
      <c r="C1182">
        <v>2005</v>
      </c>
      <c r="D1182">
        <v>65.62</v>
      </c>
    </row>
    <row r="1183" spans="1:4" x14ac:dyDescent="0.35">
      <c r="A1183" s="1" t="s">
        <v>79</v>
      </c>
      <c r="B1183" s="1"/>
      <c r="C1183">
        <v>2006</v>
      </c>
      <c r="D1183">
        <v>63.64</v>
      </c>
    </row>
    <row r="1184" spans="1:4" x14ac:dyDescent="0.35">
      <c r="A1184" s="1" t="s">
        <v>79</v>
      </c>
      <c r="B1184" s="1"/>
      <c r="C1184">
        <v>2007</v>
      </c>
      <c r="D1184">
        <v>68.44</v>
      </c>
    </row>
    <row r="1185" spans="1:4" x14ac:dyDescent="0.35">
      <c r="A1185" s="1" t="s">
        <v>79</v>
      </c>
      <c r="B1185" s="1"/>
      <c r="C1185">
        <v>2008</v>
      </c>
      <c r="D1185">
        <v>63.46</v>
      </c>
    </row>
    <row r="1186" spans="1:4" x14ac:dyDescent="0.35">
      <c r="A1186" s="1" t="s">
        <v>79</v>
      </c>
      <c r="B1186" s="1"/>
      <c r="C1186">
        <v>2009</v>
      </c>
      <c r="D1186">
        <v>67.239999999999995</v>
      </c>
    </row>
    <row r="1187" spans="1:4" x14ac:dyDescent="0.35">
      <c r="A1187" s="1" t="s">
        <v>79</v>
      </c>
      <c r="B1187" s="1"/>
      <c r="C1187">
        <v>2010</v>
      </c>
      <c r="D1187">
        <v>60.43</v>
      </c>
    </row>
    <row r="1188" spans="1:4" x14ac:dyDescent="0.35">
      <c r="A1188" s="1" t="s">
        <v>79</v>
      </c>
      <c r="B1188" s="1"/>
      <c r="C1188">
        <v>2011</v>
      </c>
      <c r="D1188">
        <v>55.21</v>
      </c>
    </row>
    <row r="1189" spans="1:4" x14ac:dyDescent="0.35">
      <c r="A1189" s="1" t="s">
        <v>79</v>
      </c>
      <c r="B1189" s="1"/>
      <c r="C1189">
        <v>2012</v>
      </c>
      <c r="D1189">
        <v>56.63</v>
      </c>
    </row>
    <row r="1190" spans="1:4" x14ac:dyDescent="0.35">
      <c r="A1190" s="1" t="s">
        <v>79</v>
      </c>
      <c r="B1190" s="1"/>
      <c r="C1190">
        <v>2013</v>
      </c>
      <c r="D1190">
        <v>54.95</v>
      </c>
    </row>
    <row r="1191" spans="1:4" x14ac:dyDescent="0.35">
      <c r="A1191" s="1" t="s">
        <v>79</v>
      </c>
      <c r="B1191" s="1"/>
      <c r="C1191">
        <v>2014</v>
      </c>
      <c r="D1191">
        <v>58.02</v>
      </c>
    </row>
    <row r="1192" spans="1:4" x14ac:dyDescent="0.35">
      <c r="A1192" s="1" t="s">
        <v>79</v>
      </c>
      <c r="B1192" s="1"/>
      <c r="C1192">
        <v>2015</v>
      </c>
      <c r="D1192">
        <v>61.42</v>
      </c>
    </row>
    <row r="1193" spans="1:4" x14ac:dyDescent="0.35">
      <c r="A1193" s="1" t="s">
        <v>79</v>
      </c>
      <c r="B1193" s="1"/>
      <c r="C1193">
        <v>2016</v>
      </c>
      <c r="D1193">
        <v>54.62</v>
      </c>
    </row>
    <row r="1194" spans="1:4" x14ac:dyDescent="0.35">
      <c r="A1194" s="1" t="s">
        <v>79</v>
      </c>
      <c r="B1194" s="1"/>
      <c r="C1194">
        <v>2017</v>
      </c>
      <c r="D1194">
        <v>47.17</v>
      </c>
    </row>
    <row r="1195" spans="1:4" x14ac:dyDescent="0.35">
      <c r="A1195" s="1" t="s">
        <v>79</v>
      </c>
      <c r="B1195" s="1"/>
      <c r="C1195">
        <v>2018</v>
      </c>
      <c r="D1195">
        <v>55.61</v>
      </c>
    </row>
    <row r="1196" spans="1:4" x14ac:dyDescent="0.35">
      <c r="A1196" s="1" t="s">
        <v>79</v>
      </c>
      <c r="B1196" s="1"/>
      <c r="C1196">
        <v>2019</v>
      </c>
      <c r="D1196">
        <v>49.63</v>
      </c>
    </row>
    <row r="1197" spans="1:4" x14ac:dyDescent="0.35">
      <c r="A1197" s="1" t="s">
        <v>79</v>
      </c>
      <c r="B1197" s="1"/>
      <c r="C1197">
        <v>2020</v>
      </c>
      <c r="D1197">
        <v>46.69</v>
      </c>
    </row>
    <row r="1198" spans="1:4" x14ac:dyDescent="0.35">
      <c r="A1198" s="1" t="s">
        <v>79</v>
      </c>
      <c r="B1198" s="1"/>
      <c r="C1198">
        <v>2021</v>
      </c>
      <c r="D1198">
        <v>42.39</v>
      </c>
    </row>
    <row r="1199" spans="1:4" x14ac:dyDescent="0.35">
      <c r="A1199" s="1" t="s">
        <v>79</v>
      </c>
      <c r="B1199" s="1"/>
      <c r="C1199">
        <v>2022</v>
      </c>
      <c r="D1199">
        <v>45.93</v>
      </c>
    </row>
    <row r="1200" spans="1:4" x14ac:dyDescent="0.35">
      <c r="A1200" s="1" t="s">
        <v>79</v>
      </c>
      <c r="B1200" s="1"/>
      <c r="C1200">
        <v>2023</v>
      </c>
      <c r="D1200">
        <v>53.48</v>
      </c>
    </row>
    <row r="1201" spans="1:4" x14ac:dyDescent="0.35">
      <c r="A1201" s="1" t="s">
        <v>79</v>
      </c>
      <c r="B1201" s="1"/>
      <c r="C1201">
        <v>2024</v>
      </c>
      <c r="D1201" t="s">
        <v>136</v>
      </c>
    </row>
    <row r="1202" spans="1:4" x14ac:dyDescent="0.35">
      <c r="A1202" s="1" t="s">
        <v>89</v>
      </c>
      <c r="B1202" s="1" t="s">
        <v>134</v>
      </c>
      <c r="C1202">
        <v>2000</v>
      </c>
      <c r="D1202">
        <v>89.54</v>
      </c>
    </row>
    <row r="1203" spans="1:4" x14ac:dyDescent="0.35">
      <c r="A1203" s="1" t="s">
        <v>89</v>
      </c>
      <c r="B1203" s="1"/>
      <c r="C1203">
        <v>2001</v>
      </c>
      <c r="D1203">
        <v>89.54</v>
      </c>
    </row>
    <row r="1204" spans="1:4" x14ac:dyDescent="0.35">
      <c r="A1204" s="1" t="s">
        <v>89</v>
      </c>
      <c r="B1204" s="1"/>
      <c r="C1204">
        <v>2002</v>
      </c>
      <c r="D1204">
        <v>89.54</v>
      </c>
    </row>
    <row r="1205" spans="1:4" x14ac:dyDescent="0.35">
      <c r="A1205" s="1" t="s">
        <v>89</v>
      </c>
      <c r="B1205" s="1"/>
      <c r="C1205">
        <v>2003</v>
      </c>
      <c r="D1205">
        <v>93.39</v>
      </c>
    </row>
    <row r="1206" spans="1:4" x14ac:dyDescent="0.35">
      <c r="A1206" s="1" t="s">
        <v>89</v>
      </c>
      <c r="B1206" s="1"/>
      <c r="C1206">
        <v>2004</v>
      </c>
      <c r="D1206">
        <v>90.61</v>
      </c>
    </row>
    <row r="1207" spans="1:4" x14ac:dyDescent="0.35">
      <c r="A1207" s="1" t="s">
        <v>89</v>
      </c>
      <c r="B1207" s="1"/>
      <c r="C1207">
        <v>2005</v>
      </c>
      <c r="D1207">
        <v>90.61</v>
      </c>
    </row>
    <row r="1208" spans="1:4" x14ac:dyDescent="0.35">
      <c r="A1208" s="1" t="s">
        <v>89</v>
      </c>
      <c r="B1208" s="1"/>
      <c r="C1208">
        <v>2006</v>
      </c>
      <c r="D1208">
        <v>90.61</v>
      </c>
    </row>
    <row r="1209" spans="1:4" x14ac:dyDescent="0.35">
      <c r="A1209" s="1" t="s">
        <v>89</v>
      </c>
      <c r="B1209" s="1"/>
      <c r="C1209">
        <v>2007</v>
      </c>
      <c r="D1209">
        <v>90.61</v>
      </c>
    </row>
    <row r="1210" spans="1:4" x14ac:dyDescent="0.35">
      <c r="A1210" s="1" t="s">
        <v>89</v>
      </c>
      <c r="B1210" s="1"/>
      <c r="C1210">
        <v>2008</v>
      </c>
      <c r="D1210">
        <v>94.55</v>
      </c>
    </row>
    <row r="1211" spans="1:4" x14ac:dyDescent="0.35">
      <c r="A1211" s="1" t="s">
        <v>89</v>
      </c>
      <c r="B1211" s="1"/>
      <c r="C1211">
        <v>2009</v>
      </c>
      <c r="D1211">
        <v>92.36</v>
      </c>
    </row>
    <row r="1212" spans="1:4" x14ac:dyDescent="0.35">
      <c r="A1212" s="1" t="s">
        <v>89</v>
      </c>
      <c r="B1212" s="1"/>
      <c r="C1212">
        <v>2010</v>
      </c>
      <c r="D1212">
        <v>92.36</v>
      </c>
    </row>
    <row r="1213" spans="1:4" x14ac:dyDescent="0.35">
      <c r="A1213" s="1" t="s">
        <v>89</v>
      </c>
      <c r="B1213" s="1"/>
      <c r="C1213">
        <v>2011</v>
      </c>
      <c r="D1213">
        <v>92.16</v>
      </c>
    </row>
    <row r="1214" spans="1:4" x14ac:dyDescent="0.35">
      <c r="A1214" s="1" t="s">
        <v>89</v>
      </c>
      <c r="B1214" s="1"/>
      <c r="C1214">
        <v>2012</v>
      </c>
      <c r="D1214">
        <v>92.16</v>
      </c>
    </row>
    <row r="1215" spans="1:4" x14ac:dyDescent="0.35">
      <c r="A1215" s="1" t="s">
        <v>89</v>
      </c>
      <c r="B1215" s="1"/>
      <c r="C1215">
        <v>2013</v>
      </c>
      <c r="D1215">
        <v>93.38</v>
      </c>
    </row>
    <row r="1216" spans="1:4" x14ac:dyDescent="0.35">
      <c r="A1216" s="1" t="s">
        <v>89</v>
      </c>
      <c r="B1216" s="1"/>
      <c r="C1216">
        <v>2014</v>
      </c>
      <c r="D1216">
        <v>93.39</v>
      </c>
    </row>
    <row r="1217" spans="1:4" x14ac:dyDescent="0.35">
      <c r="A1217" s="1" t="s">
        <v>89</v>
      </c>
      <c r="B1217" s="1"/>
      <c r="C1217">
        <v>2015</v>
      </c>
      <c r="D1217">
        <v>93.61</v>
      </c>
    </row>
    <row r="1218" spans="1:4" x14ac:dyDescent="0.35">
      <c r="A1218" s="1" t="s">
        <v>89</v>
      </c>
      <c r="B1218" s="1"/>
      <c r="C1218">
        <v>2016</v>
      </c>
      <c r="D1218">
        <v>91.66</v>
      </c>
    </row>
    <row r="1219" spans="1:4" x14ac:dyDescent="0.35">
      <c r="A1219" s="1" t="s">
        <v>89</v>
      </c>
      <c r="B1219" s="1"/>
      <c r="C1219">
        <v>2017</v>
      </c>
      <c r="D1219">
        <v>80.72</v>
      </c>
    </row>
    <row r="1220" spans="1:4" x14ac:dyDescent="0.35">
      <c r="A1220" s="1" t="s">
        <v>89</v>
      </c>
      <c r="B1220" s="1"/>
      <c r="C1220">
        <v>2018</v>
      </c>
      <c r="D1220">
        <v>76.67</v>
      </c>
    </row>
    <row r="1221" spans="1:4" x14ac:dyDescent="0.35">
      <c r="A1221" s="1" t="s">
        <v>89</v>
      </c>
      <c r="B1221" s="1"/>
      <c r="C1221">
        <v>2019</v>
      </c>
      <c r="D1221">
        <v>74.97</v>
      </c>
    </row>
    <row r="1222" spans="1:4" x14ac:dyDescent="0.35">
      <c r="A1222" s="1" t="s">
        <v>89</v>
      </c>
      <c r="B1222" s="1"/>
      <c r="C1222">
        <v>2020</v>
      </c>
      <c r="D1222">
        <v>75.06</v>
      </c>
    </row>
    <row r="1223" spans="1:4" x14ac:dyDescent="0.35">
      <c r="A1223" s="1" t="s">
        <v>89</v>
      </c>
      <c r="B1223" s="1"/>
      <c r="C1223">
        <v>2021</v>
      </c>
      <c r="D1223">
        <v>78.33</v>
      </c>
    </row>
    <row r="1224" spans="1:4" x14ac:dyDescent="0.35">
      <c r="A1224" s="1" t="s">
        <v>89</v>
      </c>
      <c r="B1224" s="1"/>
      <c r="C1224">
        <v>2022</v>
      </c>
      <c r="D1224">
        <v>79.73</v>
      </c>
    </row>
    <row r="1225" spans="1:4" x14ac:dyDescent="0.35">
      <c r="A1225" s="1" t="s">
        <v>89</v>
      </c>
      <c r="B1225" s="1"/>
      <c r="C1225">
        <v>2023</v>
      </c>
      <c r="D1225">
        <v>79.760000000000005</v>
      </c>
    </row>
    <row r="1226" spans="1:4" x14ac:dyDescent="0.35">
      <c r="A1226" s="1" t="s">
        <v>89</v>
      </c>
      <c r="B1226" s="1"/>
      <c r="C1226">
        <v>2024</v>
      </c>
      <c r="D1226">
        <v>79.760000000000005</v>
      </c>
    </row>
    <row r="1227" spans="1:4" x14ac:dyDescent="0.35">
      <c r="A1227" s="1" t="s">
        <v>89</v>
      </c>
      <c r="B1227" s="1" t="s">
        <v>135</v>
      </c>
      <c r="C1227">
        <v>2000</v>
      </c>
      <c r="D1227">
        <v>93.21</v>
      </c>
    </row>
    <row r="1228" spans="1:4" x14ac:dyDescent="0.35">
      <c r="A1228" s="1" t="s">
        <v>89</v>
      </c>
      <c r="B1228" s="1"/>
      <c r="C1228">
        <v>2001</v>
      </c>
      <c r="D1228">
        <v>93.23</v>
      </c>
    </row>
    <row r="1229" spans="1:4" x14ac:dyDescent="0.35">
      <c r="A1229" s="1" t="s">
        <v>89</v>
      </c>
      <c r="B1229" s="1"/>
      <c r="C1229">
        <v>2002</v>
      </c>
      <c r="D1229">
        <v>93.28</v>
      </c>
    </row>
    <row r="1230" spans="1:4" x14ac:dyDescent="0.35">
      <c r="A1230" s="1" t="s">
        <v>89</v>
      </c>
      <c r="B1230" s="1"/>
      <c r="C1230">
        <v>2003</v>
      </c>
      <c r="D1230">
        <v>97.59</v>
      </c>
    </row>
    <row r="1231" spans="1:4" x14ac:dyDescent="0.35">
      <c r="A1231" s="1" t="s">
        <v>89</v>
      </c>
      <c r="B1231" s="1"/>
      <c r="C1231">
        <v>2004</v>
      </c>
      <c r="D1231">
        <v>94.5</v>
      </c>
    </row>
    <row r="1232" spans="1:4" x14ac:dyDescent="0.35">
      <c r="A1232" s="1" t="s">
        <v>89</v>
      </c>
      <c r="B1232" s="1"/>
      <c r="C1232">
        <v>2005</v>
      </c>
      <c r="D1232">
        <v>94.54</v>
      </c>
    </row>
    <row r="1233" spans="1:4" x14ac:dyDescent="0.35">
      <c r="A1233" s="1" t="s">
        <v>89</v>
      </c>
      <c r="B1233" s="1"/>
      <c r="C1233">
        <v>2006</v>
      </c>
      <c r="D1233">
        <v>94.56</v>
      </c>
    </row>
    <row r="1234" spans="1:4" x14ac:dyDescent="0.35">
      <c r="A1234" s="1" t="s">
        <v>89</v>
      </c>
      <c r="B1234" s="1"/>
      <c r="C1234">
        <v>2007</v>
      </c>
      <c r="D1234">
        <v>94.57</v>
      </c>
    </row>
    <row r="1235" spans="1:4" x14ac:dyDescent="0.35">
      <c r="A1235" s="1" t="s">
        <v>89</v>
      </c>
      <c r="B1235" s="1"/>
      <c r="C1235">
        <v>2008</v>
      </c>
      <c r="D1235">
        <v>99.1</v>
      </c>
    </row>
    <row r="1236" spans="1:4" x14ac:dyDescent="0.35">
      <c r="A1236" s="1" t="s">
        <v>89</v>
      </c>
      <c r="B1236" s="1"/>
      <c r="C1236">
        <v>2009</v>
      </c>
      <c r="D1236">
        <v>98.91</v>
      </c>
    </row>
    <row r="1237" spans="1:4" x14ac:dyDescent="0.35">
      <c r="A1237" s="1" t="s">
        <v>89</v>
      </c>
      <c r="B1237" s="1"/>
      <c r="C1237">
        <v>2010</v>
      </c>
      <c r="D1237">
        <v>98.94</v>
      </c>
    </row>
    <row r="1238" spans="1:4" x14ac:dyDescent="0.35">
      <c r="A1238" s="1" t="s">
        <v>89</v>
      </c>
      <c r="B1238" s="1"/>
      <c r="C1238">
        <v>2011</v>
      </c>
      <c r="D1238">
        <v>98.71</v>
      </c>
    </row>
    <row r="1239" spans="1:4" x14ac:dyDescent="0.35">
      <c r="A1239" s="1" t="s">
        <v>89</v>
      </c>
      <c r="B1239" s="1"/>
      <c r="C1239">
        <v>2012</v>
      </c>
      <c r="D1239">
        <v>98.71</v>
      </c>
    </row>
    <row r="1240" spans="1:4" x14ac:dyDescent="0.35">
      <c r="A1240" s="1" t="s">
        <v>89</v>
      </c>
      <c r="B1240" s="1"/>
      <c r="C1240">
        <v>2013</v>
      </c>
      <c r="D1240">
        <v>98.81</v>
      </c>
    </row>
    <row r="1241" spans="1:4" x14ac:dyDescent="0.35">
      <c r="A1241" s="1" t="s">
        <v>89</v>
      </c>
      <c r="B1241" s="1"/>
      <c r="C1241">
        <v>2014</v>
      </c>
      <c r="D1241">
        <v>98.84</v>
      </c>
    </row>
    <row r="1242" spans="1:4" x14ac:dyDescent="0.35">
      <c r="A1242" s="1" t="s">
        <v>89</v>
      </c>
      <c r="B1242" s="1"/>
      <c r="C1242">
        <v>2015</v>
      </c>
      <c r="D1242">
        <v>99.1</v>
      </c>
    </row>
    <row r="1243" spans="1:4" x14ac:dyDescent="0.35">
      <c r="A1243" s="1" t="s">
        <v>89</v>
      </c>
      <c r="B1243" s="1"/>
      <c r="C1243">
        <v>2016</v>
      </c>
      <c r="D1243">
        <v>96.79</v>
      </c>
    </row>
    <row r="1244" spans="1:4" x14ac:dyDescent="0.35">
      <c r="A1244" s="1" t="s">
        <v>89</v>
      </c>
      <c r="B1244" s="1"/>
      <c r="C1244">
        <v>2017</v>
      </c>
      <c r="D1244">
        <v>84.29</v>
      </c>
    </row>
    <row r="1245" spans="1:4" x14ac:dyDescent="0.35">
      <c r="A1245" s="1" t="s">
        <v>89</v>
      </c>
      <c r="B1245" s="1"/>
      <c r="C1245">
        <v>2018</v>
      </c>
      <c r="D1245">
        <v>79.790000000000006</v>
      </c>
    </row>
    <row r="1246" spans="1:4" x14ac:dyDescent="0.35">
      <c r="A1246" s="1" t="s">
        <v>89</v>
      </c>
      <c r="B1246" s="1"/>
      <c r="C1246">
        <v>2019</v>
      </c>
      <c r="D1246">
        <v>78.12</v>
      </c>
    </row>
    <row r="1247" spans="1:4" x14ac:dyDescent="0.35">
      <c r="A1247" s="1" t="s">
        <v>89</v>
      </c>
      <c r="B1247" s="1"/>
      <c r="C1247">
        <v>2020</v>
      </c>
      <c r="D1247">
        <v>78.2</v>
      </c>
    </row>
    <row r="1248" spans="1:4" x14ac:dyDescent="0.35">
      <c r="A1248" s="1" t="s">
        <v>89</v>
      </c>
      <c r="B1248" s="1"/>
      <c r="C1248">
        <v>2021</v>
      </c>
      <c r="D1248">
        <v>79.03</v>
      </c>
    </row>
    <row r="1249" spans="1:4" x14ac:dyDescent="0.35">
      <c r="A1249" s="1" t="s">
        <v>89</v>
      </c>
      <c r="B1249" s="1"/>
      <c r="C1249">
        <v>2022</v>
      </c>
      <c r="D1249">
        <v>79.06</v>
      </c>
    </row>
    <row r="1250" spans="1:4" x14ac:dyDescent="0.35">
      <c r="A1250" s="1" t="s">
        <v>89</v>
      </c>
      <c r="B1250" s="1"/>
      <c r="C1250">
        <v>2023</v>
      </c>
      <c r="D1250">
        <v>79.06</v>
      </c>
    </row>
    <row r="1251" spans="1:4" x14ac:dyDescent="0.35">
      <c r="A1251" s="1" t="s">
        <v>89</v>
      </c>
      <c r="B1251" s="1"/>
      <c r="C1251">
        <v>2024</v>
      </c>
      <c r="D1251" t="s">
        <v>136</v>
      </c>
    </row>
    <row r="1252" spans="1:4" x14ac:dyDescent="0.35">
      <c r="A1252" s="1" t="s">
        <v>81</v>
      </c>
      <c r="B1252" s="1" t="s">
        <v>134</v>
      </c>
      <c r="C1252">
        <v>2000</v>
      </c>
      <c r="D1252">
        <v>20.93</v>
      </c>
    </row>
    <row r="1253" spans="1:4" x14ac:dyDescent="0.35">
      <c r="A1253" s="1" t="s">
        <v>81</v>
      </c>
      <c r="B1253" s="1"/>
      <c r="C1253">
        <v>2001</v>
      </c>
      <c r="D1253">
        <v>20.93</v>
      </c>
    </row>
    <row r="1254" spans="1:4" x14ac:dyDescent="0.35">
      <c r="A1254" s="1" t="s">
        <v>81</v>
      </c>
      <c r="B1254" s="1"/>
      <c r="C1254">
        <v>2002</v>
      </c>
      <c r="D1254">
        <v>55.11</v>
      </c>
    </row>
    <row r="1255" spans="1:4" x14ac:dyDescent="0.35">
      <c r="A1255" s="1" t="s">
        <v>81</v>
      </c>
      <c r="B1255" s="1"/>
      <c r="C1255">
        <v>2003</v>
      </c>
      <c r="D1255">
        <v>55.11</v>
      </c>
    </row>
    <row r="1256" spans="1:4" x14ac:dyDescent="0.35">
      <c r="A1256" s="1" t="s">
        <v>81</v>
      </c>
      <c r="B1256" s="1"/>
      <c r="C1256">
        <v>2004</v>
      </c>
      <c r="D1256">
        <v>55.11</v>
      </c>
    </row>
    <row r="1257" spans="1:4" x14ac:dyDescent="0.35">
      <c r="A1257" s="1" t="s">
        <v>81</v>
      </c>
      <c r="B1257" s="1"/>
      <c r="C1257">
        <v>2005</v>
      </c>
      <c r="D1257">
        <v>55.14</v>
      </c>
    </row>
    <row r="1258" spans="1:4" x14ac:dyDescent="0.35">
      <c r="A1258" s="1" t="s">
        <v>81</v>
      </c>
      <c r="B1258" s="1"/>
      <c r="C1258">
        <v>2006</v>
      </c>
      <c r="D1258">
        <v>55.15</v>
      </c>
    </row>
    <row r="1259" spans="1:4" x14ac:dyDescent="0.35">
      <c r="A1259" s="1" t="s">
        <v>81</v>
      </c>
      <c r="B1259" s="1"/>
      <c r="C1259">
        <v>2007</v>
      </c>
      <c r="D1259">
        <v>54.21</v>
      </c>
    </row>
    <row r="1260" spans="1:4" x14ac:dyDescent="0.35">
      <c r="A1260" s="1" t="s">
        <v>81</v>
      </c>
      <c r="B1260" s="1"/>
      <c r="C1260">
        <v>2008</v>
      </c>
      <c r="D1260">
        <v>57.25</v>
      </c>
    </row>
    <row r="1261" spans="1:4" x14ac:dyDescent="0.35">
      <c r="A1261" s="1" t="s">
        <v>81</v>
      </c>
      <c r="B1261" s="1"/>
      <c r="C1261">
        <v>2009</v>
      </c>
      <c r="D1261">
        <v>55.33</v>
      </c>
    </row>
    <row r="1262" spans="1:4" x14ac:dyDescent="0.35">
      <c r="A1262" s="1" t="s">
        <v>81</v>
      </c>
      <c r="B1262" s="1"/>
      <c r="C1262">
        <v>2010</v>
      </c>
      <c r="D1262">
        <v>52.77</v>
      </c>
    </row>
    <row r="1263" spans="1:4" x14ac:dyDescent="0.35">
      <c r="A1263" s="1" t="s">
        <v>81</v>
      </c>
      <c r="B1263" s="1"/>
      <c r="C1263">
        <v>2011</v>
      </c>
      <c r="D1263">
        <v>46.9</v>
      </c>
    </row>
    <row r="1264" spans="1:4" x14ac:dyDescent="0.35">
      <c r="A1264" s="1" t="s">
        <v>81</v>
      </c>
      <c r="B1264" s="1"/>
      <c r="C1264">
        <v>2012</v>
      </c>
      <c r="D1264">
        <v>47.17</v>
      </c>
    </row>
    <row r="1265" spans="1:4" x14ac:dyDescent="0.35">
      <c r="A1265" s="1" t="s">
        <v>81</v>
      </c>
      <c r="B1265" s="1"/>
      <c r="C1265">
        <v>2013</v>
      </c>
      <c r="D1265">
        <v>49.33</v>
      </c>
    </row>
    <row r="1266" spans="1:4" x14ac:dyDescent="0.35">
      <c r="A1266" s="1" t="s">
        <v>81</v>
      </c>
      <c r="B1266" s="1"/>
      <c r="C1266">
        <v>2014</v>
      </c>
      <c r="D1266">
        <v>48.03</v>
      </c>
    </row>
    <row r="1267" spans="1:4" x14ac:dyDescent="0.35">
      <c r="A1267" s="1" t="s">
        <v>81</v>
      </c>
      <c r="B1267" s="1"/>
      <c r="C1267">
        <v>2015</v>
      </c>
      <c r="D1267">
        <v>47.82</v>
      </c>
    </row>
    <row r="1268" spans="1:4" x14ac:dyDescent="0.35">
      <c r="A1268" s="1" t="s">
        <v>81</v>
      </c>
      <c r="B1268" s="1"/>
      <c r="C1268">
        <v>2016</v>
      </c>
      <c r="D1268">
        <v>43.89</v>
      </c>
    </row>
    <row r="1269" spans="1:4" x14ac:dyDescent="0.35">
      <c r="A1269" s="1" t="s">
        <v>81</v>
      </c>
      <c r="B1269" s="1"/>
      <c r="C1269">
        <v>2017</v>
      </c>
      <c r="D1269">
        <v>44.32</v>
      </c>
    </row>
    <row r="1270" spans="1:4" x14ac:dyDescent="0.35">
      <c r="A1270" s="1" t="s">
        <v>81</v>
      </c>
      <c r="B1270" s="1"/>
      <c r="C1270">
        <v>2018</v>
      </c>
      <c r="D1270">
        <v>44.37</v>
      </c>
    </row>
    <row r="1271" spans="1:4" x14ac:dyDescent="0.35">
      <c r="A1271" s="1" t="s">
        <v>81</v>
      </c>
      <c r="B1271" s="1"/>
      <c r="C1271">
        <v>2019</v>
      </c>
      <c r="D1271">
        <v>43.8</v>
      </c>
    </row>
    <row r="1272" spans="1:4" x14ac:dyDescent="0.35">
      <c r="A1272" s="1" t="s">
        <v>81</v>
      </c>
      <c r="B1272" s="1"/>
      <c r="C1272">
        <v>2020</v>
      </c>
      <c r="D1272">
        <v>46.41</v>
      </c>
    </row>
    <row r="1273" spans="1:4" x14ac:dyDescent="0.35">
      <c r="A1273" s="1" t="s">
        <v>81</v>
      </c>
      <c r="B1273" s="1"/>
      <c r="C1273">
        <v>2021</v>
      </c>
      <c r="D1273">
        <v>47.96</v>
      </c>
    </row>
    <row r="1274" spans="1:4" x14ac:dyDescent="0.35">
      <c r="A1274" s="1" t="s">
        <v>81</v>
      </c>
      <c r="B1274" s="1"/>
      <c r="C1274">
        <v>2022</v>
      </c>
      <c r="D1274">
        <v>53.78</v>
      </c>
    </row>
    <row r="1275" spans="1:4" x14ac:dyDescent="0.35">
      <c r="A1275" s="1" t="s">
        <v>81</v>
      </c>
      <c r="B1275" s="1"/>
      <c r="C1275">
        <v>2023</v>
      </c>
      <c r="D1275">
        <v>49.31</v>
      </c>
    </row>
    <row r="1276" spans="1:4" x14ac:dyDescent="0.35">
      <c r="A1276" s="1" t="s">
        <v>81</v>
      </c>
      <c r="B1276" s="1"/>
      <c r="C1276">
        <v>2024</v>
      </c>
      <c r="D1276">
        <v>51.02</v>
      </c>
    </row>
    <row r="1277" spans="1:4" x14ac:dyDescent="0.35">
      <c r="A1277" s="1" t="s">
        <v>81</v>
      </c>
      <c r="B1277" s="1" t="s">
        <v>135</v>
      </c>
      <c r="C1277">
        <v>2000</v>
      </c>
      <c r="D1277">
        <v>27.16</v>
      </c>
    </row>
    <row r="1278" spans="1:4" x14ac:dyDescent="0.35">
      <c r="A1278" s="1" t="s">
        <v>81</v>
      </c>
      <c r="B1278" s="1"/>
      <c r="C1278">
        <v>2001</v>
      </c>
      <c r="D1278">
        <v>35.89</v>
      </c>
    </row>
    <row r="1279" spans="1:4" x14ac:dyDescent="0.35">
      <c r="A1279" s="1" t="s">
        <v>81</v>
      </c>
      <c r="B1279" s="1"/>
      <c r="C1279">
        <v>2002</v>
      </c>
      <c r="D1279">
        <v>53.71</v>
      </c>
    </row>
    <row r="1280" spans="1:4" x14ac:dyDescent="0.35">
      <c r="A1280" s="1" t="s">
        <v>81</v>
      </c>
      <c r="B1280" s="1"/>
      <c r="C1280">
        <v>2003</v>
      </c>
      <c r="D1280">
        <v>60.94</v>
      </c>
    </row>
    <row r="1281" spans="1:4" x14ac:dyDescent="0.35">
      <c r="A1281" s="1" t="s">
        <v>81</v>
      </c>
      <c r="B1281" s="1"/>
      <c r="C1281">
        <v>2004</v>
      </c>
      <c r="D1281">
        <v>71.44</v>
      </c>
    </row>
    <row r="1282" spans="1:4" x14ac:dyDescent="0.35">
      <c r="A1282" s="1" t="s">
        <v>81</v>
      </c>
      <c r="B1282" s="1"/>
      <c r="C1282">
        <v>2005</v>
      </c>
      <c r="D1282">
        <v>70.63</v>
      </c>
    </row>
    <row r="1283" spans="1:4" x14ac:dyDescent="0.35">
      <c r="A1283" s="1" t="s">
        <v>81</v>
      </c>
      <c r="B1283" s="1"/>
      <c r="C1283">
        <v>2006</v>
      </c>
      <c r="D1283">
        <v>70.75</v>
      </c>
    </row>
    <row r="1284" spans="1:4" x14ac:dyDescent="0.35">
      <c r="A1284" s="1" t="s">
        <v>81</v>
      </c>
      <c r="B1284" s="1"/>
      <c r="C1284">
        <v>2007</v>
      </c>
      <c r="D1284">
        <v>68.98</v>
      </c>
    </row>
    <row r="1285" spans="1:4" x14ac:dyDescent="0.35">
      <c r="A1285" s="1" t="s">
        <v>81</v>
      </c>
      <c r="B1285" s="1"/>
      <c r="C1285">
        <v>2008</v>
      </c>
      <c r="D1285">
        <v>54.2</v>
      </c>
    </row>
    <row r="1286" spans="1:4" x14ac:dyDescent="0.35">
      <c r="A1286" s="1" t="s">
        <v>81</v>
      </c>
      <c r="B1286" s="1"/>
      <c r="C1286">
        <v>2009</v>
      </c>
      <c r="D1286">
        <v>60.58</v>
      </c>
    </row>
    <row r="1287" spans="1:4" x14ac:dyDescent="0.35">
      <c r="A1287" s="1" t="s">
        <v>81</v>
      </c>
      <c r="B1287" s="1"/>
      <c r="C1287">
        <v>2010</v>
      </c>
      <c r="D1287">
        <v>56.23</v>
      </c>
    </row>
    <row r="1288" spans="1:4" x14ac:dyDescent="0.35">
      <c r="A1288" s="1" t="s">
        <v>81</v>
      </c>
      <c r="B1288" s="1"/>
      <c r="C1288">
        <v>2011</v>
      </c>
      <c r="D1288">
        <v>52.77</v>
      </c>
    </row>
    <row r="1289" spans="1:4" x14ac:dyDescent="0.35">
      <c r="A1289" s="1" t="s">
        <v>81</v>
      </c>
      <c r="B1289" s="1"/>
      <c r="C1289">
        <v>2012</v>
      </c>
      <c r="D1289">
        <v>52.53</v>
      </c>
    </row>
    <row r="1290" spans="1:4" x14ac:dyDescent="0.35">
      <c r="A1290" s="1" t="s">
        <v>81</v>
      </c>
      <c r="B1290" s="1"/>
      <c r="C1290">
        <v>2013</v>
      </c>
      <c r="D1290">
        <v>65.03</v>
      </c>
    </row>
    <row r="1291" spans="1:4" x14ac:dyDescent="0.35">
      <c r="A1291" s="1" t="s">
        <v>81</v>
      </c>
      <c r="B1291" s="1"/>
      <c r="C1291">
        <v>2014</v>
      </c>
      <c r="D1291">
        <v>69.739999999999995</v>
      </c>
    </row>
    <row r="1292" spans="1:4" x14ac:dyDescent="0.35">
      <c r="A1292" s="1" t="s">
        <v>81</v>
      </c>
      <c r="B1292" s="1"/>
      <c r="C1292">
        <v>2015</v>
      </c>
      <c r="D1292">
        <v>67.72</v>
      </c>
    </row>
    <row r="1293" spans="1:4" x14ac:dyDescent="0.35">
      <c r="A1293" s="1" t="s">
        <v>81</v>
      </c>
      <c r="B1293" s="1"/>
      <c r="C1293">
        <v>2016</v>
      </c>
      <c r="D1293">
        <v>67.13</v>
      </c>
    </row>
    <row r="1294" spans="1:4" x14ac:dyDescent="0.35">
      <c r="A1294" s="1" t="s">
        <v>81</v>
      </c>
      <c r="B1294" s="1"/>
      <c r="C1294">
        <v>2017</v>
      </c>
      <c r="D1294">
        <v>65.239999999999995</v>
      </c>
    </row>
    <row r="1295" spans="1:4" x14ac:dyDescent="0.35">
      <c r="A1295" s="1" t="s">
        <v>81</v>
      </c>
      <c r="B1295" s="1"/>
      <c r="C1295">
        <v>2018</v>
      </c>
      <c r="D1295">
        <v>87.94</v>
      </c>
    </row>
    <row r="1296" spans="1:4" x14ac:dyDescent="0.35">
      <c r="A1296" s="1" t="s">
        <v>81</v>
      </c>
      <c r="B1296" s="1"/>
      <c r="C1296">
        <v>2019</v>
      </c>
      <c r="D1296">
        <v>50.71</v>
      </c>
    </row>
    <row r="1297" spans="1:4" x14ac:dyDescent="0.35">
      <c r="A1297" s="1" t="s">
        <v>81</v>
      </c>
      <c r="B1297" s="1"/>
      <c r="C1297">
        <v>2020</v>
      </c>
      <c r="D1297">
        <v>32.33</v>
      </c>
    </row>
    <row r="1298" spans="1:4" x14ac:dyDescent="0.35">
      <c r="A1298" s="1" t="s">
        <v>81</v>
      </c>
      <c r="B1298" s="1"/>
      <c r="C1298">
        <v>2021</v>
      </c>
      <c r="D1298">
        <v>29.09</v>
      </c>
    </row>
    <row r="1299" spans="1:4" x14ac:dyDescent="0.35">
      <c r="A1299" s="1" t="s">
        <v>81</v>
      </c>
      <c r="B1299" s="1"/>
      <c r="C1299">
        <v>2022</v>
      </c>
      <c r="D1299">
        <v>34.07</v>
      </c>
    </row>
    <row r="1300" spans="1:4" x14ac:dyDescent="0.35">
      <c r="A1300" s="1" t="s">
        <v>81</v>
      </c>
      <c r="B1300" s="1"/>
      <c r="C1300">
        <v>2023</v>
      </c>
      <c r="D1300">
        <v>37.520000000000003</v>
      </c>
    </row>
    <row r="1301" spans="1:4" x14ac:dyDescent="0.35">
      <c r="A1301" s="1" t="s">
        <v>81</v>
      </c>
      <c r="B1301" s="1"/>
      <c r="C1301">
        <v>2024</v>
      </c>
      <c r="D1301" t="s">
        <v>136</v>
      </c>
    </row>
    <row r="1302" spans="1:4" x14ac:dyDescent="0.35">
      <c r="A1302" s="1" t="s">
        <v>85</v>
      </c>
      <c r="B1302" s="1" t="s">
        <v>134</v>
      </c>
      <c r="C1302">
        <v>2000</v>
      </c>
      <c r="D1302" t="s">
        <v>136</v>
      </c>
    </row>
    <row r="1303" spans="1:4" x14ac:dyDescent="0.35">
      <c r="A1303" s="1" t="s">
        <v>85</v>
      </c>
      <c r="B1303" s="1"/>
      <c r="C1303">
        <v>2001</v>
      </c>
      <c r="D1303" t="s">
        <v>136</v>
      </c>
    </row>
    <row r="1304" spans="1:4" x14ac:dyDescent="0.35">
      <c r="A1304" s="1" t="s">
        <v>85</v>
      </c>
      <c r="B1304" s="1"/>
      <c r="C1304">
        <v>2002</v>
      </c>
      <c r="D1304">
        <v>0</v>
      </c>
    </row>
    <row r="1305" spans="1:4" x14ac:dyDescent="0.35">
      <c r="A1305" s="1" t="s">
        <v>85</v>
      </c>
      <c r="B1305" s="1"/>
      <c r="C1305">
        <v>2003</v>
      </c>
      <c r="D1305">
        <v>0</v>
      </c>
    </row>
    <row r="1306" spans="1:4" x14ac:dyDescent="0.35">
      <c r="A1306" s="1" t="s">
        <v>85</v>
      </c>
      <c r="B1306" s="1"/>
      <c r="C1306">
        <v>2004</v>
      </c>
      <c r="D1306">
        <v>0</v>
      </c>
    </row>
    <row r="1307" spans="1:4" x14ac:dyDescent="0.35">
      <c r="A1307" s="1" t="s">
        <v>85</v>
      </c>
      <c r="B1307" s="1"/>
      <c r="C1307">
        <v>2005</v>
      </c>
      <c r="D1307">
        <v>0</v>
      </c>
    </row>
    <row r="1308" spans="1:4" x14ac:dyDescent="0.35">
      <c r="A1308" s="1" t="s">
        <v>85</v>
      </c>
      <c r="B1308" s="1"/>
      <c r="C1308">
        <v>2006</v>
      </c>
      <c r="D1308">
        <v>0</v>
      </c>
    </row>
    <row r="1309" spans="1:4" x14ac:dyDescent="0.35">
      <c r="A1309" s="1" t="s">
        <v>85</v>
      </c>
      <c r="B1309" s="1"/>
      <c r="C1309">
        <v>2007</v>
      </c>
      <c r="D1309">
        <v>0</v>
      </c>
    </row>
    <row r="1310" spans="1:4" x14ac:dyDescent="0.35">
      <c r="A1310" s="1" t="s">
        <v>85</v>
      </c>
      <c r="B1310" s="1"/>
      <c r="C1310">
        <v>2008</v>
      </c>
      <c r="D1310">
        <v>0</v>
      </c>
    </row>
    <row r="1311" spans="1:4" x14ac:dyDescent="0.35">
      <c r="A1311" s="1" t="s">
        <v>85</v>
      </c>
      <c r="B1311" s="1"/>
      <c r="C1311">
        <v>2009</v>
      </c>
      <c r="D1311">
        <v>0</v>
      </c>
    </row>
    <row r="1312" spans="1:4" x14ac:dyDescent="0.35">
      <c r="A1312" s="1" t="s">
        <v>85</v>
      </c>
      <c r="B1312" s="1"/>
      <c r="C1312">
        <v>2010</v>
      </c>
      <c r="D1312">
        <v>0</v>
      </c>
    </row>
    <row r="1313" spans="1:4" x14ac:dyDescent="0.35">
      <c r="A1313" s="1" t="s">
        <v>85</v>
      </c>
      <c r="B1313" s="1"/>
      <c r="C1313">
        <v>2011</v>
      </c>
      <c r="D1313">
        <v>0</v>
      </c>
    </row>
    <row r="1314" spans="1:4" x14ac:dyDescent="0.35">
      <c r="A1314" s="1" t="s">
        <v>85</v>
      </c>
      <c r="B1314" s="1"/>
      <c r="C1314">
        <v>2012</v>
      </c>
      <c r="D1314">
        <v>2.0299999999999998</v>
      </c>
    </row>
    <row r="1315" spans="1:4" x14ac:dyDescent="0.35">
      <c r="A1315" s="1" t="s">
        <v>85</v>
      </c>
      <c r="B1315" s="1"/>
      <c r="C1315">
        <v>2013</v>
      </c>
      <c r="D1315">
        <v>9.0500000000000007</v>
      </c>
    </row>
    <row r="1316" spans="1:4" x14ac:dyDescent="0.35">
      <c r="A1316" s="1" t="s">
        <v>85</v>
      </c>
      <c r="B1316" s="1"/>
      <c r="C1316">
        <v>2014</v>
      </c>
      <c r="D1316">
        <v>8.8000000000000007</v>
      </c>
    </row>
    <row r="1317" spans="1:4" x14ac:dyDescent="0.35">
      <c r="A1317" s="1" t="s">
        <v>85</v>
      </c>
      <c r="B1317" s="1"/>
      <c r="C1317">
        <v>2015</v>
      </c>
      <c r="D1317">
        <v>11.27</v>
      </c>
    </row>
    <row r="1318" spans="1:4" x14ac:dyDescent="0.35">
      <c r="A1318" s="1" t="s">
        <v>85</v>
      </c>
      <c r="B1318" s="1"/>
      <c r="C1318">
        <v>2016</v>
      </c>
      <c r="D1318">
        <v>14.32</v>
      </c>
    </row>
    <row r="1319" spans="1:4" x14ac:dyDescent="0.35">
      <c r="A1319" s="1" t="s">
        <v>85</v>
      </c>
      <c r="B1319" s="1"/>
      <c r="C1319">
        <v>2017</v>
      </c>
      <c r="D1319">
        <v>14.32</v>
      </c>
    </row>
    <row r="1320" spans="1:4" x14ac:dyDescent="0.35">
      <c r="A1320" s="1" t="s">
        <v>85</v>
      </c>
      <c r="B1320" s="1"/>
      <c r="C1320">
        <v>2018</v>
      </c>
      <c r="D1320">
        <v>21.23</v>
      </c>
    </row>
    <row r="1321" spans="1:4" x14ac:dyDescent="0.35">
      <c r="A1321" s="1" t="s">
        <v>85</v>
      </c>
      <c r="B1321" s="1"/>
      <c r="C1321">
        <v>2019</v>
      </c>
      <c r="D1321">
        <v>20.78</v>
      </c>
    </row>
    <row r="1322" spans="1:4" x14ac:dyDescent="0.35">
      <c r="A1322" s="1" t="s">
        <v>85</v>
      </c>
      <c r="B1322" s="1"/>
      <c r="C1322">
        <v>2020</v>
      </c>
      <c r="D1322">
        <v>20.78</v>
      </c>
    </row>
    <row r="1323" spans="1:4" x14ac:dyDescent="0.35">
      <c r="A1323" s="1" t="s">
        <v>85</v>
      </c>
      <c r="B1323" s="1"/>
      <c r="C1323">
        <v>2021</v>
      </c>
      <c r="D1323">
        <v>19.46</v>
      </c>
    </row>
    <row r="1324" spans="1:4" x14ac:dyDescent="0.35">
      <c r="A1324" s="1" t="s">
        <v>85</v>
      </c>
      <c r="B1324" s="1"/>
      <c r="C1324">
        <v>2022</v>
      </c>
      <c r="D1324">
        <v>19.649999999999999</v>
      </c>
    </row>
    <row r="1325" spans="1:4" x14ac:dyDescent="0.35">
      <c r="A1325" s="1" t="s">
        <v>85</v>
      </c>
      <c r="B1325" s="1"/>
      <c r="C1325">
        <v>2023</v>
      </c>
      <c r="D1325">
        <v>33.979999999999997</v>
      </c>
    </row>
    <row r="1326" spans="1:4" x14ac:dyDescent="0.35">
      <c r="A1326" s="1" t="s">
        <v>85</v>
      </c>
      <c r="B1326" s="1"/>
      <c r="C1326">
        <v>2024</v>
      </c>
      <c r="D1326">
        <v>36.799999999999997</v>
      </c>
    </row>
    <row r="1327" spans="1:4" x14ac:dyDescent="0.35">
      <c r="A1327" s="1" t="s">
        <v>85</v>
      </c>
      <c r="B1327" s="1" t="s">
        <v>135</v>
      </c>
      <c r="C1327">
        <v>2000</v>
      </c>
      <c r="D1327" t="s">
        <v>136</v>
      </c>
    </row>
    <row r="1328" spans="1:4" x14ac:dyDescent="0.35">
      <c r="A1328" s="1" t="s">
        <v>85</v>
      </c>
      <c r="B1328" s="1"/>
      <c r="C1328">
        <v>2001</v>
      </c>
      <c r="D1328" t="s">
        <v>136</v>
      </c>
    </row>
    <row r="1329" spans="1:4" x14ac:dyDescent="0.35">
      <c r="A1329" s="1" t="s">
        <v>85</v>
      </c>
      <c r="B1329" s="1"/>
      <c r="C1329">
        <v>2002</v>
      </c>
      <c r="D1329">
        <v>0</v>
      </c>
    </row>
    <row r="1330" spans="1:4" x14ac:dyDescent="0.35">
      <c r="A1330" s="1" t="s">
        <v>85</v>
      </c>
      <c r="B1330" s="1"/>
      <c r="C1330">
        <v>2003</v>
      </c>
      <c r="D1330">
        <v>0</v>
      </c>
    </row>
    <row r="1331" spans="1:4" x14ac:dyDescent="0.35">
      <c r="A1331" s="1" t="s">
        <v>85</v>
      </c>
      <c r="B1331" s="1"/>
      <c r="C1331">
        <v>2004</v>
      </c>
      <c r="D1331">
        <v>0</v>
      </c>
    </row>
    <row r="1332" spans="1:4" x14ac:dyDescent="0.35">
      <c r="A1332" s="1" t="s">
        <v>85</v>
      </c>
      <c r="B1332" s="1"/>
      <c r="C1332">
        <v>2005</v>
      </c>
      <c r="D1332">
        <v>0</v>
      </c>
    </row>
    <row r="1333" spans="1:4" x14ac:dyDescent="0.35">
      <c r="A1333" s="1" t="s">
        <v>85</v>
      </c>
      <c r="B1333" s="1"/>
      <c r="C1333">
        <v>2006</v>
      </c>
      <c r="D1333">
        <v>0</v>
      </c>
    </row>
    <row r="1334" spans="1:4" x14ac:dyDescent="0.35">
      <c r="A1334" s="1" t="s">
        <v>85</v>
      </c>
      <c r="B1334" s="1"/>
      <c r="C1334">
        <v>2007</v>
      </c>
      <c r="D1334">
        <v>0</v>
      </c>
    </row>
    <row r="1335" spans="1:4" x14ac:dyDescent="0.35">
      <c r="A1335" s="1" t="s">
        <v>85</v>
      </c>
      <c r="B1335" s="1"/>
      <c r="C1335">
        <v>2008</v>
      </c>
      <c r="D1335">
        <v>0</v>
      </c>
    </row>
    <row r="1336" spans="1:4" x14ac:dyDescent="0.35">
      <c r="A1336" s="1" t="s">
        <v>85</v>
      </c>
      <c r="B1336" s="1"/>
      <c r="C1336">
        <v>2009</v>
      </c>
      <c r="D1336">
        <v>0</v>
      </c>
    </row>
    <row r="1337" spans="1:4" x14ac:dyDescent="0.35">
      <c r="A1337" s="1" t="s">
        <v>85</v>
      </c>
      <c r="B1337" s="1"/>
      <c r="C1337">
        <v>2010</v>
      </c>
      <c r="D1337">
        <v>0</v>
      </c>
    </row>
    <row r="1338" spans="1:4" x14ac:dyDescent="0.35">
      <c r="A1338" s="1" t="s">
        <v>85</v>
      </c>
      <c r="B1338" s="1"/>
      <c r="C1338">
        <v>2011</v>
      </c>
      <c r="D1338">
        <v>0</v>
      </c>
    </row>
    <row r="1339" spans="1:4" x14ac:dyDescent="0.35">
      <c r="A1339" s="1" t="s">
        <v>85</v>
      </c>
      <c r="B1339" s="1"/>
      <c r="C1339">
        <v>2012</v>
      </c>
      <c r="D1339">
        <v>1.59</v>
      </c>
    </row>
    <row r="1340" spans="1:4" x14ac:dyDescent="0.35">
      <c r="A1340" s="1" t="s">
        <v>85</v>
      </c>
      <c r="B1340" s="1"/>
      <c r="C1340">
        <v>2013</v>
      </c>
      <c r="D1340">
        <v>4.82</v>
      </c>
    </row>
    <row r="1341" spans="1:4" x14ac:dyDescent="0.35">
      <c r="A1341" s="1" t="s">
        <v>85</v>
      </c>
      <c r="B1341" s="1"/>
      <c r="C1341">
        <v>2014</v>
      </c>
      <c r="D1341">
        <v>5.0999999999999996</v>
      </c>
    </row>
    <row r="1342" spans="1:4" x14ac:dyDescent="0.35">
      <c r="A1342" s="1" t="s">
        <v>85</v>
      </c>
      <c r="B1342" s="1"/>
      <c r="C1342">
        <v>2015</v>
      </c>
      <c r="D1342">
        <v>13.42</v>
      </c>
    </row>
    <row r="1343" spans="1:4" x14ac:dyDescent="0.35">
      <c r="A1343" s="1" t="s">
        <v>85</v>
      </c>
      <c r="B1343" s="1"/>
      <c r="C1343">
        <v>2016</v>
      </c>
      <c r="D1343">
        <v>15.72</v>
      </c>
    </row>
    <row r="1344" spans="1:4" x14ac:dyDescent="0.35">
      <c r="A1344" s="1" t="s">
        <v>85</v>
      </c>
      <c r="B1344" s="1"/>
      <c r="C1344">
        <v>2017</v>
      </c>
      <c r="D1344">
        <v>13.91</v>
      </c>
    </row>
    <row r="1345" spans="1:4" x14ac:dyDescent="0.35">
      <c r="A1345" s="1" t="s">
        <v>85</v>
      </c>
      <c r="B1345" s="1"/>
      <c r="C1345">
        <v>2018</v>
      </c>
      <c r="D1345">
        <v>19.78</v>
      </c>
    </row>
    <row r="1346" spans="1:4" x14ac:dyDescent="0.35">
      <c r="A1346" s="1" t="s">
        <v>85</v>
      </c>
      <c r="B1346" s="1"/>
      <c r="C1346">
        <v>2019</v>
      </c>
      <c r="D1346">
        <v>18.73</v>
      </c>
    </row>
    <row r="1347" spans="1:4" x14ac:dyDescent="0.35">
      <c r="A1347" s="1" t="s">
        <v>85</v>
      </c>
      <c r="B1347" s="1"/>
      <c r="C1347">
        <v>2020</v>
      </c>
      <c r="D1347">
        <v>18.989999999999998</v>
      </c>
    </row>
    <row r="1348" spans="1:4" x14ac:dyDescent="0.35">
      <c r="A1348" s="1" t="s">
        <v>85</v>
      </c>
      <c r="B1348" s="1"/>
      <c r="C1348">
        <v>2021</v>
      </c>
      <c r="D1348">
        <v>20.37</v>
      </c>
    </row>
    <row r="1349" spans="1:4" x14ac:dyDescent="0.35">
      <c r="A1349" s="1" t="s">
        <v>85</v>
      </c>
      <c r="B1349" s="1"/>
      <c r="C1349">
        <v>2022</v>
      </c>
      <c r="D1349">
        <v>16.38</v>
      </c>
    </row>
    <row r="1350" spans="1:4" x14ac:dyDescent="0.35">
      <c r="A1350" s="1" t="s">
        <v>85</v>
      </c>
      <c r="B1350" s="1"/>
      <c r="C1350">
        <v>2023</v>
      </c>
      <c r="D1350">
        <v>16.239999999999998</v>
      </c>
    </row>
    <row r="1351" spans="1:4" x14ac:dyDescent="0.35">
      <c r="A1351" s="1" t="s">
        <v>85</v>
      </c>
      <c r="B1351" s="1"/>
      <c r="C1351">
        <v>2024</v>
      </c>
      <c r="D1351" t="s">
        <v>136</v>
      </c>
    </row>
    <row r="1352" spans="1:4" x14ac:dyDescent="0.35">
      <c r="A1352" s="1" t="s">
        <v>87</v>
      </c>
      <c r="B1352" s="1" t="s">
        <v>134</v>
      </c>
      <c r="C1352">
        <v>2000</v>
      </c>
      <c r="D1352">
        <v>19.170000000000002</v>
      </c>
    </row>
    <row r="1353" spans="1:4" x14ac:dyDescent="0.35">
      <c r="A1353" s="1" t="s">
        <v>87</v>
      </c>
      <c r="B1353" s="1"/>
      <c r="C1353">
        <v>2001</v>
      </c>
      <c r="D1353">
        <v>19.55</v>
      </c>
    </row>
    <row r="1354" spans="1:4" x14ac:dyDescent="0.35">
      <c r="A1354" s="1" t="s">
        <v>87</v>
      </c>
      <c r="B1354" s="1"/>
      <c r="C1354">
        <v>2002</v>
      </c>
      <c r="D1354">
        <v>19.510000000000002</v>
      </c>
    </row>
    <row r="1355" spans="1:4" x14ac:dyDescent="0.35">
      <c r="A1355" s="1" t="s">
        <v>87</v>
      </c>
      <c r="B1355" s="1"/>
      <c r="C1355">
        <v>2003</v>
      </c>
      <c r="D1355">
        <v>19.36</v>
      </c>
    </row>
    <row r="1356" spans="1:4" x14ac:dyDescent="0.35">
      <c r="A1356" s="1" t="s">
        <v>87</v>
      </c>
      <c r="B1356" s="1"/>
      <c r="C1356">
        <v>2004</v>
      </c>
      <c r="D1356">
        <v>19.239999999999998</v>
      </c>
    </row>
    <row r="1357" spans="1:4" x14ac:dyDescent="0.35">
      <c r="A1357" s="1" t="s">
        <v>87</v>
      </c>
      <c r="B1357" s="1"/>
      <c r="C1357">
        <v>2005</v>
      </c>
      <c r="D1357">
        <v>27.86</v>
      </c>
    </row>
    <row r="1358" spans="1:4" x14ac:dyDescent="0.35">
      <c r="A1358" s="1" t="s">
        <v>87</v>
      </c>
      <c r="B1358" s="1"/>
      <c r="C1358">
        <v>2006</v>
      </c>
      <c r="D1358">
        <v>18.350000000000001</v>
      </c>
    </row>
    <row r="1359" spans="1:4" x14ac:dyDescent="0.35">
      <c r="A1359" s="1" t="s">
        <v>87</v>
      </c>
      <c r="B1359" s="1"/>
      <c r="C1359">
        <v>2007</v>
      </c>
      <c r="D1359">
        <v>18.739999999999998</v>
      </c>
    </row>
    <row r="1360" spans="1:4" x14ac:dyDescent="0.35">
      <c r="A1360" s="1" t="s">
        <v>87</v>
      </c>
      <c r="B1360" s="1"/>
      <c r="C1360">
        <v>2008</v>
      </c>
      <c r="D1360">
        <v>18.489999999999998</v>
      </c>
    </row>
    <row r="1361" spans="1:4" x14ac:dyDescent="0.35">
      <c r="A1361" s="1" t="s">
        <v>87</v>
      </c>
      <c r="B1361" s="1"/>
      <c r="C1361">
        <v>2009</v>
      </c>
      <c r="D1361">
        <v>21.86</v>
      </c>
    </row>
    <row r="1362" spans="1:4" x14ac:dyDescent="0.35">
      <c r="A1362" s="1" t="s">
        <v>87</v>
      </c>
      <c r="B1362" s="1"/>
      <c r="C1362">
        <v>2010</v>
      </c>
      <c r="D1362">
        <v>21.1</v>
      </c>
    </row>
    <row r="1363" spans="1:4" x14ac:dyDescent="0.35">
      <c r="A1363" s="1" t="s">
        <v>87</v>
      </c>
      <c r="B1363" s="1"/>
      <c r="C1363">
        <v>2011</v>
      </c>
      <c r="D1363">
        <v>20.29</v>
      </c>
    </row>
    <row r="1364" spans="1:4" x14ac:dyDescent="0.35">
      <c r="A1364" s="1" t="s">
        <v>87</v>
      </c>
      <c r="B1364" s="1"/>
      <c r="C1364">
        <v>2012</v>
      </c>
      <c r="D1364">
        <v>18.350000000000001</v>
      </c>
    </row>
    <row r="1365" spans="1:4" x14ac:dyDescent="0.35">
      <c r="A1365" s="1" t="s">
        <v>87</v>
      </c>
      <c r="B1365" s="1"/>
      <c r="C1365">
        <v>2013</v>
      </c>
      <c r="D1365">
        <v>18.73</v>
      </c>
    </row>
    <row r="1366" spans="1:4" x14ac:dyDescent="0.35">
      <c r="A1366" s="1" t="s">
        <v>87</v>
      </c>
      <c r="B1366" s="1"/>
      <c r="C1366">
        <v>2014</v>
      </c>
      <c r="D1366">
        <v>18.96</v>
      </c>
    </row>
    <row r="1367" spans="1:4" x14ac:dyDescent="0.35">
      <c r="A1367" s="1" t="s">
        <v>87</v>
      </c>
      <c r="B1367" s="1"/>
      <c r="C1367">
        <v>2015</v>
      </c>
      <c r="D1367">
        <v>21.67</v>
      </c>
    </row>
    <row r="1368" spans="1:4" x14ac:dyDescent="0.35">
      <c r="A1368" s="1" t="s">
        <v>87</v>
      </c>
      <c r="B1368" s="1"/>
      <c r="C1368">
        <v>2016</v>
      </c>
      <c r="D1368">
        <v>22.66</v>
      </c>
    </row>
    <row r="1369" spans="1:4" x14ac:dyDescent="0.35">
      <c r="A1369" s="1" t="s">
        <v>87</v>
      </c>
      <c r="B1369" s="1"/>
      <c r="C1369">
        <v>2017</v>
      </c>
      <c r="D1369">
        <v>21.52</v>
      </c>
    </row>
    <row r="1370" spans="1:4" x14ac:dyDescent="0.35">
      <c r="A1370" s="1" t="s">
        <v>87</v>
      </c>
      <c r="B1370" s="1"/>
      <c r="C1370">
        <v>2018</v>
      </c>
      <c r="D1370">
        <v>27.11</v>
      </c>
    </row>
    <row r="1371" spans="1:4" x14ac:dyDescent="0.35">
      <c r="A1371" s="1" t="s">
        <v>87</v>
      </c>
      <c r="B1371" s="1"/>
      <c r="C1371">
        <v>2019</v>
      </c>
      <c r="D1371">
        <v>29.11</v>
      </c>
    </row>
    <row r="1372" spans="1:4" x14ac:dyDescent="0.35">
      <c r="A1372" s="1" t="s">
        <v>87</v>
      </c>
      <c r="B1372" s="1"/>
      <c r="C1372">
        <v>2020</v>
      </c>
      <c r="D1372">
        <v>29.77</v>
      </c>
    </row>
    <row r="1373" spans="1:4" x14ac:dyDescent="0.35">
      <c r="A1373" s="1" t="s">
        <v>87</v>
      </c>
      <c r="B1373" s="1"/>
      <c r="C1373">
        <v>2021</v>
      </c>
      <c r="D1373">
        <v>29.99</v>
      </c>
    </row>
    <row r="1374" spans="1:4" x14ac:dyDescent="0.35">
      <c r="A1374" s="1" t="s">
        <v>87</v>
      </c>
      <c r="B1374" s="1"/>
      <c r="C1374">
        <v>2022</v>
      </c>
      <c r="D1374">
        <v>29.83</v>
      </c>
    </row>
    <row r="1375" spans="1:4" x14ac:dyDescent="0.35">
      <c r="A1375" s="1" t="s">
        <v>87</v>
      </c>
      <c r="B1375" s="1"/>
      <c r="C1375">
        <v>2023</v>
      </c>
      <c r="D1375">
        <v>31.05</v>
      </c>
    </row>
    <row r="1376" spans="1:4" x14ac:dyDescent="0.35">
      <c r="A1376" s="1" t="s">
        <v>87</v>
      </c>
      <c r="B1376" s="1"/>
      <c r="C1376">
        <v>2024</v>
      </c>
      <c r="D1376">
        <v>32.07</v>
      </c>
    </row>
    <row r="1377" spans="1:4" x14ac:dyDescent="0.35">
      <c r="A1377" s="1" t="s">
        <v>87</v>
      </c>
      <c r="B1377" s="1" t="s">
        <v>135</v>
      </c>
      <c r="C1377">
        <v>2000</v>
      </c>
      <c r="D1377">
        <v>29.6</v>
      </c>
    </row>
    <row r="1378" spans="1:4" x14ac:dyDescent="0.35">
      <c r="A1378" s="1" t="s">
        <v>87</v>
      </c>
      <c r="B1378" s="1"/>
      <c r="C1378">
        <v>2001</v>
      </c>
      <c r="D1378">
        <v>28.7</v>
      </c>
    </row>
    <row r="1379" spans="1:4" x14ac:dyDescent="0.35">
      <c r="A1379" s="1" t="s">
        <v>87</v>
      </c>
      <c r="B1379" s="1"/>
      <c r="C1379">
        <v>2002</v>
      </c>
      <c r="D1379">
        <v>27.61</v>
      </c>
    </row>
    <row r="1380" spans="1:4" x14ac:dyDescent="0.35">
      <c r="A1380" s="1" t="s">
        <v>87</v>
      </c>
      <c r="B1380" s="1"/>
      <c r="C1380">
        <v>2003</v>
      </c>
      <c r="D1380">
        <v>27.22</v>
      </c>
    </row>
    <row r="1381" spans="1:4" x14ac:dyDescent="0.35">
      <c r="A1381" s="1" t="s">
        <v>87</v>
      </c>
      <c r="B1381" s="1"/>
      <c r="C1381">
        <v>2004</v>
      </c>
      <c r="D1381">
        <v>27.35</v>
      </c>
    </row>
    <row r="1382" spans="1:4" x14ac:dyDescent="0.35">
      <c r="A1382" s="1" t="s">
        <v>87</v>
      </c>
      <c r="B1382" s="1"/>
      <c r="C1382">
        <v>2005</v>
      </c>
      <c r="D1382">
        <v>25.01</v>
      </c>
    </row>
    <row r="1383" spans="1:4" x14ac:dyDescent="0.35">
      <c r="A1383" s="1" t="s">
        <v>87</v>
      </c>
      <c r="B1383" s="1"/>
      <c r="C1383">
        <v>2006</v>
      </c>
      <c r="D1383">
        <v>22.24</v>
      </c>
    </row>
    <row r="1384" spans="1:4" x14ac:dyDescent="0.35">
      <c r="A1384" s="1" t="s">
        <v>87</v>
      </c>
      <c r="B1384" s="1"/>
      <c r="C1384">
        <v>2007</v>
      </c>
      <c r="D1384">
        <v>22.4</v>
      </c>
    </row>
    <row r="1385" spans="1:4" x14ac:dyDescent="0.35">
      <c r="A1385" s="1" t="s">
        <v>87</v>
      </c>
      <c r="B1385" s="1"/>
      <c r="C1385">
        <v>2008</v>
      </c>
      <c r="D1385">
        <v>23.26</v>
      </c>
    </row>
    <row r="1386" spans="1:4" x14ac:dyDescent="0.35">
      <c r="A1386" s="1" t="s">
        <v>87</v>
      </c>
      <c r="B1386" s="1"/>
      <c r="C1386">
        <v>2009</v>
      </c>
      <c r="D1386">
        <v>23.63</v>
      </c>
    </row>
    <row r="1387" spans="1:4" x14ac:dyDescent="0.35">
      <c r="A1387" s="1" t="s">
        <v>87</v>
      </c>
      <c r="B1387" s="1"/>
      <c r="C1387">
        <v>2010</v>
      </c>
      <c r="D1387">
        <v>21.49</v>
      </c>
    </row>
    <row r="1388" spans="1:4" x14ac:dyDescent="0.35">
      <c r="A1388" s="1" t="s">
        <v>87</v>
      </c>
      <c r="B1388" s="1"/>
      <c r="C1388">
        <v>2011</v>
      </c>
      <c r="D1388">
        <v>20.07</v>
      </c>
    </row>
    <row r="1389" spans="1:4" x14ac:dyDescent="0.35">
      <c r="A1389" s="1" t="s">
        <v>87</v>
      </c>
      <c r="B1389" s="1"/>
      <c r="C1389">
        <v>2012</v>
      </c>
      <c r="D1389">
        <v>20.29</v>
      </c>
    </row>
    <row r="1390" spans="1:4" x14ac:dyDescent="0.35">
      <c r="A1390" s="1" t="s">
        <v>87</v>
      </c>
      <c r="B1390" s="1"/>
      <c r="C1390">
        <v>2013</v>
      </c>
      <c r="D1390">
        <v>20.63</v>
      </c>
    </row>
    <row r="1391" spans="1:4" x14ac:dyDescent="0.35">
      <c r="A1391" s="1" t="s">
        <v>87</v>
      </c>
      <c r="B1391" s="1"/>
      <c r="C1391">
        <v>2014</v>
      </c>
      <c r="D1391">
        <v>20.34</v>
      </c>
    </row>
    <row r="1392" spans="1:4" x14ac:dyDescent="0.35">
      <c r="A1392" s="1" t="s">
        <v>87</v>
      </c>
      <c r="B1392" s="1"/>
      <c r="C1392">
        <v>2015</v>
      </c>
      <c r="D1392">
        <v>22.76</v>
      </c>
    </row>
    <row r="1393" spans="1:4" x14ac:dyDescent="0.35">
      <c r="A1393" s="1" t="s">
        <v>87</v>
      </c>
      <c r="B1393" s="1"/>
      <c r="C1393">
        <v>2016</v>
      </c>
      <c r="D1393">
        <v>21.88</v>
      </c>
    </row>
    <row r="1394" spans="1:4" x14ac:dyDescent="0.35">
      <c r="A1394" s="1" t="s">
        <v>87</v>
      </c>
      <c r="B1394" s="1"/>
      <c r="C1394">
        <v>2017</v>
      </c>
      <c r="D1394">
        <v>20.149999999999999</v>
      </c>
    </row>
    <row r="1395" spans="1:4" x14ac:dyDescent="0.35">
      <c r="A1395" s="1" t="s">
        <v>87</v>
      </c>
      <c r="B1395" s="1"/>
      <c r="C1395">
        <v>2018</v>
      </c>
      <c r="D1395">
        <v>20.92</v>
      </c>
    </row>
    <row r="1396" spans="1:4" x14ac:dyDescent="0.35">
      <c r="A1396" s="1" t="s">
        <v>87</v>
      </c>
      <c r="B1396" s="1"/>
      <c r="C1396">
        <v>2019</v>
      </c>
      <c r="D1396">
        <v>21.93</v>
      </c>
    </row>
    <row r="1397" spans="1:4" x14ac:dyDescent="0.35">
      <c r="A1397" s="1" t="s">
        <v>87</v>
      </c>
      <c r="B1397" s="1"/>
      <c r="C1397">
        <v>2020</v>
      </c>
      <c r="D1397">
        <v>24.11</v>
      </c>
    </row>
    <row r="1398" spans="1:4" x14ac:dyDescent="0.35">
      <c r="A1398" s="1" t="s">
        <v>87</v>
      </c>
      <c r="B1398" s="1"/>
      <c r="C1398">
        <v>2021</v>
      </c>
      <c r="D1398">
        <v>21.68</v>
      </c>
    </row>
    <row r="1399" spans="1:4" x14ac:dyDescent="0.35">
      <c r="A1399" s="1" t="s">
        <v>87</v>
      </c>
      <c r="B1399" s="1"/>
      <c r="C1399">
        <v>2022</v>
      </c>
      <c r="D1399">
        <v>19.29</v>
      </c>
    </row>
    <row r="1400" spans="1:4" x14ac:dyDescent="0.35">
      <c r="A1400" s="1" t="s">
        <v>87</v>
      </c>
      <c r="B1400" s="1"/>
      <c r="C1400">
        <v>2023</v>
      </c>
      <c r="D1400">
        <v>17.690000000000001</v>
      </c>
    </row>
    <row r="1401" spans="1:4" x14ac:dyDescent="0.35">
      <c r="A1401" s="1" t="s">
        <v>87</v>
      </c>
      <c r="B1401" s="1"/>
      <c r="C1401">
        <v>2024</v>
      </c>
      <c r="D1401" t="s">
        <v>136</v>
      </c>
    </row>
    <row r="1402" spans="1:4" x14ac:dyDescent="0.35">
      <c r="A1402" s="1" t="s">
        <v>77</v>
      </c>
      <c r="B1402" s="1" t="s">
        <v>134</v>
      </c>
      <c r="C1402">
        <v>2000</v>
      </c>
      <c r="D1402">
        <v>27.92</v>
      </c>
    </row>
    <row r="1403" spans="1:4" x14ac:dyDescent="0.35">
      <c r="A1403" s="1" t="s">
        <v>77</v>
      </c>
      <c r="B1403" s="1"/>
      <c r="C1403">
        <v>2001</v>
      </c>
      <c r="D1403">
        <v>27.93</v>
      </c>
    </row>
    <row r="1404" spans="1:4" x14ac:dyDescent="0.35">
      <c r="A1404" s="1" t="s">
        <v>77</v>
      </c>
      <c r="B1404" s="1"/>
      <c r="C1404">
        <v>2002</v>
      </c>
      <c r="D1404">
        <v>27.81</v>
      </c>
    </row>
    <row r="1405" spans="1:4" x14ac:dyDescent="0.35">
      <c r="A1405" s="1" t="s">
        <v>77</v>
      </c>
      <c r="B1405" s="1"/>
      <c r="C1405">
        <v>2003</v>
      </c>
      <c r="D1405">
        <v>29.39</v>
      </c>
    </row>
    <row r="1406" spans="1:4" x14ac:dyDescent="0.35">
      <c r="A1406" s="1" t="s">
        <v>77</v>
      </c>
      <c r="B1406" s="1"/>
      <c r="C1406">
        <v>2004</v>
      </c>
      <c r="D1406">
        <v>28.69</v>
      </c>
    </row>
    <row r="1407" spans="1:4" x14ac:dyDescent="0.35">
      <c r="A1407" s="1" t="s">
        <v>77</v>
      </c>
      <c r="B1407" s="1"/>
      <c r="C1407">
        <v>2005</v>
      </c>
      <c r="D1407">
        <v>25.34</v>
      </c>
    </row>
    <row r="1408" spans="1:4" x14ac:dyDescent="0.35">
      <c r="A1408" s="1" t="s">
        <v>77</v>
      </c>
      <c r="B1408" s="1"/>
      <c r="C1408">
        <v>2006</v>
      </c>
      <c r="D1408">
        <v>25.35</v>
      </c>
    </row>
    <row r="1409" spans="1:4" x14ac:dyDescent="0.35">
      <c r="A1409" s="1" t="s">
        <v>77</v>
      </c>
      <c r="B1409" s="1"/>
      <c r="C1409">
        <v>2007</v>
      </c>
      <c r="D1409">
        <v>26.21</v>
      </c>
    </row>
    <row r="1410" spans="1:4" x14ac:dyDescent="0.35">
      <c r="A1410" s="1" t="s">
        <v>77</v>
      </c>
      <c r="B1410" s="1"/>
      <c r="C1410">
        <v>2008</v>
      </c>
      <c r="D1410">
        <v>26.22</v>
      </c>
    </row>
    <row r="1411" spans="1:4" x14ac:dyDescent="0.35">
      <c r="A1411" s="1" t="s">
        <v>77</v>
      </c>
      <c r="B1411" s="1"/>
      <c r="C1411">
        <v>2009</v>
      </c>
      <c r="D1411">
        <v>24.7</v>
      </c>
    </row>
    <row r="1412" spans="1:4" x14ac:dyDescent="0.35">
      <c r="A1412" s="1" t="s">
        <v>77</v>
      </c>
      <c r="B1412" s="1"/>
      <c r="C1412">
        <v>2010</v>
      </c>
      <c r="D1412">
        <v>24.54</v>
      </c>
    </row>
    <row r="1413" spans="1:4" x14ac:dyDescent="0.35">
      <c r="A1413" s="1" t="s">
        <v>77</v>
      </c>
      <c r="B1413" s="1"/>
      <c r="C1413">
        <v>2011</v>
      </c>
      <c r="D1413">
        <v>24.95</v>
      </c>
    </row>
    <row r="1414" spans="1:4" x14ac:dyDescent="0.35">
      <c r="A1414" s="1" t="s">
        <v>77</v>
      </c>
      <c r="B1414" s="1"/>
      <c r="C1414">
        <v>2012</v>
      </c>
      <c r="D1414">
        <v>23.79</v>
      </c>
    </row>
    <row r="1415" spans="1:4" x14ac:dyDescent="0.35">
      <c r="A1415" s="1" t="s">
        <v>77</v>
      </c>
      <c r="B1415" s="1"/>
      <c r="C1415">
        <v>2013</v>
      </c>
      <c r="D1415">
        <v>24.95</v>
      </c>
    </row>
    <row r="1416" spans="1:4" x14ac:dyDescent="0.35">
      <c r="A1416" s="1" t="s">
        <v>77</v>
      </c>
      <c r="B1416" s="1"/>
      <c r="C1416">
        <v>2014</v>
      </c>
      <c r="D1416">
        <v>26.73</v>
      </c>
    </row>
    <row r="1417" spans="1:4" x14ac:dyDescent="0.35">
      <c r="A1417" s="1" t="s">
        <v>77</v>
      </c>
      <c r="B1417" s="1"/>
      <c r="C1417">
        <v>2015</v>
      </c>
      <c r="D1417">
        <v>28.2</v>
      </c>
    </row>
    <row r="1418" spans="1:4" x14ac:dyDescent="0.35">
      <c r="A1418" s="1" t="s">
        <v>77</v>
      </c>
      <c r="B1418" s="1"/>
      <c r="C1418">
        <v>2016</v>
      </c>
      <c r="D1418">
        <v>28.9</v>
      </c>
    </row>
    <row r="1419" spans="1:4" x14ac:dyDescent="0.35">
      <c r="A1419" s="1" t="s">
        <v>77</v>
      </c>
      <c r="B1419" s="1"/>
      <c r="C1419">
        <v>2017</v>
      </c>
      <c r="D1419">
        <v>28.68</v>
      </c>
    </row>
    <row r="1420" spans="1:4" x14ac:dyDescent="0.35">
      <c r="A1420" s="1" t="s">
        <v>77</v>
      </c>
      <c r="B1420" s="1"/>
      <c r="C1420">
        <v>2018</v>
      </c>
      <c r="D1420">
        <v>29.82</v>
      </c>
    </row>
    <row r="1421" spans="1:4" x14ac:dyDescent="0.35">
      <c r="A1421" s="1" t="s">
        <v>77</v>
      </c>
      <c r="B1421" s="1"/>
      <c r="C1421">
        <v>2019</v>
      </c>
      <c r="D1421">
        <v>30.54</v>
      </c>
    </row>
    <row r="1422" spans="1:4" x14ac:dyDescent="0.35">
      <c r="A1422" s="1" t="s">
        <v>77</v>
      </c>
      <c r="B1422" s="1"/>
      <c r="C1422">
        <v>2020</v>
      </c>
      <c r="D1422">
        <v>33.03</v>
      </c>
    </row>
    <row r="1423" spans="1:4" x14ac:dyDescent="0.35">
      <c r="A1423" s="1" t="s">
        <v>77</v>
      </c>
      <c r="B1423" s="1"/>
      <c r="C1423">
        <v>2021</v>
      </c>
      <c r="D1423">
        <v>33.06</v>
      </c>
    </row>
    <row r="1424" spans="1:4" x14ac:dyDescent="0.35">
      <c r="A1424" s="1" t="s">
        <v>77</v>
      </c>
      <c r="B1424" s="1"/>
      <c r="C1424">
        <v>2022</v>
      </c>
      <c r="D1424">
        <v>34.28</v>
      </c>
    </row>
    <row r="1425" spans="1:4" x14ac:dyDescent="0.35">
      <c r="A1425" s="1" t="s">
        <v>77</v>
      </c>
      <c r="B1425" s="1"/>
      <c r="C1425">
        <v>2023</v>
      </c>
      <c r="D1425">
        <v>36.869999999999997</v>
      </c>
    </row>
    <row r="1426" spans="1:4" x14ac:dyDescent="0.35">
      <c r="A1426" s="1" t="s">
        <v>77</v>
      </c>
      <c r="B1426" s="1"/>
      <c r="C1426">
        <v>2024</v>
      </c>
      <c r="D1426">
        <v>38.659999999999997</v>
      </c>
    </row>
    <row r="1427" spans="1:4" x14ac:dyDescent="0.35">
      <c r="A1427" s="1" t="s">
        <v>77</v>
      </c>
      <c r="B1427" s="1" t="s">
        <v>135</v>
      </c>
      <c r="C1427">
        <v>2000</v>
      </c>
      <c r="D1427">
        <v>6.75</v>
      </c>
    </row>
    <row r="1428" spans="1:4" x14ac:dyDescent="0.35">
      <c r="A1428" s="1" t="s">
        <v>77</v>
      </c>
      <c r="B1428" s="1"/>
      <c r="C1428">
        <v>2001</v>
      </c>
      <c r="D1428">
        <v>8.15</v>
      </c>
    </row>
    <row r="1429" spans="1:4" x14ac:dyDescent="0.35">
      <c r="A1429" s="1" t="s">
        <v>77</v>
      </c>
      <c r="B1429" s="1"/>
      <c r="C1429">
        <v>2002</v>
      </c>
      <c r="D1429">
        <v>7.36</v>
      </c>
    </row>
    <row r="1430" spans="1:4" x14ac:dyDescent="0.35">
      <c r="A1430" s="1" t="s">
        <v>77</v>
      </c>
      <c r="B1430" s="1"/>
      <c r="C1430">
        <v>2003</v>
      </c>
      <c r="D1430">
        <v>10.74</v>
      </c>
    </row>
    <row r="1431" spans="1:4" x14ac:dyDescent="0.35">
      <c r="A1431" s="1" t="s">
        <v>77</v>
      </c>
      <c r="B1431" s="1"/>
      <c r="C1431">
        <v>2004</v>
      </c>
      <c r="D1431">
        <v>10.94</v>
      </c>
    </row>
    <row r="1432" spans="1:4" x14ac:dyDescent="0.35">
      <c r="A1432" s="1" t="s">
        <v>77</v>
      </c>
      <c r="B1432" s="1"/>
      <c r="C1432">
        <v>2005</v>
      </c>
      <c r="D1432">
        <v>6.14</v>
      </c>
    </row>
    <row r="1433" spans="1:4" x14ac:dyDescent="0.35">
      <c r="A1433" s="1" t="s">
        <v>77</v>
      </c>
      <c r="B1433" s="1"/>
      <c r="C1433">
        <v>2006</v>
      </c>
      <c r="D1433">
        <v>5.93</v>
      </c>
    </row>
    <row r="1434" spans="1:4" x14ac:dyDescent="0.35">
      <c r="A1434" s="1" t="s">
        <v>77</v>
      </c>
      <c r="B1434" s="1"/>
      <c r="C1434">
        <v>2007</v>
      </c>
      <c r="D1434">
        <v>6.07</v>
      </c>
    </row>
    <row r="1435" spans="1:4" x14ac:dyDescent="0.35">
      <c r="A1435" s="1" t="s">
        <v>77</v>
      </c>
      <c r="B1435" s="1"/>
      <c r="C1435">
        <v>2008</v>
      </c>
      <c r="D1435">
        <v>6.04</v>
      </c>
    </row>
    <row r="1436" spans="1:4" x14ac:dyDescent="0.35">
      <c r="A1436" s="1" t="s">
        <v>77</v>
      </c>
      <c r="B1436" s="1"/>
      <c r="C1436">
        <v>2009</v>
      </c>
      <c r="D1436">
        <v>14.2</v>
      </c>
    </row>
    <row r="1437" spans="1:4" x14ac:dyDescent="0.35">
      <c r="A1437" s="1" t="s">
        <v>77</v>
      </c>
      <c r="B1437" s="1"/>
      <c r="C1437">
        <v>2010</v>
      </c>
      <c r="D1437">
        <v>18.14</v>
      </c>
    </row>
    <row r="1438" spans="1:4" x14ac:dyDescent="0.35">
      <c r="A1438" s="1" t="s">
        <v>77</v>
      </c>
      <c r="B1438" s="1"/>
      <c r="C1438">
        <v>2011</v>
      </c>
      <c r="D1438">
        <v>11.23</v>
      </c>
    </row>
    <row r="1439" spans="1:4" x14ac:dyDescent="0.35">
      <c r="A1439" s="1" t="s">
        <v>77</v>
      </c>
      <c r="B1439" s="1"/>
      <c r="C1439">
        <v>2012</v>
      </c>
      <c r="D1439">
        <v>9.17</v>
      </c>
    </row>
    <row r="1440" spans="1:4" x14ac:dyDescent="0.35">
      <c r="A1440" s="1" t="s">
        <v>77</v>
      </c>
      <c r="B1440" s="1"/>
      <c r="C1440">
        <v>2013</v>
      </c>
      <c r="D1440">
        <v>15.62</v>
      </c>
    </row>
    <row r="1441" spans="1:4" x14ac:dyDescent="0.35">
      <c r="A1441" s="1" t="s">
        <v>77</v>
      </c>
      <c r="B1441" s="1"/>
      <c r="C1441">
        <v>2014</v>
      </c>
      <c r="D1441">
        <v>12.94</v>
      </c>
    </row>
    <row r="1442" spans="1:4" x14ac:dyDescent="0.35">
      <c r="A1442" s="1" t="s">
        <v>77</v>
      </c>
      <c r="B1442" s="1"/>
      <c r="C1442">
        <v>2015</v>
      </c>
      <c r="D1442">
        <v>14.87</v>
      </c>
    </row>
    <row r="1443" spans="1:4" x14ac:dyDescent="0.35">
      <c r="A1443" s="1" t="s">
        <v>77</v>
      </c>
      <c r="B1443" s="1"/>
      <c r="C1443">
        <v>2016</v>
      </c>
      <c r="D1443">
        <v>15.26</v>
      </c>
    </row>
    <row r="1444" spans="1:4" x14ac:dyDescent="0.35">
      <c r="A1444" s="1" t="s">
        <v>77</v>
      </c>
      <c r="B1444" s="1"/>
      <c r="C1444">
        <v>2017</v>
      </c>
      <c r="D1444">
        <v>14.76</v>
      </c>
    </row>
    <row r="1445" spans="1:4" x14ac:dyDescent="0.35">
      <c r="A1445" s="1" t="s">
        <v>77</v>
      </c>
      <c r="B1445" s="1"/>
      <c r="C1445">
        <v>2018</v>
      </c>
      <c r="D1445">
        <v>18.98</v>
      </c>
    </row>
    <row r="1446" spans="1:4" x14ac:dyDescent="0.35">
      <c r="A1446" s="1" t="s">
        <v>77</v>
      </c>
      <c r="B1446" s="1"/>
      <c r="C1446">
        <v>2019</v>
      </c>
      <c r="D1446">
        <v>18.86</v>
      </c>
    </row>
    <row r="1447" spans="1:4" x14ac:dyDescent="0.35">
      <c r="A1447" s="1" t="s">
        <v>77</v>
      </c>
      <c r="B1447" s="1"/>
      <c r="C1447">
        <v>2020</v>
      </c>
      <c r="D1447">
        <v>18.18</v>
      </c>
    </row>
    <row r="1448" spans="1:4" x14ac:dyDescent="0.35">
      <c r="A1448" s="1" t="s">
        <v>77</v>
      </c>
      <c r="B1448" s="1"/>
      <c r="C1448">
        <v>2021</v>
      </c>
      <c r="D1448">
        <v>18.93</v>
      </c>
    </row>
    <row r="1449" spans="1:4" x14ac:dyDescent="0.35">
      <c r="A1449" s="1" t="s">
        <v>77</v>
      </c>
      <c r="B1449" s="1"/>
      <c r="C1449">
        <v>2022</v>
      </c>
      <c r="D1449">
        <v>17.440000000000001</v>
      </c>
    </row>
    <row r="1450" spans="1:4" x14ac:dyDescent="0.35">
      <c r="A1450" s="1" t="s">
        <v>77</v>
      </c>
      <c r="B1450" s="1"/>
      <c r="C1450">
        <v>2023</v>
      </c>
      <c r="D1450">
        <v>18.53</v>
      </c>
    </row>
    <row r="1451" spans="1:4" x14ac:dyDescent="0.35">
      <c r="A1451" s="1" t="s">
        <v>77</v>
      </c>
      <c r="B1451" s="1"/>
      <c r="C1451">
        <v>2024</v>
      </c>
      <c r="D1451" t="s">
        <v>136</v>
      </c>
    </row>
    <row r="1452" spans="1:4" x14ac:dyDescent="0.35">
      <c r="A1452" s="1" t="s">
        <v>83</v>
      </c>
      <c r="B1452" s="1" t="s">
        <v>134</v>
      </c>
      <c r="C1452">
        <v>2000</v>
      </c>
      <c r="D1452">
        <v>98.9</v>
      </c>
    </row>
    <row r="1453" spans="1:4" x14ac:dyDescent="0.35">
      <c r="A1453" s="1" t="s">
        <v>83</v>
      </c>
      <c r="B1453" s="1"/>
      <c r="C1453">
        <v>2001</v>
      </c>
      <c r="D1453">
        <v>98.91</v>
      </c>
    </row>
    <row r="1454" spans="1:4" x14ac:dyDescent="0.35">
      <c r="A1454" s="1" t="s">
        <v>83</v>
      </c>
      <c r="B1454" s="1"/>
      <c r="C1454">
        <v>2002</v>
      </c>
      <c r="D1454">
        <v>98.84</v>
      </c>
    </row>
    <row r="1455" spans="1:4" x14ac:dyDescent="0.35">
      <c r="A1455" s="1" t="s">
        <v>83</v>
      </c>
      <c r="B1455" s="1"/>
      <c r="C1455">
        <v>2003</v>
      </c>
      <c r="D1455">
        <v>98.78</v>
      </c>
    </row>
    <row r="1456" spans="1:4" x14ac:dyDescent="0.35">
      <c r="A1456" s="1" t="s">
        <v>83</v>
      </c>
      <c r="B1456" s="1"/>
      <c r="C1456">
        <v>2004</v>
      </c>
      <c r="D1456">
        <v>98.78</v>
      </c>
    </row>
    <row r="1457" spans="1:4" x14ac:dyDescent="0.35">
      <c r="A1457" s="1" t="s">
        <v>83</v>
      </c>
      <c r="B1457" s="1"/>
      <c r="C1457">
        <v>2005</v>
      </c>
      <c r="D1457">
        <v>98.78</v>
      </c>
    </row>
    <row r="1458" spans="1:4" x14ac:dyDescent="0.35">
      <c r="A1458" s="1" t="s">
        <v>83</v>
      </c>
      <c r="B1458" s="1"/>
      <c r="C1458">
        <v>2006</v>
      </c>
      <c r="D1458">
        <v>98.78</v>
      </c>
    </row>
    <row r="1459" spans="1:4" x14ac:dyDescent="0.35">
      <c r="A1459" s="1" t="s">
        <v>83</v>
      </c>
      <c r="B1459" s="1"/>
      <c r="C1459">
        <v>2007</v>
      </c>
      <c r="D1459">
        <v>98.23</v>
      </c>
    </row>
    <row r="1460" spans="1:4" x14ac:dyDescent="0.35">
      <c r="A1460" s="1" t="s">
        <v>83</v>
      </c>
      <c r="B1460" s="1"/>
      <c r="C1460">
        <v>2008</v>
      </c>
      <c r="D1460">
        <v>98.08</v>
      </c>
    </row>
    <row r="1461" spans="1:4" x14ac:dyDescent="0.35">
      <c r="A1461" s="1" t="s">
        <v>83</v>
      </c>
      <c r="B1461" s="1"/>
      <c r="C1461">
        <v>2009</v>
      </c>
      <c r="D1461">
        <v>98.08</v>
      </c>
    </row>
    <row r="1462" spans="1:4" x14ac:dyDescent="0.35">
      <c r="A1462" s="1" t="s">
        <v>83</v>
      </c>
      <c r="B1462" s="1"/>
      <c r="C1462">
        <v>2010</v>
      </c>
      <c r="D1462">
        <v>98.08</v>
      </c>
    </row>
    <row r="1463" spans="1:4" x14ac:dyDescent="0.35">
      <c r="A1463" s="1" t="s">
        <v>83</v>
      </c>
      <c r="B1463" s="1"/>
      <c r="C1463">
        <v>2011</v>
      </c>
      <c r="D1463">
        <v>97.07</v>
      </c>
    </row>
    <row r="1464" spans="1:4" x14ac:dyDescent="0.35">
      <c r="A1464" s="1" t="s">
        <v>83</v>
      </c>
      <c r="B1464" s="1"/>
      <c r="C1464">
        <v>2012</v>
      </c>
      <c r="D1464">
        <v>92.79</v>
      </c>
    </row>
    <row r="1465" spans="1:4" x14ac:dyDescent="0.35">
      <c r="A1465" s="1" t="s">
        <v>83</v>
      </c>
      <c r="B1465" s="1"/>
      <c r="C1465">
        <v>2013</v>
      </c>
      <c r="D1465">
        <v>91.74</v>
      </c>
    </row>
    <row r="1466" spans="1:4" x14ac:dyDescent="0.35">
      <c r="A1466" s="1" t="s">
        <v>83</v>
      </c>
      <c r="B1466" s="1"/>
      <c r="C1466">
        <v>2014</v>
      </c>
      <c r="D1466">
        <v>85.37</v>
      </c>
    </row>
    <row r="1467" spans="1:4" x14ac:dyDescent="0.35">
      <c r="A1467" s="1" t="s">
        <v>83</v>
      </c>
      <c r="B1467" s="1"/>
      <c r="C1467">
        <v>2015</v>
      </c>
      <c r="D1467">
        <v>79.930000000000007</v>
      </c>
    </row>
    <row r="1468" spans="1:4" x14ac:dyDescent="0.35">
      <c r="A1468" s="1" t="s">
        <v>83</v>
      </c>
      <c r="B1468" s="1"/>
      <c r="C1468">
        <v>2016</v>
      </c>
      <c r="D1468">
        <v>79.849999999999994</v>
      </c>
    </row>
    <row r="1469" spans="1:4" x14ac:dyDescent="0.35">
      <c r="A1469" s="1" t="s">
        <v>83</v>
      </c>
      <c r="B1469" s="1"/>
      <c r="C1469">
        <v>2017</v>
      </c>
      <c r="D1469">
        <v>80.36</v>
      </c>
    </row>
    <row r="1470" spans="1:4" x14ac:dyDescent="0.35">
      <c r="A1470" s="1" t="s">
        <v>83</v>
      </c>
      <c r="B1470" s="1"/>
      <c r="C1470">
        <v>2018</v>
      </c>
      <c r="D1470">
        <v>77.45</v>
      </c>
    </row>
    <row r="1471" spans="1:4" x14ac:dyDescent="0.35">
      <c r="A1471" s="1" t="s">
        <v>83</v>
      </c>
      <c r="B1471" s="1"/>
      <c r="C1471">
        <v>2019</v>
      </c>
      <c r="D1471">
        <v>77.78</v>
      </c>
    </row>
    <row r="1472" spans="1:4" x14ac:dyDescent="0.35">
      <c r="A1472" s="1" t="s">
        <v>83</v>
      </c>
      <c r="B1472" s="1"/>
      <c r="C1472">
        <v>2020</v>
      </c>
      <c r="D1472">
        <v>78.430000000000007</v>
      </c>
    </row>
    <row r="1473" spans="1:4" x14ac:dyDescent="0.35">
      <c r="A1473" s="1" t="s">
        <v>83</v>
      </c>
      <c r="B1473" s="1"/>
      <c r="C1473">
        <v>2021</v>
      </c>
      <c r="D1473">
        <v>78.44</v>
      </c>
    </row>
    <row r="1474" spans="1:4" x14ac:dyDescent="0.35">
      <c r="A1474" s="1" t="s">
        <v>83</v>
      </c>
      <c r="B1474" s="1"/>
      <c r="C1474">
        <v>2022</v>
      </c>
      <c r="D1474">
        <v>77.459999999999994</v>
      </c>
    </row>
    <row r="1475" spans="1:4" x14ac:dyDescent="0.35">
      <c r="A1475" s="1" t="s">
        <v>83</v>
      </c>
      <c r="B1475" s="1"/>
      <c r="C1475">
        <v>2023</v>
      </c>
      <c r="D1475">
        <v>77.61</v>
      </c>
    </row>
    <row r="1476" spans="1:4" x14ac:dyDescent="0.35">
      <c r="A1476" s="1" t="s">
        <v>83</v>
      </c>
      <c r="B1476" s="1"/>
      <c r="C1476">
        <v>2024</v>
      </c>
      <c r="D1476">
        <v>77.650000000000006</v>
      </c>
    </row>
    <row r="1477" spans="1:4" x14ac:dyDescent="0.35">
      <c r="A1477" s="1" t="s">
        <v>83</v>
      </c>
      <c r="B1477" s="1" t="s">
        <v>135</v>
      </c>
      <c r="C1477">
        <v>2000</v>
      </c>
      <c r="D1477">
        <v>99.53</v>
      </c>
    </row>
    <row r="1478" spans="1:4" x14ac:dyDescent="0.35">
      <c r="A1478" s="1" t="s">
        <v>83</v>
      </c>
      <c r="B1478" s="1"/>
      <c r="C1478">
        <v>2001</v>
      </c>
      <c r="D1478">
        <v>99.64</v>
      </c>
    </row>
    <row r="1479" spans="1:4" x14ac:dyDescent="0.35">
      <c r="A1479" s="1" t="s">
        <v>83</v>
      </c>
      <c r="B1479" s="1"/>
      <c r="C1479">
        <v>2002</v>
      </c>
      <c r="D1479">
        <v>99.73</v>
      </c>
    </row>
    <row r="1480" spans="1:4" x14ac:dyDescent="0.35">
      <c r="A1480" s="1" t="s">
        <v>83</v>
      </c>
      <c r="B1480" s="1"/>
      <c r="C1480">
        <v>2003</v>
      </c>
      <c r="D1480">
        <v>99.69</v>
      </c>
    </row>
    <row r="1481" spans="1:4" x14ac:dyDescent="0.35">
      <c r="A1481" s="1" t="s">
        <v>83</v>
      </c>
      <c r="B1481" s="1"/>
      <c r="C1481">
        <v>2004</v>
      </c>
      <c r="D1481">
        <v>99.67</v>
      </c>
    </row>
    <row r="1482" spans="1:4" x14ac:dyDescent="0.35">
      <c r="A1482" s="1" t="s">
        <v>83</v>
      </c>
      <c r="B1482" s="1"/>
      <c r="C1482">
        <v>2005</v>
      </c>
      <c r="D1482">
        <v>99.89</v>
      </c>
    </row>
    <row r="1483" spans="1:4" x14ac:dyDescent="0.35">
      <c r="A1483" s="1" t="s">
        <v>83</v>
      </c>
      <c r="B1483" s="1"/>
      <c r="C1483">
        <v>2006</v>
      </c>
      <c r="D1483">
        <v>99.96</v>
      </c>
    </row>
    <row r="1484" spans="1:4" x14ac:dyDescent="0.35">
      <c r="A1484" s="1" t="s">
        <v>83</v>
      </c>
      <c r="B1484" s="1"/>
      <c r="C1484">
        <v>2007</v>
      </c>
      <c r="D1484">
        <v>99.95</v>
      </c>
    </row>
    <row r="1485" spans="1:4" x14ac:dyDescent="0.35">
      <c r="A1485" s="1" t="s">
        <v>83</v>
      </c>
      <c r="B1485" s="1"/>
      <c r="C1485">
        <v>2008</v>
      </c>
      <c r="D1485">
        <v>99.93</v>
      </c>
    </row>
    <row r="1486" spans="1:4" x14ac:dyDescent="0.35">
      <c r="A1486" s="1" t="s">
        <v>83</v>
      </c>
      <c r="B1486" s="1"/>
      <c r="C1486">
        <v>2009</v>
      </c>
      <c r="D1486">
        <v>99.94</v>
      </c>
    </row>
    <row r="1487" spans="1:4" x14ac:dyDescent="0.35">
      <c r="A1487" s="1" t="s">
        <v>83</v>
      </c>
      <c r="B1487" s="1"/>
      <c r="C1487">
        <v>2010</v>
      </c>
      <c r="D1487">
        <v>99.89</v>
      </c>
    </row>
    <row r="1488" spans="1:4" x14ac:dyDescent="0.35">
      <c r="A1488" s="1" t="s">
        <v>83</v>
      </c>
      <c r="B1488" s="1"/>
      <c r="C1488">
        <v>2011</v>
      </c>
      <c r="D1488">
        <v>99.87</v>
      </c>
    </row>
    <row r="1489" spans="1:4" x14ac:dyDescent="0.35">
      <c r="A1489" s="1" t="s">
        <v>83</v>
      </c>
      <c r="B1489" s="1"/>
      <c r="C1489">
        <v>2012</v>
      </c>
      <c r="D1489">
        <v>99.84</v>
      </c>
    </row>
    <row r="1490" spans="1:4" x14ac:dyDescent="0.35">
      <c r="A1490" s="1" t="s">
        <v>83</v>
      </c>
      <c r="B1490" s="1"/>
      <c r="C1490">
        <v>2013</v>
      </c>
      <c r="D1490">
        <v>99.8</v>
      </c>
    </row>
    <row r="1491" spans="1:4" x14ac:dyDescent="0.35">
      <c r="A1491" s="1" t="s">
        <v>83</v>
      </c>
      <c r="B1491" s="1"/>
      <c r="C1491">
        <v>2014</v>
      </c>
      <c r="D1491">
        <v>99.79</v>
      </c>
    </row>
    <row r="1492" spans="1:4" x14ac:dyDescent="0.35">
      <c r="A1492" s="1" t="s">
        <v>83</v>
      </c>
      <c r="B1492" s="1"/>
      <c r="C1492">
        <v>2015</v>
      </c>
      <c r="D1492">
        <v>99.68</v>
      </c>
    </row>
    <row r="1493" spans="1:4" x14ac:dyDescent="0.35">
      <c r="A1493" s="1" t="s">
        <v>83</v>
      </c>
      <c r="B1493" s="1"/>
      <c r="C1493">
        <v>2016</v>
      </c>
      <c r="D1493">
        <v>95.76</v>
      </c>
    </row>
    <row r="1494" spans="1:4" x14ac:dyDescent="0.35">
      <c r="A1494" s="1" t="s">
        <v>83</v>
      </c>
      <c r="B1494" s="1"/>
      <c r="C1494">
        <v>2017</v>
      </c>
      <c r="D1494">
        <v>80.989999999999995</v>
      </c>
    </row>
    <row r="1495" spans="1:4" x14ac:dyDescent="0.35">
      <c r="A1495" s="1" t="s">
        <v>83</v>
      </c>
      <c r="B1495" s="1"/>
      <c r="C1495">
        <v>2018</v>
      </c>
      <c r="D1495">
        <v>82.31</v>
      </c>
    </row>
    <row r="1496" spans="1:4" x14ac:dyDescent="0.35">
      <c r="A1496" s="1" t="s">
        <v>83</v>
      </c>
      <c r="B1496" s="1"/>
      <c r="C1496">
        <v>2019</v>
      </c>
      <c r="D1496">
        <v>81.91</v>
      </c>
    </row>
    <row r="1497" spans="1:4" x14ac:dyDescent="0.35">
      <c r="A1497" s="1" t="s">
        <v>83</v>
      </c>
      <c r="B1497" s="1"/>
      <c r="C1497">
        <v>2020</v>
      </c>
      <c r="D1497">
        <v>83.72</v>
      </c>
    </row>
    <row r="1498" spans="1:4" x14ac:dyDescent="0.35">
      <c r="A1498" s="1" t="s">
        <v>83</v>
      </c>
      <c r="B1498" s="1"/>
      <c r="C1498">
        <v>2021</v>
      </c>
      <c r="D1498">
        <v>83.12</v>
      </c>
    </row>
    <row r="1499" spans="1:4" x14ac:dyDescent="0.35">
      <c r="A1499" s="1" t="s">
        <v>83</v>
      </c>
      <c r="B1499" s="1"/>
      <c r="C1499">
        <v>2022</v>
      </c>
      <c r="D1499">
        <v>84.06</v>
      </c>
    </row>
    <row r="1500" spans="1:4" x14ac:dyDescent="0.35">
      <c r="A1500" s="1" t="s">
        <v>83</v>
      </c>
      <c r="B1500" s="1"/>
      <c r="C1500">
        <v>2023</v>
      </c>
      <c r="D1500">
        <v>83.71</v>
      </c>
    </row>
    <row r="1501" spans="1:4" x14ac:dyDescent="0.35">
      <c r="A1501" s="1" t="s">
        <v>83</v>
      </c>
      <c r="B1501" s="1"/>
      <c r="C1501">
        <v>2024</v>
      </c>
      <c r="D1501" t="s">
        <v>136</v>
      </c>
    </row>
    <row r="1502" spans="1:4" x14ac:dyDescent="0.35">
      <c r="A1502" s="1" t="s">
        <v>91</v>
      </c>
      <c r="B1502" s="1" t="s">
        <v>134</v>
      </c>
      <c r="C1502">
        <v>2000</v>
      </c>
      <c r="D1502">
        <v>62.24</v>
      </c>
    </row>
    <row r="1503" spans="1:4" x14ac:dyDescent="0.35">
      <c r="A1503" s="1" t="s">
        <v>91</v>
      </c>
      <c r="B1503" s="1"/>
      <c r="C1503">
        <v>2001</v>
      </c>
      <c r="D1503">
        <v>62.25</v>
      </c>
    </row>
    <row r="1504" spans="1:4" x14ac:dyDescent="0.35">
      <c r="A1504" s="1" t="s">
        <v>91</v>
      </c>
      <c r="B1504" s="1"/>
      <c r="C1504">
        <v>2002</v>
      </c>
      <c r="D1504">
        <v>62.27</v>
      </c>
    </row>
    <row r="1505" spans="1:4" x14ac:dyDescent="0.35">
      <c r="A1505" s="1" t="s">
        <v>91</v>
      </c>
      <c r="B1505" s="1"/>
      <c r="C1505">
        <v>2003</v>
      </c>
      <c r="D1505">
        <v>62.27</v>
      </c>
    </row>
    <row r="1506" spans="1:4" x14ac:dyDescent="0.35">
      <c r="A1506" s="1" t="s">
        <v>91</v>
      </c>
      <c r="B1506" s="1"/>
      <c r="C1506">
        <v>2004</v>
      </c>
      <c r="D1506">
        <v>62.29</v>
      </c>
    </row>
    <row r="1507" spans="1:4" x14ac:dyDescent="0.35">
      <c r="A1507" s="1" t="s">
        <v>91</v>
      </c>
      <c r="B1507" s="1"/>
      <c r="C1507">
        <v>2005</v>
      </c>
      <c r="D1507">
        <v>62.34</v>
      </c>
    </row>
    <row r="1508" spans="1:4" x14ac:dyDescent="0.35">
      <c r="A1508" s="1" t="s">
        <v>91</v>
      </c>
      <c r="B1508" s="1"/>
      <c r="C1508">
        <v>2006</v>
      </c>
      <c r="D1508">
        <v>62.34</v>
      </c>
    </row>
    <row r="1509" spans="1:4" x14ac:dyDescent="0.35">
      <c r="A1509" s="1" t="s">
        <v>91</v>
      </c>
      <c r="B1509" s="1"/>
      <c r="C1509">
        <v>2007</v>
      </c>
      <c r="D1509">
        <v>62.34</v>
      </c>
    </row>
    <row r="1510" spans="1:4" x14ac:dyDescent="0.35">
      <c r="A1510" s="1" t="s">
        <v>91</v>
      </c>
      <c r="B1510" s="1"/>
      <c r="C1510">
        <v>2008</v>
      </c>
      <c r="D1510">
        <v>62.34</v>
      </c>
    </row>
    <row r="1511" spans="1:4" x14ac:dyDescent="0.35">
      <c r="A1511" s="1" t="s">
        <v>91</v>
      </c>
      <c r="B1511" s="1"/>
      <c r="C1511">
        <v>2009</v>
      </c>
      <c r="D1511">
        <v>59.79</v>
      </c>
    </row>
    <row r="1512" spans="1:4" x14ac:dyDescent="0.35">
      <c r="A1512" s="1" t="s">
        <v>91</v>
      </c>
      <c r="B1512" s="1"/>
      <c r="C1512">
        <v>2010</v>
      </c>
      <c r="D1512">
        <v>59.82</v>
      </c>
    </row>
    <row r="1513" spans="1:4" x14ac:dyDescent="0.35">
      <c r="A1513" s="1" t="s">
        <v>91</v>
      </c>
      <c r="B1513" s="1"/>
      <c r="C1513">
        <v>2011</v>
      </c>
      <c r="D1513">
        <v>56.52</v>
      </c>
    </row>
    <row r="1514" spans="1:4" x14ac:dyDescent="0.35">
      <c r="A1514" s="1" t="s">
        <v>91</v>
      </c>
      <c r="B1514" s="1"/>
      <c r="C1514">
        <v>2012</v>
      </c>
      <c r="D1514">
        <v>64.11</v>
      </c>
    </row>
    <row r="1515" spans="1:4" x14ac:dyDescent="0.35">
      <c r="A1515" s="1" t="s">
        <v>91</v>
      </c>
      <c r="B1515" s="1"/>
      <c r="C1515">
        <v>2013</v>
      </c>
      <c r="D1515">
        <v>64.17</v>
      </c>
    </row>
    <row r="1516" spans="1:4" x14ac:dyDescent="0.35">
      <c r="A1516" s="1" t="s">
        <v>91</v>
      </c>
      <c r="B1516" s="1"/>
      <c r="C1516">
        <v>2014</v>
      </c>
      <c r="D1516">
        <v>61.44</v>
      </c>
    </row>
    <row r="1517" spans="1:4" x14ac:dyDescent="0.35">
      <c r="A1517" s="1" t="s">
        <v>91</v>
      </c>
      <c r="B1517" s="1"/>
      <c r="C1517">
        <v>2015</v>
      </c>
      <c r="D1517">
        <v>62.2</v>
      </c>
    </row>
    <row r="1518" spans="1:4" x14ac:dyDescent="0.35">
      <c r="A1518" s="1" t="s">
        <v>91</v>
      </c>
      <c r="B1518" s="1"/>
      <c r="C1518">
        <v>2016</v>
      </c>
      <c r="D1518">
        <v>67.03</v>
      </c>
    </row>
    <row r="1519" spans="1:4" x14ac:dyDescent="0.35">
      <c r="A1519" s="1" t="s">
        <v>91</v>
      </c>
      <c r="B1519" s="1"/>
      <c r="C1519">
        <v>2017</v>
      </c>
      <c r="D1519">
        <v>69.53</v>
      </c>
    </row>
    <row r="1520" spans="1:4" x14ac:dyDescent="0.35">
      <c r="A1520" s="1" t="s">
        <v>91</v>
      </c>
      <c r="B1520" s="1"/>
      <c r="C1520">
        <v>2018</v>
      </c>
      <c r="D1520">
        <v>72.17</v>
      </c>
    </row>
    <row r="1521" spans="1:4" x14ac:dyDescent="0.35">
      <c r="A1521" s="1" t="s">
        <v>91</v>
      </c>
      <c r="B1521" s="1"/>
      <c r="C1521">
        <v>2019</v>
      </c>
      <c r="D1521">
        <v>74.62</v>
      </c>
    </row>
    <row r="1522" spans="1:4" x14ac:dyDescent="0.35">
      <c r="A1522" s="1" t="s">
        <v>91</v>
      </c>
      <c r="B1522" s="1"/>
      <c r="C1522">
        <v>2020</v>
      </c>
      <c r="D1522">
        <v>71.5</v>
      </c>
    </row>
    <row r="1523" spans="1:4" x14ac:dyDescent="0.35">
      <c r="A1523" s="1" t="s">
        <v>91</v>
      </c>
      <c r="B1523" s="1"/>
      <c r="C1523">
        <v>2021</v>
      </c>
      <c r="D1523">
        <v>71.59</v>
      </c>
    </row>
    <row r="1524" spans="1:4" x14ac:dyDescent="0.35">
      <c r="A1524" s="1" t="s">
        <v>91</v>
      </c>
      <c r="B1524" s="1"/>
      <c r="C1524">
        <v>2022</v>
      </c>
      <c r="D1524">
        <v>75.510000000000005</v>
      </c>
    </row>
    <row r="1525" spans="1:4" x14ac:dyDescent="0.35">
      <c r="A1525" s="1" t="s">
        <v>91</v>
      </c>
      <c r="B1525" s="1"/>
      <c r="C1525">
        <v>2023</v>
      </c>
      <c r="D1525">
        <v>75.510000000000005</v>
      </c>
    </row>
    <row r="1526" spans="1:4" x14ac:dyDescent="0.35">
      <c r="A1526" s="1" t="s">
        <v>91</v>
      </c>
      <c r="B1526" s="1"/>
      <c r="C1526">
        <v>2024</v>
      </c>
      <c r="D1526">
        <v>75.510000000000005</v>
      </c>
    </row>
    <row r="1527" spans="1:4" x14ac:dyDescent="0.35">
      <c r="A1527" s="1" t="s">
        <v>91</v>
      </c>
      <c r="B1527" s="1" t="s">
        <v>135</v>
      </c>
      <c r="C1527">
        <v>2000</v>
      </c>
      <c r="D1527">
        <v>99.58</v>
      </c>
    </row>
    <row r="1528" spans="1:4" x14ac:dyDescent="0.35">
      <c r="A1528" s="1" t="s">
        <v>91</v>
      </c>
      <c r="B1528" s="1"/>
      <c r="C1528">
        <v>2001</v>
      </c>
      <c r="D1528">
        <v>99.81</v>
      </c>
    </row>
    <row r="1529" spans="1:4" x14ac:dyDescent="0.35">
      <c r="A1529" s="1" t="s">
        <v>91</v>
      </c>
      <c r="B1529" s="1"/>
      <c r="C1529">
        <v>2002</v>
      </c>
      <c r="D1529">
        <v>99.79</v>
      </c>
    </row>
    <row r="1530" spans="1:4" x14ac:dyDescent="0.35">
      <c r="A1530" s="1" t="s">
        <v>91</v>
      </c>
      <c r="B1530" s="1"/>
      <c r="C1530">
        <v>2003</v>
      </c>
      <c r="D1530">
        <v>99.62</v>
      </c>
    </row>
    <row r="1531" spans="1:4" x14ac:dyDescent="0.35">
      <c r="A1531" s="1" t="s">
        <v>91</v>
      </c>
      <c r="B1531" s="1"/>
      <c r="C1531">
        <v>2004</v>
      </c>
      <c r="D1531">
        <v>99.57</v>
      </c>
    </row>
    <row r="1532" spans="1:4" x14ac:dyDescent="0.35">
      <c r="A1532" s="1" t="s">
        <v>91</v>
      </c>
      <c r="B1532" s="1"/>
      <c r="C1532">
        <v>2005</v>
      </c>
      <c r="D1532">
        <v>97.33</v>
      </c>
    </row>
    <row r="1533" spans="1:4" x14ac:dyDescent="0.35">
      <c r="A1533" s="1" t="s">
        <v>91</v>
      </c>
      <c r="B1533" s="1"/>
      <c r="C1533">
        <v>2006</v>
      </c>
      <c r="D1533">
        <v>96.38</v>
      </c>
    </row>
    <row r="1534" spans="1:4" x14ac:dyDescent="0.35">
      <c r="A1534" s="1" t="s">
        <v>91</v>
      </c>
      <c r="B1534" s="1"/>
      <c r="C1534">
        <v>2007</v>
      </c>
      <c r="D1534">
        <v>93.69</v>
      </c>
    </row>
    <row r="1535" spans="1:4" x14ac:dyDescent="0.35">
      <c r="A1535" s="1" t="s">
        <v>91</v>
      </c>
      <c r="B1535" s="1"/>
      <c r="C1535">
        <v>2008</v>
      </c>
      <c r="D1535">
        <v>89.78</v>
      </c>
    </row>
    <row r="1536" spans="1:4" x14ac:dyDescent="0.35">
      <c r="A1536" s="1" t="s">
        <v>91</v>
      </c>
      <c r="B1536" s="1"/>
      <c r="C1536">
        <v>2009</v>
      </c>
      <c r="D1536">
        <v>89.36</v>
      </c>
    </row>
    <row r="1537" spans="1:4" x14ac:dyDescent="0.35">
      <c r="A1537" s="1" t="s">
        <v>91</v>
      </c>
      <c r="B1537" s="1"/>
      <c r="C1537">
        <v>2010</v>
      </c>
      <c r="D1537">
        <v>93.58</v>
      </c>
    </row>
    <row r="1538" spans="1:4" x14ac:dyDescent="0.35">
      <c r="A1538" s="1" t="s">
        <v>91</v>
      </c>
      <c r="B1538" s="1"/>
      <c r="C1538">
        <v>2011</v>
      </c>
      <c r="D1538">
        <v>95.17</v>
      </c>
    </row>
    <row r="1539" spans="1:4" x14ac:dyDescent="0.35">
      <c r="A1539" s="1" t="s">
        <v>91</v>
      </c>
      <c r="B1539" s="1"/>
      <c r="C1539">
        <v>2012</v>
      </c>
      <c r="D1539">
        <v>93.97</v>
      </c>
    </row>
    <row r="1540" spans="1:4" x14ac:dyDescent="0.35">
      <c r="A1540" s="1" t="s">
        <v>91</v>
      </c>
      <c r="B1540" s="1"/>
      <c r="C1540">
        <v>2013</v>
      </c>
      <c r="D1540">
        <v>94.53</v>
      </c>
    </row>
    <row r="1541" spans="1:4" x14ac:dyDescent="0.35">
      <c r="A1541" s="1" t="s">
        <v>91</v>
      </c>
      <c r="B1541" s="1"/>
      <c r="C1541">
        <v>2014</v>
      </c>
      <c r="D1541">
        <v>91.99</v>
      </c>
    </row>
    <row r="1542" spans="1:4" x14ac:dyDescent="0.35">
      <c r="A1542" s="1" t="s">
        <v>91</v>
      </c>
      <c r="B1542" s="1"/>
      <c r="C1542">
        <v>2015</v>
      </c>
      <c r="D1542">
        <v>90.3</v>
      </c>
    </row>
    <row r="1543" spans="1:4" x14ac:dyDescent="0.35">
      <c r="A1543" s="1" t="s">
        <v>91</v>
      </c>
      <c r="B1543" s="1"/>
      <c r="C1543">
        <v>2016</v>
      </c>
      <c r="D1543">
        <v>89.84</v>
      </c>
    </row>
    <row r="1544" spans="1:4" x14ac:dyDescent="0.35">
      <c r="A1544" s="1" t="s">
        <v>91</v>
      </c>
      <c r="B1544" s="1"/>
      <c r="C1544">
        <v>2017</v>
      </c>
      <c r="D1544">
        <v>91.2</v>
      </c>
    </row>
    <row r="1545" spans="1:4" x14ac:dyDescent="0.35">
      <c r="A1545" s="1" t="s">
        <v>91</v>
      </c>
      <c r="B1545" s="1"/>
      <c r="C1545">
        <v>2018</v>
      </c>
      <c r="D1545">
        <v>90.49</v>
      </c>
    </row>
    <row r="1546" spans="1:4" x14ac:dyDescent="0.35">
      <c r="A1546" s="1" t="s">
        <v>91</v>
      </c>
      <c r="B1546" s="1"/>
      <c r="C1546">
        <v>2019</v>
      </c>
      <c r="D1546">
        <v>90.55</v>
      </c>
    </row>
    <row r="1547" spans="1:4" x14ac:dyDescent="0.35">
      <c r="A1547" s="1" t="s">
        <v>91</v>
      </c>
      <c r="B1547" s="1"/>
      <c r="C1547">
        <v>2020</v>
      </c>
      <c r="D1547">
        <v>86.85</v>
      </c>
    </row>
    <row r="1548" spans="1:4" x14ac:dyDescent="0.35">
      <c r="A1548" s="1" t="s">
        <v>91</v>
      </c>
      <c r="B1548" s="1"/>
      <c r="C1548">
        <v>2021</v>
      </c>
      <c r="D1548">
        <v>85.18</v>
      </c>
    </row>
    <row r="1549" spans="1:4" x14ac:dyDescent="0.35">
      <c r="A1549" s="1" t="s">
        <v>91</v>
      </c>
      <c r="B1549" s="1"/>
      <c r="C1549">
        <v>2022</v>
      </c>
      <c r="D1549">
        <v>87.38</v>
      </c>
    </row>
    <row r="1550" spans="1:4" x14ac:dyDescent="0.35">
      <c r="A1550" s="1" t="s">
        <v>91</v>
      </c>
      <c r="B1550" s="1"/>
      <c r="C1550">
        <v>2023</v>
      </c>
      <c r="D1550">
        <v>90.36</v>
      </c>
    </row>
    <row r="1551" spans="1:4" x14ac:dyDescent="0.35">
      <c r="A1551" s="1" t="s">
        <v>91</v>
      </c>
      <c r="B1551" s="1"/>
      <c r="C1551">
        <v>2024</v>
      </c>
      <c r="D1551" t="s">
        <v>136</v>
      </c>
    </row>
    <row r="1552" spans="1:4" x14ac:dyDescent="0.35">
      <c r="A1552" s="1" t="s">
        <v>95</v>
      </c>
      <c r="B1552" s="1" t="s">
        <v>134</v>
      </c>
      <c r="C1552">
        <v>2000</v>
      </c>
      <c r="D1552">
        <v>37.33</v>
      </c>
    </row>
    <row r="1553" spans="1:4" x14ac:dyDescent="0.35">
      <c r="A1553" s="1" t="s">
        <v>95</v>
      </c>
      <c r="B1553" s="1"/>
      <c r="C1553">
        <v>2001</v>
      </c>
      <c r="D1553">
        <v>37.33</v>
      </c>
    </row>
    <row r="1554" spans="1:4" x14ac:dyDescent="0.35">
      <c r="A1554" s="1" t="s">
        <v>95</v>
      </c>
      <c r="B1554" s="1"/>
      <c r="C1554">
        <v>2002</v>
      </c>
      <c r="D1554">
        <v>37.33</v>
      </c>
    </row>
    <row r="1555" spans="1:4" x14ac:dyDescent="0.35">
      <c r="A1555" s="1" t="s">
        <v>95</v>
      </c>
      <c r="B1555" s="1"/>
      <c r="C1555">
        <v>2003</v>
      </c>
      <c r="D1555">
        <v>30.73</v>
      </c>
    </row>
    <row r="1556" spans="1:4" x14ac:dyDescent="0.35">
      <c r="A1556" s="1" t="s">
        <v>95</v>
      </c>
      <c r="B1556" s="1"/>
      <c r="C1556">
        <v>2004</v>
      </c>
      <c r="D1556">
        <v>30.73</v>
      </c>
    </row>
    <row r="1557" spans="1:4" x14ac:dyDescent="0.35">
      <c r="A1557" s="1" t="s">
        <v>95</v>
      </c>
      <c r="B1557" s="1"/>
      <c r="C1557">
        <v>2005</v>
      </c>
      <c r="D1557">
        <v>29.85</v>
      </c>
    </row>
    <row r="1558" spans="1:4" x14ac:dyDescent="0.35">
      <c r="A1558" s="1" t="s">
        <v>95</v>
      </c>
      <c r="B1558" s="1"/>
      <c r="C1558">
        <v>2006</v>
      </c>
      <c r="D1558">
        <v>27.48</v>
      </c>
    </row>
    <row r="1559" spans="1:4" x14ac:dyDescent="0.35">
      <c r="A1559" s="1" t="s">
        <v>95</v>
      </c>
      <c r="B1559" s="1"/>
      <c r="C1559">
        <v>2007</v>
      </c>
      <c r="D1559">
        <v>25.72</v>
      </c>
    </row>
    <row r="1560" spans="1:4" x14ac:dyDescent="0.35">
      <c r="A1560" s="1" t="s">
        <v>95</v>
      </c>
      <c r="B1560" s="1"/>
      <c r="C1560">
        <v>2008</v>
      </c>
      <c r="D1560">
        <v>24.2</v>
      </c>
    </row>
    <row r="1561" spans="1:4" x14ac:dyDescent="0.35">
      <c r="A1561" s="1" t="s">
        <v>95</v>
      </c>
      <c r="B1561" s="1"/>
      <c r="C1561">
        <v>2009</v>
      </c>
      <c r="D1561">
        <v>23.57</v>
      </c>
    </row>
    <row r="1562" spans="1:4" x14ac:dyDescent="0.35">
      <c r="A1562" s="1" t="s">
        <v>95</v>
      </c>
      <c r="B1562" s="1"/>
      <c r="C1562">
        <v>2010</v>
      </c>
      <c r="D1562">
        <v>24.34</v>
      </c>
    </row>
    <row r="1563" spans="1:4" x14ac:dyDescent="0.35">
      <c r="A1563" s="1" t="s">
        <v>95</v>
      </c>
      <c r="B1563" s="1"/>
      <c r="C1563">
        <v>2011</v>
      </c>
      <c r="D1563">
        <v>23.3</v>
      </c>
    </row>
    <row r="1564" spans="1:4" x14ac:dyDescent="0.35">
      <c r="A1564" s="1" t="s">
        <v>95</v>
      </c>
      <c r="B1564" s="1"/>
      <c r="C1564">
        <v>2012</v>
      </c>
      <c r="D1564">
        <v>23.3</v>
      </c>
    </row>
    <row r="1565" spans="1:4" x14ac:dyDescent="0.35">
      <c r="A1565" s="1" t="s">
        <v>95</v>
      </c>
      <c r="B1565" s="1"/>
      <c r="C1565">
        <v>2013</v>
      </c>
      <c r="D1565">
        <v>21.17</v>
      </c>
    </row>
    <row r="1566" spans="1:4" x14ac:dyDescent="0.35">
      <c r="A1566" s="1" t="s">
        <v>95</v>
      </c>
      <c r="B1566" s="1"/>
      <c r="C1566">
        <v>2014</v>
      </c>
      <c r="D1566">
        <v>20.059999999999999</v>
      </c>
    </row>
    <row r="1567" spans="1:4" x14ac:dyDescent="0.35">
      <c r="A1567" s="1" t="s">
        <v>95</v>
      </c>
      <c r="B1567" s="1"/>
      <c r="C1567">
        <v>2015</v>
      </c>
      <c r="D1567">
        <v>20.149999999999999</v>
      </c>
    </row>
    <row r="1568" spans="1:4" x14ac:dyDescent="0.35">
      <c r="A1568" s="1" t="s">
        <v>95</v>
      </c>
      <c r="B1568" s="1"/>
      <c r="C1568">
        <v>2016</v>
      </c>
      <c r="D1568">
        <v>17.07</v>
      </c>
    </row>
    <row r="1569" spans="1:4" x14ac:dyDescent="0.35">
      <c r="A1569" s="1" t="s">
        <v>95</v>
      </c>
      <c r="B1569" s="1"/>
      <c r="C1569">
        <v>2017</v>
      </c>
      <c r="D1569">
        <v>17.07</v>
      </c>
    </row>
    <row r="1570" spans="1:4" x14ac:dyDescent="0.35">
      <c r="A1570" s="1" t="s">
        <v>95</v>
      </c>
      <c r="B1570" s="1"/>
      <c r="C1570">
        <v>2018</v>
      </c>
      <c r="D1570">
        <v>16.5</v>
      </c>
    </row>
    <row r="1571" spans="1:4" x14ac:dyDescent="0.35">
      <c r="A1571" s="1" t="s">
        <v>95</v>
      </c>
      <c r="B1571" s="1"/>
      <c r="C1571">
        <v>2019</v>
      </c>
      <c r="D1571">
        <v>16.57</v>
      </c>
    </row>
    <row r="1572" spans="1:4" x14ac:dyDescent="0.35">
      <c r="A1572" s="1" t="s">
        <v>95</v>
      </c>
      <c r="B1572" s="1"/>
      <c r="C1572">
        <v>2020</v>
      </c>
      <c r="D1572">
        <v>16.68</v>
      </c>
    </row>
    <row r="1573" spans="1:4" x14ac:dyDescent="0.35">
      <c r="A1573" s="1" t="s">
        <v>95</v>
      </c>
      <c r="B1573" s="1"/>
      <c r="C1573">
        <v>2021</v>
      </c>
      <c r="D1573">
        <v>16.93</v>
      </c>
    </row>
    <row r="1574" spans="1:4" x14ac:dyDescent="0.35">
      <c r="A1574" s="1" t="s">
        <v>95</v>
      </c>
      <c r="B1574" s="1"/>
      <c r="C1574">
        <v>2022</v>
      </c>
      <c r="D1574">
        <v>17.11</v>
      </c>
    </row>
    <row r="1575" spans="1:4" x14ac:dyDescent="0.35">
      <c r="A1575" s="1" t="s">
        <v>95</v>
      </c>
      <c r="B1575" s="1"/>
      <c r="C1575">
        <v>2023</v>
      </c>
      <c r="D1575">
        <v>21.29</v>
      </c>
    </row>
    <row r="1576" spans="1:4" x14ac:dyDescent="0.35">
      <c r="A1576" s="1" t="s">
        <v>95</v>
      </c>
      <c r="B1576" s="1"/>
      <c r="C1576">
        <v>2024</v>
      </c>
      <c r="D1576">
        <v>21.16</v>
      </c>
    </row>
    <row r="1577" spans="1:4" x14ac:dyDescent="0.35">
      <c r="A1577" s="1" t="s">
        <v>95</v>
      </c>
      <c r="B1577" s="1" t="s">
        <v>135</v>
      </c>
      <c r="C1577">
        <v>2000</v>
      </c>
      <c r="D1577">
        <v>41.5</v>
      </c>
    </row>
    <row r="1578" spans="1:4" x14ac:dyDescent="0.35">
      <c r="A1578" s="1" t="s">
        <v>95</v>
      </c>
      <c r="B1578" s="1"/>
      <c r="C1578">
        <v>2001</v>
      </c>
      <c r="D1578">
        <v>39.380000000000003</v>
      </c>
    </row>
    <row r="1579" spans="1:4" x14ac:dyDescent="0.35">
      <c r="A1579" s="1" t="s">
        <v>95</v>
      </c>
      <c r="B1579" s="1"/>
      <c r="C1579">
        <v>2002</v>
      </c>
      <c r="D1579">
        <v>32.479999999999997</v>
      </c>
    </row>
    <row r="1580" spans="1:4" x14ac:dyDescent="0.35">
      <c r="A1580" s="1" t="s">
        <v>95</v>
      </c>
      <c r="B1580" s="1"/>
      <c r="C1580">
        <v>2003</v>
      </c>
      <c r="D1580">
        <v>37.880000000000003</v>
      </c>
    </row>
    <row r="1581" spans="1:4" x14ac:dyDescent="0.35">
      <c r="A1581" s="1" t="s">
        <v>95</v>
      </c>
      <c r="B1581" s="1"/>
      <c r="C1581">
        <v>2004</v>
      </c>
      <c r="D1581">
        <v>33.380000000000003</v>
      </c>
    </row>
    <row r="1582" spans="1:4" x14ac:dyDescent="0.35">
      <c r="A1582" s="1" t="s">
        <v>95</v>
      </c>
      <c r="B1582" s="1"/>
      <c r="C1582">
        <v>2005</v>
      </c>
      <c r="D1582">
        <v>45.34</v>
      </c>
    </row>
    <row r="1583" spans="1:4" x14ac:dyDescent="0.35">
      <c r="A1583" s="1" t="s">
        <v>95</v>
      </c>
      <c r="B1583" s="1"/>
      <c r="C1583">
        <v>2006</v>
      </c>
      <c r="D1583">
        <v>38.630000000000003</v>
      </c>
    </row>
    <row r="1584" spans="1:4" x14ac:dyDescent="0.35">
      <c r="A1584" s="1" t="s">
        <v>95</v>
      </c>
      <c r="B1584" s="1"/>
      <c r="C1584">
        <v>2007</v>
      </c>
      <c r="D1584">
        <v>31.74</v>
      </c>
    </row>
    <row r="1585" spans="1:4" x14ac:dyDescent="0.35">
      <c r="A1585" s="1" t="s">
        <v>95</v>
      </c>
      <c r="B1585" s="1"/>
      <c r="C1585">
        <v>2008</v>
      </c>
      <c r="D1585">
        <v>32.64</v>
      </c>
    </row>
    <row r="1586" spans="1:4" x14ac:dyDescent="0.35">
      <c r="A1586" s="1" t="s">
        <v>95</v>
      </c>
      <c r="B1586" s="1"/>
      <c r="C1586">
        <v>2009</v>
      </c>
      <c r="D1586">
        <v>32.83</v>
      </c>
    </row>
    <row r="1587" spans="1:4" x14ac:dyDescent="0.35">
      <c r="A1587" s="1" t="s">
        <v>95</v>
      </c>
      <c r="B1587" s="1"/>
      <c r="C1587">
        <v>2010</v>
      </c>
      <c r="D1587">
        <v>26.74</v>
      </c>
    </row>
    <row r="1588" spans="1:4" x14ac:dyDescent="0.35">
      <c r="A1588" s="1" t="s">
        <v>95</v>
      </c>
      <c r="B1588" s="1"/>
      <c r="C1588">
        <v>2011</v>
      </c>
      <c r="D1588">
        <v>19.87</v>
      </c>
    </row>
    <row r="1589" spans="1:4" x14ac:dyDescent="0.35">
      <c r="A1589" s="1" t="s">
        <v>95</v>
      </c>
      <c r="B1589" s="1"/>
      <c r="C1589">
        <v>2012</v>
      </c>
      <c r="D1589">
        <v>18.77</v>
      </c>
    </row>
    <row r="1590" spans="1:4" x14ac:dyDescent="0.35">
      <c r="A1590" s="1" t="s">
        <v>95</v>
      </c>
      <c r="B1590" s="1"/>
      <c r="C1590">
        <v>2013</v>
      </c>
      <c r="D1590">
        <v>20.68</v>
      </c>
    </row>
    <row r="1591" spans="1:4" x14ac:dyDescent="0.35">
      <c r="A1591" s="1" t="s">
        <v>95</v>
      </c>
      <c r="B1591" s="1"/>
      <c r="C1591">
        <v>2014</v>
      </c>
      <c r="D1591">
        <v>19.760000000000002</v>
      </c>
    </row>
    <row r="1592" spans="1:4" x14ac:dyDescent="0.35">
      <c r="A1592" s="1" t="s">
        <v>95</v>
      </c>
      <c r="B1592" s="1"/>
      <c r="C1592">
        <v>2015</v>
      </c>
      <c r="D1592">
        <v>20.100000000000001</v>
      </c>
    </row>
    <row r="1593" spans="1:4" x14ac:dyDescent="0.35">
      <c r="A1593" s="1" t="s">
        <v>95</v>
      </c>
      <c r="B1593" s="1"/>
      <c r="C1593">
        <v>2016</v>
      </c>
      <c r="D1593">
        <v>28.56</v>
      </c>
    </row>
    <row r="1594" spans="1:4" x14ac:dyDescent="0.35">
      <c r="A1594" s="1" t="s">
        <v>95</v>
      </c>
      <c r="B1594" s="1"/>
      <c r="C1594">
        <v>2017</v>
      </c>
      <c r="D1594">
        <v>24.61</v>
      </c>
    </row>
    <row r="1595" spans="1:4" x14ac:dyDescent="0.35">
      <c r="A1595" s="1" t="s">
        <v>95</v>
      </c>
      <c r="B1595" s="1"/>
      <c r="C1595">
        <v>2018</v>
      </c>
      <c r="D1595">
        <v>22.99</v>
      </c>
    </row>
    <row r="1596" spans="1:4" x14ac:dyDescent="0.35">
      <c r="A1596" s="1" t="s">
        <v>95</v>
      </c>
      <c r="B1596" s="1"/>
      <c r="C1596">
        <v>2019</v>
      </c>
      <c r="D1596">
        <v>25.39</v>
      </c>
    </row>
    <row r="1597" spans="1:4" x14ac:dyDescent="0.35">
      <c r="A1597" s="1" t="s">
        <v>95</v>
      </c>
      <c r="B1597" s="1"/>
      <c r="C1597">
        <v>2020</v>
      </c>
      <c r="D1597">
        <v>22.66</v>
      </c>
    </row>
    <row r="1598" spans="1:4" x14ac:dyDescent="0.35">
      <c r="A1598" s="1" t="s">
        <v>95</v>
      </c>
      <c r="B1598" s="1"/>
      <c r="C1598">
        <v>2021</v>
      </c>
      <c r="D1598">
        <v>25.46</v>
      </c>
    </row>
    <row r="1599" spans="1:4" x14ac:dyDescent="0.35">
      <c r="A1599" s="1" t="s">
        <v>95</v>
      </c>
      <c r="B1599" s="1"/>
      <c r="C1599">
        <v>2022</v>
      </c>
      <c r="D1599">
        <v>27.28</v>
      </c>
    </row>
    <row r="1600" spans="1:4" x14ac:dyDescent="0.35">
      <c r="A1600" s="1" t="s">
        <v>95</v>
      </c>
      <c r="B1600" s="1"/>
      <c r="C1600">
        <v>2023</v>
      </c>
      <c r="D1600">
        <v>26.09</v>
      </c>
    </row>
    <row r="1601" spans="1:4" x14ac:dyDescent="0.35">
      <c r="A1601" s="1" t="s">
        <v>95</v>
      </c>
      <c r="B1601" s="1"/>
      <c r="C1601">
        <v>2024</v>
      </c>
      <c r="D1601" t="s">
        <v>136</v>
      </c>
    </row>
    <row r="1602" spans="1:4" x14ac:dyDescent="0.35">
      <c r="A1602" s="1" t="s">
        <v>97</v>
      </c>
      <c r="B1602" s="1" t="s">
        <v>134</v>
      </c>
      <c r="C1602">
        <v>2000</v>
      </c>
      <c r="D1602">
        <v>93.96</v>
      </c>
    </row>
    <row r="1603" spans="1:4" x14ac:dyDescent="0.35">
      <c r="A1603" s="1" t="s">
        <v>97</v>
      </c>
      <c r="B1603" s="1"/>
      <c r="C1603">
        <v>2001</v>
      </c>
      <c r="D1603">
        <v>93.96</v>
      </c>
    </row>
    <row r="1604" spans="1:4" x14ac:dyDescent="0.35">
      <c r="A1604" s="1" t="s">
        <v>97</v>
      </c>
      <c r="B1604" s="1"/>
      <c r="C1604">
        <v>2002</v>
      </c>
      <c r="D1604">
        <v>93.96</v>
      </c>
    </row>
    <row r="1605" spans="1:4" x14ac:dyDescent="0.35">
      <c r="A1605" s="1" t="s">
        <v>97</v>
      </c>
      <c r="B1605" s="1"/>
      <c r="C1605">
        <v>2003</v>
      </c>
      <c r="D1605">
        <v>93.96</v>
      </c>
    </row>
    <row r="1606" spans="1:4" x14ac:dyDescent="0.35">
      <c r="A1606" s="1" t="s">
        <v>97</v>
      </c>
      <c r="B1606" s="1"/>
      <c r="C1606">
        <v>2004</v>
      </c>
      <c r="D1606">
        <v>93.96</v>
      </c>
    </row>
    <row r="1607" spans="1:4" x14ac:dyDescent="0.35">
      <c r="A1607" s="1" t="s">
        <v>97</v>
      </c>
      <c r="B1607" s="1"/>
      <c r="C1607">
        <v>2005</v>
      </c>
      <c r="D1607">
        <v>73.08</v>
      </c>
    </row>
    <row r="1608" spans="1:4" x14ac:dyDescent="0.35">
      <c r="A1608" s="1" t="s">
        <v>97</v>
      </c>
      <c r="B1608" s="1"/>
      <c r="C1608">
        <v>2006</v>
      </c>
      <c r="D1608">
        <v>57.53</v>
      </c>
    </row>
    <row r="1609" spans="1:4" x14ac:dyDescent="0.35">
      <c r="A1609" s="1" t="s">
        <v>97</v>
      </c>
      <c r="B1609" s="1"/>
      <c r="C1609">
        <v>2007</v>
      </c>
      <c r="D1609">
        <v>57.68</v>
      </c>
    </row>
    <row r="1610" spans="1:4" x14ac:dyDescent="0.35">
      <c r="A1610" s="1" t="s">
        <v>97</v>
      </c>
      <c r="B1610" s="1"/>
      <c r="C1610">
        <v>2008</v>
      </c>
      <c r="D1610">
        <v>57.68</v>
      </c>
    </row>
    <row r="1611" spans="1:4" x14ac:dyDescent="0.35">
      <c r="A1611" s="1" t="s">
        <v>97</v>
      </c>
      <c r="B1611" s="1"/>
      <c r="C1611">
        <v>2009</v>
      </c>
      <c r="D1611">
        <v>43.33</v>
      </c>
    </row>
    <row r="1612" spans="1:4" x14ac:dyDescent="0.35">
      <c r="A1612" s="1" t="s">
        <v>97</v>
      </c>
      <c r="B1612" s="1"/>
      <c r="C1612">
        <v>2010</v>
      </c>
      <c r="D1612">
        <v>48.48</v>
      </c>
    </row>
    <row r="1613" spans="1:4" x14ac:dyDescent="0.35">
      <c r="A1613" s="1" t="s">
        <v>97</v>
      </c>
      <c r="B1613" s="1"/>
      <c r="C1613">
        <v>2011</v>
      </c>
      <c r="D1613">
        <v>51.03</v>
      </c>
    </row>
    <row r="1614" spans="1:4" x14ac:dyDescent="0.35">
      <c r="A1614" s="1" t="s">
        <v>97</v>
      </c>
      <c r="B1614" s="1"/>
      <c r="C1614">
        <v>2012</v>
      </c>
      <c r="D1614">
        <v>51.5</v>
      </c>
    </row>
    <row r="1615" spans="1:4" x14ac:dyDescent="0.35">
      <c r="A1615" s="1" t="s">
        <v>97</v>
      </c>
      <c r="B1615" s="1"/>
      <c r="C1615">
        <v>2013</v>
      </c>
      <c r="D1615">
        <v>53.2</v>
      </c>
    </row>
    <row r="1616" spans="1:4" x14ac:dyDescent="0.35">
      <c r="A1616" s="1" t="s">
        <v>97</v>
      </c>
      <c r="B1616" s="1"/>
      <c r="C1616">
        <v>2014</v>
      </c>
      <c r="D1616">
        <v>58.77</v>
      </c>
    </row>
    <row r="1617" spans="1:4" x14ac:dyDescent="0.35">
      <c r="A1617" s="1" t="s">
        <v>97</v>
      </c>
      <c r="B1617" s="1"/>
      <c r="C1617">
        <v>2015</v>
      </c>
      <c r="D1617">
        <v>51.49</v>
      </c>
    </row>
    <row r="1618" spans="1:4" x14ac:dyDescent="0.35">
      <c r="A1618" s="1" t="s">
        <v>97</v>
      </c>
      <c r="B1618" s="1"/>
      <c r="C1618">
        <v>2016</v>
      </c>
      <c r="D1618">
        <v>49.18</v>
      </c>
    </row>
    <row r="1619" spans="1:4" x14ac:dyDescent="0.35">
      <c r="A1619" s="1" t="s">
        <v>97</v>
      </c>
      <c r="B1619" s="1"/>
      <c r="C1619">
        <v>2017</v>
      </c>
      <c r="D1619">
        <v>50.23</v>
      </c>
    </row>
    <row r="1620" spans="1:4" x14ac:dyDescent="0.35">
      <c r="A1620" s="1" t="s">
        <v>97</v>
      </c>
      <c r="B1620" s="1"/>
      <c r="C1620">
        <v>2018</v>
      </c>
      <c r="D1620">
        <v>50.6</v>
      </c>
    </row>
    <row r="1621" spans="1:4" x14ac:dyDescent="0.35">
      <c r="A1621" s="1" t="s">
        <v>97</v>
      </c>
      <c r="B1621" s="1"/>
      <c r="C1621">
        <v>2019</v>
      </c>
      <c r="D1621">
        <v>53.5</v>
      </c>
    </row>
    <row r="1622" spans="1:4" x14ac:dyDescent="0.35">
      <c r="A1622" s="1" t="s">
        <v>97</v>
      </c>
      <c r="B1622" s="1"/>
      <c r="C1622">
        <v>2020</v>
      </c>
      <c r="D1622">
        <v>55.57</v>
      </c>
    </row>
    <row r="1623" spans="1:4" x14ac:dyDescent="0.35">
      <c r="A1623" s="1" t="s">
        <v>97</v>
      </c>
      <c r="B1623" s="1"/>
      <c r="C1623">
        <v>2021</v>
      </c>
      <c r="D1623">
        <v>55.81</v>
      </c>
    </row>
    <row r="1624" spans="1:4" x14ac:dyDescent="0.35">
      <c r="A1624" s="1" t="s">
        <v>97</v>
      </c>
      <c r="B1624" s="1"/>
      <c r="C1624">
        <v>2022</v>
      </c>
      <c r="D1624">
        <v>50.29</v>
      </c>
    </row>
    <row r="1625" spans="1:4" x14ac:dyDescent="0.35">
      <c r="A1625" s="1" t="s">
        <v>97</v>
      </c>
      <c r="B1625" s="1"/>
      <c r="C1625">
        <v>2023</v>
      </c>
      <c r="D1625">
        <v>50.47</v>
      </c>
    </row>
    <row r="1626" spans="1:4" x14ac:dyDescent="0.35">
      <c r="A1626" s="1" t="s">
        <v>97</v>
      </c>
      <c r="B1626" s="1"/>
      <c r="C1626">
        <v>2024</v>
      </c>
      <c r="D1626">
        <v>45.96</v>
      </c>
    </row>
    <row r="1627" spans="1:4" x14ac:dyDescent="0.35">
      <c r="A1627" s="1" t="s">
        <v>97</v>
      </c>
      <c r="B1627" s="1" t="s">
        <v>135</v>
      </c>
      <c r="C1627">
        <v>2000</v>
      </c>
      <c r="D1627">
        <v>100</v>
      </c>
    </row>
    <row r="1628" spans="1:4" x14ac:dyDescent="0.35">
      <c r="A1628" s="1" t="s">
        <v>97</v>
      </c>
      <c r="B1628" s="1"/>
      <c r="C1628">
        <v>2001</v>
      </c>
      <c r="D1628">
        <v>100</v>
      </c>
    </row>
    <row r="1629" spans="1:4" x14ac:dyDescent="0.35">
      <c r="A1629" s="1" t="s">
        <v>97</v>
      </c>
      <c r="B1629" s="1"/>
      <c r="C1629">
        <v>2002</v>
      </c>
      <c r="D1629">
        <v>100</v>
      </c>
    </row>
    <row r="1630" spans="1:4" x14ac:dyDescent="0.35">
      <c r="A1630" s="1" t="s">
        <v>97</v>
      </c>
      <c r="B1630" s="1"/>
      <c r="C1630">
        <v>2003</v>
      </c>
      <c r="D1630">
        <v>100</v>
      </c>
    </row>
    <row r="1631" spans="1:4" x14ac:dyDescent="0.35">
      <c r="A1631" s="1" t="s">
        <v>97</v>
      </c>
      <c r="B1631" s="1"/>
      <c r="C1631">
        <v>2004</v>
      </c>
      <c r="D1631">
        <v>100</v>
      </c>
    </row>
    <row r="1632" spans="1:4" x14ac:dyDescent="0.35">
      <c r="A1632" s="1" t="s">
        <v>97</v>
      </c>
      <c r="B1632" s="1"/>
      <c r="C1632">
        <v>2005</v>
      </c>
      <c r="D1632">
        <v>43.53</v>
      </c>
    </row>
    <row r="1633" spans="1:4" x14ac:dyDescent="0.35">
      <c r="A1633" s="1" t="s">
        <v>97</v>
      </c>
      <c r="B1633" s="1"/>
      <c r="C1633">
        <v>2006</v>
      </c>
      <c r="D1633">
        <v>71.89</v>
      </c>
    </row>
    <row r="1634" spans="1:4" x14ac:dyDescent="0.35">
      <c r="A1634" s="1" t="s">
        <v>97</v>
      </c>
      <c r="B1634" s="1"/>
      <c r="C1634">
        <v>2007</v>
      </c>
      <c r="D1634">
        <v>50.27</v>
      </c>
    </row>
    <row r="1635" spans="1:4" x14ac:dyDescent="0.35">
      <c r="A1635" s="1" t="s">
        <v>97</v>
      </c>
      <c r="B1635" s="1"/>
      <c r="C1635">
        <v>2008</v>
      </c>
      <c r="D1635">
        <v>56.44</v>
      </c>
    </row>
    <row r="1636" spans="1:4" x14ac:dyDescent="0.35">
      <c r="A1636" s="1" t="s">
        <v>97</v>
      </c>
      <c r="B1636" s="1"/>
      <c r="C1636">
        <v>2009</v>
      </c>
      <c r="D1636">
        <v>52.25</v>
      </c>
    </row>
    <row r="1637" spans="1:4" x14ac:dyDescent="0.35">
      <c r="A1637" s="1" t="s">
        <v>97</v>
      </c>
      <c r="B1637" s="1"/>
      <c r="C1637">
        <v>2010</v>
      </c>
      <c r="D1637">
        <v>53.44</v>
      </c>
    </row>
    <row r="1638" spans="1:4" x14ac:dyDescent="0.35">
      <c r="A1638" s="1" t="s">
        <v>97</v>
      </c>
      <c r="B1638" s="1"/>
      <c r="C1638">
        <v>2011</v>
      </c>
      <c r="D1638">
        <v>53.5</v>
      </c>
    </row>
    <row r="1639" spans="1:4" x14ac:dyDescent="0.35">
      <c r="A1639" s="1" t="s">
        <v>97</v>
      </c>
      <c r="B1639" s="1"/>
      <c r="C1639">
        <v>2012</v>
      </c>
      <c r="D1639">
        <v>56.4</v>
      </c>
    </row>
    <row r="1640" spans="1:4" x14ac:dyDescent="0.35">
      <c r="A1640" s="1" t="s">
        <v>97</v>
      </c>
      <c r="B1640" s="1"/>
      <c r="C1640">
        <v>2013</v>
      </c>
      <c r="D1640">
        <v>48.27</v>
      </c>
    </row>
    <row r="1641" spans="1:4" x14ac:dyDescent="0.35">
      <c r="A1641" s="1" t="s">
        <v>97</v>
      </c>
      <c r="B1641" s="1"/>
      <c r="C1641">
        <v>2014</v>
      </c>
      <c r="D1641">
        <v>53.22</v>
      </c>
    </row>
    <row r="1642" spans="1:4" x14ac:dyDescent="0.35">
      <c r="A1642" s="1" t="s">
        <v>97</v>
      </c>
      <c r="B1642" s="1"/>
      <c r="C1642">
        <v>2015</v>
      </c>
      <c r="D1642">
        <v>60.5</v>
      </c>
    </row>
    <row r="1643" spans="1:4" x14ac:dyDescent="0.35">
      <c r="A1643" s="1" t="s">
        <v>97</v>
      </c>
      <c r="B1643" s="1"/>
      <c r="C1643">
        <v>2016</v>
      </c>
      <c r="D1643">
        <v>48.76</v>
      </c>
    </row>
    <row r="1644" spans="1:4" x14ac:dyDescent="0.35">
      <c r="A1644" s="1" t="s">
        <v>97</v>
      </c>
      <c r="B1644" s="1"/>
      <c r="C1644">
        <v>2017</v>
      </c>
      <c r="D1644">
        <v>47.72</v>
      </c>
    </row>
    <row r="1645" spans="1:4" x14ac:dyDescent="0.35">
      <c r="A1645" s="1" t="s">
        <v>97</v>
      </c>
      <c r="B1645" s="1"/>
      <c r="C1645">
        <v>2018</v>
      </c>
      <c r="D1645">
        <v>47.75</v>
      </c>
    </row>
    <row r="1646" spans="1:4" x14ac:dyDescent="0.35">
      <c r="A1646" s="1" t="s">
        <v>97</v>
      </c>
      <c r="B1646" s="1"/>
      <c r="C1646">
        <v>2019</v>
      </c>
      <c r="D1646">
        <v>51.64</v>
      </c>
    </row>
    <row r="1647" spans="1:4" x14ac:dyDescent="0.35">
      <c r="A1647" s="1" t="s">
        <v>97</v>
      </c>
      <c r="B1647" s="1"/>
      <c r="C1647">
        <v>2020</v>
      </c>
      <c r="D1647">
        <v>60.43</v>
      </c>
    </row>
    <row r="1648" spans="1:4" x14ac:dyDescent="0.35">
      <c r="A1648" s="1" t="s">
        <v>97</v>
      </c>
      <c r="B1648" s="1"/>
      <c r="C1648">
        <v>2021</v>
      </c>
      <c r="D1648">
        <v>58.16</v>
      </c>
    </row>
    <row r="1649" spans="1:4" x14ac:dyDescent="0.35">
      <c r="A1649" s="1" t="s">
        <v>97</v>
      </c>
      <c r="B1649" s="1"/>
      <c r="C1649">
        <v>2022</v>
      </c>
      <c r="D1649">
        <v>52.76</v>
      </c>
    </row>
    <row r="1650" spans="1:4" x14ac:dyDescent="0.35">
      <c r="A1650" s="1" t="s">
        <v>97</v>
      </c>
      <c r="B1650" s="1"/>
      <c r="C1650">
        <v>2023</v>
      </c>
      <c r="D1650">
        <v>52.77</v>
      </c>
    </row>
    <row r="1651" spans="1:4" x14ac:dyDescent="0.35">
      <c r="A1651" s="1" t="s">
        <v>97</v>
      </c>
      <c r="B1651" s="1"/>
      <c r="C1651">
        <v>2024</v>
      </c>
      <c r="D1651" t="s">
        <v>136</v>
      </c>
    </row>
    <row r="1652" spans="1:4" x14ac:dyDescent="0.35">
      <c r="A1652" s="1" t="s">
        <v>107</v>
      </c>
      <c r="B1652" s="1" t="s">
        <v>134</v>
      </c>
      <c r="C1652">
        <v>2000</v>
      </c>
      <c r="D1652">
        <v>60</v>
      </c>
    </row>
    <row r="1653" spans="1:4" x14ac:dyDescent="0.35">
      <c r="A1653" s="1" t="s">
        <v>107</v>
      </c>
      <c r="B1653" s="1"/>
      <c r="C1653">
        <v>2001</v>
      </c>
      <c r="D1653">
        <v>31.48</v>
      </c>
    </row>
    <row r="1654" spans="1:4" x14ac:dyDescent="0.35">
      <c r="A1654" s="1" t="s">
        <v>107</v>
      </c>
      <c r="B1654" s="1"/>
      <c r="C1654">
        <v>2002</v>
      </c>
      <c r="D1654">
        <v>31.48</v>
      </c>
    </row>
    <row r="1655" spans="1:4" x14ac:dyDescent="0.35">
      <c r="A1655" s="1" t="s">
        <v>107</v>
      </c>
      <c r="B1655" s="1"/>
      <c r="C1655">
        <v>2003</v>
      </c>
      <c r="D1655">
        <v>31.48</v>
      </c>
    </row>
    <row r="1656" spans="1:4" x14ac:dyDescent="0.35">
      <c r="A1656" s="1" t="s">
        <v>107</v>
      </c>
      <c r="B1656" s="1"/>
      <c r="C1656">
        <v>2004</v>
      </c>
      <c r="D1656">
        <v>31.48</v>
      </c>
    </row>
    <row r="1657" spans="1:4" x14ac:dyDescent="0.35">
      <c r="A1657" s="1" t="s">
        <v>107</v>
      </c>
      <c r="B1657" s="1"/>
      <c r="C1657">
        <v>2005</v>
      </c>
      <c r="D1657">
        <v>31.48</v>
      </c>
    </row>
    <row r="1658" spans="1:4" x14ac:dyDescent="0.35">
      <c r="A1658" s="1" t="s">
        <v>107</v>
      </c>
      <c r="B1658" s="1"/>
      <c r="C1658">
        <v>2006</v>
      </c>
      <c r="D1658">
        <v>31.48</v>
      </c>
    </row>
    <row r="1659" spans="1:4" x14ac:dyDescent="0.35">
      <c r="A1659" s="1" t="s">
        <v>107</v>
      </c>
      <c r="B1659" s="1"/>
      <c r="C1659">
        <v>2007</v>
      </c>
      <c r="D1659">
        <v>31.48</v>
      </c>
    </row>
    <row r="1660" spans="1:4" x14ac:dyDescent="0.35">
      <c r="A1660" s="1" t="s">
        <v>107</v>
      </c>
      <c r="B1660" s="1"/>
      <c r="C1660">
        <v>2008</v>
      </c>
      <c r="D1660">
        <v>31.48</v>
      </c>
    </row>
    <row r="1661" spans="1:4" x14ac:dyDescent="0.35">
      <c r="A1661" s="1" t="s">
        <v>107</v>
      </c>
      <c r="B1661" s="1"/>
      <c r="C1661">
        <v>2009</v>
      </c>
      <c r="D1661">
        <v>25.95</v>
      </c>
    </row>
    <row r="1662" spans="1:4" x14ac:dyDescent="0.35">
      <c r="A1662" s="1" t="s">
        <v>107</v>
      </c>
      <c r="B1662" s="1"/>
      <c r="C1662">
        <v>2010</v>
      </c>
      <c r="D1662">
        <v>13.52</v>
      </c>
    </row>
    <row r="1663" spans="1:4" x14ac:dyDescent="0.35">
      <c r="A1663" s="1" t="s">
        <v>107</v>
      </c>
      <c r="B1663" s="1"/>
      <c r="C1663">
        <v>2011</v>
      </c>
      <c r="D1663">
        <v>11.56</v>
      </c>
    </row>
    <row r="1664" spans="1:4" x14ac:dyDescent="0.35">
      <c r="A1664" s="1" t="s">
        <v>107</v>
      </c>
      <c r="B1664" s="1"/>
      <c r="C1664">
        <v>2012</v>
      </c>
      <c r="D1664">
        <v>11.56</v>
      </c>
    </row>
    <row r="1665" spans="1:4" x14ac:dyDescent="0.35">
      <c r="A1665" s="1" t="s">
        <v>107</v>
      </c>
      <c r="B1665" s="1"/>
      <c r="C1665">
        <v>2013</v>
      </c>
      <c r="D1665">
        <v>11.56</v>
      </c>
    </row>
    <row r="1666" spans="1:4" x14ac:dyDescent="0.35">
      <c r="A1666" s="1" t="s">
        <v>107</v>
      </c>
      <c r="B1666" s="1"/>
      <c r="C1666">
        <v>2014</v>
      </c>
      <c r="D1666">
        <v>10.27</v>
      </c>
    </row>
    <row r="1667" spans="1:4" x14ac:dyDescent="0.35">
      <c r="A1667" s="1" t="s">
        <v>107</v>
      </c>
      <c r="B1667" s="1"/>
      <c r="C1667">
        <v>2015</v>
      </c>
      <c r="D1667">
        <v>8.16</v>
      </c>
    </row>
    <row r="1668" spans="1:4" x14ac:dyDescent="0.35">
      <c r="A1668" s="1" t="s">
        <v>107</v>
      </c>
      <c r="B1668" s="1"/>
      <c r="C1668">
        <v>2016</v>
      </c>
      <c r="D1668">
        <v>6.99</v>
      </c>
    </row>
    <row r="1669" spans="1:4" x14ac:dyDescent="0.35">
      <c r="A1669" s="1" t="s">
        <v>107</v>
      </c>
      <c r="B1669" s="1"/>
      <c r="C1669">
        <v>2017</v>
      </c>
      <c r="D1669">
        <v>7.59</v>
      </c>
    </row>
    <row r="1670" spans="1:4" x14ac:dyDescent="0.35">
      <c r="A1670" s="1" t="s">
        <v>107</v>
      </c>
      <c r="B1670" s="1"/>
      <c r="C1670">
        <v>2018</v>
      </c>
      <c r="D1670">
        <v>7.59</v>
      </c>
    </row>
    <row r="1671" spans="1:4" x14ac:dyDescent="0.35">
      <c r="A1671" s="1" t="s">
        <v>107</v>
      </c>
      <c r="B1671" s="1"/>
      <c r="C1671">
        <v>2019</v>
      </c>
      <c r="D1671">
        <v>7.42</v>
      </c>
    </row>
    <row r="1672" spans="1:4" x14ac:dyDescent="0.35">
      <c r="A1672" s="1" t="s">
        <v>107</v>
      </c>
      <c r="B1672" s="1"/>
      <c r="C1672">
        <v>2020</v>
      </c>
      <c r="D1672">
        <v>7.39</v>
      </c>
    </row>
    <row r="1673" spans="1:4" x14ac:dyDescent="0.35">
      <c r="A1673" s="1" t="s">
        <v>107</v>
      </c>
      <c r="B1673" s="1"/>
      <c r="C1673">
        <v>2021</v>
      </c>
      <c r="D1673">
        <v>6.98</v>
      </c>
    </row>
    <row r="1674" spans="1:4" x14ac:dyDescent="0.35">
      <c r="A1674" s="1" t="s">
        <v>107</v>
      </c>
      <c r="B1674" s="1"/>
      <c r="C1674">
        <v>2022</v>
      </c>
      <c r="D1674">
        <v>6.39</v>
      </c>
    </row>
    <row r="1675" spans="1:4" x14ac:dyDescent="0.35">
      <c r="A1675" s="1" t="s">
        <v>107</v>
      </c>
      <c r="B1675" s="1"/>
      <c r="C1675">
        <v>2023</v>
      </c>
      <c r="D1675">
        <v>8.0399999999999991</v>
      </c>
    </row>
    <row r="1676" spans="1:4" x14ac:dyDescent="0.35">
      <c r="A1676" s="1" t="s">
        <v>107</v>
      </c>
      <c r="B1676" s="1"/>
      <c r="C1676">
        <v>2024</v>
      </c>
      <c r="D1676">
        <v>8.0399999999999991</v>
      </c>
    </row>
    <row r="1677" spans="1:4" x14ac:dyDescent="0.35">
      <c r="A1677" s="1" t="s">
        <v>107</v>
      </c>
      <c r="B1677" s="1" t="s">
        <v>135</v>
      </c>
      <c r="C1677">
        <v>2000</v>
      </c>
      <c r="D1677">
        <v>20.62</v>
      </c>
    </row>
    <row r="1678" spans="1:4" x14ac:dyDescent="0.35">
      <c r="A1678" s="1" t="s">
        <v>107</v>
      </c>
      <c r="B1678" s="1"/>
      <c r="C1678">
        <v>2001</v>
      </c>
      <c r="D1678">
        <v>15.45</v>
      </c>
    </row>
    <row r="1679" spans="1:4" x14ac:dyDescent="0.35">
      <c r="A1679" s="1" t="s">
        <v>107</v>
      </c>
      <c r="B1679" s="1"/>
      <c r="C1679">
        <v>2002</v>
      </c>
      <c r="D1679">
        <v>16.14</v>
      </c>
    </row>
    <row r="1680" spans="1:4" x14ac:dyDescent="0.35">
      <c r="A1680" s="1" t="s">
        <v>107</v>
      </c>
      <c r="B1680" s="1"/>
      <c r="C1680">
        <v>2003</v>
      </c>
      <c r="D1680">
        <v>77.23</v>
      </c>
    </row>
    <row r="1681" spans="1:4" x14ac:dyDescent="0.35">
      <c r="A1681" s="1" t="s">
        <v>107</v>
      </c>
      <c r="B1681" s="1"/>
      <c r="C1681">
        <v>2004</v>
      </c>
      <c r="D1681">
        <v>83.44</v>
      </c>
    </row>
    <row r="1682" spans="1:4" x14ac:dyDescent="0.35">
      <c r="A1682" s="1" t="s">
        <v>107</v>
      </c>
      <c r="B1682" s="1"/>
      <c r="C1682">
        <v>2005</v>
      </c>
      <c r="D1682">
        <v>89.75</v>
      </c>
    </row>
    <row r="1683" spans="1:4" x14ac:dyDescent="0.35">
      <c r="A1683" s="1" t="s">
        <v>107</v>
      </c>
      <c r="B1683" s="1"/>
      <c r="C1683">
        <v>2006</v>
      </c>
      <c r="D1683">
        <v>91.2</v>
      </c>
    </row>
    <row r="1684" spans="1:4" x14ac:dyDescent="0.35">
      <c r="A1684" s="1" t="s">
        <v>107</v>
      </c>
      <c r="B1684" s="1"/>
      <c r="C1684">
        <v>2007</v>
      </c>
      <c r="D1684">
        <v>84.44</v>
      </c>
    </row>
    <row r="1685" spans="1:4" x14ac:dyDescent="0.35">
      <c r="A1685" s="1" t="s">
        <v>107</v>
      </c>
      <c r="B1685" s="1"/>
      <c r="C1685">
        <v>2008</v>
      </c>
      <c r="D1685">
        <v>84.88</v>
      </c>
    </row>
    <row r="1686" spans="1:4" x14ac:dyDescent="0.35">
      <c r="A1686" s="1" t="s">
        <v>107</v>
      </c>
      <c r="B1686" s="1"/>
      <c r="C1686">
        <v>2009</v>
      </c>
      <c r="D1686">
        <v>85.16</v>
      </c>
    </row>
    <row r="1687" spans="1:4" x14ac:dyDescent="0.35">
      <c r="A1687" s="1" t="s">
        <v>107</v>
      </c>
      <c r="B1687" s="1"/>
      <c r="C1687">
        <v>2010</v>
      </c>
      <c r="D1687">
        <v>91.63</v>
      </c>
    </row>
    <row r="1688" spans="1:4" x14ac:dyDescent="0.35">
      <c r="A1688" s="1" t="s">
        <v>107</v>
      </c>
      <c r="B1688" s="1"/>
      <c r="C1688">
        <v>2011</v>
      </c>
      <c r="D1688">
        <v>91.07</v>
      </c>
    </row>
    <row r="1689" spans="1:4" x14ac:dyDescent="0.35">
      <c r="A1689" s="1" t="s">
        <v>107</v>
      </c>
      <c r="B1689" s="1"/>
      <c r="C1689">
        <v>2012</v>
      </c>
      <c r="D1689">
        <v>91.69</v>
      </c>
    </row>
    <row r="1690" spans="1:4" x14ac:dyDescent="0.35">
      <c r="A1690" s="1" t="s">
        <v>107</v>
      </c>
      <c r="B1690" s="1"/>
      <c r="C1690">
        <v>2013</v>
      </c>
      <c r="D1690">
        <v>91.68</v>
      </c>
    </row>
    <row r="1691" spans="1:4" x14ac:dyDescent="0.35">
      <c r="A1691" s="1" t="s">
        <v>107</v>
      </c>
      <c r="B1691" s="1"/>
      <c r="C1691">
        <v>2014</v>
      </c>
      <c r="D1691">
        <v>9.41</v>
      </c>
    </row>
    <row r="1692" spans="1:4" x14ac:dyDescent="0.35">
      <c r="A1692" s="1" t="s">
        <v>107</v>
      </c>
      <c r="B1692" s="1"/>
      <c r="C1692">
        <v>2015</v>
      </c>
      <c r="D1692">
        <v>6.53</v>
      </c>
    </row>
    <row r="1693" spans="1:4" x14ac:dyDescent="0.35">
      <c r="A1693" s="1" t="s">
        <v>107</v>
      </c>
      <c r="B1693" s="1"/>
      <c r="C1693">
        <v>2016</v>
      </c>
      <c r="D1693">
        <v>5.61</v>
      </c>
    </row>
    <row r="1694" spans="1:4" x14ac:dyDescent="0.35">
      <c r="A1694" s="1" t="s">
        <v>107</v>
      </c>
      <c r="B1694" s="1"/>
      <c r="C1694">
        <v>2017</v>
      </c>
      <c r="D1694">
        <v>4.93</v>
      </c>
    </row>
    <row r="1695" spans="1:4" x14ac:dyDescent="0.35">
      <c r="A1695" s="1" t="s">
        <v>107</v>
      </c>
      <c r="B1695" s="1"/>
      <c r="C1695">
        <v>2018</v>
      </c>
      <c r="D1695">
        <v>5.56</v>
      </c>
    </row>
    <row r="1696" spans="1:4" x14ac:dyDescent="0.35">
      <c r="A1696" s="1" t="s">
        <v>107</v>
      </c>
      <c r="B1696" s="1"/>
      <c r="C1696">
        <v>2019</v>
      </c>
      <c r="D1696">
        <v>5.71</v>
      </c>
    </row>
    <row r="1697" spans="1:4" x14ac:dyDescent="0.35">
      <c r="A1697" s="1" t="s">
        <v>107</v>
      </c>
      <c r="B1697" s="1"/>
      <c r="C1697">
        <v>2020</v>
      </c>
      <c r="D1697">
        <v>5.84</v>
      </c>
    </row>
    <row r="1698" spans="1:4" x14ac:dyDescent="0.35">
      <c r="A1698" s="1" t="s">
        <v>107</v>
      </c>
      <c r="B1698" s="1"/>
      <c r="C1698">
        <v>2021</v>
      </c>
      <c r="D1698">
        <v>6.06</v>
      </c>
    </row>
    <row r="1699" spans="1:4" x14ac:dyDescent="0.35">
      <c r="A1699" s="1" t="s">
        <v>107</v>
      </c>
      <c r="B1699" s="1"/>
      <c r="C1699">
        <v>2022</v>
      </c>
      <c r="D1699">
        <v>5.88</v>
      </c>
    </row>
    <row r="1700" spans="1:4" x14ac:dyDescent="0.35">
      <c r="A1700" s="1" t="s">
        <v>107</v>
      </c>
      <c r="B1700" s="1"/>
      <c r="C1700">
        <v>2023</v>
      </c>
      <c r="D1700">
        <v>5.88</v>
      </c>
    </row>
    <row r="1701" spans="1:4" x14ac:dyDescent="0.35">
      <c r="A1701" s="1" t="s">
        <v>107</v>
      </c>
      <c r="B1701" s="1"/>
      <c r="C1701">
        <v>2024</v>
      </c>
      <c r="D1701" t="s">
        <v>136</v>
      </c>
    </row>
    <row r="1702" spans="1:4" x14ac:dyDescent="0.35">
      <c r="A1702" s="1" t="s">
        <v>101</v>
      </c>
      <c r="B1702" s="1" t="s">
        <v>134</v>
      </c>
      <c r="C1702">
        <v>2000</v>
      </c>
      <c r="D1702">
        <v>0</v>
      </c>
    </row>
    <row r="1703" spans="1:4" x14ac:dyDescent="0.35">
      <c r="A1703" s="1" t="s">
        <v>101</v>
      </c>
      <c r="B1703" s="1"/>
      <c r="C1703">
        <v>2001</v>
      </c>
      <c r="D1703">
        <v>0</v>
      </c>
    </row>
    <row r="1704" spans="1:4" x14ac:dyDescent="0.35">
      <c r="A1704" s="1" t="s">
        <v>101</v>
      </c>
      <c r="B1704" s="1"/>
      <c r="C1704">
        <v>2002</v>
      </c>
      <c r="D1704">
        <v>0</v>
      </c>
    </row>
    <row r="1705" spans="1:4" x14ac:dyDescent="0.35">
      <c r="A1705" s="1" t="s">
        <v>101</v>
      </c>
      <c r="B1705" s="1"/>
      <c r="C1705">
        <v>2003</v>
      </c>
      <c r="D1705">
        <v>0</v>
      </c>
    </row>
    <row r="1706" spans="1:4" x14ac:dyDescent="0.35">
      <c r="A1706" s="1" t="s">
        <v>101</v>
      </c>
      <c r="B1706" s="1"/>
      <c r="C1706">
        <v>2004</v>
      </c>
      <c r="D1706">
        <v>0</v>
      </c>
    </row>
    <row r="1707" spans="1:4" x14ac:dyDescent="0.35">
      <c r="A1707" s="1" t="s">
        <v>101</v>
      </c>
      <c r="B1707" s="1"/>
      <c r="C1707">
        <v>2005</v>
      </c>
      <c r="D1707">
        <v>0</v>
      </c>
    </row>
    <row r="1708" spans="1:4" x14ac:dyDescent="0.35">
      <c r="A1708" s="1" t="s">
        <v>101</v>
      </c>
      <c r="B1708" s="1"/>
      <c r="C1708">
        <v>2006</v>
      </c>
      <c r="D1708">
        <v>0</v>
      </c>
    </row>
    <row r="1709" spans="1:4" x14ac:dyDescent="0.35">
      <c r="A1709" s="1" t="s">
        <v>101</v>
      </c>
      <c r="B1709" s="1"/>
      <c r="C1709">
        <v>2007</v>
      </c>
      <c r="D1709">
        <v>0</v>
      </c>
    </row>
    <row r="1710" spans="1:4" x14ac:dyDescent="0.35">
      <c r="A1710" s="1" t="s">
        <v>101</v>
      </c>
      <c r="B1710" s="1"/>
      <c r="C1710">
        <v>2008</v>
      </c>
      <c r="D1710">
        <v>0</v>
      </c>
    </row>
    <row r="1711" spans="1:4" x14ac:dyDescent="0.35">
      <c r="A1711" s="1" t="s">
        <v>101</v>
      </c>
      <c r="B1711" s="1"/>
      <c r="C1711">
        <v>2009</v>
      </c>
      <c r="D1711">
        <v>0</v>
      </c>
    </row>
    <row r="1712" spans="1:4" x14ac:dyDescent="0.35">
      <c r="A1712" s="1" t="s">
        <v>101</v>
      </c>
      <c r="B1712" s="1"/>
      <c r="C1712">
        <v>2010</v>
      </c>
      <c r="D1712">
        <v>9.5299999999999994</v>
      </c>
    </row>
    <row r="1713" spans="1:4" x14ac:dyDescent="0.35">
      <c r="A1713" s="1" t="s">
        <v>101</v>
      </c>
      <c r="B1713" s="1"/>
      <c r="C1713">
        <v>2011</v>
      </c>
      <c r="D1713">
        <v>9.51</v>
      </c>
    </row>
    <row r="1714" spans="1:4" x14ac:dyDescent="0.35">
      <c r="A1714" s="1" t="s">
        <v>101</v>
      </c>
      <c r="B1714" s="1"/>
      <c r="C1714">
        <v>2012</v>
      </c>
      <c r="D1714">
        <v>9.42</v>
      </c>
    </row>
    <row r="1715" spans="1:4" x14ac:dyDescent="0.35">
      <c r="A1715" s="1" t="s">
        <v>101</v>
      </c>
      <c r="B1715" s="1"/>
      <c r="C1715">
        <v>2013</v>
      </c>
      <c r="D1715">
        <v>9.09</v>
      </c>
    </row>
    <row r="1716" spans="1:4" x14ac:dyDescent="0.35">
      <c r="A1716" s="1" t="s">
        <v>101</v>
      </c>
      <c r="B1716" s="1"/>
      <c r="C1716">
        <v>2014</v>
      </c>
      <c r="D1716">
        <v>8.8699999999999992</v>
      </c>
    </row>
    <row r="1717" spans="1:4" x14ac:dyDescent="0.35">
      <c r="A1717" s="1" t="s">
        <v>101</v>
      </c>
      <c r="B1717" s="1"/>
      <c r="C1717">
        <v>2015</v>
      </c>
      <c r="D1717">
        <v>8.89</v>
      </c>
    </row>
    <row r="1718" spans="1:4" x14ac:dyDescent="0.35">
      <c r="A1718" s="1" t="s">
        <v>101</v>
      </c>
      <c r="B1718" s="1"/>
      <c r="C1718">
        <v>2016</v>
      </c>
      <c r="D1718">
        <v>12.54</v>
      </c>
    </row>
    <row r="1719" spans="1:4" x14ac:dyDescent="0.35">
      <c r="A1719" s="1" t="s">
        <v>101</v>
      </c>
      <c r="B1719" s="1"/>
      <c r="C1719">
        <v>2017</v>
      </c>
      <c r="D1719">
        <v>16.760000000000002</v>
      </c>
    </row>
    <row r="1720" spans="1:4" x14ac:dyDescent="0.35">
      <c r="A1720" s="1" t="s">
        <v>101</v>
      </c>
      <c r="B1720" s="1"/>
      <c r="C1720">
        <v>2018</v>
      </c>
      <c r="D1720">
        <v>15.8</v>
      </c>
    </row>
    <row r="1721" spans="1:4" x14ac:dyDescent="0.35">
      <c r="A1721" s="1" t="s">
        <v>101</v>
      </c>
      <c r="B1721" s="1"/>
      <c r="C1721">
        <v>2019</v>
      </c>
      <c r="D1721">
        <v>21.45</v>
      </c>
    </row>
    <row r="1722" spans="1:4" x14ac:dyDescent="0.35">
      <c r="A1722" s="1" t="s">
        <v>101</v>
      </c>
      <c r="B1722" s="1"/>
      <c r="C1722">
        <v>2020</v>
      </c>
      <c r="D1722">
        <v>27.57</v>
      </c>
    </row>
    <row r="1723" spans="1:4" x14ac:dyDescent="0.35">
      <c r="A1723" s="1" t="s">
        <v>101</v>
      </c>
      <c r="B1723" s="1"/>
      <c r="C1723">
        <v>2021</v>
      </c>
      <c r="D1723">
        <v>31.05</v>
      </c>
    </row>
    <row r="1724" spans="1:4" x14ac:dyDescent="0.35">
      <c r="A1724" s="1" t="s">
        <v>101</v>
      </c>
      <c r="B1724" s="1"/>
      <c r="C1724">
        <v>2022</v>
      </c>
      <c r="D1724">
        <v>28.73</v>
      </c>
    </row>
    <row r="1725" spans="1:4" x14ac:dyDescent="0.35">
      <c r="A1725" s="1" t="s">
        <v>101</v>
      </c>
      <c r="B1725" s="1"/>
      <c r="C1725">
        <v>2023</v>
      </c>
      <c r="D1725">
        <v>28.68</v>
      </c>
    </row>
    <row r="1726" spans="1:4" x14ac:dyDescent="0.35">
      <c r="A1726" s="1" t="s">
        <v>101</v>
      </c>
      <c r="B1726" s="1"/>
      <c r="C1726">
        <v>2024</v>
      </c>
      <c r="D1726">
        <v>25.29</v>
      </c>
    </row>
    <row r="1727" spans="1:4" x14ac:dyDescent="0.35">
      <c r="A1727" s="1" t="s">
        <v>101</v>
      </c>
      <c r="B1727" s="1" t="s">
        <v>135</v>
      </c>
      <c r="C1727">
        <v>2000</v>
      </c>
      <c r="D1727">
        <v>1.05</v>
      </c>
    </row>
    <row r="1728" spans="1:4" x14ac:dyDescent="0.35">
      <c r="A1728" s="1" t="s">
        <v>101</v>
      </c>
      <c r="B1728" s="1"/>
      <c r="C1728">
        <v>2001</v>
      </c>
      <c r="D1728">
        <v>1</v>
      </c>
    </row>
    <row r="1729" spans="1:4" x14ac:dyDescent="0.35">
      <c r="A1729" s="1" t="s">
        <v>101</v>
      </c>
      <c r="B1729" s="1"/>
      <c r="C1729">
        <v>2002</v>
      </c>
      <c r="D1729">
        <v>1.1299999999999999</v>
      </c>
    </row>
    <row r="1730" spans="1:4" x14ac:dyDescent="0.35">
      <c r="A1730" s="1" t="s">
        <v>101</v>
      </c>
      <c r="B1730" s="1"/>
      <c r="C1730">
        <v>2003</v>
      </c>
      <c r="D1730">
        <v>1.18</v>
      </c>
    </row>
    <row r="1731" spans="1:4" x14ac:dyDescent="0.35">
      <c r="A1731" s="1" t="s">
        <v>101</v>
      </c>
      <c r="B1731" s="1"/>
      <c r="C1731">
        <v>2004</v>
      </c>
      <c r="D1731">
        <v>1.02</v>
      </c>
    </row>
    <row r="1732" spans="1:4" x14ac:dyDescent="0.35">
      <c r="A1732" s="1" t="s">
        <v>101</v>
      </c>
      <c r="B1732" s="1"/>
      <c r="C1732">
        <v>2005</v>
      </c>
      <c r="D1732">
        <v>0.83</v>
      </c>
    </row>
    <row r="1733" spans="1:4" x14ac:dyDescent="0.35">
      <c r="A1733" s="1" t="s">
        <v>101</v>
      </c>
      <c r="B1733" s="1"/>
      <c r="C1733">
        <v>2006</v>
      </c>
      <c r="D1733">
        <v>0.76</v>
      </c>
    </row>
    <row r="1734" spans="1:4" x14ac:dyDescent="0.35">
      <c r="A1734" s="1" t="s">
        <v>101</v>
      </c>
      <c r="B1734" s="1"/>
      <c r="C1734">
        <v>2007</v>
      </c>
      <c r="D1734">
        <v>0.71</v>
      </c>
    </row>
    <row r="1735" spans="1:4" x14ac:dyDescent="0.35">
      <c r="A1735" s="1" t="s">
        <v>101</v>
      </c>
      <c r="B1735" s="1"/>
      <c r="C1735">
        <v>2008</v>
      </c>
      <c r="D1735">
        <v>0.62</v>
      </c>
    </row>
    <row r="1736" spans="1:4" x14ac:dyDescent="0.35">
      <c r="A1736" s="1" t="s">
        <v>101</v>
      </c>
      <c r="B1736" s="1"/>
      <c r="C1736">
        <v>2009</v>
      </c>
      <c r="D1736">
        <v>0.6</v>
      </c>
    </row>
    <row r="1737" spans="1:4" x14ac:dyDescent="0.35">
      <c r="A1737" s="1" t="s">
        <v>101</v>
      </c>
      <c r="B1737" s="1"/>
      <c r="C1737">
        <v>2010</v>
      </c>
      <c r="D1737">
        <v>1.63</v>
      </c>
    </row>
    <row r="1738" spans="1:4" x14ac:dyDescent="0.35">
      <c r="A1738" s="1" t="s">
        <v>101</v>
      </c>
      <c r="B1738" s="1"/>
      <c r="C1738">
        <v>2011</v>
      </c>
      <c r="D1738">
        <v>1.73</v>
      </c>
    </row>
    <row r="1739" spans="1:4" x14ac:dyDescent="0.35">
      <c r="A1739" s="1" t="s">
        <v>101</v>
      </c>
      <c r="B1739" s="1"/>
      <c r="C1739">
        <v>2012</v>
      </c>
      <c r="D1739">
        <v>1.55</v>
      </c>
    </row>
    <row r="1740" spans="1:4" x14ac:dyDescent="0.35">
      <c r="A1740" s="1" t="s">
        <v>101</v>
      </c>
      <c r="B1740" s="1"/>
      <c r="C1740">
        <v>2013</v>
      </c>
      <c r="D1740">
        <v>1.49</v>
      </c>
    </row>
    <row r="1741" spans="1:4" x14ac:dyDescent="0.35">
      <c r="A1741" s="1" t="s">
        <v>101</v>
      </c>
      <c r="B1741" s="1"/>
      <c r="C1741">
        <v>2014</v>
      </c>
      <c r="D1741">
        <v>1.62</v>
      </c>
    </row>
    <row r="1742" spans="1:4" x14ac:dyDescent="0.35">
      <c r="A1742" s="1" t="s">
        <v>101</v>
      </c>
      <c r="B1742" s="1"/>
      <c r="C1742">
        <v>2015</v>
      </c>
      <c r="D1742">
        <v>1.96</v>
      </c>
    </row>
    <row r="1743" spans="1:4" x14ac:dyDescent="0.35">
      <c r="A1743" s="1" t="s">
        <v>101</v>
      </c>
      <c r="B1743" s="1"/>
      <c r="C1743">
        <v>2016</v>
      </c>
      <c r="D1743">
        <v>2</v>
      </c>
    </row>
    <row r="1744" spans="1:4" x14ac:dyDescent="0.35">
      <c r="A1744" s="1" t="s">
        <v>101</v>
      </c>
      <c r="B1744" s="1"/>
      <c r="C1744">
        <v>2017</v>
      </c>
      <c r="D1744">
        <v>4.46</v>
      </c>
    </row>
    <row r="1745" spans="1:4" x14ac:dyDescent="0.35">
      <c r="A1745" s="1" t="s">
        <v>101</v>
      </c>
      <c r="B1745" s="1"/>
      <c r="C1745">
        <v>2018</v>
      </c>
      <c r="D1745">
        <v>8.0299999999999994</v>
      </c>
    </row>
    <row r="1746" spans="1:4" x14ac:dyDescent="0.35">
      <c r="A1746" s="1" t="s">
        <v>101</v>
      </c>
      <c r="B1746" s="1"/>
      <c r="C1746">
        <v>2019</v>
      </c>
      <c r="D1746">
        <v>8.81</v>
      </c>
    </row>
    <row r="1747" spans="1:4" x14ac:dyDescent="0.35">
      <c r="A1747" s="1" t="s">
        <v>101</v>
      </c>
      <c r="B1747" s="1"/>
      <c r="C1747">
        <v>2020</v>
      </c>
      <c r="D1747">
        <v>12.41</v>
      </c>
    </row>
    <row r="1748" spans="1:4" x14ac:dyDescent="0.35">
      <c r="A1748" s="1" t="s">
        <v>101</v>
      </c>
      <c r="B1748" s="1"/>
      <c r="C1748">
        <v>2021</v>
      </c>
      <c r="D1748">
        <v>20.63</v>
      </c>
    </row>
    <row r="1749" spans="1:4" x14ac:dyDescent="0.35">
      <c r="A1749" s="1" t="s">
        <v>101</v>
      </c>
      <c r="B1749" s="1"/>
      <c r="C1749">
        <v>2022</v>
      </c>
      <c r="D1749">
        <v>16.38</v>
      </c>
    </row>
    <row r="1750" spans="1:4" x14ac:dyDescent="0.35">
      <c r="A1750" s="1" t="s">
        <v>101</v>
      </c>
      <c r="B1750" s="1"/>
      <c r="C1750">
        <v>2023</v>
      </c>
      <c r="D1750">
        <v>14.72</v>
      </c>
    </row>
    <row r="1751" spans="1:4" x14ac:dyDescent="0.35">
      <c r="A1751" s="1" t="s">
        <v>101</v>
      </c>
      <c r="B1751" s="1"/>
      <c r="C1751">
        <v>2024</v>
      </c>
      <c r="D1751" t="s">
        <v>136</v>
      </c>
    </row>
    <row r="1752" spans="1:4" x14ac:dyDescent="0.35">
      <c r="A1752" s="1" t="s">
        <v>111</v>
      </c>
      <c r="B1752" s="1" t="s">
        <v>134</v>
      </c>
      <c r="C1752">
        <v>2000</v>
      </c>
      <c r="D1752" t="s">
        <v>136</v>
      </c>
    </row>
    <row r="1753" spans="1:4" x14ac:dyDescent="0.35">
      <c r="A1753" s="1" t="s">
        <v>111</v>
      </c>
      <c r="B1753" s="1"/>
      <c r="C1753">
        <v>2001</v>
      </c>
      <c r="D1753" t="s">
        <v>136</v>
      </c>
    </row>
    <row r="1754" spans="1:4" x14ac:dyDescent="0.35">
      <c r="A1754" s="1" t="s">
        <v>111</v>
      </c>
      <c r="B1754" s="1"/>
      <c r="C1754">
        <v>2002</v>
      </c>
      <c r="D1754" t="s">
        <v>136</v>
      </c>
    </row>
    <row r="1755" spans="1:4" x14ac:dyDescent="0.35">
      <c r="A1755" s="1" t="s">
        <v>111</v>
      </c>
      <c r="B1755" s="1"/>
      <c r="C1755">
        <v>2003</v>
      </c>
      <c r="D1755" t="s">
        <v>136</v>
      </c>
    </row>
    <row r="1756" spans="1:4" x14ac:dyDescent="0.35">
      <c r="A1756" s="1" t="s">
        <v>111</v>
      </c>
      <c r="B1756" s="1"/>
      <c r="C1756">
        <v>2004</v>
      </c>
      <c r="D1756" t="s">
        <v>136</v>
      </c>
    </row>
    <row r="1757" spans="1:4" x14ac:dyDescent="0.35">
      <c r="A1757" s="1" t="s">
        <v>111</v>
      </c>
      <c r="B1757" s="1"/>
      <c r="C1757">
        <v>2005</v>
      </c>
      <c r="D1757" t="s">
        <v>136</v>
      </c>
    </row>
    <row r="1758" spans="1:4" x14ac:dyDescent="0.35">
      <c r="A1758" s="1" t="s">
        <v>111</v>
      </c>
      <c r="B1758" s="1"/>
      <c r="C1758">
        <v>2006</v>
      </c>
      <c r="D1758" t="s">
        <v>136</v>
      </c>
    </row>
    <row r="1759" spans="1:4" x14ac:dyDescent="0.35">
      <c r="A1759" s="1" t="s">
        <v>111</v>
      </c>
      <c r="B1759" s="1"/>
      <c r="C1759">
        <v>2007</v>
      </c>
      <c r="D1759" t="s">
        <v>136</v>
      </c>
    </row>
    <row r="1760" spans="1:4" x14ac:dyDescent="0.35">
      <c r="A1760" s="1" t="s">
        <v>111</v>
      </c>
      <c r="B1760" s="1"/>
      <c r="C1760">
        <v>2008</v>
      </c>
      <c r="D1760" t="s">
        <v>136</v>
      </c>
    </row>
    <row r="1761" spans="1:4" x14ac:dyDescent="0.35">
      <c r="A1761" s="1" t="s">
        <v>111</v>
      </c>
      <c r="B1761" s="1"/>
      <c r="C1761">
        <v>2009</v>
      </c>
      <c r="D1761" t="s">
        <v>136</v>
      </c>
    </row>
    <row r="1762" spans="1:4" x14ac:dyDescent="0.35">
      <c r="A1762" s="1" t="s">
        <v>111</v>
      </c>
      <c r="B1762" s="1"/>
      <c r="C1762">
        <v>2010</v>
      </c>
      <c r="D1762" t="s">
        <v>136</v>
      </c>
    </row>
    <row r="1763" spans="1:4" x14ac:dyDescent="0.35">
      <c r="A1763" s="1" t="s">
        <v>111</v>
      </c>
      <c r="B1763" s="1"/>
      <c r="C1763">
        <v>2011</v>
      </c>
      <c r="D1763" t="s">
        <v>136</v>
      </c>
    </row>
    <row r="1764" spans="1:4" x14ac:dyDescent="0.35">
      <c r="A1764" s="1" t="s">
        <v>111</v>
      </c>
      <c r="B1764" s="1"/>
      <c r="C1764">
        <v>2012</v>
      </c>
      <c r="D1764" t="s">
        <v>136</v>
      </c>
    </row>
    <row r="1765" spans="1:4" x14ac:dyDescent="0.35">
      <c r="A1765" s="1" t="s">
        <v>111</v>
      </c>
      <c r="B1765" s="1"/>
      <c r="C1765">
        <v>2013</v>
      </c>
      <c r="D1765">
        <v>6.93</v>
      </c>
    </row>
    <row r="1766" spans="1:4" x14ac:dyDescent="0.35">
      <c r="A1766" s="1" t="s">
        <v>111</v>
      </c>
      <c r="B1766" s="1"/>
      <c r="C1766">
        <v>2014</v>
      </c>
      <c r="D1766">
        <v>7.62</v>
      </c>
    </row>
    <row r="1767" spans="1:4" x14ac:dyDescent="0.35">
      <c r="A1767" s="1" t="s">
        <v>111</v>
      </c>
      <c r="B1767" s="1"/>
      <c r="C1767">
        <v>2015</v>
      </c>
      <c r="D1767">
        <v>7.84</v>
      </c>
    </row>
    <row r="1768" spans="1:4" x14ac:dyDescent="0.35">
      <c r="A1768" s="1" t="s">
        <v>111</v>
      </c>
      <c r="B1768" s="1"/>
      <c r="C1768">
        <v>2016</v>
      </c>
      <c r="D1768">
        <v>7.77</v>
      </c>
    </row>
    <row r="1769" spans="1:4" x14ac:dyDescent="0.35">
      <c r="A1769" s="1" t="s">
        <v>111</v>
      </c>
      <c r="B1769" s="1"/>
      <c r="C1769">
        <v>2017</v>
      </c>
      <c r="D1769">
        <v>8.57</v>
      </c>
    </row>
    <row r="1770" spans="1:4" x14ac:dyDescent="0.35">
      <c r="A1770" s="1" t="s">
        <v>111</v>
      </c>
      <c r="B1770" s="1"/>
      <c r="C1770">
        <v>2018</v>
      </c>
      <c r="D1770">
        <v>9.82</v>
      </c>
    </row>
    <row r="1771" spans="1:4" x14ac:dyDescent="0.35">
      <c r="A1771" s="1" t="s">
        <v>111</v>
      </c>
      <c r="B1771" s="1"/>
      <c r="C1771">
        <v>2019</v>
      </c>
      <c r="D1771">
        <v>9.2899999999999991</v>
      </c>
    </row>
    <row r="1772" spans="1:4" x14ac:dyDescent="0.35">
      <c r="A1772" s="1" t="s">
        <v>111</v>
      </c>
      <c r="B1772" s="1"/>
      <c r="C1772">
        <v>2020</v>
      </c>
      <c r="D1772">
        <v>11.6</v>
      </c>
    </row>
    <row r="1773" spans="1:4" x14ac:dyDescent="0.35">
      <c r="A1773" s="1" t="s">
        <v>111</v>
      </c>
      <c r="B1773" s="1"/>
      <c r="C1773">
        <v>2021</v>
      </c>
      <c r="D1773">
        <v>17.95</v>
      </c>
    </row>
    <row r="1774" spans="1:4" x14ac:dyDescent="0.35">
      <c r="A1774" s="1" t="s">
        <v>111</v>
      </c>
      <c r="B1774" s="1"/>
      <c r="C1774">
        <v>2022</v>
      </c>
      <c r="D1774">
        <v>18.29</v>
      </c>
    </row>
    <row r="1775" spans="1:4" x14ac:dyDescent="0.35">
      <c r="A1775" s="1" t="s">
        <v>111</v>
      </c>
      <c r="B1775" s="1"/>
      <c r="C1775">
        <v>2023</v>
      </c>
      <c r="D1775">
        <v>18.29</v>
      </c>
    </row>
    <row r="1776" spans="1:4" x14ac:dyDescent="0.35">
      <c r="A1776" s="1" t="s">
        <v>111</v>
      </c>
      <c r="B1776" s="1"/>
      <c r="C1776">
        <v>2024</v>
      </c>
      <c r="D1776">
        <v>18.11</v>
      </c>
    </row>
    <row r="1777" spans="1:4" x14ac:dyDescent="0.35">
      <c r="A1777" s="1" t="s">
        <v>111</v>
      </c>
      <c r="B1777" s="1" t="s">
        <v>135</v>
      </c>
      <c r="C1777">
        <v>2000</v>
      </c>
      <c r="D1777" t="s">
        <v>136</v>
      </c>
    </row>
    <row r="1778" spans="1:4" x14ac:dyDescent="0.35">
      <c r="A1778" s="1" t="s">
        <v>111</v>
      </c>
      <c r="B1778" s="1"/>
      <c r="C1778">
        <v>2001</v>
      </c>
      <c r="D1778" t="s">
        <v>136</v>
      </c>
    </row>
    <row r="1779" spans="1:4" x14ac:dyDescent="0.35">
      <c r="A1779" s="1" t="s">
        <v>111</v>
      </c>
      <c r="B1779" s="1"/>
      <c r="C1779">
        <v>2002</v>
      </c>
      <c r="D1779" t="s">
        <v>136</v>
      </c>
    </row>
    <row r="1780" spans="1:4" x14ac:dyDescent="0.35">
      <c r="A1780" s="1" t="s">
        <v>111</v>
      </c>
      <c r="B1780" s="1"/>
      <c r="C1780">
        <v>2003</v>
      </c>
      <c r="D1780" t="s">
        <v>136</v>
      </c>
    </row>
    <row r="1781" spans="1:4" x14ac:dyDescent="0.35">
      <c r="A1781" s="1" t="s">
        <v>111</v>
      </c>
      <c r="B1781" s="1"/>
      <c r="C1781">
        <v>2004</v>
      </c>
      <c r="D1781" t="s">
        <v>136</v>
      </c>
    </row>
    <row r="1782" spans="1:4" x14ac:dyDescent="0.35">
      <c r="A1782" s="1" t="s">
        <v>111</v>
      </c>
      <c r="B1782" s="1"/>
      <c r="C1782">
        <v>2005</v>
      </c>
      <c r="D1782" t="s">
        <v>136</v>
      </c>
    </row>
    <row r="1783" spans="1:4" x14ac:dyDescent="0.35">
      <c r="A1783" s="1" t="s">
        <v>111</v>
      </c>
      <c r="B1783" s="1"/>
      <c r="C1783">
        <v>2006</v>
      </c>
      <c r="D1783" t="s">
        <v>136</v>
      </c>
    </row>
    <row r="1784" spans="1:4" x14ac:dyDescent="0.35">
      <c r="A1784" s="1" t="s">
        <v>111</v>
      </c>
      <c r="B1784" s="1"/>
      <c r="C1784">
        <v>2007</v>
      </c>
      <c r="D1784" t="s">
        <v>136</v>
      </c>
    </row>
    <row r="1785" spans="1:4" x14ac:dyDescent="0.35">
      <c r="A1785" s="1" t="s">
        <v>111</v>
      </c>
      <c r="B1785" s="1"/>
      <c r="C1785">
        <v>2008</v>
      </c>
      <c r="D1785" t="s">
        <v>136</v>
      </c>
    </row>
    <row r="1786" spans="1:4" x14ac:dyDescent="0.35">
      <c r="A1786" s="1" t="s">
        <v>111</v>
      </c>
      <c r="B1786" s="1"/>
      <c r="C1786">
        <v>2009</v>
      </c>
      <c r="D1786" t="s">
        <v>136</v>
      </c>
    </row>
    <row r="1787" spans="1:4" x14ac:dyDescent="0.35">
      <c r="A1787" s="1" t="s">
        <v>111</v>
      </c>
      <c r="B1787" s="1"/>
      <c r="C1787">
        <v>2010</v>
      </c>
      <c r="D1787" t="s">
        <v>136</v>
      </c>
    </row>
    <row r="1788" spans="1:4" x14ac:dyDescent="0.35">
      <c r="A1788" s="1" t="s">
        <v>111</v>
      </c>
      <c r="B1788" s="1"/>
      <c r="C1788">
        <v>2011</v>
      </c>
      <c r="D1788" t="s">
        <v>136</v>
      </c>
    </row>
    <row r="1789" spans="1:4" x14ac:dyDescent="0.35">
      <c r="A1789" s="1" t="s">
        <v>111</v>
      </c>
      <c r="B1789" s="1"/>
      <c r="C1789">
        <v>2012</v>
      </c>
      <c r="D1789" t="s">
        <v>136</v>
      </c>
    </row>
    <row r="1790" spans="1:4" x14ac:dyDescent="0.35">
      <c r="A1790" s="1" t="s">
        <v>111</v>
      </c>
      <c r="B1790" s="1"/>
      <c r="C1790">
        <v>2013</v>
      </c>
      <c r="D1790">
        <v>2.02</v>
      </c>
    </row>
    <row r="1791" spans="1:4" x14ac:dyDescent="0.35">
      <c r="A1791" s="1" t="s">
        <v>111</v>
      </c>
      <c r="B1791" s="1"/>
      <c r="C1791">
        <v>2014</v>
      </c>
      <c r="D1791">
        <v>2.25</v>
      </c>
    </row>
    <row r="1792" spans="1:4" x14ac:dyDescent="0.35">
      <c r="A1792" s="1" t="s">
        <v>111</v>
      </c>
      <c r="B1792" s="1"/>
      <c r="C1792">
        <v>2015</v>
      </c>
      <c r="D1792">
        <v>2.23</v>
      </c>
    </row>
    <row r="1793" spans="1:4" x14ac:dyDescent="0.35">
      <c r="A1793" s="1" t="s">
        <v>111</v>
      </c>
      <c r="B1793" s="1"/>
      <c r="C1793">
        <v>2016</v>
      </c>
      <c r="D1793">
        <v>2.5299999999999998</v>
      </c>
    </row>
    <row r="1794" spans="1:4" x14ac:dyDescent="0.35">
      <c r="A1794" s="1" t="s">
        <v>111</v>
      </c>
      <c r="B1794" s="1"/>
      <c r="C1794">
        <v>2017</v>
      </c>
      <c r="D1794">
        <v>2.66</v>
      </c>
    </row>
    <row r="1795" spans="1:4" x14ac:dyDescent="0.35">
      <c r="A1795" s="1" t="s">
        <v>111</v>
      </c>
      <c r="B1795" s="1"/>
      <c r="C1795">
        <v>2018</v>
      </c>
      <c r="D1795">
        <v>3.07</v>
      </c>
    </row>
    <row r="1796" spans="1:4" x14ac:dyDescent="0.35">
      <c r="A1796" s="1" t="s">
        <v>111</v>
      </c>
      <c r="B1796" s="1"/>
      <c r="C1796">
        <v>2019</v>
      </c>
      <c r="D1796">
        <v>2.62</v>
      </c>
    </row>
    <row r="1797" spans="1:4" x14ac:dyDescent="0.35">
      <c r="A1797" s="1" t="s">
        <v>111</v>
      </c>
      <c r="B1797" s="1"/>
      <c r="C1797">
        <v>2020</v>
      </c>
      <c r="D1797">
        <v>3.27</v>
      </c>
    </row>
    <row r="1798" spans="1:4" x14ac:dyDescent="0.35">
      <c r="A1798" s="1" t="s">
        <v>111</v>
      </c>
      <c r="B1798" s="1"/>
      <c r="C1798">
        <v>2021</v>
      </c>
      <c r="D1798">
        <v>5.66</v>
      </c>
    </row>
    <row r="1799" spans="1:4" x14ac:dyDescent="0.35">
      <c r="A1799" s="1" t="s">
        <v>111</v>
      </c>
      <c r="B1799" s="1"/>
      <c r="C1799">
        <v>2022</v>
      </c>
      <c r="D1799">
        <v>5.91</v>
      </c>
    </row>
    <row r="1800" spans="1:4" x14ac:dyDescent="0.35">
      <c r="A1800" s="1" t="s">
        <v>111</v>
      </c>
      <c r="B1800" s="1"/>
      <c r="C1800">
        <v>2023</v>
      </c>
      <c r="D1800">
        <v>5.7</v>
      </c>
    </row>
    <row r="1801" spans="1:4" x14ac:dyDescent="0.35">
      <c r="A1801" s="1" t="s">
        <v>111</v>
      </c>
      <c r="B1801" s="1"/>
      <c r="C1801">
        <v>2024</v>
      </c>
      <c r="D1801" t="s">
        <v>136</v>
      </c>
    </row>
    <row r="1802" spans="1:4" x14ac:dyDescent="0.35">
      <c r="A1802" s="1" t="s">
        <v>103</v>
      </c>
      <c r="B1802" s="1" t="s">
        <v>134</v>
      </c>
      <c r="C1802">
        <v>2000</v>
      </c>
      <c r="D1802">
        <v>20</v>
      </c>
    </row>
    <row r="1803" spans="1:4" x14ac:dyDescent="0.35">
      <c r="A1803" s="1" t="s">
        <v>103</v>
      </c>
      <c r="B1803" s="1"/>
      <c r="C1803">
        <v>2001</v>
      </c>
      <c r="D1803">
        <v>20</v>
      </c>
    </row>
    <row r="1804" spans="1:4" x14ac:dyDescent="0.35">
      <c r="A1804" s="1" t="s">
        <v>103</v>
      </c>
      <c r="B1804" s="1"/>
      <c r="C1804">
        <v>2002</v>
      </c>
      <c r="D1804">
        <v>20</v>
      </c>
    </row>
    <row r="1805" spans="1:4" x14ac:dyDescent="0.35">
      <c r="A1805" s="1" t="s">
        <v>103</v>
      </c>
      <c r="B1805" s="1"/>
      <c r="C1805">
        <v>2003</v>
      </c>
      <c r="D1805">
        <v>20</v>
      </c>
    </row>
    <row r="1806" spans="1:4" x14ac:dyDescent="0.35">
      <c r="A1806" s="1" t="s">
        <v>103</v>
      </c>
      <c r="B1806" s="1"/>
      <c r="C1806">
        <v>2004</v>
      </c>
      <c r="D1806">
        <v>20.010000000000002</v>
      </c>
    </row>
    <row r="1807" spans="1:4" x14ac:dyDescent="0.35">
      <c r="A1807" s="1" t="s">
        <v>103</v>
      </c>
      <c r="B1807" s="1"/>
      <c r="C1807">
        <v>2005</v>
      </c>
      <c r="D1807">
        <v>20.02</v>
      </c>
    </row>
    <row r="1808" spans="1:4" x14ac:dyDescent="0.35">
      <c r="A1808" s="1" t="s">
        <v>103</v>
      </c>
      <c r="B1808" s="1"/>
      <c r="C1808">
        <v>2006</v>
      </c>
      <c r="D1808">
        <v>20.02</v>
      </c>
    </row>
    <row r="1809" spans="1:4" x14ac:dyDescent="0.35">
      <c r="A1809" s="1" t="s">
        <v>103</v>
      </c>
      <c r="B1809" s="1"/>
      <c r="C1809">
        <v>2007</v>
      </c>
      <c r="D1809">
        <v>20.13</v>
      </c>
    </row>
    <row r="1810" spans="1:4" x14ac:dyDescent="0.35">
      <c r="A1810" s="1" t="s">
        <v>103</v>
      </c>
      <c r="B1810" s="1"/>
      <c r="C1810">
        <v>2008</v>
      </c>
      <c r="D1810">
        <v>64.48</v>
      </c>
    </row>
    <row r="1811" spans="1:4" x14ac:dyDescent="0.35">
      <c r="A1811" s="1" t="s">
        <v>103</v>
      </c>
      <c r="B1811" s="1"/>
      <c r="C1811">
        <v>2009</v>
      </c>
      <c r="D1811">
        <v>64.5</v>
      </c>
    </row>
    <row r="1812" spans="1:4" x14ac:dyDescent="0.35">
      <c r="A1812" s="1" t="s">
        <v>103</v>
      </c>
      <c r="B1812" s="1"/>
      <c r="C1812">
        <v>2010</v>
      </c>
      <c r="D1812">
        <v>71.77</v>
      </c>
    </row>
    <row r="1813" spans="1:4" x14ac:dyDescent="0.35">
      <c r="A1813" s="1" t="s">
        <v>103</v>
      </c>
      <c r="B1813" s="1"/>
      <c r="C1813">
        <v>2011</v>
      </c>
      <c r="D1813">
        <v>59.65</v>
      </c>
    </row>
    <row r="1814" spans="1:4" x14ac:dyDescent="0.35">
      <c r="A1814" s="1" t="s">
        <v>103</v>
      </c>
      <c r="B1814" s="1"/>
      <c r="C1814">
        <v>2012</v>
      </c>
      <c r="D1814">
        <v>59.77</v>
      </c>
    </row>
    <row r="1815" spans="1:4" x14ac:dyDescent="0.35">
      <c r="A1815" s="1" t="s">
        <v>103</v>
      </c>
      <c r="B1815" s="1"/>
      <c r="C1815">
        <v>2013</v>
      </c>
      <c r="D1815">
        <v>59.78</v>
      </c>
    </row>
    <row r="1816" spans="1:4" x14ac:dyDescent="0.35">
      <c r="A1816" s="1" t="s">
        <v>103</v>
      </c>
      <c r="B1816" s="1"/>
      <c r="C1816">
        <v>2014</v>
      </c>
      <c r="D1816">
        <v>66.599999999999994</v>
      </c>
    </row>
    <row r="1817" spans="1:4" x14ac:dyDescent="0.35">
      <c r="A1817" s="1" t="s">
        <v>103</v>
      </c>
      <c r="B1817" s="1"/>
      <c r="C1817">
        <v>2015</v>
      </c>
      <c r="D1817">
        <v>55.38</v>
      </c>
    </row>
    <row r="1818" spans="1:4" x14ac:dyDescent="0.35">
      <c r="A1818" s="1" t="s">
        <v>103</v>
      </c>
      <c r="B1818" s="1"/>
      <c r="C1818">
        <v>2016</v>
      </c>
      <c r="D1818">
        <v>55.49</v>
      </c>
    </row>
    <row r="1819" spans="1:4" x14ac:dyDescent="0.35">
      <c r="A1819" s="1" t="s">
        <v>103</v>
      </c>
      <c r="B1819" s="1"/>
      <c r="C1819">
        <v>2017</v>
      </c>
      <c r="D1819">
        <v>56.93</v>
      </c>
    </row>
    <row r="1820" spans="1:4" x14ac:dyDescent="0.35">
      <c r="A1820" s="1" t="s">
        <v>103</v>
      </c>
      <c r="B1820" s="1"/>
      <c r="C1820">
        <v>2018</v>
      </c>
      <c r="D1820">
        <v>48.36</v>
      </c>
    </row>
    <row r="1821" spans="1:4" x14ac:dyDescent="0.35">
      <c r="A1821" s="1" t="s">
        <v>103</v>
      </c>
      <c r="B1821" s="1"/>
      <c r="C1821">
        <v>2019</v>
      </c>
      <c r="D1821">
        <v>41.71</v>
      </c>
    </row>
    <row r="1822" spans="1:4" x14ac:dyDescent="0.35">
      <c r="A1822" s="1" t="s">
        <v>103</v>
      </c>
      <c r="B1822" s="1"/>
      <c r="C1822">
        <v>2020</v>
      </c>
      <c r="D1822">
        <v>42.22</v>
      </c>
    </row>
    <row r="1823" spans="1:4" x14ac:dyDescent="0.35">
      <c r="A1823" s="1" t="s">
        <v>103</v>
      </c>
      <c r="B1823" s="1"/>
      <c r="C1823">
        <v>2021</v>
      </c>
      <c r="D1823">
        <v>44.11</v>
      </c>
    </row>
    <row r="1824" spans="1:4" x14ac:dyDescent="0.35">
      <c r="A1824" s="1" t="s">
        <v>103</v>
      </c>
      <c r="B1824" s="1"/>
      <c r="C1824">
        <v>2022</v>
      </c>
      <c r="D1824">
        <v>45.28</v>
      </c>
    </row>
    <row r="1825" spans="1:4" x14ac:dyDescent="0.35">
      <c r="A1825" s="1" t="s">
        <v>103</v>
      </c>
      <c r="B1825" s="1"/>
      <c r="C1825">
        <v>2023</v>
      </c>
      <c r="D1825">
        <v>45.35</v>
      </c>
    </row>
    <row r="1826" spans="1:4" x14ac:dyDescent="0.35">
      <c r="A1826" s="1" t="s">
        <v>103</v>
      </c>
      <c r="B1826" s="1"/>
      <c r="C1826">
        <v>2024</v>
      </c>
      <c r="D1826">
        <v>45.35</v>
      </c>
    </row>
    <row r="1827" spans="1:4" x14ac:dyDescent="0.35">
      <c r="A1827" s="1" t="s">
        <v>103</v>
      </c>
      <c r="B1827" s="1" t="s">
        <v>135</v>
      </c>
      <c r="C1827">
        <v>2000</v>
      </c>
      <c r="D1827">
        <v>34.78</v>
      </c>
    </row>
    <row r="1828" spans="1:4" x14ac:dyDescent="0.35">
      <c r="A1828" s="1" t="s">
        <v>103</v>
      </c>
      <c r="B1828" s="1"/>
      <c r="C1828">
        <v>2001</v>
      </c>
      <c r="D1828">
        <v>33.33</v>
      </c>
    </row>
    <row r="1829" spans="1:4" x14ac:dyDescent="0.35">
      <c r="A1829" s="1" t="s">
        <v>103</v>
      </c>
      <c r="B1829" s="1"/>
      <c r="C1829">
        <v>2002</v>
      </c>
      <c r="D1829">
        <v>16.670000000000002</v>
      </c>
    </row>
    <row r="1830" spans="1:4" x14ac:dyDescent="0.35">
      <c r="A1830" s="1" t="s">
        <v>103</v>
      </c>
      <c r="B1830" s="1"/>
      <c r="C1830">
        <v>2003</v>
      </c>
      <c r="D1830">
        <v>16.670000000000002</v>
      </c>
    </row>
    <row r="1831" spans="1:4" x14ac:dyDescent="0.35">
      <c r="A1831" s="1" t="s">
        <v>103</v>
      </c>
      <c r="B1831" s="1"/>
      <c r="C1831">
        <v>2004</v>
      </c>
      <c r="D1831">
        <v>17.53</v>
      </c>
    </row>
    <row r="1832" spans="1:4" x14ac:dyDescent="0.35">
      <c r="A1832" s="1" t="s">
        <v>103</v>
      </c>
      <c r="B1832" s="1"/>
      <c r="C1832">
        <v>2005</v>
      </c>
      <c r="D1832">
        <v>24.06</v>
      </c>
    </row>
    <row r="1833" spans="1:4" x14ac:dyDescent="0.35">
      <c r="A1833" s="1" t="s">
        <v>103</v>
      </c>
      <c r="B1833" s="1"/>
      <c r="C1833">
        <v>2006</v>
      </c>
      <c r="D1833">
        <v>20.27</v>
      </c>
    </row>
    <row r="1834" spans="1:4" x14ac:dyDescent="0.35">
      <c r="A1834" s="1" t="s">
        <v>103</v>
      </c>
      <c r="B1834" s="1"/>
      <c r="C1834">
        <v>2007</v>
      </c>
      <c r="D1834">
        <v>18.86</v>
      </c>
    </row>
    <row r="1835" spans="1:4" x14ac:dyDescent="0.35">
      <c r="A1835" s="1" t="s">
        <v>103</v>
      </c>
      <c r="B1835" s="1"/>
      <c r="C1835">
        <v>2008</v>
      </c>
      <c r="D1835">
        <v>6.09</v>
      </c>
    </row>
    <row r="1836" spans="1:4" x14ac:dyDescent="0.35">
      <c r="A1836" s="1" t="s">
        <v>103</v>
      </c>
      <c r="B1836" s="1"/>
      <c r="C1836">
        <v>2009</v>
      </c>
      <c r="D1836">
        <v>35.06</v>
      </c>
    </row>
    <row r="1837" spans="1:4" x14ac:dyDescent="0.35">
      <c r="A1837" s="1" t="s">
        <v>103</v>
      </c>
      <c r="B1837" s="1"/>
      <c r="C1837">
        <v>2010</v>
      </c>
      <c r="D1837">
        <v>87.4</v>
      </c>
    </row>
    <row r="1838" spans="1:4" x14ac:dyDescent="0.35">
      <c r="A1838" s="1" t="s">
        <v>103</v>
      </c>
      <c r="B1838" s="1"/>
      <c r="C1838">
        <v>2011</v>
      </c>
      <c r="D1838">
        <v>87.08</v>
      </c>
    </row>
    <row r="1839" spans="1:4" x14ac:dyDescent="0.35">
      <c r="A1839" s="1" t="s">
        <v>103</v>
      </c>
      <c r="B1839" s="1"/>
      <c r="C1839">
        <v>2012</v>
      </c>
      <c r="D1839">
        <v>73.84</v>
      </c>
    </row>
    <row r="1840" spans="1:4" x14ac:dyDescent="0.35">
      <c r="A1840" s="1" t="s">
        <v>103</v>
      </c>
      <c r="B1840" s="1"/>
      <c r="C1840">
        <v>2013</v>
      </c>
      <c r="D1840">
        <v>61.89</v>
      </c>
    </row>
    <row r="1841" spans="1:4" x14ac:dyDescent="0.35">
      <c r="A1841" s="1" t="s">
        <v>103</v>
      </c>
      <c r="B1841" s="1"/>
      <c r="C1841">
        <v>2014</v>
      </c>
      <c r="D1841">
        <v>82.51</v>
      </c>
    </row>
    <row r="1842" spans="1:4" x14ac:dyDescent="0.35">
      <c r="A1842" s="1" t="s">
        <v>103</v>
      </c>
      <c r="B1842" s="1"/>
      <c r="C1842">
        <v>2015</v>
      </c>
      <c r="D1842">
        <v>74.7</v>
      </c>
    </row>
    <row r="1843" spans="1:4" x14ac:dyDescent="0.35">
      <c r="A1843" s="1" t="s">
        <v>103</v>
      </c>
      <c r="B1843" s="1"/>
      <c r="C1843">
        <v>2016</v>
      </c>
      <c r="D1843">
        <v>74.260000000000005</v>
      </c>
    </row>
    <row r="1844" spans="1:4" x14ac:dyDescent="0.35">
      <c r="A1844" s="1" t="s">
        <v>103</v>
      </c>
      <c r="B1844" s="1"/>
      <c r="C1844">
        <v>2017</v>
      </c>
      <c r="D1844">
        <v>73.8</v>
      </c>
    </row>
    <row r="1845" spans="1:4" x14ac:dyDescent="0.35">
      <c r="A1845" s="1" t="s">
        <v>103</v>
      </c>
      <c r="B1845" s="1"/>
      <c r="C1845">
        <v>2018</v>
      </c>
      <c r="D1845">
        <v>73.39</v>
      </c>
    </row>
    <row r="1846" spans="1:4" x14ac:dyDescent="0.35">
      <c r="A1846" s="1" t="s">
        <v>103</v>
      </c>
      <c r="B1846" s="1"/>
      <c r="C1846">
        <v>2019</v>
      </c>
      <c r="D1846">
        <v>94.86</v>
      </c>
    </row>
    <row r="1847" spans="1:4" x14ac:dyDescent="0.35">
      <c r="A1847" s="1" t="s">
        <v>103</v>
      </c>
      <c r="B1847" s="1"/>
      <c r="C1847">
        <v>2020</v>
      </c>
      <c r="D1847">
        <v>97.13</v>
      </c>
    </row>
    <row r="1848" spans="1:4" x14ac:dyDescent="0.35">
      <c r="A1848" s="1" t="s">
        <v>103</v>
      </c>
      <c r="B1848" s="1"/>
      <c r="C1848">
        <v>2021</v>
      </c>
      <c r="D1848">
        <v>97.18</v>
      </c>
    </row>
    <row r="1849" spans="1:4" x14ac:dyDescent="0.35">
      <c r="A1849" s="1" t="s">
        <v>103</v>
      </c>
      <c r="B1849" s="1"/>
      <c r="C1849">
        <v>2022</v>
      </c>
      <c r="D1849">
        <v>75.06</v>
      </c>
    </row>
    <row r="1850" spans="1:4" x14ac:dyDescent="0.35">
      <c r="A1850" s="1" t="s">
        <v>103</v>
      </c>
      <c r="B1850" s="1"/>
      <c r="C1850">
        <v>2023</v>
      </c>
      <c r="D1850">
        <v>80.45</v>
      </c>
    </row>
    <row r="1851" spans="1:4" x14ac:dyDescent="0.35">
      <c r="A1851" s="1" t="s">
        <v>103</v>
      </c>
      <c r="B1851" s="1"/>
      <c r="C1851">
        <v>2024</v>
      </c>
      <c r="D1851" t="s">
        <v>136</v>
      </c>
    </row>
    <row r="1852" spans="1:4" x14ac:dyDescent="0.35">
      <c r="A1852" s="1" t="s">
        <v>138</v>
      </c>
      <c r="B1852" s="1" t="s">
        <v>134</v>
      </c>
      <c r="C1852">
        <v>2000</v>
      </c>
      <c r="D1852" t="s">
        <v>136</v>
      </c>
    </row>
    <row r="1853" spans="1:4" x14ac:dyDescent="0.35">
      <c r="A1853" s="1" t="s">
        <v>138</v>
      </c>
      <c r="B1853" s="1"/>
      <c r="C1853">
        <v>2001</v>
      </c>
      <c r="D1853" t="s">
        <v>136</v>
      </c>
    </row>
    <row r="1854" spans="1:4" x14ac:dyDescent="0.35">
      <c r="A1854" s="1" t="s">
        <v>138</v>
      </c>
      <c r="B1854" s="1"/>
      <c r="C1854">
        <v>2002</v>
      </c>
      <c r="D1854" t="s">
        <v>136</v>
      </c>
    </row>
    <row r="1855" spans="1:4" x14ac:dyDescent="0.35">
      <c r="A1855" s="1" t="s">
        <v>138</v>
      </c>
      <c r="B1855" s="1"/>
      <c r="C1855">
        <v>2003</v>
      </c>
      <c r="D1855" t="s">
        <v>136</v>
      </c>
    </row>
    <row r="1856" spans="1:4" x14ac:dyDescent="0.35">
      <c r="A1856" s="1" t="s">
        <v>138</v>
      </c>
      <c r="B1856" s="1"/>
      <c r="C1856">
        <v>2004</v>
      </c>
      <c r="D1856" t="s">
        <v>136</v>
      </c>
    </row>
    <row r="1857" spans="1:4" x14ac:dyDescent="0.35">
      <c r="A1857" s="1" t="s">
        <v>138</v>
      </c>
      <c r="B1857" s="1"/>
      <c r="C1857">
        <v>2005</v>
      </c>
      <c r="D1857" t="s">
        <v>136</v>
      </c>
    </row>
    <row r="1858" spans="1:4" x14ac:dyDescent="0.35">
      <c r="A1858" s="1" t="s">
        <v>138</v>
      </c>
      <c r="B1858" s="1"/>
      <c r="C1858">
        <v>2006</v>
      </c>
      <c r="D1858" t="s">
        <v>136</v>
      </c>
    </row>
    <row r="1859" spans="1:4" x14ac:dyDescent="0.35">
      <c r="A1859" s="1" t="s">
        <v>138</v>
      </c>
      <c r="B1859" s="1"/>
      <c r="C1859">
        <v>2007</v>
      </c>
      <c r="D1859" t="s">
        <v>136</v>
      </c>
    </row>
    <row r="1860" spans="1:4" x14ac:dyDescent="0.35">
      <c r="A1860" s="1" t="s">
        <v>138</v>
      </c>
      <c r="B1860" s="1"/>
      <c r="C1860">
        <v>2008</v>
      </c>
      <c r="D1860">
        <v>0.02</v>
      </c>
    </row>
    <row r="1861" spans="1:4" x14ac:dyDescent="0.35">
      <c r="A1861" s="1" t="s">
        <v>138</v>
      </c>
      <c r="B1861" s="1"/>
      <c r="C1861">
        <v>2009</v>
      </c>
      <c r="D1861">
        <v>0.02</v>
      </c>
    </row>
    <row r="1862" spans="1:4" x14ac:dyDescent="0.35">
      <c r="A1862" s="1" t="s">
        <v>138</v>
      </c>
      <c r="B1862" s="1"/>
      <c r="C1862">
        <v>2010</v>
      </c>
      <c r="D1862">
        <v>0.02</v>
      </c>
    </row>
    <row r="1863" spans="1:4" x14ac:dyDescent="0.35">
      <c r="A1863" s="1" t="s">
        <v>138</v>
      </c>
      <c r="B1863" s="1"/>
      <c r="C1863">
        <v>2011</v>
      </c>
      <c r="D1863">
        <v>0.02</v>
      </c>
    </row>
    <row r="1864" spans="1:4" x14ac:dyDescent="0.35">
      <c r="A1864" s="1" t="s">
        <v>138</v>
      </c>
      <c r="B1864" s="1"/>
      <c r="C1864">
        <v>2012</v>
      </c>
      <c r="D1864">
        <v>2.7</v>
      </c>
    </row>
    <row r="1865" spans="1:4" x14ac:dyDescent="0.35">
      <c r="A1865" s="1" t="s">
        <v>138</v>
      </c>
      <c r="B1865" s="1"/>
      <c r="C1865">
        <v>2013</v>
      </c>
      <c r="D1865">
        <v>2.7</v>
      </c>
    </row>
    <row r="1866" spans="1:4" x14ac:dyDescent="0.35">
      <c r="A1866" s="1" t="s">
        <v>138</v>
      </c>
      <c r="B1866" s="1"/>
      <c r="C1866">
        <v>2014</v>
      </c>
      <c r="D1866">
        <v>2.83</v>
      </c>
    </row>
    <row r="1867" spans="1:4" x14ac:dyDescent="0.35">
      <c r="A1867" s="1" t="s">
        <v>138</v>
      </c>
      <c r="B1867" s="1"/>
      <c r="C1867">
        <v>2015</v>
      </c>
      <c r="D1867">
        <v>3.57</v>
      </c>
    </row>
    <row r="1868" spans="1:4" x14ac:dyDescent="0.35">
      <c r="A1868" s="1" t="s">
        <v>138</v>
      </c>
      <c r="B1868" s="1"/>
      <c r="C1868">
        <v>2016</v>
      </c>
      <c r="D1868">
        <v>4.6500000000000004</v>
      </c>
    </row>
    <row r="1869" spans="1:4" x14ac:dyDescent="0.35">
      <c r="A1869" s="1" t="s">
        <v>138</v>
      </c>
      <c r="B1869" s="1"/>
      <c r="C1869">
        <v>2017</v>
      </c>
      <c r="D1869">
        <v>6.03</v>
      </c>
    </row>
    <row r="1870" spans="1:4" x14ac:dyDescent="0.35">
      <c r="A1870" s="1" t="s">
        <v>138</v>
      </c>
      <c r="B1870" s="1"/>
      <c r="C1870">
        <v>2018</v>
      </c>
      <c r="D1870">
        <v>5.5</v>
      </c>
    </row>
    <row r="1871" spans="1:4" x14ac:dyDescent="0.35">
      <c r="A1871" s="1" t="s">
        <v>138</v>
      </c>
      <c r="B1871" s="1"/>
      <c r="C1871">
        <v>2019</v>
      </c>
      <c r="D1871">
        <v>5.65</v>
      </c>
    </row>
    <row r="1872" spans="1:4" x14ac:dyDescent="0.35">
      <c r="A1872" s="1" t="s">
        <v>138</v>
      </c>
      <c r="B1872" s="1"/>
      <c r="C1872">
        <v>2020</v>
      </c>
      <c r="D1872">
        <v>12.63</v>
      </c>
    </row>
    <row r="1873" spans="1:4" x14ac:dyDescent="0.35">
      <c r="A1873" s="1" t="s">
        <v>138</v>
      </c>
      <c r="B1873" s="1"/>
      <c r="C1873">
        <v>2021</v>
      </c>
      <c r="D1873">
        <v>17.48</v>
      </c>
    </row>
    <row r="1874" spans="1:4" x14ac:dyDescent="0.35">
      <c r="A1874" s="1" t="s">
        <v>138</v>
      </c>
      <c r="B1874" s="1"/>
      <c r="C1874">
        <v>2022</v>
      </c>
      <c r="D1874">
        <v>30.24</v>
      </c>
    </row>
    <row r="1875" spans="1:4" x14ac:dyDescent="0.35">
      <c r="A1875" s="1" t="s">
        <v>138</v>
      </c>
      <c r="B1875" s="1"/>
      <c r="C1875">
        <v>2023</v>
      </c>
      <c r="D1875">
        <v>31.81</v>
      </c>
    </row>
    <row r="1876" spans="1:4" x14ac:dyDescent="0.35">
      <c r="A1876" s="1" t="s">
        <v>138</v>
      </c>
      <c r="B1876" s="1"/>
      <c r="C1876">
        <v>2024</v>
      </c>
      <c r="D1876">
        <v>31.81</v>
      </c>
    </row>
    <row r="1877" spans="1:4" x14ac:dyDescent="0.35">
      <c r="A1877" s="1" t="s">
        <v>138</v>
      </c>
      <c r="B1877" s="1" t="s">
        <v>135</v>
      </c>
      <c r="C1877">
        <v>2000</v>
      </c>
      <c r="D1877" t="s">
        <v>136</v>
      </c>
    </row>
    <row r="1878" spans="1:4" x14ac:dyDescent="0.35">
      <c r="A1878" s="1" t="s">
        <v>138</v>
      </c>
      <c r="B1878" s="1"/>
      <c r="C1878">
        <v>2001</v>
      </c>
      <c r="D1878" t="s">
        <v>136</v>
      </c>
    </row>
    <row r="1879" spans="1:4" x14ac:dyDescent="0.35">
      <c r="A1879" s="1" t="s">
        <v>138</v>
      </c>
      <c r="B1879" s="1"/>
      <c r="C1879">
        <v>2002</v>
      </c>
      <c r="D1879" t="s">
        <v>136</v>
      </c>
    </row>
    <row r="1880" spans="1:4" x14ac:dyDescent="0.35">
      <c r="A1880" s="1" t="s">
        <v>138</v>
      </c>
      <c r="B1880" s="1"/>
      <c r="C1880">
        <v>2003</v>
      </c>
      <c r="D1880" t="s">
        <v>136</v>
      </c>
    </row>
    <row r="1881" spans="1:4" x14ac:dyDescent="0.35">
      <c r="A1881" s="1" t="s">
        <v>138</v>
      </c>
      <c r="B1881" s="1"/>
      <c r="C1881">
        <v>2004</v>
      </c>
      <c r="D1881" t="s">
        <v>136</v>
      </c>
    </row>
    <row r="1882" spans="1:4" x14ac:dyDescent="0.35">
      <c r="A1882" s="1" t="s">
        <v>138</v>
      </c>
      <c r="B1882" s="1"/>
      <c r="C1882">
        <v>2005</v>
      </c>
      <c r="D1882" t="s">
        <v>136</v>
      </c>
    </row>
    <row r="1883" spans="1:4" x14ac:dyDescent="0.35">
      <c r="A1883" s="1" t="s">
        <v>138</v>
      </c>
      <c r="B1883" s="1"/>
      <c r="C1883">
        <v>2006</v>
      </c>
      <c r="D1883" t="s">
        <v>136</v>
      </c>
    </row>
    <row r="1884" spans="1:4" x14ac:dyDescent="0.35">
      <c r="A1884" s="1" t="s">
        <v>138</v>
      </c>
      <c r="B1884" s="1"/>
      <c r="C1884">
        <v>2007</v>
      </c>
      <c r="D1884" t="s">
        <v>136</v>
      </c>
    </row>
    <row r="1885" spans="1:4" x14ac:dyDescent="0.35">
      <c r="A1885" s="1" t="s">
        <v>138</v>
      </c>
      <c r="B1885" s="1"/>
      <c r="C1885">
        <v>2008</v>
      </c>
      <c r="D1885" t="s">
        <v>136</v>
      </c>
    </row>
    <row r="1886" spans="1:4" x14ac:dyDescent="0.35">
      <c r="A1886" s="1" t="s">
        <v>138</v>
      </c>
      <c r="B1886" s="1"/>
      <c r="C1886">
        <v>2009</v>
      </c>
      <c r="D1886" t="s">
        <v>136</v>
      </c>
    </row>
    <row r="1887" spans="1:4" x14ac:dyDescent="0.35">
      <c r="A1887" s="1" t="s">
        <v>138</v>
      </c>
      <c r="B1887" s="1"/>
      <c r="C1887">
        <v>2010</v>
      </c>
      <c r="D1887" t="s">
        <v>136</v>
      </c>
    </row>
    <row r="1888" spans="1:4" x14ac:dyDescent="0.35">
      <c r="A1888" s="1" t="s">
        <v>138</v>
      </c>
      <c r="B1888" s="1"/>
      <c r="C1888">
        <v>2011</v>
      </c>
      <c r="D1888" t="s">
        <v>136</v>
      </c>
    </row>
    <row r="1889" spans="1:4" x14ac:dyDescent="0.35">
      <c r="A1889" s="1" t="s">
        <v>138</v>
      </c>
      <c r="B1889" s="1"/>
      <c r="C1889">
        <v>2012</v>
      </c>
      <c r="D1889">
        <v>1.1599999999999999</v>
      </c>
    </row>
    <row r="1890" spans="1:4" x14ac:dyDescent="0.35">
      <c r="A1890" s="1" t="s">
        <v>138</v>
      </c>
      <c r="B1890" s="1"/>
      <c r="C1890">
        <v>2013</v>
      </c>
      <c r="D1890">
        <v>1.1299999999999999</v>
      </c>
    </row>
    <row r="1891" spans="1:4" x14ac:dyDescent="0.35">
      <c r="A1891" s="1" t="s">
        <v>138</v>
      </c>
      <c r="B1891" s="1"/>
      <c r="C1891">
        <v>2014</v>
      </c>
      <c r="D1891">
        <v>1.19</v>
      </c>
    </row>
    <row r="1892" spans="1:4" x14ac:dyDescent="0.35">
      <c r="A1892" s="1" t="s">
        <v>138</v>
      </c>
      <c r="B1892" s="1"/>
      <c r="C1892">
        <v>2015</v>
      </c>
      <c r="D1892">
        <v>1.49</v>
      </c>
    </row>
    <row r="1893" spans="1:4" x14ac:dyDescent="0.35">
      <c r="A1893" s="1" t="s">
        <v>138</v>
      </c>
      <c r="B1893" s="1"/>
      <c r="C1893">
        <v>2016</v>
      </c>
      <c r="D1893">
        <v>1.88</v>
      </c>
    </row>
    <row r="1894" spans="1:4" x14ac:dyDescent="0.35">
      <c r="A1894" s="1" t="s">
        <v>138</v>
      </c>
      <c r="B1894" s="1"/>
      <c r="C1894">
        <v>2017</v>
      </c>
      <c r="D1894">
        <v>2.37</v>
      </c>
    </row>
    <row r="1895" spans="1:4" x14ac:dyDescent="0.35">
      <c r="A1895" s="1" t="s">
        <v>138</v>
      </c>
      <c r="B1895" s="1"/>
      <c r="C1895">
        <v>2018</v>
      </c>
      <c r="D1895">
        <v>2.64</v>
      </c>
    </row>
    <row r="1896" spans="1:4" x14ac:dyDescent="0.35">
      <c r="A1896" s="1" t="s">
        <v>138</v>
      </c>
      <c r="B1896" s="1"/>
      <c r="C1896">
        <v>2019</v>
      </c>
      <c r="D1896">
        <v>2.72</v>
      </c>
    </row>
    <row r="1897" spans="1:4" x14ac:dyDescent="0.35">
      <c r="A1897" s="1" t="s">
        <v>138</v>
      </c>
      <c r="B1897" s="1"/>
      <c r="C1897">
        <v>2020</v>
      </c>
      <c r="D1897">
        <v>6.34</v>
      </c>
    </row>
    <row r="1898" spans="1:4" x14ac:dyDescent="0.35">
      <c r="A1898" s="1" t="s">
        <v>138</v>
      </c>
      <c r="B1898" s="1"/>
      <c r="C1898">
        <v>2021</v>
      </c>
      <c r="D1898">
        <v>9.4499999999999993</v>
      </c>
    </row>
    <row r="1899" spans="1:4" x14ac:dyDescent="0.35">
      <c r="A1899" s="1" t="s">
        <v>138</v>
      </c>
      <c r="B1899" s="1"/>
      <c r="C1899">
        <v>2022</v>
      </c>
      <c r="D1899">
        <v>17.52</v>
      </c>
    </row>
    <row r="1900" spans="1:4" x14ac:dyDescent="0.35">
      <c r="A1900" s="1" t="s">
        <v>138</v>
      </c>
      <c r="B1900" s="1"/>
      <c r="C1900">
        <v>2023</v>
      </c>
      <c r="D1900">
        <v>18.579999999999998</v>
      </c>
    </row>
    <row r="1901" spans="1:4" x14ac:dyDescent="0.35">
      <c r="A1901" s="1" t="s">
        <v>138</v>
      </c>
      <c r="B1901" s="1"/>
      <c r="C1901">
        <v>2024</v>
      </c>
      <c r="D1901" t="s">
        <v>136</v>
      </c>
    </row>
    <row r="1902" spans="1:4" x14ac:dyDescent="0.35">
      <c r="A1902" s="1" t="s">
        <v>124</v>
      </c>
      <c r="B1902" s="1" t="s">
        <v>134</v>
      </c>
      <c r="C1902">
        <v>2000</v>
      </c>
      <c r="D1902">
        <v>3.47</v>
      </c>
    </row>
    <row r="1903" spans="1:4" x14ac:dyDescent="0.35">
      <c r="A1903" s="1" t="s">
        <v>124</v>
      </c>
      <c r="B1903" s="1"/>
      <c r="C1903">
        <v>2001</v>
      </c>
      <c r="D1903">
        <v>3.37</v>
      </c>
    </row>
    <row r="1904" spans="1:4" x14ac:dyDescent="0.35">
      <c r="A1904" s="1" t="s">
        <v>124</v>
      </c>
      <c r="B1904" s="1"/>
      <c r="C1904">
        <v>2002</v>
      </c>
      <c r="D1904">
        <v>3.37</v>
      </c>
    </row>
    <row r="1905" spans="1:4" x14ac:dyDescent="0.35">
      <c r="A1905" s="1" t="s">
        <v>124</v>
      </c>
      <c r="B1905" s="1"/>
      <c r="C1905">
        <v>2003</v>
      </c>
      <c r="D1905">
        <v>4.13</v>
      </c>
    </row>
    <row r="1906" spans="1:4" x14ac:dyDescent="0.35">
      <c r="A1906" s="1" t="s">
        <v>124</v>
      </c>
      <c r="B1906" s="1"/>
      <c r="C1906">
        <v>2004</v>
      </c>
      <c r="D1906">
        <v>2.5099999999999998</v>
      </c>
    </row>
    <row r="1907" spans="1:4" x14ac:dyDescent="0.35">
      <c r="A1907" s="1" t="s">
        <v>124</v>
      </c>
      <c r="B1907" s="1"/>
      <c r="C1907">
        <v>2005</v>
      </c>
      <c r="D1907">
        <v>2.4700000000000002</v>
      </c>
    </row>
    <row r="1908" spans="1:4" x14ac:dyDescent="0.35">
      <c r="A1908" s="1" t="s">
        <v>124</v>
      </c>
      <c r="B1908" s="1"/>
      <c r="C1908">
        <v>2006</v>
      </c>
      <c r="D1908">
        <v>2.46</v>
      </c>
    </row>
    <row r="1909" spans="1:4" x14ac:dyDescent="0.35">
      <c r="A1909" s="1" t="s">
        <v>124</v>
      </c>
      <c r="B1909" s="1"/>
      <c r="C1909">
        <v>2007</v>
      </c>
      <c r="D1909">
        <v>2.31</v>
      </c>
    </row>
    <row r="1910" spans="1:4" x14ac:dyDescent="0.35">
      <c r="A1910" s="1" t="s">
        <v>124</v>
      </c>
      <c r="B1910" s="1"/>
      <c r="C1910">
        <v>2008</v>
      </c>
      <c r="D1910">
        <v>2.2599999999999998</v>
      </c>
    </row>
    <row r="1911" spans="1:4" x14ac:dyDescent="0.35">
      <c r="A1911" s="1" t="s">
        <v>124</v>
      </c>
      <c r="B1911" s="1"/>
      <c r="C1911">
        <v>2009</v>
      </c>
      <c r="D1911">
        <v>2.2999999999999998</v>
      </c>
    </row>
    <row r="1912" spans="1:4" x14ac:dyDescent="0.35">
      <c r="A1912" s="1" t="s">
        <v>124</v>
      </c>
      <c r="B1912" s="1"/>
      <c r="C1912">
        <v>2010</v>
      </c>
      <c r="D1912">
        <v>2.33</v>
      </c>
    </row>
    <row r="1913" spans="1:4" x14ac:dyDescent="0.35">
      <c r="A1913" s="1" t="s">
        <v>124</v>
      </c>
      <c r="B1913" s="1"/>
      <c r="C1913">
        <v>2011</v>
      </c>
      <c r="D1913">
        <v>2.31</v>
      </c>
    </row>
    <row r="1914" spans="1:4" x14ac:dyDescent="0.35">
      <c r="A1914" s="1" t="s">
        <v>124</v>
      </c>
      <c r="B1914" s="1"/>
      <c r="C1914">
        <v>2012</v>
      </c>
      <c r="D1914">
        <v>2.31</v>
      </c>
    </row>
    <row r="1915" spans="1:4" x14ac:dyDescent="0.35">
      <c r="A1915" s="1" t="s">
        <v>124</v>
      </c>
      <c r="B1915" s="1"/>
      <c r="C1915">
        <v>2013</v>
      </c>
      <c r="D1915">
        <v>3.41</v>
      </c>
    </row>
    <row r="1916" spans="1:4" x14ac:dyDescent="0.35">
      <c r="A1916" s="1" t="s">
        <v>124</v>
      </c>
      <c r="B1916" s="1"/>
      <c r="C1916">
        <v>2014</v>
      </c>
      <c r="D1916">
        <v>5.77</v>
      </c>
    </row>
    <row r="1917" spans="1:4" x14ac:dyDescent="0.35">
      <c r="A1917" s="1" t="s">
        <v>124</v>
      </c>
      <c r="B1917" s="1"/>
      <c r="C1917">
        <v>2015</v>
      </c>
      <c r="D1917">
        <v>7.18</v>
      </c>
    </row>
    <row r="1918" spans="1:4" x14ac:dyDescent="0.35">
      <c r="A1918" s="1" t="s">
        <v>124</v>
      </c>
      <c r="B1918" s="1"/>
      <c r="C1918">
        <v>2016</v>
      </c>
      <c r="D1918">
        <v>8.7100000000000009</v>
      </c>
    </row>
    <row r="1919" spans="1:4" x14ac:dyDescent="0.35">
      <c r="A1919" s="1" t="s">
        <v>124</v>
      </c>
      <c r="B1919" s="1"/>
      <c r="C1919">
        <v>2017</v>
      </c>
      <c r="D1919">
        <v>10.16</v>
      </c>
    </row>
    <row r="1920" spans="1:4" x14ac:dyDescent="0.35">
      <c r="A1920" s="1" t="s">
        <v>124</v>
      </c>
      <c r="B1920" s="1"/>
      <c r="C1920">
        <v>2018</v>
      </c>
      <c r="D1920">
        <v>10.41</v>
      </c>
    </row>
    <row r="1921" spans="1:4" x14ac:dyDescent="0.35">
      <c r="A1921" s="1" t="s">
        <v>124</v>
      </c>
      <c r="B1921" s="1"/>
      <c r="C1921">
        <v>2019</v>
      </c>
      <c r="D1921">
        <v>10.91</v>
      </c>
    </row>
    <row r="1922" spans="1:4" x14ac:dyDescent="0.35">
      <c r="A1922" s="1" t="s">
        <v>124</v>
      </c>
      <c r="B1922" s="1"/>
      <c r="C1922">
        <v>2020</v>
      </c>
      <c r="D1922">
        <v>12.51</v>
      </c>
    </row>
    <row r="1923" spans="1:4" x14ac:dyDescent="0.35">
      <c r="A1923" s="1" t="s">
        <v>124</v>
      </c>
      <c r="B1923" s="1"/>
      <c r="C1923">
        <v>2021</v>
      </c>
      <c r="D1923">
        <v>12.9</v>
      </c>
    </row>
    <row r="1924" spans="1:4" x14ac:dyDescent="0.35">
      <c r="A1924" s="1" t="s">
        <v>124</v>
      </c>
      <c r="B1924" s="1"/>
      <c r="C1924">
        <v>2022</v>
      </c>
      <c r="D1924">
        <v>15.94</v>
      </c>
    </row>
    <row r="1925" spans="1:4" x14ac:dyDescent="0.35">
      <c r="A1925" s="1" t="s">
        <v>124</v>
      </c>
      <c r="B1925" s="1"/>
      <c r="C1925">
        <v>2023</v>
      </c>
      <c r="D1925">
        <v>19.420000000000002</v>
      </c>
    </row>
    <row r="1926" spans="1:4" x14ac:dyDescent="0.35">
      <c r="A1926" s="1" t="s">
        <v>124</v>
      </c>
      <c r="B1926" s="1"/>
      <c r="C1926">
        <v>2024</v>
      </c>
      <c r="D1926">
        <v>20.72</v>
      </c>
    </row>
    <row r="1927" spans="1:4" x14ac:dyDescent="0.35">
      <c r="A1927" s="1" t="s">
        <v>124</v>
      </c>
      <c r="B1927" s="1" t="s">
        <v>135</v>
      </c>
      <c r="C1927">
        <v>2000</v>
      </c>
      <c r="D1927">
        <v>1.25</v>
      </c>
    </row>
    <row r="1928" spans="1:4" x14ac:dyDescent="0.35">
      <c r="A1928" s="1" t="s">
        <v>124</v>
      </c>
      <c r="B1928" s="1"/>
      <c r="C1928">
        <v>2001</v>
      </c>
      <c r="D1928">
        <v>1.39</v>
      </c>
    </row>
    <row r="1929" spans="1:4" x14ac:dyDescent="0.35">
      <c r="A1929" s="1" t="s">
        <v>124</v>
      </c>
      <c r="B1929" s="1"/>
      <c r="C1929">
        <v>2002</v>
      </c>
      <c r="D1929">
        <v>0.8</v>
      </c>
    </row>
    <row r="1930" spans="1:4" x14ac:dyDescent="0.35">
      <c r="A1930" s="1" t="s">
        <v>124</v>
      </c>
      <c r="B1930" s="1"/>
      <c r="C1930">
        <v>2003</v>
      </c>
      <c r="D1930">
        <v>0.53</v>
      </c>
    </row>
    <row r="1931" spans="1:4" x14ac:dyDescent="0.35">
      <c r="A1931" s="1" t="s">
        <v>124</v>
      </c>
      <c r="B1931" s="1"/>
      <c r="C1931">
        <v>2004</v>
      </c>
      <c r="D1931">
        <v>0.56000000000000005</v>
      </c>
    </row>
    <row r="1932" spans="1:4" x14ac:dyDescent="0.35">
      <c r="A1932" s="1" t="s">
        <v>124</v>
      </c>
      <c r="B1932" s="1"/>
      <c r="C1932">
        <v>2005</v>
      </c>
      <c r="D1932">
        <v>0.69</v>
      </c>
    </row>
    <row r="1933" spans="1:4" x14ac:dyDescent="0.35">
      <c r="A1933" s="1" t="s">
        <v>124</v>
      </c>
      <c r="B1933" s="1"/>
      <c r="C1933">
        <v>2006</v>
      </c>
      <c r="D1933">
        <v>1.1000000000000001</v>
      </c>
    </row>
    <row r="1934" spans="1:4" x14ac:dyDescent="0.35">
      <c r="A1934" s="1" t="s">
        <v>124</v>
      </c>
      <c r="B1934" s="1"/>
      <c r="C1934">
        <v>2007</v>
      </c>
      <c r="D1934">
        <v>0.67</v>
      </c>
    </row>
    <row r="1935" spans="1:4" x14ac:dyDescent="0.35">
      <c r="A1935" s="1" t="s">
        <v>124</v>
      </c>
      <c r="B1935" s="1"/>
      <c r="C1935">
        <v>2008</v>
      </c>
      <c r="D1935">
        <v>0.61</v>
      </c>
    </row>
    <row r="1936" spans="1:4" x14ac:dyDescent="0.35">
      <c r="A1936" s="1" t="s">
        <v>124</v>
      </c>
      <c r="B1936" s="1"/>
      <c r="C1936">
        <v>2009</v>
      </c>
      <c r="D1936">
        <v>0.7</v>
      </c>
    </row>
    <row r="1937" spans="1:4" x14ac:dyDescent="0.35">
      <c r="A1937" s="1" t="s">
        <v>124</v>
      </c>
      <c r="B1937" s="1"/>
      <c r="C1937">
        <v>2010</v>
      </c>
      <c r="D1937">
        <v>0.9</v>
      </c>
    </row>
    <row r="1938" spans="1:4" x14ac:dyDescent="0.35">
      <c r="A1938" s="1" t="s">
        <v>124</v>
      </c>
      <c r="B1938" s="1"/>
      <c r="C1938">
        <v>2011</v>
      </c>
      <c r="D1938">
        <v>0.96</v>
      </c>
    </row>
    <row r="1939" spans="1:4" x14ac:dyDescent="0.35">
      <c r="A1939" s="1" t="s">
        <v>124</v>
      </c>
      <c r="B1939" s="1"/>
      <c r="C1939">
        <v>2012</v>
      </c>
      <c r="D1939">
        <v>0.71</v>
      </c>
    </row>
    <row r="1940" spans="1:4" x14ac:dyDescent="0.35">
      <c r="A1940" s="1" t="s">
        <v>124</v>
      </c>
      <c r="B1940" s="1"/>
      <c r="C1940">
        <v>2013</v>
      </c>
      <c r="D1940">
        <v>0.66</v>
      </c>
    </row>
    <row r="1941" spans="1:4" x14ac:dyDescent="0.35">
      <c r="A1941" s="1" t="s">
        <v>124</v>
      </c>
      <c r="B1941" s="1"/>
      <c r="C1941">
        <v>2014</v>
      </c>
      <c r="D1941">
        <v>1.03</v>
      </c>
    </row>
    <row r="1942" spans="1:4" x14ac:dyDescent="0.35">
      <c r="A1942" s="1" t="s">
        <v>124</v>
      </c>
      <c r="B1942" s="1"/>
      <c r="C1942">
        <v>2015</v>
      </c>
      <c r="D1942">
        <v>1.65</v>
      </c>
    </row>
    <row r="1943" spans="1:4" x14ac:dyDescent="0.35">
      <c r="A1943" s="1" t="s">
        <v>124</v>
      </c>
      <c r="B1943" s="1"/>
      <c r="C1943">
        <v>2016</v>
      </c>
      <c r="D1943">
        <v>2.0699999999999998</v>
      </c>
    </row>
    <row r="1944" spans="1:4" x14ac:dyDescent="0.35">
      <c r="A1944" s="1" t="s">
        <v>124</v>
      </c>
      <c r="B1944" s="1"/>
      <c r="C1944">
        <v>2017</v>
      </c>
      <c r="D1944">
        <v>2.34</v>
      </c>
    </row>
    <row r="1945" spans="1:4" x14ac:dyDescent="0.35">
      <c r="A1945" s="1" t="s">
        <v>124</v>
      </c>
      <c r="B1945" s="1"/>
      <c r="C1945">
        <v>2018</v>
      </c>
      <c r="D1945">
        <v>2.79</v>
      </c>
    </row>
    <row r="1946" spans="1:4" x14ac:dyDescent="0.35">
      <c r="A1946" s="1" t="s">
        <v>124</v>
      </c>
      <c r="B1946" s="1"/>
      <c r="C1946">
        <v>2019</v>
      </c>
      <c r="D1946">
        <v>3.12</v>
      </c>
    </row>
    <row r="1947" spans="1:4" x14ac:dyDescent="0.35">
      <c r="A1947" s="1" t="s">
        <v>124</v>
      </c>
      <c r="B1947" s="1"/>
      <c r="C1947">
        <v>2020</v>
      </c>
      <c r="D1947">
        <v>4.2</v>
      </c>
    </row>
    <row r="1948" spans="1:4" x14ac:dyDescent="0.35">
      <c r="A1948" s="1" t="s">
        <v>124</v>
      </c>
      <c r="B1948" s="1"/>
      <c r="C1948">
        <v>2021</v>
      </c>
      <c r="D1948">
        <v>4.8499999999999996</v>
      </c>
    </row>
    <row r="1949" spans="1:4" x14ac:dyDescent="0.35">
      <c r="A1949" s="1" t="s">
        <v>124</v>
      </c>
      <c r="B1949" s="1"/>
      <c r="C1949">
        <v>2022</v>
      </c>
      <c r="D1949">
        <v>6.22</v>
      </c>
    </row>
    <row r="1950" spans="1:4" x14ac:dyDescent="0.35">
      <c r="A1950" s="1" t="s">
        <v>124</v>
      </c>
      <c r="B1950" s="1"/>
      <c r="C1950">
        <v>2023</v>
      </c>
      <c r="D1950">
        <v>8.32</v>
      </c>
    </row>
    <row r="1951" spans="1:4" x14ac:dyDescent="0.35">
      <c r="A1951" s="1" t="s">
        <v>124</v>
      </c>
      <c r="B1951" s="1"/>
      <c r="C1951">
        <v>2024</v>
      </c>
      <c r="D1951" t="s">
        <v>136</v>
      </c>
    </row>
    <row r="1952" spans="1:4" x14ac:dyDescent="0.35">
      <c r="A1952" s="1" t="s">
        <v>105</v>
      </c>
      <c r="B1952" s="1" t="s">
        <v>134</v>
      </c>
      <c r="C1952">
        <v>2000</v>
      </c>
      <c r="D1952" t="s">
        <v>136</v>
      </c>
    </row>
    <row r="1953" spans="1:4" x14ac:dyDescent="0.35">
      <c r="A1953" s="1" t="s">
        <v>105</v>
      </c>
      <c r="B1953" s="1"/>
      <c r="C1953">
        <v>2001</v>
      </c>
      <c r="D1953" t="s">
        <v>136</v>
      </c>
    </row>
    <row r="1954" spans="1:4" x14ac:dyDescent="0.35">
      <c r="A1954" s="1" t="s">
        <v>105</v>
      </c>
      <c r="B1954" s="1"/>
      <c r="C1954">
        <v>2002</v>
      </c>
      <c r="D1954" t="s">
        <v>136</v>
      </c>
    </row>
    <row r="1955" spans="1:4" x14ac:dyDescent="0.35">
      <c r="A1955" s="1" t="s">
        <v>105</v>
      </c>
      <c r="B1955" s="1"/>
      <c r="C1955">
        <v>2003</v>
      </c>
      <c r="D1955" t="s">
        <v>136</v>
      </c>
    </row>
    <row r="1956" spans="1:4" x14ac:dyDescent="0.35">
      <c r="A1956" s="1" t="s">
        <v>105</v>
      </c>
      <c r="B1956" s="1"/>
      <c r="C1956">
        <v>2004</v>
      </c>
      <c r="D1956" t="s">
        <v>136</v>
      </c>
    </row>
    <row r="1957" spans="1:4" x14ac:dyDescent="0.35">
      <c r="A1957" s="1" t="s">
        <v>105</v>
      </c>
      <c r="B1957" s="1"/>
      <c r="C1957">
        <v>2005</v>
      </c>
      <c r="D1957" t="s">
        <v>136</v>
      </c>
    </row>
    <row r="1958" spans="1:4" x14ac:dyDescent="0.35">
      <c r="A1958" s="1" t="s">
        <v>105</v>
      </c>
      <c r="B1958" s="1"/>
      <c r="C1958">
        <v>2006</v>
      </c>
      <c r="D1958" t="s">
        <v>136</v>
      </c>
    </row>
    <row r="1959" spans="1:4" x14ac:dyDescent="0.35">
      <c r="A1959" s="1" t="s">
        <v>105</v>
      </c>
      <c r="B1959" s="1"/>
      <c r="C1959">
        <v>2007</v>
      </c>
      <c r="D1959" t="s">
        <v>136</v>
      </c>
    </row>
    <row r="1960" spans="1:4" x14ac:dyDescent="0.35">
      <c r="A1960" s="1" t="s">
        <v>105</v>
      </c>
      <c r="B1960" s="1"/>
      <c r="C1960">
        <v>2008</v>
      </c>
      <c r="D1960" t="s">
        <v>136</v>
      </c>
    </row>
    <row r="1961" spans="1:4" x14ac:dyDescent="0.35">
      <c r="A1961" s="1" t="s">
        <v>105</v>
      </c>
      <c r="B1961" s="1"/>
      <c r="C1961">
        <v>2009</v>
      </c>
      <c r="D1961" t="s">
        <v>136</v>
      </c>
    </row>
    <row r="1962" spans="1:4" x14ac:dyDescent="0.35">
      <c r="A1962" s="1" t="s">
        <v>105</v>
      </c>
      <c r="B1962" s="1"/>
      <c r="C1962">
        <v>2010</v>
      </c>
      <c r="D1962" t="s">
        <v>136</v>
      </c>
    </row>
    <row r="1963" spans="1:4" x14ac:dyDescent="0.35">
      <c r="A1963" s="1" t="s">
        <v>105</v>
      </c>
      <c r="B1963" s="1"/>
      <c r="C1963">
        <v>2011</v>
      </c>
      <c r="D1963">
        <v>100</v>
      </c>
    </row>
    <row r="1964" spans="1:4" x14ac:dyDescent="0.35">
      <c r="A1964" s="1" t="s">
        <v>105</v>
      </c>
      <c r="B1964" s="1"/>
      <c r="C1964">
        <v>2012</v>
      </c>
      <c r="D1964">
        <v>0.05</v>
      </c>
    </row>
    <row r="1965" spans="1:4" x14ac:dyDescent="0.35">
      <c r="A1965" s="1" t="s">
        <v>105</v>
      </c>
      <c r="B1965" s="1"/>
      <c r="C1965">
        <v>2013</v>
      </c>
      <c r="D1965">
        <v>0.12</v>
      </c>
    </row>
    <row r="1966" spans="1:4" x14ac:dyDescent="0.35">
      <c r="A1966" s="1" t="s">
        <v>105</v>
      </c>
      <c r="B1966" s="1"/>
      <c r="C1966">
        <v>2014</v>
      </c>
      <c r="D1966">
        <v>0.12</v>
      </c>
    </row>
    <row r="1967" spans="1:4" x14ac:dyDescent="0.35">
      <c r="A1967" s="1" t="s">
        <v>105</v>
      </c>
      <c r="B1967" s="1"/>
      <c r="C1967">
        <v>2015</v>
      </c>
      <c r="D1967">
        <v>0.13</v>
      </c>
    </row>
    <row r="1968" spans="1:4" x14ac:dyDescent="0.35">
      <c r="A1968" s="1" t="s">
        <v>105</v>
      </c>
      <c r="B1968" s="1"/>
      <c r="C1968">
        <v>2016</v>
      </c>
      <c r="D1968">
        <v>1.52</v>
      </c>
    </row>
    <row r="1969" spans="1:4" x14ac:dyDescent="0.35">
      <c r="A1969" s="1" t="s">
        <v>105</v>
      </c>
      <c r="B1969" s="1"/>
      <c r="C1969">
        <v>2017</v>
      </c>
      <c r="D1969">
        <v>1.46</v>
      </c>
    </row>
    <row r="1970" spans="1:4" x14ac:dyDescent="0.35">
      <c r="A1970" s="1" t="s">
        <v>105</v>
      </c>
      <c r="B1970" s="1"/>
      <c r="C1970">
        <v>2018</v>
      </c>
      <c r="D1970">
        <v>1.67</v>
      </c>
    </row>
    <row r="1971" spans="1:4" x14ac:dyDescent="0.35">
      <c r="A1971" s="1" t="s">
        <v>105</v>
      </c>
      <c r="B1971" s="1"/>
      <c r="C1971">
        <v>2019</v>
      </c>
      <c r="D1971">
        <v>1.49</v>
      </c>
    </row>
    <row r="1972" spans="1:4" x14ac:dyDescent="0.35">
      <c r="A1972" s="1" t="s">
        <v>105</v>
      </c>
      <c r="B1972" s="1"/>
      <c r="C1972">
        <v>2020</v>
      </c>
      <c r="D1972">
        <v>2.2200000000000002</v>
      </c>
    </row>
    <row r="1973" spans="1:4" x14ac:dyDescent="0.35">
      <c r="A1973" s="1" t="s">
        <v>105</v>
      </c>
      <c r="B1973" s="1"/>
      <c r="C1973">
        <v>2021</v>
      </c>
      <c r="D1973">
        <v>2.09</v>
      </c>
    </row>
    <row r="1974" spans="1:4" x14ac:dyDescent="0.35">
      <c r="A1974" s="1" t="s">
        <v>105</v>
      </c>
      <c r="B1974" s="1"/>
      <c r="C1974">
        <v>2022</v>
      </c>
      <c r="D1974">
        <v>2.34</v>
      </c>
    </row>
    <row r="1975" spans="1:4" x14ac:dyDescent="0.35">
      <c r="A1975" s="1" t="s">
        <v>105</v>
      </c>
      <c r="B1975" s="1"/>
      <c r="C1975">
        <v>2023</v>
      </c>
      <c r="D1975">
        <v>8.2799999999999994</v>
      </c>
    </row>
    <row r="1976" spans="1:4" x14ac:dyDescent="0.35">
      <c r="A1976" s="1" t="s">
        <v>105</v>
      </c>
      <c r="B1976" s="1"/>
      <c r="C1976">
        <v>2024</v>
      </c>
      <c r="D1976">
        <v>13.91</v>
      </c>
    </row>
    <row r="1977" spans="1:4" x14ac:dyDescent="0.35">
      <c r="A1977" s="1" t="s">
        <v>105</v>
      </c>
      <c r="B1977" s="1" t="s">
        <v>135</v>
      </c>
      <c r="C1977">
        <v>2000</v>
      </c>
      <c r="D1977" t="s">
        <v>136</v>
      </c>
    </row>
    <row r="1978" spans="1:4" x14ac:dyDescent="0.35">
      <c r="A1978" s="1" t="s">
        <v>105</v>
      </c>
      <c r="B1978" s="1"/>
      <c r="C1978">
        <v>2001</v>
      </c>
      <c r="D1978" t="s">
        <v>136</v>
      </c>
    </row>
    <row r="1979" spans="1:4" x14ac:dyDescent="0.35">
      <c r="A1979" s="1" t="s">
        <v>105</v>
      </c>
      <c r="B1979" s="1"/>
      <c r="C1979">
        <v>2002</v>
      </c>
      <c r="D1979" t="s">
        <v>136</v>
      </c>
    </row>
    <row r="1980" spans="1:4" x14ac:dyDescent="0.35">
      <c r="A1980" s="1" t="s">
        <v>105</v>
      </c>
      <c r="B1980" s="1"/>
      <c r="C1980">
        <v>2003</v>
      </c>
      <c r="D1980" t="s">
        <v>136</v>
      </c>
    </row>
    <row r="1981" spans="1:4" x14ac:dyDescent="0.35">
      <c r="A1981" s="1" t="s">
        <v>105</v>
      </c>
      <c r="B1981" s="1"/>
      <c r="C1981">
        <v>2004</v>
      </c>
      <c r="D1981" t="s">
        <v>136</v>
      </c>
    </row>
    <row r="1982" spans="1:4" x14ac:dyDescent="0.35">
      <c r="A1982" s="1" t="s">
        <v>105</v>
      </c>
      <c r="B1982" s="1"/>
      <c r="C1982">
        <v>2005</v>
      </c>
      <c r="D1982" t="s">
        <v>136</v>
      </c>
    </row>
    <row r="1983" spans="1:4" x14ac:dyDescent="0.35">
      <c r="A1983" s="1" t="s">
        <v>105</v>
      </c>
      <c r="B1983" s="1"/>
      <c r="C1983">
        <v>2006</v>
      </c>
      <c r="D1983" t="s">
        <v>136</v>
      </c>
    </row>
    <row r="1984" spans="1:4" x14ac:dyDescent="0.35">
      <c r="A1984" s="1" t="s">
        <v>105</v>
      </c>
      <c r="B1984" s="1"/>
      <c r="C1984">
        <v>2007</v>
      </c>
      <c r="D1984" t="s">
        <v>136</v>
      </c>
    </row>
    <row r="1985" spans="1:4" x14ac:dyDescent="0.35">
      <c r="A1985" s="1" t="s">
        <v>105</v>
      </c>
      <c r="B1985" s="1"/>
      <c r="C1985">
        <v>2008</v>
      </c>
      <c r="D1985" t="s">
        <v>136</v>
      </c>
    </row>
    <row r="1986" spans="1:4" x14ac:dyDescent="0.35">
      <c r="A1986" s="1" t="s">
        <v>105</v>
      </c>
      <c r="B1986" s="1"/>
      <c r="C1986">
        <v>2009</v>
      </c>
      <c r="D1986" t="s">
        <v>136</v>
      </c>
    </row>
    <row r="1987" spans="1:4" x14ac:dyDescent="0.35">
      <c r="A1987" s="1" t="s">
        <v>105</v>
      </c>
      <c r="B1987" s="1"/>
      <c r="C1987">
        <v>2010</v>
      </c>
      <c r="D1987" t="s">
        <v>136</v>
      </c>
    </row>
    <row r="1988" spans="1:4" x14ac:dyDescent="0.35">
      <c r="A1988" s="1" t="s">
        <v>105</v>
      </c>
      <c r="B1988" s="1"/>
      <c r="C1988">
        <v>2011</v>
      </c>
      <c r="D1988" t="s">
        <v>136</v>
      </c>
    </row>
    <row r="1989" spans="1:4" x14ac:dyDescent="0.35">
      <c r="A1989" s="1" t="s">
        <v>105</v>
      </c>
      <c r="B1989" s="1"/>
      <c r="C1989">
        <v>2012</v>
      </c>
      <c r="D1989">
        <v>0.01</v>
      </c>
    </row>
    <row r="1990" spans="1:4" x14ac:dyDescent="0.35">
      <c r="A1990" s="1" t="s">
        <v>105</v>
      </c>
      <c r="B1990" s="1"/>
      <c r="C1990">
        <v>2013</v>
      </c>
      <c r="D1990">
        <v>0.03</v>
      </c>
    </row>
    <row r="1991" spans="1:4" x14ac:dyDescent="0.35">
      <c r="A1991" s="1" t="s">
        <v>105</v>
      </c>
      <c r="B1991" s="1"/>
      <c r="C1991">
        <v>2014</v>
      </c>
      <c r="D1991">
        <v>0.03</v>
      </c>
    </row>
    <row r="1992" spans="1:4" x14ac:dyDescent="0.35">
      <c r="A1992" s="1" t="s">
        <v>105</v>
      </c>
      <c r="B1992" s="1"/>
      <c r="C1992">
        <v>2015</v>
      </c>
      <c r="D1992">
        <v>0.03</v>
      </c>
    </row>
    <row r="1993" spans="1:4" x14ac:dyDescent="0.35">
      <c r="A1993" s="1" t="s">
        <v>105</v>
      </c>
      <c r="B1993" s="1"/>
      <c r="C1993">
        <v>2016</v>
      </c>
      <c r="D1993">
        <v>0.42</v>
      </c>
    </row>
    <row r="1994" spans="1:4" x14ac:dyDescent="0.35">
      <c r="A1994" s="1" t="s">
        <v>105</v>
      </c>
      <c r="B1994" s="1"/>
      <c r="C1994">
        <v>2017</v>
      </c>
      <c r="D1994">
        <v>0.54</v>
      </c>
    </row>
    <row r="1995" spans="1:4" x14ac:dyDescent="0.35">
      <c r="A1995" s="1" t="s">
        <v>105</v>
      </c>
      <c r="B1995" s="1"/>
      <c r="C1995">
        <v>2018</v>
      </c>
      <c r="D1995">
        <v>0.56999999999999995</v>
      </c>
    </row>
    <row r="1996" spans="1:4" x14ac:dyDescent="0.35">
      <c r="A1996" s="1" t="s">
        <v>105</v>
      </c>
      <c r="B1996" s="1"/>
      <c r="C1996">
        <v>2019</v>
      </c>
      <c r="D1996">
        <v>0.68</v>
      </c>
    </row>
    <row r="1997" spans="1:4" x14ac:dyDescent="0.35">
      <c r="A1997" s="1" t="s">
        <v>105</v>
      </c>
      <c r="B1997" s="1"/>
      <c r="C1997">
        <v>2020</v>
      </c>
      <c r="D1997">
        <v>1.01</v>
      </c>
    </row>
    <row r="1998" spans="1:4" x14ac:dyDescent="0.35">
      <c r="A1998" s="1" t="s">
        <v>105</v>
      </c>
      <c r="B1998" s="1"/>
      <c r="C1998">
        <v>2021</v>
      </c>
      <c r="D1998">
        <v>0.96</v>
      </c>
    </row>
    <row r="1999" spans="1:4" x14ac:dyDescent="0.35">
      <c r="A1999" s="1" t="s">
        <v>105</v>
      </c>
      <c r="B1999" s="1"/>
      <c r="C1999">
        <v>2022</v>
      </c>
      <c r="D1999">
        <v>1.08</v>
      </c>
    </row>
    <row r="2000" spans="1:4" x14ac:dyDescent="0.35">
      <c r="A2000" s="1" t="s">
        <v>105</v>
      </c>
      <c r="B2000" s="1"/>
      <c r="C2000">
        <v>2023</v>
      </c>
      <c r="D2000">
        <v>1.28</v>
      </c>
    </row>
    <row r="2001" spans="1:4" x14ac:dyDescent="0.35">
      <c r="A2001" s="1" t="s">
        <v>105</v>
      </c>
      <c r="B2001" s="1"/>
      <c r="C2001">
        <v>2024</v>
      </c>
      <c r="D2001" t="s">
        <v>136</v>
      </c>
    </row>
    <row r="2002" spans="1:4" x14ac:dyDescent="0.35">
      <c r="A2002" s="1" t="s">
        <v>116</v>
      </c>
      <c r="B2002" s="1" t="s">
        <v>134</v>
      </c>
      <c r="C2002">
        <v>2000</v>
      </c>
      <c r="D2002">
        <v>77.12</v>
      </c>
    </row>
    <row r="2003" spans="1:4" x14ac:dyDescent="0.35">
      <c r="A2003" s="1" t="s">
        <v>116</v>
      </c>
      <c r="B2003" s="1"/>
      <c r="C2003">
        <v>2001</v>
      </c>
      <c r="D2003">
        <v>77.12</v>
      </c>
    </row>
    <row r="2004" spans="1:4" x14ac:dyDescent="0.35">
      <c r="A2004" s="1" t="s">
        <v>116</v>
      </c>
      <c r="B2004" s="1"/>
      <c r="C2004">
        <v>2002</v>
      </c>
      <c r="D2004">
        <v>77.12</v>
      </c>
    </row>
    <row r="2005" spans="1:4" x14ac:dyDescent="0.35">
      <c r="A2005" s="1" t="s">
        <v>116</v>
      </c>
      <c r="B2005" s="1"/>
      <c r="C2005">
        <v>2003</v>
      </c>
      <c r="D2005">
        <v>76.91</v>
      </c>
    </row>
    <row r="2006" spans="1:4" x14ac:dyDescent="0.35">
      <c r="A2006" s="1" t="s">
        <v>116</v>
      </c>
      <c r="B2006" s="1"/>
      <c r="C2006">
        <v>2004</v>
      </c>
      <c r="D2006">
        <v>61.75</v>
      </c>
    </row>
    <row r="2007" spans="1:4" x14ac:dyDescent="0.35">
      <c r="A2007" s="1" t="s">
        <v>116</v>
      </c>
      <c r="B2007" s="1"/>
      <c r="C2007">
        <v>2005</v>
      </c>
      <c r="D2007">
        <v>61.14</v>
      </c>
    </row>
    <row r="2008" spans="1:4" x14ac:dyDescent="0.35">
      <c r="A2008" s="1" t="s">
        <v>116</v>
      </c>
      <c r="B2008" s="1"/>
      <c r="C2008">
        <v>2006</v>
      </c>
      <c r="D2008">
        <v>61.14</v>
      </c>
    </row>
    <row r="2009" spans="1:4" x14ac:dyDescent="0.35">
      <c r="A2009" s="1" t="s">
        <v>116</v>
      </c>
      <c r="B2009" s="1"/>
      <c r="C2009">
        <v>2007</v>
      </c>
      <c r="D2009">
        <v>61.14</v>
      </c>
    </row>
    <row r="2010" spans="1:4" x14ac:dyDescent="0.35">
      <c r="A2010" s="1" t="s">
        <v>116</v>
      </c>
      <c r="B2010" s="1"/>
      <c r="C2010">
        <v>2008</v>
      </c>
      <c r="D2010">
        <v>61.14</v>
      </c>
    </row>
    <row r="2011" spans="1:4" x14ac:dyDescent="0.35">
      <c r="A2011" s="1" t="s">
        <v>116</v>
      </c>
      <c r="B2011" s="1"/>
      <c r="C2011">
        <v>2009</v>
      </c>
      <c r="D2011">
        <v>61.14</v>
      </c>
    </row>
    <row r="2012" spans="1:4" x14ac:dyDescent="0.35">
      <c r="A2012" s="1" t="s">
        <v>116</v>
      </c>
      <c r="B2012" s="1"/>
      <c r="C2012">
        <v>2010</v>
      </c>
      <c r="D2012">
        <v>27.87</v>
      </c>
    </row>
    <row r="2013" spans="1:4" x14ac:dyDescent="0.35">
      <c r="A2013" s="1" t="s">
        <v>116</v>
      </c>
      <c r="B2013" s="1"/>
      <c r="C2013">
        <v>2011</v>
      </c>
      <c r="D2013">
        <v>27.87</v>
      </c>
    </row>
    <row r="2014" spans="1:4" x14ac:dyDescent="0.35">
      <c r="A2014" s="1" t="s">
        <v>116</v>
      </c>
      <c r="B2014" s="1"/>
      <c r="C2014">
        <v>2012</v>
      </c>
      <c r="D2014">
        <v>27.88</v>
      </c>
    </row>
    <row r="2015" spans="1:4" x14ac:dyDescent="0.35">
      <c r="A2015" s="1" t="s">
        <v>116</v>
      </c>
      <c r="B2015" s="1"/>
      <c r="C2015">
        <v>2013</v>
      </c>
      <c r="D2015">
        <v>27.88</v>
      </c>
    </row>
    <row r="2016" spans="1:4" x14ac:dyDescent="0.35">
      <c r="A2016" s="1" t="s">
        <v>116</v>
      </c>
      <c r="B2016" s="1"/>
      <c r="C2016">
        <v>2014</v>
      </c>
      <c r="D2016">
        <v>27.88</v>
      </c>
    </row>
    <row r="2017" spans="1:4" x14ac:dyDescent="0.35">
      <c r="A2017" s="1" t="s">
        <v>116</v>
      </c>
      <c r="B2017" s="1"/>
      <c r="C2017">
        <v>2015</v>
      </c>
      <c r="D2017">
        <v>27.9</v>
      </c>
    </row>
    <row r="2018" spans="1:4" x14ac:dyDescent="0.35">
      <c r="A2018" s="1" t="s">
        <v>116</v>
      </c>
      <c r="B2018" s="1"/>
      <c r="C2018">
        <v>2016</v>
      </c>
      <c r="D2018">
        <v>27.9</v>
      </c>
    </row>
    <row r="2019" spans="1:4" x14ac:dyDescent="0.35">
      <c r="A2019" s="1" t="s">
        <v>116</v>
      </c>
      <c r="B2019" s="1"/>
      <c r="C2019">
        <v>2017</v>
      </c>
      <c r="D2019">
        <v>28.05</v>
      </c>
    </row>
    <row r="2020" spans="1:4" x14ac:dyDescent="0.35">
      <c r="A2020" s="1" t="s">
        <v>116</v>
      </c>
      <c r="B2020" s="1"/>
      <c r="C2020">
        <v>2018</v>
      </c>
      <c r="D2020">
        <v>29.18</v>
      </c>
    </row>
    <row r="2021" spans="1:4" x14ac:dyDescent="0.35">
      <c r="A2021" s="1" t="s">
        <v>116</v>
      </c>
      <c r="B2021" s="1"/>
      <c r="C2021">
        <v>2019</v>
      </c>
      <c r="D2021">
        <v>30.01</v>
      </c>
    </row>
    <row r="2022" spans="1:4" x14ac:dyDescent="0.35">
      <c r="A2022" s="1" t="s">
        <v>116</v>
      </c>
      <c r="B2022" s="1"/>
      <c r="C2022">
        <v>2020</v>
      </c>
      <c r="D2022">
        <v>30.99</v>
      </c>
    </row>
    <row r="2023" spans="1:4" x14ac:dyDescent="0.35">
      <c r="A2023" s="1" t="s">
        <v>116</v>
      </c>
      <c r="B2023" s="1"/>
      <c r="C2023">
        <v>2021</v>
      </c>
      <c r="D2023">
        <v>37.369999999999997</v>
      </c>
    </row>
    <row r="2024" spans="1:4" x14ac:dyDescent="0.35">
      <c r="A2024" s="1" t="s">
        <v>116</v>
      </c>
      <c r="B2024" s="1"/>
      <c r="C2024">
        <v>2022</v>
      </c>
      <c r="D2024">
        <v>37.71</v>
      </c>
    </row>
    <row r="2025" spans="1:4" x14ac:dyDescent="0.35">
      <c r="A2025" s="1" t="s">
        <v>116</v>
      </c>
      <c r="B2025" s="1"/>
      <c r="C2025">
        <v>2023</v>
      </c>
      <c r="D2025">
        <v>37.840000000000003</v>
      </c>
    </row>
    <row r="2026" spans="1:4" x14ac:dyDescent="0.35">
      <c r="A2026" s="1" t="s">
        <v>116</v>
      </c>
      <c r="B2026" s="1"/>
      <c r="C2026">
        <v>2024</v>
      </c>
      <c r="D2026">
        <v>37.840000000000003</v>
      </c>
    </row>
    <row r="2027" spans="1:4" x14ac:dyDescent="0.35">
      <c r="A2027" s="1" t="s">
        <v>116</v>
      </c>
      <c r="B2027" s="1" t="s">
        <v>135</v>
      </c>
      <c r="C2027">
        <v>2000</v>
      </c>
      <c r="D2027">
        <v>63.98</v>
      </c>
    </row>
    <row r="2028" spans="1:4" x14ac:dyDescent="0.35">
      <c r="A2028" s="1" t="s">
        <v>116</v>
      </c>
      <c r="B2028" s="1"/>
      <c r="C2028">
        <v>2001</v>
      </c>
      <c r="D2028">
        <v>72.97</v>
      </c>
    </row>
    <row r="2029" spans="1:4" x14ac:dyDescent="0.35">
      <c r="A2029" s="1" t="s">
        <v>116</v>
      </c>
      <c r="B2029" s="1"/>
      <c r="C2029">
        <v>2002</v>
      </c>
      <c r="D2029">
        <v>76.67</v>
      </c>
    </row>
    <row r="2030" spans="1:4" x14ac:dyDescent="0.35">
      <c r="A2030" s="1" t="s">
        <v>116</v>
      </c>
      <c r="B2030" s="1"/>
      <c r="C2030">
        <v>2003</v>
      </c>
      <c r="D2030">
        <v>83.68</v>
      </c>
    </row>
    <row r="2031" spans="1:4" x14ac:dyDescent="0.35">
      <c r="A2031" s="1" t="s">
        <v>116</v>
      </c>
      <c r="B2031" s="1"/>
      <c r="C2031">
        <v>2004</v>
      </c>
      <c r="D2031">
        <v>71.290000000000006</v>
      </c>
    </row>
    <row r="2032" spans="1:4" x14ac:dyDescent="0.35">
      <c r="A2032" s="1" t="s">
        <v>116</v>
      </c>
      <c r="B2032" s="1"/>
      <c r="C2032">
        <v>2005</v>
      </c>
      <c r="D2032">
        <v>69.819999999999993</v>
      </c>
    </row>
    <row r="2033" spans="1:4" x14ac:dyDescent="0.35">
      <c r="A2033" s="1" t="s">
        <v>116</v>
      </c>
      <c r="B2033" s="1"/>
      <c r="C2033">
        <v>2006</v>
      </c>
      <c r="D2033">
        <v>53.42</v>
      </c>
    </row>
    <row r="2034" spans="1:4" x14ac:dyDescent="0.35">
      <c r="A2034" s="1" t="s">
        <v>116</v>
      </c>
      <c r="B2034" s="1"/>
      <c r="C2034">
        <v>2007</v>
      </c>
      <c r="D2034">
        <v>52.82</v>
      </c>
    </row>
    <row r="2035" spans="1:4" x14ac:dyDescent="0.35">
      <c r="A2035" s="1" t="s">
        <v>116</v>
      </c>
      <c r="B2035" s="1"/>
      <c r="C2035">
        <v>2008</v>
      </c>
      <c r="D2035">
        <v>62.63</v>
      </c>
    </row>
    <row r="2036" spans="1:4" x14ac:dyDescent="0.35">
      <c r="A2036" s="1" t="s">
        <v>116</v>
      </c>
      <c r="B2036" s="1"/>
      <c r="C2036">
        <v>2009</v>
      </c>
      <c r="D2036">
        <v>65.22</v>
      </c>
    </row>
    <row r="2037" spans="1:4" x14ac:dyDescent="0.35">
      <c r="A2037" s="1" t="s">
        <v>116</v>
      </c>
      <c r="B2037" s="1"/>
      <c r="C2037">
        <v>2010</v>
      </c>
      <c r="D2037">
        <v>49.15</v>
      </c>
    </row>
    <row r="2038" spans="1:4" x14ac:dyDescent="0.35">
      <c r="A2038" s="1" t="s">
        <v>116</v>
      </c>
      <c r="B2038" s="1"/>
      <c r="C2038">
        <v>2011</v>
      </c>
      <c r="D2038">
        <v>62.96</v>
      </c>
    </row>
    <row r="2039" spans="1:4" x14ac:dyDescent="0.35">
      <c r="A2039" s="1" t="s">
        <v>116</v>
      </c>
      <c r="B2039" s="1"/>
      <c r="C2039">
        <v>2012</v>
      </c>
      <c r="D2039">
        <v>45.07</v>
      </c>
    </row>
    <row r="2040" spans="1:4" x14ac:dyDescent="0.35">
      <c r="A2040" s="1" t="s">
        <v>116</v>
      </c>
      <c r="B2040" s="1"/>
      <c r="C2040">
        <v>2013</v>
      </c>
      <c r="D2040">
        <v>23.79</v>
      </c>
    </row>
    <row r="2041" spans="1:4" x14ac:dyDescent="0.35">
      <c r="A2041" s="1" t="s">
        <v>116</v>
      </c>
      <c r="B2041" s="1"/>
      <c r="C2041">
        <v>2014</v>
      </c>
      <c r="D2041">
        <v>62.11</v>
      </c>
    </row>
    <row r="2042" spans="1:4" x14ac:dyDescent="0.35">
      <c r="A2042" s="1" t="s">
        <v>116</v>
      </c>
      <c r="B2042" s="1"/>
      <c r="C2042">
        <v>2015</v>
      </c>
      <c r="D2042">
        <v>14.76</v>
      </c>
    </row>
    <row r="2043" spans="1:4" x14ac:dyDescent="0.35">
      <c r="A2043" s="1" t="s">
        <v>116</v>
      </c>
      <c r="B2043" s="1"/>
      <c r="C2043">
        <v>2016</v>
      </c>
      <c r="D2043">
        <v>23.61</v>
      </c>
    </row>
    <row r="2044" spans="1:4" x14ac:dyDescent="0.35">
      <c r="A2044" s="1" t="s">
        <v>116</v>
      </c>
      <c r="B2044" s="1"/>
      <c r="C2044">
        <v>2017</v>
      </c>
      <c r="D2044">
        <v>32.18</v>
      </c>
    </row>
    <row r="2045" spans="1:4" x14ac:dyDescent="0.35">
      <c r="A2045" s="1" t="s">
        <v>116</v>
      </c>
      <c r="B2045" s="1"/>
      <c r="C2045">
        <v>2018</v>
      </c>
      <c r="D2045">
        <v>22.6</v>
      </c>
    </row>
    <row r="2046" spans="1:4" x14ac:dyDescent="0.35">
      <c r="A2046" s="1" t="s">
        <v>116</v>
      </c>
      <c r="B2046" s="1"/>
      <c r="C2046">
        <v>2019</v>
      </c>
      <c r="D2046">
        <v>23.68</v>
      </c>
    </row>
    <row r="2047" spans="1:4" x14ac:dyDescent="0.35">
      <c r="A2047" s="1" t="s">
        <v>116</v>
      </c>
      <c r="B2047" s="1"/>
      <c r="C2047">
        <v>2020</v>
      </c>
      <c r="D2047">
        <v>14.91</v>
      </c>
    </row>
    <row r="2048" spans="1:4" x14ac:dyDescent="0.35">
      <c r="A2048" s="1" t="s">
        <v>116</v>
      </c>
      <c r="B2048" s="1"/>
      <c r="C2048">
        <v>2021</v>
      </c>
      <c r="D2048">
        <v>20.66</v>
      </c>
    </row>
    <row r="2049" spans="1:4" x14ac:dyDescent="0.35">
      <c r="A2049" s="1" t="s">
        <v>116</v>
      </c>
      <c r="B2049" s="1"/>
      <c r="C2049">
        <v>2022</v>
      </c>
      <c r="D2049">
        <v>14.51</v>
      </c>
    </row>
    <row r="2050" spans="1:4" x14ac:dyDescent="0.35">
      <c r="A2050" s="1" t="s">
        <v>116</v>
      </c>
      <c r="B2050" s="1"/>
      <c r="C2050">
        <v>2023</v>
      </c>
      <c r="D2050">
        <v>18.97</v>
      </c>
    </row>
    <row r="2051" spans="1:4" x14ac:dyDescent="0.35">
      <c r="A2051" s="1" t="s">
        <v>116</v>
      </c>
      <c r="B2051" s="1"/>
      <c r="C2051">
        <v>2024</v>
      </c>
      <c r="D2051" t="s">
        <v>136</v>
      </c>
    </row>
    <row r="2052" spans="1:4" x14ac:dyDescent="0.35">
      <c r="A2052" s="1" t="s">
        <v>118</v>
      </c>
      <c r="B2052" s="1" t="s">
        <v>134</v>
      </c>
      <c r="C2052">
        <v>2000</v>
      </c>
      <c r="D2052">
        <v>2.57</v>
      </c>
    </row>
    <row r="2053" spans="1:4" x14ac:dyDescent="0.35">
      <c r="A2053" s="1" t="s">
        <v>118</v>
      </c>
      <c r="B2053" s="1"/>
      <c r="C2053">
        <v>2001</v>
      </c>
      <c r="D2053">
        <v>2.58</v>
      </c>
    </row>
    <row r="2054" spans="1:4" x14ac:dyDescent="0.35">
      <c r="A2054" s="1" t="s">
        <v>118</v>
      </c>
      <c r="B2054" s="1"/>
      <c r="C2054">
        <v>2002</v>
      </c>
      <c r="D2054">
        <v>2.58</v>
      </c>
    </row>
    <row r="2055" spans="1:4" x14ac:dyDescent="0.35">
      <c r="A2055" s="1" t="s">
        <v>118</v>
      </c>
      <c r="B2055" s="1"/>
      <c r="C2055">
        <v>2003</v>
      </c>
      <c r="D2055">
        <v>2.8</v>
      </c>
    </row>
    <row r="2056" spans="1:4" x14ac:dyDescent="0.35">
      <c r="A2056" s="1" t="s">
        <v>118</v>
      </c>
      <c r="B2056" s="1"/>
      <c r="C2056">
        <v>2004</v>
      </c>
      <c r="D2056">
        <v>2.7</v>
      </c>
    </row>
    <row r="2057" spans="1:4" x14ac:dyDescent="0.35">
      <c r="A2057" s="1" t="s">
        <v>118</v>
      </c>
      <c r="B2057" s="1"/>
      <c r="C2057">
        <v>2005</v>
      </c>
      <c r="D2057">
        <v>2.5</v>
      </c>
    </row>
    <row r="2058" spans="1:4" x14ac:dyDescent="0.35">
      <c r="A2058" s="1" t="s">
        <v>118</v>
      </c>
      <c r="B2058" s="1"/>
      <c r="C2058">
        <v>2006</v>
      </c>
      <c r="D2058">
        <v>2.48</v>
      </c>
    </row>
    <row r="2059" spans="1:4" x14ac:dyDescent="0.35">
      <c r="A2059" s="1" t="s">
        <v>118</v>
      </c>
      <c r="B2059" s="1"/>
      <c r="C2059">
        <v>2007</v>
      </c>
      <c r="D2059">
        <v>2.4900000000000002</v>
      </c>
    </row>
    <row r="2060" spans="1:4" x14ac:dyDescent="0.35">
      <c r="A2060" s="1" t="s">
        <v>118</v>
      </c>
      <c r="B2060" s="1"/>
      <c r="C2060">
        <v>2008</v>
      </c>
      <c r="D2060">
        <v>2.2599999999999998</v>
      </c>
    </row>
    <row r="2061" spans="1:4" x14ac:dyDescent="0.35">
      <c r="A2061" s="1" t="s">
        <v>118</v>
      </c>
      <c r="B2061" s="1"/>
      <c r="C2061">
        <v>2009</v>
      </c>
      <c r="D2061">
        <v>3.08</v>
      </c>
    </row>
    <row r="2062" spans="1:4" x14ac:dyDescent="0.35">
      <c r="A2062" s="1" t="s">
        <v>118</v>
      </c>
      <c r="B2062" s="1"/>
      <c r="C2062">
        <v>2010</v>
      </c>
      <c r="D2062">
        <v>3.08</v>
      </c>
    </row>
    <row r="2063" spans="1:4" x14ac:dyDescent="0.35">
      <c r="A2063" s="1" t="s">
        <v>118</v>
      </c>
      <c r="B2063" s="1"/>
      <c r="C2063">
        <v>2011</v>
      </c>
      <c r="D2063">
        <v>2.81</v>
      </c>
    </row>
    <row r="2064" spans="1:4" x14ac:dyDescent="0.35">
      <c r="A2064" s="1" t="s">
        <v>118</v>
      </c>
      <c r="B2064" s="1"/>
      <c r="C2064">
        <v>2012</v>
      </c>
      <c r="D2064">
        <v>5.62</v>
      </c>
    </row>
    <row r="2065" spans="1:4" x14ac:dyDescent="0.35">
      <c r="A2065" s="1" t="s">
        <v>118</v>
      </c>
      <c r="B2065" s="1"/>
      <c r="C2065">
        <v>2013</v>
      </c>
      <c r="D2065">
        <v>5.98</v>
      </c>
    </row>
    <row r="2066" spans="1:4" x14ac:dyDescent="0.35">
      <c r="A2066" s="1" t="s">
        <v>118</v>
      </c>
      <c r="B2066" s="1"/>
      <c r="C2066">
        <v>2014</v>
      </c>
      <c r="D2066">
        <v>6.23</v>
      </c>
    </row>
    <row r="2067" spans="1:4" x14ac:dyDescent="0.35">
      <c r="A2067" s="1" t="s">
        <v>118</v>
      </c>
      <c r="B2067" s="1"/>
      <c r="C2067">
        <v>2015</v>
      </c>
      <c r="D2067">
        <v>6.62</v>
      </c>
    </row>
    <row r="2068" spans="1:4" x14ac:dyDescent="0.35">
      <c r="A2068" s="1" t="s">
        <v>118</v>
      </c>
      <c r="B2068" s="1"/>
      <c r="C2068">
        <v>2016</v>
      </c>
      <c r="D2068">
        <v>6.49</v>
      </c>
    </row>
    <row r="2069" spans="1:4" x14ac:dyDescent="0.35">
      <c r="A2069" s="1" t="s">
        <v>118</v>
      </c>
      <c r="B2069" s="1"/>
      <c r="C2069">
        <v>2017</v>
      </c>
      <c r="D2069">
        <v>6.52</v>
      </c>
    </row>
    <row r="2070" spans="1:4" x14ac:dyDescent="0.35">
      <c r="A2070" s="1" t="s">
        <v>118</v>
      </c>
      <c r="B2070" s="1"/>
      <c r="C2070">
        <v>2018</v>
      </c>
      <c r="D2070">
        <v>7.28</v>
      </c>
    </row>
    <row r="2071" spans="1:4" x14ac:dyDescent="0.35">
      <c r="A2071" s="1" t="s">
        <v>118</v>
      </c>
      <c r="B2071" s="1"/>
      <c r="C2071">
        <v>2019</v>
      </c>
      <c r="D2071">
        <v>7.16</v>
      </c>
    </row>
    <row r="2072" spans="1:4" x14ac:dyDescent="0.35">
      <c r="A2072" s="1" t="s">
        <v>118</v>
      </c>
      <c r="B2072" s="1"/>
      <c r="C2072">
        <v>2020</v>
      </c>
      <c r="D2072">
        <v>6.76</v>
      </c>
    </row>
    <row r="2073" spans="1:4" x14ac:dyDescent="0.35">
      <c r="A2073" s="1" t="s">
        <v>118</v>
      </c>
      <c r="B2073" s="1"/>
      <c r="C2073">
        <v>2021</v>
      </c>
      <c r="D2073">
        <v>6.76</v>
      </c>
    </row>
    <row r="2074" spans="1:4" x14ac:dyDescent="0.35">
      <c r="A2074" s="1" t="s">
        <v>118</v>
      </c>
      <c r="B2074" s="1"/>
      <c r="C2074">
        <v>2022</v>
      </c>
      <c r="D2074">
        <v>7.75</v>
      </c>
    </row>
    <row r="2075" spans="1:4" x14ac:dyDescent="0.35">
      <c r="A2075" s="1" t="s">
        <v>118</v>
      </c>
      <c r="B2075" s="1"/>
      <c r="C2075">
        <v>2023</v>
      </c>
      <c r="D2075">
        <v>11.88</v>
      </c>
    </row>
    <row r="2076" spans="1:4" x14ac:dyDescent="0.35">
      <c r="A2076" s="1" t="s">
        <v>118</v>
      </c>
      <c r="B2076" s="1"/>
      <c r="C2076">
        <v>2024</v>
      </c>
      <c r="D2076">
        <v>15.17</v>
      </c>
    </row>
    <row r="2077" spans="1:4" x14ac:dyDescent="0.35">
      <c r="A2077" s="1" t="s">
        <v>118</v>
      </c>
      <c r="B2077" s="1" t="s">
        <v>135</v>
      </c>
      <c r="C2077">
        <v>2000</v>
      </c>
      <c r="D2077">
        <v>0.88</v>
      </c>
    </row>
    <row r="2078" spans="1:4" x14ac:dyDescent="0.35">
      <c r="A2078" s="1" t="s">
        <v>118</v>
      </c>
      <c r="B2078" s="1"/>
      <c r="C2078">
        <v>2001</v>
      </c>
      <c r="D2078">
        <v>0.74</v>
      </c>
    </row>
    <row r="2079" spans="1:4" x14ac:dyDescent="0.35">
      <c r="A2079" s="1" t="s">
        <v>118</v>
      </c>
      <c r="B2079" s="1"/>
      <c r="C2079">
        <v>2002</v>
      </c>
      <c r="D2079">
        <v>0.85</v>
      </c>
    </row>
    <row r="2080" spans="1:4" x14ac:dyDescent="0.35">
      <c r="A2080" s="1" t="s">
        <v>118</v>
      </c>
      <c r="B2080" s="1"/>
      <c r="C2080">
        <v>2003</v>
      </c>
      <c r="D2080">
        <v>1.7</v>
      </c>
    </row>
    <row r="2081" spans="1:4" x14ac:dyDescent="0.35">
      <c r="A2081" s="1" t="s">
        <v>118</v>
      </c>
      <c r="B2081" s="1"/>
      <c r="C2081">
        <v>2004</v>
      </c>
      <c r="D2081">
        <v>1.6</v>
      </c>
    </row>
    <row r="2082" spans="1:4" x14ac:dyDescent="0.35">
      <c r="A2082" s="1" t="s">
        <v>118</v>
      </c>
      <c r="B2082" s="1"/>
      <c r="C2082">
        <v>2005</v>
      </c>
      <c r="D2082">
        <v>0.46</v>
      </c>
    </row>
    <row r="2083" spans="1:4" x14ac:dyDescent="0.35">
      <c r="A2083" s="1" t="s">
        <v>118</v>
      </c>
      <c r="B2083" s="1"/>
      <c r="C2083">
        <v>2006</v>
      </c>
      <c r="D2083">
        <v>0.93</v>
      </c>
    </row>
    <row r="2084" spans="1:4" x14ac:dyDescent="0.35">
      <c r="A2084" s="1" t="s">
        <v>118</v>
      </c>
      <c r="B2084" s="1"/>
      <c r="C2084">
        <v>2007</v>
      </c>
      <c r="D2084">
        <v>0.64</v>
      </c>
    </row>
    <row r="2085" spans="1:4" x14ac:dyDescent="0.35">
      <c r="A2085" s="1" t="s">
        <v>118</v>
      </c>
      <c r="B2085" s="1"/>
      <c r="C2085">
        <v>2008</v>
      </c>
      <c r="D2085">
        <v>0.53</v>
      </c>
    </row>
    <row r="2086" spans="1:4" x14ac:dyDescent="0.35">
      <c r="A2086" s="1" t="s">
        <v>118</v>
      </c>
      <c r="B2086" s="1"/>
      <c r="C2086">
        <v>2009</v>
      </c>
      <c r="D2086">
        <v>1.1599999999999999</v>
      </c>
    </row>
    <row r="2087" spans="1:4" x14ac:dyDescent="0.35">
      <c r="A2087" s="1" t="s">
        <v>118</v>
      </c>
      <c r="B2087" s="1"/>
      <c r="C2087">
        <v>2010</v>
      </c>
      <c r="D2087">
        <v>1.18</v>
      </c>
    </row>
    <row r="2088" spans="1:4" x14ac:dyDescent="0.35">
      <c r="A2088" s="1" t="s">
        <v>118</v>
      </c>
      <c r="B2088" s="1"/>
      <c r="C2088">
        <v>2011</v>
      </c>
      <c r="D2088">
        <v>1.02</v>
      </c>
    </row>
    <row r="2089" spans="1:4" x14ac:dyDescent="0.35">
      <c r="A2089" s="1" t="s">
        <v>118</v>
      </c>
      <c r="B2089" s="1"/>
      <c r="C2089">
        <v>2012</v>
      </c>
      <c r="D2089">
        <v>1.73</v>
      </c>
    </row>
    <row r="2090" spans="1:4" x14ac:dyDescent="0.35">
      <c r="A2090" s="1" t="s">
        <v>118</v>
      </c>
      <c r="B2090" s="1"/>
      <c r="C2090">
        <v>2013</v>
      </c>
      <c r="D2090">
        <v>2.35</v>
      </c>
    </row>
    <row r="2091" spans="1:4" x14ac:dyDescent="0.35">
      <c r="A2091" s="1" t="s">
        <v>118</v>
      </c>
      <c r="B2091" s="1"/>
      <c r="C2091">
        <v>2014</v>
      </c>
      <c r="D2091">
        <v>3.08</v>
      </c>
    </row>
    <row r="2092" spans="1:4" x14ac:dyDescent="0.35">
      <c r="A2092" s="1" t="s">
        <v>118</v>
      </c>
      <c r="B2092" s="1"/>
      <c r="C2092">
        <v>2015</v>
      </c>
      <c r="D2092">
        <v>2.86</v>
      </c>
    </row>
    <row r="2093" spans="1:4" x14ac:dyDescent="0.35">
      <c r="A2093" s="1" t="s">
        <v>118</v>
      </c>
      <c r="B2093" s="1"/>
      <c r="C2093">
        <v>2016</v>
      </c>
      <c r="D2093">
        <v>2.96</v>
      </c>
    </row>
    <row r="2094" spans="1:4" x14ac:dyDescent="0.35">
      <c r="A2094" s="1" t="s">
        <v>118</v>
      </c>
      <c r="B2094" s="1"/>
      <c r="C2094">
        <v>2017</v>
      </c>
      <c r="D2094">
        <v>2.91</v>
      </c>
    </row>
    <row r="2095" spans="1:4" x14ac:dyDescent="0.35">
      <c r="A2095" s="1" t="s">
        <v>118</v>
      </c>
      <c r="B2095" s="1"/>
      <c r="C2095">
        <v>2018</v>
      </c>
      <c r="D2095">
        <v>3.08</v>
      </c>
    </row>
    <row r="2096" spans="1:4" x14ac:dyDescent="0.35">
      <c r="A2096" s="1" t="s">
        <v>118</v>
      </c>
      <c r="B2096" s="1"/>
      <c r="C2096">
        <v>2019</v>
      </c>
      <c r="D2096">
        <v>3.73</v>
      </c>
    </row>
    <row r="2097" spans="1:4" x14ac:dyDescent="0.35">
      <c r="A2097" s="1" t="s">
        <v>118</v>
      </c>
      <c r="B2097" s="1"/>
      <c r="C2097">
        <v>2020</v>
      </c>
      <c r="D2097">
        <v>4.0599999999999996</v>
      </c>
    </row>
    <row r="2098" spans="1:4" x14ac:dyDescent="0.35">
      <c r="A2098" s="1" t="s">
        <v>118</v>
      </c>
      <c r="B2098" s="1"/>
      <c r="C2098">
        <v>2021</v>
      </c>
      <c r="D2098">
        <v>4.2699999999999996</v>
      </c>
    </row>
    <row r="2099" spans="1:4" x14ac:dyDescent="0.35">
      <c r="A2099" s="1" t="s">
        <v>118</v>
      </c>
      <c r="B2099" s="1"/>
      <c r="C2099">
        <v>2022</v>
      </c>
      <c r="D2099">
        <v>4.0999999999999996</v>
      </c>
    </row>
    <row r="2100" spans="1:4" x14ac:dyDescent="0.35">
      <c r="A2100" s="1" t="s">
        <v>118</v>
      </c>
      <c r="B2100" s="1"/>
      <c r="C2100">
        <v>2023</v>
      </c>
      <c r="D2100">
        <v>6.25</v>
      </c>
    </row>
    <row r="2101" spans="1:4" x14ac:dyDescent="0.35">
      <c r="A2101" s="1" t="s">
        <v>118</v>
      </c>
      <c r="B2101" s="1"/>
      <c r="C2101">
        <v>2024</v>
      </c>
      <c r="D2101" t="s">
        <v>136</v>
      </c>
    </row>
    <row r="2102" spans="1:4" x14ac:dyDescent="0.35">
      <c r="A2102" s="1" t="s">
        <v>122</v>
      </c>
      <c r="B2102" s="1" t="s">
        <v>134</v>
      </c>
      <c r="C2102">
        <v>2000</v>
      </c>
      <c r="D2102">
        <v>98.86</v>
      </c>
    </row>
    <row r="2103" spans="1:4" x14ac:dyDescent="0.35">
      <c r="A2103" s="1" t="s">
        <v>122</v>
      </c>
      <c r="B2103" s="1"/>
      <c r="C2103">
        <v>2001</v>
      </c>
      <c r="D2103">
        <v>98.86</v>
      </c>
    </row>
    <row r="2104" spans="1:4" x14ac:dyDescent="0.35">
      <c r="A2104" s="1" t="s">
        <v>122</v>
      </c>
      <c r="B2104" s="1"/>
      <c r="C2104">
        <v>2002</v>
      </c>
      <c r="D2104">
        <v>99.01</v>
      </c>
    </row>
    <row r="2105" spans="1:4" x14ac:dyDescent="0.35">
      <c r="A2105" s="1" t="s">
        <v>122</v>
      </c>
      <c r="B2105" s="1"/>
      <c r="C2105">
        <v>2003</v>
      </c>
      <c r="D2105">
        <v>99.01</v>
      </c>
    </row>
    <row r="2106" spans="1:4" x14ac:dyDescent="0.35">
      <c r="A2106" s="1" t="s">
        <v>122</v>
      </c>
      <c r="B2106" s="1"/>
      <c r="C2106">
        <v>2004</v>
      </c>
      <c r="D2106">
        <v>99.01</v>
      </c>
    </row>
    <row r="2107" spans="1:4" x14ac:dyDescent="0.35">
      <c r="A2107" s="1" t="s">
        <v>122</v>
      </c>
      <c r="B2107" s="1"/>
      <c r="C2107">
        <v>2005</v>
      </c>
      <c r="D2107">
        <v>86.3</v>
      </c>
    </row>
    <row r="2108" spans="1:4" x14ac:dyDescent="0.35">
      <c r="A2108" s="1" t="s">
        <v>122</v>
      </c>
      <c r="B2108" s="1"/>
      <c r="C2108">
        <v>2006</v>
      </c>
      <c r="D2108">
        <v>75.900000000000006</v>
      </c>
    </row>
    <row r="2109" spans="1:4" x14ac:dyDescent="0.35">
      <c r="A2109" s="1" t="s">
        <v>122</v>
      </c>
      <c r="B2109" s="1"/>
      <c r="C2109">
        <v>2007</v>
      </c>
      <c r="D2109">
        <v>75.900000000000006</v>
      </c>
    </row>
    <row r="2110" spans="1:4" x14ac:dyDescent="0.35">
      <c r="A2110" s="1" t="s">
        <v>122</v>
      </c>
      <c r="B2110" s="1"/>
      <c r="C2110">
        <v>2008</v>
      </c>
      <c r="D2110">
        <v>67.27</v>
      </c>
    </row>
    <row r="2111" spans="1:4" x14ac:dyDescent="0.35">
      <c r="A2111" s="1" t="s">
        <v>122</v>
      </c>
      <c r="B2111" s="1"/>
      <c r="C2111">
        <v>2009</v>
      </c>
      <c r="D2111">
        <v>73.87</v>
      </c>
    </row>
    <row r="2112" spans="1:4" x14ac:dyDescent="0.35">
      <c r="A2112" s="1" t="s">
        <v>122</v>
      </c>
      <c r="B2112" s="1"/>
      <c r="C2112">
        <v>2010</v>
      </c>
      <c r="D2112">
        <v>72.510000000000005</v>
      </c>
    </row>
    <row r="2113" spans="1:4" x14ac:dyDescent="0.35">
      <c r="A2113" s="1" t="s">
        <v>122</v>
      </c>
      <c r="B2113" s="1"/>
      <c r="C2113">
        <v>2011</v>
      </c>
      <c r="D2113">
        <v>72.540000000000006</v>
      </c>
    </row>
    <row r="2114" spans="1:4" x14ac:dyDescent="0.35">
      <c r="A2114" s="1" t="s">
        <v>122</v>
      </c>
      <c r="B2114" s="1"/>
      <c r="C2114">
        <v>2012</v>
      </c>
      <c r="D2114">
        <v>83.32</v>
      </c>
    </row>
    <row r="2115" spans="1:4" x14ac:dyDescent="0.35">
      <c r="A2115" s="1" t="s">
        <v>122</v>
      </c>
      <c r="B2115" s="1"/>
      <c r="C2115">
        <v>2013</v>
      </c>
      <c r="D2115">
        <v>87.95</v>
      </c>
    </row>
    <row r="2116" spans="1:4" x14ac:dyDescent="0.35">
      <c r="A2116" s="1" t="s">
        <v>122</v>
      </c>
      <c r="B2116" s="1"/>
      <c r="C2116">
        <v>2014</v>
      </c>
      <c r="D2116">
        <v>84.62</v>
      </c>
    </row>
    <row r="2117" spans="1:4" x14ac:dyDescent="0.35">
      <c r="A2117" s="1" t="s">
        <v>122</v>
      </c>
      <c r="B2117" s="1"/>
      <c r="C2117">
        <v>2015</v>
      </c>
      <c r="D2117">
        <v>84.9</v>
      </c>
    </row>
    <row r="2118" spans="1:4" x14ac:dyDescent="0.35">
      <c r="A2118" s="1" t="s">
        <v>122</v>
      </c>
      <c r="B2118" s="1"/>
      <c r="C2118">
        <v>2016</v>
      </c>
      <c r="D2118">
        <v>84.94</v>
      </c>
    </row>
    <row r="2119" spans="1:4" x14ac:dyDescent="0.35">
      <c r="A2119" s="1" t="s">
        <v>122</v>
      </c>
      <c r="B2119" s="1"/>
      <c r="C2119">
        <v>2017</v>
      </c>
      <c r="D2119">
        <v>85.54</v>
      </c>
    </row>
    <row r="2120" spans="1:4" x14ac:dyDescent="0.35">
      <c r="A2120" s="1" t="s">
        <v>122</v>
      </c>
      <c r="B2120" s="1"/>
      <c r="C2120">
        <v>2018</v>
      </c>
      <c r="D2120">
        <v>89.71</v>
      </c>
    </row>
    <row r="2121" spans="1:4" x14ac:dyDescent="0.35">
      <c r="A2121" s="1" t="s">
        <v>122</v>
      </c>
      <c r="B2121" s="1"/>
      <c r="C2121">
        <v>2019</v>
      </c>
      <c r="D2121">
        <v>91.92</v>
      </c>
    </row>
    <row r="2122" spans="1:4" x14ac:dyDescent="0.35">
      <c r="A2122" s="1" t="s">
        <v>122</v>
      </c>
      <c r="B2122" s="1"/>
      <c r="C2122">
        <v>2020</v>
      </c>
      <c r="D2122">
        <v>92.14</v>
      </c>
    </row>
    <row r="2123" spans="1:4" x14ac:dyDescent="0.35">
      <c r="A2123" s="1" t="s">
        <v>122</v>
      </c>
      <c r="B2123" s="1"/>
      <c r="C2123">
        <v>2021</v>
      </c>
      <c r="D2123">
        <v>92.15</v>
      </c>
    </row>
    <row r="2124" spans="1:4" x14ac:dyDescent="0.35">
      <c r="A2124" s="1" t="s">
        <v>122</v>
      </c>
      <c r="B2124" s="1"/>
      <c r="C2124">
        <v>2022</v>
      </c>
      <c r="D2124">
        <v>92.31</v>
      </c>
    </row>
    <row r="2125" spans="1:4" x14ac:dyDescent="0.35">
      <c r="A2125" s="1" t="s">
        <v>122</v>
      </c>
      <c r="B2125" s="1"/>
      <c r="C2125">
        <v>2023</v>
      </c>
      <c r="D2125">
        <v>94.11</v>
      </c>
    </row>
    <row r="2126" spans="1:4" x14ac:dyDescent="0.35">
      <c r="A2126" s="1" t="s">
        <v>122</v>
      </c>
      <c r="B2126" s="1"/>
      <c r="C2126">
        <v>2024</v>
      </c>
      <c r="D2126">
        <v>94.63</v>
      </c>
    </row>
    <row r="2127" spans="1:4" x14ac:dyDescent="0.35">
      <c r="A2127" s="1" t="s">
        <v>122</v>
      </c>
      <c r="B2127" s="1" t="s">
        <v>135</v>
      </c>
      <c r="C2127">
        <v>2000</v>
      </c>
      <c r="D2127">
        <v>99.93</v>
      </c>
    </row>
    <row r="2128" spans="1:4" x14ac:dyDescent="0.35">
      <c r="A2128" s="1" t="s">
        <v>122</v>
      </c>
      <c r="B2128" s="1"/>
      <c r="C2128">
        <v>2001</v>
      </c>
      <c r="D2128">
        <v>99.93</v>
      </c>
    </row>
    <row r="2129" spans="1:4" x14ac:dyDescent="0.35">
      <c r="A2129" s="1" t="s">
        <v>122</v>
      </c>
      <c r="B2129" s="1"/>
      <c r="C2129">
        <v>2002</v>
      </c>
      <c r="D2129">
        <v>99.93</v>
      </c>
    </row>
    <row r="2130" spans="1:4" x14ac:dyDescent="0.35">
      <c r="A2130" s="1" t="s">
        <v>122</v>
      </c>
      <c r="B2130" s="1"/>
      <c r="C2130">
        <v>2003</v>
      </c>
      <c r="D2130">
        <v>99.93</v>
      </c>
    </row>
    <row r="2131" spans="1:4" x14ac:dyDescent="0.35">
      <c r="A2131" s="1" t="s">
        <v>122</v>
      </c>
      <c r="B2131" s="1"/>
      <c r="C2131">
        <v>2004</v>
      </c>
      <c r="D2131">
        <v>99.94</v>
      </c>
    </row>
    <row r="2132" spans="1:4" x14ac:dyDescent="0.35">
      <c r="A2132" s="1" t="s">
        <v>122</v>
      </c>
      <c r="B2132" s="1"/>
      <c r="C2132">
        <v>2005</v>
      </c>
      <c r="D2132">
        <v>89.69</v>
      </c>
    </row>
    <row r="2133" spans="1:4" x14ac:dyDescent="0.35">
      <c r="A2133" s="1" t="s">
        <v>122</v>
      </c>
      <c r="B2133" s="1"/>
      <c r="C2133">
        <v>2006</v>
      </c>
      <c r="D2133">
        <v>76.62</v>
      </c>
    </row>
    <row r="2134" spans="1:4" x14ac:dyDescent="0.35">
      <c r="A2134" s="1" t="s">
        <v>122</v>
      </c>
      <c r="B2134" s="1"/>
      <c r="C2134">
        <v>2007</v>
      </c>
      <c r="D2134">
        <v>70.87</v>
      </c>
    </row>
    <row r="2135" spans="1:4" x14ac:dyDescent="0.35">
      <c r="A2135" s="1" t="s">
        <v>122</v>
      </c>
      <c r="B2135" s="1"/>
      <c r="C2135">
        <v>2008</v>
      </c>
      <c r="D2135">
        <v>70.11</v>
      </c>
    </row>
    <row r="2136" spans="1:4" x14ac:dyDescent="0.35">
      <c r="A2136" s="1" t="s">
        <v>122</v>
      </c>
      <c r="B2136" s="1"/>
      <c r="C2136">
        <v>2009</v>
      </c>
      <c r="D2136">
        <v>59.31</v>
      </c>
    </row>
    <row r="2137" spans="1:4" x14ac:dyDescent="0.35">
      <c r="A2137" s="1" t="s">
        <v>122</v>
      </c>
      <c r="B2137" s="1"/>
      <c r="C2137">
        <v>2010</v>
      </c>
      <c r="D2137">
        <v>58.01</v>
      </c>
    </row>
    <row r="2138" spans="1:4" x14ac:dyDescent="0.35">
      <c r="A2138" s="1" t="s">
        <v>122</v>
      </c>
      <c r="B2138" s="1"/>
      <c r="C2138">
        <v>2011</v>
      </c>
      <c r="D2138">
        <v>63.15</v>
      </c>
    </row>
    <row r="2139" spans="1:4" x14ac:dyDescent="0.35">
      <c r="A2139" s="1" t="s">
        <v>122</v>
      </c>
      <c r="B2139" s="1"/>
      <c r="C2139">
        <v>2012</v>
      </c>
      <c r="D2139">
        <v>90.49</v>
      </c>
    </row>
    <row r="2140" spans="1:4" x14ac:dyDescent="0.35">
      <c r="A2140" s="1" t="s">
        <v>122</v>
      </c>
      <c r="B2140" s="1"/>
      <c r="C2140">
        <v>2013</v>
      </c>
      <c r="D2140">
        <v>99.95</v>
      </c>
    </row>
    <row r="2141" spans="1:4" x14ac:dyDescent="0.35">
      <c r="A2141" s="1" t="s">
        <v>122</v>
      </c>
      <c r="B2141" s="1"/>
      <c r="C2141">
        <v>2014</v>
      </c>
      <c r="D2141">
        <v>97.38</v>
      </c>
    </row>
    <row r="2142" spans="1:4" x14ac:dyDescent="0.35">
      <c r="A2142" s="1" t="s">
        <v>122</v>
      </c>
      <c r="B2142" s="1"/>
      <c r="C2142">
        <v>2015</v>
      </c>
      <c r="D2142">
        <v>97.43</v>
      </c>
    </row>
    <row r="2143" spans="1:4" x14ac:dyDescent="0.35">
      <c r="A2143" s="1" t="s">
        <v>122</v>
      </c>
      <c r="B2143" s="1"/>
      <c r="C2143">
        <v>2016</v>
      </c>
      <c r="D2143">
        <v>98.15</v>
      </c>
    </row>
    <row r="2144" spans="1:4" x14ac:dyDescent="0.35">
      <c r="A2144" s="1" t="s">
        <v>122</v>
      </c>
      <c r="B2144" s="1"/>
      <c r="C2144">
        <v>2017</v>
      </c>
      <c r="D2144">
        <v>93.8</v>
      </c>
    </row>
    <row r="2145" spans="1:4" x14ac:dyDescent="0.35">
      <c r="A2145" s="1" t="s">
        <v>122</v>
      </c>
      <c r="B2145" s="1"/>
      <c r="C2145">
        <v>2018</v>
      </c>
      <c r="D2145">
        <v>94.37</v>
      </c>
    </row>
    <row r="2146" spans="1:4" x14ac:dyDescent="0.35">
      <c r="A2146" s="1" t="s">
        <v>122</v>
      </c>
      <c r="B2146" s="1"/>
      <c r="C2146">
        <v>2019</v>
      </c>
      <c r="D2146">
        <v>97.64</v>
      </c>
    </row>
    <row r="2147" spans="1:4" x14ac:dyDescent="0.35">
      <c r="A2147" s="1" t="s">
        <v>122</v>
      </c>
      <c r="B2147" s="1"/>
      <c r="C2147">
        <v>2020</v>
      </c>
      <c r="D2147">
        <v>98.69</v>
      </c>
    </row>
    <row r="2148" spans="1:4" x14ac:dyDescent="0.35">
      <c r="A2148" s="1" t="s">
        <v>122</v>
      </c>
      <c r="B2148" s="1"/>
      <c r="C2148">
        <v>2021</v>
      </c>
      <c r="D2148">
        <v>97.85</v>
      </c>
    </row>
    <row r="2149" spans="1:4" x14ac:dyDescent="0.35">
      <c r="A2149" s="1" t="s">
        <v>122</v>
      </c>
      <c r="B2149" s="1"/>
      <c r="C2149">
        <v>2022</v>
      </c>
      <c r="D2149">
        <v>99.72</v>
      </c>
    </row>
    <row r="2150" spans="1:4" x14ac:dyDescent="0.35">
      <c r="A2150" s="1" t="s">
        <v>122</v>
      </c>
      <c r="B2150" s="1"/>
      <c r="C2150">
        <v>2023</v>
      </c>
      <c r="D2150">
        <v>99.72</v>
      </c>
    </row>
    <row r="2151" spans="1:4" x14ac:dyDescent="0.35">
      <c r="A2151" s="1" t="s">
        <v>122</v>
      </c>
      <c r="B2151" s="1"/>
      <c r="C2151">
        <v>2024</v>
      </c>
      <c r="D2151" t="s">
        <v>136</v>
      </c>
    </row>
    <row r="2152" spans="1:4" x14ac:dyDescent="0.35">
      <c r="A2152" s="1" t="s">
        <v>126</v>
      </c>
      <c r="B2152" s="1" t="s">
        <v>134</v>
      </c>
      <c r="C2152">
        <v>2000</v>
      </c>
      <c r="D2152">
        <v>95.43</v>
      </c>
    </row>
    <row r="2153" spans="1:4" x14ac:dyDescent="0.35">
      <c r="A2153" s="1" t="s">
        <v>126</v>
      </c>
      <c r="B2153" s="1"/>
      <c r="C2153">
        <v>2001</v>
      </c>
      <c r="D2153">
        <v>95.43</v>
      </c>
    </row>
    <row r="2154" spans="1:4" x14ac:dyDescent="0.35">
      <c r="A2154" s="1" t="s">
        <v>126</v>
      </c>
      <c r="B2154" s="1"/>
      <c r="C2154">
        <v>2002</v>
      </c>
      <c r="D2154">
        <v>95.43</v>
      </c>
    </row>
    <row r="2155" spans="1:4" x14ac:dyDescent="0.35">
      <c r="A2155" s="1" t="s">
        <v>126</v>
      </c>
      <c r="B2155" s="1"/>
      <c r="C2155">
        <v>2003</v>
      </c>
      <c r="D2155">
        <v>95.28</v>
      </c>
    </row>
    <row r="2156" spans="1:4" x14ac:dyDescent="0.35">
      <c r="A2156" s="1" t="s">
        <v>126</v>
      </c>
      <c r="B2156" s="1"/>
      <c r="C2156">
        <v>2004</v>
      </c>
      <c r="D2156">
        <v>95.28</v>
      </c>
    </row>
    <row r="2157" spans="1:4" x14ac:dyDescent="0.35">
      <c r="A2157" s="1" t="s">
        <v>126</v>
      </c>
      <c r="B2157" s="1"/>
      <c r="C2157">
        <v>2005</v>
      </c>
      <c r="D2157">
        <v>95.28</v>
      </c>
    </row>
    <row r="2158" spans="1:4" x14ac:dyDescent="0.35">
      <c r="A2158" s="1" t="s">
        <v>126</v>
      </c>
      <c r="B2158" s="1"/>
      <c r="C2158">
        <v>2006</v>
      </c>
      <c r="D2158">
        <v>95.28</v>
      </c>
    </row>
    <row r="2159" spans="1:4" x14ac:dyDescent="0.35">
      <c r="A2159" s="1" t="s">
        <v>126</v>
      </c>
      <c r="B2159" s="1"/>
      <c r="C2159">
        <v>2007</v>
      </c>
      <c r="D2159">
        <v>95.09</v>
      </c>
    </row>
    <row r="2160" spans="1:4" x14ac:dyDescent="0.35">
      <c r="A2160" s="1" t="s">
        <v>126</v>
      </c>
      <c r="B2160" s="1"/>
      <c r="C2160">
        <v>2008</v>
      </c>
      <c r="D2160">
        <v>95.19</v>
      </c>
    </row>
    <row r="2161" spans="1:4" x14ac:dyDescent="0.35">
      <c r="A2161" s="1" t="s">
        <v>126</v>
      </c>
      <c r="B2161" s="1"/>
      <c r="C2161">
        <v>2009</v>
      </c>
      <c r="D2161">
        <v>95.21</v>
      </c>
    </row>
    <row r="2162" spans="1:4" x14ac:dyDescent="0.35">
      <c r="A2162" s="1" t="s">
        <v>126</v>
      </c>
      <c r="B2162" s="1"/>
      <c r="C2162">
        <v>2010</v>
      </c>
      <c r="D2162">
        <v>95.72</v>
      </c>
    </row>
    <row r="2163" spans="1:4" x14ac:dyDescent="0.35">
      <c r="A2163" s="1" t="s">
        <v>126</v>
      </c>
      <c r="B2163" s="1"/>
      <c r="C2163">
        <v>2011</v>
      </c>
      <c r="D2163">
        <v>95.72</v>
      </c>
    </row>
    <row r="2164" spans="1:4" x14ac:dyDescent="0.35">
      <c r="A2164" s="1" t="s">
        <v>126</v>
      </c>
      <c r="B2164" s="1"/>
      <c r="C2164">
        <v>2012</v>
      </c>
      <c r="D2164">
        <v>95.73</v>
      </c>
    </row>
    <row r="2165" spans="1:4" x14ac:dyDescent="0.35">
      <c r="A2165" s="1" t="s">
        <v>126</v>
      </c>
      <c r="B2165" s="1"/>
      <c r="C2165">
        <v>2013</v>
      </c>
      <c r="D2165">
        <v>97.03</v>
      </c>
    </row>
    <row r="2166" spans="1:4" x14ac:dyDescent="0.35">
      <c r="A2166" s="1" t="s">
        <v>126</v>
      </c>
      <c r="B2166" s="1"/>
      <c r="C2166">
        <v>2014</v>
      </c>
      <c r="D2166">
        <v>94.24</v>
      </c>
    </row>
    <row r="2167" spans="1:4" x14ac:dyDescent="0.35">
      <c r="A2167" s="1" t="s">
        <v>126</v>
      </c>
      <c r="B2167" s="1"/>
      <c r="C2167">
        <v>2015</v>
      </c>
      <c r="D2167">
        <v>93.08</v>
      </c>
    </row>
    <row r="2168" spans="1:4" x14ac:dyDescent="0.35">
      <c r="A2168" s="1" t="s">
        <v>126</v>
      </c>
      <c r="B2168" s="1"/>
      <c r="C2168">
        <v>2016</v>
      </c>
      <c r="D2168">
        <v>83.85</v>
      </c>
    </row>
    <row r="2169" spans="1:4" x14ac:dyDescent="0.35">
      <c r="A2169" s="1" t="s">
        <v>126</v>
      </c>
      <c r="B2169" s="1"/>
      <c r="C2169">
        <v>2017</v>
      </c>
      <c r="D2169">
        <v>82.21</v>
      </c>
    </row>
    <row r="2170" spans="1:4" x14ac:dyDescent="0.35">
      <c r="A2170" s="1" t="s">
        <v>126</v>
      </c>
      <c r="B2170" s="1"/>
      <c r="C2170">
        <v>2018</v>
      </c>
      <c r="D2170">
        <v>82.37</v>
      </c>
    </row>
    <row r="2171" spans="1:4" x14ac:dyDescent="0.35">
      <c r="A2171" s="1" t="s">
        <v>126</v>
      </c>
      <c r="B2171" s="1"/>
      <c r="C2171">
        <v>2019</v>
      </c>
      <c r="D2171">
        <v>82.89</v>
      </c>
    </row>
    <row r="2172" spans="1:4" x14ac:dyDescent="0.35">
      <c r="A2172" s="1" t="s">
        <v>126</v>
      </c>
      <c r="B2172" s="1"/>
      <c r="C2172">
        <v>2020</v>
      </c>
      <c r="D2172">
        <v>82.9</v>
      </c>
    </row>
    <row r="2173" spans="1:4" x14ac:dyDescent="0.35">
      <c r="A2173" s="1" t="s">
        <v>126</v>
      </c>
      <c r="B2173" s="1"/>
      <c r="C2173">
        <v>2021</v>
      </c>
      <c r="D2173">
        <v>84.43</v>
      </c>
    </row>
    <row r="2174" spans="1:4" x14ac:dyDescent="0.35">
      <c r="A2174" s="1" t="s">
        <v>126</v>
      </c>
      <c r="B2174" s="1"/>
      <c r="C2174">
        <v>2022</v>
      </c>
      <c r="D2174">
        <v>86.3</v>
      </c>
    </row>
    <row r="2175" spans="1:4" x14ac:dyDescent="0.35">
      <c r="A2175" s="1" t="s">
        <v>126</v>
      </c>
      <c r="B2175" s="1"/>
      <c r="C2175">
        <v>2023</v>
      </c>
      <c r="D2175">
        <v>86.43</v>
      </c>
    </row>
    <row r="2176" spans="1:4" x14ac:dyDescent="0.35">
      <c r="A2176" s="1" t="s">
        <v>126</v>
      </c>
      <c r="B2176" s="1"/>
      <c r="C2176">
        <v>2024</v>
      </c>
      <c r="D2176">
        <v>86.64</v>
      </c>
    </row>
    <row r="2177" spans="1:4" x14ac:dyDescent="0.35">
      <c r="A2177" s="1" t="s">
        <v>126</v>
      </c>
      <c r="B2177" s="1" t="s">
        <v>135</v>
      </c>
      <c r="C2177">
        <v>2000</v>
      </c>
      <c r="D2177">
        <v>99.82</v>
      </c>
    </row>
    <row r="2178" spans="1:4" x14ac:dyDescent="0.35">
      <c r="A2178" s="1" t="s">
        <v>126</v>
      </c>
      <c r="B2178" s="1"/>
      <c r="C2178">
        <v>2001</v>
      </c>
      <c r="D2178">
        <v>99.85</v>
      </c>
    </row>
    <row r="2179" spans="1:4" x14ac:dyDescent="0.35">
      <c r="A2179" s="1" t="s">
        <v>126</v>
      </c>
      <c r="B2179" s="1"/>
      <c r="C2179">
        <v>2002</v>
      </c>
      <c r="D2179">
        <v>99.83</v>
      </c>
    </row>
    <row r="2180" spans="1:4" x14ac:dyDescent="0.35">
      <c r="A2180" s="1" t="s">
        <v>126</v>
      </c>
      <c r="B2180" s="1"/>
      <c r="C2180">
        <v>2003</v>
      </c>
      <c r="D2180">
        <v>99.83</v>
      </c>
    </row>
    <row r="2181" spans="1:4" x14ac:dyDescent="0.35">
      <c r="A2181" s="1" t="s">
        <v>126</v>
      </c>
      <c r="B2181" s="1"/>
      <c r="C2181">
        <v>2004</v>
      </c>
      <c r="D2181">
        <v>99.83</v>
      </c>
    </row>
    <row r="2182" spans="1:4" x14ac:dyDescent="0.35">
      <c r="A2182" s="1" t="s">
        <v>126</v>
      </c>
      <c r="B2182" s="1"/>
      <c r="C2182">
        <v>2005</v>
      </c>
      <c r="D2182">
        <v>99.84</v>
      </c>
    </row>
    <row r="2183" spans="1:4" x14ac:dyDescent="0.35">
      <c r="A2183" s="1" t="s">
        <v>126</v>
      </c>
      <c r="B2183" s="1"/>
      <c r="C2183">
        <v>2006</v>
      </c>
      <c r="D2183">
        <v>99.85</v>
      </c>
    </row>
    <row r="2184" spans="1:4" x14ac:dyDescent="0.35">
      <c r="A2184" s="1" t="s">
        <v>126</v>
      </c>
      <c r="B2184" s="1"/>
      <c r="C2184">
        <v>2007</v>
      </c>
      <c r="D2184">
        <v>99.87</v>
      </c>
    </row>
    <row r="2185" spans="1:4" x14ac:dyDescent="0.35">
      <c r="A2185" s="1" t="s">
        <v>126</v>
      </c>
      <c r="B2185" s="1"/>
      <c r="C2185">
        <v>2008</v>
      </c>
      <c r="D2185">
        <v>99.87</v>
      </c>
    </row>
    <row r="2186" spans="1:4" x14ac:dyDescent="0.35">
      <c r="A2186" s="1" t="s">
        <v>126</v>
      </c>
      <c r="B2186" s="1"/>
      <c r="C2186">
        <v>2009</v>
      </c>
      <c r="D2186">
        <v>99.87</v>
      </c>
    </row>
    <row r="2187" spans="1:4" x14ac:dyDescent="0.35">
      <c r="A2187" s="1" t="s">
        <v>126</v>
      </c>
      <c r="B2187" s="1"/>
      <c r="C2187">
        <v>2010</v>
      </c>
      <c r="D2187">
        <v>99.87</v>
      </c>
    </row>
    <row r="2188" spans="1:4" x14ac:dyDescent="0.35">
      <c r="A2188" s="1" t="s">
        <v>126</v>
      </c>
      <c r="B2188" s="1"/>
      <c r="C2188">
        <v>2011</v>
      </c>
      <c r="D2188">
        <v>99.87</v>
      </c>
    </row>
    <row r="2189" spans="1:4" x14ac:dyDescent="0.35">
      <c r="A2189" s="1" t="s">
        <v>126</v>
      </c>
      <c r="B2189" s="1"/>
      <c r="C2189">
        <v>2012</v>
      </c>
      <c r="D2189">
        <v>99.85</v>
      </c>
    </row>
    <row r="2190" spans="1:4" x14ac:dyDescent="0.35">
      <c r="A2190" s="1" t="s">
        <v>126</v>
      </c>
      <c r="B2190" s="1"/>
      <c r="C2190">
        <v>2013</v>
      </c>
      <c r="D2190">
        <v>99.85</v>
      </c>
    </row>
    <row r="2191" spans="1:4" x14ac:dyDescent="0.35">
      <c r="A2191" s="1" t="s">
        <v>126</v>
      </c>
      <c r="B2191" s="1"/>
      <c r="C2191">
        <v>2014</v>
      </c>
      <c r="D2191">
        <v>97.17</v>
      </c>
    </row>
    <row r="2192" spans="1:4" x14ac:dyDescent="0.35">
      <c r="A2192" s="1" t="s">
        <v>126</v>
      </c>
      <c r="B2192" s="1"/>
      <c r="C2192">
        <v>2015</v>
      </c>
      <c r="D2192">
        <v>97.01</v>
      </c>
    </row>
    <row r="2193" spans="1:4" x14ac:dyDescent="0.35">
      <c r="A2193" s="1" t="s">
        <v>126</v>
      </c>
      <c r="B2193" s="1"/>
      <c r="C2193">
        <v>2016</v>
      </c>
      <c r="D2193">
        <v>94.33</v>
      </c>
    </row>
    <row r="2194" spans="1:4" x14ac:dyDescent="0.35">
      <c r="A2194" s="1" t="s">
        <v>126</v>
      </c>
      <c r="B2194" s="1"/>
      <c r="C2194">
        <v>2017</v>
      </c>
      <c r="D2194">
        <v>86.37</v>
      </c>
    </row>
    <row r="2195" spans="1:4" x14ac:dyDescent="0.35">
      <c r="A2195" s="1" t="s">
        <v>126</v>
      </c>
      <c r="B2195" s="1"/>
      <c r="C2195">
        <v>2018</v>
      </c>
      <c r="D2195">
        <v>84.71</v>
      </c>
    </row>
    <row r="2196" spans="1:4" x14ac:dyDescent="0.35">
      <c r="A2196" s="1" t="s">
        <v>126</v>
      </c>
      <c r="B2196" s="1"/>
      <c r="C2196">
        <v>2019</v>
      </c>
      <c r="D2196">
        <v>82.93</v>
      </c>
    </row>
    <row r="2197" spans="1:4" x14ac:dyDescent="0.35">
      <c r="A2197" s="1" t="s">
        <v>126</v>
      </c>
      <c r="B2197" s="1"/>
      <c r="C2197">
        <v>2020</v>
      </c>
      <c r="D2197">
        <v>85.55</v>
      </c>
    </row>
    <row r="2198" spans="1:4" x14ac:dyDescent="0.35">
      <c r="A2198" s="1" t="s">
        <v>126</v>
      </c>
      <c r="B2198" s="1"/>
      <c r="C2198">
        <v>2021</v>
      </c>
      <c r="D2198">
        <v>92.05</v>
      </c>
    </row>
    <row r="2199" spans="1:4" x14ac:dyDescent="0.35">
      <c r="A2199" s="1" t="s">
        <v>126</v>
      </c>
      <c r="B2199" s="1"/>
      <c r="C2199">
        <v>2022</v>
      </c>
      <c r="D2199">
        <v>88.91</v>
      </c>
    </row>
    <row r="2200" spans="1:4" x14ac:dyDescent="0.35">
      <c r="A2200" s="1" t="s">
        <v>126</v>
      </c>
      <c r="B2200" s="1"/>
      <c r="C2200">
        <v>2023</v>
      </c>
      <c r="D2200">
        <v>89.06</v>
      </c>
    </row>
    <row r="2201" spans="1:4" x14ac:dyDescent="0.35">
      <c r="A2201" s="1" t="s">
        <v>126</v>
      </c>
      <c r="B2201" s="1"/>
      <c r="C2201">
        <v>2024</v>
      </c>
      <c r="D2201" t="s">
        <v>136</v>
      </c>
    </row>
    <row r="2202" spans="1:4" x14ac:dyDescent="0.35">
      <c r="A2202" s="1" t="s">
        <v>128</v>
      </c>
      <c r="B2202" s="1" t="s">
        <v>134</v>
      </c>
      <c r="C2202">
        <v>2000</v>
      </c>
      <c r="D2202">
        <v>37.979999999999997</v>
      </c>
    </row>
    <row r="2203" spans="1:4" x14ac:dyDescent="0.35">
      <c r="A2203" s="1" t="s">
        <v>128</v>
      </c>
      <c r="B2203" s="1"/>
      <c r="C2203">
        <v>2001</v>
      </c>
      <c r="D2203">
        <v>37.979999999999997</v>
      </c>
    </row>
    <row r="2204" spans="1:4" x14ac:dyDescent="0.35">
      <c r="A2204" s="1" t="s">
        <v>128</v>
      </c>
      <c r="B2204" s="1"/>
      <c r="C2204">
        <v>2002</v>
      </c>
      <c r="D2204">
        <v>38.619999999999997</v>
      </c>
    </row>
    <row r="2205" spans="1:4" x14ac:dyDescent="0.35">
      <c r="A2205" s="1" t="s">
        <v>128</v>
      </c>
      <c r="B2205" s="1"/>
      <c r="C2205">
        <v>2003</v>
      </c>
      <c r="D2205">
        <v>38.619999999999997</v>
      </c>
    </row>
    <row r="2206" spans="1:4" x14ac:dyDescent="0.35">
      <c r="A2206" s="1" t="s">
        <v>128</v>
      </c>
      <c r="B2206" s="1"/>
      <c r="C2206">
        <v>2004</v>
      </c>
      <c r="D2206">
        <v>38.619999999999997</v>
      </c>
    </row>
    <row r="2207" spans="1:4" x14ac:dyDescent="0.35">
      <c r="A2207" s="1" t="s">
        <v>128</v>
      </c>
      <c r="B2207" s="1"/>
      <c r="C2207">
        <v>2005</v>
      </c>
      <c r="D2207">
        <v>38.619999999999997</v>
      </c>
    </row>
    <row r="2208" spans="1:4" x14ac:dyDescent="0.35">
      <c r="A2208" s="1" t="s">
        <v>128</v>
      </c>
      <c r="B2208" s="1"/>
      <c r="C2208">
        <v>2006</v>
      </c>
      <c r="D2208">
        <v>38.619999999999997</v>
      </c>
    </row>
    <row r="2209" spans="1:4" x14ac:dyDescent="0.35">
      <c r="A2209" s="1" t="s">
        <v>128</v>
      </c>
      <c r="B2209" s="1"/>
      <c r="C2209">
        <v>2007</v>
      </c>
      <c r="D2209">
        <v>38.619999999999997</v>
      </c>
    </row>
    <row r="2210" spans="1:4" x14ac:dyDescent="0.35">
      <c r="A2210" s="1" t="s">
        <v>128</v>
      </c>
      <c r="B2210" s="1"/>
      <c r="C2210">
        <v>2008</v>
      </c>
      <c r="D2210">
        <v>41.17</v>
      </c>
    </row>
    <row r="2211" spans="1:4" x14ac:dyDescent="0.35">
      <c r="A2211" s="1" t="s">
        <v>128</v>
      </c>
      <c r="B2211" s="1"/>
      <c r="C2211">
        <v>2009</v>
      </c>
      <c r="D2211">
        <v>41.18</v>
      </c>
    </row>
    <row r="2212" spans="1:4" x14ac:dyDescent="0.35">
      <c r="A2212" s="1" t="s">
        <v>128</v>
      </c>
      <c r="B2212" s="1"/>
      <c r="C2212">
        <v>2010</v>
      </c>
      <c r="D2212">
        <v>41.21</v>
      </c>
    </row>
    <row r="2213" spans="1:4" x14ac:dyDescent="0.35">
      <c r="A2213" s="1" t="s">
        <v>128</v>
      </c>
      <c r="B2213" s="1"/>
      <c r="C2213">
        <v>2011</v>
      </c>
      <c r="D2213">
        <v>41.53</v>
      </c>
    </row>
    <row r="2214" spans="1:4" x14ac:dyDescent="0.35">
      <c r="A2214" s="1" t="s">
        <v>128</v>
      </c>
      <c r="B2214" s="1"/>
      <c r="C2214">
        <v>2012</v>
      </c>
      <c r="D2214">
        <v>41.56</v>
      </c>
    </row>
    <row r="2215" spans="1:4" x14ac:dyDescent="0.35">
      <c r="A2215" s="1" t="s">
        <v>128</v>
      </c>
      <c r="B2215" s="1"/>
      <c r="C2215">
        <v>2013</v>
      </c>
      <c r="D2215">
        <v>41.73</v>
      </c>
    </row>
    <row r="2216" spans="1:4" x14ac:dyDescent="0.35">
      <c r="A2216" s="1" t="s">
        <v>128</v>
      </c>
      <c r="B2216" s="1"/>
      <c r="C2216">
        <v>2014</v>
      </c>
      <c r="D2216">
        <v>41.75</v>
      </c>
    </row>
    <row r="2217" spans="1:4" x14ac:dyDescent="0.35">
      <c r="A2217" s="1" t="s">
        <v>128</v>
      </c>
      <c r="B2217" s="1"/>
      <c r="C2217">
        <v>2015</v>
      </c>
      <c r="D2217">
        <v>42.17</v>
      </c>
    </row>
    <row r="2218" spans="1:4" x14ac:dyDescent="0.35">
      <c r="A2218" s="1" t="s">
        <v>128</v>
      </c>
      <c r="B2218" s="1"/>
      <c r="C2218">
        <v>2016</v>
      </c>
      <c r="D2218">
        <v>42.28</v>
      </c>
    </row>
    <row r="2219" spans="1:4" x14ac:dyDescent="0.35">
      <c r="A2219" s="1" t="s">
        <v>128</v>
      </c>
      <c r="B2219" s="1"/>
      <c r="C2219">
        <v>2017</v>
      </c>
      <c r="D2219">
        <v>42.43</v>
      </c>
    </row>
    <row r="2220" spans="1:4" x14ac:dyDescent="0.35">
      <c r="A2220" s="1" t="s">
        <v>128</v>
      </c>
      <c r="B2220" s="1"/>
      <c r="C2220">
        <v>2018</v>
      </c>
      <c r="D2220">
        <v>49.75</v>
      </c>
    </row>
    <row r="2221" spans="1:4" x14ac:dyDescent="0.35">
      <c r="A2221" s="1" t="s">
        <v>128</v>
      </c>
      <c r="B2221" s="1"/>
      <c r="C2221">
        <v>2019</v>
      </c>
      <c r="D2221">
        <v>49.81</v>
      </c>
    </row>
    <row r="2222" spans="1:4" x14ac:dyDescent="0.35">
      <c r="A2222" s="1" t="s">
        <v>128</v>
      </c>
      <c r="B2222" s="1"/>
      <c r="C2222">
        <v>2020</v>
      </c>
      <c r="D2222">
        <v>49.86</v>
      </c>
    </row>
    <row r="2223" spans="1:4" x14ac:dyDescent="0.35">
      <c r="A2223" s="1" t="s">
        <v>128</v>
      </c>
      <c r="B2223" s="1"/>
      <c r="C2223">
        <v>2021</v>
      </c>
      <c r="D2223">
        <v>50.14</v>
      </c>
    </row>
    <row r="2224" spans="1:4" x14ac:dyDescent="0.35">
      <c r="A2224" s="1" t="s">
        <v>128</v>
      </c>
      <c r="B2224" s="1"/>
      <c r="C2224">
        <v>2022</v>
      </c>
      <c r="D2224">
        <v>49.39</v>
      </c>
    </row>
    <row r="2225" spans="1:4" x14ac:dyDescent="0.35">
      <c r="A2225" s="1" t="s">
        <v>128</v>
      </c>
      <c r="B2225" s="1"/>
      <c r="C2225">
        <v>2023</v>
      </c>
      <c r="D2225">
        <v>39.85</v>
      </c>
    </row>
    <row r="2226" spans="1:4" x14ac:dyDescent="0.35">
      <c r="A2226" s="1" t="s">
        <v>128</v>
      </c>
      <c r="B2226" s="1"/>
      <c r="C2226">
        <v>2024</v>
      </c>
      <c r="D2226">
        <v>40.97</v>
      </c>
    </row>
    <row r="2227" spans="1:4" x14ac:dyDescent="0.35">
      <c r="A2227" s="1" t="s">
        <v>128</v>
      </c>
      <c r="B2227" s="1" t="s">
        <v>135</v>
      </c>
      <c r="C2227">
        <v>2000</v>
      </c>
      <c r="D2227">
        <v>46.45</v>
      </c>
    </row>
    <row r="2228" spans="1:4" x14ac:dyDescent="0.35">
      <c r="A2228" s="1" t="s">
        <v>128</v>
      </c>
      <c r="B2228" s="1"/>
      <c r="C2228">
        <v>2001</v>
      </c>
      <c r="D2228">
        <v>38.619999999999997</v>
      </c>
    </row>
    <row r="2229" spans="1:4" x14ac:dyDescent="0.35">
      <c r="A2229" s="1" t="s">
        <v>128</v>
      </c>
      <c r="B2229" s="1"/>
      <c r="C2229">
        <v>2002</v>
      </c>
      <c r="D2229">
        <v>44.77</v>
      </c>
    </row>
    <row r="2230" spans="1:4" x14ac:dyDescent="0.35">
      <c r="A2230" s="1" t="s">
        <v>128</v>
      </c>
      <c r="B2230" s="1"/>
      <c r="C2230">
        <v>2003</v>
      </c>
      <c r="D2230">
        <v>60.68</v>
      </c>
    </row>
    <row r="2231" spans="1:4" x14ac:dyDescent="0.35">
      <c r="A2231" s="1" t="s">
        <v>128</v>
      </c>
      <c r="B2231" s="1"/>
      <c r="C2231">
        <v>2004</v>
      </c>
      <c r="D2231">
        <v>57</v>
      </c>
    </row>
    <row r="2232" spans="1:4" x14ac:dyDescent="0.35">
      <c r="A2232" s="1" t="s">
        <v>128</v>
      </c>
      <c r="B2232" s="1"/>
      <c r="C2232">
        <v>2005</v>
      </c>
      <c r="D2232">
        <v>52.58</v>
      </c>
    </row>
    <row r="2233" spans="1:4" x14ac:dyDescent="0.35">
      <c r="A2233" s="1" t="s">
        <v>128</v>
      </c>
      <c r="B2233" s="1"/>
      <c r="C2233">
        <v>2006</v>
      </c>
      <c r="D2233">
        <v>76.099999999999994</v>
      </c>
    </row>
    <row r="2234" spans="1:4" x14ac:dyDescent="0.35">
      <c r="A2234" s="1" t="s">
        <v>128</v>
      </c>
      <c r="B2234" s="1"/>
      <c r="C2234">
        <v>2007</v>
      </c>
      <c r="D2234">
        <v>78.33</v>
      </c>
    </row>
    <row r="2235" spans="1:4" x14ac:dyDescent="0.35">
      <c r="A2235" s="1" t="s">
        <v>128</v>
      </c>
      <c r="B2235" s="1"/>
      <c r="C2235">
        <v>2008</v>
      </c>
      <c r="D2235">
        <v>81.02</v>
      </c>
    </row>
    <row r="2236" spans="1:4" x14ac:dyDescent="0.35">
      <c r="A2236" s="1" t="s">
        <v>128</v>
      </c>
      <c r="B2236" s="1"/>
      <c r="C2236">
        <v>2009</v>
      </c>
      <c r="D2236">
        <v>80.87</v>
      </c>
    </row>
    <row r="2237" spans="1:4" x14ac:dyDescent="0.35">
      <c r="A2237" s="1" t="s">
        <v>128</v>
      </c>
      <c r="B2237" s="1"/>
      <c r="C2237">
        <v>2010</v>
      </c>
      <c r="D2237">
        <v>75.97</v>
      </c>
    </row>
    <row r="2238" spans="1:4" x14ac:dyDescent="0.35">
      <c r="A2238" s="1" t="s">
        <v>128</v>
      </c>
      <c r="B2238" s="1"/>
      <c r="C2238">
        <v>2011</v>
      </c>
      <c r="D2238">
        <v>70.44</v>
      </c>
    </row>
    <row r="2239" spans="1:4" x14ac:dyDescent="0.35">
      <c r="A2239" s="1" t="s">
        <v>128</v>
      </c>
      <c r="B2239" s="1"/>
      <c r="C2239">
        <v>2012</v>
      </c>
      <c r="D2239">
        <v>72.06</v>
      </c>
    </row>
    <row r="2240" spans="1:4" x14ac:dyDescent="0.35">
      <c r="A2240" s="1" t="s">
        <v>128</v>
      </c>
      <c r="B2240" s="1"/>
      <c r="C2240">
        <v>2013</v>
      </c>
      <c r="D2240">
        <v>69.75</v>
      </c>
    </row>
    <row r="2241" spans="1:4" x14ac:dyDescent="0.35">
      <c r="A2241" s="1" t="s">
        <v>128</v>
      </c>
      <c r="B2241" s="1"/>
      <c r="C2241">
        <v>2014</v>
      </c>
      <c r="D2241">
        <v>69.63</v>
      </c>
    </row>
    <row r="2242" spans="1:4" x14ac:dyDescent="0.35">
      <c r="A2242" s="1" t="s">
        <v>128</v>
      </c>
      <c r="B2242" s="1"/>
      <c r="C2242">
        <v>2015</v>
      </c>
      <c r="D2242">
        <v>68.89</v>
      </c>
    </row>
    <row r="2243" spans="1:4" x14ac:dyDescent="0.35">
      <c r="A2243" s="1" t="s">
        <v>128</v>
      </c>
      <c r="B2243" s="1"/>
      <c r="C2243">
        <v>2016</v>
      </c>
      <c r="D2243">
        <v>62.57</v>
      </c>
    </row>
    <row r="2244" spans="1:4" x14ac:dyDescent="0.35">
      <c r="A2244" s="1" t="s">
        <v>128</v>
      </c>
      <c r="B2244" s="1"/>
      <c r="C2244">
        <v>2017</v>
      </c>
      <c r="D2244">
        <v>67.75</v>
      </c>
    </row>
    <row r="2245" spans="1:4" x14ac:dyDescent="0.35">
      <c r="A2245" s="1" t="s">
        <v>128</v>
      </c>
      <c r="B2245" s="1"/>
      <c r="C2245">
        <v>2018</v>
      </c>
      <c r="D2245">
        <v>72.13</v>
      </c>
    </row>
    <row r="2246" spans="1:4" x14ac:dyDescent="0.35">
      <c r="A2246" s="1" t="s">
        <v>128</v>
      </c>
      <c r="B2246" s="1"/>
      <c r="C2246">
        <v>2019</v>
      </c>
      <c r="D2246">
        <v>72</v>
      </c>
    </row>
    <row r="2247" spans="1:4" x14ac:dyDescent="0.35">
      <c r="A2247" s="1" t="s">
        <v>128</v>
      </c>
      <c r="B2247" s="1"/>
      <c r="C2247">
        <v>2020</v>
      </c>
      <c r="D2247">
        <v>72.400000000000006</v>
      </c>
    </row>
    <row r="2248" spans="1:4" x14ac:dyDescent="0.35">
      <c r="A2248" s="1" t="s">
        <v>128</v>
      </c>
      <c r="B2248" s="1"/>
      <c r="C2248">
        <v>2021</v>
      </c>
      <c r="D2248">
        <v>77.53</v>
      </c>
    </row>
    <row r="2249" spans="1:4" x14ac:dyDescent="0.35">
      <c r="A2249" s="1" t="s">
        <v>128</v>
      </c>
      <c r="B2249" s="1"/>
      <c r="C2249">
        <v>2022</v>
      </c>
      <c r="D2249">
        <v>75.5</v>
      </c>
    </row>
    <row r="2250" spans="1:4" x14ac:dyDescent="0.35">
      <c r="A2250" s="1" t="s">
        <v>128</v>
      </c>
      <c r="B2250" s="1"/>
      <c r="C2250">
        <v>2023</v>
      </c>
      <c r="D2250">
        <v>64.98</v>
      </c>
    </row>
    <row r="2251" spans="1:4" x14ac:dyDescent="0.35">
      <c r="A2251" s="1" t="s">
        <v>128</v>
      </c>
      <c r="B2251" s="1"/>
      <c r="C2251">
        <v>2024</v>
      </c>
      <c r="D2251" t="s">
        <v>136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E222-3B90-4879-998A-71B91B955895}">
  <dimension ref="A1:D1081"/>
  <sheetViews>
    <sheetView workbookViewId="0">
      <selection activeCell="D16" sqref="D16"/>
    </sheetView>
  </sheetViews>
  <sheetFormatPr defaultRowHeight="14.5" x14ac:dyDescent="0.35"/>
  <cols>
    <col min="1" max="1" width="19.1796875" bestFit="1" customWidth="1"/>
    <col min="2" max="2" width="30.81640625" bestFit="1" customWidth="1"/>
    <col min="3" max="3" width="6.81640625" bestFit="1" customWidth="1"/>
    <col min="4" max="4" width="11.08984375" bestFit="1" customWidth="1"/>
  </cols>
  <sheetData>
    <row r="1" spans="1:4" x14ac:dyDescent="0.35">
      <c r="A1" t="s">
        <v>130</v>
      </c>
      <c r="B1" t="s">
        <v>131</v>
      </c>
      <c r="C1" t="s">
        <v>132</v>
      </c>
      <c r="D1" t="s">
        <v>133</v>
      </c>
    </row>
    <row r="2" spans="1:4" x14ac:dyDescent="0.35">
      <c r="A2" s="1" t="s">
        <v>53</v>
      </c>
      <c r="B2" s="1" t="s">
        <v>135</v>
      </c>
      <c r="C2">
        <v>2000</v>
      </c>
      <c r="D2">
        <v>0.21</v>
      </c>
    </row>
    <row r="3" spans="1:4" x14ac:dyDescent="0.35">
      <c r="A3" s="1" t="s">
        <v>53</v>
      </c>
      <c r="B3" s="1" t="s">
        <v>135</v>
      </c>
      <c r="C3">
        <v>2001</v>
      </c>
      <c r="D3">
        <v>0.26</v>
      </c>
    </row>
    <row r="4" spans="1:4" x14ac:dyDescent="0.35">
      <c r="A4" s="1" t="s">
        <v>53</v>
      </c>
      <c r="B4" s="1" t="s">
        <v>135</v>
      </c>
      <c r="C4">
        <v>2002</v>
      </c>
      <c r="D4">
        <v>0.21</v>
      </c>
    </row>
    <row r="5" spans="1:4" x14ac:dyDescent="0.35">
      <c r="A5" s="1" t="s">
        <v>53</v>
      </c>
      <c r="B5" s="1" t="s">
        <v>135</v>
      </c>
      <c r="C5">
        <v>2003</v>
      </c>
      <c r="D5">
        <v>0.9</v>
      </c>
    </row>
    <row r="6" spans="1:4" x14ac:dyDescent="0.35">
      <c r="A6" s="1" t="s">
        <v>53</v>
      </c>
      <c r="B6" s="1" t="s">
        <v>135</v>
      </c>
      <c r="C6">
        <v>2004</v>
      </c>
      <c r="D6">
        <v>0.8</v>
      </c>
    </row>
    <row r="7" spans="1:4" x14ac:dyDescent="0.35">
      <c r="A7" s="1" t="s">
        <v>53</v>
      </c>
      <c r="B7" s="1" t="s">
        <v>135</v>
      </c>
      <c r="C7">
        <v>2005</v>
      </c>
      <c r="D7">
        <v>1.69</v>
      </c>
    </row>
    <row r="8" spans="1:4" x14ac:dyDescent="0.35">
      <c r="A8" s="1" t="s">
        <v>53</v>
      </c>
      <c r="B8" s="1" t="s">
        <v>135</v>
      </c>
      <c r="C8">
        <v>2006</v>
      </c>
      <c r="D8">
        <v>0.62</v>
      </c>
    </row>
    <row r="9" spans="1:4" x14ac:dyDescent="0.35">
      <c r="A9" s="1" t="s">
        <v>53</v>
      </c>
      <c r="B9" s="1" t="s">
        <v>135</v>
      </c>
      <c r="C9">
        <v>2007</v>
      </c>
      <c r="D9">
        <v>0.61</v>
      </c>
    </row>
    <row r="10" spans="1:4" x14ac:dyDescent="0.35">
      <c r="A10" s="1" t="s">
        <v>53</v>
      </c>
      <c r="B10" s="1" t="s">
        <v>135</v>
      </c>
      <c r="C10">
        <v>2008</v>
      </c>
      <c r="D10">
        <v>0.7</v>
      </c>
    </row>
    <row r="11" spans="1:4" x14ac:dyDescent="0.35">
      <c r="A11" s="1" t="s">
        <v>53</v>
      </c>
      <c r="B11" s="1" t="s">
        <v>135</v>
      </c>
      <c r="C11">
        <v>2009</v>
      </c>
      <c r="D11">
        <v>0.89</v>
      </c>
    </row>
    <row r="12" spans="1:4" x14ac:dyDescent="0.35">
      <c r="A12" s="1" t="s">
        <v>53</v>
      </c>
      <c r="B12" s="1" t="s">
        <v>135</v>
      </c>
      <c r="C12">
        <v>2010</v>
      </c>
      <c r="D12">
        <v>0.38</v>
      </c>
    </row>
    <row r="13" spans="1:4" x14ac:dyDescent="0.35">
      <c r="A13" s="1" t="s">
        <v>53</v>
      </c>
      <c r="B13" s="1" t="s">
        <v>135</v>
      </c>
      <c r="C13">
        <v>2011</v>
      </c>
      <c r="D13">
        <v>0.94</v>
      </c>
    </row>
    <row r="14" spans="1:4" x14ac:dyDescent="0.35">
      <c r="A14" s="1" t="s">
        <v>53</v>
      </c>
      <c r="B14" s="1" t="s">
        <v>135</v>
      </c>
      <c r="C14">
        <v>2012</v>
      </c>
      <c r="D14">
        <v>1.02</v>
      </c>
    </row>
    <row r="15" spans="1:4" x14ac:dyDescent="0.35">
      <c r="A15" s="1" t="s">
        <v>53</v>
      </c>
      <c r="B15" s="1" t="s">
        <v>135</v>
      </c>
      <c r="C15">
        <v>2013</v>
      </c>
      <c r="D15">
        <v>0.49</v>
      </c>
    </row>
    <row r="16" spans="1:4" x14ac:dyDescent="0.35">
      <c r="A16" s="1" t="s">
        <v>53</v>
      </c>
      <c r="B16" s="1" t="s">
        <v>135</v>
      </c>
      <c r="C16">
        <v>2014</v>
      </c>
      <c r="D16">
        <v>0.61</v>
      </c>
    </row>
    <row r="17" spans="1:4" x14ac:dyDescent="0.35">
      <c r="A17" s="1" t="s">
        <v>53</v>
      </c>
      <c r="B17" s="1" t="s">
        <v>135</v>
      </c>
      <c r="C17">
        <v>2015</v>
      </c>
      <c r="D17">
        <v>0.52</v>
      </c>
    </row>
    <row r="18" spans="1:4" x14ac:dyDescent="0.35">
      <c r="A18" s="1" t="s">
        <v>53</v>
      </c>
      <c r="B18" s="1" t="s">
        <v>135</v>
      </c>
      <c r="C18">
        <v>2016</v>
      </c>
      <c r="D18">
        <v>0.65</v>
      </c>
    </row>
    <row r="19" spans="1:4" x14ac:dyDescent="0.35">
      <c r="A19" s="1" t="s">
        <v>53</v>
      </c>
      <c r="B19" s="1" t="s">
        <v>135</v>
      </c>
      <c r="C19">
        <v>2017</v>
      </c>
      <c r="D19">
        <v>0.66</v>
      </c>
    </row>
    <row r="20" spans="1:4" x14ac:dyDescent="0.35">
      <c r="A20" s="1" t="s">
        <v>53</v>
      </c>
      <c r="B20" s="1" t="s">
        <v>135</v>
      </c>
      <c r="C20">
        <v>2018</v>
      </c>
      <c r="D20">
        <v>1.06</v>
      </c>
    </row>
    <row r="21" spans="1:4" x14ac:dyDescent="0.35">
      <c r="A21" s="1" t="s">
        <v>53</v>
      </c>
      <c r="B21" s="1" t="s">
        <v>135</v>
      </c>
      <c r="C21">
        <v>2019</v>
      </c>
      <c r="D21">
        <v>1.07</v>
      </c>
    </row>
    <row r="22" spans="1:4" x14ac:dyDescent="0.35">
      <c r="A22" s="1" t="s">
        <v>53</v>
      </c>
      <c r="B22" s="1" t="s">
        <v>135</v>
      </c>
      <c r="C22">
        <v>2020</v>
      </c>
      <c r="D22">
        <v>1.1000000000000001</v>
      </c>
    </row>
    <row r="23" spans="1:4" x14ac:dyDescent="0.35">
      <c r="A23" s="1" t="s">
        <v>53</v>
      </c>
      <c r="B23" s="1" t="s">
        <v>135</v>
      </c>
      <c r="C23">
        <v>2021</v>
      </c>
      <c r="D23">
        <v>0.95</v>
      </c>
    </row>
    <row r="24" spans="1:4" x14ac:dyDescent="0.35">
      <c r="A24" s="1" t="s">
        <v>53</v>
      </c>
      <c r="B24" s="1" t="s">
        <v>135</v>
      </c>
      <c r="C24">
        <v>2022</v>
      </c>
      <c r="D24">
        <v>0.95</v>
      </c>
    </row>
    <row r="25" spans="1:4" x14ac:dyDescent="0.35">
      <c r="A25" s="1" t="s">
        <v>53</v>
      </c>
      <c r="B25" s="1" t="s">
        <v>135</v>
      </c>
      <c r="C25">
        <v>2023</v>
      </c>
      <c r="D25">
        <v>0.97</v>
      </c>
    </row>
    <row r="26" spans="1:4" x14ac:dyDescent="0.35">
      <c r="A26" s="1" t="s">
        <v>28</v>
      </c>
      <c r="B26" s="1" t="s">
        <v>135</v>
      </c>
      <c r="C26">
        <v>2000</v>
      </c>
      <c r="D26">
        <v>74.78</v>
      </c>
    </row>
    <row r="27" spans="1:4" x14ac:dyDescent="0.35">
      <c r="A27" s="1" t="s">
        <v>28</v>
      </c>
      <c r="B27" s="1" t="s">
        <v>135</v>
      </c>
      <c r="C27">
        <v>2001</v>
      </c>
      <c r="D27">
        <v>73.86</v>
      </c>
    </row>
    <row r="28" spans="1:4" x14ac:dyDescent="0.35">
      <c r="A28" s="1" t="s">
        <v>28</v>
      </c>
      <c r="B28" s="1" t="s">
        <v>135</v>
      </c>
      <c r="C28">
        <v>2002</v>
      </c>
      <c r="D28">
        <v>75.97</v>
      </c>
    </row>
    <row r="29" spans="1:4" x14ac:dyDescent="0.35">
      <c r="A29" s="1" t="s">
        <v>28</v>
      </c>
      <c r="B29" s="1" t="s">
        <v>135</v>
      </c>
      <c r="C29">
        <v>2003</v>
      </c>
      <c r="D29">
        <v>74.2</v>
      </c>
    </row>
    <row r="30" spans="1:4" x14ac:dyDescent="0.35">
      <c r="A30" s="1" t="s">
        <v>28</v>
      </c>
      <c r="B30" s="1" t="s">
        <v>135</v>
      </c>
      <c r="C30">
        <v>2004</v>
      </c>
      <c r="D30">
        <v>85.21</v>
      </c>
    </row>
    <row r="31" spans="1:4" x14ac:dyDescent="0.35">
      <c r="A31" s="1" t="s">
        <v>28</v>
      </c>
      <c r="B31" s="1" t="s">
        <v>135</v>
      </c>
      <c r="C31">
        <v>2005</v>
      </c>
      <c r="D31">
        <v>89.43</v>
      </c>
    </row>
    <row r="32" spans="1:4" x14ac:dyDescent="0.35">
      <c r="A32" s="1" t="s">
        <v>28</v>
      </c>
      <c r="B32" s="1" t="s">
        <v>135</v>
      </c>
      <c r="C32">
        <v>2006</v>
      </c>
      <c r="D32">
        <v>82.38</v>
      </c>
    </row>
    <row r="33" spans="1:4" x14ac:dyDescent="0.35">
      <c r="A33" s="1" t="s">
        <v>28</v>
      </c>
      <c r="B33" s="1" t="s">
        <v>135</v>
      </c>
      <c r="C33">
        <v>2007</v>
      </c>
      <c r="D33">
        <v>85.95</v>
      </c>
    </row>
    <row r="34" spans="1:4" x14ac:dyDescent="0.35">
      <c r="A34" s="1" t="s">
        <v>28</v>
      </c>
      <c r="B34" s="1" t="s">
        <v>135</v>
      </c>
      <c r="C34">
        <v>2008</v>
      </c>
      <c r="D34">
        <v>85.74</v>
      </c>
    </row>
    <row r="35" spans="1:4" x14ac:dyDescent="0.35">
      <c r="A35" s="1" t="s">
        <v>28</v>
      </c>
      <c r="B35" s="1" t="s">
        <v>135</v>
      </c>
      <c r="C35">
        <v>2009</v>
      </c>
      <c r="D35">
        <v>75.16</v>
      </c>
    </row>
    <row r="36" spans="1:4" x14ac:dyDescent="0.35">
      <c r="A36" s="1" t="s">
        <v>28</v>
      </c>
      <c r="B36" s="1" t="s">
        <v>135</v>
      </c>
      <c r="C36">
        <v>2010</v>
      </c>
      <c r="D36">
        <v>74.81</v>
      </c>
    </row>
    <row r="37" spans="1:4" x14ac:dyDescent="0.35">
      <c r="A37" s="1" t="s">
        <v>28</v>
      </c>
      <c r="B37" s="1" t="s">
        <v>135</v>
      </c>
      <c r="C37">
        <v>2011</v>
      </c>
      <c r="D37">
        <v>68.569999999999993</v>
      </c>
    </row>
    <row r="38" spans="1:4" x14ac:dyDescent="0.35">
      <c r="A38" s="1" t="s">
        <v>28</v>
      </c>
      <c r="B38" s="1" t="s">
        <v>135</v>
      </c>
      <c r="C38">
        <v>2012</v>
      </c>
      <c r="D38">
        <v>57.4</v>
      </c>
    </row>
    <row r="39" spans="1:4" x14ac:dyDescent="0.35">
      <c r="A39" s="1" t="s">
        <v>28</v>
      </c>
      <c r="B39" s="1" t="s">
        <v>135</v>
      </c>
      <c r="C39">
        <v>2013</v>
      </c>
      <c r="D39">
        <v>45.99</v>
      </c>
    </row>
    <row r="40" spans="1:4" x14ac:dyDescent="0.35">
      <c r="A40" s="1" t="s">
        <v>28</v>
      </c>
      <c r="B40" s="1" t="s">
        <v>135</v>
      </c>
      <c r="C40">
        <v>2014</v>
      </c>
      <c r="D40">
        <v>47.68</v>
      </c>
    </row>
    <row r="41" spans="1:4" x14ac:dyDescent="0.35">
      <c r="A41" s="1" t="s">
        <v>28</v>
      </c>
      <c r="B41" s="1" t="s">
        <v>135</v>
      </c>
      <c r="C41">
        <v>2015</v>
      </c>
      <c r="D41">
        <v>46.34</v>
      </c>
    </row>
    <row r="42" spans="1:4" x14ac:dyDescent="0.35">
      <c r="A42" s="1" t="s">
        <v>28</v>
      </c>
      <c r="B42" s="1" t="s">
        <v>135</v>
      </c>
      <c r="C42">
        <v>2016</v>
      </c>
      <c r="D42">
        <v>52.57</v>
      </c>
    </row>
    <row r="43" spans="1:4" x14ac:dyDescent="0.35">
      <c r="A43" s="1" t="s">
        <v>28</v>
      </c>
      <c r="B43" s="1" t="s">
        <v>135</v>
      </c>
      <c r="C43">
        <v>2017</v>
      </c>
      <c r="D43">
        <v>64.42</v>
      </c>
    </row>
    <row r="44" spans="1:4" x14ac:dyDescent="0.35">
      <c r="A44" s="1" t="s">
        <v>28</v>
      </c>
      <c r="B44" s="1" t="s">
        <v>135</v>
      </c>
      <c r="C44">
        <v>2018</v>
      </c>
      <c r="D44">
        <v>72.31</v>
      </c>
    </row>
    <row r="45" spans="1:4" x14ac:dyDescent="0.35">
      <c r="A45" s="1" t="s">
        <v>28</v>
      </c>
      <c r="B45" s="1" t="s">
        <v>135</v>
      </c>
      <c r="C45">
        <v>2019</v>
      </c>
      <c r="D45">
        <v>72.849999999999994</v>
      </c>
    </row>
    <row r="46" spans="1:4" x14ac:dyDescent="0.35">
      <c r="A46" s="1" t="s">
        <v>28</v>
      </c>
      <c r="B46" s="1" t="s">
        <v>135</v>
      </c>
      <c r="C46">
        <v>2020</v>
      </c>
      <c r="D46">
        <v>80.510000000000005</v>
      </c>
    </row>
    <row r="47" spans="1:4" x14ac:dyDescent="0.35">
      <c r="A47" s="1" t="s">
        <v>28</v>
      </c>
      <c r="B47" s="1" t="s">
        <v>135</v>
      </c>
      <c r="C47">
        <v>2021</v>
      </c>
      <c r="D47">
        <v>73.989999999999995</v>
      </c>
    </row>
    <row r="48" spans="1:4" x14ac:dyDescent="0.35">
      <c r="A48" s="1" t="s">
        <v>28</v>
      </c>
      <c r="B48" s="1" t="s">
        <v>135</v>
      </c>
      <c r="C48">
        <v>2022</v>
      </c>
      <c r="D48">
        <v>76.3</v>
      </c>
    </row>
    <row r="49" spans="1:4" x14ac:dyDescent="0.35">
      <c r="A49" s="1" t="s">
        <v>28</v>
      </c>
      <c r="B49" s="1" t="s">
        <v>135</v>
      </c>
      <c r="C49">
        <v>2023</v>
      </c>
      <c r="D49">
        <v>76.34</v>
      </c>
    </row>
    <row r="50" spans="1:4" x14ac:dyDescent="0.35">
      <c r="A50" s="1" t="s">
        <v>35</v>
      </c>
      <c r="B50" s="1" t="s">
        <v>135</v>
      </c>
      <c r="C50">
        <v>2000</v>
      </c>
      <c r="D50">
        <v>1.95</v>
      </c>
    </row>
    <row r="51" spans="1:4" x14ac:dyDescent="0.35">
      <c r="A51" s="1" t="s">
        <v>35</v>
      </c>
      <c r="B51" s="1" t="s">
        <v>135</v>
      </c>
      <c r="C51">
        <v>2001</v>
      </c>
      <c r="D51">
        <v>2.38</v>
      </c>
    </row>
    <row r="52" spans="1:4" x14ac:dyDescent="0.35">
      <c r="A52" s="1" t="s">
        <v>35</v>
      </c>
      <c r="B52" s="1" t="s">
        <v>135</v>
      </c>
      <c r="C52">
        <v>2002</v>
      </c>
      <c r="D52">
        <v>2.42</v>
      </c>
    </row>
    <row r="53" spans="1:4" x14ac:dyDescent="0.35">
      <c r="A53" s="1" t="s">
        <v>35</v>
      </c>
      <c r="B53" s="1" t="s">
        <v>135</v>
      </c>
      <c r="C53">
        <v>2003</v>
      </c>
      <c r="D53">
        <v>2.11</v>
      </c>
    </row>
    <row r="54" spans="1:4" x14ac:dyDescent="0.35">
      <c r="A54" s="1" t="s">
        <v>35</v>
      </c>
      <c r="B54" s="1" t="s">
        <v>135</v>
      </c>
      <c r="C54">
        <v>2004</v>
      </c>
      <c r="D54">
        <v>1.84</v>
      </c>
    </row>
    <row r="55" spans="1:4" x14ac:dyDescent="0.35">
      <c r="A55" s="1" t="s">
        <v>35</v>
      </c>
      <c r="B55" s="1" t="s">
        <v>135</v>
      </c>
      <c r="C55">
        <v>2005</v>
      </c>
      <c r="D55">
        <v>0.7</v>
      </c>
    </row>
    <row r="56" spans="1:4" x14ac:dyDescent="0.35">
      <c r="A56" s="1" t="s">
        <v>35</v>
      </c>
      <c r="B56" s="1" t="s">
        <v>135</v>
      </c>
      <c r="C56">
        <v>2006</v>
      </c>
      <c r="D56">
        <v>0</v>
      </c>
    </row>
    <row r="57" spans="1:4" x14ac:dyDescent="0.35">
      <c r="A57" s="1" t="s">
        <v>35</v>
      </c>
      <c r="B57" s="1" t="s">
        <v>135</v>
      </c>
      <c r="C57">
        <v>2007</v>
      </c>
      <c r="D57">
        <v>0</v>
      </c>
    </row>
    <row r="58" spans="1:4" x14ac:dyDescent="0.35">
      <c r="A58" s="1" t="s">
        <v>35</v>
      </c>
      <c r="B58" s="1" t="s">
        <v>135</v>
      </c>
      <c r="C58">
        <v>2008</v>
      </c>
      <c r="D58">
        <v>0.16</v>
      </c>
    </row>
    <row r="59" spans="1:4" x14ac:dyDescent="0.35">
      <c r="A59" s="1" t="s">
        <v>35</v>
      </c>
      <c r="B59" s="1" t="s">
        <v>135</v>
      </c>
      <c r="C59">
        <v>2009</v>
      </c>
      <c r="D59">
        <v>0.19</v>
      </c>
    </row>
    <row r="60" spans="1:4" x14ac:dyDescent="0.35">
      <c r="A60" s="1" t="s">
        <v>35</v>
      </c>
      <c r="B60" s="1" t="s">
        <v>135</v>
      </c>
      <c r="C60">
        <v>2010</v>
      </c>
      <c r="D60">
        <v>0</v>
      </c>
    </row>
    <row r="61" spans="1:4" x14ac:dyDescent="0.35">
      <c r="A61" s="1" t="s">
        <v>35</v>
      </c>
      <c r="B61" s="1" t="s">
        <v>135</v>
      </c>
      <c r="C61">
        <v>2011</v>
      </c>
      <c r="D61">
        <v>0</v>
      </c>
    </row>
    <row r="62" spans="1:4" x14ac:dyDescent="0.35">
      <c r="A62" s="1" t="s">
        <v>35</v>
      </c>
      <c r="B62" s="1" t="s">
        <v>135</v>
      </c>
      <c r="C62">
        <v>2012</v>
      </c>
      <c r="D62">
        <v>0.28000000000000003</v>
      </c>
    </row>
    <row r="63" spans="1:4" x14ac:dyDescent="0.35">
      <c r="A63" s="1" t="s">
        <v>35</v>
      </c>
      <c r="B63" s="1" t="s">
        <v>135</v>
      </c>
      <c r="C63">
        <v>2013</v>
      </c>
      <c r="D63">
        <v>0</v>
      </c>
    </row>
    <row r="64" spans="1:4" x14ac:dyDescent="0.35">
      <c r="A64" s="1" t="s">
        <v>35</v>
      </c>
      <c r="B64" s="1" t="s">
        <v>135</v>
      </c>
      <c r="C64">
        <v>2014</v>
      </c>
      <c r="D64">
        <v>0.28999999999999998</v>
      </c>
    </row>
    <row r="65" spans="1:4" x14ac:dyDescent="0.35">
      <c r="A65" s="1" t="s">
        <v>35</v>
      </c>
      <c r="B65" s="1" t="s">
        <v>135</v>
      </c>
      <c r="C65">
        <v>2015</v>
      </c>
      <c r="D65">
        <v>1.22</v>
      </c>
    </row>
    <row r="66" spans="1:4" x14ac:dyDescent="0.35">
      <c r="A66" s="1" t="s">
        <v>35</v>
      </c>
      <c r="B66" s="1" t="s">
        <v>135</v>
      </c>
      <c r="C66">
        <v>2016</v>
      </c>
      <c r="D66">
        <v>1.33</v>
      </c>
    </row>
    <row r="67" spans="1:4" x14ac:dyDescent="0.35">
      <c r="A67" s="1" t="s">
        <v>35</v>
      </c>
      <c r="B67" s="1" t="s">
        <v>135</v>
      </c>
      <c r="C67">
        <v>2017</v>
      </c>
      <c r="D67">
        <v>1.21</v>
      </c>
    </row>
    <row r="68" spans="1:4" x14ac:dyDescent="0.35">
      <c r="A68" s="1" t="s">
        <v>35</v>
      </c>
      <c r="B68" s="1" t="s">
        <v>135</v>
      </c>
      <c r="C68">
        <v>2018</v>
      </c>
      <c r="D68">
        <v>1.26</v>
      </c>
    </row>
    <row r="69" spans="1:4" x14ac:dyDescent="0.35">
      <c r="A69" s="1" t="s">
        <v>35</v>
      </c>
      <c r="B69" s="1" t="s">
        <v>135</v>
      </c>
      <c r="C69">
        <v>2019</v>
      </c>
      <c r="D69">
        <v>0.42</v>
      </c>
    </row>
    <row r="70" spans="1:4" x14ac:dyDescent="0.35">
      <c r="A70" s="1" t="s">
        <v>35</v>
      </c>
      <c r="B70" s="1" t="s">
        <v>135</v>
      </c>
      <c r="C70">
        <v>2020</v>
      </c>
      <c r="D70">
        <v>0.52</v>
      </c>
    </row>
    <row r="71" spans="1:4" x14ac:dyDescent="0.35">
      <c r="A71" s="1" t="s">
        <v>35</v>
      </c>
      <c r="B71" s="1" t="s">
        <v>135</v>
      </c>
      <c r="C71">
        <v>2021</v>
      </c>
      <c r="D71">
        <v>0.63</v>
      </c>
    </row>
    <row r="72" spans="1:4" x14ac:dyDescent="0.35">
      <c r="A72" s="1" t="s">
        <v>35</v>
      </c>
      <c r="B72" s="1" t="s">
        <v>135</v>
      </c>
      <c r="C72">
        <v>2022</v>
      </c>
      <c r="D72">
        <v>3.28</v>
      </c>
    </row>
    <row r="73" spans="1:4" x14ac:dyDescent="0.35">
      <c r="A73" s="1" t="s">
        <v>35</v>
      </c>
      <c r="B73" s="1" t="s">
        <v>135</v>
      </c>
      <c r="C73">
        <v>2023</v>
      </c>
      <c r="D73">
        <v>3.45</v>
      </c>
    </row>
    <row r="74" spans="1:4" x14ac:dyDescent="0.35">
      <c r="A74" s="1" t="s">
        <v>39</v>
      </c>
      <c r="B74" s="1" t="s">
        <v>135</v>
      </c>
      <c r="C74">
        <v>2000</v>
      </c>
      <c r="D74" t="s">
        <v>136</v>
      </c>
    </row>
    <row r="75" spans="1:4" x14ac:dyDescent="0.35">
      <c r="A75" s="1" t="s">
        <v>39</v>
      </c>
      <c r="B75" s="1" t="s">
        <v>135</v>
      </c>
      <c r="C75">
        <v>2001</v>
      </c>
      <c r="D75" t="s">
        <v>136</v>
      </c>
    </row>
    <row r="76" spans="1:4" x14ac:dyDescent="0.35">
      <c r="A76" s="1" t="s">
        <v>39</v>
      </c>
      <c r="B76" s="1" t="s">
        <v>135</v>
      </c>
      <c r="C76">
        <v>2002</v>
      </c>
      <c r="D76" t="s">
        <v>136</v>
      </c>
    </row>
    <row r="77" spans="1:4" x14ac:dyDescent="0.35">
      <c r="A77" s="1" t="s">
        <v>39</v>
      </c>
      <c r="B77" s="1" t="s">
        <v>135</v>
      </c>
      <c r="C77">
        <v>2003</v>
      </c>
      <c r="D77" t="s">
        <v>136</v>
      </c>
    </row>
    <row r="78" spans="1:4" x14ac:dyDescent="0.35">
      <c r="A78" s="1" t="s">
        <v>39</v>
      </c>
      <c r="B78" s="1" t="s">
        <v>135</v>
      </c>
      <c r="C78">
        <v>2004</v>
      </c>
      <c r="D78" t="s">
        <v>136</v>
      </c>
    </row>
    <row r="79" spans="1:4" x14ac:dyDescent="0.35">
      <c r="A79" s="1" t="s">
        <v>39</v>
      </c>
      <c r="B79" s="1" t="s">
        <v>135</v>
      </c>
      <c r="C79">
        <v>2005</v>
      </c>
      <c r="D79" t="s">
        <v>136</v>
      </c>
    </row>
    <row r="80" spans="1:4" x14ac:dyDescent="0.35">
      <c r="A80" s="1" t="s">
        <v>39</v>
      </c>
      <c r="B80" s="1" t="s">
        <v>135</v>
      </c>
      <c r="C80">
        <v>2006</v>
      </c>
      <c r="D80" t="s">
        <v>136</v>
      </c>
    </row>
    <row r="81" spans="1:4" x14ac:dyDescent="0.35">
      <c r="A81" s="1" t="s">
        <v>39</v>
      </c>
      <c r="B81" s="1" t="s">
        <v>135</v>
      </c>
      <c r="C81">
        <v>2007</v>
      </c>
      <c r="D81" t="s">
        <v>136</v>
      </c>
    </row>
    <row r="82" spans="1:4" x14ac:dyDescent="0.35">
      <c r="A82" s="1" t="s">
        <v>39</v>
      </c>
      <c r="B82" s="1" t="s">
        <v>135</v>
      </c>
      <c r="C82">
        <v>2008</v>
      </c>
      <c r="D82" t="s">
        <v>136</v>
      </c>
    </row>
    <row r="83" spans="1:4" x14ac:dyDescent="0.35">
      <c r="A83" s="1" t="s">
        <v>39</v>
      </c>
      <c r="B83" s="1" t="s">
        <v>135</v>
      </c>
      <c r="C83">
        <v>2009</v>
      </c>
      <c r="D83">
        <v>0.01</v>
      </c>
    </row>
    <row r="84" spans="1:4" x14ac:dyDescent="0.35">
      <c r="A84" s="1" t="s">
        <v>39</v>
      </c>
      <c r="B84" s="1" t="s">
        <v>135</v>
      </c>
      <c r="C84">
        <v>2010</v>
      </c>
      <c r="D84">
        <v>0.04</v>
      </c>
    </row>
    <row r="85" spans="1:4" x14ac:dyDescent="0.35">
      <c r="A85" s="1" t="s">
        <v>39</v>
      </c>
      <c r="B85" s="1" t="s">
        <v>135</v>
      </c>
      <c r="C85">
        <v>2011</v>
      </c>
      <c r="D85">
        <v>0.06</v>
      </c>
    </row>
    <row r="86" spans="1:4" x14ac:dyDescent="0.35">
      <c r="A86" s="1" t="s">
        <v>39</v>
      </c>
      <c r="B86" s="1" t="s">
        <v>135</v>
      </c>
      <c r="C86">
        <v>2012</v>
      </c>
      <c r="D86">
        <v>0.28999999999999998</v>
      </c>
    </row>
    <row r="87" spans="1:4" x14ac:dyDescent="0.35">
      <c r="A87" s="1" t="s">
        <v>39</v>
      </c>
      <c r="B87" s="1" t="s">
        <v>135</v>
      </c>
      <c r="C87">
        <v>2013</v>
      </c>
      <c r="D87">
        <v>0.25</v>
      </c>
    </row>
    <row r="88" spans="1:4" x14ac:dyDescent="0.35">
      <c r="A88" s="1" t="s">
        <v>39</v>
      </c>
      <c r="B88" s="1" t="s">
        <v>135</v>
      </c>
      <c r="C88">
        <v>2014</v>
      </c>
      <c r="D88">
        <v>0.12</v>
      </c>
    </row>
    <row r="89" spans="1:4" x14ac:dyDescent="0.35">
      <c r="A89" s="1" t="s">
        <v>39</v>
      </c>
      <c r="B89" s="1" t="s">
        <v>135</v>
      </c>
      <c r="C89">
        <v>2015</v>
      </c>
      <c r="D89">
        <v>0.11</v>
      </c>
    </row>
    <row r="90" spans="1:4" x14ac:dyDescent="0.35">
      <c r="A90" s="1" t="s">
        <v>39</v>
      </c>
      <c r="B90" s="1" t="s">
        <v>135</v>
      </c>
      <c r="C90">
        <v>2016</v>
      </c>
      <c r="D90">
        <v>0.19</v>
      </c>
    </row>
    <row r="91" spans="1:4" x14ac:dyDescent="0.35">
      <c r="A91" s="1" t="s">
        <v>39</v>
      </c>
      <c r="B91" s="1" t="s">
        <v>135</v>
      </c>
      <c r="C91">
        <v>2017</v>
      </c>
      <c r="D91">
        <v>0.18</v>
      </c>
    </row>
    <row r="92" spans="1:4" x14ac:dyDescent="0.35">
      <c r="A92" s="1" t="s">
        <v>39</v>
      </c>
      <c r="B92" s="1" t="s">
        <v>135</v>
      </c>
      <c r="C92">
        <v>2018</v>
      </c>
      <c r="D92">
        <v>0.17</v>
      </c>
    </row>
    <row r="93" spans="1:4" x14ac:dyDescent="0.35">
      <c r="A93" s="1" t="s">
        <v>39</v>
      </c>
      <c r="B93" s="1" t="s">
        <v>135</v>
      </c>
      <c r="C93">
        <v>2019</v>
      </c>
      <c r="D93">
        <v>0.18</v>
      </c>
    </row>
    <row r="94" spans="1:4" x14ac:dyDescent="0.35">
      <c r="A94" s="1" t="s">
        <v>39</v>
      </c>
      <c r="B94" s="1" t="s">
        <v>135</v>
      </c>
      <c r="C94">
        <v>2020</v>
      </c>
      <c r="D94">
        <v>0.26</v>
      </c>
    </row>
    <row r="95" spans="1:4" x14ac:dyDescent="0.35">
      <c r="A95" s="1" t="s">
        <v>39</v>
      </c>
      <c r="B95" s="1" t="s">
        <v>135</v>
      </c>
      <c r="C95">
        <v>2021</v>
      </c>
      <c r="D95">
        <v>0.25</v>
      </c>
    </row>
    <row r="96" spans="1:4" x14ac:dyDescent="0.35">
      <c r="A96" s="1" t="s">
        <v>39</v>
      </c>
      <c r="B96" s="1" t="s">
        <v>135</v>
      </c>
      <c r="C96">
        <v>2022</v>
      </c>
      <c r="D96">
        <v>0.23</v>
      </c>
    </row>
    <row r="97" spans="1:4" x14ac:dyDescent="0.35">
      <c r="A97" s="1" t="s">
        <v>39</v>
      </c>
      <c r="B97" s="1" t="s">
        <v>135</v>
      </c>
      <c r="C97">
        <v>2023</v>
      </c>
      <c r="D97">
        <v>0.22</v>
      </c>
    </row>
    <row r="98" spans="1:4" x14ac:dyDescent="0.35">
      <c r="A98" s="1" t="s">
        <v>37</v>
      </c>
      <c r="B98" s="1" t="s">
        <v>135</v>
      </c>
      <c r="C98">
        <v>2000</v>
      </c>
      <c r="D98">
        <v>25.17</v>
      </c>
    </row>
    <row r="99" spans="1:4" x14ac:dyDescent="0.35">
      <c r="A99" s="1" t="s">
        <v>37</v>
      </c>
      <c r="B99" s="1" t="s">
        <v>135</v>
      </c>
      <c r="C99">
        <v>2001</v>
      </c>
      <c r="D99">
        <v>14.71</v>
      </c>
    </row>
    <row r="100" spans="1:4" x14ac:dyDescent="0.35">
      <c r="A100" s="1" t="s">
        <v>37</v>
      </c>
      <c r="B100" s="1" t="s">
        <v>135</v>
      </c>
      <c r="C100">
        <v>2002</v>
      </c>
      <c r="D100">
        <v>17.48</v>
      </c>
    </row>
    <row r="101" spans="1:4" x14ac:dyDescent="0.35">
      <c r="A101" s="1" t="s">
        <v>37</v>
      </c>
      <c r="B101" s="1" t="s">
        <v>135</v>
      </c>
      <c r="C101">
        <v>2003</v>
      </c>
      <c r="D101">
        <v>21.57</v>
      </c>
    </row>
    <row r="102" spans="1:4" x14ac:dyDescent="0.35">
      <c r="A102" s="1" t="s">
        <v>37</v>
      </c>
      <c r="B102" s="1" t="s">
        <v>135</v>
      </c>
      <c r="C102">
        <v>2004</v>
      </c>
      <c r="D102">
        <v>21.47</v>
      </c>
    </row>
    <row r="103" spans="1:4" x14ac:dyDescent="0.35">
      <c r="A103" s="1" t="s">
        <v>37</v>
      </c>
      <c r="B103" s="1" t="s">
        <v>135</v>
      </c>
      <c r="C103">
        <v>2005</v>
      </c>
      <c r="D103">
        <v>19.489999999999998</v>
      </c>
    </row>
    <row r="104" spans="1:4" x14ac:dyDescent="0.35">
      <c r="A104" s="1" t="s">
        <v>37</v>
      </c>
      <c r="B104" s="1" t="s">
        <v>135</v>
      </c>
      <c r="C104">
        <v>2006</v>
      </c>
      <c r="D104">
        <v>14.74</v>
      </c>
    </row>
    <row r="105" spans="1:4" x14ac:dyDescent="0.35">
      <c r="A105" s="1" t="s">
        <v>37</v>
      </c>
      <c r="B105" s="1" t="s">
        <v>135</v>
      </c>
      <c r="C105">
        <v>2007</v>
      </c>
      <c r="D105">
        <v>18.21</v>
      </c>
    </row>
    <row r="106" spans="1:4" x14ac:dyDescent="0.35">
      <c r="A106" s="1" t="s">
        <v>37</v>
      </c>
      <c r="B106" s="1" t="s">
        <v>135</v>
      </c>
      <c r="C106">
        <v>2008</v>
      </c>
      <c r="D106">
        <v>21.97</v>
      </c>
    </row>
    <row r="107" spans="1:4" x14ac:dyDescent="0.35">
      <c r="A107" s="1" t="s">
        <v>37</v>
      </c>
      <c r="B107" s="1" t="s">
        <v>135</v>
      </c>
      <c r="C107">
        <v>2009</v>
      </c>
      <c r="D107">
        <v>18.93</v>
      </c>
    </row>
    <row r="108" spans="1:4" x14ac:dyDescent="0.35">
      <c r="A108" s="1" t="s">
        <v>37</v>
      </c>
      <c r="B108" s="1" t="s">
        <v>135</v>
      </c>
      <c r="C108">
        <v>2010</v>
      </c>
      <c r="D108">
        <v>20.83</v>
      </c>
    </row>
    <row r="109" spans="1:4" x14ac:dyDescent="0.35">
      <c r="A109" s="1" t="s">
        <v>37</v>
      </c>
      <c r="B109" s="1" t="s">
        <v>135</v>
      </c>
      <c r="C109">
        <v>2011</v>
      </c>
      <c r="D109">
        <v>15.52</v>
      </c>
    </row>
    <row r="110" spans="1:4" x14ac:dyDescent="0.35">
      <c r="A110" s="1" t="s">
        <v>37</v>
      </c>
      <c r="B110" s="1" t="s">
        <v>135</v>
      </c>
      <c r="C110">
        <v>2012</v>
      </c>
      <c r="D110">
        <v>15.64</v>
      </c>
    </row>
    <row r="111" spans="1:4" x14ac:dyDescent="0.35">
      <c r="A111" s="1" t="s">
        <v>37</v>
      </c>
      <c r="B111" s="1" t="s">
        <v>135</v>
      </c>
      <c r="C111">
        <v>2013</v>
      </c>
      <c r="D111">
        <v>14.71</v>
      </c>
    </row>
    <row r="112" spans="1:4" x14ac:dyDescent="0.35">
      <c r="A112" s="1" t="s">
        <v>37</v>
      </c>
      <c r="B112" s="1" t="s">
        <v>135</v>
      </c>
      <c r="C112">
        <v>2014</v>
      </c>
      <c r="D112">
        <v>10.72</v>
      </c>
    </row>
    <row r="113" spans="1:4" x14ac:dyDescent="0.35">
      <c r="A113" s="1" t="s">
        <v>37</v>
      </c>
      <c r="B113" s="1" t="s">
        <v>135</v>
      </c>
      <c r="C113">
        <v>2015</v>
      </c>
      <c r="D113">
        <v>9.7899999999999991</v>
      </c>
    </row>
    <row r="114" spans="1:4" x14ac:dyDescent="0.35">
      <c r="A114" s="1" t="s">
        <v>37</v>
      </c>
      <c r="B114" s="1" t="s">
        <v>135</v>
      </c>
      <c r="C114">
        <v>2016</v>
      </c>
      <c r="D114">
        <v>14.81</v>
      </c>
    </row>
    <row r="115" spans="1:4" x14ac:dyDescent="0.35">
      <c r="A115" s="1" t="s">
        <v>37</v>
      </c>
      <c r="B115" s="1" t="s">
        <v>135</v>
      </c>
      <c r="C115">
        <v>2017</v>
      </c>
      <c r="D115">
        <v>13.09</v>
      </c>
    </row>
    <row r="116" spans="1:4" x14ac:dyDescent="0.35">
      <c r="A116" s="1" t="s">
        <v>37</v>
      </c>
      <c r="B116" s="1" t="s">
        <v>135</v>
      </c>
      <c r="C116">
        <v>2018</v>
      </c>
      <c r="D116">
        <v>16.86</v>
      </c>
    </row>
    <row r="117" spans="1:4" x14ac:dyDescent="0.35">
      <c r="A117" s="1" t="s">
        <v>37</v>
      </c>
      <c r="B117" s="1" t="s">
        <v>135</v>
      </c>
      <c r="C117">
        <v>2019</v>
      </c>
      <c r="D117">
        <v>25.17</v>
      </c>
    </row>
    <row r="118" spans="1:4" x14ac:dyDescent="0.35">
      <c r="A118" s="1" t="s">
        <v>37</v>
      </c>
      <c r="B118" s="1" t="s">
        <v>135</v>
      </c>
      <c r="C118">
        <v>2020</v>
      </c>
      <c r="D118">
        <v>27.87</v>
      </c>
    </row>
    <row r="119" spans="1:4" x14ac:dyDescent="0.35">
      <c r="A119" s="1" t="s">
        <v>37</v>
      </c>
      <c r="B119" s="1" t="s">
        <v>135</v>
      </c>
      <c r="C119">
        <v>2021</v>
      </c>
      <c r="D119">
        <v>24.4</v>
      </c>
    </row>
    <row r="120" spans="1:4" x14ac:dyDescent="0.35">
      <c r="A120" s="1" t="s">
        <v>37</v>
      </c>
      <c r="B120" s="1" t="s">
        <v>135</v>
      </c>
      <c r="C120">
        <v>2022</v>
      </c>
      <c r="D120">
        <v>23.79</v>
      </c>
    </row>
    <row r="121" spans="1:4" x14ac:dyDescent="0.35">
      <c r="A121" s="1" t="s">
        <v>37</v>
      </c>
      <c r="B121" s="1" t="s">
        <v>135</v>
      </c>
      <c r="C121">
        <v>2023</v>
      </c>
      <c r="D121">
        <v>24.52</v>
      </c>
    </row>
    <row r="122" spans="1:4" x14ac:dyDescent="0.35">
      <c r="A122" s="1" t="s">
        <v>32</v>
      </c>
      <c r="B122" s="1" t="s">
        <v>135</v>
      </c>
      <c r="C122">
        <v>2000</v>
      </c>
      <c r="D122">
        <v>94.5</v>
      </c>
    </row>
    <row r="123" spans="1:4" x14ac:dyDescent="0.35">
      <c r="A123" s="1" t="s">
        <v>32</v>
      </c>
      <c r="B123" s="1" t="s">
        <v>135</v>
      </c>
      <c r="C123">
        <v>2001</v>
      </c>
      <c r="D123">
        <v>95.09</v>
      </c>
    </row>
    <row r="124" spans="1:4" x14ac:dyDescent="0.35">
      <c r="A124" s="1" t="s">
        <v>32</v>
      </c>
      <c r="B124" s="1" t="s">
        <v>135</v>
      </c>
      <c r="C124">
        <v>2002</v>
      </c>
      <c r="D124">
        <v>95.51</v>
      </c>
    </row>
    <row r="125" spans="1:4" x14ac:dyDescent="0.35">
      <c r="A125" s="1" t="s">
        <v>32</v>
      </c>
      <c r="B125" s="1" t="s">
        <v>135</v>
      </c>
      <c r="C125">
        <v>2003</v>
      </c>
      <c r="D125">
        <v>94.56</v>
      </c>
    </row>
    <row r="126" spans="1:4" x14ac:dyDescent="0.35">
      <c r="A126" s="1" t="s">
        <v>32</v>
      </c>
      <c r="B126" s="1" t="s">
        <v>135</v>
      </c>
      <c r="C126">
        <v>2004</v>
      </c>
      <c r="D126">
        <v>94.08</v>
      </c>
    </row>
    <row r="127" spans="1:4" x14ac:dyDescent="0.35">
      <c r="A127" s="1" t="s">
        <v>32</v>
      </c>
      <c r="B127" s="1" t="s">
        <v>135</v>
      </c>
      <c r="C127">
        <v>2005</v>
      </c>
      <c r="D127">
        <v>94.48</v>
      </c>
    </row>
    <row r="128" spans="1:4" x14ac:dyDescent="0.35">
      <c r="A128" s="1" t="s">
        <v>32</v>
      </c>
      <c r="B128" s="1" t="s">
        <v>135</v>
      </c>
      <c r="C128">
        <v>2006</v>
      </c>
      <c r="D128">
        <v>96.29</v>
      </c>
    </row>
    <row r="129" spans="1:4" x14ac:dyDescent="0.35">
      <c r="A129" s="1" t="s">
        <v>32</v>
      </c>
      <c r="B129" s="1" t="s">
        <v>135</v>
      </c>
      <c r="C129">
        <v>2007</v>
      </c>
      <c r="D129">
        <v>97.07</v>
      </c>
    </row>
    <row r="130" spans="1:4" x14ac:dyDescent="0.35">
      <c r="A130" s="1" t="s">
        <v>32</v>
      </c>
      <c r="B130" s="1" t="s">
        <v>135</v>
      </c>
      <c r="C130">
        <v>2008</v>
      </c>
      <c r="D130">
        <v>97.25</v>
      </c>
    </row>
    <row r="131" spans="1:4" x14ac:dyDescent="0.35">
      <c r="A131" s="1" t="s">
        <v>32</v>
      </c>
      <c r="B131" s="1" t="s">
        <v>135</v>
      </c>
      <c r="C131">
        <v>2009</v>
      </c>
      <c r="D131">
        <v>97.11</v>
      </c>
    </row>
    <row r="132" spans="1:4" x14ac:dyDescent="0.35">
      <c r="A132" s="1" t="s">
        <v>32</v>
      </c>
      <c r="B132" s="1" t="s">
        <v>135</v>
      </c>
      <c r="C132">
        <v>2010</v>
      </c>
      <c r="D132">
        <v>88.46</v>
      </c>
    </row>
    <row r="133" spans="1:4" x14ac:dyDescent="0.35">
      <c r="A133" s="1" t="s">
        <v>32</v>
      </c>
      <c r="B133" s="1" t="s">
        <v>135</v>
      </c>
      <c r="C133">
        <v>2011</v>
      </c>
      <c r="D133">
        <v>91.66</v>
      </c>
    </row>
    <row r="134" spans="1:4" x14ac:dyDescent="0.35">
      <c r="A134" s="1" t="s">
        <v>32</v>
      </c>
      <c r="B134" s="1" t="s">
        <v>135</v>
      </c>
      <c r="C134">
        <v>2012</v>
      </c>
      <c r="D134">
        <v>98.15</v>
      </c>
    </row>
    <row r="135" spans="1:4" x14ac:dyDescent="0.35">
      <c r="A135" s="1" t="s">
        <v>32</v>
      </c>
      <c r="B135" s="1" t="s">
        <v>135</v>
      </c>
      <c r="C135">
        <v>2013</v>
      </c>
      <c r="D135">
        <v>91.02</v>
      </c>
    </row>
    <row r="136" spans="1:4" x14ac:dyDescent="0.35">
      <c r="A136" s="1" t="s">
        <v>32</v>
      </c>
      <c r="B136" s="1" t="s">
        <v>135</v>
      </c>
      <c r="C136">
        <v>2014</v>
      </c>
      <c r="D136">
        <v>87.75</v>
      </c>
    </row>
    <row r="137" spans="1:4" x14ac:dyDescent="0.35">
      <c r="A137" s="1" t="s">
        <v>32</v>
      </c>
      <c r="B137" s="1" t="s">
        <v>135</v>
      </c>
      <c r="C137">
        <v>2015</v>
      </c>
      <c r="D137">
        <v>88.58</v>
      </c>
    </row>
    <row r="138" spans="1:4" x14ac:dyDescent="0.35">
      <c r="A138" s="1" t="s">
        <v>32</v>
      </c>
      <c r="B138" s="1" t="s">
        <v>135</v>
      </c>
      <c r="C138">
        <v>2016</v>
      </c>
      <c r="D138">
        <v>91.35</v>
      </c>
    </row>
    <row r="139" spans="1:4" x14ac:dyDescent="0.35">
      <c r="A139" s="1" t="s">
        <v>32</v>
      </c>
      <c r="B139" s="1" t="s">
        <v>135</v>
      </c>
      <c r="C139">
        <v>2017</v>
      </c>
      <c r="D139">
        <v>71.02</v>
      </c>
    </row>
    <row r="140" spans="1:4" x14ac:dyDescent="0.35">
      <c r="A140" s="1" t="s">
        <v>32</v>
      </c>
      <c r="B140" s="1" t="s">
        <v>135</v>
      </c>
      <c r="C140">
        <v>2018</v>
      </c>
      <c r="D140">
        <v>68.180000000000007</v>
      </c>
    </row>
    <row r="141" spans="1:4" x14ac:dyDescent="0.35">
      <c r="A141" s="1" t="s">
        <v>32</v>
      </c>
      <c r="B141" s="1" t="s">
        <v>135</v>
      </c>
      <c r="C141">
        <v>2019</v>
      </c>
      <c r="D141">
        <v>64.650000000000006</v>
      </c>
    </row>
    <row r="142" spans="1:4" x14ac:dyDescent="0.35">
      <c r="A142" s="1" t="s">
        <v>32</v>
      </c>
      <c r="B142" s="1" t="s">
        <v>135</v>
      </c>
      <c r="C142">
        <v>2020</v>
      </c>
      <c r="D142">
        <v>75.83</v>
      </c>
    </row>
    <row r="143" spans="1:4" x14ac:dyDescent="0.35">
      <c r="A143" s="1" t="s">
        <v>32</v>
      </c>
      <c r="B143" s="1" t="s">
        <v>135</v>
      </c>
      <c r="C143">
        <v>2021</v>
      </c>
      <c r="D143">
        <v>68.319999999999993</v>
      </c>
    </row>
    <row r="144" spans="1:4" x14ac:dyDescent="0.35">
      <c r="A144" s="1" t="s">
        <v>32</v>
      </c>
      <c r="B144" s="1" t="s">
        <v>135</v>
      </c>
      <c r="C144">
        <v>2022</v>
      </c>
      <c r="D144">
        <v>72.97</v>
      </c>
    </row>
    <row r="145" spans="1:4" x14ac:dyDescent="0.35">
      <c r="A145" s="1" t="s">
        <v>32</v>
      </c>
      <c r="B145" s="1" t="s">
        <v>135</v>
      </c>
      <c r="C145">
        <v>2023</v>
      </c>
      <c r="D145">
        <v>95.62</v>
      </c>
    </row>
    <row r="146" spans="1:4" x14ac:dyDescent="0.35">
      <c r="A146" s="1" t="s">
        <v>48</v>
      </c>
      <c r="B146" s="1" t="s">
        <v>135</v>
      </c>
      <c r="C146">
        <v>2000</v>
      </c>
      <c r="D146">
        <v>3.11</v>
      </c>
    </row>
    <row r="147" spans="1:4" x14ac:dyDescent="0.35">
      <c r="A147" s="1" t="s">
        <v>48</v>
      </c>
      <c r="B147" s="1" t="s">
        <v>135</v>
      </c>
      <c r="C147">
        <v>2001</v>
      </c>
      <c r="D147">
        <v>2.16</v>
      </c>
    </row>
    <row r="148" spans="1:4" x14ac:dyDescent="0.35">
      <c r="A148" s="1" t="s">
        <v>48</v>
      </c>
      <c r="B148" s="1" t="s">
        <v>135</v>
      </c>
      <c r="C148">
        <v>2002</v>
      </c>
      <c r="D148">
        <v>3.16</v>
      </c>
    </row>
    <row r="149" spans="1:4" x14ac:dyDescent="0.35">
      <c r="A149" s="1" t="s">
        <v>48</v>
      </c>
      <c r="B149" s="1" t="s">
        <v>135</v>
      </c>
      <c r="C149">
        <v>2003</v>
      </c>
      <c r="D149">
        <v>2.7</v>
      </c>
    </row>
    <row r="150" spans="1:4" x14ac:dyDescent="0.35">
      <c r="A150" s="1" t="s">
        <v>48</v>
      </c>
      <c r="B150" s="1" t="s">
        <v>135</v>
      </c>
      <c r="C150">
        <v>2004</v>
      </c>
      <c r="D150">
        <v>2.94</v>
      </c>
    </row>
    <row r="151" spans="1:4" x14ac:dyDescent="0.35">
      <c r="A151" s="1" t="s">
        <v>48</v>
      </c>
      <c r="B151" s="1" t="s">
        <v>135</v>
      </c>
      <c r="C151">
        <v>2005</v>
      </c>
      <c r="D151">
        <v>2.73</v>
      </c>
    </row>
    <row r="152" spans="1:4" x14ac:dyDescent="0.35">
      <c r="A152" s="1" t="s">
        <v>48</v>
      </c>
      <c r="B152" s="1" t="s">
        <v>135</v>
      </c>
      <c r="C152">
        <v>2006</v>
      </c>
      <c r="D152">
        <v>2.97</v>
      </c>
    </row>
    <row r="153" spans="1:4" x14ac:dyDescent="0.35">
      <c r="A153" s="1" t="s">
        <v>48</v>
      </c>
      <c r="B153" s="1" t="s">
        <v>135</v>
      </c>
      <c r="C153">
        <v>2007</v>
      </c>
      <c r="D153">
        <v>2.56</v>
      </c>
    </row>
    <row r="154" spans="1:4" x14ac:dyDescent="0.35">
      <c r="A154" s="1" t="s">
        <v>48</v>
      </c>
      <c r="B154" s="1" t="s">
        <v>135</v>
      </c>
      <c r="C154">
        <v>2008</v>
      </c>
      <c r="D154">
        <v>1.93</v>
      </c>
    </row>
    <row r="155" spans="1:4" x14ac:dyDescent="0.35">
      <c r="A155" s="1" t="s">
        <v>48</v>
      </c>
      <c r="B155" s="1" t="s">
        <v>135</v>
      </c>
      <c r="C155">
        <v>2009</v>
      </c>
      <c r="D155">
        <v>1.58</v>
      </c>
    </row>
    <row r="156" spans="1:4" x14ac:dyDescent="0.35">
      <c r="A156" s="1" t="s">
        <v>48</v>
      </c>
      <c r="B156" s="1" t="s">
        <v>135</v>
      </c>
      <c r="C156">
        <v>2010</v>
      </c>
      <c r="D156">
        <v>1.21</v>
      </c>
    </row>
    <row r="157" spans="1:4" x14ac:dyDescent="0.35">
      <c r="A157" s="1" t="s">
        <v>48</v>
      </c>
      <c r="B157" s="1" t="s">
        <v>135</v>
      </c>
      <c r="C157">
        <v>2011</v>
      </c>
      <c r="D157">
        <v>7.04</v>
      </c>
    </row>
    <row r="158" spans="1:4" x14ac:dyDescent="0.35">
      <c r="A158" s="1" t="s">
        <v>48</v>
      </c>
      <c r="B158" s="1" t="s">
        <v>135</v>
      </c>
      <c r="C158">
        <v>2012</v>
      </c>
      <c r="D158">
        <v>19.010000000000002</v>
      </c>
    </row>
    <row r="159" spans="1:4" x14ac:dyDescent="0.35">
      <c r="A159" s="1" t="s">
        <v>48</v>
      </c>
      <c r="B159" s="1" t="s">
        <v>135</v>
      </c>
      <c r="C159">
        <v>2013</v>
      </c>
      <c r="D159">
        <v>21.28</v>
      </c>
    </row>
    <row r="160" spans="1:4" x14ac:dyDescent="0.35">
      <c r="A160" s="1" t="s">
        <v>48</v>
      </c>
      <c r="B160" s="1" t="s">
        <v>135</v>
      </c>
      <c r="C160">
        <v>2014</v>
      </c>
      <c r="D160">
        <v>22.21</v>
      </c>
    </row>
    <row r="161" spans="1:4" x14ac:dyDescent="0.35">
      <c r="A161" s="1" t="s">
        <v>48</v>
      </c>
      <c r="B161" s="1" t="s">
        <v>135</v>
      </c>
      <c r="C161">
        <v>2015</v>
      </c>
      <c r="D161">
        <v>20.27</v>
      </c>
    </row>
    <row r="162" spans="1:4" x14ac:dyDescent="0.35">
      <c r="A162" s="1" t="s">
        <v>48</v>
      </c>
      <c r="B162" s="1" t="s">
        <v>135</v>
      </c>
      <c r="C162">
        <v>2016</v>
      </c>
      <c r="D162">
        <v>18.600000000000001</v>
      </c>
    </row>
    <row r="163" spans="1:4" x14ac:dyDescent="0.35">
      <c r="A163" s="1" t="s">
        <v>48</v>
      </c>
      <c r="B163" s="1" t="s">
        <v>135</v>
      </c>
      <c r="C163">
        <v>2017</v>
      </c>
      <c r="D163">
        <v>17.64</v>
      </c>
    </row>
    <row r="164" spans="1:4" x14ac:dyDescent="0.35">
      <c r="A164" s="1" t="s">
        <v>48</v>
      </c>
      <c r="B164" s="1" t="s">
        <v>135</v>
      </c>
      <c r="C164">
        <v>2018</v>
      </c>
      <c r="D164">
        <v>20.8</v>
      </c>
    </row>
    <row r="165" spans="1:4" x14ac:dyDescent="0.35">
      <c r="A165" s="1" t="s">
        <v>48</v>
      </c>
      <c r="B165" s="1" t="s">
        <v>135</v>
      </c>
      <c r="C165">
        <v>2019</v>
      </c>
      <c r="D165">
        <v>18.66</v>
      </c>
    </row>
    <row r="166" spans="1:4" x14ac:dyDescent="0.35">
      <c r="A166" s="1" t="s">
        <v>48</v>
      </c>
      <c r="B166" s="1" t="s">
        <v>135</v>
      </c>
      <c r="C166">
        <v>2020</v>
      </c>
      <c r="D166">
        <v>16.82</v>
      </c>
    </row>
    <row r="167" spans="1:4" x14ac:dyDescent="0.35">
      <c r="A167" s="1" t="s">
        <v>48</v>
      </c>
      <c r="B167" s="1" t="s">
        <v>135</v>
      </c>
      <c r="C167">
        <v>2021</v>
      </c>
      <c r="D167">
        <v>18.27</v>
      </c>
    </row>
    <row r="168" spans="1:4" x14ac:dyDescent="0.35">
      <c r="A168" s="1" t="s">
        <v>48</v>
      </c>
      <c r="B168" s="1" t="s">
        <v>135</v>
      </c>
      <c r="C168">
        <v>2022</v>
      </c>
      <c r="D168">
        <v>16.82</v>
      </c>
    </row>
    <row r="169" spans="1:4" x14ac:dyDescent="0.35">
      <c r="A169" s="1" t="s">
        <v>48</v>
      </c>
      <c r="B169" s="1" t="s">
        <v>135</v>
      </c>
      <c r="C169">
        <v>2023</v>
      </c>
      <c r="D169">
        <v>15.97</v>
      </c>
    </row>
    <row r="170" spans="1:4" x14ac:dyDescent="0.35">
      <c r="A170" s="1" t="s">
        <v>44</v>
      </c>
      <c r="B170" s="1" t="s">
        <v>135</v>
      </c>
      <c r="C170">
        <v>2000</v>
      </c>
      <c r="D170">
        <v>96.54</v>
      </c>
    </row>
    <row r="171" spans="1:4" x14ac:dyDescent="0.35">
      <c r="A171" s="1" t="s">
        <v>44</v>
      </c>
      <c r="B171" s="1" t="s">
        <v>135</v>
      </c>
      <c r="C171">
        <v>2001</v>
      </c>
      <c r="D171">
        <v>95.75</v>
      </c>
    </row>
    <row r="172" spans="1:4" x14ac:dyDescent="0.35">
      <c r="A172" s="1" t="s">
        <v>44</v>
      </c>
      <c r="B172" s="1" t="s">
        <v>135</v>
      </c>
      <c r="C172">
        <v>2002</v>
      </c>
      <c r="D172">
        <v>93.86</v>
      </c>
    </row>
    <row r="173" spans="1:4" x14ac:dyDescent="0.35">
      <c r="A173" s="1" t="s">
        <v>44</v>
      </c>
      <c r="B173" s="1" t="s">
        <v>135</v>
      </c>
      <c r="C173">
        <v>2003</v>
      </c>
      <c r="D173">
        <v>93.44</v>
      </c>
    </row>
    <row r="174" spans="1:4" x14ac:dyDescent="0.35">
      <c r="A174" s="1" t="s">
        <v>44</v>
      </c>
      <c r="B174" s="1" t="s">
        <v>135</v>
      </c>
      <c r="C174">
        <v>2004</v>
      </c>
      <c r="D174">
        <v>93</v>
      </c>
    </row>
    <row r="175" spans="1:4" x14ac:dyDescent="0.35">
      <c r="A175" s="1" t="s">
        <v>44</v>
      </c>
      <c r="B175" s="1" t="s">
        <v>135</v>
      </c>
      <c r="C175">
        <v>2005</v>
      </c>
      <c r="D175">
        <v>92.14</v>
      </c>
    </row>
    <row r="176" spans="1:4" x14ac:dyDescent="0.35">
      <c r="A176" s="1" t="s">
        <v>44</v>
      </c>
      <c r="B176" s="1" t="s">
        <v>135</v>
      </c>
      <c r="C176">
        <v>2006</v>
      </c>
      <c r="D176">
        <v>91.85</v>
      </c>
    </row>
    <row r="177" spans="1:4" x14ac:dyDescent="0.35">
      <c r="A177" s="1" t="s">
        <v>44</v>
      </c>
      <c r="B177" s="1" t="s">
        <v>135</v>
      </c>
      <c r="C177">
        <v>2007</v>
      </c>
      <c r="D177">
        <v>88.51</v>
      </c>
    </row>
    <row r="178" spans="1:4" x14ac:dyDescent="0.35">
      <c r="A178" s="1" t="s">
        <v>44</v>
      </c>
      <c r="B178" s="1" t="s">
        <v>135</v>
      </c>
      <c r="C178">
        <v>2008</v>
      </c>
      <c r="D178">
        <v>91.43</v>
      </c>
    </row>
    <row r="179" spans="1:4" x14ac:dyDescent="0.35">
      <c r="A179" s="1" t="s">
        <v>44</v>
      </c>
      <c r="B179" s="1" t="s">
        <v>135</v>
      </c>
      <c r="C179">
        <v>2009</v>
      </c>
      <c r="D179">
        <v>88.11</v>
      </c>
    </row>
    <row r="180" spans="1:4" x14ac:dyDescent="0.35">
      <c r="A180" s="1" t="s">
        <v>44</v>
      </c>
      <c r="B180" s="1" t="s">
        <v>135</v>
      </c>
      <c r="C180">
        <v>2010</v>
      </c>
      <c r="D180">
        <v>85.98</v>
      </c>
    </row>
    <row r="181" spans="1:4" x14ac:dyDescent="0.35">
      <c r="A181" s="1" t="s">
        <v>44</v>
      </c>
      <c r="B181" s="1" t="s">
        <v>135</v>
      </c>
      <c r="C181">
        <v>2011</v>
      </c>
      <c r="D181">
        <v>86.06</v>
      </c>
    </row>
    <row r="182" spans="1:4" x14ac:dyDescent="0.35">
      <c r="A182" s="1" t="s">
        <v>44</v>
      </c>
      <c r="B182" s="1" t="s">
        <v>135</v>
      </c>
      <c r="C182">
        <v>2012</v>
      </c>
      <c r="D182">
        <v>84.77</v>
      </c>
    </row>
    <row r="183" spans="1:4" x14ac:dyDescent="0.35">
      <c r="A183" s="1" t="s">
        <v>44</v>
      </c>
      <c r="B183" s="1" t="s">
        <v>135</v>
      </c>
      <c r="C183">
        <v>2013</v>
      </c>
      <c r="D183">
        <v>79.09</v>
      </c>
    </row>
    <row r="184" spans="1:4" x14ac:dyDescent="0.35">
      <c r="A184" s="1" t="s">
        <v>44</v>
      </c>
      <c r="B184" s="1" t="s">
        <v>135</v>
      </c>
      <c r="C184">
        <v>2014</v>
      </c>
      <c r="D184">
        <v>79.489999999999995</v>
      </c>
    </row>
    <row r="185" spans="1:4" x14ac:dyDescent="0.35">
      <c r="A185" s="1" t="s">
        <v>44</v>
      </c>
      <c r="B185" s="1" t="s">
        <v>135</v>
      </c>
      <c r="C185">
        <v>2015</v>
      </c>
      <c r="D185">
        <v>71.010000000000005</v>
      </c>
    </row>
    <row r="186" spans="1:4" x14ac:dyDescent="0.35">
      <c r="A186" s="1" t="s">
        <v>44</v>
      </c>
      <c r="B186" s="1" t="s">
        <v>135</v>
      </c>
      <c r="C186">
        <v>2016</v>
      </c>
      <c r="D186">
        <v>74.45</v>
      </c>
    </row>
    <row r="187" spans="1:4" x14ac:dyDescent="0.35">
      <c r="A187" s="1" t="s">
        <v>44</v>
      </c>
      <c r="B187" s="1" t="s">
        <v>135</v>
      </c>
      <c r="C187">
        <v>2017</v>
      </c>
      <c r="D187">
        <v>74.63</v>
      </c>
    </row>
    <row r="188" spans="1:4" x14ac:dyDescent="0.35">
      <c r="A188" s="1" t="s">
        <v>44</v>
      </c>
      <c r="B188" s="1" t="s">
        <v>135</v>
      </c>
      <c r="C188">
        <v>2018</v>
      </c>
      <c r="D188">
        <v>72.39</v>
      </c>
    </row>
    <row r="189" spans="1:4" x14ac:dyDescent="0.35">
      <c r="A189" s="1" t="s">
        <v>44</v>
      </c>
      <c r="B189" s="1" t="s">
        <v>135</v>
      </c>
      <c r="C189">
        <v>2019</v>
      </c>
      <c r="D189">
        <v>75.930000000000007</v>
      </c>
    </row>
    <row r="190" spans="1:4" x14ac:dyDescent="0.35">
      <c r="A190" s="1" t="s">
        <v>44</v>
      </c>
      <c r="B190" s="1" t="s">
        <v>135</v>
      </c>
      <c r="C190">
        <v>2020</v>
      </c>
      <c r="D190">
        <v>76.73</v>
      </c>
    </row>
    <row r="191" spans="1:4" x14ac:dyDescent="0.35">
      <c r="A191" s="1" t="s">
        <v>44</v>
      </c>
      <c r="B191" s="1" t="s">
        <v>135</v>
      </c>
      <c r="C191">
        <v>2021</v>
      </c>
      <c r="D191">
        <v>76.78</v>
      </c>
    </row>
    <row r="192" spans="1:4" x14ac:dyDescent="0.35">
      <c r="A192" s="1" t="s">
        <v>44</v>
      </c>
      <c r="B192" s="1" t="s">
        <v>135</v>
      </c>
      <c r="C192">
        <v>2022</v>
      </c>
      <c r="D192">
        <v>76.78</v>
      </c>
    </row>
    <row r="193" spans="1:4" x14ac:dyDescent="0.35">
      <c r="A193" s="1" t="s">
        <v>44</v>
      </c>
      <c r="B193" s="1" t="s">
        <v>135</v>
      </c>
      <c r="C193">
        <v>2023</v>
      </c>
      <c r="D193">
        <v>77.05</v>
      </c>
    </row>
    <row r="194" spans="1:4" x14ac:dyDescent="0.35">
      <c r="A194" s="1" t="s">
        <v>114</v>
      </c>
      <c r="B194" s="1" t="s">
        <v>135</v>
      </c>
      <c r="C194">
        <v>2000</v>
      </c>
      <c r="D194">
        <v>5.98</v>
      </c>
    </row>
    <row r="195" spans="1:4" x14ac:dyDescent="0.35">
      <c r="A195" s="1" t="s">
        <v>114</v>
      </c>
      <c r="B195" s="1" t="s">
        <v>135</v>
      </c>
      <c r="C195">
        <v>2001</v>
      </c>
      <c r="D195">
        <v>6.32</v>
      </c>
    </row>
    <row r="196" spans="1:4" x14ac:dyDescent="0.35">
      <c r="A196" s="1" t="s">
        <v>114</v>
      </c>
      <c r="B196" s="1" t="s">
        <v>135</v>
      </c>
      <c r="C196">
        <v>2002</v>
      </c>
      <c r="D196">
        <v>6.4</v>
      </c>
    </row>
    <row r="197" spans="1:4" x14ac:dyDescent="0.35">
      <c r="A197" s="1" t="s">
        <v>114</v>
      </c>
      <c r="B197" s="1" t="s">
        <v>135</v>
      </c>
      <c r="C197">
        <v>2003</v>
      </c>
      <c r="D197">
        <v>5.92</v>
      </c>
    </row>
    <row r="198" spans="1:4" x14ac:dyDescent="0.35">
      <c r="A198" s="1" t="s">
        <v>114</v>
      </c>
      <c r="B198" s="1" t="s">
        <v>135</v>
      </c>
      <c r="C198">
        <v>2004</v>
      </c>
      <c r="D198">
        <v>5.43</v>
      </c>
    </row>
    <row r="199" spans="1:4" x14ac:dyDescent="0.35">
      <c r="A199" s="1" t="s">
        <v>114</v>
      </c>
      <c r="B199" s="1" t="s">
        <v>135</v>
      </c>
      <c r="C199">
        <v>2005</v>
      </c>
      <c r="D199">
        <v>6.27</v>
      </c>
    </row>
    <row r="200" spans="1:4" x14ac:dyDescent="0.35">
      <c r="A200" s="1" t="s">
        <v>114</v>
      </c>
      <c r="B200" s="1" t="s">
        <v>135</v>
      </c>
      <c r="C200">
        <v>2006</v>
      </c>
      <c r="D200">
        <v>6.27</v>
      </c>
    </row>
    <row r="201" spans="1:4" x14ac:dyDescent="0.35">
      <c r="A201" s="1" t="s">
        <v>114</v>
      </c>
      <c r="B201" s="1" t="s">
        <v>135</v>
      </c>
      <c r="C201">
        <v>2007</v>
      </c>
      <c r="D201">
        <v>5.53</v>
      </c>
    </row>
    <row r="202" spans="1:4" x14ac:dyDescent="0.35">
      <c r="A202" s="1" t="s">
        <v>114</v>
      </c>
      <c r="B202" s="1" t="s">
        <v>135</v>
      </c>
      <c r="C202">
        <v>2008</v>
      </c>
      <c r="D202">
        <v>5.73</v>
      </c>
    </row>
    <row r="203" spans="1:4" x14ac:dyDescent="0.35">
      <c r="A203" s="1" t="s">
        <v>114</v>
      </c>
      <c r="B203" s="1" t="s">
        <v>135</v>
      </c>
      <c r="C203">
        <v>2009</v>
      </c>
      <c r="D203">
        <v>6.26</v>
      </c>
    </row>
    <row r="204" spans="1:4" x14ac:dyDescent="0.35">
      <c r="A204" s="1" t="s">
        <v>114</v>
      </c>
      <c r="B204" s="1" t="s">
        <v>135</v>
      </c>
      <c r="C204">
        <v>2010</v>
      </c>
      <c r="D204">
        <v>6.22</v>
      </c>
    </row>
    <row r="205" spans="1:4" x14ac:dyDescent="0.35">
      <c r="A205" s="1" t="s">
        <v>114</v>
      </c>
      <c r="B205" s="1" t="s">
        <v>135</v>
      </c>
      <c r="C205">
        <v>2011</v>
      </c>
      <c r="D205">
        <v>5.99</v>
      </c>
    </row>
    <row r="206" spans="1:4" x14ac:dyDescent="0.35">
      <c r="A206" s="1" t="s">
        <v>114</v>
      </c>
      <c r="B206" s="1" t="s">
        <v>135</v>
      </c>
      <c r="C206">
        <v>2012</v>
      </c>
      <c r="D206">
        <v>6.09</v>
      </c>
    </row>
    <row r="207" spans="1:4" x14ac:dyDescent="0.35">
      <c r="A207" s="1" t="s">
        <v>114</v>
      </c>
      <c r="B207" s="1" t="s">
        <v>135</v>
      </c>
      <c r="C207">
        <v>2013</v>
      </c>
      <c r="D207">
        <v>6.22</v>
      </c>
    </row>
    <row r="208" spans="1:4" x14ac:dyDescent="0.35">
      <c r="A208" s="1" t="s">
        <v>114</v>
      </c>
      <c r="B208" s="1" t="s">
        <v>135</v>
      </c>
      <c r="C208">
        <v>2014</v>
      </c>
      <c r="D208">
        <v>6.33</v>
      </c>
    </row>
    <row r="209" spans="1:4" x14ac:dyDescent="0.35">
      <c r="A209" s="1" t="s">
        <v>114</v>
      </c>
      <c r="B209" s="1" t="s">
        <v>135</v>
      </c>
      <c r="C209">
        <v>2015</v>
      </c>
      <c r="D209">
        <v>2.5299999999999998</v>
      </c>
    </row>
    <row r="210" spans="1:4" x14ac:dyDescent="0.35">
      <c r="A210" s="1" t="s">
        <v>114</v>
      </c>
      <c r="B210" s="1" t="s">
        <v>135</v>
      </c>
      <c r="C210">
        <v>2016</v>
      </c>
      <c r="D210">
        <v>5.09</v>
      </c>
    </row>
    <row r="211" spans="1:4" x14ac:dyDescent="0.35">
      <c r="A211" s="1" t="s">
        <v>114</v>
      </c>
      <c r="B211" s="1" t="s">
        <v>135</v>
      </c>
      <c r="C211">
        <v>2017</v>
      </c>
      <c r="D211">
        <v>4.96</v>
      </c>
    </row>
    <row r="212" spans="1:4" x14ac:dyDescent="0.35">
      <c r="A212" s="1" t="s">
        <v>114</v>
      </c>
      <c r="B212" s="1" t="s">
        <v>135</v>
      </c>
      <c r="C212">
        <v>2018</v>
      </c>
      <c r="D212">
        <v>5</v>
      </c>
    </row>
    <row r="213" spans="1:4" x14ac:dyDescent="0.35">
      <c r="A213" s="1" t="s">
        <v>114</v>
      </c>
      <c r="B213" s="1" t="s">
        <v>135</v>
      </c>
      <c r="C213">
        <v>2019</v>
      </c>
      <c r="D213">
        <v>4.6100000000000003</v>
      </c>
    </row>
    <row r="214" spans="1:4" x14ac:dyDescent="0.35">
      <c r="A214" s="1" t="s">
        <v>114</v>
      </c>
      <c r="B214" s="1" t="s">
        <v>135</v>
      </c>
      <c r="C214">
        <v>2020</v>
      </c>
      <c r="D214">
        <v>5.33</v>
      </c>
    </row>
    <row r="215" spans="1:4" x14ac:dyDescent="0.35">
      <c r="A215" s="1" t="s">
        <v>114</v>
      </c>
      <c r="B215" s="1" t="s">
        <v>135</v>
      </c>
      <c r="C215">
        <v>2021</v>
      </c>
      <c r="D215">
        <v>5.79</v>
      </c>
    </row>
    <row r="216" spans="1:4" x14ac:dyDescent="0.35">
      <c r="A216" s="1" t="s">
        <v>114</v>
      </c>
      <c r="B216" s="1" t="s">
        <v>135</v>
      </c>
      <c r="C216">
        <v>2022</v>
      </c>
      <c r="D216">
        <v>5.83</v>
      </c>
    </row>
    <row r="217" spans="1:4" x14ac:dyDescent="0.35">
      <c r="A217" s="1" t="s">
        <v>114</v>
      </c>
      <c r="B217" s="1" t="s">
        <v>135</v>
      </c>
      <c r="C217">
        <v>2023</v>
      </c>
      <c r="D217">
        <v>5.7</v>
      </c>
    </row>
    <row r="218" spans="1:4" x14ac:dyDescent="0.35">
      <c r="A218" s="1" t="s">
        <v>50</v>
      </c>
      <c r="B218" s="1" t="s">
        <v>135</v>
      </c>
      <c r="C218">
        <v>2000</v>
      </c>
      <c r="D218" t="s">
        <v>136</v>
      </c>
    </row>
    <row r="219" spans="1:4" x14ac:dyDescent="0.35">
      <c r="A219" s="1" t="s">
        <v>50</v>
      </c>
      <c r="B219" s="1" t="s">
        <v>135</v>
      </c>
      <c r="C219">
        <v>2001</v>
      </c>
      <c r="D219" t="s">
        <v>136</v>
      </c>
    </row>
    <row r="220" spans="1:4" x14ac:dyDescent="0.35">
      <c r="A220" s="1" t="s">
        <v>50</v>
      </c>
      <c r="B220" s="1" t="s">
        <v>135</v>
      </c>
      <c r="C220">
        <v>2002</v>
      </c>
      <c r="D220" t="s">
        <v>136</v>
      </c>
    </row>
    <row r="221" spans="1:4" x14ac:dyDescent="0.35">
      <c r="A221" s="1" t="s">
        <v>50</v>
      </c>
      <c r="B221" s="1" t="s">
        <v>135</v>
      </c>
      <c r="C221">
        <v>2003</v>
      </c>
      <c r="D221" t="s">
        <v>136</v>
      </c>
    </row>
    <row r="222" spans="1:4" x14ac:dyDescent="0.35">
      <c r="A222" s="1" t="s">
        <v>50</v>
      </c>
      <c r="B222" s="1" t="s">
        <v>135</v>
      </c>
      <c r="C222">
        <v>2004</v>
      </c>
      <c r="D222" t="s">
        <v>136</v>
      </c>
    </row>
    <row r="223" spans="1:4" x14ac:dyDescent="0.35">
      <c r="A223" s="1" t="s">
        <v>50</v>
      </c>
      <c r="B223" s="1" t="s">
        <v>135</v>
      </c>
      <c r="C223">
        <v>2005</v>
      </c>
      <c r="D223" t="s">
        <v>136</v>
      </c>
    </row>
    <row r="224" spans="1:4" x14ac:dyDescent="0.35">
      <c r="A224" s="1" t="s">
        <v>50</v>
      </c>
      <c r="B224" s="1" t="s">
        <v>135</v>
      </c>
      <c r="C224">
        <v>2006</v>
      </c>
      <c r="D224" t="s">
        <v>136</v>
      </c>
    </row>
    <row r="225" spans="1:4" x14ac:dyDescent="0.35">
      <c r="A225" s="1" t="s">
        <v>50</v>
      </c>
      <c r="B225" s="1" t="s">
        <v>135</v>
      </c>
      <c r="C225">
        <v>2007</v>
      </c>
      <c r="D225" t="s">
        <v>136</v>
      </c>
    </row>
    <row r="226" spans="1:4" x14ac:dyDescent="0.35">
      <c r="A226" s="1" t="s">
        <v>50</v>
      </c>
      <c r="B226" s="1" t="s">
        <v>135</v>
      </c>
      <c r="C226">
        <v>2008</v>
      </c>
      <c r="D226" t="s">
        <v>136</v>
      </c>
    </row>
    <row r="227" spans="1:4" x14ac:dyDescent="0.35">
      <c r="A227" s="1" t="s">
        <v>50</v>
      </c>
      <c r="B227" s="1" t="s">
        <v>135</v>
      </c>
      <c r="C227">
        <v>2009</v>
      </c>
      <c r="D227" t="s">
        <v>136</v>
      </c>
    </row>
    <row r="228" spans="1:4" x14ac:dyDescent="0.35">
      <c r="A228" s="1" t="s">
        <v>50</v>
      </c>
      <c r="B228" s="1" t="s">
        <v>135</v>
      </c>
      <c r="C228">
        <v>2010</v>
      </c>
      <c r="D228" t="s">
        <v>136</v>
      </c>
    </row>
    <row r="229" spans="1:4" x14ac:dyDescent="0.35">
      <c r="A229" s="1" t="s">
        <v>50</v>
      </c>
      <c r="B229" s="1" t="s">
        <v>135</v>
      </c>
      <c r="C229">
        <v>2011</v>
      </c>
      <c r="D229" t="s">
        <v>136</v>
      </c>
    </row>
    <row r="230" spans="1:4" x14ac:dyDescent="0.35">
      <c r="A230" s="1" t="s">
        <v>50</v>
      </c>
      <c r="B230" s="1" t="s">
        <v>135</v>
      </c>
      <c r="C230">
        <v>2012</v>
      </c>
      <c r="D230">
        <v>0.03</v>
      </c>
    </row>
    <row r="231" spans="1:4" x14ac:dyDescent="0.35">
      <c r="A231" s="1" t="s">
        <v>50</v>
      </c>
      <c r="B231" s="1" t="s">
        <v>135</v>
      </c>
      <c r="C231">
        <v>2013</v>
      </c>
      <c r="D231">
        <v>0.05</v>
      </c>
    </row>
    <row r="232" spans="1:4" x14ac:dyDescent="0.35">
      <c r="A232" s="1" t="s">
        <v>50</v>
      </c>
      <c r="B232" s="1" t="s">
        <v>135</v>
      </c>
      <c r="C232">
        <v>2014</v>
      </c>
      <c r="D232">
        <v>0.2</v>
      </c>
    </row>
    <row r="233" spans="1:4" x14ac:dyDescent="0.35">
      <c r="A233" s="1" t="s">
        <v>50</v>
      </c>
      <c r="B233" s="1" t="s">
        <v>135</v>
      </c>
      <c r="C233">
        <v>2015</v>
      </c>
      <c r="D233">
        <v>0.11</v>
      </c>
    </row>
    <row r="234" spans="1:4" x14ac:dyDescent="0.35">
      <c r="A234" s="1" t="s">
        <v>50</v>
      </c>
      <c r="B234" s="1" t="s">
        <v>135</v>
      </c>
      <c r="C234">
        <v>2016</v>
      </c>
      <c r="D234">
        <v>0.79</v>
      </c>
    </row>
    <row r="235" spans="1:4" x14ac:dyDescent="0.35">
      <c r="A235" s="1" t="s">
        <v>50</v>
      </c>
      <c r="B235" s="1" t="s">
        <v>135</v>
      </c>
      <c r="C235">
        <v>2017</v>
      </c>
      <c r="D235">
        <v>1.17</v>
      </c>
    </row>
    <row r="236" spans="1:4" x14ac:dyDescent="0.35">
      <c r="A236" s="1" t="s">
        <v>50</v>
      </c>
      <c r="B236" s="1" t="s">
        <v>135</v>
      </c>
      <c r="C236">
        <v>2018</v>
      </c>
      <c r="D236">
        <v>1.26</v>
      </c>
    </row>
    <row r="237" spans="1:4" x14ac:dyDescent="0.35">
      <c r="A237" s="1" t="s">
        <v>50</v>
      </c>
      <c r="B237" s="1" t="s">
        <v>135</v>
      </c>
      <c r="C237">
        <v>2019</v>
      </c>
      <c r="D237">
        <v>0.76</v>
      </c>
    </row>
    <row r="238" spans="1:4" x14ac:dyDescent="0.35">
      <c r="A238" s="1" t="s">
        <v>50</v>
      </c>
      <c r="B238" s="1" t="s">
        <v>135</v>
      </c>
      <c r="C238">
        <v>2020</v>
      </c>
      <c r="D238">
        <v>0.56000000000000005</v>
      </c>
    </row>
    <row r="239" spans="1:4" x14ac:dyDescent="0.35">
      <c r="A239" s="1" t="s">
        <v>50</v>
      </c>
      <c r="B239" s="1" t="s">
        <v>135</v>
      </c>
      <c r="C239">
        <v>2021</v>
      </c>
      <c r="D239">
        <v>35.93</v>
      </c>
    </row>
    <row r="240" spans="1:4" x14ac:dyDescent="0.35">
      <c r="A240" s="1" t="s">
        <v>50</v>
      </c>
      <c r="B240" s="1" t="s">
        <v>135</v>
      </c>
      <c r="C240">
        <v>2022</v>
      </c>
      <c r="D240">
        <v>35.39</v>
      </c>
    </row>
    <row r="241" spans="1:4" x14ac:dyDescent="0.35">
      <c r="A241" s="1" t="s">
        <v>50</v>
      </c>
      <c r="B241" s="1" t="s">
        <v>135</v>
      </c>
      <c r="C241">
        <v>2023</v>
      </c>
      <c r="D241">
        <v>35.03</v>
      </c>
    </row>
    <row r="242" spans="1:4" x14ac:dyDescent="0.35">
      <c r="A242" s="1" t="s">
        <v>137</v>
      </c>
      <c r="B242" s="1" t="s">
        <v>135</v>
      </c>
      <c r="C242">
        <v>2000</v>
      </c>
      <c r="D242">
        <v>20.03</v>
      </c>
    </row>
    <row r="243" spans="1:4" x14ac:dyDescent="0.35">
      <c r="A243" s="1" t="s">
        <v>137</v>
      </c>
      <c r="B243" s="1" t="s">
        <v>135</v>
      </c>
      <c r="C243">
        <v>2001</v>
      </c>
      <c r="D243">
        <v>19.82</v>
      </c>
    </row>
    <row r="244" spans="1:4" x14ac:dyDescent="0.35">
      <c r="A244" s="1" t="s">
        <v>137</v>
      </c>
      <c r="B244" s="1" t="s">
        <v>135</v>
      </c>
      <c r="C244">
        <v>2002</v>
      </c>
      <c r="D244">
        <v>15.9</v>
      </c>
    </row>
    <row r="245" spans="1:4" x14ac:dyDescent="0.35">
      <c r="A245" s="1" t="s">
        <v>137</v>
      </c>
      <c r="B245" s="1" t="s">
        <v>135</v>
      </c>
      <c r="C245">
        <v>2003</v>
      </c>
      <c r="D245">
        <v>13.63</v>
      </c>
    </row>
    <row r="246" spans="1:4" x14ac:dyDescent="0.35">
      <c r="A246" s="1" t="s">
        <v>137</v>
      </c>
      <c r="B246" s="1" t="s">
        <v>135</v>
      </c>
      <c r="C246">
        <v>2004</v>
      </c>
      <c r="D246">
        <v>13.07</v>
      </c>
    </row>
    <row r="247" spans="1:4" x14ac:dyDescent="0.35">
      <c r="A247" s="1" t="s">
        <v>137</v>
      </c>
      <c r="B247" s="1" t="s">
        <v>135</v>
      </c>
      <c r="C247">
        <v>2005</v>
      </c>
      <c r="D247">
        <v>12.03</v>
      </c>
    </row>
    <row r="248" spans="1:4" x14ac:dyDescent="0.35">
      <c r="A248" s="1" t="s">
        <v>137</v>
      </c>
      <c r="B248" s="1" t="s">
        <v>135</v>
      </c>
      <c r="C248">
        <v>2006</v>
      </c>
      <c r="D248">
        <v>11.62</v>
      </c>
    </row>
    <row r="249" spans="1:4" x14ac:dyDescent="0.35">
      <c r="A249" s="1" t="s">
        <v>137</v>
      </c>
      <c r="B249" s="1" t="s">
        <v>135</v>
      </c>
      <c r="C249">
        <v>2007</v>
      </c>
      <c r="D249">
        <v>11.04</v>
      </c>
    </row>
    <row r="250" spans="1:4" x14ac:dyDescent="0.35">
      <c r="A250" s="1" t="s">
        <v>137</v>
      </c>
      <c r="B250" s="1" t="s">
        <v>135</v>
      </c>
      <c r="C250">
        <v>2008</v>
      </c>
      <c r="D250">
        <v>12.28</v>
      </c>
    </row>
    <row r="251" spans="1:4" x14ac:dyDescent="0.35">
      <c r="A251" s="1" t="s">
        <v>137</v>
      </c>
      <c r="B251" s="1" t="s">
        <v>135</v>
      </c>
      <c r="C251">
        <v>2009</v>
      </c>
      <c r="D251">
        <v>11.01</v>
      </c>
    </row>
    <row r="252" spans="1:4" x14ac:dyDescent="0.35">
      <c r="A252" s="1" t="s">
        <v>137</v>
      </c>
      <c r="B252" s="1" t="s">
        <v>135</v>
      </c>
      <c r="C252">
        <v>2010</v>
      </c>
      <c r="D252">
        <v>9.56</v>
      </c>
    </row>
    <row r="253" spans="1:4" x14ac:dyDescent="0.35">
      <c r="A253" s="1" t="s">
        <v>137</v>
      </c>
      <c r="B253" s="1" t="s">
        <v>135</v>
      </c>
      <c r="C253">
        <v>2011</v>
      </c>
      <c r="D253">
        <v>9.36</v>
      </c>
    </row>
    <row r="254" spans="1:4" x14ac:dyDescent="0.35">
      <c r="A254" s="1" t="s">
        <v>137</v>
      </c>
      <c r="B254" s="1" t="s">
        <v>135</v>
      </c>
      <c r="C254">
        <v>2012</v>
      </c>
      <c r="D254">
        <v>9.26</v>
      </c>
    </row>
    <row r="255" spans="1:4" x14ac:dyDescent="0.35">
      <c r="A255" s="1" t="s">
        <v>137</v>
      </c>
      <c r="B255" s="1" t="s">
        <v>135</v>
      </c>
      <c r="C255">
        <v>2013</v>
      </c>
      <c r="D255">
        <v>8.76</v>
      </c>
    </row>
    <row r="256" spans="1:4" x14ac:dyDescent="0.35">
      <c r="A256" s="1" t="s">
        <v>137</v>
      </c>
      <c r="B256" s="1" t="s">
        <v>135</v>
      </c>
      <c r="C256">
        <v>2014</v>
      </c>
      <c r="D256">
        <v>8.41</v>
      </c>
    </row>
    <row r="257" spans="1:4" x14ac:dyDescent="0.35">
      <c r="A257" s="1" t="s">
        <v>137</v>
      </c>
      <c r="B257" s="1" t="s">
        <v>135</v>
      </c>
      <c r="C257">
        <v>2015</v>
      </c>
      <c r="D257">
        <v>8.31</v>
      </c>
    </row>
    <row r="258" spans="1:4" x14ac:dyDescent="0.35">
      <c r="A258" s="1" t="s">
        <v>137</v>
      </c>
      <c r="B258" s="1" t="s">
        <v>135</v>
      </c>
      <c r="C258">
        <v>2016</v>
      </c>
      <c r="D258">
        <v>8.64</v>
      </c>
    </row>
    <row r="259" spans="1:4" x14ac:dyDescent="0.35">
      <c r="A259" s="1" t="s">
        <v>137</v>
      </c>
      <c r="B259" s="1" t="s">
        <v>135</v>
      </c>
      <c r="C259">
        <v>2017</v>
      </c>
      <c r="D259">
        <v>8.41</v>
      </c>
    </row>
    <row r="260" spans="1:4" x14ac:dyDescent="0.35">
      <c r="A260" s="1" t="s">
        <v>137</v>
      </c>
      <c r="B260" s="1" t="s">
        <v>135</v>
      </c>
      <c r="C260">
        <v>2018</v>
      </c>
      <c r="D260">
        <v>8.09</v>
      </c>
    </row>
    <row r="261" spans="1:4" x14ac:dyDescent="0.35">
      <c r="A261" s="1" t="s">
        <v>137</v>
      </c>
      <c r="B261" s="1" t="s">
        <v>135</v>
      </c>
      <c r="C261">
        <v>2019</v>
      </c>
      <c r="D261">
        <v>8.9700000000000006</v>
      </c>
    </row>
    <row r="262" spans="1:4" x14ac:dyDescent="0.35">
      <c r="A262" s="1" t="s">
        <v>137</v>
      </c>
      <c r="B262" s="1" t="s">
        <v>135</v>
      </c>
      <c r="C262">
        <v>2020</v>
      </c>
      <c r="D262">
        <v>12.18</v>
      </c>
    </row>
    <row r="263" spans="1:4" x14ac:dyDescent="0.35">
      <c r="A263" s="1" t="s">
        <v>137</v>
      </c>
      <c r="B263" s="1" t="s">
        <v>135</v>
      </c>
      <c r="C263">
        <v>2021</v>
      </c>
      <c r="D263">
        <v>12.31</v>
      </c>
    </row>
    <row r="264" spans="1:4" x14ac:dyDescent="0.35">
      <c r="A264" s="1" t="s">
        <v>137</v>
      </c>
      <c r="B264" s="1" t="s">
        <v>135</v>
      </c>
      <c r="C264">
        <v>2022</v>
      </c>
      <c r="D264">
        <v>12.23</v>
      </c>
    </row>
    <row r="265" spans="1:4" x14ac:dyDescent="0.35">
      <c r="A265" s="1" t="s">
        <v>137</v>
      </c>
      <c r="B265" s="1" t="s">
        <v>135</v>
      </c>
      <c r="C265">
        <v>2023</v>
      </c>
      <c r="D265">
        <v>11.79</v>
      </c>
    </row>
    <row r="266" spans="1:4" x14ac:dyDescent="0.35">
      <c r="A266" s="1" t="s">
        <v>67</v>
      </c>
      <c r="B266" s="1" t="s">
        <v>135</v>
      </c>
      <c r="C266">
        <v>2000</v>
      </c>
      <c r="D266">
        <v>13.92</v>
      </c>
    </row>
    <row r="267" spans="1:4" x14ac:dyDescent="0.35">
      <c r="A267" s="1" t="s">
        <v>67</v>
      </c>
      <c r="B267" s="1" t="s">
        <v>135</v>
      </c>
      <c r="C267">
        <v>2001</v>
      </c>
      <c r="D267">
        <v>41.94</v>
      </c>
    </row>
    <row r="268" spans="1:4" x14ac:dyDescent="0.35">
      <c r="A268" s="1" t="s">
        <v>67</v>
      </c>
      <c r="B268" s="1" t="s">
        <v>135</v>
      </c>
      <c r="C268">
        <v>2002</v>
      </c>
      <c r="D268">
        <v>41.94</v>
      </c>
    </row>
    <row r="269" spans="1:4" x14ac:dyDescent="0.35">
      <c r="A269" s="1" t="s">
        <v>67</v>
      </c>
      <c r="B269" s="1" t="s">
        <v>135</v>
      </c>
      <c r="C269">
        <v>2003</v>
      </c>
      <c r="D269">
        <v>39.39</v>
      </c>
    </row>
    <row r="270" spans="1:4" x14ac:dyDescent="0.35">
      <c r="A270" s="1" t="s">
        <v>67</v>
      </c>
      <c r="B270" s="1" t="s">
        <v>135</v>
      </c>
      <c r="C270">
        <v>2004</v>
      </c>
      <c r="D270">
        <v>31.97</v>
      </c>
    </row>
    <row r="271" spans="1:4" x14ac:dyDescent="0.35">
      <c r="A271" s="1" t="s">
        <v>67</v>
      </c>
      <c r="B271" s="1" t="s">
        <v>135</v>
      </c>
      <c r="C271">
        <v>2005</v>
      </c>
      <c r="D271">
        <v>30.23</v>
      </c>
    </row>
    <row r="272" spans="1:4" x14ac:dyDescent="0.35">
      <c r="A272" s="1" t="s">
        <v>67</v>
      </c>
      <c r="B272" s="1" t="s">
        <v>135</v>
      </c>
      <c r="C272">
        <v>2006</v>
      </c>
      <c r="D272">
        <v>27.46</v>
      </c>
    </row>
    <row r="273" spans="1:4" x14ac:dyDescent="0.35">
      <c r="A273" s="1" t="s">
        <v>67</v>
      </c>
      <c r="B273" s="1" t="s">
        <v>135</v>
      </c>
      <c r="C273">
        <v>2007</v>
      </c>
      <c r="D273">
        <v>24.53</v>
      </c>
    </row>
    <row r="274" spans="1:4" x14ac:dyDescent="0.35">
      <c r="A274" s="1" t="s">
        <v>67</v>
      </c>
      <c r="B274" s="1" t="s">
        <v>135</v>
      </c>
      <c r="C274">
        <v>2008</v>
      </c>
      <c r="D274">
        <v>8.81</v>
      </c>
    </row>
    <row r="275" spans="1:4" x14ac:dyDescent="0.35">
      <c r="A275" s="1" t="s">
        <v>67</v>
      </c>
      <c r="B275" s="1" t="s">
        <v>135</v>
      </c>
      <c r="C275">
        <v>2009</v>
      </c>
      <c r="D275">
        <v>7.69</v>
      </c>
    </row>
    <row r="276" spans="1:4" x14ac:dyDescent="0.35">
      <c r="A276" s="1" t="s">
        <v>67</v>
      </c>
      <c r="B276" s="1" t="s">
        <v>135</v>
      </c>
      <c r="C276">
        <v>2010</v>
      </c>
      <c r="D276">
        <v>6.84</v>
      </c>
    </row>
    <row r="277" spans="1:4" x14ac:dyDescent="0.35">
      <c r="A277" s="1" t="s">
        <v>67</v>
      </c>
      <c r="B277" s="1" t="s">
        <v>135</v>
      </c>
      <c r="C277">
        <v>2011</v>
      </c>
      <c r="D277">
        <v>4.91</v>
      </c>
    </row>
    <row r="278" spans="1:4" x14ac:dyDescent="0.35">
      <c r="A278" s="1" t="s">
        <v>67</v>
      </c>
      <c r="B278" s="1" t="s">
        <v>135</v>
      </c>
      <c r="C278">
        <v>2012</v>
      </c>
      <c r="D278">
        <v>12.67</v>
      </c>
    </row>
    <row r="279" spans="1:4" x14ac:dyDescent="0.35">
      <c r="A279" s="1" t="s">
        <v>67</v>
      </c>
      <c r="B279" s="1" t="s">
        <v>135</v>
      </c>
      <c r="C279">
        <v>2013</v>
      </c>
      <c r="D279">
        <v>17.5</v>
      </c>
    </row>
    <row r="280" spans="1:4" x14ac:dyDescent="0.35">
      <c r="A280" s="1" t="s">
        <v>67</v>
      </c>
      <c r="B280" s="1" t="s">
        <v>135</v>
      </c>
      <c r="C280">
        <v>2014</v>
      </c>
      <c r="D280">
        <v>38.56</v>
      </c>
    </row>
    <row r="281" spans="1:4" x14ac:dyDescent="0.35">
      <c r="A281" s="1" t="s">
        <v>67</v>
      </c>
      <c r="B281" s="1" t="s">
        <v>135</v>
      </c>
      <c r="C281">
        <v>2015</v>
      </c>
      <c r="D281">
        <v>35.950000000000003</v>
      </c>
    </row>
    <row r="282" spans="1:4" x14ac:dyDescent="0.35">
      <c r="A282" s="1" t="s">
        <v>67</v>
      </c>
      <c r="B282" s="1" t="s">
        <v>135</v>
      </c>
      <c r="C282">
        <v>2016</v>
      </c>
      <c r="D282">
        <v>33.700000000000003</v>
      </c>
    </row>
    <row r="283" spans="1:4" x14ac:dyDescent="0.35">
      <c r="A283" s="1" t="s">
        <v>67</v>
      </c>
      <c r="B283" s="1" t="s">
        <v>135</v>
      </c>
      <c r="C283">
        <v>2017</v>
      </c>
      <c r="D283">
        <v>32.86</v>
      </c>
    </row>
    <row r="284" spans="1:4" x14ac:dyDescent="0.35">
      <c r="A284" s="1" t="s">
        <v>67</v>
      </c>
      <c r="B284" s="1" t="s">
        <v>135</v>
      </c>
      <c r="C284">
        <v>2018</v>
      </c>
      <c r="D284">
        <v>32.72</v>
      </c>
    </row>
    <row r="285" spans="1:4" x14ac:dyDescent="0.35">
      <c r="A285" s="1" t="s">
        <v>67</v>
      </c>
      <c r="B285" s="1" t="s">
        <v>135</v>
      </c>
      <c r="C285">
        <v>2019</v>
      </c>
      <c r="D285">
        <v>45.72</v>
      </c>
    </row>
    <row r="286" spans="1:4" x14ac:dyDescent="0.35">
      <c r="A286" s="1" t="s">
        <v>67</v>
      </c>
      <c r="B286" s="1" t="s">
        <v>135</v>
      </c>
      <c r="C286">
        <v>2020</v>
      </c>
      <c r="D286">
        <v>45.23</v>
      </c>
    </row>
    <row r="287" spans="1:4" x14ac:dyDescent="0.35">
      <c r="A287" s="1" t="s">
        <v>67</v>
      </c>
      <c r="B287" s="1" t="s">
        <v>135</v>
      </c>
      <c r="C287">
        <v>2021</v>
      </c>
      <c r="D287">
        <v>43.67</v>
      </c>
    </row>
    <row r="288" spans="1:4" x14ac:dyDescent="0.35">
      <c r="A288" s="1" t="s">
        <v>67</v>
      </c>
      <c r="B288" s="1" t="s">
        <v>135</v>
      </c>
      <c r="C288">
        <v>2022</v>
      </c>
      <c r="D288">
        <v>43.22</v>
      </c>
    </row>
    <row r="289" spans="1:4" x14ac:dyDescent="0.35">
      <c r="A289" s="1" t="s">
        <v>67</v>
      </c>
      <c r="B289" s="1" t="s">
        <v>135</v>
      </c>
      <c r="C289">
        <v>2023</v>
      </c>
      <c r="D289">
        <v>34.49</v>
      </c>
    </row>
    <row r="290" spans="1:4" x14ac:dyDescent="0.35">
      <c r="A290" s="1" t="s">
        <v>55</v>
      </c>
      <c r="B290" s="1" t="s">
        <v>135</v>
      </c>
      <c r="C290">
        <v>2000</v>
      </c>
      <c r="D290" t="s">
        <v>136</v>
      </c>
    </row>
    <row r="291" spans="1:4" x14ac:dyDescent="0.35">
      <c r="A291" s="1" t="s">
        <v>55</v>
      </c>
      <c r="B291" s="1" t="s">
        <v>135</v>
      </c>
      <c r="C291">
        <v>2001</v>
      </c>
      <c r="D291" t="s">
        <v>136</v>
      </c>
    </row>
    <row r="292" spans="1:4" x14ac:dyDescent="0.35">
      <c r="A292" s="1" t="s">
        <v>55</v>
      </c>
      <c r="B292" s="1" t="s">
        <v>135</v>
      </c>
      <c r="C292">
        <v>2002</v>
      </c>
      <c r="D292" t="s">
        <v>136</v>
      </c>
    </row>
    <row r="293" spans="1:4" x14ac:dyDescent="0.35">
      <c r="A293" s="1" t="s">
        <v>55</v>
      </c>
      <c r="B293" s="1" t="s">
        <v>135</v>
      </c>
      <c r="C293">
        <v>2003</v>
      </c>
      <c r="D293" t="s">
        <v>136</v>
      </c>
    </row>
    <row r="294" spans="1:4" x14ac:dyDescent="0.35">
      <c r="A294" s="1" t="s">
        <v>55</v>
      </c>
      <c r="B294" s="1" t="s">
        <v>135</v>
      </c>
      <c r="C294">
        <v>2004</v>
      </c>
      <c r="D294" t="s">
        <v>136</v>
      </c>
    </row>
    <row r="295" spans="1:4" x14ac:dyDescent="0.35">
      <c r="A295" s="1" t="s">
        <v>55</v>
      </c>
      <c r="B295" s="1" t="s">
        <v>135</v>
      </c>
      <c r="C295">
        <v>2005</v>
      </c>
      <c r="D295" t="s">
        <v>136</v>
      </c>
    </row>
    <row r="296" spans="1:4" x14ac:dyDescent="0.35">
      <c r="A296" s="1" t="s">
        <v>55</v>
      </c>
      <c r="B296" s="1" t="s">
        <v>135</v>
      </c>
      <c r="C296">
        <v>2006</v>
      </c>
      <c r="D296" t="s">
        <v>136</v>
      </c>
    </row>
    <row r="297" spans="1:4" x14ac:dyDescent="0.35">
      <c r="A297" s="1" t="s">
        <v>55</v>
      </c>
      <c r="B297" s="1" t="s">
        <v>135</v>
      </c>
      <c r="C297">
        <v>2007</v>
      </c>
      <c r="D297">
        <v>7.0000000000000007E-2</v>
      </c>
    </row>
    <row r="298" spans="1:4" x14ac:dyDescent="0.35">
      <c r="A298" s="1" t="s">
        <v>55</v>
      </c>
      <c r="B298" s="1" t="s">
        <v>135</v>
      </c>
      <c r="C298">
        <v>2008</v>
      </c>
      <c r="D298">
        <v>0.67</v>
      </c>
    </row>
    <row r="299" spans="1:4" x14ac:dyDescent="0.35">
      <c r="A299" s="1" t="s">
        <v>55</v>
      </c>
      <c r="B299" s="1" t="s">
        <v>135</v>
      </c>
      <c r="C299">
        <v>2009</v>
      </c>
      <c r="D299">
        <v>0.66</v>
      </c>
    </row>
    <row r="300" spans="1:4" x14ac:dyDescent="0.35">
      <c r="A300" s="1" t="s">
        <v>55</v>
      </c>
      <c r="B300" s="1" t="s">
        <v>135</v>
      </c>
      <c r="C300">
        <v>2010</v>
      </c>
      <c r="D300">
        <v>0.63</v>
      </c>
    </row>
    <row r="301" spans="1:4" x14ac:dyDescent="0.35">
      <c r="A301" s="1" t="s">
        <v>55</v>
      </c>
      <c r="B301" s="1" t="s">
        <v>135</v>
      </c>
      <c r="C301">
        <v>2011</v>
      </c>
      <c r="D301">
        <v>0.62</v>
      </c>
    </row>
    <row r="302" spans="1:4" x14ac:dyDescent="0.35">
      <c r="A302" s="1" t="s">
        <v>55</v>
      </c>
      <c r="B302" s="1" t="s">
        <v>135</v>
      </c>
      <c r="C302">
        <v>2012</v>
      </c>
      <c r="D302">
        <v>0.64</v>
      </c>
    </row>
    <row r="303" spans="1:4" x14ac:dyDescent="0.35">
      <c r="A303" s="1" t="s">
        <v>55</v>
      </c>
      <c r="B303" s="1" t="s">
        <v>135</v>
      </c>
      <c r="C303">
        <v>2013</v>
      </c>
      <c r="D303">
        <v>0.75</v>
      </c>
    </row>
    <row r="304" spans="1:4" x14ac:dyDescent="0.35">
      <c r="A304" s="1" t="s">
        <v>55</v>
      </c>
      <c r="B304" s="1" t="s">
        <v>135</v>
      </c>
      <c r="C304">
        <v>2014</v>
      </c>
      <c r="D304">
        <v>5.89</v>
      </c>
    </row>
    <row r="305" spans="1:4" x14ac:dyDescent="0.35">
      <c r="A305" s="1" t="s">
        <v>55</v>
      </c>
      <c r="B305" s="1" t="s">
        <v>135</v>
      </c>
      <c r="C305">
        <v>2015</v>
      </c>
      <c r="D305">
        <v>6.06</v>
      </c>
    </row>
    <row r="306" spans="1:4" x14ac:dyDescent="0.35">
      <c r="A306" s="1" t="s">
        <v>55</v>
      </c>
      <c r="B306" s="1" t="s">
        <v>135</v>
      </c>
      <c r="C306">
        <v>2016</v>
      </c>
      <c r="D306">
        <v>6.68</v>
      </c>
    </row>
    <row r="307" spans="1:4" x14ac:dyDescent="0.35">
      <c r="A307" s="1" t="s">
        <v>55</v>
      </c>
      <c r="B307" s="1" t="s">
        <v>135</v>
      </c>
      <c r="C307">
        <v>2017</v>
      </c>
      <c r="D307">
        <v>12.4</v>
      </c>
    </row>
    <row r="308" spans="1:4" x14ac:dyDescent="0.35">
      <c r="A308" s="1" t="s">
        <v>55</v>
      </c>
      <c r="B308" s="1" t="s">
        <v>135</v>
      </c>
      <c r="C308">
        <v>2018</v>
      </c>
      <c r="D308">
        <v>13.02</v>
      </c>
    </row>
    <row r="309" spans="1:4" x14ac:dyDescent="0.35">
      <c r="A309" s="1" t="s">
        <v>55</v>
      </c>
      <c r="B309" s="1" t="s">
        <v>135</v>
      </c>
      <c r="C309">
        <v>2019</v>
      </c>
      <c r="D309">
        <v>12.71</v>
      </c>
    </row>
    <row r="310" spans="1:4" x14ac:dyDescent="0.35">
      <c r="A310" s="1" t="s">
        <v>55</v>
      </c>
      <c r="B310" s="1" t="s">
        <v>135</v>
      </c>
      <c r="C310">
        <v>2020</v>
      </c>
      <c r="D310">
        <v>12.37</v>
      </c>
    </row>
    <row r="311" spans="1:4" x14ac:dyDescent="0.35">
      <c r="A311" s="1" t="s">
        <v>55</v>
      </c>
      <c r="B311" s="1" t="s">
        <v>135</v>
      </c>
      <c r="C311">
        <v>2021</v>
      </c>
      <c r="D311">
        <v>11.75</v>
      </c>
    </row>
    <row r="312" spans="1:4" x14ac:dyDescent="0.35">
      <c r="A312" s="1" t="s">
        <v>55</v>
      </c>
      <c r="B312" s="1" t="s">
        <v>135</v>
      </c>
      <c r="C312">
        <v>2022</v>
      </c>
      <c r="D312">
        <v>11.16</v>
      </c>
    </row>
    <row r="313" spans="1:4" x14ac:dyDescent="0.35">
      <c r="A313" s="1" t="s">
        <v>55</v>
      </c>
      <c r="B313" s="1" t="s">
        <v>135</v>
      </c>
      <c r="C313">
        <v>2023</v>
      </c>
      <c r="D313">
        <v>11.16</v>
      </c>
    </row>
    <row r="314" spans="1:4" x14ac:dyDescent="0.35">
      <c r="A314" s="1" t="s">
        <v>109</v>
      </c>
      <c r="B314" s="1" t="s">
        <v>135</v>
      </c>
      <c r="C314">
        <v>2000</v>
      </c>
      <c r="D314">
        <v>97.72</v>
      </c>
    </row>
    <row r="315" spans="1:4" x14ac:dyDescent="0.35">
      <c r="A315" s="1" t="s">
        <v>109</v>
      </c>
      <c r="B315" s="1" t="s">
        <v>135</v>
      </c>
      <c r="C315">
        <v>2001</v>
      </c>
      <c r="D315">
        <v>97.85</v>
      </c>
    </row>
    <row r="316" spans="1:4" x14ac:dyDescent="0.35">
      <c r="A316" s="1" t="s">
        <v>109</v>
      </c>
      <c r="B316" s="1" t="s">
        <v>135</v>
      </c>
      <c r="C316">
        <v>2002</v>
      </c>
      <c r="D316">
        <v>97.91</v>
      </c>
    </row>
    <row r="317" spans="1:4" x14ac:dyDescent="0.35">
      <c r="A317" s="1" t="s">
        <v>109</v>
      </c>
      <c r="B317" s="1" t="s">
        <v>135</v>
      </c>
      <c r="C317">
        <v>2003</v>
      </c>
      <c r="D317">
        <v>97.99</v>
      </c>
    </row>
    <row r="318" spans="1:4" x14ac:dyDescent="0.35">
      <c r="A318" s="1" t="s">
        <v>109</v>
      </c>
      <c r="B318" s="1" t="s">
        <v>135</v>
      </c>
      <c r="C318">
        <v>2004</v>
      </c>
      <c r="D318">
        <v>98.05</v>
      </c>
    </row>
    <row r="319" spans="1:4" x14ac:dyDescent="0.35">
      <c r="A319" s="1" t="s">
        <v>109</v>
      </c>
      <c r="B319" s="1" t="s">
        <v>135</v>
      </c>
      <c r="C319">
        <v>2005</v>
      </c>
      <c r="D319">
        <v>97.99</v>
      </c>
    </row>
    <row r="320" spans="1:4" x14ac:dyDescent="0.35">
      <c r="A320" s="1" t="s">
        <v>109</v>
      </c>
      <c r="B320" s="1" t="s">
        <v>135</v>
      </c>
      <c r="C320">
        <v>2006</v>
      </c>
      <c r="D320">
        <v>98.13</v>
      </c>
    </row>
    <row r="321" spans="1:4" x14ac:dyDescent="0.35">
      <c r="A321" s="1" t="s">
        <v>109</v>
      </c>
      <c r="B321" s="1" t="s">
        <v>135</v>
      </c>
      <c r="C321">
        <v>2007</v>
      </c>
      <c r="D321">
        <v>98.27</v>
      </c>
    </row>
    <row r="322" spans="1:4" x14ac:dyDescent="0.35">
      <c r="A322" s="1" t="s">
        <v>109</v>
      </c>
      <c r="B322" s="1" t="s">
        <v>135</v>
      </c>
      <c r="C322">
        <v>2008</v>
      </c>
      <c r="D322">
        <v>98.19</v>
      </c>
    </row>
    <row r="323" spans="1:4" x14ac:dyDescent="0.35">
      <c r="A323" s="1" t="s">
        <v>109</v>
      </c>
      <c r="B323" s="1" t="s">
        <v>135</v>
      </c>
      <c r="C323">
        <v>2009</v>
      </c>
      <c r="D323">
        <v>98.38</v>
      </c>
    </row>
    <row r="324" spans="1:4" x14ac:dyDescent="0.35">
      <c r="A324" s="1" t="s">
        <v>109</v>
      </c>
      <c r="B324" s="1" t="s">
        <v>135</v>
      </c>
      <c r="C324">
        <v>2010</v>
      </c>
      <c r="D324">
        <v>98.45</v>
      </c>
    </row>
    <row r="325" spans="1:4" x14ac:dyDescent="0.35">
      <c r="A325" s="1" t="s">
        <v>109</v>
      </c>
      <c r="B325" s="1" t="s">
        <v>135</v>
      </c>
      <c r="C325">
        <v>2011</v>
      </c>
      <c r="D325">
        <v>98.6</v>
      </c>
    </row>
    <row r="326" spans="1:4" x14ac:dyDescent="0.35">
      <c r="A326" s="1" t="s">
        <v>109</v>
      </c>
      <c r="B326" s="1" t="s">
        <v>135</v>
      </c>
      <c r="C326">
        <v>2012</v>
      </c>
      <c r="D326">
        <v>98.6</v>
      </c>
    </row>
    <row r="327" spans="1:4" x14ac:dyDescent="0.35">
      <c r="A327" s="1" t="s">
        <v>109</v>
      </c>
      <c r="B327" s="1" t="s">
        <v>135</v>
      </c>
      <c r="C327">
        <v>2013</v>
      </c>
      <c r="D327">
        <v>98.48</v>
      </c>
    </row>
    <row r="328" spans="1:4" x14ac:dyDescent="0.35">
      <c r="A328" s="1" t="s">
        <v>109</v>
      </c>
      <c r="B328" s="1" t="s">
        <v>135</v>
      </c>
      <c r="C328">
        <v>2014</v>
      </c>
      <c r="D328">
        <v>98.6</v>
      </c>
    </row>
    <row r="329" spans="1:4" x14ac:dyDescent="0.35">
      <c r="A329" s="1" t="s">
        <v>109</v>
      </c>
      <c r="B329" s="1" t="s">
        <v>135</v>
      </c>
      <c r="C329">
        <v>2015</v>
      </c>
      <c r="D329">
        <v>98.49</v>
      </c>
    </row>
    <row r="330" spans="1:4" x14ac:dyDescent="0.35">
      <c r="A330" s="1" t="s">
        <v>109</v>
      </c>
      <c r="B330" s="1" t="s">
        <v>135</v>
      </c>
      <c r="C330">
        <v>2016</v>
      </c>
      <c r="D330">
        <v>98.09</v>
      </c>
    </row>
    <row r="331" spans="1:4" x14ac:dyDescent="0.35">
      <c r="A331" s="1" t="s">
        <v>109</v>
      </c>
      <c r="B331" s="1" t="s">
        <v>135</v>
      </c>
      <c r="C331">
        <v>2017</v>
      </c>
      <c r="D331">
        <v>97.9</v>
      </c>
    </row>
    <row r="332" spans="1:4" x14ac:dyDescent="0.35">
      <c r="A332" s="1" t="s">
        <v>109</v>
      </c>
      <c r="B332" s="1" t="s">
        <v>135</v>
      </c>
      <c r="C332">
        <v>2018</v>
      </c>
      <c r="D332">
        <v>98.3</v>
      </c>
    </row>
    <row r="333" spans="1:4" x14ac:dyDescent="0.35">
      <c r="A333" s="1" t="s">
        <v>109</v>
      </c>
      <c r="B333" s="1" t="s">
        <v>135</v>
      </c>
      <c r="C333">
        <v>2019</v>
      </c>
      <c r="D333">
        <v>98.45</v>
      </c>
    </row>
    <row r="334" spans="1:4" x14ac:dyDescent="0.35">
      <c r="A334" s="1" t="s">
        <v>109</v>
      </c>
      <c r="B334" s="1" t="s">
        <v>135</v>
      </c>
      <c r="C334">
        <v>2020</v>
      </c>
      <c r="D334">
        <v>98.48</v>
      </c>
    </row>
    <row r="335" spans="1:4" x14ac:dyDescent="0.35">
      <c r="A335" s="1" t="s">
        <v>109</v>
      </c>
      <c r="B335" s="1" t="s">
        <v>135</v>
      </c>
      <c r="C335">
        <v>2021</v>
      </c>
      <c r="D335">
        <v>98.6</v>
      </c>
    </row>
    <row r="336" spans="1:4" x14ac:dyDescent="0.35">
      <c r="A336" s="1" t="s">
        <v>109</v>
      </c>
      <c r="B336" s="1" t="s">
        <v>135</v>
      </c>
      <c r="C336">
        <v>2022</v>
      </c>
      <c r="D336">
        <v>98.71</v>
      </c>
    </row>
    <row r="337" spans="1:4" x14ac:dyDescent="0.35">
      <c r="A337" s="1" t="s">
        <v>109</v>
      </c>
      <c r="B337" s="1" t="s">
        <v>135</v>
      </c>
      <c r="C337">
        <v>2023</v>
      </c>
      <c r="D337">
        <v>98.99</v>
      </c>
    </row>
    <row r="338" spans="1:4" x14ac:dyDescent="0.35">
      <c r="A338" s="1" t="s">
        <v>57</v>
      </c>
      <c r="B338" s="1" t="s">
        <v>135</v>
      </c>
      <c r="C338">
        <v>2000</v>
      </c>
      <c r="D338">
        <v>98.68</v>
      </c>
    </row>
    <row r="339" spans="1:4" x14ac:dyDescent="0.35">
      <c r="A339" s="1" t="s">
        <v>57</v>
      </c>
      <c r="B339" s="1" t="s">
        <v>135</v>
      </c>
      <c r="C339">
        <v>2001</v>
      </c>
      <c r="D339">
        <v>99.18</v>
      </c>
    </row>
    <row r="340" spans="1:4" x14ac:dyDescent="0.35">
      <c r="A340" s="1" t="s">
        <v>57</v>
      </c>
      <c r="B340" s="1" t="s">
        <v>135</v>
      </c>
      <c r="C340">
        <v>2002</v>
      </c>
      <c r="D340">
        <v>99.09</v>
      </c>
    </row>
    <row r="341" spans="1:4" x14ac:dyDescent="0.35">
      <c r="A341" s="1" t="s">
        <v>57</v>
      </c>
      <c r="B341" s="1" t="s">
        <v>135</v>
      </c>
      <c r="C341">
        <v>2003</v>
      </c>
      <c r="D341">
        <v>99.32</v>
      </c>
    </row>
    <row r="342" spans="1:4" x14ac:dyDescent="0.35">
      <c r="A342" s="1" t="s">
        <v>57</v>
      </c>
      <c r="B342" s="1" t="s">
        <v>135</v>
      </c>
      <c r="C342">
        <v>2004</v>
      </c>
      <c r="D342">
        <v>99.31</v>
      </c>
    </row>
    <row r="343" spans="1:4" x14ac:dyDescent="0.35">
      <c r="A343" s="1" t="s">
        <v>57</v>
      </c>
      <c r="B343" s="1" t="s">
        <v>135</v>
      </c>
      <c r="C343">
        <v>2005</v>
      </c>
      <c r="D343">
        <v>99.59</v>
      </c>
    </row>
    <row r="344" spans="1:4" x14ac:dyDescent="0.35">
      <c r="A344" s="1" t="s">
        <v>57</v>
      </c>
      <c r="B344" s="1" t="s">
        <v>135</v>
      </c>
      <c r="C344">
        <v>2006</v>
      </c>
      <c r="D344">
        <v>99.7</v>
      </c>
    </row>
    <row r="345" spans="1:4" x14ac:dyDescent="0.35">
      <c r="A345" s="1" t="s">
        <v>57</v>
      </c>
      <c r="B345" s="1" t="s">
        <v>135</v>
      </c>
      <c r="C345">
        <v>2007</v>
      </c>
      <c r="D345">
        <v>95.49</v>
      </c>
    </row>
    <row r="346" spans="1:4" x14ac:dyDescent="0.35">
      <c r="A346" s="1" t="s">
        <v>57</v>
      </c>
      <c r="B346" s="1" t="s">
        <v>135</v>
      </c>
      <c r="C346">
        <v>2008</v>
      </c>
      <c r="D346">
        <v>87.64</v>
      </c>
    </row>
    <row r="347" spans="1:4" x14ac:dyDescent="0.35">
      <c r="A347" s="1" t="s">
        <v>57</v>
      </c>
      <c r="B347" s="1" t="s">
        <v>135</v>
      </c>
      <c r="C347">
        <v>2009</v>
      </c>
      <c r="D347">
        <v>88.9</v>
      </c>
    </row>
    <row r="348" spans="1:4" x14ac:dyDescent="0.35">
      <c r="A348" s="1" t="s">
        <v>57</v>
      </c>
      <c r="B348" s="1" t="s">
        <v>135</v>
      </c>
      <c r="C348">
        <v>2010</v>
      </c>
      <c r="D348">
        <v>99.38</v>
      </c>
    </row>
    <row r="349" spans="1:4" x14ac:dyDescent="0.35">
      <c r="A349" s="1" t="s">
        <v>57</v>
      </c>
      <c r="B349" s="1" t="s">
        <v>135</v>
      </c>
      <c r="C349">
        <v>2011</v>
      </c>
      <c r="D349">
        <v>99.42</v>
      </c>
    </row>
    <row r="350" spans="1:4" x14ac:dyDescent="0.35">
      <c r="A350" s="1" t="s">
        <v>57</v>
      </c>
      <c r="B350" s="1" t="s">
        <v>135</v>
      </c>
      <c r="C350">
        <v>2012</v>
      </c>
      <c r="D350">
        <v>99.84</v>
      </c>
    </row>
    <row r="351" spans="1:4" x14ac:dyDescent="0.35">
      <c r="A351" s="1" t="s">
        <v>57</v>
      </c>
      <c r="B351" s="1" t="s">
        <v>135</v>
      </c>
      <c r="C351">
        <v>2013</v>
      </c>
      <c r="D351">
        <v>99.91</v>
      </c>
    </row>
    <row r="352" spans="1:4" x14ac:dyDescent="0.35">
      <c r="A352" s="1" t="s">
        <v>57</v>
      </c>
      <c r="B352" s="1" t="s">
        <v>135</v>
      </c>
      <c r="C352">
        <v>2014</v>
      </c>
      <c r="D352">
        <v>99.96</v>
      </c>
    </row>
    <row r="353" spans="1:4" x14ac:dyDescent="0.35">
      <c r="A353" s="1" t="s">
        <v>57</v>
      </c>
      <c r="B353" s="1" t="s">
        <v>135</v>
      </c>
      <c r="C353">
        <v>2015</v>
      </c>
      <c r="D353">
        <v>99.97</v>
      </c>
    </row>
    <row r="354" spans="1:4" x14ac:dyDescent="0.35">
      <c r="A354" s="1" t="s">
        <v>57</v>
      </c>
      <c r="B354" s="1" t="s">
        <v>135</v>
      </c>
      <c r="C354">
        <v>2016</v>
      </c>
      <c r="D354">
        <v>99.99</v>
      </c>
    </row>
    <row r="355" spans="1:4" x14ac:dyDescent="0.35">
      <c r="A355" s="1" t="s">
        <v>57</v>
      </c>
      <c r="B355" s="1" t="s">
        <v>135</v>
      </c>
      <c r="C355">
        <v>2017</v>
      </c>
      <c r="D355">
        <v>99.99</v>
      </c>
    </row>
    <row r="356" spans="1:4" x14ac:dyDescent="0.35">
      <c r="A356" s="1" t="s">
        <v>57</v>
      </c>
      <c r="B356" s="1" t="s">
        <v>135</v>
      </c>
      <c r="C356">
        <v>2018</v>
      </c>
      <c r="D356">
        <v>100</v>
      </c>
    </row>
    <row r="357" spans="1:4" x14ac:dyDescent="0.35">
      <c r="A357" s="1" t="s">
        <v>57</v>
      </c>
      <c r="B357" s="1" t="s">
        <v>135</v>
      </c>
      <c r="C357">
        <v>2019</v>
      </c>
      <c r="D357">
        <v>100</v>
      </c>
    </row>
    <row r="358" spans="1:4" x14ac:dyDescent="0.35">
      <c r="A358" s="1" t="s">
        <v>57</v>
      </c>
      <c r="B358" s="1" t="s">
        <v>135</v>
      </c>
      <c r="C358">
        <v>2020</v>
      </c>
      <c r="D358">
        <v>100</v>
      </c>
    </row>
    <row r="359" spans="1:4" x14ac:dyDescent="0.35">
      <c r="A359" s="1" t="s">
        <v>57</v>
      </c>
      <c r="B359" s="1" t="s">
        <v>135</v>
      </c>
      <c r="C359">
        <v>2021</v>
      </c>
      <c r="D359">
        <v>100</v>
      </c>
    </row>
    <row r="360" spans="1:4" x14ac:dyDescent="0.35">
      <c r="A360" s="1" t="s">
        <v>57</v>
      </c>
      <c r="B360" s="1" t="s">
        <v>135</v>
      </c>
      <c r="C360">
        <v>2022</v>
      </c>
      <c r="D360">
        <v>100</v>
      </c>
    </row>
    <row r="361" spans="1:4" x14ac:dyDescent="0.35">
      <c r="A361" s="1" t="s">
        <v>57</v>
      </c>
      <c r="B361" s="1" t="s">
        <v>135</v>
      </c>
      <c r="C361">
        <v>2023</v>
      </c>
      <c r="D361">
        <v>100</v>
      </c>
    </row>
    <row r="362" spans="1:4" x14ac:dyDescent="0.35">
      <c r="A362" s="1" t="s">
        <v>59</v>
      </c>
      <c r="B362" s="1" t="s">
        <v>135</v>
      </c>
      <c r="C362">
        <v>2000</v>
      </c>
      <c r="D362">
        <v>58.91</v>
      </c>
    </row>
    <row r="363" spans="1:4" x14ac:dyDescent="0.35">
      <c r="A363" s="1" t="s">
        <v>59</v>
      </c>
      <c r="B363" s="1" t="s">
        <v>135</v>
      </c>
      <c r="C363">
        <v>2001</v>
      </c>
      <c r="D363">
        <v>58.91</v>
      </c>
    </row>
    <row r="364" spans="1:4" x14ac:dyDescent="0.35">
      <c r="A364" s="1" t="s">
        <v>59</v>
      </c>
      <c r="B364" s="1" t="s">
        <v>135</v>
      </c>
      <c r="C364">
        <v>2002</v>
      </c>
      <c r="D364">
        <v>58.91</v>
      </c>
    </row>
    <row r="365" spans="1:4" x14ac:dyDescent="0.35">
      <c r="A365" s="1" t="s">
        <v>59</v>
      </c>
      <c r="B365" s="1" t="s">
        <v>135</v>
      </c>
      <c r="C365">
        <v>2003</v>
      </c>
      <c r="D365">
        <v>58.91</v>
      </c>
    </row>
    <row r="366" spans="1:4" x14ac:dyDescent="0.35">
      <c r="A366" s="1" t="s">
        <v>59</v>
      </c>
      <c r="B366" s="1" t="s">
        <v>135</v>
      </c>
      <c r="C366">
        <v>2004</v>
      </c>
      <c r="D366">
        <v>58.92</v>
      </c>
    </row>
    <row r="367" spans="1:4" x14ac:dyDescent="0.35">
      <c r="A367" s="1" t="s">
        <v>59</v>
      </c>
      <c r="B367" s="1" t="s">
        <v>135</v>
      </c>
      <c r="C367">
        <v>2005</v>
      </c>
      <c r="D367">
        <v>58.92</v>
      </c>
    </row>
    <row r="368" spans="1:4" x14ac:dyDescent="0.35">
      <c r="A368" s="1" t="s">
        <v>59</v>
      </c>
      <c r="B368" s="1" t="s">
        <v>135</v>
      </c>
      <c r="C368">
        <v>2006</v>
      </c>
      <c r="D368">
        <v>58.92</v>
      </c>
    </row>
    <row r="369" spans="1:4" x14ac:dyDescent="0.35">
      <c r="A369" s="1" t="s">
        <v>59</v>
      </c>
      <c r="B369" s="1" t="s">
        <v>135</v>
      </c>
      <c r="C369">
        <v>2007</v>
      </c>
      <c r="D369">
        <v>58.91</v>
      </c>
    </row>
    <row r="370" spans="1:4" x14ac:dyDescent="0.35">
      <c r="A370" s="1" t="s">
        <v>59</v>
      </c>
      <c r="B370" s="1" t="s">
        <v>135</v>
      </c>
      <c r="C370">
        <v>2008</v>
      </c>
      <c r="D370">
        <v>58.92</v>
      </c>
    </row>
    <row r="371" spans="1:4" x14ac:dyDescent="0.35">
      <c r="A371" s="1" t="s">
        <v>59</v>
      </c>
      <c r="B371" s="1" t="s">
        <v>135</v>
      </c>
      <c r="C371">
        <v>2009</v>
      </c>
      <c r="D371">
        <v>57.17</v>
      </c>
    </row>
    <row r="372" spans="1:4" x14ac:dyDescent="0.35">
      <c r="A372" s="1" t="s">
        <v>59</v>
      </c>
      <c r="B372" s="1" t="s">
        <v>135</v>
      </c>
      <c r="C372">
        <v>2010</v>
      </c>
      <c r="D372">
        <v>51.8</v>
      </c>
    </row>
    <row r="373" spans="1:4" x14ac:dyDescent="0.35">
      <c r="A373" s="1" t="s">
        <v>59</v>
      </c>
      <c r="B373" s="1" t="s">
        <v>135</v>
      </c>
      <c r="C373">
        <v>2011</v>
      </c>
      <c r="D373">
        <v>45.73</v>
      </c>
    </row>
    <row r="374" spans="1:4" x14ac:dyDescent="0.35">
      <c r="A374" s="1" t="s">
        <v>59</v>
      </c>
      <c r="B374" s="1" t="s">
        <v>135</v>
      </c>
      <c r="C374">
        <v>2012</v>
      </c>
      <c r="D374">
        <v>46.24</v>
      </c>
    </row>
    <row r="375" spans="1:4" x14ac:dyDescent="0.35">
      <c r="A375" s="1" t="s">
        <v>59</v>
      </c>
      <c r="B375" s="1" t="s">
        <v>135</v>
      </c>
      <c r="C375">
        <v>2013</v>
      </c>
      <c r="D375">
        <v>49.44</v>
      </c>
    </row>
    <row r="376" spans="1:4" x14ac:dyDescent="0.35">
      <c r="A376" s="1" t="s">
        <v>59</v>
      </c>
      <c r="B376" s="1" t="s">
        <v>135</v>
      </c>
      <c r="C376">
        <v>2014</v>
      </c>
      <c r="D376">
        <v>44.79</v>
      </c>
    </row>
    <row r="377" spans="1:4" x14ac:dyDescent="0.35">
      <c r="A377" s="1" t="s">
        <v>59</v>
      </c>
      <c r="B377" s="1" t="s">
        <v>135</v>
      </c>
      <c r="C377">
        <v>2015</v>
      </c>
      <c r="D377">
        <v>48.2</v>
      </c>
    </row>
    <row r="378" spans="1:4" x14ac:dyDescent="0.35">
      <c r="A378" s="1" t="s">
        <v>59</v>
      </c>
      <c r="B378" s="1" t="s">
        <v>135</v>
      </c>
      <c r="C378">
        <v>2016</v>
      </c>
      <c r="D378">
        <v>41.57</v>
      </c>
    </row>
    <row r="379" spans="1:4" x14ac:dyDescent="0.35">
      <c r="A379" s="1" t="s">
        <v>59</v>
      </c>
      <c r="B379" s="1" t="s">
        <v>135</v>
      </c>
      <c r="C379">
        <v>2017</v>
      </c>
      <c r="D379">
        <v>48.93</v>
      </c>
    </row>
    <row r="380" spans="1:4" x14ac:dyDescent="0.35">
      <c r="A380" s="1" t="s">
        <v>59</v>
      </c>
      <c r="B380" s="1" t="s">
        <v>135</v>
      </c>
      <c r="C380">
        <v>2018</v>
      </c>
      <c r="D380">
        <v>53.94</v>
      </c>
    </row>
    <row r="381" spans="1:4" x14ac:dyDescent="0.35">
      <c r="A381" s="1" t="s">
        <v>59</v>
      </c>
      <c r="B381" s="1" t="s">
        <v>135</v>
      </c>
      <c r="C381">
        <v>2019</v>
      </c>
      <c r="D381">
        <v>41.07</v>
      </c>
    </row>
    <row r="382" spans="1:4" x14ac:dyDescent="0.35">
      <c r="A382" s="1" t="s">
        <v>59</v>
      </c>
      <c r="B382" s="1" t="s">
        <v>135</v>
      </c>
      <c r="C382">
        <v>2020</v>
      </c>
      <c r="D382">
        <v>38.07</v>
      </c>
    </row>
    <row r="383" spans="1:4" x14ac:dyDescent="0.35">
      <c r="A383" s="1" t="s">
        <v>59</v>
      </c>
      <c r="B383" s="1" t="s">
        <v>135</v>
      </c>
      <c r="C383">
        <v>2021</v>
      </c>
      <c r="D383">
        <v>38.08</v>
      </c>
    </row>
    <row r="384" spans="1:4" x14ac:dyDescent="0.35">
      <c r="A384" s="1" t="s">
        <v>59</v>
      </c>
      <c r="B384" s="1" t="s">
        <v>135</v>
      </c>
      <c r="C384">
        <v>2022</v>
      </c>
      <c r="D384">
        <v>38.049999999999997</v>
      </c>
    </row>
    <row r="385" spans="1:4" x14ac:dyDescent="0.35">
      <c r="A385" s="1" t="s">
        <v>59</v>
      </c>
      <c r="B385" s="1" t="s">
        <v>135</v>
      </c>
      <c r="C385">
        <v>2023</v>
      </c>
      <c r="D385">
        <v>38.049999999999997</v>
      </c>
    </row>
    <row r="386" spans="1:4" x14ac:dyDescent="0.35">
      <c r="A386" s="1" t="s">
        <v>61</v>
      </c>
      <c r="B386" s="1" t="s">
        <v>135</v>
      </c>
      <c r="C386">
        <v>2000</v>
      </c>
      <c r="D386">
        <v>91.52</v>
      </c>
    </row>
    <row r="387" spans="1:4" x14ac:dyDescent="0.35">
      <c r="A387" s="1" t="s">
        <v>61</v>
      </c>
      <c r="B387" s="1" t="s">
        <v>135</v>
      </c>
      <c r="C387">
        <v>2001</v>
      </c>
      <c r="D387">
        <v>84.12</v>
      </c>
    </row>
    <row r="388" spans="1:4" x14ac:dyDescent="0.35">
      <c r="A388" s="1" t="s">
        <v>61</v>
      </c>
      <c r="B388" s="1" t="s">
        <v>135</v>
      </c>
      <c r="C388">
        <v>2002</v>
      </c>
      <c r="D388">
        <v>69.3</v>
      </c>
    </row>
    <row r="389" spans="1:4" x14ac:dyDescent="0.35">
      <c r="A389" s="1" t="s">
        <v>61</v>
      </c>
      <c r="B389" s="1" t="s">
        <v>135</v>
      </c>
      <c r="C389">
        <v>2003</v>
      </c>
      <c r="D389">
        <v>66.14</v>
      </c>
    </row>
    <row r="390" spans="1:4" x14ac:dyDescent="0.35">
      <c r="A390" s="1" t="s">
        <v>61</v>
      </c>
      <c r="B390" s="1" t="s">
        <v>135</v>
      </c>
      <c r="C390">
        <v>2004</v>
      </c>
      <c r="D390">
        <v>87.47</v>
      </c>
    </row>
    <row r="391" spans="1:4" x14ac:dyDescent="0.35">
      <c r="A391" s="1" t="s">
        <v>61</v>
      </c>
      <c r="B391" s="1" t="s">
        <v>135</v>
      </c>
      <c r="C391">
        <v>2005</v>
      </c>
      <c r="D391">
        <v>82.96</v>
      </c>
    </row>
    <row r="392" spans="1:4" x14ac:dyDescent="0.35">
      <c r="A392" s="1" t="s">
        <v>61</v>
      </c>
      <c r="B392" s="1" t="s">
        <v>135</v>
      </c>
      <c r="C392">
        <v>2006</v>
      </c>
      <c r="D392">
        <v>66.69</v>
      </c>
    </row>
    <row r="393" spans="1:4" x14ac:dyDescent="0.35">
      <c r="A393" s="1" t="s">
        <v>61</v>
      </c>
      <c r="B393" s="1" t="s">
        <v>135</v>
      </c>
      <c r="C393">
        <v>2007</v>
      </c>
      <c r="D393">
        <v>53.47</v>
      </c>
    </row>
    <row r="394" spans="1:4" x14ac:dyDescent="0.35">
      <c r="A394" s="1" t="s">
        <v>61</v>
      </c>
      <c r="B394" s="1" t="s">
        <v>135</v>
      </c>
      <c r="C394">
        <v>2008</v>
      </c>
      <c r="D394">
        <v>74.48</v>
      </c>
    </row>
    <row r="395" spans="1:4" x14ac:dyDescent="0.35">
      <c r="A395" s="1" t="s">
        <v>61</v>
      </c>
      <c r="B395" s="1" t="s">
        <v>135</v>
      </c>
      <c r="C395">
        <v>2009</v>
      </c>
      <c r="D395">
        <v>76.81</v>
      </c>
    </row>
    <row r="396" spans="1:4" x14ac:dyDescent="0.35">
      <c r="A396" s="1" t="s">
        <v>61</v>
      </c>
      <c r="B396" s="1" t="s">
        <v>135</v>
      </c>
      <c r="C396">
        <v>2010</v>
      </c>
      <c r="D396">
        <v>68.86</v>
      </c>
    </row>
    <row r="397" spans="1:4" x14ac:dyDescent="0.35">
      <c r="A397" s="1" t="s">
        <v>61</v>
      </c>
      <c r="B397" s="1" t="s">
        <v>135</v>
      </c>
      <c r="C397">
        <v>2011</v>
      </c>
      <c r="D397">
        <v>67.55</v>
      </c>
    </row>
    <row r="398" spans="1:4" x14ac:dyDescent="0.35">
      <c r="A398" s="1" t="s">
        <v>61</v>
      </c>
      <c r="B398" s="1" t="s">
        <v>135</v>
      </c>
      <c r="C398">
        <v>2012</v>
      </c>
      <c r="D398">
        <v>67.17</v>
      </c>
    </row>
    <row r="399" spans="1:4" x14ac:dyDescent="0.35">
      <c r="A399" s="1" t="s">
        <v>61</v>
      </c>
      <c r="B399" s="1" t="s">
        <v>135</v>
      </c>
      <c r="C399">
        <v>2013</v>
      </c>
      <c r="D399">
        <v>64.03</v>
      </c>
    </row>
    <row r="400" spans="1:4" x14ac:dyDescent="0.35">
      <c r="A400" s="1" t="s">
        <v>61</v>
      </c>
      <c r="B400" s="1" t="s">
        <v>135</v>
      </c>
      <c r="C400">
        <v>2014</v>
      </c>
      <c r="D400">
        <v>64.790000000000006</v>
      </c>
    </row>
    <row r="401" spans="1:4" x14ac:dyDescent="0.35">
      <c r="A401" s="1" t="s">
        <v>61</v>
      </c>
      <c r="B401" s="1" t="s">
        <v>135</v>
      </c>
      <c r="C401">
        <v>2015</v>
      </c>
      <c r="D401">
        <v>51.02</v>
      </c>
    </row>
    <row r="402" spans="1:4" x14ac:dyDescent="0.35">
      <c r="A402" s="1" t="s">
        <v>61</v>
      </c>
      <c r="B402" s="1" t="s">
        <v>135</v>
      </c>
      <c r="C402">
        <v>2016</v>
      </c>
      <c r="D402">
        <v>42.96</v>
      </c>
    </row>
    <row r="403" spans="1:4" x14ac:dyDescent="0.35">
      <c r="A403" s="1" t="s">
        <v>61</v>
      </c>
      <c r="B403" s="1" t="s">
        <v>135</v>
      </c>
      <c r="C403">
        <v>2017</v>
      </c>
      <c r="D403">
        <v>41.21</v>
      </c>
    </row>
    <row r="404" spans="1:4" x14ac:dyDescent="0.35">
      <c r="A404" s="1" t="s">
        <v>61</v>
      </c>
      <c r="B404" s="1" t="s">
        <v>135</v>
      </c>
      <c r="C404">
        <v>2018</v>
      </c>
      <c r="D404">
        <v>37.35</v>
      </c>
    </row>
    <row r="405" spans="1:4" x14ac:dyDescent="0.35">
      <c r="A405" s="1" t="s">
        <v>61</v>
      </c>
      <c r="B405" s="1" t="s">
        <v>135</v>
      </c>
      <c r="C405">
        <v>2019</v>
      </c>
      <c r="D405">
        <v>40.65</v>
      </c>
    </row>
    <row r="406" spans="1:4" x14ac:dyDescent="0.35">
      <c r="A406" s="1" t="s">
        <v>61</v>
      </c>
      <c r="B406" s="1" t="s">
        <v>135</v>
      </c>
      <c r="C406">
        <v>2020</v>
      </c>
      <c r="D406">
        <v>36.549999999999997</v>
      </c>
    </row>
    <row r="407" spans="1:4" x14ac:dyDescent="0.35">
      <c r="A407" s="1" t="s">
        <v>61</v>
      </c>
      <c r="B407" s="1" t="s">
        <v>135</v>
      </c>
      <c r="C407">
        <v>2021</v>
      </c>
      <c r="D407">
        <v>34.56</v>
      </c>
    </row>
    <row r="408" spans="1:4" x14ac:dyDescent="0.35">
      <c r="A408" s="1" t="s">
        <v>61</v>
      </c>
      <c r="B408" s="1" t="s">
        <v>135</v>
      </c>
      <c r="C408">
        <v>2022</v>
      </c>
      <c r="D408">
        <v>35.880000000000003</v>
      </c>
    </row>
    <row r="409" spans="1:4" x14ac:dyDescent="0.35">
      <c r="A409" s="1" t="s">
        <v>61</v>
      </c>
      <c r="B409" s="1" t="s">
        <v>135</v>
      </c>
      <c r="C409">
        <v>2023</v>
      </c>
      <c r="D409">
        <v>36.200000000000003</v>
      </c>
    </row>
    <row r="410" spans="1:4" x14ac:dyDescent="0.35">
      <c r="A410" s="1" t="s">
        <v>63</v>
      </c>
      <c r="B410" s="1" t="s">
        <v>135</v>
      </c>
      <c r="C410">
        <v>2000</v>
      </c>
      <c r="D410">
        <v>55.97</v>
      </c>
    </row>
    <row r="411" spans="1:4" x14ac:dyDescent="0.35">
      <c r="A411" s="1" t="s">
        <v>63</v>
      </c>
      <c r="B411" s="1" t="s">
        <v>135</v>
      </c>
      <c r="C411">
        <v>2001</v>
      </c>
      <c r="D411">
        <v>57.26</v>
      </c>
    </row>
    <row r="412" spans="1:4" x14ac:dyDescent="0.35">
      <c r="A412" s="1" t="s">
        <v>63</v>
      </c>
      <c r="B412" s="1" t="s">
        <v>135</v>
      </c>
      <c r="C412">
        <v>2002</v>
      </c>
      <c r="D412">
        <v>58.62</v>
      </c>
    </row>
    <row r="413" spans="1:4" x14ac:dyDescent="0.35">
      <c r="A413" s="1" t="s">
        <v>63</v>
      </c>
      <c r="B413" s="1" t="s">
        <v>135</v>
      </c>
      <c r="C413">
        <v>2003</v>
      </c>
      <c r="D413">
        <v>46.35</v>
      </c>
    </row>
    <row r="414" spans="1:4" x14ac:dyDescent="0.35">
      <c r="A414" s="1" t="s">
        <v>63</v>
      </c>
      <c r="B414" s="1" t="s">
        <v>135</v>
      </c>
      <c r="C414">
        <v>2004</v>
      </c>
      <c r="D414">
        <v>61.46</v>
      </c>
    </row>
    <row r="415" spans="1:4" x14ac:dyDescent="0.35">
      <c r="A415" s="1" t="s">
        <v>63</v>
      </c>
      <c r="B415" s="1" t="s">
        <v>135</v>
      </c>
      <c r="C415">
        <v>2005</v>
      </c>
      <c r="D415">
        <v>60.76</v>
      </c>
    </row>
    <row r="416" spans="1:4" x14ac:dyDescent="0.35">
      <c r="A416" s="1" t="s">
        <v>63</v>
      </c>
      <c r="B416" s="1" t="s">
        <v>135</v>
      </c>
      <c r="C416">
        <v>2006</v>
      </c>
      <c r="D416">
        <v>63.09</v>
      </c>
    </row>
    <row r="417" spans="1:4" x14ac:dyDescent="0.35">
      <c r="A417" s="1" t="s">
        <v>63</v>
      </c>
      <c r="B417" s="1" t="s">
        <v>135</v>
      </c>
      <c r="C417">
        <v>2007</v>
      </c>
      <c r="D417">
        <v>64.69</v>
      </c>
    </row>
    <row r="418" spans="1:4" x14ac:dyDescent="0.35">
      <c r="A418" s="1" t="s">
        <v>63</v>
      </c>
      <c r="B418" s="1" t="s">
        <v>135</v>
      </c>
      <c r="C418">
        <v>2008</v>
      </c>
      <c r="D418">
        <v>74.349999999999994</v>
      </c>
    </row>
    <row r="419" spans="1:4" x14ac:dyDescent="0.35">
      <c r="A419" s="1" t="s">
        <v>63</v>
      </c>
      <c r="B419" s="1" t="s">
        <v>135</v>
      </c>
      <c r="C419">
        <v>2009</v>
      </c>
      <c r="D419">
        <v>70.3</v>
      </c>
    </row>
    <row r="420" spans="1:4" x14ac:dyDescent="0.35">
      <c r="A420" s="1" t="s">
        <v>63</v>
      </c>
      <c r="B420" s="1" t="s">
        <v>135</v>
      </c>
      <c r="C420">
        <v>2010</v>
      </c>
      <c r="D420">
        <v>77.37</v>
      </c>
    </row>
    <row r="421" spans="1:4" x14ac:dyDescent="0.35">
      <c r="A421" s="1" t="s">
        <v>63</v>
      </c>
      <c r="B421" s="1" t="s">
        <v>135</v>
      </c>
      <c r="C421">
        <v>2011</v>
      </c>
      <c r="D421">
        <v>75.91</v>
      </c>
    </row>
    <row r="422" spans="1:4" x14ac:dyDescent="0.35">
      <c r="A422" s="1" t="s">
        <v>63</v>
      </c>
      <c r="B422" s="1" t="s">
        <v>135</v>
      </c>
      <c r="C422">
        <v>2012</v>
      </c>
      <c r="D422">
        <v>67.69</v>
      </c>
    </row>
    <row r="423" spans="1:4" x14ac:dyDescent="0.35">
      <c r="A423" s="1" t="s">
        <v>63</v>
      </c>
      <c r="B423" s="1" t="s">
        <v>135</v>
      </c>
      <c r="C423">
        <v>2013</v>
      </c>
      <c r="D423">
        <v>74.099999999999994</v>
      </c>
    </row>
    <row r="424" spans="1:4" x14ac:dyDescent="0.35">
      <c r="A424" s="1" t="s">
        <v>63</v>
      </c>
      <c r="B424" s="1" t="s">
        <v>135</v>
      </c>
      <c r="C424">
        <v>2014</v>
      </c>
      <c r="D424">
        <v>60.3</v>
      </c>
    </row>
    <row r="425" spans="1:4" x14ac:dyDescent="0.35">
      <c r="A425" s="1" t="s">
        <v>63</v>
      </c>
      <c r="B425" s="1" t="s">
        <v>135</v>
      </c>
      <c r="C425">
        <v>2015</v>
      </c>
      <c r="D425">
        <v>78.87</v>
      </c>
    </row>
    <row r="426" spans="1:4" x14ac:dyDescent="0.35">
      <c r="A426" s="1" t="s">
        <v>63</v>
      </c>
      <c r="B426" s="1" t="s">
        <v>135</v>
      </c>
      <c r="C426">
        <v>2016</v>
      </c>
      <c r="D426">
        <v>67.95</v>
      </c>
    </row>
    <row r="427" spans="1:4" x14ac:dyDescent="0.35">
      <c r="A427" s="1" t="s">
        <v>63</v>
      </c>
      <c r="B427" s="1" t="s">
        <v>135</v>
      </c>
      <c r="C427">
        <v>2017</v>
      </c>
      <c r="D427">
        <v>69.3</v>
      </c>
    </row>
    <row r="428" spans="1:4" x14ac:dyDescent="0.35">
      <c r="A428" s="1" t="s">
        <v>63</v>
      </c>
      <c r="B428" s="1" t="s">
        <v>135</v>
      </c>
      <c r="C428">
        <v>2018</v>
      </c>
      <c r="D428">
        <v>63.29</v>
      </c>
    </row>
    <row r="429" spans="1:4" x14ac:dyDescent="0.35">
      <c r="A429" s="1" t="s">
        <v>63</v>
      </c>
      <c r="B429" s="1" t="s">
        <v>135</v>
      </c>
      <c r="C429">
        <v>2019</v>
      </c>
      <c r="D429">
        <v>63.9</v>
      </c>
    </row>
    <row r="430" spans="1:4" x14ac:dyDescent="0.35">
      <c r="A430" s="1" t="s">
        <v>63</v>
      </c>
      <c r="B430" s="1" t="s">
        <v>135</v>
      </c>
      <c r="C430">
        <v>2020</v>
      </c>
      <c r="D430">
        <v>61.85</v>
      </c>
    </row>
    <row r="431" spans="1:4" x14ac:dyDescent="0.35">
      <c r="A431" s="1" t="s">
        <v>63</v>
      </c>
      <c r="B431" s="1" t="s">
        <v>135</v>
      </c>
      <c r="C431">
        <v>2021</v>
      </c>
      <c r="D431">
        <v>88.13</v>
      </c>
    </row>
    <row r="432" spans="1:4" x14ac:dyDescent="0.35">
      <c r="A432" s="1" t="s">
        <v>63</v>
      </c>
      <c r="B432" s="1" t="s">
        <v>135</v>
      </c>
      <c r="C432">
        <v>2022</v>
      </c>
      <c r="D432">
        <v>90.64</v>
      </c>
    </row>
    <row r="433" spans="1:4" x14ac:dyDescent="0.35">
      <c r="A433" s="1" t="s">
        <v>63</v>
      </c>
      <c r="B433" s="1" t="s">
        <v>135</v>
      </c>
      <c r="C433">
        <v>2023</v>
      </c>
      <c r="D433">
        <v>90.65</v>
      </c>
    </row>
    <row r="434" spans="1:4" x14ac:dyDescent="0.35">
      <c r="A434" s="1" t="s">
        <v>65</v>
      </c>
      <c r="B434" s="1" t="s">
        <v>135</v>
      </c>
      <c r="C434">
        <v>2000</v>
      </c>
      <c r="D434" t="s">
        <v>136</v>
      </c>
    </row>
    <row r="435" spans="1:4" x14ac:dyDescent="0.35">
      <c r="A435" s="1" t="s">
        <v>65</v>
      </c>
      <c r="B435" s="1" t="s">
        <v>135</v>
      </c>
      <c r="C435">
        <v>2001</v>
      </c>
      <c r="D435" t="s">
        <v>136</v>
      </c>
    </row>
    <row r="436" spans="1:4" x14ac:dyDescent="0.35">
      <c r="A436" s="1" t="s">
        <v>65</v>
      </c>
      <c r="B436" s="1" t="s">
        <v>135</v>
      </c>
      <c r="C436">
        <v>2002</v>
      </c>
      <c r="D436" t="s">
        <v>136</v>
      </c>
    </row>
    <row r="437" spans="1:4" x14ac:dyDescent="0.35">
      <c r="A437" s="1" t="s">
        <v>65</v>
      </c>
      <c r="B437" s="1" t="s">
        <v>135</v>
      </c>
      <c r="C437">
        <v>2003</v>
      </c>
      <c r="D437" t="s">
        <v>136</v>
      </c>
    </row>
    <row r="438" spans="1:4" x14ac:dyDescent="0.35">
      <c r="A438" s="1" t="s">
        <v>65</v>
      </c>
      <c r="B438" s="1" t="s">
        <v>135</v>
      </c>
      <c r="C438">
        <v>2004</v>
      </c>
      <c r="D438" t="s">
        <v>136</v>
      </c>
    </row>
    <row r="439" spans="1:4" x14ac:dyDescent="0.35">
      <c r="A439" s="1" t="s">
        <v>65</v>
      </c>
      <c r="B439" s="1" t="s">
        <v>135</v>
      </c>
      <c r="C439">
        <v>2005</v>
      </c>
      <c r="D439" t="s">
        <v>136</v>
      </c>
    </row>
    <row r="440" spans="1:4" x14ac:dyDescent="0.35">
      <c r="A440" s="1" t="s">
        <v>65</v>
      </c>
      <c r="B440" s="1" t="s">
        <v>135</v>
      </c>
      <c r="C440">
        <v>2006</v>
      </c>
      <c r="D440" t="s">
        <v>136</v>
      </c>
    </row>
    <row r="441" spans="1:4" x14ac:dyDescent="0.35">
      <c r="A441" s="1" t="s">
        <v>65</v>
      </c>
      <c r="B441" s="1" t="s">
        <v>135</v>
      </c>
      <c r="C441">
        <v>2007</v>
      </c>
      <c r="D441" t="s">
        <v>136</v>
      </c>
    </row>
    <row r="442" spans="1:4" x14ac:dyDescent="0.35">
      <c r="A442" s="1" t="s">
        <v>65</v>
      </c>
      <c r="B442" s="1" t="s">
        <v>135</v>
      </c>
      <c r="C442">
        <v>2008</v>
      </c>
      <c r="D442" t="s">
        <v>136</v>
      </c>
    </row>
    <row r="443" spans="1:4" x14ac:dyDescent="0.35">
      <c r="A443" s="1" t="s">
        <v>65</v>
      </c>
      <c r="B443" s="1" t="s">
        <v>135</v>
      </c>
      <c r="C443">
        <v>2009</v>
      </c>
      <c r="D443" t="s">
        <v>136</v>
      </c>
    </row>
    <row r="444" spans="1:4" x14ac:dyDescent="0.35">
      <c r="A444" s="1" t="s">
        <v>65</v>
      </c>
      <c r="B444" s="1" t="s">
        <v>135</v>
      </c>
      <c r="C444">
        <v>2010</v>
      </c>
      <c r="D444" t="s">
        <v>136</v>
      </c>
    </row>
    <row r="445" spans="1:4" x14ac:dyDescent="0.35">
      <c r="A445" s="1" t="s">
        <v>65</v>
      </c>
      <c r="B445" s="1" t="s">
        <v>135</v>
      </c>
      <c r="C445">
        <v>2011</v>
      </c>
      <c r="D445" t="s">
        <v>136</v>
      </c>
    </row>
    <row r="446" spans="1:4" x14ac:dyDescent="0.35">
      <c r="A446" s="1" t="s">
        <v>65</v>
      </c>
      <c r="B446" s="1" t="s">
        <v>135</v>
      </c>
      <c r="C446">
        <v>2012</v>
      </c>
      <c r="D446" t="s">
        <v>136</v>
      </c>
    </row>
    <row r="447" spans="1:4" x14ac:dyDescent="0.35">
      <c r="A447" s="1" t="s">
        <v>65</v>
      </c>
      <c r="B447" s="1" t="s">
        <v>135</v>
      </c>
      <c r="C447">
        <v>2013</v>
      </c>
      <c r="D447" t="s">
        <v>136</v>
      </c>
    </row>
    <row r="448" spans="1:4" x14ac:dyDescent="0.35">
      <c r="A448" s="1" t="s">
        <v>65</v>
      </c>
      <c r="B448" s="1" t="s">
        <v>135</v>
      </c>
      <c r="C448">
        <v>2014</v>
      </c>
      <c r="D448">
        <v>0</v>
      </c>
    </row>
    <row r="449" spans="1:4" x14ac:dyDescent="0.35">
      <c r="A449" s="1" t="s">
        <v>65</v>
      </c>
      <c r="B449" s="1" t="s">
        <v>135</v>
      </c>
      <c r="C449">
        <v>2015</v>
      </c>
      <c r="D449">
        <v>1.1599999999999999</v>
      </c>
    </row>
    <row r="450" spans="1:4" x14ac:dyDescent="0.35">
      <c r="A450" s="1" t="s">
        <v>65</v>
      </c>
      <c r="B450" s="1" t="s">
        <v>135</v>
      </c>
      <c r="C450">
        <v>2016</v>
      </c>
      <c r="D450">
        <v>4.38</v>
      </c>
    </row>
    <row r="451" spans="1:4" x14ac:dyDescent="0.35">
      <c r="A451" s="1" t="s">
        <v>65</v>
      </c>
      <c r="B451" s="1" t="s">
        <v>135</v>
      </c>
      <c r="C451">
        <v>2017</v>
      </c>
      <c r="D451">
        <v>5.81</v>
      </c>
    </row>
    <row r="452" spans="1:4" x14ac:dyDescent="0.35">
      <c r="A452" s="1" t="s">
        <v>65</v>
      </c>
      <c r="B452" s="1" t="s">
        <v>135</v>
      </c>
      <c r="C452">
        <v>2018</v>
      </c>
      <c r="D452">
        <v>10.64</v>
      </c>
    </row>
    <row r="453" spans="1:4" x14ac:dyDescent="0.35">
      <c r="A453" s="1" t="s">
        <v>65</v>
      </c>
      <c r="B453" s="1" t="s">
        <v>135</v>
      </c>
      <c r="C453">
        <v>2019</v>
      </c>
      <c r="D453">
        <v>10.62</v>
      </c>
    </row>
    <row r="454" spans="1:4" x14ac:dyDescent="0.35">
      <c r="A454" s="1" t="s">
        <v>65</v>
      </c>
      <c r="B454" s="1" t="s">
        <v>135</v>
      </c>
      <c r="C454">
        <v>2020</v>
      </c>
      <c r="D454">
        <v>10.3</v>
      </c>
    </row>
    <row r="455" spans="1:4" x14ac:dyDescent="0.35">
      <c r="A455" s="1" t="s">
        <v>65</v>
      </c>
      <c r="B455" s="1" t="s">
        <v>135</v>
      </c>
      <c r="C455">
        <v>2021</v>
      </c>
      <c r="D455">
        <v>11.8</v>
      </c>
    </row>
    <row r="456" spans="1:4" x14ac:dyDescent="0.35">
      <c r="A456" s="1" t="s">
        <v>65</v>
      </c>
      <c r="B456" s="1" t="s">
        <v>135</v>
      </c>
      <c r="C456">
        <v>2022</v>
      </c>
      <c r="D456">
        <v>10.52</v>
      </c>
    </row>
    <row r="457" spans="1:4" x14ac:dyDescent="0.35">
      <c r="A457" s="1" t="s">
        <v>65</v>
      </c>
      <c r="B457" s="1" t="s">
        <v>135</v>
      </c>
      <c r="C457">
        <v>2023</v>
      </c>
      <c r="D457">
        <v>11.43</v>
      </c>
    </row>
    <row r="458" spans="1:4" x14ac:dyDescent="0.35">
      <c r="A458" s="1" t="s">
        <v>69</v>
      </c>
      <c r="B458" s="1" t="s">
        <v>135</v>
      </c>
      <c r="C458">
        <v>2000</v>
      </c>
      <c r="D458">
        <v>57.38</v>
      </c>
    </row>
    <row r="459" spans="1:4" x14ac:dyDescent="0.35">
      <c r="A459" s="1" t="s">
        <v>69</v>
      </c>
      <c r="B459" s="1" t="s">
        <v>135</v>
      </c>
      <c r="C459">
        <v>2001</v>
      </c>
      <c r="D459">
        <v>57.3</v>
      </c>
    </row>
    <row r="460" spans="1:4" x14ac:dyDescent="0.35">
      <c r="A460" s="1" t="s">
        <v>69</v>
      </c>
      <c r="B460" s="1" t="s">
        <v>135</v>
      </c>
      <c r="C460">
        <v>2002</v>
      </c>
      <c r="D460">
        <v>72.22</v>
      </c>
    </row>
    <row r="461" spans="1:4" x14ac:dyDescent="0.35">
      <c r="A461" s="1" t="s">
        <v>69</v>
      </c>
      <c r="B461" s="1" t="s">
        <v>135</v>
      </c>
      <c r="C461">
        <v>2003</v>
      </c>
      <c r="D461">
        <v>80.680000000000007</v>
      </c>
    </row>
    <row r="462" spans="1:4" x14ac:dyDescent="0.35">
      <c r="A462" s="1" t="s">
        <v>69</v>
      </c>
      <c r="B462" s="1" t="s">
        <v>135</v>
      </c>
      <c r="C462">
        <v>2004</v>
      </c>
      <c r="D462">
        <v>78.98</v>
      </c>
    </row>
    <row r="463" spans="1:4" x14ac:dyDescent="0.35">
      <c r="A463" s="1" t="s">
        <v>69</v>
      </c>
      <c r="B463" s="1" t="s">
        <v>135</v>
      </c>
      <c r="C463">
        <v>2005</v>
      </c>
      <c r="D463">
        <v>73.25</v>
      </c>
    </row>
    <row r="464" spans="1:4" x14ac:dyDescent="0.35">
      <c r="A464" s="1" t="s">
        <v>69</v>
      </c>
      <c r="B464" s="1" t="s">
        <v>135</v>
      </c>
      <c r="C464">
        <v>2006</v>
      </c>
      <c r="D464">
        <v>71.069999999999993</v>
      </c>
    </row>
    <row r="465" spans="1:4" x14ac:dyDescent="0.35">
      <c r="A465" s="1" t="s">
        <v>69</v>
      </c>
      <c r="B465" s="1" t="s">
        <v>135</v>
      </c>
      <c r="C465">
        <v>2007</v>
      </c>
      <c r="D465">
        <v>71.12</v>
      </c>
    </row>
    <row r="466" spans="1:4" x14ac:dyDescent="0.35">
      <c r="A466" s="1" t="s">
        <v>69</v>
      </c>
      <c r="B466" s="1" t="s">
        <v>135</v>
      </c>
      <c r="C466">
        <v>2008</v>
      </c>
      <c r="D466">
        <v>67.66</v>
      </c>
    </row>
    <row r="467" spans="1:4" x14ac:dyDescent="0.35">
      <c r="A467" s="1" t="s">
        <v>69</v>
      </c>
      <c r="B467" s="1" t="s">
        <v>135</v>
      </c>
      <c r="C467">
        <v>2009</v>
      </c>
      <c r="D467">
        <v>59.68</v>
      </c>
    </row>
    <row r="468" spans="1:4" x14ac:dyDescent="0.35">
      <c r="A468" s="1" t="s">
        <v>69</v>
      </c>
      <c r="B468" s="1" t="s">
        <v>135</v>
      </c>
      <c r="C468">
        <v>2010</v>
      </c>
      <c r="D468">
        <v>62.94</v>
      </c>
    </row>
    <row r="469" spans="1:4" x14ac:dyDescent="0.35">
      <c r="A469" s="1" t="s">
        <v>69</v>
      </c>
      <c r="B469" s="1" t="s">
        <v>135</v>
      </c>
      <c r="C469">
        <v>2011</v>
      </c>
      <c r="D469">
        <v>68.33</v>
      </c>
    </row>
    <row r="470" spans="1:4" x14ac:dyDescent="0.35">
      <c r="A470" s="1" t="s">
        <v>69</v>
      </c>
      <c r="B470" s="1" t="s">
        <v>135</v>
      </c>
      <c r="C470">
        <v>2012</v>
      </c>
      <c r="D470">
        <v>71.27</v>
      </c>
    </row>
    <row r="471" spans="1:4" x14ac:dyDescent="0.35">
      <c r="A471" s="1" t="s">
        <v>69</v>
      </c>
      <c r="B471" s="1" t="s">
        <v>135</v>
      </c>
      <c r="C471">
        <v>2013</v>
      </c>
      <c r="D471">
        <v>72.400000000000006</v>
      </c>
    </row>
    <row r="472" spans="1:4" x14ac:dyDescent="0.35">
      <c r="A472" s="1" t="s">
        <v>69</v>
      </c>
      <c r="B472" s="1" t="s">
        <v>135</v>
      </c>
      <c r="C472">
        <v>2014</v>
      </c>
      <c r="D472">
        <v>75.27</v>
      </c>
    </row>
    <row r="473" spans="1:4" x14ac:dyDescent="0.35">
      <c r="A473" s="1" t="s">
        <v>69</v>
      </c>
      <c r="B473" s="1" t="s">
        <v>135</v>
      </c>
      <c r="C473">
        <v>2015</v>
      </c>
      <c r="D473">
        <v>83.38</v>
      </c>
    </row>
    <row r="474" spans="1:4" x14ac:dyDescent="0.35">
      <c r="A474" s="1" t="s">
        <v>69</v>
      </c>
      <c r="B474" s="1" t="s">
        <v>135</v>
      </c>
      <c r="C474">
        <v>2016</v>
      </c>
      <c r="D474">
        <v>82.52</v>
      </c>
    </row>
    <row r="475" spans="1:4" x14ac:dyDescent="0.35">
      <c r="A475" s="1" t="s">
        <v>69</v>
      </c>
      <c r="B475" s="1" t="s">
        <v>135</v>
      </c>
      <c r="C475">
        <v>2017</v>
      </c>
      <c r="D475">
        <v>79.33</v>
      </c>
    </row>
    <row r="476" spans="1:4" x14ac:dyDescent="0.35">
      <c r="A476" s="1" t="s">
        <v>69</v>
      </c>
      <c r="B476" s="1" t="s">
        <v>135</v>
      </c>
      <c r="C476">
        <v>2018</v>
      </c>
      <c r="D476">
        <v>83.68</v>
      </c>
    </row>
    <row r="477" spans="1:4" x14ac:dyDescent="0.35">
      <c r="A477" s="1" t="s">
        <v>69</v>
      </c>
      <c r="B477" s="1" t="s">
        <v>135</v>
      </c>
      <c r="C477">
        <v>2019</v>
      </c>
      <c r="D477">
        <v>89.64</v>
      </c>
    </row>
    <row r="478" spans="1:4" x14ac:dyDescent="0.35">
      <c r="A478" s="1" t="s">
        <v>69</v>
      </c>
      <c r="B478" s="1" t="s">
        <v>135</v>
      </c>
      <c r="C478">
        <v>2020</v>
      </c>
      <c r="D478">
        <v>91.46</v>
      </c>
    </row>
    <row r="479" spans="1:4" x14ac:dyDescent="0.35">
      <c r="A479" s="1" t="s">
        <v>69</v>
      </c>
      <c r="B479" s="1" t="s">
        <v>135</v>
      </c>
      <c r="C479">
        <v>2021</v>
      </c>
      <c r="D479">
        <v>88.22</v>
      </c>
    </row>
    <row r="480" spans="1:4" x14ac:dyDescent="0.35">
      <c r="A480" s="1" t="s">
        <v>69</v>
      </c>
      <c r="B480" s="1" t="s">
        <v>135</v>
      </c>
      <c r="C480">
        <v>2022</v>
      </c>
      <c r="D480">
        <v>86.32</v>
      </c>
    </row>
    <row r="481" spans="1:4" x14ac:dyDescent="0.35">
      <c r="A481" s="1" t="s">
        <v>69</v>
      </c>
      <c r="B481" s="1" t="s">
        <v>135</v>
      </c>
      <c r="C481">
        <v>2023</v>
      </c>
      <c r="D481">
        <v>89.09</v>
      </c>
    </row>
    <row r="482" spans="1:4" x14ac:dyDescent="0.35">
      <c r="A482" s="1" t="s">
        <v>75</v>
      </c>
      <c r="B482" s="1" t="s">
        <v>135</v>
      </c>
      <c r="C482">
        <v>2000</v>
      </c>
      <c r="D482">
        <v>99.9</v>
      </c>
    </row>
    <row r="483" spans="1:4" x14ac:dyDescent="0.35">
      <c r="A483" s="1" t="s">
        <v>75</v>
      </c>
      <c r="B483" s="1" t="s">
        <v>135</v>
      </c>
      <c r="C483">
        <v>2001</v>
      </c>
      <c r="D483">
        <v>99.9</v>
      </c>
    </row>
    <row r="484" spans="1:4" x14ac:dyDescent="0.35">
      <c r="A484" s="1" t="s">
        <v>75</v>
      </c>
      <c r="B484" s="1" t="s">
        <v>135</v>
      </c>
      <c r="C484">
        <v>2002</v>
      </c>
      <c r="D484">
        <v>99.91</v>
      </c>
    </row>
    <row r="485" spans="1:4" x14ac:dyDescent="0.35">
      <c r="A485" s="1" t="s">
        <v>75</v>
      </c>
      <c r="B485" s="1" t="s">
        <v>135</v>
      </c>
      <c r="C485">
        <v>2003</v>
      </c>
      <c r="D485">
        <v>99.91</v>
      </c>
    </row>
    <row r="486" spans="1:4" x14ac:dyDescent="0.35">
      <c r="A486" s="1" t="s">
        <v>75</v>
      </c>
      <c r="B486" s="1" t="s">
        <v>135</v>
      </c>
      <c r="C486">
        <v>2004</v>
      </c>
      <c r="D486">
        <v>99.91</v>
      </c>
    </row>
    <row r="487" spans="1:4" x14ac:dyDescent="0.35">
      <c r="A487" s="1" t="s">
        <v>75</v>
      </c>
      <c r="B487" s="1" t="s">
        <v>135</v>
      </c>
      <c r="C487">
        <v>2005</v>
      </c>
      <c r="D487">
        <v>99.92</v>
      </c>
    </row>
    <row r="488" spans="1:4" x14ac:dyDescent="0.35">
      <c r="A488" s="1" t="s">
        <v>75</v>
      </c>
      <c r="B488" s="1" t="s">
        <v>135</v>
      </c>
      <c r="C488">
        <v>2006</v>
      </c>
      <c r="D488">
        <v>99.92</v>
      </c>
    </row>
    <row r="489" spans="1:4" x14ac:dyDescent="0.35">
      <c r="A489" s="1" t="s">
        <v>75</v>
      </c>
      <c r="B489" s="1" t="s">
        <v>135</v>
      </c>
      <c r="C489">
        <v>2007</v>
      </c>
      <c r="D489">
        <v>99.93</v>
      </c>
    </row>
    <row r="490" spans="1:4" x14ac:dyDescent="0.35">
      <c r="A490" s="1" t="s">
        <v>75</v>
      </c>
      <c r="B490" s="1" t="s">
        <v>135</v>
      </c>
      <c r="C490">
        <v>2008</v>
      </c>
      <c r="D490">
        <v>99.92</v>
      </c>
    </row>
    <row r="491" spans="1:4" x14ac:dyDescent="0.35">
      <c r="A491" s="1" t="s">
        <v>75</v>
      </c>
      <c r="B491" s="1" t="s">
        <v>135</v>
      </c>
      <c r="C491">
        <v>2009</v>
      </c>
      <c r="D491">
        <v>99.93</v>
      </c>
    </row>
    <row r="492" spans="1:4" x14ac:dyDescent="0.35">
      <c r="A492" s="1" t="s">
        <v>75</v>
      </c>
      <c r="B492" s="1" t="s">
        <v>135</v>
      </c>
      <c r="C492">
        <v>2010</v>
      </c>
      <c r="D492">
        <v>99.92</v>
      </c>
    </row>
    <row r="493" spans="1:4" x14ac:dyDescent="0.35">
      <c r="A493" s="1" t="s">
        <v>75</v>
      </c>
      <c r="B493" s="1" t="s">
        <v>135</v>
      </c>
      <c r="C493">
        <v>2011</v>
      </c>
      <c r="D493">
        <v>99.92</v>
      </c>
    </row>
    <row r="494" spans="1:4" x14ac:dyDescent="0.35">
      <c r="A494" s="1" t="s">
        <v>75</v>
      </c>
      <c r="B494" s="1" t="s">
        <v>135</v>
      </c>
      <c r="C494">
        <v>2012</v>
      </c>
      <c r="D494">
        <v>99.92</v>
      </c>
    </row>
    <row r="495" spans="1:4" x14ac:dyDescent="0.35">
      <c r="A495" s="1" t="s">
        <v>75</v>
      </c>
      <c r="B495" s="1" t="s">
        <v>135</v>
      </c>
      <c r="C495">
        <v>2013</v>
      </c>
      <c r="D495">
        <v>99.93</v>
      </c>
    </row>
    <row r="496" spans="1:4" x14ac:dyDescent="0.35">
      <c r="A496" s="1" t="s">
        <v>75</v>
      </c>
      <c r="B496" s="1" t="s">
        <v>135</v>
      </c>
      <c r="C496">
        <v>2014</v>
      </c>
      <c r="D496">
        <v>99.93</v>
      </c>
    </row>
    <row r="497" spans="1:4" x14ac:dyDescent="0.35">
      <c r="A497" s="1" t="s">
        <v>75</v>
      </c>
      <c r="B497" s="1" t="s">
        <v>135</v>
      </c>
      <c r="C497">
        <v>2015</v>
      </c>
      <c r="D497">
        <v>99.93</v>
      </c>
    </row>
    <row r="498" spans="1:4" x14ac:dyDescent="0.35">
      <c r="A498" s="1" t="s">
        <v>75</v>
      </c>
      <c r="B498" s="1" t="s">
        <v>135</v>
      </c>
      <c r="C498">
        <v>2016</v>
      </c>
      <c r="D498">
        <v>99.93</v>
      </c>
    </row>
    <row r="499" spans="1:4" x14ac:dyDescent="0.35">
      <c r="A499" s="1" t="s">
        <v>75</v>
      </c>
      <c r="B499" s="1" t="s">
        <v>135</v>
      </c>
      <c r="C499">
        <v>2017</v>
      </c>
      <c r="D499">
        <v>99.88</v>
      </c>
    </row>
    <row r="500" spans="1:4" x14ac:dyDescent="0.35">
      <c r="A500" s="1" t="s">
        <v>75</v>
      </c>
      <c r="B500" s="1" t="s">
        <v>135</v>
      </c>
      <c r="C500">
        <v>2018</v>
      </c>
      <c r="D500">
        <v>99.88</v>
      </c>
    </row>
    <row r="501" spans="1:4" x14ac:dyDescent="0.35">
      <c r="A501" s="1" t="s">
        <v>75</v>
      </c>
      <c r="B501" s="1" t="s">
        <v>135</v>
      </c>
      <c r="C501">
        <v>2019</v>
      </c>
      <c r="D501">
        <v>99.87</v>
      </c>
    </row>
    <row r="502" spans="1:4" x14ac:dyDescent="0.35">
      <c r="A502" s="1" t="s">
        <v>75</v>
      </c>
      <c r="B502" s="1" t="s">
        <v>135</v>
      </c>
      <c r="C502">
        <v>2020</v>
      </c>
      <c r="D502">
        <v>99.88</v>
      </c>
    </row>
    <row r="503" spans="1:4" x14ac:dyDescent="0.35">
      <c r="A503" s="1" t="s">
        <v>75</v>
      </c>
      <c r="B503" s="1" t="s">
        <v>135</v>
      </c>
      <c r="C503">
        <v>2021</v>
      </c>
      <c r="D503">
        <v>99.53</v>
      </c>
    </row>
    <row r="504" spans="1:4" x14ac:dyDescent="0.35">
      <c r="A504" s="1" t="s">
        <v>75</v>
      </c>
      <c r="B504" s="1" t="s">
        <v>135</v>
      </c>
      <c r="C504">
        <v>2022</v>
      </c>
      <c r="D504">
        <v>99.83</v>
      </c>
    </row>
    <row r="505" spans="1:4" x14ac:dyDescent="0.35">
      <c r="A505" s="1" t="s">
        <v>75</v>
      </c>
      <c r="B505" s="1" t="s">
        <v>135</v>
      </c>
      <c r="C505">
        <v>2023</v>
      </c>
      <c r="D505">
        <v>99.83</v>
      </c>
    </row>
    <row r="506" spans="1:4" x14ac:dyDescent="0.35">
      <c r="A506" s="1" t="s">
        <v>71</v>
      </c>
      <c r="B506" s="1" t="s">
        <v>135</v>
      </c>
      <c r="C506">
        <v>2000</v>
      </c>
      <c r="D506">
        <v>11.09</v>
      </c>
    </row>
    <row r="507" spans="1:4" x14ac:dyDescent="0.35">
      <c r="A507" s="1" t="s">
        <v>71</v>
      </c>
      <c r="B507" s="1" t="s">
        <v>135</v>
      </c>
      <c r="C507">
        <v>2001</v>
      </c>
      <c r="D507">
        <v>11.09</v>
      </c>
    </row>
    <row r="508" spans="1:4" x14ac:dyDescent="0.35">
      <c r="A508" s="1" t="s">
        <v>71</v>
      </c>
      <c r="B508" s="1" t="s">
        <v>135</v>
      </c>
      <c r="C508">
        <v>2002</v>
      </c>
      <c r="D508">
        <v>11.09</v>
      </c>
    </row>
    <row r="509" spans="1:4" x14ac:dyDescent="0.35">
      <c r="A509" s="1" t="s">
        <v>71</v>
      </c>
      <c r="B509" s="1" t="s">
        <v>135</v>
      </c>
      <c r="C509">
        <v>2003</v>
      </c>
      <c r="D509">
        <v>11.09</v>
      </c>
    </row>
    <row r="510" spans="1:4" x14ac:dyDescent="0.35">
      <c r="A510" s="1" t="s">
        <v>71</v>
      </c>
      <c r="B510" s="1" t="s">
        <v>135</v>
      </c>
      <c r="C510">
        <v>2004</v>
      </c>
      <c r="D510">
        <v>11.09</v>
      </c>
    </row>
    <row r="511" spans="1:4" x14ac:dyDescent="0.35">
      <c r="A511" s="1" t="s">
        <v>71</v>
      </c>
      <c r="B511" s="1" t="s">
        <v>135</v>
      </c>
      <c r="C511">
        <v>2005</v>
      </c>
      <c r="D511">
        <v>11.09</v>
      </c>
    </row>
    <row r="512" spans="1:4" x14ac:dyDescent="0.35">
      <c r="A512" s="1" t="s">
        <v>71</v>
      </c>
      <c r="B512" s="1" t="s">
        <v>135</v>
      </c>
      <c r="C512">
        <v>2006</v>
      </c>
      <c r="D512">
        <v>11.09</v>
      </c>
    </row>
    <row r="513" spans="1:4" x14ac:dyDescent="0.35">
      <c r="A513" s="1" t="s">
        <v>71</v>
      </c>
      <c r="B513" s="1" t="s">
        <v>135</v>
      </c>
      <c r="C513">
        <v>2007</v>
      </c>
      <c r="D513">
        <v>9.07</v>
      </c>
    </row>
    <row r="514" spans="1:4" x14ac:dyDescent="0.35">
      <c r="A514" s="1" t="s">
        <v>71</v>
      </c>
      <c r="B514" s="1" t="s">
        <v>135</v>
      </c>
      <c r="C514">
        <v>2008</v>
      </c>
      <c r="D514">
        <v>9.07</v>
      </c>
    </row>
    <row r="515" spans="1:4" x14ac:dyDescent="0.35">
      <c r="A515" s="1" t="s">
        <v>71</v>
      </c>
      <c r="B515" s="1" t="s">
        <v>135</v>
      </c>
      <c r="C515">
        <v>2009</v>
      </c>
      <c r="D515">
        <v>9.07</v>
      </c>
    </row>
    <row r="516" spans="1:4" x14ac:dyDescent="0.35">
      <c r="A516" s="1" t="s">
        <v>71</v>
      </c>
      <c r="B516" s="1" t="s">
        <v>135</v>
      </c>
      <c r="C516">
        <v>2010</v>
      </c>
      <c r="D516">
        <v>9.07</v>
      </c>
    </row>
    <row r="517" spans="1:4" x14ac:dyDescent="0.35">
      <c r="A517" s="1" t="s">
        <v>71</v>
      </c>
      <c r="B517" s="1" t="s">
        <v>135</v>
      </c>
      <c r="C517">
        <v>2011</v>
      </c>
      <c r="D517">
        <v>7.77</v>
      </c>
    </row>
    <row r="518" spans="1:4" x14ac:dyDescent="0.35">
      <c r="A518" s="1" t="s">
        <v>71</v>
      </c>
      <c r="B518" s="1" t="s">
        <v>135</v>
      </c>
      <c r="C518">
        <v>2012</v>
      </c>
      <c r="D518">
        <v>7.77</v>
      </c>
    </row>
    <row r="519" spans="1:4" x14ac:dyDescent="0.35">
      <c r="A519" s="1" t="s">
        <v>71</v>
      </c>
      <c r="B519" s="1" t="s">
        <v>135</v>
      </c>
      <c r="C519">
        <v>2013</v>
      </c>
      <c r="D519">
        <v>7.82</v>
      </c>
    </row>
    <row r="520" spans="1:4" x14ac:dyDescent="0.35">
      <c r="A520" s="1" t="s">
        <v>71</v>
      </c>
      <c r="B520" s="1" t="s">
        <v>135</v>
      </c>
      <c r="C520">
        <v>2014</v>
      </c>
      <c r="D520">
        <v>7.86</v>
      </c>
    </row>
    <row r="521" spans="1:4" x14ac:dyDescent="0.35">
      <c r="A521" s="1" t="s">
        <v>71</v>
      </c>
      <c r="B521" s="1" t="s">
        <v>135</v>
      </c>
      <c r="C521">
        <v>2015</v>
      </c>
      <c r="D521">
        <v>7.63</v>
      </c>
    </row>
    <row r="522" spans="1:4" x14ac:dyDescent="0.35">
      <c r="A522" s="1" t="s">
        <v>71</v>
      </c>
      <c r="B522" s="1" t="s">
        <v>135</v>
      </c>
      <c r="C522">
        <v>2016</v>
      </c>
      <c r="D522">
        <v>7.95</v>
      </c>
    </row>
    <row r="523" spans="1:4" x14ac:dyDescent="0.35">
      <c r="A523" s="1" t="s">
        <v>71</v>
      </c>
      <c r="B523" s="1" t="s">
        <v>135</v>
      </c>
      <c r="C523">
        <v>2017</v>
      </c>
      <c r="D523">
        <v>26.98</v>
      </c>
    </row>
    <row r="524" spans="1:4" x14ac:dyDescent="0.35">
      <c r="A524" s="1" t="s">
        <v>71</v>
      </c>
      <c r="B524" s="1" t="s">
        <v>135</v>
      </c>
      <c r="C524">
        <v>2018</v>
      </c>
      <c r="D524">
        <v>32</v>
      </c>
    </row>
    <row r="525" spans="1:4" x14ac:dyDescent="0.35">
      <c r="A525" s="1" t="s">
        <v>71</v>
      </c>
      <c r="B525" s="1" t="s">
        <v>135</v>
      </c>
      <c r="C525">
        <v>2019</v>
      </c>
      <c r="D525">
        <v>31.1</v>
      </c>
    </row>
    <row r="526" spans="1:4" x14ac:dyDescent="0.35">
      <c r="A526" s="1" t="s">
        <v>71</v>
      </c>
      <c r="B526" s="1" t="s">
        <v>135</v>
      </c>
      <c r="C526">
        <v>2020</v>
      </c>
      <c r="D526">
        <v>29.35</v>
      </c>
    </row>
    <row r="527" spans="1:4" x14ac:dyDescent="0.35">
      <c r="A527" s="1" t="s">
        <v>71</v>
      </c>
      <c r="B527" s="1" t="s">
        <v>135</v>
      </c>
      <c r="C527">
        <v>2021</v>
      </c>
      <c r="D527">
        <v>50.26</v>
      </c>
    </row>
    <row r="528" spans="1:4" x14ac:dyDescent="0.35">
      <c r="A528" s="1" t="s">
        <v>71</v>
      </c>
      <c r="B528" s="1" t="s">
        <v>135</v>
      </c>
      <c r="C528">
        <v>2022</v>
      </c>
      <c r="D528">
        <v>52.21</v>
      </c>
    </row>
    <row r="529" spans="1:4" x14ac:dyDescent="0.35">
      <c r="A529" s="1" t="s">
        <v>71</v>
      </c>
      <c r="B529" s="1" t="s">
        <v>135</v>
      </c>
      <c r="C529">
        <v>2023</v>
      </c>
      <c r="D529">
        <v>59.69</v>
      </c>
    </row>
    <row r="530" spans="1:4" x14ac:dyDescent="0.35">
      <c r="A530" s="1" t="s">
        <v>73</v>
      </c>
      <c r="B530" s="1" t="s">
        <v>135</v>
      </c>
      <c r="C530">
        <v>2000</v>
      </c>
      <c r="D530" t="s">
        <v>136</v>
      </c>
    </row>
    <row r="531" spans="1:4" x14ac:dyDescent="0.35">
      <c r="A531" s="1" t="s">
        <v>73</v>
      </c>
      <c r="B531" s="1" t="s">
        <v>135</v>
      </c>
      <c r="C531">
        <v>2001</v>
      </c>
      <c r="D531" t="s">
        <v>136</v>
      </c>
    </row>
    <row r="532" spans="1:4" x14ac:dyDescent="0.35">
      <c r="A532" s="1" t="s">
        <v>73</v>
      </c>
      <c r="B532" s="1" t="s">
        <v>135</v>
      </c>
      <c r="C532">
        <v>2002</v>
      </c>
      <c r="D532" t="s">
        <v>136</v>
      </c>
    </row>
    <row r="533" spans="1:4" x14ac:dyDescent="0.35">
      <c r="A533" s="1" t="s">
        <v>73</v>
      </c>
      <c r="B533" s="1" t="s">
        <v>135</v>
      </c>
      <c r="C533">
        <v>2003</v>
      </c>
      <c r="D533">
        <v>0</v>
      </c>
    </row>
    <row r="534" spans="1:4" x14ac:dyDescent="0.35">
      <c r="A534" s="1" t="s">
        <v>73</v>
      </c>
      <c r="B534" s="1" t="s">
        <v>135</v>
      </c>
      <c r="C534">
        <v>2004</v>
      </c>
      <c r="D534">
        <v>0.01</v>
      </c>
    </row>
    <row r="535" spans="1:4" x14ac:dyDescent="0.35">
      <c r="A535" s="1" t="s">
        <v>73</v>
      </c>
      <c r="B535" s="1" t="s">
        <v>135</v>
      </c>
      <c r="C535">
        <v>2005</v>
      </c>
      <c r="D535">
        <v>0.01</v>
      </c>
    </row>
    <row r="536" spans="1:4" x14ac:dyDescent="0.35">
      <c r="A536" s="1" t="s">
        <v>73</v>
      </c>
      <c r="B536" s="1" t="s">
        <v>135</v>
      </c>
      <c r="C536">
        <v>2006</v>
      </c>
      <c r="D536">
        <v>0.01</v>
      </c>
    </row>
    <row r="537" spans="1:4" x14ac:dyDescent="0.35">
      <c r="A537" s="1" t="s">
        <v>73</v>
      </c>
      <c r="B537" s="1" t="s">
        <v>135</v>
      </c>
      <c r="C537">
        <v>2007</v>
      </c>
      <c r="D537">
        <v>0.01</v>
      </c>
    </row>
    <row r="538" spans="1:4" x14ac:dyDescent="0.35">
      <c r="A538" s="1" t="s">
        <v>73</v>
      </c>
      <c r="B538" s="1" t="s">
        <v>135</v>
      </c>
      <c r="C538">
        <v>2008</v>
      </c>
      <c r="D538">
        <v>0.01</v>
      </c>
    </row>
    <row r="539" spans="1:4" x14ac:dyDescent="0.35">
      <c r="A539" s="1" t="s">
        <v>73</v>
      </c>
      <c r="B539" s="1" t="s">
        <v>135</v>
      </c>
      <c r="C539">
        <v>2009</v>
      </c>
      <c r="D539">
        <v>0.02</v>
      </c>
    </row>
    <row r="540" spans="1:4" x14ac:dyDescent="0.35">
      <c r="A540" s="1" t="s">
        <v>73</v>
      </c>
      <c r="B540" s="1" t="s">
        <v>135</v>
      </c>
      <c r="C540">
        <v>2010</v>
      </c>
      <c r="D540">
        <v>0.02</v>
      </c>
    </row>
    <row r="541" spans="1:4" x14ac:dyDescent="0.35">
      <c r="A541" s="1" t="s">
        <v>73</v>
      </c>
      <c r="B541" s="1" t="s">
        <v>135</v>
      </c>
      <c r="C541">
        <v>2011</v>
      </c>
      <c r="D541">
        <v>0.03</v>
      </c>
    </row>
    <row r="542" spans="1:4" x14ac:dyDescent="0.35">
      <c r="A542" s="1" t="s">
        <v>73</v>
      </c>
      <c r="B542" s="1" t="s">
        <v>135</v>
      </c>
      <c r="C542">
        <v>2012</v>
      </c>
      <c r="D542">
        <v>0.02</v>
      </c>
    </row>
    <row r="543" spans="1:4" x14ac:dyDescent="0.35">
      <c r="A543" s="1" t="s">
        <v>73</v>
      </c>
      <c r="B543" s="1" t="s">
        <v>135</v>
      </c>
      <c r="C543">
        <v>2013</v>
      </c>
      <c r="D543">
        <v>0.02</v>
      </c>
    </row>
    <row r="544" spans="1:4" x14ac:dyDescent="0.35">
      <c r="A544" s="1" t="s">
        <v>73</v>
      </c>
      <c r="B544" s="1" t="s">
        <v>135</v>
      </c>
      <c r="C544">
        <v>2014</v>
      </c>
      <c r="D544">
        <v>0.02</v>
      </c>
    </row>
    <row r="545" spans="1:4" x14ac:dyDescent="0.35">
      <c r="A545" s="1" t="s">
        <v>73</v>
      </c>
      <c r="B545" s="1" t="s">
        <v>135</v>
      </c>
      <c r="C545">
        <v>2015</v>
      </c>
      <c r="D545">
        <v>0.02</v>
      </c>
    </row>
    <row r="546" spans="1:4" x14ac:dyDescent="0.35">
      <c r="A546" s="1" t="s">
        <v>73</v>
      </c>
      <c r="B546" s="1" t="s">
        <v>135</v>
      </c>
      <c r="C546">
        <v>2016</v>
      </c>
      <c r="D546">
        <v>0.02</v>
      </c>
    </row>
    <row r="547" spans="1:4" x14ac:dyDescent="0.35">
      <c r="A547" s="1" t="s">
        <v>73</v>
      </c>
      <c r="B547" s="1" t="s">
        <v>135</v>
      </c>
      <c r="C547">
        <v>2017</v>
      </c>
      <c r="D547">
        <v>0.02</v>
      </c>
    </row>
    <row r="548" spans="1:4" x14ac:dyDescent="0.35">
      <c r="A548" s="1" t="s">
        <v>73</v>
      </c>
      <c r="B548" s="1" t="s">
        <v>135</v>
      </c>
      <c r="C548">
        <v>2018</v>
      </c>
      <c r="D548">
        <v>0.02</v>
      </c>
    </row>
    <row r="549" spans="1:4" x14ac:dyDescent="0.35">
      <c r="A549" s="1" t="s">
        <v>73</v>
      </c>
      <c r="B549" s="1" t="s">
        <v>135</v>
      </c>
      <c r="C549">
        <v>2019</v>
      </c>
      <c r="D549">
        <v>0.02</v>
      </c>
    </row>
    <row r="550" spans="1:4" x14ac:dyDescent="0.35">
      <c r="A550" s="1" t="s">
        <v>73</v>
      </c>
      <c r="B550" s="1" t="s">
        <v>135</v>
      </c>
      <c r="C550">
        <v>2020</v>
      </c>
      <c r="D550">
        <v>0.03</v>
      </c>
    </row>
    <row r="551" spans="1:4" x14ac:dyDescent="0.35">
      <c r="A551" s="1" t="s">
        <v>73</v>
      </c>
      <c r="B551" s="1" t="s">
        <v>135</v>
      </c>
      <c r="C551">
        <v>2021</v>
      </c>
      <c r="D551">
        <v>0.02</v>
      </c>
    </row>
    <row r="552" spans="1:4" x14ac:dyDescent="0.35">
      <c r="A552" s="1" t="s">
        <v>73</v>
      </c>
      <c r="B552" s="1" t="s">
        <v>135</v>
      </c>
      <c r="C552">
        <v>2022</v>
      </c>
      <c r="D552">
        <v>0.02</v>
      </c>
    </row>
    <row r="553" spans="1:4" x14ac:dyDescent="0.35">
      <c r="A553" s="1" t="s">
        <v>73</v>
      </c>
      <c r="B553" s="1" t="s">
        <v>135</v>
      </c>
      <c r="C553">
        <v>2023</v>
      </c>
      <c r="D553">
        <v>0.02</v>
      </c>
    </row>
    <row r="554" spans="1:4" x14ac:dyDescent="0.35">
      <c r="A554" s="1" t="s">
        <v>79</v>
      </c>
      <c r="B554" s="1" t="s">
        <v>135</v>
      </c>
      <c r="C554">
        <v>2000</v>
      </c>
      <c r="D554">
        <v>69.290000000000006</v>
      </c>
    </row>
    <row r="555" spans="1:4" x14ac:dyDescent="0.35">
      <c r="A555" s="1" t="s">
        <v>79</v>
      </c>
      <c r="B555" s="1" t="s">
        <v>135</v>
      </c>
      <c r="C555">
        <v>2001</v>
      </c>
      <c r="D555">
        <v>67.709999999999994</v>
      </c>
    </row>
    <row r="556" spans="1:4" x14ac:dyDescent="0.35">
      <c r="A556" s="1" t="s">
        <v>79</v>
      </c>
      <c r="B556" s="1" t="s">
        <v>135</v>
      </c>
      <c r="C556">
        <v>2002</v>
      </c>
      <c r="D556">
        <v>68.73</v>
      </c>
    </row>
    <row r="557" spans="1:4" x14ac:dyDescent="0.35">
      <c r="A557" s="1" t="s">
        <v>79</v>
      </c>
      <c r="B557" s="1" t="s">
        <v>135</v>
      </c>
      <c r="C557">
        <v>2003</v>
      </c>
      <c r="D557">
        <v>68.180000000000007</v>
      </c>
    </row>
    <row r="558" spans="1:4" x14ac:dyDescent="0.35">
      <c r="A558" s="1" t="s">
        <v>79</v>
      </c>
      <c r="B558" s="1" t="s">
        <v>135</v>
      </c>
      <c r="C558">
        <v>2004</v>
      </c>
      <c r="D558">
        <v>64.849999999999994</v>
      </c>
    </row>
    <row r="559" spans="1:4" x14ac:dyDescent="0.35">
      <c r="A559" s="1" t="s">
        <v>79</v>
      </c>
      <c r="B559" s="1" t="s">
        <v>135</v>
      </c>
      <c r="C559">
        <v>2005</v>
      </c>
      <c r="D559">
        <v>65.62</v>
      </c>
    </row>
    <row r="560" spans="1:4" x14ac:dyDescent="0.35">
      <c r="A560" s="1" t="s">
        <v>79</v>
      </c>
      <c r="B560" s="1" t="s">
        <v>135</v>
      </c>
      <c r="C560">
        <v>2006</v>
      </c>
      <c r="D560">
        <v>63.64</v>
      </c>
    </row>
    <row r="561" spans="1:4" x14ac:dyDescent="0.35">
      <c r="A561" s="1" t="s">
        <v>79</v>
      </c>
      <c r="B561" s="1" t="s">
        <v>135</v>
      </c>
      <c r="C561">
        <v>2007</v>
      </c>
      <c r="D561">
        <v>68.44</v>
      </c>
    </row>
    <row r="562" spans="1:4" x14ac:dyDescent="0.35">
      <c r="A562" s="1" t="s">
        <v>79</v>
      </c>
      <c r="B562" s="1" t="s">
        <v>135</v>
      </c>
      <c r="C562">
        <v>2008</v>
      </c>
      <c r="D562">
        <v>63.46</v>
      </c>
    </row>
    <row r="563" spans="1:4" x14ac:dyDescent="0.35">
      <c r="A563" s="1" t="s">
        <v>79</v>
      </c>
      <c r="B563" s="1" t="s">
        <v>135</v>
      </c>
      <c r="C563">
        <v>2009</v>
      </c>
      <c r="D563">
        <v>67.239999999999995</v>
      </c>
    </row>
    <row r="564" spans="1:4" x14ac:dyDescent="0.35">
      <c r="A564" s="1" t="s">
        <v>79</v>
      </c>
      <c r="B564" s="1" t="s">
        <v>135</v>
      </c>
      <c r="C564">
        <v>2010</v>
      </c>
      <c r="D564">
        <v>60.43</v>
      </c>
    </row>
    <row r="565" spans="1:4" x14ac:dyDescent="0.35">
      <c r="A565" s="1" t="s">
        <v>79</v>
      </c>
      <c r="B565" s="1" t="s">
        <v>135</v>
      </c>
      <c r="C565">
        <v>2011</v>
      </c>
      <c r="D565">
        <v>55.21</v>
      </c>
    </row>
    <row r="566" spans="1:4" x14ac:dyDescent="0.35">
      <c r="A566" s="1" t="s">
        <v>79</v>
      </c>
      <c r="B566" s="1" t="s">
        <v>135</v>
      </c>
      <c r="C566">
        <v>2012</v>
      </c>
      <c r="D566">
        <v>56.63</v>
      </c>
    </row>
    <row r="567" spans="1:4" x14ac:dyDescent="0.35">
      <c r="A567" s="1" t="s">
        <v>79</v>
      </c>
      <c r="B567" s="1" t="s">
        <v>135</v>
      </c>
      <c r="C567">
        <v>2013</v>
      </c>
      <c r="D567">
        <v>54.95</v>
      </c>
    </row>
    <row r="568" spans="1:4" x14ac:dyDescent="0.35">
      <c r="A568" s="1" t="s">
        <v>79</v>
      </c>
      <c r="B568" s="1" t="s">
        <v>135</v>
      </c>
      <c r="C568">
        <v>2014</v>
      </c>
      <c r="D568">
        <v>58.02</v>
      </c>
    </row>
    <row r="569" spans="1:4" x14ac:dyDescent="0.35">
      <c r="A569" s="1" t="s">
        <v>79</v>
      </c>
      <c r="B569" s="1" t="s">
        <v>135</v>
      </c>
      <c r="C569">
        <v>2015</v>
      </c>
      <c r="D569">
        <v>61.42</v>
      </c>
    </row>
    <row r="570" spans="1:4" x14ac:dyDescent="0.35">
      <c r="A570" s="1" t="s">
        <v>79</v>
      </c>
      <c r="B570" s="1" t="s">
        <v>135</v>
      </c>
      <c r="C570">
        <v>2016</v>
      </c>
      <c r="D570">
        <v>54.62</v>
      </c>
    </row>
    <row r="571" spans="1:4" x14ac:dyDescent="0.35">
      <c r="A571" s="1" t="s">
        <v>79</v>
      </c>
      <c r="B571" s="1" t="s">
        <v>135</v>
      </c>
      <c r="C571">
        <v>2017</v>
      </c>
      <c r="D571">
        <v>47.17</v>
      </c>
    </row>
    <row r="572" spans="1:4" x14ac:dyDescent="0.35">
      <c r="A572" s="1" t="s">
        <v>79</v>
      </c>
      <c r="B572" s="1" t="s">
        <v>135</v>
      </c>
      <c r="C572">
        <v>2018</v>
      </c>
      <c r="D572">
        <v>55.61</v>
      </c>
    </row>
    <row r="573" spans="1:4" x14ac:dyDescent="0.35">
      <c r="A573" s="1" t="s">
        <v>79</v>
      </c>
      <c r="B573" s="1" t="s">
        <v>135</v>
      </c>
      <c r="C573">
        <v>2019</v>
      </c>
      <c r="D573">
        <v>49.63</v>
      </c>
    </row>
    <row r="574" spans="1:4" x14ac:dyDescent="0.35">
      <c r="A574" s="1" t="s">
        <v>79</v>
      </c>
      <c r="B574" s="1" t="s">
        <v>135</v>
      </c>
      <c r="C574">
        <v>2020</v>
      </c>
      <c r="D574">
        <v>46.69</v>
      </c>
    </row>
    <row r="575" spans="1:4" x14ac:dyDescent="0.35">
      <c r="A575" s="1" t="s">
        <v>79</v>
      </c>
      <c r="B575" s="1" t="s">
        <v>135</v>
      </c>
      <c r="C575">
        <v>2021</v>
      </c>
      <c r="D575">
        <v>42.39</v>
      </c>
    </row>
    <row r="576" spans="1:4" x14ac:dyDescent="0.35">
      <c r="A576" s="1" t="s">
        <v>79</v>
      </c>
      <c r="B576" s="1" t="s">
        <v>135</v>
      </c>
      <c r="C576">
        <v>2022</v>
      </c>
      <c r="D576">
        <v>45.93</v>
      </c>
    </row>
    <row r="577" spans="1:4" x14ac:dyDescent="0.35">
      <c r="A577" s="1" t="s">
        <v>79</v>
      </c>
      <c r="B577" s="1" t="s">
        <v>135</v>
      </c>
      <c r="C577">
        <v>2023</v>
      </c>
      <c r="D577">
        <v>53.48</v>
      </c>
    </row>
    <row r="578" spans="1:4" x14ac:dyDescent="0.35">
      <c r="A578" s="1" t="s">
        <v>89</v>
      </c>
      <c r="B578" s="1" t="s">
        <v>135</v>
      </c>
      <c r="C578">
        <v>2000</v>
      </c>
      <c r="D578">
        <v>93.21</v>
      </c>
    </row>
    <row r="579" spans="1:4" x14ac:dyDescent="0.35">
      <c r="A579" s="1" t="s">
        <v>89</v>
      </c>
      <c r="B579" s="1" t="s">
        <v>135</v>
      </c>
      <c r="C579">
        <v>2001</v>
      </c>
      <c r="D579">
        <v>93.23</v>
      </c>
    </row>
    <row r="580" spans="1:4" x14ac:dyDescent="0.35">
      <c r="A580" s="1" t="s">
        <v>89</v>
      </c>
      <c r="B580" s="1" t="s">
        <v>135</v>
      </c>
      <c r="C580">
        <v>2002</v>
      </c>
      <c r="D580">
        <v>93.28</v>
      </c>
    </row>
    <row r="581" spans="1:4" x14ac:dyDescent="0.35">
      <c r="A581" s="1" t="s">
        <v>89</v>
      </c>
      <c r="B581" s="1" t="s">
        <v>135</v>
      </c>
      <c r="C581">
        <v>2003</v>
      </c>
      <c r="D581">
        <v>97.59</v>
      </c>
    </row>
    <row r="582" spans="1:4" x14ac:dyDescent="0.35">
      <c r="A582" s="1" t="s">
        <v>89</v>
      </c>
      <c r="B582" s="1" t="s">
        <v>135</v>
      </c>
      <c r="C582">
        <v>2004</v>
      </c>
      <c r="D582">
        <v>94.5</v>
      </c>
    </row>
    <row r="583" spans="1:4" x14ac:dyDescent="0.35">
      <c r="A583" s="1" t="s">
        <v>89</v>
      </c>
      <c r="B583" s="1" t="s">
        <v>135</v>
      </c>
      <c r="C583">
        <v>2005</v>
      </c>
      <c r="D583">
        <v>94.54</v>
      </c>
    </row>
    <row r="584" spans="1:4" x14ac:dyDescent="0.35">
      <c r="A584" s="1" t="s">
        <v>89</v>
      </c>
      <c r="B584" s="1" t="s">
        <v>135</v>
      </c>
      <c r="C584">
        <v>2006</v>
      </c>
      <c r="D584">
        <v>94.56</v>
      </c>
    </row>
    <row r="585" spans="1:4" x14ac:dyDescent="0.35">
      <c r="A585" s="1" t="s">
        <v>89</v>
      </c>
      <c r="B585" s="1" t="s">
        <v>135</v>
      </c>
      <c r="C585">
        <v>2007</v>
      </c>
      <c r="D585">
        <v>94.57</v>
      </c>
    </row>
    <row r="586" spans="1:4" x14ac:dyDescent="0.35">
      <c r="A586" s="1" t="s">
        <v>89</v>
      </c>
      <c r="B586" s="1" t="s">
        <v>135</v>
      </c>
      <c r="C586">
        <v>2008</v>
      </c>
      <c r="D586">
        <v>99.1</v>
      </c>
    </row>
    <row r="587" spans="1:4" x14ac:dyDescent="0.35">
      <c r="A587" s="1" t="s">
        <v>89</v>
      </c>
      <c r="B587" s="1" t="s">
        <v>135</v>
      </c>
      <c r="C587">
        <v>2009</v>
      </c>
      <c r="D587">
        <v>98.91</v>
      </c>
    </row>
    <row r="588" spans="1:4" x14ac:dyDescent="0.35">
      <c r="A588" s="1" t="s">
        <v>89</v>
      </c>
      <c r="B588" s="1" t="s">
        <v>135</v>
      </c>
      <c r="C588">
        <v>2010</v>
      </c>
      <c r="D588">
        <v>98.94</v>
      </c>
    </row>
    <row r="589" spans="1:4" x14ac:dyDescent="0.35">
      <c r="A589" s="1" t="s">
        <v>89</v>
      </c>
      <c r="B589" s="1" t="s">
        <v>135</v>
      </c>
      <c r="C589">
        <v>2011</v>
      </c>
      <c r="D589">
        <v>98.71</v>
      </c>
    </row>
    <row r="590" spans="1:4" x14ac:dyDescent="0.35">
      <c r="A590" s="1" t="s">
        <v>89</v>
      </c>
      <c r="B590" s="1" t="s">
        <v>135</v>
      </c>
      <c r="C590">
        <v>2012</v>
      </c>
      <c r="D590">
        <v>98.71</v>
      </c>
    </row>
    <row r="591" spans="1:4" x14ac:dyDescent="0.35">
      <c r="A591" s="1" t="s">
        <v>89</v>
      </c>
      <c r="B591" s="1" t="s">
        <v>135</v>
      </c>
      <c r="C591">
        <v>2013</v>
      </c>
      <c r="D591">
        <v>98.81</v>
      </c>
    </row>
    <row r="592" spans="1:4" x14ac:dyDescent="0.35">
      <c r="A592" s="1" t="s">
        <v>89</v>
      </c>
      <c r="B592" s="1" t="s">
        <v>135</v>
      </c>
      <c r="C592">
        <v>2014</v>
      </c>
      <c r="D592">
        <v>98.84</v>
      </c>
    </row>
    <row r="593" spans="1:4" x14ac:dyDescent="0.35">
      <c r="A593" s="1" t="s">
        <v>89</v>
      </c>
      <c r="B593" s="1" t="s">
        <v>135</v>
      </c>
      <c r="C593">
        <v>2015</v>
      </c>
      <c r="D593">
        <v>99.1</v>
      </c>
    </row>
    <row r="594" spans="1:4" x14ac:dyDescent="0.35">
      <c r="A594" s="1" t="s">
        <v>89</v>
      </c>
      <c r="B594" s="1" t="s">
        <v>135</v>
      </c>
      <c r="C594">
        <v>2016</v>
      </c>
      <c r="D594">
        <v>96.79</v>
      </c>
    </row>
    <row r="595" spans="1:4" x14ac:dyDescent="0.35">
      <c r="A595" s="1" t="s">
        <v>89</v>
      </c>
      <c r="B595" s="1" t="s">
        <v>135</v>
      </c>
      <c r="C595">
        <v>2017</v>
      </c>
      <c r="D595">
        <v>84.29</v>
      </c>
    </row>
    <row r="596" spans="1:4" x14ac:dyDescent="0.35">
      <c r="A596" s="1" t="s">
        <v>89</v>
      </c>
      <c r="B596" s="1" t="s">
        <v>135</v>
      </c>
      <c r="C596">
        <v>2018</v>
      </c>
      <c r="D596">
        <v>79.790000000000006</v>
      </c>
    </row>
    <row r="597" spans="1:4" x14ac:dyDescent="0.35">
      <c r="A597" s="1" t="s">
        <v>89</v>
      </c>
      <c r="B597" s="1" t="s">
        <v>135</v>
      </c>
      <c r="C597">
        <v>2019</v>
      </c>
      <c r="D597">
        <v>78.12</v>
      </c>
    </row>
    <row r="598" spans="1:4" x14ac:dyDescent="0.35">
      <c r="A598" s="1" t="s">
        <v>89</v>
      </c>
      <c r="B598" s="1" t="s">
        <v>135</v>
      </c>
      <c r="C598">
        <v>2020</v>
      </c>
      <c r="D598">
        <v>78.2</v>
      </c>
    </row>
    <row r="599" spans="1:4" x14ac:dyDescent="0.35">
      <c r="A599" s="1" t="s">
        <v>89</v>
      </c>
      <c r="B599" s="1" t="s">
        <v>135</v>
      </c>
      <c r="C599">
        <v>2021</v>
      </c>
      <c r="D599">
        <v>79.03</v>
      </c>
    </row>
    <row r="600" spans="1:4" x14ac:dyDescent="0.35">
      <c r="A600" s="1" t="s">
        <v>89</v>
      </c>
      <c r="B600" s="1" t="s">
        <v>135</v>
      </c>
      <c r="C600">
        <v>2022</v>
      </c>
      <c r="D600">
        <v>79.06</v>
      </c>
    </row>
    <row r="601" spans="1:4" x14ac:dyDescent="0.35">
      <c r="A601" s="1" t="s">
        <v>89</v>
      </c>
      <c r="B601" s="1" t="s">
        <v>135</v>
      </c>
      <c r="C601">
        <v>2023</v>
      </c>
      <c r="D601">
        <v>79.06</v>
      </c>
    </row>
    <row r="602" spans="1:4" x14ac:dyDescent="0.35">
      <c r="A602" s="1" t="s">
        <v>81</v>
      </c>
      <c r="B602" s="1" t="s">
        <v>135</v>
      </c>
      <c r="C602">
        <v>2000</v>
      </c>
      <c r="D602">
        <v>27.16</v>
      </c>
    </row>
    <row r="603" spans="1:4" x14ac:dyDescent="0.35">
      <c r="A603" s="1" t="s">
        <v>81</v>
      </c>
      <c r="B603" s="1" t="s">
        <v>135</v>
      </c>
      <c r="C603">
        <v>2001</v>
      </c>
      <c r="D603">
        <v>35.89</v>
      </c>
    </row>
    <row r="604" spans="1:4" x14ac:dyDescent="0.35">
      <c r="A604" s="1" t="s">
        <v>81</v>
      </c>
      <c r="B604" s="1" t="s">
        <v>135</v>
      </c>
      <c r="C604">
        <v>2002</v>
      </c>
      <c r="D604">
        <v>53.71</v>
      </c>
    </row>
    <row r="605" spans="1:4" x14ac:dyDescent="0.35">
      <c r="A605" s="1" t="s">
        <v>81</v>
      </c>
      <c r="B605" s="1" t="s">
        <v>135</v>
      </c>
      <c r="C605">
        <v>2003</v>
      </c>
      <c r="D605">
        <v>60.94</v>
      </c>
    </row>
    <row r="606" spans="1:4" x14ac:dyDescent="0.35">
      <c r="A606" s="1" t="s">
        <v>81</v>
      </c>
      <c r="B606" s="1" t="s">
        <v>135</v>
      </c>
      <c r="C606">
        <v>2004</v>
      </c>
      <c r="D606">
        <v>71.44</v>
      </c>
    </row>
    <row r="607" spans="1:4" x14ac:dyDescent="0.35">
      <c r="A607" s="1" t="s">
        <v>81</v>
      </c>
      <c r="B607" s="1" t="s">
        <v>135</v>
      </c>
      <c r="C607">
        <v>2005</v>
      </c>
      <c r="D607">
        <v>70.63</v>
      </c>
    </row>
    <row r="608" spans="1:4" x14ac:dyDescent="0.35">
      <c r="A608" s="1" t="s">
        <v>81</v>
      </c>
      <c r="B608" s="1" t="s">
        <v>135</v>
      </c>
      <c r="C608">
        <v>2006</v>
      </c>
      <c r="D608">
        <v>70.75</v>
      </c>
    </row>
    <row r="609" spans="1:4" x14ac:dyDescent="0.35">
      <c r="A609" s="1" t="s">
        <v>81</v>
      </c>
      <c r="B609" s="1" t="s">
        <v>135</v>
      </c>
      <c r="C609">
        <v>2007</v>
      </c>
      <c r="D609">
        <v>68.98</v>
      </c>
    </row>
    <row r="610" spans="1:4" x14ac:dyDescent="0.35">
      <c r="A610" s="1" t="s">
        <v>81</v>
      </c>
      <c r="B610" s="1" t="s">
        <v>135</v>
      </c>
      <c r="C610">
        <v>2008</v>
      </c>
      <c r="D610">
        <v>54.2</v>
      </c>
    </row>
    <row r="611" spans="1:4" x14ac:dyDescent="0.35">
      <c r="A611" s="1" t="s">
        <v>81</v>
      </c>
      <c r="B611" s="1" t="s">
        <v>135</v>
      </c>
      <c r="C611">
        <v>2009</v>
      </c>
      <c r="D611">
        <v>60.58</v>
      </c>
    </row>
    <row r="612" spans="1:4" x14ac:dyDescent="0.35">
      <c r="A612" s="1" t="s">
        <v>81</v>
      </c>
      <c r="B612" s="1" t="s">
        <v>135</v>
      </c>
      <c r="C612">
        <v>2010</v>
      </c>
      <c r="D612">
        <v>56.23</v>
      </c>
    </row>
    <row r="613" spans="1:4" x14ac:dyDescent="0.35">
      <c r="A613" s="1" t="s">
        <v>81</v>
      </c>
      <c r="B613" s="1" t="s">
        <v>135</v>
      </c>
      <c r="C613">
        <v>2011</v>
      </c>
      <c r="D613">
        <v>52.77</v>
      </c>
    </row>
    <row r="614" spans="1:4" x14ac:dyDescent="0.35">
      <c r="A614" s="1" t="s">
        <v>81</v>
      </c>
      <c r="B614" s="1" t="s">
        <v>135</v>
      </c>
      <c r="C614">
        <v>2012</v>
      </c>
      <c r="D614">
        <v>52.53</v>
      </c>
    </row>
    <row r="615" spans="1:4" x14ac:dyDescent="0.35">
      <c r="A615" s="1" t="s">
        <v>81</v>
      </c>
      <c r="B615" s="1" t="s">
        <v>135</v>
      </c>
      <c r="C615">
        <v>2013</v>
      </c>
      <c r="D615">
        <v>65.03</v>
      </c>
    </row>
    <row r="616" spans="1:4" x14ac:dyDescent="0.35">
      <c r="A616" s="1" t="s">
        <v>81</v>
      </c>
      <c r="B616" s="1" t="s">
        <v>135</v>
      </c>
      <c r="C616">
        <v>2014</v>
      </c>
      <c r="D616">
        <v>69.739999999999995</v>
      </c>
    </row>
    <row r="617" spans="1:4" x14ac:dyDescent="0.35">
      <c r="A617" s="1" t="s">
        <v>81</v>
      </c>
      <c r="B617" s="1" t="s">
        <v>135</v>
      </c>
      <c r="C617">
        <v>2015</v>
      </c>
      <c r="D617">
        <v>67.72</v>
      </c>
    </row>
    <row r="618" spans="1:4" x14ac:dyDescent="0.35">
      <c r="A618" s="1" t="s">
        <v>81</v>
      </c>
      <c r="B618" s="1" t="s">
        <v>135</v>
      </c>
      <c r="C618">
        <v>2016</v>
      </c>
      <c r="D618">
        <v>67.13</v>
      </c>
    </row>
    <row r="619" spans="1:4" x14ac:dyDescent="0.35">
      <c r="A619" s="1" t="s">
        <v>81</v>
      </c>
      <c r="B619" s="1" t="s">
        <v>135</v>
      </c>
      <c r="C619">
        <v>2017</v>
      </c>
      <c r="D619">
        <v>65.239999999999995</v>
      </c>
    </row>
    <row r="620" spans="1:4" x14ac:dyDescent="0.35">
      <c r="A620" s="1" t="s">
        <v>81</v>
      </c>
      <c r="B620" s="1" t="s">
        <v>135</v>
      </c>
      <c r="C620">
        <v>2018</v>
      </c>
      <c r="D620">
        <v>87.94</v>
      </c>
    </row>
    <row r="621" spans="1:4" x14ac:dyDescent="0.35">
      <c r="A621" s="1" t="s">
        <v>81</v>
      </c>
      <c r="B621" s="1" t="s">
        <v>135</v>
      </c>
      <c r="C621">
        <v>2019</v>
      </c>
      <c r="D621">
        <v>50.71</v>
      </c>
    </row>
    <row r="622" spans="1:4" x14ac:dyDescent="0.35">
      <c r="A622" s="1" t="s">
        <v>81</v>
      </c>
      <c r="B622" s="1" t="s">
        <v>135</v>
      </c>
      <c r="C622">
        <v>2020</v>
      </c>
      <c r="D622">
        <v>32.33</v>
      </c>
    </row>
    <row r="623" spans="1:4" x14ac:dyDescent="0.35">
      <c r="A623" s="1" t="s">
        <v>81</v>
      </c>
      <c r="B623" s="1" t="s">
        <v>135</v>
      </c>
      <c r="C623">
        <v>2021</v>
      </c>
      <c r="D623">
        <v>29.09</v>
      </c>
    </row>
    <row r="624" spans="1:4" x14ac:dyDescent="0.35">
      <c r="A624" s="1" t="s">
        <v>81</v>
      </c>
      <c r="B624" s="1" t="s">
        <v>135</v>
      </c>
      <c r="C624">
        <v>2022</v>
      </c>
      <c r="D624">
        <v>34.07</v>
      </c>
    </row>
    <row r="625" spans="1:4" x14ac:dyDescent="0.35">
      <c r="A625" s="1" t="s">
        <v>81</v>
      </c>
      <c r="B625" s="1" t="s">
        <v>135</v>
      </c>
      <c r="C625">
        <v>2023</v>
      </c>
      <c r="D625">
        <v>37.520000000000003</v>
      </c>
    </row>
    <row r="626" spans="1:4" x14ac:dyDescent="0.35">
      <c r="A626" s="1" t="s">
        <v>85</v>
      </c>
      <c r="B626" s="1" t="s">
        <v>135</v>
      </c>
      <c r="C626">
        <v>2000</v>
      </c>
      <c r="D626" t="s">
        <v>136</v>
      </c>
    </row>
    <row r="627" spans="1:4" x14ac:dyDescent="0.35">
      <c r="A627" s="1" t="s">
        <v>85</v>
      </c>
      <c r="B627" s="1" t="s">
        <v>135</v>
      </c>
      <c r="C627">
        <v>2001</v>
      </c>
      <c r="D627" t="s">
        <v>136</v>
      </c>
    </row>
    <row r="628" spans="1:4" x14ac:dyDescent="0.35">
      <c r="A628" s="1" t="s">
        <v>85</v>
      </c>
      <c r="B628" s="1" t="s">
        <v>135</v>
      </c>
      <c r="C628">
        <v>2002</v>
      </c>
      <c r="D628">
        <v>0</v>
      </c>
    </row>
    <row r="629" spans="1:4" x14ac:dyDescent="0.35">
      <c r="A629" s="1" t="s">
        <v>85</v>
      </c>
      <c r="B629" s="1" t="s">
        <v>135</v>
      </c>
      <c r="C629">
        <v>2003</v>
      </c>
      <c r="D629">
        <v>0</v>
      </c>
    </row>
    <row r="630" spans="1:4" x14ac:dyDescent="0.35">
      <c r="A630" s="1" t="s">
        <v>85</v>
      </c>
      <c r="B630" s="1" t="s">
        <v>135</v>
      </c>
      <c r="C630">
        <v>2004</v>
      </c>
      <c r="D630">
        <v>0</v>
      </c>
    </row>
    <row r="631" spans="1:4" x14ac:dyDescent="0.35">
      <c r="A631" s="1" t="s">
        <v>85</v>
      </c>
      <c r="B631" s="1" t="s">
        <v>135</v>
      </c>
      <c r="C631">
        <v>2005</v>
      </c>
      <c r="D631">
        <v>0</v>
      </c>
    </row>
    <row r="632" spans="1:4" x14ac:dyDescent="0.35">
      <c r="A632" s="1" t="s">
        <v>85</v>
      </c>
      <c r="B632" s="1" t="s">
        <v>135</v>
      </c>
      <c r="C632">
        <v>2006</v>
      </c>
      <c r="D632">
        <v>0</v>
      </c>
    </row>
    <row r="633" spans="1:4" x14ac:dyDescent="0.35">
      <c r="A633" s="1" t="s">
        <v>85</v>
      </c>
      <c r="B633" s="1" t="s">
        <v>135</v>
      </c>
      <c r="C633">
        <v>2007</v>
      </c>
      <c r="D633">
        <v>0</v>
      </c>
    </row>
    <row r="634" spans="1:4" x14ac:dyDescent="0.35">
      <c r="A634" s="1" t="s">
        <v>85</v>
      </c>
      <c r="B634" s="1" t="s">
        <v>135</v>
      </c>
      <c r="C634">
        <v>2008</v>
      </c>
      <c r="D634">
        <v>0</v>
      </c>
    </row>
    <row r="635" spans="1:4" x14ac:dyDescent="0.35">
      <c r="A635" s="1" t="s">
        <v>85</v>
      </c>
      <c r="B635" s="1" t="s">
        <v>135</v>
      </c>
      <c r="C635">
        <v>2009</v>
      </c>
      <c r="D635">
        <v>0</v>
      </c>
    </row>
    <row r="636" spans="1:4" x14ac:dyDescent="0.35">
      <c r="A636" s="1" t="s">
        <v>85</v>
      </c>
      <c r="B636" s="1" t="s">
        <v>135</v>
      </c>
      <c r="C636">
        <v>2010</v>
      </c>
      <c r="D636">
        <v>0</v>
      </c>
    </row>
    <row r="637" spans="1:4" x14ac:dyDescent="0.35">
      <c r="A637" s="1" t="s">
        <v>85</v>
      </c>
      <c r="B637" s="1" t="s">
        <v>135</v>
      </c>
      <c r="C637">
        <v>2011</v>
      </c>
      <c r="D637">
        <v>0</v>
      </c>
    </row>
    <row r="638" spans="1:4" x14ac:dyDescent="0.35">
      <c r="A638" s="1" t="s">
        <v>85</v>
      </c>
      <c r="B638" s="1" t="s">
        <v>135</v>
      </c>
      <c r="C638">
        <v>2012</v>
      </c>
      <c r="D638">
        <v>1.59</v>
      </c>
    </row>
    <row r="639" spans="1:4" x14ac:dyDescent="0.35">
      <c r="A639" s="1" t="s">
        <v>85</v>
      </c>
      <c r="B639" s="1" t="s">
        <v>135</v>
      </c>
      <c r="C639">
        <v>2013</v>
      </c>
      <c r="D639">
        <v>4.82</v>
      </c>
    </row>
    <row r="640" spans="1:4" x14ac:dyDescent="0.35">
      <c r="A640" s="1" t="s">
        <v>85</v>
      </c>
      <c r="B640" s="1" t="s">
        <v>135</v>
      </c>
      <c r="C640">
        <v>2014</v>
      </c>
      <c r="D640">
        <v>5.0999999999999996</v>
      </c>
    </row>
    <row r="641" spans="1:4" x14ac:dyDescent="0.35">
      <c r="A641" s="1" t="s">
        <v>85</v>
      </c>
      <c r="B641" s="1" t="s">
        <v>135</v>
      </c>
      <c r="C641">
        <v>2015</v>
      </c>
      <c r="D641">
        <v>13.42</v>
      </c>
    </row>
    <row r="642" spans="1:4" x14ac:dyDescent="0.35">
      <c r="A642" s="1" t="s">
        <v>85</v>
      </c>
      <c r="B642" s="1" t="s">
        <v>135</v>
      </c>
      <c r="C642">
        <v>2016</v>
      </c>
      <c r="D642">
        <v>15.72</v>
      </c>
    </row>
    <row r="643" spans="1:4" x14ac:dyDescent="0.35">
      <c r="A643" s="1" t="s">
        <v>85</v>
      </c>
      <c r="B643" s="1" t="s">
        <v>135</v>
      </c>
      <c r="C643">
        <v>2017</v>
      </c>
      <c r="D643">
        <v>13.91</v>
      </c>
    </row>
    <row r="644" spans="1:4" x14ac:dyDescent="0.35">
      <c r="A644" s="1" t="s">
        <v>85</v>
      </c>
      <c r="B644" s="1" t="s">
        <v>135</v>
      </c>
      <c r="C644">
        <v>2018</v>
      </c>
      <c r="D644">
        <v>19.78</v>
      </c>
    </row>
    <row r="645" spans="1:4" x14ac:dyDescent="0.35">
      <c r="A645" s="1" t="s">
        <v>85</v>
      </c>
      <c r="B645" s="1" t="s">
        <v>135</v>
      </c>
      <c r="C645">
        <v>2019</v>
      </c>
      <c r="D645">
        <v>18.73</v>
      </c>
    </row>
    <row r="646" spans="1:4" x14ac:dyDescent="0.35">
      <c r="A646" s="1" t="s">
        <v>85</v>
      </c>
      <c r="B646" s="1" t="s">
        <v>135</v>
      </c>
      <c r="C646">
        <v>2020</v>
      </c>
      <c r="D646">
        <v>18.989999999999998</v>
      </c>
    </row>
    <row r="647" spans="1:4" x14ac:dyDescent="0.35">
      <c r="A647" s="1" t="s">
        <v>85</v>
      </c>
      <c r="B647" s="1" t="s">
        <v>135</v>
      </c>
      <c r="C647">
        <v>2021</v>
      </c>
      <c r="D647">
        <v>20.37</v>
      </c>
    </row>
    <row r="648" spans="1:4" x14ac:dyDescent="0.35">
      <c r="A648" s="1" t="s">
        <v>85</v>
      </c>
      <c r="B648" s="1" t="s">
        <v>135</v>
      </c>
      <c r="C648">
        <v>2022</v>
      </c>
      <c r="D648">
        <v>16.38</v>
      </c>
    </row>
    <row r="649" spans="1:4" x14ac:dyDescent="0.35">
      <c r="A649" s="1" t="s">
        <v>85</v>
      </c>
      <c r="B649" s="1" t="s">
        <v>135</v>
      </c>
      <c r="C649">
        <v>2023</v>
      </c>
      <c r="D649">
        <v>16.239999999999998</v>
      </c>
    </row>
    <row r="650" spans="1:4" x14ac:dyDescent="0.35">
      <c r="A650" s="1" t="s">
        <v>87</v>
      </c>
      <c r="B650" s="1" t="s">
        <v>135</v>
      </c>
      <c r="C650">
        <v>2000</v>
      </c>
      <c r="D650">
        <v>29.6</v>
      </c>
    </row>
    <row r="651" spans="1:4" x14ac:dyDescent="0.35">
      <c r="A651" s="1" t="s">
        <v>87</v>
      </c>
      <c r="B651" s="1" t="s">
        <v>135</v>
      </c>
      <c r="C651">
        <v>2001</v>
      </c>
      <c r="D651">
        <v>28.7</v>
      </c>
    </row>
    <row r="652" spans="1:4" x14ac:dyDescent="0.35">
      <c r="A652" s="1" t="s">
        <v>87</v>
      </c>
      <c r="B652" s="1" t="s">
        <v>135</v>
      </c>
      <c r="C652">
        <v>2002</v>
      </c>
      <c r="D652">
        <v>27.61</v>
      </c>
    </row>
    <row r="653" spans="1:4" x14ac:dyDescent="0.35">
      <c r="A653" s="1" t="s">
        <v>87</v>
      </c>
      <c r="B653" s="1" t="s">
        <v>135</v>
      </c>
      <c r="C653">
        <v>2003</v>
      </c>
      <c r="D653">
        <v>27.22</v>
      </c>
    </row>
    <row r="654" spans="1:4" x14ac:dyDescent="0.35">
      <c r="A654" s="1" t="s">
        <v>87</v>
      </c>
      <c r="B654" s="1" t="s">
        <v>135</v>
      </c>
      <c r="C654">
        <v>2004</v>
      </c>
      <c r="D654">
        <v>27.35</v>
      </c>
    </row>
    <row r="655" spans="1:4" x14ac:dyDescent="0.35">
      <c r="A655" s="1" t="s">
        <v>87</v>
      </c>
      <c r="B655" s="1" t="s">
        <v>135</v>
      </c>
      <c r="C655">
        <v>2005</v>
      </c>
      <c r="D655">
        <v>25.01</v>
      </c>
    </row>
    <row r="656" spans="1:4" x14ac:dyDescent="0.35">
      <c r="A656" s="1" t="s">
        <v>87</v>
      </c>
      <c r="B656" s="1" t="s">
        <v>135</v>
      </c>
      <c r="C656">
        <v>2006</v>
      </c>
      <c r="D656">
        <v>22.24</v>
      </c>
    </row>
    <row r="657" spans="1:4" x14ac:dyDescent="0.35">
      <c r="A657" s="1" t="s">
        <v>87</v>
      </c>
      <c r="B657" s="1" t="s">
        <v>135</v>
      </c>
      <c r="C657">
        <v>2007</v>
      </c>
      <c r="D657">
        <v>22.4</v>
      </c>
    </row>
    <row r="658" spans="1:4" x14ac:dyDescent="0.35">
      <c r="A658" s="1" t="s">
        <v>87</v>
      </c>
      <c r="B658" s="1" t="s">
        <v>135</v>
      </c>
      <c r="C658">
        <v>2008</v>
      </c>
      <c r="D658">
        <v>23.26</v>
      </c>
    </row>
    <row r="659" spans="1:4" x14ac:dyDescent="0.35">
      <c r="A659" s="1" t="s">
        <v>87</v>
      </c>
      <c r="B659" s="1" t="s">
        <v>135</v>
      </c>
      <c r="C659">
        <v>2009</v>
      </c>
      <c r="D659">
        <v>23.63</v>
      </c>
    </row>
    <row r="660" spans="1:4" x14ac:dyDescent="0.35">
      <c r="A660" s="1" t="s">
        <v>87</v>
      </c>
      <c r="B660" s="1" t="s">
        <v>135</v>
      </c>
      <c r="C660">
        <v>2010</v>
      </c>
      <c r="D660">
        <v>21.49</v>
      </c>
    </row>
    <row r="661" spans="1:4" x14ac:dyDescent="0.35">
      <c r="A661" s="1" t="s">
        <v>87</v>
      </c>
      <c r="B661" s="1" t="s">
        <v>135</v>
      </c>
      <c r="C661">
        <v>2011</v>
      </c>
      <c r="D661">
        <v>20.07</v>
      </c>
    </row>
    <row r="662" spans="1:4" x14ac:dyDescent="0.35">
      <c r="A662" s="1" t="s">
        <v>87</v>
      </c>
      <c r="B662" s="1" t="s">
        <v>135</v>
      </c>
      <c r="C662">
        <v>2012</v>
      </c>
      <c r="D662">
        <v>20.29</v>
      </c>
    </row>
    <row r="663" spans="1:4" x14ac:dyDescent="0.35">
      <c r="A663" s="1" t="s">
        <v>87</v>
      </c>
      <c r="B663" s="1" t="s">
        <v>135</v>
      </c>
      <c r="C663">
        <v>2013</v>
      </c>
      <c r="D663">
        <v>20.63</v>
      </c>
    </row>
    <row r="664" spans="1:4" x14ac:dyDescent="0.35">
      <c r="A664" s="1" t="s">
        <v>87</v>
      </c>
      <c r="B664" s="1" t="s">
        <v>135</v>
      </c>
      <c r="C664">
        <v>2014</v>
      </c>
      <c r="D664">
        <v>20.34</v>
      </c>
    </row>
    <row r="665" spans="1:4" x14ac:dyDescent="0.35">
      <c r="A665" s="1" t="s">
        <v>87</v>
      </c>
      <c r="B665" s="1" t="s">
        <v>135</v>
      </c>
      <c r="C665">
        <v>2015</v>
      </c>
      <c r="D665">
        <v>22.76</v>
      </c>
    </row>
    <row r="666" spans="1:4" x14ac:dyDescent="0.35">
      <c r="A666" s="1" t="s">
        <v>87</v>
      </c>
      <c r="B666" s="1" t="s">
        <v>135</v>
      </c>
      <c r="C666">
        <v>2016</v>
      </c>
      <c r="D666">
        <v>21.88</v>
      </c>
    </row>
    <row r="667" spans="1:4" x14ac:dyDescent="0.35">
      <c r="A667" s="1" t="s">
        <v>87</v>
      </c>
      <c r="B667" s="1" t="s">
        <v>135</v>
      </c>
      <c r="C667">
        <v>2017</v>
      </c>
      <c r="D667">
        <v>20.149999999999999</v>
      </c>
    </row>
    <row r="668" spans="1:4" x14ac:dyDescent="0.35">
      <c r="A668" s="1" t="s">
        <v>87</v>
      </c>
      <c r="B668" s="1" t="s">
        <v>135</v>
      </c>
      <c r="C668">
        <v>2018</v>
      </c>
      <c r="D668">
        <v>20.92</v>
      </c>
    </row>
    <row r="669" spans="1:4" x14ac:dyDescent="0.35">
      <c r="A669" s="1" t="s">
        <v>87</v>
      </c>
      <c r="B669" s="1" t="s">
        <v>135</v>
      </c>
      <c r="C669">
        <v>2019</v>
      </c>
      <c r="D669">
        <v>21.93</v>
      </c>
    </row>
    <row r="670" spans="1:4" x14ac:dyDescent="0.35">
      <c r="A670" s="1" t="s">
        <v>87</v>
      </c>
      <c r="B670" s="1" t="s">
        <v>135</v>
      </c>
      <c r="C670">
        <v>2020</v>
      </c>
      <c r="D670">
        <v>24.11</v>
      </c>
    </row>
    <row r="671" spans="1:4" x14ac:dyDescent="0.35">
      <c r="A671" s="1" t="s">
        <v>87</v>
      </c>
      <c r="B671" s="1" t="s">
        <v>135</v>
      </c>
      <c r="C671">
        <v>2021</v>
      </c>
      <c r="D671">
        <v>21.68</v>
      </c>
    </row>
    <row r="672" spans="1:4" x14ac:dyDescent="0.35">
      <c r="A672" s="1" t="s">
        <v>87</v>
      </c>
      <c r="B672" s="1" t="s">
        <v>135</v>
      </c>
      <c r="C672">
        <v>2022</v>
      </c>
      <c r="D672">
        <v>19.29</v>
      </c>
    </row>
    <row r="673" spans="1:4" x14ac:dyDescent="0.35">
      <c r="A673" s="1" t="s">
        <v>87</v>
      </c>
      <c r="B673" s="1" t="s">
        <v>135</v>
      </c>
      <c r="C673">
        <v>2023</v>
      </c>
      <c r="D673">
        <v>17.690000000000001</v>
      </c>
    </row>
    <row r="674" spans="1:4" x14ac:dyDescent="0.35">
      <c r="A674" s="1" t="s">
        <v>77</v>
      </c>
      <c r="B674" s="1" t="s">
        <v>135</v>
      </c>
      <c r="C674">
        <v>2000</v>
      </c>
      <c r="D674">
        <v>6.75</v>
      </c>
    </row>
    <row r="675" spans="1:4" x14ac:dyDescent="0.35">
      <c r="A675" s="1" t="s">
        <v>77</v>
      </c>
      <c r="B675" s="1" t="s">
        <v>135</v>
      </c>
      <c r="C675">
        <v>2001</v>
      </c>
      <c r="D675">
        <v>8.15</v>
      </c>
    </row>
    <row r="676" spans="1:4" x14ac:dyDescent="0.35">
      <c r="A676" s="1" t="s">
        <v>77</v>
      </c>
      <c r="B676" s="1" t="s">
        <v>135</v>
      </c>
      <c r="C676">
        <v>2002</v>
      </c>
      <c r="D676">
        <v>7.36</v>
      </c>
    </row>
    <row r="677" spans="1:4" x14ac:dyDescent="0.35">
      <c r="A677" s="1" t="s">
        <v>77</v>
      </c>
      <c r="B677" s="1" t="s">
        <v>135</v>
      </c>
      <c r="C677">
        <v>2003</v>
      </c>
      <c r="D677">
        <v>10.74</v>
      </c>
    </row>
    <row r="678" spans="1:4" x14ac:dyDescent="0.35">
      <c r="A678" s="1" t="s">
        <v>77</v>
      </c>
      <c r="B678" s="1" t="s">
        <v>135</v>
      </c>
      <c r="C678">
        <v>2004</v>
      </c>
      <c r="D678">
        <v>10.94</v>
      </c>
    </row>
    <row r="679" spans="1:4" x14ac:dyDescent="0.35">
      <c r="A679" s="1" t="s">
        <v>77</v>
      </c>
      <c r="B679" s="1" t="s">
        <v>135</v>
      </c>
      <c r="C679">
        <v>2005</v>
      </c>
      <c r="D679">
        <v>6.14</v>
      </c>
    </row>
    <row r="680" spans="1:4" x14ac:dyDescent="0.35">
      <c r="A680" s="1" t="s">
        <v>77</v>
      </c>
      <c r="B680" s="1" t="s">
        <v>135</v>
      </c>
      <c r="C680">
        <v>2006</v>
      </c>
      <c r="D680">
        <v>5.93</v>
      </c>
    </row>
    <row r="681" spans="1:4" x14ac:dyDescent="0.35">
      <c r="A681" s="1" t="s">
        <v>77</v>
      </c>
      <c r="B681" s="1" t="s">
        <v>135</v>
      </c>
      <c r="C681">
        <v>2007</v>
      </c>
      <c r="D681">
        <v>6.07</v>
      </c>
    </row>
    <row r="682" spans="1:4" x14ac:dyDescent="0.35">
      <c r="A682" s="1" t="s">
        <v>77</v>
      </c>
      <c r="B682" s="1" t="s">
        <v>135</v>
      </c>
      <c r="C682">
        <v>2008</v>
      </c>
      <c r="D682">
        <v>6.04</v>
      </c>
    </row>
    <row r="683" spans="1:4" x14ac:dyDescent="0.35">
      <c r="A683" s="1" t="s">
        <v>77</v>
      </c>
      <c r="B683" s="1" t="s">
        <v>135</v>
      </c>
      <c r="C683">
        <v>2009</v>
      </c>
      <c r="D683">
        <v>14.2</v>
      </c>
    </row>
    <row r="684" spans="1:4" x14ac:dyDescent="0.35">
      <c r="A684" s="1" t="s">
        <v>77</v>
      </c>
      <c r="B684" s="1" t="s">
        <v>135</v>
      </c>
      <c r="C684">
        <v>2010</v>
      </c>
      <c r="D684">
        <v>18.14</v>
      </c>
    </row>
    <row r="685" spans="1:4" x14ac:dyDescent="0.35">
      <c r="A685" s="1" t="s">
        <v>77</v>
      </c>
      <c r="B685" s="1" t="s">
        <v>135</v>
      </c>
      <c r="C685">
        <v>2011</v>
      </c>
      <c r="D685">
        <v>11.23</v>
      </c>
    </row>
    <row r="686" spans="1:4" x14ac:dyDescent="0.35">
      <c r="A686" s="1" t="s">
        <v>77</v>
      </c>
      <c r="B686" s="1" t="s">
        <v>135</v>
      </c>
      <c r="C686">
        <v>2012</v>
      </c>
      <c r="D686">
        <v>9.17</v>
      </c>
    </row>
    <row r="687" spans="1:4" x14ac:dyDescent="0.35">
      <c r="A687" s="1" t="s">
        <v>77</v>
      </c>
      <c r="B687" s="1" t="s">
        <v>135</v>
      </c>
      <c r="C687">
        <v>2013</v>
      </c>
      <c r="D687">
        <v>15.62</v>
      </c>
    </row>
    <row r="688" spans="1:4" x14ac:dyDescent="0.35">
      <c r="A688" s="1" t="s">
        <v>77</v>
      </c>
      <c r="B688" s="1" t="s">
        <v>135</v>
      </c>
      <c r="C688">
        <v>2014</v>
      </c>
      <c r="D688">
        <v>12.94</v>
      </c>
    </row>
    <row r="689" spans="1:4" x14ac:dyDescent="0.35">
      <c r="A689" s="1" t="s">
        <v>77</v>
      </c>
      <c r="B689" s="1" t="s">
        <v>135</v>
      </c>
      <c r="C689">
        <v>2015</v>
      </c>
      <c r="D689">
        <v>14.87</v>
      </c>
    </row>
    <row r="690" spans="1:4" x14ac:dyDescent="0.35">
      <c r="A690" s="1" t="s">
        <v>77</v>
      </c>
      <c r="B690" s="1" t="s">
        <v>135</v>
      </c>
      <c r="C690">
        <v>2016</v>
      </c>
      <c r="D690">
        <v>15.26</v>
      </c>
    </row>
    <row r="691" spans="1:4" x14ac:dyDescent="0.35">
      <c r="A691" s="1" t="s">
        <v>77</v>
      </c>
      <c r="B691" s="1" t="s">
        <v>135</v>
      </c>
      <c r="C691">
        <v>2017</v>
      </c>
      <c r="D691">
        <v>14.76</v>
      </c>
    </row>
    <row r="692" spans="1:4" x14ac:dyDescent="0.35">
      <c r="A692" s="1" t="s">
        <v>77</v>
      </c>
      <c r="B692" s="1" t="s">
        <v>135</v>
      </c>
      <c r="C692">
        <v>2018</v>
      </c>
      <c r="D692">
        <v>18.98</v>
      </c>
    </row>
    <row r="693" spans="1:4" x14ac:dyDescent="0.35">
      <c r="A693" s="1" t="s">
        <v>77</v>
      </c>
      <c r="B693" s="1" t="s">
        <v>135</v>
      </c>
      <c r="C693">
        <v>2019</v>
      </c>
      <c r="D693">
        <v>18.86</v>
      </c>
    </row>
    <row r="694" spans="1:4" x14ac:dyDescent="0.35">
      <c r="A694" s="1" t="s">
        <v>77</v>
      </c>
      <c r="B694" s="1" t="s">
        <v>135</v>
      </c>
      <c r="C694">
        <v>2020</v>
      </c>
      <c r="D694">
        <v>18.18</v>
      </c>
    </row>
    <row r="695" spans="1:4" x14ac:dyDescent="0.35">
      <c r="A695" s="1" t="s">
        <v>77</v>
      </c>
      <c r="B695" s="1" t="s">
        <v>135</v>
      </c>
      <c r="C695">
        <v>2021</v>
      </c>
      <c r="D695">
        <v>18.93</v>
      </c>
    </row>
    <row r="696" spans="1:4" x14ac:dyDescent="0.35">
      <c r="A696" s="1" t="s">
        <v>77</v>
      </c>
      <c r="B696" s="1" t="s">
        <v>135</v>
      </c>
      <c r="C696">
        <v>2022</v>
      </c>
      <c r="D696">
        <v>17.440000000000001</v>
      </c>
    </row>
    <row r="697" spans="1:4" x14ac:dyDescent="0.35">
      <c r="A697" s="1" t="s">
        <v>77</v>
      </c>
      <c r="B697" s="1" t="s">
        <v>135</v>
      </c>
      <c r="C697">
        <v>2023</v>
      </c>
      <c r="D697">
        <v>18.53</v>
      </c>
    </row>
    <row r="698" spans="1:4" x14ac:dyDescent="0.35">
      <c r="A698" s="1" t="s">
        <v>83</v>
      </c>
      <c r="B698" s="1" t="s">
        <v>135</v>
      </c>
      <c r="C698">
        <v>2000</v>
      </c>
      <c r="D698">
        <v>99.53</v>
      </c>
    </row>
    <row r="699" spans="1:4" x14ac:dyDescent="0.35">
      <c r="A699" s="1" t="s">
        <v>83</v>
      </c>
      <c r="B699" s="1" t="s">
        <v>135</v>
      </c>
      <c r="C699">
        <v>2001</v>
      </c>
      <c r="D699">
        <v>99.64</v>
      </c>
    </row>
    <row r="700" spans="1:4" x14ac:dyDescent="0.35">
      <c r="A700" s="1" t="s">
        <v>83</v>
      </c>
      <c r="B700" s="1" t="s">
        <v>135</v>
      </c>
      <c r="C700">
        <v>2002</v>
      </c>
      <c r="D700">
        <v>99.73</v>
      </c>
    </row>
    <row r="701" spans="1:4" x14ac:dyDescent="0.35">
      <c r="A701" s="1" t="s">
        <v>83</v>
      </c>
      <c r="B701" s="1" t="s">
        <v>135</v>
      </c>
      <c r="C701">
        <v>2003</v>
      </c>
      <c r="D701">
        <v>99.69</v>
      </c>
    </row>
    <row r="702" spans="1:4" x14ac:dyDescent="0.35">
      <c r="A702" s="1" t="s">
        <v>83</v>
      </c>
      <c r="B702" s="1" t="s">
        <v>135</v>
      </c>
      <c r="C702">
        <v>2004</v>
      </c>
      <c r="D702">
        <v>99.67</v>
      </c>
    </row>
    <row r="703" spans="1:4" x14ac:dyDescent="0.35">
      <c r="A703" s="1" t="s">
        <v>83</v>
      </c>
      <c r="B703" s="1" t="s">
        <v>135</v>
      </c>
      <c r="C703">
        <v>2005</v>
      </c>
      <c r="D703">
        <v>99.89</v>
      </c>
    </row>
    <row r="704" spans="1:4" x14ac:dyDescent="0.35">
      <c r="A704" s="1" t="s">
        <v>83</v>
      </c>
      <c r="B704" s="1" t="s">
        <v>135</v>
      </c>
      <c r="C704">
        <v>2006</v>
      </c>
      <c r="D704">
        <v>99.96</v>
      </c>
    </row>
    <row r="705" spans="1:4" x14ac:dyDescent="0.35">
      <c r="A705" s="1" t="s">
        <v>83</v>
      </c>
      <c r="B705" s="1" t="s">
        <v>135</v>
      </c>
      <c r="C705">
        <v>2007</v>
      </c>
      <c r="D705">
        <v>99.95</v>
      </c>
    </row>
    <row r="706" spans="1:4" x14ac:dyDescent="0.35">
      <c r="A706" s="1" t="s">
        <v>83</v>
      </c>
      <c r="B706" s="1" t="s">
        <v>135</v>
      </c>
      <c r="C706">
        <v>2008</v>
      </c>
      <c r="D706">
        <v>99.93</v>
      </c>
    </row>
    <row r="707" spans="1:4" x14ac:dyDescent="0.35">
      <c r="A707" s="1" t="s">
        <v>83</v>
      </c>
      <c r="B707" s="1" t="s">
        <v>135</v>
      </c>
      <c r="C707">
        <v>2009</v>
      </c>
      <c r="D707">
        <v>99.94</v>
      </c>
    </row>
    <row r="708" spans="1:4" x14ac:dyDescent="0.35">
      <c r="A708" s="1" t="s">
        <v>83</v>
      </c>
      <c r="B708" s="1" t="s">
        <v>135</v>
      </c>
      <c r="C708">
        <v>2010</v>
      </c>
      <c r="D708">
        <v>99.89</v>
      </c>
    </row>
    <row r="709" spans="1:4" x14ac:dyDescent="0.35">
      <c r="A709" s="1" t="s">
        <v>83</v>
      </c>
      <c r="B709" s="1" t="s">
        <v>135</v>
      </c>
      <c r="C709">
        <v>2011</v>
      </c>
      <c r="D709">
        <v>99.87</v>
      </c>
    </row>
    <row r="710" spans="1:4" x14ac:dyDescent="0.35">
      <c r="A710" s="1" t="s">
        <v>83</v>
      </c>
      <c r="B710" s="1" t="s">
        <v>135</v>
      </c>
      <c r="C710">
        <v>2012</v>
      </c>
      <c r="D710">
        <v>99.84</v>
      </c>
    </row>
    <row r="711" spans="1:4" x14ac:dyDescent="0.35">
      <c r="A711" s="1" t="s">
        <v>83</v>
      </c>
      <c r="B711" s="1" t="s">
        <v>135</v>
      </c>
      <c r="C711">
        <v>2013</v>
      </c>
      <c r="D711">
        <v>99.8</v>
      </c>
    </row>
    <row r="712" spans="1:4" x14ac:dyDescent="0.35">
      <c r="A712" s="1" t="s">
        <v>83</v>
      </c>
      <c r="B712" s="1" t="s">
        <v>135</v>
      </c>
      <c r="C712">
        <v>2014</v>
      </c>
      <c r="D712">
        <v>99.79</v>
      </c>
    </row>
    <row r="713" spans="1:4" x14ac:dyDescent="0.35">
      <c r="A713" s="1" t="s">
        <v>83</v>
      </c>
      <c r="B713" s="1" t="s">
        <v>135</v>
      </c>
      <c r="C713">
        <v>2015</v>
      </c>
      <c r="D713">
        <v>99.68</v>
      </c>
    </row>
    <row r="714" spans="1:4" x14ac:dyDescent="0.35">
      <c r="A714" s="1" t="s">
        <v>83</v>
      </c>
      <c r="B714" s="1" t="s">
        <v>135</v>
      </c>
      <c r="C714">
        <v>2016</v>
      </c>
      <c r="D714">
        <v>95.76</v>
      </c>
    </row>
    <row r="715" spans="1:4" x14ac:dyDescent="0.35">
      <c r="A715" s="1" t="s">
        <v>83</v>
      </c>
      <c r="B715" s="1" t="s">
        <v>135</v>
      </c>
      <c r="C715">
        <v>2017</v>
      </c>
      <c r="D715">
        <v>80.989999999999995</v>
      </c>
    </row>
    <row r="716" spans="1:4" x14ac:dyDescent="0.35">
      <c r="A716" s="1" t="s">
        <v>83</v>
      </c>
      <c r="B716" s="1" t="s">
        <v>135</v>
      </c>
      <c r="C716">
        <v>2018</v>
      </c>
      <c r="D716">
        <v>82.31</v>
      </c>
    </row>
    <row r="717" spans="1:4" x14ac:dyDescent="0.35">
      <c r="A717" s="1" t="s">
        <v>83</v>
      </c>
      <c r="B717" s="1" t="s">
        <v>135</v>
      </c>
      <c r="C717">
        <v>2019</v>
      </c>
      <c r="D717">
        <v>81.91</v>
      </c>
    </row>
    <row r="718" spans="1:4" x14ac:dyDescent="0.35">
      <c r="A718" s="1" t="s">
        <v>83</v>
      </c>
      <c r="B718" s="1" t="s">
        <v>135</v>
      </c>
      <c r="C718">
        <v>2020</v>
      </c>
      <c r="D718">
        <v>83.72</v>
      </c>
    </row>
    <row r="719" spans="1:4" x14ac:dyDescent="0.35">
      <c r="A719" s="1" t="s">
        <v>83</v>
      </c>
      <c r="B719" s="1" t="s">
        <v>135</v>
      </c>
      <c r="C719">
        <v>2021</v>
      </c>
      <c r="D719">
        <v>83.12</v>
      </c>
    </row>
    <row r="720" spans="1:4" x14ac:dyDescent="0.35">
      <c r="A720" s="1" t="s">
        <v>83</v>
      </c>
      <c r="B720" s="1" t="s">
        <v>135</v>
      </c>
      <c r="C720">
        <v>2022</v>
      </c>
      <c r="D720">
        <v>84.06</v>
      </c>
    </row>
    <row r="721" spans="1:4" x14ac:dyDescent="0.35">
      <c r="A721" s="1" t="s">
        <v>83</v>
      </c>
      <c r="B721" s="1" t="s">
        <v>135</v>
      </c>
      <c r="C721">
        <v>2023</v>
      </c>
      <c r="D721">
        <v>83.71</v>
      </c>
    </row>
    <row r="722" spans="1:4" x14ac:dyDescent="0.35">
      <c r="A722" s="1" t="s">
        <v>91</v>
      </c>
      <c r="B722" s="1" t="s">
        <v>135</v>
      </c>
      <c r="C722">
        <v>2000</v>
      </c>
      <c r="D722">
        <v>99.58</v>
      </c>
    </row>
    <row r="723" spans="1:4" x14ac:dyDescent="0.35">
      <c r="A723" s="1" t="s">
        <v>91</v>
      </c>
      <c r="B723" s="1" t="s">
        <v>135</v>
      </c>
      <c r="C723">
        <v>2001</v>
      </c>
      <c r="D723">
        <v>99.81</v>
      </c>
    </row>
    <row r="724" spans="1:4" x14ac:dyDescent="0.35">
      <c r="A724" s="1" t="s">
        <v>91</v>
      </c>
      <c r="B724" s="1" t="s">
        <v>135</v>
      </c>
      <c r="C724">
        <v>2002</v>
      </c>
      <c r="D724">
        <v>99.79</v>
      </c>
    </row>
    <row r="725" spans="1:4" x14ac:dyDescent="0.35">
      <c r="A725" s="1" t="s">
        <v>91</v>
      </c>
      <c r="B725" s="1" t="s">
        <v>135</v>
      </c>
      <c r="C725">
        <v>2003</v>
      </c>
      <c r="D725">
        <v>99.62</v>
      </c>
    </row>
    <row r="726" spans="1:4" x14ac:dyDescent="0.35">
      <c r="A726" s="1" t="s">
        <v>91</v>
      </c>
      <c r="B726" s="1" t="s">
        <v>135</v>
      </c>
      <c r="C726">
        <v>2004</v>
      </c>
      <c r="D726">
        <v>99.57</v>
      </c>
    </row>
    <row r="727" spans="1:4" x14ac:dyDescent="0.35">
      <c r="A727" s="1" t="s">
        <v>91</v>
      </c>
      <c r="B727" s="1" t="s">
        <v>135</v>
      </c>
      <c r="C727">
        <v>2005</v>
      </c>
      <c r="D727">
        <v>97.33</v>
      </c>
    </row>
    <row r="728" spans="1:4" x14ac:dyDescent="0.35">
      <c r="A728" s="1" t="s">
        <v>91</v>
      </c>
      <c r="B728" s="1" t="s">
        <v>135</v>
      </c>
      <c r="C728">
        <v>2006</v>
      </c>
      <c r="D728">
        <v>96.38</v>
      </c>
    </row>
    <row r="729" spans="1:4" x14ac:dyDescent="0.35">
      <c r="A729" s="1" t="s">
        <v>91</v>
      </c>
      <c r="B729" s="1" t="s">
        <v>135</v>
      </c>
      <c r="C729">
        <v>2007</v>
      </c>
      <c r="D729">
        <v>93.69</v>
      </c>
    </row>
    <row r="730" spans="1:4" x14ac:dyDescent="0.35">
      <c r="A730" s="1" t="s">
        <v>91</v>
      </c>
      <c r="B730" s="1" t="s">
        <v>135</v>
      </c>
      <c r="C730">
        <v>2008</v>
      </c>
      <c r="D730">
        <v>89.78</v>
      </c>
    </row>
    <row r="731" spans="1:4" x14ac:dyDescent="0.35">
      <c r="A731" s="1" t="s">
        <v>91</v>
      </c>
      <c r="B731" s="1" t="s">
        <v>135</v>
      </c>
      <c r="C731">
        <v>2009</v>
      </c>
      <c r="D731">
        <v>89.36</v>
      </c>
    </row>
    <row r="732" spans="1:4" x14ac:dyDescent="0.35">
      <c r="A732" s="1" t="s">
        <v>91</v>
      </c>
      <c r="B732" s="1" t="s">
        <v>135</v>
      </c>
      <c r="C732">
        <v>2010</v>
      </c>
      <c r="D732">
        <v>93.58</v>
      </c>
    </row>
    <row r="733" spans="1:4" x14ac:dyDescent="0.35">
      <c r="A733" s="1" t="s">
        <v>91</v>
      </c>
      <c r="B733" s="1" t="s">
        <v>135</v>
      </c>
      <c r="C733">
        <v>2011</v>
      </c>
      <c r="D733">
        <v>95.17</v>
      </c>
    </row>
    <row r="734" spans="1:4" x14ac:dyDescent="0.35">
      <c r="A734" s="1" t="s">
        <v>91</v>
      </c>
      <c r="B734" s="1" t="s">
        <v>135</v>
      </c>
      <c r="C734">
        <v>2012</v>
      </c>
      <c r="D734">
        <v>93.97</v>
      </c>
    </row>
    <row r="735" spans="1:4" x14ac:dyDescent="0.35">
      <c r="A735" s="1" t="s">
        <v>91</v>
      </c>
      <c r="B735" s="1" t="s">
        <v>135</v>
      </c>
      <c r="C735">
        <v>2013</v>
      </c>
      <c r="D735">
        <v>94.53</v>
      </c>
    </row>
    <row r="736" spans="1:4" x14ac:dyDescent="0.35">
      <c r="A736" s="1" t="s">
        <v>91</v>
      </c>
      <c r="B736" s="1" t="s">
        <v>135</v>
      </c>
      <c r="C736">
        <v>2014</v>
      </c>
      <c r="D736">
        <v>91.99</v>
      </c>
    </row>
    <row r="737" spans="1:4" x14ac:dyDescent="0.35">
      <c r="A737" s="1" t="s">
        <v>91</v>
      </c>
      <c r="B737" s="1" t="s">
        <v>135</v>
      </c>
      <c r="C737">
        <v>2015</v>
      </c>
      <c r="D737">
        <v>90.3</v>
      </c>
    </row>
    <row r="738" spans="1:4" x14ac:dyDescent="0.35">
      <c r="A738" s="1" t="s">
        <v>91</v>
      </c>
      <c r="B738" s="1" t="s">
        <v>135</v>
      </c>
      <c r="C738">
        <v>2016</v>
      </c>
      <c r="D738">
        <v>89.84</v>
      </c>
    </row>
    <row r="739" spans="1:4" x14ac:dyDescent="0.35">
      <c r="A739" s="1" t="s">
        <v>91</v>
      </c>
      <c r="B739" s="1" t="s">
        <v>135</v>
      </c>
      <c r="C739">
        <v>2017</v>
      </c>
      <c r="D739">
        <v>91.2</v>
      </c>
    </row>
    <row r="740" spans="1:4" x14ac:dyDescent="0.35">
      <c r="A740" s="1" t="s">
        <v>91</v>
      </c>
      <c r="B740" s="1" t="s">
        <v>135</v>
      </c>
      <c r="C740">
        <v>2018</v>
      </c>
      <c r="D740">
        <v>90.49</v>
      </c>
    </row>
    <row r="741" spans="1:4" x14ac:dyDescent="0.35">
      <c r="A741" s="1" t="s">
        <v>91</v>
      </c>
      <c r="B741" s="1" t="s">
        <v>135</v>
      </c>
      <c r="C741">
        <v>2019</v>
      </c>
      <c r="D741">
        <v>90.55</v>
      </c>
    </row>
    <row r="742" spans="1:4" x14ac:dyDescent="0.35">
      <c r="A742" s="1" t="s">
        <v>91</v>
      </c>
      <c r="B742" s="1" t="s">
        <v>135</v>
      </c>
      <c r="C742">
        <v>2020</v>
      </c>
      <c r="D742">
        <v>86.85</v>
      </c>
    </row>
    <row r="743" spans="1:4" x14ac:dyDescent="0.35">
      <c r="A743" s="1" t="s">
        <v>91</v>
      </c>
      <c r="B743" s="1" t="s">
        <v>135</v>
      </c>
      <c r="C743">
        <v>2021</v>
      </c>
      <c r="D743">
        <v>85.18</v>
      </c>
    </row>
    <row r="744" spans="1:4" x14ac:dyDescent="0.35">
      <c r="A744" s="1" t="s">
        <v>91</v>
      </c>
      <c r="B744" s="1" t="s">
        <v>135</v>
      </c>
      <c r="C744">
        <v>2022</v>
      </c>
      <c r="D744">
        <v>87.38</v>
      </c>
    </row>
    <row r="745" spans="1:4" x14ac:dyDescent="0.35">
      <c r="A745" s="1" t="s">
        <v>91</v>
      </c>
      <c r="B745" s="1" t="s">
        <v>135</v>
      </c>
      <c r="C745">
        <v>2023</v>
      </c>
      <c r="D745">
        <v>90.36</v>
      </c>
    </row>
    <row r="746" spans="1:4" x14ac:dyDescent="0.35">
      <c r="A746" s="1" t="s">
        <v>95</v>
      </c>
      <c r="B746" s="1" t="s">
        <v>135</v>
      </c>
      <c r="C746">
        <v>2000</v>
      </c>
      <c r="D746">
        <v>41.5</v>
      </c>
    </row>
    <row r="747" spans="1:4" x14ac:dyDescent="0.35">
      <c r="A747" s="1" t="s">
        <v>95</v>
      </c>
      <c r="B747" s="1" t="s">
        <v>135</v>
      </c>
      <c r="C747">
        <v>2001</v>
      </c>
      <c r="D747">
        <v>39.380000000000003</v>
      </c>
    </row>
    <row r="748" spans="1:4" x14ac:dyDescent="0.35">
      <c r="A748" s="1" t="s">
        <v>95</v>
      </c>
      <c r="B748" s="1" t="s">
        <v>135</v>
      </c>
      <c r="C748">
        <v>2002</v>
      </c>
      <c r="D748">
        <v>32.479999999999997</v>
      </c>
    </row>
    <row r="749" spans="1:4" x14ac:dyDescent="0.35">
      <c r="A749" s="1" t="s">
        <v>95</v>
      </c>
      <c r="B749" s="1" t="s">
        <v>135</v>
      </c>
      <c r="C749">
        <v>2003</v>
      </c>
      <c r="D749">
        <v>37.880000000000003</v>
      </c>
    </row>
    <row r="750" spans="1:4" x14ac:dyDescent="0.35">
      <c r="A750" s="1" t="s">
        <v>95</v>
      </c>
      <c r="B750" s="1" t="s">
        <v>135</v>
      </c>
      <c r="C750">
        <v>2004</v>
      </c>
      <c r="D750">
        <v>33.380000000000003</v>
      </c>
    </row>
    <row r="751" spans="1:4" x14ac:dyDescent="0.35">
      <c r="A751" s="1" t="s">
        <v>95</v>
      </c>
      <c r="B751" s="1" t="s">
        <v>135</v>
      </c>
      <c r="C751">
        <v>2005</v>
      </c>
      <c r="D751">
        <v>45.34</v>
      </c>
    </row>
    <row r="752" spans="1:4" x14ac:dyDescent="0.35">
      <c r="A752" s="1" t="s">
        <v>95</v>
      </c>
      <c r="B752" s="1" t="s">
        <v>135</v>
      </c>
      <c r="C752">
        <v>2006</v>
      </c>
      <c r="D752">
        <v>38.630000000000003</v>
      </c>
    </row>
    <row r="753" spans="1:4" x14ac:dyDescent="0.35">
      <c r="A753" s="1" t="s">
        <v>95</v>
      </c>
      <c r="B753" s="1" t="s">
        <v>135</v>
      </c>
      <c r="C753">
        <v>2007</v>
      </c>
      <c r="D753">
        <v>31.74</v>
      </c>
    </row>
    <row r="754" spans="1:4" x14ac:dyDescent="0.35">
      <c r="A754" s="1" t="s">
        <v>95</v>
      </c>
      <c r="B754" s="1" t="s">
        <v>135</v>
      </c>
      <c r="C754">
        <v>2008</v>
      </c>
      <c r="D754">
        <v>32.64</v>
      </c>
    </row>
    <row r="755" spans="1:4" x14ac:dyDescent="0.35">
      <c r="A755" s="1" t="s">
        <v>95</v>
      </c>
      <c r="B755" s="1" t="s">
        <v>135</v>
      </c>
      <c r="C755">
        <v>2009</v>
      </c>
      <c r="D755">
        <v>32.83</v>
      </c>
    </row>
    <row r="756" spans="1:4" x14ac:dyDescent="0.35">
      <c r="A756" s="1" t="s">
        <v>95</v>
      </c>
      <c r="B756" s="1" t="s">
        <v>135</v>
      </c>
      <c r="C756">
        <v>2010</v>
      </c>
      <c r="D756">
        <v>26.74</v>
      </c>
    </row>
    <row r="757" spans="1:4" x14ac:dyDescent="0.35">
      <c r="A757" s="1" t="s">
        <v>95</v>
      </c>
      <c r="B757" s="1" t="s">
        <v>135</v>
      </c>
      <c r="C757">
        <v>2011</v>
      </c>
      <c r="D757">
        <v>19.87</v>
      </c>
    </row>
    <row r="758" spans="1:4" x14ac:dyDescent="0.35">
      <c r="A758" s="1" t="s">
        <v>95</v>
      </c>
      <c r="B758" s="1" t="s">
        <v>135</v>
      </c>
      <c r="C758">
        <v>2012</v>
      </c>
      <c r="D758">
        <v>18.77</v>
      </c>
    </row>
    <row r="759" spans="1:4" x14ac:dyDescent="0.35">
      <c r="A759" s="1" t="s">
        <v>95</v>
      </c>
      <c r="B759" s="1" t="s">
        <v>135</v>
      </c>
      <c r="C759">
        <v>2013</v>
      </c>
      <c r="D759">
        <v>20.68</v>
      </c>
    </row>
    <row r="760" spans="1:4" x14ac:dyDescent="0.35">
      <c r="A760" s="1" t="s">
        <v>95</v>
      </c>
      <c r="B760" s="1" t="s">
        <v>135</v>
      </c>
      <c r="C760">
        <v>2014</v>
      </c>
      <c r="D760">
        <v>19.760000000000002</v>
      </c>
    </row>
    <row r="761" spans="1:4" x14ac:dyDescent="0.35">
      <c r="A761" s="1" t="s">
        <v>95</v>
      </c>
      <c r="B761" s="1" t="s">
        <v>135</v>
      </c>
      <c r="C761">
        <v>2015</v>
      </c>
      <c r="D761">
        <v>20.100000000000001</v>
      </c>
    </row>
    <row r="762" spans="1:4" x14ac:dyDescent="0.35">
      <c r="A762" s="1" t="s">
        <v>95</v>
      </c>
      <c r="B762" s="1" t="s">
        <v>135</v>
      </c>
      <c r="C762">
        <v>2016</v>
      </c>
      <c r="D762">
        <v>28.56</v>
      </c>
    </row>
    <row r="763" spans="1:4" x14ac:dyDescent="0.35">
      <c r="A763" s="1" t="s">
        <v>95</v>
      </c>
      <c r="B763" s="1" t="s">
        <v>135</v>
      </c>
      <c r="C763">
        <v>2017</v>
      </c>
      <c r="D763">
        <v>24.61</v>
      </c>
    </row>
    <row r="764" spans="1:4" x14ac:dyDescent="0.35">
      <c r="A764" s="1" t="s">
        <v>95</v>
      </c>
      <c r="B764" s="1" t="s">
        <v>135</v>
      </c>
      <c r="C764">
        <v>2018</v>
      </c>
      <c r="D764">
        <v>22.99</v>
      </c>
    </row>
    <row r="765" spans="1:4" x14ac:dyDescent="0.35">
      <c r="A765" s="1" t="s">
        <v>95</v>
      </c>
      <c r="B765" s="1" t="s">
        <v>135</v>
      </c>
      <c r="C765">
        <v>2019</v>
      </c>
      <c r="D765">
        <v>25.39</v>
      </c>
    </row>
    <row r="766" spans="1:4" x14ac:dyDescent="0.35">
      <c r="A766" s="1" t="s">
        <v>95</v>
      </c>
      <c r="B766" s="1" t="s">
        <v>135</v>
      </c>
      <c r="C766">
        <v>2020</v>
      </c>
      <c r="D766">
        <v>22.66</v>
      </c>
    </row>
    <row r="767" spans="1:4" x14ac:dyDescent="0.35">
      <c r="A767" s="1" t="s">
        <v>95</v>
      </c>
      <c r="B767" s="1" t="s">
        <v>135</v>
      </c>
      <c r="C767">
        <v>2021</v>
      </c>
      <c r="D767">
        <v>25.46</v>
      </c>
    </row>
    <row r="768" spans="1:4" x14ac:dyDescent="0.35">
      <c r="A768" s="1" t="s">
        <v>95</v>
      </c>
      <c r="B768" s="1" t="s">
        <v>135</v>
      </c>
      <c r="C768">
        <v>2022</v>
      </c>
      <c r="D768">
        <v>27.28</v>
      </c>
    </row>
    <row r="769" spans="1:4" x14ac:dyDescent="0.35">
      <c r="A769" s="1" t="s">
        <v>95</v>
      </c>
      <c r="B769" s="1" t="s">
        <v>135</v>
      </c>
      <c r="C769">
        <v>2023</v>
      </c>
      <c r="D769">
        <v>26.09</v>
      </c>
    </row>
    <row r="770" spans="1:4" x14ac:dyDescent="0.35">
      <c r="A770" s="1" t="s">
        <v>97</v>
      </c>
      <c r="B770" s="1" t="s">
        <v>135</v>
      </c>
      <c r="C770">
        <v>2000</v>
      </c>
      <c r="D770">
        <v>100</v>
      </c>
    </row>
    <row r="771" spans="1:4" x14ac:dyDescent="0.35">
      <c r="A771" s="1" t="s">
        <v>97</v>
      </c>
      <c r="B771" s="1" t="s">
        <v>135</v>
      </c>
      <c r="C771">
        <v>2001</v>
      </c>
      <c r="D771">
        <v>100</v>
      </c>
    </row>
    <row r="772" spans="1:4" x14ac:dyDescent="0.35">
      <c r="A772" s="1" t="s">
        <v>97</v>
      </c>
      <c r="B772" s="1" t="s">
        <v>135</v>
      </c>
      <c r="C772">
        <v>2002</v>
      </c>
      <c r="D772">
        <v>100</v>
      </c>
    </row>
    <row r="773" spans="1:4" x14ac:dyDescent="0.35">
      <c r="A773" s="1" t="s">
        <v>97</v>
      </c>
      <c r="B773" s="1" t="s">
        <v>135</v>
      </c>
      <c r="C773">
        <v>2003</v>
      </c>
      <c r="D773">
        <v>100</v>
      </c>
    </row>
    <row r="774" spans="1:4" x14ac:dyDescent="0.35">
      <c r="A774" s="1" t="s">
        <v>97</v>
      </c>
      <c r="B774" s="1" t="s">
        <v>135</v>
      </c>
      <c r="C774">
        <v>2004</v>
      </c>
      <c r="D774">
        <v>100</v>
      </c>
    </row>
    <row r="775" spans="1:4" x14ac:dyDescent="0.35">
      <c r="A775" s="1" t="s">
        <v>97</v>
      </c>
      <c r="B775" s="1" t="s">
        <v>135</v>
      </c>
      <c r="C775">
        <v>2005</v>
      </c>
      <c r="D775">
        <v>43.53</v>
      </c>
    </row>
    <row r="776" spans="1:4" x14ac:dyDescent="0.35">
      <c r="A776" s="1" t="s">
        <v>97</v>
      </c>
      <c r="B776" s="1" t="s">
        <v>135</v>
      </c>
      <c r="C776">
        <v>2006</v>
      </c>
      <c r="D776">
        <v>71.89</v>
      </c>
    </row>
    <row r="777" spans="1:4" x14ac:dyDescent="0.35">
      <c r="A777" s="1" t="s">
        <v>97</v>
      </c>
      <c r="B777" s="1" t="s">
        <v>135</v>
      </c>
      <c r="C777">
        <v>2007</v>
      </c>
      <c r="D777">
        <v>50.27</v>
      </c>
    </row>
    <row r="778" spans="1:4" x14ac:dyDescent="0.35">
      <c r="A778" s="1" t="s">
        <v>97</v>
      </c>
      <c r="B778" s="1" t="s">
        <v>135</v>
      </c>
      <c r="C778">
        <v>2008</v>
      </c>
      <c r="D778">
        <v>56.44</v>
      </c>
    </row>
    <row r="779" spans="1:4" x14ac:dyDescent="0.35">
      <c r="A779" s="1" t="s">
        <v>97</v>
      </c>
      <c r="B779" s="1" t="s">
        <v>135</v>
      </c>
      <c r="C779">
        <v>2009</v>
      </c>
      <c r="D779">
        <v>52.25</v>
      </c>
    </row>
    <row r="780" spans="1:4" x14ac:dyDescent="0.35">
      <c r="A780" s="1" t="s">
        <v>97</v>
      </c>
      <c r="B780" s="1" t="s">
        <v>135</v>
      </c>
      <c r="C780">
        <v>2010</v>
      </c>
      <c r="D780">
        <v>53.44</v>
      </c>
    </row>
    <row r="781" spans="1:4" x14ac:dyDescent="0.35">
      <c r="A781" s="1" t="s">
        <v>97</v>
      </c>
      <c r="B781" s="1" t="s">
        <v>135</v>
      </c>
      <c r="C781">
        <v>2011</v>
      </c>
      <c r="D781">
        <v>53.5</v>
      </c>
    </row>
    <row r="782" spans="1:4" x14ac:dyDescent="0.35">
      <c r="A782" s="1" t="s">
        <v>97</v>
      </c>
      <c r="B782" s="1" t="s">
        <v>135</v>
      </c>
      <c r="C782">
        <v>2012</v>
      </c>
      <c r="D782">
        <v>56.4</v>
      </c>
    </row>
    <row r="783" spans="1:4" x14ac:dyDescent="0.35">
      <c r="A783" s="1" t="s">
        <v>97</v>
      </c>
      <c r="B783" s="1" t="s">
        <v>135</v>
      </c>
      <c r="C783">
        <v>2013</v>
      </c>
      <c r="D783">
        <v>48.27</v>
      </c>
    </row>
    <row r="784" spans="1:4" x14ac:dyDescent="0.35">
      <c r="A784" s="1" t="s">
        <v>97</v>
      </c>
      <c r="B784" s="1" t="s">
        <v>135</v>
      </c>
      <c r="C784">
        <v>2014</v>
      </c>
      <c r="D784">
        <v>53.22</v>
      </c>
    </row>
    <row r="785" spans="1:4" x14ac:dyDescent="0.35">
      <c r="A785" s="1" t="s">
        <v>97</v>
      </c>
      <c r="B785" s="1" t="s">
        <v>135</v>
      </c>
      <c r="C785">
        <v>2015</v>
      </c>
      <c r="D785">
        <v>60.5</v>
      </c>
    </row>
    <row r="786" spans="1:4" x14ac:dyDescent="0.35">
      <c r="A786" s="1" t="s">
        <v>97</v>
      </c>
      <c r="B786" s="1" t="s">
        <v>135</v>
      </c>
      <c r="C786">
        <v>2016</v>
      </c>
      <c r="D786">
        <v>48.76</v>
      </c>
    </row>
    <row r="787" spans="1:4" x14ac:dyDescent="0.35">
      <c r="A787" s="1" t="s">
        <v>97</v>
      </c>
      <c r="B787" s="1" t="s">
        <v>135</v>
      </c>
      <c r="C787">
        <v>2017</v>
      </c>
      <c r="D787">
        <v>47.72</v>
      </c>
    </row>
    <row r="788" spans="1:4" x14ac:dyDescent="0.35">
      <c r="A788" s="1" t="s">
        <v>97</v>
      </c>
      <c r="B788" s="1" t="s">
        <v>135</v>
      </c>
      <c r="C788">
        <v>2018</v>
      </c>
      <c r="D788">
        <v>47.75</v>
      </c>
    </row>
    <row r="789" spans="1:4" x14ac:dyDescent="0.35">
      <c r="A789" s="1" t="s">
        <v>97</v>
      </c>
      <c r="B789" s="1" t="s">
        <v>135</v>
      </c>
      <c r="C789">
        <v>2019</v>
      </c>
      <c r="D789">
        <v>51.64</v>
      </c>
    </row>
    <row r="790" spans="1:4" x14ac:dyDescent="0.35">
      <c r="A790" s="1" t="s">
        <v>97</v>
      </c>
      <c r="B790" s="1" t="s">
        <v>135</v>
      </c>
      <c r="C790">
        <v>2020</v>
      </c>
      <c r="D790">
        <v>60.43</v>
      </c>
    </row>
    <row r="791" spans="1:4" x14ac:dyDescent="0.35">
      <c r="A791" s="1" t="s">
        <v>97</v>
      </c>
      <c r="B791" s="1" t="s">
        <v>135</v>
      </c>
      <c r="C791">
        <v>2021</v>
      </c>
      <c r="D791">
        <v>58.16</v>
      </c>
    </row>
    <row r="792" spans="1:4" x14ac:dyDescent="0.35">
      <c r="A792" s="1" t="s">
        <v>97</v>
      </c>
      <c r="B792" s="1" t="s">
        <v>135</v>
      </c>
      <c r="C792">
        <v>2022</v>
      </c>
      <c r="D792">
        <v>52.76</v>
      </c>
    </row>
    <row r="793" spans="1:4" x14ac:dyDescent="0.35">
      <c r="A793" s="1" t="s">
        <v>97</v>
      </c>
      <c r="B793" s="1" t="s">
        <v>135</v>
      </c>
      <c r="C793">
        <v>2023</v>
      </c>
      <c r="D793">
        <v>52.77</v>
      </c>
    </row>
    <row r="794" spans="1:4" x14ac:dyDescent="0.35">
      <c r="A794" s="1" t="s">
        <v>107</v>
      </c>
      <c r="B794" s="1" t="s">
        <v>135</v>
      </c>
      <c r="C794">
        <v>2000</v>
      </c>
      <c r="D794">
        <v>20.62</v>
      </c>
    </row>
    <row r="795" spans="1:4" x14ac:dyDescent="0.35">
      <c r="A795" s="1" t="s">
        <v>107</v>
      </c>
      <c r="B795" s="1" t="s">
        <v>135</v>
      </c>
      <c r="C795">
        <v>2001</v>
      </c>
      <c r="D795">
        <v>15.45</v>
      </c>
    </row>
    <row r="796" spans="1:4" x14ac:dyDescent="0.35">
      <c r="A796" s="1" t="s">
        <v>107</v>
      </c>
      <c r="B796" s="1" t="s">
        <v>135</v>
      </c>
      <c r="C796">
        <v>2002</v>
      </c>
      <c r="D796">
        <v>16.14</v>
      </c>
    </row>
    <row r="797" spans="1:4" x14ac:dyDescent="0.35">
      <c r="A797" s="1" t="s">
        <v>107</v>
      </c>
      <c r="B797" s="1" t="s">
        <v>135</v>
      </c>
      <c r="C797">
        <v>2003</v>
      </c>
      <c r="D797">
        <v>77.23</v>
      </c>
    </row>
    <row r="798" spans="1:4" x14ac:dyDescent="0.35">
      <c r="A798" s="1" t="s">
        <v>107</v>
      </c>
      <c r="B798" s="1" t="s">
        <v>135</v>
      </c>
      <c r="C798">
        <v>2004</v>
      </c>
      <c r="D798">
        <v>83.44</v>
      </c>
    </row>
    <row r="799" spans="1:4" x14ac:dyDescent="0.35">
      <c r="A799" s="1" t="s">
        <v>107</v>
      </c>
      <c r="B799" s="1" t="s">
        <v>135</v>
      </c>
      <c r="C799">
        <v>2005</v>
      </c>
      <c r="D799">
        <v>89.75</v>
      </c>
    </row>
    <row r="800" spans="1:4" x14ac:dyDescent="0.35">
      <c r="A800" s="1" t="s">
        <v>107</v>
      </c>
      <c r="B800" s="1" t="s">
        <v>135</v>
      </c>
      <c r="C800">
        <v>2006</v>
      </c>
      <c r="D800">
        <v>91.2</v>
      </c>
    </row>
    <row r="801" spans="1:4" x14ac:dyDescent="0.35">
      <c r="A801" s="1" t="s">
        <v>107</v>
      </c>
      <c r="B801" s="1" t="s">
        <v>135</v>
      </c>
      <c r="C801">
        <v>2007</v>
      </c>
      <c r="D801">
        <v>84.44</v>
      </c>
    </row>
    <row r="802" spans="1:4" x14ac:dyDescent="0.35">
      <c r="A802" s="1" t="s">
        <v>107</v>
      </c>
      <c r="B802" s="1" t="s">
        <v>135</v>
      </c>
      <c r="C802">
        <v>2008</v>
      </c>
      <c r="D802">
        <v>84.88</v>
      </c>
    </row>
    <row r="803" spans="1:4" x14ac:dyDescent="0.35">
      <c r="A803" s="1" t="s">
        <v>107</v>
      </c>
      <c r="B803" s="1" t="s">
        <v>135</v>
      </c>
      <c r="C803">
        <v>2009</v>
      </c>
      <c r="D803">
        <v>85.16</v>
      </c>
    </row>
    <row r="804" spans="1:4" x14ac:dyDescent="0.35">
      <c r="A804" s="1" t="s">
        <v>107</v>
      </c>
      <c r="B804" s="1" t="s">
        <v>135</v>
      </c>
      <c r="C804">
        <v>2010</v>
      </c>
      <c r="D804">
        <v>91.63</v>
      </c>
    </row>
    <row r="805" spans="1:4" x14ac:dyDescent="0.35">
      <c r="A805" s="1" t="s">
        <v>107</v>
      </c>
      <c r="B805" s="1" t="s">
        <v>135</v>
      </c>
      <c r="C805">
        <v>2011</v>
      </c>
      <c r="D805">
        <v>91.07</v>
      </c>
    </row>
    <row r="806" spans="1:4" x14ac:dyDescent="0.35">
      <c r="A806" s="1" t="s">
        <v>107</v>
      </c>
      <c r="B806" s="1" t="s">
        <v>135</v>
      </c>
      <c r="C806">
        <v>2012</v>
      </c>
      <c r="D806">
        <v>91.69</v>
      </c>
    </row>
    <row r="807" spans="1:4" x14ac:dyDescent="0.35">
      <c r="A807" s="1" t="s">
        <v>107</v>
      </c>
      <c r="B807" s="1" t="s">
        <v>135</v>
      </c>
      <c r="C807">
        <v>2013</v>
      </c>
      <c r="D807">
        <v>91.68</v>
      </c>
    </row>
    <row r="808" spans="1:4" x14ac:dyDescent="0.35">
      <c r="A808" s="1" t="s">
        <v>107</v>
      </c>
      <c r="B808" s="1" t="s">
        <v>135</v>
      </c>
      <c r="C808">
        <v>2014</v>
      </c>
      <c r="D808">
        <v>9.41</v>
      </c>
    </row>
    <row r="809" spans="1:4" x14ac:dyDescent="0.35">
      <c r="A809" s="1" t="s">
        <v>107</v>
      </c>
      <c r="B809" s="1" t="s">
        <v>135</v>
      </c>
      <c r="C809">
        <v>2015</v>
      </c>
      <c r="D809">
        <v>6.53</v>
      </c>
    </row>
    <row r="810" spans="1:4" x14ac:dyDescent="0.35">
      <c r="A810" s="1" t="s">
        <v>107</v>
      </c>
      <c r="B810" s="1" t="s">
        <v>135</v>
      </c>
      <c r="C810">
        <v>2016</v>
      </c>
      <c r="D810">
        <v>5.61</v>
      </c>
    </row>
    <row r="811" spans="1:4" x14ac:dyDescent="0.35">
      <c r="A811" s="1" t="s">
        <v>107</v>
      </c>
      <c r="B811" s="1" t="s">
        <v>135</v>
      </c>
      <c r="C811">
        <v>2017</v>
      </c>
      <c r="D811">
        <v>4.93</v>
      </c>
    </row>
    <row r="812" spans="1:4" x14ac:dyDescent="0.35">
      <c r="A812" s="1" t="s">
        <v>107</v>
      </c>
      <c r="B812" s="1" t="s">
        <v>135</v>
      </c>
      <c r="C812">
        <v>2018</v>
      </c>
      <c r="D812">
        <v>5.56</v>
      </c>
    </row>
    <row r="813" spans="1:4" x14ac:dyDescent="0.35">
      <c r="A813" s="1" t="s">
        <v>107</v>
      </c>
      <c r="B813" s="1" t="s">
        <v>135</v>
      </c>
      <c r="C813">
        <v>2019</v>
      </c>
      <c r="D813">
        <v>5.71</v>
      </c>
    </row>
    <row r="814" spans="1:4" x14ac:dyDescent="0.35">
      <c r="A814" s="1" t="s">
        <v>107</v>
      </c>
      <c r="B814" s="1" t="s">
        <v>135</v>
      </c>
      <c r="C814">
        <v>2020</v>
      </c>
      <c r="D814">
        <v>5.84</v>
      </c>
    </row>
    <row r="815" spans="1:4" x14ac:dyDescent="0.35">
      <c r="A815" s="1" t="s">
        <v>107</v>
      </c>
      <c r="B815" s="1" t="s">
        <v>135</v>
      </c>
      <c r="C815">
        <v>2021</v>
      </c>
      <c r="D815">
        <v>6.06</v>
      </c>
    </row>
    <row r="816" spans="1:4" x14ac:dyDescent="0.35">
      <c r="A816" s="1" t="s">
        <v>107</v>
      </c>
      <c r="B816" s="1" t="s">
        <v>135</v>
      </c>
      <c r="C816">
        <v>2022</v>
      </c>
      <c r="D816">
        <v>5.88</v>
      </c>
    </row>
    <row r="817" spans="1:4" x14ac:dyDescent="0.35">
      <c r="A817" s="1" t="s">
        <v>107</v>
      </c>
      <c r="B817" s="1" t="s">
        <v>135</v>
      </c>
      <c r="C817">
        <v>2023</v>
      </c>
      <c r="D817">
        <v>5.88</v>
      </c>
    </row>
    <row r="818" spans="1:4" x14ac:dyDescent="0.35">
      <c r="A818" s="1" t="s">
        <v>101</v>
      </c>
      <c r="B818" s="1" t="s">
        <v>135</v>
      </c>
      <c r="C818">
        <v>2000</v>
      </c>
      <c r="D818">
        <v>1.05</v>
      </c>
    </row>
    <row r="819" spans="1:4" x14ac:dyDescent="0.35">
      <c r="A819" s="1" t="s">
        <v>101</v>
      </c>
      <c r="B819" s="1" t="s">
        <v>135</v>
      </c>
      <c r="C819">
        <v>2001</v>
      </c>
      <c r="D819">
        <v>1</v>
      </c>
    </row>
    <row r="820" spans="1:4" x14ac:dyDescent="0.35">
      <c r="A820" s="1" t="s">
        <v>101</v>
      </c>
      <c r="B820" s="1" t="s">
        <v>135</v>
      </c>
      <c r="C820">
        <v>2002</v>
      </c>
      <c r="D820">
        <v>1.1299999999999999</v>
      </c>
    </row>
    <row r="821" spans="1:4" x14ac:dyDescent="0.35">
      <c r="A821" s="1" t="s">
        <v>101</v>
      </c>
      <c r="B821" s="1" t="s">
        <v>135</v>
      </c>
      <c r="C821">
        <v>2003</v>
      </c>
      <c r="D821">
        <v>1.18</v>
      </c>
    </row>
    <row r="822" spans="1:4" x14ac:dyDescent="0.35">
      <c r="A822" s="1" t="s">
        <v>101</v>
      </c>
      <c r="B822" s="1" t="s">
        <v>135</v>
      </c>
      <c r="C822">
        <v>2004</v>
      </c>
      <c r="D822">
        <v>1.02</v>
      </c>
    </row>
    <row r="823" spans="1:4" x14ac:dyDescent="0.35">
      <c r="A823" s="1" t="s">
        <v>101</v>
      </c>
      <c r="B823" s="1" t="s">
        <v>135</v>
      </c>
      <c r="C823">
        <v>2005</v>
      </c>
      <c r="D823">
        <v>0.83</v>
      </c>
    </row>
    <row r="824" spans="1:4" x14ac:dyDescent="0.35">
      <c r="A824" s="1" t="s">
        <v>101</v>
      </c>
      <c r="B824" s="1" t="s">
        <v>135</v>
      </c>
      <c r="C824">
        <v>2006</v>
      </c>
      <c r="D824">
        <v>0.76</v>
      </c>
    </row>
    <row r="825" spans="1:4" x14ac:dyDescent="0.35">
      <c r="A825" s="1" t="s">
        <v>101</v>
      </c>
      <c r="B825" s="1" t="s">
        <v>135</v>
      </c>
      <c r="C825">
        <v>2007</v>
      </c>
      <c r="D825">
        <v>0.71</v>
      </c>
    </row>
    <row r="826" spans="1:4" x14ac:dyDescent="0.35">
      <c r="A826" s="1" t="s">
        <v>101</v>
      </c>
      <c r="B826" s="1" t="s">
        <v>135</v>
      </c>
      <c r="C826">
        <v>2008</v>
      </c>
      <c r="D826">
        <v>0.62</v>
      </c>
    </row>
    <row r="827" spans="1:4" x14ac:dyDescent="0.35">
      <c r="A827" s="1" t="s">
        <v>101</v>
      </c>
      <c r="B827" s="1" t="s">
        <v>135</v>
      </c>
      <c r="C827">
        <v>2009</v>
      </c>
      <c r="D827">
        <v>0.6</v>
      </c>
    </row>
    <row r="828" spans="1:4" x14ac:dyDescent="0.35">
      <c r="A828" s="1" t="s">
        <v>101</v>
      </c>
      <c r="B828" s="1" t="s">
        <v>135</v>
      </c>
      <c r="C828">
        <v>2010</v>
      </c>
      <c r="D828">
        <v>1.63</v>
      </c>
    </row>
    <row r="829" spans="1:4" x14ac:dyDescent="0.35">
      <c r="A829" s="1" t="s">
        <v>101</v>
      </c>
      <c r="B829" s="1" t="s">
        <v>135</v>
      </c>
      <c r="C829">
        <v>2011</v>
      </c>
      <c r="D829">
        <v>1.73</v>
      </c>
    </row>
    <row r="830" spans="1:4" x14ac:dyDescent="0.35">
      <c r="A830" s="1" t="s">
        <v>101</v>
      </c>
      <c r="B830" s="1" t="s">
        <v>135</v>
      </c>
      <c r="C830">
        <v>2012</v>
      </c>
      <c r="D830">
        <v>1.55</v>
      </c>
    </row>
    <row r="831" spans="1:4" x14ac:dyDescent="0.35">
      <c r="A831" s="1" t="s">
        <v>101</v>
      </c>
      <c r="B831" s="1" t="s">
        <v>135</v>
      </c>
      <c r="C831">
        <v>2013</v>
      </c>
      <c r="D831">
        <v>1.49</v>
      </c>
    </row>
    <row r="832" spans="1:4" x14ac:dyDescent="0.35">
      <c r="A832" s="1" t="s">
        <v>101</v>
      </c>
      <c r="B832" s="1" t="s">
        <v>135</v>
      </c>
      <c r="C832">
        <v>2014</v>
      </c>
      <c r="D832">
        <v>1.62</v>
      </c>
    </row>
    <row r="833" spans="1:4" x14ac:dyDescent="0.35">
      <c r="A833" s="1" t="s">
        <v>101</v>
      </c>
      <c r="B833" s="1" t="s">
        <v>135</v>
      </c>
      <c r="C833">
        <v>2015</v>
      </c>
      <c r="D833">
        <v>1.96</v>
      </c>
    </row>
    <row r="834" spans="1:4" x14ac:dyDescent="0.35">
      <c r="A834" s="1" t="s">
        <v>101</v>
      </c>
      <c r="B834" s="1" t="s">
        <v>135</v>
      </c>
      <c r="C834">
        <v>2016</v>
      </c>
      <c r="D834">
        <v>2</v>
      </c>
    </row>
    <row r="835" spans="1:4" x14ac:dyDescent="0.35">
      <c r="A835" s="1" t="s">
        <v>101</v>
      </c>
      <c r="B835" s="1" t="s">
        <v>135</v>
      </c>
      <c r="C835">
        <v>2017</v>
      </c>
      <c r="D835">
        <v>4.46</v>
      </c>
    </row>
    <row r="836" spans="1:4" x14ac:dyDescent="0.35">
      <c r="A836" s="1" t="s">
        <v>101</v>
      </c>
      <c r="B836" s="1" t="s">
        <v>135</v>
      </c>
      <c r="C836">
        <v>2018</v>
      </c>
      <c r="D836">
        <v>8.0299999999999994</v>
      </c>
    </row>
    <row r="837" spans="1:4" x14ac:dyDescent="0.35">
      <c r="A837" s="1" t="s">
        <v>101</v>
      </c>
      <c r="B837" s="1" t="s">
        <v>135</v>
      </c>
      <c r="C837">
        <v>2019</v>
      </c>
      <c r="D837">
        <v>8.81</v>
      </c>
    </row>
    <row r="838" spans="1:4" x14ac:dyDescent="0.35">
      <c r="A838" s="1" t="s">
        <v>101</v>
      </c>
      <c r="B838" s="1" t="s">
        <v>135</v>
      </c>
      <c r="C838">
        <v>2020</v>
      </c>
      <c r="D838">
        <v>12.41</v>
      </c>
    </row>
    <row r="839" spans="1:4" x14ac:dyDescent="0.35">
      <c r="A839" s="1" t="s">
        <v>101</v>
      </c>
      <c r="B839" s="1" t="s">
        <v>135</v>
      </c>
      <c r="C839">
        <v>2021</v>
      </c>
      <c r="D839">
        <v>20.63</v>
      </c>
    </row>
    <row r="840" spans="1:4" x14ac:dyDescent="0.35">
      <c r="A840" s="1" t="s">
        <v>101</v>
      </c>
      <c r="B840" s="1" t="s">
        <v>135</v>
      </c>
      <c r="C840">
        <v>2022</v>
      </c>
      <c r="D840">
        <v>16.38</v>
      </c>
    </row>
    <row r="841" spans="1:4" x14ac:dyDescent="0.35">
      <c r="A841" s="1" t="s">
        <v>101</v>
      </c>
      <c r="B841" s="1" t="s">
        <v>135</v>
      </c>
      <c r="C841">
        <v>2023</v>
      </c>
      <c r="D841">
        <v>14.72</v>
      </c>
    </row>
    <row r="842" spans="1:4" x14ac:dyDescent="0.35">
      <c r="A842" s="1" t="s">
        <v>111</v>
      </c>
      <c r="B842" s="1" t="s">
        <v>135</v>
      </c>
      <c r="C842">
        <v>2000</v>
      </c>
      <c r="D842" t="s">
        <v>136</v>
      </c>
    </row>
    <row r="843" spans="1:4" x14ac:dyDescent="0.35">
      <c r="A843" s="1" t="s">
        <v>111</v>
      </c>
      <c r="B843" s="1" t="s">
        <v>135</v>
      </c>
      <c r="C843">
        <v>2001</v>
      </c>
      <c r="D843" t="s">
        <v>136</v>
      </c>
    </row>
    <row r="844" spans="1:4" x14ac:dyDescent="0.35">
      <c r="A844" s="1" t="s">
        <v>111</v>
      </c>
      <c r="B844" s="1" t="s">
        <v>135</v>
      </c>
      <c r="C844">
        <v>2002</v>
      </c>
      <c r="D844" t="s">
        <v>136</v>
      </c>
    </row>
    <row r="845" spans="1:4" x14ac:dyDescent="0.35">
      <c r="A845" s="1" t="s">
        <v>111</v>
      </c>
      <c r="B845" s="1" t="s">
        <v>135</v>
      </c>
      <c r="C845">
        <v>2003</v>
      </c>
      <c r="D845" t="s">
        <v>136</v>
      </c>
    </row>
    <row r="846" spans="1:4" x14ac:dyDescent="0.35">
      <c r="A846" s="1" t="s">
        <v>111</v>
      </c>
      <c r="B846" s="1" t="s">
        <v>135</v>
      </c>
      <c r="C846">
        <v>2004</v>
      </c>
      <c r="D846" t="s">
        <v>136</v>
      </c>
    </row>
    <row r="847" spans="1:4" x14ac:dyDescent="0.35">
      <c r="A847" s="1" t="s">
        <v>111</v>
      </c>
      <c r="B847" s="1" t="s">
        <v>135</v>
      </c>
      <c r="C847">
        <v>2005</v>
      </c>
      <c r="D847" t="s">
        <v>136</v>
      </c>
    </row>
    <row r="848" spans="1:4" x14ac:dyDescent="0.35">
      <c r="A848" s="1" t="s">
        <v>111</v>
      </c>
      <c r="B848" s="1" t="s">
        <v>135</v>
      </c>
      <c r="C848">
        <v>2006</v>
      </c>
      <c r="D848" t="s">
        <v>136</v>
      </c>
    </row>
    <row r="849" spans="1:4" x14ac:dyDescent="0.35">
      <c r="A849" s="1" t="s">
        <v>111</v>
      </c>
      <c r="B849" s="1" t="s">
        <v>135</v>
      </c>
      <c r="C849">
        <v>2007</v>
      </c>
      <c r="D849" t="s">
        <v>136</v>
      </c>
    </row>
    <row r="850" spans="1:4" x14ac:dyDescent="0.35">
      <c r="A850" s="1" t="s">
        <v>111</v>
      </c>
      <c r="B850" s="1" t="s">
        <v>135</v>
      </c>
      <c r="C850">
        <v>2008</v>
      </c>
      <c r="D850" t="s">
        <v>136</v>
      </c>
    </row>
    <row r="851" spans="1:4" x14ac:dyDescent="0.35">
      <c r="A851" s="1" t="s">
        <v>111</v>
      </c>
      <c r="B851" s="1" t="s">
        <v>135</v>
      </c>
      <c r="C851">
        <v>2009</v>
      </c>
      <c r="D851" t="s">
        <v>136</v>
      </c>
    </row>
    <row r="852" spans="1:4" x14ac:dyDescent="0.35">
      <c r="A852" s="1" t="s">
        <v>111</v>
      </c>
      <c r="B852" s="1" t="s">
        <v>135</v>
      </c>
      <c r="C852">
        <v>2010</v>
      </c>
      <c r="D852" t="s">
        <v>136</v>
      </c>
    </row>
    <row r="853" spans="1:4" x14ac:dyDescent="0.35">
      <c r="A853" s="1" t="s">
        <v>111</v>
      </c>
      <c r="B853" s="1" t="s">
        <v>135</v>
      </c>
      <c r="C853">
        <v>2011</v>
      </c>
      <c r="D853" t="s">
        <v>136</v>
      </c>
    </row>
    <row r="854" spans="1:4" x14ac:dyDescent="0.35">
      <c r="A854" s="1" t="s">
        <v>111</v>
      </c>
      <c r="B854" s="1" t="s">
        <v>135</v>
      </c>
      <c r="C854">
        <v>2012</v>
      </c>
      <c r="D854" t="s">
        <v>136</v>
      </c>
    </row>
    <row r="855" spans="1:4" x14ac:dyDescent="0.35">
      <c r="A855" s="1" t="s">
        <v>111</v>
      </c>
      <c r="B855" s="1" t="s">
        <v>135</v>
      </c>
      <c r="C855">
        <v>2013</v>
      </c>
      <c r="D855">
        <v>2.02</v>
      </c>
    </row>
    <row r="856" spans="1:4" x14ac:dyDescent="0.35">
      <c r="A856" s="1" t="s">
        <v>111</v>
      </c>
      <c r="B856" s="1" t="s">
        <v>135</v>
      </c>
      <c r="C856">
        <v>2014</v>
      </c>
      <c r="D856">
        <v>2.25</v>
      </c>
    </row>
    <row r="857" spans="1:4" x14ac:dyDescent="0.35">
      <c r="A857" s="1" t="s">
        <v>111</v>
      </c>
      <c r="B857" s="1" t="s">
        <v>135</v>
      </c>
      <c r="C857">
        <v>2015</v>
      </c>
      <c r="D857">
        <v>2.23</v>
      </c>
    </row>
    <row r="858" spans="1:4" x14ac:dyDescent="0.35">
      <c r="A858" s="1" t="s">
        <v>111</v>
      </c>
      <c r="B858" s="1" t="s">
        <v>135</v>
      </c>
      <c r="C858">
        <v>2016</v>
      </c>
      <c r="D858">
        <v>2.5299999999999998</v>
      </c>
    </row>
    <row r="859" spans="1:4" x14ac:dyDescent="0.35">
      <c r="A859" s="1" t="s">
        <v>111</v>
      </c>
      <c r="B859" s="1" t="s">
        <v>135</v>
      </c>
      <c r="C859">
        <v>2017</v>
      </c>
      <c r="D859">
        <v>2.66</v>
      </c>
    </row>
    <row r="860" spans="1:4" x14ac:dyDescent="0.35">
      <c r="A860" s="1" t="s">
        <v>111</v>
      </c>
      <c r="B860" s="1" t="s">
        <v>135</v>
      </c>
      <c r="C860">
        <v>2018</v>
      </c>
      <c r="D860">
        <v>3.07</v>
      </c>
    </row>
    <row r="861" spans="1:4" x14ac:dyDescent="0.35">
      <c r="A861" s="1" t="s">
        <v>111</v>
      </c>
      <c r="B861" s="1" t="s">
        <v>135</v>
      </c>
      <c r="C861">
        <v>2019</v>
      </c>
      <c r="D861">
        <v>2.62</v>
      </c>
    </row>
    <row r="862" spans="1:4" x14ac:dyDescent="0.35">
      <c r="A862" s="1" t="s">
        <v>111</v>
      </c>
      <c r="B862" s="1" t="s">
        <v>135</v>
      </c>
      <c r="C862">
        <v>2020</v>
      </c>
      <c r="D862">
        <v>3.27</v>
      </c>
    </row>
    <row r="863" spans="1:4" x14ac:dyDescent="0.35">
      <c r="A863" s="1" t="s">
        <v>111</v>
      </c>
      <c r="B863" s="1" t="s">
        <v>135</v>
      </c>
      <c r="C863">
        <v>2021</v>
      </c>
      <c r="D863">
        <v>5.66</v>
      </c>
    </row>
    <row r="864" spans="1:4" x14ac:dyDescent="0.35">
      <c r="A864" s="1" t="s">
        <v>111</v>
      </c>
      <c r="B864" s="1" t="s">
        <v>135</v>
      </c>
      <c r="C864">
        <v>2022</v>
      </c>
      <c r="D864">
        <v>5.91</v>
      </c>
    </row>
    <row r="865" spans="1:4" x14ac:dyDescent="0.35">
      <c r="A865" s="1" t="s">
        <v>111</v>
      </c>
      <c r="B865" s="1" t="s">
        <v>135</v>
      </c>
      <c r="C865">
        <v>2023</v>
      </c>
      <c r="D865">
        <v>5.7</v>
      </c>
    </row>
    <row r="866" spans="1:4" x14ac:dyDescent="0.35">
      <c r="A866" s="1" t="s">
        <v>103</v>
      </c>
      <c r="B866" s="1" t="s">
        <v>135</v>
      </c>
      <c r="C866">
        <v>2000</v>
      </c>
      <c r="D866">
        <v>34.78</v>
      </c>
    </row>
    <row r="867" spans="1:4" x14ac:dyDescent="0.35">
      <c r="A867" s="1" t="s">
        <v>103</v>
      </c>
      <c r="B867" s="1" t="s">
        <v>135</v>
      </c>
      <c r="C867">
        <v>2001</v>
      </c>
      <c r="D867">
        <v>33.33</v>
      </c>
    </row>
    <row r="868" spans="1:4" x14ac:dyDescent="0.35">
      <c r="A868" s="1" t="s">
        <v>103</v>
      </c>
      <c r="B868" s="1" t="s">
        <v>135</v>
      </c>
      <c r="C868">
        <v>2002</v>
      </c>
      <c r="D868">
        <v>16.670000000000002</v>
      </c>
    </row>
    <row r="869" spans="1:4" x14ac:dyDescent="0.35">
      <c r="A869" s="1" t="s">
        <v>103</v>
      </c>
      <c r="B869" s="1" t="s">
        <v>135</v>
      </c>
      <c r="C869">
        <v>2003</v>
      </c>
      <c r="D869">
        <v>16.670000000000002</v>
      </c>
    </row>
    <row r="870" spans="1:4" x14ac:dyDescent="0.35">
      <c r="A870" s="1" t="s">
        <v>103</v>
      </c>
      <c r="B870" s="1" t="s">
        <v>135</v>
      </c>
      <c r="C870">
        <v>2004</v>
      </c>
      <c r="D870">
        <v>17.53</v>
      </c>
    </row>
    <row r="871" spans="1:4" x14ac:dyDescent="0.35">
      <c r="A871" s="1" t="s">
        <v>103</v>
      </c>
      <c r="B871" s="1" t="s">
        <v>135</v>
      </c>
      <c r="C871">
        <v>2005</v>
      </c>
      <c r="D871">
        <v>24.06</v>
      </c>
    </row>
    <row r="872" spans="1:4" x14ac:dyDescent="0.35">
      <c r="A872" s="1" t="s">
        <v>103</v>
      </c>
      <c r="B872" s="1" t="s">
        <v>135</v>
      </c>
      <c r="C872">
        <v>2006</v>
      </c>
      <c r="D872">
        <v>20.27</v>
      </c>
    </row>
    <row r="873" spans="1:4" x14ac:dyDescent="0.35">
      <c r="A873" s="1" t="s">
        <v>103</v>
      </c>
      <c r="B873" s="1" t="s">
        <v>135</v>
      </c>
      <c r="C873">
        <v>2007</v>
      </c>
      <c r="D873">
        <v>18.86</v>
      </c>
    </row>
    <row r="874" spans="1:4" x14ac:dyDescent="0.35">
      <c r="A874" s="1" t="s">
        <v>103</v>
      </c>
      <c r="B874" s="1" t="s">
        <v>135</v>
      </c>
      <c r="C874">
        <v>2008</v>
      </c>
      <c r="D874">
        <v>6.09</v>
      </c>
    </row>
    <row r="875" spans="1:4" x14ac:dyDescent="0.35">
      <c r="A875" s="1" t="s">
        <v>103</v>
      </c>
      <c r="B875" s="1" t="s">
        <v>135</v>
      </c>
      <c r="C875">
        <v>2009</v>
      </c>
      <c r="D875">
        <v>35.06</v>
      </c>
    </row>
    <row r="876" spans="1:4" x14ac:dyDescent="0.35">
      <c r="A876" s="1" t="s">
        <v>103</v>
      </c>
      <c r="B876" s="1" t="s">
        <v>135</v>
      </c>
      <c r="C876">
        <v>2010</v>
      </c>
      <c r="D876">
        <v>87.4</v>
      </c>
    </row>
    <row r="877" spans="1:4" x14ac:dyDescent="0.35">
      <c r="A877" s="1" t="s">
        <v>103</v>
      </c>
      <c r="B877" s="1" t="s">
        <v>135</v>
      </c>
      <c r="C877">
        <v>2011</v>
      </c>
      <c r="D877">
        <v>87.08</v>
      </c>
    </row>
    <row r="878" spans="1:4" x14ac:dyDescent="0.35">
      <c r="A878" s="1" t="s">
        <v>103</v>
      </c>
      <c r="B878" s="1" t="s">
        <v>135</v>
      </c>
      <c r="C878">
        <v>2012</v>
      </c>
      <c r="D878">
        <v>73.84</v>
      </c>
    </row>
    <row r="879" spans="1:4" x14ac:dyDescent="0.35">
      <c r="A879" s="1" t="s">
        <v>103</v>
      </c>
      <c r="B879" s="1" t="s">
        <v>135</v>
      </c>
      <c r="C879">
        <v>2013</v>
      </c>
      <c r="D879">
        <v>61.89</v>
      </c>
    </row>
    <row r="880" spans="1:4" x14ac:dyDescent="0.35">
      <c r="A880" s="1" t="s">
        <v>103</v>
      </c>
      <c r="B880" s="1" t="s">
        <v>135</v>
      </c>
      <c r="C880">
        <v>2014</v>
      </c>
      <c r="D880">
        <v>82.51</v>
      </c>
    </row>
    <row r="881" spans="1:4" x14ac:dyDescent="0.35">
      <c r="A881" s="1" t="s">
        <v>103</v>
      </c>
      <c r="B881" s="1" t="s">
        <v>135</v>
      </c>
      <c r="C881">
        <v>2015</v>
      </c>
      <c r="D881">
        <v>74.7</v>
      </c>
    </row>
    <row r="882" spans="1:4" x14ac:dyDescent="0.35">
      <c r="A882" s="1" t="s">
        <v>103</v>
      </c>
      <c r="B882" s="1" t="s">
        <v>135</v>
      </c>
      <c r="C882">
        <v>2016</v>
      </c>
      <c r="D882">
        <v>74.260000000000005</v>
      </c>
    </row>
    <row r="883" spans="1:4" x14ac:dyDescent="0.35">
      <c r="A883" s="1" t="s">
        <v>103</v>
      </c>
      <c r="B883" s="1" t="s">
        <v>135</v>
      </c>
      <c r="C883">
        <v>2017</v>
      </c>
      <c r="D883">
        <v>73.8</v>
      </c>
    </row>
    <row r="884" spans="1:4" x14ac:dyDescent="0.35">
      <c r="A884" s="1" t="s">
        <v>103</v>
      </c>
      <c r="B884" s="1" t="s">
        <v>135</v>
      </c>
      <c r="C884">
        <v>2018</v>
      </c>
      <c r="D884">
        <v>73.39</v>
      </c>
    </row>
    <row r="885" spans="1:4" x14ac:dyDescent="0.35">
      <c r="A885" s="1" t="s">
        <v>103</v>
      </c>
      <c r="B885" s="1" t="s">
        <v>135</v>
      </c>
      <c r="C885">
        <v>2019</v>
      </c>
      <c r="D885">
        <v>94.86</v>
      </c>
    </row>
    <row r="886" spans="1:4" x14ac:dyDescent="0.35">
      <c r="A886" s="1" t="s">
        <v>103</v>
      </c>
      <c r="B886" s="1" t="s">
        <v>135</v>
      </c>
      <c r="C886">
        <v>2020</v>
      </c>
      <c r="D886">
        <v>97.13</v>
      </c>
    </row>
    <row r="887" spans="1:4" x14ac:dyDescent="0.35">
      <c r="A887" s="1" t="s">
        <v>103</v>
      </c>
      <c r="B887" s="1" t="s">
        <v>135</v>
      </c>
      <c r="C887">
        <v>2021</v>
      </c>
      <c r="D887">
        <v>97.18</v>
      </c>
    </row>
    <row r="888" spans="1:4" x14ac:dyDescent="0.35">
      <c r="A888" s="1" t="s">
        <v>103</v>
      </c>
      <c r="B888" s="1" t="s">
        <v>135</v>
      </c>
      <c r="C888">
        <v>2022</v>
      </c>
      <c r="D888">
        <v>75.06</v>
      </c>
    </row>
    <row r="889" spans="1:4" x14ac:dyDescent="0.35">
      <c r="A889" s="1" t="s">
        <v>103</v>
      </c>
      <c r="B889" s="1" t="s">
        <v>135</v>
      </c>
      <c r="C889">
        <v>2023</v>
      </c>
      <c r="D889">
        <v>80.45</v>
      </c>
    </row>
    <row r="890" spans="1:4" x14ac:dyDescent="0.35">
      <c r="A890" s="1" t="s">
        <v>138</v>
      </c>
      <c r="B890" s="1" t="s">
        <v>135</v>
      </c>
      <c r="C890">
        <v>2000</v>
      </c>
      <c r="D890" t="s">
        <v>136</v>
      </c>
    </row>
    <row r="891" spans="1:4" x14ac:dyDescent="0.35">
      <c r="A891" s="1" t="s">
        <v>138</v>
      </c>
      <c r="B891" s="1" t="s">
        <v>135</v>
      </c>
      <c r="C891">
        <v>2001</v>
      </c>
      <c r="D891" t="s">
        <v>136</v>
      </c>
    </row>
    <row r="892" spans="1:4" x14ac:dyDescent="0.35">
      <c r="A892" s="1" t="s">
        <v>138</v>
      </c>
      <c r="B892" s="1" t="s">
        <v>135</v>
      </c>
      <c r="C892">
        <v>2002</v>
      </c>
      <c r="D892" t="s">
        <v>136</v>
      </c>
    </row>
    <row r="893" spans="1:4" x14ac:dyDescent="0.35">
      <c r="A893" s="1" t="s">
        <v>138</v>
      </c>
      <c r="B893" s="1" t="s">
        <v>135</v>
      </c>
      <c r="C893">
        <v>2003</v>
      </c>
      <c r="D893" t="s">
        <v>136</v>
      </c>
    </row>
    <row r="894" spans="1:4" x14ac:dyDescent="0.35">
      <c r="A894" s="1" t="s">
        <v>138</v>
      </c>
      <c r="B894" s="1" t="s">
        <v>135</v>
      </c>
      <c r="C894">
        <v>2004</v>
      </c>
      <c r="D894" t="s">
        <v>136</v>
      </c>
    </row>
    <row r="895" spans="1:4" x14ac:dyDescent="0.35">
      <c r="A895" s="1" t="s">
        <v>138</v>
      </c>
      <c r="B895" s="1" t="s">
        <v>135</v>
      </c>
      <c r="C895">
        <v>2005</v>
      </c>
      <c r="D895" t="s">
        <v>136</v>
      </c>
    </row>
    <row r="896" spans="1:4" x14ac:dyDescent="0.35">
      <c r="A896" s="1" t="s">
        <v>138</v>
      </c>
      <c r="B896" s="1" t="s">
        <v>135</v>
      </c>
      <c r="C896">
        <v>2006</v>
      </c>
      <c r="D896" t="s">
        <v>136</v>
      </c>
    </row>
    <row r="897" spans="1:4" x14ac:dyDescent="0.35">
      <c r="A897" s="1" t="s">
        <v>138</v>
      </c>
      <c r="B897" s="1" t="s">
        <v>135</v>
      </c>
      <c r="C897">
        <v>2007</v>
      </c>
      <c r="D897" t="s">
        <v>136</v>
      </c>
    </row>
    <row r="898" spans="1:4" x14ac:dyDescent="0.35">
      <c r="A898" s="1" t="s">
        <v>138</v>
      </c>
      <c r="B898" s="1" t="s">
        <v>135</v>
      </c>
      <c r="C898">
        <v>2008</v>
      </c>
      <c r="D898" t="s">
        <v>136</v>
      </c>
    </row>
    <row r="899" spans="1:4" x14ac:dyDescent="0.35">
      <c r="A899" s="1" t="s">
        <v>138</v>
      </c>
      <c r="B899" s="1" t="s">
        <v>135</v>
      </c>
      <c r="C899">
        <v>2009</v>
      </c>
      <c r="D899" t="s">
        <v>136</v>
      </c>
    </row>
    <row r="900" spans="1:4" x14ac:dyDescent="0.35">
      <c r="A900" s="1" t="s">
        <v>138</v>
      </c>
      <c r="B900" s="1" t="s">
        <v>135</v>
      </c>
      <c r="C900">
        <v>2010</v>
      </c>
      <c r="D900" t="s">
        <v>136</v>
      </c>
    </row>
    <row r="901" spans="1:4" x14ac:dyDescent="0.35">
      <c r="A901" s="1" t="s">
        <v>138</v>
      </c>
      <c r="B901" s="1" t="s">
        <v>135</v>
      </c>
      <c r="C901">
        <v>2011</v>
      </c>
      <c r="D901" t="s">
        <v>136</v>
      </c>
    </row>
    <row r="902" spans="1:4" x14ac:dyDescent="0.35">
      <c r="A902" s="1" t="s">
        <v>138</v>
      </c>
      <c r="B902" s="1" t="s">
        <v>135</v>
      </c>
      <c r="C902">
        <v>2012</v>
      </c>
      <c r="D902">
        <v>1.1599999999999999</v>
      </c>
    </row>
    <row r="903" spans="1:4" x14ac:dyDescent="0.35">
      <c r="A903" s="1" t="s">
        <v>138</v>
      </c>
      <c r="B903" s="1" t="s">
        <v>135</v>
      </c>
      <c r="C903">
        <v>2013</v>
      </c>
      <c r="D903">
        <v>1.1299999999999999</v>
      </c>
    </row>
    <row r="904" spans="1:4" x14ac:dyDescent="0.35">
      <c r="A904" s="1" t="s">
        <v>138</v>
      </c>
      <c r="B904" s="1" t="s">
        <v>135</v>
      </c>
      <c r="C904">
        <v>2014</v>
      </c>
      <c r="D904">
        <v>1.19</v>
      </c>
    </row>
    <row r="905" spans="1:4" x14ac:dyDescent="0.35">
      <c r="A905" s="1" t="s">
        <v>138</v>
      </c>
      <c r="B905" s="1" t="s">
        <v>135</v>
      </c>
      <c r="C905">
        <v>2015</v>
      </c>
      <c r="D905">
        <v>1.49</v>
      </c>
    </row>
    <row r="906" spans="1:4" x14ac:dyDescent="0.35">
      <c r="A906" s="1" t="s">
        <v>138</v>
      </c>
      <c r="B906" s="1" t="s">
        <v>135</v>
      </c>
      <c r="C906">
        <v>2016</v>
      </c>
      <c r="D906">
        <v>1.88</v>
      </c>
    </row>
    <row r="907" spans="1:4" x14ac:dyDescent="0.35">
      <c r="A907" s="1" t="s">
        <v>138</v>
      </c>
      <c r="B907" s="1" t="s">
        <v>135</v>
      </c>
      <c r="C907">
        <v>2017</v>
      </c>
      <c r="D907">
        <v>2.37</v>
      </c>
    </row>
    <row r="908" spans="1:4" x14ac:dyDescent="0.35">
      <c r="A908" s="1" t="s">
        <v>138</v>
      </c>
      <c r="B908" s="1" t="s">
        <v>135</v>
      </c>
      <c r="C908">
        <v>2018</v>
      </c>
      <c r="D908">
        <v>2.64</v>
      </c>
    </row>
    <row r="909" spans="1:4" x14ac:dyDescent="0.35">
      <c r="A909" s="1" t="s">
        <v>138</v>
      </c>
      <c r="B909" s="1" t="s">
        <v>135</v>
      </c>
      <c r="C909">
        <v>2019</v>
      </c>
      <c r="D909">
        <v>2.72</v>
      </c>
    </row>
    <row r="910" spans="1:4" x14ac:dyDescent="0.35">
      <c r="A910" s="1" t="s">
        <v>138</v>
      </c>
      <c r="B910" s="1" t="s">
        <v>135</v>
      </c>
      <c r="C910">
        <v>2020</v>
      </c>
      <c r="D910">
        <v>6.34</v>
      </c>
    </row>
    <row r="911" spans="1:4" x14ac:dyDescent="0.35">
      <c r="A911" s="1" t="s">
        <v>138</v>
      </c>
      <c r="B911" s="1" t="s">
        <v>135</v>
      </c>
      <c r="C911">
        <v>2021</v>
      </c>
      <c r="D911">
        <v>9.4499999999999993</v>
      </c>
    </row>
    <row r="912" spans="1:4" x14ac:dyDescent="0.35">
      <c r="A912" s="1" t="s">
        <v>138</v>
      </c>
      <c r="B912" s="1" t="s">
        <v>135</v>
      </c>
      <c r="C912">
        <v>2022</v>
      </c>
      <c r="D912">
        <v>17.52</v>
      </c>
    </row>
    <row r="913" spans="1:4" x14ac:dyDescent="0.35">
      <c r="A913" s="1" t="s">
        <v>138</v>
      </c>
      <c r="B913" s="1" t="s">
        <v>135</v>
      </c>
      <c r="C913">
        <v>2023</v>
      </c>
      <c r="D913">
        <v>18.579999999999998</v>
      </c>
    </row>
    <row r="914" spans="1:4" x14ac:dyDescent="0.35">
      <c r="A914" s="1" t="s">
        <v>124</v>
      </c>
      <c r="B914" s="1" t="s">
        <v>135</v>
      </c>
      <c r="C914">
        <v>2000</v>
      </c>
      <c r="D914">
        <v>1.25</v>
      </c>
    </row>
    <row r="915" spans="1:4" x14ac:dyDescent="0.35">
      <c r="A915" s="1" t="s">
        <v>124</v>
      </c>
      <c r="B915" s="1" t="s">
        <v>135</v>
      </c>
      <c r="C915">
        <v>2001</v>
      </c>
      <c r="D915">
        <v>1.39</v>
      </c>
    </row>
    <row r="916" spans="1:4" x14ac:dyDescent="0.35">
      <c r="A916" s="1" t="s">
        <v>124</v>
      </c>
      <c r="B916" s="1" t="s">
        <v>135</v>
      </c>
      <c r="C916">
        <v>2002</v>
      </c>
      <c r="D916">
        <v>0.8</v>
      </c>
    </row>
    <row r="917" spans="1:4" x14ac:dyDescent="0.35">
      <c r="A917" s="1" t="s">
        <v>124</v>
      </c>
      <c r="B917" s="1" t="s">
        <v>135</v>
      </c>
      <c r="C917">
        <v>2003</v>
      </c>
      <c r="D917">
        <v>0.53</v>
      </c>
    </row>
    <row r="918" spans="1:4" x14ac:dyDescent="0.35">
      <c r="A918" s="1" t="s">
        <v>124</v>
      </c>
      <c r="B918" s="1" t="s">
        <v>135</v>
      </c>
      <c r="C918">
        <v>2004</v>
      </c>
      <c r="D918">
        <v>0.56000000000000005</v>
      </c>
    </row>
    <row r="919" spans="1:4" x14ac:dyDescent="0.35">
      <c r="A919" s="1" t="s">
        <v>124</v>
      </c>
      <c r="B919" s="1" t="s">
        <v>135</v>
      </c>
      <c r="C919">
        <v>2005</v>
      </c>
      <c r="D919">
        <v>0.69</v>
      </c>
    </row>
    <row r="920" spans="1:4" x14ac:dyDescent="0.35">
      <c r="A920" s="1" t="s">
        <v>124</v>
      </c>
      <c r="B920" s="1" t="s">
        <v>135</v>
      </c>
      <c r="C920">
        <v>2006</v>
      </c>
      <c r="D920">
        <v>1.1000000000000001</v>
      </c>
    </row>
    <row r="921" spans="1:4" x14ac:dyDescent="0.35">
      <c r="A921" s="1" t="s">
        <v>124</v>
      </c>
      <c r="B921" s="1" t="s">
        <v>135</v>
      </c>
      <c r="C921">
        <v>2007</v>
      </c>
      <c r="D921">
        <v>0.67</v>
      </c>
    </row>
    <row r="922" spans="1:4" x14ac:dyDescent="0.35">
      <c r="A922" s="1" t="s">
        <v>124</v>
      </c>
      <c r="B922" s="1" t="s">
        <v>135</v>
      </c>
      <c r="C922">
        <v>2008</v>
      </c>
      <c r="D922">
        <v>0.61</v>
      </c>
    </row>
    <row r="923" spans="1:4" x14ac:dyDescent="0.35">
      <c r="A923" s="1" t="s">
        <v>124</v>
      </c>
      <c r="B923" s="1" t="s">
        <v>135</v>
      </c>
      <c r="C923">
        <v>2009</v>
      </c>
      <c r="D923">
        <v>0.7</v>
      </c>
    </row>
    <row r="924" spans="1:4" x14ac:dyDescent="0.35">
      <c r="A924" s="1" t="s">
        <v>124</v>
      </c>
      <c r="B924" s="1" t="s">
        <v>135</v>
      </c>
      <c r="C924">
        <v>2010</v>
      </c>
      <c r="D924">
        <v>0.9</v>
      </c>
    </row>
    <row r="925" spans="1:4" x14ac:dyDescent="0.35">
      <c r="A925" s="1" t="s">
        <v>124</v>
      </c>
      <c r="B925" s="1" t="s">
        <v>135</v>
      </c>
      <c r="C925">
        <v>2011</v>
      </c>
      <c r="D925">
        <v>0.96</v>
      </c>
    </row>
    <row r="926" spans="1:4" x14ac:dyDescent="0.35">
      <c r="A926" s="1" t="s">
        <v>124</v>
      </c>
      <c r="B926" s="1" t="s">
        <v>135</v>
      </c>
      <c r="C926">
        <v>2012</v>
      </c>
      <c r="D926">
        <v>0.71</v>
      </c>
    </row>
    <row r="927" spans="1:4" x14ac:dyDescent="0.35">
      <c r="A927" s="1" t="s">
        <v>124</v>
      </c>
      <c r="B927" s="1" t="s">
        <v>135</v>
      </c>
      <c r="C927">
        <v>2013</v>
      </c>
      <c r="D927">
        <v>0.66</v>
      </c>
    </row>
    <row r="928" spans="1:4" x14ac:dyDescent="0.35">
      <c r="A928" s="1" t="s">
        <v>124</v>
      </c>
      <c r="B928" s="1" t="s">
        <v>135</v>
      </c>
      <c r="C928">
        <v>2014</v>
      </c>
      <c r="D928">
        <v>1.03</v>
      </c>
    </row>
    <row r="929" spans="1:4" x14ac:dyDescent="0.35">
      <c r="A929" s="1" t="s">
        <v>124</v>
      </c>
      <c r="B929" s="1" t="s">
        <v>135</v>
      </c>
      <c r="C929">
        <v>2015</v>
      </c>
      <c r="D929">
        <v>1.65</v>
      </c>
    </row>
    <row r="930" spans="1:4" x14ac:dyDescent="0.35">
      <c r="A930" s="1" t="s">
        <v>124</v>
      </c>
      <c r="B930" s="1" t="s">
        <v>135</v>
      </c>
      <c r="C930">
        <v>2016</v>
      </c>
      <c r="D930">
        <v>2.0699999999999998</v>
      </c>
    </row>
    <row r="931" spans="1:4" x14ac:dyDescent="0.35">
      <c r="A931" s="1" t="s">
        <v>124</v>
      </c>
      <c r="B931" s="1" t="s">
        <v>135</v>
      </c>
      <c r="C931">
        <v>2017</v>
      </c>
      <c r="D931">
        <v>2.34</v>
      </c>
    </row>
    <row r="932" spans="1:4" x14ac:dyDescent="0.35">
      <c r="A932" s="1" t="s">
        <v>124</v>
      </c>
      <c r="B932" s="1" t="s">
        <v>135</v>
      </c>
      <c r="C932">
        <v>2018</v>
      </c>
      <c r="D932">
        <v>2.79</v>
      </c>
    </row>
    <row r="933" spans="1:4" x14ac:dyDescent="0.35">
      <c r="A933" s="1" t="s">
        <v>124</v>
      </c>
      <c r="B933" s="1" t="s">
        <v>135</v>
      </c>
      <c r="C933">
        <v>2019</v>
      </c>
      <c r="D933">
        <v>3.12</v>
      </c>
    </row>
    <row r="934" spans="1:4" x14ac:dyDescent="0.35">
      <c r="A934" s="1" t="s">
        <v>124</v>
      </c>
      <c r="B934" s="1" t="s">
        <v>135</v>
      </c>
      <c r="C934">
        <v>2020</v>
      </c>
      <c r="D934">
        <v>4.2</v>
      </c>
    </row>
    <row r="935" spans="1:4" x14ac:dyDescent="0.35">
      <c r="A935" s="1" t="s">
        <v>124</v>
      </c>
      <c r="B935" s="1" t="s">
        <v>135</v>
      </c>
      <c r="C935">
        <v>2021</v>
      </c>
      <c r="D935">
        <v>4.8499999999999996</v>
      </c>
    </row>
    <row r="936" spans="1:4" x14ac:dyDescent="0.35">
      <c r="A936" s="1" t="s">
        <v>124</v>
      </c>
      <c r="B936" s="1" t="s">
        <v>135</v>
      </c>
      <c r="C936">
        <v>2022</v>
      </c>
      <c r="D936">
        <v>6.22</v>
      </c>
    </row>
    <row r="937" spans="1:4" x14ac:dyDescent="0.35">
      <c r="A937" s="1" t="s">
        <v>124</v>
      </c>
      <c r="B937" s="1" t="s">
        <v>135</v>
      </c>
      <c r="C937">
        <v>2023</v>
      </c>
      <c r="D937">
        <v>8.32</v>
      </c>
    </row>
    <row r="938" spans="1:4" x14ac:dyDescent="0.35">
      <c r="A938" s="1" t="s">
        <v>105</v>
      </c>
      <c r="B938" s="1" t="s">
        <v>135</v>
      </c>
      <c r="C938">
        <v>2000</v>
      </c>
      <c r="D938" t="s">
        <v>136</v>
      </c>
    </row>
    <row r="939" spans="1:4" x14ac:dyDescent="0.35">
      <c r="A939" s="1" t="s">
        <v>105</v>
      </c>
      <c r="B939" s="1" t="s">
        <v>135</v>
      </c>
      <c r="C939">
        <v>2001</v>
      </c>
      <c r="D939" t="s">
        <v>136</v>
      </c>
    </row>
    <row r="940" spans="1:4" x14ac:dyDescent="0.35">
      <c r="A940" s="1" t="s">
        <v>105</v>
      </c>
      <c r="B940" s="1" t="s">
        <v>135</v>
      </c>
      <c r="C940">
        <v>2002</v>
      </c>
      <c r="D940" t="s">
        <v>136</v>
      </c>
    </row>
    <row r="941" spans="1:4" x14ac:dyDescent="0.35">
      <c r="A941" s="1" t="s">
        <v>105</v>
      </c>
      <c r="B941" s="1" t="s">
        <v>135</v>
      </c>
      <c r="C941">
        <v>2003</v>
      </c>
      <c r="D941" t="s">
        <v>136</v>
      </c>
    </row>
    <row r="942" spans="1:4" x14ac:dyDescent="0.35">
      <c r="A942" s="1" t="s">
        <v>105</v>
      </c>
      <c r="B942" s="1" t="s">
        <v>135</v>
      </c>
      <c r="C942">
        <v>2004</v>
      </c>
      <c r="D942" t="s">
        <v>136</v>
      </c>
    </row>
    <row r="943" spans="1:4" x14ac:dyDescent="0.35">
      <c r="A943" s="1" t="s">
        <v>105</v>
      </c>
      <c r="B943" s="1" t="s">
        <v>135</v>
      </c>
      <c r="C943">
        <v>2005</v>
      </c>
      <c r="D943" t="s">
        <v>136</v>
      </c>
    </row>
    <row r="944" spans="1:4" x14ac:dyDescent="0.35">
      <c r="A944" s="1" t="s">
        <v>105</v>
      </c>
      <c r="B944" s="1" t="s">
        <v>135</v>
      </c>
      <c r="C944">
        <v>2006</v>
      </c>
      <c r="D944" t="s">
        <v>136</v>
      </c>
    </row>
    <row r="945" spans="1:4" x14ac:dyDescent="0.35">
      <c r="A945" s="1" t="s">
        <v>105</v>
      </c>
      <c r="B945" s="1" t="s">
        <v>135</v>
      </c>
      <c r="C945">
        <v>2007</v>
      </c>
      <c r="D945" t="s">
        <v>136</v>
      </c>
    </row>
    <row r="946" spans="1:4" x14ac:dyDescent="0.35">
      <c r="A946" s="1" t="s">
        <v>105</v>
      </c>
      <c r="B946" s="1" t="s">
        <v>135</v>
      </c>
      <c r="C946">
        <v>2008</v>
      </c>
      <c r="D946" t="s">
        <v>136</v>
      </c>
    </row>
    <row r="947" spans="1:4" x14ac:dyDescent="0.35">
      <c r="A947" s="1" t="s">
        <v>105</v>
      </c>
      <c r="B947" s="1" t="s">
        <v>135</v>
      </c>
      <c r="C947">
        <v>2009</v>
      </c>
      <c r="D947" t="s">
        <v>136</v>
      </c>
    </row>
    <row r="948" spans="1:4" x14ac:dyDescent="0.35">
      <c r="A948" s="1" t="s">
        <v>105</v>
      </c>
      <c r="B948" s="1" t="s">
        <v>135</v>
      </c>
      <c r="C948">
        <v>2010</v>
      </c>
      <c r="D948" t="s">
        <v>136</v>
      </c>
    </row>
    <row r="949" spans="1:4" x14ac:dyDescent="0.35">
      <c r="A949" s="1" t="s">
        <v>105</v>
      </c>
      <c r="B949" s="1" t="s">
        <v>135</v>
      </c>
      <c r="C949">
        <v>2011</v>
      </c>
      <c r="D949" t="s">
        <v>136</v>
      </c>
    </row>
    <row r="950" spans="1:4" x14ac:dyDescent="0.35">
      <c r="A950" s="1" t="s">
        <v>105</v>
      </c>
      <c r="B950" s="1" t="s">
        <v>135</v>
      </c>
      <c r="C950">
        <v>2012</v>
      </c>
      <c r="D950">
        <v>0.01</v>
      </c>
    </row>
    <row r="951" spans="1:4" x14ac:dyDescent="0.35">
      <c r="A951" s="1" t="s">
        <v>105</v>
      </c>
      <c r="B951" s="1" t="s">
        <v>135</v>
      </c>
      <c r="C951">
        <v>2013</v>
      </c>
      <c r="D951">
        <v>0.03</v>
      </c>
    </row>
    <row r="952" spans="1:4" x14ac:dyDescent="0.35">
      <c r="A952" s="1" t="s">
        <v>105</v>
      </c>
      <c r="B952" s="1" t="s">
        <v>135</v>
      </c>
      <c r="C952">
        <v>2014</v>
      </c>
      <c r="D952">
        <v>0.03</v>
      </c>
    </row>
    <row r="953" spans="1:4" x14ac:dyDescent="0.35">
      <c r="A953" s="1" t="s">
        <v>105</v>
      </c>
      <c r="B953" s="1" t="s">
        <v>135</v>
      </c>
      <c r="C953">
        <v>2015</v>
      </c>
      <c r="D953">
        <v>0.03</v>
      </c>
    </row>
    <row r="954" spans="1:4" x14ac:dyDescent="0.35">
      <c r="A954" s="1" t="s">
        <v>105</v>
      </c>
      <c r="B954" s="1" t="s">
        <v>135</v>
      </c>
      <c r="C954">
        <v>2016</v>
      </c>
      <c r="D954">
        <v>0.42</v>
      </c>
    </row>
    <row r="955" spans="1:4" x14ac:dyDescent="0.35">
      <c r="A955" s="1" t="s">
        <v>105</v>
      </c>
      <c r="B955" s="1" t="s">
        <v>135</v>
      </c>
      <c r="C955">
        <v>2017</v>
      </c>
      <c r="D955">
        <v>0.54</v>
      </c>
    </row>
    <row r="956" spans="1:4" x14ac:dyDescent="0.35">
      <c r="A956" s="1" t="s">
        <v>105</v>
      </c>
      <c r="B956" s="1" t="s">
        <v>135</v>
      </c>
      <c r="C956">
        <v>2018</v>
      </c>
      <c r="D956">
        <v>0.56999999999999995</v>
      </c>
    </row>
    <row r="957" spans="1:4" x14ac:dyDescent="0.35">
      <c r="A957" s="1" t="s">
        <v>105</v>
      </c>
      <c r="B957" s="1" t="s">
        <v>135</v>
      </c>
      <c r="C957">
        <v>2019</v>
      </c>
      <c r="D957">
        <v>0.68</v>
      </c>
    </row>
    <row r="958" spans="1:4" x14ac:dyDescent="0.35">
      <c r="A958" s="1" t="s">
        <v>105</v>
      </c>
      <c r="B958" s="1" t="s">
        <v>135</v>
      </c>
      <c r="C958">
        <v>2020</v>
      </c>
      <c r="D958">
        <v>1.01</v>
      </c>
    </row>
    <row r="959" spans="1:4" x14ac:dyDescent="0.35">
      <c r="A959" s="1" t="s">
        <v>105</v>
      </c>
      <c r="B959" s="1" t="s">
        <v>135</v>
      </c>
      <c r="C959">
        <v>2021</v>
      </c>
      <c r="D959">
        <v>0.96</v>
      </c>
    </row>
    <row r="960" spans="1:4" x14ac:dyDescent="0.35">
      <c r="A960" s="1" t="s">
        <v>105</v>
      </c>
      <c r="B960" s="1" t="s">
        <v>135</v>
      </c>
      <c r="C960">
        <v>2022</v>
      </c>
      <c r="D960">
        <v>1.08</v>
      </c>
    </row>
    <row r="961" spans="1:4" x14ac:dyDescent="0.35">
      <c r="A961" s="1" t="s">
        <v>105</v>
      </c>
      <c r="B961" s="1" t="s">
        <v>135</v>
      </c>
      <c r="C961">
        <v>2023</v>
      </c>
      <c r="D961">
        <v>1.28</v>
      </c>
    </row>
    <row r="962" spans="1:4" x14ac:dyDescent="0.35">
      <c r="A962" s="1" t="s">
        <v>116</v>
      </c>
      <c r="B962" s="1" t="s">
        <v>135</v>
      </c>
      <c r="C962">
        <v>2000</v>
      </c>
      <c r="D962">
        <v>63.98</v>
      </c>
    </row>
    <row r="963" spans="1:4" x14ac:dyDescent="0.35">
      <c r="A963" s="1" t="s">
        <v>116</v>
      </c>
      <c r="B963" s="1" t="s">
        <v>135</v>
      </c>
      <c r="C963">
        <v>2001</v>
      </c>
      <c r="D963">
        <v>72.97</v>
      </c>
    </row>
    <row r="964" spans="1:4" x14ac:dyDescent="0.35">
      <c r="A964" s="1" t="s">
        <v>116</v>
      </c>
      <c r="B964" s="1" t="s">
        <v>135</v>
      </c>
      <c r="C964">
        <v>2002</v>
      </c>
      <c r="D964">
        <v>76.67</v>
      </c>
    </row>
    <row r="965" spans="1:4" x14ac:dyDescent="0.35">
      <c r="A965" s="1" t="s">
        <v>116</v>
      </c>
      <c r="B965" s="1" t="s">
        <v>135</v>
      </c>
      <c r="C965">
        <v>2003</v>
      </c>
      <c r="D965">
        <v>83.68</v>
      </c>
    </row>
    <row r="966" spans="1:4" x14ac:dyDescent="0.35">
      <c r="A966" s="1" t="s">
        <v>116</v>
      </c>
      <c r="B966" s="1" t="s">
        <v>135</v>
      </c>
      <c r="C966">
        <v>2004</v>
      </c>
      <c r="D966">
        <v>71.290000000000006</v>
      </c>
    </row>
    <row r="967" spans="1:4" x14ac:dyDescent="0.35">
      <c r="A967" s="1" t="s">
        <v>116</v>
      </c>
      <c r="B967" s="1" t="s">
        <v>135</v>
      </c>
      <c r="C967">
        <v>2005</v>
      </c>
      <c r="D967">
        <v>69.819999999999993</v>
      </c>
    </row>
    <row r="968" spans="1:4" x14ac:dyDescent="0.35">
      <c r="A968" s="1" t="s">
        <v>116</v>
      </c>
      <c r="B968" s="1" t="s">
        <v>135</v>
      </c>
      <c r="C968">
        <v>2006</v>
      </c>
      <c r="D968">
        <v>53.42</v>
      </c>
    </row>
    <row r="969" spans="1:4" x14ac:dyDescent="0.35">
      <c r="A969" s="1" t="s">
        <v>116</v>
      </c>
      <c r="B969" s="1" t="s">
        <v>135</v>
      </c>
      <c r="C969">
        <v>2007</v>
      </c>
      <c r="D969">
        <v>52.82</v>
      </c>
    </row>
    <row r="970" spans="1:4" x14ac:dyDescent="0.35">
      <c r="A970" s="1" t="s">
        <v>116</v>
      </c>
      <c r="B970" s="1" t="s">
        <v>135</v>
      </c>
      <c r="C970">
        <v>2008</v>
      </c>
      <c r="D970">
        <v>62.63</v>
      </c>
    </row>
    <row r="971" spans="1:4" x14ac:dyDescent="0.35">
      <c r="A971" s="1" t="s">
        <v>116</v>
      </c>
      <c r="B971" s="1" t="s">
        <v>135</v>
      </c>
      <c r="C971">
        <v>2009</v>
      </c>
      <c r="D971">
        <v>65.22</v>
      </c>
    </row>
    <row r="972" spans="1:4" x14ac:dyDescent="0.35">
      <c r="A972" s="1" t="s">
        <v>116</v>
      </c>
      <c r="B972" s="1" t="s">
        <v>135</v>
      </c>
      <c r="C972">
        <v>2010</v>
      </c>
      <c r="D972">
        <v>49.15</v>
      </c>
    </row>
    <row r="973" spans="1:4" x14ac:dyDescent="0.35">
      <c r="A973" s="1" t="s">
        <v>116</v>
      </c>
      <c r="B973" s="1" t="s">
        <v>135</v>
      </c>
      <c r="C973">
        <v>2011</v>
      </c>
      <c r="D973">
        <v>62.96</v>
      </c>
    </row>
    <row r="974" spans="1:4" x14ac:dyDescent="0.35">
      <c r="A974" s="1" t="s">
        <v>116</v>
      </c>
      <c r="B974" s="1" t="s">
        <v>135</v>
      </c>
      <c r="C974">
        <v>2012</v>
      </c>
      <c r="D974">
        <v>45.07</v>
      </c>
    </row>
    <row r="975" spans="1:4" x14ac:dyDescent="0.35">
      <c r="A975" s="1" t="s">
        <v>116</v>
      </c>
      <c r="B975" s="1" t="s">
        <v>135</v>
      </c>
      <c r="C975">
        <v>2013</v>
      </c>
      <c r="D975">
        <v>23.79</v>
      </c>
    </row>
    <row r="976" spans="1:4" x14ac:dyDescent="0.35">
      <c r="A976" s="1" t="s">
        <v>116</v>
      </c>
      <c r="B976" s="1" t="s">
        <v>135</v>
      </c>
      <c r="C976">
        <v>2014</v>
      </c>
      <c r="D976">
        <v>62.11</v>
      </c>
    </row>
    <row r="977" spans="1:4" x14ac:dyDescent="0.35">
      <c r="A977" s="1" t="s">
        <v>116</v>
      </c>
      <c r="B977" s="1" t="s">
        <v>135</v>
      </c>
      <c r="C977">
        <v>2015</v>
      </c>
      <c r="D977">
        <v>14.76</v>
      </c>
    </row>
    <row r="978" spans="1:4" x14ac:dyDescent="0.35">
      <c r="A978" s="1" t="s">
        <v>116</v>
      </c>
      <c r="B978" s="1" t="s">
        <v>135</v>
      </c>
      <c r="C978">
        <v>2016</v>
      </c>
      <c r="D978">
        <v>23.61</v>
      </c>
    </row>
    <row r="979" spans="1:4" x14ac:dyDescent="0.35">
      <c r="A979" s="1" t="s">
        <v>116</v>
      </c>
      <c r="B979" s="1" t="s">
        <v>135</v>
      </c>
      <c r="C979">
        <v>2017</v>
      </c>
      <c r="D979">
        <v>32.18</v>
      </c>
    </row>
    <row r="980" spans="1:4" x14ac:dyDescent="0.35">
      <c r="A980" s="1" t="s">
        <v>116</v>
      </c>
      <c r="B980" s="1" t="s">
        <v>135</v>
      </c>
      <c r="C980">
        <v>2018</v>
      </c>
      <c r="D980">
        <v>22.6</v>
      </c>
    </row>
    <row r="981" spans="1:4" x14ac:dyDescent="0.35">
      <c r="A981" s="1" t="s">
        <v>116</v>
      </c>
      <c r="B981" s="1" t="s">
        <v>135</v>
      </c>
      <c r="C981">
        <v>2019</v>
      </c>
      <c r="D981">
        <v>23.68</v>
      </c>
    </row>
    <row r="982" spans="1:4" x14ac:dyDescent="0.35">
      <c r="A982" s="1" t="s">
        <v>116</v>
      </c>
      <c r="B982" s="1" t="s">
        <v>135</v>
      </c>
      <c r="C982">
        <v>2020</v>
      </c>
      <c r="D982">
        <v>14.91</v>
      </c>
    </row>
    <row r="983" spans="1:4" x14ac:dyDescent="0.35">
      <c r="A983" s="1" t="s">
        <v>116</v>
      </c>
      <c r="B983" s="1" t="s">
        <v>135</v>
      </c>
      <c r="C983">
        <v>2021</v>
      </c>
      <c r="D983">
        <v>20.66</v>
      </c>
    </row>
    <row r="984" spans="1:4" x14ac:dyDescent="0.35">
      <c r="A984" s="1" t="s">
        <v>116</v>
      </c>
      <c r="B984" s="1" t="s">
        <v>135</v>
      </c>
      <c r="C984">
        <v>2022</v>
      </c>
      <c r="D984">
        <v>14.51</v>
      </c>
    </row>
    <row r="985" spans="1:4" x14ac:dyDescent="0.35">
      <c r="A985" s="1" t="s">
        <v>116</v>
      </c>
      <c r="B985" s="1" t="s">
        <v>135</v>
      </c>
      <c r="C985">
        <v>2023</v>
      </c>
      <c r="D985">
        <v>18.97</v>
      </c>
    </row>
    <row r="986" spans="1:4" x14ac:dyDescent="0.35">
      <c r="A986" s="1" t="s">
        <v>118</v>
      </c>
      <c r="B986" s="1" t="s">
        <v>135</v>
      </c>
      <c r="C986">
        <v>2000</v>
      </c>
      <c r="D986">
        <v>0.88</v>
      </c>
    </row>
    <row r="987" spans="1:4" x14ac:dyDescent="0.35">
      <c r="A987" s="1" t="s">
        <v>118</v>
      </c>
      <c r="B987" s="1" t="s">
        <v>135</v>
      </c>
      <c r="C987">
        <v>2001</v>
      </c>
      <c r="D987">
        <v>0.74</v>
      </c>
    </row>
    <row r="988" spans="1:4" x14ac:dyDescent="0.35">
      <c r="A988" s="1" t="s">
        <v>118</v>
      </c>
      <c r="B988" s="1" t="s">
        <v>135</v>
      </c>
      <c r="C988">
        <v>2002</v>
      </c>
      <c r="D988">
        <v>0.85</v>
      </c>
    </row>
    <row r="989" spans="1:4" x14ac:dyDescent="0.35">
      <c r="A989" s="1" t="s">
        <v>118</v>
      </c>
      <c r="B989" s="1" t="s">
        <v>135</v>
      </c>
      <c r="C989">
        <v>2003</v>
      </c>
      <c r="D989">
        <v>1.7</v>
      </c>
    </row>
    <row r="990" spans="1:4" x14ac:dyDescent="0.35">
      <c r="A990" s="1" t="s">
        <v>118</v>
      </c>
      <c r="B990" s="1" t="s">
        <v>135</v>
      </c>
      <c r="C990">
        <v>2004</v>
      </c>
      <c r="D990">
        <v>1.6</v>
      </c>
    </row>
    <row r="991" spans="1:4" x14ac:dyDescent="0.35">
      <c r="A991" s="1" t="s">
        <v>118</v>
      </c>
      <c r="B991" s="1" t="s">
        <v>135</v>
      </c>
      <c r="C991">
        <v>2005</v>
      </c>
      <c r="D991">
        <v>0.46</v>
      </c>
    </row>
    <row r="992" spans="1:4" x14ac:dyDescent="0.35">
      <c r="A992" s="1" t="s">
        <v>118</v>
      </c>
      <c r="B992" s="1" t="s">
        <v>135</v>
      </c>
      <c r="C992">
        <v>2006</v>
      </c>
      <c r="D992">
        <v>0.93</v>
      </c>
    </row>
    <row r="993" spans="1:4" x14ac:dyDescent="0.35">
      <c r="A993" s="1" t="s">
        <v>118</v>
      </c>
      <c r="B993" s="1" t="s">
        <v>135</v>
      </c>
      <c r="C993">
        <v>2007</v>
      </c>
      <c r="D993">
        <v>0.64</v>
      </c>
    </row>
    <row r="994" spans="1:4" x14ac:dyDescent="0.35">
      <c r="A994" s="1" t="s">
        <v>118</v>
      </c>
      <c r="B994" s="1" t="s">
        <v>135</v>
      </c>
      <c r="C994">
        <v>2008</v>
      </c>
      <c r="D994">
        <v>0.53</v>
      </c>
    </row>
    <row r="995" spans="1:4" x14ac:dyDescent="0.35">
      <c r="A995" s="1" t="s">
        <v>118</v>
      </c>
      <c r="B995" s="1" t="s">
        <v>135</v>
      </c>
      <c r="C995">
        <v>2009</v>
      </c>
      <c r="D995">
        <v>1.1599999999999999</v>
      </c>
    </row>
    <row r="996" spans="1:4" x14ac:dyDescent="0.35">
      <c r="A996" s="1" t="s">
        <v>118</v>
      </c>
      <c r="B996" s="1" t="s">
        <v>135</v>
      </c>
      <c r="C996">
        <v>2010</v>
      </c>
      <c r="D996">
        <v>1.18</v>
      </c>
    </row>
    <row r="997" spans="1:4" x14ac:dyDescent="0.35">
      <c r="A997" s="1" t="s">
        <v>118</v>
      </c>
      <c r="B997" s="1" t="s">
        <v>135</v>
      </c>
      <c r="C997">
        <v>2011</v>
      </c>
      <c r="D997">
        <v>1.02</v>
      </c>
    </row>
    <row r="998" spans="1:4" x14ac:dyDescent="0.35">
      <c r="A998" s="1" t="s">
        <v>118</v>
      </c>
      <c r="B998" s="1" t="s">
        <v>135</v>
      </c>
      <c r="C998">
        <v>2012</v>
      </c>
      <c r="D998">
        <v>1.73</v>
      </c>
    </row>
    <row r="999" spans="1:4" x14ac:dyDescent="0.35">
      <c r="A999" s="1" t="s">
        <v>118</v>
      </c>
      <c r="B999" s="1" t="s">
        <v>135</v>
      </c>
      <c r="C999">
        <v>2013</v>
      </c>
      <c r="D999">
        <v>2.35</v>
      </c>
    </row>
    <row r="1000" spans="1:4" x14ac:dyDescent="0.35">
      <c r="A1000" s="1" t="s">
        <v>118</v>
      </c>
      <c r="B1000" s="1" t="s">
        <v>135</v>
      </c>
      <c r="C1000">
        <v>2014</v>
      </c>
      <c r="D1000">
        <v>3.08</v>
      </c>
    </row>
    <row r="1001" spans="1:4" x14ac:dyDescent="0.35">
      <c r="A1001" s="1" t="s">
        <v>118</v>
      </c>
      <c r="B1001" s="1" t="s">
        <v>135</v>
      </c>
      <c r="C1001">
        <v>2015</v>
      </c>
      <c r="D1001">
        <v>2.86</v>
      </c>
    </row>
    <row r="1002" spans="1:4" x14ac:dyDescent="0.35">
      <c r="A1002" s="1" t="s">
        <v>118</v>
      </c>
      <c r="B1002" s="1" t="s">
        <v>135</v>
      </c>
      <c r="C1002">
        <v>2016</v>
      </c>
      <c r="D1002">
        <v>2.96</v>
      </c>
    </row>
    <row r="1003" spans="1:4" x14ac:dyDescent="0.35">
      <c r="A1003" s="1" t="s">
        <v>118</v>
      </c>
      <c r="B1003" s="1" t="s">
        <v>135</v>
      </c>
      <c r="C1003">
        <v>2017</v>
      </c>
      <c r="D1003">
        <v>2.91</v>
      </c>
    </row>
    <row r="1004" spans="1:4" x14ac:dyDescent="0.35">
      <c r="A1004" s="1" t="s">
        <v>118</v>
      </c>
      <c r="B1004" s="1" t="s">
        <v>135</v>
      </c>
      <c r="C1004">
        <v>2018</v>
      </c>
      <c r="D1004">
        <v>3.08</v>
      </c>
    </row>
    <row r="1005" spans="1:4" x14ac:dyDescent="0.35">
      <c r="A1005" s="1" t="s">
        <v>118</v>
      </c>
      <c r="B1005" s="1" t="s">
        <v>135</v>
      </c>
      <c r="C1005">
        <v>2019</v>
      </c>
      <c r="D1005">
        <v>3.73</v>
      </c>
    </row>
    <row r="1006" spans="1:4" x14ac:dyDescent="0.35">
      <c r="A1006" s="1" t="s">
        <v>118</v>
      </c>
      <c r="B1006" s="1" t="s">
        <v>135</v>
      </c>
      <c r="C1006">
        <v>2020</v>
      </c>
      <c r="D1006">
        <v>4.0599999999999996</v>
      </c>
    </row>
    <row r="1007" spans="1:4" x14ac:dyDescent="0.35">
      <c r="A1007" s="1" t="s">
        <v>118</v>
      </c>
      <c r="B1007" s="1" t="s">
        <v>135</v>
      </c>
      <c r="C1007">
        <v>2021</v>
      </c>
      <c r="D1007">
        <v>4.2699999999999996</v>
      </c>
    </row>
    <row r="1008" spans="1:4" x14ac:dyDescent="0.35">
      <c r="A1008" s="1" t="s">
        <v>118</v>
      </c>
      <c r="B1008" s="1" t="s">
        <v>135</v>
      </c>
      <c r="C1008">
        <v>2022</v>
      </c>
      <c r="D1008">
        <v>4.0999999999999996</v>
      </c>
    </row>
    <row r="1009" spans="1:4" x14ac:dyDescent="0.35">
      <c r="A1009" s="1" t="s">
        <v>118</v>
      </c>
      <c r="B1009" s="1" t="s">
        <v>135</v>
      </c>
      <c r="C1009">
        <v>2023</v>
      </c>
      <c r="D1009">
        <v>6.25</v>
      </c>
    </row>
    <row r="1010" spans="1:4" x14ac:dyDescent="0.35">
      <c r="A1010" s="1" t="s">
        <v>122</v>
      </c>
      <c r="B1010" s="1" t="s">
        <v>135</v>
      </c>
      <c r="C1010">
        <v>2000</v>
      </c>
      <c r="D1010">
        <v>99.93</v>
      </c>
    </row>
    <row r="1011" spans="1:4" x14ac:dyDescent="0.35">
      <c r="A1011" s="1" t="s">
        <v>122</v>
      </c>
      <c r="B1011" s="1" t="s">
        <v>135</v>
      </c>
      <c r="C1011">
        <v>2001</v>
      </c>
      <c r="D1011">
        <v>99.93</v>
      </c>
    </row>
    <row r="1012" spans="1:4" x14ac:dyDescent="0.35">
      <c r="A1012" s="1" t="s">
        <v>122</v>
      </c>
      <c r="B1012" s="1" t="s">
        <v>135</v>
      </c>
      <c r="C1012">
        <v>2002</v>
      </c>
      <c r="D1012">
        <v>99.93</v>
      </c>
    </row>
    <row r="1013" spans="1:4" x14ac:dyDescent="0.35">
      <c r="A1013" s="1" t="s">
        <v>122</v>
      </c>
      <c r="B1013" s="1" t="s">
        <v>135</v>
      </c>
      <c r="C1013">
        <v>2003</v>
      </c>
      <c r="D1013">
        <v>99.93</v>
      </c>
    </row>
    <row r="1014" spans="1:4" x14ac:dyDescent="0.35">
      <c r="A1014" s="1" t="s">
        <v>122</v>
      </c>
      <c r="B1014" s="1" t="s">
        <v>135</v>
      </c>
      <c r="C1014">
        <v>2004</v>
      </c>
      <c r="D1014">
        <v>99.94</v>
      </c>
    </row>
    <row r="1015" spans="1:4" x14ac:dyDescent="0.35">
      <c r="A1015" s="1" t="s">
        <v>122</v>
      </c>
      <c r="B1015" s="1" t="s">
        <v>135</v>
      </c>
      <c r="C1015">
        <v>2005</v>
      </c>
      <c r="D1015">
        <v>89.69</v>
      </c>
    </row>
    <row r="1016" spans="1:4" x14ac:dyDescent="0.35">
      <c r="A1016" s="1" t="s">
        <v>122</v>
      </c>
      <c r="B1016" s="1" t="s">
        <v>135</v>
      </c>
      <c r="C1016">
        <v>2006</v>
      </c>
      <c r="D1016">
        <v>76.62</v>
      </c>
    </row>
    <row r="1017" spans="1:4" x14ac:dyDescent="0.35">
      <c r="A1017" s="1" t="s">
        <v>122</v>
      </c>
      <c r="B1017" s="1" t="s">
        <v>135</v>
      </c>
      <c r="C1017">
        <v>2007</v>
      </c>
      <c r="D1017">
        <v>70.87</v>
      </c>
    </row>
    <row r="1018" spans="1:4" x14ac:dyDescent="0.35">
      <c r="A1018" s="1" t="s">
        <v>122</v>
      </c>
      <c r="B1018" s="1" t="s">
        <v>135</v>
      </c>
      <c r="C1018">
        <v>2008</v>
      </c>
      <c r="D1018">
        <v>70.11</v>
      </c>
    </row>
    <row r="1019" spans="1:4" x14ac:dyDescent="0.35">
      <c r="A1019" s="1" t="s">
        <v>122</v>
      </c>
      <c r="B1019" s="1" t="s">
        <v>135</v>
      </c>
      <c r="C1019">
        <v>2009</v>
      </c>
      <c r="D1019">
        <v>59.31</v>
      </c>
    </row>
    <row r="1020" spans="1:4" x14ac:dyDescent="0.35">
      <c r="A1020" s="1" t="s">
        <v>122</v>
      </c>
      <c r="B1020" s="1" t="s">
        <v>135</v>
      </c>
      <c r="C1020">
        <v>2010</v>
      </c>
      <c r="D1020">
        <v>58.01</v>
      </c>
    </row>
    <row r="1021" spans="1:4" x14ac:dyDescent="0.35">
      <c r="A1021" s="1" t="s">
        <v>122</v>
      </c>
      <c r="B1021" s="1" t="s">
        <v>135</v>
      </c>
      <c r="C1021">
        <v>2011</v>
      </c>
      <c r="D1021">
        <v>63.15</v>
      </c>
    </row>
    <row r="1022" spans="1:4" x14ac:dyDescent="0.35">
      <c r="A1022" s="1" t="s">
        <v>122</v>
      </c>
      <c r="B1022" s="1" t="s">
        <v>135</v>
      </c>
      <c r="C1022">
        <v>2012</v>
      </c>
      <c r="D1022">
        <v>90.49</v>
      </c>
    </row>
    <row r="1023" spans="1:4" x14ac:dyDescent="0.35">
      <c r="A1023" s="1" t="s">
        <v>122</v>
      </c>
      <c r="B1023" s="1" t="s">
        <v>135</v>
      </c>
      <c r="C1023">
        <v>2013</v>
      </c>
      <c r="D1023">
        <v>99.95</v>
      </c>
    </row>
    <row r="1024" spans="1:4" x14ac:dyDescent="0.35">
      <c r="A1024" s="1" t="s">
        <v>122</v>
      </c>
      <c r="B1024" s="1" t="s">
        <v>135</v>
      </c>
      <c r="C1024">
        <v>2014</v>
      </c>
      <c r="D1024">
        <v>97.38</v>
      </c>
    </row>
    <row r="1025" spans="1:4" x14ac:dyDescent="0.35">
      <c r="A1025" s="1" t="s">
        <v>122</v>
      </c>
      <c r="B1025" s="1" t="s">
        <v>135</v>
      </c>
      <c r="C1025">
        <v>2015</v>
      </c>
      <c r="D1025">
        <v>97.43</v>
      </c>
    </row>
    <row r="1026" spans="1:4" x14ac:dyDescent="0.35">
      <c r="A1026" s="1" t="s">
        <v>122</v>
      </c>
      <c r="B1026" s="1" t="s">
        <v>135</v>
      </c>
      <c r="C1026">
        <v>2016</v>
      </c>
      <c r="D1026">
        <v>98.15</v>
      </c>
    </row>
    <row r="1027" spans="1:4" x14ac:dyDescent="0.35">
      <c r="A1027" s="1" t="s">
        <v>122</v>
      </c>
      <c r="B1027" s="1" t="s">
        <v>135</v>
      </c>
      <c r="C1027">
        <v>2017</v>
      </c>
      <c r="D1027">
        <v>93.8</v>
      </c>
    </row>
    <row r="1028" spans="1:4" x14ac:dyDescent="0.35">
      <c r="A1028" s="1" t="s">
        <v>122</v>
      </c>
      <c r="B1028" s="1" t="s">
        <v>135</v>
      </c>
      <c r="C1028">
        <v>2018</v>
      </c>
      <c r="D1028">
        <v>94.37</v>
      </c>
    </row>
    <row r="1029" spans="1:4" x14ac:dyDescent="0.35">
      <c r="A1029" s="1" t="s">
        <v>122</v>
      </c>
      <c r="B1029" s="1" t="s">
        <v>135</v>
      </c>
      <c r="C1029">
        <v>2019</v>
      </c>
      <c r="D1029">
        <v>97.64</v>
      </c>
    </row>
    <row r="1030" spans="1:4" x14ac:dyDescent="0.35">
      <c r="A1030" s="1" t="s">
        <v>122</v>
      </c>
      <c r="B1030" s="1" t="s">
        <v>135</v>
      </c>
      <c r="C1030">
        <v>2020</v>
      </c>
      <c r="D1030">
        <v>98.69</v>
      </c>
    </row>
    <row r="1031" spans="1:4" x14ac:dyDescent="0.35">
      <c r="A1031" s="1" t="s">
        <v>122</v>
      </c>
      <c r="B1031" s="1" t="s">
        <v>135</v>
      </c>
      <c r="C1031">
        <v>2021</v>
      </c>
      <c r="D1031">
        <v>97.85</v>
      </c>
    </row>
    <row r="1032" spans="1:4" x14ac:dyDescent="0.35">
      <c r="A1032" s="1" t="s">
        <v>122</v>
      </c>
      <c r="B1032" s="1" t="s">
        <v>135</v>
      </c>
      <c r="C1032">
        <v>2022</v>
      </c>
      <c r="D1032">
        <v>99.72</v>
      </c>
    </row>
    <row r="1033" spans="1:4" x14ac:dyDescent="0.35">
      <c r="A1033" s="1" t="s">
        <v>122</v>
      </c>
      <c r="B1033" s="1" t="s">
        <v>135</v>
      </c>
      <c r="C1033">
        <v>2023</v>
      </c>
      <c r="D1033">
        <v>99.72</v>
      </c>
    </row>
    <row r="1034" spans="1:4" x14ac:dyDescent="0.35">
      <c r="A1034" s="1" t="s">
        <v>126</v>
      </c>
      <c r="B1034" s="1" t="s">
        <v>135</v>
      </c>
      <c r="C1034">
        <v>2000</v>
      </c>
      <c r="D1034">
        <v>99.82</v>
      </c>
    </row>
    <row r="1035" spans="1:4" x14ac:dyDescent="0.35">
      <c r="A1035" s="1" t="s">
        <v>126</v>
      </c>
      <c r="B1035" s="1" t="s">
        <v>135</v>
      </c>
      <c r="C1035">
        <v>2001</v>
      </c>
      <c r="D1035">
        <v>99.85</v>
      </c>
    </row>
    <row r="1036" spans="1:4" x14ac:dyDescent="0.35">
      <c r="A1036" s="1" t="s">
        <v>126</v>
      </c>
      <c r="B1036" s="1" t="s">
        <v>135</v>
      </c>
      <c r="C1036">
        <v>2002</v>
      </c>
      <c r="D1036">
        <v>99.83</v>
      </c>
    </row>
    <row r="1037" spans="1:4" x14ac:dyDescent="0.35">
      <c r="A1037" s="1" t="s">
        <v>126</v>
      </c>
      <c r="B1037" s="1" t="s">
        <v>135</v>
      </c>
      <c r="C1037">
        <v>2003</v>
      </c>
      <c r="D1037">
        <v>99.83</v>
      </c>
    </row>
    <row r="1038" spans="1:4" x14ac:dyDescent="0.35">
      <c r="A1038" s="1" t="s">
        <v>126</v>
      </c>
      <c r="B1038" s="1" t="s">
        <v>135</v>
      </c>
      <c r="C1038">
        <v>2004</v>
      </c>
      <c r="D1038">
        <v>99.83</v>
      </c>
    </row>
    <row r="1039" spans="1:4" x14ac:dyDescent="0.35">
      <c r="A1039" s="1" t="s">
        <v>126</v>
      </c>
      <c r="B1039" s="1" t="s">
        <v>135</v>
      </c>
      <c r="C1039">
        <v>2005</v>
      </c>
      <c r="D1039">
        <v>99.84</v>
      </c>
    </row>
    <row r="1040" spans="1:4" x14ac:dyDescent="0.35">
      <c r="A1040" s="1" t="s">
        <v>126</v>
      </c>
      <c r="B1040" s="1" t="s">
        <v>135</v>
      </c>
      <c r="C1040">
        <v>2006</v>
      </c>
      <c r="D1040">
        <v>99.85</v>
      </c>
    </row>
    <row r="1041" spans="1:4" x14ac:dyDescent="0.35">
      <c r="A1041" s="1" t="s">
        <v>126</v>
      </c>
      <c r="B1041" s="1" t="s">
        <v>135</v>
      </c>
      <c r="C1041">
        <v>2007</v>
      </c>
      <c r="D1041">
        <v>99.87</v>
      </c>
    </row>
    <row r="1042" spans="1:4" x14ac:dyDescent="0.35">
      <c r="A1042" s="1" t="s">
        <v>126</v>
      </c>
      <c r="B1042" s="1" t="s">
        <v>135</v>
      </c>
      <c r="C1042">
        <v>2008</v>
      </c>
      <c r="D1042">
        <v>99.87</v>
      </c>
    </row>
    <row r="1043" spans="1:4" x14ac:dyDescent="0.35">
      <c r="A1043" s="1" t="s">
        <v>126</v>
      </c>
      <c r="B1043" s="1" t="s">
        <v>135</v>
      </c>
      <c r="C1043">
        <v>2009</v>
      </c>
      <c r="D1043">
        <v>99.87</v>
      </c>
    </row>
    <row r="1044" spans="1:4" x14ac:dyDescent="0.35">
      <c r="A1044" s="1" t="s">
        <v>126</v>
      </c>
      <c r="B1044" s="1" t="s">
        <v>135</v>
      </c>
      <c r="C1044">
        <v>2010</v>
      </c>
      <c r="D1044">
        <v>99.87</v>
      </c>
    </row>
    <row r="1045" spans="1:4" x14ac:dyDescent="0.35">
      <c r="A1045" s="1" t="s">
        <v>126</v>
      </c>
      <c r="B1045" s="1" t="s">
        <v>135</v>
      </c>
      <c r="C1045">
        <v>2011</v>
      </c>
      <c r="D1045">
        <v>99.87</v>
      </c>
    </row>
    <row r="1046" spans="1:4" x14ac:dyDescent="0.35">
      <c r="A1046" s="1" t="s">
        <v>126</v>
      </c>
      <c r="B1046" s="1" t="s">
        <v>135</v>
      </c>
      <c r="C1046">
        <v>2012</v>
      </c>
      <c r="D1046">
        <v>99.85</v>
      </c>
    </row>
    <row r="1047" spans="1:4" x14ac:dyDescent="0.35">
      <c r="A1047" s="1" t="s">
        <v>126</v>
      </c>
      <c r="B1047" s="1" t="s">
        <v>135</v>
      </c>
      <c r="C1047">
        <v>2013</v>
      </c>
      <c r="D1047">
        <v>99.85</v>
      </c>
    </row>
    <row r="1048" spans="1:4" x14ac:dyDescent="0.35">
      <c r="A1048" s="1" t="s">
        <v>126</v>
      </c>
      <c r="B1048" s="1" t="s">
        <v>135</v>
      </c>
      <c r="C1048">
        <v>2014</v>
      </c>
      <c r="D1048">
        <v>97.17</v>
      </c>
    </row>
    <row r="1049" spans="1:4" x14ac:dyDescent="0.35">
      <c r="A1049" s="1" t="s">
        <v>126</v>
      </c>
      <c r="B1049" s="1" t="s">
        <v>135</v>
      </c>
      <c r="C1049">
        <v>2015</v>
      </c>
      <c r="D1049">
        <v>97.01</v>
      </c>
    </row>
    <row r="1050" spans="1:4" x14ac:dyDescent="0.35">
      <c r="A1050" s="1" t="s">
        <v>126</v>
      </c>
      <c r="B1050" s="1" t="s">
        <v>135</v>
      </c>
      <c r="C1050">
        <v>2016</v>
      </c>
      <c r="D1050">
        <v>94.33</v>
      </c>
    </row>
    <row r="1051" spans="1:4" x14ac:dyDescent="0.35">
      <c r="A1051" s="1" t="s">
        <v>126</v>
      </c>
      <c r="B1051" s="1" t="s">
        <v>135</v>
      </c>
      <c r="C1051">
        <v>2017</v>
      </c>
      <c r="D1051">
        <v>86.37</v>
      </c>
    </row>
    <row r="1052" spans="1:4" x14ac:dyDescent="0.35">
      <c r="A1052" s="1" t="s">
        <v>126</v>
      </c>
      <c r="B1052" s="1" t="s">
        <v>135</v>
      </c>
      <c r="C1052">
        <v>2018</v>
      </c>
      <c r="D1052">
        <v>84.71</v>
      </c>
    </row>
    <row r="1053" spans="1:4" x14ac:dyDescent="0.35">
      <c r="A1053" s="1" t="s">
        <v>126</v>
      </c>
      <c r="B1053" s="1" t="s">
        <v>135</v>
      </c>
      <c r="C1053">
        <v>2019</v>
      </c>
      <c r="D1053">
        <v>82.93</v>
      </c>
    </row>
    <row r="1054" spans="1:4" x14ac:dyDescent="0.35">
      <c r="A1054" s="1" t="s">
        <v>126</v>
      </c>
      <c r="B1054" s="1" t="s">
        <v>135</v>
      </c>
      <c r="C1054">
        <v>2020</v>
      </c>
      <c r="D1054">
        <v>85.55</v>
      </c>
    </row>
    <row r="1055" spans="1:4" x14ac:dyDescent="0.35">
      <c r="A1055" s="1" t="s">
        <v>126</v>
      </c>
      <c r="B1055" s="1" t="s">
        <v>135</v>
      </c>
      <c r="C1055">
        <v>2021</v>
      </c>
      <c r="D1055">
        <v>92.05</v>
      </c>
    </row>
    <row r="1056" spans="1:4" x14ac:dyDescent="0.35">
      <c r="A1056" s="1" t="s">
        <v>126</v>
      </c>
      <c r="B1056" s="1" t="s">
        <v>135</v>
      </c>
      <c r="C1056">
        <v>2022</v>
      </c>
      <c r="D1056">
        <v>88.91</v>
      </c>
    </row>
    <row r="1057" spans="1:4" x14ac:dyDescent="0.35">
      <c r="A1057" s="1" t="s">
        <v>126</v>
      </c>
      <c r="B1057" s="1" t="s">
        <v>135</v>
      </c>
      <c r="C1057">
        <v>2023</v>
      </c>
      <c r="D1057">
        <v>89.06</v>
      </c>
    </row>
    <row r="1058" spans="1:4" x14ac:dyDescent="0.35">
      <c r="A1058" s="1" t="s">
        <v>128</v>
      </c>
      <c r="B1058" s="1" t="s">
        <v>135</v>
      </c>
      <c r="C1058">
        <v>2000</v>
      </c>
      <c r="D1058">
        <v>46.45</v>
      </c>
    </row>
    <row r="1059" spans="1:4" x14ac:dyDescent="0.35">
      <c r="A1059" s="1" t="s">
        <v>128</v>
      </c>
      <c r="B1059" s="1" t="s">
        <v>135</v>
      </c>
      <c r="C1059">
        <v>2001</v>
      </c>
      <c r="D1059">
        <v>38.619999999999997</v>
      </c>
    </row>
    <row r="1060" spans="1:4" x14ac:dyDescent="0.35">
      <c r="A1060" s="1" t="s">
        <v>128</v>
      </c>
      <c r="B1060" s="1" t="s">
        <v>135</v>
      </c>
      <c r="C1060">
        <v>2002</v>
      </c>
      <c r="D1060">
        <v>44.77</v>
      </c>
    </row>
    <row r="1061" spans="1:4" x14ac:dyDescent="0.35">
      <c r="A1061" s="1" t="s">
        <v>128</v>
      </c>
      <c r="B1061" s="1" t="s">
        <v>135</v>
      </c>
      <c r="C1061">
        <v>2003</v>
      </c>
      <c r="D1061">
        <v>60.68</v>
      </c>
    </row>
    <row r="1062" spans="1:4" x14ac:dyDescent="0.35">
      <c r="A1062" s="1" t="s">
        <v>128</v>
      </c>
      <c r="B1062" s="1" t="s">
        <v>135</v>
      </c>
      <c r="C1062">
        <v>2004</v>
      </c>
      <c r="D1062">
        <v>57</v>
      </c>
    </row>
    <row r="1063" spans="1:4" x14ac:dyDescent="0.35">
      <c r="A1063" s="1" t="s">
        <v>128</v>
      </c>
      <c r="B1063" s="1" t="s">
        <v>135</v>
      </c>
      <c r="C1063">
        <v>2005</v>
      </c>
      <c r="D1063">
        <v>52.58</v>
      </c>
    </row>
    <row r="1064" spans="1:4" x14ac:dyDescent="0.35">
      <c r="A1064" s="1" t="s">
        <v>128</v>
      </c>
      <c r="B1064" s="1" t="s">
        <v>135</v>
      </c>
      <c r="C1064">
        <v>2006</v>
      </c>
      <c r="D1064">
        <v>76.099999999999994</v>
      </c>
    </row>
    <row r="1065" spans="1:4" x14ac:dyDescent="0.35">
      <c r="A1065" s="1" t="s">
        <v>128</v>
      </c>
      <c r="B1065" s="1" t="s">
        <v>135</v>
      </c>
      <c r="C1065">
        <v>2007</v>
      </c>
      <c r="D1065">
        <v>78.33</v>
      </c>
    </row>
    <row r="1066" spans="1:4" x14ac:dyDescent="0.35">
      <c r="A1066" s="1" t="s">
        <v>128</v>
      </c>
      <c r="B1066" s="1" t="s">
        <v>135</v>
      </c>
      <c r="C1066">
        <v>2008</v>
      </c>
      <c r="D1066">
        <v>81.02</v>
      </c>
    </row>
    <row r="1067" spans="1:4" x14ac:dyDescent="0.35">
      <c r="A1067" s="1" t="s">
        <v>128</v>
      </c>
      <c r="B1067" s="1" t="s">
        <v>135</v>
      </c>
      <c r="C1067">
        <v>2009</v>
      </c>
      <c r="D1067">
        <v>80.87</v>
      </c>
    </row>
    <row r="1068" spans="1:4" x14ac:dyDescent="0.35">
      <c r="A1068" s="1" t="s">
        <v>128</v>
      </c>
      <c r="B1068" s="1" t="s">
        <v>135</v>
      </c>
      <c r="C1068">
        <v>2010</v>
      </c>
      <c r="D1068">
        <v>75.97</v>
      </c>
    </row>
    <row r="1069" spans="1:4" x14ac:dyDescent="0.35">
      <c r="A1069" s="1" t="s">
        <v>128</v>
      </c>
      <c r="B1069" s="1" t="s">
        <v>135</v>
      </c>
      <c r="C1069">
        <v>2011</v>
      </c>
      <c r="D1069">
        <v>70.44</v>
      </c>
    </row>
    <row r="1070" spans="1:4" x14ac:dyDescent="0.35">
      <c r="A1070" s="1" t="s">
        <v>128</v>
      </c>
      <c r="B1070" s="1" t="s">
        <v>135</v>
      </c>
      <c r="C1070">
        <v>2012</v>
      </c>
      <c r="D1070">
        <v>72.06</v>
      </c>
    </row>
    <row r="1071" spans="1:4" x14ac:dyDescent="0.35">
      <c r="A1071" s="1" t="s">
        <v>128</v>
      </c>
      <c r="B1071" s="1" t="s">
        <v>135</v>
      </c>
      <c r="C1071">
        <v>2013</v>
      </c>
      <c r="D1071">
        <v>69.75</v>
      </c>
    </row>
    <row r="1072" spans="1:4" x14ac:dyDescent="0.35">
      <c r="A1072" s="1" t="s">
        <v>128</v>
      </c>
      <c r="B1072" s="1" t="s">
        <v>135</v>
      </c>
      <c r="C1072">
        <v>2014</v>
      </c>
      <c r="D1072">
        <v>69.63</v>
      </c>
    </row>
    <row r="1073" spans="1:4" x14ac:dyDescent="0.35">
      <c r="A1073" s="1" t="s">
        <v>128</v>
      </c>
      <c r="B1073" s="1" t="s">
        <v>135</v>
      </c>
      <c r="C1073">
        <v>2015</v>
      </c>
      <c r="D1073">
        <v>68.89</v>
      </c>
    </row>
    <row r="1074" spans="1:4" x14ac:dyDescent="0.35">
      <c r="A1074" s="1" t="s">
        <v>128</v>
      </c>
      <c r="B1074" s="1" t="s">
        <v>135</v>
      </c>
      <c r="C1074">
        <v>2016</v>
      </c>
      <c r="D1074">
        <v>62.57</v>
      </c>
    </row>
    <row r="1075" spans="1:4" x14ac:dyDescent="0.35">
      <c r="A1075" s="1" t="s">
        <v>128</v>
      </c>
      <c r="B1075" s="1" t="s">
        <v>135</v>
      </c>
      <c r="C1075">
        <v>2017</v>
      </c>
      <c r="D1075">
        <v>67.75</v>
      </c>
    </row>
    <row r="1076" spans="1:4" x14ac:dyDescent="0.35">
      <c r="A1076" s="1" t="s">
        <v>128</v>
      </c>
      <c r="B1076" s="1" t="s">
        <v>135</v>
      </c>
      <c r="C1076">
        <v>2018</v>
      </c>
      <c r="D1076">
        <v>72.13</v>
      </c>
    </row>
    <row r="1077" spans="1:4" x14ac:dyDescent="0.35">
      <c r="A1077" s="1" t="s">
        <v>128</v>
      </c>
      <c r="B1077" s="1" t="s">
        <v>135</v>
      </c>
      <c r="C1077">
        <v>2019</v>
      </c>
      <c r="D1077">
        <v>72</v>
      </c>
    </row>
    <row r="1078" spans="1:4" x14ac:dyDescent="0.35">
      <c r="A1078" s="1" t="s">
        <v>128</v>
      </c>
      <c r="B1078" s="1" t="s">
        <v>135</v>
      </c>
      <c r="C1078">
        <v>2020</v>
      </c>
      <c r="D1078">
        <v>72.400000000000006</v>
      </c>
    </row>
    <row r="1079" spans="1:4" x14ac:dyDescent="0.35">
      <c r="A1079" s="1" t="s">
        <v>128</v>
      </c>
      <c r="B1079" s="1" t="s">
        <v>135</v>
      </c>
      <c r="C1079">
        <v>2021</v>
      </c>
      <c r="D1079">
        <v>77.53</v>
      </c>
    </row>
    <row r="1080" spans="1:4" x14ac:dyDescent="0.35">
      <c r="A1080" s="1" t="s">
        <v>128</v>
      </c>
      <c r="B1080" s="1" t="s">
        <v>135</v>
      </c>
      <c r="C1080">
        <v>2022</v>
      </c>
      <c r="D1080">
        <v>75.5</v>
      </c>
    </row>
    <row r="1081" spans="1:4" x14ac:dyDescent="0.35">
      <c r="A1081" s="1" t="s">
        <v>128</v>
      </c>
      <c r="B1081" s="1" t="s">
        <v>135</v>
      </c>
      <c r="C1081">
        <v>2023</v>
      </c>
      <c r="D1081">
        <v>64.98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054F-58CE-41AE-A99F-6521E2E2C9E0}">
  <dimension ref="A1:AB49"/>
  <sheetViews>
    <sheetView workbookViewId="0">
      <selection activeCell="D16" sqref="D16"/>
    </sheetView>
  </sheetViews>
  <sheetFormatPr defaultRowHeight="14.5" x14ac:dyDescent="0.35"/>
  <cols>
    <col min="1" max="1" width="21.36328125" customWidth="1"/>
    <col min="2" max="2" width="14.453125" bestFit="1" customWidth="1"/>
    <col min="3" max="3" width="21.90625" bestFit="1" customWidth="1"/>
    <col min="4" max="4" width="18.08984375" customWidth="1"/>
    <col min="5" max="28" width="7.08984375" bestFit="1" customWidth="1"/>
    <col min="29" max="29" width="6.81640625" bestFit="1" customWidth="1"/>
    <col min="30" max="30" width="20.17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 t="s">
        <v>28</v>
      </c>
      <c r="B2" s="1" t="s">
        <v>29</v>
      </c>
      <c r="C2" s="1" t="s">
        <v>30</v>
      </c>
      <c r="D2" s="1" t="s">
        <v>31</v>
      </c>
      <c r="E2">
        <v>24.2</v>
      </c>
      <c r="F2">
        <v>20</v>
      </c>
      <c r="G2">
        <v>26.3</v>
      </c>
      <c r="H2">
        <v>27.4</v>
      </c>
      <c r="I2">
        <v>28.4</v>
      </c>
      <c r="J2">
        <v>29.4</v>
      </c>
      <c r="K2">
        <v>30.5</v>
      </c>
      <c r="L2">
        <v>37.5</v>
      </c>
      <c r="M2">
        <v>38.5</v>
      </c>
      <c r="N2">
        <v>33.799999999999997</v>
      </c>
      <c r="O2">
        <v>35</v>
      </c>
      <c r="P2">
        <v>34.6</v>
      </c>
      <c r="Q2">
        <v>37.299999999999997</v>
      </c>
      <c r="R2">
        <v>38.4</v>
      </c>
      <c r="S2">
        <v>32</v>
      </c>
      <c r="T2">
        <v>42</v>
      </c>
      <c r="U2">
        <v>41.8</v>
      </c>
      <c r="V2">
        <v>42.9</v>
      </c>
      <c r="W2">
        <v>45.3</v>
      </c>
      <c r="X2">
        <v>45.6</v>
      </c>
      <c r="Y2">
        <v>47</v>
      </c>
      <c r="Z2">
        <v>48.2</v>
      </c>
      <c r="AA2">
        <v>48.5</v>
      </c>
      <c r="AB2">
        <v>51.1</v>
      </c>
    </row>
    <row r="3" spans="1:28" x14ac:dyDescent="0.35">
      <c r="A3" s="1" t="s">
        <v>32</v>
      </c>
      <c r="B3" s="1" t="s">
        <v>33</v>
      </c>
      <c r="C3" s="1" t="s">
        <v>30</v>
      </c>
      <c r="D3" s="1" t="s">
        <v>34</v>
      </c>
      <c r="E3">
        <v>2.5</v>
      </c>
      <c r="F3">
        <v>2.8</v>
      </c>
      <c r="G3">
        <v>3.1</v>
      </c>
      <c r="H3">
        <v>3.4</v>
      </c>
      <c r="I3">
        <v>3.7</v>
      </c>
      <c r="J3">
        <v>3.2</v>
      </c>
      <c r="K3">
        <v>2.7</v>
      </c>
      <c r="L3">
        <v>4.7</v>
      </c>
      <c r="M3">
        <v>4.8</v>
      </c>
      <c r="N3">
        <v>5.4</v>
      </c>
      <c r="O3">
        <v>5.3</v>
      </c>
      <c r="P3">
        <v>6.2</v>
      </c>
      <c r="Q3">
        <v>6.5</v>
      </c>
      <c r="R3">
        <v>6.9</v>
      </c>
      <c r="S3">
        <v>7</v>
      </c>
      <c r="T3">
        <v>7.9</v>
      </c>
      <c r="U3">
        <v>8.5</v>
      </c>
      <c r="V3">
        <v>9.3000000000000007</v>
      </c>
      <c r="W3">
        <v>9.5</v>
      </c>
      <c r="X3">
        <v>9.8000000000000007</v>
      </c>
      <c r="Y3">
        <v>9.1</v>
      </c>
      <c r="Z3">
        <v>10.199999999999999</v>
      </c>
      <c r="AA3">
        <v>10.3</v>
      </c>
      <c r="AB3">
        <v>11.6</v>
      </c>
    </row>
    <row r="4" spans="1:28" x14ac:dyDescent="0.35">
      <c r="A4" s="1" t="s">
        <v>35</v>
      </c>
      <c r="B4" s="1" t="s">
        <v>36</v>
      </c>
      <c r="C4" s="1" t="s">
        <v>30</v>
      </c>
      <c r="D4" s="1" t="s">
        <v>31</v>
      </c>
      <c r="E4">
        <v>21.5</v>
      </c>
      <c r="F4">
        <v>21.9</v>
      </c>
      <c r="G4">
        <v>23.4</v>
      </c>
      <c r="H4">
        <v>24.3</v>
      </c>
      <c r="I4">
        <v>25.2</v>
      </c>
      <c r="J4">
        <v>26.1</v>
      </c>
      <c r="K4">
        <v>27.9</v>
      </c>
      <c r="L4">
        <v>28</v>
      </c>
      <c r="M4">
        <v>29</v>
      </c>
      <c r="N4">
        <v>30</v>
      </c>
      <c r="O4">
        <v>34.200000000000003</v>
      </c>
      <c r="P4">
        <v>36.9</v>
      </c>
      <c r="Q4">
        <v>38.4</v>
      </c>
      <c r="R4">
        <v>34.700000000000003</v>
      </c>
      <c r="S4">
        <v>34.1</v>
      </c>
      <c r="T4">
        <v>29.6</v>
      </c>
      <c r="U4">
        <v>37</v>
      </c>
      <c r="V4">
        <v>34.5</v>
      </c>
      <c r="W4">
        <v>39</v>
      </c>
      <c r="X4">
        <v>40</v>
      </c>
      <c r="Y4">
        <v>41</v>
      </c>
      <c r="Z4">
        <v>42</v>
      </c>
      <c r="AA4">
        <v>56.5</v>
      </c>
      <c r="AB4">
        <v>57</v>
      </c>
    </row>
    <row r="5" spans="1:28" x14ac:dyDescent="0.35">
      <c r="A5" s="1" t="s">
        <v>37</v>
      </c>
      <c r="B5" s="1" t="s">
        <v>38</v>
      </c>
      <c r="C5" s="1" t="s">
        <v>30</v>
      </c>
      <c r="D5" s="1" t="s">
        <v>34</v>
      </c>
      <c r="E5">
        <v>9.1</v>
      </c>
      <c r="F5">
        <v>9.5</v>
      </c>
      <c r="G5">
        <v>9.9</v>
      </c>
      <c r="H5">
        <v>11.4</v>
      </c>
      <c r="I5">
        <v>10.7</v>
      </c>
      <c r="J5">
        <v>11.1</v>
      </c>
      <c r="K5">
        <v>11.6</v>
      </c>
      <c r="L5">
        <v>12</v>
      </c>
      <c r="M5">
        <v>12.5</v>
      </c>
      <c r="N5">
        <v>12.6</v>
      </c>
      <c r="O5">
        <v>13.1</v>
      </c>
      <c r="P5">
        <v>14.8</v>
      </c>
      <c r="Q5">
        <v>15.1</v>
      </c>
      <c r="R5">
        <v>15.4</v>
      </c>
      <c r="S5">
        <v>19.2</v>
      </c>
      <c r="T5">
        <v>16.2</v>
      </c>
      <c r="U5">
        <v>16.600000000000001</v>
      </c>
      <c r="V5">
        <v>17</v>
      </c>
      <c r="W5">
        <v>14.4</v>
      </c>
      <c r="X5">
        <v>17.600000000000001</v>
      </c>
      <c r="Y5">
        <v>18.5</v>
      </c>
      <c r="Z5">
        <v>19</v>
      </c>
      <c r="AA5">
        <v>19.5</v>
      </c>
      <c r="AB5">
        <v>21.7</v>
      </c>
    </row>
    <row r="6" spans="1:28" x14ac:dyDescent="0.35">
      <c r="A6" s="1" t="s">
        <v>39</v>
      </c>
      <c r="B6" s="1" t="s">
        <v>40</v>
      </c>
      <c r="C6" s="1" t="s">
        <v>30</v>
      </c>
      <c r="D6" s="1" t="s">
        <v>41</v>
      </c>
      <c r="E6">
        <v>26.5</v>
      </c>
      <c r="F6">
        <v>24.8</v>
      </c>
      <c r="G6">
        <v>27</v>
      </c>
      <c r="H6">
        <v>33.1</v>
      </c>
      <c r="I6">
        <v>35.299999999999997</v>
      </c>
      <c r="J6">
        <v>37.5</v>
      </c>
      <c r="K6">
        <v>39.700000000000003</v>
      </c>
      <c r="L6">
        <v>41.9</v>
      </c>
      <c r="M6">
        <v>44.5</v>
      </c>
      <c r="N6">
        <v>43.4</v>
      </c>
      <c r="O6">
        <v>52</v>
      </c>
      <c r="P6">
        <v>53.2</v>
      </c>
      <c r="Q6">
        <v>56</v>
      </c>
      <c r="R6">
        <v>58</v>
      </c>
      <c r="S6">
        <v>60</v>
      </c>
      <c r="T6">
        <v>62.1</v>
      </c>
      <c r="U6">
        <v>64.2</v>
      </c>
      <c r="V6">
        <v>67.400000000000006</v>
      </c>
      <c r="W6">
        <v>68.3</v>
      </c>
      <c r="X6">
        <v>70.099999999999994</v>
      </c>
      <c r="Y6">
        <v>71.8</v>
      </c>
      <c r="Z6">
        <v>73.7</v>
      </c>
      <c r="AA6">
        <v>75.900000000000006</v>
      </c>
      <c r="AB6">
        <v>76</v>
      </c>
    </row>
    <row r="7" spans="1:28" x14ac:dyDescent="0.35">
      <c r="A7" s="1" t="s">
        <v>42</v>
      </c>
      <c r="B7" s="1" t="s">
        <v>43</v>
      </c>
      <c r="C7" s="1" t="s">
        <v>30</v>
      </c>
      <c r="D7" s="1" t="s">
        <v>34</v>
      </c>
      <c r="E7">
        <v>6</v>
      </c>
      <c r="F7">
        <v>5.7</v>
      </c>
      <c r="G7">
        <v>6.1</v>
      </c>
      <c r="H7">
        <v>6.6</v>
      </c>
      <c r="I7">
        <v>7</v>
      </c>
      <c r="J7">
        <v>7.4</v>
      </c>
      <c r="K7">
        <v>7.8</v>
      </c>
      <c r="L7">
        <v>8.4</v>
      </c>
      <c r="M7">
        <v>7.5</v>
      </c>
      <c r="N7">
        <v>9.4</v>
      </c>
      <c r="O7">
        <v>9.8000000000000007</v>
      </c>
      <c r="P7">
        <v>10.4</v>
      </c>
      <c r="Q7">
        <v>11</v>
      </c>
      <c r="R7">
        <v>11.5</v>
      </c>
      <c r="S7">
        <v>12</v>
      </c>
      <c r="T7">
        <v>12.7</v>
      </c>
      <c r="U7">
        <v>13.4</v>
      </c>
      <c r="V7">
        <v>14.1</v>
      </c>
      <c r="W7">
        <v>14.6</v>
      </c>
      <c r="X7">
        <v>14.3</v>
      </c>
      <c r="Y7">
        <v>15.4</v>
      </c>
      <c r="Z7">
        <v>15.7</v>
      </c>
      <c r="AA7">
        <v>15.7</v>
      </c>
      <c r="AB7">
        <v>17.600000000000001</v>
      </c>
    </row>
    <row r="8" spans="1:28" x14ac:dyDescent="0.35">
      <c r="A8" s="1" t="s">
        <v>44</v>
      </c>
      <c r="B8" s="1" t="s">
        <v>45</v>
      </c>
      <c r="C8" s="1" t="s">
        <v>30</v>
      </c>
      <c r="D8" s="1" t="s">
        <v>31</v>
      </c>
      <c r="E8">
        <v>41</v>
      </c>
      <c r="F8">
        <v>46.2</v>
      </c>
      <c r="G8">
        <v>44</v>
      </c>
      <c r="H8">
        <v>45.1</v>
      </c>
      <c r="I8">
        <v>47.1</v>
      </c>
      <c r="J8">
        <v>47.2</v>
      </c>
      <c r="K8">
        <v>49</v>
      </c>
      <c r="L8">
        <v>48.2</v>
      </c>
      <c r="M8">
        <v>50.6</v>
      </c>
      <c r="N8">
        <v>51.7</v>
      </c>
      <c r="O8">
        <v>52.8</v>
      </c>
      <c r="P8">
        <v>53.7</v>
      </c>
      <c r="Q8">
        <v>55.2</v>
      </c>
      <c r="R8">
        <v>56.3</v>
      </c>
      <c r="S8">
        <v>56.8</v>
      </c>
      <c r="T8">
        <v>58.6</v>
      </c>
      <c r="U8">
        <v>59.8</v>
      </c>
      <c r="V8">
        <v>60.9</v>
      </c>
      <c r="W8">
        <v>62.2</v>
      </c>
      <c r="X8">
        <v>63.2</v>
      </c>
      <c r="Y8">
        <v>64.3</v>
      </c>
      <c r="Z8">
        <v>65.400000000000006</v>
      </c>
      <c r="AA8">
        <v>71</v>
      </c>
      <c r="AB8">
        <v>72</v>
      </c>
    </row>
    <row r="9" spans="1:28" x14ac:dyDescent="0.35">
      <c r="A9" s="1" t="s">
        <v>46</v>
      </c>
      <c r="B9" s="1" t="s">
        <v>47</v>
      </c>
      <c r="C9" s="1" t="s">
        <v>30</v>
      </c>
      <c r="D9" s="1" t="s">
        <v>31</v>
      </c>
      <c r="E9">
        <v>39.799999999999997</v>
      </c>
      <c r="F9">
        <v>42</v>
      </c>
      <c r="G9">
        <v>44.8</v>
      </c>
      <c r="H9">
        <v>46.5</v>
      </c>
      <c r="I9">
        <v>48.7</v>
      </c>
      <c r="J9">
        <v>51</v>
      </c>
      <c r="K9">
        <v>53.2</v>
      </c>
      <c r="L9">
        <v>55.5</v>
      </c>
      <c r="M9">
        <v>57.8</v>
      </c>
      <c r="N9">
        <v>60.1</v>
      </c>
      <c r="O9">
        <v>69.7</v>
      </c>
      <c r="P9">
        <v>69.3</v>
      </c>
      <c r="Q9">
        <v>69.3</v>
      </c>
      <c r="R9">
        <v>69.400000000000006</v>
      </c>
      <c r="S9">
        <v>71.8</v>
      </c>
      <c r="T9">
        <v>74.099999999999994</v>
      </c>
      <c r="U9">
        <v>76.400000000000006</v>
      </c>
      <c r="V9">
        <v>78.7</v>
      </c>
      <c r="W9">
        <v>81</v>
      </c>
      <c r="X9">
        <v>83.3</v>
      </c>
      <c r="Y9">
        <v>85.6</v>
      </c>
      <c r="Z9">
        <v>87.9</v>
      </c>
      <c r="AA9">
        <v>89.9</v>
      </c>
      <c r="AB9">
        <v>89.8</v>
      </c>
    </row>
    <row r="10" spans="1:28" x14ac:dyDescent="0.35">
      <c r="A10" s="1" t="s">
        <v>48</v>
      </c>
      <c r="B10" s="1" t="s">
        <v>49</v>
      </c>
      <c r="C10" s="1" t="s">
        <v>30</v>
      </c>
      <c r="D10" s="1" t="s">
        <v>41</v>
      </c>
      <c r="E10">
        <v>58.6</v>
      </c>
      <c r="F10">
        <v>60.3</v>
      </c>
      <c r="G10">
        <v>58.6</v>
      </c>
      <c r="H10">
        <v>63.7</v>
      </c>
      <c r="I10">
        <v>65.400000000000006</v>
      </c>
      <c r="J10">
        <v>67</v>
      </c>
      <c r="K10">
        <v>68.8</v>
      </c>
      <c r="L10">
        <v>70.5</v>
      </c>
      <c r="M10">
        <v>72.3</v>
      </c>
      <c r="N10">
        <v>74.099999999999994</v>
      </c>
      <c r="O10">
        <v>81.099999999999994</v>
      </c>
      <c r="P10">
        <v>82.3</v>
      </c>
      <c r="Q10">
        <v>83.2</v>
      </c>
      <c r="R10">
        <v>84.3</v>
      </c>
      <c r="S10">
        <v>85.3</v>
      </c>
      <c r="T10">
        <v>86.4</v>
      </c>
      <c r="U10">
        <v>87.5</v>
      </c>
      <c r="V10">
        <v>88.6</v>
      </c>
      <c r="W10">
        <v>90.2</v>
      </c>
      <c r="X10">
        <v>91.4</v>
      </c>
      <c r="Y10">
        <v>93.7</v>
      </c>
      <c r="Z10">
        <v>95.5</v>
      </c>
      <c r="AA10">
        <v>97.1</v>
      </c>
      <c r="AB10">
        <v>98.6</v>
      </c>
    </row>
    <row r="11" spans="1:28" x14ac:dyDescent="0.35">
      <c r="A11" s="1" t="s">
        <v>50</v>
      </c>
      <c r="B11" s="1" t="s">
        <v>51</v>
      </c>
      <c r="C11" s="1" t="s">
        <v>52</v>
      </c>
      <c r="D11" s="1" t="s">
        <v>31</v>
      </c>
      <c r="E11">
        <v>56</v>
      </c>
      <c r="F11">
        <v>56.1</v>
      </c>
      <c r="G11">
        <v>49.7</v>
      </c>
      <c r="H11">
        <v>56.4</v>
      </c>
      <c r="I11">
        <v>56.6</v>
      </c>
      <c r="J11">
        <v>56.8</v>
      </c>
      <c r="K11">
        <v>55.5</v>
      </c>
      <c r="L11">
        <v>57.2</v>
      </c>
      <c r="M11">
        <v>57.4</v>
      </c>
      <c r="N11">
        <v>57.6</v>
      </c>
      <c r="O11">
        <v>57.9</v>
      </c>
      <c r="P11">
        <v>58.1</v>
      </c>
      <c r="Q11">
        <v>54.6</v>
      </c>
      <c r="R11">
        <v>58.6</v>
      </c>
      <c r="S11">
        <v>58.9</v>
      </c>
      <c r="T11">
        <v>59.1</v>
      </c>
      <c r="U11">
        <v>59.8</v>
      </c>
      <c r="V11">
        <v>60.2</v>
      </c>
      <c r="W11">
        <v>62.4</v>
      </c>
      <c r="X11">
        <v>64.7</v>
      </c>
      <c r="Y11">
        <v>64.5</v>
      </c>
      <c r="Z11">
        <v>65.400000000000006</v>
      </c>
      <c r="AA11">
        <v>65</v>
      </c>
      <c r="AB11">
        <v>65.2</v>
      </c>
    </row>
    <row r="12" spans="1:28" x14ac:dyDescent="0.35">
      <c r="A12" s="1" t="s">
        <v>53</v>
      </c>
      <c r="B12" s="1" t="s">
        <v>54</v>
      </c>
      <c r="C12" s="1" t="s">
        <v>52</v>
      </c>
      <c r="D12" s="1" t="s">
        <v>41</v>
      </c>
      <c r="E12">
        <v>98.6</v>
      </c>
      <c r="F12">
        <v>98.6</v>
      </c>
      <c r="G12">
        <v>98.6</v>
      </c>
      <c r="H12">
        <v>98.6</v>
      </c>
      <c r="I12">
        <v>98.6</v>
      </c>
      <c r="J12">
        <v>98.6</v>
      </c>
      <c r="K12">
        <v>98.7</v>
      </c>
      <c r="L12">
        <v>98.7</v>
      </c>
      <c r="M12">
        <v>99.3</v>
      </c>
      <c r="N12">
        <v>98.8</v>
      </c>
      <c r="O12">
        <v>98.9</v>
      </c>
      <c r="P12">
        <v>99</v>
      </c>
      <c r="Q12">
        <v>98.8</v>
      </c>
      <c r="R12">
        <v>99.2</v>
      </c>
      <c r="S12">
        <v>99.3</v>
      </c>
      <c r="T12">
        <v>99.4</v>
      </c>
      <c r="U12">
        <v>99.4</v>
      </c>
      <c r="V12">
        <v>99.5</v>
      </c>
      <c r="W12">
        <v>99.6</v>
      </c>
      <c r="X12">
        <v>99.5</v>
      </c>
      <c r="Y12">
        <v>99.7</v>
      </c>
      <c r="Z12">
        <v>99.8</v>
      </c>
      <c r="AA12">
        <v>100</v>
      </c>
      <c r="AB12">
        <v>100</v>
      </c>
    </row>
    <row r="13" spans="1:28" x14ac:dyDescent="0.35">
      <c r="A13" s="1" t="s">
        <v>55</v>
      </c>
      <c r="B13" s="1" t="s">
        <v>56</v>
      </c>
      <c r="C13" s="1" t="s">
        <v>30</v>
      </c>
      <c r="D13" s="1" t="s">
        <v>34</v>
      </c>
      <c r="E13">
        <v>29.3</v>
      </c>
      <c r="F13">
        <v>30.3</v>
      </c>
      <c r="G13">
        <v>32.200000000000003</v>
      </c>
      <c r="H13">
        <v>32.4</v>
      </c>
      <c r="I13">
        <v>33.4</v>
      </c>
      <c r="J13">
        <v>34.5</v>
      </c>
      <c r="K13">
        <v>35.6</v>
      </c>
      <c r="L13">
        <v>36.700000000000003</v>
      </c>
      <c r="M13">
        <v>37.799999999999997</v>
      </c>
      <c r="N13">
        <v>38.9</v>
      </c>
      <c r="O13">
        <v>40.1</v>
      </c>
      <c r="P13">
        <v>41.2</v>
      </c>
      <c r="Q13">
        <v>42.3</v>
      </c>
      <c r="R13">
        <v>43.5</v>
      </c>
      <c r="S13">
        <v>44.6</v>
      </c>
      <c r="T13">
        <v>45.8</v>
      </c>
      <c r="U13">
        <v>46.9</v>
      </c>
      <c r="V13">
        <v>48</v>
      </c>
      <c r="W13">
        <v>49.1</v>
      </c>
      <c r="X13">
        <v>50.3</v>
      </c>
      <c r="Y13">
        <v>51.4</v>
      </c>
      <c r="Z13">
        <v>52.5</v>
      </c>
      <c r="AA13">
        <v>53.4</v>
      </c>
      <c r="AB13">
        <v>54.4</v>
      </c>
    </row>
    <row r="14" spans="1:28" x14ac:dyDescent="0.35">
      <c r="A14" s="1" t="s">
        <v>57</v>
      </c>
      <c r="B14" s="1" t="s">
        <v>58</v>
      </c>
      <c r="C14" s="1" t="s">
        <v>30</v>
      </c>
      <c r="D14" s="1" t="s">
        <v>34</v>
      </c>
      <c r="E14">
        <v>12.7</v>
      </c>
      <c r="F14">
        <v>10.199999999999999</v>
      </c>
      <c r="G14">
        <v>11.9</v>
      </c>
      <c r="H14">
        <v>13.5</v>
      </c>
      <c r="I14">
        <v>15.2</v>
      </c>
      <c r="J14">
        <v>14</v>
      </c>
      <c r="K14">
        <v>18.600000000000001</v>
      </c>
      <c r="L14">
        <v>20.3</v>
      </c>
      <c r="M14">
        <v>22</v>
      </c>
      <c r="N14">
        <v>23.7</v>
      </c>
      <c r="O14">
        <v>25.5</v>
      </c>
      <c r="P14">
        <v>23</v>
      </c>
      <c r="Q14">
        <v>29</v>
      </c>
      <c r="R14">
        <v>30.8</v>
      </c>
      <c r="S14">
        <v>27.2</v>
      </c>
      <c r="T14">
        <v>29</v>
      </c>
      <c r="U14">
        <v>42.9</v>
      </c>
      <c r="V14">
        <v>44.3</v>
      </c>
      <c r="W14">
        <v>44.8</v>
      </c>
      <c r="X14">
        <v>48</v>
      </c>
      <c r="Y14">
        <v>51.1</v>
      </c>
      <c r="Z14">
        <v>54.2</v>
      </c>
      <c r="AA14">
        <v>55.4</v>
      </c>
      <c r="AB14">
        <v>55.4</v>
      </c>
    </row>
    <row r="15" spans="1:28" x14ac:dyDescent="0.35">
      <c r="A15" s="1" t="s">
        <v>59</v>
      </c>
      <c r="B15" s="1" t="s">
        <v>60</v>
      </c>
      <c r="C15" s="1" t="s">
        <v>30</v>
      </c>
      <c r="D15" s="1" t="s">
        <v>41</v>
      </c>
      <c r="E15">
        <v>73.599999999999994</v>
      </c>
      <c r="F15">
        <v>77.2</v>
      </c>
      <c r="G15">
        <v>77.8</v>
      </c>
      <c r="H15">
        <v>78.5</v>
      </c>
      <c r="I15">
        <v>79.2</v>
      </c>
      <c r="J15">
        <v>81.599999999999994</v>
      </c>
      <c r="K15">
        <v>80.5</v>
      </c>
      <c r="L15">
        <v>81.3</v>
      </c>
      <c r="M15">
        <v>82</v>
      </c>
      <c r="N15">
        <v>82.7</v>
      </c>
      <c r="O15">
        <v>89.3</v>
      </c>
      <c r="P15">
        <v>88.7</v>
      </c>
      <c r="Q15">
        <v>89.3</v>
      </c>
      <c r="R15">
        <v>86.4</v>
      </c>
      <c r="S15">
        <v>87.1</v>
      </c>
      <c r="T15">
        <v>87.3</v>
      </c>
      <c r="U15">
        <v>88.1</v>
      </c>
      <c r="V15">
        <v>86.3</v>
      </c>
      <c r="W15">
        <v>89.6</v>
      </c>
      <c r="X15">
        <v>90.3</v>
      </c>
      <c r="Y15">
        <v>91.1</v>
      </c>
      <c r="Z15">
        <v>91.8</v>
      </c>
      <c r="AA15">
        <v>93.5</v>
      </c>
      <c r="AB15">
        <v>94.1</v>
      </c>
    </row>
    <row r="16" spans="1:28" x14ac:dyDescent="0.35">
      <c r="A16" s="1" t="s">
        <v>61</v>
      </c>
      <c r="B16" s="1" t="s">
        <v>62</v>
      </c>
      <c r="C16" s="1" t="s">
        <v>30</v>
      </c>
      <c r="D16" s="1" t="s">
        <v>31</v>
      </c>
      <c r="E16">
        <v>43.7</v>
      </c>
      <c r="F16">
        <v>44.8</v>
      </c>
      <c r="G16">
        <v>46.8</v>
      </c>
      <c r="H16">
        <v>48.3</v>
      </c>
      <c r="I16">
        <v>50.8</v>
      </c>
      <c r="J16">
        <v>41.3</v>
      </c>
      <c r="K16">
        <v>55.1</v>
      </c>
      <c r="L16">
        <v>56.9</v>
      </c>
      <c r="M16">
        <v>60.5</v>
      </c>
      <c r="N16">
        <v>61.1</v>
      </c>
      <c r="O16">
        <v>64.2</v>
      </c>
      <c r="P16">
        <v>64.099999999999994</v>
      </c>
      <c r="Q16">
        <v>56.5</v>
      </c>
      <c r="R16">
        <v>70.7</v>
      </c>
      <c r="S16">
        <v>78.3</v>
      </c>
      <c r="T16">
        <v>74</v>
      </c>
      <c r="U16">
        <v>79.3</v>
      </c>
      <c r="V16">
        <v>79</v>
      </c>
      <c r="W16">
        <v>80.400000000000006</v>
      </c>
      <c r="X16">
        <v>83.5</v>
      </c>
      <c r="Y16">
        <v>85.4</v>
      </c>
      <c r="Z16">
        <v>86.3</v>
      </c>
      <c r="AA16">
        <v>85.1</v>
      </c>
      <c r="AB16">
        <v>89.5</v>
      </c>
    </row>
    <row r="17" spans="1:28" x14ac:dyDescent="0.35">
      <c r="A17" s="1" t="s">
        <v>63</v>
      </c>
      <c r="B17" s="1" t="s">
        <v>64</v>
      </c>
      <c r="C17" s="1" t="s">
        <v>30</v>
      </c>
      <c r="D17" s="1" t="s">
        <v>31</v>
      </c>
      <c r="E17">
        <v>15.2</v>
      </c>
      <c r="F17">
        <v>16.399999999999999</v>
      </c>
      <c r="G17">
        <v>17.7</v>
      </c>
      <c r="H17">
        <v>18.899999999999999</v>
      </c>
      <c r="I17">
        <v>20.2</v>
      </c>
      <c r="J17">
        <v>20.2</v>
      </c>
      <c r="K17">
        <v>22.8</v>
      </c>
      <c r="L17">
        <v>24.1</v>
      </c>
      <c r="M17">
        <v>25.4</v>
      </c>
      <c r="N17">
        <v>26.7</v>
      </c>
      <c r="O17">
        <v>28.1</v>
      </c>
      <c r="P17">
        <v>29.5</v>
      </c>
      <c r="Q17">
        <v>26.2</v>
      </c>
      <c r="R17">
        <v>32.200000000000003</v>
      </c>
      <c r="S17">
        <v>33.5</v>
      </c>
      <c r="T17">
        <v>34.9</v>
      </c>
      <c r="U17">
        <v>33.5</v>
      </c>
      <c r="V17">
        <v>35.4</v>
      </c>
      <c r="W17">
        <v>45</v>
      </c>
      <c r="X17">
        <v>42.2</v>
      </c>
      <c r="Y17">
        <v>44.7</v>
      </c>
      <c r="Z17">
        <v>46.8</v>
      </c>
      <c r="AA17">
        <v>47.7</v>
      </c>
      <c r="AB17">
        <v>51.1</v>
      </c>
    </row>
    <row r="18" spans="1:28" x14ac:dyDescent="0.35">
      <c r="A18" s="1" t="s">
        <v>65</v>
      </c>
      <c r="B18" s="1" t="s">
        <v>66</v>
      </c>
      <c r="C18" s="1" t="s">
        <v>30</v>
      </c>
      <c r="D18" s="1" t="s">
        <v>34</v>
      </c>
      <c r="G18">
        <v>1.3</v>
      </c>
      <c r="H18">
        <v>2.6</v>
      </c>
      <c r="I18">
        <v>3.9</v>
      </c>
      <c r="J18">
        <v>5.2</v>
      </c>
      <c r="K18">
        <v>14.5</v>
      </c>
      <c r="L18">
        <v>7.9</v>
      </c>
      <c r="M18">
        <v>9.3000000000000007</v>
      </c>
      <c r="N18">
        <v>4.7</v>
      </c>
      <c r="O18">
        <v>6</v>
      </c>
      <c r="P18">
        <v>13.5</v>
      </c>
      <c r="Q18">
        <v>14.9</v>
      </c>
      <c r="R18">
        <v>16.3</v>
      </c>
      <c r="S18">
        <v>17.2</v>
      </c>
      <c r="T18">
        <v>20.100000000000001</v>
      </c>
      <c r="U18">
        <v>22.9</v>
      </c>
      <c r="V18">
        <v>26</v>
      </c>
      <c r="W18">
        <v>28.4</v>
      </c>
      <c r="X18">
        <v>30.9</v>
      </c>
      <c r="Y18">
        <v>33.4</v>
      </c>
      <c r="Z18">
        <v>35.799999999999997</v>
      </c>
      <c r="AA18">
        <v>37.4</v>
      </c>
      <c r="AB18">
        <v>40.5</v>
      </c>
    </row>
    <row r="19" spans="1:28" x14ac:dyDescent="0.35">
      <c r="A19" s="1" t="s">
        <v>67</v>
      </c>
      <c r="B19" s="1" t="s">
        <v>68</v>
      </c>
      <c r="C19" s="1" t="s">
        <v>30</v>
      </c>
      <c r="D19" s="1" t="s">
        <v>41</v>
      </c>
      <c r="E19">
        <v>64.8</v>
      </c>
      <c r="F19">
        <v>64.900000000000006</v>
      </c>
      <c r="G19">
        <v>64.900000000000006</v>
      </c>
      <c r="H19">
        <v>64.900000000000006</v>
      </c>
      <c r="I19">
        <v>64.900000000000006</v>
      </c>
      <c r="J19">
        <v>65</v>
      </c>
      <c r="K19">
        <v>65.099999999999994</v>
      </c>
      <c r="L19">
        <v>65.099999999999994</v>
      </c>
      <c r="M19">
        <v>65.2</v>
      </c>
      <c r="N19">
        <v>65.400000000000006</v>
      </c>
      <c r="O19">
        <v>66.099999999999994</v>
      </c>
      <c r="P19">
        <v>66.099999999999994</v>
      </c>
      <c r="Q19">
        <v>65.7</v>
      </c>
      <c r="R19">
        <v>65.900000000000006</v>
      </c>
      <c r="S19">
        <v>66</v>
      </c>
      <c r="T19">
        <v>66.099999999999994</v>
      </c>
      <c r="U19">
        <v>66.2</v>
      </c>
      <c r="V19">
        <v>66.400000000000006</v>
      </c>
      <c r="W19">
        <v>66.5</v>
      </c>
      <c r="X19">
        <v>66.599999999999994</v>
      </c>
      <c r="Y19">
        <v>66.7</v>
      </c>
      <c r="Z19">
        <v>66.8</v>
      </c>
      <c r="AA19">
        <v>67</v>
      </c>
      <c r="AB19">
        <v>66.900000000000006</v>
      </c>
    </row>
    <row r="20" spans="1:28" x14ac:dyDescent="0.35">
      <c r="A20" s="1" t="s">
        <v>69</v>
      </c>
      <c r="B20" s="1" t="s">
        <v>70</v>
      </c>
      <c r="C20" s="1" t="s">
        <v>30</v>
      </c>
      <c r="D20" s="1" t="s">
        <v>31</v>
      </c>
      <c r="E20">
        <v>15.2</v>
      </c>
      <c r="F20">
        <v>17</v>
      </c>
      <c r="G20">
        <v>18.899999999999999</v>
      </c>
      <c r="H20">
        <v>16</v>
      </c>
      <c r="I20">
        <v>22.6</v>
      </c>
      <c r="J20">
        <v>24.5</v>
      </c>
      <c r="K20">
        <v>26.4</v>
      </c>
      <c r="L20">
        <v>28.3</v>
      </c>
      <c r="M20">
        <v>30.3</v>
      </c>
      <c r="N20">
        <v>23</v>
      </c>
      <c r="O20">
        <v>19.2</v>
      </c>
      <c r="P20">
        <v>36.200000000000003</v>
      </c>
      <c r="Q20">
        <v>38.1</v>
      </c>
      <c r="R20">
        <v>40.1</v>
      </c>
      <c r="S20">
        <v>36</v>
      </c>
      <c r="T20">
        <v>41.6</v>
      </c>
      <c r="U20">
        <v>53.1</v>
      </c>
      <c r="V20">
        <v>55.8</v>
      </c>
      <c r="W20">
        <v>61.2</v>
      </c>
      <c r="X20">
        <v>69.7</v>
      </c>
      <c r="Y20">
        <v>71.5</v>
      </c>
      <c r="Z20">
        <v>76.5</v>
      </c>
      <c r="AA20">
        <v>76</v>
      </c>
      <c r="AB20">
        <v>76.2</v>
      </c>
    </row>
    <row r="21" spans="1:28" x14ac:dyDescent="0.35">
      <c r="A21" s="1" t="s">
        <v>71</v>
      </c>
      <c r="B21" s="1" t="s">
        <v>72</v>
      </c>
      <c r="C21" s="1" t="s">
        <v>30</v>
      </c>
      <c r="D21" s="1" t="s">
        <v>34</v>
      </c>
      <c r="L21">
        <v>3</v>
      </c>
      <c r="M21">
        <v>1.3</v>
      </c>
      <c r="N21">
        <v>1.9</v>
      </c>
      <c r="O21">
        <v>5.3</v>
      </c>
      <c r="P21">
        <v>4.0999999999999996</v>
      </c>
      <c r="Q21">
        <v>9.3000000000000007</v>
      </c>
      <c r="R21">
        <v>9.8000000000000007</v>
      </c>
      <c r="S21">
        <v>9.4</v>
      </c>
      <c r="T21">
        <v>15.2</v>
      </c>
      <c r="U21">
        <v>17.7</v>
      </c>
      <c r="V21">
        <v>24.2</v>
      </c>
      <c r="W21">
        <v>22.8</v>
      </c>
      <c r="X21">
        <v>23.1</v>
      </c>
      <c r="Y21">
        <v>27.6</v>
      </c>
      <c r="Z21">
        <v>29.8</v>
      </c>
      <c r="AA21">
        <v>31.8</v>
      </c>
      <c r="AB21">
        <v>32.5</v>
      </c>
    </row>
    <row r="22" spans="1:28" x14ac:dyDescent="0.35">
      <c r="A22" s="1" t="s">
        <v>73</v>
      </c>
      <c r="B22" s="1" t="s">
        <v>74</v>
      </c>
      <c r="C22" s="1" t="s">
        <v>52</v>
      </c>
      <c r="D22" s="1" t="s">
        <v>41</v>
      </c>
      <c r="E22">
        <v>99.8</v>
      </c>
      <c r="F22">
        <v>96.9</v>
      </c>
      <c r="G22">
        <v>95.2</v>
      </c>
      <c r="H22">
        <v>93.5</v>
      </c>
      <c r="I22">
        <v>91.8</v>
      </c>
      <c r="J22">
        <v>90.1</v>
      </c>
      <c r="K22">
        <v>88.4</v>
      </c>
      <c r="L22">
        <v>86.8</v>
      </c>
      <c r="M22">
        <v>85.1</v>
      </c>
      <c r="N22">
        <v>83.5</v>
      </c>
      <c r="O22">
        <v>81.900000000000006</v>
      </c>
      <c r="P22">
        <v>80.3</v>
      </c>
      <c r="Q22">
        <v>78.7</v>
      </c>
      <c r="R22">
        <v>77.099999999999994</v>
      </c>
      <c r="S22">
        <v>75.5</v>
      </c>
      <c r="T22">
        <v>73.8</v>
      </c>
      <c r="U22">
        <v>72.2</v>
      </c>
      <c r="V22">
        <v>70.599999999999994</v>
      </c>
      <c r="W22">
        <v>67</v>
      </c>
      <c r="X22">
        <v>68.5</v>
      </c>
      <c r="Y22">
        <v>69.400000000000006</v>
      </c>
      <c r="Z22">
        <v>70.2</v>
      </c>
      <c r="AA22">
        <v>70</v>
      </c>
      <c r="AB22">
        <v>73.2</v>
      </c>
    </row>
    <row r="23" spans="1:28" x14ac:dyDescent="0.35">
      <c r="A23" s="1" t="s">
        <v>75</v>
      </c>
      <c r="B23" s="1" t="s">
        <v>76</v>
      </c>
      <c r="C23" s="1" t="s">
        <v>30</v>
      </c>
      <c r="D23" s="1" t="s">
        <v>31</v>
      </c>
      <c r="E23">
        <v>4.3</v>
      </c>
      <c r="F23">
        <v>1.3</v>
      </c>
      <c r="G23">
        <v>3.4</v>
      </c>
      <c r="H23">
        <v>5.4</v>
      </c>
      <c r="I23">
        <v>6.8</v>
      </c>
      <c r="J23">
        <v>9.6</v>
      </c>
      <c r="K23">
        <v>9.6999999999999993</v>
      </c>
      <c r="L23">
        <v>13.9</v>
      </c>
      <c r="M23">
        <v>16</v>
      </c>
      <c r="N23">
        <v>17</v>
      </c>
      <c r="O23">
        <v>17</v>
      </c>
      <c r="P23">
        <v>22.5</v>
      </c>
      <c r="Q23">
        <v>20.6</v>
      </c>
      <c r="R23">
        <v>26.9</v>
      </c>
      <c r="S23">
        <v>27.8</v>
      </c>
      <c r="T23">
        <v>31.8</v>
      </c>
      <c r="U23">
        <v>35.1</v>
      </c>
      <c r="V23">
        <v>33.700000000000003</v>
      </c>
      <c r="W23">
        <v>47</v>
      </c>
      <c r="X23">
        <v>44.6</v>
      </c>
      <c r="Y23">
        <v>47.5</v>
      </c>
      <c r="Z23">
        <v>50.4</v>
      </c>
      <c r="AA23">
        <v>50</v>
      </c>
      <c r="AB23">
        <v>57.3</v>
      </c>
    </row>
    <row r="24" spans="1:28" x14ac:dyDescent="0.35">
      <c r="A24" s="1" t="s">
        <v>77</v>
      </c>
      <c r="B24" s="1" t="s">
        <v>78</v>
      </c>
      <c r="C24" s="1" t="s">
        <v>52</v>
      </c>
      <c r="D24" s="1" t="s">
        <v>31</v>
      </c>
      <c r="E24">
        <v>69.8</v>
      </c>
      <c r="F24">
        <v>71.599999999999994</v>
      </c>
      <c r="G24">
        <v>73.3</v>
      </c>
      <c r="H24">
        <v>75.099999999999994</v>
      </c>
      <c r="I24">
        <v>78.2</v>
      </c>
      <c r="J24">
        <v>78.599999999999994</v>
      </c>
      <c r="K24">
        <v>96.5</v>
      </c>
      <c r="L24">
        <v>82.2</v>
      </c>
      <c r="M24">
        <v>84.1</v>
      </c>
      <c r="N24">
        <v>85.9</v>
      </c>
      <c r="O24">
        <v>95.7</v>
      </c>
      <c r="P24">
        <v>96.1</v>
      </c>
      <c r="Q24">
        <v>96.4</v>
      </c>
      <c r="R24">
        <v>97.2</v>
      </c>
      <c r="S24">
        <v>97.3</v>
      </c>
      <c r="T24">
        <v>97.3</v>
      </c>
      <c r="U24">
        <v>97.8</v>
      </c>
      <c r="V24">
        <v>100</v>
      </c>
      <c r="W24">
        <v>98.1</v>
      </c>
      <c r="X24">
        <v>99.6</v>
      </c>
      <c r="Y24">
        <v>100</v>
      </c>
      <c r="Z24">
        <v>100</v>
      </c>
      <c r="AA24">
        <v>100</v>
      </c>
      <c r="AB24">
        <v>100</v>
      </c>
    </row>
    <row r="25" spans="1:28" x14ac:dyDescent="0.35">
      <c r="A25" s="1" t="s">
        <v>79</v>
      </c>
      <c r="B25" s="1" t="s">
        <v>80</v>
      </c>
      <c r="C25" s="1" t="s">
        <v>30</v>
      </c>
      <c r="D25" s="1" t="s">
        <v>34</v>
      </c>
      <c r="E25">
        <v>12.6</v>
      </c>
      <c r="F25">
        <v>14.8</v>
      </c>
      <c r="G25">
        <v>14</v>
      </c>
      <c r="H25">
        <v>20.3</v>
      </c>
      <c r="I25">
        <v>15.3</v>
      </c>
      <c r="J25">
        <v>16</v>
      </c>
      <c r="K25">
        <v>16.8</v>
      </c>
      <c r="L25">
        <v>17.5</v>
      </c>
      <c r="M25">
        <v>18.3</v>
      </c>
      <c r="N25">
        <v>17.399999999999999</v>
      </c>
      <c r="O25">
        <v>12.3</v>
      </c>
      <c r="P25">
        <v>14.3</v>
      </c>
      <c r="Q25">
        <v>18.7</v>
      </c>
      <c r="R25">
        <v>12.9</v>
      </c>
      <c r="S25">
        <v>23</v>
      </c>
      <c r="T25">
        <v>23.8</v>
      </c>
      <c r="U25">
        <v>22.9</v>
      </c>
      <c r="V25">
        <v>24.1</v>
      </c>
      <c r="W25">
        <v>36.5</v>
      </c>
      <c r="X25">
        <v>31</v>
      </c>
      <c r="Y25">
        <v>32</v>
      </c>
      <c r="Z25">
        <v>35.1</v>
      </c>
      <c r="AA25">
        <v>36.1</v>
      </c>
      <c r="AB25">
        <v>39.4</v>
      </c>
    </row>
    <row r="26" spans="1:28" x14ac:dyDescent="0.35">
      <c r="A26" s="1" t="s">
        <v>81</v>
      </c>
      <c r="B26" s="1" t="s">
        <v>82</v>
      </c>
      <c r="C26" s="1" t="s">
        <v>30</v>
      </c>
      <c r="D26" s="1" t="s">
        <v>34</v>
      </c>
      <c r="E26">
        <v>9.6</v>
      </c>
      <c r="F26">
        <v>10.8</v>
      </c>
      <c r="G26">
        <v>13</v>
      </c>
      <c r="H26">
        <v>14.7</v>
      </c>
      <c r="I26">
        <v>16.399999999999999</v>
      </c>
      <c r="J26">
        <v>18.2</v>
      </c>
      <c r="K26">
        <v>16.600000000000001</v>
      </c>
      <c r="L26">
        <v>21.7</v>
      </c>
      <c r="M26">
        <v>23.4</v>
      </c>
      <c r="N26">
        <v>24</v>
      </c>
      <c r="O26">
        <v>27</v>
      </c>
      <c r="P26">
        <v>28.8</v>
      </c>
      <c r="Q26">
        <v>25.6</v>
      </c>
      <c r="R26">
        <v>32.4</v>
      </c>
      <c r="S26">
        <v>34.200000000000003</v>
      </c>
      <c r="T26">
        <v>37.6</v>
      </c>
      <c r="U26">
        <v>38.799999999999997</v>
      </c>
      <c r="V26">
        <v>34.799999999999997</v>
      </c>
      <c r="W26">
        <v>50.9</v>
      </c>
      <c r="X26">
        <v>47.9</v>
      </c>
      <c r="Y26">
        <v>50.6</v>
      </c>
      <c r="Z26">
        <v>53.4</v>
      </c>
      <c r="AA26">
        <v>53</v>
      </c>
      <c r="AB26">
        <v>54.5</v>
      </c>
    </row>
    <row r="27" spans="1:28" x14ac:dyDescent="0.35">
      <c r="A27" s="1" t="s">
        <v>83</v>
      </c>
      <c r="B27" s="1" t="s">
        <v>84</v>
      </c>
      <c r="C27" s="1" t="s">
        <v>30</v>
      </c>
      <c r="D27" s="1" t="s">
        <v>34</v>
      </c>
      <c r="E27">
        <v>6.1</v>
      </c>
      <c r="F27">
        <v>5.7</v>
      </c>
      <c r="G27">
        <v>8.4</v>
      </c>
      <c r="H27">
        <v>8.1</v>
      </c>
      <c r="I27">
        <v>10.7</v>
      </c>
      <c r="J27">
        <v>11.8</v>
      </c>
      <c r="K27">
        <v>13</v>
      </c>
      <c r="L27">
        <v>12.4</v>
      </c>
      <c r="M27">
        <v>13.6</v>
      </c>
      <c r="N27">
        <v>15</v>
      </c>
      <c r="O27">
        <v>18.899999999999999</v>
      </c>
      <c r="P27">
        <v>20.2</v>
      </c>
      <c r="Q27">
        <v>21.2</v>
      </c>
      <c r="R27">
        <v>22.4</v>
      </c>
      <c r="S27">
        <v>24.8</v>
      </c>
      <c r="T27">
        <v>24</v>
      </c>
      <c r="U27">
        <v>26.2</v>
      </c>
      <c r="V27">
        <v>24.3</v>
      </c>
      <c r="W27">
        <v>31.1</v>
      </c>
      <c r="X27">
        <v>29.7</v>
      </c>
      <c r="Y27">
        <v>30.6</v>
      </c>
      <c r="Z27">
        <v>31.5</v>
      </c>
      <c r="AA27">
        <v>33.200000000000003</v>
      </c>
      <c r="AB27">
        <v>36</v>
      </c>
    </row>
    <row r="28" spans="1:28" x14ac:dyDescent="0.35">
      <c r="A28" s="1" t="s">
        <v>85</v>
      </c>
      <c r="B28" s="1" t="s">
        <v>86</v>
      </c>
      <c r="C28" s="1" t="s">
        <v>30</v>
      </c>
      <c r="D28" s="1" t="s">
        <v>31</v>
      </c>
      <c r="E28">
        <v>19.100000000000001</v>
      </c>
      <c r="F28">
        <v>22.2</v>
      </c>
      <c r="G28">
        <v>21.7</v>
      </c>
      <c r="H28">
        <v>23</v>
      </c>
      <c r="I28">
        <v>24.3</v>
      </c>
      <c r="J28">
        <v>18.2</v>
      </c>
      <c r="K28">
        <v>27</v>
      </c>
      <c r="L28">
        <v>33</v>
      </c>
      <c r="M28">
        <v>30</v>
      </c>
      <c r="N28">
        <v>31.1</v>
      </c>
      <c r="O28">
        <v>34.200000000000003</v>
      </c>
      <c r="P28">
        <v>35.299999999999997</v>
      </c>
      <c r="Q28">
        <v>36.4</v>
      </c>
      <c r="R28">
        <v>37.6</v>
      </c>
      <c r="S28">
        <v>38.799999999999997</v>
      </c>
      <c r="T28">
        <v>39.5</v>
      </c>
      <c r="U28">
        <v>41.2</v>
      </c>
      <c r="V28">
        <v>42.9</v>
      </c>
      <c r="W28">
        <v>43.6</v>
      </c>
      <c r="X28">
        <v>44.9</v>
      </c>
      <c r="Y28">
        <v>45.4</v>
      </c>
      <c r="Z28">
        <v>47.7</v>
      </c>
      <c r="AA28">
        <v>49</v>
      </c>
      <c r="AB28">
        <v>50.3</v>
      </c>
    </row>
    <row r="29" spans="1:28" x14ac:dyDescent="0.35">
      <c r="A29" s="1" t="s">
        <v>87</v>
      </c>
      <c r="B29" s="1" t="s">
        <v>88</v>
      </c>
      <c r="C29" s="1" t="s">
        <v>30</v>
      </c>
      <c r="D29" s="1" t="s">
        <v>41</v>
      </c>
      <c r="E29">
        <v>99</v>
      </c>
      <c r="F29">
        <v>99.2</v>
      </c>
      <c r="G29">
        <v>99.4</v>
      </c>
      <c r="H29">
        <v>99.1</v>
      </c>
      <c r="I29">
        <v>99</v>
      </c>
      <c r="J29">
        <v>99</v>
      </c>
      <c r="K29">
        <v>99</v>
      </c>
      <c r="L29">
        <v>99</v>
      </c>
      <c r="M29">
        <v>99</v>
      </c>
      <c r="N29">
        <v>99</v>
      </c>
      <c r="O29">
        <v>99.4</v>
      </c>
      <c r="P29">
        <v>99.6</v>
      </c>
      <c r="Q29">
        <v>99.4</v>
      </c>
      <c r="R29">
        <v>99.4</v>
      </c>
      <c r="S29">
        <v>99.5</v>
      </c>
      <c r="T29">
        <v>99.6</v>
      </c>
      <c r="U29">
        <v>99.7</v>
      </c>
      <c r="V29">
        <v>99.6</v>
      </c>
      <c r="W29">
        <v>99.8</v>
      </c>
      <c r="X29">
        <v>100</v>
      </c>
      <c r="Y29">
        <v>99.5</v>
      </c>
      <c r="Z29">
        <v>99.6</v>
      </c>
      <c r="AA29">
        <v>100</v>
      </c>
      <c r="AB29">
        <v>100</v>
      </c>
    </row>
    <row r="30" spans="1:28" x14ac:dyDescent="0.35">
      <c r="A30" s="1" t="s">
        <v>89</v>
      </c>
      <c r="B30" s="1" t="s">
        <v>90</v>
      </c>
      <c r="C30" s="1" t="s">
        <v>30</v>
      </c>
      <c r="D30" s="1" t="s">
        <v>34</v>
      </c>
      <c r="E30">
        <v>4.8</v>
      </c>
      <c r="F30">
        <v>5.2</v>
      </c>
      <c r="G30">
        <v>5.6</v>
      </c>
      <c r="H30">
        <v>6.2</v>
      </c>
      <c r="I30">
        <v>6.9</v>
      </c>
      <c r="J30">
        <v>6.6</v>
      </c>
      <c r="K30">
        <v>3.7</v>
      </c>
      <c r="L30">
        <v>7.4</v>
      </c>
      <c r="M30">
        <v>7.8</v>
      </c>
      <c r="N30">
        <v>8.3000000000000007</v>
      </c>
      <c r="O30">
        <v>8.6999999999999993</v>
      </c>
      <c r="P30">
        <v>7.6</v>
      </c>
      <c r="Q30">
        <v>7.4</v>
      </c>
      <c r="R30">
        <v>9</v>
      </c>
      <c r="S30">
        <v>11.9</v>
      </c>
      <c r="T30">
        <v>10.8</v>
      </c>
      <c r="U30">
        <v>11</v>
      </c>
      <c r="V30">
        <v>12.7</v>
      </c>
      <c r="W30">
        <v>18</v>
      </c>
      <c r="X30">
        <v>11.2</v>
      </c>
      <c r="Y30">
        <v>11.5</v>
      </c>
      <c r="Z30">
        <v>14.2</v>
      </c>
      <c r="AA30">
        <v>14</v>
      </c>
      <c r="AB30">
        <v>15.6</v>
      </c>
    </row>
    <row r="31" spans="1:28" x14ac:dyDescent="0.35">
      <c r="A31" s="1" t="s">
        <v>91</v>
      </c>
      <c r="B31" s="1" t="s">
        <v>92</v>
      </c>
      <c r="C31" s="1" t="s">
        <v>30</v>
      </c>
      <c r="D31" s="1" t="s">
        <v>31</v>
      </c>
      <c r="E31">
        <v>36.5</v>
      </c>
      <c r="F31">
        <v>36</v>
      </c>
      <c r="G31">
        <v>36.9</v>
      </c>
      <c r="H31">
        <v>37.799999999999997</v>
      </c>
      <c r="I31">
        <v>38.700000000000003</v>
      </c>
      <c r="J31">
        <v>39.6</v>
      </c>
      <c r="K31">
        <v>40.5</v>
      </c>
      <c r="L31">
        <v>43.7</v>
      </c>
      <c r="M31">
        <v>42.4</v>
      </c>
      <c r="N31">
        <v>44.1</v>
      </c>
      <c r="O31">
        <v>44.4</v>
      </c>
      <c r="P31">
        <v>42.3</v>
      </c>
      <c r="Q31">
        <v>46.4</v>
      </c>
      <c r="R31">
        <v>47.4</v>
      </c>
      <c r="S31">
        <v>48.4</v>
      </c>
      <c r="T31">
        <v>51.6</v>
      </c>
      <c r="U31">
        <v>49.7</v>
      </c>
      <c r="V31">
        <v>52.5</v>
      </c>
      <c r="W31">
        <v>52.3</v>
      </c>
      <c r="X31">
        <v>53.3</v>
      </c>
      <c r="Y31">
        <v>52.3</v>
      </c>
      <c r="Z31">
        <v>55.2</v>
      </c>
      <c r="AA31">
        <v>56.2</v>
      </c>
      <c r="AB31">
        <v>56.7</v>
      </c>
    </row>
    <row r="32" spans="1:28" x14ac:dyDescent="0.35">
      <c r="A32" s="1" t="s">
        <v>93</v>
      </c>
      <c r="B32" s="1" t="s">
        <v>94</v>
      </c>
      <c r="C32" s="1" t="s">
        <v>30</v>
      </c>
      <c r="D32" s="1" t="s">
        <v>34</v>
      </c>
      <c r="E32">
        <v>6.5</v>
      </c>
      <c r="F32">
        <v>8.4</v>
      </c>
      <c r="G32">
        <v>8.8000000000000007</v>
      </c>
      <c r="H32">
        <v>9.3000000000000007</v>
      </c>
      <c r="I32">
        <v>9.6999999999999993</v>
      </c>
      <c r="J32">
        <v>7.1</v>
      </c>
      <c r="K32">
        <v>9.3000000000000007</v>
      </c>
      <c r="L32">
        <v>11.2</v>
      </c>
      <c r="M32">
        <v>11.8</v>
      </c>
      <c r="N32">
        <v>12.3</v>
      </c>
      <c r="O32">
        <v>13.6</v>
      </c>
      <c r="P32">
        <v>14.3</v>
      </c>
      <c r="Q32">
        <v>14.4</v>
      </c>
      <c r="R32">
        <v>15.2</v>
      </c>
      <c r="S32">
        <v>15.7</v>
      </c>
      <c r="T32">
        <v>16.600000000000001</v>
      </c>
      <c r="U32">
        <v>17</v>
      </c>
      <c r="V32">
        <v>17.600000000000001</v>
      </c>
      <c r="W32">
        <v>17.600000000000001</v>
      </c>
      <c r="X32">
        <v>18.5</v>
      </c>
      <c r="Y32">
        <v>18.7</v>
      </c>
      <c r="Z32">
        <v>18.600000000000001</v>
      </c>
      <c r="AA32">
        <v>19.5</v>
      </c>
      <c r="AB32">
        <v>20.100000000000001</v>
      </c>
    </row>
    <row r="33" spans="1:28" x14ac:dyDescent="0.35">
      <c r="A33" s="1" t="s">
        <v>95</v>
      </c>
      <c r="B33" s="1" t="s">
        <v>96</v>
      </c>
      <c r="C33" s="1" t="s">
        <v>30</v>
      </c>
      <c r="D33" s="1" t="s">
        <v>31</v>
      </c>
      <c r="E33">
        <v>43.2</v>
      </c>
      <c r="F33">
        <v>43.9</v>
      </c>
      <c r="G33">
        <v>44.6</v>
      </c>
      <c r="H33">
        <v>52.2</v>
      </c>
      <c r="I33">
        <v>46.1</v>
      </c>
      <c r="J33">
        <v>46.8</v>
      </c>
      <c r="K33">
        <v>47.6</v>
      </c>
      <c r="L33">
        <v>50.1</v>
      </c>
      <c r="M33">
        <v>50.3</v>
      </c>
      <c r="N33">
        <v>50</v>
      </c>
      <c r="O33">
        <v>48</v>
      </c>
      <c r="P33">
        <v>55.9</v>
      </c>
      <c r="Q33">
        <v>53</v>
      </c>
      <c r="R33">
        <v>55.6</v>
      </c>
      <c r="S33">
        <v>54.2</v>
      </c>
      <c r="T33">
        <v>52.5</v>
      </c>
      <c r="U33">
        <v>59.3</v>
      </c>
      <c r="V33">
        <v>54.4</v>
      </c>
      <c r="W33">
        <v>56.5</v>
      </c>
      <c r="X33">
        <v>55.4</v>
      </c>
      <c r="Y33">
        <v>55.4</v>
      </c>
      <c r="Z33">
        <v>59.5</v>
      </c>
      <c r="AA33">
        <v>60.5</v>
      </c>
      <c r="AB33">
        <v>61.2</v>
      </c>
    </row>
    <row r="34" spans="1:28" x14ac:dyDescent="0.35">
      <c r="A34" s="1" t="s">
        <v>97</v>
      </c>
      <c r="B34" s="1" t="s">
        <v>98</v>
      </c>
      <c r="C34" s="1" t="s">
        <v>30</v>
      </c>
      <c r="D34" s="1" t="s">
        <v>34</v>
      </c>
      <c r="E34">
        <v>6.2</v>
      </c>
      <c r="F34">
        <v>4.7</v>
      </c>
      <c r="G34">
        <v>6</v>
      </c>
      <c r="H34">
        <v>7.4</v>
      </c>
      <c r="I34">
        <v>8.6999999999999993</v>
      </c>
      <c r="J34">
        <v>4.8</v>
      </c>
      <c r="K34">
        <v>11.4</v>
      </c>
      <c r="L34">
        <v>12.8</v>
      </c>
      <c r="M34">
        <v>6</v>
      </c>
      <c r="N34">
        <v>15.6</v>
      </c>
      <c r="O34">
        <v>9.6999999999999993</v>
      </c>
      <c r="P34">
        <v>10.8</v>
      </c>
      <c r="Q34">
        <v>17.5</v>
      </c>
      <c r="R34">
        <v>15.2</v>
      </c>
      <c r="S34">
        <v>19.8</v>
      </c>
      <c r="T34">
        <v>22.8</v>
      </c>
      <c r="U34">
        <v>29.4</v>
      </c>
      <c r="V34">
        <v>34.1</v>
      </c>
      <c r="W34">
        <v>38</v>
      </c>
      <c r="X34">
        <v>46.6</v>
      </c>
      <c r="Y34">
        <v>45.2</v>
      </c>
      <c r="Z34">
        <v>48.7</v>
      </c>
      <c r="AA34">
        <v>50.6</v>
      </c>
      <c r="AB34">
        <v>63.9</v>
      </c>
    </row>
    <row r="35" spans="1:28" x14ac:dyDescent="0.35">
      <c r="A35" s="1" t="s">
        <v>99</v>
      </c>
      <c r="B35" s="1" t="s">
        <v>100</v>
      </c>
      <c r="C35" s="1" t="s">
        <v>30</v>
      </c>
      <c r="D35" s="1" t="s">
        <v>34</v>
      </c>
      <c r="E35">
        <v>23</v>
      </c>
      <c r="F35">
        <v>29.4</v>
      </c>
      <c r="G35">
        <v>29.7</v>
      </c>
      <c r="H35">
        <v>29.9</v>
      </c>
      <c r="I35">
        <v>30.2</v>
      </c>
      <c r="J35">
        <v>30.5</v>
      </c>
      <c r="K35">
        <v>30.8</v>
      </c>
      <c r="L35">
        <v>31.1</v>
      </c>
      <c r="M35">
        <v>20</v>
      </c>
      <c r="N35">
        <v>29</v>
      </c>
      <c r="O35">
        <v>36</v>
      </c>
      <c r="P35">
        <v>38.299999999999997</v>
      </c>
      <c r="Q35">
        <v>40.700000000000003</v>
      </c>
      <c r="R35">
        <v>43.1</v>
      </c>
      <c r="S35">
        <v>44.9</v>
      </c>
      <c r="T35">
        <v>48</v>
      </c>
      <c r="U35">
        <v>50.5</v>
      </c>
      <c r="V35">
        <v>53</v>
      </c>
      <c r="W35">
        <v>55.3</v>
      </c>
      <c r="X35">
        <v>57.6</v>
      </c>
      <c r="Y35">
        <v>59.7</v>
      </c>
      <c r="Z35">
        <v>61.8</v>
      </c>
      <c r="AA35">
        <v>63.2</v>
      </c>
      <c r="AB35">
        <v>66</v>
      </c>
    </row>
    <row r="36" spans="1:28" x14ac:dyDescent="0.35">
      <c r="A36" s="1" t="s">
        <v>101</v>
      </c>
      <c r="B36" s="1" t="s">
        <v>102</v>
      </c>
      <c r="C36" s="1" t="s">
        <v>30</v>
      </c>
      <c r="D36" s="1" t="s">
        <v>31</v>
      </c>
      <c r="E36">
        <v>37.700000000000003</v>
      </c>
      <c r="F36">
        <v>38.9</v>
      </c>
      <c r="G36">
        <v>36.799999999999997</v>
      </c>
      <c r="H36">
        <v>41.9</v>
      </c>
      <c r="I36">
        <v>36.799999999999997</v>
      </c>
      <c r="J36">
        <v>47.1</v>
      </c>
      <c r="K36">
        <v>49.9</v>
      </c>
      <c r="L36">
        <v>48.1</v>
      </c>
      <c r="M36">
        <v>49.7</v>
      </c>
      <c r="N36">
        <v>53.5</v>
      </c>
      <c r="O36">
        <v>56.5</v>
      </c>
      <c r="P36">
        <v>56.5</v>
      </c>
      <c r="Q36">
        <v>56.5</v>
      </c>
      <c r="R36">
        <v>57</v>
      </c>
      <c r="S36">
        <v>61</v>
      </c>
      <c r="T36">
        <v>60.5</v>
      </c>
      <c r="U36">
        <v>64.5</v>
      </c>
      <c r="V36">
        <v>61.7</v>
      </c>
      <c r="W36">
        <v>66</v>
      </c>
      <c r="X36">
        <v>70.400000000000006</v>
      </c>
      <c r="Y36">
        <v>64.3</v>
      </c>
      <c r="Z36">
        <v>68</v>
      </c>
      <c r="AA36">
        <v>67.900000000000006</v>
      </c>
      <c r="AB36">
        <v>74.2</v>
      </c>
    </row>
    <row r="37" spans="1:28" x14ac:dyDescent="0.35">
      <c r="A37" s="1" t="s">
        <v>103</v>
      </c>
      <c r="B37" s="1" t="s">
        <v>104</v>
      </c>
      <c r="C37" s="1" t="s">
        <v>30</v>
      </c>
      <c r="D37" s="1" t="s">
        <v>34</v>
      </c>
      <c r="E37">
        <v>7.7</v>
      </c>
      <c r="F37">
        <v>8.5</v>
      </c>
      <c r="G37">
        <v>9.1999999999999993</v>
      </c>
      <c r="H37">
        <v>9.9</v>
      </c>
      <c r="I37">
        <v>16.8</v>
      </c>
      <c r="J37">
        <v>11.3</v>
      </c>
      <c r="K37">
        <v>12.2</v>
      </c>
      <c r="L37">
        <v>13</v>
      </c>
      <c r="M37">
        <v>12.1</v>
      </c>
      <c r="N37">
        <v>14.6</v>
      </c>
      <c r="O37">
        <v>11.5</v>
      </c>
      <c r="P37">
        <v>14.2</v>
      </c>
      <c r="Q37">
        <v>17.2</v>
      </c>
      <c r="R37">
        <v>13.5</v>
      </c>
      <c r="S37">
        <v>18.8</v>
      </c>
      <c r="T37">
        <v>19.7</v>
      </c>
      <c r="U37">
        <v>20.3</v>
      </c>
      <c r="V37">
        <v>23.4</v>
      </c>
      <c r="W37">
        <v>26.1</v>
      </c>
      <c r="X37">
        <v>22.7</v>
      </c>
      <c r="Y37">
        <v>26.3</v>
      </c>
      <c r="Z37">
        <v>27.5</v>
      </c>
      <c r="AA37">
        <v>29.4</v>
      </c>
      <c r="AB37">
        <v>35.5</v>
      </c>
    </row>
    <row r="38" spans="1:28" x14ac:dyDescent="0.35">
      <c r="A38" s="1" t="s">
        <v>105</v>
      </c>
      <c r="B38" s="1" t="s">
        <v>106</v>
      </c>
      <c r="C38" s="1" t="s">
        <v>30</v>
      </c>
      <c r="D38" s="1" t="s">
        <v>34</v>
      </c>
      <c r="L38">
        <v>0.8</v>
      </c>
      <c r="M38">
        <v>1.3</v>
      </c>
      <c r="N38">
        <v>3</v>
      </c>
      <c r="O38">
        <v>1.5</v>
      </c>
      <c r="P38">
        <v>2.8</v>
      </c>
      <c r="Q38">
        <v>3.3</v>
      </c>
      <c r="R38">
        <v>3.8</v>
      </c>
      <c r="S38">
        <v>4.3</v>
      </c>
      <c r="T38">
        <v>4.8</v>
      </c>
      <c r="U38">
        <v>5.3</v>
      </c>
      <c r="V38">
        <v>4.2</v>
      </c>
      <c r="W38">
        <v>6.3</v>
      </c>
      <c r="X38">
        <v>6.8</v>
      </c>
      <c r="Y38">
        <v>7.3</v>
      </c>
      <c r="Z38">
        <v>7.7</v>
      </c>
      <c r="AA38">
        <v>8.4</v>
      </c>
      <c r="AB38">
        <v>5.4</v>
      </c>
    </row>
    <row r="39" spans="1:28" x14ac:dyDescent="0.35">
      <c r="A39" s="1" t="s">
        <v>107</v>
      </c>
      <c r="B39" s="1" t="s">
        <v>108</v>
      </c>
      <c r="C39" s="1" t="s">
        <v>30</v>
      </c>
      <c r="D39" s="1" t="s">
        <v>31</v>
      </c>
      <c r="E39">
        <v>52.9</v>
      </c>
      <c r="F39">
        <v>51.5</v>
      </c>
      <c r="G39">
        <v>52.5</v>
      </c>
      <c r="H39">
        <v>53.6</v>
      </c>
      <c r="I39">
        <v>54.7</v>
      </c>
      <c r="J39">
        <v>55.8</v>
      </c>
      <c r="K39">
        <v>56.9</v>
      </c>
      <c r="L39">
        <v>58</v>
      </c>
      <c r="M39">
        <v>59.1</v>
      </c>
      <c r="N39">
        <v>56.9</v>
      </c>
      <c r="O39">
        <v>61.4</v>
      </c>
      <c r="P39">
        <v>62.6</v>
      </c>
      <c r="Q39">
        <v>57.9</v>
      </c>
      <c r="R39">
        <v>65</v>
      </c>
      <c r="S39">
        <v>68.599999999999994</v>
      </c>
      <c r="T39">
        <v>67.3</v>
      </c>
      <c r="U39">
        <v>69.400000000000006</v>
      </c>
      <c r="V39">
        <v>74.3</v>
      </c>
      <c r="W39">
        <v>71</v>
      </c>
      <c r="X39">
        <v>75.099999999999994</v>
      </c>
      <c r="Y39">
        <v>76.8</v>
      </c>
      <c r="Z39">
        <v>78.5</v>
      </c>
      <c r="AA39">
        <v>78</v>
      </c>
      <c r="AB39">
        <v>81.3</v>
      </c>
    </row>
    <row r="40" spans="1:28" x14ac:dyDescent="0.35">
      <c r="A40" s="1" t="s">
        <v>109</v>
      </c>
      <c r="B40" s="1" t="s">
        <v>110</v>
      </c>
      <c r="C40" s="1" t="s">
        <v>30</v>
      </c>
      <c r="D40" s="1" t="s">
        <v>31</v>
      </c>
      <c r="E40">
        <v>20.399999999999999</v>
      </c>
      <c r="F40">
        <v>26.9</v>
      </c>
      <c r="G40">
        <v>25.9</v>
      </c>
      <c r="H40">
        <v>28.7</v>
      </c>
      <c r="I40">
        <v>31.4</v>
      </c>
      <c r="J40">
        <v>34.200000000000003</v>
      </c>
      <c r="K40">
        <v>35.200000000000003</v>
      </c>
      <c r="L40">
        <v>39.799999999999997</v>
      </c>
      <c r="M40">
        <v>42.6</v>
      </c>
      <c r="N40">
        <v>38.6</v>
      </c>
      <c r="O40">
        <v>45.6</v>
      </c>
      <c r="P40">
        <v>51.2</v>
      </c>
      <c r="Q40">
        <v>54.3</v>
      </c>
      <c r="R40">
        <v>57.5</v>
      </c>
      <c r="S40">
        <v>65</v>
      </c>
      <c r="T40">
        <v>64.099999999999994</v>
      </c>
      <c r="U40">
        <v>63.4</v>
      </c>
      <c r="V40">
        <v>73.5</v>
      </c>
      <c r="W40">
        <v>74</v>
      </c>
      <c r="X40">
        <v>77</v>
      </c>
      <c r="Y40">
        <v>80</v>
      </c>
      <c r="Z40">
        <v>82.9</v>
      </c>
      <c r="AA40">
        <v>82.3</v>
      </c>
      <c r="AB40">
        <v>86.4</v>
      </c>
    </row>
    <row r="41" spans="1:28" x14ac:dyDescent="0.35">
      <c r="A41" s="1" t="s">
        <v>111</v>
      </c>
      <c r="B41" s="1" t="s">
        <v>112</v>
      </c>
      <c r="C41" s="1" t="s">
        <v>30</v>
      </c>
      <c r="D41" s="1" t="s">
        <v>113</v>
      </c>
      <c r="E41">
        <v>94.1</v>
      </c>
      <c r="F41">
        <v>94.4</v>
      </c>
      <c r="G41">
        <v>96.1</v>
      </c>
      <c r="H41">
        <v>94.9</v>
      </c>
      <c r="I41">
        <v>95.2</v>
      </c>
      <c r="J41">
        <v>95.5</v>
      </c>
      <c r="K41">
        <v>99</v>
      </c>
      <c r="L41">
        <v>96.1</v>
      </c>
      <c r="M41">
        <v>96.5</v>
      </c>
      <c r="N41">
        <v>96.8</v>
      </c>
      <c r="O41">
        <v>97</v>
      </c>
      <c r="P41">
        <v>98.1</v>
      </c>
      <c r="Q41">
        <v>98.3</v>
      </c>
      <c r="R41">
        <v>98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</row>
    <row r="42" spans="1:28" x14ac:dyDescent="0.35">
      <c r="A42" s="1" t="s">
        <v>114</v>
      </c>
      <c r="B42" s="1" t="s">
        <v>115</v>
      </c>
      <c r="C42" s="1" t="s">
        <v>30</v>
      </c>
      <c r="D42" s="1" t="s">
        <v>34</v>
      </c>
      <c r="E42">
        <v>3.1</v>
      </c>
      <c r="F42">
        <v>3.4</v>
      </c>
      <c r="G42">
        <v>3.8</v>
      </c>
      <c r="H42">
        <v>4.0999999999999996</v>
      </c>
      <c r="I42">
        <v>3.5</v>
      </c>
      <c r="J42">
        <v>4.8</v>
      </c>
      <c r="K42">
        <v>5.0999999999999996</v>
      </c>
      <c r="L42">
        <v>5.5</v>
      </c>
      <c r="M42">
        <v>5.9</v>
      </c>
      <c r="N42">
        <v>6.3</v>
      </c>
      <c r="O42">
        <v>6.4</v>
      </c>
      <c r="P42">
        <v>9</v>
      </c>
      <c r="Q42">
        <v>7.8</v>
      </c>
      <c r="R42">
        <v>8.1</v>
      </c>
      <c r="S42">
        <v>8.4</v>
      </c>
      <c r="T42">
        <v>7.7</v>
      </c>
      <c r="U42">
        <v>9.1999999999999993</v>
      </c>
      <c r="V42">
        <v>10.9</v>
      </c>
      <c r="W42">
        <v>10.1</v>
      </c>
      <c r="X42">
        <v>8.4</v>
      </c>
      <c r="Y42">
        <v>10.9</v>
      </c>
      <c r="Z42">
        <v>11.3</v>
      </c>
      <c r="AA42">
        <v>11.7</v>
      </c>
      <c r="AB42">
        <v>12</v>
      </c>
    </row>
    <row r="43" spans="1:28" x14ac:dyDescent="0.35">
      <c r="A43" s="1" t="s">
        <v>116</v>
      </c>
      <c r="B43" s="1" t="s">
        <v>117</v>
      </c>
      <c r="C43" s="1" t="s">
        <v>30</v>
      </c>
      <c r="D43" s="1" t="s">
        <v>34</v>
      </c>
      <c r="E43">
        <v>17</v>
      </c>
      <c r="F43">
        <v>19.600000000000001</v>
      </c>
      <c r="G43">
        <v>21.3</v>
      </c>
      <c r="H43">
        <v>23</v>
      </c>
      <c r="I43">
        <v>24.8</v>
      </c>
      <c r="J43">
        <v>26.5</v>
      </c>
      <c r="K43">
        <v>27.9</v>
      </c>
      <c r="L43">
        <v>30</v>
      </c>
      <c r="M43">
        <v>31.8</v>
      </c>
      <c r="N43">
        <v>33.700000000000003</v>
      </c>
      <c r="O43">
        <v>30.8</v>
      </c>
      <c r="P43">
        <v>39.700000000000003</v>
      </c>
      <c r="Q43">
        <v>39.1</v>
      </c>
      <c r="R43">
        <v>41</v>
      </c>
      <c r="S43">
        <v>45.7</v>
      </c>
      <c r="T43">
        <v>44.7</v>
      </c>
      <c r="U43">
        <v>46.8</v>
      </c>
      <c r="V43">
        <v>48</v>
      </c>
      <c r="W43">
        <v>50</v>
      </c>
      <c r="X43">
        <v>52.5</v>
      </c>
      <c r="Y43">
        <v>54.1</v>
      </c>
      <c r="Z43">
        <v>55.7</v>
      </c>
      <c r="AA43">
        <v>57.2</v>
      </c>
      <c r="AB43">
        <v>59.2</v>
      </c>
    </row>
    <row r="44" spans="1:28" x14ac:dyDescent="0.35">
      <c r="A44" s="1" t="s">
        <v>118</v>
      </c>
      <c r="B44" s="1" t="s">
        <v>119</v>
      </c>
      <c r="C44" s="1" t="s">
        <v>52</v>
      </c>
      <c r="D44" s="1" t="s">
        <v>31</v>
      </c>
      <c r="E44">
        <v>94.8</v>
      </c>
      <c r="F44">
        <v>97.3</v>
      </c>
      <c r="G44">
        <v>97.8</v>
      </c>
      <c r="H44">
        <v>98.4</v>
      </c>
      <c r="I44">
        <v>99</v>
      </c>
      <c r="J44">
        <v>99.2</v>
      </c>
      <c r="K44">
        <v>99.4</v>
      </c>
      <c r="L44">
        <v>99.4</v>
      </c>
      <c r="M44">
        <v>99.4</v>
      </c>
      <c r="N44">
        <v>99.5</v>
      </c>
      <c r="O44">
        <v>99.5</v>
      </c>
      <c r="P44">
        <v>99.5</v>
      </c>
      <c r="Q44">
        <v>99.5</v>
      </c>
      <c r="R44">
        <v>99.7</v>
      </c>
      <c r="S44">
        <v>99.8</v>
      </c>
      <c r="T44">
        <v>99.9</v>
      </c>
      <c r="U44">
        <v>100</v>
      </c>
      <c r="V44">
        <v>100</v>
      </c>
      <c r="W44">
        <v>99.8</v>
      </c>
      <c r="X44">
        <v>100</v>
      </c>
      <c r="Y44">
        <v>99.9</v>
      </c>
      <c r="Z44">
        <v>99.9</v>
      </c>
      <c r="AA44">
        <v>100</v>
      </c>
      <c r="AB44">
        <v>100</v>
      </c>
    </row>
    <row r="45" spans="1:28" x14ac:dyDescent="0.35">
      <c r="A45" s="1" t="s">
        <v>120</v>
      </c>
      <c r="B45" s="1" t="s">
        <v>121</v>
      </c>
      <c r="C45" s="1" t="s">
        <v>30</v>
      </c>
      <c r="D45" s="1" t="s">
        <v>31</v>
      </c>
      <c r="E45">
        <v>8.6999999999999993</v>
      </c>
      <c r="F45">
        <v>9.6999999999999993</v>
      </c>
      <c r="G45">
        <v>10.7</v>
      </c>
      <c r="H45">
        <v>11.1</v>
      </c>
      <c r="I45">
        <v>11.4</v>
      </c>
      <c r="J45">
        <v>13.8</v>
      </c>
      <c r="K45">
        <v>14.9</v>
      </c>
      <c r="L45">
        <v>15.9</v>
      </c>
      <c r="M45">
        <v>11.5</v>
      </c>
      <c r="N45">
        <v>11.2</v>
      </c>
      <c r="O45">
        <v>14.8</v>
      </c>
      <c r="P45">
        <v>14.2</v>
      </c>
      <c r="Q45">
        <v>15.3</v>
      </c>
      <c r="R45">
        <v>16.399999999999999</v>
      </c>
      <c r="S45">
        <v>23.5</v>
      </c>
      <c r="T45">
        <v>26.2</v>
      </c>
      <c r="U45">
        <v>32.799999999999997</v>
      </c>
      <c r="V45">
        <v>32.1</v>
      </c>
      <c r="W45">
        <v>34.9</v>
      </c>
      <c r="X45">
        <v>37.700000000000003</v>
      </c>
      <c r="Y45">
        <v>39.9</v>
      </c>
      <c r="Z45">
        <v>42.7</v>
      </c>
      <c r="AA45">
        <v>45.8</v>
      </c>
      <c r="AB45">
        <v>48.3</v>
      </c>
    </row>
    <row r="46" spans="1:28" x14ac:dyDescent="0.35">
      <c r="A46" s="1" t="s">
        <v>122</v>
      </c>
      <c r="B46" s="1" t="s">
        <v>123</v>
      </c>
      <c r="C46" s="1" t="s">
        <v>30</v>
      </c>
      <c r="D46" s="1" t="s">
        <v>34</v>
      </c>
      <c r="E46">
        <v>7.4</v>
      </c>
      <c r="F46">
        <v>8.6</v>
      </c>
      <c r="G46">
        <v>7.8</v>
      </c>
      <c r="H46">
        <v>10.5</v>
      </c>
      <c r="I46">
        <v>11.6</v>
      </c>
      <c r="J46">
        <v>8.9</v>
      </c>
      <c r="K46">
        <v>9</v>
      </c>
      <c r="L46">
        <v>14.8</v>
      </c>
      <c r="M46">
        <v>15.9</v>
      </c>
      <c r="N46">
        <v>10</v>
      </c>
      <c r="O46">
        <v>12.1</v>
      </c>
      <c r="P46">
        <v>14.6</v>
      </c>
      <c r="Q46">
        <v>20.5</v>
      </c>
      <c r="R46">
        <v>13.9</v>
      </c>
      <c r="S46">
        <v>20.399999999999999</v>
      </c>
      <c r="T46">
        <v>18.5</v>
      </c>
      <c r="U46">
        <v>26.7</v>
      </c>
      <c r="V46">
        <v>32.4</v>
      </c>
      <c r="W46">
        <v>41.9</v>
      </c>
      <c r="X46">
        <v>41.3</v>
      </c>
      <c r="Y46">
        <v>42.1</v>
      </c>
      <c r="Z46">
        <v>45.2</v>
      </c>
      <c r="AA46">
        <v>47.1</v>
      </c>
      <c r="AB46">
        <v>51.5</v>
      </c>
    </row>
    <row r="47" spans="1:28" x14ac:dyDescent="0.35">
      <c r="A47" s="1" t="s">
        <v>124</v>
      </c>
      <c r="B47" s="1" t="s">
        <v>125</v>
      </c>
      <c r="C47" s="1" t="s">
        <v>30</v>
      </c>
      <c r="D47" s="1" t="s">
        <v>41</v>
      </c>
      <c r="E47">
        <v>72.400000000000006</v>
      </c>
      <c r="F47">
        <v>70.2</v>
      </c>
      <c r="G47">
        <v>76.7</v>
      </c>
      <c r="H47">
        <v>78.8</v>
      </c>
      <c r="I47">
        <v>80.599999999999994</v>
      </c>
      <c r="J47">
        <v>80.8</v>
      </c>
      <c r="K47">
        <v>80.7</v>
      </c>
      <c r="L47">
        <v>82</v>
      </c>
      <c r="M47">
        <v>81.900000000000006</v>
      </c>
      <c r="N47">
        <v>82.6</v>
      </c>
      <c r="O47">
        <v>82.8</v>
      </c>
      <c r="P47">
        <v>83.6</v>
      </c>
      <c r="Q47">
        <v>85.2</v>
      </c>
      <c r="R47">
        <v>85.2</v>
      </c>
      <c r="S47">
        <v>85.9</v>
      </c>
      <c r="T47">
        <v>85.3</v>
      </c>
      <c r="U47">
        <v>83.9</v>
      </c>
      <c r="V47">
        <v>84.4</v>
      </c>
      <c r="W47">
        <v>84.7</v>
      </c>
      <c r="X47">
        <v>85</v>
      </c>
      <c r="Y47">
        <v>90</v>
      </c>
      <c r="Z47">
        <v>89.3</v>
      </c>
      <c r="AA47">
        <v>86.5</v>
      </c>
      <c r="AB47">
        <v>87.7</v>
      </c>
    </row>
    <row r="48" spans="1:28" x14ac:dyDescent="0.35">
      <c r="A48" s="1" t="s">
        <v>126</v>
      </c>
      <c r="B48" s="1" t="s">
        <v>127</v>
      </c>
      <c r="C48" s="1" t="s">
        <v>30</v>
      </c>
      <c r="D48" s="1" t="s">
        <v>31</v>
      </c>
      <c r="E48">
        <v>16.7</v>
      </c>
      <c r="F48">
        <v>20.2</v>
      </c>
      <c r="G48">
        <v>17.399999999999999</v>
      </c>
      <c r="H48">
        <v>18.5</v>
      </c>
      <c r="I48">
        <v>20.3</v>
      </c>
      <c r="J48">
        <v>23.3</v>
      </c>
      <c r="K48">
        <v>24.1</v>
      </c>
      <c r="L48">
        <v>18.5</v>
      </c>
      <c r="M48">
        <v>25.7</v>
      </c>
      <c r="N48">
        <v>26.6</v>
      </c>
      <c r="O48">
        <v>22</v>
      </c>
      <c r="P48">
        <v>28.3</v>
      </c>
      <c r="Q48">
        <v>29.2</v>
      </c>
      <c r="R48">
        <v>30.1</v>
      </c>
      <c r="S48">
        <v>27.9</v>
      </c>
      <c r="T48">
        <v>31.1</v>
      </c>
      <c r="U48">
        <v>35.4</v>
      </c>
      <c r="V48">
        <v>40.299999999999997</v>
      </c>
      <c r="W48">
        <v>40.200000000000003</v>
      </c>
      <c r="X48">
        <v>43</v>
      </c>
      <c r="Y48">
        <v>44.6</v>
      </c>
      <c r="Z48">
        <v>46.7</v>
      </c>
      <c r="AA48">
        <v>47.8</v>
      </c>
      <c r="AB48">
        <v>51.1</v>
      </c>
    </row>
    <row r="49" spans="1:28" x14ac:dyDescent="0.35">
      <c r="A49" s="1" t="s">
        <v>128</v>
      </c>
      <c r="B49" s="1" t="s">
        <v>129</v>
      </c>
      <c r="C49" s="1" t="s">
        <v>30</v>
      </c>
      <c r="D49" s="1" t="s">
        <v>31</v>
      </c>
      <c r="E49">
        <v>33.700000000000003</v>
      </c>
      <c r="F49">
        <v>34.200000000000003</v>
      </c>
      <c r="G49">
        <v>34.200000000000003</v>
      </c>
      <c r="H49">
        <v>35.1</v>
      </c>
      <c r="I49">
        <v>35.6</v>
      </c>
      <c r="J49">
        <v>36.1</v>
      </c>
      <c r="K49">
        <v>37.200000000000003</v>
      </c>
      <c r="L49">
        <v>37.200000000000003</v>
      </c>
      <c r="M49">
        <v>37.700000000000003</v>
      </c>
      <c r="N49">
        <v>43.4</v>
      </c>
      <c r="O49">
        <v>38.9</v>
      </c>
      <c r="P49">
        <v>36.9</v>
      </c>
      <c r="Q49">
        <v>44</v>
      </c>
      <c r="R49">
        <v>40.6</v>
      </c>
      <c r="S49">
        <v>32.299999999999997</v>
      </c>
      <c r="T49">
        <v>33.700000000000003</v>
      </c>
      <c r="U49">
        <v>42.5</v>
      </c>
      <c r="V49">
        <v>44</v>
      </c>
      <c r="W49">
        <v>45.4</v>
      </c>
      <c r="X49">
        <v>46.7</v>
      </c>
      <c r="Y49">
        <v>52.7</v>
      </c>
      <c r="Z49">
        <v>49</v>
      </c>
      <c r="AA49">
        <v>50.1</v>
      </c>
      <c r="AB49">
        <v>62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7B44-31FE-4BCA-8068-4962804C749E}">
  <dimension ref="A1:Z49"/>
  <sheetViews>
    <sheetView workbookViewId="0">
      <selection activeCell="D16" sqref="D16"/>
    </sheetView>
  </sheetViews>
  <sheetFormatPr defaultRowHeight="14.5" x14ac:dyDescent="0.35"/>
  <cols>
    <col min="1" max="1" width="20.453125" bestFit="1" customWidth="1"/>
    <col min="2" max="2" width="13.26953125" bestFit="1" customWidth="1"/>
    <col min="3" max="26" width="7.08984375" bestFit="1" customWidth="1"/>
  </cols>
  <sheetData>
    <row r="1" spans="1:26" x14ac:dyDescent="0.3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</row>
    <row r="2" spans="1:26" x14ac:dyDescent="0.35">
      <c r="A2" s="1" t="s">
        <v>28</v>
      </c>
      <c r="B2" s="1" t="s">
        <v>172</v>
      </c>
      <c r="C2">
        <v>24.2</v>
      </c>
      <c r="D2">
        <v>20</v>
      </c>
      <c r="E2">
        <v>26.3</v>
      </c>
      <c r="F2">
        <v>27.4</v>
      </c>
      <c r="G2">
        <v>28.4</v>
      </c>
      <c r="H2">
        <v>29.4</v>
      </c>
      <c r="I2">
        <v>30.5</v>
      </c>
      <c r="J2">
        <v>37.5</v>
      </c>
      <c r="K2">
        <v>38.5</v>
      </c>
      <c r="L2">
        <v>33.799999999999997</v>
      </c>
      <c r="M2">
        <v>35</v>
      </c>
      <c r="N2">
        <v>34.6</v>
      </c>
      <c r="O2">
        <v>37.299999999999997</v>
      </c>
      <c r="P2">
        <v>38.4</v>
      </c>
      <c r="Q2">
        <v>32</v>
      </c>
      <c r="R2">
        <v>42</v>
      </c>
      <c r="S2">
        <v>41.8</v>
      </c>
      <c r="T2">
        <v>42.9</v>
      </c>
      <c r="U2">
        <v>45.3</v>
      </c>
      <c r="V2">
        <v>45.6</v>
      </c>
      <c r="W2">
        <v>47</v>
      </c>
      <c r="X2">
        <v>48.2</v>
      </c>
      <c r="Y2">
        <v>48.5</v>
      </c>
      <c r="Z2">
        <v>51.1</v>
      </c>
    </row>
    <row r="3" spans="1:26" x14ac:dyDescent="0.35">
      <c r="A3" s="1" t="s">
        <v>53</v>
      </c>
      <c r="B3" s="1" t="s">
        <v>173</v>
      </c>
      <c r="C3">
        <v>98.6</v>
      </c>
      <c r="D3">
        <v>98.6</v>
      </c>
      <c r="E3">
        <v>98.6</v>
      </c>
      <c r="F3">
        <v>98.6</v>
      </c>
      <c r="G3">
        <v>98.6</v>
      </c>
      <c r="H3">
        <v>98.6</v>
      </c>
      <c r="I3">
        <v>98.7</v>
      </c>
      <c r="J3">
        <v>98.7</v>
      </c>
      <c r="K3">
        <v>99.3</v>
      </c>
      <c r="L3">
        <v>98.8</v>
      </c>
      <c r="M3">
        <v>98.9</v>
      </c>
      <c r="N3">
        <v>99</v>
      </c>
      <c r="O3">
        <v>98.8</v>
      </c>
      <c r="P3">
        <v>99.2</v>
      </c>
      <c r="Q3">
        <v>99.3</v>
      </c>
      <c r="R3">
        <v>99.4</v>
      </c>
      <c r="S3">
        <v>99.4</v>
      </c>
      <c r="T3">
        <v>99.5</v>
      </c>
      <c r="U3">
        <v>99.6</v>
      </c>
      <c r="V3">
        <v>99.5</v>
      </c>
      <c r="W3">
        <v>99.7</v>
      </c>
      <c r="X3">
        <v>99.8</v>
      </c>
      <c r="Y3">
        <v>100</v>
      </c>
      <c r="Z3">
        <v>100</v>
      </c>
    </row>
    <row r="4" spans="1:26" x14ac:dyDescent="0.35">
      <c r="A4" s="1" t="s">
        <v>32</v>
      </c>
      <c r="B4" s="1" t="s">
        <v>174</v>
      </c>
      <c r="C4">
        <v>2.5</v>
      </c>
      <c r="D4">
        <v>2.8</v>
      </c>
      <c r="E4">
        <v>3.1</v>
      </c>
      <c r="F4">
        <v>3.4</v>
      </c>
      <c r="G4">
        <v>3.7</v>
      </c>
      <c r="H4">
        <v>3.2</v>
      </c>
      <c r="I4">
        <v>2.7</v>
      </c>
      <c r="J4">
        <v>4.7</v>
      </c>
      <c r="K4">
        <v>4.8</v>
      </c>
      <c r="L4">
        <v>5.4</v>
      </c>
      <c r="M4">
        <v>5.3</v>
      </c>
      <c r="N4">
        <v>6.2</v>
      </c>
      <c r="O4">
        <v>6.5</v>
      </c>
      <c r="P4">
        <v>6.9</v>
      </c>
      <c r="Q4">
        <v>7</v>
      </c>
      <c r="R4">
        <v>7.9</v>
      </c>
      <c r="S4">
        <v>8.5</v>
      </c>
      <c r="T4">
        <v>9.3000000000000007</v>
      </c>
      <c r="U4">
        <v>9.5</v>
      </c>
      <c r="V4">
        <v>9.8000000000000007</v>
      </c>
      <c r="W4">
        <v>9.1</v>
      </c>
      <c r="X4">
        <v>10.199999999999999</v>
      </c>
      <c r="Y4">
        <v>10.3</v>
      </c>
      <c r="Z4">
        <v>11.6</v>
      </c>
    </row>
    <row r="5" spans="1:26" x14ac:dyDescent="0.35">
      <c r="A5" s="1" t="s">
        <v>35</v>
      </c>
      <c r="B5" s="1" t="s">
        <v>175</v>
      </c>
      <c r="C5">
        <v>21.5</v>
      </c>
      <c r="D5">
        <v>21.9</v>
      </c>
      <c r="E5">
        <v>23.4</v>
      </c>
      <c r="F5">
        <v>24.3</v>
      </c>
      <c r="G5">
        <v>25.2</v>
      </c>
      <c r="H5">
        <v>26.1</v>
      </c>
      <c r="I5">
        <v>27.9</v>
      </c>
      <c r="J5">
        <v>28</v>
      </c>
      <c r="K5">
        <v>29</v>
      </c>
      <c r="L5">
        <v>30</v>
      </c>
      <c r="M5">
        <v>34.200000000000003</v>
      </c>
      <c r="N5">
        <v>36.9</v>
      </c>
      <c r="O5">
        <v>38.4</v>
      </c>
      <c r="P5">
        <v>34.700000000000003</v>
      </c>
      <c r="Q5">
        <v>34.1</v>
      </c>
      <c r="R5">
        <v>29.6</v>
      </c>
      <c r="S5">
        <v>37</v>
      </c>
      <c r="T5">
        <v>34.5</v>
      </c>
      <c r="U5">
        <v>39</v>
      </c>
      <c r="V5">
        <v>40</v>
      </c>
      <c r="W5">
        <v>41</v>
      </c>
      <c r="X5">
        <v>42</v>
      </c>
      <c r="Y5">
        <v>56.5</v>
      </c>
      <c r="Z5">
        <v>57</v>
      </c>
    </row>
    <row r="6" spans="1:26" x14ac:dyDescent="0.35">
      <c r="A6" s="1" t="s">
        <v>73</v>
      </c>
      <c r="B6" s="1" t="s">
        <v>173</v>
      </c>
      <c r="C6">
        <v>99.8</v>
      </c>
      <c r="D6">
        <v>96.9</v>
      </c>
      <c r="E6">
        <v>95.2</v>
      </c>
      <c r="F6">
        <v>93.5</v>
      </c>
      <c r="G6">
        <v>91.8</v>
      </c>
      <c r="H6">
        <v>90.1</v>
      </c>
      <c r="I6">
        <v>88.4</v>
      </c>
      <c r="J6">
        <v>86.8</v>
      </c>
      <c r="K6">
        <v>85.1</v>
      </c>
      <c r="L6">
        <v>83.5</v>
      </c>
      <c r="M6">
        <v>81.900000000000006</v>
      </c>
      <c r="N6">
        <v>80.3</v>
      </c>
      <c r="O6">
        <v>78.7</v>
      </c>
      <c r="P6">
        <v>77.099999999999994</v>
      </c>
      <c r="Q6">
        <v>75.5</v>
      </c>
      <c r="R6">
        <v>73.8</v>
      </c>
      <c r="S6">
        <v>72.2</v>
      </c>
      <c r="T6">
        <v>70.599999999999994</v>
      </c>
      <c r="U6">
        <v>67</v>
      </c>
      <c r="V6">
        <v>68.5</v>
      </c>
      <c r="W6">
        <v>69.400000000000006</v>
      </c>
      <c r="X6">
        <v>70.2</v>
      </c>
      <c r="Y6">
        <v>70</v>
      </c>
      <c r="Z6">
        <v>73.2</v>
      </c>
    </row>
    <row r="7" spans="1:26" x14ac:dyDescent="0.35">
      <c r="A7" s="1" t="s">
        <v>37</v>
      </c>
      <c r="B7" s="1" t="s">
        <v>175</v>
      </c>
      <c r="C7">
        <v>9.1</v>
      </c>
      <c r="D7">
        <v>9.5</v>
      </c>
      <c r="E7">
        <v>9.9</v>
      </c>
      <c r="F7">
        <v>11.4</v>
      </c>
      <c r="G7">
        <v>10.7</v>
      </c>
      <c r="H7">
        <v>11.1</v>
      </c>
      <c r="I7">
        <v>11.6</v>
      </c>
      <c r="J7">
        <v>12</v>
      </c>
      <c r="K7">
        <v>12.5</v>
      </c>
      <c r="L7">
        <v>12.6</v>
      </c>
      <c r="M7">
        <v>13.1</v>
      </c>
      <c r="N7">
        <v>14.8</v>
      </c>
      <c r="O7">
        <v>15.1</v>
      </c>
      <c r="P7">
        <v>15.4</v>
      </c>
      <c r="Q7">
        <v>19.2</v>
      </c>
      <c r="R7">
        <v>16.2</v>
      </c>
      <c r="S7">
        <v>16.600000000000001</v>
      </c>
      <c r="T7">
        <v>17</v>
      </c>
      <c r="U7">
        <v>14.4</v>
      </c>
      <c r="V7">
        <v>17.600000000000001</v>
      </c>
      <c r="W7">
        <v>18.5</v>
      </c>
      <c r="X7">
        <v>19</v>
      </c>
      <c r="Y7">
        <v>19.5</v>
      </c>
      <c r="Z7">
        <v>21.7</v>
      </c>
    </row>
    <row r="8" spans="1:26" x14ac:dyDescent="0.35">
      <c r="A8" s="1" t="s">
        <v>85</v>
      </c>
      <c r="B8" s="1" t="s">
        <v>173</v>
      </c>
      <c r="C8">
        <v>19.100000000000001</v>
      </c>
      <c r="D8">
        <v>22.2</v>
      </c>
      <c r="E8">
        <v>21.7</v>
      </c>
      <c r="F8">
        <v>23</v>
      </c>
      <c r="G8">
        <v>24.3</v>
      </c>
      <c r="H8">
        <v>18.2</v>
      </c>
      <c r="I8">
        <v>27</v>
      </c>
      <c r="J8">
        <v>33</v>
      </c>
      <c r="K8">
        <v>30</v>
      </c>
      <c r="L8">
        <v>31.1</v>
      </c>
      <c r="M8">
        <v>34.200000000000003</v>
      </c>
      <c r="N8">
        <v>35.299999999999997</v>
      </c>
      <c r="O8">
        <v>36.4</v>
      </c>
      <c r="P8">
        <v>37.6</v>
      </c>
      <c r="Q8">
        <v>38.799999999999997</v>
      </c>
      <c r="R8">
        <v>39.5</v>
      </c>
      <c r="S8">
        <v>41.2</v>
      </c>
      <c r="T8">
        <v>42.9</v>
      </c>
      <c r="U8">
        <v>43.6</v>
      </c>
      <c r="V8">
        <v>44.9</v>
      </c>
      <c r="W8">
        <v>45.4</v>
      </c>
      <c r="X8">
        <v>47.7</v>
      </c>
      <c r="Y8">
        <v>49</v>
      </c>
      <c r="Z8">
        <v>50.3</v>
      </c>
    </row>
    <row r="9" spans="1:26" x14ac:dyDescent="0.35">
      <c r="A9" s="1" t="s">
        <v>77</v>
      </c>
      <c r="B9" s="1" t="s">
        <v>173</v>
      </c>
      <c r="C9">
        <v>69.8</v>
      </c>
      <c r="D9">
        <v>71.599999999999994</v>
      </c>
      <c r="E9">
        <v>73.3</v>
      </c>
      <c r="F9">
        <v>75.099999999999994</v>
      </c>
      <c r="G9">
        <v>78.2</v>
      </c>
      <c r="H9">
        <v>78.599999999999994</v>
      </c>
      <c r="I9">
        <v>96.5</v>
      </c>
      <c r="J9">
        <v>82.2</v>
      </c>
      <c r="K9">
        <v>84.1</v>
      </c>
      <c r="L9">
        <v>85.9</v>
      </c>
      <c r="M9">
        <v>95.7</v>
      </c>
      <c r="N9">
        <v>96.1</v>
      </c>
      <c r="O9">
        <v>96.4</v>
      </c>
      <c r="P9">
        <v>97.2</v>
      </c>
      <c r="Q9">
        <v>97.3</v>
      </c>
      <c r="R9">
        <v>97.3</v>
      </c>
      <c r="S9">
        <v>97.8</v>
      </c>
      <c r="T9">
        <v>100</v>
      </c>
      <c r="U9">
        <v>98.1</v>
      </c>
      <c r="V9">
        <v>99.6</v>
      </c>
      <c r="W9">
        <v>100</v>
      </c>
      <c r="X9">
        <v>100</v>
      </c>
      <c r="Y9">
        <v>100</v>
      </c>
      <c r="Z9">
        <v>100</v>
      </c>
    </row>
    <row r="10" spans="1:26" x14ac:dyDescent="0.35">
      <c r="A10" s="1" t="s">
        <v>42</v>
      </c>
      <c r="B10" s="1" t="s">
        <v>172</v>
      </c>
      <c r="C10">
        <v>6</v>
      </c>
      <c r="D10">
        <v>5.7</v>
      </c>
      <c r="E10">
        <v>6.1</v>
      </c>
      <c r="F10">
        <v>6.6</v>
      </c>
      <c r="G10">
        <v>7</v>
      </c>
      <c r="H10">
        <v>7.4</v>
      </c>
      <c r="I10">
        <v>7.8</v>
      </c>
      <c r="J10">
        <v>8.4</v>
      </c>
      <c r="K10">
        <v>7.5</v>
      </c>
      <c r="L10">
        <v>9.4</v>
      </c>
      <c r="M10">
        <v>9.8000000000000007</v>
      </c>
      <c r="N10">
        <v>10.4</v>
      </c>
      <c r="O10">
        <v>11</v>
      </c>
      <c r="P10">
        <v>11.5</v>
      </c>
      <c r="Q10">
        <v>12</v>
      </c>
      <c r="R10">
        <v>12.7</v>
      </c>
      <c r="S10">
        <v>13.4</v>
      </c>
      <c r="T10">
        <v>14.1</v>
      </c>
      <c r="U10">
        <v>14.6</v>
      </c>
      <c r="V10">
        <v>14.3</v>
      </c>
      <c r="W10">
        <v>15.4</v>
      </c>
      <c r="X10">
        <v>15.7</v>
      </c>
      <c r="Y10">
        <v>15.7</v>
      </c>
      <c r="Z10">
        <v>17.600000000000001</v>
      </c>
    </row>
    <row r="11" spans="1:26" x14ac:dyDescent="0.35">
      <c r="A11" s="1" t="s">
        <v>99</v>
      </c>
      <c r="B11" s="1" t="s">
        <v>173</v>
      </c>
      <c r="C11">
        <v>23</v>
      </c>
      <c r="D11">
        <v>29.4</v>
      </c>
      <c r="E11">
        <v>29.7</v>
      </c>
      <c r="F11">
        <v>29.9</v>
      </c>
      <c r="G11">
        <v>30.2</v>
      </c>
      <c r="H11">
        <v>30.5</v>
      </c>
      <c r="I11">
        <v>30.8</v>
      </c>
      <c r="J11">
        <v>31.1</v>
      </c>
      <c r="K11">
        <v>20</v>
      </c>
      <c r="L11">
        <v>29</v>
      </c>
      <c r="M11">
        <v>36</v>
      </c>
      <c r="N11">
        <v>38.299999999999997</v>
      </c>
      <c r="O11">
        <v>40.700000000000003</v>
      </c>
      <c r="P11">
        <v>43.1</v>
      </c>
      <c r="Q11">
        <v>44.9</v>
      </c>
      <c r="R11">
        <v>48</v>
      </c>
      <c r="S11">
        <v>50.5</v>
      </c>
      <c r="T11">
        <v>53</v>
      </c>
      <c r="U11">
        <v>55.3</v>
      </c>
      <c r="V11">
        <v>57.6</v>
      </c>
      <c r="W11">
        <v>59.7</v>
      </c>
      <c r="X11">
        <v>61.8</v>
      </c>
      <c r="Y11">
        <v>63.2</v>
      </c>
      <c r="Z11">
        <v>66</v>
      </c>
    </row>
    <row r="12" spans="1:26" x14ac:dyDescent="0.35">
      <c r="A12" s="1" t="s">
        <v>44</v>
      </c>
      <c r="B12" s="1" t="s">
        <v>172</v>
      </c>
      <c r="C12">
        <v>41</v>
      </c>
      <c r="D12">
        <v>46.2</v>
      </c>
      <c r="E12">
        <v>44</v>
      </c>
      <c r="F12">
        <v>45.1</v>
      </c>
      <c r="G12">
        <v>47.1</v>
      </c>
      <c r="H12">
        <v>47.2</v>
      </c>
      <c r="I12">
        <v>49</v>
      </c>
      <c r="J12">
        <v>48.2</v>
      </c>
      <c r="K12">
        <v>50.6</v>
      </c>
      <c r="L12">
        <v>51.7</v>
      </c>
      <c r="M12">
        <v>52.8</v>
      </c>
      <c r="N12">
        <v>53.7</v>
      </c>
      <c r="O12">
        <v>55.2</v>
      </c>
      <c r="P12">
        <v>56.3</v>
      </c>
      <c r="Q12">
        <v>56.8</v>
      </c>
      <c r="R12">
        <v>58.6</v>
      </c>
      <c r="S12">
        <v>59.8</v>
      </c>
      <c r="T12">
        <v>60.9</v>
      </c>
      <c r="U12">
        <v>62.2</v>
      </c>
      <c r="V12">
        <v>63.2</v>
      </c>
      <c r="W12">
        <v>64.3</v>
      </c>
      <c r="X12">
        <v>65.400000000000006</v>
      </c>
      <c r="Y12">
        <v>71</v>
      </c>
      <c r="Z12">
        <v>72</v>
      </c>
    </row>
    <row r="13" spans="1:26" x14ac:dyDescent="0.35">
      <c r="A13" s="1" t="s">
        <v>118</v>
      </c>
      <c r="B13" s="1" t="s">
        <v>173</v>
      </c>
      <c r="C13">
        <v>94.8</v>
      </c>
      <c r="D13">
        <v>97.3</v>
      </c>
      <c r="E13">
        <v>97.8</v>
      </c>
      <c r="F13">
        <v>98.4</v>
      </c>
      <c r="G13">
        <v>99</v>
      </c>
      <c r="H13">
        <v>99.2</v>
      </c>
      <c r="I13">
        <v>99.4</v>
      </c>
      <c r="J13">
        <v>99.4</v>
      </c>
      <c r="K13">
        <v>99.4</v>
      </c>
      <c r="L13">
        <v>99.5</v>
      </c>
      <c r="M13">
        <v>99.5</v>
      </c>
      <c r="N13">
        <v>99.5</v>
      </c>
      <c r="O13">
        <v>99.5</v>
      </c>
      <c r="P13">
        <v>99.7</v>
      </c>
      <c r="Q13">
        <v>99.8</v>
      </c>
      <c r="R13">
        <v>99.9</v>
      </c>
      <c r="S13">
        <v>100</v>
      </c>
      <c r="T13">
        <v>100</v>
      </c>
      <c r="U13">
        <v>99.8</v>
      </c>
      <c r="V13">
        <v>100</v>
      </c>
      <c r="W13">
        <v>99.9</v>
      </c>
      <c r="X13">
        <v>99.9</v>
      </c>
      <c r="Y13">
        <v>100</v>
      </c>
      <c r="Z13">
        <v>100</v>
      </c>
    </row>
    <row r="14" spans="1:26" x14ac:dyDescent="0.35">
      <c r="A14" s="1" t="s">
        <v>46</v>
      </c>
      <c r="B14" s="1" t="s">
        <v>174</v>
      </c>
      <c r="C14">
        <v>39.799999999999997</v>
      </c>
      <c r="D14">
        <v>42</v>
      </c>
      <c r="E14">
        <v>44.8</v>
      </c>
      <c r="F14">
        <v>46.5</v>
      </c>
      <c r="G14">
        <v>48.7</v>
      </c>
      <c r="H14">
        <v>51</v>
      </c>
      <c r="I14">
        <v>53.2</v>
      </c>
      <c r="J14">
        <v>55.5</v>
      </c>
      <c r="K14">
        <v>57.8</v>
      </c>
      <c r="L14">
        <v>60.1</v>
      </c>
      <c r="M14">
        <v>69.7</v>
      </c>
      <c r="N14">
        <v>69.3</v>
      </c>
      <c r="O14">
        <v>69.3</v>
      </c>
      <c r="P14">
        <v>69.400000000000006</v>
      </c>
      <c r="Q14">
        <v>71.8</v>
      </c>
      <c r="R14">
        <v>74.099999999999994</v>
      </c>
      <c r="S14">
        <v>76.400000000000006</v>
      </c>
      <c r="T14">
        <v>78.7</v>
      </c>
      <c r="U14">
        <v>81</v>
      </c>
      <c r="V14">
        <v>83.3</v>
      </c>
      <c r="W14">
        <v>85.6</v>
      </c>
      <c r="X14">
        <v>87.9</v>
      </c>
      <c r="Y14">
        <v>89.9</v>
      </c>
      <c r="Z14">
        <v>89.8</v>
      </c>
    </row>
    <row r="15" spans="1:26" x14ac:dyDescent="0.35">
      <c r="A15" s="1" t="s">
        <v>48</v>
      </c>
      <c r="B15" s="1" t="s">
        <v>175</v>
      </c>
      <c r="C15">
        <v>58.6</v>
      </c>
      <c r="D15">
        <v>60.3</v>
      </c>
      <c r="E15">
        <v>58.6</v>
      </c>
      <c r="F15">
        <v>63.7</v>
      </c>
      <c r="G15">
        <v>65.400000000000006</v>
      </c>
      <c r="H15">
        <v>67</v>
      </c>
      <c r="I15">
        <v>68.8</v>
      </c>
      <c r="J15">
        <v>70.5</v>
      </c>
      <c r="K15">
        <v>72.3</v>
      </c>
      <c r="L15">
        <v>74.099999999999994</v>
      </c>
      <c r="M15">
        <v>81.099999999999994</v>
      </c>
      <c r="N15">
        <v>82.3</v>
      </c>
      <c r="O15">
        <v>83.2</v>
      </c>
      <c r="P15">
        <v>84.3</v>
      </c>
      <c r="Q15">
        <v>85.3</v>
      </c>
      <c r="R15">
        <v>86.4</v>
      </c>
      <c r="S15">
        <v>87.5</v>
      </c>
      <c r="T15">
        <v>88.6</v>
      </c>
      <c r="U15">
        <v>90.2</v>
      </c>
      <c r="V15">
        <v>91.4</v>
      </c>
      <c r="W15">
        <v>93.7</v>
      </c>
      <c r="X15">
        <v>95.5</v>
      </c>
      <c r="Y15">
        <v>97.1</v>
      </c>
      <c r="Z15">
        <v>98.6</v>
      </c>
    </row>
    <row r="16" spans="1:26" x14ac:dyDescent="0.35">
      <c r="A16" s="1" t="s">
        <v>50</v>
      </c>
      <c r="B16" s="1" t="s">
        <v>174</v>
      </c>
      <c r="C16">
        <v>56</v>
      </c>
      <c r="D16">
        <v>56.1</v>
      </c>
      <c r="E16">
        <v>49.7</v>
      </c>
      <c r="F16">
        <v>56.4</v>
      </c>
      <c r="G16">
        <v>56.6</v>
      </c>
      <c r="H16">
        <v>56.8</v>
      </c>
      <c r="I16">
        <v>55.5</v>
      </c>
      <c r="J16">
        <v>57.2</v>
      </c>
      <c r="K16">
        <v>57.4</v>
      </c>
      <c r="L16">
        <v>57.6</v>
      </c>
      <c r="M16">
        <v>57.9</v>
      </c>
      <c r="N16">
        <v>58.1</v>
      </c>
      <c r="O16">
        <v>54.6</v>
      </c>
      <c r="P16">
        <v>58.6</v>
      </c>
      <c r="Q16">
        <v>58.9</v>
      </c>
      <c r="R16">
        <v>59.1</v>
      </c>
      <c r="S16">
        <v>59.8</v>
      </c>
      <c r="T16">
        <v>60.2</v>
      </c>
      <c r="U16">
        <v>62.4</v>
      </c>
      <c r="V16">
        <v>64.7</v>
      </c>
      <c r="W16">
        <v>64.5</v>
      </c>
      <c r="X16">
        <v>65.400000000000006</v>
      </c>
      <c r="Y16">
        <v>65</v>
      </c>
      <c r="Z16">
        <v>65.2</v>
      </c>
    </row>
    <row r="17" spans="1:26" x14ac:dyDescent="0.35">
      <c r="A17" s="1" t="s">
        <v>55</v>
      </c>
      <c r="B17" s="1" t="s">
        <v>174</v>
      </c>
      <c r="C17">
        <v>29.3</v>
      </c>
      <c r="D17">
        <v>30.3</v>
      </c>
      <c r="E17">
        <v>32.200000000000003</v>
      </c>
      <c r="F17">
        <v>32.4</v>
      </c>
      <c r="G17">
        <v>33.4</v>
      </c>
      <c r="H17">
        <v>34.5</v>
      </c>
      <c r="I17">
        <v>35.6</v>
      </c>
      <c r="J17">
        <v>36.700000000000003</v>
      </c>
      <c r="K17">
        <v>37.799999999999997</v>
      </c>
      <c r="L17">
        <v>38.9</v>
      </c>
      <c r="M17">
        <v>40.1</v>
      </c>
      <c r="N17">
        <v>41.2</v>
      </c>
      <c r="O17">
        <v>42.3</v>
      </c>
      <c r="P17">
        <v>43.5</v>
      </c>
      <c r="Q17">
        <v>44.6</v>
      </c>
      <c r="R17">
        <v>45.8</v>
      </c>
      <c r="S17">
        <v>46.9</v>
      </c>
      <c r="T17">
        <v>48</v>
      </c>
      <c r="U17">
        <v>49.1</v>
      </c>
      <c r="V17">
        <v>50.3</v>
      </c>
      <c r="W17">
        <v>51.4</v>
      </c>
      <c r="X17">
        <v>52.5</v>
      </c>
      <c r="Y17">
        <v>53.4</v>
      </c>
      <c r="Z17">
        <v>54.4</v>
      </c>
    </row>
    <row r="18" spans="1:26" x14ac:dyDescent="0.35">
      <c r="A18" s="1" t="s">
        <v>57</v>
      </c>
      <c r="B18" s="1" t="s">
        <v>174</v>
      </c>
      <c r="C18">
        <v>12.7</v>
      </c>
      <c r="D18">
        <v>10.199999999999999</v>
      </c>
      <c r="E18">
        <v>11.9</v>
      </c>
      <c r="F18">
        <v>13.5</v>
      </c>
      <c r="G18">
        <v>15.2</v>
      </c>
      <c r="H18">
        <v>14</v>
      </c>
      <c r="I18">
        <v>18.600000000000001</v>
      </c>
      <c r="J18">
        <v>20.3</v>
      </c>
      <c r="K18">
        <v>22</v>
      </c>
      <c r="L18">
        <v>23.7</v>
      </c>
      <c r="M18">
        <v>25.5</v>
      </c>
      <c r="N18">
        <v>23</v>
      </c>
      <c r="O18">
        <v>29</v>
      </c>
      <c r="P18">
        <v>30.8</v>
      </c>
      <c r="Q18">
        <v>27.2</v>
      </c>
      <c r="R18">
        <v>29</v>
      </c>
      <c r="S18">
        <v>42.9</v>
      </c>
      <c r="T18">
        <v>44.3</v>
      </c>
      <c r="U18">
        <v>44.8</v>
      </c>
      <c r="V18">
        <v>48</v>
      </c>
      <c r="W18">
        <v>51.1</v>
      </c>
      <c r="X18">
        <v>54.2</v>
      </c>
      <c r="Y18">
        <v>55.4</v>
      </c>
      <c r="Z18">
        <v>55.4</v>
      </c>
    </row>
    <row r="19" spans="1:26" x14ac:dyDescent="0.35">
      <c r="A19" s="1" t="s">
        <v>59</v>
      </c>
      <c r="B19" s="1" t="s">
        <v>172</v>
      </c>
      <c r="C19">
        <v>73.599999999999994</v>
      </c>
      <c r="D19">
        <v>77.2</v>
      </c>
      <c r="E19">
        <v>77.8</v>
      </c>
      <c r="F19">
        <v>78.5</v>
      </c>
      <c r="G19">
        <v>79.2</v>
      </c>
      <c r="H19">
        <v>81.599999999999994</v>
      </c>
      <c r="I19">
        <v>80.5</v>
      </c>
      <c r="J19">
        <v>81.3</v>
      </c>
      <c r="K19">
        <v>82</v>
      </c>
      <c r="L19">
        <v>82.7</v>
      </c>
      <c r="M19">
        <v>89.3</v>
      </c>
      <c r="N19">
        <v>88.7</v>
      </c>
      <c r="O19">
        <v>89.3</v>
      </c>
      <c r="P19">
        <v>86.4</v>
      </c>
      <c r="Q19">
        <v>87.1</v>
      </c>
      <c r="R19">
        <v>87.3</v>
      </c>
      <c r="S19">
        <v>88.1</v>
      </c>
      <c r="T19">
        <v>86.3</v>
      </c>
      <c r="U19">
        <v>89.6</v>
      </c>
      <c r="V19">
        <v>90.3</v>
      </c>
      <c r="W19">
        <v>91.1</v>
      </c>
      <c r="X19">
        <v>91.8</v>
      </c>
      <c r="Y19">
        <v>93.5</v>
      </c>
      <c r="Z19">
        <v>94.1</v>
      </c>
    </row>
    <row r="20" spans="1:26" x14ac:dyDescent="0.35">
      <c r="A20" s="1" t="s">
        <v>61</v>
      </c>
      <c r="B20" s="1" t="s">
        <v>175</v>
      </c>
      <c r="C20">
        <v>43.7</v>
      </c>
      <c r="D20">
        <v>44.8</v>
      </c>
      <c r="E20">
        <v>46.8</v>
      </c>
      <c r="F20">
        <v>48.3</v>
      </c>
      <c r="G20">
        <v>50.8</v>
      </c>
      <c r="H20">
        <v>41.3</v>
      </c>
      <c r="I20">
        <v>55.1</v>
      </c>
      <c r="J20">
        <v>56.9</v>
      </c>
      <c r="K20">
        <v>60.5</v>
      </c>
      <c r="L20">
        <v>61.1</v>
      </c>
      <c r="M20">
        <v>64.2</v>
      </c>
      <c r="N20">
        <v>64.099999999999994</v>
      </c>
      <c r="O20">
        <v>56.5</v>
      </c>
      <c r="P20">
        <v>70.7</v>
      </c>
      <c r="Q20">
        <v>78.3</v>
      </c>
      <c r="R20">
        <v>74</v>
      </c>
      <c r="S20">
        <v>79.3</v>
      </c>
      <c r="T20">
        <v>79</v>
      </c>
      <c r="U20">
        <v>80.400000000000006</v>
      </c>
      <c r="V20">
        <v>83.5</v>
      </c>
      <c r="W20">
        <v>85.4</v>
      </c>
      <c r="X20">
        <v>86.3</v>
      </c>
      <c r="Y20">
        <v>85.1</v>
      </c>
      <c r="Z20">
        <v>89.5</v>
      </c>
    </row>
    <row r="21" spans="1:26" x14ac:dyDescent="0.35">
      <c r="A21" s="1" t="s">
        <v>63</v>
      </c>
      <c r="B21" s="1" t="s">
        <v>175</v>
      </c>
      <c r="C21">
        <v>15.2</v>
      </c>
      <c r="D21">
        <v>16.399999999999999</v>
      </c>
      <c r="E21">
        <v>17.7</v>
      </c>
      <c r="F21">
        <v>18.899999999999999</v>
      </c>
      <c r="G21">
        <v>20.2</v>
      </c>
      <c r="H21">
        <v>20.2</v>
      </c>
      <c r="I21">
        <v>22.8</v>
      </c>
      <c r="J21">
        <v>24.1</v>
      </c>
      <c r="K21">
        <v>25.4</v>
      </c>
      <c r="L21">
        <v>26.7</v>
      </c>
      <c r="M21">
        <v>28.1</v>
      </c>
      <c r="N21">
        <v>29.5</v>
      </c>
      <c r="O21">
        <v>26.2</v>
      </c>
      <c r="P21">
        <v>32.200000000000003</v>
      </c>
      <c r="Q21">
        <v>33.5</v>
      </c>
      <c r="R21">
        <v>34.9</v>
      </c>
      <c r="S21">
        <v>33.5</v>
      </c>
      <c r="T21">
        <v>35.4</v>
      </c>
      <c r="U21">
        <v>45</v>
      </c>
      <c r="V21">
        <v>42.2</v>
      </c>
      <c r="W21">
        <v>44.7</v>
      </c>
      <c r="X21">
        <v>46.8</v>
      </c>
      <c r="Y21">
        <v>47.7</v>
      </c>
      <c r="Z21">
        <v>51.1</v>
      </c>
    </row>
    <row r="22" spans="1:26" x14ac:dyDescent="0.35">
      <c r="A22" s="1" t="s">
        <v>65</v>
      </c>
      <c r="B22" s="1" t="s">
        <v>175</v>
      </c>
      <c r="E22">
        <v>1.3</v>
      </c>
      <c r="F22">
        <v>2.6</v>
      </c>
      <c r="G22">
        <v>3.9</v>
      </c>
      <c r="H22">
        <v>5.2</v>
      </c>
      <c r="I22">
        <v>14.5</v>
      </c>
      <c r="J22">
        <v>7.9</v>
      </c>
      <c r="K22">
        <v>9.3000000000000007</v>
      </c>
      <c r="L22">
        <v>4.7</v>
      </c>
      <c r="M22">
        <v>6</v>
      </c>
      <c r="N22">
        <v>13.5</v>
      </c>
      <c r="O22">
        <v>14.9</v>
      </c>
      <c r="P22">
        <v>16.3</v>
      </c>
      <c r="Q22">
        <v>17.2</v>
      </c>
      <c r="R22">
        <v>20.100000000000001</v>
      </c>
      <c r="S22">
        <v>22.9</v>
      </c>
      <c r="T22">
        <v>26</v>
      </c>
      <c r="U22">
        <v>28.4</v>
      </c>
      <c r="V22">
        <v>30.9</v>
      </c>
      <c r="W22">
        <v>33.4</v>
      </c>
      <c r="X22">
        <v>35.799999999999997</v>
      </c>
      <c r="Y22">
        <v>37.4</v>
      </c>
      <c r="Z22">
        <v>40.5</v>
      </c>
    </row>
    <row r="23" spans="1:26" x14ac:dyDescent="0.35">
      <c r="A23" s="1" t="s">
        <v>71</v>
      </c>
      <c r="B23" s="1" t="s">
        <v>175</v>
      </c>
      <c r="J23">
        <v>3</v>
      </c>
      <c r="K23">
        <v>1.3</v>
      </c>
      <c r="L23">
        <v>1.9</v>
      </c>
      <c r="M23">
        <v>5.3</v>
      </c>
      <c r="N23">
        <v>4.0999999999999996</v>
      </c>
      <c r="O23">
        <v>9.3000000000000007</v>
      </c>
      <c r="P23">
        <v>9.8000000000000007</v>
      </c>
      <c r="Q23">
        <v>9.4</v>
      </c>
      <c r="R23">
        <v>15.2</v>
      </c>
      <c r="S23">
        <v>17.7</v>
      </c>
      <c r="T23">
        <v>24.2</v>
      </c>
      <c r="U23">
        <v>22.8</v>
      </c>
      <c r="V23">
        <v>23.1</v>
      </c>
      <c r="W23">
        <v>27.6</v>
      </c>
      <c r="X23">
        <v>29.8</v>
      </c>
      <c r="Y23">
        <v>31.8</v>
      </c>
      <c r="Z23">
        <v>32.5</v>
      </c>
    </row>
    <row r="24" spans="1:26" x14ac:dyDescent="0.35">
      <c r="A24" s="1" t="s">
        <v>67</v>
      </c>
      <c r="B24" s="1" t="s">
        <v>172</v>
      </c>
      <c r="C24">
        <v>64.8</v>
      </c>
      <c r="D24">
        <v>64.900000000000006</v>
      </c>
      <c r="E24">
        <v>64.900000000000006</v>
      </c>
      <c r="F24">
        <v>64.900000000000006</v>
      </c>
      <c r="G24">
        <v>64.900000000000006</v>
      </c>
      <c r="H24">
        <v>65</v>
      </c>
      <c r="I24">
        <v>65.099999999999994</v>
      </c>
      <c r="J24">
        <v>65.099999999999994</v>
      </c>
      <c r="K24">
        <v>65.2</v>
      </c>
      <c r="L24">
        <v>65.400000000000006</v>
      </c>
      <c r="M24">
        <v>66.099999999999994</v>
      </c>
      <c r="N24">
        <v>66.099999999999994</v>
      </c>
      <c r="O24">
        <v>65.7</v>
      </c>
      <c r="P24">
        <v>65.900000000000006</v>
      </c>
      <c r="Q24">
        <v>66</v>
      </c>
      <c r="R24">
        <v>66.099999999999994</v>
      </c>
      <c r="S24">
        <v>66.2</v>
      </c>
      <c r="T24">
        <v>66.400000000000006</v>
      </c>
      <c r="U24">
        <v>66.5</v>
      </c>
      <c r="V24">
        <v>66.599999999999994</v>
      </c>
      <c r="W24">
        <v>66.7</v>
      </c>
      <c r="X24">
        <v>66.8</v>
      </c>
      <c r="Y24">
        <v>67</v>
      </c>
      <c r="Z24">
        <v>66.900000000000006</v>
      </c>
    </row>
    <row r="25" spans="1:26" x14ac:dyDescent="0.35">
      <c r="A25" s="1" t="s">
        <v>81</v>
      </c>
      <c r="B25" s="1" t="s">
        <v>175</v>
      </c>
      <c r="C25">
        <v>9.6</v>
      </c>
      <c r="D25">
        <v>10.8</v>
      </c>
      <c r="E25">
        <v>13</v>
      </c>
      <c r="F25">
        <v>14.7</v>
      </c>
      <c r="G25">
        <v>16.399999999999999</v>
      </c>
      <c r="H25">
        <v>18.2</v>
      </c>
      <c r="I25">
        <v>16.600000000000001</v>
      </c>
      <c r="J25">
        <v>21.7</v>
      </c>
      <c r="K25">
        <v>23.4</v>
      </c>
      <c r="L25">
        <v>24</v>
      </c>
      <c r="M25">
        <v>27</v>
      </c>
      <c r="N25">
        <v>28.8</v>
      </c>
      <c r="O25">
        <v>25.6</v>
      </c>
      <c r="P25">
        <v>32.4</v>
      </c>
      <c r="Q25">
        <v>34.200000000000003</v>
      </c>
      <c r="R25">
        <v>37.6</v>
      </c>
      <c r="S25">
        <v>38.799999999999997</v>
      </c>
      <c r="T25">
        <v>34.799999999999997</v>
      </c>
      <c r="U25">
        <v>50.9</v>
      </c>
      <c r="V25">
        <v>47.9</v>
      </c>
      <c r="W25">
        <v>50.6</v>
      </c>
      <c r="X25">
        <v>53.4</v>
      </c>
      <c r="Y25">
        <v>53</v>
      </c>
      <c r="Z25">
        <v>54.5</v>
      </c>
    </row>
    <row r="26" spans="1:26" x14ac:dyDescent="0.35">
      <c r="A26" s="1" t="s">
        <v>69</v>
      </c>
      <c r="B26" s="1" t="s">
        <v>174</v>
      </c>
      <c r="C26">
        <v>15.2</v>
      </c>
      <c r="D26">
        <v>17</v>
      </c>
      <c r="E26">
        <v>18.899999999999999</v>
      </c>
      <c r="F26">
        <v>16</v>
      </c>
      <c r="G26">
        <v>22.6</v>
      </c>
      <c r="H26">
        <v>24.5</v>
      </c>
      <c r="I26">
        <v>26.4</v>
      </c>
      <c r="J26">
        <v>28.3</v>
      </c>
      <c r="K26">
        <v>30.3</v>
      </c>
      <c r="L26">
        <v>23</v>
      </c>
      <c r="M26">
        <v>19.2</v>
      </c>
      <c r="N26">
        <v>36.200000000000003</v>
      </c>
      <c r="O26">
        <v>38.1</v>
      </c>
      <c r="P26">
        <v>40.1</v>
      </c>
      <c r="Q26">
        <v>36</v>
      </c>
      <c r="R26">
        <v>41.6</v>
      </c>
      <c r="S26">
        <v>53.1</v>
      </c>
      <c r="T26">
        <v>55.8</v>
      </c>
      <c r="U26">
        <v>61.2</v>
      </c>
      <c r="V26">
        <v>69.7</v>
      </c>
      <c r="W26">
        <v>71.5</v>
      </c>
      <c r="X26">
        <v>76.5</v>
      </c>
      <c r="Y26">
        <v>76</v>
      </c>
      <c r="Z26">
        <v>76.2</v>
      </c>
    </row>
    <row r="27" spans="1:26" x14ac:dyDescent="0.35">
      <c r="A27" s="1" t="s">
        <v>93</v>
      </c>
      <c r="B27" s="1" t="s">
        <v>175</v>
      </c>
      <c r="C27">
        <v>6.5</v>
      </c>
      <c r="D27">
        <v>8.4</v>
      </c>
      <c r="E27">
        <v>8.8000000000000007</v>
      </c>
      <c r="F27">
        <v>9.3000000000000007</v>
      </c>
      <c r="G27">
        <v>9.6999999999999993</v>
      </c>
      <c r="H27">
        <v>7.1</v>
      </c>
      <c r="I27">
        <v>9.3000000000000007</v>
      </c>
      <c r="J27">
        <v>11.2</v>
      </c>
      <c r="K27">
        <v>11.8</v>
      </c>
      <c r="L27">
        <v>12.3</v>
      </c>
      <c r="M27">
        <v>13.6</v>
      </c>
      <c r="N27">
        <v>14.3</v>
      </c>
      <c r="O27">
        <v>14.4</v>
      </c>
      <c r="P27">
        <v>15.2</v>
      </c>
      <c r="Q27">
        <v>15.7</v>
      </c>
      <c r="R27">
        <v>16.600000000000001</v>
      </c>
      <c r="S27">
        <v>17</v>
      </c>
      <c r="T27">
        <v>17.600000000000001</v>
      </c>
      <c r="U27">
        <v>17.600000000000001</v>
      </c>
      <c r="V27">
        <v>18.5</v>
      </c>
      <c r="W27">
        <v>18.7</v>
      </c>
      <c r="X27">
        <v>18.600000000000001</v>
      </c>
      <c r="Y27">
        <v>19.5</v>
      </c>
      <c r="Z27">
        <v>20.100000000000001</v>
      </c>
    </row>
    <row r="28" spans="1:26" x14ac:dyDescent="0.35">
      <c r="A28" s="1" t="s">
        <v>95</v>
      </c>
      <c r="B28" s="1" t="s">
        <v>175</v>
      </c>
      <c r="C28">
        <v>43.2</v>
      </c>
      <c r="D28">
        <v>43.9</v>
      </c>
      <c r="E28">
        <v>44.6</v>
      </c>
      <c r="F28">
        <v>52.2</v>
      </c>
      <c r="G28">
        <v>46.1</v>
      </c>
      <c r="H28">
        <v>46.8</v>
      </c>
      <c r="I28">
        <v>47.6</v>
      </c>
      <c r="J28">
        <v>50.1</v>
      </c>
      <c r="K28">
        <v>50.3</v>
      </c>
      <c r="L28">
        <v>50</v>
      </c>
      <c r="M28">
        <v>48</v>
      </c>
      <c r="N28">
        <v>55.9</v>
      </c>
      <c r="O28">
        <v>53</v>
      </c>
      <c r="P28">
        <v>55.6</v>
      </c>
      <c r="Q28">
        <v>54.2</v>
      </c>
      <c r="R28">
        <v>52.5</v>
      </c>
      <c r="S28">
        <v>59.3</v>
      </c>
      <c r="T28">
        <v>54.4</v>
      </c>
      <c r="U28">
        <v>56.5</v>
      </c>
      <c r="V28">
        <v>55.4</v>
      </c>
      <c r="W28">
        <v>55.4</v>
      </c>
      <c r="X28">
        <v>59.5</v>
      </c>
      <c r="Y28">
        <v>60.5</v>
      </c>
      <c r="Z28">
        <v>61.2</v>
      </c>
    </row>
    <row r="29" spans="1:26" x14ac:dyDescent="0.35">
      <c r="A29" s="1" t="s">
        <v>101</v>
      </c>
      <c r="B29" s="1" t="s">
        <v>175</v>
      </c>
      <c r="C29">
        <v>37.700000000000003</v>
      </c>
      <c r="D29">
        <v>38.9</v>
      </c>
      <c r="E29">
        <v>36.799999999999997</v>
      </c>
      <c r="F29">
        <v>41.9</v>
      </c>
      <c r="G29">
        <v>36.799999999999997</v>
      </c>
      <c r="H29">
        <v>47.1</v>
      </c>
      <c r="I29">
        <v>49.9</v>
      </c>
      <c r="J29">
        <v>48.1</v>
      </c>
      <c r="K29">
        <v>49.7</v>
      </c>
      <c r="L29">
        <v>53.5</v>
      </c>
      <c r="M29">
        <v>56.5</v>
      </c>
      <c r="N29">
        <v>56.5</v>
      </c>
      <c r="O29">
        <v>56.5</v>
      </c>
      <c r="P29">
        <v>57</v>
      </c>
      <c r="Q29">
        <v>61</v>
      </c>
      <c r="R29">
        <v>60.5</v>
      </c>
      <c r="S29">
        <v>64.5</v>
      </c>
      <c r="T29">
        <v>61.7</v>
      </c>
      <c r="U29">
        <v>66</v>
      </c>
      <c r="V29">
        <v>70.400000000000006</v>
      </c>
      <c r="W29">
        <v>64.3</v>
      </c>
      <c r="X29">
        <v>68</v>
      </c>
      <c r="Y29">
        <v>67.900000000000006</v>
      </c>
      <c r="Z29">
        <v>74.2</v>
      </c>
    </row>
    <row r="30" spans="1:26" x14ac:dyDescent="0.35">
      <c r="A30" s="1" t="s">
        <v>103</v>
      </c>
      <c r="B30" s="1" t="s">
        <v>175</v>
      </c>
      <c r="C30">
        <v>7.7</v>
      </c>
      <c r="D30">
        <v>8.5</v>
      </c>
      <c r="E30">
        <v>9.1999999999999993</v>
      </c>
      <c r="F30">
        <v>9.9</v>
      </c>
      <c r="G30">
        <v>16.8</v>
      </c>
      <c r="H30">
        <v>11.3</v>
      </c>
      <c r="I30">
        <v>12.2</v>
      </c>
      <c r="J30">
        <v>13</v>
      </c>
      <c r="K30">
        <v>12.1</v>
      </c>
      <c r="L30">
        <v>14.6</v>
      </c>
      <c r="M30">
        <v>11.5</v>
      </c>
      <c r="N30">
        <v>14.2</v>
      </c>
      <c r="O30">
        <v>17.2</v>
      </c>
      <c r="P30">
        <v>13.5</v>
      </c>
      <c r="Q30">
        <v>18.8</v>
      </c>
      <c r="R30">
        <v>19.7</v>
      </c>
      <c r="S30">
        <v>20.3</v>
      </c>
      <c r="T30">
        <v>23.4</v>
      </c>
      <c r="U30">
        <v>26.1</v>
      </c>
      <c r="V30">
        <v>22.7</v>
      </c>
      <c r="W30">
        <v>26.3</v>
      </c>
      <c r="X30">
        <v>27.5</v>
      </c>
      <c r="Y30">
        <v>29.4</v>
      </c>
      <c r="Z30">
        <v>35.5</v>
      </c>
    </row>
    <row r="31" spans="1:26" x14ac:dyDescent="0.35">
      <c r="A31" s="1" t="s">
        <v>116</v>
      </c>
      <c r="B31" s="1" t="s">
        <v>175</v>
      </c>
      <c r="C31">
        <v>17</v>
      </c>
      <c r="D31">
        <v>19.600000000000001</v>
      </c>
      <c r="E31">
        <v>21.3</v>
      </c>
      <c r="F31">
        <v>23</v>
      </c>
      <c r="G31">
        <v>24.8</v>
      </c>
      <c r="H31">
        <v>26.5</v>
      </c>
      <c r="I31">
        <v>27.9</v>
      </c>
      <c r="J31">
        <v>30</v>
      </c>
      <c r="K31">
        <v>31.8</v>
      </c>
      <c r="L31">
        <v>33.700000000000003</v>
      </c>
      <c r="M31">
        <v>30.8</v>
      </c>
      <c r="N31">
        <v>39.700000000000003</v>
      </c>
      <c r="O31">
        <v>39.1</v>
      </c>
      <c r="P31">
        <v>41</v>
      </c>
      <c r="Q31">
        <v>45.7</v>
      </c>
      <c r="R31">
        <v>44.7</v>
      </c>
      <c r="S31">
        <v>46.8</v>
      </c>
      <c r="T31">
        <v>48</v>
      </c>
      <c r="U31">
        <v>50</v>
      </c>
      <c r="V31">
        <v>52.5</v>
      </c>
      <c r="W31">
        <v>54.1</v>
      </c>
      <c r="X31">
        <v>55.7</v>
      </c>
      <c r="Y31">
        <v>57.2</v>
      </c>
      <c r="Z31">
        <v>59.2</v>
      </c>
    </row>
    <row r="32" spans="1:26" x14ac:dyDescent="0.35">
      <c r="A32" s="1" t="s">
        <v>79</v>
      </c>
      <c r="B32" s="1" t="s">
        <v>174</v>
      </c>
      <c r="C32">
        <v>12.6</v>
      </c>
      <c r="D32">
        <v>14.8</v>
      </c>
      <c r="E32">
        <v>14</v>
      </c>
      <c r="F32">
        <v>20.3</v>
      </c>
      <c r="G32">
        <v>15.3</v>
      </c>
      <c r="H32">
        <v>16</v>
      </c>
      <c r="I32">
        <v>16.8</v>
      </c>
      <c r="J32">
        <v>17.5</v>
      </c>
      <c r="K32">
        <v>18.3</v>
      </c>
      <c r="L32">
        <v>17.399999999999999</v>
      </c>
      <c r="M32">
        <v>12.3</v>
      </c>
      <c r="N32">
        <v>14.3</v>
      </c>
      <c r="O32">
        <v>18.7</v>
      </c>
      <c r="P32">
        <v>12.9</v>
      </c>
      <c r="Q32">
        <v>23</v>
      </c>
      <c r="R32">
        <v>23.8</v>
      </c>
      <c r="S32">
        <v>22.9</v>
      </c>
      <c r="T32">
        <v>24.1</v>
      </c>
      <c r="U32">
        <v>36.5</v>
      </c>
      <c r="V32">
        <v>31</v>
      </c>
      <c r="W32">
        <v>32</v>
      </c>
      <c r="X32">
        <v>35.1</v>
      </c>
      <c r="Y32">
        <v>36.1</v>
      </c>
      <c r="Z32">
        <v>39.4</v>
      </c>
    </row>
    <row r="33" spans="1:26" x14ac:dyDescent="0.35">
      <c r="A33" s="1" t="s">
        <v>83</v>
      </c>
      <c r="B33" s="1" t="s">
        <v>174</v>
      </c>
      <c r="C33">
        <v>6.1</v>
      </c>
      <c r="D33">
        <v>5.7</v>
      </c>
      <c r="E33">
        <v>8.4</v>
      </c>
      <c r="F33">
        <v>8.1</v>
      </c>
      <c r="G33">
        <v>10.7</v>
      </c>
      <c r="H33">
        <v>11.8</v>
      </c>
      <c r="I33">
        <v>13</v>
      </c>
      <c r="J33">
        <v>12.4</v>
      </c>
      <c r="K33">
        <v>13.6</v>
      </c>
      <c r="L33">
        <v>15</v>
      </c>
      <c r="M33">
        <v>18.899999999999999</v>
      </c>
      <c r="N33">
        <v>20.2</v>
      </c>
      <c r="O33">
        <v>21.2</v>
      </c>
      <c r="P33">
        <v>22.4</v>
      </c>
      <c r="Q33">
        <v>24.8</v>
      </c>
      <c r="R33">
        <v>24</v>
      </c>
      <c r="S33">
        <v>26.2</v>
      </c>
      <c r="T33">
        <v>24.3</v>
      </c>
      <c r="U33">
        <v>31.1</v>
      </c>
      <c r="V33">
        <v>29.7</v>
      </c>
      <c r="W33">
        <v>30.6</v>
      </c>
      <c r="X33">
        <v>31.5</v>
      </c>
      <c r="Y33">
        <v>33.200000000000003</v>
      </c>
      <c r="Z33">
        <v>36</v>
      </c>
    </row>
    <row r="34" spans="1:26" x14ac:dyDescent="0.35">
      <c r="A34" s="1" t="s">
        <v>114</v>
      </c>
      <c r="B34" s="1" t="s">
        <v>172</v>
      </c>
      <c r="C34">
        <v>3.1</v>
      </c>
      <c r="D34">
        <v>3.4</v>
      </c>
      <c r="E34">
        <v>3.8</v>
      </c>
      <c r="F34">
        <v>4.0999999999999996</v>
      </c>
      <c r="G34">
        <v>3.5</v>
      </c>
      <c r="H34">
        <v>4.8</v>
      </c>
      <c r="I34">
        <v>5.0999999999999996</v>
      </c>
      <c r="J34">
        <v>5.5</v>
      </c>
      <c r="K34">
        <v>5.9</v>
      </c>
      <c r="L34">
        <v>6.3</v>
      </c>
      <c r="M34">
        <v>6.4</v>
      </c>
      <c r="N34">
        <v>9</v>
      </c>
      <c r="O34">
        <v>7.8</v>
      </c>
      <c r="P34">
        <v>8.1</v>
      </c>
      <c r="Q34">
        <v>8.4</v>
      </c>
      <c r="R34">
        <v>7.7</v>
      </c>
      <c r="S34">
        <v>9.1999999999999993</v>
      </c>
      <c r="T34">
        <v>10.9</v>
      </c>
      <c r="U34">
        <v>10.1</v>
      </c>
      <c r="V34">
        <v>8.4</v>
      </c>
      <c r="W34">
        <v>10.9</v>
      </c>
      <c r="X34">
        <v>11.3</v>
      </c>
      <c r="Y34">
        <v>11.7</v>
      </c>
      <c r="Z34">
        <v>12</v>
      </c>
    </row>
    <row r="35" spans="1:26" x14ac:dyDescent="0.35">
      <c r="A35" s="1" t="s">
        <v>87</v>
      </c>
      <c r="B35" s="1" t="s">
        <v>174</v>
      </c>
      <c r="C35">
        <v>99</v>
      </c>
      <c r="D35">
        <v>99.2</v>
      </c>
      <c r="E35">
        <v>99.4</v>
      </c>
      <c r="F35">
        <v>99.1</v>
      </c>
      <c r="G35">
        <v>99</v>
      </c>
      <c r="H35">
        <v>99</v>
      </c>
      <c r="I35">
        <v>99</v>
      </c>
      <c r="J35">
        <v>99</v>
      </c>
      <c r="K35">
        <v>99</v>
      </c>
      <c r="L35">
        <v>99</v>
      </c>
      <c r="M35">
        <v>99.4</v>
      </c>
      <c r="N35">
        <v>99.6</v>
      </c>
      <c r="O35">
        <v>99.4</v>
      </c>
      <c r="P35">
        <v>99.4</v>
      </c>
      <c r="Q35">
        <v>99.5</v>
      </c>
      <c r="R35">
        <v>99.6</v>
      </c>
      <c r="S35">
        <v>99.7</v>
      </c>
      <c r="T35">
        <v>99.6</v>
      </c>
      <c r="U35">
        <v>99.8</v>
      </c>
      <c r="V35">
        <v>100</v>
      </c>
      <c r="W35">
        <v>99.5</v>
      </c>
      <c r="X35">
        <v>99.6</v>
      </c>
      <c r="Y35">
        <v>100</v>
      </c>
      <c r="Z35">
        <v>100</v>
      </c>
    </row>
    <row r="36" spans="1:26" x14ac:dyDescent="0.35">
      <c r="A36" s="1" t="s">
        <v>89</v>
      </c>
      <c r="B36" s="1" t="s">
        <v>174</v>
      </c>
      <c r="C36">
        <v>4.8</v>
      </c>
      <c r="D36">
        <v>5.2</v>
      </c>
      <c r="E36">
        <v>5.6</v>
      </c>
      <c r="F36">
        <v>6.2</v>
      </c>
      <c r="G36">
        <v>6.9</v>
      </c>
      <c r="H36">
        <v>6.6</v>
      </c>
      <c r="I36">
        <v>3.7</v>
      </c>
      <c r="J36">
        <v>7.4</v>
      </c>
      <c r="K36">
        <v>7.8</v>
      </c>
      <c r="L36">
        <v>8.3000000000000007</v>
      </c>
      <c r="M36">
        <v>8.6999999999999993</v>
      </c>
      <c r="N36">
        <v>7.6</v>
      </c>
      <c r="O36">
        <v>7.4</v>
      </c>
      <c r="P36">
        <v>9</v>
      </c>
      <c r="Q36">
        <v>11.9</v>
      </c>
      <c r="R36">
        <v>10.8</v>
      </c>
      <c r="S36">
        <v>11</v>
      </c>
      <c r="T36">
        <v>12.7</v>
      </c>
      <c r="U36">
        <v>18</v>
      </c>
      <c r="V36">
        <v>11.2</v>
      </c>
      <c r="W36">
        <v>11.5</v>
      </c>
      <c r="X36">
        <v>14.2</v>
      </c>
      <c r="Y36">
        <v>14</v>
      </c>
      <c r="Z36">
        <v>15.6</v>
      </c>
    </row>
    <row r="37" spans="1:26" x14ac:dyDescent="0.35">
      <c r="A37" s="1" t="s">
        <v>97</v>
      </c>
      <c r="B37" s="1" t="s">
        <v>174</v>
      </c>
      <c r="C37">
        <v>6.2</v>
      </c>
      <c r="D37">
        <v>4.7</v>
      </c>
      <c r="E37">
        <v>6</v>
      </c>
      <c r="F37">
        <v>7.4</v>
      </c>
      <c r="G37">
        <v>8.6999999999999993</v>
      </c>
      <c r="H37">
        <v>4.8</v>
      </c>
      <c r="I37">
        <v>11.4</v>
      </c>
      <c r="J37">
        <v>12.8</v>
      </c>
      <c r="K37">
        <v>6</v>
      </c>
      <c r="L37">
        <v>15.6</v>
      </c>
      <c r="M37">
        <v>9.6999999999999993</v>
      </c>
      <c r="N37">
        <v>10.8</v>
      </c>
      <c r="O37">
        <v>17.5</v>
      </c>
      <c r="P37">
        <v>15.2</v>
      </c>
      <c r="Q37">
        <v>19.8</v>
      </c>
      <c r="R37">
        <v>22.8</v>
      </c>
      <c r="S37">
        <v>29.4</v>
      </c>
      <c r="T37">
        <v>34.1</v>
      </c>
      <c r="U37">
        <v>38</v>
      </c>
      <c r="V37">
        <v>46.6</v>
      </c>
      <c r="W37">
        <v>45.2</v>
      </c>
      <c r="X37">
        <v>48.7</v>
      </c>
      <c r="Y37">
        <v>50.6</v>
      </c>
      <c r="Z37">
        <v>63.9</v>
      </c>
    </row>
    <row r="38" spans="1:26" x14ac:dyDescent="0.35">
      <c r="A38" s="1" t="s">
        <v>105</v>
      </c>
      <c r="B38" s="1" t="s">
        <v>174</v>
      </c>
      <c r="J38">
        <v>0.8</v>
      </c>
      <c r="K38">
        <v>1.3</v>
      </c>
      <c r="L38">
        <v>3</v>
      </c>
      <c r="M38">
        <v>1.5</v>
      </c>
      <c r="N38">
        <v>2.8</v>
      </c>
      <c r="O38">
        <v>3.3</v>
      </c>
      <c r="P38">
        <v>3.8</v>
      </c>
      <c r="Q38">
        <v>4.3</v>
      </c>
      <c r="R38">
        <v>4.8</v>
      </c>
      <c r="S38">
        <v>5.3</v>
      </c>
      <c r="T38">
        <v>4.2</v>
      </c>
      <c r="U38">
        <v>6.3</v>
      </c>
      <c r="V38">
        <v>6.8</v>
      </c>
      <c r="W38">
        <v>7.3</v>
      </c>
      <c r="X38">
        <v>7.7</v>
      </c>
      <c r="Y38">
        <v>8.4</v>
      </c>
      <c r="Z38">
        <v>5.4</v>
      </c>
    </row>
    <row r="39" spans="1:26" x14ac:dyDescent="0.35">
      <c r="A39" s="1" t="s">
        <v>111</v>
      </c>
      <c r="B39" s="1" t="s">
        <v>174</v>
      </c>
      <c r="C39">
        <v>94.1</v>
      </c>
      <c r="D39">
        <v>94.4</v>
      </c>
      <c r="E39">
        <v>96.1</v>
      </c>
      <c r="F39">
        <v>94.9</v>
      </c>
      <c r="G39">
        <v>95.2</v>
      </c>
      <c r="H39">
        <v>95.5</v>
      </c>
      <c r="I39">
        <v>99</v>
      </c>
      <c r="J39">
        <v>96.1</v>
      </c>
      <c r="K39">
        <v>96.5</v>
      </c>
      <c r="L39">
        <v>96.8</v>
      </c>
      <c r="M39">
        <v>97</v>
      </c>
      <c r="N39">
        <v>98.1</v>
      </c>
      <c r="O39">
        <v>98.3</v>
      </c>
      <c r="P39">
        <v>98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</row>
    <row r="40" spans="1:26" x14ac:dyDescent="0.35">
      <c r="A40" s="1" t="s">
        <v>120</v>
      </c>
      <c r="B40" s="1" t="s">
        <v>174</v>
      </c>
      <c r="C40">
        <v>8.6999999999999993</v>
      </c>
      <c r="D40">
        <v>9.6999999999999993</v>
      </c>
      <c r="E40">
        <v>10.7</v>
      </c>
      <c r="F40">
        <v>11.1</v>
      </c>
      <c r="G40">
        <v>11.4</v>
      </c>
      <c r="H40">
        <v>13.8</v>
      </c>
      <c r="I40">
        <v>14.9</v>
      </c>
      <c r="J40">
        <v>15.9</v>
      </c>
      <c r="K40">
        <v>11.5</v>
      </c>
      <c r="L40">
        <v>11.2</v>
      </c>
      <c r="M40">
        <v>14.8</v>
      </c>
      <c r="N40">
        <v>14.2</v>
      </c>
      <c r="O40">
        <v>15.3</v>
      </c>
      <c r="P40">
        <v>16.399999999999999</v>
      </c>
      <c r="Q40">
        <v>23.5</v>
      </c>
      <c r="R40">
        <v>26.2</v>
      </c>
      <c r="S40">
        <v>32.799999999999997</v>
      </c>
      <c r="T40">
        <v>32.1</v>
      </c>
      <c r="U40">
        <v>34.9</v>
      </c>
      <c r="V40">
        <v>37.700000000000003</v>
      </c>
      <c r="W40">
        <v>39.9</v>
      </c>
      <c r="X40">
        <v>42.7</v>
      </c>
      <c r="Y40">
        <v>45.8</v>
      </c>
      <c r="Z40">
        <v>48.3</v>
      </c>
    </row>
    <row r="41" spans="1:26" x14ac:dyDescent="0.35">
      <c r="A41" s="1" t="s">
        <v>122</v>
      </c>
      <c r="B41" s="1" t="s">
        <v>174</v>
      </c>
      <c r="C41">
        <v>7.4</v>
      </c>
      <c r="D41">
        <v>8.6</v>
      </c>
      <c r="E41">
        <v>7.8</v>
      </c>
      <c r="F41">
        <v>10.5</v>
      </c>
      <c r="G41">
        <v>11.6</v>
      </c>
      <c r="H41">
        <v>8.9</v>
      </c>
      <c r="I41">
        <v>9</v>
      </c>
      <c r="J41">
        <v>14.8</v>
      </c>
      <c r="K41">
        <v>15.9</v>
      </c>
      <c r="L41">
        <v>10</v>
      </c>
      <c r="M41">
        <v>12.1</v>
      </c>
      <c r="N41">
        <v>14.6</v>
      </c>
      <c r="O41">
        <v>20.5</v>
      </c>
      <c r="P41">
        <v>13.9</v>
      </c>
      <c r="Q41">
        <v>20.399999999999999</v>
      </c>
      <c r="R41">
        <v>18.5</v>
      </c>
      <c r="S41">
        <v>26.7</v>
      </c>
      <c r="T41">
        <v>32.4</v>
      </c>
      <c r="U41">
        <v>41.9</v>
      </c>
      <c r="V41">
        <v>41.3</v>
      </c>
      <c r="W41">
        <v>42.1</v>
      </c>
      <c r="X41">
        <v>45.2</v>
      </c>
      <c r="Y41">
        <v>47.1</v>
      </c>
      <c r="Z41">
        <v>51.5</v>
      </c>
    </row>
    <row r="42" spans="1:26" x14ac:dyDescent="0.35">
      <c r="A42" s="1" t="s">
        <v>126</v>
      </c>
      <c r="B42" s="1" t="s">
        <v>174</v>
      </c>
      <c r="C42">
        <v>16.7</v>
      </c>
      <c r="D42">
        <v>20.2</v>
      </c>
      <c r="E42">
        <v>17.399999999999999</v>
      </c>
      <c r="F42">
        <v>18.5</v>
      </c>
      <c r="G42">
        <v>20.3</v>
      </c>
      <c r="H42">
        <v>23.3</v>
      </c>
      <c r="I42">
        <v>24.1</v>
      </c>
      <c r="J42">
        <v>18.5</v>
      </c>
      <c r="K42">
        <v>25.7</v>
      </c>
      <c r="L42">
        <v>26.6</v>
      </c>
      <c r="M42">
        <v>22</v>
      </c>
      <c r="N42">
        <v>28.3</v>
      </c>
      <c r="O42">
        <v>29.2</v>
      </c>
      <c r="P42">
        <v>30.1</v>
      </c>
      <c r="Q42">
        <v>27.9</v>
      </c>
      <c r="R42">
        <v>31.1</v>
      </c>
      <c r="S42">
        <v>35.4</v>
      </c>
      <c r="T42">
        <v>40.299999999999997</v>
      </c>
      <c r="U42">
        <v>40.200000000000003</v>
      </c>
      <c r="V42">
        <v>43</v>
      </c>
      <c r="W42">
        <v>44.6</v>
      </c>
      <c r="X42">
        <v>46.7</v>
      </c>
      <c r="Y42">
        <v>47.8</v>
      </c>
      <c r="Z42">
        <v>51.1</v>
      </c>
    </row>
    <row r="43" spans="1:26" x14ac:dyDescent="0.35">
      <c r="A43" s="1" t="s">
        <v>128</v>
      </c>
      <c r="B43" s="1" t="s">
        <v>174</v>
      </c>
      <c r="C43">
        <v>33.700000000000003</v>
      </c>
      <c r="D43">
        <v>34.200000000000003</v>
      </c>
      <c r="E43">
        <v>34.200000000000003</v>
      </c>
      <c r="F43">
        <v>35.1</v>
      </c>
      <c r="G43">
        <v>35.6</v>
      </c>
      <c r="H43">
        <v>36.1</v>
      </c>
      <c r="I43">
        <v>37.200000000000003</v>
      </c>
      <c r="J43">
        <v>37.200000000000003</v>
      </c>
      <c r="K43">
        <v>37.700000000000003</v>
      </c>
      <c r="L43">
        <v>43.4</v>
      </c>
      <c r="M43">
        <v>38.9</v>
      </c>
      <c r="N43">
        <v>36.9</v>
      </c>
      <c r="O43">
        <v>44</v>
      </c>
      <c r="P43">
        <v>40.6</v>
      </c>
      <c r="Q43">
        <v>32.299999999999997</v>
      </c>
      <c r="R43">
        <v>33.700000000000003</v>
      </c>
      <c r="S43">
        <v>42.5</v>
      </c>
      <c r="T43">
        <v>44</v>
      </c>
      <c r="U43">
        <v>45.4</v>
      </c>
      <c r="V43">
        <v>46.7</v>
      </c>
      <c r="W43">
        <v>52.7</v>
      </c>
      <c r="X43">
        <v>49</v>
      </c>
      <c r="Y43">
        <v>50.1</v>
      </c>
      <c r="Z43">
        <v>62</v>
      </c>
    </row>
    <row r="44" spans="1:26" x14ac:dyDescent="0.35">
      <c r="A44" s="1" t="s">
        <v>39</v>
      </c>
      <c r="B44" s="1" t="s">
        <v>176</v>
      </c>
      <c r="C44">
        <v>26.5</v>
      </c>
      <c r="D44">
        <v>24.8</v>
      </c>
      <c r="E44">
        <v>27</v>
      </c>
      <c r="F44">
        <v>33.1</v>
      </c>
      <c r="G44">
        <v>35.299999999999997</v>
      </c>
      <c r="H44">
        <v>37.5</v>
      </c>
      <c r="I44">
        <v>39.700000000000003</v>
      </c>
      <c r="J44">
        <v>41.9</v>
      </c>
      <c r="K44">
        <v>44.5</v>
      </c>
      <c r="L44">
        <v>43.4</v>
      </c>
      <c r="M44">
        <v>52</v>
      </c>
      <c r="N44">
        <v>53.2</v>
      </c>
      <c r="O44">
        <v>56</v>
      </c>
      <c r="P44">
        <v>58</v>
      </c>
      <c r="Q44">
        <v>60</v>
      </c>
      <c r="R44">
        <v>62.1</v>
      </c>
      <c r="S44">
        <v>64.2</v>
      </c>
      <c r="T44">
        <v>67.400000000000006</v>
      </c>
      <c r="U44">
        <v>68.3</v>
      </c>
      <c r="V44">
        <v>70.099999999999994</v>
      </c>
      <c r="W44">
        <v>71.8</v>
      </c>
      <c r="X44">
        <v>73.7</v>
      </c>
      <c r="Y44">
        <v>75.900000000000006</v>
      </c>
      <c r="Z44">
        <v>76</v>
      </c>
    </row>
    <row r="45" spans="1:26" x14ac:dyDescent="0.35">
      <c r="A45" s="1" t="s">
        <v>75</v>
      </c>
      <c r="B45" s="1" t="s">
        <v>176</v>
      </c>
      <c r="C45">
        <v>4.3</v>
      </c>
      <c r="D45">
        <v>1.3</v>
      </c>
      <c r="E45">
        <v>3.4</v>
      </c>
      <c r="F45">
        <v>5.4</v>
      </c>
      <c r="G45">
        <v>6.8</v>
      </c>
      <c r="H45">
        <v>9.6</v>
      </c>
      <c r="I45">
        <v>9.6999999999999993</v>
      </c>
      <c r="J45">
        <v>13.9</v>
      </c>
      <c r="K45">
        <v>16</v>
      </c>
      <c r="L45">
        <v>17</v>
      </c>
      <c r="M45">
        <v>17</v>
      </c>
      <c r="N45">
        <v>22.5</v>
      </c>
      <c r="O45">
        <v>20.6</v>
      </c>
      <c r="P45">
        <v>26.9</v>
      </c>
      <c r="Q45">
        <v>27.8</v>
      </c>
      <c r="R45">
        <v>31.8</v>
      </c>
      <c r="S45">
        <v>35.1</v>
      </c>
      <c r="T45">
        <v>33.700000000000003</v>
      </c>
      <c r="U45">
        <v>47</v>
      </c>
      <c r="V45">
        <v>44.6</v>
      </c>
      <c r="W45">
        <v>47.5</v>
      </c>
      <c r="X45">
        <v>50.4</v>
      </c>
      <c r="Y45">
        <v>50</v>
      </c>
      <c r="Z45">
        <v>57.3</v>
      </c>
    </row>
    <row r="46" spans="1:26" x14ac:dyDescent="0.35">
      <c r="A46" s="1" t="s">
        <v>91</v>
      </c>
      <c r="B46" s="1" t="s">
        <v>176</v>
      </c>
      <c r="C46">
        <v>36.5</v>
      </c>
      <c r="D46">
        <v>36</v>
      </c>
      <c r="E46">
        <v>36.9</v>
      </c>
      <c r="F46">
        <v>37.799999999999997</v>
      </c>
      <c r="G46">
        <v>38.700000000000003</v>
      </c>
      <c r="H46">
        <v>39.6</v>
      </c>
      <c r="I46">
        <v>40.5</v>
      </c>
      <c r="J46">
        <v>43.7</v>
      </c>
      <c r="K46">
        <v>42.4</v>
      </c>
      <c r="L46">
        <v>44.1</v>
      </c>
      <c r="M46">
        <v>44.4</v>
      </c>
      <c r="N46">
        <v>42.3</v>
      </c>
      <c r="O46">
        <v>46.4</v>
      </c>
      <c r="P46">
        <v>47.4</v>
      </c>
      <c r="Q46">
        <v>48.4</v>
      </c>
      <c r="R46">
        <v>51.6</v>
      </c>
      <c r="S46">
        <v>49.7</v>
      </c>
      <c r="T46">
        <v>52.5</v>
      </c>
      <c r="U46">
        <v>52.3</v>
      </c>
      <c r="V46">
        <v>53.3</v>
      </c>
      <c r="W46">
        <v>52.3</v>
      </c>
      <c r="X46">
        <v>55.2</v>
      </c>
      <c r="Y46">
        <v>56.2</v>
      </c>
      <c r="Z46">
        <v>56.7</v>
      </c>
    </row>
    <row r="47" spans="1:26" x14ac:dyDescent="0.35">
      <c r="A47" s="1" t="s">
        <v>124</v>
      </c>
      <c r="B47" s="1" t="s">
        <v>176</v>
      </c>
      <c r="C47">
        <v>72.400000000000006</v>
      </c>
      <c r="D47">
        <v>70.2</v>
      </c>
      <c r="E47">
        <v>76.7</v>
      </c>
      <c r="F47">
        <v>78.8</v>
      </c>
      <c r="G47">
        <v>80.599999999999994</v>
      </c>
      <c r="H47">
        <v>80.8</v>
      </c>
      <c r="I47">
        <v>80.7</v>
      </c>
      <c r="J47">
        <v>82</v>
      </c>
      <c r="K47">
        <v>81.900000000000006</v>
      </c>
      <c r="L47">
        <v>82.6</v>
      </c>
      <c r="M47">
        <v>82.8</v>
      </c>
      <c r="N47">
        <v>83.6</v>
      </c>
      <c r="O47">
        <v>85.2</v>
      </c>
      <c r="P47">
        <v>85.2</v>
      </c>
      <c r="Q47">
        <v>85.9</v>
      </c>
      <c r="R47">
        <v>85.3</v>
      </c>
      <c r="S47">
        <v>83.9</v>
      </c>
      <c r="T47">
        <v>84.4</v>
      </c>
      <c r="U47">
        <v>84.7</v>
      </c>
      <c r="V47">
        <v>85</v>
      </c>
      <c r="W47">
        <v>90</v>
      </c>
      <c r="X47">
        <v>89.3</v>
      </c>
      <c r="Y47">
        <v>86.5</v>
      </c>
      <c r="Z47">
        <v>87.7</v>
      </c>
    </row>
    <row r="48" spans="1:26" x14ac:dyDescent="0.35">
      <c r="A48" s="1" t="s">
        <v>107</v>
      </c>
      <c r="B48" s="1" t="s">
        <v>172</v>
      </c>
      <c r="C48">
        <v>52.9</v>
      </c>
      <c r="D48">
        <v>51.5</v>
      </c>
      <c r="E48">
        <v>52.5</v>
      </c>
      <c r="F48">
        <v>53.6</v>
      </c>
      <c r="G48">
        <v>54.7</v>
      </c>
      <c r="H48">
        <v>55.8</v>
      </c>
      <c r="I48">
        <v>56.9</v>
      </c>
      <c r="J48">
        <v>58</v>
      </c>
      <c r="K48">
        <v>59.1</v>
      </c>
      <c r="L48">
        <v>56.9</v>
      </c>
      <c r="M48">
        <v>61.4</v>
      </c>
      <c r="N48">
        <v>62.6</v>
      </c>
      <c r="O48">
        <v>57.9</v>
      </c>
      <c r="P48">
        <v>65</v>
      </c>
      <c r="Q48">
        <v>68.599999999999994</v>
      </c>
      <c r="R48">
        <v>67.3</v>
      </c>
      <c r="S48">
        <v>69.400000000000006</v>
      </c>
      <c r="T48">
        <v>74.3</v>
      </c>
      <c r="U48">
        <v>71</v>
      </c>
      <c r="V48">
        <v>75.099999999999994</v>
      </c>
      <c r="W48">
        <v>76.8</v>
      </c>
      <c r="X48">
        <v>78.5</v>
      </c>
      <c r="Y48">
        <v>78</v>
      </c>
      <c r="Z48">
        <v>81.3</v>
      </c>
    </row>
    <row r="49" spans="1:26" x14ac:dyDescent="0.35">
      <c r="A49" s="1" t="s">
        <v>109</v>
      </c>
      <c r="B49" s="1" t="s">
        <v>176</v>
      </c>
      <c r="C49">
        <v>20.399999999999999</v>
      </c>
      <c r="D49">
        <v>26.9</v>
      </c>
      <c r="E49">
        <v>25.9</v>
      </c>
      <c r="F49">
        <v>28.7</v>
      </c>
      <c r="G49">
        <v>31.4</v>
      </c>
      <c r="H49">
        <v>34.200000000000003</v>
      </c>
      <c r="I49">
        <v>35.200000000000003</v>
      </c>
      <c r="J49">
        <v>39.799999999999997</v>
      </c>
      <c r="K49">
        <v>42.6</v>
      </c>
      <c r="L49">
        <v>38.6</v>
      </c>
      <c r="M49">
        <v>45.6</v>
      </c>
      <c r="N49">
        <v>51.2</v>
      </c>
      <c r="O49">
        <v>54.3</v>
      </c>
      <c r="P49">
        <v>57.5</v>
      </c>
      <c r="Q49">
        <v>65</v>
      </c>
      <c r="R49">
        <v>64.099999999999994</v>
      </c>
      <c r="S49">
        <v>63.4</v>
      </c>
      <c r="T49">
        <v>73.5</v>
      </c>
      <c r="U49">
        <v>74</v>
      </c>
      <c r="V49">
        <v>77</v>
      </c>
      <c r="W49">
        <v>80</v>
      </c>
      <c r="X49">
        <v>82.9</v>
      </c>
      <c r="Y49">
        <v>82.3</v>
      </c>
      <c r="Z49">
        <v>86.4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06CE-CF2B-4561-A324-FA7230D10C77}">
  <dimension ref="A1:I1137"/>
  <sheetViews>
    <sheetView workbookViewId="0">
      <selection activeCell="F25" sqref="F25"/>
    </sheetView>
  </sheetViews>
  <sheetFormatPr defaultRowHeight="14.5" x14ac:dyDescent="0.35"/>
  <cols>
    <col min="1" max="1" width="20.453125" bestFit="1" customWidth="1"/>
    <col min="2" max="2" width="13.26953125" customWidth="1"/>
    <col min="3" max="3" width="18.08984375" style="2" customWidth="1"/>
    <col min="4" max="4" width="4.81640625" customWidth="1"/>
    <col min="5" max="5" width="20.1796875" customWidth="1"/>
    <col min="6" max="6" width="12.54296875" bestFit="1" customWidth="1"/>
    <col min="7" max="7" width="14.08984375" bestFit="1" customWidth="1"/>
    <col min="8" max="8" width="18.1796875" bestFit="1" customWidth="1"/>
    <col min="9" max="9" width="18.36328125" bestFit="1" customWidth="1"/>
  </cols>
  <sheetData>
    <row r="1" spans="1:9" x14ac:dyDescent="0.35">
      <c r="A1" t="s">
        <v>0</v>
      </c>
      <c r="B1" t="s">
        <v>2</v>
      </c>
      <c r="C1" t="s">
        <v>3</v>
      </c>
      <c r="D1" s="2" t="s">
        <v>132</v>
      </c>
      <c r="E1" t="s">
        <v>171</v>
      </c>
      <c r="F1" t="s">
        <v>177</v>
      </c>
      <c r="G1" t="s">
        <v>178</v>
      </c>
      <c r="H1" t="s">
        <v>179</v>
      </c>
      <c r="I1" t="s">
        <v>180</v>
      </c>
    </row>
    <row r="2" spans="1:9" hidden="1" x14ac:dyDescent="0.35">
      <c r="A2" s="1" t="s">
        <v>28</v>
      </c>
      <c r="B2" s="1" t="s">
        <v>172</v>
      </c>
      <c r="C2" s="1" t="s">
        <v>31</v>
      </c>
      <c r="D2" s="3">
        <v>2000</v>
      </c>
      <c r="E2">
        <v>24.2</v>
      </c>
      <c r="F2" s="1">
        <f t="shared" ref="F2:F65" ca="1" si="0">SLOPE(
  OFFSET($E$1, MATCH($A2, $A:$A, 0)-1, 0, 24, 1),
  OFFSET($D$1, MATCH($A2, $A:$A, 0)-1, 0, 24, 1)
)</f>
        <v>1.1455217391304346</v>
      </c>
      <c r="G2" s="1">
        <f t="shared" ref="G2:G65" ca="1" si="1">INTERCEPT(
  OFFSET($E$1, MATCH($A2, $A:$A, 0)-1, 0, 24, 1),
  OFFSET($D$1, MATCH($A2, $A:$A, 0)-1, 0, 24, 1)
)</f>
        <v>-2267.3128115942027</v>
      </c>
      <c r="H2" s="1" cm="1">
        <f t="array" aca="1" ref="H2" ca="1">MIN(
  INDEX($E:$E, MATCH($A2, $A:$A, 0) + 23) +
  (F2 * (2030 - 2023)),
  100
)</f>
        <v>59.118652173913048</v>
      </c>
      <c r="I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" spans="1:9" hidden="1" x14ac:dyDescent="0.35">
      <c r="A3" s="1" t="s">
        <v>28</v>
      </c>
      <c r="B3" s="1" t="s">
        <v>172</v>
      </c>
      <c r="C3" s="1" t="s">
        <v>31</v>
      </c>
      <c r="D3" s="3">
        <v>2001</v>
      </c>
      <c r="E3">
        <v>20</v>
      </c>
      <c r="F3" s="1">
        <f t="shared" ca="1" si="0"/>
        <v>1.1455217391304346</v>
      </c>
      <c r="G3" s="1">
        <f t="shared" ca="1" si="1"/>
        <v>-2267.3128115942027</v>
      </c>
      <c r="H3" s="1" cm="1">
        <f t="array" aca="1" ref="H3" ca="1">MIN(
  INDEX($E:$E, MATCH($A3, $A:$A, 0) + 23) +
  (F3 * (2030 - 2023)),
  100
)</f>
        <v>59.118652173913048</v>
      </c>
      <c r="I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" spans="1:9" hidden="1" x14ac:dyDescent="0.35">
      <c r="A4" s="1" t="s">
        <v>28</v>
      </c>
      <c r="B4" s="1" t="s">
        <v>172</v>
      </c>
      <c r="C4" s="1" t="s">
        <v>31</v>
      </c>
      <c r="D4" s="3">
        <v>2002</v>
      </c>
      <c r="E4">
        <v>26.3</v>
      </c>
      <c r="F4" s="1">
        <f t="shared" ca="1" si="0"/>
        <v>1.1455217391304346</v>
      </c>
      <c r="G4" s="1">
        <f t="shared" ca="1" si="1"/>
        <v>-2267.3128115942027</v>
      </c>
      <c r="H4" s="1" cm="1">
        <f t="array" aca="1" ref="H4" ca="1">MIN(
  INDEX($E:$E, MATCH($A4, $A:$A, 0) + 23) +
  (F4 * (2030 - 2023)),
  100
)</f>
        <v>59.118652173913048</v>
      </c>
      <c r="I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" spans="1:9" hidden="1" x14ac:dyDescent="0.35">
      <c r="A5" s="1" t="s">
        <v>28</v>
      </c>
      <c r="B5" s="1" t="s">
        <v>172</v>
      </c>
      <c r="C5" s="1" t="s">
        <v>31</v>
      </c>
      <c r="D5" s="3">
        <v>2003</v>
      </c>
      <c r="E5">
        <v>27.4</v>
      </c>
      <c r="F5" s="1">
        <f t="shared" ca="1" si="0"/>
        <v>1.1455217391304346</v>
      </c>
      <c r="G5" s="1">
        <f t="shared" ca="1" si="1"/>
        <v>-2267.3128115942027</v>
      </c>
      <c r="H5" s="1" cm="1">
        <f t="array" aca="1" ref="H5" ca="1">MIN(
  INDEX($E:$E, MATCH($A5, $A:$A, 0) + 23) +
  (F5 * (2030 - 2023)),
  100
)</f>
        <v>59.118652173913048</v>
      </c>
      <c r="I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" spans="1:9" hidden="1" x14ac:dyDescent="0.35">
      <c r="A6" s="1" t="s">
        <v>28</v>
      </c>
      <c r="B6" s="1" t="s">
        <v>172</v>
      </c>
      <c r="C6" s="1" t="s">
        <v>31</v>
      </c>
      <c r="D6" s="3">
        <v>2004</v>
      </c>
      <c r="E6">
        <v>28.4</v>
      </c>
      <c r="F6" s="1">
        <f t="shared" ca="1" si="0"/>
        <v>1.1455217391304346</v>
      </c>
      <c r="G6" s="1">
        <f t="shared" ca="1" si="1"/>
        <v>-2267.3128115942027</v>
      </c>
      <c r="H6" s="1" cm="1">
        <f t="array" aca="1" ref="H6" ca="1">MIN(
  INDEX($E:$E, MATCH($A6, $A:$A, 0) + 23) +
  (F6 * (2030 - 2023)),
  100
)</f>
        <v>59.118652173913048</v>
      </c>
      <c r="I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" spans="1:9" hidden="1" x14ac:dyDescent="0.35">
      <c r="A7" s="1" t="s">
        <v>28</v>
      </c>
      <c r="B7" s="1" t="s">
        <v>172</v>
      </c>
      <c r="C7" s="1" t="s">
        <v>31</v>
      </c>
      <c r="D7" s="3">
        <v>2005</v>
      </c>
      <c r="E7">
        <v>29.4</v>
      </c>
      <c r="F7" s="1">
        <f t="shared" ca="1" si="0"/>
        <v>1.1455217391304346</v>
      </c>
      <c r="G7" s="1">
        <f t="shared" ca="1" si="1"/>
        <v>-2267.3128115942027</v>
      </c>
      <c r="H7" s="1" cm="1">
        <f t="array" aca="1" ref="H7" ca="1">MIN(
  INDEX($E:$E, MATCH($A7, $A:$A, 0) + 23) +
  (F7 * (2030 - 2023)),
  100
)</f>
        <v>59.118652173913048</v>
      </c>
      <c r="I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" spans="1:9" hidden="1" x14ac:dyDescent="0.35">
      <c r="A8" s="1" t="s">
        <v>28</v>
      </c>
      <c r="B8" s="1" t="s">
        <v>172</v>
      </c>
      <c r="C8" s="1" t="s">
        <v>31</v>
      </c>
      <c r="D8" s="3">
        <v>2006</v>
      </c>
      <c r="E8">
        <v>30.5</v>
      </c>
      <c r="F8" s="1">
        <f t="shared" ca="1" si="0"/>
        <v>1.1455217391304346</v>
      </c>
      <c r="G8" s="1">
        <f t="shared" ca="1" si="1"/>
        <v>-2267.3128115942027</v>
      </c>
      <c r="H8" s="1" cm="1">
        <f t="array" aca="1" ref="H8" ca="1">MIN(
  INDEX($E:$E, MATCH($A8, $A:$A, 0) + 23) +
  (F8 * (2030 - 2023)),
  100
)</f>
        <v>59.118652173913048</v>
      </c>
      <c r="I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" spans="1:9" hidden="1" x14ac:dyDescent="0.35">
      <c r="A9" s="1" t="s">
        <v>28</v>
      </c>
      <c r="B9" s="1" t="s">
        <v>172</v>
      </c>
      <c r="C9" s="1" t="s">
        <v>31</v>
      </c>
      <c r="D9" s="3">
        <v>2007</v>
      </c>
      <c r="E9">
        <v>37.5</v>
      </c>
      <c r="F9" s="1">
        <f t="shared" ca="1" si="0"/>
        <v>1.1455217391304346</v>
      </c>
      <c r="G9" s="1">
        <f t="shared" ca="1" si="1"/>
        <v>-2267.3128115942027</v>
      </c>
      <c r="H9" s="1" cm="1">
        <f t="array" aca="1" ref="H9" ca="1">MIN(
  INDEX($E:$E, MATCH($A9, $A:$A, 0) + 23) +
  (F9 * (2030 - 2023)),
  100
)</f>
        <v>59.118652173913048</v>
      </c>
      <c r="I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" spans="1:9" hidden="1" x14ac:dyDescent="0.35">
      <c r="A10" s="1" t="s">
        <v>28</v>
      </c>
      <c r="B10" s="1" t="s">
        <v>172</v>
      </c>
      <c r="C10" s="1" t="s">
        <v>31</v>
      </c>
      <c r="D10" s="3">
        <v>2008</v>
      </c>
      <c r="E10">
        <v>38.5</v>
      </c>
      <c r="F10" s="1">
        <f t="shared" ca="1" si="0"/>
        <v>1.1455217391304346</v>
      </c>
      <c r="G10" s="1">
        <f t="shared" ca="1" si="1"/>
        <v>-2267.3128115942027</v>
      </c>
      <c r="H10" s="1" cm="1">
        <f t="array" aca="1" ref="H10" ca="1">MIN(
  INDEX($E:$E, MATCH($A10, $A:$A, 0) + 23) +
  (F10 * (2030 - 2023)),
  100
)</f>
        <v>59.118652173913048</v>
      </c>
      <c r="I1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" spans="1:9" hidden="1" x14ac:dyDescent="0.35">
      <c r="A11" s="1" t="s">
        <v>28</v>
      </c>
      <c r="B11" s="1" t="s">
        <v>172</v>
      </c>
      <c r="C11" s="1" t="s">
        <v>31</v>
      </c>
      <c r="D11" s="3">
        <v>2009</v>
      </c>
      <c r="E11">
        <v>33.799999999999997</v>
      </c>
      <c r="F11" s="1">
        <f t="shared" ca="1" si="0"/>
        <v>1.1455217391304346</v>
      </c>
      <c r="G11" s="1">
        <f t="shared" ca="1" si="1"/>
        <v>-2267.3128115942027</v>
      </c>
      <c r="H11" s="1" cm="1">
        <f t="array" aca="1" ref="H11" ca="1">MIN(
  INDEX($E:$E, MATCH($A11, $A:$A, 0) + 23) +
  (F11 * (2030 - 2023)),
  100
)</f>
        <v>59.118652173913048</v>
      </c>
      <c r="I1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" spans="1:9" hidden="1" x14ac:dyDescent="0.35">
      <c r="A12" s="1" t="s">
        <v>28</v>
      </c>
      <c r="B12" s="1" t="s">
        <v>172</v>
      </c>
      <c r="C12" s="1" t="s">
        <v>31</v>
      </c>
      <c r="D12" s="3">
        <v>2010</v>
      </c>
      <c r="E12">
        <v>35</v>
      </c>
      <c r="F12" s="1">
        <f t="shared" ca="1" si="0"/>
        <v>1.1455217391304346</v>
      </c>
      <c r="G12" s="1">
        <f t="shared" ca="1" si="1"/>
        <v>-2267.3128115942027</v>
      </c>
      <c r="H12" s="1" cm="1">
        <f t="array" aca="1" ref="H12" ca="1">MIN(
  INDEX($E:$E, MATCH($A12, $A:$A, 0) + 23) +
  (F12 * (2030 - 2023)),
  100
)</f>
        <v>59.118652173913048</v>
      </c>
      <c r="I1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" spans="1:9" hidden="1" x14ac:dyDescent="0.35">
      <c r="A13" s="1" t="s">
        <v>28</v>
      </c>
      <c r="B13" s="1" t="s">
        <v>172</v>
      </c>
      <c r="C13" s="1" t="s">
        <v>31</v>
      </c>
      <c r="D13" s="3">
        <v>2011</v>
      </c>
      <c r="E13">
        <v>34.6</v>
      </c>
      <c r="F13" s="1">
        <f t="shared" ca="1" si="0"/>
        <v>1.1455217391304346</v>
      </c>
      <c r="G13" s="1">
        <f t="shared" ca="1" si="1"/>
        <v>-2267.3128115942027</v>
      </c>
      <c r="H13" s="1" cm="1">
        <f t="array" aca="1" ref="H13" ca="1">MIN(
  INDEX($E:$E, MATCH($A13, $A:$A, 0) + 23) +
  (F13 * (2030 - 2023)),
  100
)</f>
        <v>59.118652173913048</v>
      </c>
      <c r="I1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" spans="1:9" hidden="1" x14ac:dyDescent="0.35">
      <c r="A14" s="1" t="s">
        <v>28</v>
      </c>
      <c r="B14" s="1" t="s">
        <v>172</v>
      </c>
      <c r="C14" s="1" t="s">
        <v>31</v>
      </c>
      <c r="D14" s="3">
        <v>2012</v>
      </c>
      <c r="E14">
        <v>37.299999999999997</v>
      </c>
      <c r="F14" s="1">
        <f t="shared" ca="1" si="0"/>
        <v>1.1455217391304346</v>
      </c>
      <c r="G14" s="1">
        <f t="shared" ca="1" si="1"/>
        <v>-2267.3128115942027</v>
      </c>
      <c r="H14" s="1" cm="1">
        <f t="array" aca="1" ref="H14" ca="1">MIN(
  INDEX($E:$E, MATCH($A14, $A:$A, 0) + 23) +
  (F14 * (2030 - 2023)),
  100
)</f>
        <v>59.118652173913048</v>
      </c>
      <c r="I1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5" spans="1:9" hidden="1" x14ac:dyDescent="0.35">
      <c r="A15" s="1" t="s">
        <v>28</v>
      </c>
      <c r="B15" s="1" t="s">
        <v>172</v>
      </c>
      <c r="C15" s="1" t="s">
        <v>31</v>
      </c>
      <c r="D15" s="3">
        <v>2013</v>
      </c>
      <c r="E15">
        <v>38.4</v>
      </c>
      <c r="F15" s="1">
        <f t="shared" ca="1" si="0"/>
        <v>1.1455217391304346</v>
      </c>
      <c r="G15" s="1">
        <f t="shared" ca="1" si="1"/>
        <v>-2267.3128115942027</v>
      </c>
      <c r="H15" s="1" cm="1">
        <f t="array" aca="1" ref="H15" ca="1">MIN(
  INDEX($E:$E, MATCH($A15, $A:$A, 0) + 23) +
  (F15 * (2030 - 2023)),
  100
)</f>
        <v>59.118652173913048</v>
      </c>
      <c r="I1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6" spans="1:9" hidden="1" x14ac:dyDescent="0.35">
      <c r="A16" s="1" t="s">
        <v>28</v>
      </c>
      <c r="B16" s="1" t="s">
        <v>172</v>
      </c>
      <c r="C16" s="1" t="s">
        <v>31</v>
      </c>
      <c r="D16" s="3">
        <v>2014</v>
      </c>
      <c r="E16">
        <v>32</v>
      </c>
      <c r="F16" s="1">
        <f t="shared" ca="1" si="0"/>
        <v>1.1455217391304346</v>
      </c>
      <c r="G16" s="1">
        <f t="shared" ca="1" si="1"/>
        <v>-2267.3128115942027</v>
      </c>
      <c r="H16" s="1" cm="1">
        <f t="array" aca="1" ref="H16" ca="1">MIN(
  INDEX($E:$E, MATCH($A16, $A:$A, 0) + 23) +
  (F16 * (2030 - 2023)),
  100
)</f>
        <v>59.118652173913048</v>
      </c>
      <c r="I1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7" spans="1:9" hidden="1" x14ac:dyDescent="0.35">
      <c r="A17" s="1" t="s">
        <v>28</v>
      </c>
      <c r="B17" s="1" t="s">
        <v>172</v>
      </c>
      <c r="C17" s="1" t="s">
        <v>31</v>
      </c>
      <c r="D17" s="3">
        <v>2015</v>
      </c>
      <c r="E17">
        <v>42</v>
      </c>
      <c r="F17" s="1">
        <f t="shared" ca="1" si="0"/>
        <v>1.1455217391304346</v>
      </c>
      <c r="G17" s="1">
        <f t="shared" ca="1" si="1"/>
        <v>-2267.3128115942027</v>
      </c>
      <c r="H17" s="1" cm="1">
        <f t="array" aca="1" ref="H17" ca="1">MIN(
  INDEX($E:$E, MATCH($A17, $A:$A, 0) + 23) +
  (F17 * (2030 - 2023)),
  100
)</f>
        <v>59.118652173913048</v>
      </c>
      <c r="I1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8" spans="1:9" hidden="1" x14ac:dyDescent="0.35">
      <c r="A18" s="1" t="s">
        <v>28</v>
      </c>
      <c r="B18" s="1" t="s">
        <v>172</v>
      </c>
      <c r="C18" s="1" t="s">
        <v>31</v>
      </c>
      <c r="D18" s="3">
        <v>2016</v>
      </c>
      <c r="E18">
        <v>41.8</v>
      </c>
      <c r="F18" s="1">
        <f t="shared" ca="1" si="0"/>
        <v>1.1455217391304346</v>
      </c>
      <c r="G18" s="1">
        <f t="shared" ca="1" si="1"/>
        <v>-2267.3128115942027</v>
      </c>
      <c r="H18" s="1" cm="1">
        <f t="array" aca="1" ref="H18" ca="1">MIN(
  INDEX($E:$E, MATCH($A18, $A:$A, 0) + 23) +
  (F18 * (2030 - 2023)),
  100
)</f>
        <v>59.118652173913048</v>
      </c>
      <c r="I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9" spans="1:9" hidden="1" x14ac:dyDescent="0.35">
      <c r="A19" s="1" t="s">
        <v>28</v>
      </c>
      <c r="B19" s="1" t="s">
        <v>172</v>
      </c>
      <c r="C19" s="1" t="s">
        <v>31</v>
      </c>
      <c r="D19" s="3">
        <v>2017</v>
      </c>
      <c r="E19">
        <v>42.9</v>
      </c>
      <c r="F19" s="1">
        <f t="shared" ca="1" si="0"/>
        <v>1.1455217391304346</v>
      </c>
      <c r="G19" s="1">
        <f t="shared" ca="1" si="1"/>
        <v>-2267.3128115942027</v>
      </c>
      <c r="H19" s="1" cm="1">
        <f t="array" aca="1" ref="H19" ca="1">MIN(
  INDEX($E:$E, MATCH($A19, $A:$A, 0) + 23) +
  (F19 * (2030 - 2023)),
  100
)</f>
        <v>59.118652173913048</v>
      </c>
      <c r="I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0" spans="1:9" hidden="1" x14ac:dyDescent="0.35">
      <c r="A20" s="1" t="s">
        <v>28</v>
      </c>
      <c r="B20" s="1" t="s">
        <v>172</v>
      </c>
      <c r="C20" s="1" t="s">
        <v>31</v>
      </c>
      <c r="D20" s="3">
        <v>2018</v>
      </c>
      <c r="E20">
        <v>45.3</v>
      </c>
      <c r="F20" s="1">
        <f t="shared" ca="1" si="0"/>
        <v>1.1455217391304346</v>
      </c>
      <c r="G20" s="1">
        <f t="shared" ca="1" si="1"/>
        <v>-2267.3128115942027</v>
      </c>
      <c r="H20" s="1" cm="1">
        <f t="array" aca="1" ref="H20" ca="1">MIN(
  INDEX($E:$E, MATCH($A20, $A:$A, 0) + 23) +
  (F20 * (2030 - 2023)),
  100
)</f>
        <v>59.118652173913048</v>
      </c>
      <c r="I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1" spans="1:9" hidden="1" x14ac:dyDescent="0.35">
      <c r="A21" s="1" t="s">
        <v>28</v>
      </c>
      <c r="B21" s="1" t="s">
        <v>172</v>
      </c>
      <c r="C21" s="1" t="s">
        <v>31</v>
      </c>
      <c r="D21" s="3">
        <v>2019</v>
      </c>
      <c r="E21">
        <v>45.6</v>
      </c>
      <c r="F21" s="1">
        <f t="shared" ca="1" si="0"/>
        <v>1.1455217391304346</v>
      </c>
      <c r="G21" s="1">
        <f t="shared" ca="1" si="1"/>
        <v>-2267.3128115942027</v>
      </c>
      <c r="H21" s="1" cm="1">
        <f t="array" aca="1" ref="H21" ca="1">MIN(
  INDEX($E:$E, MATCH($A21, $A:$A, 0) + 23) +
  (F21 * (2030 - 2023)),
  100
)</f>
        <v>59.118652173913048</v>
      </c>
      <c r="I2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" spans="1:9" hidden="1" x14ac:dyDescent="0.35">
      <c r="A22" s="1" t="s">
        <v>28</v>
      </c>
      <c r="B22" s="1" t="s">
        <v>172</v>
      </c>
      <c r="C22" s="1" t="s">
        <v>31</v>
      </c>
      <c r="D22" s="3">
        <v>2020</v>
      </c>
      <c r="E22">
        <v>47</v>
      </c>
      <c r="F22" s="1">
        <f t="shared" ca="1" si="0"/>
        <v>1.1455217391304346</v>
      </c>
      <c r="G22" s="1">
        <f t="shared" ca="1" si="1"/>
        <v>-2267.3128115942027</v>
      </c>
      <c r="H22" s="1" cm="1">
        <f t="array" aca="1" ref="H22" ca="1">MIN(
  INDEX($E:$E, MATCH($A22, $A:$A, 0) + 23) +
  (F22 * (2030 - 2023)),
  100
)</f>
        <v>59.118652173913048</v>
      </c>
      <c r="I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" spans="1:9" hidden="1" x14ac:dyDescent="0.35">
      <c r="A23" s="1" t="s">
        <v>28</v>
      </c>
      <c r="B23" s="1" t="s">
        <v>172</v>
      </c>
      <c r="C23" s="1" t="s">
        <v>31</v>
      </c>
      <c r="D23" s="3">
        <v>2021</v>
      </c>
      <c r="E23">
        <v>48.2</v>
      </c>
      <c r="F23" s="1">
        <f t="shared" ca="1" si="0"/>
        <v>1.1455217391304346</v>
      </c>
      <c r="G23" s="1">
        <f t="shared" ca="1" si="1"/>
        <v>-2267.3128115942027</v>
      </c>
      <c r="H23" s="1" cm="1">
        <f t="array" aca="1" ref="H23" ca="1">MIN(
  INDEX($E:$E, MATCH($A23, $A:$A, 0) + 23) +
  (F23 * (2030 - 2023)),
  100
)</f>
        <v>59.118652173913048</v>
      </c>
      <c r="I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4" spans="1:9" hidden="1" x14ac:dyDescent="0.35">
      <c r="A24" s="1" t="s">
        <v>28</v>
      </c>
      <c r="B24" s="1" t="s">
        <v>172</v>
      </c>
      <c r="C24" s="1" t="s">
        <v>31</v>
      </c>
      <c r="D24" s="3">
        <v>2022</v>
      </c>
      <c r="E24">
        <v>48.5</v>
      </c>
      <c r="F24" s="1">
        <f t="shared" ca="1" si="0"/>
        <v>1.1455217391304346</v>
      </c>
      <c r="G24" s="1">
        <f t="shared" ca="1" si="1"/>
        <v>-2267.3128115942027</v>
      </c>
      <c r="H24" s="1" cm="1">
        <f t="array" aca="1" ref="H24" ca="1">MIN(
  INDEX($E:$E, MATCH($A24, $A:$A, 0) + 23) +
  (F24 * (2030 - 2023)),
  100
)</f>
        <v>59.118652173913048</v>
      </c>
      <c r="I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5" spans="1:9" x14ac:dyDescent="0.35">
      <c r="A25" s="1" t="s">
        <v>28</v>
      </c>
      <c r="B25" s="1" t="s">
        <v>172</v>
      </c>
      <c r="C25" s="1" t="s">
        <v>31</v>
      </c>
      <c r="D25" s="3">
        <v>2023</v>
      </c>
      <c r="E25">
        <v>51.1</v>
      </c>
      <c r="F25" s="4">
        <f t="shared" ca="1" si="0"/>
        <v>1.1455217391304346</v>
      </c>
      <c r="G25" s="4">
        <f t="shared" ca="1" si="1"/>
        <v>-2267.3128115942027</v>
      </c>
      <c r="H25" s="4" cm="1">
        <f t="array" aca="1" ref="H25" ca="1">MIN(
  INDEX($E:$E, MATCH($A25, $A:$A, 0) + 23) +
  (F25 * (2030 - 2023)),
  100
)</f>
        <v>59.118652173913048</v>
      </c>
      <c r="I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6" spans="1:9" hidden="1" x14ac:dyDescent="0.35">
      <c r="A26" s="1" t="s">
        <v>32</v>
      </c>
      <c r="B26" s="1" t="s">
        <v>174</v>
      </c>
      <c r="C26" s="1" t="s">
        <v>34</v>
      </c>
      <c r="D26" s="3">
        <v>2000</v>
      </c>
      <c r="E26">
        <v>2.5</v>
      </c>
      <c r="F26" s="1">
        <f t="shared" ca="1" si="0"/>
        <v>0.39721739130434786</v>
      </c>
      <c r="G26" s="1">
        <f t="shared" ca="1" si="1"/>
        <v>-792.56944927536244</v>
      </c>
      <c r="H26" s="1" cm="1">
        <f t="array" aca="1" ref="H26" ca="1">MIN(
  INDEX($E:$E, MATCH($A26, $A:$A, 0) + 23) +
  (F26 * (2030 - 2023)),
  100
)</f>
        <v>14.380521739130435</v>
      </c>
      <c r="I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" spans="1:9" hidden="1" x14ac:dyDescent="0.35">
      <c r="A27" s="1" t="s">
        <v>32</v>
      </c>
      <c r="B27" s="1" t="s">
        <v>174</v>
      </c>
      <c r="C27" s="1" t="s">
        <v>34</v>
      </c>
      <c r="D27" s="3">
        <v>2001</v>
      </c>
      <c r="E27">
        <v>2.8</v>
      </c>
      <c r="F27" s="1">
        <f t="shared" ca="1" si="0"/>
        <v>0.39721739130434786</v>
      </c>
      <c r="G27" s="1">
        <f t="shared" ca="1" si="1"/>
        <v>-792.56944927536244</v>
      </c>
      <c r="H27" s="1" cm="1">
        <f t="array" aca="1" ref="H27" ca="1">MIN(
  INDEX($E:$E, MATCH($A27, $A:$A, 0) + 23) +
  (F27 * (2030 - 2023)),
  100
)</f>
        <v>14.380521739130435</v>
      </c>
      <c r="I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" spans="1:9" hidden="1" x14ac:dyDescent="0.35">
      <c r="A28" s="1" t="s">
        <v>32</v>
      </c>
      <c r="B28" s="1" t="s">
        <v>174</v>
      </c>
      <c r="C28" s="1" t="s">
        <v>34</v>
      </c>
      <c r="D28" s="3">
        <v>2002</v>
      </c>
      <c r="E28">
        <v>3.1</v>
      </c>
      <c r="F28" s="1">
        <f t="shared" ca="1" si="0"/>
        <v>0.39721739130434786</v>
      </c>
      <c r="G28" s="1">
        <f t="shared" ca="1" si="1"/>
        <v>-792.56944927536244</v>
      </c>
      <c r="H28" s="1" cm="1">
        <f t="array" aca="1" ref="H28" ca="1">MIN(
  INDEX($E:$E, MATCH($A28, $A:$A, 0) + 23) +
  (F28 * (2030 - 2023)),
  100
)</f>
        <v>14.380521739130435</v>
      </c>
      <c r="I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" spans="1:9" hidden="1" x14ac:dyDescent="0.35">
      <c r="A29" s="1" t="s">
        <v>32</v>
      </c>
      <c r="B29" s="1" t="s">
        <v>174</v>
      </c>
      <c r="C29" s="1" t="s">
        <v>34</v>
      </c>
      <c r="D29" s="3">
        <v>2003</v>
      </c>
      <c r="E29">
        <v>3.4</v>
      </c>
      <c r="F29" s="1">
        <f t="shared" ca="1" si="0"/>
        <v>0.39721739130434786</v>
      </c>
      <c r="G29" s="1">
        <f t="shared" ca="1" si="1"/>
        <v>-792.56944927536244</v>
      </c>
      <c r="H29" s="1" cm="1">
        <f t="array" aca="1" ref="H29" ca="1">MIN(
  INDEX($E:$E, MATCH($A29, $A:$A, 0) + 23) +
  (F29 * (2030 - 2023)),
  100
)</f>
        <v>14.380521739130435</v>
      </c>
      <c r="I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" spans="1:9" hidden="1" x14ac:dyDescent="0.35">
      <c r="A30" s="1" t="s">
        <v>32</v>
      </c>
      <c r="B30" s="1" t="s">
        <v>174</v>
      </c>
      <c r="C30" s="1" t="s">
        <v>34</v>
      </c>
      <c r="D30" s="3">
        <v>2004</v>
      </c>
      <c r="E30">
        <v>3.7</v>
      </c>
      <c r="F30" s="1">
        <f t="shared" ca="1" si="0"/>
        <v>0.39721739130434786</v>
      </c>
      <c r="G30" s="1">
        <f t="shared" ca="1" si="1"/>
        <v>-792.56944927536244</v>
      </c>
      <c r="H30" s="1" cm="1">
        <f t="array" aca="1" ref="H30" ca="1">MIN(
  INDEX($E:$E, MATCH($A30, $A:$A, 0) + 23) +
  (F30 * (2030 - 2023)),
  100
)</f>
        <v>14.380521739130435</v>
      </c>
      <c r="I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1" spans="1:9" hidden="1" x14ac:dyDescent="0.35">
      <c r="A31" s="1" t="s">
        <v>32</v>
      </c>
      <c r="B31" s="1" t="s">
        <v>174</v>
      </c>
      <c r="C31" s="1" t="s">
        <v>34</v>
      </c>
      <c r="D31" s="3">
        <v>2005</v>
      </c>
      <c r="E31">
        <v>3.2</v>
      </c>
      <c r="F31" s="1">
        <f t="shared" ca="1" si="0"/>
        <v>0.39721739130434786</v>
      </c>
      <c r="G31" s="1">
        <f t="shared" ca="1" si="1"/>
        <v>-792.56944927536244</v>
      </c>
      <c r="H31" s="1" cm="1">
        <f t="array" aca="1" ref="H31" ca="1">MIN(
  INDEX($E:$E, MATCH($A31, $A:$A, 0) + 23) +
  (F31 * (2030 - 2023)),
  100
)</f>
        <v>14.380521739130435</v>
      </c>
      <c r="I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2" spans="1:9" hidden="1" x14ac:dyDescent="0.35">
      <c r="A32" s="1" t="s">
        <v>32</v>
      </c>
      <c r="B32" s="1" t="s">
        <v>174</v>
      </c>
      <c r="C32" s="1" t="s">
        <v>34</v>
      </c>
      <c r="D32" s="3">
        <v>2006</v>
      </c>
      <c r="E32">
        <v>2.7</v>
      </c>
      <c r="F32" s="1">
        <f t="shared" ca="1" si="0"/>
        <v>0.39721739130434786</v>
      </c>
      <c r="G32" s="1">
        <f t="shared" ca="1" si="1"/>
        <v>-792.56944927536244</v>
      </c>
      <c r="H32" s="1" cm="1">
        <f t="array" aca="1" ref="H32" ca="1">MIN(
  INDEX($E:$E, MATCH($A32, $A:$A, 0) + 23) +
  (F32 * (2030 - 2023)),
  100
)</f>
        <v>14.380521739130435</v>
      </c>
      <c r="I3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3" spans="1:9" hidden="1" x14ac:dyDescent="0.35">
      <c r="A33" s="1" t="s">
        <v>32</v>
      </c>
      <c r="B33" s="1" t="s">
        <v>174</v>
      </c>
      <c r="C33" s="1" t="s">
        <v>34</v>
      </c>
      <c r="D33" s="3">
        <v>2007</v>
      </c>
      <c r="E33">
        <v>4.7</v>
      </c>
      <c r="F33" s="1">
        <f t="shared" ca="1" si="0"/>
        <v>0.39721739130434786</v>
      </c>
      <c r="G33" s="1">
        <f t="shared" ca="1" si="1"/>
        <v>-792.56944927536244</v>
      </c>
      <c r="H33" s="1" cm="1">
        <f t="array" aca="1" ref="H33" ca="1">MIN(
  INDEX($E:$E, MATCH($A33, $A:$A, 0) + 23) +
  (F33 * (2030 - 2023)),
  100
)</f>
        <v>14.380521739130435</v>
      </c>
      <c r="I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4" spans="1:9" hidden="1" x14ac:dyDescent="0.35">
      <c r="A34" s="1" t="s">
        <v>32</v>
      </c>
      <c r="B34" s="1" t="s">
        <v>174</v>
      </c>
      <c r="C34" s="1" t="s">
        <v>34</v>
      </c>
      <c r="D34" s="3">
        <v>2008</v>
      </c>
      <c r="E34">
        <v>4.8</v>
      </c>
      <c r="F34" s="1">
        <f t="shared" ca="1" si="0"/>
        <v>0.39721739130434786</v>
      </c>
      <c r="G34" s="1">
        <f t="shared" ca="1" si="1"/>
        <v>-792.56944927536244</v>
      </c>
      <c r="H34" s="1" cm="1">
        <f t="array" aca="1" ref="H34" ca="1">MIN(
  INDEX($E:$E, MATCH($A34, $A:$A, 0) + 23) +
  (F34 * (2030 - 2023)),
  100
)</f>
        <v>14.380521739130435</v>
      </c>
      <c r="I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5" spans="1:9" hidden="1" x14ac:dyDescent="0.35">
      <c r="A35" s="1" t="s">
        <v>32</v>
      </c>
      <c r="B35" s="1" t="s">
        <v>174</v>
      </c>
      <c r="C35" s="1" t="s">
        <v>34</v>
      </c>
      <c r="D35" s="3">
        <v>2009</v>
      </c>
      <c r="E35">
        <v>5.4</v>
      </c>
      <c r="F35" s="1">
        <f t="shared" ca="1" si="0"/>
        <v>0.39721739130434786</v>
      </c>
      <c r="G35" s="1">
        <f t="shared" ca="1" si="1"/>
        <v>-792.56944927536244</v>
      </c>
      <c r="H35" s="1" cm="1">
        <f t="array" aca="1" ref="H35" ca="1">MIN(
  INDEX($E:$E, MATCH($A35, $A:$A, 0) + 23) +
  (F35 * (2030 - 2023)),
  100
)</f>
        <v>14.380521739130435</v>
      </c>
      <c r="I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" spans="1:9" hidden="1" x14ac:dyDescent="0.35">
      <c r="A36" s="1" t="s">
        <v>32</v>
      </c>
      <c r="B36" s="1" t="s">
        <v>174</v>
      </c>
      <c r="C36" s="1" t="s">
        <v>34</v>
      </c>
      <c r="D36" s="3">
        <v>2010</v>
      </c>
      <c r="E36">
        <v>5.3</v>
      </c>
      <c r="F36" s="1">
        <f t="shared" ca="1" si="0"/>
        <v>0.39721739130434786</v>
      </c>
      <c r="G36" s="1">
        <f t="shared" ca="1" si="1"/>
        <v>-792.56944927536244</v>
      </c>
      <c r="H36" s="1" cm="1">
        <f t="array" aca="1" ref="H36" ca="1">MIN(
  INDEX($E:$E, MATCH($A36, $A:$A, 0) + 23) +
  (F36 * (2030 - 2023)),
  100
)</f>
        <v>14.380521739130435</v>
      </c>
      <c r="I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" spans="1:9" hidden="1" x14ac:dyDescent="0.35">
      <c r="A37" s="1" t="s">
        <v>32</v>
      </c>
      <c r="B37" s="1" t="s">
        <v>174</v>
      </c>
      <c r="C37" s="1" t="s">
        <v>34</v>
      </c>
      <c r="D37" s="3">
        <v>2011</v>
      </c>
      <c r="E37">
        <v>6.2</v>
      </c>
      <c r="F37" s="1">
        <f t="shared" ca="1" si="0"/>
        <v>0.39721739130434786</v>
      </c>
      <c r="G37" s="1">
        <f t="shared" ca="1" si="1"/>
        <v>-792.56944927536244</v>
      </c>
      <c r="H37" s="1" cm="1">
        <f t="array" aca="1" ref="H37" ca="1">MIN(
  INDEX($E:$E, MATCH($A37, $A:$A, 0) + 23) +
  (F37 * (2030 - 2023)),
  100
)</f>
        <v>14.380521739130435</v>
      </c>
      <c r="I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" spans="1:9" hidden="1" x14ac:dyDescent="0.35">
      <c r="A38" s="1" t="s">
        <v>32</v>
      </c>
      <c r="B38" s="1" t="s">
        <v>174</v>
      </c>
      <c r="C38" s="1" t="s">
        <v>34</v>
      </c>
      <c r="D38" s="3">
        <v>2012</v>
      </c>
      <c r="E38">
        <v>6.5</v>
      </c>
      <c r="F38" s="1">
        <f t="shared" ca="1" si="0"/>
        <v>0.39721739130434786</v>
      </c>
      <c r="G38" s="1">
        <f t="shared" ca="1" si="1"/>
        <v>-792.56944927536244</v>
      </c>
      <c r="H38" s="1" cm="1">
        <f t="array" aca="1" ref="H38" ca="1">MIN(
  INDEX($E:$E, MATCH($A38, $A:$A, 0) + 23) +
  (F38 * (2030 - 2023)),
  100
)</f>
        <v>14.380521739130435</v>
      </c>
      <c r="I3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" spans="1:9" hidden="1" x14ac:dyDescent="0.35">
      <c r="A39" s="1" t="s">
        <v>32</v>
      </c>
      <c r="B39" s="1" t="s">
        <v>174</v>
      </c>
      <c r="C39" s="1" t="s">
        <v>34</v>
      </c>
      <c r="D39" s="3">
        <v>2013</v>
      </c>
      <c r="E39">
        <v>6.9</v>
      </c>
      <c r="F39" s="1">
        <f t="shared" ca="1" si="0"/>
        <v>0.39721739130434786</v>
      </c>
      <c r="G39" s="1">
        <f t="shared" ca="1" si="1"/>
        <v>-792.56944927536244</v>
      </c>
      <c r="H39" s="1" cm="1">
        <f t="array" aca="1" ref="H39" ca="1">MIN(
  INDEX($E:$E, MATCH($A39, $A:$A, 0) + 23) +
  (F39 * (2030 - 2023)),
  100
)</f>
        <v>14.380521739130435</v>
      </c>
      <c r="I3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" spans="1:9" hidden="1" x14ac:dyDescent="0.35">
      <c r="A40" s="1" t="s">
        <v>32</v>
      </c>
      <c r="B40" s="1" t="s">
        <v>174</v>
      </c>
      <c r="C40" s="1" t="s">
        <v>34</v>
      </c>
      <c r="D40" s="3">
        <v>2014</v>
      </c>
      <c r="E40">
        <v>7</v>
      </c>
      <c r="F40" s="1">
        <f t="shared" ca="1" si="0"/>
        <v>0.39721739130434786</v>
      </c>
      <c r="G40" s="1">
        <f t="shared" ca="1" si="1"/>
        <v>-792.56944927536244</v>
      </c>
      <c r="H40" s="1" cm="1">
        <f t="array" aca="1" ref="H40" ca="1">MIN(
  INDEX($E:$E, MATCH($A40, $A:$A, 0) + 23) +
  (F40 * (2030 - 2023)),
  100
)</f>
        <v>14.380521739130435</v>
      </c>
      <c r="I4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" spans="1:9" hidden="1" x14ac:dyDescent="0.35">
      <c r="A41" s="1" t="s">
        <v>32</v>
      </c>
      <c r="B41" s="1" t="s">
        <v>174</v>
      </c>
      <c r="C41" s="1" t="s">
        <v>34</v>
      </c>
      <c r="D41" s="3">
        <v>2015</v>
      </c>
      <c r="E41">
        <v>7.9</v>
      </c>
      <c r="F41" s="1">
        <f t="shared" ca="1" si="0"/>
        <v>0.39721739130434786</v>
      </c>
      <c r="G41" s="1">
        <f t="shared" ca="1" si="1"/>
        <v>-792.56944927536244</v>
      </c>
      <c r="H41" s="1" cm="1">
        <f t="array" aca="1" ref="H41" ca="1">MIN(
  INDEX($E:$E, MATCH($A41, $A:$A, 0) + 23) +
  (F41 * (2030 - 2023)),
  100
)</f>
        <v>14.380521739130435</v>
      </c>
      <c r="I4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" spans="1:9" hidden="1" x14ac:dyDescent="0.35">
      <c r="A42" s="1" t="s">
        <v>32</v>
      </c>
      <c r="B42" s="1" t="s">
        <v>174</v>
      </c>
      <c r="C42" s="1" t="s">
        <v>34</v>
      </c>
      <c r="D42" s="3">
        <v>2016</v>
      </c>
      <c r="E42">
        <v>8.5</v>
      </c>
      <c r="F42" s="1">
        <f t="shared" ca="1" si="0"/>
        <v>0.39721739130434786</v>
      </c>
      <c r="G42" s="1">
        <f t="shared" ca="1" si="1"/>
        <v>-792.56944927536244</v>
      </c>
      <c r="H42" s="1" cm="1">
        <f t="array" aca="1" ref="H42" ca="1">MIN(
  INDEX($E:$E, MATCH($A42, $A:$A, 0) + 23) +
  (F42 * (2030 - 2023)),
  100
)</f>
        <v>14.380521739130435</v>
      </c>
      <c r="I4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3" spans="1:9" hidden="1" x14ac:dyDescent="0.35">
      <c r="A43" s="1" t="s">
        <v>32</v>
      </c>
      <c r="B43" s="1" t="s">
        <v>174</v>
      </c>
      <c r="C43" s="1" t="s">
        <v>34</v>
      </c>
      <c r="D43" s="3">
        <v>2017</v>
      </c>
      <c r="E43">
        <v>9.3000000000000007</v>
      </c>
      <c r="F43" s="1">
        <f t="shared" ca="1" si="0"/>
        <v>0.39721739130434786</v>
      </c>
      <c r="G43" s="1">
        <f t="shared" ca="1" si="1"/>
        <v>-792.56944927536244</v>
      </c>
      <c r="H43" s="1" cm="1">
        <f t="array" aca="1" ref="H43" ca="1">MIN(
  INDEX($E:$E, MATCH($A43, $A:$A, 0) + 23) +
  (F43 * (2030 - 2023)),
  100
)</f>
        <v>14.380521739130435</v>
      </c>
      <c r="I4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4" spans="1:9" hidden="1" x14ac:dyDescent="0.35">
      <c r="A44" s="1" t="s">
        <v>32</v>
      </c>
      <c r="B44" s="1" t="s">
        <v>174</v>
      </c>
      <c r="C44" s="1" t="s">
        <v>34</v>
      </c>
      <c r="D44" s="3">
        <v>2018</v>
      </c>
      <c r="E44">
        <v>9.5</v>
      </c>
      <c r="F44" s="1">
        <f t="shared" ca="1" si="0"/>
        <v>0.39721739130434786</v>
      </c>
      <c r="G44" s="1">
        <f t="shared" ca="1" si="1"/>
        <v>-792.56944927536244</v>
      </c>
      <c r="H44" s="1" cm="1">
        <f t="array" aca="1" ref="H44" ca="1">MIN(
  INDEX($E:$E, MATCH($A44, $A:$A, 0) + 23) +
  (F44 * (2030 - 2023)),
  100
)</f>
        <v>14.380521739130435</v>
      </c>
      <c r="I4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5" spans="1:9" hidden="1" x14ac:dyDescent="0.35">
      <c r="A45" s="1" t="s">
        <v>32</v>
      </c>
      <c r="B45" s="1" t="s">
        <v>174</v>
      </c>
      <c r="C45" s="1" t="s">
        <v>34</v>
      </c>
      <c r="D45" s="3">
        <v>2019</v>
      </c>
      <c r="E45">
        <v>9.8000000000000007</v>
      </c>
      <c r="F45" s="1">
        <f t="shared" ca="1" si="0"/>
        <v>0.39721739130434786</v>
      </c>
      <c r="G45" s="1">
        <f t="shared" ca="1" si="1"/>
        <v>-792.56944927536244</v>
      </c>
      <c r="H45" s="1" cm="1">
        <f t="array" aca="1" ref="H45" ca="1">MIN(
  INDEX($E:$E, MATCH($A45, $A:$A, 0) + 23) +
  (F45 * (2030 - 2023)),
  100
)</f>
        <v>14.380521739130435</v>
      </c>
      <c r="I4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" spans="1:9" hidden="1" x14ac:dyDescent="0.35">
      <c r="A46" s="1" t="s">
        <v>32</v>
      </c>
      <c r="B46" s="1" t="s">
        <v>174</v>
      </c>
      <c r="C46" s="1" t="s">
        <v>34</v>
      </c>
      <c r="D46" s="3">
        <v>2020</v>
      </c>
      <c r="E46">
        <v>9.1</v>
      </c>
      <c r="F46" s="1">
        <f t="shared" ca="1" si="0"/>
        <v>0.39721739130434786</v>
      </c>
      <c r="G46" s="1">
        <f t="shared" ca="1" si="1"/>
        <v>-792.56944927536244</v>
      </c>
      <c r="H46" s="1" cm="1">
        <f t="array" aca="1" ref="H46" ca="1">MIN(
  INDEX($E:$E, MATCH($A46, $A:$A, 0) + 23) +
  (F46 * (2030 - 2023)),
  100
)</f>
        <v>14.380521739130435</v>
      </c>
      <c r="I4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" spans="1:9" hidden="1" x14ac:dyDescent="0.35">
      <c r="A47" s="1" t="s">
        <v>32</v>
      </c>
      <c r="B47" s="1" t="s">
        <v>174</v>
      </c>
      <c r="C47" s="1" t="s">
        <v>34</v>
      </c>
      <c r="D47" s="3">
        <v>2021</v>
      </c>
      <c r="E47">
        <v>10.199999999999999</v>
      </c>
      <c r="F47" s="1">
        <f t="shared" ca="1" si="0"/>
        <v>0.39721739130434786</v>
      </c>
      <c r="G47" s="1">
        <f t="shared" ca="1" si="1"/>
        <v>-792.56944927536244</v>
      </c>
      <c r="H47" s="1" cm="1">
        <f t="array" aca="1" ref="H47" ca="1">MIN(
  INDEX($E:$E, MATCH($A47, $A:$A, 0) + 23) +
  (F47 * (2030 - 2023)),
  100
)</f>
        <v>14.380521739130435</v>
      </c>
      <c r="I4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" spans="1:9" hidden="1" x14ac:dyDescent="0.35">
      <c r="A48" s="1" t="s">
        <v>32</v>
      </c>
      <c r="B48" s="1" t="s">
        <v>174</v>
      </c>
      <c r="C48" s="1" t="s">
        <v>34</v>
      </c>
      <c r="D48" s="3">
        <v>2022</v>
      </c>
      <c r="E48">
        <v>10.3</v>
      </c>
      <c r="F48" s="1">
        <f t="shared" ca="1" si="0"/>
        <v>0.39721739130434786</v>
      </c>
      <c r="G48" s="1">
        <f t="shared" ca="1" si="1"/>
        <v>-792.56944927536244</v>
      </c>
      <c r="H48" s="1" cm="1">
        <f t="array" aca="1" ref="H48" ca="1">MIN(
  INDEX($E:$E, MATCH($A48, $A:$A, 0) + 23) +
  (F48 * (2030 - 2023)),
  100
)</f>
        <v>14.380521739130435</v>
      </c>
      <c r="I4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" spans="1:9" x14ac:dyDescent="0.35">
      <c r="A49" s="1" t="s">
        <v>32</v>
      </c>
      <c r="B49" s="1" t="s">
        <v>174</v>
      </c>
      <c r="C49" s="1" t="s">
        <v>34</v>
      </c>
      <c r="D49" s="3">
        <v>2023</v>
      </c>
      <c r="E49">
        <v>11.6</v>
      </c>
      <c r="F49" s="4">
        <f t="shared" ca="1" si="0"/>
        <v>0.39721739130434786</v>
      </c>
      <c r="G49" s="4">
        <f t="shared" ca="1" si="1"/>
        <v>-792.56944927536244</v>
      </c>
      <c r="H49" s="4" cm="1">
        <f t="array" aca="1" ref="H49" ca="1">MIN(
  INDEX($E:$E, MATCH($A49, $A:$A, 0) + 23) +
  (F49 * (2030 - 2023)),
  100
)</f>
        <v>14.380521739130435</v>
      </c>
      <c r="I4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" spans="1:9" hidden="1" x14ac:dyDescent="0.35">
      <c r="A50" s="1" t="s">
        <v>35</v>
      </c>
      <c r="B50" s="1" t="s">
        <v>175</v>
      </c>
      <c r="C50" s="1" t="s">
        <v>31</v>
      </c>
      <c r="D50" s="3">
        <v>2000</v>
      </c>
      <c r="E50">
        <v>21.5</v>
      </c>
      <c r="F50" s="1">
        <f t="shared" ca="1" si="0"/>
        <v>1.1962608695652173</v>
      </c>
      <c r="G50" s="1">
        <f t="shared" ca="1" si="1"/>
        <v>-2372.4370724637679</v>
      </c>
      <c r="H50" s="1" cm="1">
        <f t="array" aca="1" ref="H50" ca="1">MIN(
  INDEX($E:$E, MATCH($A50, $A:$A, 0) + 23) +
  (F50 * (2030 - 2023)),
  100
)</f>
        <v>65.373826086956527</v>
      </c>
      <c r="I5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" spans="1:9" hidden="1" x14ac:dyDescent="0.35">
      <c r="A51" s="1" t="s">
        <v>35</v>
      </c>
      <c r="B51" s="1" t="s">
        <v>175</v>
      </c>
      <c r="C51" s="1" t="s">
        <v>31</v>
      </c>
      <c r="D51" s="3">
        <v>2001</v>
      </c>
      <c r="E51">
        <v>21.9</v>
      </c>
      <c r="F51" s="1">
        <f t="shared" ca="1" si="0"/>
        <v>1.1962608695652173</v>
      </c>
      <c r="G51" s="1">
        <f t="shared" ca="1" si="1"/>
        <v>-2372.4370724637679</v>
      </c>
      <c r="H51" s="1" cm="1">
        <f t="array" aca="1" ref="H51" ca="1">MIN(
  INDEX($E:$E, MATCH($A51, $A:$A, 0) + 23) +
  (F51 * (2030 - 2023)),
  100
)</f>
        <v>65.373826086956527</v>
      </c>
      <c r="I5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2" spans="1:9" hidden="1" x14ac:dyDescent="0.35">
      <c r="A52" s="1" t="s">
        <v>35</v>
      </c>
      <c r="B52" s="1" t="s">
        <v>175</v>
      </c>
      <c r="C52" s="1" t="s">
        <v>31</v>
      </c>
      <c r="D52" s="3">
        <v>2002</v>
      </c>
      <c r="E52">
        <v>23.4</v>
      </c>
      <c r="F52" s="1">
        <f t="shared" ca="1" si="0"/>
        <v>1.1962608695652173</v>
      </c>
      <c r="G52" s="1">
        <f t="shared" ca="1" si="1"/>
        <v>-2372.4370724637679</v>
      </c>
      <c r="H52" s="1" cm="1">
        <f t="array" aca="1" ref="H52" ca="1">MIN(
  INDEX($E:$E, MATCH($A52, $A:$A, 0) + 23) +
  (F52 * (2030 - 2023)),
  100
)</f>
        <v>65.373826086956527</v>
      </c>
      <c r="I5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3" spans="1:9" hidden="1" x14ac:dyDescent="0.35">
      <c r="A53" s="1" t="s">
        <v>35</v>
      </c>
      <c r="B53" s="1" t="s">
        <v>175</v>
      </c>
      <c r="C53" s="1" t="s">
        <v>31</v>
      </c>
      <c r="D53" s="3">
        <v>2003</v>
      </c>
      <c r="E53">
        <v>24.3</v>
      </c>
      <c r="F53" s="1">
        <f t="shared" ca="1" si="0"/>
        <v>1.1962608695652173</v>
      </c>
      <c r="G53" s="1">
        <f t="shared" ca="1" si="1"/>
        <v>-2372.4370724637679</v>
      </c>
      <c r="H53" s="1" cm="1">
        <f t="array" aca="1" ref="H53" ca="1">MIN(
  INDEX($E:$E, MATCH($A53, $A:$A, 0) + 23) +
  (F53 * (2030 - 2023)),
  100
)</f>
        <v>65.373826086956527</v>
      </c>
      <c r="I5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4" spans="1:9" hidden="1" x14ac:dyDescent="0.35">
      <c r="A54" s="1" t="s">
        <v>35</v>
      </c>
      <c r="B54" s="1" t="s">
        <v>175</v>
      </c>
      <c r="C54" s="1" t="s">
        <v>31</v>
      </c>
      <c r="D54" s="3">
        <v>2004</v>
      </c>
      <c r="E54">
        <v>25.2</v>
      </c>
      <c r="F54" s="1">
        <f t="shared" ca="1" si="0"/>
        <v>1.1962608695652173</v>
      </c>
      <c r="G54" s="1">
        <f t="shared" ca="1" si="1"/>
        <v>-2372.4370724637679</v>
      </c>
      <c r="H54" s="1" cm="1">
        <f t="array" aca="1" ref="H54" ca="1">MIN(
  INDEX($E:$E, MATCH($A54, $A:$A, 0) + 23) +
  (F54 * (2030 - 2023)),
  100
)</f>
        <v>65.373826086956527</v>
      </c>
      <c r="I5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" spans="1:9" hidden="1" x14ac:dyDescent="0.35">
      <c r="A55" s="1" t="s">
        <v>35</v>
      </c>
      <c r="B55" s="1" t="s">
        <v>175</v>
      </c>
      <c r="C55" s="1" t="s">
        <v>31</v>
      </c>
      <c r="D55" s="3">
        <v>2005</v>
      </c>
      <c r="E55">
        <v>26.1</v>
      </c>
      <c r="F55" s="1">
        <f t="shared" ca="1" si="0"/>
        <v>1.1962608695652173</v>
      </c>
      <c r="G55" s="1">
        <f t="shared" ca="1" si="1"/>
        <v>-2372.4370724637679</v>
      </c>
      <c r="H55" s="1" cm="1">
        <f t="array" aca="1" ref="H55" ca="1">MIN(
  INDEX($E:$E, MATCH($A55, $A:$A, 0) + 23) +
  (F55 * (2030 - 2023)),
  100
)</f>
        <v>65.373826086956527</v>
      </c>
      <c r="I5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" spans="1:9" hidden="1" x14ac:dyDescent="0.35">
      <c r="A56" s="1" t="s">
        <v>35</v>
      </c>
      <c r="B56" s="1" t="s">
        <v>175</v>
      </c>
      <c r="C56" s="1" t="s">
        <v>31</v>
      </c>
      <c r="D56" s="3">
        <v>2006</v>
      </c>
      <c r="E56">
        <v>27.9</v>
      </c>
      <c r="F56" s="1">
        <f t="shared" ca="1" si="0"/>
        <v>1.1962608695652173</v>
      </c>
      <c r="G56" s="1">
        <f t="shared" ca="1" si="1"/>
        <v>-2372.4370724637679</v>
      </c>
      <c r="H56" s="1" cm="1">
        <f t="array" aca="1" ref="H56" ca="1">MIN(
  INDEX($E:$E, MATCH($A56, $A:$A, 0) + 23) +
  (F56 * (2030 - 2023)),
  100
)</f>
        <v>65.373826086956527</v>
      </c>
      <c r="I5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" spans="1:9" hidden="1" x14ac:dyDescent="0.35">
      <c r="A57" s="1" t="s">
        <v>35</v>
      </c>
      <c r="B57" s="1" t="s">
        <v>175</v>
      </c>
      <c r="C57" s="1" t="s">
        <v>31</v>
      </c>
      <c r="D57" s="3">
        <v>2007</v>
      </c>
      <c r="E57">
        <v>28</v>
      </c>
      <c r="F57" s="1">
        <f t="shared" ca="1" si="0"/>
        <v>1.1962608695652173</v>
      </c>
      <c r="G57" s="1">
        <f t="shared" ca="1" si="1"/>
        <v>-2372.4370724637679</v>
      </c>
      <c r="H57" s="1" cm="1">
        <f t="array" aca="1" ref="H57" ca="1">MIN(
  INDEX($E:$E, MATCH($A57, $A:$A, 0) + 23) +
  (F57 * (2030 - 2023)),
  100
)</f>
        <v>65.373826086956527</v>
      </c>
      <c r="I5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" spans="1:9" hidden="1" x14ac:dyDescent="0.35">
      <c r="A58" s="1" t="s">
        <v>35</v>
      </c>
      <c r="B58" s="1" t="s">
        <v>175</v>
      </c>
      <c r="C58" s="1" t="s">
        <v>31</v>
      </c>
      <c r="D58" s="3">
        <v>2008</v>
      </c>
      <c r="E58">
        <v>29</v>
      </c>
      <c r="F58" s="1">
        <f t="shared" ca="1" si="0"/>
        <v>1.1962608695652173</v>
      </c>
      <c r="G58" s="1">
        <f t="shared" ca="1" si="1"/>
        <v>-2372.4370724637679</v>
      </c>
      <c r="H58" s="1" cm="1">
        <f t="array" aca="1" ref="H58" ca="1">MIN(
  INDEX($E:$E, MATCH($A58, $A:$A, 0) + 23) +
  (F58 * (2030 - 2023)),
  100
)</f>
        <v>65.373826086956527</v>
      </c>
      <c r="I5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" spans="1:9" hidden="1" x14ac:dyDescent="0.35">
      <c r="A59" s="1" t="s">
        <v>35</v>
      </c>
      <c r="B59" s="1" t="s">
        <v>175</v>
      </c>
      <c r="C59" s="1" t="s">
        <v>31</v>
      </c>
      <c r="D59" s="3">
        <v>2009</v>
      </c>
      <c r="E59">
        <v>30</v>
      </c>
      <c r="F59" s="1">
        <f t="shared" ca="1" si="0"/>
        <v>1.1962608695652173</v>
      </c>
      <c r="G59" s="1">
        <f t="shared" ca="1" si="1"/>
        <v>-2372.4370724637679</v>
      </c>
      <c r="H59" s="1" cm="1">
        <f t="array" aca="1" ref="H59" ca="1">MIN(
  INDEX($E:$E, MATCH($A59, $A:$A, 0) + 23) +
  (F59 * (2030 - 2023)),
  100
)</f>
        <v>65.373826086956527</v>
      </c>
      <c r="I5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" spans="1:9" hidden="1" x14ac:dyDescent="0.35">
      <c r="A60" s="1" t="s">
        <v>35</v>
      </c>
      <c r="B60" s="1" t="s">
        <v>175</v>
      </c>
      <c r="C60" s="1" t="s">
        <v>31</v>
      </c>
      <c r="D60" s="3">
        <v>2010</v>
      </c>
      <c r="E60">
        <v>34.200000000000003</v>
      </c>
      <c r="F60" s="1">
        <f t="shared" ca="1" si="0"/>
        <v>1.1962608695652173</v>
      </c>
      <c r="G60" s="1">
        <f t="shared" ca="1" si="1"/>
        <v>-2372.4370724637679</v>
      </c>
      <c r="H60" s="1" cm="1">
        <f t="array" aca="1" ref="H60" ca="1">MIN(
  INDEX($E:$E, MATCH($A60, $A:$A, 0) + 23) +
  (F60 * (2030 - 2023)),
  100
)</f>
        <v>65.373826086956527</v>
      </c>
      <c r="I6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" spans="1:9" hidden="1" x14ac:dyDescent="0.35">
      <c r="A61" s="1" t="s">
        <v>35</v>
      </c>
      <c r="B61" s="1" t="s">
        <v>175</v>
      </c>
      <c r="C61" s="1" t="s">
        <v>31</v>
      </c>
      <c r="D61" s="3">
        <v>2011</v>
      </c>
      <c r="E61">
        <v>36.9</v>
      </c>
      <c r="F61" s="1">
        <f t="shared" ca="1" si="0"/>
        <v>1.1962608695652173</v>
      </c>
      <c r="G61" s="1">
        <f t="shared" ca="1" si="1"/>
        <v>-2372.4370724637679</v>
      </c>
      <c r="H61" s="1" cm="1">
        <f t="array" aca="1" ref="H61" ca="1">MIN(
  INDEX($E:$E, MATCH($A61, $A:$A, 0) + 23) +
  (F61 * (2030 - 2023)),
  100
)</f>
        <v>65.373826086956527</v>
      </c>
      <c r="I6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" spans="1:9" hidden="1" x14ac:dyDescent="0.35">
      <c r="A62" s="1" t="s">
        <v>35</v>
      </c>
      <c r="B62" s="1" t="s">
        <v>175</v>
      </c>
      <c r="C62" s="1" t="s">
        <v>31</v>
      </c>
      <c r="D62" s="3">
        <v>2012</v>
      </c>
      <c r="E62">
        <v>38.4</v>
      </c>
      <c r="F62" s="1">
        <f t="shared" ca="1" si="0"/>
        <v>1.1962608695652173</v>
      </c>
      <c r="G62" s="1">
        <f t="shared" ca="1" si="1"/>
        <v>-2372.4370724637679</v>
      </c>
      <c r="H62" s="1" cm="1">
        <f t="array" aca="1" ref="H62" ca="1">MIN(
  INDEX($E:$E, MATCH($A62, $A:$A, 0) + 23) +
  (F62 * (2030 - 2023)),
  100
)</f>
        <v>65.373826086956527</v>
      </c>
      <c r="I6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" spans="1:9" hidden="1" x14ac:dyDescent="0.35">
      <c r="A63" s="1" t="s">
        <v>35</v>
      </c>
      <c r="B63" s="1" t="s">
        <v>175</v>
      </c>
      <c r="C63" s="1" t="s">
        <v>31</v>
      </c>
      <c r="D63" s="3">
        <v>2013</v>
      </c>
      <c r="E63">
        <v>34.700000000000003</v>
      </c>
      <c r="F63" s="1">
        <f t="shared" ca="1" si="0"/>
        <v>1.1962608695652173</v>
      </c>
      <c r="G63" s="1">
        <f t="shared" ca="1" si="1"/>
        <v>-2372.4370724637679</v>
      </c>
      <c r="H63" s="1" cm="1">
        <f t="array" aca="1" ref="H63" ca="1">MIN(
  INDEX($E:$E, MATCH($A63, $A:$A, 0) + 23) +
  (F63 * (2030 - 2023)),
  100
)</f>
        <v>65.373826086956527</v>
      </c>
      <c r="I6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4" spans="1:9" hidden="1" x14ac:dyDescent="0.35">
      <c r="A64" s="1" t="s">
        <v>35</v>
      </c>
      <c r="B64" s="1" t="s">
        <v>175</v>
      </c>
      <c r="C64" s="1" t="s">
        <v>31</v>
      </c>
      <c r="D64" s="3">
        <v>2014</v>
      </c>
      <c r="E64">
        <v>34.1</v>
      </c>
      <c r="F64" s="1">
        <f t="shared" ca="1" si="0"/>
        <v>1.1962608695652173</v>
      </c>
      <c r="G64" s="1">
        <f t="shared" ca="1" si="1"/>
        <v>-2372.4370724637679</v>
      </c>
      <c r="H64" s="1" cm="1">
        <f t="array" aca="1" ref="H64" ca="1">MIN(
  INDEX($E:$E, MATCH($A64, $A:$A, 0) + 23) +
  (F64 * (2030 - 2023)),
  100
)</f>
        <v>65.373826086956527</v>
      </c>
      <c r="I6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5" spans="1:9" hidden="1" x14ac:dyDescent="0.35">
      <c r="A65" s="1" t="s">
        <v>35</v>
      </c>
      <c r="B65" s="1" t="s">
        <v>175</v>
      </c>
      <c r="C65" s="1" t="s">
        <v>31</v>
      </c>
      <c r="D65" s="3">
        <v>2015</v>
      </c>
      <c r="E65">
        <v>29.6</v>
      </c>
      <c r="F65" s="1">
        <f t="shared" ca="1" si="0"/>
        <v>1.1962608695652173</v>
      </c>
      <c r="G65" s="1">
        <f t="shared" ca="1" si="1"/>
        <v>-2372.4370724637679</v>
      </c>
      <c r="H65" s="1" cm="1">
        <f t="array" aca="1" ref="H65" ca="1">MIN(
  INDEX($E:$E, MATCH($A65, $A:$A, 0) + 23) +
  (F65 * (2030 - 2023)),
  100
)</f>
        <v>65.373826086956527</v>
      </c>
      <c r="I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6" spans="1:9" hidden="1" x14ac:dyDescent="0.35">
      <c r="A66" s="1" t="s">
        <v>35</v>
      </c>
      <c r="B66" s="1" t="s">
        <v>175</v>
      </c>
      <c r="C66" s="1" t="s">
        <v>31</v>
      </c>
      <c r="D66" s="3">
        <v>2016</v>
      </c>
      <c r="E66">
        <v>37</v>
      </c>
      <c r="F66" s="1">
        <f t="shared" ref="F66:F129" ca="1" si="2">SLOPE(
  OFFSET($E$1, MATCH($A66, $A:$A, 0)-1, 0, 24, 1),
  OFFSET($D$1, MATCH($A66, $A:$A, 0)-1, 0, 24, 1)
)</f>
        <v>1.1962608695652173</v>
      </c>
      <c r="G66" s="1">
        <f t="shared" ref="G66:G129" ca="1" si="3">INTERCEPT(
  OFFSET($E$1, MATCH($A66, $A:$A, 0)-1, 0, 24, 1),
  OFFSET($D$1, MATCH($A66, $A:$A, 0)-1, 0, 24, 1)
)</f>
        <v>-2372.4370724637679</v>
      </c>
      <c r="H66" s="1" cm="1">
        <f t="array" aca="1" ref="H66" ca="1">MIN(
  INDEX($E:$E, MATCH($A66, $A:$A, 0) + 23) +
  (F66 * (2030 - 2023)),
  100
)</f>
        <v>65.373826086956527</v>
      </c>
      <c r="I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" spans="1:9" hidden="1" x14ac:dyDescent="0.35">
      <c r="A67" s="1" t="s">
        <v>35</v>
      </c>
      <c r="B67" s="1" t="s">
        <v>175</v>
      </c>
      <c r="C67" s="1" t="s">
        <v>31</v>
      </c>
      <c r="D67" s="3">
        <v>2017</v>
      </c>
      <c r="E67">
        <v>34.5</v>
      </c>
      <c r="F67" s="1">
        <f t="shared" ca="1" si="2"/>
        <v>1.1962608695652173</v>
      </c>
      <c r="G67" s="1">
        <f t="shared" ca="1" si="3"/>
        <v>-2372.4370724637679</v>
      </c>
      <c r="H67" s="1" cm="1">
        <f t="array" aca="1" ref="H67" ca="1">MIN(
  INDEX($E:$E, MATCH($A67, $A:$A, 0) + 23) +
  (F67 * (2030 - 2023)),
  100
)</f>
        <v>65.373826086956527</v>
      </c>
      <c r="I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" spans="1:9" hidden="1" x14ac:dyDescent="0.35">
      <c r="A68" s="1" t="s">
        <v>35</v>
      </c>
      <c r="B68" s="1" t="s">
        <v>175</v>
      </c>
      <c r="C68" s="1" t="s">
        <v>31</v>
      </c>
      <c r="D68" s="3">
        <v>2018</v>
      </c>
      <c r="E68">
        <v>39</v>
      </c>
      <c r="F68" s="1">
        <f t="shared" ca="1" si="2"/>
        <v>1.1962608695652173</v>
      </c>
      <c r="G68" s="1">
        <f t="shared" ca="1" si="3"/>
        <v>-2372.4370724637679</v>
      </c>
      <c r="H68" s="1" cm="1">
        <f t="array" aca="1" ref="H68" ca="1">MIN(
  INDEX($E:$E, MATCH($A68, $A:$A, 0) + 23) +
  (F68 * (2030 - 2023)),
  100
)</f>
        <v>65.373826086956527</v>
      </c>
      <c r="I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" spans="1:9" hidden="1" x14ac:dyDescent="0.35">
      <c r="A69" s="1" t="s">
        <v>35</v>
      </c>
      <c r="B69" s="1" t="s">
        <v>175</v>
      </c>
      <c r="C69" s="1" t="s">
        <v>31</v>
      </c>
      <c r="D69" s="3">
        <v>2019</v>
      </c>
      <c r="E69">
        <v>40</v>
      </c>
      <c r="F69" s="1">
        <f t="shared" ca="1" si="2"/>
        <v>1.1962608695652173</v>
      </c>
      <c r="G69" s="1">
        <f t="shared" ca="1" si="3"/>
        <v>-2372.4370724637679</v>
      </c>
      <c r="H69" s="1" cm="1">
        <f t="array" aca="1" ref="H69" ca="1">MIN(
  INDEX($E:$E, MATCH($A69, $A:$A, 0) + 23) +
  (F69 * (2030 - 2023)),
  100
)</f>
        <v>65.373826086956527</v>
      </c>
      <c r="I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" spans="1:9" hidden="1" x14ac:dyDescent="0.35">
      <c r="A70" s="1" t="s">
        <v>35</v>
      </c>
      <c r="B70" s="1" t="s">
        <v>175</v>
      </c>
      <c r="C70" s="1" t="s">
        <v>31</v>
      </c>
      <c r="D70" s="3">
        <v>2020</v>
      </c>
      <c r="E70">
        <v>41</v>
      </c>
      <c r="F70" s="1">
        <f t="shared" ca="1" si="2"/>
        <v>1.1962608695652173</v>
      </c>
      <c r="G70" s="1">
        <f t="shared" ca="1" si="3"/>
        <v>-2372.4370724637679</v>
      </c>
      <c r="H70" s="1" cm="1">
        <f t="array" aca="1" ref="H70" ca="1">MIN(
  INDEX($E:$E, MATCH($A70, $A:$A, 0) + 23) +
  (F70 * (2030 - 2023)),
  100
)</f>
        <v>65.373826086956527</v>
      </c>
      <c r="I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" spans="1:9" hidden="1" x14ac:dyDescent="0.35">
      <c r="A71" s="1" t="s">
        <v>35</v>
      </c>
      <c r="B71" s="1" t="s">
        <v>175</v>
      </c>
      <c r="C71" s="1" t="s">
        <v>31</v>
      </c>
      <c r="D71" s="3">
        <v>2021</v>
      </c>
      <c r="E71">
        <v>42</v>
      </c>
      <c r="F71" s="1">
        <f t="shared" ca="1" si="2"/>
        <v>1.1962608695652173</v>
      </c>
      <c r="G71" s="1">
        <f t="shared" ca="1" si="3"/>
        <v>-2372.4370724637679</v>
      </c>
      <c r="H71" s="1" cm="1">
        <f t="array" aca="1" ref="H71" ca="1">MIN(
  INDEX($E:$E, MATCH($A71, $A:$A, 0) + 23) +
  (F71 * (2030 - 2023)),
  100
)</f>
        <v>65.373826086956527</v>
      </c>
      <c r="I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" spans="1:9" hidden="1" x14ac:dyDescent="0.35">
      <c r="A72" s="1" t="s">
        <v>35</v>
      </c>
      <c r="B72" s="1" t="s">
        <v>175</v>
      </c>
      <c r="C72" s="1" t="s">
        <v>31</v>
      </c>
      <c r="D72" s="3">
        <v>2022</v>
      </c>
      <c r="E72">
        <v>56.5</v>
      </c>
      <c r="F72" s="1">
        <f t="shared" ca="1" si="2"/>
        <v>1.1962608695652173</v>
      </c>
      <c r="G72" s="1">
        <f t="shared" ca="1" si="3"/>
        <v>-2372.4370724637679</v>
      </c>
      <c r="H72" s="1" cm="1">
        <f t="array" aca="1" ref="H72" ca="1">MIN(
  INDEX($E:$E, MATCH($A72, $A:$A, 0) + 23) +
  (F72 * (2030 - 2023)),
  100
)</f>
        <v>65.373826086956527</v>
      </c>
      <c r="I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" spans="1:9" x14ac:dyDescent="0.35">
      <c r="A73" s="1" t="s">
        <v>35</v>
      </c>
      <c r="B73" s="1" t="s">
        <v>175</v>
      </c>
      <c r="C73" s="1" t="s">
        <v>31</v>
      </c>
      <c r="D73" s="3">
        <v>2023</v>
      </c>
      <c r="E73">
        <v>57</v>
      </c>
      <c r="F73" s="4">
        <f t="shared" ca="1" si="2"/>
        <v>1.1962608695652173</v>
      </c>
      <c r="G73" s="4">
        <f t="shared" ca="1" si="3"/>
        <v>-2372.4370724637679</v>
      </c>
      <c r="H73" s="4" cm="1">
        <f t="array" aca="1" ref="H73" ca="1">MIN(
  INDEX($E:$E, MATCH($A73, $A:$A, 0) + 23) +
  (F73 * (2030 - 2023)),
  100
)</f>
        <v>65.373826086956527</v>
      </c>
      <c r="I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" spans="1:9" hidden="1" x14ac:dyDescent="0.35">
      <c r="A74" s="1" t="s">
        <v>37</v>
      </c>
      <c r="B74" s="1" t="s">
        <v>175</v>
      </c>
      <c r="C74" s="1" t="s">
        <v>34</v>
      </c>
      <c r="D74" s="3">
        <v>2000</v>
      </c>
      <c r="E74">
        <v>9.1</v>
      </c>
      <c r="F74" s="1">
        <f t="shared" ca="1" si="2"/>
        <v>0.48117391304347829</v>
      </c>
      <c r="G74" s="1">
        <f t="shared" ca="1" si="3"/>
        <v>-953.36049275362325</v>
      </c>
      <c r="H74" s="1" cm="1">
        <f t="array" aca="1" ref="H74" ca="1">MIN(
  INDEX($E:$E, MATCH($A74, $A:$A, 0) + 23) +
  (F74 * (2030 - 2023)),
  100
)</f>
        <v>25.068217391304348</v>
      </c>
      <c r="I7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" spans="1:9" hidden="1" x14ac:dyDescent="0.35">
      <c r="A75" s="1" t="s">
        <v>37</v>
      </c>
      <c r="B75" s="1" t="s">
        <v>175</v>
      </c>
      <c r="C75" s="1" t="s">
        <v>34</v>
      </c>
      <c r="D75" s="3">
        <v>2001</v>
      </c>
      <c r="E75">
        <v>9.5</v>
      </c>
      <c r="F75" s="1">
        <f t="shared" ca="1" si="2"/>
        <v>0.48117391304347829</v>
      </c>
      <c r="G75" s="1">
        <f t="shared" ca="1" si="3"/>
        <v>-953.36049275362325</v>
      </c>
      <c r="H75" s="1" cm="1">
        <f t="array" aca="1" ref="H75" ca="1">MIN(
  INDEX($E:$E, MATCH($A75, $A:$A, 0) + 23) +
  (F75 * (2030 - 2023)),
  100
)</f>
        <v>25.068217391304348</v>
      </c>
      <c r="I7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6" spans="1:9" hidden="1" x14ac:dyDescent="0.35">
      <c r="A76" s="1" t="s">
        <v>37</v>
      </c>
      <c r="B76" s="1" t="s">
        <v>175</v>
      </c>
      <c r="C76" s="1" t="s">
        <v>34</v>
      </c>
      <c r="D76" s="3">
        <v>2002</v>
      </c>
      <c r="E76">
        <v>9.9</v>
      </c>
      <c r="F76" s="1">
        <f t="shared" ca="1" si="2"/>
        <v>0.48117391304347829</v>
      </c>
      <c r="G76" s="1">
        <f t="shared" ca="1" si="3"/>
        <v>-953.36049275362325</v>
      </c>
      <c r="H76" s="1" cm="1">
        <f t="array" aca="1" ref="H76" ca="1">MIN(
  INDEX($E:$E, MATCH($A76, $A:$A, 0) + 23) +
  (F76 * (2030 - 2023)),
  100
)</f>
        <v>25.068217391304348</v>
      </c>
      <c r="I7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7" spans="1:9" hidden="1" x14ac:dyDescent="0.35">
      <c r="A77" s="1" t="s">
        <v>37</v>
      </c>
      <c r="B77" s="1" t="s">
        <v>175</v>
      </c>
      <c r="C77" s="1" t="s">
        <v>34</v>
      </c>
      <c r="D77" s="3">
        <v>2003</v>
      </c>
      <c r="E77">
        <v>11.4</v>
      </c>
      <c r="F77" s="1">
        <f t="shared" ca="1" si="2"/>
        <v>0.48117391304347829</v>
      </c>
      <c r="G77" s="1">
        <f t="shared" ca="1" si="3"/>
        <v>-953.36049275362325</v>
      </c>
      <c r="H77" s="1" cm="1">
        <f t="array" aca="1" ref="H77" ca="1">MIN(
  INDEX($E:$E, MATCH($A77, $A:$A, 0) + 23) +
  (F77 * (2030 - 2023)),
  100
)</f>
        <v>25.068217391304348</v>
      </c>
      <c r="I7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8" spans="1:9" hidden="1" x14ac:dyDescent="0.35">
      <c r="A78" s="1" t="s">
        <v>37</v>
      </c>
      <c r="B78" s="1" t="s">
        <v>175</v>
      </c>
      <c r="C78" s="1" t="s">
        <v>34</v>
      </c>
      <c r="D78" s="3">
        <v>2004</v>
      </c>
      <c r="E78">
        <v>10.7</v>
      </c>
      <c r="F78" s="1">
        <f t="shared" ca="1" si="2"/>
        <v>0.48117391304347829</v>
      </c>
      <c r="G78" s="1">
        <f t="shared" ca="1" si="3"/>
        <v>-953.36049275362325</v>
      </c>
      <c r="H78" s="1" cm="1">
        <f t="array" aca="1" ref="H78" ca="1">MIN(
  INDEX($E:$E, MATCH($A78, $A:$A, 0) + 23) +
  (F78 * (2030 - 2023)),
  100
)</f>
        <v>25.068217391304348</v>
      </c>
      <c r="I7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" spans="1:9" hidden="1" x14ac:dyDescent="0.35">
      <c r="A79" s="1" t="s">
        <v>37</v>
      </c>
      <c r="B79" s="1" t="s">
        <v>175</v>
      </c>
      <c r="C79" s="1" t="s">
        <v>34</v>
      </c>
      <c r="D79" s="3">
        <v>2005</v>
      </c>
      <c r="E79">
        <v>11.1</v>
      </c>
      <c r="F79" s="1">
        <f t="shared" ca="1" si="2"/>
        <v>0.48117391304347829</v>
      </c>
      <c r="G79" s="1">
        <f t="shared" ca="1" si="3"/>
        <v>-953.36049275362325</v>
      </c>
      <c r="H79" s="1" cm="1">
        <f t="array" aca="1" ref="H79" ca="1">MIN(
  INDEX($E:$E, MATCH($A79, $A:$A, 0) + 23) +
  (F79 * (2030 - 2023)),
  100
)</f>
        <v>25.068217391304348</v>
      </c>
      <c r="I7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" spans="1:9" hidden="1" x14ac:dyDescent="0.35">
      <c r="A80" s="1" t="s">
        <v>37</v>
      </c>
      <c r="B80" s="1" t="s">
        <v>175</v>
      </c>
      <c r="C80" s="1" t="s">
        <v>34</v>
      </c>
      <c r="D80" s="3">
        <v>2006</v>
      </c>
      <c r="E80">
        <v>11.6</v>
      </c>
      <c r="F80" s="1">
        <f t="shared" ca="1" si="2"/>
        <v>0.48117391304347829</v>
      </c>
      <c r="G80" s="1">
        <f t="shared" ca="1" si="3"/>
        <v>-953.36049275362325</v>
      </c>
      <c r="H80" s="1" cm="1">
        <f t="array" aca="1" ref="H80" ca="1">MIN(
  INDEX($E:$E, MATCH($A80, $A:$A, 0) + 23) +
  (F80 * (2030 - 2023)),
  100
)</f>
        <v>25.068217391304348</v>
      </c>
      <c r="I8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1" spans="1:9" hidden="1" x14ac:dyDescent="0.35">
      <c r="A81" s="1" t="s">
        <v>37</v>
      </c>
      <c r="B81" s="1" t="s">
        <v>175</v>
      </c>
      <c r="C81" s="1" t="s">
        <v>34</v>
      </c>
      <c r="D81" s="3">
        <v>2007</v>
      </c>
      <c r="E81">
        <v>12</v>
      </c>
      <c r="F81" s="1">
        <f t="shared" ca="1" si="2"/>
        <v>0.48117391304347829</v>
      </c>
      <c r="G81" s="1">
        <f t="shared" ca="1" si="3"/>
        <v>-953.36049275362325</v>
      </c>
      <c r="H81" s="1" cm="1">
        <f t="array" aca="1" ref="H81" ca="1">MIN(
  INDEX($E:$E, MATCH($A81, $A:$A, 0) + 23) +
  (F81 * (2030 - 2023)),
  100
)</f>
        <v>25.068217391304348</v>
      </c>
      <c r="I8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2" spans="1:9" hidden="1" x14ac:dyDescent="0.35">
      <c r="A82" s="1" t="s">
        <v>37</v>
      </c>
      <c r="B82" s="1" t="s">
        <v>175</v>
      </c>
      <c r="C82" s="1" t="s">
        <v>34</v>
      </c>
      <c r="D82" s="3">
        <v>2008</v>
      </c>
      <c r="E82">
        <v>12.5</v>
      </c>
      <c r="F82" s="1">
        <f t="shared" ca="1" si="2"/>
        <v>0.48117391304347829</v>
      </c>
      <c r="G82" s="1">
        <f t="shared" ca="1" si="3"/>
        <v>-953.36049275362325</v>
      </c>
      <c r="H82" s="1" cm="1">
        <f t="array" aca="1" ref="H82" ca="1">MIN(
  INDEX($E:$E, MATCH($A82, $A:$A, 0) + 23) +
  (F82 * (2030 - 2023)),
  100
)</f>
        <v>25.068217391304348</v>
      </c>
      <c r="I8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3" spans="1:9" hidden="1" x14ac:dyDescent="0.35">
      <c r="A83" s="1" t="s">
        <v>37</v>
      </c>
      <c r="B83" s="1" t="s">
        <v>175</v>
      </c>
      <c r="C83" s="1" t="s">
        <v>34</v>
      </c>
      <c r="D83" s="3">
        <v>2009</v>
      </c>
      <c r="E83">
        <v>12.6</v>
      </c>
      <c r="F83" s="1">
        <f t="shared" ca="1" si="2"/>
        <v>0.48117391304347829</v>
      </c>
      <c r="G83" s="1">
        <f t="shared" ca="1" si="3"/>
        <v>-953.36049275362325</v>
      </c>
      <c r="H83" s="1" cm="1">
        <f t="array" aca="1" ref="H83" ca="1">MIN(
  INDEX($E:$E, MATCH($A83, $A:$A, 0) + 23) +
  (F83 * (2030 - 2023)),
  100
)</f>
        <v>25.068217391304348</v>
      </c>
      <c r="I8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" spans="1:9" hidden="1" x14ac:dyDescent="0.35">
      <c r="A84" s="1" t="s">
        <v>37</v>
      </c>
      <c r="B84" s="1" t="s">
        <v>175</v>
      </c>
      <c r="C84" s="1" t="s">
        <v>34</v>
      </c>
      <c r="D84" s="3">
        <v>2010</v>
      </c>
      <c r="E84">
        <v>13.1</v>
      </c>
      <c r="F84" s="1">
        <f t="shared" ca="1" si="2"/>
        <v>0.48117391304347829</v>
      </c>
      <c r="G84" s="1">
        <f t="shared" ca="1" si="3"/>
        <v>-953.36049275362325</v>
      </c>
      <c r="H84" s="1" cm="1">
        <f t="array" aca="1" ref="H84" ca="1">MIN(
  INDEX($E:$E, MATCH($A84, $A:$A, 0) + 23) +
  (F84 * (2030 - 2023)),
  100
)</f>
        <v>25.068217391304348</v>
      </c>
      <c r="I8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" spans="1:9" hidden="1" x14ac:dyDescent="0.35">
      <c r="A85" s="1" t="s">
        <v>37</v>
      </c>
      <c r="B85" s="1" t="s">
        <v>175</v>
      </c>
      <c r="C85" s="1" t="s">
        <v>34</v>
      </c>
      <c r="D85" s="3">
        <v>2011</v>
      </c>
      <c r="E85">
        <v>14.8</v>
      </c>
      <c r="F85" s="1">
        <f t="shared" ca="1" si="2"/>
        <v>0.48117391304347829</v>
      </c>
      <c r="G85" s="1">
        <f t="shared" ca="1" si="3"/>
        <v>-953.36049275362325</v>
      </c>
      <c r="H85" s="1" cm="1">
        <f t="array" aca="1" ref="H85" ca="1">MIN(
  INDEX($E:$E, MATCH($A85, $A:$A, 0) + 23) +
  (F85 * (2030 - 2023)),
  100
)</f>
        <v>25.068217391304348</v>
      </c>
      <c r="I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" spans="1:9" hidden="1" x14ac:dyDescent="0.35">
      <c r="A86" s="1" t="s">
        <v>37</v>
      </c>
      <c r="B86" s="1" t="s">
        <v>175</v>
      </c>
      <c r="C86" s="1" t="s">
        <v>34</v>
      </c>
      <c r="D86" s="3">
        <v>2012</v>
      </c>
      <c r="E86">
        <v>15.1</v>
      </c>
      <c r="F86" s="1">
        <f t="shared" ca="1" si="2"/>
        <v>0.48117391304347829</v>
      </c>
      <c r="G86" s="1">
        <f t="shared" ca="1" si="3"/>
        <v>-953.36049275362325</v>
      </c>
      <c r="H86" s="1" cm="1">
        <f t="array" aca="1" ref="H86" ca="1">MIN(
  INDEX($E:$E, MATCH($A86, $A:$A, 0) + 23) +
  (F86 * (2030 - 2023)),
  100
)</f>
        <v>25.068217391304348</v>
      </c>
      <c r="I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7" spans="1:9" hidden="1" x14ac:dyDescent="0.35">
      <c r="A87" s="1" t="s">
        <v>37</v>
      </c>
      <c r="B87" s="1" t="s">
        <v>175</v>
      </c>
      <c r="C87" s="1" t="s">
        <v>34</v>
      </c>
      <c r="D87" s="3">
        <v>2013</v>
      </c>
      <c r="E87">
        <v>15.4</v>
      </c>
      <c r="F87" s="1">
        <f t="shared" ca="1" si="2"/>
        <v>0.48117391304347829</v>
      </c>
      <c r="G87" s="1">
        <f t="shared" ca="1" si="3"/>
        <v>-953.36049275362325</v>
      </c>
      <c r="H87" s="1" cm="1">
        <f t="array" aca="1" ref="H87" ca="1">MIN(
  INDEX($E:$E, MATCH($A87, $A:$A, 0) + 23) +
  (F87 * (2030 - 2023)),
  100
)</f>
        <v>25.068217391304348</v>
      </c>
      <c r="I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8" spans="1:9" hidden="1" x14ac:dyDescent="0.35">
      <c r="A88" s="1" t="s">
        <v>37</v>
      </c>
      <c r="B88" s="1" t="s">
        <v>175</v>
      </c>
      <c r="C88" s="1" t="s">
        <v>34</v>
      </c>
      <c r="D88" s="3">
        <v>2014</v>
      </c>
      <c r="E88">
        <v>19.2</v>
      </c>
      <c r="F88" s="1">
        <f t="shared" ca="1" si="2"/>
        <v>0.48117391304347829</v>
      </c>
      <c r="G88" s="1">
        <f t="shared" ca="1" si="3"/>
        <v>-953.36049275362325</v>
      </c>
      <c r="H88" s="1" cm="1">
        <f t="array" aca="1" ref="H88" ca="1">MIN(
  INDEX($E:$E, MATCH($A88, $A:$A, 0) + 23) +
  (F88 * (2030 - 2023)),
  100
)</f>
        <v>25.068217391304348</v>
      </c>
      <c r="I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9" spans="1:9" hidden="1" x14ac:dyDescent="0.35">
      <c r="A89" s="1" t="s">
        <v>37</v>
      </c>
      <c r="B89" s="1" t="s">
        <v>175</v>
      </c>
      <c r="C89" s="1" t="s">
        <v>34</v>
      </c>
      <c r="D89" s="3">
        <v>2015</v>
      </c>
      <c r="E89">
        <v>16.2</v>
      </c>
      <c r="F89" s="1">
        <f t="shared" ca="1" si="2"/>
        <v>0.48117391304347829</v>
      </c>
      <c r="G89" s="1">
        <f t="shared" ca="1" si="3"/>
        <v>-953.36049275362325</v>
      </c>
      <c r="H89" s="1" cm="1">
        <f t="array" aca="1" ref="H89" ca="1">MIN(
  INDEX($E:$E, MATCH($A89, $A:$A, 0) + 23) +
  (F89 * (2030 - 2023)),
  100
)</f>
        <v>25.068217391304348</v>
      </c>
      <c r="I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0" spans="1:9" hidden="1" x14ac:dyDescent="0.35">
      <c r="A90" s="1" t="s">
        <v>37</v>
      </c>
      <c r="B90" s="1" t="s">
        <v>175</v>
      </c>
      <c r="C90" s="1" t="s">
        <v>34</v>
      </c>
      <c r="D90" s="3">
        <v>2016</v>
      </c>
      <c r="E90">
        <v>16.600000000000001</v>
      </c>
      <c r="F90" s="1">
        <f t="shared" ca="1" si="2"/>
        <v>0.48117391304347829</v>
      </c>
      <c r="G90" s="1">
        <f t="shared" ca="1" si="3"/>
        <v>-953.36049275362325</v>
      </c>
      <c r="H90" s="1" cm="1">
        <f t="array" aca="1" ref="H90" ca="1">MIN(
  INDEX($E:$E, MATCH($A90, $A:$A, 0) + 23) +
  (F90 * (2030 - 2023)),
  100
)</f>
        <v>25.068217391304348</v>
      </c>
      <c r="I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1" spans="1:9" hidden="1" x14ac:dyDescent="0.35">
      <c r="A91" s="1" t="s">
        <v>37</v>
      </c>
      <c r="B91" s="1" t="s">
        <v>175</v>
      </c>
      <c r="C91" s="1" t="s">
        <v>34</v>
      </c>
      <c r="D91" s="3">
        <v>2017</v>
      </c>
      <c r="E91">
        <v>17</v>
      </c>
      <c r="F91" s="1">
        <f t="shared" ca="1" si="2"/>
        <v>0.48117391304347829</v>
      </c>
      <c r="G91" s="1">
        <f t="shared" ca="1" si="3"/>
        <v>-953.36049275362325</v>
      </c>
      <c r="H91" s="1" cm="1">
        <f t="array" aca="1" ref="H91" ca="1">MIN(
  INDEX($E:$E, MATCH($A91, $A:$A, 0) + 23) +
  (F91 * (2030 - 2023)),
  100
)</f>
        <v>25.068217391304348</v>
      </c>
      <c r="I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2" spans="1:9" hidden="1" x14ac:dyDescent="0.35">
      <c r="A92" s="1" t="s">
        <v>37</v>
      </c>
      <c r="B92" s="1" t="s">
        <v>175</v>
      </c>
      <c r="C92" s="1" t="s">
        <v>34</v>
      </c>
      <c r="D92" s="3">
        <v>2018</v>
      </c>
      <c r="E92">
        <v>14.4</v>
      </c>
      <c r="F92" s="1">
        <f t="shared" ca="1" si="2"/>
        <v>0.48117391304347829</v>
      </c>
      <c r="G92" s="1">
        <f t="shared" ca="1" si="3"/>
        <v>-953.36049275362325</v>
      </c>
      <c r="H92" s="1" cm="1">
        <f t="array" aca="1" ref="H92" ca="1">MIN(
  INDEX($E:$E, MATCH($A92, $A:$A, 0) + 23) +
  (F92 * (2030 - 2023)),
  100
)</f>
        <v>25.068217391304348</v>
      </c>
      <c r="I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3" spans="1:9" hidden="1" x14ac:dyDescent="0.35">
      <c r="A93" s="1" t="s">
        <v>37</v>
      </c>
      <c r="B93" s="1" t="s">
        <v>175</v>
      </c>
      <c r="C93" s="1" t="s">
        <v>34</v>
      </c>
      <c r="D93" s="3">
        <v>2019</v>
      </c>
      <c r="E93">
        <v>17.600000000000001</v>
      </c>
      <c r="F93" s="1">
        <f t="shared" ca="1" si="2"/>
        <v>0.48117391304347829</v>
      </c>
      <c r="G93" s="1">
        <f t="shared" ca="1" si="3"/>
        <v>-953.36049275362325</v>
      </c>
      <c r="H93" s="1" cm="1">
        <f t="array" aca="1" ref="H93" ca="1">MIN(
  INDEX($E:$E, MATCH($A93, $A:$A, 0) + 23) +
  (F93 * (2030 - 2023)),
  100
)</f>
        <v>25.068217391304348</v>
      </c>
      <c r="I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4" spans="1:9" hidden="1" x14ac:dyDescent="0.35">
      <c r="A94" s="1" t="s">
        <v>37</v>
      </c>
      <c r="B94" s="1" t="s">
        <v>175</v>
      </c>
      <c r="C94" s="1" t="s">
        <v>34</v>
      </c>
      <c r="D94" s="3">
        <v>2020</v>
      </c>
      <c r="E94">
        <v>18.5</v>
      </c>
      <c r="F94" s="1">
        <f t="shared" ca="1" si="2"/>
        <v>0.48117391304347829</v>
      </c>
      <c r="G94" s="1">
        <f t="shared" ca="1" si="3"/>
        <v>-953.36049275362325</v>
      </c>
      <c r="H94" s="1" cm="1">
        <f t="array" aca="1" ref="H94" ca="1">MIN(
  INDEX($E:$E, MATCH($A94, $A:$A, 0) + 23) +
  (F94 * (2030 - 2023)),
  100
)</f>
        <v>25.068217391304348</v>
      </c>
      <c r="I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" spans="1:9" hidden="1" x14ac:dyDescent="0.35">
      <c r="A95" s="1" t="s">
        <v>37</v>
      </c>
      <c r="B95" s="1" t="s">
        <v>175</v>
      </c>
      <c r="C95" s="1" t="s">
        <v>34</v>
      </c>
      <c r="D95" s="3">
        <v>2021</v>
      </c>
      <c r="E95">
        <v>19</v>
      </c>
      <c r="F95" s="1">
        <f t="shared" ca="1" si="2"/>
        <v>0.48117391304347829</v>
      </c>
      <c r="G95" s="1">
        <f t="shared" ca="1" si="3"/>
        <v>-953.36049275362325</v>
      </c>
      <c r="H95" s="1" cm="1">
        <f t="array" aca="1" ref="H95" ca="1">MIN(
  INDEX($E:$E, MATCH($A95, $A:$A, 0) + 23) +
  (F95 * (2030 - 2023)),
  100
)</f>
        <v>25.068217391304348</v>
      </c>
      <c r="I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" spans="1:9" hidden="1" x14ac:dyDescent="0.35">
      <c r="A96" s="1" t="s">
        <v>37</v>
      </c>
      <c r="B96" s="1" t="s">
        <v>175</v>
      </c>
      <c r="C96" s="1" t="s">
        <v>34</v>
      </c>
      <c r="D96" s="3">
        <v>2022</v>
      </c>
      <c r="E96">
        <v>19.5</v>
      </c>
      <c r="F96" s="1">
        <f t="shared" ca="1" si="2"/>
        <v>0.48117391304347829</v>
      </c>
      <c r="G96" s="1">
        <f t="shared" ca="1" si="3"/>
        <v>-953.36049275362325</v>
      </c>
      <c r="H96" s="1" cm="1">
        <f t="array" aca="1" ref="H96" ca="1">MIN(
  INDEX($E:$E, MATCH($A96, $A:$A, 0) + 23) +
  (F96 * (2030 - 2023)),
  100
)</f>
        <v>25.068217391304348</v>
      </c>
      <c r="I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" spans="1:9" x14ac:dyDescent="0.35">
      <c r="A97" s="1" t="s">
        <v>37</v>
      </c>
      <c r="B97" s="1" t="s">
        <v>175</v>
      </c>
      <c r="C97" s="1" t="s">
        <v>34</v>
      </c>
      <c r="D97" s="3">
        <v>2023</v>
      </c>
      <c r="E97">
        <v>21.7</v>
      </c>
      <c r="F97" s="4">
        <f t="shared" ca="1" si="2"/>
        <v>0.48117391304347829</v>
      </c>
      <c r="G97" s="4">
        <f t="shared" ca="1" si="3"/>
        <v>-953.36049275362325</v>
      </c>
      <c r="H97" s="4" cm="1">
        <f t="array" aca="1" ref="H97" ca="1">MIN(
  INDEX($E:$E, MATCH($A97, $A:$A, 0) + 23) +
  (F97 * (2030 - 2023)),
  100
)</f>
        <v>25.068217391304348</v>
      </c>
      <c r="I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" spans="1:9" hidden="1" x14ac:dyDescent="0.35">
      <c r="A98" s="1" t="s">
        <v>39</v>
      </c>
      <c r="B98" s="1" t="s">
        <v>176</v>
      </c>
      <c r="C98" s="1" t="s">
        <v>41</v>
      </c>
      <c r="D98" s="3">
        <v>2000</v>
      </c>
      <c r="E98">
        <v>26.5</v>
      </c>
      <c r="F98" s="1">
        <f t="shared" ca="1" si="2"/>
        <v>2.3528695652173917</v>
      </c>
      <c r="G98" s="1">
        <f t="shared" ca="1" si="3"/>
        <v>-4680.1971304347826</v>
      </c>
      <c r="H98" s="1" cm="1">
        <f t="array" aca="1" ref="H98" ca="1">MIN(
  INDEX($E:$E, MATCH($A98, $A:$A, 0) + 23) +
  (F98 * (2030 - 2023)),
  100
)</f>
        <v>92.47008695652174</v>
      </c>
      <c r="I9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99" spans="1:9" hidden="1" x14ac:dyDescent="0.35">
      <c r="A99" s="1" t="s">
        <v>39</v>
      </c>
      <c r="B99" s="1" t="s">
        <v>176</v>
      </c>
      <c r="C99" s="1" t="s">
        <v>41</v>
      </c>
      <c r="D99" s="3">
        <v>2001</v>
      </c>
      <c r="E99">
        <v>24.8</v>
      </c>
      <c r="F99" s="1">
        <f t="shared" ca="1" si="2"/>
        <v>2.3528695652173917</v>
      </c>
      <c r="G99" s="1">
        <f t="shared" ca="1" si="3"/>
        <v>-4680.1971304347826</v>
      </c>
      <c r="H99" s="1" cm="1">
        <f t="array" aca="1" ref="H99" ca="1">MIN(
  INDEX($E:$E, MATCH($A99, $A:$A, 0) + 23) +
  (F99 * (2030 - 2023)),
  100
)</f>
        <v>92.47008695652174</v>
      </c>
      <c r="I9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0" spans="1:9" hidden="1" x14ac:dyDescent="0.35">
      <c r="A100" s="1" t="s">
        <v>39</v>
      </c>
      <c r="B100" s="1" t="s">
        <v>176</v>
      </c>
      <c r="C100" s="1" t="s">
        <v>41</v>
      </c>
      <c r="D100" s="3">
        <v>2002</v>
      </c>
      <c r="E100">
        <v>27</v>
      </c>
      <c r="F100" s="1">
        <f t="shared" ca="1" si="2"/>
        <v>2.3528695652173917</v>
      </c>
      <c r="G100" s="1">
        <f t="shared" ca="1" si="3"/>
        <v>-4680.1971304347826</v>
      </c>
      <c r="H100" s="1" cm="1">
        <f t="array" aca="1" ref="H100" ca="1">MIN(
  INDEX($E:$E, MATCH($A100, $A:$A, 0) + 23) +
  (F100 * (2030 - 2023)),
  100
)</f>
        <v>92.47008695652174</v>
      </c>
      <c r="I10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1" spans="1:9" hidden="1" x14ac:dyDescent="0.35">
      <c r="A101" s="1" t="s">
        <v>39</v>
      </c>
      <c r="B101" s="1" t="s">
        <v>176</v>
      </c>
      <c r="C101" s="1" t="s">
        <v>41</v>
      </c>
      <c r="D101" s="3">
        <v>2003</v>
      </c>
      <c r="E101">
        <v>33.1</v>
      </c>
      <c r="F101" s="1">
        <f t="shared" ca="1" si="2"/>
        <v>2.3528695652173917</v>
      </c>
      <c r="G101" s="1">
        <f t="shared" ca="1" si="3"/>
        <v>-4680.1971304347826</v>
      </c>
      <c r="H101" s="1" cm="1">
        <f t="array" aca="1" ref="H101" ca="1">MIN(
  INDEX($E:$E, MATCH($A101, $A:$A, 0) + 23) +
  (F101 * (2030 - 2023)),
  100
)</f>
        <v>92.47008695652174</v>
      </c>
      <c r="I10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2" spans="1:9" hidden="1" x14ac:dyDescent="0.35">
      <c r="A102" s="1" t="s">
        <v>39</v>
      </c>
      <c r="B102" s="1" t="s">
        <v>176</v>
      </c>
      <c r="C102" s="1" t="s">
        <v>41</v>
      </c>
      <c r="D102" s="3">
        <v>2004</v>
      </c>
      <c r="E102">
        <v>35.299999999999997</v>
      </c>
      <c r="F102" s="1">
        <f t="shared" ca="1" si="2"/>
        <v>2.3528695652173917</v>
      </c>
      <c r="G102" s="1">
        <f t="shared" ca="1" si="3"/>
        <v>-4680.1971304347826</v>
      </c>
      <c r="H102" s="1" cm="1">
        <f t="array" aca="1" ref="H102" ca="1">MIN(
  INDEX($E:$E, MATCH($A102, $A:$A, 0) + 23) +
  (F102 * (2030 - 2023)),
  100
)</f>
        <v>92.47008695652174</v>
      </c>
      <c r="I10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3" spans="1:9" hidden="1" x14ac:dyDescent="0.35">
      <c r="A103" s="1" t="s">
        <v>39</v>
      </c>
      <c r="B103" s="1" t="s">
        <v>176</v>
      </c>
      <c r="C103" s="1" t="s">
        <v>41</v>
      </c>
      <c r="D103" s="3">
        <v>2005</v>
      </c>
      <c r="E103">
        <v>37.5</v>
      </c>
      <c r="F103" s="1">
        <f t="shared" ca="1" si="2"/>
        <v>2.3528695652173917</v>
      </c>
      <c r="G103" s="1">
        <f t="shared" ca="1" si="3"/>
        <v>-4680.1971304347826</v>
      </c>
      <c r="H103" s="1" cm="1">
        <f t="array" aca="1" ref="H103" ca="1">MIN(
  INDEX($E:$E, MATCH($A103, $A:$A, 0) + 23) +
  (F103 * (2030 - 2023)),
  100
)</f>
        <v>92.47008695652174</v>
      </c>
      <c r="I10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4" spans="1:9" hidden="1" x14ac:dyDescent="0.35">
      <c r="A104" s="1" t="s">
        <v>39</v>
      </c>
      <c r="B104" s="1" t="s">
        <v>176</v>
      </c>
      <c r="C104" s="1" t="s">
        <v>41</v>
      </c>
      <c r="D104" s="3">
        <v>2006</v>
      </c>
      <c r="E104">
        <v>39.700000000000003</v>
      </c>
      <c r="F104" s="1">
        <f t="shared" ca="1" si="2"/>
        <v>2.3528695652173917</v>
      </c>
      <c r="G104" s="1">
        <f t="shared" ca="1" si="3"/>
        <v>-4680.1971304347826</v>
      </c>
      <c r="H104" s="1" cm="1">
        <f t="array" aca="1" ref="H104" ca="1">MIN(
  INDEX($E:$E, MATCH($A104, $A:$A, 0) + 23) +
  (F104 * (2030 - 2023)),
  100
)</f>
        <v>92.47008695652174</v>
      </c>
      <c r="I10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5" spans="1:9" hidden="1" x14ac:dyDescent="0.35">
      <c r="A105" s="1" t="s">
        <v>39</v>
      </c>
      <c r="B105" s="1" t="s">
        <v>176</v>
      </c>
      <c r="C105" s="1" t="s">
        <v>41</v>
      </c>
      <c r="D105" s="3">
        <v>2007</v>
      </c>
      <c r="E105">
        <v>41.9</v>
      </c>
      <c r="F105" s="1">
        <f t="shared" ca="1" si="2"/>
        <v>2.3528695652173917</v>
      </c>
      <c r="G105" s="1">
        <f t="shared" ca="1" si="3"/>
        <v>-4680.1971304347826</v>
      </c>
      <c r="H105" s="1" cm="1">
        <f t="array" aca="1" ref="H105" ca="1">MIN(
  INDEX($E:$E, MATCH($A105, $A:$A, 0) + 23) +
  (F105 * (2030 - 2023)),
  100
)</f>
        <v>92.47008695652174</v>
      </c>
      <c r="I10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6" spans="1:9" hidden="1" x14ac:dyDescent="0.35">
      <c r="A106" s="1" t="s">
        <v>39</v>
      </c>
      <c r="B106" s="1" t="s">
        <v>176</v>
      </c>
      <c r="C106" s="1" t="s">
        <v>41</v>
      </c>
      <c r="D106" s="3">
        <v>2008</v>
      </c>
      <c r="E106">
        <v>44.5</v>
      </c>
      <c r="F106" s="1">
        <f t="shared" ca="1" si="2"/>
        <v>2.3528695652173917</v>
      </c>
      <c r="G106" s="1">
        <f t="shared" ca="1" si="3"/>
        <v>-4680.1971304347826</v>
      </c>
      <c r="H106" s="1" cm="1">
        <f t="array" aca="1" ref="H106" ca="1">MIN(
  INDEX($E:$E, MATCH($A106, $A:$A, 0) + 23) +
  (F106 * (2030 - 2023)),
  100
)</f>
        <v>92.47008695652174</v>
      </c>
      <c r="I10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" spans="1:9" hidden="1" x14ac:dyDescent="0.35">
      <c r="A107" s="1" t="s">
        <v>39</v>
      </c>
      <c r="B107" s="1" t="s">
        <v>176</v>
      </c>
      <c r="C107" s="1" t="s">
        <v>41</v>
      </c>
      <c r="D107" s="3">
        <v>2009</v>
      </c>
      <c r="E107">
        <v>43.4</v>
      </c>
      <c r="F107" s="1">
        <f t="shared" ca="1" si="2"/>
        <v>2.3528695652173917</v>
      </c>
      <c r="G107" s="1">
        <f t="shared" ca="1" si="3"/>
        <v>-4680.1971304347826</v>
      </c>
      <c r="H107" s="1" cm="1">
        <f t="array" aca="1" ref="H107" ca="1">MIN(
  INDEX($E:$E, MATCH($A107, $A:$A, 0) + 23) +
  (F107 * (2030 - 2023)),
  100
)</f>
        <v>92.47008695652174</v>
      </c>
      <c r="I10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" spans="1:9" hidden="1" x14ac:dyDescent="0.35">
      <c r="A108" s="1" t="s">
        <v>39</v>
      </c>
      <c r="B108" s="1" t="s">
        <v>176</v>
      </c>
      <c r="C108" s="1" t="s">
        <v>41</v>
      </c>
      <c r="D108" s="3">
        <v>2010</v>
      </c>
      <c r="E108">
        <v>52</v>
      </c>
      <c r="F108" s="1">
        <f t="shared" ca="1" si="2"/>
        <v>2.3528695652173917</v>
      </c>
      <c r="G108" s="1">
        <f t="shared" ca="1" si="3"/>
        <v>-4680.1971304347826</v>
      </c>
      <c r="H108" s="1" cm="1">
        <f t="array" aca="1" ref="H108" ca="1">MIN(
  INDEX($E:$E, MATCH($A108, $A:$A, 0) + 23) +
  (F108 * (2030 - 2023)),
  100
)</f>
        <v>92.47008695652174</v>
      </c>
      <c r="I10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9" spans="1:9" hidden="1" x14ac:dyDescent="0.35">
      <c r="A109" s="1" t="s">
        <v>39</v>
      </c>
      <c r="B109" s="1" t="s">
        <v>176</v>
      </c>
      <c r="C109" s="1" t="s">
        <v>41</v>
      </c>
      <c r="D109" s="3">
        <v>2011</v>
      </c>
      <c r="E109">
        <v>53.2</v>
      </c>
      <c r="F109" s="1">
        <f t="shared" ca="1" si="2"/>
        <v>2.3528695652173917</v>
      </c>
      <c r="G109" s="1">
        <f t="shared" ca="1" si="3"/>
        <v>-4680.1971304347826</v>
      </c>
      <c r="H109" s="1" cm="1">
        <f t="array" aca="1" ref="H109" ca="1">MIN(
  INDEX($E:$E, MATCH($A109, $A:$A, 0) + 23) +
  (F109 * (2030 - 2023)),
  100
)</f>
        <v>92.47008695652174</v>
      </c>
      <c r="I10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0" spans="1:9" hidden="1" x14ac:dyDescent="0.35">
      <c r="A110" s="1" t="s">
        <v>39</v>
      </c>
      <c r="B110" s="1" t="s">
        <v>176</v>
      </c>
      <c r="C110" s="1" t="s">
        <v>41</v>
      </c>
      <c r="D110" s="3">
        <v>2012</v>
      </c>
      <c r="E110">
        <v>56</v>
      </c>
      <c r="F110" s="1">
        <f t="shared" ca="1" si="2"/>
        <v>2.3528695652173917</v>
      </c>
      <c r="G110" s="1">
        <f t="shared" ca="1" si="3"/>
        <v>-4680.1971304347826</v>
      </c>
      <c r="H110" s="1" cm="1">
        <f t="array" aca="1" ref="H110" ca="1">MIN(
  INDEX($E:$E, MATCH($A110, $A:$A, 0) + 23) +
  (F110 * (2030 - 2023)),
  100
)</f>
        <v>92.47008695652174</v>
      </c>
      <c r="I11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1" spans="1:9" hidden="1" x14ac:dyDescent="0.35">
      <c r="A111" s="1" t="s">
        <v>39</v>
      </c>
      <c r="B111" s="1" t="s">
        <v>176</v>
      </c>
      <c r="C111" s="1" t="s">
        <v>41</v>
      </c>
      <c r="D111" s="3">
        <v>2013</v>
      </c>
      <c r="E111">
        <v>58</v>
      </c>
      <c r="F111" s="1">
        <f t="shared" ca="1" si="2"/>
        <v>2.3528695652173917</v>
      </c>
      <c r="G111" s="1">
        <f t="shared" ca="1" si="3"/>
        <v>-4680.1971304347826</v>
      </c>
      <c r="H111" s="1" cm="1">
        <f t="array" aca="1" ref="H111" ca="1">MIN(
  INDEX($E:$E, MATCH($A111, $A:$A, 0) + 23) +
  (F111 * (2030 - 2023)),
  100
)</f>
        <v>92.47008695652174</v>
      </c>
      <c r="I11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2" spans="1:9" hidden="1" x14ac:dyDescent="0.35">
      <c r="A112" s="1" t="s">
        <v>39</v>
      </c>
      <c r="B112" s="1" t="s">
        <v>176</v>
      </c>
      <c r="C112" s="1" t="s">
        <v>41</v>
      </c>
      <c r="D112" s="3">
        <v>2014</v>
      </c>
      <c r="E112">
        <v>60</v>
      </c>
      <c r="F112" s="1">
        <f t="shared" ca="1" si="2"/>
        <v>2.3528695652173917</v>
      </c>
      <c r="G112" s="1">
        <f t="shared" ca="1" si="3"/>
        <v>-4680.1971304347826</v>
      </c>
      <c r="H112" s="1" cm="1">
        <f t="array" aca="1" ref="H112" ca="1">MIN(
  INDEX($E:$E, MATCH($A112, $A:$A, 0) + 23) +
  (F112 * (2030 - 2023)),
  100
)</f>
        <v>92.47008695652174</v>
      </c>
      <c r="I11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3" spans="1:9" hidden="1" x14ac:dyDescent="0.35">
      <c r="A113" s="1" t="s">
        <v>39</v>
      </c>
      <c r="B113" s="1" t="s">
        <v>176</v>
      </c>
      <c r="C113" s="1" t="s">
        <v>41</v>
      </c>
      <c r="D113" s="3">
        <v>2015</v>
      </c>
      <c r="E113">
        <v>62.1</v>
      </c>
      <c r="F113" s="1">
        <f t="shared" ca="1" si="2"/>
        <v>2.3528695652173917</v>
      </c>
      <c r="G113" s="1">
        <f t="shared" ca="1" si="3"/>
        <v>-4680.1971304347826</v>
      </c>
      <c r="H113" s="1" cm="1">
        <f t="array" aca="1" ref="H113" ca="1">MIN(
  INDEX($E:$E, MATCH($A113, $A:$A, 0) + 23) +
  (F113 * (2030 - 2023)),
  100
)</f>
        <v>92.47008695652174</v>
      </c>
      <c r="I11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4" spans="1:9" hidden="1" x14ac:dyDescent="0.35">
      <c r="A114" s="1" t="s">
        <v>39</v>
      </c>
      <c r="B114" s="1" t="s">
        <v>176</v>
      </c>
      <c r="C114" s="1" t="s">
        <v>41</v>
      </c>
      <c r="D114" s="3">
        <v>2016</v>
      </c>
      <c r="E114">
        <v>64.2</v>
      </c>
      <c r="F114" s="1">
        <f t="shared" ca="1" si="2"/>
        <v>2.3528695652173917</v>
      </c>
      <c r="G114" s="1">
        <f t="shared" ca="1" si="3"/>
        <v>-4680.1971304347826</v>
      </c>
      <c r="H114" s="1" cm="1">
        <f t="array" aca="1" ref="H114" ca="1">MIN(
  INDEX($E:$E, MATCH($A114, $A:$A, 0) + 23) +
  (F114 * (2030 - 2023)),
  100
)</f>
        <v>92.47008695652174</v>
      </c>
      <c r="I11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5" spans="1:9" hidden="1" x14ac:dyDescent="0.35">
      <c r="A115" s="1" t="s">
        <v>39</v>
      </c>
      <c r="B115" s="1" t="s">
        <v>176</v>
      </c>
      <c r="C115" s="1" t="s">
        <v>41</v>
      </c>
      <c r="D115" s="3">
        <v>2017</v>
      </c>
      <c r="E115">
        <v>67.400000000000006</v>
      </c>
      <c r="F115" s="1">
        <f t="shared" ca="1" si="2"/>
        <v>2.3528695652173917</v>
      </c>
      <c r="G115" s="1">
        <f t="shared" ca="1" si="3"/>
        <v>-4680.1971304347826</v>
      </c>
      <c r="H115" s="1" cm="1">
        <f t="array" aca="1" ref="H115" ca="1">MIN(
  INDEX($E:$E, MATCH($A115, $A:$A, 0) + 23) +
  (F115 * (2030 - 2023)),
  100
)</f>
        <v>92.47008695652174</v>
      </c>
      <c r="I11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6" spans="1:9" hidden="1" x14ac:dyDescent="0.35">
      <c r="A116" s="1" t="s">
        <v>39</v>
      </c>
      <c r="B116" s="1" t="s">
        <v>176</v>
      </c>
      <c r="C116" s="1" t="s">
        <v>41</v>
      </c>
      <c r="D116" s="3">
        <v>2018</v>
      </c>
      <c r="E116">
        <v>68.3</v>
      </c>
      <c r="F116" s="1">
        <f t="shared" ca="1" si="2"/>
        <v>2.3528695652173917</v>
      </c>
      <c r="G116" s="1">
        <f t="shared" ca="1" si="3"/>
        <v>-4680.1971304347826</v>
      </c>
      <c r="H116" s="1" cm="1">
        <f t="array" aca="1" ref="H116" ca="1">MIN(
  INDEX($E:$E, MATCH($A116, $A:$A, 0) + 23) +
  (F116 * (2030 - 2023)),
  100
)</f>
        <v>92.47008695652174</v>
      </c>
      <c r="I11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7" spans="1:9" hidden="1" x14ac:dyDescent="0.35">
      <c r="A117" s="1" t="s">
        <v>39</v>
      </c>
      <c r="B117" s="1" t="s">
        <v>176</v>
      </c>
      <c r="C117" s="1" t="s">
        <v>41</v>
      </c>
      <c r="D117" s="3">
        <v>2019</v>
      </c>
      <c r="E117">
        <v>70.099999999999994</v>
      </c>
      <c r="F117" s="1">
        <f t="shared" ca="1" si="2"/>
        <v>2.3528695652173917</v>
      </c>
      <c r="G117" s="1">
        <f t="shared" ca="1" si="3"/>
        <v>-4680.1971304347826</v>
      </c>
      <c r="H117" s="1" cm="1">
        <f t="array" aca="1" ref="H117" ca="1">MIN(
  INDEX($E:$E, MATCH($A117, $A:$A, 0) + 23) +
  (F117 * (2030 - 2023)),
  100
)</f>
        <v>92.47008695652174</v>
      </c>
      <c r="I11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8" spans="1:9" hidden="1" x14ac:dyDescent="0.35">
      <c r="A118" s="1" t="s">
        <v>39</v>
      </c>
      <c r="B118" s="1" t="s">
        <v>176</v>
      </c>
      <c r="C118" s="1" t="s">
        <v>41</v>
      </c>
      <c r="D118" s="3">
        <v>2020</v>
      </c>
      <c r="E118">
        <v>71.8</v>
      </c>
      <c r="F118" s="1">
        <f t="shared" ca="1" si="2"/>
        <v>2.3528695652173917</v>
      </c>
      <c r="G118" s="1">
        <f t="shared" ca="1" si="3"/>
        <v>-4680.1971304347826</v>
      </c>
      <c r="H118" s="1" cm="1">
        <f t="array" aca="1" ref="H118" ca="1">MIN(
  INDEX($E:$E, MATCH($A118, $A:$A, 0) + 23) +
  (F118 * (2030 - 2023)),
  100
)</f>
        <v>92.47008695652174</v>
      </c>
      <c r="I11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19" spans="1:9" hidden="1" x14ac:dyDescent="0.35">
      <c r="A119" s="1" t="s">
        <v>39</v>
      </c>
      <c r="B119" s="1" t="s">
        <v>176</v>
      </c>
      <c r="C119" s="1" t="s">
        <v>41</v>
      </c>
      <c r="D119" s="3">
        <v>2021</v>
      </c>
      <c r="E119">
        <v>73.7</v>
      </c>
      <c r="F119" s="1">
        <f t="shared" ca="1" si="2"/>
        <v>2.3528695652173917</v>
      </c>
      <c r="G119" s="1">
        <f t="shared" ca="1" si="3"/>
        <v>-4680.1971304347826</v>
      </c>
      <c r="H119" s="1" cm="1">
        <f t="array" aca="1" ref="H119" ca="1">MIN(
  INDEX($E:$E, MATCH($A119, $A:$A, 0) + 23) +
  (F119 * (2030 - 2023)),
  100
)</f>
        <v>92.47008695652174</v>
      </c>
      <c r="I11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20" spans="1:9" hidden="1" x14ac:dyDescent="0.35">
      <c r="A120" s="1" t="s">
        <v>39</v>
      </c>
      <c r="B120" s="1" t="s">
        <v>176</v>
      </c>
      <c r="C120" s="1" t="s">
        <v>41</v>
      </c>
      <c r="D120" s="3">
        <v>2022</v>
      </c>
      <c r="E120">
        <v>75.900000000000006</v>
      </c>
      <c r="F120" s="1">
        <f t="shared" ca="1" si="2"/>
        <v>2.3528695652173917</v>
      </c>
      <c r="G120" s="1">
        <f t="shared" ca="1" si="3"/>
        <v>-4680.1971304347826</v>
      </c>
      <c r="H120" s="1" cm="1">
        <f t="array" aca="1" ref="H120" ca="1">MIN(
  INDEX($E:$E, MATCH($A120, $A:$A, 0) + 23) +
  (F120 * (2030 - 2023)),
  100
)</f>
        <v>92.47008695652174</v>
      </c>
      <c r="I12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21" spans="1:9" x14ac:dyDescent="0.35">
      <c r="A121" s="1" t="s">
        <v>39</v>
      </c>
      <c r="B121" s="1" t="s">
        <v>176</v>
      </c>
      <c r="C121" s="1" t="s">
        <v>41</v>
      </c>
      <c r="D121" s="3">
        <v>2023</v>
      </c>
      <c r="E121">
        <v>76</v>
      </c>
      <c r="F121" s="4">
        <f t="shared" ca="1" si="2"/>
        <v>2.3528695652173917</v>
      </c>
      <c r="G121" s="4">
        <f t="shared" ca="1" si="3"/>
        <v>-4680.1971304347826</v>
      </c>
      <c r="H121" s="4" cm="1">
        <f t="array" aca="1" ref="H121" ca="1">MIN(
  INDEX($E:$E, MATCH($A121, $A:$A, 0) + 23) +
  (F121 * (2030 - 2023)),
  100
)</f>
        <v>92.47008695652174</v>
      </c>
      <c r="I12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22" spans="1:9" hidden="1" x14ac:dyDescent="0.35">
      <c r="A122" s="1" t="s">
        <v>42</v>
      </c>
      <c r="B122" s="1" t="s">
        <v>172</v>
      </c>
      <c r="C122" s="1" t="s">
        <v>34</v>
      </c>
      <c r="D122" s="3">
        <v>2000</v>
      </c>
      <c r="E122">
        <v>6</v>
      </c>
      <c r="F122" s="1">
        <f t="shared" ca="1" si="2"/>
        <v>0.51360869565217393</v>
      </c>
      <c r="G122" s="1">
        <f t="shared" ca="1" si="3"/>
        <v>-1022.2863913043478</v>
      </c>
      <c r="H122" s="1" cm="1">
        <f t="array" aca="1" ref="H122" ca="1">MIN(
  INDEX($E:$E, MATCH($A122, $A:$A, 0) + 23) +
  (F122 * (2030 - 2023)),
  100
)</f>
        <v>21.195260869565217</v>
      </c>
      <c r="I1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3" spans="1:9" hidden="1" x14ac:dyDescent="0.35">
      <c r="A123" s="1" t="s">
        <v>42</v>
      </c>
      <c r="B123" s="1" t="s">
        <v>172</v>
      </c>
      <c r="C123" s="1" t="s">
        <v>34</v>
      </c>
      <c r="D123" s="3">
        <v>2001</v>
      </c>
      <c r="E123">
        <v>5.7</v>
      </c>
      <c r="F123" s="1">
        <f t="shared" ca="1" si="2"/>
        <v>0.51360869565217393</v>
      </c>
      <c r="G123" s="1">
        <f t="shared" ca="1" si="3"/>
        <v>-1022.2863913043478</v>
      </c>
      <c r="H123" s="1" cm="1">
        <f t="array" aca="1" ref="H123" ca="1">MIN(
  INDEX($E:$E, MATCH($A123, $A:$A, 0) + 23) +
  (F123 * (2030 - 2023)),
  100
)</f>
        <v>21.195260869565217</v>
      </c>
      <c r="I1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4" spans="1:9" hidden="1" x14ac:dyDescent="0.35">
      <c r="A124" s="1" t="s">
        <v>42</v>
      </c>
      <c r="B124" s="1" t="s">
        <v>172</v>
      </c>
      <c r="C124" s="1" t="s">
        <v>34</v>
      </c>
      <c r="D124" s="3">
        <v>2002</v>
      </c>
      <c r="E124">
        <v>6.1</v>
      </c>
      <c r="F124" s="1">
        <f t="shared" ca="1" si="2"/>
        <v>0.51360869565217393</v>
      </c>
      <c r="G124" s="1">
        <f t="shared" ca="1" si="3"/>
        <v>-1022.2863913043478</v>
      </c>
      <c r="H124" s="1" cm="1">
        <f t="array" aca="1" ref="H124" ca="1">MIN(
  INDEX($E:$E, MATCH($A124, $A:$A, 0) + 23) +
  (F124 * (2030 - 2023)),
  100
)</f>
        <v>21.195260869565217</v>
      </c>
      <c r="I1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5" spans="1:9" hidden="1" x14ac:dyDescent="0.35">
      <c r="A125" s="1" t="s">
        <v>42</v>
      </c>
      <c r="B125" s="1" t="s">
        <v>172</v>
      </c>
      <c r="C125" s="1" t="s">
        <v>34</v>
      </c>
      <c r="D125" s="3">
        <v>2003</v>
      </c>
      <c r="E125">
        <v>6.6</v>
      </c>
      <c r="F125" s="1">
        <f t="shared" ca="1" si="2"/>
        <v>0.51360869565217393</v>
      </c>
      <c r="G125" s="1">
        <f t="shared" ca="1" si="3"/>
        <v>-1022.2863913043478</v>
      </c>
      <c r="H125" s="1" cm="1">
        <f t="array" aca="1" ref="H125" ca="1">MIN(
  INDEX($E:$E, MATCH($A125, $A:$A, 0) + 23) +
  (F125 * (2030 - 2023)),
  100
)</f>
        <v>21.195260869565217</v>
      </c>
      <c r="I1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6" spans="1:9" hidden="1" x14ac:dyDescent="0.35">
      <c r="A126" s="1" t="s">
        <v>42</v>
      </c>
      <c r="B126" s="1" t="s">
        <v>172</v>
      </c>
      <c r="C126" s="1" t="s">
        <v>34</v>
      </c>
      <c r="D126" s="3">
        <v>2004</v>
      </c>
      <c r="E126">
        <v>7</v>
      </c>
      <c r="F126" s="1">
        <f t="shared" ca="1" si="2"/>
        <v>0.51360869565217393</v>
      </c>
      <c r="G126" s="1">
        <f t="shared" ca="1" si="3"/>
        <v>-1022.2863913043478</v>
      </c>
      <c r="H126" s="1" cm="1">
        <f t="array" aca="1" ref="H126" ca="1">MIN(
  INDEX($E:$E, MATCH($A126, $A:$A, 0) + 23) +
  (F126 * (2030 - 2023)),
  100
)</f>
        <v>21.195260869565217</v>
      </c>
      <c r="I1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7" spans="1:9" hidden="1" x14ac:dyDescent="0.35">
      <c r="A127" s="1" t="s">
        <v>42</v>
      </c>
      <c r="B127" s="1" t="s">
        <v>172</v>
      </c>
      <c r="C127" s="1" t="s">
        <v>34</v>
      </c>
      <c r="D127" s="3">
        <v>2005</v>
      </c>
      <c r="E127">
        <v>7.4</v>
      </c>
      <c r="F127" s="1">
        <f t="shared" ca="1" si="2"/>
        <v>0.51360869565217393</v>
      </c>
      <c r="G127" s="1">
        <f t="shared" ca="1" si="3"/>
        <v>-1022.2863913043478</v>
      </c>
      <c r="H127" s="1" cm="1">
        <f t="array" aca="1" ref="H127" ca="1">MIN(
  INDEX($E:$E, MATCH($A127, $A:$A, 0) + 23) +
  (F127 * (2030 - 2023)),
  100
)</f>
        <v>21.195260869565217</v>
      </c>
      <c r="I1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8" spans="1:9" hidden="1" x14ac:dyDescent="0.35">
      <c r="A128" s="1" t="s">
        <v>42</v>
      </c>
      <c r="B128" s="1" t="s">
        <v>172</v>
      </c>
      <c r="C128" s="1" t="s">
        <v>34</v>
      </c>
      <c r="D128" s="3">
        <v>2006</v>
      </c>
      <c r="E128">
        <v>7.8</v>
      </c>
      <c r="F128" s="1">
        <f t="shared" ca="1" si="2"/>
        <v>0.51360869565217393</v>
      </c>
      <c r="G128" s="1">
        <f t="shared" ca="1" si="3"/>
        <v>-1022.2863913043478</v>
      </c>
      <c r="H128" s="1" cm="1">
        <f t="array" aca="1" ref="H128" ca="1">MIN(
  INDEX($E:$E, MATCH($A128, $A:$A, 0) + 23) +
  (F128 * (2030 - 2023)),
  100
)</f>
        <v>21.195260869565217</v>
      </c>
      <c r="I1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29" spans="1:9" hidden="1" x14ac:dyDescent="0.35">
      <c r="A129" s="1" t="s">
        <v>42</v>
      </c>
      <c r="B129" s="1" t="s">
        <v>172</v>
      </c>
      <c r="C129" s="1" t="s">
        <v>34</v>
      </c>
      <c r="D129" s="3">
        <v>2007</v>
      </c>
      <c r="E129">
        <v>8.4</v>
      </c>
      <c r="F129" s="1">
        <f t="shared" ca="1" si="2"/>
        <v>0.51360869565217393</v>
      </c>
      <c r="G129" s="1">
        <f t="shared" ca="1" si="3"/>
        <v>-1022.2863913043478</v>
      </c>
      <c r="H129" s="1" cm="1">
        <f t="array" aca="1" ref="H129" ca="1">MIN(
  INDEX($E:$E, MATCH($A129, $A:$A, 0) + 23) +
  (F129 * (2030 - 2023)),
  100
)</f>
        <v>21.195260869565217</v>
      </c>
      <c r="I1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0" spans="1:9" hidden="1" x14ac:dyDescent="0.35">
      <c r="A130" s="1" t="s">
        <v>42</v>
      </c>
      <c r="B130" s="1" t="s">
        <v>172</v>
      </c>
      <c r="C130" s="1" t="s">
        <v>34</v>
      </c>
      <c r="D130" s="3">
        <v>2008</v>
      </c>
      <c r="E130">
        <v>7.5</v>
      </c>
      <c r="F130" s="1">
        <f t="shared" ref="F130:F193" ca="1" si="4">SLOPE(
  OFFSET($E$1, MATCH($A130, $A:$A, 0)-1, 0, 24, 1),
  OFFSET($D$1, MATCH($A130, $A:$A, 0)-1, 0, 24, 1)
)</f>
        <v>0.51360869565217393</v>
      </c>
      <c r="G130" s="1">
        <f t="shared" ref="G130:G193" ca="1" si="5">INTERCEPT(
  OFFSET($E$1, MATCH($A130, $A:$A, 0)-1, 0, 24, 1),
  OFFSET($D$1, MATCH($A130, $A:$A, 0)-1, 0, 24, 1)
)</f>
        <v>-1022.2863913043478</v>
      </c>
      <c r="H130" s="1" cm="1">
        <f t="array" aca="1" ref="H130" ca="1">MIN(
  INDEX($E:$E, MATCH($A130, $A:$A, 0) + 23) +
  (F130 * (2030 - 2023)),
  100
)</f>
        <v>21.195260869565217</v>
      </c>
      <c r="I1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1" spans="1:9" hidden="1" x14ac:dyDescent="0.35">
      <c r="A131" s="1" t="s">
        <v>42</v>
      </c>
      <c r="B131" s="1" t="s">
        <v>172</v>
      </c>
      <c r="C131" s="1" t="s">
        <v>34</v>
      </c>
      <c r="D131" s="3">
        <v>2009</v>
      </c>
      <c r="E131">
        <v>9.4</v>
      </c>
      <c r="F131" s="1">
        <f t="shared" ca="1" si="4"/>
        <v>0.51360869565217393</v>
      </c>
      <c r="G131" s="1">
        <f t="shared" ca="1" si="5"/>
        <v>-1022.2863913043478</v>
      </c>
      <c r="H131" s="1" cm="1">
        <f t="array" aca="1" ref="H131" ca="1">MIN(
  INDEX($E:$E, MATCH($A131, $A:$A, 0) + 23) +
  (F131 * (2030 - 2023)),
  100
)</f>
        <v>21.195260869565217</v>
      </c>
      <c r="I1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2" spans="1:9" hidden="1" x14ac:dyDescent="0.35">
      <c r="A132" s="1" t="s">
        <v>42</v>
      </c>
      <c r="B132" s="1" t="s">
        <v>172</v>
      </c>
      <c r="C132" s="1" t="s">
        <v>34</v>
      </c>
      <c r="D132" s="3">
        <v>2010</v>
      </c>
      <c r="E132">
        <v>9.8000000000000007</v>
      </c>
      <c r="F132" s="1">
        <f t="shared" ca="1" si="4"/>
        <v>0.51360869565217393</v>
      </c>
      <c r="G132" s="1">
        <f t="shared" ca="1" si="5"/>
        <v>-1022.2863913043478</v>
      </c>
      <c r="H132" s="1" cm="1">
        <f t="array" aca="1" ref="H132" ca="1">MIN(
  INDEX($E:$E, MATCH($A132, $A:$A, 0) + 23) +
  (F132 * (2030 - 2023)),
  100
)</f>
        <v>21.195260869565217</v>
      </c>
      <c r="I13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3" spans="1:9" hidden="1" x14ac:dyDescent="0.35">
      <c r="A133" s="1" t="s">
        <v>42</v>
      </c>
      <c r="B133" s="1" t="s">
        <v>172</v>
      </c>
      <c r="C133" s="1" t="s">
        <v>34</v>
      </c>
      <c r="D133" s="3">
        <v>2011</v>
      </c>
      <c r="E133">
        <v>10.4</v>
      </c>
      <c r="F133" s="1">
        <f t="shared" ca="1" si="4"/>
        <v>0.51360869565217393</v>
      </c>
      <c r="G133" s="1">
        <f t="shared" ca="1" si="5"/>
        <v>-1022.2863913043478</v>
      </c>
      <c r="H133" s="1" cm="1">
        <f t="array" aca="1" ref="H133" ca="1">MIN(
  INDEX($E:$E, MATCH($A133, $A:$A, 0) + 23) +
  (F133 * (2030 - 2023)),
  100
)</f>
        <v>21.195260869565217</v>
      </c>
      <c r="I1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4" spans="1:9" hidden="1" x14ac:dyDescent="0.35">
      <c r="A134" s="1" t="s">
        <v>42</v>
      </c>
      <c r="B134" s="1" t="s">
        <v>172</v>
      </c>
      <c r="C134" s="1" t="s">
        <v>34</v>
      </c>
      <c r="D134" s="3">
        <v>2012</v>
      </c>
      <c r="E134">
        <v>11</v>
      </c>
      <c r="F134" s="1">
        <f t="shared" ca="1" si="4"/>
        <v>0.51360869565217393</v>
      </c>
      <c r="G134" s="1">
        <f t="shared" ca="1" si="5"/>
        <v>-1022.2863913043478</v>
      </c>
      <c r="H134" s="1" cm="1">
        <f t="array" aca="1" ref="H134" ca="1">MIN(
  INDEX($E:$E, MATCH($A134, $A:$A, 0) + 23) +
  (F134 * (2030 - 2023)),
  100
)</f>
        <v>21.195260869565217</v>
      </c>
      <c r="I1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5" spans="1:9" hidden="1" x14ac:dyDescent="0.35">
      <c r="A135" s="1" t="s">
        <v>42</v>
      </c>
      <c r="B135" s="1" t="s">
        <v>172</v>
      </c>
      <c r="C135" s="1" t="s">
        <v>34</v>
      </c>
      <c r="D135" s="3">
        <v>2013</v>
      </c>
      <c r="E135">
        <v>11.5</v>
      </c>
      <c r="F135" s="1">
        <f t="shared" ca="1" si="4"/>
        <v>0.51360869565217393</v>
      </c>
      <c r="G135" s="1">
        <f t="shared" ca="1" si="5"/>
        <v>-1022.2863913043478</v>
      </c>
      <c r="H135" s="1" cm="1">
        <f t="array" aca="1" ref="H135" ca="1">MIN(
  INDEX($E:$E, MATCH($A135, $A:$A, 0) + 23) +
  (F135 * (2030 - 2023)),
  100
)</f>
        <v>21.195260869565217</v>
      </c>
      <c r="I1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6" spans="1:9" hidden="1" x14ac:dyDescent="0.35">
      <c r="A136" s="1" t="s">
        <v>42</v>
      </c>
      <c r="B136" s="1" t="s">
        <v>172</v>
      </c>
      <c r="C136" s="1" t="s">
        <v>34</v>
      </c>
      <c r="D136" s="3">
        <v>2014</v>
      </c>
      <c r="E136">
        <v>12</v>
      </c>
      <c r="F136" s="1">
        <f t="shared" ca="1" si="4"/>
        <v>0.51360869565217393</v>
      </c>
      <c r="G136" s="1">
        <f t="shared" ca="1" si="5"/>
        <v>-1022.2863913043478</v>
      </c>
      <c r="H136" s="1" cm="1">
        <f t="array" aca="1" ref="H136" ca="1">MIN(
  INDEX($E:$E, MATCH($A136, $A:$A, 0) + 23) +
  (F136 * (2030 - 2023)),
  100
)</f>
        <v>21.195260869565217</v>
      </c>
      <c r="I1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7" spans="1:9" hidden="1" x14ac:dyDescent="0.35">
      <c r="A137" s="1" t="s">
        <v>42</v>
      </c>
      <c r="B137" s="1" t="s">
        <v>172</v>
      </c>
      <c r="C137" s="1" t="s">
        <v>34</v>
      </c>
      <c r="D137" s="3">
        <v>2015</v>
      </c>
      <c r="E137">
        <v>12.7</v>
      </c>
      <c r="F137" s="1">
        <f t="shared" ca="1" si="4"/>
        <v>0.51360869565217393</v>
      </c>
      <c r="G137" s="1">
        <f t="shared" ca="1" si="5"/>
        <v>-1022.2863913043478</v>
      </c>
      <c r="H137" s="1" cm="1">
        <f t="array" aca="1" ref="H137" ca="1">MIN(
  INDEX($E:$E, MATCH($A137, $A:$A, 0) + 23) +
  (F137 * (2030 - 2023)),
  100
)</f>
        <v>21.195260869565217</v>
      </c>
      <c r="I1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8" spans="1:9" hidden="1" x14ac:dyDescent="0.35">
      <c r="A138" s="1" t="s">
        <v>42</v>
      </c>
      <c r="B138" s="1" t="s">
        <v>172</v>
      </c>
      <c r="C138" s="1" t="s">
        <v>34</v>
      </c>
      <c r="D138" s="3">
        <v>2016</v>
      </c>
      <c r="E138">
        <v>13.4</v>
      </c>
      <c r="F138" s="1">
        <f t="shared" ca="1" si="4"/>
        <v>0.51360869565217393</v>
      </c>
      <c r="G138" s="1">
        <f t="shared" ca="1" si="5"/>
        <v>-1022.2863913043478</v>
      </c>
      <c r="H138" s="1" cm="1">
        <f t="array" aca="1" ref="H138" ca="1">MIN(
  INDEX($E:$E, MATCH($A138, $A:$A, 0) + 23) +
  (F138 * (2030 - 2023)),
  100
)</f>
        <v>21.195260869565217</v>
      </c>
      <c r="I13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39" spans="1:9" hidden="1" x14ac:dyDescent="0.35">
      <c r="A139" s="1" t="s">
        <v>42</v>
      </c>
      <c r="B139" s="1" t="s">
        <v>172</v>
      </c>
      <c r="C139" s="1" t="s">
        <v>34</v>
      </c>
      <c r="D139" s="3">
        <v>2017</v>
      </c>
      <c r="E139">
        <v>14.1</v>
      </c>
      <c r="F139" s="1">
        <f t="shared" ca="1" si="4"/>
        <v>0.51360869565217393</v>
      </c>
      <c r="G139" s="1">
        <f t="shared" ca="1" si="5"/>
        <v>-1022.2863913043478</v>
      </c>
      <c r="H139" s="1" cm="1">
        <f t="array" aca="1" ref="H139" ca="1">MIN(
  INDEX($E:$E, MATCH($A139, $A:$A, 0) + 23) +
  (F139 * (2030 - 2023)),
  100
)</f>
        <v>21.195260869565217</v>
      </c>
      <c r="I13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0" spans="1:9" hidden="1" x14ac:dyDescent="0.35">
      <c r="A140" s="1" t="s">
        <v>42</v>
      </c>
      <c r="B140" s="1" t="s">
        <v>172</v>
      </c>
      <c r="C140" s="1" t="s">
        <v>34</v>
      </c>
      <c r="D140" s="3">
        <v>2018</v>
      </c>
      <c r="E140">
        <v>14.6</v>
      </c>
      <c r="F140" s="1">
        <f t="shared" ca="1" si="4"/>
        <v>0.51360869565217393</v>
      </c>
      <c r="G140" s="1">
        <f t="shared" ca="1" si="5"/>
        <v>-1022.2863913043478</v>
      </c>
      <c r="H140" s="1" cm="1">
        <f t="array" aca="1" ref="H140" ca="1">MIN(
  INDEX($E:$E, MATCH($A140, $A:$A, 0) + 23) +
  (F140 * (2030 - 2023)),
  100
)</f>
        <v>21.195260869565217</v>
      </c>
      <c r="I14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1" spans="1:9" hidden="1" x14ac:dyDescent="0.35">
      <c r="A141" s="1" t="s">
        <v>42</v>
      </c>
      <c r="B141" s="1" t="s">
        <v>172</v>
      </c>
      <c r="C141" s="1" t="s">
        <v>34</v>
      </c>
      <c r="D141" s="3">
        <v>2019</v>
      </c>
      <c r="E141">
        <v>14.3</v>
      </c>
      <c r="F141" s="1">
        <f t="shared" ca="1" si="4"/>
        <v>0.51360869565217393</v>
      </c>
      <c r="G141" s="1">
        <f t="shared" ca="1" si="5"/>
        <v>-1022.2863913043478</v>
      </c>
      <c r="H141" s="1" cm="1">
        <f t="array" aca="1" ref="H141" ca="1">MIN(
  INDEX($E:$E, MATCH($A141, $A:$A, 0) + 23) +
  (F141 * (2030 - 2023)),
  100
)</f>
        <v>21.195260869565217</v>
      </c>
      <c r="I14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2" spans="1:9" hidden="1" x14ac:dyDescent="0.35">
      <c r="A142" s="1" t="s">
        <v>42</v>
      </c>
      <c r="B142" s="1" t="s">
        <v>172</v>
      </c>
      <c r="C142" s="1" t="s">
        <v>34</v>
      </c>
      <c r="D142" s="3">
        <v>2020</v>
      </c>
      <c r="E142">
        <v>15.4</v>
      </c>
      <c r="F142" s="1">
        <f t="shared" ca="1" si="4"/>
        <v>0.51360869565217393</v>
      </c>
      <c r="G142" s="1">
        <f t="shared" ca="1" si="5"/>
        <v>-1022.2863913043478</v>
      </c>
      <c r="H142" s="1" cm="1">
        <f t="array" aca="1" ref="H142" ca="1">MIN(
  INDEX($E:$E, MATCH($A142, $A:$A, 0) + 23) +
  (F142 * (2030 - 2023)),
  100
)</f>
        <v>21.195260869565217</v>
      </c>
      <c r="I14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3" spans="1:9" hidden="1" x14ac:dyDescent="0.35">
      <c r="A143" s="1" t="s">
        <v>42</v>
      </c>
      <c r="B143" s="1" t="s">
        <v>172</v>
      </c>
      <c r="C143" s="1" t="s">
        <v>34</v>
      </c>
      <c r="D143" s="3">
        <v>2021</v>
      </c>
      <c r="E143">
        <v>15.7</v>
      </c>
      <c r="F143" s="1">
        <f t="shared" ca="1" si="4"/>
        <v>0.51360869565217393</v>
      </c>
      <c r="G143" s="1">
        <f t="shared" ca="1" si="5"/>
        <v>-1022.2863913043478</v>
      </c>
      <c r="H143" s="1" cm="1">
        <f t="array" aca="1" ref="H143" ca="1">MIN(
  INDEX($E:$E, MATCH($A143, $A:$A, 0) + 23) +
  (F143 * (2030 - 2023)),
  100
)</f>
        <v>21.195260869565217</v>
      </c>
      <c r="I14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4" spans="1:9" hidden="1" x14ac:dyDescent="0.35">
      <c r="A144" s="1" t="s">
        <v>42</v>
      </c>
      <c r="B144" s="1" t="s">
        <v>172</v>
      </c>
      <c r="C144" s="1" t="s">
        <v>34</v>
      </c>
      <c r="D144" s="3">
        <v>2022</v>
      </c>
      <c r="E144">
        <v>15.7</v>
      </c>
      <c r="F144" s="1">
        <f t="shared" ca="1" si="4"/>
        <v>0.51360869565217393</v>
      </c>
      <c r="G144" s="1">
        <f t="shared" ca="1" si="5"/>
        <v>-1022.2863913043478</v>
      </c>
      <c r="H144" s="1" cm="1">
        <f t="array" aca="1" ref="H144" ca="1">MIN(
  INDEX($E:$E, MATCH($A144, $A:$A, 0) + 23) +
  (F144 * (2030 - 2023)),
  100
)</f>
        <v>21.195260869565217</v>
      </c>
      <c r="I14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5" spans="1:9" x14ac:dyDescent="0.35">
      <c r="A145" s="1" t="s">
        <v>42</v>
      </c>
      <c r="B145" s="1" t="s">
        <v>172</v>
      </c>
      <c r="C145" s="1" t="s">
        <v>34</v>
      </c>
      <c r="D145" s="3">
        <v>2023</v>
      </c>
      <c r="E145">
        <v>17.600000000000001</v>
      </c>
      <c r="F145" s="4">
        <f t="shared" ca="1" si="4"/>
        <v>0.51360869565217393</v>
      </c>
      <c r="G145" s="4">
        <f t="shared" ca="1" si="5"/>
        <v>-1022.2863913043478</v>
      </c>
      <c r="H145" s="4" cm="1">
        <f t="array" aca="1" ref="H145" ca="1">MIN(
  INDEX($E:$E, MATCH($A145, $A:$A, 0) + 23) +
  (F145 * (2030 - 2023)),
  100
)</f>
        <v>21.195260869565217</v>
      </c>
      <c r="I14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46" spans="1:9" hidden="1" x14ac:dyDescent="0.35">
      <c r="A146" s="1" t="s">
        <v>44</v>
      </c>
      <c r="B146" s="1" t="s">
        <v>172</v>
      </c>
      <c r="C146" s="1" t="s">
        <v>31</v>
      </c>
      <c r="D146" s="3">
        <v>2000</v>
      </c>
      <c r="E146">
        <v>41</v>
      </c>
      <c r="F146" s="1">
        <f t="shared" ca="1" si="4"/>
        <v>1.1878695652173914</v>
      </c>
      <c r="G146" s="1">
        <f t="shared" ca="1" si="5"/>
        <v>-2334.3037971014496</v>
      </c>
      <c r="H146" s="1" cm="1">
        <f t="array" aca="1" ref="H146" ca="1">MIN(
  INDEX($E:$E, MATCH($A146, $A:$A, 0) + 23) +
  (F146 * (2030 - 2023)),
  100
)</f>
        <v>80.315086956521739</v>
      </c>
      <c r="I14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47" spans="1:9" hidden="1" x14ac:dyDescent="0.35">
      <c r="A147" s="1" t="s">
        <v>44</v>
      </c>
      <c r="B147" s="1" t="s">
        <v>172</v>
      </c>
      <c r="C147" s="1" t="s">
        <v>31</v>
      </c>
      <c r="D147" s="3">
        <v>2001</v>
      </c>
      <c r="E147">
        <v>46.2</v>
      </c>
      <c r="F147" s="1">
        <f t="shared" ca="1" si="4"/>
        <v>1.1878695652173914</v>
      </c>
      <c r="G147" s="1">
        <f t="shared" ca="1" si="5"/>
        <v>-2334.3037971014496</v>
      </c>
      <c r="H147" s="1" cm="1">
        <f t="array" aca="1" ref="H147" ca="1">MIN(
  INDEX($E:$E, MATCH($A147, $A:$A, 0) + 23) +
  (F147 * (2030 - 2023)),
  100
)</f>
        <v>80.315086956521739</v>
      </c>
      <c r="I14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48" spans="1:9" hidden="1" x14ac:dyDescent="0.35">
      <c r="A148" s="1" t="s">
        <v>44</v>
      </c>
      <c r="B148" s="1" t="s">
        <v>172</v>
      </c>
      <c r="C148" s="1" t="s">
        <v>31</v>
      </c>
      <c r="D148" s="3">
        <v>2002</v>
      </c>
      <c r="E148">
        <v>44</v>
      </c>
      <c r="F148" s="1">
        <f t="shared" ca="1" si="4"/>
        <v>1.1878695652173914</v>
      </c>
      <c r="G148" s="1">
        <f t="shared" ca="1" si="5"/>
        <v>-2334.3037971014496</v>
      </c>
      <c r="H148" s="1" cm="1">
        <f t="array" aca="1" ref="H148" ca="1">MIN(
  INDEX($E:$E, MATCH($A148, $A:$A, 0) + 23) +
  (F148 * (2030 - 2023)),
  100
)</f>
        <v>80.315086956521739</v>
      </c>
      <c r="I14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49" spans="1:9" hidden="1" x14ac:dyDescent="0.35">
      <c r="A149" s="1" t="s">
        <v>44</v>
      </c>
      <c r="B149" s="1" t="s">
        <v>172</v>
      </c>
      <c r="C149" s="1" t="s">
        <v>31</v>
      </c>
      <c r="D149" s="3">
        <v>2003</v>
      </c>
      <c r="E149">
        <v>45.1</v>
      </c>
      <c r="F149" s="1">
        <f t="shared" ca="1" si="4"/>
        <v>1.1878695652173914</v>
      </c>
      <c r="G149" s="1">
        <f t="shared" ca="1" si="5"/>
        <v>-2334.3037971014496</v>
      </c>
      <c r="H149" s="1" cm="1">
        <f t="array" aca="1" ref="H149" ca="1">MIN(
  INDEX($E:$E, MATCH($A149, $A:$A, 0) + 23) +
  (F149 * (2030 - 2023)),
  100
)</f>
        <v>80.315086956521739</v>
      </c>
      <c r="I14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0" spans="1:9" hidden="1" x14ac:dyDescent="0.35">
      <c r="A150" s="1" t="s">
        <v>44</v>
      </c>
      <c r="B150" s="1" t="s">
        <v>172</v>
      </c>
      <c r="C150" s="1" t="s">
        <v>31</v>
      </c>
      <c r="D150" s="3">
        <v>2004</v>
      </c>
      <c r="E150">
        <v>47.1</v>
      </c>
      <c r="F150" s="1">
        <f t="shared" ca="1" si="4"/>
        <v>1.1878695652173914</v>
      </c>
      <c r="G150" s="1">
        <f t="shared" ca="1" si="5"/>
        <v>-2334.3037971014496</v>
      </c>
      <c r="H150" s="1" cm="1">
        <f t="array" aca="1" ref="H150" ca="1">MIN(
  INDEX($E:$E, MATCH($A150, $A:$A, 0) + 23) +
  (F150 * (2030 - 2023)),
  100
)</f>
        <v>80.315086956521739</v>
      </c>
      <c r="I15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1" spans="1:9" hidden="1" x14ac:dyDescent="0.35">
      <c r="A151" s="1" t="s">
        <v>44</v>
      </c>
      <c r="B151" s="1" t="s">
        <v>172</v>
      </c>
      <c r="C151" s="1" t="s">
        <v>31</v>
      </c>
      <c r="D151" s="3">
        <v>2005</v>
      </c>
      <c r="E151">
        <v>47.2</v>
      </c>
      <c r="F151" s="1">
        <f t="shared" ca="1" si="4"/>
        <v>1.1878695652173914</v>
      </c>
      <c r="G151" s="1">
        <f t="shared" ca="1" si="5"/>
        <v>-2334.3037971014496</v>
      </c>
      <c r="H151" s="1" cm="1">
        <f t="array" aca="1" ref="H151" ca="1">MIN(
  INDEX($E:$E, MATCH($A151, $A:$A, 0) + 23) +
  (F151 * (2030 - 2023)),
  100
)</f>
        <v>80.315086956521739</v>
      </c>
      <c r="I15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2" spans="1:9" hidden="1" x14ac:dyDescent="0.35">
      <c r="A152" s="1" t="s">
        <v>44</v>
      </c>
      <c r="B152" s="1" t="s">
        <v>172</v>
      </c>
      <c r="C152" s="1" t="s">
        <v>31</v>
      </c>
      <c r="D152" s="3">
        <v>2006</v>
      </c>
      <c r="E152">
        <v>49</v>
      </c>
      <c r="F152" s="1">
        <f t="shared" ca="1" si="4"/>
        <v>1.1878695652173914</v>
      </c>
      <c r="G152" s="1">
        <f t="shared" ca="1" si="5"/>
        <v>-2334.3037971014496</v>
      </c>
      <c r="H152" s="1" cm="1">
        <f t="array" aca="1" ref="H152" ca="1">MIN(
  INDEX($E:$E, MATCH($A152, $A:$A, 0) + 23) +
  (F152 * (2030 - 2023)),
  100
)</f>
        <v>80.315086956521739</v>
      </c>
      <c r="I15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3" spans="1:9" hidden="1" x14ac:dyDescent="0.35">
      <c r="A153" s="1" t="s">
        <v>44</v>
      </c>
      <c r="B153" s="1" t="s">
        <v>172</v>
      </c>
      <c r="C153" s="1" t="s">
        <v>31</v>
      </c>
      <c r="D153" s="3">
        <v>2007</v>
      </c>
      <c r="E153">
        <v>48.2</v>
      </c>
      <c r="F153" s="1">
        <f t="shared" ca="1" si="4"/>
        <v>1.1878695652173914</v>
      </c>
      <c r="G153" s="1">
        <f t="shared" ca="1" si="5"/>
        <v>-2334.3037971014496</v>
      </c>
      <c r="H153" s="1" cm="1">
        <f t="array" aca="1" ref="H153" ca="1">MIN(
  INDEX($E:$E, MATCH($A153, $A:$A, 0) + 23) +
  (F153 * (2030 - 2023)),
  100
)</f>
        <v>80.315086956521739</v>
      </c>
      <c r="I15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4" spans="1:9" hidden="1" x14ac:dyDescent="0.35">
      <c r="A154" s="1" t="s">
        <v>44</v>
      </c>
      <c r="B154" s="1" t="s">
        <v>172</v>
      </c>
      <c r="C154" s="1" t="s">
        <v>31</v>
      </c>
      <c r="D154" s="3">
        <v>2008</v>
      </c>
      <c r="E154">
        <v>50.6</v>
      </c>
      <c r="F154" s="1">
        <f t="shared" ca="1" si="4"/>
        <v>1.1878695652173914</v>
      </c>
      <c r="G154" s="1">
        <f t="shared" ca="1" si="5"/>
        <v>-2334.3037971014496</v>
      </c>
      <c r="H154" s="1" cm="1">
        <f t="array" aca="1" ref="H154" ca="1">MIN(
  INDEX($E:$E, MATCH($A154, $A:$A, 0) + 23) +
  (F154 * (2030 - 2023)),
  100
)</f>
        <v>80.315086956521739</v>
      </c>
      <c r="I15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5" spans="1:9" hidden="1" x14ac:dyDescent="0.35">
      <c r="A155" s="1" t="s">
        <v>44</v>
      </c>
      <c r="B155" s="1" t="s">
        <v>172</v>
      </c>
      <c r="C155" s="1" t="s">
        <v>31</v>
      </c>
      <c r="D155" s="3">
        <v>2009</v>
      </c>
      <c r="E155">
        <v>51.7</v>
      </c>
      <c r="F155" s="1">
        <f t="shared" ca="1" si="4"/>
        <v>1.1878695652173914</v>
      </c>
      <c r="G155" s="1">
        <f t="shared" ca="1" si="5"/>
        <v>-2334.3037971014496</v>
      </c>
      <c r="H155" s="1" cm="1">
        <f t="array" aca="1" ref="H155" ca="1">MIN(
  INDEX($E:$E, MATCH($A155, $A:$A, 0) + 23) +
  (F155 * (2030 - 2023)),
  100
)</f>
        <v>80.315086956521739</v>
      </c>
      <c r="I15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6" spans="1:9" hidden="1" x14ac:dyDescent="0.35">
      <c r="A156" s="1" t="s">
        <v>44</v>
      </c>
      <c r="B156" s="1" t="s">
        <v>172</v>
      </c>
      <c r="C156" s="1" t="s">
        <v>31</v>
      </c>
      <c r="D156" s="3">
        <v>2010</v>
      </c>
      <c r="E156">
        <v>52.8</v>
      </c>
      <c r="F156" s="1">
        <f t="shared" ca="1" si="4"/>
        <v>1.1878695652173914</v>
      </c>
      <c r="G156" s="1">
        <f t="shared" ca="1" si="5"/>
        <v>-2334.3037971014496</v>
      </c>
      <c r="H156" s="1" cm="1">
        <f t="array" aca="1" ref="H156" ca="1">MIN(
  INDEX($E:$E, MATCH($A156, $A:$A, 0) + 23) +
  (F156 * (2030 - 2023)),
  100
)</f>
        <v>80.315086956521739</v>
      </c>
      <c r="I15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7" spans="1:9" hidden="1" x14ac:dyDescent="0.35">
      <c r="A157" s="1" t="s">
        <v>44</v>
      </c>
      <c r="B157" s="1" t="s">
        <v>172</v>
      </c>
      <c r="C157" s="1" t="s">
        <v>31</v>
      </c>
      <c r="D157" s="3">
        <v>2011</v>
      </c>
      <c r="E157">
        <v>53.7</v>
      </c>
      <c r="F157" s="1">
        <f t="shared" ca="1" si="4"/>
        <v>1.1878695652173914</v>
      </c>
      <c r="G157" s="1">
        <f t="shared" ca="1" si="5"/>
        <v>-2334.3037971014496</v>
      </c>
      <c r="H157" s="1" cm="1">
        <f t="array" aca="1" ref="H157" ca="1">MIN(
  INDEX($E:$E, MATCH($A157, $A:$A, 0) + 23) +
  (F157 * (2030 - 2023)),
  100
)</f>
        <v>80.315086956521739</v>
      </c>
      <c r="I15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8" spans="1:9" hidden="1" x14ac:dyDescent="0.35">
      <c r="A158" s="1" t="s">
        <v>44</v>
      </c>
      <c r="B158" s="1" t="s">
        <v>172</v>
      </c>
      <c r="C158" s="1" t="s">
        <v>31</v>
      </c>
      <c r="D158" s="3">
        <v>2012</v>
      </c>
      <c r="E158">
        <v>55.2</v>
      </c>
      <c r="F158" s="1">
        <f t="shared" ca="1" si="4"/>
        <v>1.1878695652173914</v>
      </c>
      <c r="G158" s="1">
        <f t="shared" ca="1" si="5"/>
        <v>-2334.3037971014496</v>
      </c>
      <c r="H158" s="1" cm="1">
        <f t="array" aca="1" ref="H158" ca="1">MIN(
  INDEX($E:$E, MATCH($A158, $A:$A, 0) + 23) +
  (F158 * (2030 - 2023)),
  100
)</f>
        <v>80.315086956521739</v>
      </c>
      <c r="I15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59" spans="1:9" hidden="1" x14ac:dyDescent="0.35">
      <c r="A159" s="1" t="s">
        <v>44</v>
      </c>
      <c r="B159" s="1" t="s">
        <v>172</v>
      </c>
      <c r="C159" s="1" t="s">
        <v>31</v>
      </c>
      <c r="D159" s="3">
        <v>2013</v>
      </c>
      <c r="E159">
        <v>56.3</v>
      </c>
      <c r="F159" s="1">
        <f t="shared" ca="1" si="4"/>
        <v>1.1878695652173914</v>
      </c>
      <c r="G159" s="1">
        <f t="shared" ca="1" si="5"/>
        <v>-2334.3037971014496</v>
      </c>
      <c r="H159" s="1" cm="1">
        <f t="array" aca="1" ref="H159" ca="1">MIN(
  INDEX($E:$E, MATCH($A159, $A:$A, 0) + 23) +
  (F159 * (2030 - 2023)),
  100
)</f>
        <v>80.315086956521739</v>
      </c>
      <c r="I15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0" spans="1:9" hidden="1" x14ac:dyDescent="0.35">
      <c r="A160" s="1" t="s">
        <v>44</v>
      </c>
      <c r="B160" s="1" t="s">
        <v>172</v>
      </c>
      <c r="C160" s="1" t="s">
        <v>31</v>
      </c>
      <c r="D160" s="3">
        <v>2014</v>
      </c>
      <c r="E160">
        <v>56.8</v>
      </c>
      <c r="F160" s="1">
        <f t="shared" ca="1" si="4"/>
        <v>1.1878695652173914</v>
      </c>
      <c r="G160" s="1">
        <f t="shared" ca="1" si="5"/>
        <v>-2334.3037971014496</v>
      </c>
      <c r="H160" s="1" cm="1">
        <f t="array" aca="1" ref="H160" ca="1">MIN(
  INDEX($E:$E, MATCH($A160, $A:$A, 0) + 23) +
  (F160 * (2030 - 2023)),
  100
)</f>
        <v>80.315086956521739</v>
      </c>
      <c r="I16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1" spans="1:9" hidden="1" x14ac:dyDescent="0.35">
      <c r="A161" s="1" t="s">
        <v>44</v>
      </c>
      <c r="B161" s="1" t="s">
        <v>172</v>
      </c>
      <c r="C161" s="1" t="s">
        <v>31</v>
      </c>
      <c r="D161" s="3">
        <v>2015</v>
      </c>
      <c r="E161">
        <v>58.6</v>
      </c>
      <c r="F161" s="1">
        <f t="shared" ca="1" si="4"/>
        <v>1.1878695652173914</v>
      </c>
      <c r="G161" s="1">
        <f t="shared" ca="1" si="5"/>
        <v>-2334.3037971014496</v>
      </c>
      <c r="H161" s="1" cm="1">
        <f t="array" aca="1" ref="H161" ca="1">MIN(
  INDEX($E:$E, MATCH($A161, $A:$A, 0) + 23) +
  (F161 * (2030 - 2023)),
  100
)</f>
        <v>80.315086956521739</v>
      </c>
      <c r="I16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2" spans="1:9" hidden="1" x14ac:dyDescent="0.35">
      <c r="A162" s="1" t="s">
        <v>44</v>
      </c>
      <c r="B162" s="1" t="s">
        <v>172</v>
      </c>
      <c r="C162" s="1" t="s">
        <v>31</v>
      </c>
      <c r="D162" s="3">
        <v>2016</v>
      </c>
      <c r="E162">
        <v>59.8</v>
      </c>
      <c r="F162" s="1">
        <f t="shared" ca="1" si="4"/>
        <v>1.1878695652173914</v>
      </c>
      <c r="G162" s="1">
        <f t="shared" ca="1" si="5"/>
        <v>-2334.3037971014496</v>
      </c>
      <c r="H162" s="1" cm="1">
        <f t="array" aca="1" ref="H162" ca="1">MIN(
  INDEX($E:$E, MATCH($A162, $A:$A, 0) + 23) +
  (F162 * (2030 - 2023)),
  100
)</f>
        <v>80.315086956521739</v>
      </c>
      <c r="I16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3" spans="1:9" hidden="1" x14ac:dyDescent="0.35">
      <c r="A163" s="1" t="s">
        <v>44</v>
      </c>
      <c r="B163" s="1" t="s">
        <v>172</v>
      </c>
      <c r="C163" s="1" t="s">
        <v>31</v>
      </c>
      <c r="D163" s="3">
        <v>2017</v>
      </c>
      <c r="E163">
        <v>60.9</v>
      </c>
      <c r="F163" s="1">
        <f t="shared" ca="1" si="4"/>
        <v>1.1878695652173914</v>
      </c>
      <c r="G163" s="1">
        <f t="shared" ca="1" si="5"/>
        <v>-2334.3037971014496</v>
      </c>
      <c r="H163" s="1" cm="1">
        <f t="array" aca="1" ref="H163" ca="1">MIN(
  INDEX($E:$E, MATCH($A163, $A:$A, 0) + 23) +
  (F163 * (2030 - 2023)),
  100
)</f>
        <v>80.315086956521739</v>
      </c>
      <c r="I16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4" spans="1:9" hidden="1" x14ac:dyDescent="0.35">
      <c r="A164" s="1" t="s">
        <v>44</v>
      </c>
      <c r="B164" s="1" t="s">
        <v>172</v>
      </c>
      <c r="C164" s="1" t="s">
        <v>31</v>
      </c>
      <c r="D164" s="3">
        <v>2018</v>
      </c>
      <c r="E164">
        <v>62.2</v>
      </c>
      <c r="F164" s="1">
        <f t="shared" ca="1" si="4"/>
        <v>1.1878695652173914</v>
      </c>
      <c r="G164" s="1">
        <f t="shared" ca="1" si="5"/>
        <v>-2334.3037971014496</v>
      </c>
      <c r="H164" s="1" cm="1">
        <f t="array" aca="1" ref="H164" ca="1">MIN(
  INDEX($E:$E, MATCH($A164, $A:$A, 0) + 23) +
  (F164 * (2030 - 2023)),
  100
)</f>
        <v>80.315086956521739</v>
      </c>
      <c r="I16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5" spans="1:9" hidden="1" x14ac:dyDescent="0.35">
      <c r="A165" s="1" t="s">
        <v>44</v>
      </c>
      <c r="B165" s="1" t="s">
        <v>172</v>
      </c>
      <c r="C165" s="1" t="s">
        <v>31</v>
      </c>
      <c r="D165" s="3">
        <v>2019</v>
      </c>
      <c r="E165">
        <v>63.2</v>
      </c>
      <c r="F165" s="1">
        <f t="shared" ca="1" si="4"/>
        <v>1.1878695652173914</v>
      </c>
      <c r="G165" s="1">
        <f t="shared" ca="1" si="5"/>
        <v>-2334.3037971014496</v>
      </c>
      <c r="H165" s="1" cm="1">
        <f t="array" aca="1" ref="H165" ca="1">MIN(
  INDEX($E:$E, MATCH($A165, $A:$A, 0) + 23) +
  (F165 * (2030 - 2023)),
  100
)</f>
        <v>80.315086956521739</v>
      </c>
      <c r="I16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6" spans="1:9" hidden="1" x14ac:dyDescent="0.35">
      <c r="A166" s="1" t="s">
        <v>44</v>
      </c>
      <c r="B166" s="1" t="s">
        <v>172</v>
      </c>
      <c r="C166" s="1" t="s">
        <v>31</v>
      </c>
      <c r="D166" s="3">
        <v>2020</v>
      </c>
      <c r="E166">
        <v>64.3</v>
      </c>
      <c r="F166" s="1">
        <f t="shared" ca="1" si="4"/>
        <v>1.1878695652173914</v>
      </c>
      <c r="G166" s="1">
        <f t="shared" ca="1" si="5"/>
        <v>-2334.3037971014496</v>
      </c>
      <c r="H166" s="1" cm="1">
        <f t="array" aca="1" ref="H166" ca="1">MIN(
  INDEX($E:$E, MATCH($A166, $A:$A, 0) + 23) +
  (F166 * (2030 - 2023)),
  100
)</f>
        <v>80.315086956521739</v>
      </c>
      <c r="I16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7" spans="1:9" hidden="1" x14ac:dyDescent="0.35">
      <c r="A167" s="1" t="s">
        <v>44</v>
      </c>
      <c r="B167" s="1" t="s">
        <v>172</v>
      </c>
      <c r="C167" s="1" t="s">
        <v>31</v>
      </c>
      <c r="D167" s="3">
        <v>2021</v>
      </c>
      <c r="E167">
        <v>65.400000000000006</v>
      </c>
      <c r="F167" s="1">
        <f t="shared" ca="1" si="4"/>
        <v>1.1878695652173914</v>
      </c>
      <c r="G167" s="1">
        <f t="shared" ca="1" si="5"/>
        <v>-2334.3037971014496</v>
      </c>
      <c r="H167" s="1" cm="1">
        <f t="array" aca="1" ref="H167" ca="1">MIN(
  INDEX($E:$E, MATCH($A167, $A:$A, 0) + 23) +
  (F167 * (2030 - 2023)),
  100
)</f>
        <v>80.315086956521739</v>
      </c>
      <c r="I16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8" spans="1:9" hidden="1" x14ac:dyDescent="0.35">
      <c r="A168" s="1" t="s">
        <v>44</v>
      </c>
      <c r="B168" s="1" t="s">
        <v>172</v>
      </c>
      <c r="C168" s="1" t="s">
        <v>31</v>
      </c>
      <c r="D168" s="3">
        <v>2022</v>
      </c>
      <c r="E168">
        <v>71</v>
      </c>
      <c r="F168" s="1">
        <f t="shared" ca="1" si="4"/>
        <v>1.1878695652173914</v>
      </c>
      <c r="G168" s="1">
        <f t="shared" ca="1" si="5"/>
        <v>-2334.3037971014496</v>
      </c>
      <c r="H168" s="1" cm="1">
        <f t="array" aca="1" ref="H168" ca="1">MIN(
  INDEX($E:$E, MATCH($A168, $A:$A, 0) + 23) +
  (F168 * (2030 - 2023)),
  100
)</f>
        <v>80.315086956521739</v>
      </c>
      <c r="I16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69" spans="1:9" x14ac:dyDescent="0.35">
      <c r="A169" s="1" t="s">
        <v>44</v>
      </c>
      <c r="B169" s="1" t="s">
        <v>172</v>
      </c>
      <c r="C169" s="1" t="s">
        <v>31</v>
      </c>
      <c r="D169" s="3">
        <v>2023</v>
      </c>
      <c r="E169">
        <v>72</v>
      </c>
      <c r="F169" s="4">
        <f t="shared" ca="1" si="4"/>
        <v>1.1878695652173914</v>
      </c>
      <c r="G169" s="4">
        <f t="shared" ca="1" si="5"/>
        <v>-2334.3037971014496</v>
      </c>
      <c r="H169" s="4" cm="1">
        <f t="array" aca="1" ref="H169" ca="1">MIN(
  INDEX($E:$E, MATCH($A169, $A:$A, 0) + 23) +
  (F169 * (2030 - 2023)),
  100
)</f>
        <v>80.315086956521739</v>
      </c>
      <c r="I16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70" spans="1:9" hidden="1" x14ac:dyDescent="0.35">
      <c r="A170" s="1" t="s">
        <v>46</v>
      </c>
      <c r="B170" s="1" t="s">
        <v>174</v>
      </c>
      <c r="C170" s="1" t="s">
        <v>31</v>
      </c>
      <c r="D170" s="3">
        <v>2000</v>
      </c>
      <c r="E170">
        <v>39.799999999999997</v>
      </c>
      <c r="F170" s="1">
        <f t="shared" ca="1" si="4"/>
        <v>2.2559999999999998</v>
      </c>
      <c r="G170" s="1">
        <f t="shared" ca="1" si="5"/>
        <v>-4471.4606666666659</v>
      </c>
      <c r="H170" s="1" cm="1">
        <f t="array" aca="1" ref="H170" ca="1">MIN(
  INDEX($E:$E, MATCH($A170, $A:$A, 0) + 23) +
  (F170 * (2030 - 2023)),
  100
)</f>
        <v>100</v>
      </c>
      <c r="I17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1" spans="1:9" hidden="1" x14ac:dyDescent="0.35">
      <c r="A171" s="1" t="s">
        <v>46</v>
      </c>
      <c r="B171" s="1" t="s">
        <v>174</v>
      </c>
      <c r="C171" s="1" t="s">
        <v>31</v>
      </c>
      <c r="D171" s="3">
        <v>2001</v>
      </c>
      <c r="E171">
        <v>42</v>
      </c>
      <c r="F171" s="1">
        <f t="shared" ca="1" si="4"/>
        <v>2.2559999999999998</v>
      </c>
      <c r="G171" s="1">
        <f t="shared" ca="1" si="5"/>
        <v>-4471.4606666666659</v>
      </c>
      <c r="H171" s="1" cm="1">
        <f t="array" aca="1" ref="H171" ca="1">MIN(
  INDEX($E:$E, MATCH($A171, $A:$A, 0) + 23) +
  (F171 * (2030 - 2023)),
  100
)</f>
        <v>100</v>
      </c>
      <c r="I17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2" spans="1:9" hidden="1" x14ac:dyDescent="0.35">
      <c r="A172" s="1" t="s">
        <v>46</v>
      </c>
      <c r="B172" s="1" t="s">
        <v>174</v>
      </c>
      <c r="C172" s="1" t="s">
        <v>31</v>
      </c>
      <c r="D172" s="3">
        <v>2002</v>
      </c>
      <c r="E172">
        <v>44.8</v>
      </c>
      <c r="F172" s="1">
        <f t="shared" ca="1" si="4"/>
        <v>2.2559999999999998</v>
      </c>
      <c r="G172" s="1">
        <f t="shared" ca="1" si="5"/>
        <v>-4471.4606666666659</v>
      </c>
      <c r="H172" s="1" cm="1">
        <f t="array" aca="1" ref="H172" ca="1">MIN(
  INDEX($E:$E, MATCH($A172, $A:$A, 0) + 23) +
  (F172 * (2030 - 2023)),
  100
)</f>
        <v>100</v>
      </c>
      <c r="I17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3" spans="1:9" hidden="1" x14ac:dyDescent="0.35">
      <c r="A173" s="1" t="s">
        <v>46</v>
      </c>
      <c r="B173" s="1" t="s">
        <v>174</v>
      </c>
      <c r="C173" s="1" t="s">
        <v>31</v>
      </c>
      <c r="D173" s="3">
        <v>2003</v>
      </c>
      <c r="E173">
        <v>46.5</v>
      </c>
      <c r="F173" s="1">
        <f t="shared" ca="1" si="4"/>
        <v>2.2559999999999998</v>
      </c>
      <c r="G173" s="1">
        <f t="shared" ca="1" si="5"/>
        <v>-4471.4606666666659</v>
      </c>
      <c r="H173" s="1" cm="1">
        <f t="array" aca="1" ref="H173" ca="1">MIN(
  INDEX($E:$E, MATCH($A173, $A:$A, 0) + 23) +
  (F173 * (2030 - 2023)),
  100
)</f>
        <v>100</v>
      </c>
      <c r="I17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4" spans="1:9" hidden="1" x14ac:dyDescent="0.35">
      <c r="A174" s="1" t="s">
        <v>46</v>
      </c>
      <c r="B174" s="1" t="s">
        <v>174</v>
      </c>
      <c r="C174" s="1" t="s">
        <v>31</v>
      </c>
      <c r="D174" s="3">
        <v>2004</v>
      </c>
      <c r="E174">
        <v>48.7</v>
      </c>
      <c r="F174" s="1">
        <f t="shared" ca="1" si="4"/>
        <v>2.2559999999999998</v>
      </c>
      <c r="G174" s="1">
        <f t="shared" ca="1" si="5"/>
        <v>-4471.4606666666659</v>
      </c>
      <c r="H174" s="1" cm="1">
        <f t="array" aca="1" ref="H174" ca="1">MIN(
  INDEX($E:$E, MATCH($A174, $A:$A, 0) + 23) +
  (F174 * (2030 - 2023)),
  100
)</f>
        <v>100</v>
      </c>
      <c r="I17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5" spans="1:9" hidden="1" x14ac:dyDescent="0.35">
      <c r="A175" s="1" t="s">
        <v>46</v>
      </c>
      <c r="B175" s="1" t="s">
        <v>174</v>
      </c>
      <c r="C175" s="1" t="s">
        <v>31</v>
      </c>
      <c r="D175" s="3">
        <v>2005</v>
      </c>
      <c r="E175">
        <v>51</v>
      </c>
      <c r="F175" s="1">
        <f t="shared" ca="1" si="4"/>
        <v>2.2559999999999998</v>
      </c>
      <c r="G175" s="1">
        <f t="shared" ca="1" si="5"/>
        <v>-4471.4606666666659</v>
      </c>
      <c r="H175" s="1" cm="1">
        <f t="array" aca="1" ref="H175" ca="1">MIN(
  INDEX($E:$E, MATCH($A175, $A:$A, 0) + 23) +
  (F175 * (2030 - 2023)),
  100
)</f>
        <v>100</v>
      </c>
      <c r="I17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6" spans="1:9" hidden="1" x14ac:dyDescent="0.35">
      <c r="A176" s="1" t="s">
        <v>46</v>
      </c>
      <c r="B176" s="1" t="s">
        <v>174</v>
      </c>
      <c r="C176" s="1" t="s">
        <v>31</v>
      </c>
      <c r="D176" s="3">
        <v>2006</v>
      </c>
      <c r="E176">
        <v>53.2</v>
      </c>
      <c r="F176" s="1">
        <f t="shared" ca="1" si="4"/>
        <v>2.2559999999999998</v>
      </c>
      <c r="G176" s="1">
        <f t="shared" ca="1" si="5"/>
        <v>-4471.4606666666659</v>
      </c>
      <c r="H176" s="1" cm="1">
        <f t="array" aca="1" ref="H176" ca="1">MIN(
  INDEX($E:$E, MATCH($A176, $A:$A, 0) + 23) +
  (F176 * (2030 - 2023)),
  100
)</f>
        <v>100</v>
      </c>
      <c r="I17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7" spans="1:9" hidden="1" x14ac:dyDescent="0.35">
      <c r="A177" s="1" t="s">
        <v>46</v>
      </c>
      <c r="B177" s="1" t="s">
        <v>174</v>
      </c>
      <c r="C177" s="1" t="s">
        <v>31</v>
      </c>
      <c r="D177" s="3">
        <v>2007</v>
      </c>
      <c r="E177">
        <v>55.5</v>
      </c>
      <c r="F177" s="1">
        <f t="shared" ca="1" si="4"/>
        <v>2.2559999999999998</v>
      </c>
      <c r="G177" s="1">
        <f t="shared" ca="1" si="5"/>
        <v>-4471.4606666666659</v>
      </c>
      <c r="H177" s="1" cm="1">
        <f t="array" aca="1" ref="H177" ca="1">MIN(
  INDEX($E:$E, MATCH($A177, $A:$A, 0) + 23) +
  (F177 * (2030 - 2023)),
  100
)</f>
        <v>100</v>
      </c>
      <c r="I17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8" spans="1:9" hidden="1" x14ac:dyDescent="0.35">
      <c r="A178" s="1" t="s">
        <v>46</v>
      </c>
      <c r="B178" s="1" t="s">
        <v>174</v>
      </c>
      <c r="C178" s="1" t="s">
        <v>31</v>
      </c>
      <c r="D178" s="3">
        <v>2008</v>
      </c>
      <c r="E178">
        <v>57.8</v>
      </c>
      <c r="F178" s="1">
        <f t="shared" ca="1" si="4"/>
        <v>2.2559999999999998</v>
      </c>
      <c r="G178" s="1">
        <f t="shared" ca="1" si="5"/>
        <v>-4471.4606666666659</v>
      </c>
      <c r="H178" s="1" cm="1">
        <f t="array" aca="1" ref="H178" ca="1">MIN(
  INDEX($E:$E, MATCH($A178, $A:$A, 0) + 23) +
  (F178 * (2030 - 2023)),
  100
)</f>
        <v>100</v>
      </c>
      <c r="I17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79" spans="1:9" hidden="1" x14ac:dyDescent="0.35">
      <c r="A179" s="1" t="s">
        <v>46</v>
      </c>
      <c r="B179" s="1" t="s">
        <v>174</v>
      </c>
      <c r="C179" s="1" t="s">
        <v>31</v>
      </c>
      <c r="D179" s="3">
        <v>2009</v>
      </c>
      <c r="E179">
        <v>60.1</v>
      </c>
      <c r="F179" s="1">
        <f t="shared" ca="1" si="4"/>
        <v>2.2559999999999998</v>
      </c>
      <c r="G179" s="1">
        <f t="shared" ca="1" si="5"/>
        <v>-4471.4606666666659</v>
      </c>
      <c r="H179" s="1" cm="1">
        <f t="array" aca="1" ref="H179" ca="1">MIN(
  INDEX($E:$E, MATCH($A179, $A:$A, 0) + 23) +
  (F179 * (2030 - 2023)),
  100
)</f>
        <v>100</v>
      </c>
      <c r="I17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0" spans="1:9" hidden="1" x14ac:dyDescent="0.35">
      <c r="A180" s="1" t="s">
        <v>46</v>
      </c>
      <c r="B180" s="1" t="s">
        <v>174</v>
      </c>
      <c r="C180" s="1" t="s">
        <v>31</v>
      </c>
      <c r="D180" s="3">
        <v>2010</v>
      </c>
      <c r="E180">
        <v>69.7</v>
      </c>
      <c r="F180" s="1">
        <f t="shared" ca="1" si="4"/>
        <v>2.2559999999999998</v>
      </c>
      <c r="G180" s="1">
        <f t="shared" ca="1" si="5"/>
        <v>-4471.4606666666659</v>
      </c>
      <c r="H180" s="1" cm="1">
        <f t="array" aca="1" ref="H180" ca="1">MIN(
  INDEX($E:$E, MATCH($A180, $A:$A, 0) + 23) +
  (F180 * (2030 - 2023)),
  100
)</f>
        <v>100</v>
      </c>
      <c r="I18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1" spans="1:9" hidden="1" x14ac:dyDescent="0.35">
      <c r="A181" s="1" t="s">
        <v>46</v>
      </c>
      <c r="B181" s="1" t="s">
        <v>174</v>
      </c>
      <c r="C181" s="1" t="s">
        <v>31</v>
      </c>
      <c r="D181" s="3">
        <v>2011</v>
      </c>
      <c r="E181">
        <v>69.3</v>
      </c>
      <c r="F181" s="1">
        <f t="shared" ca="1" si="4"/>
        <v>2.2559999999999998</v>
      </c>
      <c r="G181" s="1">
        <f t="shared" ca="1" si="5"/>
        <v>-4471.4606666666659</v>
      </c>
      <c r="H181" s="1" cm="1">
        <f t="array" aca="1" ref="H181" ca="1">MIN(
  INDEX($E:$E, MATCH($A181, $A:$A, 0) + 23) +
  (F181 * (2030 - 2023)),
  100
)</f>
        <v>100</v>
      </c>
      <c r="I18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2" spans="1:9" hidden="1" x14ac:dyDescent="0.35">
      <c r="A182" s="1" t="s">
        <v>46</v>
      </c>
      <c r="B182" s="1" t="s">
        <v>174</v>
      </c>
      <c r="C182" s="1" t="s">
        <v>31</v>
      </c>
      <c r="D182" s="3">
        <v>2012</v>
      </c>
      <c r="E182">
        <v>69.3</v>
      </c>
      <c r="F182" s="1">
        <f t="shared" ca="1" si="4"/>
        <v>2.2559999999999998</v>
      </c>
      <c r="G182" s="1">
        <f t="shared" ca="1" si="5"/>
        <v>-4471.4606666666659</v>
      </c>
      <c r="H182" s="1" cm="1">
        <f t="array" aca="1" ref="H182" ca="1">MIN(
  INDEX($E:$E, MATCH($A182, $A:$A, 0) + 23) +
  (F182 * (2030 - 2023)),
  100
)</f>
        <v>100</v>
      </c>
      <c r="I18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3" spans="1:9" hidden="1" x14ac:dyDescent="0.35">
      <c r="A183" s="1" t="s">
        <v>46</v>
      </c>
      <c r="B183" s="1" t="s">
        <v>174</v>
      </c>
      <c r="C183" s="1" t="s">
        <v>31</v>
      </c>
      <c r="D183" s="3">
        <v>2013</v>
      </c>
      <c r="E183">
        <v>69.400000000000006</v>
      </c>
      <c r="F183" s="1">
        <f t="shared" ca="1" si="4"/>
        <v>2.2559999999999998</v>
      </c>
      <c r="G183" s="1">
        <f t="shared" ca="1" si="5"/>
        <v>-4471.4606666666659</v>
      </c>
      <c r="H183" s="1" cm="1">
        <f t="array" aca="1" ref="H183" ca="1">MIN(
  INDEX($E:$E, MATCH($A183, $A:$A, 0) + 23) +
  (F183 * (2030 - 2023)),
  100
)</f>
        <v>100</v>
      </c>
      <c r="I18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4" spans="1:9" hidden="1" x14ac:dyDescent="0.35">
      <c r="A184" s="1" t="s">
        <v>46</v>
      </c>
      <c r="B184" s="1" t="s">
        <v>174</v>
      </c>
      <c r="C184" s="1" t="s">
        <v>31</v>
      </c>
      <c r="D184" s="3">
        <v>2014</v>
      </c>
      <c r="E184">
        <v>71.8</v>
      </c>
      <c r="F184" s="1">
        <f t="shared" ca="1" si="4"/>
        <v>2.2559999999999998</v>
      </c>
      <c r="G184" s="1">
        <f t="shared" ca="1" si="5"/>
        <v>-4471.4606666666659</v>
      </c>
      <c r="H184" s="1" cm="1">
        <f t="array" aca="1" ref="H184" ca="1">MIN(
  INDEX($E:$E, MATCH($A184, $A:$A, 0) + 23) +
  (F184 * (2030 - 2023)),
  100
)</f>
        <v>100</v>
      </c>
      <c r="I18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5" spans="1:9" hidden="1" x14ac:dyDescent="0.35">
      <c r="A185" s="1" t="s">
        <v>46</v>
      </c>
      <c r="B185" s="1" t="s">
        <v>174</v>
      </c>
      <c r="C185" s="1" t="s">
        <v>31</v>
      </c>
      <c r="D185" s="3">
        <v>2015</v>
      </c>
      <c r="E185">
        <v>74.099999999999994</v>
      </c>
      <c r="F185" s="1">
        <f t="shared" ca="1" si="4"/>
        <v>2.2559999999999998</v>
      </c>
      <c r="G185" s="1">
        <f t="shared" ca="1" si="5"/>
        <v>-4471.4606666666659</v>
      </c>
      <c r="H185" s="1" cm="1">
        <f t="array" aca="1" ref="H185" ca="1">MIN(
  INDEX($E:$E, MATCH($A185, $A:$A, 0) + 23) +
  (F185 * (2030 - 2023)),
  100
)</f>
        <v>100</v>
      </c>
      <c r="I18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6" spans="1:9" hidden="1" x14ac:dyDescent="0.35">
      <c r="A186" s="1" t="s">
        <v>46</v>
      </c>
      <c r="B186" s="1" t="s">
        <v>174</v>
      </c>
      <c r="C186" s="1" t="s">
        <v>31</v>
      </c>
      <c r="D186" s="3">
        <v>2016</v>
      </c>
      <c r="E186">
        <v>76.400000000000006</v>
      </c>
      <c r="F186" s="1">
        <f t="shared" ca="1" si="4"/>
        <v>2.2559999999999998</v>
      </c>
      <c r="G186" s="1">
        <f t="shared" ca="1" si="5"/>
        <v>-4471.4606666666659</v>
      </c>
      <c r="H186" s="1" cm="1">
        <f t="array" aca="1" ref="H186" ca="1">MIN(
  INDEX($E:$E, MATCH($A186, $A:$A, 0) + 23) +
  (F186 * (2030 - 2023)),
  100
)</f>
        <v>100</v>
      </c>
      <c r="I18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7" spans="1:9" hidden="1" x14ac:dyDescent="0.35">
      <c r="A187" s="1" t="s">
        <v>46</v>
      </c>
      <c r="B187" s="1" t="s">
        <v>174</v>
      </c>
      <c r="C187" s="1" t="s">
        <v>31</v>
      </c>
      <c r="D187" s="3">
        <v>2017</v>
      </c>
      <c r="E187">
        <v>78.7</v>
      </c>
      <c r="F187" s="1">
        <f t="shared" ca="1" si="4"/>
        <v>2.2559999999999998</v>
      </c>
      <c r="G187" s="1">
        <f t="shared" ca="1" si="5"/>
        <v>-4471.4606666666659</v>
      </c>
      <c r="H187" s="1" cm="1">
        <f t="array" aca="1" ref="H187" ca="1">MIN(
  INDEX($E:$E, MATCH($A187, $A:$A, 0) + 23) +
  (F187 * (2030 - 2023)),
  100
)</f>
        <v>100</v>
      </c>
      <c r="I18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8" spans="1:9" hidden="1" x14ac:dyDescent="0.35">
      <c r="A188" s="1" t="s">
        <v>46</v>
      </c>
      <c r="B188" s="1" t="s">
        <v>174</v>
      </c>
      <c r="C188" s="1" t="s">
        <v>31</v>
      </c>
      <c r="D188" s="3">
        <v>2018</v>
      </c>
      <c r="E188">
        <v>81</v>
      </c>
      <c r="F188" s="1">
        <f t="shared" ca="1" si="4"/>
        <v>2.2559999999999998</v>
      </c>
      <c r="G188" s="1">
        <f t="shared" ca="1" si="5"/>
        <v>-4471.4606666666659</v>
      </c>
      <c r="H188" s="1" cm="1">
        <f t="array" aca="1" ref="H188" ca="1">MIN(
  INDEX($E:$E, MATCH($A188, $A:$A, 0) + 23) +
  (F188 * (2030 - 2023)),
  100
)</f>
        <v>100</v>
      </c>
      <c r="I18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89" spans="1:9" hidden="1" x14ac:dyDescent="0.35">
      <c r="A189" s="1" t="s">
        <v>46</v>
      </c>
      <c r="B189" s="1" t="s">
        <v>174</v>
      </c>
      <c r="C189" s="1" t="s">
        <v>31</v>
      </c>
      <c r="D189" s="3">
        <v>2019</v>
      </c>
      <c r="E189">
        <v>83.3</v>
      </c>
      <c r="F189" s="1">
        <f t="shared" ca="1" si="4"/>
        <v>2.2559999999999998</v>
      </c>
      <c r="G189" s="1">
        <f t="shared" ca="1" si="5"/>
        <v>-4471.4606666666659</v>
      </c>
      <c r="H189" s="1" cm="1">
        <f t="array" aca="1" ref="H189" ca="1">MIN(
  INDEX($E:$E, MATCH($A189, $A:$A, 0) + 23) +
  (F189 * (2030 - 2023)),
  100
)</f>
        <v>100</v>
      </c>
      <c r="I18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0" spans="1:9" hidden="1" x14ac:dyDescent="0.35">
      <c r="A190" s="1" t="s">
        <v>46</v>
      </c>
      <c r="B190" s="1" t="s">
        <v>174</v>
      </c>
      <c r="C190" s="1" t="s">
        <v>31</v>
      </c>
      <c r="D190" s="3">
        <v>2020</v>
      </c>
      <c r="E190">
        <v>85.6</v>
      </c>
      <c r="F190" s="1">
        <f t="shared" ca="1" si="4"/>
        <v>2.2559999999999998</v>
      </c>
      <c r="G190" s="1">
        <f t="shared" ca="1" si="5"/>
        <v>-4471.4606666666659</v>
      </c>
      <c r="H190" s="1" cm="1">
        <f t="array" aca="1" ref="H190" ca="1">MIN(
  INDEX($E:$E, MATCH($A190, $A:$A, 0) + 23) +
  (F190 * (2030 - 2023)),
  100
)</f>
        <v>100</v>
      </c>
      <c r="I19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1" spans="1:9" hidden="1" x14ac:dyDescent="0.35">
      <c r="A191" s="1" t="s">
        <v>46</v>
      </c>
      <c r="B191" s="1" t="s">
        <v>174</v>
      </c>
      <c r="C191" s="1" t="s">
        <v>31</v>
      </c>
      <c r="D191" s="3">
        <v>2021</v>
      </c>
      <c r="E191">
        <v>87.9</v>
      </c>
      <c r="F191" s="1">
        <f t="shared" ca="1" si="4"/>
        <v>2.2559999999999998</v>
      </c>
      <c r="G191" s="1">
        <f t="shared" ca="1" si="5"/>
        <v>-4471.4606666666659</v>
      </c>
      <c r="H191" s="1" cm="1">
        <f t="array" aca="1" ref="H191" ca="1">MIN(
  INDEX($E:$E, MATCH($A191, $A:$A, 0) + 23) +
  (F191 * (2030 - 2023)),
  100
)</f>
        <v>100</v>
      </c>
      <c r="I19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2" spans="1:9" hidden="1" x14ac:dyDescent="0.35">
      <c r="A192" s="1" t="s">
        <v>46</v>
      </c>
      <c r="B192" s="1" t="s">
        <v>174</v>
      </c>
      <c r="C192" s="1" t="s">
        <v>31</v>
      </c>
      <c r="D192" s="3">
        <v>2022</v>
      </c>
      <c r="E192">
        <v>89.9</v>
      </c>
      <c r="F192" s="1">
        <f t="shared" ca="1" si="4"/>
        <v>2.2559999999999998</v>
      </c>
      <c r="G192" s="1">
        <f t="shared" ca="1" si="5"/>
        <v>-4471.4606666666659</v>
      </c>
      <c r="H192" s="1" cm="1">
        <f t="array" aca="1" ref="H192" ca="1">MIN(
  INDEX($E:$E, MATCH($A192, $A:$A, 0) + 23) +
  (F192 * (2030 - 2023)),
  100
)</f>
        <v>100</v>
      </c>
      <c r="I19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3" spans="1:9" x14ac:dyDescent="0.35">
      <c r="A193" s="1" t="s">
        <v>46</v>
      </c>
      <c r="B193" s="1" t="s">
        <v>174</v>
      </c>
      <c r="C193" s="1" t="s">
        <v>31</v>
      </c>
      <c r="D193" s="3">
        <v>2023</v>
      </c>
      <c r="E193">
        <v>89.8</v>
      </c>
      <c r="F193" s="4">
        <f t="shared" ca="1" si="4"/>
        <v>2.2559999999999998</v>
      </c>
      <c r="G193" s="4">
        <f t="shared" ca="1" si="5"/>
        <v>-4471.4606666666659</v>
      </c>
      <c r="H193" s="4" cm="1">
        <f t="array" aca="1" ref="H193" ca="1">MIN(
  INDEX($E:$E, MATCH($A193, $A:$A, 0) + 23) +
  (F193 * (2030 - 2023)),
  100
)</f>
        <v>100</v>
      </c>
      <c r="I19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4" spans="1:9" hidden="1" x14ac:dyDescent="0.35">
      <c r="A194" s="1" t="s">
        <v>48</v>
      </c>
      <c r="B194" s="1" t="s">
        <v>175</v>
      </c>
      <c r="C194" s="1" t="s">
        <v>41</v>
      </c>
      <c r="D194" s="3">
        <v>2000</v>
      </c>
      <c r="E194">
        <v>58.6</v>
      </c>
      <c r="F194" s="1">
        <f t="shared" ref="F194:F257" ca="1" si="6">SLOPE(
  OFFSET($E$1, MATCH($A194, $A:$A, 0)-1, 0, 24, 1),
  OFFSET($D$1, MATCH($A194, $A:$A, 0)-1, 0, 24, 1)
)</f>
        <v>1.7963043478260869</v>
      </c>
      <c r="G194" s="1">
        <f t="shared" ref="G194:G257" ca="1" si="7">INTERCEPT(
  OFFSET($E$1, MATCH($A194, $A:$A, 0)-1, 0, 24, 1),
  OFFSET($D$1, MATCH($A194, $A:$A, 0)-1, 0, 24, 1)
)</f>
        <v>-3533.9120289855073</v>
      </c>
      <c r="H194" s="1" cm="1">
        <f t="array" aca="1" ref="H194" ca="1">MIN(
  INDEX($E:$E, MATCH($A194, $A:$A, 0) + 23) +
  (F194 * (2030 - 2023)),
  100
)</f>
        <v>100</v>
      </c>
      <c r="I19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5" spans="1:9" hidden="1" x14ac:dyDescent="0.35">
      <c r="A195" s="1" t="s">
        <v>48</v>
      </c>
      <c r="B195" s="1" t="s">
        <v>175</v>
      </c>
      <c r="C195" s="1" t="s">
        <v>41</v>
      </c>
      <c r="D195" s="3">
        <v>2001</v>
      </c>
      <c r="E195">
        <v>60.3</v>
      </c>
      <c r="F195" s="1">
        <f t="shared" ca="1" si="6"/>
        <v>1.7963043478260869</v>
      </c>
      <c r="G195" s="1">
        <f t="shared" ca="1" si="7"/>
        <v>-3533.9120289855073</v>
      </c>
      <c r="H195" s="1" cm="1">
        <f t="array" aca="1" ref="H195" ca="1">MIN(
  INDEX($E:$E, MATCH($A195, $A:$A, 0) + 23) +
  (F195 * (2030 - 2023)),
  100
)</f>
        <v>100</v>
      </c>
      <c r="I19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6" spans="1:9" hidden="1" x14ac:dyDescent="0.35">
      <c r="A196" s="1" t="s">
        <v>48</v>
      </c>
      <c r="B196" s="1" t="s">
        <v>175</v>
      </c>
      <c r="C196" s="1" t="s">
        <v>41</v>
      </c>
      <c r="D196" s="3">
        <v>2002</v>
      </c>
      <c r="E196">
        <v>58.6</v>
      </c>
      <c r="F196" s="1">
        <f t="shared" ca="1" si="6"/>
        <v>1.7963043478260869</v>
      </c>
      <c r="G196" s="1">
        <f t="shared" ca="1" si="7"/>
        <v>-3533.9120289855073</v>
      </c>
      <c r="H196" s="1" cm="1">
        <f t="array" aca="1" ref="H196" ca="1">MIN(
  INDEX($E:$E, MATCH($A196, $A:$A, 0) + 23) +
  (F196 * (2030 - 2023)),
  100
)</f>
        <v>100</v>
      </c>
      <c r="I19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7" spans="1:9" hidden="1" x14ac:dyDescent="0.35">
      <c r="A197" s="1" t="s">
        <v>48</v>
      </c>
      <c r="B197" s="1" t="s">
        <v>175</v>
      </c>
      <c r="C197" s="1" t="s">
        <v>41</v>
      </c>
      <c r="D197" s="3">
        <v>2003</v>
      </c>
      <c r="E197">
        <v>63.7</v>
      </c>
      <c r="F197" s="1">
        <f t="shared" ca="1" si="6"/>
        <v>1.7963043478260869</v>
      </c>
      <c r="G197" s="1">
        <f t="shared" ca="1" si="7"/>
        <v>-3533.9120289855073</v>
      </c>
      <c r="H197" s="1" cm="1">
        <f t="array" aca="1" ref="H197" ca="1">MIN(
  INDEX($E:$E, MATCH($A197, $A:$A, 0) + 23) +
  (F197 * (2030 - 2023)),
  100
)</f>
        <v>100</v>
      </c>
      <c r="I19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8" spans="1:9" hidden="1" x14ac:dyDescent="0.35">
      <c r="A198" s="1" t="s">
        <v>48</v>
      </c>
      <c r="B198" s="1" t="s">
        <v>175</v>
      </c>
      <c r="C198" s="1" t="s">
        <v>41</v>
      </c>
      <c r="D198" s="3">
        <v>2004</v>
      </c>
      <c r="E198">
        <v>65.400000000000006</v>
      </c>
      <c r="F198" s="1">
        <f t="shared" ca="1" si="6"/>
        <v>1.7963043478260869</v>
      </c>
      <c r="G198" s="1">
        <f t="shared" ca="1" si="7"/>
        <v>-3533.9120289855073</v>
      </c>
      <c r="H198" s="1" cm="1">
        <f t="array" aca="1" ref="H198" ca="1">MIN(
  INDEX($E:$E, MATCH($A198, $A:$A, 0) + 23) +
  (F198 * (2030 - 2023)),
  100
)</f>
        <v>100</v>
      </c>
      <c r="I19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99" spans="1:9" hidden="1" x14ac:dyDescent="0.35">
      <c r="A199" s="1" t="s">
        <v>48</v>
      </c>
      <c r="B199" s="1" t="s">
        <v>175</v>
      </c>
      <c r="C199" s="1" t="s">
        <v>41</v>
      </c>
      <c r="D199" s="3">
        <v>2005</v>
      </c>
      <c r="E199">
        <v>67</v>
      </c>
      <c r="F199" s="1">
        <f t="shared" ca="1" si="6"/>
        <v>1.7963043478260869</v>
      </c>
      <c r="G199" s="1">
        <f t="shared" ca="1" si="7"/>
        <v>-3533.9120289855073</v>
      </c>
      <c r="H199" s="1" cm="1">
        <f t="array" aca="1" ref="H199" ca="1">MIN(
  INDEX($E:$E, MATCH($A199, $A:$A, 0) + 23) +
  (F199 * (2030 - 2023)),
  100
)</f>
        <v>100</v>
      </c>
      <c r="I19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0" spans="1:9" hidden="1" x14ac:dyDescent="0.35">
      <c r="A200" s="1" t="s">
        <v>48</v>
      </c>
      <c r="B200" s="1" t="s">
        <v>175</v>
      </c>
      <c r="C200" s="1" t="s">
        <v>41</v>
      </c>
      <c r="D200" s="3">
        <v>2006</v>
      </c>
      <c r="E200">
        <v>68.8</v>
      </c>
      <c r="F200" s="1">
        <f t="shared" ca="1" si="6"/>
        <v>1.7963043478260869</v>
      </c>
      <c r="G200" s="1">
        <f t="shared" ca="1" si="7"/>
        <v>-3533.9120289855073</v>
      </c>
      <c r="H200" s="1" cm="1">
        <f t="array" aca="1" ref="H200" ca="1">MIN(
  INDEX($E:$E, MATCH($A200, $A:$A, 0) + 23) +
  (F200 * (2030 - 2023)),
  100
)</f>
        <v>100</v>
      </c>
      <c r="I20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1" spans="1:9" hidden="1" x14ac:dyDescent="0.35">
      <c r="A201" s="1" t="s">
        <v>48</v>
      </c>
      <c r="B201" s="1" t="s">
        <v>175</v>
      </c>
      <c r="C201" s="1" t="s">
        <v>41</v>
      </c>
      <c r="D201" s="3">
        <v>2007</v>
      </c>
      <c r="E201">
        <v>70.5</v>
      </c>
      <c r="F201" s="1">
        <f t="shared" ca="1" si="6"/>
        <v>1.7963043478260869</v>
      </c>
      <c r="G201" s="1">
        <f t="shared" ca="1" si="7"/>
        <v>-3533.9120289855073</v>
      </c>
      <c r="H201" s="1" cm="1">
        <f t="array" aca="1" ref="H201" ca="1">MIN(
  INDEX($E:$E, MATCH($A201, $A:$A, 0) + 23) +
  (F201 * (2030 - 2023)),
  100
)</f>
        <v>100</v>
      </c>
      <c r="I20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2" spans="1:9" hidden="1" x14ac:dyDescent="0.35">
      <c r="A202" s="1" t="s">
        <v>48</v>
      </c>
      <c r="B202" s="1" t="s">
        <v>175</v>
      </c>
      <c r="C202" s="1" t="s">
        <v>41</v>
      </c>
      <c r="D202" s="3">
        <v>2008</v>
      </c>
      <c r="E202">
        <v>72.3</v>
      </c>
      <c r="F202" s="1">
        <f t="shared" ca="1" si="6"/>
        <v>1.7963043478260869</v>
      </c>
      <c r="G202" s="1">
        <f t="shared" ca="1" si="7"/>
        <v>-3533.9120289855073</v>
      </c>
      <c r="H202" s="1" cm="1">
        <f t="array" aca="1" ref="H202" ca="1">MIN(
  INDEX($E:$E, MATCH($A202, $A:$A, 0) + 23) +
  (F202 * (2030 - 2023)),
  100
)</f>
        <v>100</v>
      </c>
      <c r="I20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3" spans="1:9" hidden="1" x14ac:dyDescent="0.35">
      <c r="A203" s="1" t="s">
        <v>48</v>
      </c>
      <c r="B203" s="1" t="s">
        <v>175</v>
      </c>
      <c r="C203" s="1" t="s">
        <v>41</v>
      </c>
      <c r="D203" s="3">
        <v>2009</v>
      </c>
      <c r="E203">
        <v>74.099999999999994</v>
      </c>
      <c r="F203" s="1">
        <f t="shared" ca="1" si="6"/>
        <v>1.7963043478260869</v>
      </c>
      <c r="G203" s="1">
        <f t="shared" ca="1" si="7"/>
        <v>-3533.9120289855073</v>
      </c>
      <c r="H203" s="1" cm="1">
        <f t="array" aca="1" ref="H203" ca="1">MIN(
  INDEX($E:$E, MATCH($A203, $A:$A, 0) + 23) +
  (F203 * (2030 - 2023)),
  100
)</f>
        <v>100</v>
      </c>
      <c r="I20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4" spans="1:9" hidden="1" x14ac:dyDescent="0.35">
      <c r="A204" s="1" t="s">
        <v>48</v>
      </c>
      <c r="B204" s="1" t="s">
        <v>175</v>
      </c>
      <c r="C204" s="1" t="s">
        <v>41</v>
      </c>
      <c r="D204" s="3">
        <v>2010</v>
      </c>
      <c r="E204">
        <v>81.099999999999994</v>
      </c>
      <c r="F204" s="1">
        <f t="shared" ca="1" si="6"/>
        <v>1.7963043478260869</v>
      </c>
      <c r="G204" s="1">
        <f t="shared" ca="1" si="7"/>
        <v>-3533.9120289855073</v>
      </c>
      <c r="H204" s="1" cm="1">
        <f t="array" aca="1" ref="H204" ca="1">MIN(
  INDEX($E:$E, MATCH($A204, $A:$A, 0) + 23) +
  (F204 * (2030 - 2023)),
  100
)</f>
        <v>100</v>
      </c>
      <c r="I20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5" spans="1:9" hidden="1" x14ac:dyDescent="0.35">
      <c r="A205" s="1" t="s">
        <v>48</v>
      </c>
      <c r="B205" s="1" t="s">
        <v>175</v>
      </c>
      <c r="C205" s="1" t="s">
        <v>41</v>
      </c>
      <c r="D205" s="3">
        <v>2011</v>
      </c>
      <c r="E205">
        <v>82.3</v>
      </c>
      <c r="F205" s="1">
        <f t="shared" ca="1" si="6"/>
        <v>1.7963043478260869</v>
      </c>
      <c r="G205" s="1">
        <f t="shared" ca="1" si="7"/>
        <v>-3533.9120289855073</v>
      </c>
      <c r="H205" s="1" cm="1">
        <f t="array" aca="1" ref="H205" ca="1">MIN(
  INDEX($E:$E, MATCH($A205, $A:$A, 0) + 23) +
  (F205 * (2030 - 2023)),
  100
)</f>
        <v>100</v>
      </c>
      <c r="I20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6" spans="1:9" hidden="1" x14ac:dyDescent="0.35">
      <c r="A206" s="1" t="s">
        <v>48</v>
      </c>
      <c r="B206" s="1" t="s">
        <v>175</v>
      </c>
      <c r="C206" s="1" t="s">
        <v>41</v>
      </c>
      <c r="D206" s="3">
        <v>2012</v>
      </c>
      <c r="E206">
        <v>83.2</v>
      </c>
      <c r="F206" s="1">
        <f t="shared" ca="1" si="6"/>
        <v>1.7963043478260869</v>
      </c>
      <c r="G206" s="1">
        <f t="shared" ca="1" si="7"/>
        <v>-3533.9120289855073</v>
      </c>
      <c r="H206" s="1" cm="1">
        <f t="array" aca="1" ref="H206" ca="1">MIN(
  INDEX($E:$E, MATCH($A206, $A:$A, 0) + 23) +
  (F206 * (2030 - 2023)),
  100
)</f>
        <v>100</v>
      </c>
      <c r="I20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7" spans="1:9" hidden="1" x14ac:dyDescent="0.35">
      <c r="A207" s="1" t="s">
        <v>48</v>
      </c>
      <c r="B207" s="1" t="s">
        <v>175</v>
      </c>
      <c r="C207" s="1" t="s">
        <v>41</v>
      </c>
      <c r="D207" s="3">
        <v>2013</v>
      </c>
      <c r="E207">
        <v>84.3</v>
      </c>
      <c r="F207" s="1">
        <f t="shared" ca="1" si="6"/>
        <v>1.7963043478260869</v>
      </c>
      <c r="G207" s="1">
        <f t="shared" ca="1" si="7"/>
        <v>-3533.9120289855073</v>
      </c>
      <c r="H207" s="1" cm="1">
        <f t="array" aca="1" ref="H207" ca="1">MIN(
  INDEX($E:$E, MATCH($A207, $A:$A, 0) + 23) +
  (F207 * (2030 - 2023)),
  100
)</f>
        <v>100</v>
      </c>
      <c r="I20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8" spans="1:9" hidden="1" x14ac:dyDescent="0.35">
      <c r="A208" s="1" t="s">
        <v>48</v>
      </c>
      <c r="B208" s="1" t="s">
        <v>175</v>
      </c>
      <c r="C208" s="1" t="s">
        <v>41</v>
      </c>
      <c r="D208" s="3">
        <v>2014</v>
      </c>
      <c r="E208">
        <v>85.3</v>
      </c>
      <c r="F208" s="1">
        <f t="shared" ca="1" si="6"/>
        <v>1.7963043478260869</v>
      </c>
      <c r="G208" s="1">
        <f t="shared" ca="1" si="7"/>
        <v>-3533.9120289855073</v>
      </c>
      <c r="H208" s="1" cm="1">
        <f t="array" aca="1" ref="H208" ca="1">MIN(
  INDEX($E:$E, MATCH($A208, $A:$A, 0) + 23) +
  (F208 * (2030 - 2023)),
  100
)</f>
        <v>100</v>
      </c>
      <c r="I20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09" spans="1:9" hidden="1" x14ac:dyDescent="0.35">
      <c r="A209" s="1" t="s">
        <v>48</v>
      </c>
      <c r="B209" s="1" t="s">
        <v>175</v>
      </c>
      <c r="C209" s="1" t="s">
        <v>41</v>
      </c>
      <c r="D209" s="3">
        <v>2015</v>
      </c>
      <c r="E209">
        <v>86.4</v>
      </c>
      <c r="F209" s="1">
        <f t="shared" ca="1" si="6"/>
        <v>1.7963043478260869</v>
      </c>
      <c r="G209" s="1">
        <f t="shared" ca="1" si="7"/>
        <v>-3533.9120289855073</v>
      </c>
      <c r="H209" s="1" cm="1">
        <f t="array" aca="1" ref="H209" ca="1">MIN(
  INDEX($E:$E, MATCH($A209, $A:$A, 0) + 23) +
  (F209 * (2030 - 2023)),
  100
)</f>
        <v>100</v>
      </c>
      <c r="I20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0" spans="1:9" hidden="1" x14ac:dyDescent="0.35">
      <c r="A210" s="1" t="s">
        <v>48</v>
      </c>
      <c r="B210" s="1" t="s">
        <v>175</v>
      </c>
      <c r="C210" s="1" t="s">
        <v>41</v>
      </c>
      <c r="D210" s="3">
        <v>2016</v>
      </c>
      <c r="E210">
        <v>87.5</v>
      </c>
      <c r="F210" s="1">
        <f t="shared" ca="1" si="6"/>
        <v>1.7963043478260869</v>
      </c>
      <c r="G210" s="1">
        <f t="shared" ca="1" si="7"/>
        <v>-3533.9120289855073</v>
      </c>
      <c r="H210" s="1" cm="1">
        <f t="array" aca="1" ref="H210" ca="1">MIN(
  INDEX($E:$E, MATCH($A210, $A:$A, 0) + 23) +
  (F210 * (2030 - 2023)),
  100
)</f>
        <v>100</v>
      </c>
      <c r="I21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1" spans="1:9" hidden="1" x14ac:dyDescent="0.35">
      <c r="A211" s="1" t="s">
        <v>48</v>
      </c>
      <c r="B211" s="1" t="s">
        <v>175</v>
      </c>
      <c r="C211" s="1" t="s">
        <v>41</v>
      </c>
      <c r="D211" s="3">
        <v>2017</v>
      </c>
      <c r="E211">
        <v>88.6</v>
      </c>
      <c r="F211" s="1">
        <f t="shared" ca="1" si="6"/>
        <v>1.7963043478260869</v>
      </c>
      <c r="G211" s="1">
        <f t="shared" ca="1" si="7"/>
        <v>-3533.9120289855073</v>
      </c>
      <c r="H211" s="1" cm="1">
        <f t="array" aca="1" ref="H211" ca="1">MIN(
  INDEX($E:$E, MATCH($A211, $A:$A, 0) + 23) +
  (F211 * (2030 - 2023)),
  100
)</f>
        <v>100</v>
      </c>
      <c r="I21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2" spans="1:9" hidden="1" x14ac:dyDescent="0.35">
      <c r="A212" s="1" t="s">
        <v>48</v>
      </c>
      <c r="B212" s="1" t="s">
        <v>175</v>
      </c>
      <c r="C212" s="1" t="s">
        <v>41</v>
      </c>
      <c r="D212" s="3">
        <v>2018</v>
      </c>
      <c r="E212">
        <v>90.2</v>
      </c>
      <c r="F212" s="1">
        <f t="shared" ca="1" si="6"/>
        <v>1.7963043478260869</v>
      </c>
      <c r="G212" s="1">
        <f t="shared" ca="1" si="7"/>
        <v>-3533.9120289855073</v>
      </c>
      <c r="H212" s="1" cm="1">
        <f t="array" aca="1" ref="H212" ca="1">MIN(
  INDEX($E:$E, MATCH($A212, $A:$A, 0) + 23) +
  (F212 * (2030 - 2023)),
  100
)</f>
        <v>100</v>
      </c>
      <c r="I21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3" spans="1:9" hidden="1" x14ac:dyDescent="0.35">
      <c r="A213" s="1" t="s">
        <v>48</v>
      </c>
      <c r="B213" s="1" t="s">
        <v>175</v>
      </c>
      <c r="C213" s="1" t="s">
        <v>41</v>
      </c>
      <c r="D213" s="3">
        <v>2019</v>
      </c>
      <c r="E213">
        <v>91.4</v>
      </c>
      <c r="F213" s="1">
        <f t="shared" ca="1" si="6"/>
        <v>1.7963043478260869</v>
      </c>
      <c r="G213" s="1">
        <f t="shared" ca="1" si="7"/>
        <v>-3533.9120289855073</v>
      </c>
      <c r="H213" s="1" cm="1">
        <f t="array" aca="1" ref="H213" ca="1">MIN(
  INDEX($E:$E, MATCH($A213, $A:$A, 0) + 23) +
  (F213 * (2030 - 2023)),
  100
)</f>
        <v>100</v>
      </c>
      <c r="I21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4" spans="1:9" hidden="1" x14ac:dyDescent="0.35">
      <c r="A214" s="1" t="s">
        <v>48</v>
      </c>
      <c r="B214" s="1" t="s">
        <v>175</v>
      </c>
      <c r="C214" s="1" t="s">
        <v>41</v>
      </c>
      <c r="D214" s="3">
        <v>2020</v>
      </c>
      <c r="E214">
        <v>93.7</v>
      </c>
      <c r="F214" s="1">
        <f t="shared" ca="1" si="6"/>
        <v>1.7963043478260869</v>
      </c>
      <c r="G214" s="1">
        <f t="shared" ca="1" si="7"/>
        <v>-3533.9120289855073</v>
      </c>
      <c r="H214" s="1" cm="1">
        <f t="array" aca="1" ref="H214" ca="1">MIN(
  INDEX($E:$E, MATCH($A214, $A:$A, 0) + 23) +
  (F214 * (2030 - 2023)),
  100
)</f>
        <v>100</v>
      </c>
      <c r="I21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5" spans="1:9" hidden="1" x14ac:dyDescent="0.35">
      <c r="A215" s="1" t="s">
        <v>48</v>
      </c>
      <c r="B215" s="1" t="s">
        <v>175</v>
      </c>
      <c r="C215" s="1" t="s">
        <v>41</v>
      </c>
      <c r="D215" s="3">
        <v>2021</v>
      </c>
      <c r="E215">
        <v>95.5</v>
      </c>
      <c r="F215" s="1">
        <f t="shared" ca="1" si="6"/>
        <v>1.7963043478260869</v>
      </c>
      <c r="G215" s="1">
        <f t="shared" ca="1" si="7"/>
        <v>-3533.9120289855073</v>
      </c>
      <c r="H215" s="1" cm="1">
        <f t="array" aca="1" ref="H215" ca="1">MIN(
  INDEX($E:$E, MATCH($A215, $A:$A, 0) + 23) +
  (F215 * (2030 - 2023)),
  100
)</f>
        <v>100</v>
      </c>
      <c r="I21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6" spans="1:9" hidden="1" x14ac:dyDescent="0.35">
      <c r="A216" s="1" t="s">
        <v>48</v>
      </c>
      <c r="B216" s="1" t="s">
        <v>175</v>
      </c>
      <c r="C216" s="1" t="s">
        <v>41</v>
      </c>
      <c r="D216" s="3">
        <v>2022</v>
      </c>
      <c r="E216">
        <v>97.1</v>
      </c>
      <c r="F216" s="1">
        <f t="shared" ca="1" si="6"/>
        <v>1.7963043478260869</v>
      </c>
      <c r="G216" s="1">
        <f t="shared" ca="1" si="7"/>
        <v>-3533.9120289855073</v>
      </c>
      <c r="H216" s="1" cm="1">
        <f t="array" aca="1" ref="H216" ca="1">MIN(
  INDEX($E:$E, MATCH($A216, $A:$A, 0) + 23) +
  (F216 * (2030 - 2023)),
  100
)</f>
        <v>100</v>
      </c>
      <c r="I21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7" spans="1:9" x14ac:dyDescent="0.35">
      <c r="A217" s="1" t="s">
        <v>48</v>
      </c>
      <c r="B217" s="1" t="s">
        <v>175</v>
      </c>
      <c r="C217" s="1" t="s">
        <v>41</v>
      </c>
      <c r="D217" s="3">
        <v>2023</v>
      </c>
      <c r="E217">
        <v>98.6</v>
      </c>
      <c r="F217" s="4">
        <f t="shared" ca="1" si="6"/>
        <v>1.7963043478260869</v>
      </c>
      <c r="G217" s="4">
        <f t="shared" ca="1" si="7"/>
        <v>-3533.9120289855073</v>
      </c>
      <c r="H217" s="4" cm="1">
        <f t="array" aca="1" ref="H217" ca="1">MIN(
  INDEX($E:$E, MATCH($A217, $A:$A, 0) + 23) +
  (F217 * (2030 - 2023)),
  100
)</f>
        <v>100</v>
      </c>
      <c r="I21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18" spans="1:9" hidden="1" x14ac:dyDescent="0.35">
      <c r="A218" s="1" t="s">
        <v>50</v>
      </c>
      <c r="B218" s="1" t="s">
        <v>174</v>
      </c>
      <c r="C218" s="1" t="s">
        <v>31</v>
      </c>
      <c r="D218" s="3">
        <v>2000</v>
      </c>
      <c r="E218">
        <v>56</v>
      </c>
      <c r="F218" s="1">
        <f t="shared" ca="1" si="6"/>
        <v>0.48734782608695654</v>
      </c>
      <c r="G218" s="1">
        <f t="shared" ca="1" si="7"/>
        <v>-921.39598550724634</v>
      </c>
      <c r="H218" s="1" cm="1">
        <f t="array" aca="1" ref="H218" ca="1">MIN(
  INDEX($E:$E, MATCH($A218, $A:$A, 0) + 23) +
  (F218 * (2030 - 2023)),
  100
)</f>
        <v>68.611434782608697</v>
      </c>
      <c r="I2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19" spans="1:9" hidden="1" x14ac:dyDescent="0.35">
      <c r="A219" s="1" t="s">
        <v>50</v>
      </c>
      <c r="B219" s="1" t="s">
        <v>174</v>
      </c>
      <c r="C219" s="1" t="s">
        <v>31</v>
      </c>
      <c r="D219" s="3">
        <v>2001</v>
      </c>
      <c r="E219">
        <v>56.1</v>
      </c>
      <c r="F219" s="1">
        <f t="shared" ca="1" si="6"/>
        <v>0.48734782608695654</v>
      </c>
      <c r="G219" s="1">
        <f t="shared" ca="1" si="7"/>
        <v>-921.39598550724634</v>
      </c>
      <c r="H219" s="1" cm="1">
        <f t="array" aca="1" ref="H219" ca="1">MIN(
  INDEX($E:$E, MATCH($A219, $A:$A, 0) + 23) +
  (F219 * (2030 - 2023)),
  100
)</f>
        <v>68.611434782608697</v>
      </c>
      <c r="I2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0" spans="1:9" hidden="1" x14ac:dyDescent="0.35">
      <c r="A220" s="1" t="s">
        <v>50</v>
      </c>
      <c r="B220" s="1" t="s">
        <v>174</v>
      </c>
      <c r="C220" s="1" t="s">
        <v>31</v>
      </c>
      <c r="D220" s="3">
        <v>2002</v>
      </c>
      <c r="E220">
        <v>49.7</v>
      </c>
      <c r="F220" s="1">
        <f t="shared" ca="1" si="6"/>
        <v>0.48734782608695654</v>
      </c>
      <c r="G220" s="1">
        <f t="shared" ca="1" si="7"/>
        <v>-921.39598550724634</v>
      </c>
      <c r="H220" s="1" cm="1">
        <f t="array" aca="1" ref="H220" ca="1">MIN(
  INDEX($E:$E, MATCH($A220, $A:$A, 0) + 23) +
  (F220 * (2030 - 2023)),
  100
)</f>
        <v>68.611434782608697</v>
      </c>
      <c r="I2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1" spans="1:9" hidden="1" x14ac:dyDescent="0.35">
      <c r="A221" s="1" t="s">
        <v>50</v>
      </c>
      <c r="B221" s="1" t="s">
        <v>174</v>
      </c>
      <c r="C221" s="1" t="s">
        <v>31</v>
      </c>
      <c r="D221" s="3">
        <v>2003</v>
      </c>
      <c r="E221">
        <v>56.4</v>
      </c>
      <c r="F221" s="1">
        <f t="shared" ca="1" si="6"/>
        <v>0.48734782608695654</v>
      </c>
      <c r="G221" s="1">
        <f t="shared" ca="1" si="7"/>
        <v>-921.39598550724634</v>
      </c>
      <c r="H221" s="1" cm="1">
        <f t="array" aca="1" ref="H221" ca="1">MIN(
  INDEX($E:$E, MATCH($A221, $A:$A, 0) + 23) +
  (F221 * (2030 - 2023)),
  100
)</f>
        <v>68.611434782608697</v>
      </c>
      <c r="I22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2" spans="1:9" hidden="1" x14ac:dyDescent="0.35">
      <c r="A222" s="1" t="s">
        <v>50</v>
      </c>
      <c r="B222" s="1" t="s">
        <v>174</v>
      </c>
      <c r="C222" s="1" t="s">
        <v>31</v>
      </c>
      <c r="D222" s="3">
        <v>2004</v>
      </c>
      <c r="E222">
        <v>56.6</v>
      </c>
      <c r="F222" s="1">
        <f t="shared" ca="1" si="6"/>
        <v>0.48734782608695654</v>
      </c>
      <c r="G222" s="1">
        <f t="shared" ca="1" si="7"/>
        <v>-921.39598550724634</v>
      </c>
      <c r="H222" s="1" cm="1">
        <f t="array" aca="1" ref="H222" ca="1">MIN(
  INDEX($E:$E, MATCH($A222, $A:$A, 0) + 23) +
  (F222 * (2030 - 2023)),
  100
)</f>
        <v>68.611434782608697</v>
      </c>
      <c r="I2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3" spans="1:9" hidden="1" x14ac:dyDescent="0.35">
      <c r="A223" s="1" t="s">
        <v>50</v>
      </c>
      <c r="B223" s="1" t="s">
        <v>174</v>
      </c>
      <c r="C223" s="1" t="s">
        <v>31</v>
      </c>
      <c r="D223" s="3">
        <v>2005</v>
      </c>
      <c r="E223">
        <v>56.8</v>
      </c>
      <c r="F223" s="1">
        <f t="shared" ca="1" si="6"/>
        <v>0.48734782608695654</v>
      </c>
      <c r="G223" s="1">
        <f t="shared" ca="1" si="7"/>
        <v>-921.39598550724634</v>
      </c>
      <c r="H223" s="1" cm="1">
        <f t="array" aca="1" ref="H223" ca="1">MIN(
  INDEX($E:$E, MATCH($A223, $A:$A, 0) + 23) +
  (F223 * (2030 - 2023)),
  100
)</f>
        <v>68.611434782608697</v>
      </c>
      <c r="I2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4" spans="1:9" hidden="1" x14ac:dyDescent="0.35">
      <c r="A224" s="1" t="s">
        <v>50</v>
      </c>
      <c r="B224" s="1" t="s">
        <v>174</v>
      </c>
      <c r="C224" s="1" t="s">
        <v>31</v>
      </c>
      <c r="D224" s="3">
        <v>2006</v>
      </c>
      <c r="E224">
        <v>55.5</v>
      </c>
      <c r="F224" s="1">
        <f t="shared" ca="1" si="6"/>
        <v>0.48734782608695654</v>
      </c>
      <c r="G224" s="1">
        <f t="shared" ca="1" si="7"/>
        <v>-921.39598550724634</v>
      </c>
      <c r="H224" s="1" cm="1">
        <f t="array" aca="1" ref="H224" ca="1">MIN(
  INDEX($E:$E, MATCH($A224, $A:$A, 0) + 23) +
  (F224 * (2030 - 2023)),
  100
)</f>
        <v>68.611434782608697</v>
      </c>
      <c r="I2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5" spans="1:9" hidden="1" x14ac:dyDescent="0.35">
      <c r="A225" s="1" t="s">
        <v>50</v>
      </c>
      <c r="B225" s="1" t="s">
        <v>174</v>
      </c>
      <c r="C225" s="1" t="s">
        <v>31</v>
      </c>
      <c r="D225" s="3">
        <v>2007</v>
      </c>
      <c r="E225">
        <v>57.2</v>
      </c>
      <c r="F225" s="1">
        <f t="shared" ca="1" si="6"/>
        <v>0.48734782608695654</v>
      </c>
      <c r="G225" s="1">
        <f t="shared" ca="1" si="7"/>
        <v>-921.39598550724634</v>
      </c>
      <c r="H225" s="1" cm="1">
        <f t="array" aca="1" ref="H225" ca="1">MIN(
  INDEX($E:$E, MATCH($A225, $A:$A, 0) + 23) +
  (F225 * (2030 - 2023)),
  100
)</f>
        <v>68.611434782608697</v>
      </c>
      <c r="I2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6" spans="1:9" hidden="1" x14ac:dyDescent="0.35">
      <c r="A226" s="1" t="s">
        <v>50</v>
      </c>
      <c r="B226" s="1" t="s">
        <v>174</v>
      </c>
      <c r="C226" s="1" t="s">
        <v>31</v>
      </c>
      <c r="D226" s="3">
        <v>2008</v>
      </c>
      <c r="E226">
        <v>57.4</v>
      </c>
      <c r="F226" s="1">
        <f t="shared" ca="1" si="6"/>
        <v>0.48734782608695654</v>
      </c>
      <c r="G226" s="1">
        <f t="shared" ca="1" si="7"/>
        <v>-921.39598550724634</v>
      </c>
      <c r="H226" s="1" cm="1">
        <f t="array" aca="1" ref="H226" ca="1">MIN(
  INDEX($E:$E, MATCH($A226, $A:$A, 0) + 23) +
  (F226 * (2030 - 2023)),
  100
)</f>
        <v>68.611434782608697</v>
      </c>
      <c r="I2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7" spans="1:9" hidden="1" x14ac:dyDescent="0.35">
      <c r="A227" s="1" t="s">
        <v>50</v>
      </c>
      <c r="B227" s="1" t="s">
        <v>174</v>
      </c>
      <c r="C227" s="1" t="s">
        <v>31</v>
      </c>
      <c r="D227" s="3">
        <v>2009</v>
      </c>
      <c r="E227">
        <v>57.6</v>
      </c>
      <c r="F227" s="1">
        <f t="shared" ca="1" si="6"/>
        <v>0.48734782608695654</v>
      </c>
      <c r="G227" s="1">
        <f t="shared" ca="1" si="7"/>
        <v>-921.39598550724634</v>
      </c>
      <c r="H227" s="1" cm="1">
        <f t="array" aca="1" ref="H227" ca="1">MIN(
  INDEX($E:$E, MATCH($A227, $A:$A, 0) + 23) +
  (F227 * (2030 - 2023)),
  100
)</f>
        <v>68.611434782608697</v>
      </c>
      <c r="I2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8" spans="1:9" hidden="1" x14ac:dyDescent="0.35">
      <c r="A228" s="1" t="s">
        <v>50</v>
      </c>
      <c r="B228" s="1" t="s">
        <v>174</v>
      </c>
      <c r="C228" s="1" t="s">
        <v>31</v>
      </c>
      <c r="D228" s="3">
        <v>2010</v>
      </c>
      <c r="E228">
        <v>57.9</v>
      </c>
      <c r="F228" s="1">
        <f t="shared" ca="1" si="6"/>
        <v>0.48734782608695654</v>
      </c>
      <c r="G228" s="1">
        <f t="shared" ca="1" si="7"/>
        <v>-921.39598550724634</v>
      </c>
      <c r="H228" s="1" cm="1">
        <f t="array" aca="1" ref="H228" ca="1">MIN(
  INDEX($E:$E, MATCH($A228, $A:$A, 0) + 23) +
  (F228 * (2030 - 2023)),
  100
)</f>
        <v>68.611434782608697</v>
      </c>
      <c r="I2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29" spans="1:9" hidden="1" x14ac:dyDescent="0.35">
      <c r="A229" s="1" t="s">
        <v>50</v>
      </c>
      <c r="B229" s="1" t="s">
        <v>174</v>
      </c>
      <c r="C229" s="1" t="s">
        <v>31</v>
      </c>
      <c r="D229" s="3">
        <v>2011</v>
      </c>
      <c r="E229">
        <v>58.1</v>
      </c>
      <c r="F229" s="1">
        <f t="shared" ca="1" si="6"/>
        <v>0.48734782608695654</v>
      </c>
      <c r="G229" s="1">
        <f t="shared" ca="1" si="7"/>
        <v>-921.39598550724634</v>
      </c>
      <c r="H229" s="1" cm="1">
        <f t="array" aca="1" ref="H229" ca="1">MIN(
  INDEX($E:$E, MATCH($A229, $A:$A, 0) + 23) +
  (F229 * (2030 - 2023)),
  100
)</f>
        <v>68.611434782608697</v>
      </c>
      <c r="I2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0" spans="1:9" hidden="1" x14ac:dyDescent="0.35">
      <c r="A230" s="1" t="s">
        <v>50</v>
      </c>
      <c r="B230" s="1" t="s">
        <v>174</v>
      </c>
      <c r="C230" s="1" t="s">
        <v>31</v>
      </c>
      <c r="D230" s="3">
        <v>2012</v>
      </c>
      <c r="E230">
        <v>54.6</v>
      </c>
      <c r="F230" s="1">
        <f t="shared" ca="1" si="6"/>
        <v>0.48734782608695654</v>
      </c>
      <c r="G230" s="1">
        <f t="shared" ca="1" si="7"/>
        <v>-921.39598550724634</v>
      </c>
      <c r="H230" s="1" cm="1">
        <f t="array" aca="1" ref="H230" ca="1">MIN(
  INDEX($E:$E, MATCH($A230, $A:$A, 0) + 23) +
  (F230 * (2030 - 2023)),
  100
)</f>
        <v>68.611434782608697</v>
      </c>
      <c r="I2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1" spans="1:9" hidden="1" x14ac:dyDescent="0.35">
      <c r="A231" s="1" t="s">
        <v>50</v>
      </c>
      <c r="B231" s="1" t="s">
        <v>174</v>
      </c>
      <c r="C231" s="1" t="s">
        <v>31</v>
      </c>
      <c r="D231" s="3">
        <v>2013</v>
      </c>
      <c r="E231">
        <v>58.6</v>
      </c>
      <c r="F231" s="1">
        <f t="shared" ca="1" si="6"/>
        <v>0.48734782608695654</v>
      </c>
      <c r="G231" s="1">
        <f t="shared" ca="1" si="7"/>
        <v>-921.39598550724634</v>
      </c>
      <c r="H231" s="1" cm="1">
        <f t="array" aca="1" ref="H231" ca="1">MIN(
  INDEX($E:$E, MATCH($A231, $A:$A, 0) + 23) +
  (F231 * (2030 - 2023)),
  100
)</f>
        <v>68.611434782608697</v>
      </c>
      <c r="I2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2" spans="1:9" hidden="1" x14ac:dyDescent="0.35">
      <c r="A232" s="1" t="s">
        <v>50</v>
      </c>
      <c r="B232" s="1" t="s">
        <v>174</v>
      </c>
      <c r="C232" s="1" t="s">
        <v>31</v>
      </c>
      <c r="D232" s="3">
        <v>2014</v>
      </c>
      <c r="E232">
        <v>58.9</v>
      </c>
      <c r="F232" s="1">
        <f t="shared" ca="1" si="6"/>
        <v>0.48734782608695654</v>
      </c>
      <c r="G232" s="1">
        <f t="shared" ca="1" si="7"/>
        <v>-921.39598550724634</v>
      </c>
      <c r="H232" s="1" cm="1">
        <f t="array" aca="1" ref="H232" ca="1">MIN(
  INDEX($E:$E, MATCH($A232, $A:$A, 0) + 23) +
  (F232 * (2030 - 2023)),
  100
)</f>
        <v>68.611434782608697</v>
      </c>
      <c r="I23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3" spans="1:9" hidden="1" x14ac:dyDescent="0.35">
      <c r="A233" s="1" t="s">
        <v>50</v>
      </c>
      <c r="B233" s="1" t="s">
        <v>174</v>
      </c>
      <c r="C233" s="1" t="s">
        <v>31</v>
      </c>
      <c r="D233" s="3">
        <v>2015</v>
      </c>
      <c r="E233">
        <v>59.1</v>
      </c>
      <c r="F233" s="1">
        <f t="shared" ca="1" si="6"/>
        <v>0.48734782608695654</v>
      </c>
      <c r="G233" s="1">
        <f t="shared" ca="1" si="7"/>
        <v>-921.39598550724634</v>
      </c>
      <c r="H233" s="1" cm="1">
        <f t="array" aca="1" ref="H233" ca="1">MIN(
  INDEX($E:$E, MATCH($A233, $A:$A, 0) + 23) +
  (F233 * (2030 - 2023)),
  100
)</f>
        <v>68.611434782608697</v>
      </c>
      <c r="I2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4" spans="1:9" hidden="1" x14ac:dyDescent="0.35">
      <c r="A234" s="1" t="s">
        <v>50</v>
      </c>
      <c r="B234" s="1" t="s">
        <v>174</v>
      </c>
      <c r="C234" s="1" t="s">
        <v>31</v>
      </c>
      <c r="D234" s="3">
        <v>2016</v>
      </c>
      <c r="E234">
        <v>59.8</v>
      </c>
      <c r="F234" s="1">
        <f t="shared" ca="1" si="6"/>
        <v>0.48734782608695654</v>
      </c>
      <c r="G234" s="1">
        <f t="shared" ca="1" si="7"/>
        <v>-921.39598550724634</v>
      </c>
      <c r="H234" s="1" cm="1">
        <f t="array" aca="1" ref="H234" ca="1">MIN(
  INDEX($E:$E, MATCH($A234, $A:$A, 0) + 23) +
  (F234 * (2030 - 2023)),
  100
)</f>
        <v>68.611434782608697</v>
      </c>
      <c r="I2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5" spans="1:9" hidden="1" x14ac:dyDescent="0.35">
      <c r="A235" s="1" t="s">
        <v>50</v>
      </c>
      <c r="B235" s="1" t="s">
        <v>174</v>
      </c>
      <c r="C235" s="1" t="s">
        <v>31</v>
      </c>
      <c r="D235" s="3">
        <v>2017</v>
      </c>
      <c r="E235">
        <v>60.2</v>
      </c>
      <c r="F235" s="1">
        <f t="shared" ca="1" si="6"/>
        <v>0.48734782608695654</v>
      </c>
      <c r="G235" s="1">
        <f t="shared" ca="1" si="7"/>
        <v>-921.39598550724634</v>
      </c>
      <c r="H235" s="1" cm="1">
        <f t="array" aca="1" ref="H235" ca="1">MIN(
  INDEX($E:$E, MATCH($A235, $A:$A, 0) + 23) +
  (F235 * (2030 - 2023)),
  100
)</f>
        <v>68.611434782608697</v>
      </c>
      <c r="I2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6" spans="1:9" hidden="1" x14ac:dyDescent="0.35">
      <c r="A236" s="1" t="s">
        <v>50</v>
      </c>
      <c r="B236" s="1" t="s">
        <v>174</v>
      </c>
      <c r="C236" s="1" t="s">
        <v>31</v>
      </c>
      <c r="D236" s="3">
        <v>2018</v>
      </c>
      <c r="E236">
        <v>62.4</v>
      </c>
      <c r="F236" s="1">
        <f t="shared" ca="1" si="6"/>
        <v>0.48734782608695654</v>
      </c>
      <c r="G236" s="1">
        <f t="shared" ca="1" si="7"/>
        <v>-921.39598550724634</v>
      </c>
      <c r="H236" s="1" cm="1">
        <f t="array" aca="1" ref="H236" ca="1">MIN(
  INDEX($E:$E, MATCH($A236, $A:$A, 0) + 23) +
  (F236 * (2030 - 2023)),
  100
)</f>
        <v>68.611434782608697</v>
      </c>
      <c r="I2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7" spans="1:9" hidden="1" x14ac:dyDescent="0.35">
      <c r="A237" s="1" t="s">
        <v>50</v>
      </c>
      <c r="B237" s="1" t="s">
        <v>174</v>
      </c>
      <c r="C237" s="1" t="s">
        <v>31</v>
      </c>
      <c r="D237" s="3">
        <v>2019</v>
      </c>
      <c r="E237">
        <v>64.7</v>
      </c>
      <c r="F237" s="1">
        <f t="shared" ca="1" si="6"/>
        <v>0.48734782608695654</v>
      </c>
      <c r="G237" s="1">
        <f t="shared" ca="1" si="7"/>
        <v>-921.39598550724634</v>
      </c>
      <c r="H237" s="1" cm="1">
        <f t="array" aca="1" ref="H237" ca="1">MIN(
  INDEX($E:$E, MATCH($A237, $A:$A, 0) + 23) +
  (F237 * (2030 - 2023)),
  100
)</f>
        <v>68.611434782608697</v>
      </c>
      <c r="I2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8" spans="1:9" hidden="1" x14ac:dyDescent="0.35">
      <c r="A238" s="1" t="s">
        <v>50</v>
      </c>
      <c r="B238" s="1" t="s">
        <v>174</v>
      </c>
      <c r="C238" s="1" t="s">
        <v>31</v>
      </c>
      <c r="D238" s="3">
        <v>2020</v>
      </c>
      <c r="E238">
        <v>64.5</v>
      </c>
      <c r="F238" s="1">
        <f t="shared" ca="1" si="6"/>
        <v>0.48734782608695654</v>
      </c>
      <c r="G238" s="1">
        <f t="shared" ca="1" si="7"/>
        <v>-921.39598550724634</v>
      </c>
      <c r="H238" s="1" cm="1">
        <f t="array" aca="1" ref="H238" ca="1">MIN(
  INDEX($E:$E, MATCH($A238, $A:$A, 0) + 23) +
  (F238 * (2030 - 2023)),
  100
)</f>
        <v>68.611434782608697</v>
      </c>
      <c r="I23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39" spans="1:9" hidden="1" x14ac:dyDescent="0.35">
      <c r="A239" s="1" t="s">
        <v>50</v>
      </c>
      <c r="B239" s="1" t="s">
        <v>174</v>
      </c>
      <c r="C239" s="1" t="s">
        <v>31</v>
      </c>
      <c r="D239" s="3">
        <v>2021</v>
      </c>
      <c r="E239">
        <v>65.400000000000006</v>
      </c>
      <c r="F239" s="1">
        <f t="shared" ca="1" si="6"/>
        <v>0.48734782608695654</v>
      </c>
      <c r="G239" s="1">
        <f t="shared" ca="1" si="7"/>
        <v>-921.39598550724634</v>
      </c>
      <c r="H239" s="1" cm="1">
        <f t="array" aca="1" ref="H239" ca="1">MIN(
  INDEX($E:$E, MATCH($A239, $A:$A, 0) + 23) +
  (F239 * (2030 - 2023)),
  100
)</f>
        <v>68.611434782608697</v>
      </c>
      <c r="I23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40" spans="1:9" hidden="1" x14ac:dyDescent="0.35">
      <c r="A240" s="1" t="s">
        <v>50</v>
      </c>
      <c r="B240" s="1" t="s">
        <v>174</v>
      </c>
      <c r="C240" s="1" t="s">
        <v>31</v>
      </c>
      <c r="D240" s="3">
        <v>2022</v>
      </c>
      <c r="E240">
        <v>65</v>
      </c>
      <c r="F240" s="1">
        <f t="shared" ca="1" si="6"/>
        <v>0.48734782608695654</v>
      </c>
      <c r="G240" s="1">
        <f t="shared" ca="1" si="7"/>
        <v>-921.39598550724634</v>
      </c>
      <c r="H240" s="1" cm="1">
        <f t="array" aca="1" ref="H240" ca="1">MIN(
  INDEX($E:$E, MATCH($A240, $A:$A, 0) + 23) +
  (F240 * (2030 - 2023)),
  100
)</f>
        <v>68.611434782608697</v>
      </c>
      <c r="I24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41" spans="1:9" x14ac:dyDescent="0.35">
      <c r="A241" s="1" t="s">
        <v>50</v>
      </c>
      <c r="B241" s="1" t="s">
        <v>174</v>
      </c>
      <c r="C241" s="1" t="s">
        <v>31</v>
      </c>
      <c r="D241" s="3">
        <v>2023</v>
      </c>
      <c r="E241">
        <v>65.2</v>
      </c>
      <c r="F241" s="4">
        <f t="shared" ca="1" si="6"/>
        <v>0.48734782608695654</v>
      </c>
      <c r="G241" s="4">
        <f t="shared" ca="1" si="7"/>
        <v>-921.39598550724634</v>
      </c>
      <c r="H241" s="4" cm="1">
        <f t="array" aca="1" ref="H241" ca="1">MIN(
  INDEX($E:$E, MATCH($A241, $A:$A, 0) + 23) +
  (F241 * (2030 - 2023)),
  100
)</f>
        <v>68.611434782608697</v>
      </c>
      <c r="I24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42" spans="1:9" hidden="1" x14ac:dyDescent="0.35">
      <c r="A242" s="1" t="s">
        <v>53</v>
      </c>
      <c r="B242" s="1" t="s">
        <v>173</v>
      </c>
      <c r="C242" s="1" t="s">
        <v>41</v>
      </c>
      <c r="D242" s="3">
        <v>2000</v>
      </c>
      <c r="E242">
        <v>98.6</v>
      </c>
      <c r="F242" s="1">
        <f t="shared" ca="1" si="6"/>
        <v>6.460869565217417E-2</v>
      </c>
      <c r="G242" s="1">
        <f t="shared" ca="1" si="7"/>
        <v>-30.827057971015009</v>
      </c>
      <c r="H242" s="1" cm="1">
        <f t="array" aca="1" ref="H242" ca="1">MIN(
  INDEX($E:$E, MATCH($A242, $A:$A, 0) + 23) +
  (F242 * (2030 - 2023)),
  100
)</f>
        <v>100</v>
      </c>
      <c r="I24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43" spans="1:9" hidden="1" x14ac:dyDescent="0.35">
      <c r="A243" s="1" t="s">
        <v>53</v>
      </c>
      <c r="B243" s="1" t="s">
        <v>173</v>
      </c>
      <c r="C243" s="1" t="s">
        <v>41</v>
      </c>
      <c r="D243" s="3">
        <v>2001</v>
      </c>
      <c r="E243">
        <v>98.6</v>
      </c>
      <c r="F243" s="1">
        <f t="shared" ca="1" si="6"/>
        <v>6.460869565217417E-2</v>
      </c>
      <c r="G243" s="1">
        <f t="shared" ca="1" si="7"/>
        <v>-30.827057971015009</v>
      </c>
      <c r="H243" s="1" cm="1">
        <f t="array" aca="1" ref="H243" ca="1">MIN(
  INDEX($E:$E, MATCH($A243, $A:$A, 0) + 23) +
  (F243 * (2030 - 2023)),
  100
)</f>
        <v>100</v>
      </c>
      <c r="I24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44" spans="1:9" hidden="1" x14ac:dyDescent="0.35">
      <c r="A244" s="1" t="s">
        <v>53</v>
      </c>
      <c r="B244" s="1" t="s">
        <v>173</v>
      </c>
      <c r="C244" s="1" t="s">
        <v>41</v>
      </c>
      <c r="D244" s="3">
        <v>2002</v>
      </c>
      <c r="E244">
        <v>98.6</v>
      </c>
      <c r="F244" s="1">
        <f t="shared" ca="1" si="6"/>
        <v>6.460869565217417E-2</v>
      </c>
      <c r="G244" s="1">
        <f t="shared" ca="1" si="7"/>
        <v>-30.827057971015009</v>
      </c>
      <c r="H244" s="1" cm="1">
        <f t="array" aca="1" ref="H244" ca="1">MIN(
  INDEX($E:$E, MATCH($A244, $A:$A, 0) + 23) +
  (F244 * (2030 - 2023)),
  100
)</f>
        <v>100</v>
      </c>
      <c r="I24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45" spans="1:9" hidden="1" x14ac:dyDescent="0.35">
      <c r="A245" s="1" t="s">
        <v>53</v>
      </c>
      <c r="B245" s="1" t="s">
        <v>173</v>
      </c>
      <c r="C245" s="1" t="s">
        <v>41</v>
      </c>
      <c r="D245" s="3">
        <v>2003</v>
      </c>
      <c r="E245">
        <v>98.6</v>
      </c>
      <c r="F245" s="1">
        <f t="shared" ca="1" si="6"/>
        <v>6.460869565217417E-2</v>
      </c>
      <c r="G245" s="1">
        <f t="shared" ca="1" si="7"/>
        <v>-30.827057971015009</v>
      </c>
      <c r="H245" s="1" cm="1">
        <f t="array" aca="1" ref="H245" ca="1">MIN(
  INDEX($E:$E, MATCH($A245, $A:$A, 0) + 23) +
  (F245 * (2030 - 2023)),
  100
)</f>
        <v>100</v>
      </c>
      <c r="I24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46" spans="1:9" hidden="1" x14ac:dyDescent="0.35">
      <c r="A246" s="1" t="s">
        <v>53</v>
      </c>
      <c r="B246" s="1" t="s">
        <v>173</v>
      </c>
      <c r="C246" s="1" t="s">
        <v>41</v>
      </c>
      <c r="D246" s="3">
        <v>2004</v>
      </c>
      <c r="E246">
        <v>98.6</v>
      </c>
      <c r="F246" s="1">
        <f t="shared" ca="1" si="6"/>
        <v>6.460869565217417E-2</v>
      </c>
      <c r="G246" s="1">
        <f t="shared" ca="1" si="7"/>
        <v>-30.827057971015009</v>
      </c>
      <c r="H246" s="1" cm="1">
        <f t="array" aca="1" ref="H246" ca="1">MIN(
  INDEX($E:$E, MATCH($A246, $A:$A, 0) + 23) +
  (F246 * (2030 - 2023)),
  100
)</f>
        <v>100</v>
      </c>
      <c r="I24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47" spans="1:9" hidden="1" x14ac:dyDescent="0.35">
      <c r="A247" s="1" t="s">
        <v>53</v>
      </c>
      <c r="B247" s="1" t="s">
        <v>173</v>
      </c>
      <c r="C247" s="1" t="s">
        <v>41</v>
      </c>
      <c r="D247" s="3">
        <v>2005</v>
      </c>
      <c r="E247">
        <v>98.6</v>
      </c>
      <c r="F247" s="1">
        <f t="shared" ca="1" si="6"/>
        <v>6.460869565217417E-2</v>
      </c>
      <c r="G247" s="1">
        <f t="shared" ca="1" si="7"/>
        <v>-30.827057971015009</v>
      </c>
      <c r="H247" s="1" cm="1">
        <f t="array" aca="1" ref="H247" ca="1">MIN(
  INDEX($E:$E, MATCH($A247, $A:$A, 0) + 23) +
  (F247 * (2030 - 2023)),
  100
)</f>
        <v>100</v>
      </c>
      <c r="I24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48" spans="1:9" hidden="1" x14ac:dyDescent="0.35">
      <c r="A248" s="1" t="s">
        <v>53</v>
      </c>
      <c r="B248" s="1" t="s">
        <v>173</v>
      </c>
      <c r="C248" s="1" t="s">
        <v>41</v>
      </c>
      <c r="D248" s="3">
        <v>2006</v>
      </c>
      <c r="E248">
        <v>98.7</v>
      </c>
      <c r="F248" s="1">
        <f t="shared" ca="1" si="6"/>
        <v>6.460869565217417E-2</v>
      </c>
      <c r="G248" s="1">
        <f t="shared" ca="1" si="7"/>
        <v>-30.827057971015009</v>
      </c>
      <c r="H248" s="1" cm="1">
        <f t="array" aca="1" ref="H248" ca="1">MIN(
  INDEX($E:$E, MATCH($A248, $A:$A, 0) + 23) +
  (F248 * (2030 - 2023)),
  100
)</f>
        <v>100</v>
      </c>
      <c r="I24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49" spans="1:9" hidden="1" x14ac:dyDescent="0.35">
      <c r="A249" s="1" t="s">
        <v>53</v>
      </c>
      <c r="B249" s="1" t="s">
        <v>173</v>
      </c>
      <c r="C249" s="1" t="s">
        <v>41</v>
      </c>
      <c r="D249" s="3">
        <v>2007</v>
      </c>
      <c r="E249">
        <v>98.7</v>
      </c>
      <c r="F249" s="1">
        <f t="shared" ca="1" si="6"/>
        <v>6.460869565217417E-2</v>
      </c>
      <c r="G249" s="1">
        <f t="shared" ca="1" si="7"/>
        <v>-30.827057971015009</v>
      </c>
      <c r="H249" s="1" cm="1">
        <f t="array" aca="1" ref="H249" ca="1">MIN(
  INDEX($E:$E, MATCH($A249, $A:$A, 0) + 23) +
  (F249 * (2030 - 2023)),
  100
)</f>
        <v>100</v>
      </c>
      <c r="I24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0" spans="1:9" hidden="1" x14ac:dyDescent="0.35">
      <c r="A250" s="1" t="s">
        <v>53</v>
      </c>
      <c r="B250" s="1" t="s">
        <v>173</v>
      </c>
      <c r="C250" s="1" t="s">
        <v>41</v>
      </c>
      <c r="D250" s="3">
        <v>2008</v>
      </c>
      <c r="E250">
        <v>99.3</v>
      </c>
      <c r="F250" s="1">
        <f t="shared" ca="1" si="6"/>
        <v>6.460869565217417E-2</v>
      </c>
      <c r="G250" s="1">
        <f t="shared" ca="1" si="7"/>
        <v>-30.827057971015009</v>
      </c>
      <c r="H250" s="1" cm="1">
        <f t="array" aca="1" ref="H250" ca="1">MIN(
  INDEX($E:$E, MATCH($A250, $A:$A, 0) + 23) +
  (F250 * (2030 - 2023)),
  100
)</f>
        <v>100</v>
      </c>
      <c r="I25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1" spans="1:9" hidden="1" x14ac:dyDescent="0.35">
      <c r="A251" s="1" t="s">
        <v>53</v>
      </c>
      <c r="B251" s="1" t="s">
        <v>173</v>
      </c>
      <c r="C251" s="1" t="s">
        <v>41</v>
      </c>
      <c r="D251" s="3">
        <v>2009</v>
      </c>
      <c r="E251">
        <v>98.8</v>
      </c>
      <c r="F251" s="1">
        <f t="shared" ca="1" si="6"/>
        <v>6.460869565217417E-2</v>
      </c>
      <c r="G251" s="1">
        <f t="shared" ca="1" si="7"/>
        <v>-30.827057971015009</v>
      </c>
      <c r="H251" s="1" cm="1">
        <f t="array" aca="1" ref="H251" ca="1">MIN(
  INDEX($E:$E, MATCH($A251, $A:$A, 0) + 23) +
  (F251 * (2030 - 2023)),
  100
)</f>
        <v>100</v>
      </c>
      <c r="I25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2" spans="1:9" hidden="1" x14ac:dyDescent="0.35">
      <c r="A252" s="1" t="s">
        <v>53</v>
      </c>
      <c r="B252" s="1" t="s">
        <v>173</v>
      </c>
      <c r="C252" s="1" t="s">
        <v>41</v>
      </c>
      <c r="D252" s="3">
        <v>2010</v>
      </c>
      <c r="E252">
        <v>98.9</v>
      </c>
      <c r="F252" s="1">
        <f t="shared" ca="1" si="6"/>
        <v>6.460869565217417E-2</v>
      </c>
      <c r="G252" s="1">
        <f t="shared" ca="1" si="7"/>
        <v>-30.827057971015009</v>
      </c>
      <c r="H252" s="1" cm="1">
        <f t="array" aca="1" ref="H252" ca="1">MIN(
  INDEX($E:$E, MATCH($A252, $A:$A, 0) + 23) +
  (F252 * (2030 - 2023)),
  100
)</f>
        <v>100</v>
      </c>
      <c r="I25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3" spans="1:9" hidden="1" x14ac:dyDescent="0.35">
      <c r="A253" s="1" t="s">
        <v>53</v>
      </c>
      <c r="B253" s="1" t="s">
        <v>173</v>
      </c>
      <c r="C253" s="1" t="s">
        <v>41</v>
      </c>
      <c r="D253" s="3">
        <v>2011</v>
      </c>
      <c r="E253">
        <v>99</v>
      </c>
      <c r="F253" s="1">
        <f t="shared" ca="1" si="6"/>
        <v>6.460869565217417E-2</v>
      </c>
      <c r="G253" s="1">
        <f t="shared" ca="1" si="7"/>
        <v>-30.827057971015009</v>
      </c>
      <c r="H253" s="1" cm="1">
        <f t="array" aca="1" ref="H253" ca="1">MIN(
  INDEX($E:$E, MATCH($A253, $A:$A, 0) + 23) +
  (F253 * (2030 - 2023)),
  100
)</f>
        <v>100</v>
      </c>
      <c r="I25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4" spans="1:9" hidden="1" x14ac:dyDescent="0.35">
      <c r="A254" s="1" t="s">
        <v>53</v>
      </c>
      <c r="B254" s="1" t="s">
        <v>173</v>
      </c>
      <c r="C254" s="1" t="s">
        <v>41</v>
      </c>
      <c r="D254" s="3">
        <v>2012</v>
      </c>
      <c r="E254">
        <v>98.8</v>
      </c>
      <c r="F254" s="1">
        <f t="shared" ca="1" si="6"/>
        <v>6.460869565217417E-2</v>
      </c>
      <c r="G254" s="1">
        <f t="shared" ca="1" si="7"/>
        <v>-30.827057971015009</v>
      </c>
      <c r="H254" s="1" cm="1">
        <f t="array" aca="1" ref="H254" ca="1">MIN(
  INDEX($E:$E, MATCH($A254, $A:$A, 0) + 23) +
  (F254 * (2030 - 2023)),
  100
)</f>
        <v>100</v>
      </c>
      <c r="I25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5" spans="1:9" hidden="1" x14ac:dyDescent="0.35">
      <c r="A255" s="1" t="s">
        <v>53</v>
      </c>
      <c r="B255" s="1" t="s">
        <v>173</v>
      </c>
      <c r="C255" s="1" t="s">
        <v>41</v>
      </c>
      <c r="D255" s="3">
        <v>2013</v>
      </c>
      <c r="E255">
        <v>99.2</v>
      </c>
      <c r="F255" s="1">
        <f t="shared" ca="1" si="6"/>
        <v>6.460869565217417E-2</v>
      </c>
      <c r="G255" s="1">
        <f t="shared" ca="1" si="7"/>
        <v>-30.827057971015009</v>
      </c>
      <c r="H255" s="1" cm="1">
        <f t="array" aca="1" ref="H255" ca="1">MIN(
  INDEX($E:$E, MATCH($A255, $A:$A, 0) + 23) +
  (F255 * (2030 - 2023)),
  100
)</f>
        <v>100</v>
      </c>
      <c r="I25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6" spans="1:9" hidden="1" x14ac:dyDescent="0.35">
      <c r="A256" s="1" t="s">
        <v>53</v>
      </c>
      <c r="B256" s="1" t="s">
        <v>173</v>
      </c>
      <c r="C256" s="1" t="s">
        <v>41</v>
      </c>
      <c r="D256" s="3">
        <v>2014</v>
      </c>
      <c r="E256">
        <v>99.3</v>
      </c>
      <c r="F256" s="1">
        <f t="shared" ca="1" si="6"/>
        <v>6.460869565217417E-2</v>
      </c>
      <c r="G256" s="1">
        <f t="shared" ca="1" si="7"/>
        <v>-30.827057971015009</v>
      </c>
      <c r="H256" s="1" cm="1">
        <f t="array" aca="1" ref="H256" ca="1">MIN(
  INDEX($E:$E, MATCH($A256, $A:$A, 0) + 23) +
  (F256 * (2030 - 2023)),
  100
)</f>
        <v>100</v>
      </c>
      <c r="I25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7" spans="1:9" hidden="1" x14ac:dyDescent="0.35">
      <c r="A257" s="1" t="s">
        <v>53</v>
      </c>
      <c r="B257" s="1" t="s">
        <v>173</v>
      </c>
      <c r="C257" s="1" t="s">
        <v>41</v>
      </c>
      <c r="D257" s="3">
        <v>2015</v>
      </c>
      <c r="E257">
        <v>99.4</v>
      </c>
      <c r="F257" s="1">
        <f t="shared" ca="1" si="6"/>
        <v>6.460869565217417E-2</v>
      </c>
      <c r="G257" s="1">
        <f t="shared" ca="1" si="7"/>
        <v>-30.827057971015009</v>
      </c>
      <c r="H257" s="1" cm="1">
        <f t="array" aca="1" ref="H257" ca="1">MIN(
  INDEX($E:$E, MATCH($A257, $A:$A, 0) + 23) +
  (F257 * (2030 - 2023)),
  100
)</f>
        <v>100</v>
      </c>
      <c r="I25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8" spans="1:9" hidden="1" x14ac:dyDescent="0.35">
      <c r="A258" s="1" t="s">
        <v>53</v>
      </c>
      <c r="B258" s="1" t="s">
        <v>173</v>
      </c>
      <c r="C258" s="1" t="s">
        <v>41</v>
      </c>
      <c r="D258" s="3">
        <v>2016</v>
      </c>
      <c r="E258">
        <v>99.4</v>
      </c>
      <c r="F258" s="1">
        <f t="shared" ref="F258:F321" ca="1" si="8">SLOPE(
  OFFSET($E$1, MATCH($A258, $A:$A, 0)-1, 0, 24, 1),
  OFFSET($D$1, MATCH($A258, $A:$A, 0)-1, 0, 24, 1)
)</f>
        <v>6.460869565217417E-2</v>
      </c>
      <c r="G258" s="1">
        <f t="shared" ref="G258:G321" ca="1" si="9">INTERCEPT(
  OFFSET($E$1, MATCH($A258, $A:$A, 0)-1, 0, 24, 1),
  OFFSET($D$1, MATCH($A258, $A:$A, 0)-1, 0, 24, 1)
)</f>
        <v>-30.827057971015009</v>
      </c>
      <c r="H258" s="1" cm="1">
        <f t="array" aca="1" ref="H258" ca="1">MIN(
  INDEX($E:$E, MATCH($A258, $A:$A, 0) + 23) +
  (F258 * (2030 - 2023)),
  100
)</f>
        <v>100</v>
      </c>
      <c r="I25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59" spans="1:9" hidden="1" x14ac:dyDescent="0.35">
      <c r="A259" s="1" t="s">
        <v>53</v>
      </c>
      <c r="B259" s="1" t="s">
        <v>173</v>
      </c>
      <c r="C259" s="1" t="s">
        <v>41</v>
      </c>
      <c r="D259" s="3">
        <v>2017</v>
      </c>
      <c r="E259">
        <v>99.5</v>
      </c>
      <c r="F259" s="1">
        <f t="shared" ca="1" si="8"/>
        <v>6.460869565217417E-2</v>
      </c>
      <c r="G259" s="1">
        <f t="shared" ca="1" si="9"/>
        <v>-30.827057971015009</v>
      </c>
      <c r="H259" s="1" cm="1">
        <f t="array" aca="1" ref="H259" ca="1">MIN(
  INDEX($E:$E, MATCH($A259, $A:$A, 0) + 23) +
  (F259 * (2030 - 2023)),
  100
)</f>
        <v>100</v>
      </c>
      <c r="I25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60" spans="1:9" hidden="1" x14ac:dyDescent="0.35">
      <c r="A260" s="1" t="s">
        <v>53</v>
      </c>
      <c r="B260" s="1" t="s">
        <v>173</v>
      </c>
      <c r="C260" s="1" t="s">
        <v>41</v>
      </c>
      <c r="D260" s="3">
        <v>2018</v>
      </c>
      <c r="E260">
        <v>99.6</v>
      </c>
      <c r="F260" s="1">
        <f t="shared" ca="1" si="8"/>
        <v>6.460869565217417E-2</v>
      </c>
      <c r="G260" s="1">
        <f t="shared" ca="1" si="9"/>
        <v>-30.827057971015009</v>
      </c>
      <c r="H260" s="1" cm="1">
        <f t="array" aca="1" ref="H260" ca="1">MIN(
  INDEX($E:$E, MATCH($A260, $A:$A, 0) + 23) +
  (F260 * (2030 - 2023)),
  100
)</f>
        <v>100</v>
      </c>
      <c r="I26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61" spans="1:9" hidden="1" x14ac:dyDescent="0.35">
      <c r="A261" s="1" t="s">
        <v>53</v>
      </c>
      <c r="B261" s="1" t="s">
        <v>173</v>
      </c>
      <c r="C261" s="1" t="s">
        <v>41</v>
      </c>
      <c r="D261" s="3">
        <v>2019</v>
      </c>
      <c r="E261">
        <v>99.5</v>
      </c>
      <c r="F261" s="1">
        <f t="shared" ca="1" si="8"/>
        <v>6.460869565217417E-2</v>
      </c>
      <c r="G261" s="1">
        <f t="shared" ca="1" si="9"/>
        <v>-30.827057971015009</v>
      </c>
      <c r="H261" s="1" cm="1">
        <f t="array" aca="1" ref="H261" ca="1">MIN(
  INDEX($E:$E, MATCH($A261, $A:$A, 0) + 23) +
  (F261 * (2030 - 2023)),
  100
)</f>
        <v>100</v>
      </c>
      <c r="I26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62" spans="1:9" hidden="1" x14ac:dyDescent="0.35">
      <c r="A262" s="1" t="s">
        <v>53</v>
      </c>
      <c r="B262" s="1" t="s">
        <v>173</v>
      </c>
      <c r="C262" s="1" t="s">
        <v>41</v>
      </c>
      <c r="D262" s="3">
        <v>2020</v>
      </c>
      <c r="E262">
        <v>99.7</v>
      </c>
      <c r="F262" s="1">
        <f t="shared" ca="1" si="8"/>
        <v>6.460869565217417E-2</v>
      </c>
      <c r="G262" s="1">
        <f t="shared" ca="1" si="9"/>
        <v>-30.827057971015009</v>
      </c>
      <c r="H262" s="1" cm="1">
        <f t="array" aca="1" ref="H262" ca="1">MIN(
  INDEX($E:$E, MATCH($A262, $A:$A, 0) + 23) +
  (F262 * (2030 - 2023)),
  100
)</f>
        <v>100</v>
      </c>
      <c r="I26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63" spans="1:9" hidden="1" x14ac:dyDescent="0.35">
      <c r="A263" s="1" t="s">
        <v>53</v>
      </c>
      <c r="B263" s="1" t="s">
        <v>173</v>
      </c>
      <c r="C263" s="1" t="s">
        <v>41</v>
      </c>
      <c r="D263" s="3">
        <v>2021</v>
      </c>
      <c r="E263">
        <v>99.8</v>
      </c>
      <c r="F263" s="1">
        <f t="shared" ca="1" si="8"/>
        <v>6.460869565217417E-2</v>
      </c>
      <c r="G263" s="1">
        <f t="shared" ca="1" si="9"/>
        <v>-30.827057971015009</v>
      </c>
      <c r="H263" s="1" cm="1">
        <f t="array" aca="1" ref="H263" ca="1">MIN(
  INDEX($E:$E, MATCH($A263, $A:$A, 0) + 23) +
  (F263 * (2030 - 2023)),
  100
)</f>
        <v>100</v>
      </c>
      <c r="I26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64" spans="1:9" hidden="1" x14ac:dyDescent="0.35">
      <c r="A264" s="1" t="s">
        <v>53</v>
      </c>
      <c r="B264" s="1" t="s">
        <v>173</v>
      </c>
      <c r="C264" s="1" t="s">
        <v>41</v>
      </c>
      <c r="D264" s="3">
        <v>2022</v>
      </c>
      <c r="E264">
        <v>100</v>
      </c>
      <c r="F264" s="1">
        <f t="shared" ca="1" si="8"/>
        <v>6.460869565217417E-2</v>
      </c>
      <c r="G264" s="1">
        <f t="shared" ca="1" si="9"/>
        <v>-30.827057971015009</v>
      </c>
      <c r="H264" s="1" cm="1">
        <f t="array" aca="1" ref="H264" ca="1">MIN(
  INDEX($E:$E, MATCH($A264, $A:$A, 0) + 23) +
  (F264 * (2030 - 2023)),
  100
)</f>
        <v>100</v>
      </c>
      <c r="I26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65" spans="1:9" x14ac:dyDescent="0.35">
      <c r="A265" s="1" t="s">
        <v>53</v>
      </c>
      <c r="B265" s="1" t="s">
        <v>173</v>
      </c>
      <c r="C265" s="1" t="s">
        <v>41</v>
      </c>
      <c r="D265" s="3">
        <v>2023</v>
      </c>
      <c r="E265">
        <v>100</v>
      </c>
      <c r="F265" s="4">
        <f t="shared" ca="1" si="8"/>
        <v>6.460869565217417E-2</v>
      </c>
      <c r="G265" s="4">
        <f t="shared" ca="1" si="9"/>
        <v>-30.827057971015009</v>
      </c>
      <c r="H265" s="4" cm="1">
        <f t="array" aca="1" ref="H265" ca="1">MIN(
  INDEX($E:$E, MATCH($A265, $A:$A, 0) + 23) +
  (F265 * (2030 - 2023)),
  100
)</f>
        <v>100</v>
      </c>
      <c r="I26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266" spans="1:9" hidden="1" x14ac:dyDescent="0.35">
      <c r="A266" s="1" t="s">
        <v>55</v>
      </c>
      <c r="B266" s="1" t="s">
        <v>174</v>
      </c>
      <c r="C266" s="1" t="s">
        <v>34</v>
      </c>
      <c r="D266" s="3">
        <v>2000</v>
      </c>
      <c r="E266">
        <v>29.3</v>
      </c>
      <c r="F266" s="1">
        <f t="shared" ca="1" si="8"/>
        <v>1.1036521739130436</v>
      </c>
      <c r="G266" s="1">
        <f t="shared" ca="1" si="9"/>
        <v>-2178.1380144927539</v>
      </c>
      <c r="H266" s="1" cm="1">
        <f t="array" aca="1" ref="H266" ca="1">MIN(
  INDEX($E:$E, MATCH($A266, $A:$A, 0) + 23) +
  (F266 * (2030 - 2023)),
  100
)</f>
        <v>62.125565217391305</v>
      </c>
      <c r="I2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67" spans="1:9" hidden="1" x14ac:dyDescent="0.35">
      <c r="A267" s="1" t="s">
        <v>55</v>
      </c>
      <c r="B267" s="1" t="s">
        <v>174</v>
      </c>
      <c r="C267" s="1" t="s">
        <v>34</v>
      </c>
      <c r="D267" s="3">
        <v>2001</v>
      </c>
      <c r="E267">
        <v>30.3</v>
      </c>
      <c r="F267" s="1">
        <f t="shared" ca="1" si="8"/>
        <v>1.1036521739130436</v>
      </c>
      <c r="G267" s="1">
        <f t="shared" ca="1" si="9"/>
        <v>-2178.1380144927539</v>
      </c>
      <c r="H267" s="1" cm="1">
        <f t="array" aca="1" ref="H267" ca="1">MIN(
  INDEX($E:$E, MATCH($A267, $A:$A, 0) + 23) +
  (F267 * (2030 - 2023)),
  100
)</f>
        <v>62.125565217391305</v>
      </c>
      <c r="I2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68" spans="1:9" hidden="1" x14ac:dyDescent="0.35">
      <c r="A268" s="1" t="s">
        <v>55</v>
      </c>
      <c r="B268" s="1" t="s">
        <v>174</v>
      </c>
      <c r="C268" s="1" t="s">
        <v>34</v>
      </c>
      <c r="D268" s="3">
        <v>2002</v>
      </c>
      <c r="E268">
        <v>32.200000000000003</v>
      </c>
      <c r="F268" s="1">
        <f t="shared" ca="1" si="8"/>
        <v>1.1036521739130436</v>
      </c>
      <c r="G268" s="1">
        <f t="shared" ca="1" si="9"/>
        <v>-2178.1380144927539</v>
      </c>
      <c r="H268" s="1" cm="1">
        <f t="array" aca="1" ref="H268" ca="1">MIN(
  INDEX($E:$E, MATCH($A268, $A:$A, 0) + 23) +
  (F268 * (2030 - 2023)),
  100
)</f>
        <v>62.125565217391305</v>
      </c>
      <c r="I2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69" spans="1:9" hidden="1" x14ac:dyDescent="0.35">
      <c r="A269" s="1" t="s">
        <v>55</v>
      </c>
      <c r="B269" s="1" t="s">
        <v>174</v>
      </c>
      <c r="C269" s="1" t="s">
        <v>34</v>
      </c>
      <c r="D269" s="3">
        <v>2003</v>
      </c>
      <c r="E269">
        <v>32.4</v>
      </c>
      <c r="F269" s="1">
        <f t="shared" ca="1" si="8"/>
        <v>1.1036521739130436</v>
      </c>
      <c r="G269" s="1">
        <f t="shared" ca="1" si="9"/>
        <v>-2178.1380144927539</v>
      </c>
      <c r="H269" s="1" cm="1">
        <f t="array" aca="1" ref="H269" ca="1">MIN(
  INDEX($E:$E, MATCH($A269, $A:$A, 0) + 23) +
  (F269 * (2030 - 2023)),
  100
)</f>
        <v>62.125565217391305</v>
      </c>
      <c r="I2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0" spans="1:9" hidden="1" x14ac:dyDescent="0.35">
      <c r="A270" s="1" t="s">
        <v>55</v>
      </c>
      <c r="B270" s="1" t="s">
        <v>174</v>
      </c>
      <c r="C270" s="1" t="s">
        <v>34</v>
      </c>
      <c r="D270" s="3">
        <v>2004</v>
      </c>
      <c r="E270">
        <v>33.4</v>
      </c>
      <c r="F270" s="1">
        <f t="shared" ca="1" si="8"/>
        <v>1.1036521739130436</v>
      </c>
      <c r="G270" s="1">
        <f t="shared" ca="1" si="9"/>
        <v>-2178.1380144927539</v>
      </c>
      <c r="H270" s="1" cm="1">
        <f t="array" aca="1" ref="H270" ca="1">MIN(
  INDEX($E:$E, MATCH($A270, $A:$A, 0) + 23) +
  (F270 * (2030 - 2023)),
  100
)</f>
        <v>62.125565217391305</v>
      </c>
      <c r="I2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1" spans="1:9" hidden="1" x14ac:dyDescent="0.35">
      <c r="A271" s="1" t="s">
        <v>55</v>
      </c>
      <c r="B271" s="1" t="s">
        <v>174</v>
      </c>
      <c r="C271" s="1" t="s">
        <v>34</v>
      </c>
      <c r="D271" s="3">
        <v>2005</v>
      </c>
      <c r="E271">
        <v>34.5</v>
      </c>
      <c r="F271" s="1">
        <f t="shared" ca="1" si="8"/>
        <v>1.1036521739130436</v>
      </c>
      <c r="G271" s="1">
        <f t="shared" ca="1" si="9"/>
        <v>-2178.1380144927539</v>
      </c>
      <c r="H271" s="1" cm="1">
        <f t="array" aca="1" ref="H271" ca="1">MIN(
  INDEX($E:$E, MATCH($A271, $A:$A, 0) + 23) +
  (F271 * (2030 - 2023)),
  100
)</f>
        <v>62.125565217391305</v>
      </c>
      <c r="I2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2" spans="1:9" hidden="1" x14ac:dyDescent="0.35">
      <c r="A272" s="1" t="s">
        <v>55</v>
      </c>
      <c r="B272" s="1" t="s">
        <v>174</v>
      </c>
      <c r="C272" s="1" t="s">
        <v>34</v>
      </c>
      <c r="D272" s="3">
        <v>2006</v>
      </c>
      <c r="E272">
        <v>35.6</v>
      </c>
      <c r="F272" s="1">
        <f t="shared" ca="1" si="8"/>
        <v>1.1036521739130436</v>
      </c>
      <c r="G272" s="1">
        <f t="shared" ca="1" si="9"/>
        <v>-2178.1380144927539</v>
      </c>
      <c r="H272" s="1" cm="1">
        <f t="array" aca="1" ref="H272" ca="1">MIN(
  INDEX($E:$E, MATCH($A272, $A:$A, 0) + 23) +
  (F272 * (2030 - 2023)),
  100
)</f>
        <v>62.125565217391305</v>
      </c>
      <c r="I2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3" spans="1:9" hidden="1" x14ac:dyDescent="0.35">
      <c r="A273" s="1" t="s">
        <v>55</v>
      </c>
      <c r="B273" s="1" t="s">
        <v>174</v>
      </c>
      <c r="C273" s="1" t="s">
        <v>34</v>
      </c>
      <c r="D273" s="3">
        <v>2007</v>
      </c>
      <c r="E273">
        <v>36.700000000000003</v>
      </c>
      <c r="F273" s="1">
        <f t="shared" ca="1" si="8"/>
        <v>1.1036521739130436</v>
      </c>
      <c r="G273" s="1">
        <f t="shared" ca="1" si="9"/>
        <v>-2178.1380144927539</v>
      </c>
      <c r="H273" s="1" cm="1">
        <f t="array" aca="1" ref="H273" ca="1">MIN(
  INDEX($E:$E, MATCH($A273, $A:$A, 0) + 23) +
  (F273 * (2030 - 2023)),
  100
)</f>
        <v>62.125565217391305</v>
      </c>
      <c r="I2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4" spans="1:9" hidden="1" x14ac:dyDescent="0.35">
      <c r="A274" s="1" t="s">
        <v>55</v>
      </c>
      <c r="B274" s="1" t="s">
        <v>174</v>
      </c>
      <c r="C274" s="1" t="s">
        <v>34</v>
      </c>
      <c r="D274" s="3">
        <v>2008</v>
      </c>
      <c r="E274">
        <v>37.799999999999997</v>
      </c>
      <c r="F274" s="1">
        <f t="shared" ca="1" si="8"/>
        <v>1.1036521739130436</v>
      </c>
      <c r="G274" s="1">
        <f t="shared" ca="1" si="9"/>
        <v>-2178.1380144927539</v>
      </c>
      <c r="H274" s="1" cm="1">
        <f t="array" aca="1" ref="H274" ca="1">MIN(
  INDEX($E:$E, MATCH($A274, $A:$A, 0) + 23) +
  (F274 * (2030 - 2023)),
  100
)</f>
        <v>62.125565217391305</v>
      </c>
      <c r="I27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5" spans="1:9" hidden="1" x14ac:dyDescent="0.35">
      <c r="A275" s="1" t="s">
        <v>55</v>
      </c>
      <c r="B275" s="1" t="s">
        <v>174</v>
      </c>
      <c r="C275" s="1" t="s">
        <v>34</v>
      </c>
      <c r="D275" s="3">
        <v>2009</v>
      </c>
      <c r="E275">
        <v>38.9</v>
      </c>
      <c r="F275" s="1">
        <f t="shared" ca="1" si="8"/>
        <v>1.1036521739130436</v>
      </c>
      <c r="G275" s="1">
        <f t="shared" ca="1" si="9"/>
        <v>-2178.1380144927539</v>
      </c>
      <c r="H275" s="1" cm="1">
        <f t="array" aca="1" ref="H275" ca="1">MIN(
  INDEX($E:$E, MATCH($A275, $A:$A, 0) + 23) +
  (F275 * (2030 - 2023)),
  100
)</f>
        <v>62.125565217391305</v>
      </c>
      <c r="I27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6" spans="1:9" hidden="1" x14ac:dyDescent="0.35">
      <c r="A276" s="1" t="s">
        <v>55</v>
      </c>
      <c r="B276" s="1" t="s">
        <v>174</v>
      </c>
      <c r="C276" s="1" t="s">
        <v>34</v>
      </c>
      <c r="D276" s="3">
        <v>2010</v>
      </c>
      <c r="E276">
        <v>40.1</v>
      </c>
      <c r="F276" s="1">
        <f t="shared" ca="1" si="8"/>
        <v>1.1036521739130436</v>
      </c>
      <c r="G276" s="1">
        <f t="shared" ca="1" si="9"/>
        <v>-2178.1380144927539</v>
      </c>
      <c r="H276" s="1" cm="1">
        <f t="array" aca="1" ref="H276" ca="1">MIN(
  INDEX($E:$E, MATCH($A276, $A:$A, 0) + 23) +
  (F276 * (2030 - 2023)),
  100
)</f>
        <v>62.125565217391305</v>
      </c>
      <c r="I27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7" spans="1:9" hidden="1" x14ac:dyDescent="0.35">
      <c r="A277" s="1" t="s">
        <v>55</v>
      </c>
      <c r="B277" s="1" t="s">
        <v>174</v>
      </c>
      <c r="C277" s="1" t="s">
        <v>34</v>
      </c>
      <c r="D277" s="3">
        <v>2011</v>
      </c>
      <c r="E277">
        <v>41.2</v>
      </c>
      <c r="F277" s="1">
        <f t="shared" ca="1" si="8"/>
        <v>1.1036521739130436</v>
      </c>
      <c r="G277" s="1">
        <f t="shared" ca="1" si="9"/>
        <v>-2178.1380144927539</v>
      </c>
      <c r="H277" s="1" cm="1">
        <f t="array" aca="1" ref="H277" ca="1">MIN(
  INDEX($E:$E, MATCH($A277, $A:$A, 0) + 23) +
  (F277 * (2030 - 2023)),
  100
)</f>
        <v>62.125565217391305</v>
      </c>
      <c r="I27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8" spans="1:9" hidden="1" x14ac:dyDescent="0.35">
      <c r="A278" s="1" t="s">
        <v>55</v>
      </c>
      <c r="B278" s="1" t="s">
        <v>174</v>
      </c>
      <c r="C278" s="1" t="s">
        <v>34</v>
      </c>
      <c r="D278" s="3">
        <v>2012</v>
      </c>
      <c r="E278">
        <v>42.3</v>
      </c>
      <c r="F278" s="1">
        <f t="shared" ca="1" si="8"/>
        <v>1.1036521739130436</v>
      </c>
      <c r="G278" s="1">
        <f t="shared" ca="1" si="9"/>
        <v>-2178.1380144927539</v>
      </c>
      <c r="H278" s="1" cm="1">
        <f t="array" aca="1" ref="H278" ca="1">MIN(
  INDEX($E:$E, MATCH($A278, $A:$A, 0) + 23) +
  (F278 * (2030 - 2023)),
  100
)</f>
        <v>62.125565217391305</v>
      </c>
      <c r="I27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79" spans="1:9" hidden="1" x14ac:dyDescent="0.35">
      <c r="A279" s="1" t="s">
        <v>55</v>
      </c>
      <c r="B279" s="1" t="s">
        <v>174</v>
      </c>
      <c r="C279" s="1" t="s">
        <v>34</v>
      </c>
      <c r="D279" s="3">
        <v>2013</v>
      </c>
      <c r="E279">
        <v>43.5</v>
      </c>
      <c r="F279" s="1">
        <f t="shared" ca="1" si="8"/>
        <v>1.1036521739130436</v>
      </c>
      <c r="G279" s="1">
        <f t="shared" ca="1" si="9"/>
        <v>-2178.1380144927539</v>
      </c>
      <c r="H279" s="1" cm="1">
        <f t="array" aca="1" ref="H279" ca="1">MIN(
  INDEX($E:$E, MATCH($A279, $A:$A, 0) + 23) +
  (F279 * (2030 - 2023)),
  100
)</f>
        <v>62.125565217391305</v>
      </c>
      <c r="I27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0" spans="1:9" hidden="1" x14ac:dyDescent="0.35">
      <c r="A280" s="1" t="s">
        <v>55</v>
      </c>
      <c r="B280" s="1" t="s">
        <v>174</v>
      </c>
      <c r="C280" s="1" t="s">
        <v>34</v>
      </c>
      <c r="D280" s="3">
        <v>2014</v>
      </c>
      <c r="E280">
        <v>44.6</v>
      </c>
      <c r="F280" s="1">
        <f t="shared" ca="1" si="8"/>
        <v>1.1036521739130436</v>
      </c>
      <c r="G280" s="1">
        <f t="shared" ca="1" si="9"/>
        <v>-2178.1380144927539</v>
      </c>
      <c r="H280" s="1" cm="1">
        <f t="array" aca="1" ref="H280" ca="1">MIN(
  INDEX($E:$E, MATCH($A280, $A:$A, 0) + 23) +
  (F280 * (2030 - 2023)),
  100
)</f>
        <v>62.125565217391305</v>
      </c>
      <c r="I28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1" spans="1:9" hidden="1" x14ac:dyDescent="0.35">
      <c r="A281" s="1" t="s">
        <v>55</v>
      </c>
      <c r="B281" s="1" t="s">
        <v>174</v>
      </c>
      <c r="C281" s="1" t="s">
        <v>34</v>
      </c>
      <c r="D281" s="3">
        <v>2015</v>
      </c>
      <c r="E281">
        <v>45.8</v>
      </c>
      <c r="F281" s="1">
        <f t="shared" ca="1" si="8"/>
        <v>1.1036521739130436</v>
      </c>
      <c r="G281" s="1">
        <f t="shared" ca="1" si="9"/>
        <v>-2178.1380144927539</v>
      </c>
      <c r="H281" s="1" cm="1">
        <f t="array" aca="1" ref="H281" ca="1">MIN(
  INDEX($E:$E, MATCH($A281, $A:$A, 0) + 23) +
  (F281 * (2030 - 2023)),
  100
)</f>
        <v>62.125565217391305</v>
      </c>
      <c r="I28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2" spans="1:9" hidden="1" x14ac:dyDescent="0.35">
      <c r="A282" s="1" t="s">
        <v>55</v>
      </c>
      <c r="B282" s="1" t="s">
        <v>174</v>
      </c>
      <c r="C282" s="1" t="s">
        <v>34</v>
      </c>
      <c r="D282" s="3">
        <v>2016</v>
      </c>
      <c r="E282">
        <v>46.9</v>
      </c>
      <c r="F282" s="1">
        <f t="shared" ca="1" si="8"/>
        <v>1.1036521739130436</v>
      </c>
      <c r="G282" s="1">
        <f t="shared" ca="1" si="9"/>
        <v>-2178.1380144927539</v>
      </c>
      <c r="H282" s="1" cm="1">
        <f t="array" aca="1" ref="H282" ca="1">MIN(
  INDEX($E:$E, MATCH($A282, $A:$A, 0) + 23) +
  (F282 * (2030 - 2023)),
  100
)</f>
        <v>62.125565217391305</v>
      </c>
      <c r="I28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3" spans="1:9" hidden="1" x14ac:dyDescent="0.35">
      <c r="A283" s="1" t="s">
        <v>55</v>
      </c>
      <c r="B283" s="1" t="s">
        <v>174</v>
      </c>
      <c r="C283" s="1" t="s">
        <v>34</v>
      </c>
      <c r="D283" s="3">
        <v>2017</v>
      </c>
      <c r="E283">
        <v>48</v>
      </c>
      <c r="F283" s="1">
        <f t="shared" ca="1" si="8"/>
        <v>1.1036521739130436</v>
      </c>
      <c r="G283" s="1">
        <f t="shared" ca="1" si="9"/>
        <v>-2178.1380144927539</v>
      </c>
      <c r="H283" s="1" cm="1">
        <f t="array" aca="1" ref="H283" ca="1">MIN(
  INDEX($E:$E, MATCH($A283, $A:$A, 0) + 23) +
  (F283 * (2030 - 2023)),
  100
)</f>
        <v>62.125565217391305</v>
      </c>
      <c r="I28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4" spans="1:9" hidden="1" x14ac:dyDescent="0.35">
      <c r="A284" s="1" t="s">
        <v>55</v>
      </c>
      <c r="B284" s="1" t="s">
        <v>174</v>
      </c>
      <c r="C284" s="1" t="s">
        <v>34</v>
      </c>
      <c r="D284" s="3">
        <v>2018</v>
      </c>
      <c r="E284">
        <v>49.1</v>
      </c>
      <c r="F284" s="1">
        <f t="shared" ca="1" si="8"/>
        <v>1.1036521739130436</v>
      </c>
      <c r="G284" s="1">
        <f t="shared" ca="1" si="9"/>
        <v>-2178.1380144927539</v>
      </c>
      <c r="H284" s="1" cm="1">
        <f t="array" aca="1" ref="H284" ca="1">MIN(
  INDEX($E:$E, MATCH($A284, $A:$A, 0) + 23) +
  (F284 * (2030 - 2023)),
  100
)</f>
        <v>62.125565217391305</v>
      </c>
      <c r="I28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5" spans="1:9" hidden="1" x14ac:dyDescent="0.35">
      <c r="A285" s="1" t="s">
        <v>55</v>
      </c>
      <c r="B285" s="1" t="s">
        <v>174</v>
      </c>
      <c r="C285" s="1" t="s">
        <v>34</v>
      </c>
      <c r="D285" s="3">
        <v>2019</v>
      </c>
      <c r="E285">
        <v>50.3</v>
      </c>
      <c r="F285" s="1">
        <f t="shared" ca="1" si="8"/>
        <v>1.1036521739130436</v>
      </c>
      <c r="G285" s="1">
        <f t="shared" ca="1" si="9"/>
        <v>-2178.1380144927539</v>
      </c>
      <c r="H285" s="1" cm="1">
        <f t="array" aca="1" ref="H285" ca="1">MIN(
  INDEX($E:$E, MATCH($A285, $A:$A, 0) + 23) +
  (F285 * (2030 - 2023)),
  100
)</f>
        <v>62.125565217391305</v>
      </c>
      <c r="I2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6" spans="1:9" hidden="1" x14ac:dyDescent="0.35">
      <c r="A286" s="1" t="s">
        <v>55</v>
      </c>
      <c r="B286" s="1" t="s">
        <v>174</v>
      </c>
      <c r="C286" s="1" t="s">
        <v>34</v>
      </c>
      <c r="D286" s="3">
        <v>2020</v>
      </c>
      <c r="E286">
        <v>51.4</v>
      </c>
      <c r="F286" s="1">
        <f t="shared" ca="1" si="8"/>
        <v>1.1036521739130436</v>
      </c>
      <c r="G286" s="1">
        <f t="shared" ca="1" si="9"/>
        <v>-2178.1380144927539</v>
      </c>
      <c r="H286" s="1" cm="1">
        <f t="array" aca="1" ref="H286" ca="1">MIN(
  INDEX($E:$E, MATCH($A286, $A:$A, 0) + 23) +
  (F286 * (2030 - 2023)),
  100
)</f>
        <v>62.125565217391305</v>
      </c>
      <c r="I2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7" spans="1:9" hidden="1" x14ac:dyDescent="0.35">
      <c r="A287" s="1" t="s">
        <v>55</v>
      </c>
      <c r="B287" s="1" t="s">
        <v>174</v>
      </c>
      <c r="C287" s="1" t="s">
        <v>34</v>
      </c>
      <c r="D287" s="3">
        <v>2021</v>
      </c>
      <c r="E287">
        <v>52.5</v>
      </c>
      <c r="F287" s="1">
        <f t="shared" ca="1" si="8"/>
        <v>1.1036521739130436</v>
      </c>
      <c r="G287" s="1">
        <f t="shared" ca="1" si="9"/>
        <v>-2178.1380144927539</v>
      </c>
      <c r="H287" s="1" cm="1">
        <f t="array" aca="1" ref="H287" ca="1">MIN(
  INDEX($E:$E, MATCH($A287, $A:$A, 0) + 23) +
  (F287 * (2030 - 2023)),
  100
)</f>
        <v>62.125565217391305</v>
      </c>
      <c r="I2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8" spans="1:9" hidden="1" x14ac:dyDescent="0.35">
      <c r="A288" s="1" t="s">
        <v>55</v>
      </c>
      <c r="B288" s="1" t="s">
        <v>174</v>
      </c>
      <c r="C288" s="1" t="s">
        <v>34</v>
      </c>
      <c r="D288" s="3">
        <v>2022</v>
      </c>
      <c r="E288">
        <v>53.4</v>
      </c>
      <c r="F288" s="1">
        <f t="shared" ca="1" si="8"/>
        <v>1.1036521739130436</v>
      </c>
      <c r="G288" s="1">
        <f t="shared" ca="1" si="9"/>
        <v>-2178.1380144927539</v>
      </c>
      <c r="H288" s="1" cm="1">
        <f t="array" aca="1" ref="H288" ca="1">MIN(
  INDEX($E:$E, MATCH($A288, $A:$A, 0) + 23) +
  (F288 * (2030 - 2023)),
  100
)</f>
        <v>62.125565217391305</v>
      </c>
      <c r="I2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89" spans="1:9" x14ac:dyDescent="0.35">
      <c r="A289" s="1" t="s">
        <v>55</v>
      </c>
      <c r="B289" s="1" t="s">
        <v>174</v>
      </c>
      <c r="C289" s="1" t="s">
        <v>34</v>
      </c>
      <c r="D289" s="3">
        <v>2023</v>
      </c>
      <c r="E289">
        <v>54.4</v>
      </c>
      <c r="F289" s="4">
        <f t="shared" ca="1" si="8"/>
        <v>1.1036521739130436</v>
      </c>
      <c r="G289" s="4">
        <f t="shared" ca="1" si="9"/>
        <v>-2178.1380144927539</v>
      </c>
      <c r="H289" s="4" cm="1">
        <f t="array" aca="1" ref="H289" ca="1">MIN(
  INDEX($E:$E, MATCH($A289, $A:$A, 0) + 23) +
  (F289 * (2030 - 2023)),
  100
)</f>
        <v>62.125565217391305</v>
      </c>
      <c r="I2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0" spans="1:9" hidden="1" x14ac:dyDescent="0.35">
      <c r="A290" s="1" t="s">
        <v>57</v>
      </c>
      <c r="B290" s="1" t="s">
        <v>174</v>
      </c>
      <c r="C290" s="1" t="s">
        <v>34</v>
      </c>
      <c r="D290" s="3">
        <v>2000</v>
      </c>
      <c r="E290">
        <v>12.7</v>
      </c>
      <c r="F290" s="1">
        <f t="shared" ca="1" si="8"/>
        <v>2.1048260869565221</v>
      </c>
      <c r="G290" s="1">
        <f t="shared" ca="1" si="9"/>
        <v>-4203.7451739130438</v>
      </c>
      <c r="H290" s="1" cm="1">
        <f t="array" aca="1" ref="H290" ca="1">MIN(
  INDEX($E:$E, MATCH($A290, $A:$A, 0) + 23) +
  (F290 * (2030 - 2023)),
  100
)</f>
        <v>70.133782608695654</v>
      </c>
      <c r="I2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1" spans="1:9" hidden="1" x14ac:dyDescent="0.35">
      <c r="A291" s="1" t="s">
        <v>57</v>
      </c>
      <c r="B291" s="1" t="s">
        <v>174</v>
      </c>
      <c r="C291" s="1" t="s">
        <v>34</v>
      </c>
      <c r="D291" s="3">
        <v>2001</v>
      </c>
      <c r="E291">
        <v>10.199999999999999</v>
      </c>
      <c r="F291" s="1">
        <f t="shared" ca="1" si="8"/>
        <v>2.1048260869565221</v>
      </c>
      <c r="G291" s="1">
        <f t="shared" ca="1" si="9"/>
        <v>-4203.7451739130438</v>
      </c>
      <c r="H291" s="1" cm="1">
        <f t="array" aca="1" ref="H291" ca="1">MIN(
  INDEX($E:$E, MATCH($A291, $A:$A, 0) + 23) +
  (F291 * (2030 - 2023)),
  100
)</f>
        <v>70.133782608695654</v>
      </c>
      <c r="I2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2" spans="1:9" hidden="1" x14ac:dyDescent="0.35">
      <c r="A292" s="1" t="s">
        <v>57</v>
      </c>
      <c r="B292" s="1" t="s">
        <v>174</v>
      </c>
      <c r="C292" s="1" t="s">
        <v>34</v>
      </c>
      <c r="D292" s="3">
        <v>2002</v>
      </c>
      <c r="E292">
        <v>11.9</v>
      </c>
      <c r="F292" s="1">
        <f t="shared" ca="1" si="8"/>
        <v>2.1048260869565221</v>
      </c>
      <c r="G292" s="1">
        <f t="shared" ca="1" si="9"/>
        <v>-4203.7451739130438</v>
      </c>
      <c r="H292" s="1" cm="1">
        <f t="array" aca="1" ref="H292" ca="1">MIN(
  INDEX($E:$E, MATCH($A292, $A:$A, 0) + 23) +
  (F292 * (2030 - 2023)),
  100
)</f>
        <v>70.133782608695654</v>
      </c>
      <c r="I2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3" spans="1:9" hidden="1" x14ac:dyDescent="0.35">
      <c r="A293" s="1" t="s">
        <v>57</v>
      </c>
      <c r="B293" s="1" t="s">
        <v>174</v>
      </c>
      <c r="C293" s="1" t="s">
        <v>34</v>
      </c>
      <c r="D293" s="3">
        <v>2003</v>
      </c>
      <c r="E293">
        <v>13.5</v>
      </c>
      <c r="F293" s="1">
        <f t="shared" ca="1" si="8"/>
        <v>2.1048260869565221</v>
      </c>
      <c r="G293" s="1">
        <f t="shared" ca="1" si="9"/>
        <v>-4203.7451739130438</v>
      </c>
      <c r="H293" s="1" cm="1">
        <f t="array" aca="1" ref="H293" ca="1">MIN(
  INDEX($E:$E, MATCH($A293, $A:$A, 0) + 23) +
  (F293 * (2030 - 2023)),
  100
)</f>
        <v>70.133782608695654</v>
      </c>
      <c r="I2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4" spans="1:9" hidden="1" x14ac:dyDescent="0.35">
      <c r="A294" s="1" t="s">
        <v>57</v>
      </c>
      <c r="B294" s="1" t="s">
        <v>174</v>
      </c>
      <c r="C294" s="1" t="s">
        <v>34</v>
      </c>
      <c r="D294" s="3">
        <v>2004</v>
      </c>
      <c r="E294">
        <v>15.2</v>
      </c>
      <c r="F294" s="1">
        <f t="shared" ca="1" si="8"/>
        <v>2.1048260869565221</v>
      </c>
      <c r="G294" s="1">
        <f t="shared" ca="1" si="9"/>
        <v>-4203.7451739130438</v>
      </c>
      <c r="H294" s="1" cm="1">
        <f t="array" aca="1" ref="H294" ca="1">MIN(
  INDEX($E:$E, MATCH($A294, $A:$A, 0) + 23) +
  (F294 * (2030 - 2023)),
  100
)</f>
        <v>70.133782608695654</v>
      </c>
      <c r="I2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5" spans="1:9" hidden="1" x14ac:dyDescent="0.35">
      <c r="A295" s="1" t="s">
        <v>57</v>
      </c>
      <c r="B295" s="1" t="s">
        <v>174</v>
      </c>
      <c r="C295" s="1" t="s">
        <v>34</v>
      </c>
      <c r="D295" s="3">
        <v>2005</v>
      </c>
      <c r="E295">
        <v>14</v>
      </c>
      <c r="F295" s="1">
        <f t="shared" ca="1" si="8"/>
        <v>2.1048260869565221</v>
      </c>
      <c r="G295" s="1">
        <f t="shared" ca="1" si="9"/>
        <v>-4203.7451739130438</v>
      </c>
      <c r="H295" s="1" cm="1">
        <f t="array" aca="1" ref="H295" ca="1">MIN(
  INDEX($E:$E, MATCH($A295, $A:$A, 0) + 23) +
  (F295 * (2030 - 2023)),
  100
)</f>
        <v>70.133782608695654</v>
      </c>
      <c r="I2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6" spans="1:9" hidden="1" x14ac:dyDescent="0.35">
      <c r="A296" s="1" t="s">
        <v>57</v>
      </c>
      <c r="B296" s="1" t="s">
        <v>174</v>
      </c>
      <c r="C296" s="1" t="s">
        <v>34</v>
      </c>
      <c r="D296" s="3">
        <v>2006</v>
      </c>
      <c r="E296">
        <v>18.600000000000001</v>
      </c>
      <c r="F296" s="1">
        <f t="shared" ca="1" si="8"/>
        <v>2.1048260869565221</v>
      </c>
      <c r="G296" s="1">
        <f t="shared" ca="1" si="9"/>
        <v>-4203.7451739130438</v>
      </c>
      <c r="H296" s="1" cm="1">
        <f t="array" aca="1" ref="H296" ca="1">MIN(
  INDEX($E:$E, MATCH($A296, $A:$A, 0) + 23) +
  (F296 * (2030 - 2023)),
  100
)</f>
        <v>70.133782608695654</v>
      </c>
      <c r="I2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7" spans="1:9" hidden="1" x14ac:dyDescent="0.35">
      <c r="A297" s="1" t="s">
        <v>57</v>
      </c>
      <c r="B297" s="1" t="s">
        <v>174</v>
      </c>
      <c r="C297" s="1" t="s">
        <v>34</v>
      </c>
      <c r="D297" s="3">
        <v>2007</v>
      </c>
      <c r="E297">
        <v>20.3</v>
      </c>
      <c r="F297" s="1">
        <f t="shared" ca="1" si="8"/>
        <v>2.1048260869565221</v>
      </c>
      <c r="G297" s="1">
        <f t="shared" ca="1" si="9"/>
        <v>-4203.7451739130438</v>
      </c>
      <c r="H297" s="1" cm="1">
        <f t="array" aca="1" ref="H297" ca="1">MIN(
  INDEX($E:$E, MATCH($A297, $A:$A, 0) + 23) +
  (F297 * (2030 - 2023)),
  100
)</f>
        <v>70.133782608695654</v>
      </c>
      <c r="I2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8" spans="1:9" hidden="1" x14ac:dyDescent="0.35">
      <c r="A298" s="1" t="s">
        <v>57</v>
      </c>
      <c r="B298" s="1" t="s">
        <v>174</v>
      </c>
      <c r="C298" s="1" t="s">
        <v>34</v>
      </c>
      <c r="D298" s="3">
        <v>2008</v>
      </c>
      <c r="E298">
        <v>22</v>
      </c>
      <c r="F298" s="1">
        <f t="shared" ca="1" si="8"/>
        <v>2.1048260869565221</v>
      </c>
      <c r="G298" s="1">
        <f t="shared" ca="1" si="9"/>
        <v>-4203.7451739130438</v>
      </c>
      <c r="H298" s="1" cm="1">
        <f t="array" aca="1" ref="H298" ca="1">MIN(
  INDEX($E:$E, MATCH($A298, $A:$A, 0) + 23) +
  (F298 * (2030 - 2023)),
  100
)</f>
        <v>70.133782608695654</v>
      </c>
      <c r="I29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299" spans="1:9" hidden="1" x14ac:dyDescent="0.35">
      <c r="A299" s="1" t="s">
        <v>57</v>
      </c>
      <c r="B299" s="1" t="s">
        <v>174</v>
      </c>
      <c r="C299" s="1" t="s">
        <v>34</v>
      </c>
      <c r="D299" s="3">
        <v>2009</v>
      </c>
      <c r="E299">
        <v>23.7</v>
      </c>
      <c r="F299" s="1">
        <f t="shared" ca="1" si="8"/>
        <v>2.1048260869565221</v>
      </c>
      <c r="G299" s="1">
        <f t="shared" ca="1" si="9"/>
        <v>-4203.7451739130438</v>
      </c>
      <c r="H299" s="1" cm="1">
        <f t="array" aca="1" ref="H299" ca="1">MIN(
  INDEX($E:$E, MATCH($A299, $A:$A, 0) + 23) +
  (F299 * (2030 - 2023)),
  100
)</f>
        <v>70.133782608695654</v>
      </c>
      <c r="I29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0" spans="1:9" hidden="1" x14ac:dyDescent="0.35">
      <c r="A300" s="1" t="s">
        <v>57</v>
      </c>
      <c r="B300" s="1" t="s">
        <v>174</v>
      </c>
      <c r="C300" s="1" t="s">
        <v>34</v>
      </c>
      <c r="D300" s="3">
        <v>2010</v>
      </c>
      <c r="E300">
        <v>25.5</v>
      </c>
      <c r="F300" s="1">
        <f t="shared" ca="1" si="8"/>
        <v>2.1048260869565221</v>
      </c>
      <c r="G300" s="1">
        <f t="shared" ca="1" si="9"/>
        <v>-4203.7451739130438</v>
      </c>
      <c r="H300" s="1" cm="1">
        <f t="array" aca="1" ref="H300" ca="1">MIN(
  INDEX($E:$E, MATCH($A300, $A:$A, 0) + 23) +
  (F300 * (2030 - 2023)),
  100
)</f>
        <v>70.133782608695654</v>
      </c>
      <c r="I30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1" spans="1:9" hidden="1" x14ac:dyDescent="0.35">
      <c r="A301" s="1" t="s">
        <v>57</v>
      </c>
      <c r="B301" s="1" t="s">
        <v>174</v>
      </c>
      <c r="C301" s="1" t="s">
        <v>34</v>
      </c>
      <c r="D301" s="3">
        <v>2011</v>
      </c>
      <c r="E301">
        <v>23</v>
      </c>
      <c r="F301" s="1">
        <f t="shared" ca="1" si="8"/>
        <v>2.1048260869565221</v>
      </c>
      <c r="G301" s="1">
        <f t="shared" ca="1" si="9"/>
        <v>-4203.7451739130438</v>
      </c>
      <c r="H301" s="1" cm="1">
        <f t="array" aca="1" ref="H301" ca="1">MIN(
  INDEX($E:$E, MATCH($A301, $A:$A, 0) + 23) +
  (F301 * (2030 - 2023)),
  100
)</f>
        <v>70.133782608695654</v>
      </c>
      <c r="I30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2" spans="1:9" hidden="1" x14ac:dyDescent="0.35">
      <c r="A302" s="1" t="s">
        <v>57</v>
      </c>
      <c r="B302" s="1" t="s">
        <v>174</v>
      </c>
      <c r="C302" s="1" t="s">
        <v>34</v>
      </c>
      <c r="D302" s="3">
        <v>2012</v>
      </c>
      <c r="E302">
        <v>29</v>
      </c>
      <c r="F302" s="1">
        <f t="shared" ca="1" si="8"/>
        <v>2.1048260869565221</v>
      </c>
      <c r="G302" s="1">
        <f t="shared" ca="1" si="9"/>
        <v>-4203.7451739130438</v>
      </c>
      <c r="H302" s="1" cm="1">
        <f t="array" aca="1" ref="H302" ca="1">MIN(
  INDEX($E:$E, MATCH($A302, $A:$A, 0) + 23) +
  (F302 * (2030 - 2023)),
  100
)</f>
        <v>70.133782608695654</v>
      </c>
      <c r="I30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3" spans="1:9" hidden="1" x14ac:dyDescent="0.35">
      <c r="A303" s="1" t="s">
        <v>57</v>
      </c>
      <c r="B303" s="1" t="s">
        <v>174</v>
      </c>
      <c r="C303" s="1" t="s">
        <v>34</v>
      </c>
      <c r="D303" s="3">
        <v>2013</v>
      </c>
      <c r="E303">
        <v>30.8</v>
      </c>
      <c r="F303" s="1">
        <f t="shared" ca="1" si="8"/>
        <v>2.1048260869565221</v>
      </c>
      <c r="G303" s="1">
        <f t="shared" ca="1" si="9"/>
        <v>-4203.7451739130438</v>
      </c>
      <c r="H303" s="1" cm="1">
        <f t="array" aca="1" ref="H303" ca="1">MIN(
  INDEX($E:$E, MATCH($A303, $A:$A, 0) + 23) +
  (F303 * (2030 - 2023)),
  100
)</f>
        <v>70.133782608695654</v>
      </c>
      <c r="I30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4" spans="1:9" hidden="1" x14ac:dyDescent="0.35">
      <c r="A304" s="1" t="s">
        <v>57</v>
      </c>
      <c r="B304" s="1" t="s">
        <v>174</v>
      </c>
      <c r="C304" s="1" t="s">
        <v>34</v>
      </c>
      <c r="D304" s="3">
        <v>2014</v>
      </c>
      <c r="E304">
        <v>27.2</v>
      </c>
      <c r="F304" s="1">
        <f t="shared" ca="1" si="8"/>
        <v>2.1048260869565221</v>
      </c>
      <c r="G304" s="1">
        <f t="shared" ca="1" si="9"/>
        <v>-4203.7451739130438</v>
      </c>
      <c r="H304" s="1" cm="1">
        <f t="array" aca="1" ref="H304" ca="1">MIN(
  INDEX($E:$E, MATCH($A304, $A:$A, 0) + 23) +
  (F304 * (2030 - 2023)),
  100
)</f>
        <v>70.133782608695654</v>
      </c>
      <c r="I30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5" spans="1:9" hidden="1" x14ac:dyDescent="0.35">
      <c r="A305" s="1" t="s">
        <v>57</v>
      </c>
      <c r="B305" s="1" t="s">
        <v>174</v>
      </c>
      <c r="C305" s="1" t="s">
        <v>34</v>
      </c>
      <c r="D305" s="3">
        <v>2015</v>
      </c>
      <c r="E305">
        <v>29</v>
      </c>
      <c r="F305" s="1">
        <f t="shared" ca="1" si="8"/>
        <v>2.1048260869565221</v>
      </c>
      <c r="G305" s="1">
        <f t="shared" ca="1" si="9"/>
        <v>-4203.7451739130438</v>
      </c>
      <c r="H305" s="1" cm="1">
        <f t="array" aca="1" ref="H305" ca="1">MIN(
  INDEX($E:$E, MATCH($A305, $A:$A, 0) + 23) +
  (F305 * (2030 - 2023)),
  100
)</f>
        <v>70.133782608695654</v>
      </c>
      <c r="I30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6" spans="1:9" hidden="1" x14ac:dyDescent="0.35">
      <c r="A306" s="1" t="s">
        <v>57</v>
      </c>
      <c r="B306" s="1" t="s">
        <v>174</v>
      </c>
      <c r="C306" s="1" t="s">
        <v>34</v>
      </c>
      <c r="D306" s="3">
        <v>2016</v>
      </c>
      <c r="E306">
        <v>42.9</v>
      </c>
      <c r="F306" s="1">
        <f t="shared" ca="1" si="8"/>
        <v>2.1048260869565221</v>
      </c>
      <c r="G306" s="1">
        <f t="shared" ca="1" si="9"/>
        <v>-4203.7451739130438</v>
      </c>
      <c r="H306" s="1" cm="1">
        <f t="array" aca="1" ref="H306" ca="1">MIN(
  INDEX($E:$E, MATCH($A306, $A:$A, 0) + 23) +
  (F306 * (2030 - 2023)),
  100
)</f>
        <v>70.133782608695654</v>
      </c>
      <c r="I30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7" spans="1:9" hidden="1" x14ac:dyDescent="0.35">
      <c r="A307" s="1" t="s">
        <v>57</v>
      </c>
      <c r="B307" s="1" t="s">
        <v>174</v>
      </c>
      <c r="C307" s="1" t="s">
        <v>34</v>
      </c>
      <c r="D307" s="3">
        <v>2017</v>
      </c>
      <c r="E307">
        <v>44.3</v>
      </c>
      <c r="F307" s="1">
        <f t="shared" ca="1" si="8"/>
        <v>2.1048260869565221</v>
      </c>
      <c r="G307" s="1">
        <f t="shared" ca="1" si="9"/>
        <v>-4203.7451739130438</v>
      </c>
      <c r="H307" s="1" cm="1">
        <f t="array" aca="1" ref="H307" ca="1">MIN(
  INDEX($E:$E, MATCH($A307, $A:$A, 0) + 23) +
  (F307 * (2030 - 2023)),
  100
)</f>
        <v>70.133782608695654</v>
      </c>
      <c r="I30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8" spans="1:9" hidden="1" x14ac:dyDescent="0.35">
      <c r="A308" s="1" t="s">
        <v>57</v>
      </c>
      <c r="B308" s="1" t="s">
        <v>174</v>
      </c>
      <c r="C308" s="1" t="s">
        <v>34</v>
      </c>
      <c r="D308" s="3">
        <v>2018</v>
      </c>
      <c r="E308">
        <v>44.8</v>
      </c>
      <c r="F308" s="1">
        <f t="shared" ca="1" si="8"/>
        <v>2.1048260869565221</v>
      </c>
      <c r="G308" s="1">
        <f t="shared" ca="1" si="9"/>
        <v>-4203.7451739130438</v>
      </c>
      <c r="H308" s="1" cm="1">
        <f t="array" aca="1" ref="H308" ca="1">MIN(
  INDEX($E:$E, MATCH($A308, $A:$A, 0) + 23) +
  (F308 * (2030 - 2023)),
  100
)</f>
        <v>70.133782608695654</v>
      </c>
      <c r="I30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09" spans="1:9" hidden="1" x14ac:dyDescent="0.35">
      <c r="A309" s="1" t="s">
        <v>57</v>
      </c>
      <c r="B309" s="1" t="s">
        <v>174</v>
      </c>
      <c r="C309" s="1" t="s">
        <v>34</v>
      </c>
      <c r="D309" s="3">
        <v>2019</v>
      </c>
      <c r="E309">
        <v>48</v>
      </c>
      <c r="F309" s="1">
        <f t="shared" ca="1" si="8"/>
        <v>2.1048260869565221</v>
      </c>
      <c r="G309" s="1">
        <f t="shared" ca="1" si="9"/>
        <v>-4203.7451739130438</v>
      </c>
      <c r="H309" s="1" cm="1">
        <f t="array" aca="1" ref="H309" ca="1">MIN(
  INDEX($E:$E, MATCH($A309, $A:$A, 0) + 23) +
  (F309 * (2030 - 2023)),
  100
)</f>
        <v>70.133782608695654</v>
      </c>
      <c r="I30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10" spans="1:9" hidden="1" x14ac:dyDescent="0.35">
      <c r="A310" s="1" t="s">
        <v>57</v>
      </c>
      <c r="B310" s="1" t="s">
        <v>174</v>
      </c>
      <c r="C310" s="1" t="s">
        <v>34</v>
      </c>
      <c r="D310" s="3">
        <v>2020</v>
      </c>
      <c r="E310">
        <v>51.1</v>
      </c>
      <c r="F310" s="1">
        <f t="shared" ca="1" si="8"/>
        <v>2.1048260869565221</v>
      </c>
      <c r="G310" s="1">
        <f t="shared" ca="1" si="9"/>
        <v>-4203.7451739130438</v>
      </c>
      <c r="H310" s="1" cm="1">
        <f t="array" aca="1" ref="H310" ca="1">MIN(
  INDEX($E:$E, MATCH($A310, $A:$A, 0) + 23) +
  (F310 * (2030 - 2023)),
  100
)</f>
        <v>70.133782608695654</v>
      </c>
      <c r="I31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11" spans="1:9" hidden="1" x14ac:dyDescent="0.35">
      <c r="A311" s="1" t="s">
        <v>57</v>
      </c>
      <c r="B311" s="1" t="s">
        <v>174</v>
      </c>
      <c r="C311" s="1" t="s">
        <v>34</v>
      </c>
      <c r="D311" s="3">
        <v>2021</v>
      </c>
      <c r="E311">
        <v>54.2</v>
      </c>
      <c r="F311" s="1">
        <f t="shared" ca="1" si="8"/>
        <v>2.1048260869565221</v>
      </c>
      <c r="G311" s="1">
        <f t="shared" ca="1" si="9"/>
        <v>-4203.7451739130438</v>
      </c>
      <c r="H311" s="1" cm="1">
        <f t="array" aca="1" ref="H311" ca="1">MIN(
  INDEX($E:$E, MATCH($A311, $A:$A, 0) + 23) +
  (F311 * (2030 - 2023)),
  100
)</f>
        <v>70.133782608695654</v>
      </c>
      <c r="I31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12" spans="1:9" hidden="1" x14ac:dyDescent="0.35">
      <c r="A312" s="1" t="s">
        <v>57</v>
      </c>
      <c r="B312" s="1" t="s">
        <v>174</v>
      </c>
      <c r="C312" s="1" t="s">
        <v>34</v>
      </c>
      <c r="D312" s="3">
        <v>2022</v>
      </c>
      <c r="E312">
        <v>55.4</v>
      </c>
      <c r="F312" s="1">
        <f t="shared" ca="1" si="8"/>
        <v>2.1048260869565221</v>
      </c>
      <c r="G312" s="1">
        <f t="shared" ca="1" si="9"/>
        <v>-4203.7451739130438</v>
      </c>
      <c r="H312" s="1" cm="1">
        <f t="array" aca="1" ref="H312" ca="1">MIN(
  INDEX($E:$E, MATCH($A312, $A:$A, 0) + 23) +
  (F312 * (2030 - 2023)),
  100
)</f>
        <v>70.133782608695654</v>
      </c>
      <c r="I31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13" spans="1:9" x14ac:dyDescent="0.35">
      <c r="A313" s="1" t="s">
        <v>57</v>
      </c>
      <c r="B313" s="1" t="s">
        <v>174</v>
      </c>
      <c r="C313" s="1" t="s">
        <v>34</v>
      </c>
      <c r="D313" s="3">
        <v>2023</v>
      </c>
      <c r="E313">
        <v>55.4</v>
      </c>
      <c r="F313" s="4">
        <f t="shared" ca="1" si="8"/>
        <v>2.1048260869565221</v>
      </c>
      <c r="G313" s="4">
        <f t="shared" ca="1" si="9"/>
        <v>-4203.7451739130438</v>
      </c>
      <c r="H313" s="4" cm="1">
        <f t="array" aca="1" ref="H313" ca="1">MIN(
  INDEX($E:$E, MATCH($A313, $A:$A, 0) + 23) +
  (F313 * (2030 - 2023)),
  100
)</f>
        <v>70.133782608695654</v>
      </c>
      <c r="I31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14" spans="1:9" hidden="1" x14ac:dyDescent="0.35">
      <c r="A314" s="1" t="s">
        <v>59</v>
      </c>
      <c r="B314" s="1" t="s">
        <v>172</v>
      </c>
      <c r="C314" s="1" t="s">
        <v>41</v>
      </c>
      <c r="D314" s="3">
        <v>2000</v>
      </c>
      <c r="E314">
        <v>73.599999999999994</v>
      </c>
      <c r="F314" s="1">
        <f t="shared" ca="1" si="8"/>
        <v>0.75673913043478236</v>
      </c>
      <c r="G314" s="1">
        <f t="shared" ca="1" si="9"/>
        <v>-1436.8765942028981</v>
      </c>
      <c r="H314" s="1" cm="1">
        <f t="array" aca="1" ref="H314" ca="1">MIN(
  INDEX($E:$E, MATCH($A314, $A:$A, 0) + 23) +
  (F314 * (2030 - 2023)),
  100
)</f>
        <v>99.397173913043474</v>
      </c>
      <c r="I31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15" spans="1:9" hidden="1" x14ac:dyDescent="0.35">
      <c r="A315" s="1" t="s">
        <v>59</v>
      </c>
      <c r="B315" s="1" t="s">
        <v>172</v>
      </c>
      <c r="C315" s="1" t="s">
        <v>41</v>
      </c>
      <c r="D315" s="3">
        <v>2001</v>
      </c>
      <c r="E315">
        <v>77.2</v>
      </c>
      <c r="F315" s="1">
        <f t="shared" ca="1" si="8"/>
        <v>0.75673913043478236</v>
      </c>
      <c r="G315" s="1">
        <f t="shared" ca="1" si="9"/>
        <v>-1436.8765942028981</v>
      </c>
      <c r="H315" s="1" cm="1">
        <f t="array" aca="1" ref="H315" ca="1">MIN(
  INDEX($E:$E, MATCH($A315, $A:$A, 0) + 23) +
  (F315 * (2030 - 2023)),
  100
)</f>
        <v>99.397173913043474</v>
      </c>
      <c r="I31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16" spans="1:9" hidden="1" x14ac:dyDescent="0.35">
      <c r="A316" s="1" t="s">
        <v>59</v>
      </c>
      <c r="B316" s="1" t="s">
        <v>172</v>
      </c>
      <c r="C316" s="1" t="s">
        <v>41</v>
      </c>
      <c r="D316" s="3">
        <v>2002</v>
      </c>
      <c r="E316">
        <v>77.8</v>
      </c>
      <c r="F316" s="1">
        <f t="shared" ca="1" si="8"/>
        <v>0.75673913043478236</v>
      </c>
      <c r="G316" s="1">
        <f t="shared" ca="1" si="9"/>
        <v>-1436.8765942028981</v>
      </c>
      <c r="H316" s="1" cm="1">
        <f t="array" aca="1" ref="H316" ca="1">MIN(
  INDEX($E:$E, MATCH($A316, $A:$A, 0) + 23) +
  (F316 * (2030 - 2023)),
  100
)</f>
        <v>99.397173913043474</v>
      </c>
      <c r="I31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17" spans="1:9" hidden="1" x14ac:dyDescent="0.35">
      <c r="A317" s="1" t="s">
        <v>59</v>
      </c>
      <c r="B317" s="1" t="s">
        <v>172</v>
      </c>
      <c r="C317" s="1" t="s">
        <v>41</v>
      </c>
      <c r="D317" s="3">
        <v>2003</v>
      </c>
      <c r="E317">
        <v>78.5</v>
      </c>
      <c r="F317" s="1">
        <f t="shared" ca="1" si="8"/>
        <v>0.75673913043478236</v>
      </c>
      <c r="G317" s="1">
        <f t="shared" ca="1" si="9"/>
        <v>-1436.8765942028981</v>
      </c>
      <c r="H317" s="1" cm="1">
        <f t="array" aca="1" ref="H317" ca="1">MIN(
  INDEX($E:$E, MATCH($A317, $A:$A, 0) + 23) +
  (F317 * (2030 - 2023)),
  100
)</f>
        <v>99.397173913043474</v>
      </c>
      <c r="I31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18" spans="1:9" hidden="1" x14ac:dyDescent="0.35">
      <c r="A318" s="1" t="s">
        <v>59</v>
      </c>
      <c r="B318" s="1" t="s">
        <v>172</v>
      </c>
      <c r="C318" s="1" t="s">
        <v>41</v>
      </c>
      <c r="D318" s="3">
        <v>2004</v>
      </c>
      <c r="E318">
        <v>79.2</v>
      </c>
      <c r="F318" s="1">
        <f t="shared" ca="1" si="8"/>
        <v>0.75673913043478236</v>
      </c>
      <c r="G318" s="1">
        <f t="shared" ca="1" si="9"/>
        <v>-1436.8765942028981</v>
      </c>
      <c r="H318" s="1" cm="1">
        <f t="array" aca="1" ref="H318" ca="1">MIN(
  INDEX($E:$E, MATCH($A318, $A:$A, 0) + 23) +
  (F318 * (2030 - 2023)),
  100
)</f>
        <v>99.397173913043474</v>
      </c>
      <c r="I31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19" spans="1:9" hidden="1" x14ac:dyDescent="0.35">
      <c r="A319" s="1" t="s">
        <v>59</v>
      </c>
      <c r="B319" s="1" t="s">
        <v>172</v>
      </c>
      <c r="C319" s="1" t="s">
        <v>41</v>
      </c>
      <c r="D319" s="3">
        <v>2005</v>
      </c>
      <c r="E319">
        <v>81.599999999999994</v>
      </c>
      <c r="F319" s="1">
        <f t="shared" ca="1" si="8"/>
        <v>0.75673913043478236</v>
      </c>
      <c r="G319" s="1">
        <f t="shared" ca="1" si="9"/>
        <v>-1436.8765942028981</v>
      </c>
      <c r="H319" s="1" cm="1">
        <f t="array" aca="1" ref="H319" ca="1">MIN(
  INDEX($E:$E, MATCH($A319, $A:$A, 0) + 23) +
  (F319 * (2030 - 2023)),
  100
)</f>
        <v>99.397173913043474</v>
      </c>
      <c r="I31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0" spans="1:9" hidden="1" x14ac:dyDescent="0.35">
      <c r="A320" s="1" t="s">
        <v>59</v>
      </c>
      <c r="B320" s="1" t="s">
        <v>172</v>
      </c>
      <c r="C320" s="1" t="s">
        <v>41</v>
      </c>
      <c r="D320" s="3">
        <v>2006</v>
      </c>
      <c r="E320">
        <v>80.5</v>
      </c>
      <c r="F320" s="1">
        <f t="shared" ca="1" si="8"/>
        <v>0.75673913043478236</v>
      </c>
      <c r="G320" s="1">
        <f t="shared" ca="1" si="9"/>
        <v>-1436.8765942028981</v>
      </c>
      <c r="H320" s="1" cm="1">
        <f t="array" aca="1" ref="H320" ca="1">MIN(
  INDEX($E:$E, MATCH($A320, $A:$A, 0) + 23) +
  (F320 * (2030 - 2023)),
  100
)</f>
        <v>99.397173913043474</v>
      </c>
      <c r="I32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1" spans="1:9" hidden="1" x14ac:dyDescent="0.35">
      <c r="A321" s="1" t="s">
        <v>59</v>
      </c>
      <c r="B321" s="1" t="s">
        <v>172</v>
      </c>
      <c r="C321" s="1" t="s">
        <v>41</v>
      </c>
      <c r="D321" s="3">
        <v>2007</v>
      </c>
      <c r="E321">
        <v>81.3</v>
      </c>
      <c r="F321" s="1">
        <f t="shared" ca="1" si="8"/>
        <v>0.75673913043478236</v>
      </c>
      <c r="G321" s="1">
        <f t="shared" ca="1" si="9"/>
        <v>-1436.8765942028981</v>
      </c>
      <c r="H321" s="1" cm="1">
        <f t="array" aca="1" ref="H321" ca="1">MIN(
  INDEX($E:$E, MATCH($A321, $A:$A, 0) + 23) +
  (F321 * (2030 - 2023)),
  100
)</f>
        <v>99.397173913043474</v>
      </c>
      <c r="I32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2" spans="1:9" hidden="1" x14ac:dyDescent="0.35">
      <c r="A322" s="1" t="s">
        <v>59</v>
      </c>
      <c r="B322" s="1" t="s">
        <v>172</v>
      </c>
      <c r="C322" s="1" t="s">
        <v>41</v>
      </c>
      <c r="D322" s="3">
        <v>2008</v>
      </c>
      <c r="E322">
        <v>82</v>
      </c>
      <c r="F322" s="1">
        <f t="shared" ref="F322:F385" ca="1" si="10">SLOPE(
  OFFSET($E$1, MATCH($A322, $A:$A, 0)-1, 0, 24, 1),
  OFFSET($D$1, MATCH($A322, $A:$A, 0)-1, 0, 24, 1)
)</f>
        <v>0.75673913043478236</v>
      </c>
      <c r="G322" s="1">
        <f t="shared" ref="G322:G385" ca="1" si="11">INTERCEPT(
  OFFSET($E$1, MATCH($A322, $A:$A, 0)-1, 0, 24, 1),
  OFFSET($D$1, MATCH($A322, $A:$A, 0)-1, 0, 24, 1)
)</f>
        <v>-1436.8765942028981</v>
      </c>
      <c r="H322" s="1" cm="1">
        <f t="array" aca="1" ref="H322" ca="1">MIN(
  INDEX($E:$E, MATCH($A322, $A:$A, 0) + 23) +
  (F322 * (2030 - 2023)),
  100
)</f>
        <v>99.397173913043474</v>
      </c>
      <c r="I32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3" spans="1:9" hidden="1" x14ac:dyDescent="0.35">
      <c r="A323" s="1" t="s">
        <v>59</v>
      </c>
      <c r="B323" s="1" t="s">
        <v>172</v>
      </c>
      <c r="C323" s="1" t="s">
        <v>41</v>
      </c>
      <c r="D323" s="3">
        <v>2009</v>
      </c>
      <c r="E323">
        <v>82.7</v>
      </c>
      <c r="F323" s="1">
        <f t="shared" ca="1" si="10"/>
        <v>0.75673913043478236</v>
      </c>
      <c r="G323" s="1">
        <f t="shared" ca="1" si="11"/>
        <v>-1436.8765942028981</v>
      </c>
      <c r="H323" s="1" cm="1">
        <f t="array" aca="1" ref="H323" ca="1">MIN(
  INDEX($E:$E, MATCH($A323, $A:$A, 0) + 23) +
  (F323 * (2030 - 2023)),
  100
)</f>
        <v>99.397173913043474</v>
      </c>
      <c r="I32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4" spans="1:9" hidden="1" x14ac:dyDescent="0.35">
      <c r="A324" s="1" t="s">
        <v>59</v>
      </c>
      <c r="B324" s="1" t="s">
        <v>172</v>
      </c>
      <c r="C324" s="1" t="s">
        <v>41</v>
      </c>
      <c r="D324" s="3">
        <v>2010</v>
      </c>
      <c r="E324">
        <v>89.3</v>
      </c>
      <c r="F324" s="1">
        <f t="shared" ca="1" si="10"/>
        <v>0.75673913043478236</v>
      </c>
      <c r="G324" s="1">
        <f t="shared" ca="1" si="11"/>
        <v>-1436.8765942028981</v>
      </c>
      <c r="H324" s="1" cm="1">
        <f t="array" aca="1" ref="H324" ca="1">MIN(
  INDEX($E:$E, MATCH($A324, $A:$A, 0) + 23) +
  (F324 * (2030 - 2023)),
  100
)</f>
        <v>99.397173913043474</v>
      </c>
      <c r="I32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5" spans="1:9" hidden="1" x14ac:dyDescent="0.35">
      <c r="A325" s="1" t="s">
        <v>59</v>
      </c>
      <c r="B325" s="1" t="s">
        <v>172</v>
      </c>
      <c r="C325" s="1" t="s">
        <v>41</v>
      </c>
      <c r="D325" s="3">
        <v>2011</v>
      </c>
      <c r="E325">
        <v>88.7</v>
      </c>
      <c r="F325" s="1">
        <f t="shared" ca="1" si="10"/>
        <v>0.75673913043478236</v>
      </c>
      <c r="G325" s="1">
        <f t="shared" ca="1" si="11"/>
        <v>-1436.8765942028981</v>
      </c>
      <c r="H325" s="1" cm="1">
        <f t="array" aca="1" ref="H325" ca="1">MIN(
  INDEX($E:$E, MATCH($A325, $A:$A, 0) + 23) +
  (F325 * (2030 - 2023)),
  100
)</f>
        <v>99.397173913043474</v>
      </c>
      <c r="I32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6" spans="1:9" hidden="1" x14ac:dyDescent="0.35">
      <c r="A326" s="1" t="s">
        <v>59</v>
      </c>
      <c r="B326" s="1" t="s">
        <v>172</v>
      </c>
      <c r="C326" s="1" t="s">
        <v>41</v>
      </c>
      <c r="D326" s="3">
        <v>2012</v>
      </c>
      <c r="E326">
        <v>89.3</v>
      </c>
      <c r="F326" s="1">
        <f t="shared" ca="1" si="10"/>
        <v>0.75673913043478236</v>
      </c>
      <c r="G326" s="1">
        <f t="shared" ca="1" si="11"/>
        <v>-1436.8765942028981</v>
      </c>
      <c r="H326" s="1" cm="1">
        <f t="array" aca="1" ref="H326" ca="1">MIN(
  INDEX($E:$E, MATCH($A326, $A:$A, 0) + 23) +
  (F326 * (2030 - 2023)),
  100
)</f>
        <v>99.397173913043474</v>
      </c>
      <c r="I32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7" spans="1:9" hidden="1" x14ac:dyDescent="0.35">
      <c r="A327" s="1" t="s">
        <v>59</v>
      </c>
      <c r="B327" s="1" t="s">
        <v>172</v>
      </c>
      <c r="C327" s="1" t="s">
        <v>41</v>
      </c>
      <c r="D327" s="3">
        <v>2013</v>
      </c>
      <c r="E327">
        <v>86.4</v>
      </c>
      <c r="F327" s="1">
        <f t="shared" ca="1" si="10"/>
        <v>0.75673913043478236</v>
      </c>
      <c r="G327" s="1">
        <f t="shared" ca="1" si="11"/>
        <v>-1436.8765942028981</v>
      </c>
      <c r="H327" s="1" cm="1">
        <f t="array" aca="1" ref="H327" ca="1">MIN(
  INDEX($E:$E, MATCH($A327, $A:$A, 0) + 23) +
  (F327 * (2030 - 2023)),
  100
)</f>
        <v>99.397173913043474</v>
      </c>
      <c r="I32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8" spans="1:9" hidden="1" x14ac:dyDescent="0.35">
      <c r="A328" s="1" t="s">
        <v>59</v>
      </c>
      <c r="B328" s="1" t="s">
        <v>172</v>
      </c>
      <c r="C328" s="1" t="s">
        <v>41</v>
      </c>
      <c r="D328" s="3">
        <v>2014</v>
      </c>
      <c r="E328">
        <v>87.1</v>
      </c>
      <c r="F328" s="1">
        <f t="shared" ca="1" si="10"/>
        <v>0.75673913043478236</v>
      </c>
      <c r="G328" s="1">
        <f t="shared" ca="1" si="11"/>
        <v>-1436.8765942028981</v>
      </c>
      <c r="H328" s="1" cm="1">
        <f t="array" aca="1" ref="H328" ca="1">MIN(
  INDEX($E:$E, MATCH($A328, $A:$A, 0) + 23) +
  (F328 * (2030 - 2023)),
  100
)</f>
        <v>99.397173913043474</v>
      </c>
      <c r="I32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29" spans="1:9" hidden="1" x14ac:dyDescent="0.35">
      <c r="A329" s="1" t="s">
        <v>59</v>
      </c>
      <c r="B329" s="1" t="s">
        <v>172</v>
      </c>
      <c r="C329" s="1" t="s">
        <v>41</v>
      </c>
      <c r="D329" s="3">
        <v>2015</v>
      </c>
      <c r="E329">
        <v>87.3</v>
      </c>
      <c r="F329" s="1">
        <f t="shared" ca="1" si="10"/>
        <v>0.75673913043478236</v>
      </c>
      <c r="G329" s="1">
        <f t="shared" ca="1" si="11"/>
        <v>-1436.8765942028981</v>
      </c>
      <c r="H329" s="1" cm="1">
        <f t="array" aca="1" ref="H329" ca="1">MIN(
  INDEX($E:$E, MATCH($A329, $A:$A, 0) + 23) +
  (F329 * (2030 - 2023)),
  100
)</f>
        <v>99.397173913043474</v>
      </c>
      <c r="I32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0" spans="1:9" hidden="1" x14ac:dyDescent="0.35">
      <c r="A330" s="1" t="s">
        <v>59</v>
      </c>
      <c r="B330" s="1" t="s">
        <v>172</v>
      </c>
      <c r="C330" s="1" t="s">
        <v>41</v>
      </c>
      <c r="D330" s="3">
        <v>2016</v>
      </c>
      <c r="E330">
        <v>88.1</v>
      </c>
      <c r="F330" s="1">
        <f t="shared" ca="1" si="10"/>
        <v>0.75673913043478236</v>
      </c>
      <c r="G330" s="1">
        <f t="shared" ca="1" si="11"/>
        <v>-1436.8765942028981</v>
      </c>
      <c r="H330" s="1" cm="1">
        <f t="array" aca="1" ref="H330" ca="1">MIN(
  INDEX($E:$E, MATCH($A330, $A:$A, 0) + 23) +
  (F330 * (2030 - 2023)),
  100
)</f>
        <v>99.397173913043474</v>
      </c>
      <c r="I33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1" spans="1:9" hidden="1" x14ac:dyDescent="0.35">
      <c r="A331" s="1" t="s">
        <v>59</v>
      </c>
      <c r="B331" s="1" t="s">
        <v>172</v>
      </c>
      <c r="C331" s="1" t="s">
        <v>41</v>
      </c>
      <c r="D331" s="3">
        <v>2017</v>
      </c>
      <c r="E331">
        <v>86.3</v>
      </c>
      <c r="F331" s="1">
        <f t="shared" ca="1" si="10"/>
        <v>0.75673913043478236</v>
      </c>
      <c r="G331" s="1">
        <f t="shared" ca="1" si="11"/>
        <v>-1436.8765942028981</v>
      </c>
      <c r="H331" s="1" cm="1">
        <f t="array" aca="1" ref="H331" ca="1">MIN(
  INDEX($E:$E, MATCH($A331, $A:$A, 0) + 23) +
  (F331 * (2030 - 2023)),
  100
)</f>
        <v>99.397173913043474</v>
      </c>
      <c r="I33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2" spans="1:9" hidden="1" x14ac:dyDescent="0.35">
      <c r="A332" s="1" t="s">
        <v>59</v>
      </c>
      <c r="B332" s="1" t="s">
        <v>172</v>
      </c>
      <c r="C332" s="1" t="s">
        <v>41</v>
      </c>
      <c r="D332" s="3">
        <v>2018</v>
      </c>
      <c r="E332">
        <v>89.6</v>
      </c>
      <c r="F332" s="1">
        <f t="shared" ca="1" si="10"/>
        <v>0.75673913043478236</v>
      </c>
      <c r="G332" s="1">
        <f t="shared" ca="1" si="11"/>
        <v>-1436.8765942028981</v>
      </c>
      <c r="H332" s="1" cm="1">
        <f t="array" aca="1" ref="H332" ca="1">MIN(
  INDEX($E:$E, MATCH($A332, $A:$A, 0) + 23) +
  (F332 * (2030 - 2023)),
  100
)</f>
        <v>99.397173913043474</v>
      </c>
      <c r="I33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3" spans="1:9" hidden="1" x14ac:dyDescent="0.35">
      <c r="A333" s="1" t="s">
        <v>59</v>
      </c>
      <c r="B333" s="1" t="s">
        <v>172</v>
      </c>
      <c r="C333" s="1" t="s">
        <v>41</v>
      </c>
      <c r="D333" s="3">
        <v>2019</v>
      </c>
      <c r="E333">
        <v>90.3</v>
      </c>
      <c r="F333" s="1">
        <f t="shared" ca="1" si="10"/>
        <v>0.75673913043478236</v>
      </c>
      <c r="G333" s="1">
        <f t="shared" ca="1" si="11"/>
        <v>-1436.8765942028981</v>
      </c>
      <c r="H333" s="1" cm="1">
        <f t="array" aca="1" ref="H333" ca="1">MIN(
  INDEX($E:$E, MATCH($A333, $A:$A, 0) + 23) +
  (F333 * (2030 - 2023)),
  100
)</f>
        <v>99.397173913043474</v>
      </c>
      <c r="I33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4" spans="1:9" hidden="1" x14ac:dyDescent="0.35">
      <c r="A334" s="1" t="s">
        <v>59</v>
      </c>
      <c r="B334" s="1" t="s">
        <v>172</v>
      </c>
      <c r="C334" s="1" t="s">
        <v>41</v>
      </c>
      <c r="D334" s="3">
        <v>2020</v>
      </c>
      <c r="E334">
        <v>91.1</v>
      </c>
      <c r="F334" s="1">
        <f t="shared" ca="1" si="10"/>
        <v>0.75673913043478236</v>
      </c>
      <c r="G334" s="1">
        <f t="shared" ca="1" si="11"/>
        <v>-1436.8765942028981</v>
      </c>
      <c r="H334" s="1" cm="1">
        <f t="array" aca="1" ref="H334" ca="1">MIN(
  INDEX($E:$E, MATCH($A334, $A:$A, 0) + 23) +
  (F334 * (2030 - 2023)),
  100
)</f>
        <v>99.397173913043474</v>
      </c>
      <c r="I33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5" spans="1:9" hidden="1" x14ac:dyDescent="0.35">
      <c r="A335" s="1" t="s">
        <v>59</v>
      </c>
      <c r="B335" s="1" t="s">
        <v>172</v>
      </c>
      <c r="C335" s="1" t="s">
        <v>41</v>
      </c>
      <c r="D335" s="3">
        <v>2021</v>
      </c>
      <c r="E335">
        <v>91.8</v>
      </c>
      <c r="F335" s="1">
        <f t="shared" ca="1" si="10"/>
        <v>0.75673913043478236</v>
      </c>
      <c r="G335" s="1">
        <f t="shared" ca="1" si="11"/>
        <v>-1436.8765942028981</v>
      </c>
      <c r="H335" s="1" cm="1">
        <f t="array" aca="1" ref="H335" ca="1">MIN(
  INDEX($E:$E, MATCH($A335, $A:$A, 0) + 23) +
  (F335 * (2030 - 2023)),
  100
)</f>
        <v>99.397173913043474</v>
      </c>
      <c r="I33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6" spans="1:9" hidden="1" x14ac:dyDescent="0.35">
      <c r="A336" s="1" t="s">
        <v>59</v>
      </c>
      <c r="B336" s="1" t="s">
        <v>172</v>
      </c>
      <c r="C336" s="1" t="s">
        <v>41</v>
      </c>
      <c r="D336" s="3">
        <v>2022</v>
      </c>
      <c r="E336">
        <v>93.5</v>
      </c>
      <c r="F336" s="1">
        <f t="shared" ca="1" si="10"/>
        <v>0.75673913043478236</v>
      </c>
      <c r="G336" s="1">
        <f t="shared" ca="1" si="11"/>
        <v>-1436.8765942028981</v>
      </c>
      <c r="H336" s="1" cm="1">
        <f t="array" aca="1" ref="H336" ca="1">MIN(
  INDEX($E:$E, MATCH($A336, $A:$A, 0) + 23) +
  (F336 * (2030 - 2023)),
  100
)</f>
        <v>99.397173913043474</v>
      </c>
      <c r="I33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7" spans="1:9" x14ac:dyDescent="0.35">
      <c r="A337" s="1" t="s">
        <v>59</v>
      </c>
      <c r="B337" s="1" t="s">
        <v>172</v>
      </c>
      <c r="C337" s="1" t="s">
        <v>41</v>
      </c>
      <c r="D337" s="3">
        <v>2023</v>
      </c>
      <c r="E337">
        <v>94.1</v>
      </c>
      <c r="F337" s="4">
        <f t="shared" ca="1" si="10"/>
        <v>0.75673913043478236</v>
      </c>
      <c r="G337" s="4">
        <f t="shared" ca="1" si="11"/>
        <v>-1436.8765942028981</v>
      </c>
      <c r="H337" s="4" cm="1">
        <f t="array" aca="1" ref="H337" ca="1">MIN(
  INDEX($E:$E, MATCH($A337, $A:$A, 0) + 23) +
  (F337 * (2030 - 2023)),
  100
)</f>
        <v>99.397173913043474</v>
      </c>
      <c r="I33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8" spans="1:9" hidden="1" x14ac:dyDescent="0.35">
      <c r="A338" s="1" t="s">
        <v>61</v>
      </c>
      <c r="B338" s="1" t="s">
        <v>175</v>
      </c>
      <c r="C338" s="1" t="s">
        <v>31</v>
      </c>
      <c r="D338" s="3">
        <v>2000</v>
      </c>
      <c r="E338">
        <v>43.7</v>
      </c>
      <c r="F338" s="1">
        <f t="shared" ca="1" si="10"/>
        <v>2.1463478260869562</v>
      </c>
      <c r="G338" s="1">
        <f t="shared" ca="1" si="11"/>
        <v>-4251.3119855072455</v>
      </c>
      <c r="H338" s="1" cm="1">
        <f t="array" aca="1" ref="H338" ca="1">MIN(
  INDEX($E:$E, MATCH($A338, $A:$A, 0) + 23) +
  (F338 * (2030 - 2023)),
  100
)</f>
        <v>100</v>
      </c>
      <c r="I33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39" spans="1:9" hidden="1" x14ac:dyDescent="0.35">
      <c r="A339" s="1" t="s">
        <v>61</v>
      </c>
      <c r="B339" s="1" t="s">
        <v>175</v>
      </c>
      <c r="C339" s="1" t="s">
        <v>31</v>
      </c>
      <c r="D339" s="3">
        <v>2001</v>
      </c>
      <c r="E339">
        <v>44.8</v>
      </c>
      <c r="F339" s="1">
        <f t="shared" ca="1" si="10"/>
        <v>2.1463478260869562</v>
      </c>
      <c r="G339" s="1">
        <f t="shared" ca="1" si="11"/>
        <v>-4251.3119855072455</v>
      </c>
      <c r="H339" s="1" cm="1">
        <f t="array" aca="1" ref="H339" ca="1">MIN(
  INDEX($E:$E, MATCH($A339, $A:$A, 0) + 23) +
  (F339 * (2030 - 2023)),
  100
)</f>
        <v>100</v>
      </c>
      <c r="I33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0" spans="1:9" hidden="1" x14ac:dyDescent="0.35">
      <c r="A340" s="1" t="s">
        <v>61</v>
      </c>
      <c r="B340" s="1" t="s">
        <v>175</v>
      </c>
      <c r="C340" s="1" t="s">
        <v>31</v>
      </c>
      <c r="D340" s="3">
        <v>2002</v>
      </c>
      <c r="E340">
        <v>46.8</v>
      </c>
      <c r="F340" s="1">
        <f t="shared" ca="1" si="10"/>
        <v>2.1463478260869562</v>
      </c>
      <c r="G340" s="1">
        <f t="shared" ca="1" si="11"/>
        <v>-4251.3119855072455</v>
      </c>
      <c r="H340" s="1" cm="1">
        <f t="array" aca="1" ref="H340" ca="1">MIN(
  INDEX($E:$E, MATCH($A340, $A:$A, 0) + 23) +
  (F340 * (2030 - 2023)),
  100
)</f>
        <v>100</v>
      </c>
      <c r="I34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1" spans="1:9" hidden="1" x14ac:dyDescent="0.35">
      <c r="A341" s="1" t="s">
        <v>61</v>
      </c>
      <c r="B341" s="1" t="s">
        <v>175</v>
      </c>
      <c r="C341" s="1" t="s">
        <v>31</v>
      </c>
      <c r="D341" s="3">
        <v>2003</v>
      </c>
      <c r="E341">
        <v>48.3</v>
      </c>
      <c r="F341" s="1">
        <f t="shared" ca="1" si="10"/>
        <v>2.1463478260869562</v>
      </c>
      <c r="G341" s="1">
        <f t="shared" ca="1" si="11"/>
        <v>-4251.3119855072455</v>
      </c>
      <c r="H341" s="1" cm="1">
        <f t="array" aca="1" ref="H341" ca="1">MIN(
  INDEX($E:$E, MATCH($A341, $A:$A, 0) + 23) +
  (F341 * (2030 - 2023)),
  100
)</f>
        <v>100</v>
      </c>
      <c r="I34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2" spans="1:9" hidden="1" x14ac:dyDescent="0.35">
      <c r="A342" s="1" t="s">
        <v>61</v>
      </c>
      <c r="B342" s="1" t="s">
        <v>175</v>
      </c>
      <c r="C342" s="1" t="s">
        <v>31</v>
      </c>
      <c r="D342" s="3">
        <v>2004</v>
      </c>
      <c r="E342">
        <v>50.8</v>
      </c>
      <c r="F342" s="1">
        <f t="shared" ca="1" si="10"/>
        <v>2.1463478260869562</v>
      </c>
      <c r="G342" s="1">
        <f t="shared" ca="1" si="11"/>
        <v>-4251.3119855072455</v>
      </c>
      <c r="H342" s="1" cm="1">
        <f t="array" aca="1" ref="H342" ca="1">MIN(
  INDEX($E:$E, MATCH($A342, $A:$A, 0) + 23) +
  (F342 * (2030 - 2023)),
  100
)</f>
        <v>100</v>
      </c>
      <c r="I34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3" spans="1:9" hidden="1" x14ac:dyDescent="0.35">
      <c r="A343" s="1" t="s">
        <v>61</v>
      </c>
      <c r="B343" s="1" t="s">
        <v>175</v>
      </c>
      <c r="C343" s="1" t="s">
        <v>31</v>
      </c>
      <c r="D343" s="3">
        <v>2005</v>
      </c>
      <c r="E343">
        <v>41.3</v>
      </c>
      <c r="F343" s="1">
        <f t="shared" ca="1" si="10"/>
        <v>2.1463478260869562</v>
      </c>
      <c r="G343" s="1">
        <f t="shared" ca="1" si="11"/>
        <v>-4251.3119855072455</v>
      </c>
      <c r="H343" s="1" cm="1">
        <f t="array" aca="1" ref="H343" ca="1">MIN(
  INDEX($E:$E, MATCH($A343, $A:$A, 0) + 23) +
  (F343 * (2030 - 2023)),
  100
)</f>
        <v>100</v>
      </c>
      <c r="I34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4" spans="1:9" hidden="1" x14ac:dyDescent="0.35">
      <c r="A344" s="1" t="s">
        <v>61</v>
      </c>
      <c r="B344" s="1" t="s">
        <v>175</v>
      </c>
      <c r="C344" s="1" t="s">
        <v>31</v>
      </c>
      <c r="D344" s="3">
        <v>2006</v>
      </c>
      <c r="E344">
        <v>55.1</v>
      </c>
      <c r="F344" s="1">
        <f t="shared" ca="1" si="10"/>
        <v>2.1463478260869562</v>
      </c>
      <c r="G344" s="1">
        <f t="shared" ca="1" si="11"/>
        <v>-4251.3119855072455</v>
      </c>
      <c r="H344" s="1" cm="1">
        <f t="array" aca="1" ref="H344" ca="1">MIN(
  INDEX($E:$E, MATCH($A344, $A:$A, 0) + 23) +
  (F344 * (2030 - 2023)),
  100
)</f>
        <v>100</v>
      </c>
      <c r="I34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5" spans="1:9" hidden="1" x14ac:dyDescent="0.35">
      <c r="A345" s="1" t="s">
        <v>61</v>
      </c>
      <c r="B345" s="1" t="s">
        <v>175</v>
      </c>
      <c r="C345" s="1" t="s">
        <v>31</v>
      </c>
      <c r="D345" s="3">
        <v>2007</v>
      </c>
      <c r="E345">
        <v>56.9</v>
      </c>
      <c r="F345" s="1">
        <f t="shared" ca="1" si="10"/>
        <v>2.1463478260869562</v>
      </c>
      <c r="G345" s="1">
        <f t="shared" ca="1" si="11"/>
        <v>-4251.3119855072455</v>
      </c>
      <c r="H345" s="1" cm="1">
        <f t="array" aca="1" ref="H345" ca="1">MIN(
  INDEX($E:$E, MATCH($A345, $A:$A, 0) + 23) +
  (F345 * (2030 - 2023)),
  100
)</f>
        <v>100</v>
      </c>
      <c r="I34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6" spans="1:9" hidden="1" x14ac:dyDescent="0.35">
      <c r="A346" s="1" t="s">
        <v>61</v>
      </c>
      <c r="B346" s="1" t="s">
        <v>175</v>
      </c>
      <c r="C346" s="1" t="s">
        <v>31</v>
      </c>
      <c r="D346" s="3">
        <v>2008</v>
      </c>
      <c r="E346">
        <v>60.5</v>
      </c>
      <c r="F346" s="1">
        <f t="shared" ca="1" si="10"/>
        <v>2.1463478260869562</v>
      </c>
      <c r="G346" s="1">
        <f t="shared" ca="1" si="11"/>
        <v>-4251.3119855072455</v>
      </c>
      <c r="H346" s="1" cm="1">
        <f t="array" aca="1" ref="H346" ca="1">MIN(
  INDEX($E:$E, MATCH($A346, $A:$A, 0) + 23) +
  (F346 * (2030 - 2023)),
  100
)</f>
        <v>100</v>
      </c>
      <c r="I34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7" spans="1:9" hidden="1" x14ac:dyDescent="0.35">
      <c r="A347" s="1" t="s">
        <v>61</v>
      </c>
      <c r="B347" s="1" t="s">
        <v>175</v>
      </c>
      <c r="C347" s="1" t="s">
        <v>31</v>
      </c>
      <c r="D347" s="3">
        <v>2009</v>
      </c>
      <c r="E347">
        <v>61.1</v>
      </c>
      <c r="F347" s="1">
        <f t="shared" ca="1" si="10"/>
        <v>2.1463478260869562</v>
      </c>
      <c r="G347" s="1">
        <f t="shared" ca="1" si="11"/>
        <v>-4251.3119855072455</v>
      </c>
      <c r="H347" s="1" cm="1">
        <f t="array" aca="1" ref="H347" ca="1">MIN(
  INDEX($E:$E, MATCH($A347, $A:$A, 0) + 23) +
  (F347 * (2030 - 2023)),
  100
)</f>
        <v>100</v>
      </c>
      <c r="I34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8" spans="1:9" hidden="1" x14ac:dyDescent="0.35">
      <c r="A348" s="1" t="s">
        <v>61</v>
      </c>
      <c r="B348" s="1" t="s">
        <v>175</v>
      </c>
      <c r="C348" s="1" t="s">
        <v>31</v>
      </c>
      <c r="D348" s="3">
        <v>2010</v>
      </c>
      <c r="E348">
        <v>64.2</v>
      </c>
      <c r="F348" s="1">
        <f t="shared" ca="1" si="10"/>
        <v>2.1463478260869562</v>
      </c>
      <c r="G348" s="1">
        <f t="shared" ca="1" si="11"/>
        <v>-4251.3119855072455</v>
      </c>
      <c r="H348" s="1" cm="1">
        <f t="array" aca="1" ref="H348" ca="1">MIN(
  INDEX($E:$E, MATCH($A348, $A:$A, 0) + 23) +
  (F348 * (2030 - 2023)),
  100
)</f>
        <v>100</v>
      </c>
      <c r="I34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49" spans="1:9" hidden="1" x14ac:dyDescent="0.35">
      <c r="A349" s="1" t="s">
        <v>61</v>
      </c>
      <c r="B349" s="1" t="s">
        <v>175</v>
      </c>
      <c r="C349" s="1" t="s">
        <v>31</v>
      </c>
      <c r="D349" s="3">
        <v>2011</v>
      </c>
      <c r="E349">
        <v>64.099999999999994</v>
      </c>
      <c r="F349" s="1">
        <f t="shared" ca="1" si="10"/>
        <v>2.1463478260869562</v>
      </c>
      <c r="G349" s="1">
        <f t="shared" ca="1" si="11"/>
        <v>-4251.3119855072455</v>
      </c>
      <c r="H349" s="1" cm="1">
        <f t="array" aca="1" ref="H349" ca="1">MIN(
  INDEX($E:$E, MATCH($A349, $A:$A, 0) + 23) +
  (F349 * (2030 - 2023)),
  100
)</f>
        <v>100</v>
      </c>
      <c r="I34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0" spans="1:9" hidden="1" x14ac:dyDescent="0.35">
      <c r="A350" s="1" t="s">
        <v>61</v>
      </c>
      <c r="B350" s="1" t="s">
        <v>175</v>
      </c>
      <c r="C350" s="1" t="s">
        <v>31</v>
      </c>
      <c r="D350" s="3">
        <v>2012</v>
      </c>
      <c r="E350">
        <v>56.5</v>
      </c>
      <c r="F350" s="1">
        <f t="shared" ca="1" si="10"/>
        <v>2.1463478260869562</v>
      </c>
      <c r="G350" s="1">
        <f t="shared" ca="1" si="11"/>
        <v>-4251.3119855072455</v>
      </c>
      <c r="H350" s="1" cm="1">
        <f t="array" aca="1" ref="H350" ca="1">MIN(
  INDEX($E:$E, MATCH($A350, $A:$A, 0) + 23) +
  (F350 * (2030 - 2023)),
  100
)</f>
        <v>100</v>
      </c>
      <c r="I35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1" spans="1:9" hidden="1" x14ac:dyDescent="0.35">
      <c r="A351" s="1" t="s">
        <v>61</v>
      </c>
      <c r="B351" s="1" t="s">
        <v>175</v>
      </c>
      <c r="C351" s="1" t="s">
        <v>31</v>
      </c>
      <c r="D351" s="3">
        <v>2013</v>
      </c>
      <c r="E351">
        <v>70.7</v>
      </c>
      <c r="F351" s="1">
        <f t="shared" ca="1" si="10"/>
        <v>2.1463478260869562</v>
      </c>
      <c r="G351" s="1">
        <f t="shared" ca="1" si="11"/>
        <v>-4251.3119855072455</v>
      </c>
      <c r="H351" s="1" cm="1">
        <f t="array" aca="1" ref="H351" ca="1">MIN(
  INDEX($E:$E, MATCH($A351, $A:$A, 0) + 23) +
  (F351 * (2030 - 2023)),
  100
)</f>
        <v>100</v>
      </c>
      <c r="I35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2" spans="1:9" hidden="1" x14ac:dyDescent="0.35">
      <c r="A352" s="1" t="s">
        <v>61</v>
      </c>
      <c r="B352" s="1" t="s">
        <v>175</v>
      </c>
      <c r="C352" s="1" t="s">
        <v>31</v>
      </c>
      <c r="D352" s="3">
        <v>2014</v>
      </c>
      <c r="E352">
        <v>78.3</v>
      </c>
      <c r="F352" s="1">
        <f t="shared" ca="1" si="10"/>
        <v>2.1463478260869562</v>
      </c>
      <c r="G352" s="1">
        <f t="shared" ca="1" si="11"/>
        <v>-4251.3119855072455</v>
      </c>
      <c r="H352" s="1" cm="1">
        <f t="array" aca="1" ref="H352" ca="1">MIN(
  INDEX($E:$E, MATCH($A352, $A:$A, 0) + 23) +
  (F352 * (2030 - 2023)),
  100
)</f>
        <v>100</v>
      </c>
      <c r="I35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3" spans="1:9" hidden="1" x14ac:dyDescent="0.35">
      <c r="A353" s="1" t="s">
        <v>61</v>
      </c>
      <c r="B353" s="1" t="s">
        <v>175</v>
      </c>
      <c r="C353" s="1" t="s">
        <v>31</v>
      </c>
      <c r="D353" s="3">
        <v>2015</v>
      </c>
      <c r="E353">
        <v>74</v>
      </c>
      <c r="F353" s="1">
        <f t="shared" ca="1" si="10"/>
        <v>2.1463478260869562</v>
      </c>
      <c r="G353" s="1">
        <f t="shared" ca="1" si="11"/>
        <v>-4251.3119855072455</v>
      </c>
      <c r="H353" s="1" cm="1">
        <f t="array" aca="1" ref="H353" ca="1">MIN(
  INDEX($E:$E, MATCH($A353, $A:$A, 0) + 23) +
  (F353 * (2030 - 2023)),
  100
)</f>
        <v>100</v>
      </c>
      <c r="I35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4" spans="1:9" hidden="1" x14ac:dyDescent="0.35">
      <c r="A354" s="1" t="s">
        <v>61</v>
      </c>
      <c r="B354" s="1" t="s">
        <v>175</v>
      </c>
      <c r="C354" s="1" t="s">
        <v>31</v>
      </c>
      <c r="D354" s="3">
        <v>2016</v>
      </c>
      <c r="E354">
        <v>79.3</v>
      </c>
      <c r="F354" s="1">
        <f t="shared" ca="1" si="10"/>
        <v>2.1463478260869562</v>
      </c>
      <c r="G354" s="1">
        <f t="shared" ca="1" si="11"/>
        <v>-4251.3119855072455</v>
      </c>
      <c r="H354" s="1" cm="1">
        <f t="array" aca="1" ref="H354" ca="1">MIN(
  INDEX($E:$E, MATCH($A354, $A:$A, 0) + 23) +
  (F354 * (2030 - 2023)),
  100
)</f>
        <v>100</v>
      </c>
      <c r="I35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5" spans="1:9" hidden="1" x14ac:dyDescent="0.35">
      <c r="A355" s="1" t="s">
        <v>61</v>
      </c>
      <c r="B355" s="1" t="s">
        <v>175</v>
      </c>
      <c r="C355" s="1" t="s">
        <v>31</v>
      </c>
      <c r="D355" s="3">
        <v>2017</v>
      </c>
      <c r="E355">
        <v>79</v>
      </c>
      <c r="F355" s="1">
        <f t="shared" ca="1" si="10"/>
        <v>2.1463478260869562</v>
      </c>
      <c r="G355" s="1">
        <f t="shared" ca="1" si="11"/>
        <v>-4251.3119855072455</v>
      </c>
      <c r="H355" s="1" cm="1">
        <f t="array" aca="1" ref="H355" ca="1">MIN(
  INDEX($E:$E, MATCH($A355, $A:$A, 0) + 23) +
  (F355 * (2030 - 2023)),
  100
)</f>
        <v>100</v>
      </c>
      <c r="I35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6" spans="1:9" hidden="1" x14ac:dyDescent="0.35">
      <c r="A356" s="1" t="s">
        <v>61</v>
      </c>
      <c r="B356" s="1" t="s">
        <v>175</v>
      </c>
      <c r="C356" s="1" t="s">
        <v>31</v>
      </c>
      <c r="D356" s="3">
        <v>2018</v>
      </c>
      <c r="E356">
        <v>80.400000000000006</v>
      </c>
      <c r="F356" s="1">
        <f t="shared" ca="1" si="10"/>
        <v>2.1463478260869562</v>
      </c>
      <c r="G356" s="1">
        <f t="shared" ca="1" si="11"/>
        <v>-4251.3119855072455</v>
      </c>
      <c r="H356" s="1" cm="1">
        <f t="array" aca="1" ref="H356" ca="1">MIN(
  INDEX($E:$E, MATCH($A356, $A:$A, 0) + 23) +
  (F356 * (2030 - 2023)),
  100
)</f>
        <v>100</v>
      </c>
      <c r="I35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7" spans="1:9" hidden="1" x14ac:dyDescent="0.35">
      <c r="A357" s="1" t="s">
        <v>61</v>
      </c>
      <c r="B357" s="1" t="s">
        <v>175</v>
      </c>
      <c r="C357" s="1" t="s">
        <v>31</v>
      </c>
      <c r="D357" s="3">
        <v>2019</v>
      </c>
      <c r="E357">
        <v>83.5</v>
      </c>
      <c r="F357" s="1">
        <f t="shared" ca="1" si="10"/>
        <v>2.1463478260869562</v>
      </c>
      <c r="G357" s="1">
        <f t="shared" ca="1" si="11"/>
        <v>-4251.3119855072455</v>
      </c>
      <c r="H357" s="1" cm="1">
        <f t="array" aca="1" ref="H357" ca="1">MIN(
  INDEX($E:$E, MATCH($A357, $A:$A, 0) + 23) +
  (F357 * (2030 - 2023)),
  100
)</f>
        <v>100</v>
      </c>
      <c r="I35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8" spans="1:9" hidden="1" x14ac:dyDescent="0.35">
      <c r="A358" s="1" t="s">
        <v>61</v>
      </c>
      <c r="B358" s="1" t="s">
        <v>175</v>
      </c>
      <c r="C358" s="1" t="s">
        <v>31</v>
      </c>
      <c r="D358" s="3">
        <v>2020</v>
      </c>
      <c r="E358">
        <v>85.4</v>
      </c>
      <c r="F358" s="1">
        <f t="shared" ca="1" si="10"/>
        <v>2.1463478260869562</v>
      </c>
      <c r="G358" s="1">
        <f t="shared" ca="1" si="11"/>
        <v>-4251.3119855072455</v>
      </c>
      <c r="H358" s="1" cm="1">
        <f t="array" aca="1" ref="H358" ca="1">MIN(
  INDEX($E:$E, MATCH($A358, $A:$A, 0) + 23) +
  (F358 * (2030 - 2023)),
  100
)</f>
        <v>100</v>
      </c>
      <c r="I35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59" spans="1:9" hidden="1" x14ac:dyDescent="0.35">
      <c r="A359" s="1" t="s">
        <v>61</v>
      </c>
      <c r="B359" s="1" t="s">
        <v>175</v>
      </c>
      <c r="C359" s="1" t="s">
        <v>31</v>
      </c>
      <c r="D359" s="3">
        <v>2021</v>
      </c>
      <c r="E359">
        <v>86.3</v>
      </c>
      <c r="F359" s="1">
        <f t="shared" ca="1" si="10"/>
        <v>2.1463478260869562</v>
      </c>
      <c r="G359" s="1">
        <f t="shared" ca="1" si="11"/>
        <v>-4251.3119855072455</v>
      </c>
      <c r="H359" s="1" cm="1">
        <f t="array" aca="1" ref="H359" ca="1">MIN(
  INDEX($E:$E, MATCH($A359, $A:$A, 0) + 23) +
  (F359 * (2030 - 2023)),
  100
)</f>
        <v>100</v>
      </c>
      <c r="I35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60" spans="1:9" hidden="1" x14ac:dyDescent="0.35">
      <c r="A360" s="1" t="s">
        <v>61</v>
      </c>
      <c r="B360" s="1" t="s">
        <v>175</v>
      </c>
      <c r="C360" s="1" t="s">
        <v>31</v>
      </c>
      <c r="D360" s="3">
        <v>2022</v>
      </c>
      <c r="E360">
        <v>85.1</v>
      </c>
      <c r="F360" s="1">
        <f t="shared" ca="1" si="10"/>
        <v>2.1463478260869562</v>
      </c>
      <c r="G360" s="1">
        <f t="shared" ca="1" si="11"/>
        <v>-4251.3119855072455</v>
      </c>
      <c r="H360" s="1" cm="1">
        <f t="array" aca="1" ref="H360" ca="1">MIN(
  INDEX($E:$E, MATCH($A360, $A:$A, 0) + 23) +
  (F360 * (2030 - 2023)),
  100
)</f>
        <v>100</v>
      </c>
      <c r="I36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61" spans="1:9" x14ac:dyDescent="0.35">
      <c r="A361" s="1" t="s">
        <v>61</v>
      </c>
      <c r="B361" s="1" t="s">
        <v>175</v>
      </c>
      <c r="C361" s="1" t="s">
        <v>31</v>
      </c>
      <c r="D361" s="3">
        <v>2023</v>
      </c>
      <c r="E361">
        <v>89.5</v>
      </c>
      <c r="F361" s="4">
        <f t="shared" ca="1" si="10"/>
        <v>2.1463478260869562</v>
      </c>
      <c r="G361" s="4">
        <f t="shared" ca="1" si="11"/>
        <v>-4251.3119855072455</v>
      </c>
      <c r="H361" s="4" cm="1">
        <f t="array" aca="1" ref="H361" ca="1">MIN(
  INDEX($E:$E, MATCH($A361, $A:$A, 0) + 23) +
  (F361 * (2030 - 2023)),
  100
)</f>
        <v>100</v>
      </c>
      <c r="I36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362" spans="1:9" hidden="1" x14ac:dyDescent="0.35">
      <c r="A362" s="1" t="s">
        <v>63</v>
      </c>
      <c r="B362" s="1" t="s">
        <v>175</v>
      </c>
      <c r="C362" s="1" t="s">
        <v>31</v>
      </c>
      <c r="D362" s="3">
        <v>2000</v>
      </c>
      <c r="E362">
        <v>15.2</v>
      </c>
      <c r="F362" s="1">
        <f t="shared" ca="1" si="10"/>
        <v>1.5041739130434779</v>
      </c>
      <c r="G362" s="1">
        <f t="shared" ca="1" si="11"/>
        <v>-2994.8791594202889</v>
      </c>
      <c r="H362" s="1" cm="1">
        <f t="array" aca="1" ref="H362" ca="1">MIN(
  INDEX($E:$E, MATCH($A362, $A:$A, 0) + 23) +
  (F362 * (2030 - 2023)),
  100
)</f>
        <v>61.629217391304351</v>
      </c>
      <c r="I36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3" spans="1:9" hidden="1" x14ac:dyDescent="0.35">
      <c r="A363" s="1" t="s">
        <v>63</v>
      </c>
      <c r="B363" s="1" t="s">
        <v>175</v>
      </c>
      <c r="C363" s="1" t="s">
        <v>31</v>
      </c>
      <c r="D363" s="3">
        <v>2001</v>
      </c>
      <c r="E363">
        <v>16.399999999999999</v>
      </c>
      <c r="F363" s="1">
        <f t="shared" ca="1" si="10"/>
        <v>1.5041739130434779</v>
      </c>
      <c r="G363" s="1">
        <f t="shared" ca="1" si="11"/>
        <v>-2994.8791594202889</v>
      </c>
      <c r="H363" s="1" cm="1">
        <f t="array" aca="1" ref="H363" ca="1">MIN(
  INDEX($E:$E, MATCH($A363, $A:$A, 0) + 23) +
  (F363 * (2030 - 2023)),
  100
)</f>
        <v>61.629217391304351</v>
      </c>
      <c r="I36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4" spans="1:9" hidden="1" x14ac:dyDescent="0.35">
      <c r="A364" s="1" t="s">
        <v>63</v>
      </c>
      <c r="B364" s="1" t="s">
        <v>175</v>
      </c>
      <c r="C364" s="1" t="s">
        <v>31</v>
      </c>
      <c r="D364" s="3">
        <v>2002</v>
      </c>
      <c r="E364">
        <v>17.7</v>
      </c>
      <c r="F364" s="1">
        <f t="shared" ca="1" si="10"/>
        <v>1.5041739130434779</v>
      </c>
      <c r="G364" s="1">
        <f t="shared" ca="1" si="11"/>
        <v>-2994.8791594202889</v>
      </c>
      <c r="H364" s="1" cm="1">
        <f t="array" aca="1" ref="H364" ca="1">MIN(
  INDEX($E:$E, MATCH($A364, $A:$A, 0) + 23) +
  (F364 * (2030 - 2023)),
  100
)</f>
        <v>61.629217391304351</v>
      </c>
      <c r="I36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5" spans="1:9" hidden="1" x14ac:dyDescent="0.35">
      <c r="A365" s="1" t="s">
        <v>63</v>
      </c>
      <c r="B365" s="1" t="s">
        <v>175</v>
      </c>
      <c r="C365" s="1" t="s">
        <v>31</v>
      </c>
      <c r="D365" s="3">
        <v>2003</v>
      </c>
      <c r="E365">
        <v>18.899999999999999</v>
      </c>
      <c r="F365" s="1">
        <f t="shared" ca="1" si="10"/>
        <v>1.5041739130434779</v>
      </c>
      <c r="G365" s="1">
        <f t="shared" ca="1" si="11"/>
        <v>-2994.8791594202889</v>
      </c>
      <c r="H365" s="1" cm="1">
        <f t="array" aca="1" ref="H365" ca="1">MIN(
  INDEX($E:$E, MATCH($A365, $A:$A, 0) + 23) +
  (F365 * (2030 - 2023)),
  100
)</f>
        <v>61.629217391304351</v>
      </c>
      <c r="I3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6" spans="1:9" hidden="1" x14ac:dyDescent="0.35">
      <c r="A366" s="1" t="s">
        <v>63</v>
      </c>
      <c r="B366" s="1" t="s">
        <v>175</v>
      </c>
      <c r="C366" s="1" t="s">
        <v>31</v>
      </c>
      <c r="D366" s="3">
        <v>2004</v>
      </c>
      <c r="E366">
        <v>20.2</v>
      </c>
      <c r="F366" s="1">
        <f t="shared" ca="1" si="10"/>
        <v>1.5041739130434779</v>
      </c>
      <c r="G366" s="1">
        <f t="shared" ca="1" si="11"/>
        <v>-2994.8791594202889</v>
      </c>
      <c r="H366" s="1" cm="1">
        <f t="array" aca="1" ref="H366" ca="1">MIN(
  INDEX($E:$E, MATCH($A366, $A:$A, 0) + 23) +
  (F366 * (2030 - 2023)),
  100
)</f>
        <v>61.629217391304351</v>
      </c>
      <c r="I3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7" spans="1:9" hidden="1" x14ac:dyDescent="0.35">
      <c r="A367" s="1" t="s">
        <v>63</v>
      </c>
      <c r="B367" s="1" t="s">
        <v>175</v>
      </c>
      <c r="C367" s="1" t="s">
        <v>31</v>
      </c>
      <c r="D367" s="3">
        <v>2005</v>
      </c>
      <c r="E367">
        <v>20.2</v>
      </c>
      <c r="F367" s="1">
        <f t="shared" ca="1" si="10"/>
        <v>1.5041739130434779</v>
      </c>
      <c r="G367" s="1">
        <f t="shared" ca="1" si="11"/>
        <v>-2994.8791594202889</v>
      </c>
      <c r="H367" s="1" cm="1">
        <f t="array" aca="1" ref="H367" ca="1">MIN(
  INDEX($E:$E, MATCH($A367, $A:$A, 0) + 23) +
  (F367 * (2030 - 2023)),
  100
)</f>
        <v>61.629217391304351</v>
      </c>
      <c r="I3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8" spans="1:9" hidden="1" x14ac:dyDescent="0.35">
      <c r="A368" s="1" t="s">
        <v>63</v>
      </c>
      <c r="B368" s="1" t="s">
        <v>175</v>
      </c>
      <c r="C368" s="1" t="s">
        <v>31</v>
      </c>
      <c r="D368" s="3">
        <v>2006</v>
      </c>
      <c r="E368">
        <v>22.8</v>
      </c>
      <c r="F368" s="1">
        <f t="shared" ca="1" si="10"/>
        <v>1.5041739130434779</v>
      </c>
      <c r="G368" s="1">
        <f t="shared" ca="1" si="11"/>
        <v>-2994.8791594202889</v>
      </c>
      <c r="H368" s="1" cm="1">
        <f t="array" aca="1" ref="H368" ca="1">MIN(
  INDEX($E:$E, MATCH($A368, $A:$A, 0) + 23) +
  (F368 * (2030 - 2023)),
  100
)</f>
        <v>61.629217391304351</v>
      </c>
      <c r="I3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69" spans="1:9" hidden="1" x14ac:dyDescent="0.35">
      <c r="A369" s="1" t="s">
        <v>63</v>
      </c>
      <c r="B369" s="1" t="s">
        <v>175</v>
      </c>
      <c r="C369" s="1" t="s">
        <v>31</v>
      </c>
      <c r="D369" s="3">
        <v>2007</v>
      </c>
      <c r="E369">
        <v>24.1</v>
      </c>
      <c r="F369" s="1">
        <f t="shared" ca="1" si="10"/>
        <v>1.5041739130434779</v>
      </c>
      <c r="G369" s="1">
        <f t="shared" ca="1" si="11"/>
        <v>-2994.8791594202889</v>
      </c>
      <c r="H369" s="1" cm="1">
        <f t="array" aca="1" ref="H369" ca="1">MIN(
  INDEX($E:$E, MATCH($A369, $A:$A, 0) + 23) +
  (F369 * (2030 - 2023)),
  100
)</f>
        <v>61.629217391304351</v>
      </c>
      <c r="I3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0" spans="1:9" hidden="1" x14ac:dyDescent="0.35">
      <c r="A370" s="1" t="s">
        <v>63</v>
      </c>
      <c r="B370" s="1" t="s">
        <v>175</v>
      </c>
      <c r="C370" s="1" t="s">
        <v>31</v>
      </c>
      <c r="D370" s="3">
        <v>2008</v>
      </c>
      <c r="E370">
        <v>25.4</v>
      </c>
      <c r="F370" s="1">
        <f t="shared" ca="1" si="10"/>
        <v>1.5041739130434779</v>
      </c>
      <c r="G370" s="1">
        <f t="shared" ca="1" si="11"/>
        <v>-2994.8791594202889</v>
      </c>
      <c r="H370" s="1" cm="1">
        <f t="array" aca="1" ref="H370" ca="1">MIN(
  INDEX($E:$E, MATCH($A370, $A:$A, 0) + 23) +
  (F370 * (2030 - 2023)),
  100
)</f>
        <v>61.629217391304351</v>
      </c>
      <c r="I3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1" spans="1:9" hidden="1" x14ac:dyDescent="0.35">
      <c r="A371" s="1" t="s">
        <v>63</v>
      </c>
      <c r="B371" s="1" t="s">
        <v>175</v>
      </c>
      <c r="C371" s="1" t="s">
        <v>31</v>
      </c>
      <c r="D371" s="3">
        <v>2009</v>
      </c>
      <c r="E371">
        <v>26.7</v>
      </c>
      <c r="F371" s="1">
        <f t="shared" ca="1" si="10"/>
        <v>1.5041739130434779</v>
      </c>
      <c r="G371" s="1">
        <f t="shared" ca="1" si="11"/>
        <v>-2994.8791594202889</v>
      </c>
      <c r="H371" s="1" cm="1">
        <f t="array" aca="1" ref="H371" ca="1">MIN(
  INDEX($E:$E, MATCH($A371, $A:$A, 0) + 23) +
  (F371 * (2030 - 2023)),
  100
)</f>
        <v>61.629217391304351</v>
      </c>
      <c r="I3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2" spans="1:9" hidden="1" x14ac:dyDescent="0.35">
      <c r="A372" s="1" t="s">
        <v>63</v>
      </c>
      <c r="B372" s="1" t="s">
        <v>175</v>
      </c>
      <c r="C372" s="1" t="s">
        <v>31</v>
      </c>
      <c r="D372" s="3">
        <v>2010</v>
      </c>
      <c r="E372">
        <v>28.1</v>
      </c>
      <c r="F372" s="1">
        <f t="shared" ca="1" si="10"/>
        <v>1.5041739130434779</v>
      </c>
      <c r="G372" s="1">
        <f t="shared" ca="1" si="11"/>
        <v>-2994.8791594202889</v>
      </c>
      <c r="H372" s="1" cm="1">
        <f t="array" aca="1" ref="H372" ca="1">MIN(
  INDEX($E:$E, MATCH($A372, $A:$A, 0) + 23) +
  (F372 * (2030 - 2023)),
  100
)</f>
        <v>61.629217391304351</v>
      </c>
      <c r="I3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3" spans="1:9" hidden="1" x14ac:dyDescent="0.35">
      <c r="A373" s="1" t="s">
        <v>63</v>
      </c>
      <c r="B373" s="1" t="s">
        <v>175</v>
      </c>
      <c r="C373" s="1" t="s">
        <v>31</v>
      </c>
      <c r="D373" s="3">
        <v>2011</v>
      </c>
      <c r="E373">
        <v>29.5</v>
      </c>
      <c r="F373" s="1">
        <f t="shared" ca="1" si="10"/>
        <v>1.5041739130434779</v>
      </c>
      <c r="G373" s="1">
        <f t="shared" ca="1" si="11"/>
        <v>-2994.8791594202889</v>
      </c>
      <c r="H373" s="1" cm="1">
        <f t="array" aca="1" ref="H373" ca="1">MIN(
  INDEX($E:$E, MATCH($A373, $A:$A, 0) + 23) +
  (F373 * (2030 - 2023)),
  100
)</f>
        <v>61.629217391304351</v>
      </c>
      <c r="I3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4" spans="1:9" hidden="1" x14ac:dyDescent="0.35">
      <c r="A374" s="1" t="s">
        <v>63</v>
      </c>
      <c r="B374" s="1" t="s">
        <v>175</v>
      </c>
      <c r="C374" s="1" t="s">
        <v>31</v>
      </c>
      <c r="D374" s="3">
        <v>2012</v>
      </c>
      <c r="E374">
        <v>26.2</v>
      </c>
      <c r="F374" s="1">
        <f t="shared" ca="1" si="10"/>
        <v>1.5041739130434779</v>
      </c>
      <c r="G374" s="1">
        <f t="shared" ca="1" si="11"/>
        <v>-2994.8791594202889</v>
      </c>
      <c r="H374" s="1" cm="1">
        <f t="array" aca="1" ref="H374" ca="1">MIN(
  INDEX($E:$E, MATCH($A374, $A:$A, 0) + 23) +
  (F374 * (2030 - 2023)),
  100
)</f>
        <v>61.629217391304351</v>
      </c>
      <c r="I37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5" spans="1:9" hidden="1" x14ac:dyDescent="0.35">
      <c r="A375" s="1" t="s">
        <v>63</v>
      </c>
      <c r="B375" s="1" t="s">
        <v>175</v>
      </c>
      <c r="C375" s="1" t="s">
        <v>31</v>
      </c>
      <c r="D375" s="3">
        <v>2013</v>
      </c>
      <c r="E375">
        <v>32.200000000000003</v>
      </c>
      <c r="F375" s="1">
        <f t="shared" ca="1" si="10"/>
        <v>1.5041739130434779</v>
      </c>
      <c r="G375" s="1">
        <f t="shared" ca="1" si="11"/>
        <v>-2994.8791594202889</v>
      </c>
      <c r="H375" s="1" cm="1">
        <f t="array" aca="1" ref="H375" ca="1">MIN(
  INDEX($E:$E, MATCH($A375, $A:$A, 0) + 23) +
  (F375 * (2030 - 2023)),
  100
)</f>
        <v>61.629217391304351</v>
      </c>
      <c r="I37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6" spans="1:9" hidden="1" x14ac:dyDescent="0.35">
      <c r="A376" s="1" t="s">
        <v>63</v>
      </c>
      <c r="B376" s="1" t="s">
        <v>175</v>
      </c>
      <c r="C376" s="1" t="s">
        <v>31</v>
      </c>
      <c r="D376" s="3">
        <v>2014</v>
      </c>
      <c r="E376">
        <v>33.5</v>
      </c>
      <c r="F376" s="1">
        <f t="shared" ca="1" si="10"/>
        <v>1.5041739130434779</v>
      </c>
      <c r="G376" s="1">
        <f t="shared" ca="1" si="11"/>
        <v>-2994.8791594202889</v>
      </c>
      <c r="H376" s="1" cm="1">
        <f t="array" aca="1" ref="H376" ca="1">MIN(
  INDEX($E:$E, MATCH($A376, $A:$A, 0) + 23) +
  (F376 * (2030 - 2023)),
  100
)</f>
        <v>61.629217391304351</v>
      </c>
      <c r="I37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7" spans="1:9" hidden="1" x14ac:dyDescent="0.35">
      <c r="A377" s="1" t="s">
        <v>63</v>
      </c>
      <c r="B377" s="1" t="s">
        <v>175</v>
      </c>
      <c r="C377" s="1" t="s">
        <v>31</v>
      </c>
      <c r="D377" s="3">
        <v>2015</v>
      </c>
      <c r="E377">
        <v>34.9</v>
      </c>
      <c r="F377" s="1">
        <f t="shared" ca="1" si="10"/>
        <v>1.5041739130434779</v>
      </c>
      <c r="G377" s="1">
        <f t="shared" ca="1" si="11"/>
        <v>-2994.8791594202889</v>
      </c>
      <c r="H377" s="1" cm="1">
        <f t="array" aca="1" ref="H377" ca="1">MIN(
  INDEX($E:$E, MATCH($A377, $A:$A, 0) + 23) +
  (F377 * (2030 - 2023)),
  100
)</f>
        <v>61.629217391304351</v>
      </c>
      <c r="I37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8" spans="1:9" hidden="1" x14ac:dyDescent="0.35">
      <c r="A378" s="1" t="s">
        <v>63</v>
      </c>
      <c r="B378" s="1" t="s">
        <v>175</v>
      </c>
      <c r="C378" s="1" t="s">
        <v>31</v>
      </c>
      <c r="D378" s="3">
        <v>2016</v>
      </c>
      <c r="E378">
        <v>33.5</v>
      </c>
      <c r="F378" s="1">
        <f t="shared" ca="1" si="10"/>
        <v>1.5041739130434779</v>
      </c>
      <c r="G378" s="1">
        <f t="shared" ca="1" si="11"/>
        <v>-2994.8791594202889</v>
      </c>
      <c r="H378" s="1" cm="1">
        <f t="array" aca="1" ref="H378" ca="1">MIN(
  INDEX($E:$E, MATCH($A378, $A:$A, 0) + 23) +
  (F378 * (2030 - 2023)),
  100
)</f>
        <v>61.629217391304351</v>
      </c>
      <c r="I37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79" spans="1:9" hidden="1" x14ac:dyDescent="0.35">
      <c r="A379" s="1" t="s">
        <v>63</v>
      </c>
      <c r="B379" s="1" t="s">
        <v>175</v>
      </c>
      <c r="C379" s="1" t="s">
        <v>31</v>
      </c>
      <c r="D379" s="3">
        <v>2017</v>
      </c>
      <c r="E379">
        <v>35.4</v>
      </c>
      <c r="F379" s="1">
        <f t="shared" ca="1" si="10"/>
        <v>1.5041739130434779</v>
      </c>
      <c r="G379" s="1">
        <f t="shared" ca="1" si="11"/>
        <v>-2994.8791594202889</v>
      </c>
      <c r="H379" s="1" cm="1">
        <f t="array" aca="1" ref="H379" ca="1">MIN(
  INDEX($E:$E, MATCH($A379, $A:$A, 0) + 23) +
  (F379 * (2030 - 2023)),
  100
)</f>
        <v>61.629217391304351</v>
      </c>
      <c r="I37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0" spans="1:9" hidden="1" x14ac:dyDescent="0.35">
      <c r="A380" s="1" t="s">
        <v>63</v>
      </c>
      <c r="B380" s="1" t="s">
        <v>175</v>
      </c>
      <c r="C380" s="1" t="s">
        <v>31</v>
      </c>
      <c r="D380" s="3">
        <v>2018</v>
      </c>
      <c r="E380">
        <v>45</v>
      </c>
      <c r="F380" s="1">
        <f t="shared" ca="1" si="10"/>
        <v>1.5041739130434779</v>
      </c>
      <c r="G380" s="1">
        <f t="shared" ca="1" si="11"/>
        <v>-2994.8791594202889</v>
      </c>
      <c r="H380" s="1" cm="1">
        <f t="array" aca="1" ref="H380" ca="1">MIN(
  INDEX($E:$E, MATCH($A380, $A:$A, 0) + 23) +
  (F380 * (2030 - 2023)),
  100
)</f>
        <v>61.629217391304351</v>
      </c>
      <c r="I38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1" spans="1:9" hidden="1" x14ac:dyDescent="0.35">
      <c r="A381" s="1" t="s">
        <v>63</v>
      </c>
      <c r="B381" s="1" t="s">
        <v>175</v>
      </c>
      <c r="C381" s="1" t="s">
        <v>31</v>
      </c>
      <c r="D381" s="3">
        <v>2019</v>
      </c>
      <c r="E381">
        <v>42.2</v>
      </c>
      <c r="F381" s="1">
        <f t="shared" ca="1" si="10"/>
        <v>1.5041739130434779</v>
      </c>
      <c r="G381" s="1">
        <f t="shared" ca="1" si="11"/>
        <v>-2994.8791594202889</v>
      </c>
      <c r="H381" s="1" cm="1">
        <f t="array" aca="1" ref="H381" ca="1">MIN(
  INDEX($E:$E, MATCH($A381, $A:$A, 0) + 23) +
  (F381 * (2030 - 2023)),
  100
)</f>
        <v>61.629217391304351</v>
      </c>
      <c r="I38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2" spans="1:9" hidden="1" x14ac:dyDescent="0.35">
      <c r="A382" s="1" t="s">
        <v>63</v>
      </c>
      <c r="B382" s="1" t="s">
        <v>175</v>
      </c>
      <c r="C382" s="1" t="s">
        <v>31</v>
      </c>
      <c r="D382" s="3">
        <v>2020</v>
      </c>
      <c r="E382">
        <v>44.7</v>
      </c>
      <c r="F382" s="1">
        <f t="shared" ca="1" si="10"/>
        <v>1.5041739130434779</v>
      </c>
      <c r="G382" s="1">
        <f t="shared" ca="1" si="11"/>
        <v>-2994.8791594202889</v>
      </c>
      <c r="H382" s="1" cm="1">
        <f t="array" aca="1" ref="H382" ca="1">MIN(
  INDEX($E:$E, MATCH($A382, $A:$A, 0) + 23) +
  (F382 * (2030 - 2023)),
  100
)</f>
        <v>61.629217391304351</v>
      </c>
      <c r="I38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3" spans="1:9" hidden="1" x14ac:dyDescent="0.35">
      <c r="A383" s="1" t="s">
        <v>63</v>
      </c>
      <c r="B383" s="1" t="s">
        <v>175</v>
      </c>
      <c r="C383" s="1" t="s">
        <v>31</v>
      </c>
      <c r="D383" s="3">
        <v>2021</v>
      </c>
      <c r="E383">
        <v>46.8</v>
      </c>
      <c r="F383" s="1">
        <f t="shared" ca="1" si="10"/>
        <v>1.5041739130434779</v>
      </c>
      <c r="G383" s="1">
        <f t="shared" ca="1" si="11"/>
        <v>-2994.8791594202889</v>
      </c>
      <c r="H383" s="1" cm="1">
        <f t="array" aca="1" ref="H383" ca="1">MIN(
  INDEX($E:$E, MATCH($A383, $A:$A, 0) + 23) +
  (F383 * (2030 - 2023)),
  100
)</f>
        <v>61.629217391304351</v>
      </c>
      <c r="I38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4" spans="1:9" hidden="1" x14ac:dyDescent="0.35">
      <c r="A384" s="1" t="s">
        <v>63</v>
      </c>
      <c r="B384" s="1" t="s">
        <v>175</v>
      </c>
      <c r="C384" s="1" t="s">
        <v>31</v>
      </c>
      <c r="D384" s="3">
        <v>2022</v>
      </c>
      <c r="E384">
        <v>47.7</v>
      </c>
      <c r="F384" s="1">
        <f t="shared" ca="1" si="10"/>
        <v>1.5041739130434779</v>
      </c>
      <c r="G384" s="1">
        <f t="shared" ca="1" si="11"/>
        <v>-2994.8791594202889</v>
      </c>
      <c r="H384" s="1" cm="1">
        <f t="array" aca="1" ref="H384" ca="1">MIN(
  INDEX($E:$E, MATCH($A384, $A:$A, 0) + 23) +
  (F384 * (2030 - 2023)),
  100
)</f>
        <v>61.629217391304351</v>
      </c>
      <c r="I38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5" spans="1:9" x14ac:dyDescent="0.35">
      <c r="A385" s="1" t="s">
        <v>63</v>
      </c>
      <c r="B385" s="1" t="s">
        <v>175</v>
      </c>
      <c r="C385" s="1" t="s">
        <v>31</v>
      </c>
      <c r="D385" s="3">
        <v>2023</v>
      </c>
      <c r="E385">
        <v>51.1</v>
      </c>
      <c r="F385" s="4">
        <f t="shared" ca="1" si="10"/>
        <v>1.5041739130434779</v>
      </c>
      <c r="G385" s="4">
        <f t="shared" ca="1" si="11"/>
        <v>-2994.8791594202889</v>
      </c>
      <c r="H385" s="4" cm="1">
        <f t="array" aca="1" ref="H385" ca="1">MIN(
  INDEX($E:$E, MATCH($A385, $A:$A, 0) + 23) +
  (F385 * (2030 - 2023)),
  100
)</f>
        <v>61.629217391304351</v>
      </c>
      <c r="I3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6" spans="1:9" hidden="1" x14ac:dyDescent="0.35">
      <c r="A386" s="1" t="s">
        <v>65</v>
      </c>
      <c r="B386" s="1" t="s">
        <v>175</v>
      </c>
      <c r="C386" s="1" t="s">
        <v>34</v>
      </c>
      <c r="D386" s="3">
        <v>2002</v>
      </c>
      <c r="E386">
        <v>1.3</v>
      </c>
      <c r="F386" s="1">
        <f t="shared" ref="F386:F449" ca="1" si="12">SLOPE(
  OFFSET($E$1, MATCH($A386, $A:$A, 0)-1, 0, 24, 1),
  OFFSET($D$1, MATCH($A386, $A:$A, 0)-1, 0, 24, 1)
)</f>
        <v>0.51356521739130423</v>
      </c>
      <c r="G386" s="1">
        <f t="shared" ref="G386:G449" ca="1" si="13">INTERCEPT(
  OFFSET($E$1, MATCH($A386, $A:$A, 0)-1, 0, 24, 1),
  OFFSET($D$1, MATCH($A386, $A:$A, 0)-1, 0, 24, 1)
)</f>
        <v>-1011.2697681159418</v>
      </c>
      <c r="H386" s="1" cm="1">
        <f t="array" aca="1" ref="H386" ca="1">MIN(
  INDEX($E:$E, MATCH($A386, $A:$A, 0) + 23) +
  (F386 * (2030 - 2023)),
  100
)</f>
        <v>68.494956521739141</v>
      </c>
      <c r="I3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7" spans="1:9" hidden="1" x14ac:dyDescent="0.35">
      <c r="A387" s="1" t="s">
        <v>65</v>
      </c>
      <c r="B387" s="1" t="s">
        <v>175</v>
      </c>
      <c r="C387" s="1" t="s">
        <v>34</v>
      </c>
      <c r="D387" s="3">
        <v>2003</v>
      </c>
      <c r="E387">
        <v>2.6</v>
      </c>
      <c r="F387" s="1">
        <f t="shared" ca="1" si="12"/>
        <v>0.51356521739130423</v>
      </c>
      <c r="G387" s="1">
        <f t="shared" ca="1" si="13"/>
        <v>-1011.2697681159418</v>
      </c>
      <c r="H387" s="1" cm="1">
        <f t="array" aca="1" ref="H387" ca="1">MIN(
  INDEX($E:$E, MATCH($A387, $A:$A, 0) + 23) +
  (F387 * (2030 - 2023)),
  100
)</f>
        <v>68.494956521739141</v>
      </c>
      <c r="I3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8" spans="1:9" hidden="1" x14ac:dyDescent="0.35">
      <c r="A388" s="1" t="s">
        <v>65</v>
      </c>
      <c r="B388" s="1" t="s">
        <v>175</v>
      </c>
      <c r="C388" s="1" t="s">
        <v>34</v>
      </c>
      <c r="D388" s="3">
        <v>2004</v>
      </c>
      <c r="E388">
        <v>3.9</v>
      </c>
      <c r="F388" s="1">
        <f t="shared" ca="1" si="12"/>
        <v>0.51356521739130423</v>
      </c>
      <c r="G388" s="1">
        <f t="shared" ca="1" si="13"/>
        <v>-1011.2697681159418</v>
      </c>
      <c r="H388" s="1" cm="1">
        <f t="array" aca="1" ref="H388" ca="1">MIN(
  INDEX($E:$E, MATCH($A388, $A:$A, 0) + 23) +
  (F388 * (2030 - 2023)),
  100
)</f>
        <v>68.494956521739141</v>
      </c>
      <c r="I3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89" spans="1:9" hidden="1" x14ac:dyDescent="0.35">
      <c r="A389" s="1" t="s">
        <v>65</v>
      </c>
      <c r="B389" s="1" t="s">
        <v>175</v>
      </c>
      <c r="C389" s="1" t="s">
        <v>34</v>
      </c>
      <c r="D389" s="3">
        <v>2005</v>
      </c>
      <c r="E389">
        <v>5.2</v>
      </c>
      <c r="F389" s="1">
        <f t="shared" ca="1" si="12"/>
        <v>0.51356521739130423</v>
      </c>
      <c r="G389" s="1">
        <f t="shared" ca="1" si="13"/>
        <v>-1011.2697681159418</v>
      </c>
      <c r="H389" s="1" cm="1">
        <f t="array" aca="1" ref="H389" ca="1">MIN(
  INDEX($E:$E, MATCH($A389, $A:$A, 0) + 23) +
  (F389 * (2030 - 2023)),
  100
)</f>
        <v>68.494956521739141</v>
      </c>
      <c r="I3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0" spans="1:9" hidden="1" x14ac:dyDescent="0.35">
      <c r="A390" s="1" t="s">
        <v>65</v>
      </c>
      <c r="B390" s="1" t="s">
        <v>175</v>
      </c>
      <c r="C390" s="1" t="s">
        <v>34</v>
      </c>
      <c r="D390" s="3">
        <v>2006</v>
      </c>
      <c r="E390">
        <v>14.5</v>
      </c>
      <c r="F390" s="1">
        <f t="shared" ca="1" si="12"/>
        <v>0.51356521739130423</v>
      </c>
      <c r="G390" s="1">
        <f t="shared" ca="1" si="13"/>
        <v>-1011.2697681159418</v>
      </c>
      <c r="H390" s="1" cm="1">
        <f t="array" aca="1" ref="H390" ca="1">MIN(
  INDEX($E:$E, MATCH($A390, $A:$A, 0) + 23) +
  (F390 * (2030 - 2023)),
  100
)</f>
        <v>68.494956521739141</v>
      </c>
      <c r="I3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1" spans="1:9" hidden="1" x14ac:dyDescent="0.35">
      <c r="A391" s="1" t="s">
        <v>65</v>
      </c>
      <c r="B391" s="1" t="s">
        <v>175</v>
      </c>
      <c r="C391" s="1" t="s">
        <v>34</v>
      </c>
      <c r="D391" s="3">
        <v>2007</v>
      </c>
      <c r="E391">
        <v>7.9</v>
      </c>
      <c r="F391" s="1">
        <f t="shared" ca="1" si="12"/>
        <v>0.51356521739130423</v>
      </c>
      <c r="G391" s="1">
        <f t="shared" ca="1" si="13"/>
        <v>-1011.2697681159418</v>
      </c>
      <c r="H391" s="1" cm="1">
        <f t="array" aca="1" ref="H391" ca="1">MIN(
  INDEX($E:$E, MATCH($A391, $A:$A, 0) + 23) +
  (F391 * (2030 - 2023)),
  100
)</f>
        <v>68.494956521739141</v>
      </c>
      <c r="I3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2" spans="1:9" hidden="1" x14ac:dyDescent="0.35">
      <c r="A392" s="1" t="s">
        <v>65</v>
      </c>
      <c r="B392" s="1" t="s">
        <v>175</v>
      </c>
      <c r="C392" s="1" t="s">
        <v>34</v>
      </c>
      <c r="D392" s="3">
        <v>2008</v>
      </c>
      <c r="E392">
        <v>9.3000000000000007</v>
      </c>
      <c r="F392" s="1">
        <f t="shared" ca="1" si="12"/>
        <v>0.51356521739130423</v>
      </c>
      <c r="G392" s="1">
        <f t="shared" ca="1" si="13"/>
        <v>-1011.2697681159418</v>
      </c>
      <c r="H392" s="1" cm="1">
        <f t="array" aca="1" ref="H392" ca="1">MIN(
  INDEX($E:$E, MATCH($A392, $A:$A, 0) + 23) +
  (F392 * (2030 - 2023)),
  100
)</f>
        <v>68.494956521739141</v>
      </c>
      <c r="I3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3" spans="1:9" hidden="1" x14ac:dyDescent="0.35">
      <c r="A393" s="1" t="s">
        <v>65</v>
      </c>
      <c r="B393" s="1" t="s">
        <v>175</v>
      </c>
      <c r="C393" s="1" t="s">
        <v>34</v>
      </c>
      <c r="D393" s="3">
        <v>2009</v>
      </c>
      <c r="E393">
        <v>4.7</v>
      </c>
      <c r="F393" s="1">
        <f t="shared" ca="1" si="12"/>
        <v>0.51356521739130423</v>
      </c>
      <c r="G393" s="1">
        <f t="shared" ca="1" si="13"/>
        <v>-1011.2697681159418</v>
      </c>
      <c r="H393" s="1" cm="1">
        <f t="array" aca="1" ref="H393" ca="1">MIN(
  INDEX($E:$E, MATCH($A393, $A:$A, 0) + 23) +
  (F393 * (2030 - 2023)),
  100
)</f>
        <v>68.494956521739141</v>
      </c>
      <c r="I3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4" spans="1:9" hidden="1" x14ac:dyDescent="0.35">
      <c r="A394" s="1" t="s">
        <v>65</v>
      </c>
      <c r="B394" s="1" t="s">
        <v>175</v>
      </c>
      <c r="C394" s="1" t="s">
        <v>34</v>
      </c>
      <c r="D394" s="3">
        <v>2010</v>
      </c>
      <c r="E394">
        <v>6</v>
      </c>
      <c r="F394" s="1">
        <f t="shared" ca="1" si="12"/>
        <v>0.51356521739130423</v>
      </c>
      <c r="G394" s="1">
        <f t="shared" ca="1" si="13"/>
        <v>-1011.2697681159418</v>
      </c>
      <c r="H394" s="1" cm="1">
        <f t="array" aca="1" ref="H394" ca="1">MIN(
  INDEX($E:$E, MATCH($A394, $A:$A, 0) + 23) +
  (F394 * (2030 - 2023)),
  100
)</f>
        <v>68.494956521739141</v>
      </c>
      <c r="I3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5" spans="1:9" hidden="1" x14ac:dyDescent="0.35">
      <c r="A395" s="1" t="s">
        <v>65</v>
      </c>
      <c r="B395" s="1" t="s">
        <v>175</v>
      </c>
      <c r="C395" s="1" t="s">
        <v>34</v>
      </c>
      <c r="D395" s="3">
        <v>2011</v>
      </c>
      <c r="E395">
        <v>13.5</v>
      </c>
      <c r="F395" s="1">
        <f t="shared" ca="1" si="12"/>
        <v>0.51356521739130423</v>
      </c>
      <c r="G395" s="1">
        <f t="shared" ca="1" si="13"/>
        <v>-1011.2697681159418</v>
      </c>
      <c r="H395" s="1" cm="1">
        <f t="array" aca="1" ref="H395" ca="1">MIN(
  INDEX($E:$E, MATCH($A395, $A:$A, 0) + 23) +
  (F395 * (2030 - 2023)),
  100
)</f>
        <v>68.494956521739141</v>
      </c>
      <c r="I3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6" spans="1:9" hidden="1" x14ac:dyDescent="0.35">
      <c r="A396" s="1" t="s">
        <v>65</v>
      </c>
      <c r="B396" s="1" t="s">
        <v>175</v>
      </c>
      <c r="C396" s="1" t="s">
        <v>34</v>
      </c>
      <c r="D396" s="3">
        <v>2012</v>
      </c>
      <c r="E396">
        <v>14.9</v>
      </c>
      <c r="F396" s="1">
        <f t="shared" ca="1" si="12"/>
        <v>0.51356521739130423</v>
      </c>
      <c r="G396" s="1">
        <f t="shared" ca="1" si="13"/>
        <v>-1011.2697681159418</v>
      </c>
      <c r="H396" s="1" cm="1">
        <f t="array" aca="1" ref="H396" ca="1">MIN(
  INDEX($E:$E, MATCH($A396, $A:$A, 0) + 23) +
  (F396 * (2030 - 2023)),
  100
)</f>
        <v>68.494956521739141</v>
      </c>
      <c r="I3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7" spans="1:9" hidden="1" x14ac:dyDescent="0.35">
      <c r="A397" s="1" t="s">
        <v>65</v>
      </c>
      <c r="B397" s="1" t="s">
        <v>175</v>
      </c>
      <c r="C397" s="1" t="s">
        <v>34</v>
      </c>
      <c r="D397" s="3">
        <v>2013</v>
      </c>
      <c r="E397">
        <v>16.3</v>
      </c>
      <c r="F397" s="1">
        <f t="shared" ca="1" si="12"/>
        <v>0.51356521739130423</v>
      </c>
      <c r="G397" s="1">
        <f t="shared" ca="1" si="13"/>
        <v>-1011.2697681159418</v>
      </c>
      <c r="H397" s="1" cm="1">
        <f t="array" aca="1" ref="H397" ca="1">MIN(
  INDEX($E:$E, MATCH($A397, $A:$A, 0) + 23) +
  (F397 * (2030 - 2023)),
  100
)</f>
        <v>68.494956521739141</v>
      </c>
      <c r="I3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8" spans="1:9" hidden="1" x14ac:dyDescent="0.35">
      <c r="A398" s="1" t="s">
        <v>65</v>
      </c>
      <c r="B398" s="1" t="s">
        <v>175</v>
      </c>
      <c r="C398" s="1" t="s">
        <v>34</v>
      </c>
      <c r="D398" s="3">
        <v>2014</v>
      </c>
      <c r="E398">
        <v>17.2</v>
      </c>
      <c r="F398" s="1">
        <f t="shared" ca="1" si="12"/>
        <v>0.51356521739130423</v>
      </c>
      <c r="G398" s="1">
        <f t="shared" ca="1" si="13"/>
        <v>-1011.2697681159418</v>
      </c>
      <c r="H398" s="1" cm="1">
        <f t="array" aca="1" ref="H398" ca="1">MIN(
  INDEX($E:$E, MATCH($A398, $A:$A, 0) + 23) +
  (F398 * (2030 - 2023)),
  100
)</f>
        <v>68.494956521739141</v>
      </c>
      <c r="I39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399" spans="1:9" hidden="1" x14ac:dyDescent="0.35">
      <c r="A399" s="1" t="s">
        <v>65</v>
      </c>
      <c r="B399" s="1" t="s">
        <v>175</v>
      </c>
      <c r="C399" s="1" t="s">
        <v>34</v>
      </c>
      <c r="D399" s="3">
        <v>2015</v>
      </c>
      <c r="E399">
        <v>20.100000000000001</v>
      </c>
      <c r="F399" s="1">
        <f t="shared" ca="1" si="12"/>
        <v>0.51356521739130423</v>
      </c>
      <c r="G399" s="1">
        <f t="shared" ca="1" si="13"/>
        <v>-1011.2697681159418</v>
      </c>
      <c r="H399" s="1" cm="1">
        <f t="array" aca="1" ref="H399" ca="1">MIN(
  INDEX($E:$E, MATCH($A399, $A:$A, 0) + 23) +
  (F399 * (2030 - 2023)),
  100
)</f>
        <v>68.494956521739141</v>
      </c>
      <c r="I39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0" spans="1:9" hidden="1" x14ac:dyDescent="0.35">
      <c r="A400" s="1" t="s">
        <v>65</v>
      </c>
      <c r="B400" s="1" t="s">
        <v>175</v>
      </c>
      <c r="C400" s="1" t="s">
        <v>34</v>
      </c>
      <c r="D400" s="3">
        <v>2016</v>
      </c>
      <c r="E400">
        <v>22.9</v>
      </c>
      <c r="F400" s="1">
        <f t="shared" ca="1" si="12"/>
        <v>0.51356521739130423</v>
      </c>
      <c r="G400" s="1">
        <f t="shared" ca="1" si="13"/>
        <v>-1011.2697681159418</v>
      </c>
      <c r="H400" s="1" cm="1">
        <f t="array" aca="1" ref="H400" ca="1">MIN(
  INDEX($E:$E, MATCH($A400, $A:$A, 0) + 23) +
  (F400 * (2030 - 2023)),
  100
)</f>
        <v>68.494956521739141</v>
      </c>
      <c r="I40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1" spans="1:9" hidden="1" x14ac:dyDescent="0.35">
      <c r="A401" s="1" t="s">
        <v>65</v>
      </c>
      <c r="B401" s="1" t="s">
        <v>175</v>
      </c>
      <c r="C401" s="1" t="s">
        <v>34</v>
      </c>
      <c r="D401" s="3">
        <v>2017</v>
      </c>
      <c r="E401">
        <v>26</v>
      </c>
      <c r="F401" s="1">
        <f t="shared" ca="1" si="12"/>
        <v>0.51356521739130423</v>
      </c>
      <c r="G401" s="1">
        <f t="shared" ca="1" si="13"/>
        <v>-1011.2697681159418</v>
      </c>
      <c r="H401" s="1" cm="1">
        <f t="array" aca="1" ref="H401" ca="1">MIN(
  INDEX($E:$E, MATCH($A401, $A:$A, 0) + 23) +
  (F401 * (2030 - 2023)),
  100
)</f>
        <v>68.494956521739141</v>
      </c>
      <c r="I40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2" spans="1:9" hidden="1" x14ac:dyDescent="0.35">
      <c r="A402" s="1" t="s">
        <v>65</v>
      </c>
      <c r="B402" s="1" t="s">
        <v>175</v>
      </c>
      <c r="C402" s="1" t="s">
        <v>34</v>
      </c>
      <c r="D402" s="3">
        <v>2018</v>
      </c>
      <c r="E402">
        <v>28.4</v>
      </c>
      <c r="F402" s="1">
        <f t="shared" ca="1" si="12"/>
        <v>0.51356521739130423</v>
      </c>
      <c r="G402" s="1">
        <f t="shared" ca="1" si="13"/>
        <v>-1011.2697681159418</v>
      </c>
      <c r="H402" s="1" cm="1">
        <f t="array" aca="1" ref="H402" ca="1">MIN(
  INDEX($E:$E, MATCH($A402, $A:$A, 0) + 23) +
  (F402 * (2030 - 2023)),
  100
)</f>
        <v>68.494956521739141</v>
      </c>
      <c r="I40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3" spans="1:9" hidden="1" x14ac:dyDescent="0.35">
      <c r="A403" s="1" t="s">
        <v>65</v>
      </c>
      <c r="B403" s="1" t="s">
        <v>175</v>
      </c>
      <c r="C403" s="1" t="s">
        <v>34</v>
      </c>
      <c r="D403" s="3">
        <v>2019</v>
      </c>
      <c r="E403">
        <v>30.9</v>
      </c>
      <c r="F403" s="1">
        <f t="shared" ca="1" si="12"/>
        <v>0.51356521739130423</v>
      </c>
      <c r="G403" s="1">
        <f t="shared" ca="1" si="13"/>
        <v>-1011.2697681159418</v>
      </c>
      <c r="H403" s="1" cm="1">
        <f t="array" aca="1" ref="H403" ca="1">MIN(
  INDEX($E:$E, MATCH($A403, $A:$A, 0) + 23) +
  (F403 * (2030 - 2023)),
  100
)</f>
        <v>68.494956521739141</v>
      </c>
      <c r="I40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4" spans="1:9" hidden="1" x14ac:dyDescent="0.35">
      <c r="A404" s="1" t="s">
        <v>65</v>
      </c>
      <c r="B404" s="1" t="s">
        <v>175</v>
      </c>
      <c r="C404" s="1" t="s">
        <v>34</v>
      </c>
      <c r="D404" s="3">
        <v>2020</v>
      </c>
      <c r="E404">
        <v>33.4</v>
      </c>
      <c r="F404" s="1">
        <f t="shared" ca="1" si="12"/>
        <v>0.51356521739130423</v>
      </c>
      <c r="G404" s="1">
        <f t="shared" ca="1" si="13"/>
        <v>-1011.2697681159418</v>
      </c>
      <c r="H404" s="1" cm="1">
        <f t="array" aca="1" ref="H404" ca="1">MIN(
  INDEX($E:$E, MATCH($A404, $A:$A, 0) + 23) +
  (F404 * (2030 - 2023)),
  100
)</f>
        <v>68.494956521739141</v>
      </c>
      <c r="I40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5" spans="1:9" hidden="1" x14ac:dyDescent="0.35">
      <c r="A405" s="1" t="s">
        <v>65</v>
      </c>
      <c r="B405" s="1" t="s">
        <v>175</v>
      </c>
      <c r="C405" s="1" t="s">
        <v>34</v>
      </c>
      <c r="D405" s="3">
        <v>2021</v>
      </c>
      <c r="E405">
        <v>35.799999999999997</v>
      </c>
      <c r="F405" s="1">
        <f t="shared" ca="1" si="12"/>
        <v>0.51356521739130423</v>
      </c>
      <c r="G405" s="1">
        <f t="shared" ca="1" si="13"/>
        <v>-1011.2697681159418</v>
      </c>
      <c r="H405" s="1" cm="1">
        <f t="array" aca="1" ref="H405" ca="1">MIN(
  INDEX($E:$E, MATCH($A405, $A:$A, 0) + 23) +
  (F405 * (2030 - 2023)),
  100
)</f>
        <v>68.494956521739141</v>
      </c>
      <c r="I40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6" spans="1:9" hidden="1" x14ac:dyDescent="0.35">
      <c r="A406" s="1" t="s">
        <v>65</v>
      </c>
      <c r="B406" s="1" t="s">
        <v>175</v>
      </c>
      <c r="C406" s="1" t="s">
        <v>34</v>
      </c>
      <c r="D406" s="3">
        <v>2022</v>
      </c>
      <c r="E406">
        <v>37.4</v>
      </c>
      <c r="F406" s="1">
        <f t="shared" ca="1" si="12"/>
        <v>0.51356521739130423</v>
      </c>
      <c r="G406" s="1">
        <f t="shared" ca="1" si="13"/>
        <v>-1011.2697681159418</v>
      </c>
      <c r="H406" s="1" cm="1">
        <f t="array" aca="1" ref="H406" ca="1">MIN(
  INDEX($E:$E, MATCH($A406, $A:$A, 0) + 23) +
  (F406 * (2030 - 2023)),
  100
)</f>
        <v>68.494956521739141</v>
      </c>
      <c r="I40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7" spans="1:9" x14ac:dyDescent="0.35">
      <c r="A407" s="1" t="s">
        <v>65</v>
      </c>
      <c r="B407" s="1" t="s">
        <v>175</v>
      </c>
      <c r="C407" s="1" t="s">
        <v>34</v>
      </c>
      <c r="D407" s="3">
        <v>2023</v>
      </c>
      <c r="E407">
        <v>40.5</v>
      </c>
      <c r="F407" s="4">
        <f t="shared" ca="1" si="12"/>
        <v>0.51356521739130423</v>
      </c>
      <c r="G407" s="4">
        <f t="shared" ca="1" si="13"/>
        <v>-1011.2697681159418</v>
      </c>
      <c r="H407" s="4" cm="1">
        <f t="array" aca="1" ref="H407" ca="1">MIN(
  INDEX($E:$E, MATCH($A407, $A:$A, 0) + 23) +
  (F407 * (2030 - 2023)),
  100
)</f>
        <v>68.494956521739141</v>
      </c>
      <c r="I40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8" spans="1:9" hidden="1" x14ac:dyDescent="0.35">
      <c r="A408" s="1" t="s">
        <v>67</v>
      </c>
      <c r="B408" s="1" t="s">
        <v>172</v>
      </c>
      <c r="C408" s="1" t="s">
        <v>41</v>
      </c>
      <c r="D408" s="3">
        <v>2000</v>
      </c>
      <c r="E408">
        <v>64.8</v>
      </c>
      <c r="F408" s="1">
        <f t="shared" ca="1" si="12"/>
        <v>0.10286956521739123</v>
      </c>
      <c r="G408" s="1">
        <f t="shared" ca="1" si="13"/>
        <v>-141.12213043478243</v>
      </c>
      <c r="H408" s="1" cm="1">
        <f t="array" aca="1" ref="H408" ca="1">MIN(
  INDEX($E:$E, MATCH($A408, $A:$A, 0) + 23) +
  (F408 * (2030 - 2023)),
  100
)</f>
        <v>67.620086956521746</v>
      </c>
      <c r="I40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09" spans="1:9" hidden="1" x14ac:dyDescent="0.35">
      <c r="A409" s="1" t="s">
        <v>67</v>
      </c>
      <c r="B409" s="1" t="s">
        <v>172</v>
      </c>
      <c r="C409" s="1" t="s">
        <v>41</v>
      </c>
      <c r="D409" s="3">
        <v>2001</v>
      </c>
      <c r="E409">
        <v>64.900000000000006</v>
      </c>
      <c r="F409" s="1">
        <f t="shared" ca="1" si="12"/>
        <v>0.10286956521739123</v>
      </c>
      <c r="G409" s="1">
        <f t="shared" ca="1" si="13"/>
        <v>-141.12213043478243</v>
      </c>
      <c r="H409" s="1" cm="1">
        <f t="array" aca="1" ref="H409" ca="1">MIN(
  INDEX($E:$E, MATCH($A409, $A:$A, 0) + 23) +
  (F409 * (2030 - 2023)),
  100
)</f>
        <v>67.620086956521746</v>
      </c>
      <c r="I40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0" spans="1:9" hidden="1" x14ac:dyDescent="0.35">
      <c r="A410" s="1" t="s">
        <v>67</v>
      </c>
      <c r="B410" s="1" t="s">
        <v>172</v>
      </c>
      <c r="C410" s="1" t="s">
        <v>41</v>
      </c>
      <c r="D410" s="3">
        <v>2002</v>
      </c>
      <c r="E410">
        <v>64.900000000000006</v>
      </c>
      <c r="F410" s="1">
        <f t="shared" ca="1" si="12"/>
        <v>0.10286956521739123</v>
      </c>
      <c r="G410" s="1">
        <f t="shared" ca="1" si="13"/>
        <v>-141.12213043478243</v>
      </c>
      <c r="H410" s="1" cm="1">
        <f t="array" aca="1" ref="H410" ca="1">MIN(
  INDEX($E:$E, MATCH($A410, $A:$A, 0) + 23) +
  (F410 * (2030 - 2023)),
  100
)</f>
        <v>67.620086956521746</v>
      </c>
      <c r="I41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1" spans="1:9" hidden="1" x14ac:dyDescent="0.35">
      <c r="A411" s="1" t="s">
        <v>67</v>
      </c>
      <c r="B411" s="1" t="s">
        <v>172</v>
      </c>
      <c r="C411" s="1" t="s">
        <v>41</v>
      </c>
      <c r="D411" s="3">
        <v>2003</v>
      </c>
      <c r="E411">
        <v>64.900000000000006</v>
      </c>
      <c r="F411" s="1">
        <f t="shared" ca="1" si="12"/>
        <v>0.10286956521739123</v>
      </c>
      <c r="G411" s="1">
        <f t="shared" ca="1" si="13"/>
        <v>-141.12213043478243</v>
      </c>
      <c r="H411" s="1" cm="1">
        <f t="array" aca="1" ref="H411" ca="1">MIN(
  INDEX($E:$E, MATCH($A411, $A:$A, 0) + 23) +
  (F411 * (2030 - 2023)),
  100
)</f>
        <v>67.620086956521746</v>
      </c>
      <c r="I41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2" spans="1:9" hidden="1" x14ac:dyDescent="0.35">
      <c r="A412" s="1" t="s">
        <v>67</v>
      </c>
      <c r="B412" s="1" t="s">
        <v>172</v>
      </c>
      <c r="C412" s="1" t="s">
        <v>41</v>
      </c>
      <c r="D412" s="3">
        <v>2004</v>
      </c>
      <c r="E412">
        <v>64.900000000000006</v>
      </c>
      <c r="F412" s="1">
        <f t="shared" ca="1" si="12"/>
        <v>0.10286956521739123</v>
      </c>
      <c r="G412" s="1">
        <f t="shared" ca="1" si="13"/>
        <v>-141.12213043478243</v>
      </c>
      <c r="H412" s="1" cm="1">
        <f t="array" aca="1" ref="H412" ca="1">MIN(
  INDEX($E:$E, MATCH($A412, $A:$A, 0) + 23) +
  (F412 * (2030 - 2023)),
  100
)</f>
        <v>67.620086956521746</v>
      </c>
      <c r="I41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3" spans="1:9" hidden="1" x14ac:dyDescent="0.35">
      <c r="A413" s="1" t="s">
        <v>67</v>
      </c>
      <c r="B413" s="1" t="s">
        <v>172</v>
      </c>
      <c r="C413" s="1" t="s">
        <v>41</v>
      </c>
      <c r="D413" s="3">
        <v>2005</v>
      </c>
      <c r="E413">
        <v>65</v>
      </c>
      <c r="F413" s="1">
        <f t="shared" ca="1" si="12"/>
        <v>0.10286956521739123</v>
      </c>
      <c r="G413" s="1">
        <f t="shared" ca="1" si="13"/>
        <v>-141.12213043478243</v>
      </c>
      <c r="H413" s="1" cm="1">
        <f t="array" aca="1" ref="H413" ca="1">MIN(
  INDEX($E:$E, MATCH($A413, $A:$A, 0) + 23) +
  (F413 * (2030 - 2023)),
  100
)</f>
        <v>67.620086956521746</v>
      </c>
      <c r="I41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4" spans="1:9" hidden="1" x14ac:dyDescent="0.35">
      <c r="A414" s="1" t="s">
        <v>67</v>
      </c>
      <c r="B414" s="1" t="s">
        <v>172</v>
      </c>
      <c r="C414" s="1" t="s">
        <v>41</v>
      </c>
      <c r="D414" s="3">
        <v>2006</v>
      </c>
      <c r="E414">
        <v>65.099999999999994</v>
      </c>
      <c r="F414" s="1">
        <f t="shared" ca="1" si="12"/>
        <v>0.10286956521739123</v>
      </c>
      <c r="G414" s="1">
        <f t="shared" ca="1" si="13"/>
        <v>-141.12213043478243</v>
      </c>
      <c r="H414" s="1" cm="1">
        <f t="array" aca="1" ref="H414" ca="1">MIN(
  INDEX($E:$E, MATCH($A414, $A:$A, 0) + 23) +
  (F414 * (2030 - 2023)),
  100
)</f>
        <v>67.620086956521746</v>
      </c>
      <c r="I41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5" spans="1:9" hidden="1" x14ac:dyDescent="0.35">
      <c r="A415" s="1" t="s">
        <v>67</v>
      </c>
      <c r="B415" s="1" t="s">
        <v>172</v>
      </c>
      <c r="C415" s="1" t="s">
        <v>41</v>
      </c>
      <c r="D415" s="3">
        <v>2007</v>
      </c>
      <c r="E415">
        <v>65.099999999999994</v>
      </c>
      <c r="F415" s="1">
        <f t="shared" ca="1" si="12"/>
        <v>0.10286956521739123</v>
      </c>
      <c r="G415" s="1">
        <f t="shared" ca="1" si="13"/>
        <v>-141.12213043478243</v>
      </c>
      <c r="H415" s="1" cm="1">
        <f t="array" aca="1" ref="H415" ca="1">MIN(
  INDEX($E:$E, MATCH($A415, $A:$A, 0) + 23) +
  (F415 * (2030 - 2023)),
  100
)</f>
        <v>67.620086956521746</v>
      </c>
      <c r="I41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6" spans="1:9" hidden="1" x14ac:dyDescent="0.35">
      <c r="A416" s="1" t="s">
        <v>67</v>
      </c>
      <c r="B416" s="1" t="s">
        <v>172</v>
      </c>
      <c r="C416" s="1" t="s">
        <v>41</v>
      </c>
      <c r="D416" s="3">
        <v>2008</v>
      </c>
      <c r="E416">
        <v>65.2</v>
      </c>
      <c r="F416" s="1">
        <f t="shared" ca="1" si="12"/>
        <v>0.10286956521739123</v>
      </c>
      <c r="G416" s="1">
        <f t="shared" ca="1" si="13"/>
        <v>-141.12213043478243</v>
      </c>
      <c r="H416" s="1" cm="1">
        <f t="array" aca="1" ref="H416" ca="1">MIN(
  INDEX($E:$E, MATCH($A416, $A:$A, 0) + 23) +
  (F416 * (2030 - 2023)),
  100
)</f>
        <v>67.620086956521746</v>
      </c>
      <c r="I41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7" spans="1:9" hidden="1" x14ac:dyDescent="0.35">
      <c r="A417" s="1" t="s">
        <v>67</v>
      </c>
      <c r="B417" s="1" t="s">
        <v>172</v>
      </c>
      <c r="C417" s="1" t="s">
        <v>41</v>
      </c>
      <c r="D417" s="3">
        <v>2009</v>
      </c>
      <c r="E417">
        <v>65.400000000000006</v>
      </c>
      <c r="F417" s="1">
        <f t="shared" ca="1" si="12"/>
        <v>0.10286956521739123</v>
      </c>
      <c r="G417" s="1">
        <f t="shared" ca="1" si="13"/>
        <v>-141.12213043478243</v>
      </c>
      <c r="H417" s="1" cm="1">
        <f t="array" aca="1" ref="H417" ca="1">MIN(
  INDEX($E:$E, MATCH($A417, $A:$A, 0) + 23) +
  (F417 * (2030 - 2023)),
  100
)</f>
        <v>67.620086956521746</v>
      </c>
      <c r="I41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8" spans="1:9" hidden="1" x14ac:dyDescent="0.35">
      <c r="A418" s="1" t="s">
        <v>67</v>
      </c>
      <c r="B418" s="1" t="s">
        <v>172</v>
      </c>
      <c r="C418" s="1" t="s">
        <v>41</v>
      </c>
      <c r="D418" s="3">
        <v>2010</v>
      </c>
      <c r="E418">
        <v>66.099999999999994</v>
      </c>
      <c r="F418" s="1">
        <f t="shared" ca="1" si="12"/>
        <v>0.10286956521739123</v>
      </c>
      <c r="G418" s="1">
        <f t="shared" ca="1" si="13"/>
        <v>-141.12213043478243</v>
      </c>
      <c r="H418" s="1" cm="1">
        <f t="array" aca="1" ref="H418" ca="1">MIN(
  INDEX($E:$E, MATCH($A418, $A:$A, 0) + 23) +
  (F418 * (2030 - 2023)),
  100
)</f>
        <v>67.620086956521746</v>
      </c>
      <c r="I4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19" spans="1:9" hidden="1" x14ac:dyDescent="0.35">
      <c r="A419" s="1" t="s">
        <v>67</v>
      </c>
      <c r="B419" s="1" t="s">
        <v>172</v>
      </c>
      <c r="C419" s="1" t="s">
        <v>41</v>
      </c>
      <c r="D419" s="3">
        <v>2011</v>
      </c>
      <c r="E419">
        <v>66.099999999999994</v>
      </c>
      <c r="F419" s="1">
        <f t="shared" ca="1" si="12"/>
        <v>0.10286956521739123</v>
      </c>
      <c r="G419" s="1">
        <f t="shared" ca="1" si="13"/>
        <v>-141.12213043478243</v>
      </c>
      <c r="H419" s="1" cm="1">
        <f t="array" aca="1" ref="H419" ca="1">MIN(
  INDEX($E:$E, MATCH($A419, $A:$A, 0) + 23) +
  (F419 * (2030 - 2023)),
  100
)</f>
        <v>67.620086956521746</v>
      </c>
      <c r="I4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0" spans="1:9" hidden="1" x14ac:dyDescent="0.35">
      <c r="A420" s="1" t="s">
        <v>67</v>
      </c>
      <c r="B420" s="1" t="s">
        <v>172</v>
      </c>
      <c r="C420" s="1" t="s">
        <v>41</v>
      </c>
      <c r="D420" s="3">
        <v>2012</v>
      </c>
      <c r="E420">
        <v>65.7</v>
      </c>
      <c r="F420" s="1">
        <f t="shared" ca="1" si="12"/>
        <v>0.10286956521739123</v>
      </c>
      <c r="G420" s="1">
        <f t="shared" ca="1" si="13"/>
        <v>-141.12213043478243</v>
      </c>
      <c r="H420" s="1" cm="1">
        <f t="array" aca="1" ref="H420" ca="1">MIN(
  INDEX($E:$E, MATCH($A420, $A:$A, 0) + 23) +
  (F420 * (2030 - 2023)),
  100
)</f>
        <v>67.620086956521746</v>
      </c>
      <c r="I4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1" spans="1:9" hidden="1" x14ac:dyDescent="0.35">
      <c r="A421" s="1" t="s">
        <v>67</v>
      </c>
      <c r="B421" s="1" t="s">
        <v>172</v>
      </c>
      <c r="C421" s="1" t="s">
        <v>41</v>
      </c>
      <c r="D421" s="3">
        <v>2013</v>
      </c>
      <c r="E421">
        <v>65.900000000000006</v>
      </c>
      <c r="F421" s="1">
        <f t="shared" ca="1" si="12"/>
        <v>0.10286956521739123</v>
      </c>
      <c r="G421" s="1">
        <f t="shared" ca="1" si="13"/>
        <v>-141.12213043478243</v>
      </c>
      <c r="H421" s="1" cm="1">
        <f t="array" aca="1" ref="H421" ca="1">MIN(
  INDEX($E:$E, MATCH($A421, $A:$A, 0) + 23) +
  (F421 * (2030 - 2023)),
  100
)</f>
        <v>67.620086956521746</v>
      </c>
      <c r="I42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2" spans="1:9" hidden="1" x14ac:dyDescent="0.35">
      <c r="A422" s="1" t="s">
        <v>67</v>
      </c>
      <c r="B422" s="1" t="s">
        <v>172</v>
      </c>
      <c r="C422" s="1" t="s">
        <v>41</v>
      </c>
      <c r="D422" s="3">
        <v>2014</v>
      </c>
      <c r="E422">
        <v>66</v>
      </c>
      <c r="F422" s="1">
        <f t="shared" ca="1" si="12"/>
        <v>0.10286956521739123</v>
      </c>
      <c r="G422" s="1">
        <f t="shared" ca="1" si="13"/>
        <v>-141.12213043478243</v>
      </c>
      <c r="H422" s="1" cm="1">
        <f t="array" aca="1" ref="H422" ca="1">MIN(
  INDEX($E:$E, MATCH($A422, $A:$A, 0) + 23) +
  (F422 * (2030 - 2023)),
  100
)</f>
        <v>67.620086956521746</v>
      </c>
      <c r="I4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3" spans="1:9" hidden="1" x14ac:dyDescent="0.35">
      <c r="A423" s="1" t="s">
        <v>67</v>
      </c>
      <c r="B423" s="1" t="s">
        <v>172</v>
      </c>
      <c r="C423" s="1" t="s">
        <v>41</v>
      </c>
      <c r="D423" s="3">
        <v>2015</v>
      </c>
      <c r="E423">
        <v>66.099999999999994</v>
      </c>
      <c r="F423" s="1">
        <f t="shared" ca="1" si="12"/>
        <v>0.10286956521739123</v>
      </c>
      <c r="G423" s="1">
        <f t="shared" ca="1" si="13"/>
        <v>-141.12213043478243</v>
      </c>
      <c r="H423" s="1" cm="1">
        <f t="array" aca="1" ref="H423" ca="1">MIN(
  INDEX($E:$E, MATCH($A423, $A:$A, 0) + 23) +
  (F423 * (2030 - 2023)),
  100
)</f>
        <v>67.620086956521746</v>
      </c>
      <c r="I4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4" spans="1:9" hidden="1" x14ac:dyDescent="0.35">
      <c r="A424" s="1" t="s">
        <v>67</v>
      </c>
      <c r="B424" s="1" t="s">
        <v>172</v>
      </c>
      <c r="C424" s="1" t="s">
        <v>41</v>
      </c>
      <c r="D424" s="3">
        <v>2016</v>
      </c>
      <c r="E424">
        <v>66.2</v>
      </c>
      <c r="F424" s="1">
        <f t="shared" ca="1" si="12"/>
        <v>0.10286956521739123</v>
      </c>
      <c r="G424" s="1">
        <f t="shared" ca="1" si="13"/>
        <v>-141.12213043478243</v>
      </c>
      <c r="H424" s="1" cm="1">
        <f t="array" aca="1" ref="H424" ca="1">MIN(
  INDEX($E:$E, MATCH($A424, $A:$A, 0) + 23) +
  (F424 * (2030 - 2023)),
  100
)</f>
        <v>67.620086956521746</v>
      </c>
      <c r="I4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5" spans="1:9" hidden="1" x14ac:dyDescent="0.35">
      <c r="A425" s="1" t="s">
        <v>67</v>
      </c>
      <c r="B425" s="1" t="s">
        <v>172</v>
      </c>
      <c r="C425" s="1" t="s">
        <v>41</v>
      </c>
      <c r="D425" s="3">
        <v>2017</v>
      </c>
      <c r="E425">
        <v>66.400000000000006</v>
      </c>
      <c r="F425" s="1">
        <f t="shared" ca="1" si="12"/>
        <v>0.10286956521739123</v>
      </c>
      <c r="G425" s="1">
        <f t="shared" ca="1" si="13"/>
        <v>-141.12213043478243</v>
      </c>
      <c r="H425" s="1" cm="1">
        <f t="array" aca="1" ref="H425" ca="1">MIN(
  INDEX($E:$E, MATCH($A425, $A:$A, 0) + 23) +
  (F425 * (2030 - 2023)),
  100
)</f>
        <v>67.620086956521746</v>
      </c>
      <c r="I4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6" spans="1:9" hidden="1" x14ac:dyDescent="0.35">
      <c r="A426" s="1" t="s">
        <v>67</v>
      </c>
      <c r="B426" s="1" t="s">
        <v>172</v>
      </c>
      <c r="C426" s="1" t="s">
        <v>41</v>
      </c>
      <c r="D426" s="3">
        <v>2018</v>
      </c>
      <c r="E426">
        <v>66.5</v>
      </c>
      <c r="F426" s="1">
        <f t="shared" ca="1" si="12"/>
        <v>0.10286956521739123</v>
      </c>
      <c r="G426" s="1">
        <f t="shared" ca="1" si="13"/>
        <v>-141.12213043478243</v>
      </c>
      <c r="H426" s="1" cm="1">
        <f t="array" aca="1" ref="H426" ca="1">MIN(
  INDEX($E:$E, MATCH($A426, $A:$A, 0) + 23) +
  (F426 * (2030 - 2023)),
  100
)</f>
        <v>67.620086956521746</v>
      </c>
      <c r="I4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7" spans="1:9" hidden="1" x14ac:dyDescent="0.35">
      <c r="A427" s="1" t="s">
        <v>67</v>
      </c>
      <c r="B427" s="1" t="s">
        <v>172</v>
      </c>
      <c r="C427" s="1" t="s">
        <v>41</v>
      </c>
      <c r="D427" s="3">
        <v>2019</v>
      </c>
      <c r="E427">
        <v>66.599999999999994</v>
      </c>
      <c r="F427" s="1">
        <f t="shared" ca="1" si="12"/>
        <v>0.10286956521739123</v>
      </c>
      <c r="G427" s="1">
        <f t="shared" ca="1" si="13"/>
        <v>-141.12213043478243</v>
      </c>
      <c r="H427" s="1" cm="1">
        <f t="array" aca="1" ref="H427" ca="1">MIN(
  INDEX($E:$E, MATCH($A427, $A:$A, 0) + 23) +
  (F427 * (2030 - 2023)),
  100
)</f>
        <v>67.620086956521746</v>
      </c>
      <c r="I4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8" spans="1:9" hidden="1" x14ac:dyDescent="0.35">
      <c r="A428" s="1" t="s">
        <v>67</v>
      </c>
      <c r="B428" s="1" t="s">
        <v>172</v>
      </c>
      <c r="C428" s="1" t="s">
        <v>41</v>
      </c>
      <c r="D428" s="3">
        <v>2020</v>
      </c>
      <c r="E428">
        <v>66.7</v>
      </c>
      <c r="F428" s="1">
        <f t="shared" ca="1" si="12"/>
        <v>0.10286956521739123</v>
      </c>
      <c r="G428" s="1">
        <f t="shared" ca="1" si="13"/>
        <v>-141.12213043478243</v>
      </c>
      <c r="H428" s="1" cm="1">
        <f t="array" aca="1" ref="H428" ca="1">MIN(
  INDEX($E:$E, MATCH($A428, $A:$A, 0) + 23) +
  (F428 * (2030 - 2023)),
  100
)</f>
        <v>67.620086956521746</v>
      </c>
      <c r="I4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29" spans="1:9" hidden="1" x14ac:dyDescent="0.35">
      <c r="A429" s="1" t="s">
        <v>67</v>
      </c>
      <c r="B429" s="1" t="s">
        <v>172</v>
      </c>
      <c r="C429" s="1" t="s">
        <v>41</v>
      </c>
      <c r="D429" s="3">
        <v>2021</v>
      </c>
      <c r="E429">
        <v>66.8</v>
      </c>
      <c r="F429" s="1">
        <f t="shared" ca="1" si="12"/>
        <v>0.10286956521739123</v>
      </c>
      <c r="G429" s="1">
        <f t="shared" ca="1" si="13"/>
        <v>-141.12213043478243</v>
      </c>
      <c r="H429" s="1" cm="1">
        <f t="array" aca="1" ref="H429" ca="1">MIN(
  INDEX($E:$E, MATCH($A429, $A:$A, 0) + 23) +
  (F429 * (2030 - 2023)),
  100
)</f>
        <v>67.620086956521746</v>
      </c>
      <c r="I4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30" spans="1:9" hidden="1" x14ac:dyDescent="0.35">
      <c r="A430" s="1" t="s">
        <v>67</v>
      </c>
      <c r="B430" s="1" t="s">
        <v>172</v>
      </c>
      <c r="C430" s="1" t="s">
        <v>41</v>
      </c>
      <c r="D430" s="3">
        <v>2022</v>
      </c>
      <c r="E430">
        <v>67</v>
      </c>
      <c r="F430" s="1">
        <f t="shared" ca="1" si="12"/>
        <v>0.10286956521739123</v>
      </c>
      <c r="G430" s="1">
        <f t="shared" ca="1" si="13"/>
        <v>-141.12213043478243</v>
      </c>
      <c r="H430" s="1" cm="1">
        <f t="array" aca="1" ref="H430" ca="1">MIN(
  INDEX($E:$E, MATCH($A430, $A:$A, 0) + 23) +
  (F430 * (2030 - 2023)),
  100
)</f>
        <v>67.620086956521746</v>
      </c>
      <c r="I4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31" spans="1:9" x14ac:dyDescent="0.35">
      <c r="A431" s="1" t="s">
        <v>67</v>
      </c>
      <c r="B431" s="1" t="s">
        <v>172</v>
      </c>
      <c r="C431" s="1" t="s">
        <v>41</v>
      </c>
      <c r="D431" s="3">
        <v>2023</v>
      </c>
      <c r="E431">
        <v>66.900000000000006</v>
      </c>
      <c r="F431" s="4">
        <f t="shared" ca="1" si="12"/>
        <v>0.10286956521739123</v>
      </c>
      <c r="G431" s="4">
        <f t="shared" ca="1" si="13"/>
        <v>-141.12213043478243</v>
      </c>
      <c r="H431" s="4" cm="1">
        <f t="array" aca="1" ref="H431" ca="1">MIN(
  INDEX($E:$E, MATCH($A431, $A:$A, 0) + 23) +
  (F431 * (2030 - 2023)),
  100
)</f>
        <v>67.620086956521746</v>
      </c>
      <c r="I4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32" spans="1:9" hidden="1" x14ac:dyDescent="0.35">
      <c r="A432" s="1" t="s">
        <v>69</v>
      </c>
      <c r="B432" s="1" t="s">
        <v>174</v>
      </c>
      <c r="C432" s="1" t="s">
        <v>31</v>
      </c>
      <c r="D432" s="3">
        <v>2000</v>
      </c>
      <c r="E432">
        <v>15.2</v>
      </c>
      <c r="F432" s="1">
        <f t="shared" ca="1" si="12"/>
        <v>2.8777391304347826</v>
      </c>
      <c r="G432" s="1">
        <f t="shared" ca="1" si="13"/>
        <v>-5748.0139275362317</v>
      </c>
      <c r="H432" s="1" cm="1">
        <f t="array" aca="1" ref="H432" ca="1">MIN(
  INDEX($E:$E, MATCH($A432, $A:$A, 0) + 23) +
  (F432 * (2030 - 2023)),
  100
)</f>
        <v>96.344173913043477</v>
      </c>
      <c r="I43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33" spans="1:9" hidden="1" x14ac:dyDescent="0.35">
      <c r="A433" s="1" t="s">
        <v>69</v>
      </c>
      <c r="B433" s="1" t="s">
        <v>174</v>
      </c>
      <c r="C433" s="1" t="s">
        <v>31</v>
      </c>
      <c r="D433" s="3">
        <v>2001</v>
      </c>
      <c r="E433">
        <v>17</v>
      </c>
      <c r="F433" s="1">
        <f t="shared" ca="1" si="12"/>
        <v>2.8777391304347826</v>
      </c>
      <c r="G433" s="1">
        <f t="shared" ca="1" si="13"/>
        <v>-5748.0139275362317</v>
      </c>
      <c r="H433" s="1" cm="1">
        <f t="array" aca="1" ref="H433" ca="1">MIN(
  INDEX($E:$E, MATCH($A433, $A:$A, 0) + 23) +
  (F433 * (2030 - 2023)),
  100
)</f>
        <v>96.344173913043477</v>
      </c>
      <c r="I43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34" spans="1:9" hidden="1" x14ac:dyDescent="0.35">
      <c r="A434" s="1" t="s">
        <v>69</v>
      </c>
      <c r="B434" s="1" t="s">
        <v>174</v>
      </c>
      <c r="C434" s="1" t="s">
        <v>31</v>
      </c>
      <c r="D434" s="3">
        <v>2002</v>
      </c>
      <c r="E434">
        <v>18.899999999999999</v>
      </c>
      <c r="F434" s="1">
        <f t="shared" ca="1" si="12"/>
        <v>2.8777391304347826</v>
      </c>
      <c r="G434" s="1">
        <f t="shared" ca="1" si="13"/>
        <v>-5748.0139275362317</v>
      </c>
      <c r="H434" s="1" cm="1">
        <f t="array" aca="1" ref="H434" ca="1">MIN(
  INDEX($E:$E, MATCH($A434, $A:$A, 0) + 23) +
  (F434 * (2030 - 2023)),
  100
)</f>
        <v>96.344173913043477</v>
      </c>
      <c r="I43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35" spans="1:9" hidden="1" x14ac:dyDescent="0.35">
      <c r="A435" s="1" t="s">
        <v>69</v>
      </c>
      <c r="B435" s="1" t="s">
        <v>174</v>
      </c>
      <c r="C435" s="1" t="s">
        <v>31</v>
      </c>
      <c r="D435" s="3">
        <v>2003</v>
      </c>
      <c r="E435">
        <v>16</v>
      </c>
      <c r="F435" s="1">
        <f t="shared" ca="1" si="12"/>
        <v>2.8777391304347826</v>
      </c>
      <c r="G435" s="1">
        <f t="shared" ca="1" si="13"/>
        <v>-5748.0139275362317</v>
      </c>
      <c r="H435" s="1" cm="1">
        <f t="array" aca="1" ref="H435" ca="1">MIN(
  INDEX($E:$E, MATCH($A435, $A:$A, 0) + 23) +
  (F435 * (2030 - 2023)),
  100
)</f>
        <v>96.344173913043477</v>
      </c>
      <c r="I43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36" spans="1:9" hidden="1" x14ac:dyDescent="0.35">
      <c r="A436" s="1" t="s">
        <v>69</v>
      </c>
      <c r="B436" s="1" t="s">
        <v>174</v>
      </c>
      <c r="C436" s="1" t="s">
        <v>31</v>
      </c>
      <c r="D436" s="3">
        <v>2004</v>
      </c>
      <c r="E436">
        <v>22.6</v>
      </c>
      <c r="F436" s="1">
        <f t="shared" ca="1" si="12"/>
        <v>2.8777391304347826</v>
      </c>
      <c r="G436" s="1">
        <f t="shared" ca="1" si="13"/>
        <v>-5748.0139275362317</v>
      </c>
      <c r="H436" s="1" cm="1">
        <f t="array" aca="1" ref="H436" ca="1">MIN(
  INDEX($E:$E, MATCH($A436, $A:$A, 0) + 23) +
  (F436 * (2030 - 2023)),
  100
)</f>
        <v>96.344173913043477</v>
      </c>
      <c r="I43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37" spans="1:9" hidden="1" x14ac:dyDescent="0.35">
      <c r="A437" s="1" t="s">
        <v>69</v>
      </c>
      <c r="B437" s="1" t="s">
        <v>174</v>
      </c>
      <c r="C437" s="1" t="s">
        <v>31</v>
      </c>
      <c r="D437" s="3">
        <v>2005</v>
      </c>
      <c r="E437">
        <v>24.5</v>
      </c>
      <c r="F437" s="1">
        <f t="shared" ca="1" si="12"/>
        <v>2.8777391304347826</v>
      </c>
      <c r="G437" s="1">
        <f t="shared" ca="1" si="13"/>
        <v>-5748.0139275362317</v>
      </c>
      <c r="H437" s="1" cm="1">
        <f t="array" aca="1" ref="H437" ca="1">MIN(
  INDEX($E:$E, MATCH($A437, $A:$A, 0) + 23) +
  (F437 * (2030 - 2023)),
  100
)</f>
        <v>96.344173913043477</v>
      </c>
      <c r="I43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38" spans="1:9" hidden="1" x14ac:dyDescent="0.35">
      <c r="A438" s="1" t="s">
        <v>69</v>
      </c>
      <c r="B438" s="1" t="s">
        <v>174</v>
      </c>
      <c r="C438" s="1" t="s">
        <v>31</v>
      </c>
      <c r="D438" s="3">
        <v>2006</v>
      </c>
      <c r="E438">
        <v>26.4</v>
      </c>
      <c r="F438" s="1">
        <f t="shared" ca="1" si="12"/>
        <v>2.8777391304347826</v>
      </c>
      <c r="G438" s="1">
        <f t="shared" ca="1" si="13"/>
        <v>-5748.0139275362317</v>
      </c>
      <c r="H438" s="1" cm="1">
        <f t="array" aca="1" ref="H438" ca="1">MIN(
  INDEX($E:$E, MATCH($A438, $A:$A, 0) + 23) +
  (F438 * (2030 - 2023)),
  100
)</f>
        <v>96.344173913043477</v>
      </c>
      <c r="I43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39" spans="1:9" hidden="1" x14ac:dyDescent="0.35">
      <c r="A439" s="1" t="s">
        <v>69</v>
      </c>
      <c r="B439" s="1" t="s">
        <v>174</v>
      </c>
      <c r="C439" s="1" t="s">
        <v>31</v>
      </c>
      <c r="D439" s="3">
        <v>2007</v>
      </c>
      <c r="E439">
        <v>28.3</v>
      </c>
      <c r="F439" s="1">
        <f t="shared" ca="1" si="12"/>
        <v>2.8777391304347826</v>
      </c>
      <c r="G439" s="1">
        <f t="shared" ca="1" si="13"/>
        <v>-5748.0139275362317</v>
      </c>
      <c r="H439" s="1" cm="1">
        <f t="array" aca="1" ref="H439" ca="1">MIN(
  INDEX($E:$E, MATCH($A439, $A:$A, 0) + 23) +
  (F439 * (2030 - 2023)),
  100
)</f>
        <v>96.344173913043477</v>
      </c>
      <c r="I43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0" spans="1:9" hidden="1" x14ac:dyDescent="0.35">
      <c r="A440" s="1" t="s">
        <v>69</v>
      </c>
      <c r="B440" s="1" t="s">
        <v>174</v>
      </c>
      <c r="C440" s="1" t="s">
        <v>31</v>
      </c>
      <c r="D440" s="3">
        <v>2008</v>
      </c>
      <c r="E440">
        <v>30.3</v>
      </c>
      <c r="F440" s="1">
        <f t="shared" ca="1" si="12"/>
        <v>2.8777391304347826</v>
      </c>
      <c r="G440" s="1">
        <f t="shared" ca="1" si="13"/>
        <v>-5748.0139275362317</v>
      </c>
      <c r="H440" s="1" cm="1">
        <f t="array" aca="1" ref="H440" ca="1">MIN(
  INDEX($E:$E, MATCH($A440, $A:$A, 0) + 23) +
  (F440 * (2030 - 2023)),
  100
)</f>
        <v>96.344173913043477</v>
      </c>
      <c r="I44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1" spans="1:9" hidden="1" x14ac:dyDescent="0.35">
      <c r="A441" s="1" t="s">
        <v>69</v>
      </c>
      <c r="B441" s="1" t="s">
        <v>174</v>
      </c>
      <c r="C441" s="1" t="s">
        <v>31</v>
      </c>
      <c r="D441" s="3">
        <v>2009</v>
      </c>
      <c r="E441">
        <v>23</v>
      </c>
      <c r="F441" s="1">
        <f t="shared" ca="1" si="12"/>
        <v>2.8777391304347826</v>
      </c>
      <c r="G441" s="1">
        <f t="shared" ca="1" si="13"/>
        <v>-5748.0139275362317</v>
      </c>
      <c r="H441" s="1" cm="1">
        <f t="array" aca="1" ref="H441" ca="1">MIN(
  INDEX($E:$E, MATCH($A441, $A:$A, 0) + 23) +
  (F441 * (2030 - 2023)),
  100
)</f>
        <v>96.344173913043477</v>
      </c>
      <c r="I44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2" spans="1:9" hidden="1" x14ac:dyDescent="0.35">
      <c r="A442" s="1" t="s">
        <v>69</v>
      </c>
      <c r="B442" s="1" t="s">
        <v>174</v>
      </c>
      <c r="C442" s="1" t="s">
        <v>31</v>
      </c>
      <c r="D442" s="3">
        <v>2010</v>
      </c>
      <c r="E442">
        <v>19.2</v>
      </c>
      <c r="F442" s="1">
        <f t="shared" ca="1" si="12"/>
        <v>2.8777391304347826</v>
      </c>
      <c r="G442" s="1">
        <f t="shared" ca="1" si="13"/>
        <v>-5748.0139275362317</v>
      </c>
      <c r="H442" s="1" cm="1">
        <f t="array" aca="1" ref="H442" ca="1">MIN(
  INDEX($E:$E, MATCH($A442, $A:$A, 0) + 23) +
  (F442 * (2030 - 2023)),
  100
)</f>
        <v>96.344173913043477</v>
      </c>
      <c r="I44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3" spans="1:9" hidden="1" x14ac:dyDescent="0.35">
      <c r="A443" s="1" t="s">
        <v>69</v>
      </c>
      <c r="B443" s="1" t="s">
        <v>174</v>
      </c>
      <c r="C443" s="1" t="s">
        <v>31</v>
      </c>
      <c r="D443" s="3">
        <v>2011</v>
      </c>
      <c r="E443">
        <v>36.200000000000003</v>
      </c>
      <c r="F443" s="1">
        <f t="shared" ca="1" si="12"/>
        <v>2.8777391304347826</v>
      </c>
      <c r="G443" s="1">
        <f t="shared" ca="1" si="13"/>
        <v>-5748.0139275362317</v>
      </c>
      <c r="H443" s="1" cm="1">
        <f t="array" aca="1" ref="H443" ca="1">MIN(
  INDEX($E:$E, MATCH($A443, $A:$A, 0) + 23) +
  (F443 * (2030 - 2023)),
  100
)</f>
        <v>96.344173913043477</v>
      </c>
      <c r="I44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4" spans="1:9" hidden="1" x14ac:dyDescent="0.35">
      <c r="A444" s="1" t="s">
        <v>69</v>
      </c>
      <c r="B444" s="1" t="s">
        <v>174</v>
      </c>
      <c r="C444" s="1" t="s">
        <v>31</v>
      </c>
      <c r="D444" s="3">
        <v>2012</v>
      </c>
      <c r="E444">
        <v>38.1</v>
      </c>
      <c r="F444" s="1">
        <f t="shared" ca="1" si="12"/>
        <v>2.8777391304347826</v>
      </c>
      <c r="G444" s="1">
        <f t="shared" ca="1" si="13"/>
        <v>-5748.0139275362317</v>
      </c>
      <c r="H444" s="1" cm="1">
        <f t="array" aca="1" ref="H444" ca="1">MIN(
  INDEX($E:$E, MATCH($A444, $A:$A, 0) + 23) +
  (F444 * (2030 - 2023)),
  100
)</f>
        <v>96.344173913043477</v>
      </c>
      <c r="I44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5" spans="1:9" hidden="1" x14ac:dyDescent="0.35">
      <c r="A445" s="1" t="s">
        <v>69</v>
      </c>
      <c r="B445" s="1" t="s">
        <v>174</v>
      </c>
      <c r="C445" s="1" t="s">
        <v>31</v>
      </c>
      <c r="D445" s="3">
        <v>2013</v>
      </c>
      <c r="E445">
        <v>40.1</v>
      </c>
      <c r="F445" s="1">
        <f t="shared" ca="1" si="12"/>
        <v>2.8777391304347826</v>
      </c>
      <c r="G445" s="1">
        <f t="shared" ca="1" si="13"/>
        <v>-5748.0139275362317</v>
      </c>
      <c r="H445" s="1" cm="1">
        <f t="array" aca="1" ref="H445" ca="1">MIN(
  INDEX($E:$E, MATCH($A445, $A:$A, 0) + 23) +
  (F445 * (2030 - 2023)),
  100
)</f>
        <v>96.344173913043477</v>
      </c>
      <c r="I44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6" spans="1:9" hidden="1" x14ac:dyDescent="0.35">
      <c r="A446" s="1" t="s">
        <v>69</v>
      </c>
      <c r="B446" s="1" t="s">
        <v>174</v>
      </c>
      <c r="C446" s="1" t="s">
        <v>31</v>
      </c>
      <c r="D446" s="3">
        <v>2014</v>
      </c>
      <c r="E446">
        <v>36</v>
      </c>
      <c r="F446" s="1">
        <f t="shared" ca="1" si="12"/>
        <v>2.8777391304347826</v>
      </c>
      <c r="G446" s="1">
        <f t="shared" ca="1" si="13"/>
        <v>-5748.0139275362317</v>
      </c>
      <c r="H446" s="1" cm="1">
        <f t="array" aca="1" ref="H446" ca="1">MIN(
  INDEX($E:$E, MATCH($A446, $A:$A, 0) + 23) +
  (F446 * (2030 - 2023)),
  100
)</f>
        <v>96.344173913043477</v>
      </c>
      <c r="I44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7" spans="1:9" hidden="1" x14ac:dyDescent="0.35">
      <c r="A447" s="1" t="s">
        <v>69</v>
      </c>
      <c r="B447" s="1" t="s">
        <v>174</v>
      </c>
      <c r="C447" s="1" t="s">
        <v>31</v>
      </c>
      <c r="D447" s="3">
        <v>2015</v>
      </c>
      <c r="E447">
        <v>41.6</v>
      </c>
      <c r="F447" s="1">
        <f t="shared" ca="1" si="12"/>
        <v>2.8777391304347826</v>
      </c>
      <c r="G447" s="1">
        <f t="shared" ca="1" si="13"/>
        <v>-5748.0139275362317</v>
      </c>
      <c r="H447" s="1" cm="1">
        <f t="array" aca="1" ref="H447" ca="1">MIN(
  INDEX($E:$E, MATCH($A447, $A:$A, 0) + 23) +
  (F447 * (2030 - 2023)),
  100
)</f>
        <v>96.344173913043477</v>
      </c>
      <c r="I44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8" spans="1:9" hidden="1" x14ac:dyDescent="0.35">
      <c r="A448" s="1" t="s">
        <v>69</v>
      </c>
      <c r="B448" s="1" t="s">
        <v>174</v>
      </c>
      <c r="C448" s="1" t="s">
        <v>31</v>
      </c>
      <c r="D448" s="3">
        <v>2016</v>
      </c>
      <c r="E448">
        <v>53.1</v>
      </c>
      <c r="F448" s="1">
        <f t="shared" ca="1" si="12"/>
        <v>2.8777391304347826</v>
      </c>
      <c r="G448" s="1">
        <f t="shared" ca="1" si="13"/>
        <v>-5748.0139275362317</v>
      </c>
      <c r="H448" s="1" cm="1">
        <f t="array" aca="1" ref="H448" ca="1">MIN(
  INDEX($E:$E, MATCH($A448, $A:$A, 0) + 23) +
  (F448 * (2030 - 2023)),
  100
)</f>
        <v>96.344173913043477</v>
      </c>
      <c r="I44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49" spans="1:9" hidden="1" x14ac:dyDescent="0.35">
      <c r="A449" s="1" t="s">
        <v>69</v>
      </c>
      <c r="B449" s="1" t="s">
        <v>174</v>
      </c>
      <c r="C449" s="1" t="s">
        <v>31</v>
      </c>
      <c r="D449" s="3">
        <v>2017</v>
      </c>
      <c r="E449">
        <v>55.8</v>
      </c>
      <c r="F449" s="1">
        <f t="shared" ca="1" si="12"/>
        <v>2.8777391304347826</v>
      </c>
      <c r="G449" s="1">
        <f t="shared" ca="1" si="13"/>
        <v>-5748.0139275362317</v>
      </c>
      <c r="H449" s="1" cm="1">
        <f t="array" aca="1" ref="H449" ca="1">MIN(
  INDEX($E:$E, MATCH($A449, $A:$A, 0) + 23) +
  (F449 * (2030 - 2023)),
  100
)</f>
        <v>96.344173913043477</v>
      </c>
      <c r="I44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50" spans="1:9" hidden="1" x14ac:dyDescent="0.35">
      <c r="A450" s="1" t="s">
        <v>69</v>
      </c>
      <c r="B450" s="1" t="s">
        <v>174</v>
      </c>
      <c r="C450" s="1" t="s">
        <v>31</v>
      </c>
      <c r="D450" s="3">
        <v>2018</v>
      </c>
      <c r="E450">
        <v>61.2</v>
      </c>
      <c r="F450" s="1">
        <f t="shared" ref="F450:F513" ca="1" si="14">SLOPE(
  OFFSET($E$1, MATCH($A450, $A:$A, 0)-1, 0, 24, 1),
  OFFSET($D$1, MATCH($A450, $A:$A, 0)-1, 0, 24, 1)
)</f>
        <v>2.8777391304347826</v>
      </c>
      <c r="G450" s="1">
        <f t="shared" ref="G450:G513" ca="1" si="15">INTERCEPT(
  OFFSET($E$1, MATCH($A450, $A:$A, 0)-1, 0, 24, 1),
  OFFSET($D$1, MATCH($A450, $A:$A, 0)-1, 0, 24, 1)
)</f>
        <v>-5748.0139275362317</v>
      </c>
      <c r="H450" s="1" cm="1">
        <f t="array" aca="1" ref="H450" ca="1">MIN(
  INDEX($E:$E, MATCH($A450, $A:$A, 0) + 23) +
  (F450 * (2030 - 2023)),
  100
)</f>
        <v>96.344173913043477</v>
      </c>
      <c r="I45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51" spans="1:9" hidden="1" x14ac:dyDescent="0.35">
      <c r="A451" s="1" t="s">
        <v>69</v>
      </c>
      <c r="B451" s="1" t="s">
        <v>174</v>
      </c>
      <c r="C451" s="1" t="s">
        <v>31</v>
      </c>
      <c r="D451" s="3">
        <v>2019</v>
      </c>
      <c r="E451">
        <v>69.7</v>
      </c>
      <c r="F451" s="1">
        <f t="shared" ca="1" si="14"/>
        <v>2.8777391304347826</v>
      </c>
      <c r="G451" s="1">
        <f t="shared" ca="1" si="15"/>
        <v>-5748.0139275362317</v>
      </c>
      <c r="H451" s="1" cm="1">
        <f t="array" aca="1" ref="H451" ca="1">MIN(
  INDEX($E:$E, MATCH($A451, $A:$A, 0) + 23) +
  (F451 * (2030 - 2023)),
  100
)</f>
        <v>96.344173913043477</v>
      </c>
      <c r="I45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52" spans="1:9" hidden="1" x14ac:dyDescent="0.35">
      <c r="A452" s="1" t="s">
        <v>69</v>
      </c>
      <c r="B452" s="1" t="s">
        <v>174</v>
      </c>
      <c r="C452" s="1" t="s">
        <v>31</v>
      </c>
      <c r="D452" s="3">
        <v>2020</v>
      </c>
      <c r="E452">
        <v>71.5</v>
      </c>
      <c r="F452" s="1">
        <f t="shared" ca="1" si="14"/>
        <v>2.8777391304347826</v>
      </c>
      <c r="G452" s="1">
        <f t="shared" ca="1" si="15"/>
        <v>-5748.0139275362317</v>
      </c>
      <c r="H452" s="1" cm="1">
        <f t="array" aca="1" ref="H452" ca="1">MIN(
  INDEX($E:$E, MATCH($A452, $A:$A, 0) + 23) +
  (F452 * (2030 - 2023)),
  100
)</f>
        <v>96.344173913043477</v>
      </c>
      <c r="I45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53" spans="1:9" hidden="1" x14ac:dyDescent="0.35">
      <c r="A453" s="1" t="s">
        <v>69</v>
      </c>
      <c r="B453" s="1" t="s">
        <v>174</v>
      </c>
      <c r="C453" s="1" t="s">
        <v>31</v>
      </c>
      <c r="D453" s="3">
        <v>2021</v>
      </c>
      <c r="E453">
        <v>76.5</v>
      </c>
      <c r="F453" s="1">
        <f t="shared" ca="1" si="14"/>
        <v>2.8777391304347826</v>
      </c>
      <c r="G453" s="1">
        <f t="shared" ca="1" si="15"/>
        <v>-5748.0139275362317</v>
      </c>
      <c r="H453" s="1" cm="1">
        <f t="array" aca="1" ref="H453" ca="1">MIN(
  INDEX($E:$E, MATCH($A453, $A:$A, 0) + 23) +
  (F453 * (2030 - 2023)),
  100
)</f>
        <v>96.344173913043477</v>
      </c>
      <c r="I45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54" spans="1:9" hidden="1" x14ac:dyDescent="0.35">
      <c r="A454" s="1" t="s">
        <v>69</v>
      </c>
      <c r="B454" s="1" t="s">
        <v>174</v>
      </c>
      <c r="C454" s="1" t="s">
        <v>31</v>
      </c>
      <c r="D454" s="3">
        <v>2022</v>
      </c>
      <c r="E454">
        <v>76</v>
      </c>
      <c r="F454" s="1">
        <f t="shared" ca="1" si="14"/>
        <v>2.8777391304347826</v>
      </c>
      <c r="G454" s="1">
        <f t="shared" ca="1" si="15"/>
        <v>-5748.0139275362317</v>
      </c>
      <c r="H454" s="1" cm="1">
        <f t="array" aca="1" ref="H454" ca="1">MIN(
  INDEX($E:$E, MATCH($A454, $A:$A, 0) + 23) +
  (F454 * (2030 - 2023)),
  100
)</f>
        <v>96.344173913043477</v>
      </c>
      <c r="I45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55" spans="1:9" x14ac:dyDescent="0.35">
      <c r="A455" s="1" t="s">
        <v>69</v>
      </c>
      <c r="B455" s="1" t="s">
        <v>174</v>
      </c>
      <c r="C455" s="1" t="s">
        <v>31</v>
      </c>
      <c r="D455" s="3">
        <v>2023</v>
      </c>
      <c r="E455">
        <v>76.2</v>
      </c>
      <c r="F455" s="4">
        <f t="shared" ca="1" si="14"/>
        <v>2.8777391304347826</v>
      </c>
      <c r="G455" s="4">
        <f t="shared" ca="1" si="15"/>
        <v>-5748.0139275362317</v>
      </c>
      <c r="H455" s="4" cm="1">
        <f t="array" aca="1" ref="H455" ca="1">MIN(
  INDEX($E:$E, MATCH($A455, $A:$A, 0) + 23) +
  (F455 * (2030 - 2023)),
  100
)</f>
        <v>96.344173913043477</v>
      </c>
      <c r="I45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456" spans="1:9" hidden="1" x14ac:dyDescent="0.35">
      <c r="A456" s="1" t="s">
        <v>71</v>
      </c>
      <c r="B456" s="1" t="s">
        <v>175</v>
      </c>
      <c r="C456" s="1" t="s">
        <v>34</v>
      </c>
      <c r="D456" s="3">
        <v>2007</v>
      </c>
      <c r="E456">
        <v>3</v>
      </c>
      <c r="F456" s="1">
        <f t="shared" ca="1" si="14"/>
        <v>-3.3059565217391302</v>
      </c>
      <c r="G456" s="1">
        <f t="shared" ca="1" si="15"/>
        <v>6688.4523768115932</v>
      </c>
      <c r="H456" s="1" cm="1">
        <f t="array" aca="1" ref="H456" ca="1">MIN(
  INDEX($E:$E, MATCH($A456, $A:$A, 0) + 23) +
  (F456 * (2030 - 2023)),
  100
)</f>
        <v>65.258304347826098</v>
      </c>
      <c r="I45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57" spans="1:9" hidden="1" x14ac:dyDescent="0.35">
      <c r="A457" s="1" t="s">
        <v>71</v>
      </c>
      <c r="B457" s="1" t="s">
        <v>175</v>
      </c>
      <c r="C457" s="1" t="s">
        <v>34</v>
      </c>
      <c r="D457" s="3">
        <v>2008</v>
      </c>
      <c r="E457">
        <v>1.3</v>
      </c>
      <c r="F457" s="1">
        <f t="shared" ca="1" si="14"/>
        <v>-3.3059565217391302</v>
      </c>
      <c r="G457" s="1">
        <f t="shared" ca="1" si="15"/>
        <v>6688.4523768115932</v>
      </c>
      <c r="H457" s="1" cm="1">
        <f t="array" aca="1" ref="H457" ca="1">MIN(
  INDEX($E:$E, MATCH($A457, $A:$A, 0) + 23) +
  (F457 * (2030 - 2023)),
  100
)</f>
        <v>65.258304347826098</v>
      </c>
      <c r="I45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58" spans="1:9" hidden="1" x14ac:dyDescent="0.35">
      <c r="A458" s="1" t="s">
        <v>71</v>
      </c>
      <c r="B458" s="1" t="s">
        <v>175</v>
      </c>
      <c r="C458" s="1" t="s">
        <v>34</v>
      </c>
      <c r="D458" s="3">
        <v>2009</v>
      </c>
      <c r="E458">
        <v>1.9</v>
      </c>
      <c r="F458" s="1">
        <f t="shared" ca="1" si="14"/>
        <v>-3.3059565217391302</v>
      </c>
      <c r="G458" s="1">
        <f t="shared" ca="1" si="15"/>
        <v>6688.4523768115932</v>
      </c>
      <c r="H458" s="1" cm="1">
        <f t="array" aca="1" ref="H458" ca="1">MIN(
  INDEX($E:$E, MATCH($A458, $A:$A, 0) + 23) +
  (F458 * (2030 - 2023)),
  100
)</f>
        <v>65.258304347826098</v>
      </c>
      <c r="I45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59" spans="1:9" hidden="1" x14ac:dyDescent="0.35">
      <c r="A459" s="1" t="s">
        <v>71</v>
      </c>
      <c r="B459" s="1" t="s">
        <v>175</v>
      </c>
      <c r="C459" s="1" t="s">
        <v>34</v>
      </c>
      <c r="D459" s="3">
        <v>2010</v>
      </c>
      <c r="E459">
        <v>5.3</v>
      </c>
      <c r="F459" s="1">
        <f t="shared" ca="1" si="14"/>
        <v>-3.3059565217391302</v>
      </c>
      <c r="G459" s="1">
        <f t="shared" ca="1" si="15"/>
        <v>6688.4523768115932</v>
      </c>
      <c r="H459" s="1" cm="1">
        <f t="array" aca="1" ref="H459" ca="1">MIN(
  INDEX($E:$E, MATCH($A459, $A:$A, 0) + 23) +
  (F459 * (2030 - 2023)),
  100
)</f>
        <v>65.258304347826098</v>
      </c>
      <c r="I45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0" spans="1:9" hidden="1" x14ac:dyDescent="0.35">
      <c r="A460" s="1" t="s">
        <v>71</v>
      </c>
      <c r="B460" s="1" t="s">
        <v>175</v>
      </c>
      <c r="C460" s="1" t="s">
        <v>34</v>
      </c>
      <c r="D460" s="3">
        <v>2011</v>
      </c>
      <c r="E460">
        <v>4.0999999999999996</v>
      </c>
      <c r="F460" s="1">
        <f t="shared" ca="1" si="14"/>
        <v>-3.3059565217391302</v>
      </c>
      <c r="G460" s="1">
        <f t="shared" ca="1" si="15"/>
        <v>6688.4523768115932</v>
      </c>
      <c r="H460" s="1" cm="1">
        <f t="array" aca="1" ref="H460" ca="1">MIN(
  INDEX($E:$E, MATCH($A460, $A:$A, 0) + 23) +
  (F460 * (2030 - 2023)),
  100
)</f>
        <v>65.258304347826098</v>
      </c>
      <c r="I46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1" spans="1:9" hidden="1" x14ac:dyDescent="0.35">
      <c r="A461" s="1" t="s">
        <v>71</v>
      </c>
      <c r="B461" s="1" t="s">
        <v>175</v>
      </c>
      <c r="C461" s="1" t="s">
        <v>34</v>
      </c>
      <c r="D461" s="3">
        <v>2012</v>
      </c>
      <c r="E461">
        <v>9.3000000000000007</v>
      </c>
      <c r="F461" s="1">
        <f t="shared" ca="1" si="14"/>
        <v>-3.3059565217391302</v>
      </c>
      <c r="G461" s="1">
        <f t="shared" ca="1" si="15"/>
        <v>6688.4523768115932</v>
      </c>
      <c r="H461" s="1" cm="1">
        <f t="array" aca="1" ref="H461" ca="1">MIN(
  INDEX($E:$E, MATCH($A461, $A:$A, 0) + 23) +
  (F461 * (2030 - 2023)),
  100
)</f>
        <v>65.258304347826098</v>
      </c>
      <c r="I46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2" spans="1:9" hidden="1" x14ac:dyDescent="0.35">
      <c r="A462" s="1" t="s">
        <v>71</v>
      </c>
      <c r="B462" s="1" t="s">
        <v>175</v>
      </c>
      <c r="C462" s="1" t="s">
        <v>34</v>
      </c>
      <c r="D462" s="3">
        <v>2013</v>
      </c>
      <c r="E462">
        <v>9.8000000000000007</v>
      </c>
      <c r="F462" s="1">
        <f t="shared" ca="1" si="14"/>
        <v>-3.3059565217391302</v>
      </c>
      <c r="G462" s="1">
        <f t="shared" ca="1" si="15"/>
        <v>6688.4523768115932</v>
      </c>
      <c r="H462" s="1" cm="1">
        <f t="array" aca="1" ref="H462" ca="1">MIN(
  INDEX($E:$E, MATCH($A462, $A:$A, 0) + 23) +
  (F462 * (2030 - 2023)),
  100
)</f>
        <v>65.258304347826098</v>
      </c>
      <c r="I46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3" spans="1:9" hidden="1" x14ac:dyDescent="0.35">
      <c r="A463" s="1" t="s">
        <v>71</v>
      </c>
      <c r="B463" s="1" t="s">
        <v>175</v>
      </c>
      <c r="C463" s="1" t="s">
        <v>34</v>
      </c>
      <c r="D463" s="3">
        <v>2014</v>
      </c>
      <c r="E463">
        <v>9.4</v>
      </c>
      <c r="F463" s="1">
        <f t="shared" ca="1" si="14"/>
        <v>-3.3059565217391302</v>
      </c>
      <c r="G463" s="1">
        <f t="shared" ca="1" si="15"/>
        <v>6688.4523768115932</v>
      </c>
      <c r="H463" s="1" cm="1">
        <f t="array" aca="1" ref="H463" ca="1">MIN(
  INDEX($E:$E, MATCH($A463, $A:$A, 0) + 23) +
  (F463 * (2030 - 2023)),
  100
)</f>
        <v>65.258304347826098</v>
      </c>
      <c r="I46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4" spans="1:9" hidden="1" x14ac:dyDescent="0.35">
      <c r="A464" s="1" t="s">
        <v>71</v>
      </c>
      <c r="B464" s="1" t="s">
        <v>175</v>
      </c>
      <c r="C464" s="1" t="s">
        <v>34</v>
      </c>
      <c r="D464" s="3">
        <v>2015</v>
      </c>
      <c r="E464">
        <v>15.2</v>
      </c>
      <c r="F464" s="1">
        <f t="shared" ca="1" si="14"/>
        <v>-3.3059565217391302</v>
      </c>
      <c r="G464" s="1">
        <f t="shared" ca="1" si="15"/>
        <v>6688.4523768115932</v>
      </c>
      <c r="H464" s="1" cm="1">
        <f t="array" aca="1" ref="H464" ca="1">MIN(
  INDEX($E:$E, MATCH($A464, $A:$A, 0) + 23) +
  (F464 * (2030 - 2023)),
  100
)</f>
        <v>65.258304347826098</v>
      </c>
      <c r="I46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5" spans="1:9" hidden="1" x14ac:dyDescent="0.35">
      <c r="A465" s="1" t="s">
        <v>71</v>
      </c>
      <c r="B465" s="1" t="s">
        <v>175</v>
      </c>
      <c r="C465" s="1" t="s">
        <v>34</v>
      </c>
      <c r="D465" s="3">
        <v>2016</v>
      </c>
      <c r="E465">
        <v>17.7</v>
      </c>
      <c r="F465" s="1">
        <f t="shared" ca="1" si="14"/>
        <v>-3.3059565217391302</v>
      </c>
      <c r="G465" s="1">
        <f t="shared" ca="1" si="15"/>
        <v>6688.4523768115932</v>
      </c>
      <c r="H465" s="1" cm="1">
        <f t="array" aca="1" ref="H465" ca="1">MIN(
  INDEX($E:$E, MATCH($A465, $A:$A, 0) + 23) +
  (F465 * (2030 - 2023)),
  100
)</f>
        <v>65.258304347826098</v>
      </c>
      <c r="I4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6" spans="1:9" hidden="1" x14ac:dyDescent="0.35">
      <c r="A466" s="1" t="s">
        <v>71</v>
      </c>
      <c r="B466" s="1" t="s">
        <v>175</v>
      </c>
      <c r="C466" s="1" t="s">
        <v>34</v>
      </c>
      <c r="D466" s="3">
        <v>2017</v>
      </c>
      <c r="E466">
        <v>24.2</v>
      </c>
      <c r="F466" s="1">
        <f t="shared" ca="1" si="14"/>
        <v>-3.3059565217391302</v>
      </c>
      <c r="G466" s="1">
        <f t="shared" ca="1" si="15"/>
        <v>6688.4523768115932</v>
      </c>
      <c r="H466" s="1" cm="1">
        <f t="array" aca="1" ref="H466" ca="1">MIN(
  INDEX($E:$E, MATCH($A466, $A:$A, 0) + 23) +
  (F466 * (2030 - 2023)),
  100
)</f>
        <v>65.258304347826098</v>
      </c>
      <c r="I4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7" spans="1:9" hidden="1" x14ac:dyDescent="0.35">
      <c r="A467" s="1" t="s">
        <v>71</v>
      </c>
      <c r="B467" s="1" t="s">
        <v>175</v>
      </c>
      <c r="C467" s="1" t="s">
        <v>34</v>
      </c>
      <c r="D467" s="3">
        <v>2018</v>
      </c>
      <c r="E467">
        <v>22.8</v>
      </c>
      <c r="F467" s="1">
        <f t="shared" ca="1" si="14"/>
        <v>-3.3059565217391302</v>
      </c>
      <c r="G467" s="1">
        <f t="shared" ca="1" si="15"/>
        <v>6688.4523768115932</v>
      </c>
      <c r="H467" s="1" cm="1">
        <f t="array" aca="1" ref="H467" ca="1">MIN(
  INDEX($E:$E, MATCH($A467, $A:$A, 0) + 23) +
  (F467 * (2030 - 2023)),
  100
)</f>
        <v>65.258304347826098</v>
      </c>
      <c r="I4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8" spans="1:9" hidden="1" x14ac:dyDescent="0.35">
      <c r="A468" s="1" t="s">
        <v>71</v>
      </c>
      <c r="B468" s="1" t="s">
        <v>175</v>
      </c>
      <c r="C468" s="1" t="s">
        <v>34</v>
      </c>
      <c r="D468" s="3">
        <v>2019</v>
      </c>
      <c r="E468">
        <v>23.1</v>
      </c>
      <c r="F468" s="1">
        <f t="shared" ca="1" si="14"/>
        <v>-3.3059565217391302</v>
      </c>
      <c r="G468" s="1">
        <f t="shared" ca="1" si="15"/>
        <v>6688.4523768115932</v>
      </c>
      <c r="H468" s="1" cm="1">
        <f t="array" aca="1" ref="H468" ca="1">MIN(
  INDEX($E:$E, MATCH($A468, $A:$A, 0) + 23) +
  (F468 * (2030 - 2023)),
  100
)</f>
        <v>65.258304347826098</v>
      </c>
      <c r="I4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69" spans="1:9" hidden="1" x14ac:dyDescent="0.35">
      <c r="A469" s="1" t="s">
        <v>71</v>
      </c>
      <c r="B469" s="1" t="s">
        <v>175</v>
      </c>
      <c r="C469" s="1" t="s">
        <v>34</v>
      </c>
      <c r="D469" s="3">
        <v>2020</v>
      </c>
      <c r="E469">
        <v>27.6</v>
      </c>
      <c r="F469" s="1">
        <f t="shared" ca="1" si="14"/>
        <v>-3.3059565217391302</v>
      </c>
      <c r="G469" s="1">
        <f t="shared" ca="1" si="15"/>
        <v>6688.4523768115932</v>
      </c>
      <c r="H469" s="1" cm="1">
        <f t="array" aca="1" ref="H469" ca="1">MIN(
  INDEX($E:$E, MATCH($A469, $A:$A, 0) + 23) +
  (F469 * (2030 - 2023)),
  100
)</f>
        <v>65.258304347826098</v>
      </c>
      <c r="I4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0" spans="1:9" hidden="1" x14ac:dyDescent="0.35">
      <c r="A470" s="1" t="s">
        <v>71</v>
      </c>
      <c r="B470" s="1" t="s">
        <v>175</v>
      </c>
      <c r="C470" s="1" t="s">
        <v>34</v>
      </c>
      <c r="D470" s="3">
        <v>2021</v>
      </c>
      <c r="E470">
        <v>29.8</v>
      </c>
      <c r="F470" s="1">
        <f t="shared" ca="1" si="14"/>
        <v>-3.3059565217391302</v>
      </c>
      <c r="G470" s="1">
        <f t="shared" ca="1" si="15"/>
        <v>6688.4523768115932</v>
      </c>
      <c r="H470" s="1" cm="1">
        <f t="array" aca="1" ref="H470" ca="1">MIN(
  INDEX($E:$E, MATCH($A470, $A:$A, 0) + 23) +
  (F470 * (2030 - 2023)),
  100
)</f>
        <v>65.258304347826098</v>
      </c>
      <c r="I4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1" spans="1:9" hidden="1" x14ac:dyDescent="0.35">
      <c r="A471" s="1" t="s">
        <v>71</v>
      </c>
      <c r="B471" s="1" t="s">
        <v>175</v>
      </c>
      <c r="C471" s="1" t="s">
        <v>34</v>
      </c>
      <c r="D471" s="3">
        <v>2022</v>
      </c>
      <c r="E471">
        <v>31.8</v>
      </c>
      <c r="F471" s="1">
        <f t="shared" ca="1" si="14"/>
        <v>-3.3059565217391302</v>
      </c>
      <c r="G471" s="1">
        <f t="shared" ca="1" si="15"/>
        <v>6688.4523768115932</v>
      </c>
      <c r="H471" s="1" cm="1">
        <f t="array" aca="1" ref="H471" ca="1">MIN(
  INDEX($E:$E, MATCH($A471, $A:$A, 0) + 23) +
  (F471 * (2030 - 2023)),
  100
)</f>
        <v>65.258304347826098</v>
      </c>
      <c r="I4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2" spans="1:9" x14ac:dyDescent="0.35">
      <c r="A472" s="1" t="s">
        <v>71</v>
      </c>
      <c r="B472" s="1" t="s">
        <v>175</v>
      </c>
      <c r="C472" s="1" t="s">
        <v>34</v>
      </c>
      <c r="D472" s="3">
        <v>2023</v>
      </c>
      <c r="E472">
        <v>32.5</v>
      </c>
      <c r="F472" s="4">
        <f t="shared" ca="1" si="14"/>
        <v>-3.3059565217391302</v>
      </c>
      <c r="G472" s="4">
        <f t="shared" ca="1" si="15"/>
        <v>6688.4523768115932</v>
      </c>
      <c r="H472" s="4" cm="1">
        <f t="array" aca="1" ref="H472" ca="1">MIN(
  INDEX($E:$E, MATCH($A472, $A:$A, 0) + 23) +
  (F472 * (2030 - 2023)),
  100
)</f>
        <v>65.258304347826098</v>
      </c>
      <c r="I4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3" spans="1:9" hidden="1" x14ac:dyDescent="0.35">
      <c r="A473" s="1" t="s">
        <v>73</v>
      </c>
      <c r="B473" s="1" t="s">
        <v>173</v>
      </c>
      <c r="C473" s="1" t="s">
        <v>41</v>
      </c>
      <c r="D473" s="3">
        <v>2000</v>
      </c>
      <c r="E473">
        <v>99.8</v>
      </c>
      <c r="F473" s="1">
        <f t="shared" ca="1" si="14"/>
        <v>-1.3797826086956522</v>
      </c>
      <c r="G473" s="1">
        <f t="shared" ca="1" si="15"/>
        <v>2856.2452173913043</v>
      </c>
      <c r="H473" s="1" cm="1">
        <f t="array" aca="1" ref="H473" ca="1">MIN(
  INDEX($E:$E, MATCH($A473, $A:$A, 0) + 23) +
  (F473 * (2030 - 2023)),
  100
)</f>
        <v>63.541521739130438</v>
      </c>
      <c r="I4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4" spans="1:9" hidden="1" x14ac:dyDescent="0.35">
      <c r="A474" s="1" t="s">
        <v>73</v>
      </c>
      <c r="B474" s="1" t="s">
        <v>173</v>
      </c>
      <c r="C474" s="1" t="s">
        <v>41</v>
      </c>
      <c r="D474" s="3">
        <v>2001</v>
      </c>
      <c r="E474">
        <v>96.9</v>
      </c>
      <c r="F474" s="1">
        <f t="shared" ca="1" si="14"/>
        <v>-1.3797826086956522</v>
      </c>
      <c r="G474" s="1">
        <f t="shared" ca="1" si="15"/>
        <v>2856.2452173913043</v>
      </c>
      <c r="H474" s="1" cm="1">
        <f t="array" aca="1" ref="H474" ca="1">MIN(
  INDEX($E:$E, MATCH($A474, $A:$A, 0) + 23) +
  (F474 * (2030 - 2023)),
  100
)</f>
        <v>63.541521739130438</v>
      </c>
      <c r="I47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5" spans="1:9" hidden="1" x14ac:dyDescent="0.35">
      <c r="A475" s="1" t="s">
        <v>73</v>
      </c>
      <c r="B475" s="1" t="s">
        <v>173</v>
      </c>
      <c r="C475" s="1" t="s">
        <v>41</v>
      </c>
      <c r="D475" s="3">
        <v>2002</v>
      </c>
      <c r="E475">
        <v>95.2</v>
      </c>
      <c r="F475" s="1">
        <f t="shared" ca="1" si="14"/>
        <v>-1.3797826086956522</v>
      </c>
      <c r="G475" s="1">
        <f t="shared" ca="1" si="15"/>
        <v>2856.2452173913043</v>
      </c>
      <c r="H475" s="1" cm="1">
        <f t="array" aca="1" ref="H475" ca="1">MIN(
  INDEX($E:$E, MATCH($A475, $A:$A, 0) + 23) +
  (F475 * (2030 - 2023)),
  100
)</f>
        <v>63.541521739130438</v>
      </c>
      <c r="I47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6" spans="1:9" hidden="1" x14ac:dyDescent="0.35">
      <c r="A476" s="1" t="s">
        <v>73</v>
      </c>
      <c r="B476" s="1" t="s">
        <v>173</v>
      </c>
      <c r="C476" s="1" t="s">
        <v>41</v>
      </c>
      <c r="D476" s="3">
        <v>2003</v>
      </c>
      <c r="E476">
        <v>93.5</v>
      </c>
      <c r="F476" s="1">
        <f t="shared" ca="1" si="14"/>
        <v>-1.3797826086956522</v>
      </c>
      <c r="G476" s="1">
        <f t="shared" ca="1" si="15"/>
        <v>2856.2452173913043</v>
      </c>
      <c r="H476" s="1" cm="1">
        <f t="array" aca="1" ref="H476" ca="1">MIN(
  INDEX($E:$E, MATCH($A476, $A:$A, 0) + 23) +
  (F476 * (2030 - 2023)),
  100
)</f>
        <v>63.541521739130438</v>
      </c>
      <c r="I47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7" spans="1:9" hidden="1" x14ac:dyDescent="0.35">
      <c r="A477" s="1" t="s">
        <v>73</v>
      </c>
      <c r="B477" s="1" t="s">
        <v>173</v>
      </c>
      <c r="C477" s="1" t="s">
        <v>41</v>
      </c>
      <c r="D477" s="3">
        <v>2004</v>
      </c>
      <c r="E477">
        <v>91.8</v>
      </c>
      <c r="F477" s="1">
        <f t="shared" ca="1" si="14"/>
        <v>-1.3797826086956522</v>
      </c>
      <c r="G477" s="1">
        <f t="shared" ca="1" si="15"/>
        <v>2856.2452173913043</v>
      </c>
      <c r="H477" s="1" cm="1">
        <f t="array" aca="1" ref="H477" ca="1">MIN(
  INDEX($E:$E, MATCH($A477, $A:$A, 0) + 23) +
  (F477 * (2030 - 2023)),
  100
)</f>
        <v>63.541521739130438</v>
      </c>
      <c r="I47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8" spans="1:9" hidden="1" x14ac:dyDescent="0.35">
      <c r="A478" s="1" t="s">
        <v>73</v>
      </c>
      <c r="B478" s="1" t="s">
        <v>173</v>
      </c>
      <c r="C478" s="1" t="s">
        <v>41</v>
      </c>
      <c r="D478" s="3">
        <v>2005</v>
      </c>
      <c r="E478">
        <v>90.1</v>
      </c>
      <c r="F478" s="1">
        <f t="shared" ca="1" si="14"/>
        <v>-1.3797826086956522</v>
      </c>
      <c r="G478" s="1">
        <f t="shared" ca="1" si="15"/>
        <v>2856.2452173913043</v>
      </c>
      <c r="H478" s="1" cm="1">
        <f t="array" aca="1" ref="H478" ca="1">MIN(
  INDEX($E:$E, MATCH($A478, $A:$A, 0) + 23) +
  (F478 * (2030 - 2023)),
  100
)</f>
        <v>63.541521739130438</v>
      </c>
      <c r="I47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79" spans="1:9" hidden="1" x14ac:dyDescent="0.35">
      <c r="A479" s="1" t="s">
        <v>73</v>
      </c>
      <c r="B479" s="1" t="s">
        <v>173</v>
      </c>
      <c r="C479" s="1" t="s">
        <v>41</v>
      </c>
      <c r="D479" s="3">
        <v>2006</v>
      </c>
      <c r="E479">
        <v>88.4</v>
      </c>
      <c r="F479" s="1">
        <f t="shared" ca="1" si="14"/>
        <v>-1.3797826086956522</v>
      </c>
      <c r="G479" s="1">
        <f t="shared" ca="1" si="15"/>
        <v>2856.2452173913043</v>
      </c>
      <c r="H479" s="1" cm="1">
        <f t="array" aca="1" ref="H479" ca="1">MIN(
  INDEX($E:$E, MATCH($A479, $A:$A, 0) + 23) +
  (F479 * (2030 - 2023)),
  100
)</f>
        <v>63.541521739130438</v>
      </c>
      <c r="I47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0" spans="1:9" hidden="1" x14ac:dyDescent="0.35">
      <c r="A480" s="1" t="s">
        <v>73</v>
      </c>
      <c r="B480" s="1" t="s">
        <v>173</v>
      </c>
      <c r="C480" s="1" t="s">
        <v>41</v>
      </c>
      <c r="D480" s="3">
        <v>2007</v>
      </c>
      <c r="E480">
        <v>86.8</v>
      </c>
      <c r="F480" s="1">
        <f t="shared" ca="1" si="14"/>
        <v>-1.3797826086956522</v>
      </c>
      <c r="G480" s="1">
        <f t="shared" ca="1" si="15"/>
        <v>2856.2452173913043</v>
      </c>
      <c r="H480" s="1" cm="1">
        <f t="array" aca="1" ref="H480" ca="1">MIN(
  INDEX($E:$E, MATCH($A480, $A:$A, 0) + 23) +
  (F480 * (2030 - 2023)),
  100
)</f>
        <v>63.541521739130438</v>
      </c>
      <c r="I48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1" spans="1:9" hidden="1" x14ac:dyDescent="0.35">
      <c r="A481" s="1" t="s">
        <v>73</v>
      </c>
      <c r="B481" s="1" t="s">
        <v>173</v>
      </c>
      <c r="C481" s="1" t="s">
        <v>41</v>
      </c>
      <c r="D481" s="3">
        <v>2008</v>
      </c>
      <c r="E481">
        <v>85.1</v>
      </c>
      <c r="F481" s="1">
        <f t="shared" ca="1" si="14"/>
        <v>-1.3797826086956522</v>
      </c>
      <c r="G481" s="1">
        <f t="shared" ca="1" si="15"/>
        <v>2856.2452173913043</v>
      </c>
      <c r="H481" s="1" cm="1">
        <f t="array" aca="1" ref="H481" ca="1">MIN(
  INDEX($E:$E, MATCH($A481, $A:$A, 0) + 23) +
  (F481 * (2030 - 2023)),
  100
)</f>
        <v>63.541521739130438</v>
      </c>
      <c r="I48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2" spans="1:9" hidden="1" x14ac:dyDescent="0.35">
      <c r="A482" s="1" t="s">
        <v>73</v>
      </c>
      <c r="B482" s="1" t="s">
        <v>173</v>
      </c>
      <c r="C482" s="1" t="s">
        <v>41</v>
      </c>
      <c r="D482" s="3">
        <v>2009</v>
      </c>
      <c r="E482">
        <v>83.5</v>
      </c>
      <c r="F482" s="1">
        <f t="shared" ca="1" si="14"/>
        <v>-1.3797826086956522</v>
      </c>
      <c r="G482" s="1">
        <f t="shared" ca="1" si="15"/>
        <v>2856.2452173913043</v>
      </c>
      <c r="H482" s="1" cm="1">
        <f t="array" aca="1" ref="H482" ca="1">MIN(
  INDEX($E:$E, MATCH($A482, $A:$A, 0) + 23) +
  (F482 * (2030 - 2023)),
  100
)</f>
        <v>63.541521739130438</v>
      </c>
      <c r="I48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3" spans="1:9" hidden="1" x14ac:dyDescent="0.35">
      <c r="A483" s="1" t="s">
        <v>73</v>
      </c>
      <c r="B483" s="1" t="s">
        <v>173</v>
      </c>
      <c r="C483" s="1" t="s">
        <v>41</v>
      </c>
      <c r="D483" s="3">
        <v>2010</v>
      </c>
      <c r="E483">
        <v>81.900000000000006</v>
      </c>
      <c r="F483" s="1">
        <f t="shared" ca="1" si="14"/>
        <v>-1.3797826086956522</v>
      </c>
      <c r="G483" s="1">
        <f t="shared" ca="1" si="15"/>
        <v>2856.2452173913043</v>
      </c>
      <c r="H483" s="1" cm="1">
        <f t="array" aca="1" ref="H483" ca="1">MIN(
  INDEX($E:$E, MATCH($A483, $A:$A, 0) + 23) +
  (F483 * (2030 - 2023)),
  100
)</f>
        <v>63.541521739130438</v>
      </c>
      <c r="I48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4" spans="1:9" hidden="1" x14ac:dyDescent="0.35">
      <c r="A484" s="1" t="s">
        <v>73</v>
      </c>
      <c r="B484" s="1" t="s">
        <v>173</v>
      </c>
      <c r="C484" s="1" t="s">
        <v>41</v>
      </c>
      <c r="D484" s="3">
        <v>2011</v>
      </c>
      <c r="E484">
        <v>80.3</v>
      </c>
      <c r="F484" s="1">
        <f t="shared" ca="1" si="14"/>
        <v>-1.3797826086956522</v>
      </c>
      <c r="G484" s="1">
        <f t="shared" ca="1" si="15"/>
        <v>2856.2452173913043</v>
      </c>
      <c r="H484" s="1" cm="1">
        <f t="array" aca="1" ref="H484" ca="1">MIN(
  INDEX($E:$E, MATCH($A484, $A:$A, 0) + 23) +
  (F484 * (2030 - 2023)),
  100
)</f>
        <v>63.541521739130438</v>
      </c>
      <c r="I48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5" spans="1:9" hidden="1" x14ac:dyDescent="0.35">
      <c r="A485" s="1" t="s">
        <v>73</v>
      </c>
      <c r="B485" s="1" t="s">
        <v>173</v>
      </c>
      <c r="C485" s="1" t="s">
        <v>41</v>
      </c>
      <c r="D485" s="3">
        <v>2012</v>
      </c>
      <c r="E485">
        <v>78.7</v>
      </c>
      <c r="F485" s="1">
        <f t="shared" ca="1" si="14"/>
        <v>-1.3797826086956522</v>
      </c>
      <c r="G485" s="1">
        <f t="shared" ca="1" si="15"/>
        <v>2856.2452173913043</v>
      </c>
      <c r="H485" s="1" cm="1">
        <f t="array" aca="1" ref="H485" ca="1">MIN(
  INDEX($E:$E, MATCH($A485, $A:$A, 0) + 23) +
  (F485 * (2030 - 2023)),
  100
)</f>
        <v>63.541521739130438</v>
      </c>
      <c r="I4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6" spans="1:9" hidden="1" x14ac:dyDescent="0.35">
      <c r="A486" s="1" t="s">
        <v>73</v>
      </c>
      <c r="B486" s="1" t="s">
        <v>173</v>
      </c>
      <c r="C486" s="1" t="s">
        <v>41</v>
      </c>
      <c r="D486" s="3">
        <v>2013</v>
      </c>
      <c r="E486">
        <v>77.099999999999994</v>
      </c>
      <c r="F486" s="1">
        <f t="shared" ca="1" si="14"/>
        <v>-1.3797826086956522</v>
      </c>
      <c r="G486" s="1">
        <f t="shared" ca="1" si="15"/>
        <v>2856.2452173913043</v>
      </c>
      <c r="H486" s="1" cm="1">
        <f t="array" aca="1" ref="H486" ca="1">MIN(
  INDEX($E:$E, MATCH($A486, $A:$A, 0) + 23) +
  (F486 * (2030 - 2023)),
  100
)</f>
        <v>63.541521739130438</v>
      </c>
      <c r="I4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7" spans="1:9" hidden="1" x14ac:dyDescent="0.35">
      <c r="A487" s="1" t="s">
        <v>73</v>
      </c>
      <c r="B487" s="1" t="s">
        <v>173</v>
      </c>
      <c r="C487" s="1" t="s">
        <v>41</v>
      </c>
      <c r="D487" s="3">
        <v>2014</v>
      </c>
      <c r="E487">
        <v>75.5</v>
      </c>
      <c r="F487" s="1">
        <f t="shared" ca="1" si="14"/>
        <v>-1.3797826086956522</v>
      </c>
      <c r="G487" s="1">
        <f t="shared" ca="1" si="15"/>
        <v>2856.2452173913043</v>
      </c>
      <c r="H487" s="1" cm="1">
        <f t="array" aca="1" ref="H487" ca="1">MIN(
  INDEX($E:$E, MATCH($A487, $A:$A, 0) + 23) +
  (F487 * (2030 - 2023)),
  100
)</f>
        <v>63.541521739130438</v>
      </c>
      <c r="I4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8" spans="1:9" hidden="1" x14ac:dyDescent="0.35">
      <c r="A488" s="1" t="s">
        <v>73</v>
      </c>
      <c r="B488" s="1" t="s">
        <v>173</v>
      </c>
      <c r="C488" s="1" t="s">
        <v>41</v>
      </c>
      <c r="D488" s="3">
        <v>2015</v>
      </c>
      <c r="E488">
        <v>73.8</v>
      </c>
      <c r="F488" s="1">
        <f t="shared" ca="1" si="14"/>
        <v>-1.3797826086956522</v>
      </c>
      <c r="G488" s="1">
        <f t="shared" ca="1" si="15"/>
        <v>2856.2452173913043</v>
      </c>
      <c r="H488" s="1" cm="1">
        <f t="array" aca="1" ref="H488" ca="1">MIN(
  INDEX($E:$E, MATCH($A488, $A:$A, 0) + 23) +
  (F488 * (2030 - 2023)),
  100
)</f>
        <v>63.541521739130438</v>
      </c>
      <c r="I4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89" spans="1:9" hidden="1" x14ac:dyDescent="0.35">
      <c r="A489" s="1" t="s">
        <v>73</v>
      </c>
      <c r="B489" s="1" t="s">
        <v>173</v>
      </c>
      <c r="C489" s="1" t="s">
        <v>41</v>
      </c>
      <c r="D489" s="3">
        <v>2016</v>
      </c>
      <c r="E489">
        <v>72.2</v>
      </c>
      <c r="F489" s="1">
        <f t="shared" ca="1" si="14"/>
        <v>-1.3797826086956522</v>
      </c>
      <c r="G489" s="1">
        <f t="shared" ca="1" si="15"/>
        <v>2856.2452173913043</v>
      </c>
      <c r="H489" s="1" cm="1">
        <f t="array" aca="1" ref="H489" ca="1">MIN(
  INDEX($E:$E, MATCH($A489, $A:$A, 0) + 23) +
  (F489 * (2030 - 2023)),
  100
)</f>
        <v>63.541521739130438</v>
      </c>
      <c r="I4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0" spans="1:9" hidden="1" x14ac:dyDescent="0.35">
      <c r="A490" s="1" t="s">
        <v>73</v>
      </c>
      <c r="B490" s="1" t="s">
        <v>173</v>
      </c>
      <c r="C490" s="1" t="s">
        <v>41</v>
      </c>
      <c r="D490" s="3">
        <v>2017</v>
      </c>
      <c r="E490">
        <v>70.599999999999994</v>
      </c>
      <c r="F490" s="1">
        <f t="shared" ca="1" si="14"/>
        <v>-1.3797826086956522</v>
      </c>
      <c r="G490" s="1">
        <f t="shared" ca="1" si="15"/>
        <v>2856.2452173913043</v>
      </c>
      <c r="H490" s="1" cm="1">
        <f t="array" aca="1" ref="H490" ca="1">MIN(
  INDEX($E:$E, MATCH($A490, $A:$A, 0) + 23) +
  (F490 * (2030 - 2023)),
  100
)</f>
        <v>63.541521739130438</v>
      </c>
      <c r="I4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1" spans="1:9" hidden="1" x14ac:dyDescent="0.35">
      <c r="A491" s="1" t="s">
        <v>73</v>
      </c>
      <c r="B491" s="1" t="s">
        <v>173</v>
      </c>
      <c r="C491" s="1" t="s">
        <v>41</v>
      </c>
      <c r="D491" s="3">
        <v>2018</v>
      </c>
      <c r="E491">
        <v>67</v>
      </c>
      <c r="F491" s="1">
        <f t="shared" ca="1" si="14"/>
        <v>-1.3797826086956522</v>
      </c>
      <c r="G491" s="1">
        <f t="shared" ca="1" si="15"/>
        <v>2856.2452173913043</v>
      </c>
      <c r="H491" s="1" cm="1">
        <f t="array" aca="1" ref="H491" ca="1">MIN(
  INDEX($E:$E, MATCH($A491, $A:$A, 0) + 23) +
  (F491 * (2030 - 2023)),
  100
)</f>
        <v>63.541521739130438</v>
      </c>
      <c r="I4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2" spans="1:9" hidden="1" x14ac:dyDescent="0.35">
      <c r="A492" s="1" t="s">
        <v>73</v>
      </c>
      <c r="B492" s="1" t="s">
        <v>173</v>
      </c>
      <c r="C492" s="1" t="s">
        <v>41</v>
      </c>
      <c r="D492" s="3">
        <v>2019</v>
      </c>
      <c r="E492">
        <v>68.5</v>
      </c>
      <c r="F492" s="1">
        <f t="shared" ca="1" si="14"/>
        <v>-1.3797826086956522</v>
      </c>
      <c r="G492" s="1">
        <f t="shared" ca="1" si="15"/>
        <v>2856.2452173913043</v>
      </c>
      <c r="H492" s="1" cm="1">
        <f t="array" aca="1" ref="H492" ca="1">MIN(
  INDEX($E:$E, MATCH($A492, $A:$A, 0) + 23) +
  (F492 * (2030 - 2023)),
  100
)</f>
        <v>63.541521739130438</v>
      </c>
      <c r="I4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3" spans="1:9" hidden="1" x14ac:dyDescent="0.35">
      <c r="A493" s="1" t="s">
        <v>73</v>
      </c>
      <c r="B493" s="1" t="s">
        <v>173</v>
      </c>
      <c r="C493" s="1" t="s">
        <v>41</v>
      </c>
      <c r="D493" s="3">
        <v>2020</v>
      </c>
      <c r="E493">
        <v>69.400000000000006</v>
      </c>
      <c r="F493" s="1">
        <f t="shared" ca="1" si="14"/>
        <v>-1.3797826086956522</v>
      </c>
      <c r="G493" s="1">
        <f t="shared" ca="1" si="15"/>
        <v>2856.2452173913043</v>
      </c>
      <c r="H493" s="1" cm="1">
        <f t="array" aca="1" ref="H493" ca="1">MIN(
  INDEX($E:$E, MATCH($A493, $A:$A, 0) + 23) +
  (F493 * (2030 - 2023)),
  100
)</f>
        <v>63.541521739130438</v>
      </c>
      <c r="I4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4" spans="1:9" hidden="1" x14ac:dyDescent="0.35">
      <c r="A494" s="1" t="s">
        <v>73</v>
      </c>
      <c r="B494" s="1" t="s">
        <v>173</v>
      </c>
      <c r="C494" s="1" t="s">
        <v>41</v>
      </c>
      <c r="D494" s="3">
        <v>2021</v>
      </c>
      <c r="E494">
        <v>70.2</v>
      </c>
      <c r="F494" s="1">
        <f t="shared" ca="1" si="14"/>
        <v>-1.3797826086956522</v>
      </c>
      <c r="G494" s="1">
        <f t="shared" ca="1" si="15"/>
        <v>2856.2452173913043</v>
      </c>
      <c r="H494" s="1" cm="1">
        <f t="array" aca="1" ref="H494" ca="1">MIN(
  INDEX($E:$E, MATCH($A494, $A:$A, 0) + 23) +
  (F494 * (2030 - 2023)),
  100
)</f>
        <v>63.541521739130438</v>
      </c>
      <c r="I4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5" spans="1:9" hidden="1" x14ac:dyDescent="0.35">
      <c r="A495" s="1" t="s">
        <v>73</v>
      </c>
      <c r="B495" s="1" t="s">
        <v>173</v>
      </c>
      <c r="C495" s="1" t="s">
        <v>41</v>
      </c>
      <c r="D495" s="3">
        <v>2022</v>
      </c>
      <c r="E495">
        <v>70</v>
      </c>
      <c r="F495" s="1">
        <f t="shared" ca="1" si="14"/>
        <v>-1.3797826086956522</v>
      </c>
      <c r="G495" s="1">
        <f t="shared" ca="1" si="15"/>
        <v>2856.2452173913043</v>
      </c>
      <c r="H495" s="1" cm="1">
        <f t="array" aca="1" ref="H495" ca="1">MIN(
  INDEX($E:$E, MATCH($A495, $A:$A, 0) + 23) +
  (F495 * (2030 - 2023)),
  100
)</f>
        <v>63.541521739130438</v>
      </c>
      <c r="I4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6" spans="1:9" x14ac:dyDescent="0.35">
      <c r="A496" s="1" t="s">
        <v>73</v>
      </c>
      <c r="B496" s="1" t="s">
        <v>173</v>
      </c>
      <c r="C496" s="1" t="s">
        <v>41</v>
      </c>
      <c r="D496" s="3">
        <v>2023</v>
      </c>
      <c r="E496">
        <v>73.2</v>
      </c>
      <c r="F496" s="4">
        <f t="shared" ca="1" si="14"/>
        <v>-1.3797826086956522</v>
      </c>
      <c r="G496" s="4">
        <f t="shared" ca="1" si="15"/>
        <v>2856.2452173913043</v>
      </c>
      <c r="H496" s="4" cm="1">
        <f t="array" aca="1" ref="H496" ca="1">MIN(
  INDEX($E:$E, MATCH($A496, $A:$A, 0) + 23) +
  (F496 * (2030 - 2023)),
  100
)</f>
        <v>63.541521739130438</v>
      </c>
      <c r="I4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7" spans="1:9" hidden="1" x14ac:dyDescent="0.35">
      <c r="A497" s="1" t="s">
        <v>75</v>
      </c>
      <c r="B497" s="1" t="s">
        <v>176</v>
      </c>
      <c r="C497" s="1" t="s">
        <v>31</v>
      </c>
      <c r="D497" s="3">
        <v>2000</v>
      </c>
      <c r="E497">
        <v>4.3</v>
      </c>
      <c r="F497" s="1">
        <f t="shared" ca="1" si="14"/>
        <v>2.4133913043478259</v>
      </c>
      <c r="G497" s="1">
        <f t="shared" ca="1" si="15"/>
        <v>-4829.5532753623183</v>
      </c>
      <c r="H497" s="1" cm="1">
        <f t="array" aca="1" ref="H497" ca="1">MIN(
  INDEX($E:$E, MATCH($A497, $A:$A, 0) + 23) +
  (F497 * (2030 - 2023)),
  100
)</f>
        <v>74.193739130434778</v>
      </c>
      <c r="I4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8" spans="1:9" hidden="1" x14ac:dyDescent="0.35">
      <c r="A498" s="1" t="s">
        <v>75</v>
      </c>
      <c r="B498" s="1" t="s">
        <v>176</v>
      </c>
      <c r="C498" s="1" t="s">
        <v>31</v>
      </c>
      <c r="D498" s="3">
        <v>2001</v>
      </c>
      <c r="E498">
        <v>1.3</v>
      </c>
      <c r="F498" s="1">
        <f t="shared" ca="1" si="14"/>
        <v>2.4133913043478259</v>
      </c>
      <c r="G498" s="1">
        <f t="shared" ca="1" si="15"/>
        <v>-4829.5532753623183</v>
      </c>
      <c r="H498" s="1" cm="1">
        <f t="array" aca="1" ref="H498" ca="1">MIN(
  INDEX($E:$E, MATCH($A498, $A:$A, 0) + 23) +
  (F498 * (2030 - 2023)),
  100
)</f>
        <v>74.193739130434778</v>
      </c>
      <c r="I49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499" spans="1:9" hidden="1" x14ac:dyDescent="0.35">
      <c r="A499" s="1" t="s">
        <v>75</v>
      </c>
      <c r="B499" s="1" t="s">
        <v>176</v>
      </c>
      <c r="C499" s="1" t="s">
        <v>31</v>
      </c>
      <c r="D499" s="3">
        <v>2002</v>
      </c>
      <c r="E499">
        <v>3.4</v>
      </c>
      <c r="F499" s="1">
        <f t="shared" ca="1" si="14"/>
        <v>2.4133913043478259</v>
      </c>
      <c r="G499" s="1">
        <f t="shared" ca="1" si="15"/>
        <v>-4829.5532753623183</v>
      </c>
      <c r="H499" s="1" cm="1">
        <f t="array" aca="1" ref="H499" ca="1">MIN(
  INDEX($E:$E, MATCH($A499, $A:$A, 0) + 23) +
  (F499 * (2030 - 2023)),
  100
)</f>
        <v>74.193739130434778</v>
      </c>
      <c r="I49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0" spans="1:9" hidden="1" x14ac:dyDescent="0.35">
      <c r="A500" s="1" t="s">
        <v>75</v>
      </c>
      <c r="B500" s="1" t="s">
        <v>176</v>
      </c>
      <c r="C500" s="1" t="s">
        <v>31</v>
      </c>
      <c r="D500" s="3">
        <v>2003</v>
      </c>
      <c r="E500">
        <v>5.4</v>
      </c>
      <c r="F500" s="1">
        <f t="shared" ca="1" si="14"/>
        <v>2.4133913043478259</v>
      </c>
      <c r="G500" s="1">
        <f t="shared" ca="1" si="15"/>
        <v>-4829.5532753623183</v>
      </c>
      <c r="H500" s="1" cm="1">
        <f t="array" aca="1" ref="H500" ca="1">MIN(
  INDEX($E:$E, MATCH($A500, $A:$A, 0) + 23) +
  (F500 * (2030 - 2023)),
  100
)</f>
        <v>74.193739130434778</v>
      </c>
      <c r="I50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1" spans="1:9" hidden="1" x14ac:dyDescent="0.35">
      <c r="A501" s="1" t="s">
        <v>75</v>
      </c>
      <c r="B501" s="1" t="s">
        <v>176</v>
      </c>
      <c r="C501" s="1" t="s">
        <v>31</v>
      </c>
      <c r="D501" s="3">
        <v>2004</v>
      </c>
      <c r="E501">
        <v>6.8</v>
      </c>
      <c r="F501" s="1">
        <f t="shared" ca="1" si="14"/>
        <v>2.4133913043478259</v>
      </c>
      <c r="G501" s="1">
        <f t="shared" ca="1" si="15"/>
        <v>-4829.5532753623183</v>
      </c>
      <c r="H501" s="1" cm="1">
        <f t="array" aca="1" ref="H501" ca="1">MIN(
  INDEX($E:$E, MATCH($A501, $A:$A, 0) + 23) +
  (F501 * (2030 - 2023)),
  100
)</f>
        <v>74.193739130434778</v>
      </c>
      <c r="I50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2" spans="1:9" hidden="1" x14ac:dyDescent="0.35">
      <c r="A502" s="1" t="s">
        <v>75</v>
      </c>
      <c r="B502" s="1" t="s">
        <v>176</v>
      </c>
      <c r="C502" s="1" t="s">
        <v>31</v>
      </c>
      <c r="D502" s="3">
        <v>2005</v>
      </c>
      <c r="E502">
        <v>9.6</v>
      </c>
      <c r="F502" s="1">
        <f t="shared" ca="1" si="14"/>
        <v>2.4133913043478259</v>
      </c>
      <c r="G502" s="1">
        <f t="shared" ca="1" si="15"/>
        <v>-4829.5532753623183</v>
      </c>
      <c r="H502" s="1" cm="1">
        <f t="array" aca="1" ref="H502" ca="1">MIN(
  INDEX($E:$E, MATCH($A502, $A:$A, 0) + 23) +
  (F502 * (2030 - 2023)),
  100
)</f>
        <v>74.193739130434778</v>
      </c>
      <c r="I50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3" spans="1:9" hidden="1" x14ac:dyDescent="0.35">
      <c r="A503" s="1" t="s">
        <v>75</v>
      </c>
      <c r="B503" s="1" t="s">
        <v>176</v>
      </c>
      <c r="C503" s="1" t="s">
        <v>31</v>
      </c>
      <c r="D503" s="3">
        <v>2006</v>
      </c>
      <c r="E503">
        <v>9.6999999999999993</v>
      </c>
      <c r="F503" s="1">
        <f t="shared" ca="1" si="14"/>
        <v>2.4133913043478259</v>
      </c>
      <c r="G503" s="1">
        <f t="shared" ca="1" si="15"/>
        <v>-4829.5532753623183</v>
      </c>
      <c r="H503" s="1" cm="1">
        <f t="array" aca="1" ref="H503" ca="1">MIN(
  INDEX($E:$E, MATCH($A503, $A:$A, 0) + 23) +
  (F503 * (2030 - 2023)),
  100
)</f>
        <v>74.193739130434778</v>
      </c>
      <c r="I50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4" spans="1:9" hidden="1" x14ac:dyDescent="0.35">
      <c r="A504" s="1" t="s">
        <v>75</v>
      </c>
      <c r="B504" s="1" t="s">
        <v>176</v>
      </c>
      <c r="C504" s="1" t="s">
        <v>31</v>
      </c>
      <c r="D504" s="3">
        <v>2007</v>
      </c>
      <c r="E504">
        <v>13.9</v>
      </c>
      <c r="F504" s="1">
        <f t="shared" ca="1" si="14"/>
        <v>2.4133913043478259</v>
      </c>
      <c r="G504" s="1">
        <f t="shared" ca="1" si="15"/>
        <v>-4829.5532753623183</v>
      </c>
      <c r="H504" s="1" cm="1">
        <f t="array" aca="1" ref="H504" ca="1">MIN(
  INDEX($E:$E, MATCH($A504, $A:$A, 0) + 23) +
  (F504 * (2030 - 2023)),
  100
)</f>
        <v>74.193739130434778</v>
      </c>
      <c r="I50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5" spans="1:9" hidden="1" x14ac:dyDescent="0.35">
      <c r="A505" s="1" t="s">
        <v>75</v>
      </c>
      <c r="B505" s="1" t="s">
        <v>176</v>
      </c>
      <c r="C505" s="1" t="s">
        <v>31</v>
      </c>
      <c r="D505" s="3">
        <v>2008</v>
      </c>
      <c r="E505">
        <v>16</v>
      </c>
      <c r="F505" s="1">
        <f t="shared" ca="1" si="14"/>
        <v>2.4133913043478259</v>
      </c>
      <c r="G505" s="1">
        <f t="shared" ca="1" si="15"/>
        <v>-4829.5532753623183</v>
      </c>
      <c r="H505" s="1" cm="1">
        <f t="array" aca="1" ref="H505" ca="1">MIN(
  INDEX($E:$E, MATCH($A505, $A:$A, 0) + 23) +
  (F505 * (2030 - 2023)),
  100
)</f>
        <v>74.193739130434778</v>
      </c>
      <c r="I50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6" spans="1:9" hidden="1" x14ac:dyDescent="0.35">
      <c r="A506" s="1" t="s">
        <v>75</v>
      </c>
      <c r="B506" s="1" t="s">
        <v>176</v>
      </c>
      <c r="C506" s="1" t="s">
        <v>31</v>
      </c>
      <c r="D506" s="3">
        <v>2009</v>
      </c>
      <c r="E506">
        <v>17</v>
      </c>
      <c r="F506" s="1">
        <f t="shared" ca="1" si="14"/>
        <v>2.4133913043478259</v>
      </c>
      <c r="G506" s="1">
        <f t="shared" ca="1" si="15"/>
        <v>-4829.5532753623183</v>
      </c>
      <c r="H506" s="1" cm="1">
        <f t="array" aca="1" ref="H506" ca="1">MIN(
  INDEX($E:$E, MATCH($A506, $A:$A, 0) + 23) +
  (F506 * (2030 - 2023)),
  100
)</f>
        <v>74.193739130434778</v>
      </c>
      <c r="I50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7" spans="1:9" hidden="1" x14ac:dyDescent="0.35">
      <c r="A507" s="1" t="s">
        <v>75</v>
      </c>
      <c r="B507" s="1" t="s">
        <v>176</v>
      </c>
      <c r="C507" s="1" t="s">
        <v>31</v>
      </c>
      <c r="D507" s="3">
        <v>2010</v>
      </c>
      <c r="E507">
        <v>17</v>
      </c>
      <c r="F507" s="1">
        <f t="shared" ca="1" si="14"/>
        <v>2.4133913043478259</v>
      </c>
      <c r="G507" s="1">
        <f t="shared" ca="1" si="15"/>
        <v>-4829.5532753623183</v>
      </c>
      <c r="H507" s="1" cm="1">
        <f t="array" aca="1" ref="H507" ca="1">MIN(
  INDEX($E:$E, MATCH($A507, $A:$A, 0) + 23) +
  (F507 * (2030 - 2023)),
  100
)</f>
        <v>74.193739130434778</v>
      </c>
      <c r="I50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8" spans="1:9" hidden="1" x14ac:dyDescent="0.35">
      <c r="A508" s="1" t="s">
        <v>75</v>
      </c>
      <c r="B508" s="1" t="s">
        <v>176</v>
      </c>
      <c r="C508" s="1" t="s">
        <v>31</v>
      </c>
      <c r="D508" s="3">
        <v>2011</v>
      </c>
      <c r="E508">
        <v>22.5</v>
      </c>
      <c r="F508" s="1">
        <f t="shared" ca="1" si="14"/>
        <v>2.4133913043478259</v>
      </c>
      <c r="G508" s="1">
        <f t="shared" ca="1" si="15"/>
        <v>-4829.5532753623183</v>
      </c>
      <c r="H508" s="1" cm="1">
        <f t="array" aca="1" ref="H508" ca="1">MIN(
  INDEX($E:$E, MATCH($A508, $A:$A, 0) + 23) +
  (F508 * (2030 - 2023)),
  100
)</f>
        <v>74.193739130434778</v>
      </c>
      <c r="I50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09" spans="1:9" hidden="1" x14ac:dyDescent="0.35">
      <c r="A509" s="1" t="s">
        <v>75</v>
      </c>
      <c r="B509" s="1" t="s">
        <v>176</v>
      </c>
      <c r="C509" s="1" t="s">
        <v>31</v>
      </c>
      <c r="D509" s="3">
        <v>2012</v>
      </c>
      <c r="E509">
        <v>20.6</v>
      </c>
      <c r="F509" s="1">
        <f t="shared" ca="1" si="14"/>
        <v>2.4133913043478259</v>
      </c>
      <c r="G509" s="1">
        <f t="shared" ca="1" si="15"/>
        <v>-4829.5532753623183</v>
      </c>
      <c r="H509" s="1" cm="1">
        <f t="array" aca="1" ref="H509" ca="1">MIN(
  INDEX($E:$E, MATCH($A509, $A:$A, 0) + 23) +
  (F509 * (2030 - 2023)),
  100
)</f>
        <v>74.193739130434778</v>
      </c>
      <c r="I50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0" spans="1:9" hidden="1" x14ac:dyDescent="0.35">
      <c r="A510" s="1" t="s">
        <v>75</v>
      </c>
      <c r="B510" s="1" t="s">
        <v>176</v>
      </c>
      <c r="C510" s="1" t="s">
        <v>31</v>
      </c>
      <c r="D510" s="3">
        <v>2013</v>
      </c>
      <c r="E510">
        <v>26.9</v>
      </c>
      <c r="F510" s="1">
        <f t="shared" ca="1" si="14"/>
        <v>2.4133913043478259</v>
      </c>
      <c r="G510" s="1">
        <f t="shared" ca="1" si="15"/>
        <v>-4829.5532753623183</v>
      </c>
      <c r="H510" s="1" cm="1">
        <f t="array" aca="1" ref="H510" ca="1">MIN(
  INDEX($E:$E, MATCH($A510, $A:$A, 0) + 23) +
  (F510 * (2030 - 2023)),
  100
)</f>
        <v>74.193739130434778</v>
      </c>
      <c r="I51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1" spans="1:9" hidden="1" x14ac:dyDescent="0.35">
      <c r="A511" s="1" t="s">
        <v>75</v>
      </c>
      <c r="B511" s="1" t="s">
        <v>176</v>
      </c>
      <c r="C511" s="1" t="s">
        <v>31</v>
      </c>
      <c r="D511" s="3">
        <v>2014</v>
      </c>
      <c r="E511">
        <v>27.8</v>
      </c>
      <c r="F511" s="1">
        <f t="shared" ca="1" si="14"/>
        <v>2.4133913043478259</v>
      </c>
      <c r="G511" s="1">
        <f t="shared" ca="1" si="15"/>
        <v>-4829.5532753623183</v>
      </c>
      <c r="H511" s="1" cm="1">
        <f t="array" aca="1" ref="H511" ca="1">MIN(
  INDEX($E:$E, MATCH($A511, $A:$A, 0) + 23) +
  (F511 * (2030 - 2023)),
  100
)</f>
        <v>74.193739130434778</v>
      </c>
      <c r="I51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2" spans="1:9" hidden="1" x14ac:dyDescent="0.35">
      <c r="A512" s="1" t="s">
        <v>75</v>
      </c>
      <c r="B512" s="1" t="s">
        <v>176</v>
      </c>
      <c r="C512" s="1" t="s">
        <v>31</v>
      </c>
      <c r="D512" s="3">
        <v>2015</v>
      </c>
      <c r="E512">
        <v>31.8</v>
      </c>
      <c r="F512" s="1">
        <f t="shared" ca="1" si="14"/>
        <v>2.4133913043478259</v>
      </c>
      <c r="G512" s="1">
        <f t="shared" ca="1" si="15"/>
        <v>-4829.5532753623183</v>
      </c>
      <c r="H512" s="1" cm="1">
        <f t="array" aca="1" ref="H512" ca="1">MIN(
  INDEX($E:$E, MATCH($A512, $A:$A, 0) + 23) +
  (F512 * (2030 - 2023)),
  100
)</f>
        <v>74.193739130434778</v>
      </c>
      <c r="I51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3" spans="1:9" hidden="1" x14ac:dyDescent="0.35">
      <c r="A513" s="1" t="s">
        <v>75</v>
      </c>
      <c r="B513" s="1" t="s">
        <v>176</v>
      </c>
      <c r="C513" s="1" t="s">
        <v>31</v>
      </c>
      <c r="D513" s="3">
        <v>2016</v>
      </c>
      <c r="E513">
        <v>35.1</v>
      </c>
      <c r="F513" s="1">
        <f t="shared" ca="1" si="14"/>
        <v>2.4133913043478259</v>
      </c>
      <c r="G513" s="1">
        <f t="shared" ca="1" si="15"/>
        <v>-4829.5532753623183</v>
      </c>
      <c r="H513" s="1" cm="1">
        <f t="array" aca="1" ref="H513" ca="1">MIN(
  INDEX($E:$E, MATCH($A513, $A:$A, 0) + 23) +
  (F513 * (2030 - 2023)),
  100
)</f>
        <v>74.193739130434778</v>
      </c>
      <c r="I51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4" spans="1:9" hidden="1" x14ac:dyDescent="0.35">
      <c r="A514" s="1" t="s">
        <v>75</v>
      </c>
      <c r="B514" s="1" t="s">
        <v>176</v>
      </c>
      <c r="C514" s="1" t="s">
        <v>31</v>
      </c>
      <c r="D514" s="3">
        <v>2017</v>
      </c>
      <c r="E514">
        <v>33.700000000000003</v>
      </c>
      <c r="F514" s="1">
        <f t="shared" ref="F514:F577" ca="1" si="16">SLOPE(
  OFFSET($E$1, MATCH($A514, $A:$A, 0)-1, 0, 24, 1),
  OFFSET($D$1, MATCH($A514, $A:$A, 0)-1, 0, 24, 1)
)</f>
        <v>2.4133913043478259</v>
      </c>
      <c r="G514" s="1">
        <f t="shared" ref="G514:G577" ca="1" si="17">INTERCEPT(
  OFFSET($E$1, MATCH($A514, $A:$A, 0)-1, 0, 24, 1),
  OFFSET($D$1, MATCH($A514, $A:$A, 0)-1, 0, 24, 1)
)</f>
        <v>-4829.5532753623183</v>
      </c>
      <c r="H514" s="1" cm="1">
        <f t="array" aca="1" ref="H514" ca="1">MIN(
  INDEX($E:$E, MATCH($A514, $A:$A, 0) + 23) +
  (F514 * (2030 - 2023)),
  100
)</f>
        <v>74.193739130434778</v>
      </c>
      <c r="I51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5" spans="1:9" hidden="1" x14ac:dyDescent="0.35">
      <c r="A515" s="1" t="s">
        <v>75</v>
      </c>
      <c r="B515" s="1" t="s">
        <v>176</v>
      </c>
      <c r="C515" s="1" t="s">
        <v>31</v>
      </c>
      <c r="D515" s="3">
        <v>2018</v>
      </c>
      <c r="E515">
        <v>47</v>
      </c>
      <c r="F515" s="1">
        <f t="shared" ca="1" si="16"/>
        <v>2.4133913043478259</v>
      </c>
      <c r="G515" s="1">
        <f t="shared" ca="1" si="17"/>
        <v>-4829.5532753623183</v>
      </c>
      <c r="H515" s="1" cm="1">
        <f t="array" aca="1" ref="H515" ca="1">MIN(
  INDEX($E:$E, MATCH($A515, $A:$A, 0) + 23) +
  (F515 * (2030 - 2023)),
  100
)</f>
        <v>74.193739130434778</v>
      </c>
      <c r="I51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6" spans="1:9" hidden="1" x14ac:dyDescent="0.35">
      <c r="A516" s="1" t="s">
        <v>75</v>
      </c>
      <c r="B516" s="1" t="s">
        <v>176</v>
      </c>
      <c r="C516" s="1" t="s">
        <v>31</v>
      </c>
      <c r="D516" s="3">
        <v>2019</v>
      </c>
      <c r="E516">
        <v>44.6</v>
      </c>
      <c r="F516" s="1">
        <f t="shared" ca="1" si="16"/>
        <v>2.4133913043478259</v>
      </c>
      <c r="G516" s="1">
        <f t="shared" ca="1" si="17"/>
        <v>-4829.5532753623183</v>
      </c>
      <c r="H516" s="1" cm="1">
        <f t="array" aca="1" ref="H516" ca="1">MIN(
  INDEX($E:$E, MATCH($A516, $A:$A, 0) + 23) +
  (F516 * (2030 - 2023)),
  100
)</f>
        <v>74.193739130434778</v>
      </c>
      <c r="I51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7" spans="1:9" hidden="1" x14ac:dyDescent="0.35">
      <c r="A517" s="1" t="s">
        <v>75</v>
      </c>
      <c r="B517" s="1" t="s">
        <v>176</v>
      </c>
      <c r="C517" s="1" t="s">
        <v>31</v>
      </c>
      <c r="D517" s="3">
        <v>2020</v>
      </c>
      <c r="E517">
        <v>47.5</v>
      </c>
      <c r="F517" s="1">
        <f t="shared" ca="1" si="16"/>
        <v>2.4133913043478259</v>
      </c>
      <c r="G517" s="1">
        <f t="shared" ca="1" si="17"/>
        <v>-4829.5532753623183</v>
      </c>
      <c r="H517" s="1" cm="1">
        <f t="array" aca="1" ref="H517" ca="1">MIN(
  INDEX($E:$E, MATCH($A517, $A:$A, 0) + 23) +
  (F517 * (2030 - 2023)),
  100
)</f>
        <v>74.193739130434778</v>
      </c>
      <c r="I51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8" spans="1:9" hidden="1" x14ac:dyDescent="0.35">
      <c r="A518" s="1" t="s">
        <v>75</v>
      </c>
      <c r="B518" s="1" t="s">
        <v>176</v>
      </c>
      <c r="C518" s="1" t="s">
        <v>31</v>
      </c>
      <c r="D518" s="3">
        <v>2021</v>
      </c>
      <c r="E518">
        <v>50.4</v>
      </c>
      <c r="F518" s="1">
        <f t="shared" ca="1" si="16"/>
        <v>2.4133913043478259</v>
      </c>
      <c r="G518" s="1">
        <f t="shared" ca="1" si="17"/>
        <v>-4829.5532753623183</v>
      </c>
      <c r="H518" s="1" cm="1">
        <f t="array" aca="1" ref="H518" ca="1">MIN(
  INDEX($E:$E, MATCH($A518, $A:$A, 0) + 23) +
  (F518 * (2030 - 2023)),
  100
)</f>
        <v>74.193739130434778</v>
      </c>
      <c r="I5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19" spans="1:9" hidden="1" x14ac:dyDescent="0.35">
      <c r="A519" s="1" t="s">
        <v>75</v>
      </c>
      <c r="B519" s="1" t="s">
        <v>176</v>
      </c>
      <c r="C519" s="1" t="s">
        <v>31</v>
      </c>
      <c r="D519" s="3">
        <v>2022</v>
      </c>
      <c r="E519">
        <v>50</v>
      </c>
      <c r="F519" s="1">
        <f t="shared" ca="1" si="16"/>
        <v>2.4133913043478259</v>
      </c>
      <c r="G519" s="1">
        <f t="shared" ca="1" si="17"/>
        <v>-4829.5532753623183</v>
      </c>
      <c r="H519" s="1" cm="1">
        <f t="array" aca="1" ref="H519" ca="1">MIN(
  INDEX($E:$E, MATCH($A519, $A:$A, 0) + 23) +
  (F519 * (2030 - 2023)),
  100
)</f>
        <v>74.193739130434778</v>
      </c>
      <c r="I5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20" spans="1:9" x14ac:dyDescent="0.35">
      <c r="A520" s="1" t="s">
        <v>75</v>
      </c>
      <c r="B520" s="1" t="s">
        <v>176</v>
      </c>
      <c r="C520" s="1" t="s">
        <v>31</v>
      </c>
      <c r="D520" s="3">
        <v>2023</v>
      </c>
      <c r="E520">
        <v>57.3</v>
      </c>
      <c r="F520" s="4">
        <f t="shared" ca="1" si="16"/>
        <v>2.4133913043478259</v>
      </c>
      <c r="G520" s="4">
        <f t="shared" ca="1" si="17"/>
        <v>-4829.5532753623183</v>
      </c>
      <c r="H520" s="4" cm="1">
        <f t="array" aca="1" ref="H520" ca="1">MIN(
  INDEX($E:$E, MATCH($A520, $A:$A, 0) + 23) +
  (F520 * (2030 - 2023)),
  100
)</f>
        <v>74.193739130434778</v>
      </c>
      <c r="I5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21" spans="1:9" hidden="1" x14ac:dyDescent="0.35">
      <c r="A521" s="1" t="s">
        <v>77</v>
      </c>
      <c r="B521" s="1" t="s">
        <v>173</v>
      </c>
      <c r="C521" s="1" t="s">
        <v>31</v>
      </c>
      <c r="D521" s="3">
        <v>2000</v>
      </c>
      <c r="E521">
        <v>69.8</v>
      </c>
      <c r="F521" s="1">
        <f t="shared" ca="1" si="16"/>
        <v>1.3605217391304349</v>
      </c>
      <c r="G521" s="1">
        <f t="shared" ca="1" si="17"/>
        <v>-2646.2394782608699</v>
      </c>
      <c r="H521" s="1" cm="1">
        <f t="array" aca="1" ref="H521" ca="1">MIN(
  INDEX($E:$E, MATCH($A521, $A:$A, 0) + 23) +
  (F521 * (2030 - 2023)),
  100
)</f>
        <v>100</v>
      </c>
      <c r="I52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2" spans="1:9" hidden="1" x14ac:dyDescent="0.35">
      <c r="A522" s="1" t="s">
        <v>77</v>
      </c>
      <c r="B522" s="1" t="s">
        <v>173</v>
      </c>
      <c r="C522" s="1" t="s">
        <v>31</v>
      </c>
      <c r="D522" s="3">
        <v>2001</v>
      </c>
      <c r="E522">
        <v>71.599999999999994</v>
      </c>
      <c r="F522" s="1">
        <f t="shared" ca="1" si="16"/>
        <v>1.3605217391304349</v>
      </c>
      <c r="G522" s="1">
        <f t="shared" ca="1" si="17"/>
        <v>-2646.2394782608699</v>
      </c>
      <c r="H522" s="1" cm="1">
        <f t="array" aca="1" ref="H522" ca="1">MIN(
  INDEX($E:$E, MATCH($A522, $A:$A, 0) + 23) +
  (F522 * (2030 - 2023)),
  100
)</f>
        <v>100</v>
      </c>
      <c r="I52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3" spans="1:9" hidden="1" x14ac:dyDescent="0.35">
      <c r="A523" s="1" t="s">
        <v>77</v>
      </c>
      <c r="B523" s="1" t="s">
        <v>173</v>
      </c>
      <c r="C523" s="1" t="s">
        <v>31</v>
      </c>
      <c r="D523" s="3">
        <v>2002</v>
      </c>
      <c r="E523">
        <v>73.3</v>
      </c>
      <c r="F523" s="1">
        <f t="shared" ca="1" si="16"/>
        <v>1.3605217391304349</v>
      </c>
      <c r="G523" s="1">
        <f t="shared" ca="1" si="17"/>
        <v>-2646.2394782608699</v>
      </c>
      <c r="H523" s="1" cm="1">
        <f t="array" aca="1" ref="H523" ca="1">MIN(
  INDEX($E:$E, MATCH($A523, $A:$A, 0) + 23) +
  (F523 * (2030 - 2023)),
  100
)</f>
        <v>100</v>
      </c>
      <c r="I52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4" spans="1:9" hidden="1" x14ac:dyDescent="0.35">
      <c r="A524" s="1" t="s">
        <v>77</v>
      </c>
      <c r="B524" s="1" t="s">
        <v>173</v>
      </c>
      <c r="C524" s="1" t="s">
        <v>31</v>
      </c>
      <c r="D524" s="3">
        <v>2003</v>
      </c>
      <c r="E524">
        <v>75.099999999999994</v>
      </c>
      <c r="F524" s="1">
        <f t="shared" ca="1" si="16"/>
        <v>1.3605217391304349</v>
      </c>
      <c r="G524" s="1">
        <f t="shared" ca="1" si="17"/>
        <v>-2646.2394782608699</v>
      </c>
      <c r="H524" s="1" cm="1">
        <f t="array" aca="1" ref="H524" ca="1">MIN(
  INDEX($E:$E, MATCH($A524, $A:$A, 0) + 23) +
  (F524 * (2030 - 2023)),
  100
)</f>
        <v>100</v>
      </c>
      <c r="I52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5" spans="1:9" hidden="1" x14ac:dyDescent="0.35">
      <c r="A525" s="1" t="s">
        <v>77</v>
      </c>
      <c r="B525" s="1" t="s">
        <v>173</v>
      </c>
      <c r="C525" s="1" t="s">
        <v>31</v>
      </c>
      <c r="D525" s="3">
        <v>2004</v>
      </c>
      <c r="E525">
        <v>78.2</v>
      </c>
      <c r="F525" s="1">
        <f t="shared" ca="1" si="16"/>
        <v>1.3605217391304349</v>
      </c>
      <c r="G525" s="1">
        <f t="shared" ca="1" si="17"/>
        <v>-2646.2394782608699</v>
      </c>
      <c r="H525" s="1" cm="1">
        <f t="array" aca="1" ref="H525" ca="1">MIN(
  INDEX($E:$E, MATCH($A525, $A:$A, 0) + 23) +
  (F525 * (2030 - 2023)),
  100
)</f>
        <v>100</v>
      </c>
      <c r="I52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6" spans="1:9" hidden="1" x14ac:dyDescent="0.35">
      <c r="A526" s="1" t="s">
        <v>77</v>
      </c>
      <c r="B526" s="1" t="s">
        <v>173</v>
      </c>
      <c r="C526" s="1" t="s">
        <v>31</v>
      </c>
      <c r="D526" s="3">
        <v>2005</v>
      </c>
      <c r="E526">
        <v>78.599999999999994</v>
      </c>
      <c r="F526" s="1">
        <f t="shared" ca="1" si="16"/>
        <v>1.3605217391304349</v>
      </c>
      <c r="G526" s="1">
        <f t="shared" ca="1" si="17"/>
        <v>-2646.2394782608699</v>
      </c>
      <c r="H526" s="1" cm="1">
        <f t="array" aca="1" ref="H526" ca="1">MIN(
  INDEX($E:$E, MATCH($A526, $A:$A, 0) + 23) +
  (F526 * (2030 - 2023)),
  100
)</f>
        <v>100</v>
      </c>
      <c r="I52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7" spans="1:9" hidden="1" x14ac:dyDescent="0.35">
      <c r="A527" s="1" t="s">
        <v>77</v>
      </c>
      <c r="B527" s="1" t="s">
        <v>173</v>
      </c>
      <c r="C527" s="1" t="s">
        <v>31</v>
      </c>
      <c r="D527" s="3">
        <v>2006</v>
      </c>
      <c r="E527">
        <v>96.5</v>
      </c>
      <c r="F527" s="1">
        <f t="shared" ca="1" si="16"/>
        <v>1.3605217391304349</v>
      </c>
      <c r="G527" s="1">
        <f t="shared" ca="1" si="17"/>
        <v>-2646.2394782608699</v>
      </c>
      <c r="H527" s="1" cm="1">
        <f t="array" aca="1" ref="H527" ca="1">MIN(
  INDEX($E:$E, MATCH($A527, $A:$A, 0) + 23) +
  (F527 * (2030 - 2023)),
  100
)</f>
        <v>100</v>
      </c>
      <c r="I52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8" spans="1:9" hidden="1" x14ac:dyDescent="0.35">
      <c r="A528" s="1" t="s">
        <v>77</v>
      </c>
      <c r="B528" s="1" t="s">
        <v>173</v>
      </c>
      <c r="C528" s="1" t="s">
        <v>31</v>
      </c>
      <c r="D528" s="3">
        <v>2007</v>
      </c>
      <c r="E528">
        <v>82.2</v>
      </c>
      <c r="F528" s="1">
        <f t="shared" ca="1" si="16"/>
        <v>1.3605217391304349</v>
      </c>
      <c r="G528" s="1">
        <f t="shared" ca="1" si="17"/>
        <v>-2646.2394782608699</v>
      </c>
      <c r="H528" s="1" cm="1">
        <f t="array" aca="1" ref="H528" ca="1">MIN(
  INDEX($E:$E, MATCH($A528, $A:$A, 0) + 23) +
  (F528 * (2030 - 2023)),
  100
)</f>
        <v>100</v>
      </c>
      <c r="I52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29" spans="1:9" hidden="1" x14ac:dyDescent="0.35">
      <c r="A529" s="1" t="s">
        <v>77</v>
      </c>
      <c r="B529" s="1" t="s">
        <v>173</v>
      </c>
      <c r="C529" s="1" t="s">
        <v>31</v>
      </c>
      <c r="D529" s="3">
        <v>2008</v>
      </c>
      <c r="E529">
        <v>84.1</v>
      </c>
      <c r="F529" s="1">
        <f t="shared" ca="1" si="16"/>
        <v>1.3605217391304349</v>
      </c>
      <c r="G529" s="1">
        <f t="shared" ca="1" si="17"/>
        <v>-2646.2394782608699</v>
      </c>
      <c r="H529" s="1" cm="1">
        <f t="array" aca="1" ref="H529" ca="1">MIN(
  INDEX($E:$E, MATCH($A529, $A:$A, 0) + 23) +
  (F529 * (2030 - 2023)),
  100
)</f>
        <v>100</v>
      </c>
      <c r="I52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0" spans="1:9" hidden="1" x14ac:dyDescent="0.35">
      <c r="A530" s="1" t="s">
        <v>77</v>
      </c>
      <c r="B530" s="1" t="s">
        <v>173</v>
      </c>
      <c r="C530" s="1" t="s">
        <v>31</v>
      </c>
      <c r="D530" s="3">
        <v>2009</v>
      </c>
      <c r="E530">
        <v>85.9</v>
      </c>
      <c r="F530" s="1">
        <f t="shared" ca="1" si="16"/>
        <v>1.3605217391304349</v>
      </c>
      <c r="G530" s="1">
        <f t="shared" ca="1" si="17"/>
        <v>-2646.2394782608699</v>
      </c>
      <c r="H530" s="1" cm="1">
        <f t="array" aca="1" ref="H530" ca="1">MIN(
  INDEX($E:$E, MATCH($A530, $A:$A, 0) + 23) +
  (F530 * (2030 - 2023)),
  100
)</f>
        <v>100</v>
      </c>
      <c r="I53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1" spans="1:9" hidden="1" x14ac:dyDescent="0.35">
      <c r="A531" s="1" t="s">
        <v>77</v>
      </c>
      <c r="B531" s="1" t="s">
        <v>173</v>
      </c>
      <c r="C531" s="1" t="s">
        <v>31</v>
      </c>
      <c r="D531" s="3">
        <v>2010</v>
      </c>
      <c r="E531">
        <v>95.7</v>
      </c>
      <c r="F531" s="1">
        <f t="shared" ca="1" si="16"/>
        <v>1.3605217391304349</v>
      </c>
      <c r="G531" s="1">
        <f t="shared" ca="1" si="17"/>
        <v>-2646.2394782608699</v>
      </c>
      <c r="H531" s="1" cm="1">
        <f t="array" aca="1" ref="H531" ca="1">MIN(
  INDEX($E:$E, MATCH($A531, $A:$A, 0) + 23) +
  (F531 * (2030 - 2023)),
  100
)</f>
        <v>100</v>
      </c>
      <c r="I53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2" spans="1:9" hidden="1" x14ac:dyDescent="0.35">
      <c r="A532" s="1" t="s">
        <v>77</v>
      </c>
      <c r="B532" s="1" t="s">
        <v>173</v>
      </c>
      <c r="C532" s="1" t="s">
        <v>31</v>
      </c>
      <c r="D532" s="3">
        <v>2011</v>
      </c>
      <c r="E532">
        <v>96.1</v>
      </c>
      <c r="F532" s="1">
        <f t="shared" ca="1" si="16"/>
        <v>1.3605217391304349</v>
      </c>
      <c r="G532" s="1">
        <f t="shared" ca="1" si="17"/>
        <v>-2646.2394782608699</v>
      </c>
      <c r="H532" s="1" cm="1">
        <f t="array" aca="1" ref="H532" ca="1">MIN(
  INDEX($E:$E, MATCH($A532, $A:$A, 0) + 23) +
  (F532 * (2030 - 2023)),
  100
)</f>
        <v>100</v>
      </c>
      <c r="I53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3" spans="1:9" hidden="1" x14ac:dyDescent="0.35">
      <c r="A533" s="1" t="s">
        <v>77</v>
      </c>
      <c r="B533" s="1" t="s">
        <v>173</v>
      </c>
      <c r="C533" s="1" t="s">
        <v>31</v>
      </c>
      <c r="D533" s="3">
        <v>2012</v>
      </c>
      <c r="E533">
        <v>96.4</v>
      </c>
      <c r="F533" s="1">
        <f t="shared" ca="1" si="16"/>
        <v>1.3605217391304349</v>
      </c>
      <c r="G533" s="1">
        <f t="shared" ca="1" si="17"/>
        <v>-2646.2394782608699</v>
      </c>
      <c r="H533" s="1" cm="1">
        <f t="array" aca="1" ref="H533" ca="1">MIN(
  INDEX($E:$E, MATCH($A533, $A:$A, 0) + 23) +
  (F533 * (2030 - 2023)),
  100
)</f>
        <v>100</v>
      </c>
      <c r="I53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4" spans="1:9" hidden="1" x14ac:dyDescent="0.35">
      <c r="A534" s="1" t="s">
        <v>77</v>
      </c>
      <c r="B534" s="1" t="s">
        <v>173</v>
      </c>
      <c r="C534" s="1" t="s">
        <v>31</v>
      </c>
      <c r="D534" s="3">
        <v>2013</v>
      </c>
      <c r="E534">
        <v>97.2</v>
      </c>
      <c r="F534" s="1">
        <f t="shared" ca="1" si="16"/>
        <v>1.3605217391304349</v>
      </c>
      <c r="G534" s="1">
        <f t="shared" ca="1" si="17"/>
        <v>-2646.2394782608699</v>
      </c>
      <c r="H534" s="1" cm="1">
        <f t="array" aca="1" ref="H534" ca="1">MIN(
  INDEX($E:$E, MATCH($A534, $A:$A, 0) + 23) +
  (F534 * (2030 - 2023)),
  100
)</f>
        <v>100</v>
      </c>
      <c r="I53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5" spans="1:9" hidden="1" x14ac:dyDescent="0.35">
      <c r="A535" s="1" t="s">
        <v>77</v>
      </c>
      <c r="B535" s="1" t="s">
        <v>173</v>
      </c>
      <c r="C535" s="1" t="s">
        <v>31</v>
      </c>
      <c r="D535" s="3">
        <v>2014</v>
      </c>
      <c r="E535">
        <v>97.3</v>
      </c>
      <c r="F535" s="1">
        <f t="shared" ca="1" si="16"/>
        <v>1.3605217391304349</v>
      </c>
      <c r="G535" s="1">
        <f t="shared" ca="1" si="17"/>
        <v>-2646.2394782608699</v>
      </c>
      <c r="H535" s="1" cm="1">
        <f t="array" aca="1" ref="H535" ca="1">MIN(
  INDEX($E:$E, MATCH($A535, $A:$A, 0) + 23) +
  (F535 * (2030 - 2023)),
  100
)</f>
        <v>100</v>
      </c>
      <c r="I53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6" spans="1:9" hidden="1" x14ac:dyDescent="0.35">
      <c r="A536" s="1" t="s">
        <v>77</v>
      </c>
      <c r="B536" s="1" t="s">
        <v>173</v>
      </c>
      <c r="C536" s="1" t="s">
        <v>31</v>
      </c>
      <c r="D536" s="3">
        <v>2015</v>
      </c>
      <c r="E536">
        <v>97.3</v>
      </c>
      <c r="F536" s="1">
        <f t="shared" ca="1" si="16"/>
        <v>1.3605217391304349</v>
      </c>
      <c r="G536" s="1">
        <f t="shared" ca="1" si="17"/>
        <v>-2646.2394782608699</v>
      </c>
      <c r="H536" s="1" cm="1">
        <f t="array" aca="1" ref="H536" ca="1">MIN(
  INDEX($E:$E, MATCH($A536, $A:$A, 0) + 23) +
  (F536 * (2030 - 2023)),
  100
)</f>
        <v>100</v>
      </c>
      <c r="I53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7" spans="1:9" hidden="1" x14ac:dyDescent="0.35">
      <c r="A537" s="1" t="s">
        <v>77</v>
      </c>
      <c r="B537" s="1" t="s">
        <v>173</v>
      </c>
      <c r="C537" s="1" t="s">
        <v>31</v>
      </c>
      <c r="D537" s="3">
        <v>2016</v>
      </c>
      <c r="E537">
        <v>97.8</v>
      </c>
      <c r="F537" s="1">
        <f t="shared" ca="1" si="16"/>
        <v>1.3605217391304349</v>
      </c>
      <c r="G537" s="1">
        <f t="shared" ca="1" si="17"/>
        <v>-2646.2394782608699</v>
      </c>
      <c r="H537" s="1" cm="1">
        <f t="array" aca="1" ref="H537" ca="1">MIN(
  INDEX($E:$E, MATCH($A537, $A:$A, 0) + 23) +
  (F537 * (2030 - 2023)),
  100
)</f>
        <v>100</v>
      </c>
      <c r="I53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8" spans="1:9" hidden="1" x14ac:dyDescent="0.35">
      <c r="A538" s="1" t="s">
        <v>77</v>
      </c>
      <c r="B538" s="1" t="s">
        <v>173</v>
      </c>
      <c r="C538" s="1" t="s">
        <v>31</v>
      </c>
      <c r="D538" s="3">
        <v>2017</v>
      </c>
      <c r="E538">
        <v>100</v>
      </c>
      <c r="F538" s="1">
        <f t="shared" ca="1" si="16"/>
        <v>1.3605217391304349</v>
      </c>
      <c r="G538" s="1">
        <f t="shared" ca="1" si="17"/>
        <v>-2646.2394782608699</v>
      </c>
      <c r="H538" s="1" cm="1">
        <f t="array" aca="1" ref="H538" ca="1">MIN(
  INDEX($E:$E, MATCH($A538, $A:$A, 0) + 23) +
  (F538 * (2030 - 2023)),
  100
)</f>
        <v>100</v>
      </c>
      <c r="I53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39" spans="1:9" hidden="1" x14ac:dyDescent="0.35">
      <c r="A539" s="1" t="s">
        <v>77</v>
      </c>
      <c r="B539" s="1" t="s">
        <v>173</v>
      </c>
      <c r="C539" s="1" t="s">
        <v>31</v>
      </c>
      <c r="D539" s="3">
        <v>2018</v>
      </c>
      <c r="E539">
        <v>98.1</v>
      </c>
      <c r="F539" s="1">
        <f t="shared" ca="1" si="16"/>
        <v>1.3605217391304349</v>
      </c>
      <c r="G539" s="1">
        <f t="shared" ca="1" si="17"/>
        <v>-2646.2394782608699</v>
      </c>
      <c r="H539" s="1" cm="1">
        <f t="array" aca="1" ref="H539" ca="1">MIN(
  INDEX($E:$E, MATCH($A539, $A:$A, 0) + 23) +
  (F539 * (2030 - 2023)),
  100
)</f>
        <v>100</v>
      </c>
      <c r="I53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40" spans="1:9" hidden="1" x14ac:dyDescent="0.35">
      <c r="A540" s="1" t="s">
        <v>77</v>
      </c>
      <c r="B540" s="1" t="s">
        <v>173</v>
      </c>
      <c r="C540" s="1" t="s">
        <v>31</v>
      </c>
      <c r="D540" s="3">
        <v>2019</v>
      </c>
      <c r="E540">
        <v>99.6</v>
      </c>
      <c r="F540" s="1">
        <f t="shared" ca="1" si="16"/>
        <v>1.3605217391304349</v>
      </c>
      <c r="G540" s="1">
        <f t="shared" ca="1" si="17"/>
        <v>-2646.2394782608699</v>
      </c>
      <c r="H540" s="1" cm="1">
        <f t="array" aca="1" ref="H540" ca="1">MIN(
  INDEX($E:$E, MATCH($A540, $A:$A, 0) + 23) +
  (F540 * (2030 - 2023)),
  100
)</f>
        <v>100</v>
      </c>
      <c r="I54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41" spans="1:9" hidden="1" x14ac:dyDescent="0.35">
      <c r="A541" s="1" t="s">
        <v>77</v>
      </c>
      <c r="B541" s="1" t="s">
        <v>173</v>
      </c>
      <c r="C541" s="1" t="s">
        <v>31</v>
      </c>
      <c r="D541" s="3">
        <v>2020</v>
      </c>
      <c r="E541">
        <v>100</v>
      </c>
      <c r="F541" s="1">
        <f t="shared" ca="1" si="16"/>
        <v>1.3605217391304349</v>
      </c>
      <c r="G541" s="1">
        <f t="shared" ca="1" si="17"/>
        <v>-2646.2394782608699</v>
      </c>
      <c r="H541" s="1" cm="1">
        <f t="array" aca="1" ref="H541" ca="1">MIN(
  INDEX($E:$E, MATCH($A541, $A:$A, 0) + 23) +
  (F541 * (2030 - 2023)),
  100
)</f>
        <v>100</v>
      </c>
      <c r="I54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42" spans="1:9" hidden="1" x14ac:dyDescent="0.35">
      <c r="A542" s="1" t="s">
        <v>77</v>
      </c>
      <c r="B542" s="1" t="s">
        <v>173</v>
      </c>
      <c r="C542" s="1" t="s">
        <v>31</v>
      </c>
      <c r="D542" s="3">
        <v>2021</v>
      </c>
      <c r="E542">
        <v>100</v>
      </c>
      <c r="F542" s="1">
        <f t="shared" ca="1" si="16"/>
        <v>1.3605217391304349</v>
      </c>
      <c r="G542" s="1">
        <f t="shared" ca="1" si="17"/>
        <v>-2646.2394782608699</v>
      </c>
      <c r="H542" s="1" cm="1">
        <f t="array" aca="1" ref="H542" ca="1">MIN(
  INDEX($E:$E, MATCH($A542, $A:$A, 0) + 23) +
  (F542 * (2030 - 2023)),
  100
)</f>
        <v>100</v>
      </c>
      <c r="I54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43" spans="1:9" hidden="1" x14ac:dyDescent="0.35">
      <c r="A543" s="1" t="s">
        <v>77</v>
      </c>
      <c r="B543" s="1" t="s">
        <v>173</v>
      </c>
      <c r="C543" s="1" t="s">
        <v>31</v>
      </c>
      <c r="D543" s="3">
        <v>2022</v>
      </c>
      <c r="E543">
        <v>100</v>
      </c>
      <c r="F543" s="1">
        <f t="shared" ca="1" si="16"/>
        <v>1.3605217391304349</v>
      </c>
      <c r="G543" s="1">
        <f t="shared" ca="1" si="17"/>
        <v>-2646.2394782608699</v>
      </c>
      <c r="H543" s="1" cm="1">
        <f t="array" aca="1" ref="H543" ca="1">MIN(
  INDEX($E:$E, MATCH($A543, $A:$A, 0) + 23) +
  (F543 * (2030 - 2023)),
  100
)</f>
        <v>100</v>
      </c>
      <c r="I54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44" spans="1:9" x14ac:dyDescent="0.35">
      <c r="A544" s="1" t="s">
        <v>77</v>
      </c>
      <c r="B544" s="1" t="s">
        <v>173</v>
      </c>
      <c r="C544" s="1" t="s">
        <v>31</v>
      </c>
      <c r="D544" s="3">
        <v>2023</v>
      </c>
      <c r="E544">
        <v>100</v>
      </c>
      <c r="F544" s="4">
        <f t="shared" ca="1" si="16"/>
        <v>1.3605217391304349</v>
      </c>
      <c r="G544" s="4">
        <f t="shared" ca="1" si="17"/>
        <v>-2646.2394782608699</v>
      </c>
      <c r="H544" s="4" cm="1">
        <f t="array" aca="1" ref="H544" ca="1">MIN(
  INDEX($E:$E, MATCH($A544, $A:$A, 0) + 23) +
  (F544 * (2030 - 2023)),
  100
)</f>
        <v>100</v>
      </c>
      <c r="I54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545" spans="1:9" hidden="1" x14ac:dyDescent="0.35">
      <c r="A545" s="1" t="s">
        <v>79</v>
      </c>
      <c r="B545" s="1" t="s">
        <v>174</v>
      </c>
      <c r="C545" s="1" t="s">
        <v>34</v>
      </c>
      <c r="D545" s="3">
        <v>2000</v>
      </c>
      <c r="E545">
        <v>12.6</v>
      </c>
      <c r="F545" s="1">
        <f t="shared" ca="1" si="16"/>
        <v>1.0291739130434783</v>
      </c>
      <c r="G545" s="1">
        <f t="shared" ca="1" si="17"/>
        <v>-2048.30415942029</v>
      </c>
      <c r="H545" s="1" cm="1">
        <f t="array" aca="1" ref="H545" ca="1">MIN(
  INDEX($E:$E, MATCH($A545, $A:$A, 0) + 23) +
  (F545 * (2030 - 2023)),
  100
)</f>
        <v>46.604217391304346</v>
      </c>
      <c r="I54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46" spans="1:9" hidden="1" x14ac:dyDescent="0.35">
      <c r="A546" s="1" t="s">
        <v>79</v>
      </c>
      <c r="B546" s="1" t="s">
        <v>174</v>
      </c>
      <c r="C546" s="1" t="s">
        <v>34</v>
      </c>
      <c r="D546" s="3">
        <v>2001</v>
      </c>
      <c r="E546">
        <v>14.8</v>
      </c>
      <c r="F546" s="1">
        <f t="shared" ca="1" si="16"/>
        <v>1.0291739130434783</v>
      </c>
      <c r="G546" s="1">
        <f t="shared" ca="1" si="17"/>
        <v>-2048.30415942029</v>
      </c>
      <c r="H546" s="1" cm="1">
        <f t="array" aca="1" ref="H546" ca="1">MIN(
  INDEX($E:$E, MATCH($A546, $A:$A, 0) + 23) +
  (F546 * (2030 - 2023)),
  100
)</f>
        <v>46.604217391304346</v>
      </c>
      <c r="I54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47" spans="1:9" hidden="1" x14ac:dyDescent="0.35">
      <c r="A547" s="1" t="s">
        <v>79</v>
      </c>
      <c r="B547" s="1" t="s">
        <v>174</v>
      </c>
      <c r="C547" s="1" t="s">
        <v>34</v>
      </c>
      <c r="D547" s="3">
        <v>2002</v>
      </c>
      <c r="E547">
        <v>14</v>
      </c>
      <c r="F547" s="1">
        <f t="shared" ca="1" si="16"/>
        <v>1.0291739130434783</v>
      </c>
      <c r="G547" s="1">
        <f t="shared" ca="1" si="17"/>
        <v>-2048.30415942029</v>
      </c>
      <c r="H547" s="1" cm="1">
        <f t="array" aca="1" ref="H547" ca="1">MIN(
  INDEX($E:$E, MATCH($A547, $A:$A, 0) + 23) +
  (F547 * (2030 - 2023)),
  100
)</f>
        <v>46.604217391304346</v>
      </c>
      <c r="I54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48" spans="1:9" hidden="1" x14ac:dyDescent="0.35">
      <c r="A548" s="1" t="s">
        <v>79</v>
      </c>
      <c r="B548" s="1" t="s">
        <v>174</v>
      </c>
      <c r="C548" s="1" t="s">
        <v>34</v>
      </c>
      <c r="D548" s="3">
        <v>2003</v>
      </c>
      <c r="E548">
        <v>20.3</v>
      </c>
      <c r="F548" s="1">
        <f t="shared" ca="1" si="16"/>
        <v>1.0291739130434783</v>
      </c>
      <c r="G548" s="1">
        <f t="shared" ca="1" si="17"/>
        <v>-2048.30415942029</v>
      </c>
      <c r="H548" s="1" cm="1">
        <f t="array" aca="1" ref="H548" ca="1">MIN(
  INDEX($E:$E, MATCH($A548, $A:$A, 0) + 23) +
  (F548 * (2030 - 2023)),
  100
)</f>
        <v>46.604217391304346</v>
      </c>
      <c r="I54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49" spans="1:9" hidden="1" x14ac:dyDescent="0.35">
      <c r="A549" s="1" t="s">
        <v>79</v>
      </c>
      <c r="B549" s="1" t="s">
        <v>174</v>
      </c>
      <c r="C549" s="1" t="s">
        <v>34</v>
      </c>
      <c r="D549" s="3">
        <v>2004</v>
      </c>
      <c r="E549">
        <v>15.3</v>
      </c>
      <c r="F549" s="1">
        <f t="shared" ca="1" si="16"/>
        <v>1.0291739130434783</v>
      </c>
      <c r="G549" s="1">
        <f t="shared" ca="1" si="17"/>
        <v>-2048.30415942029</v>
      </c>
      <c r="H549" s="1" cm="1">
        <f t="array" aca="1" ref="H549" ca="1">MIN(
  INDEX($E:$E, MATCH($A549, $A:$A, 0) + 23) +
  (F549 * (2030 - 2023)),
  100
)</f>
        <v>46.604217391304346</v>
      </c>
      <c r="I54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0" spans="1:9" hidden="1" x14ac:dyDescent="0.35">
      <c r="A550" s="1" t="s">
        <v>79</v>
      </c>
      <c r="B550" s="1" t="s">
        <v>174</v>
      </c>
      <c r="C550" s="1" t="s">
        <v>34</v>
      </c>
      <c r="D550" s="3">
        <v>2005</v>
      </c>
      <c r="E550">
        <v>16</v>
      </c>
      <c r="F550" s="1">
        <f t="shared" ca="1" si="16"/>
        <v>1.0291739130434783</v>
      </c>
      <c r="G550" s="1">
        <f t="shared" ca="1" si="17"/>
        <v>-2048.30415942029</v>
      </c>
      <c r="H550" s="1" cm="1">
        <f t="array" aca="1" ref="H550" ca="1">MIN(
  INDEX($E:$E, MATCH($A550, $A:$A, 0) + 23) +
  (F550 * (2030 - 2023)),
  100
)</f>
        <v>46.604217391304346</v>
      </c>
      <c r="I55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1" spans="1:9" hidden="1" x14ac:dyDescent="0.35">
      <c r="A551" s="1" t="s">
        <v>79</v>
      </c>
      <c r="B551" s="1" t="s">
        <v>174</v>
      </c>
      <c r="C551" s="1" t="s">
        <v>34</v>
      </c>
      <c r="D551" s="3">
        <v>2006</v>
      </c>
      <c r="E551">
        <v>16.8</v>
      </c>
      <c r="F551" s="1">
        <f t="shared" ca="1" si="16"/>
        <v>1.0291739130434783</v>
      </c>
      <c r="G551" s="1">
        <f t="shared" ca="1" si="17"/>
        <v>-2048.30415942029</v>
      </c>
      <c r="H551" s="1" cm="1">
        <f t="array" aca="1" ref="H551" ca="1">MIN(
  INDEX($E:$E, MATCH($A551, $A:$A, 0) + 23) +
  (F551 * (2030 - 2023)),
  100
)</f>
        <v>46.604217391304346</v>
      </c>
      <c r="I55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2" spans="1:9" hidden="1" x14ac:dyDescent="0.35">
      <c r="A552" s="1" t="s">
        <v>79</v>
      </c>
      <c r="B552" s="1" t="s">
        <v>174</v>
      </c>
      <c r="C552" s="1" t="s">
        <v>34</v>
      </c>
      <c r="D552" s="3">
        <v>2007</v>
      </c>
      <c r="E552">
        <v>17.5</v>
      </c>
      <c r="F552" s="1">
        <f t="shared" ca="1" si="16"/>
        <v>1.0291739130434783</v>
      </c>
      <c r="G552" s="1">
        <f t="shared" ca="1" si="17"/>
        <v>-2048.30415942029</v>
      </c>
      <c r="H552" s="1" cm="1">
        <f t="array" aca="1" ref="H552" ca="1">MIN(
  INDEX($E:$E, MATCH($A552, $A:$A, 0) + 23) +
  (F552 * (2030 - 2023)),
  100
)</f>
        <v>46.604217391304346</v>
      </c>
      <c r="I55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3" spans="1:9" hidden="1" x14ac:dyDescent="0.35">
      <c r="A553" s="1" t="s">
        <v>79</v>
      </c>
      <c r="B553" s="1" t="s">
        <v>174</v>
      </c>
      <c r="C553" s="1" t="s">
        <v>34</v>
      </c>
      <c r="D553" s="3">
        <v>2008</v>
      </c>
      <c r="E553">
        <v>18.3</v>
      </c>
      <c r="F553" s="1">
        <f t="shared" ca="1" si="16"/>
        <v>1.0291739130434783</v>
      </c>
      <c r="G553" s="1">
        <f t="shared" ca="1" si="17"/>
        <v>-2048.30415942029</v>
      </c>
      <c r="H553" s="1" cm="1">
        <f t="array" aca="1" ref="H553" ca="1">MIN(
  INDEX($E:$E, MATCH($A553, $A:$A, 0) + 23) +
  (F553 * (2030 - 2023)),
  100
)</f>
        <v>46.604217391304346</v>
      </c>
      <c r="I55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4" spans="1:9" hidden="1" x14ac:dyDescent="0.35">
      <c r="A554" s="1" t="s">
        <v>79</v>
      </c>
      <c r="B554" s="1" t="s">
        <v>174</v>
      </c>
      <c r="C554" s="1" t="s">
        <v>34</v>
      </c>
      <c r="D554" s="3">
        <v>2009</v>
      </c>
      <c r="E554">
        <v>17.399999999999999</v>
      </c>
      <c r="F554" s="1">
        <f t="shared" ca="1" si="16"/>
        <v>1.0291739130434783</v>
      </c>
      <c r="G554" s="1">
        <f t="shared" ca="1" si="17"/>
        <v>-2048.30415942029</v>
      </c>
      <c r="H554" s="1" cm="1">
        <f t="array" aca="1" ref="H554" ca="1">MIN(
  INDEX($E:$E, MATCH($A554, $A:$A, 0) + 23) +
  (F554 * (2030 - 2023)),
  100
)</f>
        <v>46.604217391304346</v>
      </c>
      <c r="I55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5" spans="1:9" hidden="1" x14ac:dyDescent="0.35">
      <c r="A555" s="1" t="s">
        <v>79</v>
      </c>
      <c r="B555" s="1" t="s">
        <v>174</v>
      </c>
      <c r="C555" s="1" t="s">
        <v>34</v>
      </c>
      <c r="D555" s="3">
        <v>2010</v>
      </c>
      <c r="E555">
        <v>12.3</v>
      </c>
      <c r="F555" s="1">
        <f t="shared" ca="1" si="16"/>
        <v>1.0291739130434783</v>
      </c>
      <c r="G555" s="1">
        <f t="shared" ca="1" si="17"/>
        <v>-2048.30415942029</v>
      </c>
      <c r="H555" s="1" cm="1">
        <f t="array" aca="1" ref="H555" ca="1">MIN(
  INDEX($E:$E, MATCH($A555, $A:$A, 0) + 23) +
  (F555 * (2030 - 2023)),
  100
)</f>
        <v>46.604217391304346</v>
      </c>
      <c r="I55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6" spans="1:9" hidden="1" x14ac:dyDescent="0.35">
      <c r="A556" s="1" t="s">
        <v>79</v>
      </c>
      <c r="B556" s="1" t="s">
        <v>174</v>
      </c>
      <c r="C556" s="1" t="s">
        <v>34</v>
      </c>
      <c r="D556" s="3">
        <v>2011</v>
      </c>
      <c r="E556">
        <v>14.3</v>
      </c>
      <c r="F556" s="1">
        <f t="shared" ca="1" si="16"/>
        <v>1.0291739130434783</v>
      </c>
      <c r="G556" s="1">
        <f t="shared" ca="1" si="17"/>
        <v>-2048.30415942029</v>
      </c>
      <c r="H556" s="1" cm="1">
        <f t="array" aca="1" ref="H556" ca="1">MIN(
  INDEX($E:$E, MATCH($A556, $A:$A, 0) + 23) +
  (F556 * (2030 - 2023)),
  100
)</f>
        <v>46.604217391304346</v>
      </c>
      <c r="I55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7" spans="1:9" hidden="1" x14ac:dyDescent="0.35">
      <c r="A557" s="1" t="s">
        <v>79</v>
      </c>
      <c r="B557" s="1" t="s">
        <v>174</v>
      </c>
      <c r="C557" s="1" t="s">
        <v>34</v>
      </c>
      <c r="D557" s="3">
        <v>2012</v>
      </c>
      <c r="E557">
        <v>18.7</v>
      </c>
      <c r="F557" s="1">
        <f t="shared" ca="1" si="16"/>
        <v>1.0291739130434783</v>
      </c>
      <c r="G557" s="1">
        <f t="shared" ca="1" si="17"/>
        <v>-2048.30415942029</v>
      </c>
      <c r="H557" s="1" cm="1">
        <f t="array" aca="1" ref="H557" ca="1">MIN(
  INDEX($E:$E, MATCH($A557, $A:$A, 0) + 23) +
  (F557 * (2030 - 2023)),
  100
)</f>
        <v>46.604217391304346</v>
      </c>
      <c r="I55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8" spans="1:9" hidden="1" x14ac:dyDescent="0.35">
      <c r="A558" s="1" t="s">
        <v>79</v>
      </c>
      <c r="B558" s="1" t="s">
        <v>174</v>
      </c>
      <c r="C558" s="1" t="s">
        <v>34</v>
      </c>
      <c r="D558" s="3">
        <v>2013</v>
      </c>
      <c r="E558">
        <v>12.9</v>
      </c>
      <c r="F558" s="1">
        <f t="shared" ca="1" si="16"/>
        <v>1.0291739130434783</v>
      </c>
      <c r="G558" s="1">
        <f t="shared" ca="1" si="17"/>
        <v>-2048.30415942029</v>
      </c>
      <c r="H558" s="1" cm="1">
        <f t="array" aca="1" ref="H558" ca="1">MIN(
  INDEX($E:$E, MATCH($A558, $A:$A, 0) + 23) +
  (F558 * (2030 - 2023)),
  100
)</f>
        <v>46.604217391304346</v>
      </c>
      <c r="I55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59" spans="1:9" hidden="1" x14ac:dyDescent="0.35">
      <c r="A559" s="1" t="s">
        <v>79</v>
      </c>
      <c r="B559" s="1" t="s">
        <v>174</v>
      </c>
      <c r="C559" s="1" t="s">
        <v>34</v>
      </c>
      <c r="D559" s="3">
        <v>2014</v>
      </c>
      <c r="E559">
        <v>23</v>
      </c>
      <c r="F559" s="1">
        <f t="shared" ca="1" si="16"/>
        <v>1.0291739130434783</v>
      </c>
      <c r="G559" s="1">
        <f t="shared" ca="1" si="17"/>
        <v>-2048.30415942029</v>
      </c>
      <c r="H559" s="1" cm="1">
        <f t="array" aca="1" ref="H559" ca="1">MIN(
  INDEX($E:$E, MATCH($A559, $A:$A, 0) + 23) +
  (F559 * (2030 - 2023)),
  100
)</f>
        <v>46.604217391304346</v>
      </c>
      <c r="I55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0" spans="1:9" hidden="1" x14ac:dyDescent="0.35">
      <c r="A560" s="1" t="s">
        <v>79</v>
      </c>
      <c r="B560" s="1" t="s">
        <v>174</v>
      </c>
      <c r="C560" s="1" t="s">
        <v>34</v>
      </c>
      <c r="D560" s="3">
        <v>2015</v>
      </c>
      <c r="E560">
        <v>23.8</v>
      </c>
      <c r="F560" s="1">
        <f t="shared" ca="1" si="16"/>
        <v>1.0291739130434783</v>
      </c>
      <c r="G560" s="1">
        <f t="shared" ca="1" si="17"/>
        <v>-2048.30415942029</v>
      </c>
      <c r="H560" s="1" cm="1">
        <f t="array" aca="1" ref="H560" ca="1">MIN(
  INDEX($E:$E, MATCH($A560, $A:$A, 0) + 23) +
  (F560 * (2030 - 2023)),
  100
)</f>
        <v>46.604217391304346</v>
      </c>
      <c r="I56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1" spans="1:9" hidden="1" x14ac:dyDescent="0.35">
      <c r="A561" s="1" t="s">
        <v>79</v>
      </c>
      <c r="B561" s="1" t="s">
        <v>174</v>
      </c>
      <c r="C561" s="1" t="s">
        <v>34</v>
      </c>
      <c r="D561" s="3">
        <v>2016</v>
      </c>
      <c r="E561">
        <v>22.9</v>
      </c>
      <c r="F561" s="1">
        <f t="shared" ca="1" si="16"/>
        <v>1.0291739130434783</v>
      </c>
      <c r="G561" s="1">
        <f t="shared" ca="1" si="17"/>
        <v>-2048.30415942029</v>
      </c>
      <c r="H561" s="1" cm="1">
        <f t="array" aca="1" ref="H561" ca="1">MIN(
  INDEX($E:$E, MATCH($A561, $A:$A, 0) + 23) +
  (F561 * (2030 - 2023)),
  100
)</f>
        <v>46.604217391304346</v>
      </c>
      <c r="I56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2" spans="1:9" hidden="1" x14ac:dyDescent="0.35">
      <c r="A562" s="1" t="s">
        <v>79</v>
      </c>
      <c r="B562" s="1" t="s">
        <v>174</v>
      </c>
      <c r="C562" s="1" t="s">
        <v>34</v>
      </c>
      <c r="D562" s="3">
        <v>2017</v>
      </c>
      <c r="E562">
        <v>24.1</v>
      </c>
      <c r="F562" s="1">
        <f t="shared" ca="1" si="16"/>
        <v>1.0291739130434783</v>
      </c>
      <c r="G562" s="1">
        <f t="shared" ca="1" si="17"/>
        <v>-2048.30415942029</v>
      </c>
      <c r="H562" s="1" cm="1">
        <f t="array" aca="1" ref="H562" ca="1">MIN(
  INDEX($E:$E, MATCH($A562, $A:$A, 0) + 23) +
  (F562 * (2030 - 2023)),
  100
)</f>
        <v>46.604217391304346</v>
      </c>
      <c r="I56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3" spans="1:9" hidden="1" x14ac:dyDescent="0.35">
      <c r="A563" s="1" t="s">
        <v>79</v>
      </c>
      <c r="B563" s="1" t="s">
        <v>174</v>
      </c>
      <c r="C563" s="1" t="s">
        <v>34</v>
      </c>
      <c r="D563" s="3">
        <v>2018</v>
      </c>
      <c r="E563">
        <v>36.5</v>
      </c>
      <c r="F563" s="1">
        <f t="shared" ca="1" si="16"/>
        <v>1.0291739130434783</v>
      </c>
      <c r="G563" s="1">
        <f t="shared" ca="1" si="17"/>
        <v>-2048.30415942029</v>
      </c>
      <c r="H563" s="1" cm="1">
        <f t="array" aca="1" ref="H563" ca="1">MIN(
  INDEX($E:$E, MATCH($A563, $A:$A, 0) + 23) +
  (F563 * (2030 - 2023)),
  100
)</f>
        <v>46.604217391304346</v>
      </c>
      <c r="I56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4" spans="1:9" hidden="1" x14ac:dyDescent="0.35">
      <c r="A564" s="1" t="s">
        <v>79</v>
      </c>
      <c r="B564" s="1" t="s">
        <v>174</v>
      </c>
      <c r="C564" s="1" t="s">
        <v>34</v>
      </c>
      <c r="D564" s="3">
        <v>2019</v>
      </c>
      <c r="E564">
        <v>31</v>
      </c>
      <c r="F564" s="1">
        <f t="shared" ca="1" si="16"/>
        <v>1.0291739130434783</v>
      </c>
      <c r="G564" s="1">
        <f t="shared" ca="1" si="17"/>
        <v>-2048.30415942029</v>
      </c>
      <c r="H564" s="1" cm="1">
        <f t="array" aca="1" ref="H564" ca="1">MIN(
  INDEX($E:$E, MATCH($A564, $A:$A, 0) + 23) +
  (F564 * (2030 - 2023)),
  100
)</f>
        <v>46.604217391304346</v>
      </c>
      <c r="I56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5" spans="1:9" hidden="1" x14ac:dyDescent="0.35">
      <c r="A565" s="1" t="s">
        <v>79</v>
      </c>
      <c r="B565" s="1" t="s">
        <v>174</v>
      </c>
      <c r="C565" s="1" t="s">
        <v>34</v>
      </c>
      <c r="D565" s="3">
        <v>2020</v>
      </c>
      <c r="E565">
        <v>32</v>
      </c>
      <c r="F565" s="1">
        <f t="shared" ca="1" si="16"/>
        <v>1.0291739130434783</v>
      </c>
      <c r="G565" s="1">
        <f t="shared" ca="1" si="17"/>
        <v>-2048.30415942029</v>
      </c>
      <c r="H565" s="1" cm="1">
        <f t="array" aca="1" ref="H565" ca="1">MIN(
  INDEX($E:$E, MATCH($A565, $A:$A, 0) + 23) +
  (F565 * (2030 - 2023)),
  100
)</f>
        <v>46.604217391304346</v>
      </c>
      <c r="I5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6" spans="1:9" hidden="1" x14ac:dyDescent="0.35">
      <c r="A566" s="1" t="s">
        <v>79</v>
      </c>
      <c r="B566" s="1" t="s">
        <v>174</v>
      </c>
      <c r="C566" s="1" t="s">
        <v>34</v>
      </c>
      <c r="D566" s="3">
        <v>2021</v>
      </c>
      <c r="E566">
        <v>35.1</v>
      </c>
      <c r="F566" s="1">
        <f t="shared" ca="1" si="16"/>
        <v>1.0291739130434783</v>
      </c>
      <c r="G566" s="1">
        <f t="shared" ca="1" si="17"/>
        <v>-2048.30415942029</v>
      </c>
      <c r="H566" s="1" cm="1">
        <f t="array" aca="1" ref="H566" ca="1">MIN(
  INDEX($E:$E, MATCH($A566, $A:$A, 0) + 23) +
  (F566 * (2030 - 2023)),
  100
)</f>
        <v>46.604217391304346</v>
      </c>
      <c r="I5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7" spans="1:9" hidden="1" x14ac:dyDescent="0.35">
      <c r="A567" s="1" t="s">
        <v>79</v>
      </c>
      <c r="B567" s="1" t="s">
        <v>174</v>
      </c>
      <c r="C567" s="1" t="s">
        <v>34</v>
      </c>
      <c r="D567" s="3">
        <v>2022</v>
      </c>
      <c r="E567">
        <v>36.1</v>
      </c>
      <c r="F567" s="1">
        <f t="shared" ca="1" si="16"/>
        <v>1.0291739130434783</v>
      </c>
      <c r="G567" s="1">
        <f t="shared" ca="1" si="17"/>
        <v>-2048.30415942029</v>
      </c>
      <c r="H567" s="1" cm="1">
        <f t="array" aca="1" ref="H567" ca="1">MIN(
  INDEX($E:$E, MATCH($A567, $A:$A, 0) + 23) +
  (F567 * (2030 - 2023)),
  100
)</f>
        <v>46.604217391304346</v>
      </c>
      <c r="I5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8" spans="1:9" x14ac:dyDescent="0.35">
      <c r="A568" s="1" t="s">
        <v>79</v>
      </c>
      <c r="B568" s="1" t="s">
        <v>174</v>
      </c>
      <c r="C568" s="1" t="s">
        <v>34</v>
      </c>
      <c r="D568" s="3">
        <v>2023</v>
      </c>
      <c r="E568">
        <v>39.4</v>
      </c>
      <c r="F568" s="4">
        <f t="shared" ca="1" si="16"/>
        <v>1.0291739130434783</v>
      </c>
      <c r="G568" s="4">
        <f t="shared" ca="1" si="17"/>
        <v>-2048.30415942029</v>
      </c>
      <c r="H568" s="4" cm="1">
        <f t="array" aca="1" ref="H568" ca="1">MIN(
  INDEX($E:$E, MATCH($A568, $A:$A, 0) + 23) +
  (F568 * (2030 - 2023)),
  100
)</f>
        <v>46.604217391304346</v>
      </c>
      <c r="I5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69" spans="1:9" hidden="1" x14ac:dyDescent="0.35">
      <c r="A569" s="1" t="s">
        <v>81</v>
      </c>
      <c r="B569" s="1" t="s">
        <v>175</v>
      </c>
      <c r="C569" s="1" t="s">
        <v>34</v>
      </c>
      <c r="D569" s="3">
        <v>2000</v>
      </c>
      <c r="E569">
        <v>9.6</v>
      </c>
      <c r="F569" s="1">
        <f t="shared" ca="1" si="16"/>
        <v>2.0486521739130432</v>
      </c>
      <c r="G569" s="1">
        <f t="shared" ca="1" si="17"/>
        <v>-4090.118014492753</v>
      </c>
      <c r="H569" s="1" cm="1">
        <f t="array" aca="1" ref="H569" ca="1">MIN(
  INDEX($E:$E, MATCH($A569, $A:$A, 0) + 23) +
  (F569 * (2030 - 2023)),
  100
)</f>
        <v>68.840565217391301</v>
      </c>
      <c r="I5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0" spans="1:9" hidden="1" x14ac:dyDescent="0.35">
      <c r="A570" s="1" t="s">
        <v>81</v>
      </c>
      <c r="B570" s="1" t="s">
        <v>175</v>
      </c>
      <c r="C570" s="1" t="s">
        <v>34</v>
      </c>
      <c r="D570" s="3">
        <v>2001</v>
      </c>
      <c r="E570">
        <v>10.8</v>
      </c>
      <c r="F570" s="1">
        <f t="shared" ca="1" si="16"/>
        <v>2.0486521739130432</v>
      </c>
      <c r="G570" s="1">
        <f t="shared" ca="1" si="17"/>
        <v>-4090.118014492753</v>
      </c>
      <c r="H570" s="1" cm="1">
        <f t="array" aca="1" ref="H570" ca="1">MIN(
  INDEX($E:$E, MATCH($A570, $A:$A, 0) + 23) +
  (F570 * (2030 - 2023)),
  100
)</f>
        <v>68.840565217391301</v>
      </c>
      <c r="I5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1" spans="1:9" hidden="1" x14ac:dyDescent="0.35">
      <c r="A571" s="1" t="s">
        <v>81</v>
      </c>
      <c r="B571" s="1" t="s">
        <v>175</v>
      </c>
      <c r="C571" s="1" t="s">
        <v>34</v>
      </c>
      <c r="D571" s="3">
        <v>2002</v>
      </c>
      <c r="E571">
        <v>13</v>
      </c>
      <c r="F571" s="1">
        <f t="shared" ca="1" si="16"/>
        <v>2.0486521739130432</v>
      </c>
      <c r="G571" s="1">
        <f t="shared" ca="1" si="17"/>
        <v>-4090.118014492753</v>
      </c>
      <c r="H571" s="1" cm="1">
        <f t="array" aca="1" ref="H571" ca="1">MIN(
  INDEX($E:$E, MATCH($A571, $A:$A, 0) + 23) +
  (F571 * (2030 - 2023)),
  100
)</f>
        <v>68.840565217391301</v>
      </c>
      <c r="I5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2" spans="1:9" hidden="1" x14ac:dyDescent="0.35">
      <c r="A572" s="1" t="s">
        <v>81</v>
      </c>
      <c r="B572" s="1" t="s">
        <v>175</v>
      </c>
      <c r="C572" s="1" t="s">
        <v>34</v>
      </c>
      <c r="D572" s="3">
        <v>2003</v>
      </c>
      <c r="E572">
        <v>14.7</v>
      </c>
      <c r="F572" s="1">
        <f t="shared" ca="1" si="16"/>
        <v>2.0486521739130432</v>
      </c>
      <c r="G572" s="1">
        <f t="shared" ca="1" si="17"/>
        <v>-4090.118014492753</v>
      </c>
      <c r="H572" s="1" cm="1">
        <f t="array" aca="1" ref="H572" ca="1">MIN(
  INDEX($E:$E, MATCH($A572, $A:$A, 0) + 23) +
  (F572 * (2030 - 2023)),
  100
)</f>
        <v>68.840565217391301</v>
      </c>
      <c r="I5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3" spans="1:9" hidden="1" x14ac:dyDescent="0.35">
      <c r="A573" s="1" t="s">
        <v>81</v>
      </c>
      <c r="B573" s="1" t="s">
        <v>175</v>
      </c>
      <c r="C573" s="1" t="s">
        <v>34</v>
      </c>
      <c r="D573" s="3">
        <v>2004</v>
      </c>
      <c r="E573">
        <v>16.399999999999999</v>
      </c>
      <c r="F573" s="1">
        <f t="shared" ca="1" si="16"/>
        <v>2.0486521739130432</v>
      </c>
      <c r="G573" s="1">
        <f t="shared" ca="1" si="17"/>
        <v>-4090.118014492753</v>
      </c>
      <c r="H573" s="1" cm="1">
        <f t="array" aca="1" ref="H573" ca="1">MIN(
  INDEX($E:$E, MATCH($A573, $A:$A, 0) + 23) +
  (F573 * (2030 - 2023)),
  100
)</f>
        <v>68.840565217391301</v>
      </c>
      <c r="I5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4" spans="1:9" hidden="1" x14ac:dyDescent="0.35">
      <c r="A574" s="1" t="s">
        <v>81</v>
      </c>
      <c r="B574" s="1" t="s">
        <v>175</v>
      </c>
      <c r="C574" s="1" t="s">
        <v>34</v>
      </c>
      <c r="D574" s="3">
        <v>2005</v>
      </c>
      <c r="E574">
        <v>18.2</v>
      </c>
      <c r="F574" s="1">
        <f t="shared" ca="1" si="16"/>
        <v>2.0486521739130432</v>
      </c>
      <c r="G574" s="1">
        <f t="shared" ca="1" si="17"/>
        <v>-4090.118014492753</v>
      </c>
      <c r="H574" s="1" cm="1">
        <f t="array" aca="1" ref="H574" ca="1">MIN(
  INDEX($E:$E, MATCH($A574, $A:$A, 0) + 23) +
  (F574 * (2030 - 2023)),
  100
)</f>
        <v>68.840565217391301</v>
      </c>
      <c r="I57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5" spans="1:9" hidden="1" x14ac:dyDescent="0.35">
      <c r="A575" s="1" t="s">
        <v>81</v>
      </c>
      <c r="B575" s="1" t="s">
        <v>175</v>
      </c>
      <c r="C575" s="1" t="s">
        <v>34</v>
      </c>
      <c r="D575" s="3">
        <v>2006</v>
      </c>
      <c r="E575">
        <v>16.600000000000001</v>
      </c>
      <c r="F575" s="1">
        <f t="shared" ca="1" si="16"/>
        <v>2.0486521739130432</v>
      </c>
      <c r="G575" s="1">
        <f t="shared" ca="1" si="17"/>
        <v>-4090.118014492753</v>
      </c>
      <c r="H575" s="1" cm="1">
        <f t="array" aca="1" ref="H575" ca="1">MIN(
  INDEX($E:$E, MATCH($A575, $A:$A, 0) + 23) +
  (F575 * (2030 - 2023)),
  100
)</f>
        <v>68.840565217391301</v>
      </c>
      <c r="I57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6" spans="1:9" hidden="1" x14ac:dyDescent="0.35">
      <c r="A576" s="1" t="s">
        <v>81</v>
      </c>
      <c r="B576" s="1" t="s">
        <v>175</v>
      </c>
      <c r="C576" s="1" t="s">
        <v>34</v>
      </c>
      <c r="D576" s="3">
        <v>2007</v>
      </c>
      <c r="E576">
        <v>21.7</v>
      </c>
      <c r="F576" s="1">
        <f t="shared" ca="1" si="16"/>
        <v>2.0486521739130432</v>
      </c>
      <c r="G576" s="1">
        <f t="shared" ca="1" si="17"/>
        <v>-4090.118014492753</v>
      </c>
      <c r="H576" s="1" cm="1">
        <f t="array" aca="1" ref="H576" ca="1">MIN(
  INDEX($E:$E, MATCH($A576, $A:$A, 0) + 23) +
  (F576 * (2030 - 2023)),
  100
)</f>
        <v>68.840565217391301</v>
      </c>
      <c r="I57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7" spans="1:9" hidden="1" x14ac:dyDescent="0.35">
      <c r="A577" s="1" t="s">
        <v>81</v>
      </c>
      <c r="B577" s="1" t="s">
        <v>175</v>
      </c>
      <c r="C577" s="1" t="s">
        <v>34</v>
      </c>
      <c r="D577" s="3">
        <v>2008</v>
      </c>
      <c r="E577">
        <v>23.4</v>
      </c>
      <c r="F577" s="1">
        <f t="shared" ca="1" si="16"/>
        <v>2.0486521739130432</v>
      </c>
      <c r="G577" s="1">
        <f t="shared" ca="1" si="17"/>
        <v>-4090.118014492753</v>
      </c>
      <c r="H577" s="1" cm="1">
        <f t="array" aca="1" ref="H577" ca="1">MIN(
  INDEX($E:$E, MATCH($A577, $A:$A, 0) + 23) +
  (F577 * (2030 - 2023)),
  100
)</f>
        <v>68.840565217391301</v>
      </c>
      <c r="I57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8" spans="1:9" hidden="1" x14ac:dyDescent="0.35">
      <c r="A578" s="1" t="s">
        <v>81</v>
      </c>
      <c r="B578" s="1" t="s">
        <v>175</v>
      </c>
      <c r="C578" s="1" t="s">
        <v>34</v>
      </c>
      <c r="D578" s="3">
        <v>2009</v>
      </c>
      <c r="E578">
        <v>24</v>
      </c>
      <c r="F578" s="1">
        <f t="shared" ref="F578:F641" ca="1" si="18">SLOPE(
  OFFSET($E$1, MATCH($A578, $A:$A, 0)-1, 0, 24, 1),
  OFFSET($D$1, MATCH($A578, $A:$A, 0)-1, 0, 24, 1)
)</f>
        <v>2.0486521739130432</v>
      </c>
      <c r="G578" s="1">
        <f t="shared" ref="G578:G641" ca="1" si="19">INTERCEPT(
  OFFSET($E$1, MATCH($A578, $A:$A, 0)-1, 0, 24, 1),
  OFFSET($D$1, MATCH($A578, $A:$A, 0)-1, 0, 24, 1)
)</f>
        <v>-4090.118014492753</v>
      </c>
      <c r="H578" s="1" cm="1">
        <f t="array" aca="1" ref="H578" ca="1">MIN(
  INDEX($E:$E, MATCH($A578, $A:$A, 0) + 23) +
  (F578 * (2030 - 2023)),
  100
)</f>
        <v>68.840565217391301</v>
      </c>
      <c r="I57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79" spans="1:9" hidden="1" x14ac:dyDescent="0.35">
      <c r="A579" s="1" t="s">
        <v>81</v>
      </c>
      <c r="B579" s="1" t="s">
        <v>175</v>
      </c>
      <c r="C579" s="1" t="s">
        <v>34</v>
      </c>
      <c r="D579" s="3">
        <v>2010</v>
      </c>
      <c r="E579">
        <v>27</v>
      </c>
      <c r="F579" s="1">
        <f t="shared" ca="1" si="18"/>
        <v>2.0486521739130432</v>
      </c>
      <c r="G579" s="1">
        <f t="shared" ca="1" si="19"/>
        <v>-4090.118014492753</v>
      </c>
      <c r="H579" s="1" cm="1">
        <f t="array" aca="1" ref="H579" ca="1">MIN(
  INDEX($E:$E, MATCH($A579, $A:$A, 0) + 23) +
  (F579 * (2030 - 2023)),
  100
)</f>
        <v>68.840565217391301</v>
      </c>
      <c r="I57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0" spans="1:9" hidden="1" x14ac:dyDescent="0.35">
      <c r="A580" s="1" t="s">
        <v>81</v>
      </c>
      <c r="B580" s="1" t="s">
        <v>175</v>
      </c>
      <c r="C580" s="1" t="s">
        <v>34</v>
      </c>
      <c r="D580" s="3">
        <v>2011</v>
      </c>
      <c r="E580">
        <v>28.8</v>
      </c>
      <c r="F580" s="1">
        <f t="shared" ca="1" si="18"/>
        <v>2.0486521739130432</v>
      </c>
      <c r="G580" s="1">
        <f t="shared" ca="1" si="19"/>
        <v>-4090.118014492753</v>
      </c>
      <c r="H580" s="1" cm="1">
        <f t="array" aca="1" ref="H580" ca="1">MIN(
  INDEX($E:$E, MATCH($A580, $A:$A, 0) + 23) +
  (F580 * (2030 - 2023)),
  100
)</f>
        <v>68.840565217391301</v>
      </c>
      <c r="I58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1" spans="1:9" hidden="1" x14ac:dyDescent="0.35">
      <c r="A581" s="1" t="s">
        <v>81</v>
      </c>
      <c r="B581" s="1" t="s">
        <v>175</v>
      </c>
      <c r="C581" s="1" t="s">
        <v>34</v>
      </c>
      <c r="D581" s="3">
        <v>2012</v>
      </c>
      <c r="E581">
        <v>25.6</v>
      </c>
      <c r="F581" s="1">
        <f t="shared" ca="1" si="18"/>
        <v>2.0486521739130432</v>
      </c>
      <c r="G581" s="1">
        <f t="shared" ca="1" si="19"/>
        <v>-4090.118014492753</v>
      </c>
      <c r="H581" s="1" cm="1">
        <f t="array" aca="1" ref="H581" ca="1">MIN(
  INDEX($E:$E, MATCH($A581, $A:$A, 0) + 23) +
  (F581 * (2030 - 2023)),
  100
)</f>
        <v>68.840565217391301</v>
      </c>
      <c r="I58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2" spans="1:9" hidden="1" x14ac:dyDescent="0.35">
      <c r="A582" s="1" t="s">
        <v>81</v>
      </c>
      <c r="B582" s="1" t="s">
        <v>175</v>
      </c>
      <c r="C582" s="1" t="s">
        <v>34</v>
      </c>
      <c r="D582" s="3">
        <v>2013</v>
      </c>
      <c r="E582">
        <v>32.4</v>
      </c>
      <c r="F582" s="1">
        <f t="shared" ca="1" si="18"/>
        <v>2.0486521739130432</v>
      </c>
      <c r="G582" s="1">
        <f t="shared" ca="1" si="19"/>
        <v>-4090.118014492753</v>
      </c>
      <c r="H582" s="1" cm="1">
        <f t="array" aca="1" ref="H582" ca="1">MIN(
  INDEX($E:$E, MATCH($A582, $A:$A, 0) + 23) +
  (F582 * (2030 - 2023)),
  100
)</f>
        <v>68.840565217391301</v>
      </c>
      <c r="I58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3" spans="1:9" hidden="1" x14ac:dyDescent="0.35">
      <c r="A583" s="1" t="s">
        <v>81</v>
      </c>
      <c r="B583" s="1" t="s">
        <v>175</v>
      </c>
      <c r="C583" s="1" t="s">
        <v>34</v>
      </c>
      <c r="D583" s="3">
        <v>2014</v>
      </c>
      <c r="E583">
        <v>34.200000000000003</v>
      </c>
      <c r="F583" s="1">
        <f t="shared" ca="1" si="18"/>
        <v>2.0486521739130432</v>
      </c>
      <c r="G583" s="1">
        <f t="shared" ca="1" si="19"/>
        <v>-4090.118014492753</v>
      </c>
      <c r="H583" s="1" cm="1">
        <f t="array" aca="1" ref="H583" ca="1">MIN(
  INDEX($E:$E, MATCH($A583, $A:$A, 0) + 23) +
  (F583 * (2030 - 2023)),
  100
)</f>
        <v>68.840565217391301</v>
      </c>
      <c r="I58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4" spans="1:9" hidden="1" x14ac:dyDescent="0.35">
      <c r="A584" s="1" t="s">
        <v>81</v>
      </c>
      <c r="B584" s="1" t="s">
        <v>175</v>
      </c>
      <c r="C584" s="1" t="s">
        <v>34</v>
      </c>
      <c r="D584" s="3">
        <v>2015</v>
      </c>
      <c r="E584">
        <v>37.6</v>
      </c>
      <c r="F584" s="1">
        <f t="shared" ca="1" si="18"/>
        <v>2.0486521739130432</v>
      </c>
      <c r="G584" s="1">
        <f t="shared" ca="1" si="19"/>
        <v>-4090.118014492753</v>
      </c>
      <c r="H584" s="1" cm="1">
        <f t="array" aca="1" ref="H584" ca="1">MIN(
  INDEX($E:$E, MATCH($A584, $A:$A, 0) + 23) +
  (F584 * (2030 - 2023)),
  100
)</f>
        <v>68.840565217391301</v>
      </c>
      <c r="I58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5" spans="1:9" hidden="1" x14ac:dyDescent="0.35">
      <c r="A585" s="1" t="s">
        <v>81</v>
      </c>
      <c r="B585" s="1" t="s">
        <v>175</v>
      </c>
      <c r="C585" s="1" t="s">
        <v>34</v>
      </c>
      <c r="D585" s="3">
        <v>2016</v>
      </c>
      <c r="E585">
        <v>38.799999999999997</v>
      </c>
      <c r="F585" s="1">
        <f t="shared" ca="1" si="18"/>
        <v>2.0486521739130432</v>
      </c>
      <c r="G585" s="1">
        <f t="shared" ca="1" si="19"/>
        <v>-4090.118014492753</v>
      </c>
      <c r="H585" s="1" cm="1">
        <f t="array" aca="1" ref="H585" ca="1">MIN(
  INDEX($E:$E, MATCH($A585, $A:$A, 0) + 23) +
  (F585 * (2030 - 2023)),
  100
)</f>
        <v>68.840565217391301</v>
      </c>
      <c r="I5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6" spans="1:9" hidden="1" x14ac:dyDescent="0.35">
      <c r="A586" s="1" t="s">
        <v>81</v>
      </c>
      <c r="B586" s="1" t="s">
        <v>175</v>
      </c>
      <c r="C586" s="1" t="s">
        <v>34</v>
      </c>
      <c r="D586" s="3">
        <v>2017</v>
      </c>
      <c r="E586">
        <v>34.799999999999997</v>
      </c>
      <c r="F586" s="1">
        <f t="shared" ca="1" si="18"/>
        <v>2.0486521739130432</v>
      </c>
      <c r="G586" s="1">
        <f t="shared" ca="1" si="19"/>
        <v>-4090.118014492753</v>
      </c>
      <c r="H586" s="1" cm="1">
        <f t="array" aca="1" ref="H586" ca="1">MIN(
  INDEX($E:$E, MATCH($A586, $A:$A, 0) + 23) +
  (F586 * (2030 - 2023)),
  100
)</f>
        <v>68.840565217391301</v>
      </c>
      <c r="I5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7" spans="1:9" hidden="1" x14ac:dyDescent="0.35">
      <c r="A587" s="1" t="s">
        <v>81</v>
      </c>
      <c r="B587" s="1" t="s">
        <v>175</v>
      </c>
      <c r="C587" s="1" t="s">
        <v>34</v>
      </c>
      <c r="D587" s="3">
        <v>2018</v>
      </c>
      <c r="E587">
        <v>50.9</v>
      </c>
      <c r="F587" s="1">
        <f t="shared" ca="1" si="18"/>
        <v>2.0486521739130432</v>
      </c>
      <c r="G587" s="1">
        <f t="shared" ca="1" si="19"/>
        <v>-4090.118014492753</v>
      </c>
      <c r="H587" s="1" cm="1">
        <f t="array" aca="1" ref="H587" ca="1">MIN(
  INDEX($E:$E, MATCH($A587, $A:$A, 0) + 23) +
  (F587 * (2030 - 2023)),
  100
)</f>
        <v>68.840565217391301</v>
      </c>
      <c r="I5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8" spans="1:9" hidden="1" x14ac:dyDescent="0.35">
      <c r="A588" s="1" t="s">
        <v>81</v>
      </c>
      <c r="B588" s="1" t="s">
        <v>175</v>
      </c>
      <c r="C588" s="1" t="s">
        <v>34</v>
      </c>
      <c r="D588" s="3">
        <v>2019</v>
      </c>
      <c r="E588">
        <v>47.9</v>
      </c>
      <c r="F588" s="1">
        <f t="shared" ca="1" si="18"/>
        <v>2.0486521739130432</v>
      </c>
      <c r="G588" s="1">
        <f t="shared" ca="1" si="19"/>
        <v>-4090.118014492753</v>
      </c>
      <c r="H588" s="1" cm="1">
        <f t="array" aca="1" ref="H588" ca="1">MIN(
  INDEX($E:$E, MATCH($A588, $A:$A, 0) + 23) +
  (F588 * (2030 - 2023)),
  100
)</f>
        <v>68.840565217391301</v>
      </c>
      <c r="I5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89" spans="1:9" hidden="1" x14ac:dyDescent="0.35">
      <c r="A589" s="1" t="s">
        <v>81</v>
      </c>
      <c r="B589" s="1" t="s">
        <v>175</v>
      </c>
      <c r="C589" s="1" t="s">
        <v>34</v>
      </c>
      <c r="D589" s="3">
        <v>2020</v>
      </c>
      <c r="E589">
        <v>50.6</v>
      </c>
      <c r="F589" s="1">
        <f t="shared" ca="1" si="18"/>
        <v>2.0486521739130432</v>
      </c>
      <c r="G589" s="1">
        <f t="shared" ca="1" si="19"/>
        <v>-4090.118014492753</v>
      </c>
      <c r="H589" s="1" cm="1">
        <f t="array" aca="1" ref="H589" ca="1">MIN(
  INDEX($E:$E, MATCH($A589, $A:$A, 0) + 23) +
  (F589 * (2030 - 2023)),
  100
)</f>
        <v>68.840565217391301</v>
      </c>
      <c r="I5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0" spans="1:9" hidden="1" x14ac:dyDescent="0.35">
      <c r="A590" s="1" t="s">
        <v>81</v>
      </c>
      <c r="B590" s="1" t="s">
        <v>175</v>
      </c>
      <c r="C590" s="1" t="s">
        <v>34</v>
      </c>
      <c r="D590" s="3">
        <v>2021</v>
      </c>
      <c r="E590">
        <v>53.4</v>
      </c>
      <c r="F590" s="1">
        <f t="shared" ca="1" si="18"/>
        <v>2.0486521739130432</v>
      </c>
      <c r="G590" s="1">
        <f t="shared" ca="1" si="19"/>
        <v>-4090.118014492753</v>
      </c>
      <c r="H590" s="1" cm="1">
        <f t="array" aca="1" ref="H590" ca="1">MIN(
  INDEX($E:$E, MATCH($A590, $A:$A, 0) + 23) +
  (F590 * (2030 - 2023)),
  100
)</f>
        <v>68.840565217391301</v>
      </c>
      <c r="I5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1" spans="1:9" hidden="1" x14ac:dyDescent="0.35">
      <c r="A591" s="1" t="s">
        <v>81</v>
      </c>
      <c r="B591" s="1" t="s">
        <v>175</v>
      </c>
      <c r="C591" s="1" t="s">
        <v>34</v>
      </c>
      <c r="D591" s="3">
        <v>2022</v>
      </c>
      <c r="E591">
        <v>53</v>
      </c>
      <c r="F591" s="1">
        <f t="shared" ca="1" si="18"/>
        <v>2.0486521739130432</v>
      </c>
      <c r="G591" s="1">
        <f t="shared" ca="1" si="19"/>
        <v>-4090.118014492753</v>
      </c>
      <c r="H591" s="1" cm="1">
        <f t="array" aca="1" ref="H591" ca="1">MIN(
  INDEX($E:$E, MATCH($A591, $A:$A, 0) + 23) +
  (F591 * (2030 - 2023)),
  100
)</f>
        <v>68.840565217391301</v>
      </c>
      <c r="I5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2" spans="1:9" x14ac:dyDescent="0.35">
      <c r="A592" s="1" t="s">
        <v>81</v>
      </c>
      <c r="B592" s="1" t="s">
        <v>175</v>
      </c>
      <c r="C592" s="1" t="s">
        <v>34</v>
      </c>
      <c r="D592" s="3">
        <v>2023</v>
      </c>
      <c r="E592">
        <v>54.5</v>
      </c>
      <c r="F592" s="4">
        <f t="shared" ca="1" si="18"/>
        <v>2.0486521739130432</v>
      </c>
      <c r="G592" s="4">
        <f t="shared" ca="1" si="19"/>
        <v>-4090.118014492753</v>
      </c>
      <c r="H592" s="4" cm="1">
        <f t="array" aca="1" ref="H592" ca="1">MIN(
  INDEX($E:$E, MATCH($A592, $A:$A, 0) + 23) +
  (F592 * (2030 - 2023)),
  100
)</f>
        <v>68.840565217391301</v>
      </c>
      <c r="I5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3" spans="1:9" hidden="1" x14ac:dyDescent="0.35">
      <c r="A593" s="1" t="s">
        <v>83</v>
      </c>
      <c r="B593" s="1" t="s">
        <v>174</v>
      </c>
      <c r="C593" s="1" t="s">
        <v>34</v>
      </c>
      <c r="D593" s="3">
        <v>2000</v>
      </c>
      <c r="E593">
        <v>6.1</v>
      </c>
      <c r="F593" s="1">
        <f t="shared" ca="1" si="18"/>
        <v>1.306217391304348</v>
      </c>
      <c r="G593" s="1">
        <f t="shared" ca="1" si="19"/>
        <v>-2607.5021159420289</v>
      </c>
      <c r="H593" s="1" cm="1">
        <f t="array" aca="1" ref="H593" ca="1">MIN(
  INDEX($E:$E, MATCH($A593, $A:$A, 0) + 23) +
  (F593 * (2030 - 2023)),
  100
)</f>
        <v>45.143521739130435</v>
      </c>
      <c r="I5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4" spans="1:9" hidden="1" x14ac:dyDescent="0.35">
      <c r="A594" s="1" t="s">
        <v>83</v>
      </c>
      <c r="B594" s="1" t="s">
        <v>174</v>
      </c>
      <c r="C594" s="1" t="s">
        <v>34</v>
      </c>
      <c r="D594" s="3">
        <v>2001</v>
      </c>
      <c r="E594">
        <v>5.7</v>
      </c>
      <c r="F594" s="1">
        <f t="shared" ca="1" si="18"/>
        <v>1.306217391304348</v>
      </c>
      <c r="G594" s="1">
        <f t="shared" ca="1" si="19"/>
        <v>-2607.5021159420289</v>
      </c>
      <c r="H594" s="1" cm="1">
        <f t="array" aca="1" ref="H594" ca="1">MIN(
  INDEX($E:$E, MATCH($A594, $A:$A, 0) + 23) +
  (F594 * (2030 - 2023)),
  100
)</f>
        <v>45.143521739130435</v>
      </c>
      <c r="I5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5" spans="1:9" hidden="1" x14ac:dyDescent="0.35">
      <c r="A595" s="1" t="s">
        <v>83</v>
      </c>
      <c r="B595" s="1" t="s">
        <v>174</v>
      </c>
      <c r="C595" s="1" t="s">
        <v>34</v>
      </c>
      <c r="D595" s="3">
        <v>2002</v>
      </c>
      <c r="E595">
        <v>8.4</v>
      </c>
      <c r="F595" s="1">
        <f t="shared" ca="1" si="18"/>
        <v>1.306217391304348</v>
      </c>
      <c r="G595" s="1">
        <f t="shared" ca="1" si="19"/>
        <v>-2607.5021159420289</v>
      </c>
      <c r="H595" s="1" cm="1">
        <f t="array" aca="1" ref="H595" ca="1">MIN(
  INDEX($E:$E, MATCH($A595, $A:$A, 0) + 23) +
  (F595 * (2030 - 2023)),
  100
)</f>
        <v>45.143521739130435</v>
      </c>
      <c r="I5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6" spans="1:9" hidden="1" x14ac:dyDescent="0.35">
      <c r="A596" s="1" t="s">
        <v>83</v>
      </c>
      <c r="B596" s="1" t="s">
        <v>174</v>
      </c>
      <c r="C596" s="1" t="s">
        <v>34</v>
      </c>
      <c r="D596" s="3">
        <v>2003</v>
      </c>
      <c r="E596">
        <v>8.1</v>
      </c>
      <c r="F596" s="1">
        <f t="shared" ca="1" si="18"/>
        <v>1.306217391304348</v>
      </c>
      <c r="G596" s="1">
        <f t="shared" ca="1" si="19"/>
        <v>-2607.5021159420289</v>
      </c>
      <c r="H596" s="1" cm="1">
        <f t="array" aca="1" ref="H596" ca="1">MIN(
  INDEX($E:$E, MATCH($A596, $A:$A, 0) + 23) +
  (F596 * (2030 - 2023)),
  100
)</f>
        <v>45.143521739130435</v>
      </c>
      <c r="I5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7" spans="1:9" hidden="1" x14ac:dyDescent="0.35">
      <c r="A597" s="1" t="s">
        <v>83</v>
      </c>
      <c r="B597" s="1" t="s">
        <v>174</v>
      </c>
      <c r="C597" s="1" t="s">
        <v>34</v>
      </c>
      <c r="D597" s="3">
        <v>2004</v>
      </c>
      <c r="E597">
        <v>10.7</v>
      </c>
      <c r="F597" s="1">
        <f t="shared" ca="1" si="18"/>
        <v>1.306217391304348</v>
      </c>
      <c r="G597" s="1">
        <f t="shared" ca="1" si="19"/>
        <v>-2607.5021159420289</v>
      </c>
      <c r="H597" s="1" cm="1">
        <f t="array" aca="1" ref="H597" ca="1">MIN(
  INDEX($E:$E, MATCH($A597, $A:$A, 0) + 23) +
  (F597 * (2030 - 2023)),
  100
)</f>
        <v>45.143521739130435</v>
      </c>
      <c r="I5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8" spans="1:9" hidden="1" x14ac:dyDescent="0.35">
      <c r="A598" s="1" t="s">
        <v>83</v>
      </c>
      <c r="B598" s="1" t="s">
        <v>174</v>
      </c>
      <c r="C598" s="1" t="s">
        <v>34</v>
      </c>
      <c r="D598" s="3">
        <v>2005</v>
      </c>
      <c r="E598">
        <v>11.8</v>
      </c>
      <c r="F598" s="1">
        <f t="shared" ca="1" si="18"/>
        <v>1.306217391304348</v>
      </c>
      <c r="G598" s="1">
        <f t="shared" ca="1" si="19"/>
        <v>-2607.5021159420289</v>
      </c>
      <c r="H598" s="1" cm="1">
        <f t="array" aca="1" ref="H598" ca="1">MIN(
  INDEX($E:$E, MATCH($A598, $A:$A, 0) + 23) +
  (F598 * (2030 - 2023)),
  100
)</f>
        <v>45.143521739130435</v>
      </c>
      <c r="I59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599" spans="1:9" hidden="1" x14ac:dyDescent="0.35">
      <c r="A599" s="1" t="s">
        <v>83</v>
      </c>
      <c r="B599" s="1" t="s">
        <v>174</v>
      </c>
      <c r="C599" s="1" t="s">
        <v>34</v>
      </c>
      <c r="D599" s="3">
        <v>2006</v>
      </c>
      <c r="E599">
        <v>13</v>
      </c>
      <c r="F599" s="1">
        <f t="shared" ca="1" si="18"/>
        <v>1.306217391304348</v>
      </c>
      <c r="G599" s="1">
        <f t="shared" ca="1" si="19"/>
        <v>-2607.5021159420289</v>
      </c>
      <c r="H599" s="1" cm="1">
        <f t="array" aca="1" ref="H599" ca="1">MIN(
  INDEX($E:$E, MATCH($A599, $A:$A, 0) + 23) +
  (F599 * (2030 - 2023)),
  100
)</f>
        <v>45.143521739130435</v>
      </c>
      <c r="I59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0" spans="1:9" hidden="1" x14ac:dyDescent="0.35">
      <c r="A600" s="1" t="s">
        <v>83</v>
      </c>
      <c r="B600" s="1" t="s">
        <v>174</v>
      </c>
      <c r="C600" s="1" t="s">
        <v>34</v>
      </c>
      <c r="D600" s="3">
        <v>2007</v>
      </c>
      <c r="E600">
        <v>12.4</v>
      </c>
      <c r="F600" s="1">
        <f t="shared" ca="1" si="18"/>
        <v>1.306217391304348</v>
      </c>
      <c r="G600" s="1">
        <f t="shared" ca="1" si="19"/>
        <v>-2607.5021159420289</v>
      </c>
      <c r="H600" s="1" cm="1">
        <f t="array" aca="1" ref="H600" ca="1">MIN(
  INDEX($E:$E, MATCH($A600, $A:$A, 0) + 23) +
  (F600 * (2030 - 2023)),
  100
)</f>
        <v>45.143521739130435</v>
      </c>
      <c r="I60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1" spans="1:9" hidden="1" x14ac:dyDescent="0.35">
      <c r="A601" s="1" t="s">
        <v>83</v>
      </c>
      <c r="B601" s="1" t="s">
        <v>174</v>
      </c>
      <c r="C601" s="1" t="s">
        <v>34</v>
      </c>
      <c r="D601" s="3">
        <v>2008</v>
      </c>
      <c r="E601">
        <v>13.6</v>
      </c>
      <c r="F601" s="1">
        <f t="shared" ca="1" si="18"/>
        <v>1.306217391304348</v>
      </c>
      <c r="G601" s="1">
        <f t="shared" ca="1" si="19"/>
        <v>-2607.5021159420289</v>
      </c>
      <c r="H601" s="1" cm="1">
        <f t="array" aca="1" ref="H601" ca="1">MIN(
  INDEX($E:$E, MATCH($A601, $A:$A, 0) + 23) +
  (F601 * (2030 - 2023)),
  100
)</f>
        <v>45.143521739130435</v>
      </c>
      <c r="I60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2" spans="1:9" hidden="1" x14ac:dyDescent="0.35">
      <c r="A602" s="1" t="s">
        <v>83</v>
      </c>
      <c r="B602" s="1" t="s">
        <v>174</v>
      </c>
      <c r="C602" s="1" t="s">
        <v>34</v>
      </c>
      <c r="D602" s="3">
        <v>2009</v>
      </c>
      <c r="E602">
        <v>15</v>
      </c>
      <c r="F602" s="1">
        <f t="shared" ca="1" si="18"/>
        <v>1.306217391304348</v>
      </c>
      <c r="G602" s="1">
        <f t="shared" ca="1" si="19"/>
        <v>-2607.5021159420289</v>
      </c>
      <c r="H602" s="1" cm="1">
        <f t="array" aca="1" ref="H602" ca="1">MIN(
  INDEX($E:$E, MATCH($A602, $A:$A, 0) + 23) +
  (F602 * (2030 - 2023)),
  100
)</f>
        <v>45.143521739130435</v>
      </c>
      <c r="I60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3" spans="1:9" hidden="1" x14ac:dyDescent="0.35">
      <c r="A603" s="1" t="s">
        <v>83</v>
      </c>
      <c r="B603" s="1" t="s">
        <v>174</v>
      </c>
      <c r="C603" s="1" t="s">
        <v>34</v>
      </c>
      <c r="D603" s="3">
        <v>2010</v>
      </c>
      <c r="E603">
        <v>18.899999999999999</v>
      </c>
      <c r="F603" s="1">
        <f t="shared" ca="1" si="18"/>
        <v>1.306217391304348</v>
      </c>
      <c r="G603" s="1">
        <f t="shared" ca="1" si="19"/>
        <v>-2607.5021159420289</v>
      </c>
      <c r="H603" s="1" cm="1">
        <f t="array" aca="1" ref="H603" ca="1">MIN(
  INDEX($E:$E, MATCH($A603, $A:$A, 0) + 23) +
  (F603 * (2030 - 2023)),
  100
)</f>
        <v>45.143521739130435</v>
      </c>
      <c r="I60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4" spans="1:9" hidden="1" x14ac:dyDescent="0.35">
      <c r="A604" s="1" t="s">
        <v>83</v>
      </c>
      <c r="B604" s="1" t="s">
        <v>174</v>
      </c>
      <c r="C604" s="1" t="s">
        <v>34</v>
      </c>
      <c r="D604" s="3">
        <v>2011</v>
      </c>
      <c r="E604">
        <v>20.2</v>
      </c>
      <c r="F604" s="1">
        <f t="shared" ca="1" si="18"/>
        <v>1.306217391304348</v>
      </c>
      <c r="G604" s="1">
        <f t="shared" ca="1" si="19"/>
        <v>-2607.5021159420289</v>
      </c>
      <c r="H604" s="1" cm="1">
        <f t="array" aca="1" ref="H604" ca="1">MIN(
  INDEX($E:$E, MATCH($A604, $A:$A, 0) + 23) +
  (F604 * (2030 - 2023)),
  100
)</f>
        <v>45.143521739130435</v>
      </c>
      <c r="I60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5" spans="1:9" hidden="1" x14ac:dyDescent="0.35">
      <c r="A605" s="1" t="s">
        <v>83</v>
      </c>
      <c r="B605" s="1" t="s">
        <v>174</v>
      </c>
      <c r="C605" s="1" t="s">
        <v>34</v>
      </c>
      <c r="D605" s="3">
        <v>2012</v>
      </c>
      <c r="E605">
        <v>21.2</v>
      </c>
      <c r="F605" s="1">
        <f t="shared" ca="1" si="18"/>
        <v>1.306217391304348</v>
      </c>
      <c r="G605" s="1">
        <f t="shared" ca="1" si="19"/>
        <v>-2607.5021159420289</v>
      </c>
      <c r="H605" s="1" cm="1">
        <f t="array" aca="1" ref="H605" ca="1">MIN(
  INDEX($E:$E, MATCH($A605, $A:$A, 0) + 23) +
  (F605 * (2030 - 2023)),
  100
)</f>
        <v>45.143521739130435</v>
      </c>
      <c r="I60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6" spans="1:9" hidden="1" x14ac:dyDescent="0.35">
      <c r="A606" s="1" t="s">
        <v>83</v>
      </c>
      <c r="B606" s="1" t="s">
        <v>174</v>
      </c>
      <c r="C606" s="1" t="s">
        <v>34</v>
      </c>
      <c r="D606" s="3">
        <v>2013</v>
      </c>
      <c r="E606">
        <v>22.4</v>
      </c>
      <c r="F606" s="1">
        <f t="shared" ca="1" si="18"/>
        <v>1.306217391304348</v>
      </c>
      <c r="G606" s="1">
        <f t="shared" ca="1" si="19"/>
        <v>-2607.5021159420289</v>
      </c>
      <c r="H606" s="1" cm="1">
        <f t="array" aca="1" ref="H606" ca="1">MIN(
  INDEX($E:$E, MATCH($A606, $A:$A, 0) + 23) +
  (F606 * (2030 - 2023)),
  100
)</f>
        <v>45.143521739130435</v>
      </c>
      <c r="I60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7" spans="1:9" hidden="1" x14ac:dyDescent="0.35">
      <c r="A607" s="1" t="s">
        <v>83</v>
      </c>
      <c r="B607" s="1" t="s">
        <v>174</v>
      </c>
      <c r="C607" s="1" t="s">
        <v>34</v>
      </c>
      <c r="D607" s="3">
        <v>2014</v>
      </c>
      <c r="E607">
        <v>24.8</v>
      </c>
      <c r="F607" s="1">
        <f t="shared" ca="1" si="18"/>
        <v>1.306217391304348</v>
      </c>
      <c r="G607" s="1">
        <f t="shared" ca="1" si="19"/>
        <v>-2607.5021159420289</v>
      </c>
      <c r="H607" s="1" cm="1">
        <f t="array" aca="1" ref="H607" ca="1">MIN(
  INDEX($E:$E, MATCH($A607, $A:$A, 0) + 23) +
  (F607 * (2030 - 2023)),
  100
)</f>
        <v>45.143521739130435</v>
      </c>
      <c r="I60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8" spans="1:9" hidden="1" x14ac:dyDescent="0.35">
      <c r="A608" s="1" t="s">
        <v>83</v>
      </c>
      <c r="B608" s="1" t="s">
        <v>174</v>
      </c>
      <c r="C608" s="1" t="s">
        <v>34</v>
      </c>
      <c r="D608" s="3">
        <v>2015</v>
      </c>
      <c r="E608">
        <v>24</v>
      </c>
      <c r="F608" s="1">
        <f t="shared" ca="1" si="18"/>
        <v>1.306217391304348</v>
      </c>
      <c r="G608" s="1">
        <f t="shared" ca="1" si="19"/>
        <v>-2607.5021159420289</v>
      </c>
      <c r="H608" s="1" cm="1">
        <f t="array" aca="1" ref="H608" ca="1">MIN(
  INDEX($E:$E, MATCH($A608, $A:$A, 0) + 23) +
  (F608 * (2030 - 2023)),
  100
)</f>
        <v>45.143521739130435</v>
      </c>
      <c r="I60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09" spans="1:9" hidden="1" x14ac:dyDescent="0.35">
      <c r="A609" s="1" t="s">
        <v>83</v>
      </c>
      <c r="B609" s="1" t="s">
        <v>174</v>
      </c>
      <c r="C609" s="1" t="s">
        <v>34</v>
      </c>
      <c r="D609" s="3">
        <v>2016</v>
      </c>
      <c r="E609">
        <v>26.2</v>
      </c>
      <c r="F609" s="1">
        <f t="shared" ca="1" si="18"/>
        <v>1.306217391304348</v>
      </c>
      <c r="G609" s="1">
        <f t="shared" ca="1" si="19"/>
        <v>-2607.5021159420289</v>
      </c>
      <c r="H609" s="1" cm="1">
        <f t="array" aca="1" ref="H609" ca="1">MIN(
  INDEX($E:$E, MATCH($A609, $A:$A, 0) + 23) +
  (F609 * (2030 - 2023)),
  100
)</f>
        <v>45.143521739130435</v>
      </c>
      <c r="I60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0" spans="1:9" hidden="1" x14ac:dyDescent="0.35">
      <c r="A610" s="1" t="s">
        <v>83</v>
      </c>
      <c r="B610" s="1" t="s">
        <v>174</v>
      </c>
      <c r="C610" s="1" t="s">
        <v>34</v>
      </c>
      <c r="D610" s="3">
        <v>2017</v>
      </c>
      <c r="E610">
        <v>24.3</v>
      </c>
      <c r="F610" s="1">
        <f t="shared" ca="1" si="18"/>
        <v>1.306217391304348</v>
      </c>
      <c r="G610" s="1">
        <f t="shared" ca="1" si="19"/>
        <v>-2607.5021159420289</v>
      </c>
      <c r="H610" s="1" cm="1">
        <f t="array" aca="1" ref="H610" ca="1">MIN(
  INDEX($E:$E, MATCH($A610, $A:$A, 0) + 23) +
  (F610 * (2030 - 2023)),
  100
)</f>
        <v>45.143521739130435</v>
      </c>
      <c r="I61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1" spans="1:9" hidden="1" x14ac:dyDescent="0.35">
      <c r="A611" s="1" t="s">
        <v>83</v>
      </c>
      <c r="B611" s="1" t="s">
        <v>174</v>
      </c>
      <c r="C611" s="1" t="s">
        <v>34</v>
      </c>
      <c r="D611" s="3">
        <v>2018</v>
      </c>
      <c r="E611">
        <v>31.1</v>
      </c>
      <c r="F611" s="1">
        <f t="shared" ca="1" si="18"/>
        <v>1.306217391304348</v>
      </c>
      <c r="G611" s="1">
        <f t="shared" ca="1" si="19"/>
        <v>-2607.5021159420289</v>
      </c>
      <c r="H611" s="1" cm="1">
        <f t="array" aca="1" ref="H611" ca="1">MIN(
  INDEX($E:$E, MATCH($A611, $A:$A, 0) + 23) +
  (F611 * (2030 - 2023)),
  100
)</f>
        <v>45.143521739130435</v>
      </c>
      <c r="I61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2" spans="1:9" hidden="1" x14ac:dyDescent="0.35">
      <c r="A612" s="1" t="s">
        <v>83</v>
      </c>
      <c r="B612" s="1" t="s">
        <v>174</v>
      </c>
      <c r="C612" s="1" t="s">
        <v>34</v>
      </c>
      <c r="D612" s="3">
        <v>2019</v>
      </c>
      <c r="E612">
        <v>29.7</v>
      </c>
      <c r="F612" s="1">
        <f t="shared" ca="1" si="18"/>
        <v>1.306217391304348</v>
      </c>
      <c r="G612" s="1">
        <f t="shared" ca="1" si="19"/>
        <v>-2607.5021159420289</v>
      </c>
      <c r="H612" s="1" cm="1">
        <f t="array" aca="1" ref="H612" ca="1">MIN(
  INDEX($E:$E, MATCH($A612, $A:$A, 0) + 23) +
  (F612 * (2030 - 2023)),
  100
)</f>
        <v>45.143521739130435</v>
      </c>
      <c r="I61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3" spans="1:9" hidden="1" x14ac:dyDescent="0.35">
      <c r="A613" s="1" t="s">
        <v>83</v>
      </c>
      <c r="B613" s="1" t="s">
        <v>174</v>
      </c>
      <c r="C613" s="1" t="s">
        <v>34</v>
      </c>
      <c r="D613" s="3">
        <v>2020</v>
      </c>
      <c r="E613">
        <v>30.6</v>
      </c>
      <c r="F613" s="1">
        <f t="shared" ca="1" si="18"/>
        <v>1.306217391304348</v>
      </c>
      <c r="G613" s="1">
        <f t="shared" ca="1" si="19"/>
        <v>-2607.5021159420289</v>
      </c>
      <c r="H613" s="1" cm="1">
        <f t="array" aca="1" ref="H613" ca="1">MIN(
  INDEX($E:$E, MATCH($A613, $A:$A, 0) + 23) +
  (F613 * (2030 - 2023)),
  100
)</f>
        <v>45.143521739130435</v>
      </c>
      <c r="I61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4" spans="1:9" hidden="1" x14ac:dyDescent="0.35">
      <c r="A614" s="1" t="s">
        <v>83</v>
      </c>
      <c r="B614" s="1" t="s">
        <v>174</v>
      </c>
      <c r="C614" s="1" t="s">
        <v>34</v>
      </c>
      <c r="D614" s="3">
        <v>2021</v>
      </c>
      <c r="E614">
        <v>31.5</v>
      </c>
      <c r="F614" s="1">
        <f t="shared" ca="1" si="18"/>
        <v>1.306217391304348</v>
      </c>
      <c r="G614" s="1">
        <f t="shared" ca="1" si="19"/>
        <v>-2607.5021159420289</v>
      </c>
      <c r="H614" s="1" cm="1">
        <f t="array" aca="1" ref="H614" ca="1">MIN(
  INDEX($E:$E, MATCH($A614, $A:$A, 0) + 23) +
  (F614 * (2030 - 2023)),
  100
)</f>
        <v>45.143521739130435</v>
      </c>
      <c r="I61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5" spans="1:9" hidden="1" x14ac:dyDescent="0.35">
      <c r="A615" s="1" t="s">
        <v>83</v>
      </c>
      <c r="B615" s="1" t="s">
        <v>174</v>
      </c>
      <c r="C615" s="1" t="s">
        <v>34</v>
      </c>
      <c r="D615" s="3">
        <v>2022</v>
      </c>
      <c r="E615">
        <v>33.200000000000003</v>
      </c>
      <c r="F615" s="1">
        <f t="shared" ca="1" si="18"/>
        <v>1.306217391304348</v>
      </c>
      <c r="G615" s="1">
        <f t="shared" ca="1" si="19"/>
        <v>-2607.5021159420289</v>
      </c>
      <c r="H615" s="1" cm="1">
        <f t="array" aca="1" ref="H615" ca="1">MIN(
  INDEX($E:$E, MATCH($A615, $A:$A, 0) + 23) +
  (F615 * (2030 - 2023)),
  100
)</f>
        <v>45.143521739130435</v>
      </c>
      <c r="I61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6" spans="1:9" x14ac:dyDescent="0.35">
      <c r="A616" s="1" t="s">
        <v>83</v>
      </c>
      <c r="B616" s="1" t="s">
        <v>174</v>
      </c>
      <c r="C616" s="1" t="s">
        <v>34</v>
      </c>
      <c r="D616" s="3">
        <v>2023</v>
      </c>
      <c r="E616">
        <v>36</v>
      </c>
      <c r="F616" s="4">
        <f t="shared" ca="1" si="18"/>
        <v>1.306217391304348</v>
      </c>
      <c r="G616" s="4">
        <f t="shared" ca="1" si="19"/>
        <v>-2607.5021159420289</v>
      </c>
      <c r="H616" s="4" cm="1">
        <f t="array" aca="1" ref="H616" ca="1">MIN(
  INDEX($E:$E, MATCH($A616, $A:$A, 0) + 23) +
  (F616 * (2030 - 2023)),
  100
)</f>
        <v>45.143521739130435</v>
      </c>
      <c r="I61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7" spans="1:9" hidden="1" x14ac:dyDescent="0.35">
      <c r="A617" s="1" t="s">
        <v>85</v>
      </c>
      <c r="B617" s="1" t="s">
        <v>173</v>
      </c>
      <c r="C617" s="1" t="s">
        <v>31</v>
      </c>
      <c r="D617" s="3">
        <v>2000</v>
      </c>
      <c r="E617">
        <v>19.100000000000001</v>
      </c>
      <c r="F617" s="1">
        <f t="shared" ca="1" si="18"/>
        <v>1.3736521739130436</v>
      </c>
      <c r="G617" s="1">
        <f t="shared" ca="1" si="19"/>
        <v>-2728.2513478260871</v>
      </c>
      <c r="H617" s="1" cm="1">
        <f t="array" aca="1" ref="H617" ca="1">MIN(
  INDEX($E:$E, MATCH($A617, $A:$A, 0) + 23) +
  (F617 * (2030 - 2023)),
  100
)</f>
        <v>59.915565217391304</v>
      </c>
      <c r="I61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8" spans="1:9" hidden="1" x14ac:dyDescent="0.35">
      <c r="A618" s="1" t="s">
        <v>85</v>
      </c>
      <c r="B618" s="1" t="s">
        <v>173</v>
      </c>
      <c r="C618" s="1" t="s">
        <v>31</v>
      </c>
      <c r="D618" s="3">
        <v>2001</v>
      </c>
      <c r="E618">
        <v>22.2</v>
      </c>
      <c r="F618" s="1">
        <f t="shared" ca="1" si="18"/>
        <v>1.3736521739130436</v>
      </c>
      <c r="G618" s="1">
        <f t="shared" ca="1" si="19"/>
        <v>-2728.2513478260871</v>
      </c>
      <c r="H618" s="1" cm="1">
        <f t="array" aca="1" ref="H618" ca="1">MIN(
  INDEX($E:$E, MATCH($A618, $A:$A, 0) + 23) +
  (F618 * (2030 - 2023)),
  100
)</f>
        <v>59.915565217391304</v>
      </c>
      <c r="I6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19" spans="1:9" hidden="1" x14ac:dyDescent="0.35">
      <c r="A619" s="1" t="s">
        <v>85</v>
      </c>
      <c r="B619" s="1" t="s">
        <v>173</v>
      </c>
      <c r="C619" s="1" t="s">
        <v>31</v>
      </c>
      <c r="D619" s="3">
        <v>2002</v>
      </c>
      <c r="E619">
        <v>21.7</v>
      </c>
      <c r="F619" s="1">
        <f t="shared" ca="1" si="18"/>
        <v>1.3736521739130436</v>
      </c>
      <c r="G619" s="1">
        <f t="shared" ca="1" si="19"/>
        <v>-2728.2513478260871</v>
      </c>
      <c r="H619" s="1" cm="1">
        <f t="array" aca="1" ref="H619" ca="1">MIN(
  INDEX($E:$E, MATCH($A619, $A:$A, 0) + 23) +
  (F619 * (2030 - 2023)),
  100
)</f>
        <v>59.915565217391304</v>
      </c>
      <c r="I6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0" spans="1:9" hidden="1" x14ac:dyDescent="0.35">
      <c r="A620" s="1" t="s">
        <v>85</v>
      </c>
      <c r="B620" s="1" t="s">
        <v>173</v>
      </c>
      <c r="C620" s="1" t="s">
        <v>31</v>
      </c>
      <c r="D620" s="3">
        <v>2003</v>
      </c>
      <c r="E620">
        <v>23</v>
      </c>
      <c r="F620" s="1">
        <f t="shared" ca="1" si="18"/>
        <v>1.3736521739130436</v>
      </c>
      <c r="G620" s="1">
        <f t="shared" ca="1" si="19"/>
        <v>-2728.2513478260871</v>
      </c>
      <c r="H620" s="1" cm="1">
        <f t="array" aca="1" ref="H620" ca="1">MIN(
  INDEX($E:$E, MATCH($A620, $A:$A, 0) + 23) +
  (F620 * (2030 - 2023)),
  100
)</f>
        <v>59.915565217391304</v>
      </c>
      <c r="I6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1" spans="1:9" hidden="1" x14ac:dyDescent="0.35">
      <c r="A621" s="1" t="s">
        <v>85</v>
      </c>
      <c r="B621" s="1" t="s">
        <v>173</v>
      </c>
      <c r="C621" s="1" t="s">
        <v>31</v>
      </c>
      <c r="D621" s="3">
        <v>2004</v>
      </c>
      <c r="E621">
        <v>24.3</v>
      </c>
      <c r="F621" s="1">
        <f t="shared" ca="1" si="18"/>
        <v>1.3736521739130436</v>
      </c>
      <c r="G621" s="1">
        <f t="shared" ca="1" si="19"/>
        <v>-2728.2513478260871</v>
      </c>
      <c r="H621" s="1" cm="1">
        <f t="array" aca="1" ref="H621" ca="1">MIN(
  INDEX($E:$E, MATCH($A621, $A:$A, 0) + 23) +
  (F621 * (2030 - 2023)),
  100
)</f>
        <v>59.915565217391304</v>
      </c>
      <c r="I62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2" spans="1:9" hidden="1" x14ac:dyDescent="0.35">
      <c r="A622" s="1" t="s">
        <v>85</v>
      </c>
      <c r="B622" s="1" t="s">
        <v>173</v>
      </c>
      <c r="C622" s="1" t="s">
        <v>31</v>
      </c>
      <c r="D622" s="3">
        <v>2005</v>
      </c>
      <c r="E622">
        <v>18.2</v>
      </c>
      <c r="F622" s="1">
        <f t="shared" ca="1" si="18"/>
        <v>1.3736521739130436</v>
      </c>
      <c r="G622" s="1">
        <f t="shared" ca="1" si="19"/>
        <v>-2728.2513478260871</v>
      </c>
      <c r="H622" s="1" cm="1">
        <f t="array" aca="1" ref="H622" ca="1">MIN(
  INDEX($E:$E, MATCH($A622, $A:$A, 0) + 23) +
  (F622 * (2030 - 2023)),
  100
)</f>
        <v>59.915565217391304</v>
      </c>
      <c r="I6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3" spans="1:9" hidden="1" x14ac:dyDescent="0.35">
      <c r="A623" s="1" t="s">
        <v>85</v>
      </c>
      <c r="B623" s="1" t="s">
        <v>173</v>
      </c>
      <c r="C623" s="1" t="s">
        <v>31</v>
      </c>
      <c r="D623" s="3">
        <v>2006</v>
      </c>
      <c r="E623">
        <v>27</v>
      </c>
      <c r="F623" s="1">
        <f t="shared" ca="1" si="18"/>
        <v>1.3736521739130436</v>
      </c>
      <c r="G623" s="1">
        <f t="shared" ca="1" si="19"/>
        <v>-2728.2513478260871</v>
      </c>
      <c r="H623" s="1" cm="1">
        <f t="array" aca="1" ref="H623" ca="1">MIN(
  INDEX($E:$E, MATCH($A623, $A:$A, 0) + 23) +
  (F623 * (2030 - 2023)),
  100
)</f>
        <v>59.915565217391304</v>
      </c>
      <c r="I6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4" spans="1:9" hidden="1" x14ac:dyDescent="0.35">
      <c r="A624" s="1" t="s">
        <v>85</v>
      </c>
      <c r="B624" s="1" t="s">
        <v>173</v>
      </c>
      <c r="C624" s="1" t="s">
        <v>31</v>
      </c>
      <c r="D624" s="3">
        <v>2007</v>
      </c>
      <c r="E624">
        <v>33</v>
      </c>
      <c r="F624" s="1">
        <f t="shared" ca="1" si="18"/>
        <v>1.3736521739130436</v>
      </c>
      <c r="G624" s="1">
        <f t="shared" ca="1" si="19"/>
        <v>-2728.2513478260871</v>
      </c>
      <c r="H624" s="1" cm="1">
        <f t="array" aca="1" ref="H624" ca="1">MIN(
  INDEX($E:$E, MATCH($A624, $A:$A, 0) + 23) +
  (F624 * (2030 - 2023)),
  100
)</f>
        <v>59.915565217391304</v>
      </c>
      <c r="I6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5" spans="1:9" hidden="1" x14ac:dyDescent="0.35">
      <c r="A625" s="1" t="s">
        <v>85</v>
      </c>
      <c r="B625" s="1" t="s">
        <v>173</v>
      </c>
      <c r="C625" s="1" t="s">
        <v>31</v>
      </c>
      <c r="D625" s="3">
        <v>2008</v>
      </c>
      <c r="E625">
        <v>30</v>
      </c>
      <c r="F625" s="1">
        <f t="shared" ca="1" si="18"/>
        <v>1.3736521739130436</v>
      </c>
      <c r="G625" s="1">
        <f t="shared" ca="1" si="19"/>
        <v>-2728.2513478260871</v>
      </c>
      <c r="H625" s="1" cm="1">
        <f t="array" aca="1" ref="H625" ca="1">MIN(
  INDEX($E:$E, MATCH($A625, $A:$A, 0) + 23) +
  (F625 * (2030 - 2023)),
  100
)</f>
        <v>59.915565217391304</v>
      </c>
      <c r="I6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6" spans="1:9" hidden="1" x14ac:dyDescent="0.35">
      <c r="A626" s="1" t="s">
        <v>85</v>
      </c>
      <c r="B626" s="1" t="s">
        <v>173</v>
      </c>
      <c r="C626" s="1" t="s">
        <v>31</v>
      </c>
      <c r="D626" s="3">
        <v>2009</v>
      </c>
      <c r="E626">
        <v>31.1</v>
      </c>
      <c r="F626" s="1">
        <f t="shared" ca="1" si="18"/>
        <v>1.3736521739130436</v>
      </c>
      <c r="G626" s="1">
        <f t="shared" ca="1" si="19"/>
        <v>-2728.2513478260871</v>
      </c>
      <c r="H626" s="1" cm="1">
        <f t="array" aca="1" ref="H626" ca="1">MIN(
  INDEX($E:$E, MATCH($A626, $A:$A, 0) + 23) +
  (F626 * (2030 - 2023)),
  100
)</f>
        <v>59.915565217391304</v>
      </c>
      <c r="I6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7" spans="1:9" hidden="1" x14ac:dyDescent="0.35">
      <c r="A627" s="1" t="s">
        <v>85</v>
      </c>
      <c r="B627" s="1" t="s">
        <v>173</v>
      </c>
      <c r="C627" s="1" t="s">
        <v>31</v>
      </c>
      <c r="D627" s="3">
        <v>2010</v>
      </c>
      <c r="E627">
        <v>34.200000000000003</v>
      </c>
      <c r="F627" s="1">
        <f t="shared" ca="1" si="18"/>
        <v>1.3736521739130436</v>
      </c>
      <c r="G627" s="1">
        <f t="shared" ca="1" si="19"/>
        <v>-2728.2513478260871</v>
      </c>
      <c r="H627" s="1" cm="1">
        <f t="array" aca="1" ref="H627" ca="1">MIN(
  INDEX($E:$E, MATCH($A627, $A:$A, 0) + 23) +
  (F627 * (2030 - 2023)),
  100
)</f>
        <v>59.915565217391304</v>
      </c>
      <c r="I6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8" spans="1:9" hidden="1" x14ac:dyDescent="0.35">
      <c r="A628" s="1" t="s">
        <v>85</v>
      </c>
      <c r="B628" s="1" t="s">
        <v>173</v>
      </c>
      <c r="C628" s="1" t="s">
        <v>31</v>
      </c>
      <c r="D628" s="3">
        <v>2011</v>
      </c>
      <c r="E628">
        <v>35.299999999999997</v>
      </c>
      <c r="F628" s="1">
        <f t="shared" ca="1" si="18"/>
        <v>1.3736521739130436</v>
      </c>
      <c r="G628" s="1">
        <f t="shared" ca="1" si="19"/>
        <v>-2728.2513478260871</v>
      </c>
      <c r="H628" s="1" cm="1">
        <f t="array" aca="1" ref="H628" ca="1">MIN(
  INDEX($E:$E, MATCH($A628, $A:$A, 0) + 23) +
  (F628 * (2030 - 2023)),
  100
)</f>
        <v>59.915565217391304</v>
      </c>
      <c r="I6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29" spans="1:9" hidden="1" x14ac:dyDescent="0.35">
      <c r="A629" s="1" t="s">
        <v>85</v>
      </c>
      <c r="B629" s="1" t="s">
        <v>173</v>
      </c>
      <c r="C629" s="1" t="s">
        <v>31</v>
      </c>
      <c r="D629" s="3">
        <v>2012</v>
      </c>
      <c r="E629">
        <v>36.4</v>
      </c>
      <c r="F629" s="1">
        <f t="shared" ca="1" si="18"/>
        <v>1.3736521739130436</v>
      </c>
      <c r="G629" s="1">
        <f t="shared" ca="1" si="19"/>
        <v>-2728.2513478260871</v>
      </c>
      <c r="H629" s="1" cm="1">
        <f t="array" aca="1" ref="H629" ca="1">MIN(
  INDEX($E:$E, MATCH($A629, $A:$A, 0) + 23) +
  (F629 * (2030 - 2023)),
  100
)</f>
        <v>59.915565217391304</v>
      </c>
      <c r="I6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0" spans="1:9" hidden="1" x14ac:dyDescent="0.35">
      <c r="A630" s="1" t="s">
        <v>85</v>
      </c>
      <c r="B630" s="1" t="s">
        <v>173</v>
      </c>
      <c r="C630" s="1" t="s">
        <v>31</v>
      </c>
      <c r="D630" s="3">
        <v>2013</v>
      </c>
      <c r="E630">
        <v>37.6</v>
      </c>
      <c r="F630" s="1">
        <f t="shared" ca="1" si="18"/>
        <v>1.3736521739130436</v>
      </c>
      <c r="G630" s="1">
        <f t="shared" ca="1" si="19"/>
        <v>-2728.2513478260871</v>
      </c>
      <c r="H630" s="1" cm="1">
        <f t="array" aca="1" ref="H630" ca="1">MIN(
  INDEX($E:$E, MATCH($A630, $A:$A, 0) + 23) +
  (F630 * (2030 - 2023)),
  100
)</f>
        <v>59.915565217391304</v>
      </c>
      <c r="I6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1" spans="1:9" hidden="1" x14ac:dyDescent="0.35">
      <c r="A631" s="1" t="s">
        <v>85</v>
      </c>
      <c r="B631" s="1" t="s">
        <v>173</v>
      </c>
      <c r="C631" s="1" t="s">
        <v>31</v>
      </c>
      <c r="D631" s="3">
        <v>2014</v>
      </c>
      <c r="E631">
        <v>38.799999999999997</v>
      </c>
      <c r="F631" s="1">
        <f t="shared" ca="1" si="18"/>
        <v>1.3736521739130436</v>
      </c>
      <c r="G631" s="1">
        <f t="shared" ca="1" si="19"/>
        <v>-2728.2513478260871</v>
      </c>
      <c r="H631" s="1" cm="1">
        <f t="array" aca="1" ref="H631" ca="1">MIN(
  INDEX($E:$E, MATCH($A631, $A:$A, 0) + 23) +
  (F631 * (2030 - 2023)),
  100
)</f>
        <v>59.915565217391304</v>
      </c>
      <c r="I6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2" spans="1:9" hidden="1" x14ac:dyDescent="0.35">
      <c r="A632" s="1" t="s">
        <v>85</v>
      </c>
      <c r="B632" s="1" t="s">
        <v>173</v>
      </c>
      <c r="C632" s="1" t="s">
        <v>31</v>
      </c>
      <c r="D632" s="3">
        <v>2015</v>
      </c>
      <c r="E632">
        <v>39.5</v>
      </c>
      <c r="F632" s="1">
        <f t="shared" ca="1" si="18"/>
        <v>1.3736521739130436</v>
      </c>
      <c r="G632" s="1">
        <f t="shared" ca="1" si="19"/>
        <v>-2728.2513478260871</v>
      </c>
      <c r="H632" s="1" cm="1">
        <f t="array" aca="1" ref="H632" ca="1">MIN(
  INDEX($E:$E, MATCH($A632, $A:$A, 0) + 23) +
  (F632 * (2030 - 2023)),
  100
)</f>
        <v>59.915565217391304</v>
      </c>
      <c r="I63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3" spans="1:9" hidden="1" x14ac:dyDescent="0.35">
      <c r="A633" s="1" t="s">
        <v>85</v>
      </c>
      <c r="B633" s="1" t="s">
        <v>173</v>
      </c>
      <c r="C633" s="1" t="s">
        <v>31</v>
      </c>
      <c r="D633" s="3">
        <v>2016</v>
      </c>
      <c r="E633">
        <v>41.2</v>
      </c>
      <c r="F633" s="1">
        <f t="shared" ca="1" si="18"/>
        <v>1.3736521739130436</v>
      </c>
      <c r="G633" s="1">
        <f t="shared" ca="1" si="19"/>
        <v>-2728.2513478260871</v>
      </c>
      <c r="H633" s="1" cm="1">
        <f t="array" aca="1" ref="H633" ca="1">MIN(
  INDEX($E:$E, MATCH($A633, $A:$A, 0) + 23) +
  (F633 * (2030 - 2023)),
  100
)</f>
        <v>59.915565217391304</v>
      </c>
      <c r="I6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4" spans="1:9" hidden="1" x14ac:dyDescent="0.35">
      <c r="A634" s="1" t="s">
        <v>85</v>
      </c>
      <c r="B634" s="1" t="s">
        <v>173</v>
      </c>
      <c r="C634" s="1" t="s">
        <v>31</v>
      </c>
      <c r="D634" s="3">
        <v>2017</v>
      </c>
      <c r="E634">
        <v>42.9</v>
      </c>
      <c r="F634" s="1">
        <f t="shared" ca="1" si="18"/>
        <v>1.3736521739130436</v>
      </c>
      <c r="G634" s="1">
        <f t="shared" ca="1" si="19"/>
        <v>-2728.2513478260871</v>
      </c>
      <c r="H634" s="1" cm="1">
        <f t="array" aca="1" ref="H634" ca="1">MIN(
  INDEX($E:$E, MATCH($A634, $A:$A, 0) + 23) +
  (F634 * (2030 - 2023)),
  100
)</f>
        <v>59.915565217391304</v>
      </c>
      <c r="I6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5" spans="1:9" hidden="1" x14ac:dyDescent="0.35">
      <c r="A635" s="1" t="s">
        <v>85</v>
      </c>
      <c r="B635" s="1" t="s">
        <v>173</v>
      </c>
      <c r="C635" s="1" t="s">
        <v>31</v>
      </c>
      <c r="D635" s="3">
        <v>2018</v>
      </c>
      <c r="E635">
        <v>43.6</v>
      </c>
      <c r="F635" s="1">
        <f t="shared" ca="1" si="18"/>
        <v>1.3736521739130436</v>
      </c>
      <c r="G635" s="1">
        <f t="shared" ca="1" si="19"/>
        <v>-2728.2513478260871</v>
      </c>
      <c r="H635" s="1" cm="1">
        <f t="array" aca="1" ref="H635" ca="1">MIN(
  INDEX($E:$E, MATCH($A635, $A:$A, 0) + 23) +
  (F635 * (2030 - 2023)),
  100
)</f>
        <v>59.915565217391304</v>
      </c>
      <c r="I6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6" spans="1:9" hidden="1" x14ac:dyDescent="0.35">
      <c r="A636" s="1" t="s">
        <v>85</v>
      </c>
      <c r="B636" s="1" t="s">
        <v>173</v>
      </c>
      <c r="C636" s="1" t="s">
        <v>31</v>
      </c>
      <c r="D636" s="3">
        <v>2019</v>
      </c>
      <c r="E636">
        <v>44.9</v>
      </c>
      <c r="F636" s="1">
        <f t="shared" ca="1" si="18"/>
        <v>1.3736521739130436</v>
      </c>
      <c r="G636" s="1">
        <f t="shared" ca="1" si="19"/>
        <v>-2728.2513478260871</v>
      </c>
      <c r="H636" s="1" cm="1">
        <f t="array" aca="1" ref="H636" ca="1">MIN(
  INDEX($E:$E, MATCH($A636, $A:$A, 0) + 23) +
  (F636 * (2030 - 2023)),
  100
)</f>
        <v>59.915565217391304</v>
      </c>
      <c r="I6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7" spans="1:9" hidden="1" x14ac:dyDescent="0.35">
      <c r="A637" s="1" t="s">
        <v>85</v>
      </c>
      <c r="B637" s="1" t="s">
        <v>173</v>
      </c>
      <c r="C637" s="1" t="s">
        <v>31</v>
      </c>
      <c r="D637" s="3">
        <v>2020</v>
      </c>
      <c r="E637">
        <v>45.4</v>
      </c>
      <c r="F637" s="1">
        <f t="shared" ca="1" si="18"/>
        <v>1.3736521739130436</v>
      </c>
      <c r="G637" s="1">
        <f t="shared" ca="1" si="19"/>
        <v>-2728.2513478260871</v>
      </c>
      <c r="H637" s="1" cm="1">
        <f t="array" aca="1" ref="H637" ca="1">MIN(
  INDEX($E:$E, MATCH($A637, $A:$A, 0) + 23) +
  (F637 * (2030 - 2023)),
  100
)</f>
        <v>59.915565217391304</v>
      </c>
      <c r="I6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8" spans="1:9" hidden="1" x14ac:dyDescent="0.35">
      <c r="A638" s="1" t="s">
        <v>85</v>
      </c>
      <c r="B638" s="1" t="s">
        <v>173</v>
      </c>
      <c r="C638" s="1" t="s">
        <v>31</v>
      </c>
      <c r="D638" s="3">
        <v>2021</v>
      </c>
      <c r="E638">
        <v>47.7</v>
      </c>
      <c r="F638" s="1">
        <f t="shared" ca="1" si="18"/>
        <v>1.3736521739130436</v>
      </c>
      <c r="G638" s="1">
        <f t="shared" ca="1" si="19"/>
        <v>-2728.2513478260871</v>
      </c>
      <c r="H638" s="1" cm="1">
        <f t="array" aca="1" ref="H638" ca="1">MIN(
  INDEX($E:$E, MATCH($A638, $A:$A, 0) + 23) +
  (F638 * (2030 - 2023)),
  100
)</f>
        <v>59.915565217391304</v>
      </c>
      <c r="I63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39" spans="1:9" hidden="1" x14ac:dyDescent="0.35">
      <c r="A639" s="1" t="s">
        <v>85</v>
      </c>
      <c r="B639" s="1" t="s">
        <v>173</v>
      </c>
      <c r="C639" s="1" t="s">
        <v>31</v>
      </c>
      <c r="D639" s="3">
        <v>2022</v>
      </c>
      <c r="E639">
        <v>49</v>
      </c>
      <c r="F639" s="1">
        <f t="shared" ca="1" si="18"/>
        <v>1.3736521739130436</v>
      </c>
      <c r="G639" s="1">
        <f t="shared" ca="1" si="19"/>
        <v>-2728.2513478260871</v>
      </c>
      <c r="H639" s="1" cm="1">
        <f t="array" aca="1" ref="H639" ca="1">MIN(
  INDEX($E:$E, MATCH($A639, $A:$A, 0) + 23) +
  (F639 * (2030 - 2023)),
  100
)</f>
        <v>59.915565217391304</v>
      </c>
      <c r="I63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40" spans="1:9" x14ac:dyDescent="0.35">
      <c r="A640" s="1" t="s">
        <v>85</v>
      </c>
      <c r="B640" s="1" t="s">
        <v>173</v>
      </c>
      <c r="C640" s="1" t="s">
        <v>31</v>
      </c>
      <c r="D640" s="3">
        <v>2023</v>
      </c>
      <c r="E640">
        <v>50.3</v>
      </c>
      <c r="F640" s="4">
        <f t="shared" ca="1" si="18"/>
        <v>1.3736521739130436</v>
      </c>
      <c r="G640" s="4">
        <f t="shared" ca="1" si="19"/>
        <v>-2728.2513478260871</v>
      </c>
      <c r="H640" s="4" cm="1">
        <f t="array" aca="1" ref="H640" ca="1">MIN(
  INDEX($E:$E, MATCH($A640, $A:$A, 0) + 23) +
  (F640 * (2030 - 2023)),
  100
)</f>
        <v>59.915565217391304</v>
      </c>
      <c r="I64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41" spans="1:9" hidden="1" x14ac:dyDescent="0.35">
      <c r="A641" s="1" t="s">
        <v>87</v>
      </c>
      <c r="B641" s="1" t="s">
        <v>174</v>
      </c>
      <c r="C641" s="1" t="s">
        <v>41</v>
      </c>
      <c r="D641" s="3">
        <v>2000</v>
      </c>
      <c r="E641">
        <v>99</v>
      </c>
      <c r="F641" s="1">
        <f t="shared" ca="1" si="18"/>
        <v>4.1391304347825966E-2</v>
      </c>
      <c r="G641" s="1">
        <f t="shared" ca="1" si="19"/>
        <v>16.149724637681388</v>
      </c>
      <c r="H641" s="1" cm="1">
        <f t="array" aca="1" ref="H641" ca="1">MIN(
  INDEX($E:$E, MATCH($A641, $A:$A, 0) + 23) +
  (F641 * (2030 - 2023)),
  100
)</f>
        <v>100</v>
      </c>
      <c r="I64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2" spans="1:9" hidden="1" x14ac:dyDescent="0.35">
      <c r="A642" s="1" t="s">
        <v>87</v>
      </c>
      <c r="B642" s="1" t="s">
        <v>174</v>
      </c>
      <c r="C642" s="1" t="s">
        <v>41</v>
      </c>
      <c r="D642" s="3">
        <v>2001</v>
      </c>
      <c r="E642">
        <v>99.2</v>
      </c>
      <c r="F642" s="1">
        <f t="shared" ref="F642:F705" ca="1" si="20">SLOPE(
  OFFSET($E$1, MATCH($A642, $A:$A, 0)-1, 0, 24, 1),
  OFFSET($D$1, MATCH($A642, $A:$A, 0)-1, 0, 24, 1)
)</f>
        <v>4.1391304347825966E-2</v>
      </c>
      <c r="G642" s="1">
        <f t="shared" ref="G642:G705" ca="1" si="21">INTERCEPT(
  OFFSET($E$1, MATCH($A642, $A:$A, 0)-1, 0, 24, 1),
  OFFSET($D$1, MATCH($A642, $A:$A, 0)-1, 0, 24, 1)
)</f>
        <v>16.149724637681388</v>
      </c>
      <c r="H642" s="1" cm="1">
        <f t="array" aca="1" ref="H642" ca="1">MIN(
  INDEX($E:$E, MATCH($A642, $A:$A, 0) + 23) +
  (F642 * (2030 - 2023)),
  100
)</f>
        <v>100</v>
      </c>
      <c r="I64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3" spans="1:9" hidden="1" x14ac:dyDescent="0.35">
      <c r="A643" s="1" t="s">
        <v>87</v>
      </c>
      <c r="B643" s="1" t="s">
        <v>174</v>
      </c>
      <c r="C643" s="1" t="s">
        <v>41</v>
      </c>
      <c r="D643" s="3">
        <v>2002</v>
      </c>
      <c r="E643">
        <v>99.4</v>
      </c>
      <c r="F643" s="1">
        <f t="shared" ca="1" si="20"/>
        <v>4.1391304347825966E-2</v>
      </c>
      <c r="G643" s="1">
        <f t="shared" ca="1" si="21"/>
        <v>16.149724637681388</v>
      </c>
      <c r="H643" s="1" cm="1">
        <f t="array" aca="1" ref="H643" ca="1">MIN(
  INDEX($E:$E, MATCH($A643, $A:$A, 0) + 23) +
  (F643 * (2030 - 2023)),
  100
)</f>
        <v>100</v>
      </c>
      <c r="I64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4" spans="1:9" hidden="1" x14ac:dyDescent="0.35">
      <c r="A644" s="1" t="s">
        <v>87</v>
      </c>
      <c r="B644" s="1" t="s">
        <v>174</v>
      </c>
      <c r="C644" s="1" t="s">
        <v>41</v>
      </c>
      <c r="D644" s="3">
        <v>2003</v>
      </c>
      <c r="E644">
        <v>99.1</v>
      </c>
      <c r="F644" s="1">
        <f t="shared" ca="1" si="20"/>
        <v>4.1391304347825966E-2</v>
      </c>
      <c r="G644" s="1">
        <f t="shared" ca="1" si="21"/>
        <v>16.149724637681388</v>
      </c>
      <c r="H644" s="1" cm="1">
        <f t="array" aca="1" ref="H644" ca="1">MIN(
  INDEX($E:$E, MATCH($A644, $A:$A, 0) + 23) +
  (F644 * (2030 - 2023)),
  100
)</f>
        <v>100</v>
      </c>
      <c r="I64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5" spans="1:9" hidden="1" x14ac:dyDescent="0.35">
      <c r="A645" s="1" t="s">
        <v>87</v>
      </c>
      <c r="B645" s="1" t="s">
        <v>174</v>
      </c>
      <c r="C645" s="1" t="s">
        <v>41</v>
      </c>
      <c r="D645" s="3">
        <v>2004</v>
      </c>
      <c r="E645">
        <v>99</v>
      </c>
      <c r="F645" s="1">
        <f t="shared" ca="1" si="20"/>
        <v>4.1391304347825966E-2</v>
      </c>
      <c r="G645" s="1">
        <f t="shared" ca="1" si="21"/>
        <v>16.149724637681388</v>
      </c>
      <c r="H645" s="1" cm="1">
        <f t="array" aca="1" ref="H645" ca="1">MIN(
  INDEX($E:$E, MATCH($A645, $A:$A, 0) + 23) +
  (F645 * (2030 - 2023)),
  100
)</f>
        <v>100</v>
      </c>
      <c r="I64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6" spans="1:9" hidden="1" x14ac:dyDescent="0.35">
      <c r="A646" s="1" t="s">
        <v>87</v>
      </c>
      <c r="B646" s="1" t="s">
        <v>174</v>
      </c>
      <c r="C646" s="1" t="s">
        <v>41</v>
      </c>
      <c r="D646" s="3">
        <v>2005</v>
      </c>
      <c r="E646">
        <v>99</v>
      </c>
      <c r="F646" s="1">
        <f t="shared" ca="1" si="20"/>
        <v>4.1391304347825966E-2</v>
      </c>
      <c r="G646" s="1">
        <f t="shared" ca="1" si="21"/>
        <v>16.149724637681388</v>
      </c>
      <c r="H646" s="1" cm="1">
        <f t="array" aca="1" ref="H646" ca="1">MIN(
  INDEX($E:$E, MATCH($A646, $A:$A, 0) + 23) +
  (F646 * (2030 - 2023)),
  100
)</f>
        <v>100</v>
      </c>
      <c r="I64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7" spans="1:9" hidden="1" x14ac:dyDescent="0.35">
      <c r="A647" s="1" t="s">
        <v>87</v>
      </c>
      <c r="B647" s="1" t="s">
        <v>174</v>
      </c>
      <c r="C647" s="1" t="s">
        <v>41</v>
      </c>
      <c r="D647" s="3">
        <v>2006</v>
      </c>
      <c r="E647">
        <v>99</v>
      </c>
      <c r="F647" s="1">
        <f t="shared" ca="1" si="20"/>
        <v>4.1391304347825966E-2</v>
      </c>
      <c r="G647" s="1">
        <f t="shared" ca="1" si="21"/>
        <v>16.149724637681388</v>
      </c>
      <c r="H647" s="1" cm="1">
        <f t="array" aca="1" ref="H647" ca="1">MIN(
  INDEX($E:$E, MATCH($A647, $A:$A, 0) + 23) +
  (F647 * (2030 - 2023)),
  100
)</f>
        <v>100</v>
      </c>
      <c r="I64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8" spans="1:9" hidden="1" x14ac:dyDescent="0.35">
      <c r="A648" s="1" t="s">
        <v>87</v>
      </c>
      <c r="B648" s="1" t="s">
        <v>174</v>
      </c>
      <c r="C648" s="1" t="s">
        <v>41</v>
      </c>
      <c r="D648" s="3">
        <v>2007</v>
      </c>
      <c r="E648">
        <v>99</v>
      </c>
      <c r="F648" s="1">
        <f t="shared" ca="1" si="20"/>
        <v>4.1391304347825966E-2</v>
      </c>
      <c r="G648" s="1">
        <f t="shared" ca="1" si="21"/>
        <v>16.149724637681388</v>
      </c>
      <c r="H648" s="1" cm="1">
        <f t="array" aca="1" ref="H648" ca="1">MIN(
  INDEX($E:$E, MATCH($A648, $A:$A, 0) + 23) +
  (F648 * (2030 - 2023)),
  100
)</f>
        <v>100</v>
      </c>
      <c r="I64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49" spans="1:9" hidden="1" x14ac:dyDescent="0.35">
      <c r="A649" s="1" t="s">
        <v>87</v>
      </c>
      <c r="B649" s="1" t="s">
        <v>174</v>
      </c>
      <c r="C649" s="1" t="s">
        <v>41</v>
      </c>
      <c r="D649" s="3">
        <v>2008</v>
      </c>
      <c r="E649">
        <v>99</v>
      </c>
      <c r="F649" s="1">
        <f t="shared" ca="1" si="20"/>
        <v>4.1391304347825966E-2</v>
      </c>
      <c r="G649" s="1">
        <f t="shared" ca="1" si="21"/>
        <v>16.149724637681388</v>
      </c>
      <c r="H649" s="1" cm="1">
        <f t="array" aca="1" ref="H649" ca="1">MIN(
  INDEX($E:$E, MATCH($A649, $A:$A, 0) + 23) +
  (F649 * (2030 - 2023)),
  100
)</f>
        <v>100</v>
      </c>
      <c r="I64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0" spans="1:9" hidden="1" x14ac:dyDescent="0.35">
      <c r="A650" s="1" t="s">
        <v>87</v>
      </c>
      <c r="B650" s="1" t="s">
        <v>174</v>
      </c>
      <c r="C650" s="1" t="s">
        <v>41</v>
      </c>
      <c r="D650" s="3">
        <v>2009</v>
      </c>
      <c r="E650">
        <v>99</v>
      </c>
      <c r="F650" s="1">
        <f t="shared" ca="1" si="20"/>
        <v>4.1391304347825966E-2</v>
      </c>
      <c r="G650" s="1">
        <f t="shared" ca="1" si="21"/>
        <v>16.149724637681388</v>
      </c>
      <c r="H650" s="1" cm="1">
        <f t="array" aca="1" ref="H650" ca="1">MIN(
  INDEX($E:$E, MATCH($A650, $A:$A, 0) + 23) +
  (F650 * (2030 - 2023)),
  100
)</f>
        <v>100</v>
      </c>
      <c r="I65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1" spans="1:9" hidden="1" x14ac:dyDescent="0.35">
      <c r="A651" s="1" t="s">
        <v>87</v>
      </c>
      <c r="B651" s="1" t="s">
        <v>174</v>
      </c>
      <c r="C651" s="1" t="s">
        <v>41</v>
      </c>
      <c r="D651" s="3">
        <v>2010</v>
      </c>
      <c r="E651">
        <v>99.4</v>
      </c>
      <c r="F651" s="1">
        <f t="shared" ca="1" si="20"/>
        <v>4.1391304347825966E-2</v>
      </c>
      <c r="G651" s="1">
        <f t="shared" ca="1" si="21"/>
        <v>16.149724637681388</v>
      </c>
      <c r="H651" s="1" cm="1">
        <f t="array" aca="1" ref="H651" ca="1">MIN(
  INDEX($E:$E, MATCH($A651, $A:$A, 0) + 23) +
  (F651 * (2030 - 2023)),
  100
)</f>
        <v>100</v>
      </c>
      <c r="I65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2" spans="1:9" hidden="1" x14ac:dyDescent="0.35">
      <c r="A652" s="1" t="s">
        <v>87</v>
      </c>
      <c r="B652" s="1" t="s">
        <v>174</v>
      </c>
      <c r="C652" s="1" t="s">
        <v>41</v>
      </c>
      <c r="D652" s="3">
        <v>2011</v>
      </c>
      <c r="E652">
        <v>99.6</v>
      </c>
      <c r="F652" s="1">
        <f t="shared" ca="1" si="20"/>
        <v>4.1391304347825966E-2</v>
      </c>
      <c r="G652" s="1">
        <f t="shared" ca="1" si="21"/>
        <v>16.149724637681388</v>
      </c>
      <c r="H652" s="1" cm="1">
        <f t="array" aca="1" ref="H652" ca="1">MIN(
  INDEX($E:$E, MATCH($A652, $A:$A, 0) + 23) +
  (F652 * (2030 - 2023)),
  100
)</f>
        <v>100</v>
      </c>
      <c r="I65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3" spans="1:9" hidden="1" x14ac:dyDescent="0.35">
      <c r="A653" s="1" t="s">
        <v>87</v>
      </c>
      <c r="B653" s="1" t="s">
        <v>174</v>
      </c>
      <c r="C653" s="1" t="s">
        <v>41</v>
      </c>
      <c r="D653" s="3">
        <v>2012</v>
      </c>
      <c r="E653">
        <v>99.4</v>
      </c>
      <c r="F653" s="1">
        <f t="shared" ca="1" si="20"/>
        <v>4.1391304347825966E-2</v>
      </c>
      <c r="G653" s="1">
        <f t="shared" ca="1" si="21"/>
        <v>16.149724637681388</v>
      </c>
      <c r="H653" s="1" cm="1">
        <f t="array" aca="1" ref="H653" ca="1">MIN(
  INDEX($E:$E, MATCH($A653, $A:$A, 0) + 23) +
  (F653 * (2030 - 2023)),
  100
)</f>
        <v>100</v>
      </c>
      <c r="I65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4" spans="1:9" hidden="1" x14ac:dyDescent="0.35">
      <c r="A654" s="1" t="s">
        <v>87</v>
      </c>
      <c r="B654" s="1" t="s">
        <v>174</v>
      </c>
      <c r="C654" s="1" t="s">
        <v>41</v>
      </c>
      <c r="D654" s="3">
        <v>2013</v>
      </c>
      <c r="E654">
        <v>99.4</v>
      </c>
      <c r="F654" s="1">
        <f t="shared" ca="1" si="20"/>
        <v>4.1391304347825966E-2</v>
      </c>
      <c r="G654" s="1">
        <f t="shared" ca="1" si="21"/>
        <v>16.149724637681388</v>
      </c>
      <c r="H654" s="1" cm="1">
        <f t="array" aca="1" ref="H654" ca="1">MIN(
  INDEX($E:$E, MATCH($A654, $A:$A, 0) + 23) +
  (F654 * (2030 - 2023)),
  100
)</f>
        <v>100</v>
      </c>
      <c r="I65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5" spans="1:9" hidden="1" x14ac:dyDescent="0.35">
      <c r="A655" s="1" t="s">
        <v>87</v>
      </c>
      <c r="B655" s="1" t="s">
        <v>174</v>
      </c>
      <c r="C655" s="1" t="s">
        <v>41</v>
      </c>
      <c r="D655" s="3">
        <v>2014</v>
      </c>
      <c r="E655">
        <v>99.5</v>
      </c>
      <c r="F655" s="1">
        <f t="shared" ca="1" si="20"/>
        <v>4.1391304347825966E-2</v>
      </c>
      <c r="G655" s="1">
        <f t="shared" ca="1" si="21"/>
        <v>16.149724637681388</v>
      </c>
      <c r="H655" s="1" cm="1">
        <f t="array" aca="1" ref="H655" ca="1">MIN(
  INDEX($E:$E, MATCH($A655, $A:$A, 0) + 23) +
  (F655 * (2030 - 2023)),
  100
)</f>
        <v>100</v>
      </c>
      <c r="I65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6" spans="1:9" hidden="1" x14ac:dyDescent="0.35">
      <c r="A656" s="1" t="s">
        <v>87</v>
      </c>
      <c r="B656" s="1" t="s">
        <v>174</v>
      </c>
      <c r="C656" s="1" t="s">
        <v>41</v>
      </c>
      <c r="D656" s="3">
        <v>2015</v>
      </c>
      <c r="E656">
        <v>99.6</v>
      </c>
      <c r="F656" s="1">
        <f t="shared" ca="1" si="20"/>
        <v>4.1391304347825966E-2</v>
      </c>
      <c r="G656" s="1">
        <f t="shared" ca="1" si="21"/>
        <v>16.149724637681388</v>
      </c>
      <c r="H656" s="1" cm="1">
        <f t="array" aca="1" ref="H656" ca="1">MIN(
  INDEX($E:$E, MATCH($A656, $A:$A, 0) + 23) +
  (F656 * (2030 - 2023)),
  100
)</f>
        <v>100</v>
      </c>
      <c r="I65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7" spans="1:9" hidden="1" x14ac:dyDescent="0.35">
      <c r="A657" s="1" t="s">
        <v>87</v>
      </c>
      <c r="B657" s="1" t="s">
        <v>174</v>
      </c>
      <c r="C657" s="1" t="s">
        <v>41</v>
      </c>
      <c r="D657" s="3">
        <v>2016</v>
      </c>
      <c r="E657">
        <v>99.7</v>
      </c>
      <c r="F657" s="1">
        <f t="shared" ca="1" si="20"/>
        <v>4.1391304347825966E-2</v>
      </c>
      <c r="G657" s="1">
        <f t="shared" ca="1" si="21"/>
        <v>16.149724637681388</v>
      </c>
      <c r="H657" s="1" cm="1">
        <f t="array" aca="1" ref="H657" ca="1">MIN(
  INDEX($E:$E, MATCH($A657, $A:$A, 0) + 23) +
  (F657 * (2030 - 2023)),
  100
)</f>
        <v>100</v>
      </c>
      <c r="I65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8" spans="1:9" hidden="1" x14ac:dyDescent="0.35">
      <c r="A658" s="1" t="s">
        <v>87</v>
      </c>
      <c r="B658" s="1" t="s">
        <v>174</v>
      </c>
      <c r="C658" s="1" t="s">
        <v>41</v>
      </c>
      <c r="D658" s="3">
        <v>2017</v>
      </c>
      <c r="E658">
        <v>99.6</v>
      </c>
      <c r="F658" s="1">
        <f t="shared" ca="1" si="20"/>
        <v>4.1391304347825966E-2</v>
      </c>
      <c r="G658" s="1">
        <f t="shared" ca="1" si="21"/>
        <v>16.149724637681388</v>
      </c>
      <c r="H658" s="1" cm="1">
        <f t="array" aca="1" ref="H658" ca="1">MIN(
  INDEX($E:$E, MATCH($A658, $A:$A, 0) + 23) +
  (F658 * (2030 - 2023)),
  100
)</f>
        <v>100</v>
      </c>
      <c r="I65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59" spans="1:9" hidden="1" x14ac:dyDescent="0.35">
      <c r="A659" s="1" t="s">
        <v>87</v>
      </c>
      <c r="B659" s="1" t="s">
        <v>174</v>
      </c>
      <c r="C659" s="1" t="s">
        <v>41</v>
      </c>
      <c r="D659" s="3">
        <v>2018</v>
      </c>
      <c r="E659">
        <v>99.8</v>
      </c>
      <c r="F659" s="1">
        <f t="shared" ca="1" si="20"/>
        <v>4.1391304347825966E-2</v>
      </c>
      <c r="G659" s="1">
        <f t="shared" ca="1" si="21"/>
        <v>16.149724637681388</v>
      </c>
      <c r="H659" s="1" cm="1">
        <f t="array" aca="1" ref="H659" ca="1">MIN(
  INDEX($E:$E, MATCH($A659, $A:$A, 0) + 23) +
  (F659 * (2030 - 2023)),
  100
)</f>
        <v>100</v>
      </c>
      <c r="I65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60" spans="1:9" hidden="1" x14ac:dyDescent="0.35">
      <c r="A660" s="1" t="s">
        <v>87</v>
      </c>
      <c r="B660" s="1" t="s">
        <v>174</v>
      </c>
      <c r="C660" s="1" t="s">
        <v>41</v>
      </c>
      <c r="D660" s="3">
        <v>2019</v>
      </c>
      <c r="E660">
        <v>100</v>
      </c>
      <c r="F660" s="1">
        <f t="shared" ca="1" si="20"/>
        <v>4.1391304347825966E-2</v>
      </c>
      <c r="G660" s="1">
        <f t="shared" ca="1" si="21"/>
        <v>16.149724637681388</v>
      </c>
      <c r="H660" s="1" cm="1">
        <f t="array" aca="1" ref="H660" ca="1">MIN(
  INDEX($E:$E, MATCH($A660, $A:$A, 0) + 23) +
  (F660 * (2030 - 2023)),
  100
)</f>
        <v>100</v>
      </c>
      <c r="I66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61" spans="1:9" hidden="1" x14ac:dyDescent="0.35">
      <c r="A661" s="1" t="s">
        <v>87</v>
      </c>
      <c r="B661" s="1" t="s">
        <v>174</v>
      </c>
      <c r="C661" s="1" t="s">
        <v>41</v>
      </c>
      <c r="D661" s="3">
        <v>2020</v>
      </c>
      <c r="E661">
        <v>99.5</v>
      </c>
      <c r="F661" s="1">
        <f t="shared" ca="1" si="20"/>
        <v>4.1391304347825966E-2</v>
      </c>
      <c r="G661" s="1">
        <f t="shared" ca="1" si="21"/>
        <v>16.149724637681388</v>
      </c>
      <c r="H661" s="1" cm="1">
        <f t="array" aca="1" ref="H661" ca="1">MIN(
  INDEX($E:$E, MATCH($A661, $A:$A, 0) + 23) +
  (F661 * (2030 - 2023)),
  100
)</f>
        <v>100</v>
      </c>
      <c r="I66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62" spans="1:9" hidden="1" x14ac:dyDescent="0.35">
      <c r="A662" s="1" t="s">
        <v>87</v>
      </c>
      <c r="B662" s="1" t="s">
        <v>174</v>
      </c>
      <c r="C662" s="1" t="s">
        <v>41</v>
      </c>
      <c r="D662" s="3">
        <v>2021</v>
      </c>
      <c r="E662">
        <v>99.6</v>
      </c>
      <c r="F662" s="1">
        <f t="shared" ca="1" si="20"/>
        <v>4.1391304347825966E-2</v>
      </c>
      <c r="G662" s="1">
        <f t="shared" ca="1" si="21"/>
        <v>16.149724637681388</v>
      </c>
      <c r="H662" s="1" cm="1">
        <f t="array" aca="1" ref="H662" ca="1">MIN(
  INDEX($E:$E, MATCH($A662, $A:$A, 0) + 23) +
  (F662 * (2030 - 2023)),
  100
)</f>
        <v>100</v>
      </c>
      <c r="I66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63" spans="1:9" hidden="1" x14ac:dyDescent="0.35">
      <c r="A663" s="1" t="s">
        <v>87</v>
      </c>
      <c r="B663" s="1" t="s">
        <v>174</v>
      </c>
      <c r="C663" s="1" t="s">
        <v>41</v>
      </c>
      <c r="D663" s="3">
        <v>2022</v>
      </c>
      <c r="E663">
        <v>100</v>
      </c>
      <c r="F663" s="1">
        <f t="shared" ca="1" si="20"/>
        <v>4.1391304347825966E-2</v>
      </c>
      <c r="G663" s="1">
        <f t="shared" ca="1" si="21"/>
        <v>16.149724637681388</v>
      </c>
      <c r="H663" s="1" cm="1">
        <f t="array" aca="1" ref="H663" ca="1">MIN(
  INDEX($E:$E, MATCH($A663, $A:$A, 0) + 23) +
  (F663 * (2030 - 2023)),
  100
)</f>
        <v>100</v>
      </c>
      <c r="I66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64" spans="1:9" x14ac:dyDescent="0.35">
      <c r="A664" s="1" t="s">
        <v>87</v>
      </c>
      <c r="B664" s="1" t="s">
        <v>174</v>
      </c>
      <c r="C664" s="1" t="s">
        <v>41</v>
      </c>
      <c r="D664" s="3">
        <v>2023</v>
      </c>
      <c r="E664">
        <v>100</v>
      </c>
      <c r="F664" s="4">
        <f t="shared" ca="1" si="20"/>
        <v>4.1391304347825966E-2</v>
      </c>
      <c r="G664" s="4">
        <f t="shared" ca="1" si="21"/>
        <v>16.149724637681388</v>
      </c>
      <c r="H664" s="4" cm="1">
        <f t="array" aca="1" ref="H664" ca="1">MIN(
  INDEX($E:$E, MATCH($A664, $A:$A, 0) + 23) +
  (F664 * (2030 - 2023)),
  100
)</f>
        <v>100</v>
      </c>
      <c r="I66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665" spans="1:9" hidden="1" x14ac:dyDescent="0.35">
      <c r="A665" s="1" t="s">
        <v>89</v>
      </c>
      <c r="B665" s="1" t="s">
        <v>174</v>
      </c>
      <c r="C665" s="1" t="s">
        <v>34</v>
      </c>
      <c r="D665" s="3">
        <v>2000</v>
      </c>
      <c r="E665">
        <v>4.8</v>
      </c>
      <c r="F665" s="1">
        <f t="shared" ca="1" si="20"/>
        <v>0.46543478260869564</v>
      </c>
      <c r="G665" s="1">
        <f t="shared" ca="1" si="21"/>
        <v>-926.80123188405798</v>
      </c>
      <c r="H665" s="1" cm="1">
        <f t="array" aca="1" ref="H665" ca="1">MIN(
  INDEX($E:$E, MATCH($A665, $A:$A, 0) + 23) +
  (F665 * (2030 - 2023)),
  100
)</f>
        <v>18.858043478260868</v>
      </c>
      <c r="I6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66" spans="1:9" hidden="1" x14ac:dyDescent="0.35">
      <c r="A666" s="1" t="s">
        <v>89</v>
      </c>
      <c r="B666" s="1" t="s">
        <v>174</v>
      </c>
      <c r="C666" s="1" t="s">
        <v>34</v>
      </c>
      <c r="D666" s="3">
        <v>2001</v>
      </c>
      <c r="E666">
        <v>5.2</v>
      </c>
      <c r="F666" s="1">
        <f t="shared" ca="1" si="20"/>
        <v>0.46543478260869564</v>
      </c>
      <c r="G666" s="1">
        <f t="shared" ca="1" si="21"/>
        <v>-926.80123188405798</v>
      </c>
      <c r="H666" s="1" cm="1">
        <f t="array" aca="1" ref="H666" ca="1">MIN(
  INDEX($E:$E, MATCH($A666, $A:$A, 0) + 23) +
  (F666 * (2030 - 2023)),
  100
)</f>
        <v>18.858043478260868</v>
      </c>
      <c r="I6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67" spans="1:9" hidden="1" x14ac:dyDescent="0.35">
      <c r="A667" s="1" t="s">
        <v>89</v>
      </c>
      <c r="B667" s="1" t="s">
        <v>174</v>
      </c>
      <c r="C667" s="1" t="s">
        <v>34</v>
      </c>
      <c r="D667" s="3">
        <v>2002</v>
      </c>
      <c r="E667">
        <v>5.6</v>
      </c>
      <c r="F667" s="1">
        <f t="shared" ca="1" si="20"/>
        <v>0.46543478260869564</v>
      </c>
      <c r="G667" s="1">
        <f t="shared" ca="1" si="21"/>
        <v>-926.80123188405798</v>
      </c>
      <c r="H667" s="1" cm="1">
        <f t="array" aca="1" ref="H667" ca="1">MIN(
  INDEX($E:$E, MATCH($A667, $A:$A, 0) + 23) +
  (F667 * (2030 - 2023)),
  100
)</f>
        <v>18.858043478260868</v>
      </c>
      <c r="I6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68" spans="1:9" hidden="1" x14ac:dyDescent="0.35">
      <c r="A668" s="1" t="s">
        <v>89</v>
      </c>
      <c r="B668" s="1" t="s">
        <v>174</v>
      </c>
      <c r="C668" s="1" t="s">
        <v>34</v>
      </c>
      <c r="D668" s="3">
        <v>2003</v>
      </c>
      <c r="E668">
        <v>6.2</v>
      </c>
      <c r="F668" s="1">
        <f t="shared" ca="1" si="20"/>
        <v>0.46543478260869564</v>
      </c>
      <c r="G668" s="1">
        <f t="shared" ca="1" si="21"/>
        <v>-926.80123188405798</v>
      </c>
      <c r="H668" s="1" cm="1">
        <f t="array" aca="1" ref="H668" ca="1">MIN(
  INDEX($E:$E, MATCH($A668, $A:$A, 0) + 23) +
  (F668 * (2030 - 2023)),
  100
)</f>
        <v>18.858043478260868</v>
      </c>
      <c r="I6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69" spans="1:9" hidden="1" x14ac:dyDescent="0.35">
      <c r="A669" s="1" t="s">
        <v>89</v>
      </c>
      <c r="B669" s="1" t="s">
        <v>174</v>
      </c>
      <c r="C669" s="1" t="s">
        <v>34</v>
      </c>
      <c r="D669" s="3">
        <v>2004</v>
      </c>
      <c r="E669">
        <v>6.9</v>
      </c>
      <c r="F669" s="1">
        <f t="shared" ca="1" si="20"/>
        <v>0.46543478260869564</v>
      </c>
      <c r="G669" s="1">
        <f t="shared" ca="1" si="21"/>
        <v>-926.80123188405798</v>
      </c>
      <c r="H669" s="1" cm="1">
        <f t="array" aca="1" ref="H669" ca="1">MIN(
  INDEX($E:$E, MATCH($A669, $A:$A, 0) + 23) +
  (F669 * (2030 - 2023)),
  100
)</f>
        <v>18.858043478260868</v>
      </c>
      <c r="I6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0" spans="1:9" hidden="1" x14ac:dyDescent="0.35">
      <c r="A670" s="1" t="s">
        <v>89</v>
      </c>
      <c r="B670" s="1" t="s">
        <v>174</v>
      </c>
      <c r="C670" s="1" t="s">
        <v>34</v>
      </c>
      <c r="D670" s="3">
        <v>2005</v>
      </c>
      <c r="E670">
        <v>6.6</v>
      </c>
      <c r="F670" s="1">
        <f t="shared" ca="1" si="20"/>
        <v>0.46543478260869564</v>
      </c>
      <c r="G670" s="1">
        <f t="shared" ca="1" si="21"/>
        <v>-926.80123188405798</v>
      </c>
      <c r="H670" s="1" cm="1">
        <f t="array" aca="1" ref="H670" ca="1">MIN(
  INDEX($E:$E, MATCH($A670, $A:$A, 0) + 23) +
  (F670 * (2030 - 2023)),
  100
)</f>
        <v>18.858043478260868</v>
      </c>
      <c r="I6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1" spans="1:9" hidden="1" x14ac:dyDescent="0.35">
      <c r="A671" s="1" t="s">
        <v>89</v>
      </c>
      <c r="B671" s="1" t="s">
        <v>174</v>
      </c>
      <c r="C671" s="1" t="s">
        <v>34</v>
      </c>
      <c r="D671" s="3">
        <v>2006</v>
      </c>
      <c r="E671">
        <v>3.7</v>
      </c>
      <c r="F671" s="1">
        <f t="shared" ca="1" si="20"/>
        <v>0.46543478260869564</v>
      </c>
      <c r="G671" s="1">
        <f t="shared" ca="1" si="21"/>
        <v>-926.80123188405798</v>
      </c>
      <c r="H671" s="1" cm="1">
        <f t="array" aca="1" ref="H671" ca="1">MIN(
  INDEX($E:$E, MATCH($A671, $A:$A, 0) + 23) +
  (F671 * (2030 - 2023)),
  100
)</f>
        <v>18.858043478260868</v>
      </c>
      <c r="I6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2" spans="1:9" hidden="1" x14ac:dyDescent="0.35">
      <c r="A672" s="1" t="s">
        <v>89</v>
      </c>
      <c r="B672" s="1" t="s">
        <v>174</v>
      </c>
      <c r="C672" s="1" t="s">
        <v>34</v>
      </c>
      <c r="D672" s="3">
        <v>2007</v>
      </c>
      <c r="E672">
        <v>7.4</v>
      </c>
      <c r="F672" s="1">
        <f t="shared" ca="1" si="20"/>
        <v>0.46543478260869564</v>
      </c>
      <c r="G672" s="1">
        <f t="shared" ca="1" si="21"/>
        <v>-926.80123188405798</v>
      </c>
      <c r="H672" s="1" cm="1">
        <f t="array" aca="1" ref="H672" ca="1">MIN(
  INDEX($E:$E, MATCH($A672, $A:$A, 0) + 23) +
  (F672 * (2030 - 2023)),
  100
)</f>
        <v>18.858043478260868</v>
      </c>
      <c r="I6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3" spans="1:9" hidden="1" x14ac:dyDescent="0.35">
      <c r="A673" s="1" t="s">
        <v>89</v>
      </c>
      <c r="B673" s="1" t="s">
        <v>174</v>
      </c>
      <c r="C673" s="1" t="s">
        <v>34</v>
      </c>
      <c r="D673" s="3">
        <v>2008</v>
      </c>
      <c r="E673">
        <v>7.8</v>
      </c>
      <c r="F673" s="1">
        <f t="shared" ca="1" si="20"/>
        <v>0.46543478260869564</v>
      </c>
      <c r="G673" s="1">
        <f t="shared" ca="1" si="21"/>
        <v>-926.80123188405798</v>
      </c>
      <c r="H673" s="1" cm="1">
        <f t="array" aca="1" ref="H673" ca="1">MIN(
  INDEX($E:$E, MATCH($A673, $A:$A, 0) + 23) +
  (F673 * (2030 - 2023)),
  100
)</f>
        <v>18.858043478260868</v>
      </c>
      <c r="I6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4" spans="1:9" hidden="1" x14ac:dyDescent="0.35">
      <c r="A674" s="1" t="s">
        <v>89</v>
      </c>
      <c r="B674" s="1" t="s">
        <v>174</v>
      </c>
      <c r="C674" s="1" t="s">
        <v>34</v>
      </c>
      <c r="D674" s="3">
        <v>2009</v>
      </c>
      <c r="E674">
        <v>8.3000000000000007</v>
      </c>
      <c r="F674" s="1">
        <f t="shared" ca="1" si="20"/>
        <v>0.46543478260869564</v>
      </c>
      <c r="G674" s="1">
        <f t="shared" ca="1" si="21"/>
        <v>-926.80123188405798</v>
      </c>
      <c r="H674" s="1" cm="1">
        <f t="array" aca="1" ref="H674" ca="1">MIN(
  INDEX($E:$E, MATCH($A674, $A:$A, 0) + 23) +
  (F674 * (2030 - 2023)),
  100
)</f>
        <v>18.858043478260868</v>
      </c>
      <c r="I67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5" spans="1:9" hidden="1" x14ac:dyDescent="0.35">
      <c r="A675" s="1" t="s">
        <v>89</v>
      </c>
      <c r="B675" s="1" t="s">
        <v>174</v>
      </c>
      <c r="C675" s="1" t="s">
        <v>34</v>
      </c>
      <c r="D675" s="3">
        <v>2010</v>
      </c>
      <c r="E675">
        <v>8.6999999999999993</v>
      </c>
      <c r="F675" s="1">
        <f t="shared" ca="1" si="20"/>
        <v>0.46543478260869564</v>
      </c>
      <c r="G675" s="1">
        <f t="shared" ca="1" si="21"/>
        <v>-926.80123188405798</v>
      </c>
      <c r="H675" s="1" cm="1">
        <f t="array" aca="1" ref="H675" ca="1">MIN(
  INDEX($E:$E, MATCH($A675, $A:$A, 0) + 23) +
  (F675 * (2030 - 2023)),
  100
)</f>
        <v>18.858043478260868</v>
      </c>
      <c r="I67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6" spans="1:9" hidden="1" x14ac:dyDescent="0.35">
      <c r="A676" s="1" t="s">
        <v>89</v>
      </c>
      <c r="B676" s="1" t="s">
        <v>174</v>
      </c>
      <c r="C676" s="1" t="s">
        <v>34</v>
      </c>
      <c r="D676" s="3">
        <v>2011</v>
      </c>
      <c r="E676">
        <v>7.6</v>
      </c>
      <c r="F676" s="1">
        <f t="shared" ca="1" si="20"/>
        <v>0.46543478260869564</v>
      </c>
      <c r="G676" s="1">
        <f t="shared" ca="1" si="21"/>
        <v>-926.80123188405798</v>
      </c>
      <c r="H676" s="1" cm="1">
        <f t="array" aca="1" ref="H676" ca="1">MIN(
  INDEX($E:$E, MATCH($A676, $A:$A, 0) + 23) +
  (F676 * (2030 - 2023)),
  100
)</f>
        <v>18.858043478260868</v>
      </c>
      <c r="I67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7" spans="1:9" hidden="1" x14ac:dyDescent="0.35">
      <c r="A677" s="1" t="s">
        <v>89</v>
      </c>
      <c r="B677" s="1" t="s">
        <v>174</v>
      </c>
      <c r="C677" s="1" t="s">
        <v>34</v>
      </c>
      <c r="D677" s="3">
        <v>2012</v>
      </c>
      <c r="E677">
        <v>7.4</v>
      </c>
      <c r="F677" s="1">
        <f t="shared" ca="1" si="20"/>
        <v>0.46543478260869564</v>
      </c>
      <c r="G677" s="1">
        <f t="shared" ca="1" si="21"/>
        <v>-926.80123188405798</v>
      </c>
      <c r="H677" s="1" cm="1">
        <f t="array" aca="1" ref="H677" ca="1">MIN(
  INDEX($E:$E, MATCH($A677, $A:$A, 0) + 23) +
  (F677 * (2030 - 2023)),
  100
)</f>
        <v>18.858043478260868</v>
      </c>
      <c r="I67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8" spans="1:9" hidden="1" x14ac:dyDescent="0.35">
      <c r="A678" s="1" t="s">
        <v>89</v>
      </c>
      <c r="B678" s="1" t="s">
        <v>174</v>
      </c>
      <c r="C678" s="1" t="s">
        <v>34</v>
      </c>
      <c r="D678" s="3">
        <v>2013</v>
      </c>
      <c r="E678">
        <v>9</v>
      </c>
      <c r="F678" s="1">
        <f t="shared" ca="1" si="20"/>
        <v>0.46543478260869564</v>
      </c>
      <c r="G678" s="1">
        <f t="shared" ca="1" si="21"/>
        <v>-926.80123188405798</v>
      </c>
      <c r="H678" s="1" cm="1">
        <f t="array" aca="1" ref="H678" ca="1">MIN(
  INDEX($E:$E, MATCH($A678, $A:$A, 0) + 23) +
  (F678 * (2030 - 2023)),
  100
)</f>
        <v>18.858043478260868</v>
      </c>
      <c r="I67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79" spans="1:9" hidden="1" x14ac:dyDescent="0.35">
      <c r="A679" s="1" t="s">
        <v>89</v>
      </c>
      <c r="B679" s="1" t="s">
        <v>174</v>
      </c>
      <c r="C679" s="1" t="s">
        <v>34</v>
      </c>
      <c r="D679" s="3">
        <v>2014</v>
      </c>
      <c r="E679">
        <v>11.9</v>
      </c>
      <c r="F679" s="1">
        <f t="shared" ca="1" si="20"/>
        <v>0.46543478260869564</v>
      </c>
      <c r="G679" s="1">
        <f t="shared" ca="1" si="21"/>
        <v>-926.80123188405798</v>
      </c>
      <c r="H679" s="1" cm="1">
        <f t="array" aca="1" ref="H679" ca="1">MIN(
  INDEX($E:$E, MATCH($A679, $A:$A, 0) + 23) +
  (F679 * (2030 - 2023)),
  100
)</f>
        <v>18.858043478260868</v>
      </c>
      <c r="I67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0" spans="1:9" hidden="1" x14ac:dyDescent="0.35">
      <c r="A680" s="1" t="s">
        <v>89</v>
      </c>
      <c r="B680" s="1" t="s">
        <v>174</v>
      </c>
      <c r="C680" s="1" t="s">
        <v>34</v>
      </c>
      <c r="D680" s="3">
        <v>2015</v>
      </c>
      <c r="E680">
        <v>10.8</v>
      </c>
      <c r="F680" s="1">
        <f t="shared" ca="1" si="20"/>
        <v>0.46543478260869564</v>
      </c>
      <c r="G680" s="1">
        <f t="shared" ca="1" si="21"/>
        <v>-926.80123188405798</v>
      </c>
      <c r="H680" s="1" cm="1">
        <f t="array" aca="1" ref="H680" ca="1">MIN(
  INDEX($E:$E, MATCH($A680, $A:$A, 0) + 23) +
  (F680 * (2030 - 2023)),
  100
)</f>
        <v>18.858043478260868</v>
      </c>
      <c r="I68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1" spans="1:9" hidden="1" x14ac:dyDescent="0.35">
      <c r="A681" s="1" t="s">
        <v>89</v>
      </c>
      <c r="B681" s="1" t="s">
        <v>174</v>
      </c>
      <c r="C681" s="1" t="s">
        <v>34</v>
      </c>
      <c r="D681" s="3">
        <v>2016</v>
      </c>
      <c r="E681">
        <v>11</v>
      </c>
      <c r="F681" s="1">
        <f t="shared" ca="1" si="20"/>
        <v>0.46543478260869564</v>
      </c>
      <c r="G681" s="1">
        <f t="shared" ca="1" si="21"/>
        <v>-926.80123188405798</v>
      </c>
      <c r="H681" s="1" cm="1">
        <f t="array" aca="1" ref="H681" ca="1">MIN(
  INDEX($E:$E, MATCH($A681, $A:$A, 0) + 23) +
  (F681 * (2030 - 2023)),
  100
)</f>
        <v>18.858043478260868</v>
      </c>
      <c r="I68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2" spans="1:9" hidden="1" x14ac:dyDescent="0.35">
      <c r="A682" s="1" t="s">
        <v>89</v>
      </c>
      <c r="B682" s="1" t="s">
        <v>174</v>
      </c>
      <c r="C682" s="1" t="s">
        <v>34</v>
      </c>
      <c r="D682" s="3">
        <v>2017</v>
      </c>
      <c r="E682">
        <v>12.7</v>
      </c>
      <c r="F682" s="1">
        <f t="shared" ca="1" si="20"/>
        <v>0.46543478260869564</v>
      </c>
      <c r="G682" s="1">
        <f t="shared" ca="1" si="21"/>
        <v>-926.80123188405798</v>
      </c>
      <c r="H682" s="1" cm="1">
        <f t="array" aca="1" ref="H682" ca="1">MIN(
  INDEX($E:$E, MATCH($A682, $A:$A, 0) + 23) +
  (F682 * (2030 - 2023)),
  100
)</f>
        <v>18.858043478260868</v>
      </c>
      <c r="I68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3" spans="1:9" hidden="1" x14ac:dyDescent="0.35">
      <c r="A683" s="1" t="s">
        <v>89</v>
      </c>
      <c r="B683" s="1" t="s">
        <v>174</v>
      </c>
      <c r="C683" s="1" t="s">
        <v>34</v>
      </c>
      <c r="D683" s="3">
        <v>2018</v>
      </c>
      <c r="E683">
        <v>18</v>
      </c>
      <c r="F683" s="1">
        <f t="shared" ca="1" si="20"/>
        <v>0.46543478260869564</v>
      </c>
      <c r="G683" s="1">
        <f t="shared" ca="1" si="21"/>
        <v>-926.80123188405798</v>
      </c>
      <c r="H683" s="1" cm="1">
        <f t="array" aca="1" ref="H683" ca="1">MIN(
  INDEX($E:$E, MATCH($A683, $A:$A, 0) + 23) +
  (F683 * (2030 - 2023)),
  100
)</f>
        <v>18.858043478260868</v>
      </c>
      <c r="I68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4" spans="1:9" hidden="1" x14ac:dyDescent="0.35">
      <c r="A684" s="1" t="s">
        <v>89</v>
      </c>
      <c r="B684" s="1" t="s">
        <v>174</v>
      </c>
      <c r="C684" s="1" t="s">
        <v>34</v>
      </c>
      <c r="D684" s="3">
        <v>2019</v>
      </c>
      <c r="E684">
        <v>11.2</v>
      </c>
      <c r="F684" s="1">
        <f t="shared" ca="1" si="20"/>
        <v>0.46543478260869564</v>
      </c>
      <c r="G684" s="1">
        <f t="shared" ca="1" si="21"/>
        <v>-926.80123188405798</v>
      </c>
      <c r="H684" s="1" cm="1">
        <f t="array" aca="1" ref="H684" ca="1">MIN(
  INDEX($E:$E, MATCH($A684, $A:$A, 0) + 23) +
  (F684 * (2030 - 2023)),
  100
)</f>
        <v>18.858043478260868</v>
      </c>
      <c r="I68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5" spans="1:9" hidden="1" x14ac:dyDescent="0.35">
      <c r="A685" s="1" t="s">
        <v>89</v>
      </c>
      <c r="B685" s="1" t="s">
        <v>174</v>
      </c>
      <c r="C685" s="1" t="s">
        <v>34</v>
      </c>
      <c r="D685" s="3">
        <v>2020</v>
      </c>
      <c r="E685">
        <v>11.5</v>
      </c>
      <c r="F685" s="1">
        <f t="shared" ca="1" si="20"/>
        <v>0.46543478260869564</v>
      </c>
      <c r="G685" s="1">
        <f t="shared" ca="1" si="21"/>
        <v>-926.80123188405798</v>
      </c>
      <c r="H685" s="1" cm="1">
        <f t="array" aca="1" ref="H685" ca="1">MIN(
  INDEX($E:$E, MATCH($A685, $A:$A, 0) + 23) +
  (F685 * (2030 - 2023)),
  100
)</f>
        <v>18.858043478260868</v>
      </c>
      <c r="I6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6" spans="1:9" hidden="1" x14ac:dyDescent="0.35">
      <c r="A686" s="1" t="s">
        <v>89</v>
      </c>
      <c r="B686" s="1" t="s">
        <v>174</v>
      </c>
      <c r="C686" s="1" t="s">
        <v>34</v>
      </c>
      <c r="D686" s="3">
        <v>2021</v>
      </c>
      <c r="E686">
        <v>14.2</v>
      </c>
      <c r="F686" s="1">
        <f t="shared" ca="1" si="20"/>
        <v>0.46543478260869564</v>
      </c>
      <c r="G686" s="1">
        <f t="shared" ca="1" si="21"/>
        <v>-926.80123188405798</v>
      </c>
      <c r="H686" s="1" cm="1">
        <f t="array" aca="1" ref="H686" ca="1">MIN(
  INDEX($E:$E, MATCH($A686, $A:$A, 0) + 23) +
  (F686 * (2030 - 2023)),
  100
)</f>
        <v>18.858043478260868</v>
      </c>
      <c r="I6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7" spans="1:9" hidden="1" x14ac:dyDescent="0.35">
      <c r="A687" s="1" t="s">
        <v>89</v>
      </c>
      <c r="B687" s="1" t="s">
        <v>174</v>
      </c>
      <c r="C687" s="1" t="s">
        <v>34</v>
      </c>
      <c r="D687" s="3">
        <v>2022</v>
      </c>
      <c r="E687">
        <v>14</v>
      </c>
      <c r="F687" s="1">
        <f t="shared" ca="1" si="20"/>
        <v>0.46543478260869564</v>
      </c>
      <c r="G687" s="1">
        <f t="shared" ca="1" si="21"/>
        <v>-926.80123188405798</v>
      </c>
      <c r="H687" s="1" cm="1">
        <f t="array" aca="1" ref="H687" ca="1">MIN(
  INDEX($E:$E, MATCH($A687, $A:$A, 0) + 23) +
  (F687 * (2030 - 2023)),
  100
)</f>
        <v>18.858043478260868</v>
      </c>
      <c r="I6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8" spans="1:9" x14ac:dyDescent="0.35">
      <c r="A688" s="1" t="s">
        <v>89</v>
      </c>
      <c r="B688" s="1" t="s">
        <v>174</v>
      </c>
      <c r="C688" s="1" t="s">
        <v>34</v>
      </c>
      <c r="D688" s="3">
        <v>2023</v>
      </c>
      <c r="E688">
        <v>15.6</v>
      </c>
      <c r="F688" s="4">
        <f t="shared" ca="1" si="20"/>
        <v>0.46543478260869564</v>
      </c>
      <c r="G688" s="4">
        <f t="shared" ca="1" si="21"/>
        <v>-926.80123188405798</v>
      </c>
      <c r="H688" s="4" cm="1">
        <f t="array" aca="1" ref="H688" ca="1">MIN(
  INDEX($E:$E, MATCH($A688, $A:$A, 0) + 23) +
  (F688 * (2030 - 2023)),
  100
)</f>
        <v>18.858043478260868</v>
      </c>
      <c r="I6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89" spans="1:9" hidden="1" x14ac:dyDescent="0.35">
      <c r="A689" s="1" t="s">
        <v>91</v>
      </c>
      <c r="B689" s="1" t="s">
        <v>176</v>
      </c>
      <c r="C689" s="1" t="s">
        <v>31</v>
      </c>
      <c r="D689" s="3">
        <v>2000</v>
      </c>
      <c r="E689">
        <v>36.5</v>
      </c>
      <c r="F689" s="1">
        <f t="shared" ca="1" si="20"/>
        <v>0.93569565217391304</v>
      </c>
      <c r="G689" s="1">
        <f t="shared" ca="1" si="21"/>
        <v>-1836.1143043478262</v>
      </c>
      <c r="H689" s="1" cm="1">
        <f t="array" aca="1" ref="H689" ca="1">MIN(
  INDEX($E:$E, MATCH($A689, $A:$A, 0) + 23) +
  (F689 * (2030 - 2023)),
  100
)</f>
        <v>63.249869565217395</v>
      </c>
      <c r="I6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0" spans="1:9" hidden="1" x14ac:dyDescent="0.35">
      <c r="A690" s="1" t="s">
        <v>91</v>
      </c>
      <c r="B690" s="1" t="s">
        <v>176</v>
      </c>
      <c r="C690" s="1" t="s">
        <v>31</v>
      </c>
      <c r="D690" s="3">
        <v>2001</v>
      </c>
      <c r="E690">
        <v>36</v>
      </c>
      <c r="F690" s="1">
        <f t="shared" ca="1" si="20"/>
        <v>0.93569565217391304</v>
      </c>
      <c r="G690" s="1">
        <f t="shared" ca="1" si="21"/>
        <v>-1836.1143043478262</v>
      </c>
      <c r="H690" s="1" cm="1">
        <f t="array" aca="1" ref="H690" ca="1">MIN(
  INDEX($E:$E, MATCH($A690, $A:$A, 0) + 23) +
  (F690 * (2030 - 2023)),
  100
)</f>
        <v>63.249869565217395</v>
      </c>
      <c r="I6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1" spans="1:9" hidden="1" x14ac:dyDescent="0.35">
      <c r="A691" s="1" t="s">
        <v>91</v>
      </c>
      <c r="B691" s="1" t="s">
        <v>176</v>
      </c>
      <c r="C691" s="1" t="s">
        <v>31</v>
      </c>
      <c r="D691" s="3">
        <v>2002</v>
      </c>
      <c r="E691">
        <v>36.9</v>
      </c>
      <c r="F691" s="1">
        <f t="shared" ca="1" si="20"/>
        <v>0.93569565217391304</v>
      </c>
      <c r="G691" s="1">
        <f t="shared" ca="1" si="21"/>
        <v>-1836.1143043478262</v>
      </c>
      <c r="H691" s="1" cm="1">
        <f t="array" aca="1" ref="H691" ca="1">MIN(
  INDEX($E:$E, MATCH($A691, $A:$A, 0) + 23) +
  (F691 * (2030 - 2023)),
  100
)</f>
        <v>63.249869565217395</v>
      </c>
      <c r="I6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2" spans="1:9" hidden="1" x14ac:dyDescent="0.35">
      <c r="A692" s="1" t="s">
        <v>91</v>
      </c>
      <c r="B692" s="1" t="s">
        <v>176</v>
      </c>
      <c r="C692" s="1" t="s">
        <v>31</v>
      </c>
      <c r="D692" s="3">
        <v>2003</v>
      </c>
      <c r="E692">
        <v>37.799999999999997</v>
      </c>
      <c r="F692" s="1">
        <f t="shared" ca="1" si="20"/>
        <v>0.93569565217391304</v>
      </c>
      <c r="G692" s="1">
        <f t="shared" ca="1" si="21"/>
        <v>-1836.1143043478262</v>
      </c>
      <c r="H692" s="1" cm="1">
        <f t="array" aca="1" ref="H692" ca="1">MIN(
  INDEX($E:$E, MATCH($A692, $A:$A, 0) + 23) +
  (F692 * (2030 - 2023)),
  100
)</f>
        <v>63.249869565217395</v>
      </c>
      <c r="I6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3" spans="1:9" hidden="1" x14ac:dyDescent="0.35">
      <c r="A693" s="1" t="s">
        <v>91</v>
      </c>
      <c r="B693" s="1" t="s">
        <v>176</v>
      </c>
      <c r="C693" s="1" t="s">
        <v>31</v>
      </c>
      <c r="D693" s="3">
        <v>2004</v>
      </c>
      <c r="E693">
        <v>38.700000000000003</v>
      </c>
      <c r="F693" s="1">
        <f t="shared" ca="1" si="20"/>
        <v>0.93569565217391304</v>
      </c>
      <c r="G693" s="1">
        <f t="shared" ca="1" si="21"/>
        <v>-1836.1143043478262</v>
      </c>
      <c r="H693" s="1" cm="1">
        <f t="array" aca="1" ref="H693" ca="1">MIN(
  INDEX($E:$E, MATCH($A693, $A:$A, 0) + 23) +
  (F693 * (2030 - 2023)),
  100
)</f>
        <v>63.249869565217395</v>
      </c>
      <c r="I6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4" spans="1:9" hidden="1" x14ac:dyDescent="0.35">
      <c r="A694" s="1" t="s">
        <v>91</v>
      </c>
      <c r="B694" s="1" t="s">
        <v>176</v>
      </c>
      <c r="C694" s="1" t="s">
        <v>31</v>
      </c>
      <c r="D694" s="3">
        <v>2005</v>
      </c>
      <c r="E694">
        <v>39.6</v>
      </c>
      <c r="F694" s="1">
        <f t="shared" ca="1" si="20"/>
        <v>0.93569565217391304</v>
      </c>
      <c r="G694" s="1">
        <f t="shared" ca="1" si="21"/>
        <v>-1836.1143043478262</v>
      </c>
      <c r="H694" s="1" cm="1">
        <f t="array" aca="1" ref="H694" ca="1">MIN(
  INDEX($E:$E, MATCH($A694, $A:$A, 0) + 23) +
  (F694 * (2030 - 2023)),
  100
)</f>
        <v>63.249869565217395</v>
      </c>
      <c r="I6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5" spans="1:9" hidden="1" x14ac:dyDescent="0.35">
      <c r="A695" s="1" t="s">
        <v>91</v>
      </c>
      <c r="B695" s="1" t="s">
        <v>176</v>
      </c>
      <c r="C695" s="1" t="s">
        <v>31</v>
      </c>
      <c r="D695" s="3">
        <v>2006</v>
      </c>
      <c r="E695">
        <v>40.5</v>
      </c>
      <c r="F695" s="1">
        <f t="shared" ca="1" si="20"/>
        <v>0.93569565217391304</v>
      </c>
      <c r="G695" s="1">
        <f t="shared" ca="1" si="21"/>
        <v>-1836.1143043478262</v>
      </c>
      <c r="H695" s="1" cm="1">
        <f t="array" aca="1" ref="H695" ca="1">MIN(
  INDEX($E:$E, MATCH($A695, $A:$A, 0) + 23) +
  (F695 * (2030 - 2023)),
  100
)</f>
        <v>63.249869565217395</v>
      </c>
      <c r="I6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6" spans="1:9" hidden="1" x14ac:dyDescent="0.35">
      <c r="A696" s="1" t="s">
        <v>91</v>
      </c>
      <c r="B696" s="1" t="s">
        <v>176</v>
      </c>
      <c r="C696" s="1" t="s">
        <v>31</v>
      </c>
      <c r="D696" s="3">
        <v>2007</v>
      </c>
      <c r="E696">
        <v>43.7</v>
      </c>
      <c r="F696" s="1">
        <f t="shared" ca="1" si="20"/>
        <v>0.93569565217391304</v>
      </c>
      <c r="G696" s="1">
        <f t="shared" ca="1" si="21"/>
        <v>-1836.1143043478262</v>
      </c>
      <c r="H696" s="1" cm="1">
        <f t="array" aca="1" ref="H696" ca="1">MIN(
  INDEX($E:$E, MATCH($A696, $A:$A, 0) + 23) +
  (F696 * (2030 - 2023)),
  100
)</f>
        <v>63.249869565217395</v>
      </c>
      <c r="I6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7" spans="1:9" hidden="1" x14ac:dyDescent="0.35">
      <c r="A697" s="1" t="s">
        <v>91</v>
      </c>
      <c r="B697" s="1" t="s">
        <v>176</v>
      </c>
      <c r="C697" s="1" t="s">
        <v>31</v>
      </c>
      <c r="D697" s="3">
        <v>2008</v>
      </c>
      <c r="E697">
        <v>42.4</v>
      </c>
      <c r="F697" s="1">
        <f t="shared" ca="1" si="20"/>
        <v>0.93569565217391304</v>
      </c>
      <c r="G697" s="1">
        <f t="shared" ca="1" si="21"/>
        <v>-1836.1143043478262</v>
      </c>
      <c r="H697" s="1" cm="1">
        <f t="array" aca="1" ref="H697" ca="1">MIN(
  INDEX($E:$E, MATCH($A697, $A:$A, 0) + 23) +
  (F697 * (2030 - 2023)),
  100
)</f>
        <v>63.249869565217395</v>
      </c>
      <c r="I6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8" spans="1:9" hidden="1" x14ac:dyDescent="0.35">
      <c r="A698" s="1" t="s">
        <v>91</v>
      </c>
      <c r="B698" s="1" t="s">
        <v>176</v>
      </c>
      <c r="C698" s="1" t="s">
        <v>31</v>
      </c>
      <c r="D698" s="3">
        <v>2009</v>
      </c>
      <c r="E698">
        <v>44.1</v>
      </c>
      <c r="F698" s="1">
        <f t="shared" ca="1" si="20"/>
        <v>0.93569565217391304</v>
      </c>
      <c r="G698" s="1">
        <f t="shared" ca="1" si="21"/>
        <v>-1836.1143043478262</v>
      </c>
      <c r="H698" s="1" cm="1">
        <f t="array" aca="1" ref="H698" ca="1">MIN(
  INDEX($E:$E, MATCH($A698, $A:$A, 0) + 23) +
  (F698 * (2030 - 2023)),
  100
)</f>
        <v>63.249869565217395</v>
      </c>
      <c r="I69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699" spans="1:9" hidden="1" x14ac:dyDescent="0.35">
      <c r="A699" s="1" t="s">
        <v>91</v>
      </c>
      <c r="B699" s="1" t="s">
        <v>176</v>
      </c>
      <c r="C699" s="1" t="s">
        <v>31</v>
      </c>
      <c r="D699" s="3">
        <v>2010</v>
      </c>
      <c r="E699">
        <v>44.4</v>
      </c>
      <c r="F699" s="1">
        <f t="shared" ca="1" si="20"/>
        <v>0.93569565217391304</v>
      </c>
      <c r="G699" s="1">
        <f t="shared" ca="1" si="21"/>
        <v>-1836.1143043478262</v>
      </c>
      <c r="H699" s="1" cm="1">
        <f t="array" aca="1" ref="H699" ca="1">MIN(
  INDEX($E:$E, MATCH($A699, $A:$A, 0) + 23) +
  (F699 * (2030 - 2023)),
  100
)</f>
        <v>63.249869565217395</v>
      </c>
      <c r="I69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0" spans="1:9" hidden="1" x14ac:dyDescent="0.35">
      <c r="A700" s="1" t="s">
        <v>91</v>
      </c>
      <c r="B700" s="1" t="s">
        <v>176</v>
      </c>
      <c r="C700" s="1" t="s">
        <v>31</v>
      </c>
      <c r="D700" s="3">
        <v>2011</v>
      </c>
      <c r="E700">
        <v>42.3</v>
      </c>
      <c r="F700" s="1">
        <f t="shared" ca="1" si="20"/>
        <v>0.93569565217391304</v>
      </c>
      <c r="G700" s="1">
        <f t="shared" ca="1" si="21"/>
        <v>-1836.1143043478262</v>
      </c>
      <c r="H700" s="1" cm="1">
        <f t="array" aca="1" ref="H700" ca="1">MIN(
  INDEX($E:$E, MATCH($A700, $A:$A, 0) + 23) +
  (F700 * (2030 - 2023)),
  100
)</f>
        <v>63.249869565217395</v>
      </c>
      <c r="I70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1" spans="1:9" hidden="1" x14ac:dyDescent="0.35">
      <c r="A701" s="1" t="s">
        <v>91</v>
      </c>
      <c r="B701" s="1" t="s">
        <v>176</v>
      </c>
      <c r="C701" s="1" t="s">
        <v>31</v>
      </c>
      <c r="D701" s="3">
        <v>2012</v>
      </c>
      <c r="E701">
        <v>46.4</v>
      </c>
      <c r="F701" s="1">
        <f t="shared" ca="1" si="20"/>
        <v>0.93569565217391304</v>
      </c>
      <c r="G701" s="1">
        <f t="shared" ca="1" si="21"/>
        <v>-1836.1143043478262</v>
      </c>
      <c r="H701" s="1" cm="1">
        <f t="array" aca="1" ref="H701" ca="1">MIN(
  INDEX($E:$E, MATCH($A701, $A:$A, 0) + 23) +
  (F701 * (2030 - 2023)),
  100
)</f>
        <v>63.249869565217395</v>
      </c>
      <c r="I70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2" spans="1:9" hidden="1" x14ac:dyDescent="0.35">
      <c r="A702" s="1" t="s">
        <v>91</v>
      </c>
      <c r="B702" s="1" t="s">
        <v>176</v>
      </c>
      <c r="C702" s="1" t="s">
        <v>31</v>
      </c>
      <c r="D702" s="3">
        <v>2013</v>
      </c>
      <c r="E702">
        <v>47.4</v>
      </c>
      <c r="F702" s="1">
        <f t="shared" ca="1" si="20"/>
        <v>0.93569565217391304</v>
      </c>
      <c r="G702" s="1">
        <f t="shared" ca="1" si="21"/>
        <v>-1836.1143043478262</v>
      </c>
      <c r="H702" s="1" cm="1">
        <f t="array" aca="1" ref="H702" ca="1">MIN(
  INDEX($E:$E, MATCH($A702, $A:$A, 0) + 23) +
  (F702 * (2030 - 2023)),
  100
)</f>
        <v>63.249869565217395</v>
      </c>
      <c r="I70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3" spans="1:9" hidden="1" x14ac:dyDescent="0.35">
      <c r="A703" s="1" t="s">
        <v>91</v>
      </c>
      <c r="B703" s="1" t="s">
        <v>176</v>
      </c>
      <c r="C703" s="1" t="s">
        <v>31</v>
      </c>
      <c r="D703" s="3">
        <v>2014</v>
      </c>
      <c r="E703">
        <v>48.4</v>
      </c>
      <c r="F703" s="1">
        <f t="shared" ca="1" si="20"/>
        <v>0.93569565217391304</v>
      </c>
      <c r="G703" s="1">
        <f t="shared" ca="1" si="21"/>
        <v>-1836.1143043478262</v>
      </c>
      <c r="H703" s="1" cm="1">
        <f t="array" aca="1" ref="H703" ca="1">MIN(
  INDEX($E:$E, MATCH($A703, $A:$A, 0) + 23) +
  (F703 * (2030 - 2023)),
  100
)</f>
        <v>63.249869565217395</v>
      </c>
      <c r="I70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4" spans="1:9" hidden="1" x14ac:dyDescent="0.35">
      <c r="A704" s="1" t="s">
        <v>91</v>
      </c>
      <c r="B704" s="1" t="s">
        <v>176</v>
      </c>
      <c r="C704" s="1" t="s">
        <v>31</v>
      </c>
      <c r="D704" s="3">
        <v>2015</v>
      </c>
      <c r="E704">
        <v>51.6</v>
      </c>
      <c r="F704" s="1">
        <f t="shared" ca="1" si="20"/>
        <v>0.93569565217391304</v>
      </c>
      <c r="G704" s="1">
        <f t="shared" ca="1" si="21"/>
        <v>-1836.1143043478262</v>
      </c>
      <c r="H704" s="1" cm="1">
        <f t="array" aca="1" ref="H704" ca="1">MIN(
  INDEX($E:$E, MATCH($A704, $A:$A, 0) + 23) +
  (F704 * (2030 - 2023)),
  100
)</f>
        <v>63.249869565217395</v>
      </c>
      <c r="I70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5" spans="1:9" hidden="1" x14ac:dyDescent="0.35">
      <c r="A705" s="1" t="s">
        <v>91</v>
      </c>
      <c r="B705" s="1" t="s">
        <v>176</v>
      </c>
      <c r="C705" s="1" t="s">
        <v>31</v>
      </c>
      <c r="D705" s="3">
        <v>2016</v>
      </c>
      <c r="E705">
        <v>49.7</v>
      </c>
      <c r="F705" s="1">
        <f t="shared" ca="1" si="20"/>
        <v>0.93569565217391304</v>
      </c>
      <c r="G705" s="1">
        <f t="shared" ca="1" si="21"/>
        <v>-1836.1143043478262</v>
      </c>
      <c r="H705" s="1" cm="1">
        <f t="array" aca="1" ref="H705" ca="1">MIN(
  INDEX($E:$E, MATCH($A705, $A:$A, 0) + 23) +
  (F705 * (2030 - 2023)),
  100
)</f>
        <v>63.249869565217395</v>
      </c>
      <c r="I70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6" spans="1:9" hidden="1" x14ac:dyDescent="0.35">
      <c r="A706" s="1" t="s">
        <v>91</v>
      </c>
      <c r="B706" s="1" t="s">
        <v>176</v>
      </c>
      <c r="C706" s="1" t="s">
        <v>31</v>
      </c>
      <c r="D706" s="3">
        <v>2017</v>
      </c>
      <c r="E706">
        <v>52.5</v>
      </c>
      <c r="F706" s="1">
        <f t="shared" ref="F706:F769" ca="1" si="22">SLOPE(
  OFFSET($E$1, MATCH($A706, $A:$A, 0)-1, 0, 24, 1),
  OFFSET($D$1, MATCH($A706, $A:$A, 0)-1, 0, 24, 1)
)</f>
        <v>0.93569565217391304</v>
      </c>
      <c r="G706" s="1">
        <f t="shared" ref="G706:G769" ca="1" si="23">INTERCEPT(
  OFFSET($E$1, MATCH($A706, $A:$A, 0)-1, 0, 24, 1),
  OFFSET($D$1, MATCH($A706, $A:$A, 0)-1, 0, 24, 1)
)</f>
        <v>-1836.1143043478262</v>
      </c>
      <c r="H706" s="1" cm="1">
        <f t="array" aca="1" ref="H706" ca="1">MIN(
  INDEX($E:$E, MATCH($A706, $A:$A, 0) + 23) +
  (F706 * (2030 - 2023)),
  100
)</f>
        <v>63.249869565217395</v>
      </c>
      <c r="I70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7" spans="1:9" hidden="1" x14ac:dyDescent="0.35">
      <c r="A707" s="1" t="s">
        <v>91</v>
      </c>
      <c r="B707" s="1" t="s">
        <v>176</v>
      </c>
      <c r="C707" s="1" t="s">
        <v>31</v>
      </c>
      <c r="D707" s="3">
        <v>2018</v>
      </c>
      <c r="E707">
        <v>52.3</v>
      </c>
      <c r="F707" s="1">
        <f t="shared" ca="1" si="22"/>
        <v>0.93569565217391304</v>
      </c>
      <c r="G707" s="1">
        <f t="shared" ca="1" si="23"/>
        <v>-1836.1143043478262</v>
      </c>
      <c r="H707" s="1" cm="1">
        <f t="array" aca="1" ref="H707" ca="1">MIN(
  INDEX($E:$E, MATCH($A707, $A:$A, 0) + 23) +
  (F707 * (2030 - 2023)),
  100
)</f>
        <v>63.249869565217395</v>
      </c>
      <c r="I70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8" spans="1:9" hidden="1" x14ac:dyDescent="0.35">
      <c r="A708" s="1" t="s">
        <v>91</v>
      </c>
      <c r="B708" s="1" t="s">
        <v>176</v>
      </c>
      <c r="C708" s="1" t="s">
        <v>31</v>
      </c>
      <c r="D708" s="3">
        <v>2019</v>
      </c>
      <c r="E708">
        <v>53.3</v>
      </c>
      <c r="F708" s="1">
        <f t="shared" ca="1" si="22"/>
        <v>0.93569565217391304</v>
      </c>
      <c r="G708" s="1">
        <f t="shared" ca="1" si="23"/>
        <v>-1836.1143043478262</v>
      </c>
      <c r="H708" s="1" cm="1">
        <f t="array" aca="1" ref="H708" ca="1">MIN(
  INDEX($E:$E, MATCH($A708, $A:$A, 0) + 23) +
  (F708 * (2030 - 2023)),
  100
)</f>
        <v>63.249869565217395</v>
      </c>
      <c r="I70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09" spans="1:9" hidden="1" x14ac:dyDescent="0.35">
      <c r="A709" s="1" t="s">
        <v>91</v>
      </c>
      <c r="B709" s="1" t="s">
        <v>176</v>
      </c>
      <c r="C709" s="1" t="s">
        <v>31</v>
      </c>
      <c r="D709" s="3">
        <v>2020</v>
      </c>
      <c r="E709">
        <v>52.3</v>
      </c>
      <c r="F709" s="1">
        <f t="shared" ca="1" si="22"/>
        <v>0.93569565217391304</v>
      </c>
      <c r="G709" s="1">
        <f t="shared" ca="1" si="23"/>
        <v>-1836.1143043478262</v>
      </c>
      <c r="H709" s="1" cm="1">
        <f t="array" aca="1" ref="H709" ca="1">MIN(
  INDEX($E:$E, MATCH($A709, $A:$A, 0) + 23) +
  (F709 * (2030 - 2023)),
  100
)</f>
        <v>63.249869565217395</v>
      </c>
      <c r="I70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0" spans="1:9" hidden="1" x14ac:dyDescent="0.35">
      <c r="A710" s="1" t="s">
        <v>91</v>
      </c>
      <c r="B710" s="1" t="s">
        <v>176</v>
      </c>
      <c r="C710" s="1" t="s">
        <v>31</v>
      </c>
      <c r="D710" s="3">
        <v>2021</v>
      </c>
      <c r="E710">
        <v>55.2</v>
      </c>
      <c r="F710" s="1">
        <f t="shared" ca="1" si="22"/>
        <v>0.93569565217391304</v>
      </c>
      <c r="G710" s="1">
        <f t="shared" ca="1" si="23"/>
        <v>-1836.1143043478262</v>
      </c>
      <c r="H710" s="1" cm="1">
        <f t="array" aca="1" ref="H710" ca="1">MIN(
  INDEX($E:$E, MATCH($A710, $A:$A, 0) + 23) +
  (F710 * (2030 - 2023)),
  100
)</f>
        <v>63.249869565217395</v>
      </c>
      <c r="I71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1" spans="1:9" hidden="1" x14ac:dyDescent="0.35">
      <c r="A711" s="1" t="s">
        <v>91</v>
      </c>
      <c r="B711" s="1" t="s">
        <v>176</v>
      </c>
      <c r="C711" s="1" t="s">
        <v>31</v>
      </c>
      <c r="D711" s="3">
        <v>2022</v>
      </c>
      <c r="E711">
        <v>56.2</v>
      </c>
      <c r="F711" s="1">
        <f t="shared" ca="1" si="22"/>
        <v>0.93569565217391304</v>
      </c>
      <c r="G711" s="1">
        <f t="shared" ca="1" si="23"/>
        <v>-1836.1143043478262</v>
      </c>
      <c r="H711" s="1" cm="1">
        <f t="array" aca="1" ref="H711" ca="1">MIN(
  INDEX($E:$E, MATCH($A711, $A:$A, 0) + 23) +
  (F711 * (2030 - 2023)),
  100
)</f>
        <v>63.249869565217395</v>
      </c>
      <c r="I71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2" spans="1:9" x14ac:dyDescent="0.35">
      <c r="A712" s="1" t="s">
        <v>91</v>
      </c>
      <c r="B712" s="1" t="s">
        <v>176</v>
      </c>
      <c r="C712" s="1" t="s">
        <v>31</v>
      </c>
      <c r="D712" s="3">
        <v>2023</v>
      </c>
      <c r="E712">
        <v>56.7</v>
      </c>
      <c r="F712" s="4">
        <f t="shared" ca="1" si="22"/>
        <v>0.93569565217391304</v>
      </c>
      <c r="G712" s="4">
        <f t="shared" ca="1" si="23"/>
        <v>-1836.1143043478262</v>
      </c>
      <c r="H712" s="4" cm="1">
        <f t="array" aca="1" ref="H712" ca="1">MIN(
  INDEX($E:$E, MATCH($A712, $A:$A, 0) + 23) +
  (F712 * (2030 - 2023)),
  100
)</f>
        <v>63.249869565217395</v>
      </c>
      <c r="I71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3" spans="1:9" hidden="1" x14ac:dyDescent="0.35">
      <c r="A713" s="1" t="s">
        <v>93</v>
      </c>
      <c r="B713" s="1" t="s">
        <v>175</v>
      </c>
      <c r="C713" s="1" t="s">
        <v>34</v>
      </c>
      <c r="D713" s="3">
        <v>2000</v>
      </c>
      <c r="E713">
        <v>6.5</v>
      </c>
      <c r="F713" s="1">
        <f t="shared" ca="1" si="22"/>
        <v>0.59104347826086956</v>
      </c>
      <c r="G713" s="1">
        <f t="shared" ca="1" si="23"/>
        <v>-1175.058956521739</v>
      </c>
      <c r="H713" s="1" cm="1">
        <f t="array" aca="1" ref="H713" ca="1">MIN(
  INDEX($E:$E, MATCH($A713, $A:$A, 0) + 23) +
  (F713 * (2030 - 2023)),
  100
)</f>
        <v>24.23730434782609</v>
      </c>
      <c r="I71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4" spans="1:9" hidden="1" x14ac:dyDescent="0.35">
      <c r="A714" s="1" t="s">
        <v>93</v>
      </c>
      <c r="B714" s="1" t="s">
        <v>175</v>
      </c>
      <c r="C714" s="1" t="s">
        <v>34</v>
      </c>
      <c r="D714" s="3">
        <v>2001</v>
      </c>
      <c r="E714">
        <v>8.4</v>
      </c>
      <c r="F714" s="1">
        <f t="shared" ca="1" si="22"/>
        <v>0.59104347826086956</v>
      </c>
      <c r="G714" s="1">
        <f t="shared" ca="1" si="23"/>
        <v>-1175.058956521739</v>
      </c>
      <c r="H714" s="1" cm="1">
        <f t="array" aca="1" ref="H714" ca="1">MIN(
  INDEX($E:$E, MATCH($A714, $A:$A, 0) + 23) +
  (F714 * (2030 - 2023)),
  100
)</f>
        <v>24.23730434782609</v>
      </c>
      <c r="I71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5" spans="1:9" hidden="1" x14ac:dyDescent="0.35">
      <c r="A715" s="1" t="s">
        <v>93</v>
      </c>
      <c r="B715" s="1" t="s">
        <v>175</v>
      </c>
      <c r="C715" s="1" t="s">
        <v>34</v>
      </c>
      <c r="D715" s="3">
        <v>2002</v>
      </c>
      <c r="E715">
        <v>8.8000000000000007</v>
      </c>
      <c r="F715" s="1">
        <f t="shared" ca="1" si="22"/>
        <v>0.59104347826086956</v>
      </c>
      <c r="G715" s="1">
        <f t="shared" ca="1" si="23"/>
        <v>-1175.058956521739</v>
      </c>
      <c r="H715" s="1" cm="1">
        <f t="array" aca="1" ref="H715" ca="1">MIN(
  INDEX($E:$E, MATCH($A715, $A:$A, 0) + 23) +
  (F715 * (2030 - 2023)),
  100
)</f>
        <v>24.23730434782609</v>
      </c>
      <c r="I71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6" spans="1:9" hidden="1" x14ac:dyDescent="0.35">
      <c r="A716" s="1" t="s">
        <v>93</v>
      </c>
      <c r="B716" s="1" t="s">
        <v>175</v>
      </c>
      <c r="C716" s="1" t="s">
        <v>34</v>
      </c>
      <c r="D716" s="3">
        <v>2003</v>
      </c>
      <c r="E716">
        <v>9.3000000000000007</v>
      </c>
      <c r="F716" s="1">
        <f t="shared" ca="1" si="22"/>
        <v>0.59104347826086956</v>
      </c>
      <c r="G716" s="1">
        <f t="shared" ca="1" si="23"/>
        <v>-1175.058956521739</v>
      </c>
      <c r="H716" s="1" cm="1">
        <f t="array" aca="1" ref="H716" ca="1">MIN(
  INDEX($E:$E, MATCH($A716, $A:$A, 0) + 23) +
  (F716 * (2030 - 2023)),
  100
)</f>
        <v>24.23730434782609</v>
      </c>
      <c r="I71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7" spans="1:9" hidden="1" x14ac:dyDescent="0.35">
      <c r="A717" s="1" t="s">
        <v>93</v>
      </c>
      <c r="B717" s="1" t="s">
        <v>175</v>
      </c>
      <c r="C717" s="1" t="s">
        <v>34</v>
      </c>
      <c r="D717" s="3">
        <v>2004</v>
      </c>
      <c r="E717">
        <v>9.6999999999999993</v>
      </c>
      <c r="F717" s="1">
        <f t="shared" ca="1" si="22"/>
        <v>0.59104347826086956</v>
      </c>
      <c r="G717" s="1">
        <f t="shared" ca="1" si="23"/>
        <v>-1175.058956521739</v>
      </c>
      <c r="H717" s="1" cm="1">
        <f t="array" aca="1" ref="H717" ca="1">MIN(
  INDEX($E:$E, MATCH($A717, $A:$A, 0) + 23) +
  (F717 * (2030 - 2023)),
  100
)</f>
        <v>24.23730434782609</v>
      </c>
      <c r="I71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8" spans="1:9" hidden="1" x14ac:dyDescent="0.35">
      <c r="A718" s="1" t="s">
        <v>93</v>
      </c>
      <c r="B718" s="1" t="s">
        <v>175</v>
      </c>
      <c r="C718" s="1" t="s">
        <v>34</v>
      </c>
      <c r="D718" s="3">
        <v>2005</v>
      </c>
      <c r="E718">
        <v>7.1</v>
      </c>
      <c r="F718" s="1">
        <f t="shared" ca="1" si="22"/>
        <v>0.59104347826086956</v>
      </c>
      <c r="G718" s="1">
        <f t="shared" ca="1" si="23"/>
        <v>-1175.058956521739</v>
      </c>
      <c r="H718" s="1" cm="1">
        <f t="array" aca="1" ref="H718" ca="1">MIN(
  INDEX($E:$E, MATCH($A718, $A:$A, 0) + 23) +
  (F718 * (2030 - 2023)),
  100
)</f>
        <v>24.23730434782609</v>
      </c>
      <c r="I7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19" spans="1:9" hidden="1" x14ac:dyDescent="0.35">
      <c r="A719" s="1" t="s">
        <v>93</v>
      </c>
      <c r="B719" s="1" t="s">
        <v>175</v>
      </c>
      <c r="C719" s="1" t="s">
        <v>34</v>
      </c>
      <c r="D719" s="3">
        <v>2006</v>
      </c>
      <c r="E719">
        <v>9.3000000000000007</v>
      </c>
      <c r="F719" s="1">
        <f t="shared" ca="1" si="22"/>
        <v>0.59104347826086956</v>
      </c>
      <c r="G719" s="1">
        <f t="shared" ca="1" si="23"/>
        <v>-1175.058956521739</v>
      </c>
      <c r="H719" s="1" cm="1">
        <f t="array" aca="1" ref="H719" ca="1">MIN(
  INDEX($E:$E, MATCH($A719, $A:$A, 0) + 23) +
  (F719 * (2030 - 2023)),
  100
)</f>
        <v>24.23730434782609</v>
      </c>
      <c r="I7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0" spans="1:9" hidden="1" x14ac:dyDescent="0.35">
      <c r="A720" s="1" t="s">
        <v>93</v>
      </c>
      <c r="B720" s="1" t="s">
        <v>175</v>
      </c>
      <c r="C720" s="1" t="s">
        <v>34</v>
      </c>
      <c r="D720" s="3">
        <v>2007</v>
      </c>
      <c r="E720">
        <v>11.2</v>
      </c>
      <c r="F720" s="1">
        <f t="shared" ca="1" si="22"/>
        <v>0.59104347826086956</v>
      </c>
      <c r="G720" s="1">
        <f t="shared" ca="1" si="23"/>
        <v>-1175.058956521739</v>
      </c>
      <c r="H720" s="1" cm="1">
        <f t="array" aca="1" ref="H720" ca="1">MIN(
  INDEX($E:$E, MATCH($A720, $A:$A, 0) + 23) +
  (F720 * (2030 - 2023)),
  100
)</f>
        <v>24.23730434782609</v>
      </c>
      <c r="I7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1" spans="1:9" hidden="1" x14ac:dyDescent="0.35">
      <c r="A721" s="1" t="s">
        <v>93</v>
      </c>
      <c r="B721" s="1" t="s">
        <v>175</v>
      </c>
      <c r="C721" s="1" t="s">
        <v>34</v>
      </c>
      <c r="D721" s="3">
        <v>2008</v>
      </c>
      <c r="E721">
        <v>11.8</v>
      </c>
      <c r="F721" s="1">
        <f t="shared" ca="1" si="22"/>
        <v>0.59104347826086956</v>
      </c>
      <c r="G721" s="1">
        <f t="shared" ca="1" si="23"/>
        <v>-1175.058956521739</v>
      </c>
      <c r="H721" s="1" cm="1">
        <f t="array" aca="1" ref="H721" ca="1">MIN(
  INDEX($E:$E, MATCH($A721, $A:$A, 0) + 23) +
  (F721 * (2030 - 2023)),
  100
)</f>
        <v>24.23730434782609</v>
      </c>
      <c r="I72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2" spans="1:9" hidden="1" x14ac:dyDescent="0.35">
      <c r="A722" s="1" t="s">
        <v>93</v>
      </c>
      <c r="B722" s="1" t="s">
        <v>175</v>
      </c>
      <c r="C722" s="1" t="s">
        <v>34</v>
      </c>
      <c r="D722" s="3">
        <v>2009</v>
      </c>
      <c r="E722">
        <v>12.3</v>
      </c>
      <c r="F722" s="1">
        <f t="shared" ca="1" si="22"/>
        <v>0.59104347826086956</v>
      </c>
      <c r="G722" s="1">
        <f t="shared" ca="1" si="23"/>
        <v>-1175.058956521739</v>
      </c>
      <c r="H722" s="1" cm="1">
        <f t="array" aca="1" ref="H722" ca="1">MIN(
  INDEX($E:$E, MATCH($A722, $A:$A, 0) + 23) +
  (F722 * (2030 - 2023)),
  100
)</f>
        <v>24.23730434782609</v>
      </c>
      <c r="I7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3" spans="1:9" hidden="1" x14ac:dyDescent="0.35">
      <c r="A723" s="1" t="s">
        <v>93</v>
      </c>
      <c r="B723" s="1" t="s">
        <v>175</v>
      </c>
      <c r="C723" s="1" t="s">
        <v>34</v>
      </c>
      <c r="D723" s="3">
        <v>2010</v>
      </c>
      <c r="E723">
        <v>13.6</v>
      </c>
      <c r="F723" s="1">
        <f t="shared" ca="1" si="22"/>
        <v>0.59104347826086956</v>
      </c>
      <c r="G723" s="1">
        <f t="shared" ca="1" si="23"/>
        <v>-1175.058956521739</v>
      </c>
      <c r="H723" s="1" cm="1">
        <f t="array" aca="1" ref="H723" ca="1">MIN(
  INDEX($E:$E, MATCH($A723, $A:$A, 0) + 23) +
  (F723 * (2030 - 2023)),
  100
)</f>
        <v>24.23730434782609</v>
      </c>
      <c r="I7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4" spans="1:9" hidden="1" x14ac:dyDescent="0.35">
      <c r="A724" s="1" t="s">
        <v>93</v>
      </c>
      <c r="B724" s="1" t="s">
        <v>175</v>
      </c>
      <c r="C724" s="1" t="s">
        <v>34</v>
      </c>
      <c r="D724" s="3">
        <v>2011</v>
      </c>
      <c r="E724">
        <v>14.3</v>
      </c>
      <c r="F724" s="1">
        <f t="shared" ca="1" si="22"/>
        <v>0.59104347826086956</v>
      </c>
      <c r="G724" s="1">
        <f t="shared" ca="1" si="23"/>
        <v>-1175.058956521739</v>
      </c>
      <c r="H724" s="1" cm="1">
        <f t="array" aca="1" ref="H724" ca="1">MIN(
  INDEX($E:$E, MATCH($A724, $A:$A, 0) + 23) +
  (F724 * (2030 - 2023)),
  100
)</f>
        <v>24.23730434782609</v>
      </c>
      <c r="I7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5" spans="1:9" hidden="1" x14ac:dyDescent="0.35">
      <c r="A725" s="1" t="s">
        <v>93</v>
      </c>
      <c r="B725" s="1" t="s">
        <v>175</v>
      </c>
      <c r="C725" s="1" t="s">
        <v>34</v>
      </c>
      <c r="D725" s="3">
        <v>2012</v>
      </c>
      <c r="E725">
        <v>14.4</v>
      </c>
      <c r="F725" s="1">
        <f t="shared" ca="1" si="22"/>
        <v>0.59104347826086956</v>
      </c>
      <c r="G725" s="1">
        <f t="shared" ca="1" si="23"/>
        <v>-1175.058956521739</v>
      </c>
      <c r="H725" s="1" cm="1">
        <f t="array" aca="1" ref="H725" ca="1">MIN(
  INDEX($E:$E, MATCH($A725, $A:$A, 0) + 23) +
  (F725 * (2030 - 2023)),
  100
)</f>
        <v>24.23730434782609</v>
      </c>
      <c r="I7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6" spans="1:9" hidden="1" x14ac:dyDescent="0.35">
      <c r="A726" s="1" t="s">
        <v>93</v>
      </c>
      <c r="B726" s="1" t="s">
        <v>175</v>
      </c>
      <c r="C726" s="1" t="s">
        <v>34</v>
      </c>
      <c r="D726" s="3">
        <v>2013</v>
      </c>
      <c r="E726">
        <v>15.2</v>
      </c>
      <c r="F726" s="1">
        <f t="shared" ca="1" si="22"/>
        <v>0.59104347826086956</v>
      </c>
      <c r="G726" s="1">
        <f t="shared" ca="1" si="23"/>
        <v>-1175.058956521739</v>
      </c>
      <c r="H726" s="1" cm="1">
        <f t="array" aca="1" ref="H726" ca="1">MIN(
  INDEX($E:$E, MATCH($A726, $A:$A, 0) + 23) +
  (F726 * (2030 - 2023)),
  100
)</f>
        <v>24.23730434782609</v>
      </c>
      <c r="I7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7" spans="1:9" hidden="1" x14ac:dyDescent="0.35">
      <c r="A727" s="1" t="s">
        <v>93</v>
      </c>
      <c r="B727" s="1" t="s">
        <v>175</v>
      </c>
      <c r="C727" s="1" t="s">
        <v>34</v>
      </c>
      <c r="D727" s="3">
        <v>2014</v>
      </c>
      <c r="E727">
        <v>15.7</v>
      </c>
      <c r="F727" s="1">
        <f t="shared" ca="1" si="22"/>
        <v>0.59104347826086956</v>
      </c>
      <c r="G727" s="1">
        <f t="shared" ca="1" si="23"/>
        <v>-1175.058956521739</v>
      </c>
      <c r="H727" s="1" cm="1">
        <f t="array" aca="1" ref="H727" ca="1">MIN(
  INDEX($E:$E, MATCH($A727, $A:$A, 0) + 23) +
  (F727 * (2030 - 2023)),
  100
)</f>
        <v>24.23730434782609</v>
      </c>
      <c r="I7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8" spans="1:9" hidden="1" x14ac:dyDescent="0.35">
      <c r="A728" s="1" t="s">
        <v>93</v>
      </c>
      <c r="B728" s="1" t="s">
        <v>175</v>
      </c>
      <c r="C728" s="1" t="s">
        <v>34</v>
      </c>
      <c r="D728" s="3">
        <v>2015</v>
      </c>
      <c r="E728">
        <v>16.600000000000001</v>
      </c>
      <c r="F728" s="1">
        <f t="shared" ca="1" si="22"/>
        <v>0.59104347826086956</v>
      </c>
      <c r="G728" s="1">
        <f t="shared" ca="1" si="23"/>
        <v>-1175.058956521739</v>
      </c>
      <c r="H728" s="1" cm="1">
        <f t="array" aca="1" ref="H728" ca="1">MIN(
  INDEX($E:$E, MATCH($A728, $A:$A, 0) + 23) +
  (F728 * (2030 - 2023)),
  100
)</f>
        <v>24.23730434782609</v>
      </c>
      <c r="I7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29" spans="1:9" hidden="1" x14ac:dyDescent="0.35">
      <c r="A729" s="1" t="s">
        <v>93</v>
      </c>
      <c r="B729" s="1" t="s">
        <v>175</v>
      </c>
      <c r="C729" s="1" t="s">
        <v>34</v>
      </c>
      <c r="D729" s="3">
        <v>2016</v>
      </c>
      <c r="E729">
        <v>17</v>
      </c>
      <c r="F729" s="1">
        <f t="shared" ca="1" si="22"/>
        <v>0.59104347826086956</v>
      </c>
      <c r="G729" s="1">
        <f t="shared" ca="1" si="23"/>
        <v>-1175.058956521739</v>
      </c>
      <c r="H729" s="1" cm="1">
        <f t="array" aca="1" ref="H729" ca="1">MIN(
  INDEX($E:$E, MATCH($A729, $A:$A, 0) + 23) +
  (F729 * (2030 - 2023)),
  100
)</f>
        <v>24.23730434782609</v>
      </c>
      <c r="I7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0" spans="1:9" hidden="1" x14ac:dyDescent="0.35">
      <c r="A730" s="1" t="s">
        <v>93</v>
      </c>
      <c r="B730" s="1" t="s">
        <v>175</v>
      </c>
      <c r="C730" s="1" t="s">
        <v>34</v>
      </c>
      <c r="D730" s="3">
        <v>2017</v>
      </c>
      <c r="E730">
        <v>17.600000000000001</v>
      </c>
      <c r="F730" s="1">
        <f t="shared" ca="1" si="22"/>
        <v>0.59104347826086956</v>
      </c>
      <c r="G730" s="1">
        <f t="shared" ca="1" si="23"/>
        <v>-1175.058956521739</v>
      </c>
      <c r="H730" s="1" cm="1">
        <f t="array" aca="1" ref="H730" ca="1">MIN(
  INDEX($E:$E, MATCH($A730, $A:$A, 0) + 23) +
  (F730 * (2030 - 2023)),
  100
)</f>
        <v>24.23730434782609</v>
      </c>
      <c r="I7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1" spans="1:9" hidden="1" x14ac:dyDescent="0.35">
      <c r="A731" s="1" t="s">
        <v>93</v>
      </c>
      <c r="B731" s="1" t="s">
        <v>175</v>
      </c>
      <c r="C731" s="1" t="s">
        <v>34</v>
      </c>
      <c r="D731" s="3">
        <v>2018</v>
      </c>
      <c r="E731">
        <v>17.600000000000001</v>
      </c>
      <c r="F731" s="1">
        <f t="shared" ca="1" si="22"/>
        <v>0.59104347826086956</v>
      </c>
      <c r="G731" s="1">
        <f t="shared" ca="1" si="23"/>
        <v>-1175.058956521739</v>
      </c>
      <c r="H731" s="1" cm="1">
        <f t="array" aca="1" ref="H731" ca="1">MIN(
  INDEX($E:$E, MATCH($A731, $A:$A, 0) + 23) +
  (F731 * (2030 - 2023)),
  100
)</f>
        <v>24.23730434782609</v>
      </c>
      <c r="I7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2" spans="1:9" hidden="1" x14ac:dyDescent="0.35">
      <c r="A732" s="1" t="s">
        <v>93</v>
      </c>
      <c r="B732" s="1" t="s">
        <v>175</v>
      </c>
      <c r="C732" s="1" t="s">
        <v>34</v>
      </c>
      <c r="D732" s="3">
        <v>2019</v>
      </c>
      <c r="E732">
        <v>18.5</v>
      </c>
      <c r="F732" s="1">
        <f t="shared" ca="1" si="22"/>
        <v>0.59104347826086956</v>
      </c>
      <c r="G732" s="1">
        <f t="shared" ca="1" si="23"/>
        <v>-1175.058956521739</v>
      </c>
      <c r="H732" s="1" cm="1">
        <f t="array" aca="1" ref="H732" ca="1">MIN(
  INDEX($E:$E, MATCH($A732, $A:$A, 0) + 23) +
  (F732 * (2030 - 2023)),
  100
)</f>
        <v>24.23730434782609</v>
      </c>
      <c r="I73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3" spans="1:9" hidden="1" x14ac:dyDescent="0.35">
      <c r="A733" s="1" t="s">
        <v>93</v>
      </c>
      <c r="B733" s="1" t="s">
        <v>175</v>
      </c>
      <c r="C733" s="1" t="s">
        <v>34</v>
      </c>
      <c r="D733" s="3">
        <v>2020</v>
      </c>
      <c r="E733">
        <v>18.7</v>
      </c>
      <c r="F733" s="1">
        <f t="shared" ca="1" si="22"/>
        <v>0.59104347826086956</v>
      </c>
      <c r="G733" s="1">
        <f t="shared" ca="1" si="23"/>
        <v>-1175.058956521739</v>
      </c>
      <c r="H733" s="1" cm="1">
        <f t="array" aca="1" ref="H733" ca="1">MIN(
  INDEX($E:$E, MATCH($A733, $A:$A, 0) + 23) +
  (F733 * (2030 - 2023)),
  100
)</f>
        <v>24.23730434782609</v>
      </c>
      <c r="I7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4" spans="1:9" hidden="1" x14ac:dyDescent="0.35">
      <c r="A734" s="1" t="s">
        <v>93</v>
      </c>
      <c r="B734" s="1" t="s">
        <v>175</v>
      </c>
      <c r="C734" s="1" t="s">
        <v>34</v>
      </c>
      <c r="D734" s="3">
        <v>2021</v>
      </c>
      <c r="E734">
        <v>18.600000000000001</v>
      </c>
      <c r="F734" s="1">
        <f t="shared" ca="1" si="22"/>
        <v>0.59104347826086956</v>
      </c>
      <c r="G734" s="1">
        <f t="shared" ca="1" si="23"/>
        <v>-1175.058956521739</v>
      </c>
      <c r="H734" s="1" cm="1">
        <f t="array" aca="1" ref="H734" ca="1">MIN(
  INDEX($E:$E, MATCH($A734, $A:$A, 0) + 23) +
  (F734 * (2030 - 2023)),
  100
)</f>
        <v>24.23730434782609</v>
      </c>
      <c r="I7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5" spans="1:9" hidden="1" x14ac:dyDescent="0.35">
      <c r="A735" s="1" t="s">
        <v>93</v>
      </c>
      <c r="B735" s="1" t="s">
        <v>175</v>
      </c>
      <c r="C735" s="1" t="s">
        <v>34</v>
      </c>
      <c r="D735" s="3">
        <v>2022</v>
      </c>
      <c r="E735">
        <v>19.5</v>
      </c>
      <c r="F735" s="1">
        <f t="shared" ca="1" si="22"/>
        <v>0.59104347826086956</v>
      </c>
      <c r="G735" s="1">
        <f t="shared" ca="1" si="23"/>
        <v>-1175.058956521739</v>
      </c>
      <c r="H735" s="1" cm="1">
        <f t="array" aca="1" ref="H735" ca="1">MIN(
  INDEX($E:$E, MATCH($A735, $A:$A, 0) + 23) +
  (F735 * (2030 - 2023)),
  100
)</f>
        <v>24.23730434782609</v>
      </c>
      <c r="I7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6" spans="1:9" x14ac:dyDescent="0.35">
      <c r="A736" s="1" t="s">
        <v>93</v>
      </c>
      <c r="B736" s="1" t="s">
        <v>175</v>
      </c>
      <c r="C736" s="1" t="s">
        <v>34</v>
      </c>
      <c r="D736" s="3">
        <v>2023</v>
      </c>
      <c r="E736">
        <v>20.100000000000001</v>
      </c>
      <c r="F736" s="4">
        <f t="shared" ca="1" si="22"/>
        <v>0.59104347826086956</v>
      </c>
      <c r="G736" s="4">
        <f t="shared" ca="1" si="23"/>
        <v>-1175.058956521739</v>
      </c>
      <c r="H736" s="4" cm="1">
        <f t="array" aca="1" ref="H736" ca="1">MIN(
  INDEX($E:$E, MATCH($A736, $A:$A, 0) + 23) +
  (F736 * (2030 - 2023)),
  100
)</f>
        <v>24.23730434782609</v>
      </c>
      <c r="I7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7" spans="1:9" hidden="1" x14ac:dyDescent="0.35">
      <c r="A737" s="1" t="s">
        <v>95</v>
      </c>
      <c r="B737" s="1" t="s">
        <v>175</v>
      </c>
      <c r="C737" s="1" t="s">
        <v>31</v>
      </c>
      <c r="D737" s="3">
        <v>2000</v>
      </c>
      <c r="E737">
        <v>43.2</v>
      </c>
      <c r="F737" s="1">
        <f t="shared" ca="1" si="22"/>
        <v>0.68678260869565211</v>
      </c>
      <c r="G737" s="1">
        <f t="shared" ca="1" si="23"/>
        <v>-1329.1215507246375</v>
      </c>
      <c r="H737" s="1" cm="1">
        <f t="array" aca="1" ref="H737" ca="1">MIN(
  INDEX($E:$E, MATCH($A737, $A:$A, 0) + 23) +
  (F737 * (2030 - 2023)),
  100
)</f>
        <v>66.007478260869561</v>
      </c>
      <c r="I7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8" spans="1:9" hidden="1" x14ac:dyDescent="0.35">
      <c r="A738" s="1" t="s">
        <v>95</v>
      </c>
      <c r="B738" s="1" t="s">
        <v>175</v>
      </c>
      <c r="C738" s="1" t="s">
        <v>31</v>
      </c>
      <c r="D738" s="3">
        <v>2001</v>
      </c>
      <c r="E738">
        <v>43.9</v>
      </c>
      <c r="F738" s="1">
        <f t="shared" ca="1" si="22"/>
        <v>0.68678260869565211</v>
      </c>
      <c r="G738" s="1">
        <f t="shared" ca="1" si="23"/>
        <v>-1329.1215507246375</v>
      </c>
      <c r="H738" s="1" cm="1">
        <f t="array" aca="1" ref="H738" ca="1">MIN(
  INDEX($E:$E, MATCH($A738, $A:$A, 0) + 23) +
  (F738 * (2030 - 2023)),
  100
)</f>
        <v>66.007478260869561</v>
      </c>
      <c r="I73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39" spans="1:9" hidden="1" x14ac:dyDescent="0.35">
      <c r="A739" s="1" t="s">
        <v>95</v>
      </c>
      <c r="B739" s="1" t="s">
        <v>175</v>
      </c>
      <c r="C739" s="1" t="s">
        <v>31</v>
      </c>
      <c r="D739" s="3">
        <v>2002</v>
      </c>
      <c r="E739">
        <v>44.6</v>
      </c>
      <c r="F739" s="1">
        <f t="shared" ca="1" si="22"/>
        <v>0.68678260869565211</v>
      </c>
      <c r="G739" s="1">
        <f t="shared" ca="1" si="23"/>
        <v>-1329.1215507246375</v>
      </c>
      <c r="H739" s="1" cm="1">
        <f t="array" aca="1" ref="H739" ca="1">MIN(
  INDEX($E:$E, MATCH($A739, $A:$A, 0) + 23) +
  (F739 * (2030 - 2023)),
  100
)</f>
        <v>66.007478260869561</v>
      </c>
      <c r="I73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0" spans="1:9" hidden="1" x14ac:dyDescent="0.35">
      <c r="A740" s="1" t="s">
        <v>95</v>
      </c>
      <c r="B740" s="1" t="s">
        <v>175</v>
      </c>
      <c r="C740" s="1" t="s">
        <v>31</v>
      </c>
      <c r="D740" s="3">
        <v>2003</v>
      </c>
      <c r="E740">
        <v>52.2</v>
      </c>
      <c r="F740" s="1">
        <f t="shared" ca="1" si="22"/>
        <v>0.68678260869565211</v>
      </c>
      <c r="G740" s="1">
        <f t="shared" ca="1" si="23"/>
        <v>-1329.1215507246375</v>
      </c>
      <c r="H740" s="1" cm="1">
        <f t="array" aca="1" ref="H740" ca="1">MIN(
  INDEX($E:$E, MATCH($A740, $A:$A, 0) + 23) +
  (F740 * (2030 - 2023)),
  100
)</f>
        <v>66.007478260869561</v>
      </c>
      <c r="I74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1" spans="1:9" hidden="1" x14ac:dyDescent="0.35">
      <c r="A741" s="1" t="s">
        <v>95</v>
      </c>
      <c r="B741" s="1" t="s">
        <v>175</v>
      </c>
      <c r="C741" s="1" t="s">
        <v>31</v>
      </c>
      <c r="D741" s="3">
        <v>2004</v>
      </c>
      <c r="E741">
        <v>46.1</v>
      </c>
      <c r="F741" s="1">
        <f t="shared" ca="1" si="22"/>
        <v>0.68678260869565211</v>
      </c>
      <c r="G741" s="1">
        <f t="shared" ca="1" si="23"/>
        <v>-1329.1215507246375</v>
      </c>
      <c r="H741" s="1" cm="1">
        <f t="array" aca="1" ref="H741" ca="1">MIN(
  INDEX($E:$E, MATCH($A741, $A:$A, 0) + 23) +
  (F741 * (2030 - 2023)),
  100
)</f>
        <v>66.007478260869561</v>
      </c>
      <c r="I74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2" spans="1:9" hidden="1" x14ac:dyDescent="0.35">
      <c r="A742" s="1" t="s">
        <v>95</v>
      </c>
      <c r="B742" s="1" t="s">
        <v>175</v>
      </c>
      <c r="C742" s="1" t="s">
        <v>31</v>
      </c>
      <c r="D742" s="3">
        <v>2005</v>
      </c>
      <c r="E742">
        <v>46.8</v>
      </c>
      <c r="F742" s="1">
        <f t="shared" ca="1" si="22"/>
        <v>0.68678260869565211</v>
      </c>
      <c r="G742" s="1">
        <f t="shared" ca="1" si="23"/>
        <v>-1329.1215507246375</v>
      </c>
      <c r="H742" s="1" cm="1">
        <f t="array" aca="1" ref="H742" ca="1">MIN(
  INDEX($E:$E, MATCH($A742, $A:$A, 0) + 23) +
  (F742 * (2030 - 2023)),
  100
)</f>
        <v>66.007478260869561</v>
      </c>
      <c r="I74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3" spans="1:9" hidden="1" x14ac:dyDescent="0.35">
      <c r="A743" s="1" t="s">
        <v>95</v>
      </c>
      <c r="B743" s="1" t="s">
        <v>175</v>
      </c>
      <c r="C743" s="1" t="s">
        <v>31</v>
      </c>
      <c r="D743" s="3">
        <v>2006</v>
      </c>
      <c r="E743">
        <v>47.6</v>
      </c>
      <c r="F743" s="1">
        <f t="shared" ca="1" si="22"/>
        <v>0.68678260869565211</v>
      </c>
      <c r="G743" s="1">
        <f t="shared" ca="1" si="23"/>
        <v>-1329.1215507246375</v>
      </c>
      <c r="H743" s="1" cm="1">
        <f t="array" aca="1" ref="H743" ca="1">MIN(
  INDEX($E:$E, MATCH($A743, $A:$A, 0) + 23) +
  (F743 * (2030 - 2023)),
  100
)</f>
        <v>66.007478260869561</v>
      </c>
      <c r="I74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4" spans="1:9" hidden="1" x14ac:dyDescent="0.35">
      <c r="A744" s="1" t="s">
        <v>95</v>
      </c>
      <c r="B744" s="1" t="s">
        <v>175</v>
      </c>
      <c r="C744" s="1" t="s">
        <v>31</v>
      </c>
      <c r="D744" s="3">
        <v>2007</v>
      </c>
      <c r="E744">
        <v>50.1</v>
      </c>
      <c r="F744" s="1">
        <f t="shared" ca="1" si="22"/>
        <v>0.68678260869565211</v>
      </c>
      <c r="G744" s="1">
        <f t="shared" ca="1" si="23"/>
        <v>-1329.1215507246375</v>
      </c>
      <c r="H744" s="1" cm="1">
        <f t="array" aca="1" ref="H744" ca="1">MIN(
  INDEX($E:$E, MATCH($A744, $A:$A, 0) + 23) +
  (F744 * (2030 - 2023)),
  100
)</f>
        <v>66.007478260869561</v>
      </c>
      <c r="I74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5" spans="1:9" hidden="1" x14ac:dyDescent="0.35">
      <c r="A745" s="1" t="s">
        <v>95</v>
      </c>
      <c r="B745" s="1" t="s">
        <v>175</v>
      </c>
      <c r="C745" s="1" t="s">
        <v>31</v>
      </c>
      <c r="D745" s="3">
        <v>2008</v>
      </c>
      <c r="E745">
        <v>50.3</v>
      </c>
      <c r="F745" s="1">
        <f t="shared" ca="1" si="22"/>
        <v>0.68678260869565211</v>
      </c>
      <c r="G745" s="1">
        <f t="shared" ca="1" si="23"/>
        <v>-1329.1215507246375</v>
      </c>
      <c r="H745" s="1" cm="1">
        <f t="array" aca="1" ref="H745" ca="1">MIN(
  INDEX($E:$E, MATCH($A745, $A:$A, 0) + 23) +
  (F745 * (2030 - 2023)),
  100
)</f>
        <v>66.007478260869561</v>
      </c>
      <c r="I74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6" spans="1:9" hidden="1" x14ac:dyDescent="0.35">
      <c r="A746" s="1" t="s">
        <v>95</v>
      </c>
      <c r="B746" s="1" t="s">
        <v>175</v>
      </c>
      <c r="C746" s="1" t="s">
        <v>31</v>
      </c>
      <c r="D746" s="3">
        <v>2009</v>
      </c>
      <c r="E746">
        <v>50</v>
      </c>
      <c r="F746" s="1">
        <f t="shared" ca="1" si="22"/>
        <v>0.68678260869565211</v>
      </c>
      <c r="G746" s="1">
        <f t="shared" ca="1" si="23"/>
        <v>-1329.1215507246375</v>
      </c>
      <c r="H746" s="1" cm="1">
        <f t="array" aca="1" ref="H746" ca="1">MIN(
  INDEX($E:$E, MATCH($A746, $A:$A, 0) + 23) +
  (F746 * (2030 - 2023)),
  100
)</f>
        <v>66.007478260869561</v>
      </c>
      <c r="I74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7" spans="1:9" hidden="1" x14ac:dyDescent="0.35">
      <c r="A747" s="1" t="s">
        <v>95</v>
      </c>
      <c r="B747" s="1" t="s">
        <v>175</v>
      </c>
      <c r="C747" s="1" t="s">
        <v>31</v>
      </c>
      <c r="D747" s="3">
        <v>2010</v>
      </c>
      <c r="E747">
        <v>48</v>
      </c>
      <c r="F747" s="1">
        <f t="shared" ca="1" si="22"/>
        <v>0.68678260869565211</v>
      </c>
      <c r="G747" s="1">
        <f t="shared" ca="1" si="23"/>
        <v>-1329.1215507246375</v>
      </c>
      <c r="H747" s="1" cm="1">
        <f t="array" aca="1" ref="H747" ca="1">MIN(
  INDEX($E:$E, MATCH($A747, $A:$A, 0) + 23) +
  (F747 * (2030 - 2023)),
  100
)</f>
        <v>66.007478260869561</v>
      </c>
      <c r="I74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8" spans="1:9" hidden="1" x14ac:dyDescent="0.35">
      <c r="A748" s="1" t="s">
        <v>95</v>
      </c>
      <c r="B748" s="1" t="s">
        <v>175</v>
      </c>
      <c r="C748" s="1" t="s">
        <v>31</v>
      </c>
      <c r="D748" s="3">
        <v>2011</v>
      </c>
      <c r="E748">
        <v>55.9</v>
      </c>
      <c r="F748" s="1">
        <f t="shared" ca="1" si="22"/>
        <v>0.68678260869565211</v>
      </c>
      <c r="G748" s="1">
        <f t="shared" ca="1" si="23"/>
        <v>-1329.1215507246375</v>
      </c>
      <c r="H748" s="1" cm="1">
        <f t="array" aca="1" ref="H748" ca="1">MIN(
  INDEX($E:$E, MATCH($A748, $A:$A, 0) + 23) +
  (F748 * (2030 - 2023)),
  100
)</f>
        <v>66.007478260869561</v>
      </c>
      <c r="I74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49" spans="1:9" hidden="1" x14ac:dyDescent="0.35">
      <c r="A749" s="1" t="s">
        <v>95</v>
      </c>
      <c r="B749" s="1" t="s">
        <v>175</v>
      </c>
      <c r="C749" s="1" t="s">
        <v>31</v>
      </c>
      <c r="D749" s="3">
        <v>2012</v>
      </c>
      <c r="E749">
        <v>53</v>
      </c>
      <c r="F749" s="1">
        <f t="shared" ca="1" si="22"/>
        <v>0.68678260869565211</v>
      </c>
      <c r="G749" s="1">
        <f t="shared" ca="1" si="23"/>
        <v>-1329.1215507246375</v>
      </c>
      <c r="H749" s="1" cm="1">
        <f t="array" aca="1" ref="H749" ca="1">MIN(
  INDEX($E:$E, MATCH($A749, $A:$A, 0) + 23) +
  (F749 * (2030 - 2023)),
  100
)</f>
        <v>66.007478260869561</v>
      </c>
      <c r="I74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0" spans="1:9" hidden="1" x14ac:dyDescent="0.35">
      <c r="A750" s="1" t="s">
        <v>95</v>
      </c>
      <c r="B750" s="1" t="s">
        <v>175</v>
      </c>
      <c r="C750" s="1" t="s">
        <v>31</v>
      </c>
      <c r="D750" s="3">
        <v>2013</v>
      </c>
      <c r="E750">
        <v>55.6</v>
      </c>
      <c r="F750" s="1">
        <f t="shared" ca="1" si="22"/>
        <v>0.68678260869565211</v>
      </c>
      <c r="G750" s="1">
        <f t="shared" ca="1" si="23"/>
        <v>-1329.1215507246375</v>
      </c>
      <c r="H750" s="1" cm="1">
        <f t="array" aca="1" ref="H750" ca="1">MIN(
  INDEX($E:$E, MATCH($A750, $A:$A, 0) + 23) +
  (F750 * (2030 - 2023)),
  100
)</f>
        <v>66.007478260869561</v>
      </c>
      <c r="I75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1" spans="1:9" hidden="1" x14ac:dyDescent="0.35">
      <c r="A751" s="1" t="s">
        <v>95</v>
      </c>
      <c r="B751" s="1" t="s">
        <v>175</v>
      </c>
      <c r="C751" s="1" t="s">
        <v>31</v>
      </c>
      <c r="D751" s="3">
        <v>2014</v>
      </c>
      <c r="E751">
        <v>54.2</v>
      </c>
      <c r="F751" s="1">
        <f t="shared" ca="1" si="22"/>
        <v>0.68678260869565211</v>
      </c>
      <c r="G751" s="1">
        <f t="shared" ca="1" si="23"/>
        <v>-1329.1215507246375</v>
      </c>
      <c r="H751" s="1" cm="1">
        <f t="array" aca="1" ref="H751" ca="1">MIN(
  INDEX($E:$E, MATCH($A751, $A:$A, 0) + 23) +
  (F751 * (2030 - 2023)),
  100
)</f>
        <v>66.007478260869561</v>
      </c>
      <c r="I75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2" spans="1:9" hidden="1" x14ac:dyDescent="0.35">
      <c r="A752" s="1" t="s">
        <v>95</v>
      </c>
      <c r="B752" s="1" t="s">
        <v>175</v>
      </c>
      <c r="C752" s="1" t="s">
        <v>31</v>
      </c>
      <c r="D752" s="3">
        <v>2015</v>
      </c>
      <c r="E752">
        <v>52.5</v>
      </c>
      <c r="F752" s="1">
        <f t="shared" ca="1" si="22"/>
        <v>0.68678260869565211</v>
      </c>
      <c r="G752" s="1">
        <f t="shared" ca="1" si="23"/>
        <v>-1329.1215507246375</v>
      </c>
      <c r="H752" s="1" cm="1">
        <f t="array" aca="1" ref="H752" ca="1">MIN(
  INDEX($E:$E, MATCH($A752, $A:$A, 0) + 23) +
  (F752 * (2030 - 2023)),
  100
)</f>
        <v>66.007478260869561</v>
      </c>
      <c r="I75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3" spans="1:9" hidden="1" x14ac:dyDescent="0.35">
      <c r="A753" s="1" t="s">
        <v>95</v>
      </c>
      <c r="B753" s="1" t="s">
        <v>175</v>
      </c>
      <c r="C753" s="1" t="s">
        <v>31</v>
      </c>
      <c r="D753" s="3">
        <v>2016</v>
      </c>
      <c r="E753">
        <v>59.3</v>
      </c>
      <c r="F753" s="1">
        <f t="shared" ca="1" si="22"/>
        <v>0.68678260869565211</v>
      </c>
      <c r="G753" s="1">
        <f t="shared" ca="1" si="23"/>
        <v>-1329.1215507246375</v>
      </c>
      <c r="H753" s="1" cm="1">
        <f t="array" aca="1" ref="H753" ca="1">MIN(
  INDEX($E:$E, MATCH($A753, $A:$A, 0) + 23) +
  (F753 * (2030 - 2023)),
  100
)</f>
        <v>66.007478260869561</v>
      </c>
      <c r="I75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4" spans="1:9" hidden="1" x14ac:dyDescent="0.35">
      <c r="A754" s="1" t="s">
        <v>95</v>
      </c>
      <c r="B754" s="1" t="s">
        <v>175</v>
      </c>
      <c r="C754" s="1" t="s">
        <v>31</v>
      </c>
      <c r="D754" s="3">
        <v>2017</v>
      </c>
      <c r="E754">
        <v>54.4</v>
      </c>
      <c r="F754" s="1">
        <f t="shared" ca="1" si="22"/>
        <v>0.68678260869565211</v>
      </c>
      <c r="G754" s="1">
        <f t="shared" ca="1" si="23"/>
        <v>-1329.1215507246375</v>
      </c>
      <c r="H754" s="1" cm="1">
        <f t="array" aca="1" ref="H754" ca="1">MIN(
  INDEX($E:$E, MATCH($A754, $A:$A, 0) + 23) +
  (F754 * (2030 - 2023)),
  100
)</f>
        <v>66.007478260869561</v>
      </c>
      <c r="I75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5" spans="1:9" hidden="1" x14ac:dyDescent="0.35">
      <c r="A755" s="1" t="s">
        <v>95</v>
      </c>
      <c r="B755" s="1" t="s">
        <v>175</v>
      </c>
      <c r="C755" s="1" t="s">
        <v>31</v>
      </c>
      <c r="D755" s="3">
        <v>2018</v>
      </c>
      <c r="E755">
        <v>56.5</v>
      </c>
      <c r="F755" s="1">
        <f t="shared" ca="1" si="22"/>
        <v>0.68678260869565211</v>
      </c>
      <c r="G755" s="1">
        <f t="shared" ca="1" si="23"/>
        <v>-1329.1215507246375</v>
      </c>
      <c r="H755" s="1" cm="1">
        <f t="array" aca="1" ref="H755" ca="1">MIN(
  INDEX($E:$E, MATCH($A755, $A:$A, 0) + 23) +
  (F755 * (2030 - 2023)),
  100
)</f>
        <v>66.007478260869561</v>
      </c>
      <c r="I75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6" spans="1:9" hidden="1" x14ac:dyDescent="0.35">
      <c r="A756" s="1" t="s">
        <v>95</v>
      </c>
      <c r="B756" s="1" t="s">
        <v>175</v>
      </c>
      <c r="C756" s="1" t="s">
        <v>31</v>
      </c>
      <c r="D756" s="3">
        <v>2019</v>
      </c>
      <c r="E756">
        <v>55.4</v>
      </c>
      <c r="F756" s="1">
        <f t="shared" ca="1" si="22"/>
        <v>0.68678260869565211</v>
      </c>
      <c r="G756" s="1">
        <f t="shared" ca="1" si="23"/>
        <v>-1329.1215507246375</v>
      </c>
      <c r="H756" s="1" cm="1">
        <f t="array" aca="1" ref="H756" ca="1">MIN(
  INDEX($E:$E, MATCH($A756, $A:$A, 0) + 23) +
  (F756 * (2030 - 2023)),
  100
)</f>
        <v>66.007478260869561</v>
      </c>
      <c r="I75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7" spans="1:9" hidden="1" x14ac:dyDescent="0.35">
      <c r="A757" s="1" t="s">
        <v>95</v>
      </c>
      <c r="B757" s="1" t="s">
        <v>175</v>
      </c>
      <c r="C757" s="1" t="s">
        <v>31</v>
      </c>
      <c r="D757" s="3">
        <v>2020</v>
      </c>
      <c r="E757">
        <v>55.4</v>
      </c>
      <c r="F757" s="1">
        <f t="shared" ca="1" si="22"/>
        <v>0.68678260869565211</v>
      </c>
      <c r="G757" s="1">
        <f t="shared" ca="1" si="23"/>
        <v>-1329.1215507246375</v>
      </c>
      <c r="H757" s="1" cm="1">
        <f t="array" aca="1" ref="H757" ca="1">MIN(
  INDEX($E:$E, MATCH($A757, $A:$A, 0) + 23) +
  (F757 * (2030 - 2023)),
  100
)</f>
        <v>66.007478260869561</v>
      </c>
      <c r="I75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8" spans="1:9" hidden="1" x14ac:dyDescent="0.35">
      <c r="A758" s="1" t="s">
        <v>95</v>
      </c>
      <c r="B758" s="1" t="s">
        <v>175</v>
      </c>
      <c r="C758" s="1" t="s">
        <v>31</v>
      </c>
      <c r="D758" s="3">
        <v>2021</v>
      </c>
      <c r="E758">
        <v>59.5</v>
      </c>
      <c r="F758" s="1">
        <f t="shared" ca="1" si="22"/>
        <v>0.68678260869565211</v>
      </c>
      <c r="G758" s="1">
        <f t="shared" ca="1" si="23"/>
        <v>-1329.1215507246375</v>
      </c>
      <c r="H758" s="1" cm="1">
        <f t="array" aca="1" ref="H758" ca="1">MIN(
  INDEX($E:$E, MATCH($A758, $A:$A, 0) + 23) +
  (F758 * (2030 - 2023)),
  100
)</f>
        <v>66.007478260869561</v>
      </c>
      <c r="I75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59" spans="1:9" hidden="1" x14ac:dyDescent="0.35">
      <c r="A759" s="1" t="s">
        <v>95</v>
      </c>
      <c r="B759" s="1" t="s">
        <v>175</v>
      </c>
      <c r="C759" s="1" t="s">
        <v>31</v>
      </c>
      <c r="D759" s="3">
        <v>2022</v>
      </c>
      <c r="E759">
        <v>60.5</v>
      </c>
      <c r="F759" s="1">
        <f t="shared" ca="1" si="22"/>
        <v>0.68678260869565211</v>
      </c>
      <c r="G759" s="1">
        <f t="shared" ca="1" si="23"/>
        <v>-1329.1215507246375</v>
      </c>
      <c r="H759" s="1" cm="1">
        <f t="array" aca="1" ref="H759" ca="1">MIN(
  INDEX($E:$E, MATCH($A759, $A:$A, 0) + 23) +
  (F759 * (2030 - 2023)),
  100
)</f>
        <v>66.007478260869561</v>
      </c>
      <c r="I75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60" spans="1:9" x14ac:dyDescent="0.35">
      <c r="A760" s="1" t="s">
        <v>95</v>
      </c>
      <c r="B760" s="1" t="s">
        <v>175</v>
      </c>
      <c r="C760" s="1" t="s">
        <v>31</v>
      </c>
      <c r="D760" s="3">
        <v>2023</v>
      </c>
      <c r="E760">
        <v>61.2</v>
      </c>
      <c r="F760" s="4">
        <f t="shared" ca="1" si="22"/>
        <v>0.68678260869565211</v>
      </c>
      <c r="G760" s="4">
        <f t="shared" ca="1" si="23"/>
        <v>-1329.1215507246375</v>
      </c>
      <c r="H760" s="4" cm="1">
        <f t="array" aca="1" ref="H760" ca="1">MIN(
  INDEX($E:$E, MATCH($A760, $A:$A, 0) + 23) +
  (F760 * (2030 - 2023)),
  100
)</f>
        <v>66.007478260869561</v>
      </c>
      <c r="I76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61" spans="1:9" hidden="1" x14ac:dyDescent="0.35">
      <c r="A761" s="1" t="s">
        <v>97</v>
      </c>
      <c r="B761" s="1" t="s">
        <v>174</v>
      </c>
      <c r="C761" s="1" t="s">
        <v>34</v>
      </c>
      <c r="D761" s="3">
        <v>2000</v>
      </c>
      <c r="E761">
        <v>6.2</v>
      </c>
      <c r="F761" s="1">
        <f t="shared" ca="1" si="22"/>
        <v>2.3069130434782608</v>
      </c>
      <c r="G761" s="1">
        <f t="shared" ca="1" si="23"/>
        <v>-4618.0264202898552</v>
      </c>
      <c r="H761" s="1" cm="1">
        <f t="array" aca="1" ref="H761" ca="1">MIN(
  INDEX($E:$E, MATCH($A761, $A:$A, 0) + 23) +
  (F761 * (2030 - 2023)),
  100
)</f>
        <v>80.048391304347831</v>
      </c>
      <c r="I76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2" spans="1:9" hidden="1" x14ac:dyDescent="0.35">
      <c r="A762" s="1" t="s">
        <v>97</v>
      </c>
      <c r="B762" s="1" t="s">
        <v>174</v>
      </c>
      <c r="C762" s="1" t="s">
        <v>34</v>
      </c>
      <c r="D762" s="3">
        <v>2001</v>
      </c>
      <c r="E762">
        <v>4.7</v>
      </c>
      <c r="F762" s="1">
        <f t="shared" ca="1" si="22"/>
        <v>2.3069130434782608</v>
      </c>
      <c r="G762" s="1">
        <f t="shared" ca="1" si="23"/>
        <v>-4618.0264202898552</v>
      </c>
      <c r="H762" s="1" cm="1">
        <f t="array" aca="1" ref="H762" ca="1">MIN(
  INDEX($E:$E, MATCH($A762, $A:$A, 0) + 23) +
  (F762 * (2030 - 2023)),
  100
)</f>
        <v>80.048391304347831</v>
      </c>
      <c r="I76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3" spans="1:9" hidden="1" x14ac:dyDescent="0.35">
      <c r="A763" s="1" t="s">
        <v>97</v>
      </c>
      <c r="B763" s="1" t="s">
        <v>174</v>
      </c>
      <c r="C763" s="1" t="s">
        <v>34</v>
      </c>
      <c r="D763" s="3">
        <v>2002</v>
      </c>
      <c r="E763">
        <v>6</v>
      </c>
      <c r="F763" s="1">
        <f t="shared" ca="1" si="22"/>
        <v>2.3069130434782608</v>
      </c>
      <c r="G763" s="1">
        <f t="shared" ca="1" si="23"/>
        <v>-4618.0264202898552</v>
      </c>
      <c r="H763" s="1" cm="1">
        <f t="array" aca="1" ref="H763" ca="1">MIN(
  INDEX($E:$E, MATCH($A763, $A:$A, 0) + 23) +
  (F763 * (2030 - 2023)),
  100
)</f>
        <v>80.048391304347831</v>
      </c>
      <c r="I76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4" spans="1:9" hidden="1" x14ac:dyDescent="0.35">
      <c r="A764" s="1" t="s">
        <v>97</v>
      </c>
      <c r="B764" s="1" t="s">
        <v>174</v>
      </c>
      <c r="C764" s="1" t="s">
        <v>34</v>
      </c>
      <c r="D764" s="3">
        <v>2003</v>
      </c>
      <c r="E764">
        <v>7.4</v>
      </c>
      <c r="F764" s="1">
        <f t="shared" ca="1" si="22"/>
        <v>2.3069130434782608</v>
      </c>
      <c r="G764" s="1">
        <f t="shared" ca="1" si="23"/>
        <v>-4618.0264202898552</v>
      </c>
      <c r="H764" s="1" cm="1">
        <f t="array" aca="1" ref="H764" ca="1">MIN(
  INDEX($E:$E, MATCH($A764, $A:$A, 0) + 23) +
  (F764 * (2030 - 2023)),
  100
)</f>
        <v>80.048391304347831</v>
      </c>
      <c r="I76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5" spans="1:9" hidden="1" x14ac:dyDescent="0.35">
      <c r="A765" s="1" t="s">
        <v>97</v>
      </c>
      <c r="B765" s="1" t="s">
        <v>174</v>
      </c>
      <c r="C765" s="1" t="s">
        <v>34</v>
      </c>
      <c r="D765" s="3">
        <v>2004</v>
      </c>
      <c r="E765">
        <v>8.6999999999999993</v>
      </c>
      <c r="F765" s="1">
        <f t="shared" ca="1" si="22"/>
        <v>2.3069130434782608</v>
      </c>
      <c r="G765" s="1">
        <f t="shared" ca="1" si="23"/>
        <v>-4618.0264202898552</v>
      </c>
      <c r="H765" s="1" cm="1">
        <f t="array" aca="1" ref="H765" ca="1">MIN(
  INDEX($E:$E, MATCH($A765, $A:$A, 0) + 23) +
  (F765 * (2030 - 2023)),
  100
)</f>
        <v>80.048391304347831</v>
      </c>
      <c r="I76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6" spans="1:9" hidden="1" x14ac:dyDescent="0.35">
      <c r="A766" s="1" t="s">
        <v>97</v>
      </c>
      <c r="B766" s="1" t="s">
        <v>174</v>
      </c>
      <c r="C766" s="1" t="s">
        <v>34</v>
      </c>
      <c r="D766" s="3">
        <v>2005</v>
      </c>
      <c r="E766">
        <v>4.8</v>
      </c>
      <c r="F766" s="1">
        <f t="shared" ca="1" si="22"/>
        <v>2.3069130434782608</v>
      </c>
      <c r="G766" s="1">
        <f t="shared" ca="1" si="23"/>
        <v>-4618.0264202898552</v>
      </c>
      <c r="H766" s="1" cm="1">
        <f t="array" aca="1" ref="H766" ca="1">MIN(
  INDEX($E:$E, MATCH($A766, $A:$A, 0) + 23) +
  (F766 * (2030 - 2023)),
  100
)</f>
        <v>80.048391304347831</v>
      </c>
      <c r="I76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7" spans="1:9" hidden="1" x14ac:dyDescent="0.35">
      <c r="A767" s="1" t="s">
        <v>97</v>
      </c>
      <c r="B767" s="1" t="s">
        <v>174</v>
      </c>
      <c r="C767" s="1" t="s">
        <v>34</v>
      </c>
      <c r="D767" s="3">
        <v>2006</v>
      </c>
      <c r="E767">
        <v>11.4</v>
      </c>
      <c r="F767" s="1">
        <f t="shared" ca="1" si="22"/>
        <v>2.3069130434782608</v>
      </c>
      <c r="G767" s="1">
        <f t="shared" ca="1" si="23"/>
        <v>-4618.0264202898552</v>
      </c>
      <c r="H767" s="1" cm="1">
        <f t="array" aca="1" ref="H767" ca="1">MIN(
  INDEX($E:$E, MATCH($A767, $A:$A, 0) + 23) +
  (F767 * (2030 - 2023)),
  100
)</f>
        <v>80.048391304347831</v>
      </c>
      <c r="I76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8" spans="1:9" hidden="1" x14ac:dyDescent="0.35">
      <c r="A768" s="1" t="s">
        <v>97</v>
      </c>
      <c r="B768" s="1" t="s">
        <v>174</v>
      </c>
      <c r="C768" s="1" t="s">
        <v>34</v>
      </c>
      <c r="D768" s="3">
        <v>2007</v>
      </c>
      <c r="E768">
        <v>12.8</v>
      </c>
      <c r="F768" s="1">
        <f t="shared" ca="1" si="22"/>
        <v>2.3069130434782608</v>
      </c>
      <c r="G768" s="1">
        <f t="shared" ca="1" si="23"/>
        <v>-4618.0264202898552</v>
      </c>
      <c r="H768" s="1" cm="1">
        <f t="array" aca="1" ref="H768" ca="1">MIN(
  INDEX($E:$E, MATCH($A768, $A:$A, 0) + 23) +
  (F768 * (2030 - 2023)),
  100
)</f>
        <v>80.048391304347831</v>
      </c>
      <c r="I76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69" spans="1:9" hidden="1" x14ac:dyDescent="0.35">
      <c r="A769" s="1" t="s">
        <v>97</v>
      </c>
      <c r="B769" s="1" t="s">
        <v>174</v>
      </c>
      <c r="C769" s="1" t="s">
        <v>34</v>
      </c>
      <c r="D769" s="3">
        <v>2008</v>
      </c>
      <c r="E769">
        <v>6</v>
      </c>
      <c r="F769" s="1">
        <f t="shared" ca="1" si="22"/>
        <v>2.3069130434782608</v>
      </c>
      <c r="G769" s="1">
        <f t="shared" ca="1" si="23"/>
        <v>-4618.0264202898552</v>
      </c>
      <c r="H769" s="1" cm="1">
        <f t="array" aca="1" ref="H769" ca="1">MIN(
  INDEX($E:$E, MATCH($A769, $A:$A, 0) + 23) +
  (F769 * (2030 - 2023)),
  100
)</f>
        <v>80.048391304347831</v>
      </c>
      <c r="I76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0" spans="1:9" hidden="1" x14ac:dyDescent="0.35">
      <c r="A770" s="1" t="s">
        <v>97</v>
      </c>
      <c r="B770" s="1" t="s">
        <v>174</v>
      </c>
      <c r="C770" s="1" t="s">
        <v>34</v>
      </c>
      <c r="D770" s="3">
        <v>2009</v>
      </c>
      <c r="E770">
        <v>15.6</v>
      </c>
      <c r="F770" s="1">
        <f t="shared" ref="F770:F833" ca="1" si="24">SLOPE(
  OFFSET($E$1, MATCH($A770, $A:$A, 0)-1, 0, 24, 1),
  OFFSET($D$1, MATCH($A770, $A:$A, 0)-1, 0, 24, 1)
)</f>
        <v>2.3069130434782608</v>
      </c>
      <c r="G770" s="1">
        <f t="shared" ref="G770:G833" ca="1" si="25">INTERCEPT(
  OFFSET($E$1, MATCH($A770, $A:$A, 0)-1, 0, 24, 1),
  OFFSET($D$1, MATCH($A770, $A:$A, 0)-1, 0, 24, 1)
)</f>
        <v>-4618.0264202898552</v>
      </c>
      <c r="H770" s="1" cm="1">
        <f t="array" aca="1" ref="H770" ca="1">MIN(
  INDEX($E:$E, MATCH($A770, $A:$A, 0) + 23) +
  (F770 * (2030 - 2023)),
  100
)</f>
        <v>80.048391304347831</v>
      </c>
      <c r="I77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1" spans="1:9" hidden="1" x14ac:dyDescent="0.35">
      <c r="A771" s="1" t="s">
        <v>97</v>
      </c>
      <c r="B771" s="1" t="s">
        <v>174</v>
      </c>
      <c r="C771" s="1" t="s">
        <v>34</v>
      </c>
      <c r="D771" s="3">
        <v>2010</v>
      </c>
      <c r="E771">
        <v>9.6999999999999993</v>
      </c>
      <c r="F771" s="1">
        <f t="shared" ca="1" si="24"/>
        <v>2.3069130434782608</v>
      </c>
      <c r="G771" s="1">
        <f t="shared" ca="1" si="25"/>
        <v>-4618.0264202898552</v>
      </c>
      <c r="H771" s="1" cm="1">
        <f t="array" aca="1" ref="H771" ca="1">MIN(
  INDEX($E:$E, MATCH($A771, $A:$A, 0) + 23) +
  (F771 * (2030 - 2023)),
  100
)</f>
        <v>80.048391304347831</v>
      </c>
      <c r="I77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2" spans="1:9" hidden="1" x14ac:dyDescent="0.35">
      <c r="A772" s="1" t="s">
        <v>97</v>
      </c>
      <c r="B772" s="1" t="s">
        <v>174</v>
      </c>
      <c r="C772" s="1" t="s">
        <v>34</v>
      </c>
      <c r="D772" s="3">
        <v>2011</v>
      </c>
      <c r="E772">
        <v>10.8</v>
      </c>
      <c r="F772" s="1">
        <f t="shared" ca="1" si="24"/>
        <v>2.3069130434782608</v>
      </c>
      <c r="G772" s="1">
        <f t="shared" ca="1" si="25"/>
        <v>-4618.0264202898552</v>
      </c>
      <c r="H772" s="1" cm="1">
        <f t="array" aca="1" ref="H772" ca="1">MIN(
  INDEX($E:$E, MATCH($A772, $A:$A, 0) + 23) +
  (F772 * (2030 - 2023)),
  100
)</f>
        <v>80.048391304347831</v>
      </c>
      <c r="I77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3" spans="1:9" hidden="1" x14ac:dyDescent="0.35">
      <c r="A773" s="1" t="s">
        <v>97</v>
      </c>
      <c r="B773" s="1" t="s">
        <v>174</v>
      </c>
      <c r="C773" s="1" t="s">
        <v>34</v>
      </c>
      <c r="D773" s="3">
        <v>2012</v>
      </c>
      <c r="E773">
        <v>17.5</v>
      </c>
      <c r="F773" s="1">
        <f t="shared" ca="1" si="24"/>
        <v>2.3069130434782608</v>
      </c>
      <c r="G773" s="1">
        <f t="shared" ca="1" si="25"/>
        <v>-4618.0264202898552</v>
      </c>
      <c r="H773" s="1" cm="1">
        <f t="array" aca="1" ref="H773" ca="1">MIN(
  INDEX($E:$E, MATCH($A773, $A:$A, 0) + 23) +
  (F773 * (2030 - 2023)),
  100
)</f>
        <v>80.048391304347831</v>
      </c>
      <c r="I77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4" spans="1:9" hidden="1" x14ac:dyDescent="0.35">
      <c r="A774" s="1" t="s">
        <v>97</v>
      </c>
      <c r="B774" s="1" t="s">
        <v>174</v>
      </c>
      <c r="C774" s="1" t="s">
        <v>34</v>
      </c>
      <c r="D774" s="3">
        <v>2013</v>
      </c>
      <c r="E774">
        <v>15.2</v>
      </c>
      <c r="F774" s="1">
        <f t="shared" ca="1" si="24"/>
        <v>2.3069130434782608</v>
      </c>
      <c r="G774" s="1">
        <f t="shared" ca="1" si="25"/>
        <v>-4618.0264202898552</v>
      </c>
      <c r="H774" s="1" cm="1">
        <f t="array" aca="1" ref="H774" ca="1">MIN(
  INDEX($E:$E, MATCH($A774, $A:$A, 0) + 23) +
  (F774 * (2030 - 2023)),
  100
)</f>
        <v>80.048391304347831</v>
      </c>
      <c r="I77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5" spans="1:9" hidden="1" x14ac:dyDescent="0.35">
      <c r="A775" s="1" t="s">
        <v>97</v>
      </c>
      <c r="B775" s="1" t="s">
        <v>174</v>
      </c>
      <c r="C775" s="1" t="s">
        <v>34</v>
      </c>
      <c r="D775" s="3">
        <v>2014</v>
      </c>
      <c r="E775">
        <v>19.8</v>
      </c>
      <c r="F775" s="1">
        <f t="shared" ca="1" si="24"/>
        <v>2.3069130434782608</v>
      </c>
      <c r="G775" s="1">
        <f t="shared" ca="1" si="25"/>
        <v>-4618.0264202898552</v>
      </c>
      <c r="H775" s="1" cm="1">
        <f t="array" aca="1" ref="H775" ca="1">MIN(
  INDEX($E:$E, MATCH($A775, $A:$A, 0) + 23) +
  (F775 * (2030 - 2023)),
  100
)</f>
        <v>80.048391304347831</v>
      </c>
      <c r="I77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6" spans="1:9" hidden="1" x14ac:dyDescent="0.35">
      <c r="A776" s="1" t="s">
        <v>97</v>
      </c>
      <c r="B776" s="1" t="s">
        <v>174</v>
      </c>
      <c r="C776" s="1" t="s">
        <v>34</v>
      </c>
      <c r="D776" s="3">
        <v>2015</v>
      </c>
      <c r="E776">
        <v>22.8</v>
      </c>
      <c r="F776" s="1">
        <f t="shared" ca="1" si="24"/>
        <v>2.3069130434782608</v>
      </c>
      <c r="G776" s="1">
        <f t="shared" ca="1" si="25"/>
        <v>-4618.0264202898552</v>
      </c>
      <c r="H776" s="1" cm="1">
        <f t="array" aca="1" ref="H776" ca="1">MIN(
  INDEX($E:$E, MATCH($A776, $A:$A, 0) + 23) +
  (F776 * (2030 - 2023)),
  100
)</f>
        <v>80.048391304347831</v>
      </c>
      <c r="I77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7" spans="1:9" hidden="1" x14ac:dyDescent="0.35">
      <c r="A777" s="1" t="s">
        <v>97</v>
      </c>
      <c r="B777" s="1" t="s">
        <v>174</v>
      </c>
      <c r="C777" s="1" t="s">
        <v>34</v>
      </c>
      <c r="D777" s="3">
        <v>2016</v>
      </c>
      <c r="E777">
        <v>29.4</v>
      </c>
      <c r="F777" s="1">
        <f t="shared" ca="1" si="24"/>
        <v>2.3069130434782608</v>
      </c>
      <c r="G777" s="1">
        <f t="shared" ca="1" si="25"/>
        <v>-4618.0264202898552</v>
      </c>
      <c r="H777" s="1" cm="1">
        <f t="array" aca="1" ref="H777" ca="1">MIN(
  INDEX($E:$E, MATCH($A777, $A:$A, 0) + 23) +
  (F777 * (2030 - 2023)),
  100
)</f>
        <v>80.048391304347831</v>
      </c>
      <c r="I77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8" spans="1:9" hidden="1" x14ac:dyDescent="0.35">
      <c r="A778" s="1" t="s">
        <v>97</v>
      </c>
      <c r="B778" s="1" t="s">
        <v>174</v>
      </c>
      <c r="C778" s="1" t="s">
        <v>34</v>
      </c>
      <c r="D778" s="3">
        <v>2017</v>
      </c>
      <c r="E778">
        <v>34.1</v>
      </c>
      <c r="F778" s="1">
        <f t="shared" ca="1" si="24"/>
        <v>2.3069130434782608</v>
      </c>
      <c r="G778" s="1">
        <f t="shared" ca="1" si="25"/>
        <v>-4618.0264202898552</v>
      </c>
      <c r="H778" s="1" cm="1">
        <f t="array" aca="1" ref="H778" ca="1">MIN(
  INDEX($E:$E, MATCH($A778, $A:$A, 0) + 23) +
  (F778 * (2030 - 2023)),
  100
)</f>
        <v>80.048391304347831</v>
      </c>
      <c r="I77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79" spans="1:9" hidden="1" x14ac:dyDescent="0.35">
      <c r="A779" s="1" t="s">
        <v>97</v>
      </c>
      <c r="B779" s="1" t="s">
        <v>174</v>
      </c>
      <c r="C779" s="1" t="s">
        <v>34</v>
      </c>
      <c r="D779" s="3">
        <v>2018</v>
      </c>
      <c r="E779">
        <v>38</v>
      </c>
      <c r="F779" s="1">
        <f t="shared" ca="1" si="24"/>
        <v>2.3069130434782608</v>
      </c>
      <c r="G779" s="1">
        <f t="shared" ca="1" si="25"/>
        <v>-4618.0264202898552</v>
      </c>
      <c r="H779" s="1" cm="1">
        <f t="array" aca="1" ref="H779" ca="1">MIN(
  INDEX($E:$E, MATCH($A779, $A:$A, 0) + 23) +
  (F779 * (2030 - 2023)),
  100
)</f>
        <v>80.048391304347831</v>
      </c>
      <c r="I77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80" spans="1:9" hidden="1" x14ac:dyDescent="0.35">
      <c r="A780" s="1" t="s">
        <v>97</v>
      </c>
      <c r="B780" s="1" t="s">
        <v>174</v>
      </c>
      <c r="C780" s="1" t="s">
        <v>34</v>
      </c>
      <c r="D780" s="3">
        <v>2019</v>
      </c>
      <c r="E780">
        <v>46.6</v>
      </c>
      <c r="F780" s="1">
        <f t="shared" ca="1" si="24"/>
        <v>2.3069130434782608</v>
      </c>
      <c r="G780" s="1">
        <f t="shared" ca="1" si="25"/>
        <v>-4618.0264202898552</v>
      </c>
      <c r="H780" s="1" cm="1">
        <f t="array" aca="1" ref="H780" ca="1">MIN(
  INDEX($E:$E, MATCH($A780, $A:$A, 0) + 23) +
  (F780 * (2030 - 2023)),
  100
)</f>
        <v>80.048391304347831</v>
      </c>
      <c r="I78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81" spans="1:9" hidden="1" x14ac:dyDescent="0.35">
      <c r="A781" s="1" t="s">
        <v>97</v>
      </c>
      <c r="B781" s="1" t="s">
        <v>174</v>
      </c>
      <c r="C781" s="1" t="s">
        <v>34</v>
      </c>
      <c r="D781" s="3">
        <v>2020</v>
      </c>
      <c r="E781">
        <v>45.2</v>
      </c>
      <c r="F781" s="1">
        <f t="shared" ca="1" si="24"/>
        <v>2.3069130434782608</v>
      </c>
      <c r="G781" s="1">
        <f t="shared" ca="1" si="25"/>
        <v>-4618.0264202898552</v>
      </c>
      <c r="H781" s="1" cm="1">
        <f t="array" aca="1" ref="H781" ca="1">MIN(
  INDEX($E:$E, MATCH($A781, $A:$A, 0) + 23) +
  (F781 * (2030 - 2023)),
  100
)</f>
        <v>80.048391304347831</v>
      </c>
      <c r="I78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82" spans="1:9" hidden="1" x14ac:dyDescent="0.35">
      <c r="A782" s="1" t="s">
        <v>97</v>
      </c>
      <c r="B782" s="1" t="s">
        <v>174</v>
      </c>
      <c r="C782" s="1" t="s">
        <v>34</v>
      </c>
      <c r="D782" s="3">
        <v>2021</v>
      </c>
      <c r="E782">
        <v>48.7</v>
      </c>
      <c r="F782" s="1">
        <f t="shared" ca="1" si="24"/>
        <v>2.3069130434782608</v>
      </c>
      <c r="G782" s="1">
        <f t="shared" ca="1" si="25"/>
        <v>-4618.0264202898552</v>
      </c>
      <c r="H782" s="1" cm="1">
        <f t="array" aca="1" ref="H782" ca="1">MIN(
  INDEX($E:$E, MATCH($A782, $A:$A, 0) + 23) +
  (F782 * (2030 - 2023)),
  100
)</f>
        <v>80.048391304347831</v>
      </c>
      <c r="I78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83" spans="1:9" hidden="1" x14ac:dyDescent="0.35">
      <c r="A783" s="1" t="s">
        <v>97</v>
      </c>
      <c r="B783" s="1" t="s">
        <v>174</v>
      </c>
      <c r="C783" s="1" t="s">
        <v>34</v>
      </c>
      <c r="D783" s="3">
        <v>2022</v>
      </c>
      <c r="E783">
        <v>50.6</v>
      </c>
      <c r="F783" s="1">
        <f t="shared" ca="1" si="24"/>
        <v>2.3069130434782608</v>
      </c>
      <c r="G783" s="1">
        <f t="shared" ca="1" si="25"/>
        <v>-4618.0264202898552</v>
      </c>
      <c r="H783" s="1" cm="1">
        <f t="array" aca="1" ref="H783" ca="1">MIN(
  INDEX($E:$E, MATCH($A783, $A:$A, 0) + 23) +
  (F783 * (2030 - 2023)),
  100
)</f>
        <v>80.048391304347831</v>
      </c>
      <c r="I78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84" spans="1:9" x14ac:dyDescent="0.35">
      <c r="A784" s="1" t="s">
        <v>97</v>
      </c>
      <c r="B784" s="1" t="s">
        <v>174</v>
      </c>
      <c r="C784" s="1" t="s">
        <v>34</v>
      </c>
      <c r="D784" s="3">
        <v>2023</v>
      </c>
      <c r="E784">
        <v>63.9</v>
      </c>
      <c r="F784" s="4">
        <f t="shared" ca="1" si="24"/>
        <v>2.3069130434782608</v>
      </c>
      <c r="G784" s="4">
        <f t="shared" ca="1" si="25"/>
        <v>-4618.0264202898552</v>
      </c>
      <c r="H784" s="4" cm="1">
        <f t="array" aca="1" ref="H784" ca="1">MIN(
  INDEX($E:$E, MATCH($A784, $A:$A, 0) + 23) +
  (F784 * (2030 - 2023)),
  100
)</f>
        <v>80.048391304347831</v>
      </c>
      <c r="I78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785" spans="1:9" hidden="1" x14ac:dyDescent="0.35">
      <c r="A785" s="1" t="s">
        <v>99</v>
      </c>
      <c r="B785" s="1" t="s">
        <v>173</v>
      </c>
      <c r="C785" s="1" t="s">
        <v>34</v>
      </c>
      <c r="D785" s="3">
        <v>2000</v>
      </c>
      <c r="E785">
        <v>23</v>
      </c>
      <c r="F785" s="1">
        <f t="shared" ca="1" si="24"/>
        <v>1.8550869565217394</v>
      </c>
      <c r="G785" s="1">
        <f t="shared" ca="1" si="25"/>
        <v>-3689.7699130434785</v>
      </c>
      <c r="H785" s="1" cm="1">
        <f t="array" aca="1" ref="H785" ca="1">MIN(
  INDEX($E:$E, MATCH($A785, $A:$A, 0) + 23) +
  (F785 * (2030 - 2023)),
  100
)</f>
        <v>78.985608695652175</v>
      </c>
      <c r="I7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86" spans="1:9" hidden="1" x14ac:dyDescent="0.35">
      <c r="A786" s="1" t="s">
        <v>99</v>
      </c>
      <c r="B786" s="1" t="s">
        <v>173</v>
      </c>
      <c r="C786" s="1" t="s">
        <v>34</v>
      </c>
      <c r="D786" s="3">
        <v>2001</v>
      </c>
      <c r="E786">
        <v>29.4</v>
      </c>
      <c r="F786" s="1">
        <f t="shared" ca="1" si="24"/>
        <v>1.8550869565217394</v>
      </c>
      <c r="G786" s="1">
        <f t="shared" ca="1" si="25"/>
        <v>-3689.7699130434785</v>
      </c>
      <c r="H786" s="1" cm="1">
        <f t="array" aca="1" ref="H786" ca="1">MIN(
  INDEX($E:$E, MATCH($A786, $A:$A, 0) + 23) +
  (F786 * (2030 - 2023)),
  100
)</f>
        <v>78.985608695652175</v>
      </c>
      <c r="I7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87" spans="1:9" hidden="1" x14ac:dyDescent="0.35">
      <c r="A787" s="1" t="s">
        <v>99</v>
      </c>
      <c r="B787" s="1" t="s">
        <v>173</v>
      </c>
      <c r="C787" s="1" t="s">
        <v>34</v>
      </c>
      <c r="D787" s="3">
        <v>2002</v>
      </c>
      <c r="E787">
        <v>29.7</v>
      </c>
      <c r="F787" s="1">
        <f t="shared" ca="1" si="24"/>
        <v>1.8550869565217394</v>
      </c>
      <c r="G787" s="1">
        <f t="shared" ca="1" si="25"/>
        <v>-3689.7699130434785</v>
      </c>
      <c r="H787" s="1" cm="1">
        <f t="array" aca="1" ref="H787" ca="1">MIN(
  INDEX($E:$E, MATCH($A787, $A:$A, 0) + 23) +
  (F787 * (2030 - 2023)),
  100
)</f>
        <v>78.985608695652175</v>
      </c>
      <c r="I7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88" spans="1:9" hidden="1" x14ac:dyDescent="0.35">
      <c r="A788" s="1" t="s">
        <v>99</v>
      </c>
      <c r="B788" s="1" t="s">
        <v>173</v>
      </c>
      <c r="C788" s="1" t="s">
        <v>34</v>
      </c>
      <c r="D788" s="3">
        <v>2003</v>
      </c>
      <c r="E788">
        <v>29.9</v>
      </c>
      <c r="F788" s="1">
        <f t="shared" ca="1" si="24"/>
        <v>1.8550869565217394</v>
      </c>
      <c r="G788" s="1">
        <f t="shared" ca="1" si="25"/>
        <v>-3689.7699130434785</v>
      </c>
      <c r="H788" s="1" cm="1">
        <f t="array" aca="1" ref="H788" ca="1">MIN(
  INDEX($E:$E, MATCH($A788, $A:$A, 0) + 23) +
  (F788 * (2030 - 2023)),
  100
)</f>
        <v>78.985608695652175</v>
      </c>
      <c r="I7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89" spans="1:9" hidden="1" x14ac:dyDescent="0.35">
      <c r="A789" s="1" t="s">
        <v>99</v>
      </c>
      <c r="B789" s="1" t="s">
        <v>173</v>
      </c>
      <c r="C789" s="1" t="s">
        <v>34</v>
      </c>
      <c r="D789" s="3">
        <v>2004</v>
      </c>
      <c r="E789">
        <v>30.2</v>
      </c>
      <c r="F789" s="1">
        <f t="shared" ca="1" si="24"/>
        <v>1.8550869565217394</v>
      </c>
      <c r="G789" s="1">
        <f t="shared" ca="1" si="25"/>
        <v>-3689.7699130434785</v>
      </c>
      <c r="H789" s="1" cm="1">
        <f t="array" aca="1" ref="H789" ca="1">MIN(
  INDEX($E:$E, MATCH($A789, $A:$A, 0) + 23) +
  (F789 * (2030 - 2023)),
  100
)</f>
        <v>78.985608695652175</v>
      </c>
      <c r="I7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0" spans="1:9" hidden="1" x14ac:dyDescent="0.35">
      <c r="A790" s="1" t="s">
        <v>99</v>
      </c>
      <c r="B790" s="1" t="s">
        <v>173</v>
      </c>
      <c r="C790" s="1" t="s">
        <v>34</v>
      </c>
      <c r="D790" s="3">
        <v>2005</v>
      </c>
      <c r="E790">
        <v>30.5</v>
      </c>
      <c r="F790" s="1">
        <f t="shared" ca="1" si="24"/>
        <v>1.8550869565217394</v>
      </c>
      <c r="G790" s="1">
        <f t="shared" ca="1" si="25"/>
        <v>-3689.7699130434785</v>
      </c>
      <c r="H790" s="1" cm="1">
        <f t="array" aca="1" ref="H790" ca="1">MIN(
  INDEX($E:$E, MATCH($A790, $A:$A, 0) + 23) +
  (F790 * (2030 - 2023)),
  100
)</f>
        <v>78.985608695652175</v>
      </c>
      <c r="I7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1" spans="1:9" hidden="1" x14ac:dyDescent="0.35">
      <c r="A791" s="1" t="s">
        <v>99</v>
      </c>
      <c r="B791" s="1" t="s">
        <v>173</v>
      </c>
      <c r="C791" s="1" t="s">
        <v>34</v>
      </c>
      <c r="D791" s="3">
        <v>2006</v>
      </c>
      <c r="E791">
        <v>30.8</v>
      </c>
      <c r="F791" s="1">
        <f t="shared" ca="1" si="24"/>
        <v>1.8550869565217394</v>
      </c>
      <c r="G791" s="1">
        <f t="shared" ca="1" si="25"/>
        <v>-3689.7699130434785</v>
      </c>
      <c r="H791" s="1" cm="1">
        <f t="array" aca="1" ref="H791" ca="1">MIN(
  INDEX($E:$E, MATCH($A791, $A:$A, 0) + 23) +
  (F791 * (2030 - 2023)),
  100
)</f>
        <v>78.985608695652175</v>
      </c>
      <c r="I7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2" spans="1:9" hidden="1" x14ac:dyDescent="0.35">
      <c r="A792" s="1" t="s">
        <v>99</v>
      </c>
      <c r="B792" s="1" t="s">
        <v>173</v>
      </c>
      <c r="C792" s="1" t="s">
        <v>34</v>
      </c>
      <c r="D792" s="3">
        <v>2007</v>
      </c>
      <c r="E792">
        <v>31.1</v>
      </c>
      <c r="F792" s="1">
        <f t="shared" ca="1" si="24"/>
        <v>1.8550869565217394</v>
      </c>
      <c r="G792" s="1">
        <f t="shared" ca="1" si="25"/>
        <v>-3689.7699130434785</v>
      </c>
      <c r="H792" s="1" cm="1">
        <f t="array" aca="1" ref="H792" ca="1">MIN(
  INDEX($E:$E, MATCH($A792, $A:$A, 0) + 23) +
  (F792 * (2030 - 2023)),
  100
)</f>
        <v>78.985608695652175</v>
      </c>
      <c r="I7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3" spans="1:9" hidden="1" x14ac:dyDescent="0.35">
      <c r="A793" s="1" t="s">
        <v>99</v>
      </c>
      <c r="B793" s="1" t="s">
        <v>173</v>
      </c>
      <c r="C793" s="1" t="s">
        <v>34</v>
      </c>
      <c r="D793" s="3">
        <v>2008</v>
      </c>
      <c r="E793">
        <v>20</v>
      </c>
      <c r="F793" s="1">
        <f t="shared" ca="1" si="24"/>
        <v>1.8550869565217394</v>
      </c>
      <c r="G793" s="1">
        <f t="shared" ca="1" si="25"/>
        <v>-3689.7699130434785</v>
      </c>
      <c r="H793" s="1" cm="1">
        <f t="array" aca="1" ref="H793" ca="1">MIN(
  INDEX($E:$E, MATCH($A793, $A:$A, 0) + 23) +
  (F793 * (2030 - 2023)),
  100
)</f>
        <v>78.985608695652175</v>
      </c>
      <c r="I7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4" spans="1:9" hidden="1" x14ac:dyDescent="0.35">
      <c r="A794" s="1" t="s">
        <v>99</v>
      </c>
      <c r="B794" s="1" t="s">
        <v>173</v>
      </c>
      <c r="C794" s="1" t="s">
        <v>34</v>
      </c>
      <c r="D794" s="3">
        <v>2009</v>
      </c>
      <c r="E794">
        <v>29</v>
      </c>
      <c r="F794" s="1">
        <f t="shared" ca="1" si="24"/>
        <v>1.8550869565217394</v>
      </c>
      <c r="G794" s="1">
        <f t="shared" ca="1" si="25"/>
        <v>-3689.7699130434785</v>
      </c>
      <c r="H794" s="1" cm="1">
        <f t="array" aca="1" ref="H794" ca="1">MIN(
  INDEX($E:$E, MATCH($A794, $A:$A, 0) + 23) +
  (F794 * (2030 - 2023)),
  100
)</f>
        <v>78.985608695652175</v>
      </c>
      <c r="I7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5" spans="1:9" hidden="1" x14ac:dyDescent="0.35">
      <c r="A795" s="1" t="s">
        <v>99</v>
      </c>
      <c r="B795" s="1" t="s">
        <v>173</v>
      </c>
      <c r="C795" s="1" t="s">
        <v>34</v>
      </c>
      <c r="D795" s="3">
        <v>2010</v>
      </c>
      <c r="E795">
        <v>36</v>
      </c>
      <c r="F795" s="1">
        <f t="shared" ca="1" si="24"/>
        <v>1.8550869565217394</v>
      </c>
      <c r="G795" s="1">
        <f t="shared" ca="1" si="25"/>
        <v>-3689.7699130434785</v>
      </c>
      <c r="H795" s="1" cm="1">
        <f t="array" aca="1" ref="H795" ca="1">MIN(
  INDEX($E:$E, MATCH($A795, $A:$A, 0) + 23) +
  (F795 * (2030 - 2023)),
  100
)</f>
        <v>78.985608695652175</v>
      </c>
      <c r="I7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6" spans="1:9" hidden="1" x14ac:dyDescent="0.35">
      <c r="A796" s="1" t="s">
        <v>99</v>
      </c>
      <c r="B796" s="1" t="s">
        <v>173</v>
      </c>
      <c r="C796" s="1" t="s">
        <v>34</v>
      </c>
      <c r="D796" s="3">
        <v>2011</v>
      </c>
      <c r="E796">
        <v>38.299999999999997</v>
      </c>
      <c r="F796" s="1">
        <f t="shared" ca="1" si="24"/>
        <v>1.8550869565217394</v>
      </c>
      <c r="G796" s="1">
        <f t="shared" ca="1" si="25"/>
        <v>-3689.7699130434785</v>
      </c>
      <c r="H796" s="1" cm="1">
        <f t="array" aca="1" ref="H796" ca="1">MIN(
  INDEX($E:$E, MATCH($A796, $A:$A, 0) + 23) +
  (F796 * (2030 - 2023)),
  100
)</f>
        <v>78.985608695652175</v>
      </c>
      <c r="I7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7" spans="1:9" hidden="1" x14ac:dyDescent="0.35">
      <c r="A797" s="1" t="s">
        <v>99</v>
      </c>
      <c r="B797" s="1" t="s">
        <v>173</v>
      </c>
      <c r="C797" s="1" t="s">
        <v>34</v>
      </c>
      <c r="D797" s="3">
        <v>2012</v>
      </c>
      <c r="E797">
        <v>40.700000000000003</v>
      </c>
      <c r="F797" s="1">
        <f t="shared" ca="1" si="24"/>
        <v>1.8550869565217394</v>
      </c>
      <c r="G797" s="1">
        <f t="shared" ca="1" si="25"/>
        <v>-3689.7699130434785</v>
      </c>
      <c r="H797" s="1" cm="1">
        <f t="array" aca="1" ref="H797" ca="1">MIN(
  INDEX($E:$E, MATCH($A797, $A:$A, 0) + 23) +
  (F797 * (2030 - 2023)),
  100
)</f>
        <v>78.985608695652175</v>
      </c>
      <c r="I7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8" spans="1:9" hidden="1" x14ac:dyDescent="0.35">
      <c r="A798" s="1" t="s">
        <v>99</v>
      </c>
      <c r="B798" s="1" t="s">
        <v>173</v>
      </c>
      <c r="C798" s="1" t="s">
        <v>34</v>
      </c>
      <c r="D798" s="3">
        <v>2013</v>
      </c>
      <c r="E798">
        <v>43.1</v>
      </c>
      <c r="F798" s="1">
        <f t="shared" ca="1" si="24"/>
        <v>1.8550869565217394</v>
      </c>
      <c r="G798" s="1">
        <f t="shared" ca="1" si="25"/>
        <v>-3689.7699130434785</v>
      </c>
      <c r="H798" s="1" cm="1">
        <f t="array" aca="1" ref="H798" ca="1">MIN(
  INDEX($E:$E, MATCH($A798, $A:$A, 0) + 23) +
  (F798 * (2030 - 2023)),
  100
)</f>
        <v>78.985608695652175</v>
      </c>
      <c r="I79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799" spans="1:9" hidden="1" x14ac:dyDescent="0.35">
      <c r="A799" s="1" t="s">
        <v>99</v>
      </c>
      <c r="B799" s="1" t="s">
        <v>173</v>
      </c>
      <c r="C799" s="1" t="s">
        <v>34</v>
      </c>
      <c r="D799" s="3">
        <v>2014</v>
      </c>
      <c r="E799">
        <v>44.9</v>
      </c>
      <c r="F799" s="1">
        <f t="shared" ca="1" si="24"/>
        <v>1.8550869565217394</v>
      </c>
      <c r="G799" s="1">
        <f t="shared" ca="1" si="25"/>
        <v>-3689.7699130434785</v>
      </c>
      <c r="H799" s="1" cm="1">
        <f t="array" aca="1" ref="H799" ca="1">MIN(
  INDEX($E:$E, MATCH($A799, $A:$A, 0) + 23) +
  (F799 * (2030 - 2023)),
  100
)</f>
        <v>78.985608695652175</v>
      </c>
      <c r="I79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0" spans="1:9" hidden="1" x14ac:dyDescent="0.35">
      <c r="A800" s="1" t="s">
        <v>99</v>
      </c>
      <c r="B800" s="1" t="s">
        <v>173</v>
      </c>
      <c r="C800" s="1" t="s">
        <v>34</v>
      </c>
      <c r="D800" s="3">
        <v>2015</v>
      </c>
      <c r="E800">
        <v>48</v>
      </c>
      <c r="F800" s="1">
        <f t="shared" ca="1" si="24"/>
        <v>1.8550869565217394</v>
      </c>
      <c r="G800" s="1">
        <f t="shared" ca="1" si="25"/>
        <v>-3689.7699130434785</v>
      </c>
      <c r="H800" s="1" cm="1">
        <f t="array" aca="1" ref="H800" ca="1">MIN(
  INDEX($E:$E, MATCH($A800, $A:$A, 0) + 23) +
  (F800 * (2030 - 2023)),
  100
)</f>
        <v>78.985608695652175</v>
      </c>
      <c r="I80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1" spans="1:9" hidden="1" x14ac:dyDescent="0.35">
      <c r="A801" s="1" t="s">
        <v>99</v>
      </c>
      <c r="B801" s="1" t="s">
        <v>173</v>
      </c>
      <c r="C801" s="1" t="s">
        <v>34</v>
      </c>
      <c r="D801" s="3">
        <v>2016</v>
      </c>
      <c r="E801">
        <v>50.5</v>
      </c>
      <c r="F801" s="1">
        <f t="shared" ca="1" si="24"/>
        <v>1.8550869565217394</v>
      </c>
      <c r="G801" s="1">
        <f t="shared" ca="1" si="25"/>
        <v>-3689.7699130434785</v>
      </c>
      <c r="H801" s="1" cm="1">
        <f t="array" aca="1" ref="H801" ca="1">MIN(
  INDEX($E:$E, MATCH($A801, $A:$A, 0) + 23) +
  (F801 * (2030 - 2023)),
  100
)</f>
        <v>78.985608695652175</v>
      </c>
      <c r="I80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2" spans="1:9" hidden="1" x14ac:dyDescent="0.35">
      <c r="A802" s="1" t="s">
        <v>99</v>
      </c>
      <c r="B802" s="1" t="s">
        <v>173</v>
      </c>
      <c r="C802" s="1" t="s">
        <v>34</v>
      </c>
      <c r="D802" s="3">
        <v>2017</v>
      </c>
      <c r="E802">
        <v>53</v>
      </c>
      <c r="F802" s="1">
        <f t="shared" ca="1" si="24"/>
        <v>1.8550869565217394</v>
      </c>
      <c r="G802" s="1">
        <f t="shared" ca="1" si="25"/>
        <v>-3689.7699130434785</v>
      </c>
      <c r="H802" s="1" cm="1">
        <f t="array" aca="1" ref="H802" ca="1">MIN(
  INDEX($E:$E, MATCH($A802, $A:$A, 0) + 23) +
  (F802 * (2030 - 2023)),
  100
)</f>
        <v>78.985608695652175</v>
      </c>
      <c r="I80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3" spans="1:9" hidden="1" x14ac:dyDescent="0.35">
      <c r="A803" s="1" t="s">
        <v>99</v>
      </c>
      <c r="B803" s="1" t="s">
        <v>173</v>
      </c>
      <c r="C803" s="1" t="s">
        <v>34</v>
      </c>
      <c r="D803" s="3">
        <v>2018</v>
      </c>
      <c r="E803">
        <v>55.3</v>
      </c>
      <c r="F803" s="1">
        <f t="shared" ca="1" si="24"/>
        <v>1.8550869565217394</v>
      </c>
      <c r="G803" s="1">
        <f t="shared" ca="1" si="25"/>
        <v>-3689.7699130434785</v>
      </c>
      <c r="H803" s="1" cm="1">
        <f t="array" aca="1" ref="H803" ca="1">MIN(
  INDEX($E:$E, MATCH($A803, $A:$A, 0) + 23) +
  (F803 * (2030 - 2023)),
  100
)</f>
        <v>78.985608695652175</v>
      </c>
      <c r="I80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4" spans="1:9" hidden="1" x14ac:dyDescent="0.35">
      <c r="A804" s="1" t="s">
        <v>99</v>
      </c>
      <c r="B804" s="1" t="s">
        <v>173</v>
      </c>
      <c r="C804" s="1" t="s">
        <v>34</v>
      </c>
      <c r="D804" s="3">
        <v>2019</v>
      </c>
      <c r="E804">
        <v>57.6</v>
      </c>
      <c r="F804" s="1">
        <f t="shared" ca="1" si="24"/>
        <v>1.8550869565217394</v>
      </c>
      <c r="G804" s="1">
        <f t="shared" ca="1" si="25"/>
        <v>-3689.7699130434785</v>
      </c>
      <c r="H804" s="1" cm="1">
        <f t="array" aca="1" ref="H804" ca="1">MIN(
  INDEX($E:$E, MATCH($A804, $A:$A, 0) + 23) +
  (F804 * (2030 - 2023)),
  100
)</f>
        <v>78.985608695652175</v>
      </c>
      <c r="I80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5" spans="1:9" hidden="1" x14ac:dyDescent="0.35">
      <c r="A805" s="1" t="s">
        <v>99</v>
      </c>
      <c r="B805" s="1" t="s">
        <v>173</v>
      </c>
      <c r="C805" s="1" t="s">
        <v>34</v>
      </c>
      <c r="D805" s="3">
        <v>2020</v>
      </c>
      <c r="E805">
        <v>59.7</v>
      </c>
      <c r="F805" s="1">
        <f t="shared" ca="1" si="24"/>
        <v>1.8550869565217394</v>
      </c>
      <c r="G805" s="1">
        <f t="shared" ca="1" si="25"/>
        <v>-3689.7699130434785</v>
      </c>
      <c r="H805" s="1" cm="1">
        <f t="array" aca="1" ref="H805" ca="1">MIN(
  INDEX($E:$E, MATCH($A805, $A:$A, 0) + 23) +
  (F805 * (2030 - 2023)),
  100
)</f>
        <v>78.985608695652175</v>
      </c>
      <c r="I80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6" spans="1:9" hidden="1" x14ac:dyDescent="0.35">
      <c r="A806" s="1" t="s">
        <v>99</v>
      </c>
      <c r="B806" s="1" t="s">
        <v>173</v>
      </c>
      <c r="C806" s="1" t="s">
        <v>34</v>
      </c>
      <c r="D806" s="3">
        <v>2021</v>
      </c>
      <c r="E806">
        <v>61.8</v>
      </c>
      <c r="F806" s="1">
        <f t="shared" ca="1" si="24"/>
        <v>1.8550869565217394</v>
      </c>
      <c r="G806" s="1">
        <f t="shared" ca="1" si="25"/>
        <v>-3689.7699130434785</v>
      </c>
      <c r="H806" s="1" cm="1">
        <f t="array" aca="1" ref="H806" ca="1">MIN(
  INDEX($E:$E, MATCH($A806, $A:$A, 0) + 23) +
  (F806 * (2030 - 2023)),
  100
)</f>
        <v>78.985608695652175</v>
      </c>
      <c r="I80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7" spans="1:9" hidden="1" x14ac:dyDescent="0.35">
      <c r="A807" s="1" t="s">
        <v>99</v>
      </c>
      <c r="B807" s="1" t="s">
        <v>173</v>
      </c>
      <c r="C807" s="1" t="s">
        <v>34</v>
      </c>
      <c r="D807" s="3">
        <v>2022</v>
      </c>
      <c r="E807">
        <v>63.2</v>
      </c>
      <c r="F807" s="1">
        <f t="shared" ca="1" si="24"/>
        <v>1.8550869565217394</v>
      </c>
      <c r="G807" s="1">
        <f t="shared" ca="1" si="25"/>
        <v>-3689.7699130434785</v>
      </c>
      <c r="H807" s="1" cm="1">
        <f t="array" aca="1" ref="H807" ca="1">MIN(
  INDEX($E:$E, MATCH($A807, $A:$A, 0) + 23) +
  (F807 * (2030 - 2023)),
  100
)</f>
        <v>78.985608695652175</v>
      </c>
      <c r="I80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8" spans="1:9" x14ac:dyDescent="0.35">
      <c r="A808" s="1" t="s">
        <v>99</v>
      </c>
      <c r="B808" s="1" t="s">
        <v>173</v>
      </c>
      <c r="C808" s="1" t="s">
        <v>34</v>
      </c>
      <c r="D808" s="3">
        <v>2023</v>
      </c>
      <c r="E808">
        <v>66</v>
      </c>
      <c r="F808" s="4">
        <f t="shared" ca="1" si="24"/>
        <v>1.8550869565217394</v>
      </c>
      <c r="G808" s="4">
        <f t="shared" ca="1" si="25"/>
        <v>-3689.7699130434785</v>
      </c>
      <c r="H808" s="4" cm="1">
        <f t="array" aca="1" ref="H808" ca="1">MIN(
  INDEX($E:$E, MATCH($A808, $A:$A, 0) + 23) +
  (F808 * (2030 - 2023)),
  100
)</f>
        <v>78.985608695652175</v>
      </c>
      <c r="I80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09" spans="1:9" hidden="1" x14ac:dyDescent="0.35">
      <c r="A809" s="1" t="s">
        <v>101</v>
      </c>
      <c r="B809" s="1" t="s">
        <v>175</v>
      </c>
      <c r="C809" s="1" t="s">
        <v>31</v>
      </c>
      <c r="D809" s="3">
        <v>2000</v>
      </c>
      <c r="E809">
        <v>37.700000000000003</v>
      </c>
      <c r="F809" s="1">
        <f t="shared" ca="1" si="24"/>
        <v>1.5494782608695652</v>
      </c>
      <c r="G809" s="1">
        <f t="shared" ca="1" si="25"/>
        <v>-3061.5505217391305</v>
      </c>
      <c r="H809" s="1" cm="1">
        <f t="array" aca="1" ref="H809" ca="1">MIN(
  INDEX($E:$E, MATCH($A809, $A:$A, 0) + 23) +
  (F809 * (2030 - 2023)),
  100
)</f>
        <v>85.046347826086958</v>
      </c>
      <c r="I80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0" spans="1:9" hidden="1" x14ac:dyDescent="0.35">
      <c r="A810" s="1" t="s">
        <v>101</v>
      </c>
      <c r="B810" s="1" t="s">
        <v>175</v>
      </c>
      <c r="C810" s="1" t="s">
        <v>31</v>
      </c>
      <c r="D810" s="3">
        <v>2001</v>
      </c>
      <c r="E810">
        <v>38.9</v>
      </c>
      <c r="F810" s="1">
        <f t="shared" ca="1" si="24"/>
        <v>1.5494782608695652</v>
      </c>
      <c r="G810" s="1">
        <f t="shared" ca="1" si="25"/>
        <v>-3061.5505217391305</v>
      </c>
      <c r="H810" s="1" cm="1">
        <f t="array" aca="1" ref="H810" ca="1">MIN(
  INDEX($E:$E, MATCH($A810, $A:$A, 0) + 23) +
  (F810 * (2030 - 2023)),
  100
)</f>
        <v>85.046347826086958</v>
      </c>
      <c r="I81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1" spans="1:9" hidden="1" x14ac:dyDescent="0.35">
      <c r="A811" s="1" t="s">
        <v>101</v>
      </c>
      <c r="B811" s="1" t="s">
        <v>175</v>
      </c>
      <c r="C811" s="1" t="s">
        <v>31</v>
      </c>
      <c r="D811" s="3">
        <v>2002</v>
      </c>
      <c r="E811">
        <v>36.799999999999997</v>
      </c>
      <c r="F811" s="1">
        <f t="shared" ca="1" si="24"/>
        <v>1.5494782608695652</v>
      </c>
      <c r="G811" s="1">
        <f t="shared" ca="1" si="25"/>
        <v>-3061.5505217391305</v>
      </c>
      <c r="H811" s="1" cm="1">
        <f t="array" aca="1" ref="H811" ca="1">MIN(
  INDEX($E:$E, MATCH($A811, $A:$A, 0) + 23) +
  (F811 * (2030 - 2023)),
  100
)</f>
        <v>85.046347826086958</v>
      </c>
      <c r="I81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2" spans="1:9" hidden="1" x14ac:dyDescent="0.35">
      <c r="A812" s="1" t="s">
        <v>101</v>
      </c>
      <c r="B812" s="1" t="s">
        <v>175</v>
      </c>
      <c r="C812" s="1" t="s">
        <v>31</v>
      </c>
      <c r="D812" s="3">
        <v>2003</v>
      </c>
      <c r="E812">
        <v>41.9</v>
      </c>
      <c r="F812" s="1">
        <f t="shared" ca="1" si="24"/>
        <v>1.5494782608695652</v>
      </c>
      <c r="G812" s="1">
        <f t="shared" ca="1" si="25"/>
        <v>-3061.5505217391305</v>
      </c>
      <c r="H812" s="1" cm="1">
        <f t="array" aca="1" ref="H812" ca="1">MIN(
  INDEX($E:$E, MATCH($A812, $A:$A, 0) + 23) +
  (F812 * (2030 - 2023)),
  100
)</f>
        <v>85.046347826086958</v>
      </c>
      <c r="I81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3" spans="1:9" hidden="1" x14ac:dyDescent="0.35">
      <c r="A813" s="1" t="s">
        <v>101</v>
      </c>
      <c r="B813" s="1" t="s">
        <v>175</v>
      </c>
      <c r="C813" s="1" t="s">
        <v>31</v>
      </c>
      <c r="D813" s="3">
        <v>2004</v>
      </c>
      <c r="E813">
        <v>36.799999999999997</v>
      </c>
      <c r="F813" s="1">
        <f t="shared" ca="1" si="24"/>
        <v>1.5494782608695652</v>
      </c>
      <c r="G813" s="1">
        <f t="shared" ca="1" si="25"/>
        <v>-3061.5505217391305</v>
      </c>
      <c r="H813" s="1" cm="1">
        <f t="array" aca="1" ref="H813" ca="1">MIN(
  INDEX($E:$E, MATCH($A813, $A:$A, 0) + 23) +
  (F813 * (2030 - 2023)),
  100
)</f>
        <v>85.046347826086958</v>
      </c>
      <c r="I81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4" spans="1:9" hidden="1" x14ac:dyDescent="0.35">
      <c r="A814" s="1" t="s">
        <v>101</v>
      </c>
      <c r="B814" s="1" t="s">
        <v>175</v>
      </c>
      <c r="C814" s="1" t="s">
        <v>31</v>
      </c>
      <c r="D814" s="3">
        <v>2005</v>
      </c>
      <c r="E814">
        <v>47.1</v>
      </c>
      <c r="F814" s="1">
        <f t="shared" ca="1" si="24"/>
        <v>1.5494782608695652</v>
      </c>
      <c r="G814" s="1">
        <f t="shared" ca="1" si="25"/>
        <v>-3061.5505217391305</v>
      </c>
      <c r="H814" s="1" cm="1">
        <f t="array" aca="1" ref="H814" ca="1">MIN(
  INDEX($E:$E, MATCH($A814, $A:$A, 0) + 23) +
  (F814 * (2030 - 2023)),
  100
)</f>
        <v>85.046347826086958</v>
      </c>
      <c r="I81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5" spans="1:9" hidden="1" x14ac:dyDescent="0.35">
      <c r="A815" s="1" t="s">
        <v>101</v>
      </c>
      <c r="B815" s="1" t="s">
        <v>175</v>
      </c>
      <c r="C815" s="1" t="s">
        <v>31</v>
      </c>
      <c r="D815" s="3">
        <v>2006</v>
      </c>
      <c r="E815">
        <v>49.9</v>
      </c>
      <c r="F815" s="1">
        <f t="shared" ca="1" si="24"/>
        <v>1.5494782608695652</v>
      </c>
      <c r="G815" s="1">
        <f t="shared" ca="1" si="25"/>
        <v>-3061.5505217391305</v>
      </c>
      <c r="H815" s="1" cm="1">
        <f t="array" aca="1" ref="H815" ca="1">MIN(
  INDEX($E:$E, MATCH($A815, $A:$A, 0) + 23) +
  (F815 * (2030 - 2023)),
  100
)</f>
        <v>85.046347826086958</v>
      </c>
      <c r="I81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6" spans="1:9" hidden="1" x14ac:dyDescent="0.35">
      <c r="A816" s="1" t="s">
        <v>101</v>
      </c>
      <c r="B816" s="1" t="s">
        <v>175</v>
      </c>
      <c r="C816" s="1" t="s">
        <v>31</v>
      </c>
      <c r="D816" s="3">
        <v>2007</v>
      </c>
      <c r="E816">
        <v>48.1</v>
      </c>
      <c r="F816" s="1">
        <f t="shared" ca="1" si="24"/>
        <v>1.5494782608695652</v>
      </c>
      <c r="G816" s="1">
        <f t="shared" ca="1" si="25"/>
        <v>-3061.5505217391305</v>
      </c>
      <c r="H816" s="1" cm="1">
        <f t="array" aca="1" ref="H816" ca="1">MIN(
  INDEX($E:$E, MATCH($A816, $A:$A, 0) + 23) +
  (F816 * (2030 - 2023)),
  100
)</f>
        <v>85.046347826086958</v>
      </c>
      <c r="I81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7" spans="1:9" hidden="1" x14ac:dyDescent="0.35">
      <c r="A817" s="1" t="s">
        <v>101</v>
      </c>
      <c r="B817" s="1" t="s">
        <v>175</v>
      </c>
      <c r="C817" s="1" t="s">
        <v>31</v>
      </c>
      <c r="D817" s="3">
        <v>2008</v>
      </c>
      <c r="E817">
        <v>49.7</v>
      </c>
      <c r="F817" s="1">
        <f t="shared" ca="1" si="24"/>
        <v>1.5494782608695652</v>
      </c>
      <c r="G817" s="1">
        <f t="shared" ca="1" si="25"/>
        <v>-3061.5505217391305</v>
      </c>
      <c r="H817" s="1" cm="1">
        <f t="array" aca="1" ref="H817" ca="1">MIN(
  INDEX($E:$E, MATCH($A817, $A:$A, 0) + 23) +
  (F817 * (2030 - 2023)),
  100
)</f>
        <v>85.046347826086958</v>
      </c>
      <c r="I81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8" spans="1:9" hidden="1" x14ac:dyDescent="0.35">
      <c r="A818" s="1" t="s">
        <v>101</v>
      </c>
      <c r="B818" s="1" t="s">
        <v>175</v>
      </c>
      <c r="C818" s="1" t="s">
        <v>31</v>
      </c>
      <c r="D818" s="3">
        <v>2009</v>
      </c>
      <c r="E818">
        <v>53.5</v>
      </c>
      <c r="F818" s="1">
        <f t="shared" ca="1" si="24"/>
        <v>1.5494782608695652</v>
      </c>
      <c r="G818" s="1">
        <f t="shared" ca="1" si="25"/>
        <v>-3061.5505217391305</v>
      </c>
      <c r="H818" s="1" cm="1">
        <f t="array" aca="1" ref="H818" ca="1">MIN(
  INDEX($E:$E, MATCH($A818, $A:$A, 0) + 23) +
  (F818 * (2030 - 2023)),
  100
)</f>
        <v>85.046347826086958</v>
      </c>
      <c r="I81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19" spans="1:9" hidden="1" x14ac:dyDescent="0.35">
      <c r="A819" s="1" t="s">
        <v>101</v>
      </c>
      <c r="B819" s="1" t="s">
        <v>175</v>
      </c>
      <c r="C819" s="1" t="s">
        <v>31</v>
      </c>
      <c r="D819" s="3">
        <v>2010</v>
      </c>
      <c r="E819">
        <v>56.5</v>
      </c>
      <c r="F819" s="1">
        <f t="shared" ca="1" si="24"/>
        <v>1.5494782608695652</v>
      </c>
      <c r="G819" s="1">
        <f t="shared" ca="1" si="25"/>
        <v>-3061.5505217391305</v>
      </c>
      <c r="H819" s="1" cm="1">
        <f t="array" aca="1" ref="H819" ca="1">MIN(
  INDEX($E:$E, MATCH($A819, $A:$A, 0) + 23) +
  (F819 * (2030 - 2023)),
  100
)</f>
        <v>85.046347826086958</v>
      </c>
      <c r="I81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0" spans="1:9" hidden="1" x14ac:dyDescent="0.35">
      <c r="A820" s="1" t="s">
        <v>101</v>
      </c>
      <c r="B820" s="1" t="s">
        <v>175</v>
      </c>
      <c r="C820" s="1" t="s">
        <v>31</v>
      </c>
      <c r="D820" s="3">
        <v>2011</v>
      </c>
      <c r="E820">
        <v>56.5</v>
      </c>
      <c r="F820" s="1">
        <f t="shared" ca="1" si="24"/>
        <v>1.5494782608695652</v>
      </c>
      <c r="G820" s="1">
        <f t="shared" ca="1" si="25"/>
        <v>-3061.5505217391305</v>
      </c>
      <c r="H820" s="1" cm="1">
        <f t="array" aca="1" ref="H820" ca="1">MIN(
  INDEX($E:$E, MATCH($A820, $A:$A, 0) + 23) +
  (F820 * (2030 - 2023)),
  100
)</f>
        <v>85.046347826086958</v>
      </c>
      <c r="I82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1" spans="1:9" hidden="1" x14ac:dyDescent="0.35">
      <c r="A821" s="1" t="s">
        <v>101</v>
      </c>
      <c r="B821" s="1" t="s">
        <v>175</v>
      </c>
      <c r="C821" s="1" t="s">
        <v>31</v>
      </c>
      <c r="D821" s="3">
        <v>2012</v>
      </c>
      <c r="E821">
        <v>56.5</v>
      </c>
      <c r="F821" s="1">
        <f t="shared" ca="1" si="24"/>
        <v>1.5494782608695652</v>
      </c>
      <c r="G821" s="1">
        <f t="shared" ca="1" si="25"/>
        <v>-3061.5505217391305</v>
      </c>
      <c r="H821" s="1" cm="1">
        <f t="array" aca="1" ref="H821" ca="1">MIN(
  INDEX($E:$E, MATCH($A821, $A:$A, 0) + 23) +
  (F821 * (2030 - 2023)),
  100
)</f>
        <v>85.046347826086958</v>
      </c>
      <c r="I82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2" spans="1:9" hidden="1" x14ac:dyDescent="0.35">
      <c r="A822" s="1" t="s">
        <v>101</v>
      </c>
      <c r="B822" s="1" t="s">
        <v>175</v>
      </c>
      <c r="C822" s="1" t="s">
        <v>31</v>
      </c>
      <c r="D822" s="3">
        <v>2013</v>
      </c>
      <c r="E822">
        <v>57</v>
      </c>
      <c r="F822" s="1">
        <f t="shared" ca="1" si="24"/>
        <v>1.5494782608695652</v>
      </c>
      <c r="G822" s="1">
        <f t="shared" ca="1" si="25"/>
        <v>-3061.5505217391305</v>
      </c>
      <c r="H822" s="1" cm="1">
        <f t="array" aca="1" ref="H822" ca="1">MIN(
  INDEX($E:$E, MATCH($A822, $A:$A, 0) + 23) +
  (F822 * (2030 - 2023)),
  100
)</f>
        <v>85.046347826086958</v>
      </c>
      <c r="I82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3" spans="1:9" hidden="1" x14ac:dyDescent="0.35">
      <c r="A823" s="1" t="s">
        <v>101</v>
      </c>
      <c r="B823" s="1" t="s">
        <v>175</v>
      </c>
      <c r="C823" s="1" t="s">
        <v>31</v>
      </c>
      <c r="D823" s="3">
        <v>2014</v>
      </c>
      <c r="E823">
        <v>61</v>
      </c>
      <c r="F823" s="1">
        <f t="shared" ca="1" si="24"/>
        <v>1.5494782608695652</v>
      </c>
      <c r="G823" s="1">
        <f t="shared" ca="1" si="25"/>
        <v>-3061.5505217391305</v>
      </c>
      <c r="H823" s="1" cm="1">
        <f t="array" aca="1" ref="H823" ca="1">MIN(
  INDEX($E:$E, MATCH($A823, $A:$A, 0) + 23) +
  (F823 * (2030 - 2023)),
  100
)</f>
        <v>85.046347826086958</v>
      </c>
      <c r="I82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4" spans="1:9" hidden="1" x14ac:dyDescent="0.35">
      <c r="A824" s="1" t="s">
        <v>101</v>
      </c>
      <c r="B824" s="1" t="s">
        <v>175</v>
      </c>
      <c r="C824" s="1" t="s">
        <v>31</v>
      </c>
      <c r="D824" s="3">
        <v>2015</v>
      </c>
      <c r="E824">
        <v>60.5</v>
      </c>
      <c r="F824" s="1">
        <f t="shared" ca="1" si="24"/>
        <v>1.5494782608695652</v>
      </c>
      <c r="G824" s="1">
        <f t="shared" ca="1" si="25"/>
        <v>-3061.5505217391305</v>
      </c>
      <c r="H824" s="1" cm="1">
        <f t="array" aca="1" ref="H824" ca="1">MIN(
  INDEX($E:$E, MATCH($A824, $A:$A, 0) + 23) +
  (F824 * (2030 - 2023)),
  100
)</f>
        <v>85.046347826086958</v>
      </c>
      <c r="I82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5" spans="1:9" hidden="1" x14ac:dyDescent="0.35">
      <c r="A825" s="1" t="s">
        <v>101</v>
      </c>
      <c r="B825" s="1" t="s">
        <v>175</v>
      </c>
      <c r="C825" s="1" t="s">
        <v>31</v>
      </c>
      <c r="D825" s="3">
        <v>2016</v>
      </c>
      <c r="E825">
        <v>64.5</v>
      </c>
      <c r="F825" s="1">
        <f t="shared" ca="1" si="24"/>
        <v>1.5494782608695652</v>
      </c>
      <c r="G825" s="1">
        <f t="shared" ca="1" si="25"/>
        <v>-3061.5505217391305</v>
      </c>
      <c r="H825" s="1" cm="1">
        <f t="array" aca="1" ref="H825" ca="1">MIN(
  INDEX($E:$E, MATCH($A825, $A:$A, 0) + 23) +
  (F825 * (2030 - 2023)),
  100
)</f>
        <v>85.046347826086958</v>
      </c>
      <c r="I82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6" spans="1:9" hidden="1" x14ac:dyDescent="0.35">
      <c r="A826" s="1" t="s">
        <v>101</v>
      </c>
      <c r="B826" s="1" t="s">
        <v>175</v>
      </c>
      <c r="C826" s="1" t="s">
        <v>31</v>
      </c>
      <c r="D826" s="3">
        <v>2017</v>
      </c>
      <c r="E826">
        <v>61.7</v>
      </c>
      <c r="F826" s="1">
        <f t="shared" ca="1" si="24"/>
        <v>1.5494782608695652</v>
      </c>
      <c r="G826" s="1">
        <f t="shared" ca="1" si="25"/>
        <v>-3061.5505217391305</v>
      </c>
      <c r="H826" s="1" cm="1">
        <f t="array" aca="1" ref="H826" ca="1">MIN(
  INDEX($E:$E, MATCH($A826, $A:$A, 0) + 23) +
  (F826 * (2030 - 2023)),
  100
)</f>
        <v>85.046347826086958</v>
      </c>
      <c r="I82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7" spans="1:9" hidden="1" x14ac:dyDescent="0.35">
      <c r="A827" s="1" t="s">
        <v>101</v>
      </c>
      <c r="B827" s="1" t="s">
        <v>175</v>
      </c>
      <c r="C827" s="1" t="s">
        <v>31</v>
      </c>
      <c r="D827" s="3">
        <v>2018</v>
      </c>
      <c r="E827">
        <v>66</v>
      </c>
      <c r="F827" s="1">
        <f t="shared" ca="1" si="24"/>
        <v>1.5494782608695652</v>
      </c>
      <c r="G827" s="1">
        <f t="shared" ca="1" si="25"/>
        <v>-3061.5505217391305</v>
      </c>
      <c r="H827" s="1" cm="1">
        <f t="array" aca="1" ref="H827" ca="1">MIN(
  INDEX($E:$E, MATCH($A827, $A:$A, 0) + 23) +
  (F827 * (2030 - 2023)),
  100
)</f>
        <v>85.046347826086958</v>
      </c>
      <c r="I82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8" spans="1:9" hidden="1" x14ac:dyDescent="0.35">
      <c r="A828" s="1" t="s">
        <v>101</v>
      </c>
      <c r="B828" s="1" t="s">
        <v>175</v>
      </c>
      <c r="C828" s="1" t="s">
        <v>31</v>
      </c>
      <c r="D828" s="3">
        <v>2019</v>
      </c>
      <c r="E828">
        <v>70.400000000000006</v>
      </c>
      <c r="F828" s="1">
        <f t="shared" ca="1" si="24"/>
        <v>1.5494782608695652</v>
      </c>
      <c r="G828" s="1">
        <f t="shared" ca="1" si="25"/>
        <v>-3061.5505217391305</v>
      </c>
      <c r="H828" s="1" cm="1">
        <f t="array" aca="1" ref="H828" ca="1">MIN(
  INDEX($E:$E, MATCH($A828, $A:$A, 0) + 23) +
  (F828 * (2030 - 2023)),
  100
)</f>
        <v>85.046347826086958</v>
      </c>
      <c r="I82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29" spans="1:9" hidden="1" x14ac:dyDescent="0.35">
      <c r="A829" s="1" t="s">
        <v>101</v>
      </c>
      <c r="B829" s="1" t="s">
        <v>175</v>
      </c>
      <c r="C829" s="1" t="s">
        <v>31</v>
      </c>
      <c r="D829" s="3">
        <v>2020</v>
      </c>
      <c r="E829">
        <v>64.3</v>
      </c>
      <c r="F829" s="1">
        <f t="shared" ca="1" si="24"/>
        <v>1.5494782608695652</v>
      </c>
      <c r="G829" s="1">
        <f t="shared" ca="1" si="25"/>
        <v>-3061.5505217391305</v>
      </c>
      <c r="H829" s="1" cm="1">
        <f t="array" aca="1" ref="H829" ca="1">MIN(
  INDEX($E:$E, MATCH($A829, $A:$A, 0) + 23) +
  (F829 * (2030 - 2023)),
  100
)</f>
        <v>85.046347826086958</v>
      </c>
      <c r="I82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30" spans="1:9" hidden="1" x14ac:dyDescent="0.35">
      <c r="A830" s="1" t="s">
        <v>101</v>
      </c>
      <c r="B830" s="1" t="s">
        <v>175</v>
      </c>
      <c r="C830" s="1" t="s">
        <v>31</v>
      </c>
      <c r="D830" s="3">
        <v>2021</v>
      </c>
      <c r="E830">
        <v>68</v>
      </c>
      <c r="F830" s="1">
        <f t="shared" ca="1" si="24"/>
        <v>1.5494782608695652</v>
      </c>
      <c r="G830" s="1">
        <f t="shared" ca="1" si="25"/>
        <v>-3061.5505217391305</v>
      </c>
      <c r="H830" s="1" cm="1">
        <f t="array" aca="1" ref="H830" ca="1">MIN(
  INDEX($E:$E, MATCH($A830, $A:$A, 0) + 23) +
  (F830 * (2030 - 2023)),
  100
)</f>
        <v>85.046347826086958</v>
      </c>
      <c r="I83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31" spans="1:9" hidden="1" x14ac:dyDescent="0.35">
      <c r="A831" s="1" t="s">
        <v>101</v>
      </c>
      <c r="B831" s="1" t="s">
        <v>175</v>
      </c>
      <c r="C831" s="1" t="s">
        <v>31</v>
      </c>
      <c r="D831" s="3">
        <v>2022</v>
      </c>
      <c r="E831">
        <v>67.900000000000006</v>
      </c>
      <c r="F831" s="1">
        <f t="shared" ca="1" si="24"/>
        <v>1.5494782608695652</v>
      </c>
      <c r="G831" s="1">
        <f t="shared" ca="1" si="25"/>
        <v>-3061.5505217391305</v>
      </c>
      <c r="H831" s="1" cm="1">
        <f t="array" aca="1" ref="H831" ca="1">MIN(
  INDEX($E:$E, MATCH($A831, $A:$A, 0) + 23) +
  (F831 * (2030 - 2023)),
  100
)</f>
        <v>85.046347826086958</v>
      </c>
      <c r="I83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32" spans="1:9" x14ac:dyDescent="0.35">
      <c r="A832" s="1" t="s">
        <v>101</v>
      </c>
      <c r="B832" s="1" t="s">
        <v>175</v>
      </c>
      <c r="C832" s="1" t="s">
        <v>31</v>
      </c>
      <c r="D832" s="3">
        <v>2023</v>
      </c>
      <c r="E832">
        <v>74.2</v>
      </c>
      <c r="F832" s="4">
        <f t="shared" ca="1" si="24"/>
        <v>1.5494782608695652</v>
      </c>
      <c r="G832" s="4">
        <f t="shared" ca="1" si="25"/>
        <v>-3061.5505217391305</v>
      </c>
      <c r="H832" s="4" cm="1">
        <f t="array" aca="1" ref="H832" ca="1">MIN(
  INDEX($E:$E, MATCH($A832, $A:$A, 0) + 23) +
  (F832 * (2030 - 2023)),
  100
)</f>
        <v>85.046347826086958</v>
      </c>
      <c r="I83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33" spans="1:9" hidden="1" x14ac:dyDescent="0.35">
      <c r="A833" s="1" t="s">
        <v>103</v>
      </c>
      <c r="B833" s="1" t="s">
        <v>175</v>
      </c>
      <c r="C833" s="1" t="s">
        <v>34</v>
      </c>
      <c r="D833" s="3">
        <v>2000</v>
      </c>
      <c r="E833">
        <v>7.7</v>
      </c>
      <c r="F833" s="1">
        <f t="shared" ca="1" si="24"/>
        <v>0.9816521739130436</v>
      </c>
      <c r="G833" s="1">
        <f t="shared" ca="1" si="25"/>
        <v>-1957.0350144927538</v>
      </c>
      <c r="H833" s="1" cm="1">
        <f t="array" aca="1" ref="H833" ca="1">MIN(
  INDEX($E:$E, MATCH($A833, $A:$A, 0) + 23) +
  (F833 * (2030 - 2023)),
  100
)</f>
        <v>42.371565217391307</v>
      </c>
      <c r="I8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34" spans="1:9" hidden="1" x14ac:dyDescent="0.35">
      <c r="A834" s="1" t="s">
        <v>103</v>
      </c>
      <c r="B834" s="1" t="s">
        <v>175</v>
      </c>
      <c r="C834" s="1" t="s">
        <v>34</v>
      </c>
      <c r="D834" s="3">
        <v>2001</v>
      </c>
      <c r="E834">
        <v>8.5</v>
      </c>
      <c r="F834" s="1">
        <f t="shared" ref="F834:F897" ca="1" si="26">SLOPE(
  OFFSET($E$1, MATCH($A834, $A:$A, 0)-1, 0, 24, 1),
  OFFSET($D$1, MATCH($A834, $A:$A, 0)-1, 0, 24, 1)
)</f>
        <v>0.9816521739130436</v>
      </c>
      <c r="G834" s="1">
        <f t="shared" ref="G834:G897" ca="1" si="27">INTERCEPT(
  OFFSET($E$1, MATCH($A834, $A:$A, 0)-1, 0, 24, 1),
  OFFSET($D$1, MATCH($A834, $A:$A, 0)-1, 0, 24, 1)
)</f>
        <v>-1957.0350144927538</v>
      </c>
      <c r="H834" s="1" cm="1">
        <f t="array" aca="1" ref="H834" ca="1">MIN(
  INDEX($E:$E, MATCH($A834, $A:$A, 0) + 23) +
  (F834 * (2030 - 2023)),
  100
)</f>
        <v>42.371565217391307</v>
      </c>
      <c r="I8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35" spans="1:9" hidden="1" x14ac:dyDescent="0.35">
      <c r="A835" s="1" t="s">
        <v>103</v>
      </c>
      <c r="B835" s="1" t="s">
        <v>175</v>
      </c>
      <c r="C835" s="1" t="s">
        <v>34</v>
      </c>
      <c r="D835" s="3">
        <v>2002</v>
      </c>
      <c r="E835">
        <v>9.1999999999999993</v>
      </c>
      <c r="F835" s="1">
        <f t="shared" ca="1" si="26"/>
        <v>0.9816521739130436</v>
      </c>
      <c r="G835" s="1">
        <f t="shared" ca="1" si="27"/>
        <v>-1957.0350144927538</v>
      </c>
      <c r="H835" s="1" cm="1">
        <f t="array" aca="1" ref="H835" ca="1">MIN(
  INDEX($E:$E, MATCH($A835, $A:$A, 0) + 23) +
  (F835 * (2030 - 2023)),
  100
)</f>
        <v>42.371565217391307</v>
      </c>
      <c r="I8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36" spans="1:9" hidden="1" x14ac:dyDescent="0.35">
      <c r="A836" s="1" t="s">
        <v>103</v>
      </c>
      <c r="B836" s="1" t="s">
        <v>175</v>
      </c>
      <c r="C836" s="1" t="s">
        <v>34</v>
      </c>
      <c r="D836" s="3">
        <v>2003</v>
      </c>
      <c r="E836">
        <v>9.9</v>
      </c>
      <c r="F836" s="1">
        <f t="shared" ca="1" si="26"/>
        <v>0.9816521739130436</v>
      </c>
      <c r="G836" s="1">
        <f t="shared" ca="1" si="27"/>
        <v>-1957.0350144927538</v>
      </c>
      <c r="H836" s="1" cm="1">
        <f t="array" aca="1" ref="H836" ca="1">MIN(
  INDEX($E:$E, MATCH($A836, $A:$A, 0) + 23) +
  (F836 * (2030 - 2023)),
  100
)</f>
        <v>42.371565217391307</v>
      </c>
      <c r="I8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37" spans="1:9" hidden="1" x14ac:dyDescent="0.35">
      <c r="A837" s="1" t="s">
        <v>103</v>
      </c>
      <c r="B837" s="1" t="s">
        <v>175</v>
      </c>
      <c r="C837" s="1" t="s">
        <v>34</v>
      </c>
      <c r="D837" s="3">
        <v>2004</v>
      </c>
      <c r="E837">
        <v>16.8</v>
      </c>
      <c r="F837" s="1">
        <f t="shared" ca="1" si="26"/>
        <v>0.9816521739130436</v>
      </c>
      <c r="G837" s="1">
        <f t="shared" ca="1" si="27"/>
        <v>-1957.0350144927538</v>
      </c>
      <c r="H837" s="1" cm="1">
        <f t="array" aca="1" ref="H837" ca="1">MIN(
  INDEX($E:$E, MATCH($A837, $A:$A, 0) + 23) +
  (F837 * (2030 - 2023)),
  100
)</f>
        <v>42.371565217391307</v>
      </c>
      <c r="I8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38" spans="1:9" hidden="1" x14ac:dyDescent="0.35">
      <c r="A838" s="1" t="s">
        <v>103</v>
      </c>
      <c r="B838" s="1" t="s">
        <v>175</v>
      </c>
      <c r="C838" s="1" t="s">
        <v>34</v>
      </c>
      <c r="D838" s="3">
        <v>2005</v>
      </c>
      <c r="E838">
        <v>11.3</v>
      </c>
      <c r="F838" s="1">
        <f t="shared" ca="1" si="26"/>
        <v>0.9816521739130436</v>
      </c>
      <c r="G838" s="1">
        <f t="shared" ca="1" si="27"/>
        <v>-1957.0350144927538</v>
      </c>
      <c r="H838" s="1" cm="1">
        <f t="array" aca="1" ref="H838" ca="1">MIN(
  INDEX($E:$E, MATCH($A838, $A:$A, 0) + 23) +
  (F838 * (2030 - 2023)),
  100
)</f>
        <v>42.371565217391307</v>
      </c>
      <c r="I83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39" spans="1:9" hidden="1" x14ac:dyDescent="0.35">
      <c r="A839" s="1" t="s">
        <v>103</v>
      </c>
      <c r="B839" s="1" t="s">
        <v>175</v>
      </c>
      <c r="C839" s="1" t="s">
        <v>34</v>
      </c>
      <c r="D839" s="3">
        <v>2006</v>
      </c>
      <c r="E839">
        <v>12.2</v>
      </c>
      <c r="F839" s="1">
        <f t="shared" ca="1" si="26"/>
        <v>0.9816521739130436</v>
      </c>
      <c r="G839" s="1">
        <f t="shared" ca="1" si="27"/>
        <v>-1957.0350144927538</v>
      </c>
      <c r="H839" s="1" cm="1">
        <f t="array" aca="1" ref="H839" ca="1">MIN(
  INDEX($E:$E, MATCH($A839, $A:$A, 0) + 23) +
  (F839 * (2030 - 2023)),
  100
)</f>
        <v>42.371565217391307</v>
      </c>
      <c r="I83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0" spans="1:9" hidden="1" x14ac:dyDescent="0.35">
      <c r="A840" s="1" t="s">
        <v>103</v>
      </c>
      <c r="B840" s="1" t="s">
        <v>175</v>
      </c>
      <c r="C840" s="1" t="s">
        <v>34</v>
      </c>
      <c r="D840" s="3">
        <v>2007</v>
      </c>
      <c r="E840">
        <v>13</v>
      </c>
      <c r="F840" s="1">
        <f t="shared" ca="1" si="26"/>
        <v>0.9816521739130436</v>
      </c>
      <c r="G840" s="1">
        <f t="shared" ca="1" si="27"/>
        <v>-1957.0350144927538</v>
      </c>
      <c r="H840" s="1" cm="1">
        <f t="array" aca="1" ref="H840" ca="1">MIN(
  INDEX($E:$E, MATCH($A840, $A:$A, 0) + 23) +
  (F840 * (2030 - 2023)),
  100
)</f>
        <v>42.371565217391307</v>
      </c>
      <c r="I84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1" spans="1:9" hidden="1" x14ac:dyDescent="0.35">
      <c r="A841" s="1" t="s">
        <v>103</v>
      </c>
      <c r="B841" s="1" t="s">
        <v>175</v>
      </c>
      <c r="C841" s="1" t="s">
        <v>34</v>
      </c>
      <c r="D841" s="3">
        <v>2008</v>
      </c>
      <c r="E841">
        <v>12.1</v>
      </c>
      <c r="F841" s="1">
        <f t="shared" ca="1" si="26"/>
        <v>0.9816521739130436</v>
      </c>
      <c r="G841" s="1">
        <f t="shared" ca="1" si="27"/>
        <v>-1957.0350144927538</v>
      </c>
      <c r="H841" s="1" cm="1">
        <f t="array" aca="1" ref="H841" ca="1">MIN(
  INDEX($E:$E, MATCH($A841, $A:$A, 0) + 23) +
  (F841 * (2030 - 2023)),
  100
)</f>
        <v>42.371565217391307</v>
      </c>
      <c r="I84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2" spans="1:9" hidden="1" x14ac:dyDescent="0.35">
      <c r="A842" s="1" t="s">
        <v>103</v>
      </c>
      <c r="B842" s="1" t="s">
        <v>175</v>
      </c>
      <c r="C842" s="1" t="s">
        <v>34</v>
      </c>
      <c r="D842" s="3">
        <v>2009</v>
      </c>
      <c r="E842">
        <v>14.6</v>
      </c>
      <c r="F842" s="1">
        <f t="shared" ca="1" si="26"/>
        <v>0.9816521739130436</v>
      </c>
      <c r="G842" s="1">
        <f t="shared" ca="1" si="27"/>
        <v>-1957.0350144927538</v>
      </c>
      <c r="H842" s="1" cm="1">
        <f t="array" aca="1" ref="H842" ca="1">MIN(
  INDEX($E:$E, MATCH($A842, $A:$A, 0) + 23) +
  (F842 * (2030 - 2023)),
  100
)</f>
        <v>42.371565217391307</v>
      </c>
      <c r="I84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3" spans="1:9" hidden="1" x14ac:dyDescent="0.35">
      <c r="A843" s="1" t="s">
        <v>103</v>
      </c>
      <c r="B843" s="1" t="s">
        <v>175</v>
      </c>
      <c r="C843" s="1" t="s">
        <v>34</v>
      </c>
      <c r="D843" s="3">
        <v>2010</v>
      </c>
      <c r="E843">
        <v>11.5</v>
      </c>
      <c r="F843" s="1">
        <f t="shared" ca="1" si="26"/>
        <v>0.9816521739130436</v>
      </c>
      <c r="G843" s="1">
        <f t="shared" ca="1" si="27"/>
        <v>-1957.0350144927538</v>
      </c>
      <c r="H843" s="1" cm="1">
        <f t="array" aca="1" ref="H843" ca="1">MIN(
  INDEX($E:$E, MATCH($A843, $A:$A, 0) + 23) +
  (F843 * (2030 - 2023)),
  100
)</f>
        <v>42.371565217391307</v>
      </c>
      <c r="I84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4" spans="1:9" hidden="1" x14ac:dyDescent="0.35">
      <c r="A844" s="1" t="s">
        <v>103</v>
      </c>
      <c r="B844" s="1" t="s">
        <v>175</v>
      </c>
      <c r="C844" s="1" t="s">
        <v>34</v>
      </c>
      <c r="D844" s="3">
        <v>2011</v>
      </c>
      <c r="E844">
        <v>14.2</v>
      </c>
      <c r="F844" s="1">
        <f t="shared" ca="1" si="26"/>
        <v>0.9816521739130436</v>
      </c>
      <c r="G844" s="1">
        <f t="shared" ca="1" si="27"/>
        <v>-1957.0350144927538</v>
      </c>
      <c r="H844" s="1" cm="1">
        <f t="array" aca="1" ref="H844" ca="1">MIN(
  INDEX($E:$E, MATCH($A844, $A:$A, 0) + 23) +
  (F844 * (2030 - 2023)),
  100
)</f>
        <v>42.371565217391307</v>
      </c>
      <c r="I84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5" spans="1:9" hidden="1" x14ac:dyDescent="0.35">
      <c r="A845" s="1" t="s">
        <v>103</v>
      </c>
      <c r="B845" s="1" t="s">
        <v>175</v>
      </c>
      <c r="C845" s="1" t="s">
        <v>34</v>
      </c>
      <c r="D845" s="3">
        <v>2012</v>
      </c>
      <c r="E845">
        <v>17.2</v>
      </c>
      <c r="F845" s="1">
        <f t="shared" ca="1" si="26"/>
        <v>0.9816521739130436</v>
      </c>
      <c r="G845" s="1">
        <f t="shared" ca="1" si="27"/>
        <v>-1957.0350144927538</v>
      </c>
      <c r="H845" s="1" cm="1">
        <f t="array" aca="1" ref="H845" ca="1">MIN(
  INDEX($E:$E, MATCH($A845, $A:$A, 0) + 23) +
  (F845 * (2030 - 2023)),
  100
)</f>
        <v>42.371565217391307</v>
      </c>
      <c r="I84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6" spans="1:9" hidden="1" x14ac:dyDescent="0.35">
      <c r="A846" s="1" t="s">
        <v>103</v>
      </c>
      <c r="B846" s="1" t="s">
        <v>175</v>
      </c>
      <c r="C846" s="1" t="s">
        <v>34</v>
      </c>
      <c r="D846" s="3">
        <v>2013</v>
      </c>
      <c r="E846">
        <v>13.5</v>
      </c>
      <c r="F846" s="1">
        <f t="shared" ca="1" si="26"/>
        <v>0.9816521739130436</v>
      </c>
      <c r="G846" s="1">
        <f t="shared" ca="1" si="27"/>
        <v>-1957.0350144927538</v>
      </c>
      <c r="H846" s="1" cm="1">
        <f t="array" aca="1" ref="H846" ca="1">MIN(
  INDEX($E:$E, MATCH($A846, $A:$A, 0) + 23) +
  (F846 * (2030 - 2023)),
  100
)</f>
        <v>42.371565217391307</v>
      </c>
      <c r="I84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7" spans="1:9" hidden="1" x14ac:dyDescent="0.35">
      <c r="A847" s="1" t="s">
        <v>103</v>
      </c>
      <c r="B847" s="1" t="s">
        <v>175</v>
      </c>
      <c r="C847" s="1" t="s">
        <v>34</v>
      </c>
      <c r="D847" s="3">
        <v>2014</v>
      </c>
      <c r="E847">
        <v>18.8</v>
      </c>
      <c r="F847" s="1">
        <f t="shared" ca="1" si="26"/>
        <v>0.9816521739130436</v>
      </c>
      <c r="G847" s="1">
        <f t="shared" ca="1" si="27"/>
        <v>-1957.0350144927538</v>
      </c>
      <c r="H847" s="1" cm="1">
        <f t="array" aca="1" ref="H847" ca="1">MIN(
  INDEX($E:$E, MATCH($A847, $A:$A, 0) + 23) +
  (F847 * (2030 - 2023)),
  100
)</f>
        <v>42.371565217391307</v>
      </c>
      <c r="I84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8" spans="1:9" hidden="1" x14ac:dyDescent="0.35">
      <c r="A848" s="1" t="s">
        <v>103</v>
      </c>
      <c r="B848" s="1" t="s">
        <v>175</v>
      </c>
      <c r="C848" s="1" t="s">
        <v>34</v>
      </c>
      <c r="D848" s="3">
        <v>2015</v>
      </c>
      <c r="E848">
        <v>19.7</v>
      </c>
      <c r="F848" s="1">
        <f t="shared" ca="1" si="26"/>
        <v>0.9816521739130436</v>
      </c>
      <c r="G848" s="1">
        <f t="shared" ca="1" si="27"/>
        <v>-1957.0350144927538</v>
      </c>
      <c r="H848" s="1" cm="1">
        <f t="array" aca="1" ref="H848" ca="1">MIN(
  INDEX($E:$E, MATCH($A848, $A:$A, 0) + 23) +
  (F848 * (2030 - 2023)),
  100
)</f>
        <v>42.371565217391307</v>
      </c>
      <c r="I84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49" spans="1:9" hidden="1" x14ac:dyDescent="0.35">
      <c r="A849" s="1" t="s">
        <v>103</v>
      </c>
      <c r="B849" s="1" t="s">
        <v>175</v>
      </c>
      <c r="C849" s="1" t="s">
        <v>34</v>
      </c>
      <c r="D849" s="3">
        <v>2016</v>
      </c>
      <c r="E849">
        <v>20.3</v>
      </c>
      <c r="F849" s="1">
        <f t="shared" ca="1" si="26"/>
        <v>0.9816521739130436</v>
      </c>
      <c r="G849" s="1">
        <f t="shared" ca="1" si="27"/>
        <v>-1957.0350144927538</v>
      </c>
      <c r="H849" s="1" cm="1">
        <f t="array" aca="1" ref="H849" ca="1">MIN(
  INDEX($E:$E, MATCH($A849, $A:$A, 0) + 23) +
  (F849 * (2030 - 2023)),
  100
)</f>
        <v>42.371565217391307</v>
      </c>
      <c r="I84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0" spans="1:9" hidden="1" x14ac:dyDescent="0.35">
      <c r="A850" s="1" t="s">
        <v>103</v>
      </c>
      <c r="B850" s="1" t="s">
        <v>175</v>
      </c>
      <c r="C850" s="1" t="s">
        <v>34</v>
      </c>
      <c r="D850" s="3">
        <v>2017</v>
      </c>
      <c r="E850">
        <v>23.4</v>
      </c>
      <c r="F850" s="1">
        <f t="shared" ca="1" si="26"/>
        <v>0.9816521739130436</v>
      </c>
      <c r="G850" s="1">
        <f t="shared" ca="1" si="27"/>
        <v>-1957.0350144927538</v>
      </c>
      <c r="H850" s="1" cm="1">
        <f t="array" aca="1" ref="H850" ca="1">MIN(
  INDEX($E:$E, MATCH($A850, $A:$A, 0) + 23) +
  (F850 * (2030 - 2023)),
  100
)</f>
        <v>42.371565217391307</v>
      </c>
      <c r="I85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1" spans="1:9" hidden="1" x14ac:dyDescent="0.35">
      <c r="A851" s="1" t="s">
        <v>103</v>
      </c>
      <c r="B851" s="1" t="s">
        <v>175</v>
      </c>
      <c r="C851" s="1" t="s">
        <v>34</v>
      </c>
      <c r="D851" s="3">
        <v>2018</v>
      </c>
      <c r="E851">
        <v>26.1</v>
      </c>
      <c r="F851" s="1">
        <f t="shared" ca="1" si="26"/>
        <v>0.9816521739130436</v>
      </c>
      <c r="G851" s="1">
        <f t="shared" ca="1" si="27"/>
        <v>-1957.0350144927538</v>
      </c>
      <c r="H851" s="1" cm="1">
        <f t="array" aca="1" ref="H851" ca="1">MIN(
  INDEX($E:$E, MATCH($A851, $A:$A, 0) + 23) +
  (F851 * (2030 - 2023)),
  100
)</f>
        <v>42.371565217391307</v>
      </c>
      <c r="I85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2" spans="1:9" hidden="1" x14ac:dyDescent="0.35">
      <c r="A852" s="1" t="s">
        <v>103</v>
      </c>
      <c r="B852" s="1" t="s">
        <v>175</v>
      </c>
      <c r="C852" s="1" t="s">
        <v>34</v>
      </c>
      <c r="D852" s="3">
        <v>2019</v>
      </c>
      <c r="E852">
        <v>22.7</v>
      </c>
      <c r="F852" s="1">
        <f t="shared" ca="1" si="26"/>
        <v>0.9816521739130436</v>
      </c>
      <c r="G852" s="1">
        <f t="shared" ca="1" si="27"/>
        <v>-1957.0350144927538</v>
      </c>
      <c r="H852" s="1" cm="1">
        <f t="array" aca="1" ref="H852" ca="1">MIN(
  INDEX($E:$E, MATCH($A852, $A:$A, 0) + 23) +
  (F852 * (2030 - 2023)),
  100
)</f>
        <v>42.371565217391307</v>
      </c>
      <c r="I85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3" spans="1:9" hidden="1" x14ac:dyDescent="0.35">
      <c r="A853" s="1" t="s">
        <v>103</v>
      </c>
      <c r="B853" s="1" t="s">
        <v>175</v>
      </c>
      <c r="C853" s="1" t="s">
        <v>34</v>
      </c>
      <c r="D853" s="3">
        <v>2020</v>
      </c>
      <c r="E853">
        <v>26.3</v>
      </c>
      <c r="F853" s="1">
        <f t="shared" ca="1" si="26"/>
        <v>0.9816521739130436</v>
      </c>
      <c r="G853" s="1">
        <f t="shared" ca="1" si="27"/>
        <v>-1957.0350144927538</v>
      </c>
      <c r="H853" s="1" cm="1">
        <f t="array" aca="1" ref="H853" ca="1">MIN(
  INDEX($E:$E, MATCH($A853, $A:$A, 0) + 23) +
  (F853 * (2030 - 2023)),
  100
)</f>
        <v>42.371565217391307</v>
      </c>
      <c r="I85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4" spans="1:9" hidden="1" x14ac:dyDescent="0.35">
      <c r="A854" s="1" t="s">
        <v>103</v>
      </c>
      <c r="B854" s="1" t="s">
        <v>175</v>
      </c>
      <c r="C854" s="1" t="s">
        <v>34</v>
      </c>
      <c r="D854" s="3">
        <v>2021</v>
      </c>
      <c r="E854">
        <v>27.5</v>
      </c>
      <c r="F854" s="1">
        <f t="shared" ca="1" si="26"/>
        <v>0.9816521739130436</v>
      </c>
      <c r="G854" s="1">
        <f t="shared" ca="1" si="27"/>
        <v>-1957.0350144927538</v>
      </c>
      <c r="H854" s="1" cm="1">
        <f t="array" aca="1" ref="H854" ca="1">MIN(
  INDEX($E:$E, MATCH($A854, $A:$A, 0) + 23) +
  (F854 * (2030 - 2023)),
  100
)</f>
        <v>42.371565217391307</v>
      </c>
      <c r="I85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5" spans="1:9" hidden="1" x14ac:dyDescent="0.35">
      <c r="A855" s="1" t="s">
        <v>103</v>
      </c>
      <c r="B855" s="1" t="s">
        <v>175</v>
      </c>
      <c r="C855" s="1" t="s">
        <v>34</v>
      </c>
      <c r="D855" s="3">
        <v>2022</v>
      </c>
      <c r="E855">
        <v>29.4</v>
      </c>
      <c r="F855" s="1">
        <f t="shared" ca="1" si="26"/>
        <v>0.9816521739130436</v>
      </c>
      <c r="G855" s="1">
        <f t="shared" ca="1" si="27"/>
        <v>-1957.0350144927538</v>
      </c>
      <c r="H855" s="1" cm="1">
        <f t="array" aca="1" ref="H855" ca="1">MIN(
  INDEX($E:$E, MATCH($A855, $A:$A, 0) + 23) +
  (F855 * (2030 - 2023)),
  100
)</f>
        <v>42.371565217391307</v>
      </c>
      <c r="I85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6" spans="1:9" x14ac:dyDescent="0.35">
      <c r="A856" s="1" t="s">
        <v>103</v>
      </c>
      <c r="B856" s="1" t="s">
        <v>175</v>
      </c>
      <c r="C856" s="1" t="s">
        <v>34</v>
      </c>
      <c r="D856" s="3">
        <v>2023</v>
      </c>
      <c r="E856">
        <v>35.5</v>
      </c>
      <c r="F856" s="4">
        <f t="shared" ca="1" si="26"/>
        <v>0.9816521739130436</v>
      </c>
      <c r="G856" s="4">
        <f t="shared" ca="1" si="27"/>
        <v>-1957.0350144927538</v>
      </c>
      <c r="H856" s="4" cm="1">
        <f t="array" aca="1" ref="H856" ca="1">MIN(
  INDEX($E:$E, MATCH($A856, $A:$A, 0) + 23) +
  (F856 * (2030 - 2023)),
  100
)</f>
        <v>42.371565217391307</v>
      </c>
      <c r="I85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7" spans="1:9" hidden="1" x14ac:dyDescent="0.35">
      <c r="A857" s="1" t="s">
        <v>105</v>
      </c>
      <c r="B857" s="1" t="s">
        <v>174</v>
      </c>
      <c r="C857" s="1" t="s">
        <v>34</v>
      </c>
      <c r="D857" s="3">
        <v>2007</v>
      </c>
      <c r="E857">
        <v>0.8</v>
      </c>
      <c r="F857" s="1">
        <f t="shared" ca="1" si="26"/>
        <v>-2.3907391304347825</v>
      </c>
      <c r="G857" s="1">
        <f t="shared" ca="1" si="27"/>
        <v>4827.925927536231</v>
      </c>
      <c r="H857" s="1" cm="1">
        <f t="array" aca="1" ref="H857" ca="1">MIN(
  INDEX($E:$E, MATCH($A857, $A:$A, 0) + 23) +
  (F857 * (2030 - 2023)),
  100
)</f>
        <v>40.164826086956523</v>
      </c>
      <c r="I85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8" spans="1:9" hidden="1" x14ac:dyDescent="0.35">
      <c r="A858" s="1" t="s">
        <v>105</v>
      </c>
      <c r="B858" s="1" t="s">
        <v>174</v>
      </c>
      <c r="C858" s="1" t="s">
        <v>34</v>
      </c>
      <c r="D858" s="3">
        <v>2008</v>
      </c>
      <c r="E858">
        <v>1.3</v>
      </c>
      <c r="F858" s="1">
        <f t="shared" ca="1" si="26"/>
        <v>-2.3907391304347825</v>
      </c>
      <c r="G858" s="1">
        <f t="shared" ca="1" si="27"/>
        <v>4827.925927536231</v>
      </c>
      <c r="H858" s="1" cm="1">
        <f t="array" aca="1" ref="H858" ca="1">MIN(
  INDEX($E:$E, MATCH($A858, $A:$A, 0) + 23) +
  (F858 * (2030 - 2023)),
  100
)</f>
        <v>40.164826086956523</v>
      </c>
      <c r="I85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59" spans="1:9" hidden="1" x14ac:dyDescent="0.35">
      <c r="A859" s="1" t="s">
        <v>105</v>
      </c>
      <c r="B859" s="1" t="s">
        <v>174</v>
      </c>
      <c r="C859" s="1" t="s">
        <v>34</v>
      </c>
      <c r="D859" s="3">
        <v>2009</v>
      </c>
      <c r="E859">
        <v>3</v>
      </c>
      <c r="F859" s="1">
        <f t="shared" ca="1" si="26"/>
        <v>-2.3907391304347825</v>
      </c>
      <c r="G859" s="1">
        <f t="shared" ca="1" si="27"/>
        <v>4827.925927536231</v>
      </c>
      <c r="H859" s="1" cm="1">
        <f t="array" aca="1" ref="H859" ca="1">MIN(
  INDEX($E:$E, MATCH($A859, $A:$A, 0) + 23) +
  (F859 * (2030 - 2023)),
  100
)</f>
        <v>40.164826086956523</v>
      </c>
      <c r="I85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0" spans="1:9" hidden="1" x14ac:dyDescent="0.35">
      <c r="A860" s="1" t="s">
        <v>105</v>
      </c>
      <c r="B860" s="1" t="s">
        <v>174</v>
      </c>
      <c r="C860" s="1" t="s">
        <v>34</v>
      </c>
      <c r="D860" s="3">
        <v>2010</v>
      </c>
      <c r="E860">
        <v>1.5</v>
      </c>
      <c r="F860" s="1">
        <f t="shared" ca="1" si="26"/>
        <v>-2.3907391304347825</v>
      </c>
      <c r="G860" s="1">
        <f t="shared" ca="1" si="27"/>
        <v>4827.925927536231</v>
      </c>
      <c r="H860" s="1" cm="1">
        <f t="array" aca="1" ref="H860" ca="1">MIN(
  INDEX($E:$E, MATCH($A860, $A:$A, 0) + 23) +
  (F860 * (2030 - 2023)),
  100
)</f>
        <v>40.164826086956523</v>
      </c>
      <c r="I86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1" spans="1:9" hidden="1" x14ac:dyDescent="0.35">
      <c r="A861" s="1" t="s">
        <v>105</v>
      </c>
      <c r="B861" s="1" t="s">
        <v>174</v>
      </c>
      <c r="C861" s="1" t="s">
        <v>34</v>
      </c>
      <c r="D861" s="3">
        <v>2011</v>
      </c>
      <c r="E861">
        <v>2.8</v>
      </c>
      <c r="F861" s="1">
        <f t="shared" ca="1" si="26"/>
        <v>-2.3907391304347825</v>
      </c>
      <c r="G861" s="1">
        <f t="shared" ca="1" si="27"/>
        <v>4827.925927536231</v>
      </c>
      <c r="H861" s="1" cm="1">
        <f t="array" aca="1" ref="H861" ca="1">MIN(
  INDEX($E:$E, MATCH($A861, $A:$A, 0) + 23) +
  (F861 * (2030 - 2023)),
  100
)</f>
        <v>40.164826086956523</v>
      </c>
      <c r="I86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2" spans="1:9" hidden="1" x14ac:dyDescent="0.35">
      <c r="A862" s="1" t="s">
        <v>105</v>
      </c>
      <c r="B862" s="1" t="s">
        <v>174</v>
      </c>
      <c r="C862" s="1" t="s">
        <v>34</v>
      </c>
      <c r="D862" s="3">
        <v>2012</v>
      </c>
      <c r="E862">
        <v>3.3</v>
      </c>
      <c r="F862" s="1">
        <f t="shared" ca="1" si="26"/>
        <v>-2.3907391304347825</v>
      </c>
      <c r="G862" s="1">
        <f t="shared" ca="1" si="27"/>
        <v>4827.925927536231</v>
      </c>
      <c r="H862" s="1" cm="1">
        <f t="array" aca="1" ref="H862" ca="1">MIN(
  INDEX($E:$E, MATCH($A862, $A:$A, 0) + 23) +
  (F862 * (2030 - 2023)),
  100
)</f>
        <v>40.164826086956523</v>
      </c>
      <c r="I86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3" spans="1:9" hidden="1" x14ac:dyDescent="0.35">
      <c r="A863" s="1" t="s">
        <v>105</v>
      </c>
      <c r="B863" s="1" t="s">
        <v>174</v>
      </c>
      <c r="C863" s="1" t="s">
        <v>34</v>
      </c>
      <c r="D863" s="3">
        <v>2013</v>
      </c>
      <c r="E863">
        <v>3.8</v>
      </c>
      <c r="F863" s="1">
        <f t="shared" ca="1" si="26"/>
        <v>-2.3907391304347825</v>
      </c>
      <c r="G863" s="1">
        <f t="shared" ca="1" si="27"/>
        <v>4827.925927536231</v>
      </c>
      <c r="H863" s="1" cm="1">
        <f t="array" aca="1" ref="H863" ca="1">MIN(
  INDEX($E:$E, MATCH($A863, $A:$A, 0) + 23) +
  (F863 * (2030 - 2023)),
  100
)</f>
        <v>40.164826086956523</v>
      </c>
      <c r="I86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4" spans="1:9" hidden="1" x14ac:dyDescent="0.35">
      <c r="A864" s="1" t="s">
        <v>105</v>
      </c>
      <c r="B864" s="1" t="s">
        <v>174</v>
      </c>
      <c r="C864" s="1" t="s">
        <v>34</v>
      </c>
      <c r="D864" s="3">
        <v>2014</v>
      </c>
      <c r="E864">
        <v>4.3</v>
      </c>
      <c r="F864" s="1">
        <f t="shared" ca="1" si="26"/>
        <v>-2.3907391304347825</v>
      </c>
      <c r="G864" s="1">
        <f t="shared" ca="1" si="27"/>
        <v>4827.925927536231</v>
      </c>
      <c r="H864" s="1" cm="1">
        <f t="array" aca="1" ref="H864" ca="1">MIN(
  INDEX($E:$E, MATCH($A864, $A:$A, 0) + 23) +
  (F864 * (2030 - 2023)),
  100
)</f>
        <v>40.164826086956523</v>
      </c>
      <c r="I86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5" spans="1:9" hidden="1" x14ac:dyDescent="0.35">
      <c r="A865" s="1" t="s">
        <v>105</v>
      </c>
      <c r="B865" s="1" t="s">
        <v>174</v>
      </c>
      <c r="C865" s="1" t="s">
        <v>34</v>
      </c>
      <c r="D865" s="3">
        <v>2015</v>
      </c>
      <c r="E865">
        <v>4.8</v>
      </c>
      <c r="F865" s="1">
        <f t="shared" ca="1" si="26"/>
        <v>-2.3907391304347825</v>
      </c>
      <c r="G865" s="1">
        <f t="shared" ca="1" si="27"/>
        <v>4827.925927536231</v>
      </c>
      <c r="H865" s="1" cm="1">
        <f t="array" aca="1" ref="H865" ca="1">MIN(
  INDEX($E:$E, MATCH($A865, $A:$A, 0) + 23) +
  (F865 * (2030 - 2023)),
  100
)</f>
        <v>40.164826086956523</v>
      </c>
      <c r="I8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6" spans="1:9" hidden="1" x14ac:dyDescent="0.35">
      <c r="A866" s="1" t="s">
        <v>105</v>
      </c>
      <c r="B866" s="1" t="s">
        <v>174</v>
      </c>
      <c r="C866" s="1" t="s">
        <v>34</v>
      </c>
      <c r="D866" s="3">
        <v>2016</v>
      </c>
      <c r="E866">
        <v>5.3</v>
      </c>
      <c r="F866" s="1">
        <f t="shared" ca="1" si="26"/>
        <v>-2.3907391304347825</v>
      </c>
      <c r="G866" s="1">
        <f t="shared" ca="1" si="27"/>
        <v>4827.925927536231</v>
      </c>
      <c r="H866" s="1" cm="1">
        <f t="array" aca="1" ref="H866" ca="1">MIN(
  INDEX($E:$E, MATCH($A866, $A:$A, 0) + 23) +
  (F866 * (2030 - 2023)),
  100
)</f>
        <v>40.164826086956523</v>
      </c>
      <c r="I8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7" spans="1:9" hidden="1" x14ac:dyDescent="0.35">
      <c r="A867" s="1" t="s">
        <v>105</v>
      </c>
      <c r="B867" s="1" t="s">
        <v>174</v>
      </c>
      <c r="C867" s="1" t="s">
        <v>34</v>
      </c>
      <c r="D867" s="3">
        <v>2017</v>
      </c>
      <c r="E867">
        <v>4.2</v>
      </c>
      <c r="F867" s="1">
        <f t="shared" ca="1" si="26"/>
        <v>-2.3907391304347825</v>
      </c>
      <c r="G867" s="1">
        <f t="shared" ca="1" si="27"/>
        <v>4827.925927536231</v>
      </c>
      <c r="H867" s="1" cm="1">
        <f t="array" aca="1" ref="H867" ca="1">MIN(
  INDEX($E:$E, MATCH($A867, $A:$A, 0) + 23) +
  (F867 * (2030 - 2023)),
  100
)</f>
        <v>40.164826086956523</v>
      </c>
      <c r="I8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8" spans="1:9" hidden="1" x14ac:dyDescent="0.35">
      <c r="A868" s="1" t="s">
        <v>105</v>
      </c>
      <c r="B868" s="1" t="s">
        <v>174</v>
      </c>
      <c r="C868" s="1" t="s">
        <v>34</v>
      </c>
      <c r="D868" s="3">
        <v>2018</v>
      </c>
      <c r="E868">
        <v>6.3</v>
      </c>
      <c r="F868" s="1">
        <f t="shared" ca="1" si="26"/>
        <v>-2.3907391304347825</v>
      </c>
      <c r="G868" s="1">
        <f t="shared" ca="1" si="27"/>
        <v>4827.925927536231</v>
      </c>
      <c r="H868" s="1" cm="1">
        <f t="array" aca="1" ref="H868" ca="1">MIN(
  INDEX($E:$E, MATCH($A868, $A:$A, 0) + 23) +
  (F868 * (2030 - 2023)),
  100
)</f>
        <v>40.164826086956523</v>
      </c>
      <c r="I8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69" spans="1:9" hidden="1" x14ac:dyDescent="0.35">
      <c r="A869" s="1" t="s">
        <v>105</v>
      </c>
      <c r="B869" s="1" t="s">
        <v>174</v>
      </c>
      <c r="C869" s="1" t="s">
        <v>34</v>
      </c>
      <c r="D869" s="3">
        <v>2019</v>
      </c>
      <c r="E869">
        <v>6.8</v>
      </c>
      <c r="F869" s="1">
        <f t="shared" ca="1" si="26"/>
        <v>-2.3907391304347825</v>
      </c>
      <c r="G869" s="1">
        <f t="shared" ca="1" si="27"/>
        <v>4827.925927536231</v>
      </c>
      <c r="H869" s="1" cm="1">
        <f t="array" aca="1" ref="H869" ca="1">MIN(
  INDEX($E:$E, MATCH($A869, $A:$A, 0) + 23) +
  (F869 * (2030 - 2023)),
  100
)</f>
        <v>40.164826086956523</v>
      </c>
      <c r="I8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70" spans="1:9" hidden="1" x14ac:dyDescent="0.35">
      <c r="A870" s="1" t="s">
        <v>105</v>
      </c>
      <c r="B870" s="1" t="s">
        <v>174</v>
      </c>
      <c r="C870" s="1" t="s">
        <v>34</v>
      </c>
      <c r="D870" s="3">
        <v>2020</v>
      </c>
      <c r="E870">
        <v>7.3</v>
      </c>
      <c r="F870" s="1">
        <f t="shared" ca="1" si="26"/>
        <v>-2.3907391304347825</v>
      </c>
      <c r="G870" s="1">
        <f t="shared" ca="1" si="27"/>
        <v>4827.925927536231</v>
      </c>
      <c r="H870" s="1" cm="1">
        <f t="array" aca="1" ref="H870" ca="1">MIN(
  INDEX($E:$E, MATCH($A870, $A:$A, 0) + 23) +
  (F870 * (2030 - 2023)),
  100
)</f>
        <v>40.164826086956523</v>
      </c>
      <c r="I8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71" spans="1:9" hidden="1" x14ac:dyDescent="0.35">
      <c r="A871" s="1" t="s">
        <v>105</v>
      </c>
      <c r="B871" s="1" t="s">
        <v>174</v>
      </c>
      <c r="C871" s="1" t="s">
        <v>34</v>
      </c>
      <c r="D871" s="3">
        <v>2021</v>
      </c>
      <c r="E871">
        <v>7.7</v>
      </c>
      <c r="F871" s="1">
        <f t="shared" ca="1" si="26"/>
        <v>-2.3907391304347825</v>
      </c>
      <c r="G871" s="1">
        <f t="shared" ca="1" si="27"/>
        <v>4827.925927536231</v>
      </c>
      <c r="H871" s="1" cm="1">
        <f t="array" aca="1" ref="H871" ca="1">MIN(
  INDEX($E:$E, MATCH($A871, $A:$A, 0) + 23) +
  (F871 * (2030 - 2023)),
  100
)</f>
        <v>40.164826086956523</v>
      </c>
      <c r="I8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72" spans="1:9" hidden="1" x14ac:dyDescent="0.35">
      <c r="A872" s="1" t="s">
        <v>105</v>
      </c>
      <c r="B872" s="1" t="s">
        <v>174</v>
      </c>
      <c r="C872" s="1" t="s">
        <v>34</v>
      </c>
      <c r="D872" s="3">
        <v>2022</v>
      </c>
      <c r="E872">
        <v>8.4</v>
      </c>
      <c r="F872" s="1">
        <f t="shared" ca="1" si="26"/>
        <v>-2.3907391304347825</v>
      </c>
      <c r="G872" s="1">
        <f t="shared" ca="1" si="27"/>
        <v>4827.925927536231</v>
      </c>
      <c r="H872" s="1" cm="1">
        <f t="array" aca="1" ref="H872" ca="1">MIN(
  INDEX($E:$E, MATCH($A872, $A:$A, 0) + 23) +
  (F872 * (2030 - 2023)),
  100
)</f>
        <v>40.164826086956523</v>
      </c>
      <c r="I8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73" spans="1:9" x14ac:dyDescent="0.35">
      <c r="A873" s="1" t="s">
        <v>105</v>
      </c>
      <c r="B873" s="1" t="s">
        <v>174</v>
      </c>
      <c r="C873" s="1" t="s">
        <v>34</v>
      </c>
      <c r="D873" s="3">
        <v>2023</v>
      </c>
      <c r="E873">
        <v>5.4</v>
      </c>
      <c r="F873" s="4">
        <f t="shared" ca="1" si="26"/>
        <v>-2.3907391304347825</v>
      </c>
      <c r="G873" s="4">
        <f t="shared" ca="1" si="27"/>
        <v>4827.925927536231</v>
      </c>
      <c r="H873" s="4" cm="1">
        <f t="array" aca="1" ref="H873" ca="1">MIN(
  INDEX($E:$E, MATCH($A873, $A:$A, 0) + 23) +
  (F873 * (2030 - 2023)),
  100
)</f>
        <v>40.164826086956523</v>
      </c>
      <c r="I8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874" spans="1:9" hidden="1" x14ac:dyDescent="0.35">
      <c r="A874" s="1" t="s">
        <v>107</v>
      </c>
      <c r="B874" s="1" t="s">
        <v>172</v>
      </c>
      <c r="C874" s="1" t="s">
        <v>31</v>
      </c>
      <c r="D874" s="3">
        <v>2000</v>
      </c>
      <c r="E874">
        <v>52.9</v>
      </c>
      <c r="F874" s="1">
        <f t="shared" ca="1" si="26"/>
        <v>1.3120434782608694</v>
      </c>
      <c r="G874" s="1">
        <f t="shared" ca="1" si="27"/>
        <v>-2575.0462898550722</v>
      </c>
      <c r="H874" s="1" cm="1">
        <f t="array" aca="1" ref="H874" ca="1">MIN(
  INDEX($E:$E, MATCH($A874, $A:$A, 0) + 23) +
  (F874 * (2030 - 2023)),
  100
)</f>
        <v>90.484304347826082</v>
      </c>
      <c r="I87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75" spans="1:9" hidden="1" x14ac:dyDescent="0.35">
      <c r="A875" s="1" t="s">
        <v>107</v>
      </c>
      <c r="B875" s="1" t="s">
        <v>172</v>
      </c>
      <c r="C875" s="1" t="s">
        <v>31</v>
      </c>
      <c r="D875" s="3">
        <v>2001</v>
      </c>
      <c r="E875">
        <v>51.5</v>
      </c>
      <c r="F875" s="1">
        <f t="shared" ca="1" si="26"/>
        <v>1.3120434782608694</v>
      </c>
      <c r="G875" s="1">
        <f t="shared" ca="1" si="27"/>
        <v>-2575.0462898550722</v>
      </c>
      <c r="H875" s="1" cm="1">
        <f t="array" aca="1" ref="H875" ca="1">MIN(
  INDEX($E:$E, MATCH($A875, $A:$A, 0) + 23) +
  (F875 * (2030 - 2023)),
  100
)</f>
        <v>90.484304347826082</v>
      </c>
      <c r="I87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76" spans="1:9" hidden="1" x14ac:dyDescent="0.35">
      <c r="A876" s="1" t="s">
        <v>107</v>
      </c>
      <c r="B876" s="1" t="s">
        <v>172</v>
      </c>
      <c r="C876" s="1" t="s">
        <v>31</v>
      </c>
      <c r="D876" s="3">
        <v>2002</v>
      </c>
      <c r="E876">
        <v>52.5</v>
      </c>
      <c r="F876" s="1">
        <f t="shared" ca="1" si="26"/>
        <v>1.3120434782608694</v>
      </c>
      <c r="G876" s="1">
        <f t="shared" ca="1" si="27"/>
        <v>-2575.0462898550722</v>
      </c>
      <c r="H876" s="1" cm="1">
        <f t="array" aca="1" ref="H876" ca="1">MIN(
  INDEX($E:$E, MATCH($A876, $A:$A, 0) + 23) +
  (F876 * (2030 - 2023)),
  100
)</f>
        <v>90.484304347826082</v>
      </c>
      <c r="I87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77" spans="1:9" hidden="1" x14ac:dyDescent="0.35">
      <c r="A877" s="1" t="s">
        <v>107</v>
      </c>
      <c r="B877" s="1" t="s">
        <v>172</v>
      </c>
      <c r="C877" s="1" t="s">
        <v>31</v>
      </c>
      <c r="D877" s="3">
        <v>2003</v>
      </c>
      <c r="E877">
        <v>53.6</v>
      </c>
      <c r="F877" s="1">
        <f t="shared" ca="1" si="26"/>
        <v>1.3120434782608694</v>
      </c>
      <c r="G877" s="1">
        <f t="shared" ca="1" si="27"/>
        <v>-2575.0462898550722</v>
      </c>
      <c r="H877" s="1" cm="1">
        <f t="array" aca="1" ref="H877" ca="1">MIN(
  INDEX($E:$E, MATCH($A877, $A:$A, 0) + 23) +
  (F877 * (2030 - 2023)),
  100
)</f>
        <v>90.484304347826082</v>
      </c>
      <c r="I87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78" spans="1:9" hidden="1" x14ac:dyDescent="0.35">
      <c r="A878" s="1" t="s">
        <v>107</v>
      </c>
      <c r="B878" s="1" t="s">
        <v>172</v>
      </c>
      <c r="C878" s="1" t="s">
        <v>31</v>
      </c>
      <c r="D878" s="3">
        <v>2004</v>
      </c>
      <c r="E878">
        <v>54.7</v>
      </c>
      <c r="F878" s="1">
        <f t="shared" ca="1" si="26"/>
        <v>1.3120434782608694</v>
      </c>
      <c r="G878" s="1">
        <f t="shared" ca="1" si="27"/>
        <v>-2575.0462898550722</v>
      </c>
      <c r="H878" s="1" cm="1">
        <f t="array" aca="1" ref="H878" ca="1">MIN(
  INDEX($E:$E, MATCH($A878, $A:$A, 0) + 23) +
  (F878 * (2030 - 2023)),
  100
)</f>
        <v>90.484304347826082</v>
      </c>
      <c r="I87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79" spans="1:9" hidden="1" x14ac:dyDescent="0.35">
      <c r="A879" s="1" t="s">
        <v>107</v>
      </c>
      <c r="B879" s="1" t="s">
        <v>172</v>
      </c>
      <c r="C879" s="1" t="s">
        <v>31</v>
      </c>
      <c r="D879" s="3">
        <v>2005</v>
      </c>
      <c r="E879">
        <v>55.8</v>
      </c>
      <c r="F879" s="1">
        <f t="shared" ca="1" si="26"/>
        <v>1.3120434782608694</v>
      </c>
      <c r="G879" s="1">
        <f t="shared" ca="1" si="27"/>
        <v>-2575.0462898550722</v>
      </c>
      <c r="H879" s="1" cm="1">
        <f t="array" aca="1" ref="H879" ca="1">MIN(
  INDEX($E:$E, MATCH($A879, $A:$A, 0) + 23) +
  (F879 * (2030 - 2023)),
  100
)</f>
        <v>90.484304347826082</v>
      </c>
      <c r="I87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0" spans="1:9" hidden="1" x14ac:dyDescent="0.35">
      <c r="A880" s="1" t="s">
        <v>107</v>
      </c>
      <c r="B880" s="1" t="s">
        <v>172</v>
      </c>
      <c r="C880" s="1" t="s">
        <v>31</v>
      </c>
      <c r="D880" s="3">
        <v>2006</v>
      </c>
      <c r="E880">
        <v>56.9</v>
      </c>
      <c r="F880" s="1">
        <f t="shared" ca="1" si="26"/>
        <v>1.3120434782608694</v>
      </c>
      <c r="G880" s="1">
        <f t="shared" ca="1" si="27"/>
        <v>-2575.0462898550722</v>
      </c>
      <c r="H880" s="1" cm="1">
        <f t="array" aca="1" ref="H880" ca="1">MIN(
  INDEX($E:$E, MATCH($A880, $A:$A, 0) + 23) +
  (F880 * (2030 - 2023)),
  100
)</f>
        <v>90.484304347826082</v>
      </c>
      <c r="I88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1" spans="1:9" hidden="1" x14ac:dyDescent="0.35">
      <c r="A881" s="1" t="s">
        <v>107</v>
      </c>
      <c r="B881" s="1" t="s">
        <v>172</v>
      </c>
      <c r="C881" s="1" t="s">
        <v>31</v>
      </c>
      <c r="D881" s="3">
        <v>2007</v>
      </c>
      <c r="E881">
        <v>58</v>
      </c>
      <c r="F881" s="1">
        <f t="shared" ca="1" si="26"/>
        <v>1.3120434782608694</v>
      </c>
      <c r="G881" s="1">
        <f t="shared" ca="1" si="27"/>
        <v>-2575.0462898550722</v>
      </c>
      <c r="H881" s="1" cm="1">
        <f t="array" aca="1" ref="H881" ca="1">MIN(
  INDEX($E:$E, MATCH($A881, $A:$A, 0) + 23) +
  (F881 * (2030 - 2023)),
  100
)</f>
        <v>90.484304347826082</v>
      </c>
      <c r="I88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2" spans="1:9" hidden="1" x14ac:dyDescent="0.35">
      <c r="A882" s="1" t="s">
        <v>107</v>
      </c>
      <c r="B882" s="1" t="s">
        <v>172</v>
      </c>
      <c r="C882" s="1" t="s">
        <v>31</v>
      </c>
      <c r="D882" s="3">
        <v>2008</v>
      </c>
      <c r="E882">
        <v>59.1</v>
      </c>
      <c r="F882" s="1">
        <f t="shared" ca="1" si="26"/>
        <v>1.3120434782608694</v>
      </c>
      <c r="G882" s="1">
        <f t="shared" ca="1" si="27"/>
        <v>-2575.0462898550722</v>
      </c>
      <c r="H882" s="1" cm="1">
        <f t="array" aca="1" ref="H882" ca="1">MIN(
  INDEX($E:$E, MATCH($A882, $A:$A, 0) + 23) +
  (F882 * (2030 - 2023)),
  100
)</f>
        <v>90.484304347826082</v>
      </c>
      <c r="I88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3" spans="1:9" hidden="1" x14ac:dyDescent="0.35">
      <c r="A883" s="1" t="s">
        <v>107</v>
      </c>
      <c r="B883" s="1" t="s">
        <v>172</v>
      </c>
      <c r="C883" s="1" t="s">
        <v>31</v>
      </c>
      <c r="D883" s="3">
        <v>2009</v>
      </c>
      <c r="E883">
        <v>56.9</v>
      </c>
      <c r="F883" s="1">
        <f t="shared" ca="1" si="26"/>
        <v>1.3120434782608694</v>
      </c>
      <c r="G883" s="1">
        <f t="shared" ca="1" si="27"/>
        <v>-2575.0462898550722</v>
      </c>
      <c r="H883" s="1" cm="1">
        <f t="array" aca="1" ref="H883" ca="1">MIN(
  INDEX($E:$E, MATCH($A883, $A:$A, 0) + 23) +
  (F883 * (2030 - 2023)),
  100
)</f>
        <v>90.484304347826082</v>
      </c>
      <c r="I88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4" spans="1:9" hidden="1" x14ac:dyDescent="0.35">
      <c r="A884" s="1" t="s">
        <v>107</v>
      </c>
      <c r="B884" s="1" t="s">
        <v>172</v>
      </c>
      <c r="C884" s="1" t="s">
        <v>31</v>
      </c>
      <c r="D884" s="3">
        <v>2010</v>
      </c>
      <c r="E884">
        <v>61.4</v>
      </c>
      <c r="F884" s="1">
        <f t="shared" ca="1" si="26"/>
        <v>1.3120434782608694</v>
      </c>
      <c r="G884" s="1">
        <f t="shared" ca="1" si="27"/>
        <v>-2575.0462898550722</v>
      </c>
      <c r="H884" s="1" cm="1">
        <f t="array" aca="1" ref="H884" ca="1">MIN(
  INDEX($E:$E, MATCH($A884, $A:$A, 0) + 23) +
  (F884 * (2030 - 2023)),
  100
)</f>
        <v>90.484304347826082</v>
      </c>
      <c r="I88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5" spans="1:9" hidden="1" x14ac:dyDescent="0.35">
      <c r="A885" s="1" t="s">
        <v>107</v>
      </c>
      <c r="B885" s="1" t="s">
        <v>172</v>
      </c>
      <c r="C885" s="1" t="s">
        <v>31</v>
      </c>
      <c r="D885" s="3">
        <v>2011</v>
      </c>
      <c r="E885">
        <v>62.6</v>
      </c>
      <c r="F885" s="1">
        <f t="shared" ca="1" si="26"/>
        <v>1.3120434782608694</v>
      </c>
      <c r="G885" s="1">
        <f t="shared" ca="1" si="27"/>
        <v>-2575.0462898550722</v>
      </c>
      <c r="H885" s="1" cm="1">
        <f t="array" aca="1" ref="H885" ca="1">MIN(
  INDEX($E:$E, MATCH($A885, $A:$A, 0) + 23) +
  (F885 * (2030 - 2023)),
  100
)</f>
        <v>90.484304347826082</v>
      </c>
      <c r="I88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6" spans="1:9" hidden="1" x14ac:dyDescent="0.35">
      <c r="A886" s="1" t="s">
        <v>107</v>
      </c>
      <c r="B886" s="1" t="s">
        <v>172</v>
      </c>
      <c r="C886" s="1" t="s">
        <v>31</v>
      </c>
      <c r="D886" s="3">
        <v>2012</v>
      </c>
      <c r="E886">
        <v>57.9</v>
      </c>
      <c r="F886" s="1">
        <f t="shared" ca="1" si="26"/>
        <v>1.3120434782608694</v>
      </c>
      <c r="G886" s="1">
        <f t="shared" ca="1" si="27"/>
        <v>-2575.0462898550722</v>
      </c>
      <c r="H886" s="1" cm="1">
        <f t="array" aca="1" ref="H886" ca="1">MIN(
  INDEX($E:$E, MATCH($A886, $A:$A, 0) + 23) +
  (F886 * (2030 - 2023)),
  100
)</f>
        <v>90.484304347826082</v>
      </c>
      <c r="I88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7" spans="1:9" hidden="1" x14ac:dyDescent="0.35">
      <c r="A887" s="1" t="s">
        <v>107</v>
      </c>
      <c r="B887" s="1" t="s">
        <v>172</v>
      </c>
      <c r="C887" s="1" t="s">
        <v>31</v>
      </c>
      <c r="D887" s="3">
        <v>2013</v>
      </c>
      <c r="E887">
        <v>65</v>
      </c>
      <c r="F887" s="1">
        <f t="shared" ca="1" si="26"/>
        <v>1.3120434782608694</v>
      </c>
      <c r="G887" s="1">
        <f t="shared" ca="1" si="27"/>
        <v>-2575.0462898550722</v>
      </c>
      <c r="H887" s="1" cm="1">
        <f t="array" aca="1" ref="H887" ca="1">MIN(
  INDEX($E:$E, MATCH($A887, $A:$A, 0) + 23) +
  (F887 * (2030 - 2023)),
  100
)</f>
        <v>90.484304347826082</v>
      </c>
      <c r="I88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8" spans="1:9" hidden="1" x14ac:dyDescent="0.35">
      <c r="A888" s="1" t="s">
        <v>107</v>
      </c>
      <c r="B888" s="1" t="s">
        <v>172</v>
      </c>
      <c r="C888" s="1" t="s">
        <v>31</v>
      </c>
      <c r="D888" s="3">
        <v>2014</v>
      </c>
      <c r="E888">
        <v>68.599999999999994</v>
      </c>
      <c r="F888" s="1">
        <f t="shared" ca="1" si="26"/>
        <v>1.3120434782608694</v>
      </c>
      <c r="G888" s="1">
        <f t="shared" ca="1" si="27"/>
        <v>-2575.0462898550722</v>
      </c>
      <c r="H888" s="1" cm="1">
        <f t="array" aca="1" ref="H888" ca="1">MIN(
  INDEX($E:$E, MATCH($A888, $A:$A, 0) + 23) +
  (F888 * (2030 - 2023)),
  100
)</f>
        <v>90.484304347826082</v>
      </c>
      <c r="I88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89" spans="1:9" hidden="1" x14ac:dyDescent="0.35">
      <c r="A889" s="1" t="s">
        <v>107</v>
      </c>
      <c r="B889" s="1" t="s">
        <v>172</v>
      </c>
      <c r="C889" s="1" t="s">
        <v>31</v>
      </c>
      <c r="D889" s="3">
        <v>2015</v>
      </c>
      <c r="E889">
        <v>67.3</v>
      </c>
      <c r="F889" s="1">
        <f t="shared" ca="1" si="26"/>
        <v>1.3120434782608694</v>
      </c>
      <c r="G889" s="1">
        <f t="shared" ca="1" si="27"/>
        <v>-2575.0462898550722</v>
      </c>
      <c r="H889" s="1" cm="1">
        <f t="array" aca="1" ref="H889" ca="1">MIN(
  INDEX($E:$E, MATCH($A889, $A:$A, 0) + 23) +
  (F889 * (2030 - 2023)),
  100
)</f>
        <v>90.484304347826082</v>
      </c>
      <c r="I88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0" spans="1:9" hidden="1" x14ac:dyDescent="0.35">
      <c r="A890" s="1" t="s">
        <v>107</v>
      </c>
      <c r="B890" s="1" t="s">
        <v>172</v>
      </c>
      <c r="C890" s="1" t="s">
        <v>31</v>
      </c>
      <c r="D890" s="3">
        <v>2016</v>
      </c>
      <c r="E890">
        <v>69.400000000000006</v>
      </c>
      <c r="F890" s="1">
        <f t="shared" ca="1" si="26"/>
        <v>1.3120434782608694</v>
      </c>
      <c r="G890" s="1">
        <f t="shared" ca="1" si="27"/>
        <v>-2575.0462898550722</v>
      </c>
      <c r="H890" s="1" cm="1">
        <f t="array" aca="1" ref="H890" ca="1">MIN(
  INDEX($E:$E, MATCH($A890, $A:$A, 0) + 23) +
  (F890 * (2030 - 2023)),
  100
)</f>
        <v>90.484304347826082</v>
      </c>
      <c r="I89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1" spans="1:9" hidden="1" x14ac:dyDescent="0.35">
      <c r="A891" s="1" t="s">
        <v>107</v>
      </c>
      <c r="B891" s="1" t="s">
        <v>172</v>
      </c>
      <c r="C891" s="1" t="s">
        <v>31</v>
      </c>
      <c r="D891" s="3">
        <v>2017</v>
      </c>
      <c r="E891">
        <v>74.3</v>
      </c>
      <c r="F891" s="1">
        <f t="shared" ca="1" si="26"/>
        <v>1.3120434782608694</v>
      </c>
      <c r="G891" s="1">
        <f t="shared" ca="1" si="27"/>
        <v>-2575.0462898550722</v>
      </c>
      <c r="H891" s="1" cm="1">
        <f t="array" aca="1" ref="H891" ca="1">MIN(
  INDEX($E:$E, MATCH($A891, $A:$A, 0) + 23) +
  (F891 * (2030 - 2023)),
  100
)</f>
        <v>90.484304347826082</v>
      </c>
      <c r="I89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2" spans="1:9" hidden="1" x14ac:dyDescent="0.35">
      <c r="A892" s="1" t="s">
        <v>107</v>
      </c>
      <c r="B892" s="1" t="s">
        <v>172</v>
      </c>
      <c r="C892" s="1" t="s">
        <v>31</v>
      </c>
      <c r="D892" s="3">
        <v>2018</v>
      </c>
      <c r="E892">
        <v>71</v>
      </c>
      <c r="F892" s="1">
        <f t="shared" ca="1" si="26"/>
        <v>1.3120434782608694</v>
      </c>
      <c r="G892" s="1">
        <f t="shared" ca="1" si="27"/>
        <v>-2575.0462898550722</v>
      </c>
      <c r="H892" s="1" cm="1">
        <f t="array" aca="1" ref="H892" ca="1">MIN(
  INDEX($E:$E, MATCH($A892, $A:$A, 0) + 23) +
  (F892 * (2030 - 2023)),
  100
)</f>
        <v>90.484304347826082</v>
      </c>
      <c r="I89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3" spans="1:9" hidden="1" x14ac:dyDescent="0.35">
      <c r="A893" s="1" t="s">
        <v>107</v>
      </c>
      <c r="B893" s="1" t="s">
        <v>172</v>
      </c>
      <c r="C893" s="1" t="s">
        <v>31</v>
      </c>
      <c r="D893" s="3">
        <v>2019</v>
      </c>
      <c r="E893">
        <v>75.099999999999994</v>
      </c>
      <c r="F893" s="1">
        <f t="shared" ca="1" si="26"/>
        <v>1.3120434782608694</v>
      </c>
      <c r="G893" s="1">
        <f t="shared" ca="1" si="27"/>
        <v>-2575.0462898550722</v>
      </c>
      <c r="H893" s="1" cm="1">
        <f t="array" aca="1" ref="H893" ca="1">MIN(
  INDEX($E:$E, MATCH($A893, $A:$A, 0) + 23) +
  (F893 * (2030 - 2023)),
  100
)</f>
        <v>90.484304347826082</v>
      </c>
      <c r="I89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4" spans="1:9" hidden="1" x14ac:dyDescent="0.35">
      <c r="A894" s="1" t="s">
        <v>107</v>
      </c>
      <c r="B894" s="1" t="s">
        <v>172</v>
      </c>
      <c r="C894" s="1" t="s">
        <v>31</v>
      </c>
      <c r="D894" s="3">
        <v>2020</v>
      </c>
      <c r="E894">
        <v>76.8</v>
      </c>
      <c r="F894" s="1">
        <f t="shared" ca="1" si="26"/>
        <v>1.3120434782608694</v>
      </c>
      <c r="G894" s="1">
        <f t="shared" ca="1" si="27"/>
        <v>-2575.0462898550722</v>
      </c>
      <c r="H894" s="1" cm="1">
        <f t="array" aca="1" ref="H894" ca="1">MIN(
  INDEX($E:$E, MATCH($A894, $A:$A, 0) + 23) +
  (F894 * (2030 - 2023)),
  100
)</f>
        <v>90.484304347826082</v>
      </c>
      <c r="I89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5" spans="1:9" hidden="1" x14ac:dyDescent="0.35">
      <c r="A895" s="1" t="s">
        <v>107</v>
      </c>
      <c r="B895" s="1" t="s">
        <v>172</v>
      </c>
      <c r="C895" s="1" t="s">
        <v>31</v>
      </c>
      <c r="D895" s="3">
        <v>2021</v>
      </c>
      <c r="E895">
        <v>78.5</v>
      </c>
      <c r="F895" s="1">
        <f t="shared" ca="1" si="26"/>
        <v>1.3120434782608694</v>
      </c>
      <c r="G895" s="1">
        <f t="shared" ca="1" si="27"/>
        <v>-2575.0462898550722</v>
      </c>
      <c r="H895" s="1" cm="1">
        <f t="array" aca="1" ref="H895" ca="1">MIN(
  INDEX($E:$E, MATCH($A895, $A:$A, 0) + 23) +
  (F895 * (2030 - 2023)),
  100
)</f>
        <v>90.484304347826082</v>
      </c>
      <c r="I89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6" spans="1:9" hidden="1" x14ac:dyDescent="0.35">
      <c r="A896" s="1" t="s">
        <v>107</v>
      </c>
      <c r="B896" s="1" t="s">
        <v>172</v>
      </c>
      <c r="C896" s="1" t="s">
        <v>31</v>
      </c>
      <c r="D896" s="3">
        <v>2022</v>
      </c>
      <c r="E896">
        <v>78</v>
      </c>
      <c r="F896" s="1">
        <f t="shared" ca="1" si="26"/>
        <v>1.3120434782608694</v>
      </c>
      <c r="G896" s="1">
        <f t="shared" ca="1" si="27"/>
        <v>-2575.0462898550722</v>
      </c>
      <c r="H896" s="1" cm="1">
        <f t="array" aca="1" ref="H896" ca="1">MIN(
  INDEX($E:$E, MATCH($A896, $A:$A, 0) + 23) +
  (F896 * (2030 - 2023)),
  100
)</f>
        <v>90.484304347826082</v>
      </c>
      <c r="I89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7" spans="1:9" x14ac:dyDescent="0.35">
      <c r="A897" s="1" t="s">
        <v>107</v>
      </c>
      <c r="B897" s="1" t="s">
        <v>172</v>
      </c>
      <c r="C897" s="1" t="s">
        <v>31</v>
      </c>
      <c r="D897" s="3">
        <v>2023</v>
      </c>
      <c r="E897">
        <v>81.3</v>
      </c>
      <c r="F897" s="4">
        <f t="shared" ca="1" si="26"/>
        <v>1.3120434782608694</v>
      </c>
      <c r="G897" s="4">
        <f t="shared" ca="1" si="27"/>
        <v>-2575.0462898550722</v>
      </c>
      <c r="H897" s="4" cm="1">
        <f t="array" aca="1" ref="H897" ca="1">MIN(
  INDEX($E:$E, MATCH($A897, $A:$A, 0) + 23) +
  (F897 * (2030 - 2023)),
  100
)</f>
        <v>90.484304347826082</v>
      </c>
      <c r="I89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898" spans="1:9" hidden="1" x14ac:dyDescent="0.35">
      <c r="A898" s="1" t="s">
        <v>109</v>
      </c>
      <c r="B898" s="1" t="s">
        <v>176</v>
      </c>
      <c r="C898" s="1" t="s">
        <v>31</v>
      </c>
      <c r="D898" s="3">
        <v>2000</v>
      </c>
      <c r="E898">
        <v>20.399999999999999</v>
      </c>
      <c r="F898" s="1">
        <f t="shared" ref="F898:F961" ca="1" si="28">SLOPE(
  OFFSET($E$1, MATCH($A898, $A:$A, 0)-1, 0, 24, 1),
  OFFSET($D$1, MATCH($A898, $A:$A, 0)-1, 0, 24, 1)
)</f>
        <v>2.9534347826086953</v>
      </c>
      <c r="G898" s="1">
        <f t="shared" ref="G898:G961" ca="1" si="29">INTERCEPT(
  OFFSET($E$1, MATCH($A898, $A:$A, 0)-1, 0, 24, 1),
  OFFSET($D$1, MATCH($A898, $A:$A, 0)-1, 0, 24, 1)
)</f>
        <v>-5887.4632318840568</v>
      </c>
      <c r="H898" s="1" cm="1">
        <f t="array" aca="1" ref="H898" ca="1">MIN(
  INDEX($E:$E, MATCH($A898, $A:$A, 0) + 23) +
  (F898 * (2030 - 2023)),
  100
)</f>
        <v>100</v>
      </c>
      <c r="I89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899" spans="1:9" hidden="1" x14ac:dyDescent="0.35">
      <c r="A899" s="1" t="s">
        <v>109</v>
      </c>
      <c r="B899" s="1" t="s">
        <v>176</v>
      </c>
      <c r="C899" s="1" t="s">
        <v>31</v>
      </c>
      <c r="D899" s="3">
        <v>2001</v>
      </c>
      <c r="E899">
        <v>26.9</v>
      </c>
      <c r="F899" s="1">
        <f t="shared" ca="1" si="28"/>
        <v>2.9534347826086953</v>
      </c>
      <c r="G899" s="1">
        <f t="shared" ca="1" si="29"/>
        <v>-5887.4632318840568</v>
      </c>
      <c r="H899" s="1" cm="1">
        <f t="array" aca="1" ref="H899" ca="1">MIN(
  INDEX($E:$E, MATCH($A899, $A:$A, 0) + 23) +
  (F899 * (2030 - 2023)),
  100
)</f>
        <v>100</v>
      </c>
      <c r="I89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0" spans="1:9" hidden="1" x14ac:dyDescent="0.35">
      <c r="A900" s="1" t="s">
        <v>109</v>
      </c>
      <c r="B900" s="1" t="s">
        <v>176</v>
      </c>
      <c r="C900" s="1" t="s">
        <v>31</v>
      </c>
      <c r="D900" s="3">
        <v>2002</v>
      </c>
      <c r="E900">
        <v>25.9</v>
      </c>
      <c r="F900" s="1">
        <f t="shared" ca="1" si="28"/>
        <v>2.9534347826086953</v>
      </c>
      <c r="G900" s="1">
        <f t="shared" ca="1" si="29"/>
        <v>-5887.4632318840568</v>
      </c>
      <c r="H900" s="1" cm="1">
        <f t="array" aca="1" ref="H900" ca="1">MIN(
  INDEX($E:$E, MATCH($A900, $A:$A, 0) + 23) +
  (F900 * (2030 - 2023)),
  100
)</f>
        <v>100</v>
      </c>
      <c r="I90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1" spans="1:9" hidden="1" x14ac:dyDescent="0.35">
      <c r="A901" s="1" t="s">
        <v>109</v>
      </c>
      <c r="B901" s="1" t="s">
        <v>176</v>
      </c>
      <c r="C901" s="1" t="s">
        <v>31</v>
      </c>
      <c r="D901" s="3">
        <v>2003</v>
      </c>
      <c r="E901">
        <v>28.7</v>
      </c>
      <c r="F901" s="1">
        <f t="shared" ca="1" si="28"/>
        <v>2.9534347826086953</v>
      </c>
      <c r="G901" s="1">
        <f t="shared" ca="1" si="29"/>
        <v>-5887.4632318840568</v>
      </c>
      <c r="H901" s="1" cm="1">
        <f t="array" aca="1" ref="H901" ca="1">MIN(
  INDEX($E:$E, MATCH($A901, $A:$A, 0) + 23) +
  (F901 * (2030 - 2023)),
  100
)</f>
        <v>100</v>
      </c>
      <c r="I90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2" spans="1:9" hidden="1" x14ac:dyDescent="0.35">
      <c r="A902" s="1" t="s">
        <v>109</v>
      </c>
      <c r="B902" s="1" t="s">
        <v>176</v>
      </c>
      <c r="C902" s="1" t="s">
        <v>31</v>
      </c>
      <c r="D902" s="3">
        <v>2004</v>
      </c>
      <c r="E902">
        <v>31.4</v>
      </c>
      <c r="F902" s="1">
        <f t="shared" ca="1" si="28"/>
        <v>2.9534347826086953</v>
      </c>
      <c r="G902" s="1">
        <f t="shared" ca="1" si="29"/>
        <v>-5887.4632318840568</v>
      </c>
      <c r="H902" s="1" cm="1">
        <f t="array" aca="1" ref="H902" ca="1">MIN(
  INDEX($E:$E, MATCH($A902, $A:$A, 0) + 23) +
  (F902 * (2030 - 2023)),
  100
)</f>
        <v>100</v>
      </c>
      <c r="I90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3" spans="1:9" hidden="1" x14ac:dyDescent="0.35">
      <c r="A903" s="1" t="s">
        <v>109</v>
      </c>
      <c r="B903" s="1" t="s">
        <v>176</v>
      </c>
      <c r="C903" s="1" t="s">
        <v>31</v>
      </c>
      <c r="D903" s="3">
        <v>2005</v>
      </c>
      <c r="E903">
        <v>34.200000000000003</v>
      </c>
      <c r="F903" s="1">
        <f t="shared" ca="1" si="28"/>
        <v>2.9534347826086953</v>
      </c>
      <c r="G903" s="1">
        <f t="shared" ca="1" si="29"/>
        <v>-5887.4632318840568</v>
      </c>
      <c r="H903" s="1" cm="1">
        <f t="array" aca="1" ref="H903" ca="1">MIN(
  INDEX($E:$E, MATCH($A903, $A:$A, 0) + 23) +
  (F903 * (2030 - 2023)),
  100
)</f>
        <v>100</v>
      </c>
      <c r="I90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4" spans="1:9" hidden="1" x14ac:dyDescent="0.35">
      <c r="A904" s="1" t="s">
        <v>109</v>
      </c>
      <c r="B904" s="1" t="s">
        <v>176</v>
      </c>
      <c r="C904" s="1" t="s">
        <v>31</v>
      </c>
      <c r="D904" s="3">
        <v>2006</v>
      </c>
      <c r="E904">
        <v>35.200000000000003</v>
      </c>
      <c r="F904" s="1">
        <f t="shared" ca="1" si="28"/>
        <v>2.9534347826086953</v>
      </c>
      <c r="G904" s="1">
        <f t="shared" ca="1" si="29"/>
        <v>-5887.4632318840568</v>
      </c>
      <c r="H904" s="1" cm="1">
        <f t="array" aca="1" ref="H904" ca="1">MIN(
  INDEX($E:$E, MATCH($A904, $A:$A, 0) + 23) +
  (F904 * (2030 - 2023)),
  100
)</f>
        <v>100</v>
      </c>
      <c r="I90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5" spans="1:9" hidden="1" x14ac:dyDescent="0.35">
      <c r="A905" s="1" t="s">
        <v>109</v>
      </c>
      <c r="B905" s="1" t="s">
        <v>176</v>
      </c>
      <c r="C905" s="1" t="s">
        <v>31</v>
      </c>
      <c r="D905" s="3">
        <v>2007</v>
      </c>
      <c r="E905">
        <v>39.799999999999997</v>
      </c>
      <c r="F905" s="1">
        <f t="shared" ca="1" si="28"/>
        <v>2.9534347826086953</v>
      </c>
      <c r="G905" s="1">
        <f t="shared" ca="1" si="29"/>
        <v>-5887.4632318840568</v>
      </c>
      <c r="H905" s="1" cm="1">
        <f t="array" aca="1" ref="H905" ca="1">MIN(
  INDEX($E:$E, MATCH($A905, $A:$A, 0) + 23) +
  (F905 * (2030 - 2023)),
  100
)</f>
        <v>100</v>
      </c>
      <c r="I90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6" spans="1:9" hidden="1" x14ac:dyDescent="0.35">
      <c r="A906" s="1" t="s">
        <v>109</v>
      </c>
      <c r="B906" s="1" t="s">
        <v>176</v>
      </c>
      <c r="C906" s="1" t="s">
        <v>31</v>
      </c>
      <c r="D906" s="3">
        <v>2008</v>
      </c>
      <c r="E906">
        <v>42.6</v>
      </c>
      <c r="F906" s="1">
        <f t="shared" ca="1" si="28"/>
        <v>2.9534347826086953</v>
      </c>
      <c r="G906" s="1">
        <f t="shared" ca="1" si="29"/>
        <v>-5887.4632318840568</v>
      </c>
      <c r="H906" s="1" cm="1">
        <f t="array" aca="1" ref="H906" ca="1">MIN(
  INDEX($E:$E, MATCH($A906, $A:$A, 0) + 23) +
  (F906 * (2030 - 2023)),
  100
)</f>
        <v>100</v>
      </c>
      <c r="I90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7" spans="1:9" hidden="1" x14ac:dyDescent="0.35">
      <c r="A907" s="1" t="s">
        <v>109</v>
      </c>
      <c r="B907" s="1" t="s">
        <v>176</v>
      </c>
      <c r="C907" s="1" t="s">
        <v>31</v>
      </c>
      <c r="D907" s="3">
        <v>2009</v>
      </c>
      <c r="E907">
        <v>38.6</v>
      </c>
      <c r="F907" s="1">
        <f t="shared" ca="1" si="28"/>
        <v>2.9534347826086953</v>
      </c>
      <c r="G907" s="1">
        <f t="shared" ca="1" si="29"/>
        <v>-5887.4632318840568</v>
      </c>
      <c r="H907" s="1" cm="1">
        <f t="array" aca="1" ref="H907" ca="1">MIN(
  INDEX($E:$E, MATCH($A907, $A:$A, 0) + 23) +
  (F907 * (2030 - 2023)),
  100
)</f>
        <v>100</v>
      </c>
      <c r="I90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8" spans="1:9" hidden="1" x14ac:dyDescent="0.35">
      <c r="A908" s="1" t="s">
        <v>109</v>
      </c>
      <c r="B908" s="1" t="s">
        <v>176</v>
      </c>
      <c r="C908" s="1" t="s">
        <v>31</v>
      </c>
      <c r="D908" s="3">
        <v>2010</v>
      </c>
      <c r="E908">
        <v>45.6</v>
      </c>
      <c r="F908" s="1">
        <f t="shared" ca="1" si="28"/>
        <v>2.9534347826086953</v>
      </c>
      <c r="G908" s="1">
        <f t="shared" ca="1" si="29"/>
        <v>-5887.4632318840568</v>
      </c>
      <c r="H908" s="1" cm="1">
        <f t="array" aca="1" ref="H908" ca="1">MIN(
  INDEX($E:$E, MATCH($A908, $A:$A, 0) + 23) +
  (F908 * (2030 - 2023)),
  100
)</f>
        <v>100</v>
      </c>
      <c r="I90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09" spans="1:9" hidden="1" x14ac:dyDescent="0.35">
      <c r="A909" s="1" t="s">
        <v>109</v>
      </c>
      <c r="B909" s="1" t="s">
        <v>176</v>
      </c>
      <c r="C909" s="1" t="s">
        <v>31</v>
      </c>
      <c r="D909" s="3">
        <v>2011</v>
      </c>
      <c r="E909">
        <v>51.2</v>
      </c>
      <c r="F909" s="1">
        <f t="shared" ca="1" si="28"/>
        <v>2.9534347826086953</v>
      </c>
      <c r="G909" s="1">
        <f t="shared" ca="1" si="29"/>
        <v>-5887.4632318840568</v>
      </c>
      <c r="H909" s="1" cm="1">
        <f t="array" aca="1" ref="H909" ca="1">MIN(
  INDEX($E:$E, MATCH($A909, $A:$A, 0) + 23) +
  (F909 * (2030 - 2023)),
  100
)</f>
        <v>100</v>
      </c>
      <c r="I90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0" spans="1:9" hidden="1" x14ac:dyDescent="0.35">
      <c r="A910" s="1" t="s">
        <v>109</v>
      </c>
      <c r="B910" s="1" t="s">
        <v>176</v>
      </c>
      <c r="C910" s="1" t="s">
        <v>31</v>
      </c>
      <c r="D910" s="3">
        <v>2012</v>
      </c>
      <c r="E910">
        <v>54.3</v>
      </c>
      <c r="F910" s="1">
        <f t="shared" ca="1" si="28"/>
        <v>2.9534347826086953</v>
      </c>
      <c r="G910" s="1">
        <f t="shared" ca="1" si="29"/>
        <v>-5887.4632318840568</v>
      </c>
      <c r="H910" s="1" cm="1">
        <f t="array" aca="1" ref="H910" ca="1">MIN(
  INDEX($E:$E, MATCH($A910, $A:$A, 0) + 23) +
  (F910 * (2030 - 2023)),
  100
)</f>
        <v>100</v>
      </c>
      <c r="I91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1" spans="1:9" hidden="1" x14ac:dyDescent="0.35">
      <c r="A911" s="1" t="s">
        <v>109</v>
      </c>
      <c r="B911" s="1" t="s">
        <v>176</v>
      </c>
      <c r="C911" s="1" t="s">
        <v>31</v>
      </c>
      <c r="D911" s="3">
        <v>2013</v>
      </c>
      <c r="E911">
        <v>57.5</v>
      </c>
      <c r="F911" s="1">
        <f t="shared" ca="1" si="28"/>
        <v>2.9534347826086953</v>
      </c>
      <c r="G911" s="1">
        <f t="shared" ca="1" si="29"/>
        <v>-5887.4632318840568</v>
      </c>
      <c r="H911" s="1" cm="1">
        <f t="array" aca="1" ref="H911" ca="1">MIN(
  INDEX($E:$E, MATCH($A911, $A:$A, 0) + 23) +
  (F911 * (2030 - 2023)),
  100
)</f>
        <v>100</v>
      </c>
      <c r="I91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2" spans="1:9" hidden="1" x14ac:dyDescent="0.35">
      <c r="A912" s="1" t="s">
        <v>109</v>
      </c>
      <c r="B912" s="1" t="s">
        <v>176</v>
      </c>
      <c r="C912" s="1" t="s">
        <v>31</v>
      </c>
      <c r="D912" s="3">
        <v>2014</v>
      </c>
      <c r="E912">
        <v>65</v>
      </c>
      <c r="F912" s="1">
        <f t="shared" ca="1" si="28"/>
        <v>2.9534347826086953</v>
      </c>
      <c r="G912" s="1">
        <f t="shared" ca="1" si="29"/>
        <v>-5887.4632318840568</v>
      </c>
      <c r="H912" s="1" cm="1">
        <f t="array" aca="1" ref="H912" ca="1">MIN(
  INDEX($E:$E, MATCH($A912, $A:$A, 0) + 23) +
  (F912 * (2030 - 2023)),
  100
)</f>
        <v>100</v>
      </c>
      <c r="I91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3" spans="1:9" hidden="1" x14ac:dyDescent="0.35">
      <c r="A913" s="1" t="s">
        <v>109</v>
      </c>
      <c r="B913" s="1" t="s">
        <v>176</v>
      </c>
      <c r="C913" s="1" t="s">
        <v>31</v>
      </c>
      <c r="D913" s="3">
        <v>2015</v>
      </c>
      <c r="E913">
        <v>64.099999999999994</v>
      </c>
      <c r="F913" s="1">
        <f t="shared" ca="1" si="28"/>
        <v>2.9534347826086953</v>
      </c>
      <c r="G913" s="1">
        <f t="shared" ca="1" si="29"/>
        <v>-5887.4632318840568</v>
      </c>
      <c r="H913" s="1" cm="1">
        <f t="array" aca="1" ref="H913" ca="1">MIN(
  INDEX($E:$E, MATCH($A913, $A:$A, 0) + 23) +
  (F913 * (2030 - 2023)),
  100
)</f>
        <v>100</v>
      </c>
      <c r="I91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4" spans="1:9" hidden="1" x14ac:dyDescent="0.35">
      <c r="A914" s="1" t="s">
        <v>109</v>
      </c>
      <c r="B914" s="1" t="s">
        <v>176</v>
      </c>
      <c r="C914" s="1" t="s">
        <v>31</v>
      </c>
      <c r="D914" s="3">
        <v>2016</v>
      </c>
      <c r="E914">
        <v>63.4</v>
      </c>
      <c r="F914" s="1">
        <f t="shared" ca="1" si="28"/>
        <v>2.9534347826086953</v>
      </c>
      <c r="G914" s="1">
        <f t="shared" ca="1" si="29"/>
        <v>-5887.4632318840568</v>
      </c>
      <c r="H914" s="1" cm="1">
        <f t="array" aca="1" ref="H914" ca="1">MIN(
  INDEX($E:$E, MATCH($A914, $A:$A, 0) + 23) +
  (F914 * (2030 - 2023)),
  100
)</f>
        <v>100</v>
      </c>
      <c r="I91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5" spans="1:9" hidden="1" x14ac:dyDescent="0.35">
      <c r="A915" s="1" t="s">
        <v>109</v>
      </c>
      <c r="B915" s="1" t="s">
        <v>176</v>
      </c>
      <c r="C915" s="1" t="s">
        <v>31</v>
      </c>
      <c r="D915" s="3">
        <v>2017</v>
      </c>
      <c r="E915">
        <v>73.5</v>
      </c>
      <c r="F915" s="1">
        <f t="shared" ca="1" si="28"/>
        <v>2.9534347826086953</v>
      </c>
      <c r="G915" s="1">
        <f t="shared" ca="1" si="29"/>
        <v>-5887.4632318840568</v>
      </c>
      <c r="H915" s="1" cm="1">
        <f t="array" aca="1" ref="H915" ca="1">MIN(
  INDEX($E:$E, MATCH($A915, $A:$A, 0) + 23) +
  (F915 * (2030 - 2023)),
  100
)</f>
        <v>100</v>
      </c>
      <c r="I91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6" spans="1:9" hidden="1" x14ac:dyDescent="0.35">
      <c r="A916" s="1" t="s">
        <v>109</v>
      </c>
      <c r="B916" s="1" t="s">
        <v>176</v>
      </c>
      <c r="C916" s="1" t="s">
        <v>31</v>
      </c>
      <c r="D916" s="3">
        <v>2018</v>
      </c>
      <c r="E916">
        <v>74</v>
      </c>
      <c r="F916" s="1">
        <f t="shared" ca="1" si="28"/>
        <v>2.9534347826086953</v>
      </c>
      <c r="G916" s="1">
        <f t="shared" ca="1" si="29"/>
        <v>-5887.4632318840568</v>
      </c>
      <c r="H916" s="1" cm="1">
        <f t="array" aca="1" ref="H916" ca="1">MIN(
  INDEX($E:$E, MATCH($A916, $A:$A, 0) + 23) +
  (F916 * (2030 - 2023)),
  100
)</f>
        <v>100</v>
      </c>
      <c r="I91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7" spans="1:9" hidden="1" x14ac:dyDescent="0.35">
      <c r="A917" s="1" t="s">
        <v>109</v>
      </c>
      <c r="B917" s="1" t="s">
        <v>176</v>
      </c>
      <c r="C917" s="1" t="s">
        <v>31</v>
      </c>
      <c r="D917" s="3">
        <v>2019</v>
      </c>
      <c r="E917">
        <v>77</v>
      </c>
      <c r="F917" s="1">
        <f t="shared" ca="1" si="28"/>
        <v>2.9534347826086953</v>
      </c>
      <c r="G917" s="1">
        <f t="shared" ca="1" si="29"/>
        <v>-5887.4632318840568</v>
      </c>
      <c r="H917" s="1" cm="1">
        <f t="array" aca="1" ref="H917" ca="1">MIN(
  INDEX($E:$E, MATCH($A917, $A:$A, 0) + 23) +
  (F917 * (2030 - 2023)),
  100
)</f>
        <v>100</v>
      </c>
      <c r="I91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8" spans="1:9" hidden="1" x14ac:dyDescent="0.35">
      <c r="A918" s="1" t="s">
        <v>109</v>
      </c>
      <c r="B918" s="1" t="s">
        <v>176</v>
      </c>
      <c r="C918" s="1" t="s">
        <v>31</v>
      </c>
      <c r="D918" s="3">
        <v>2020</v>
      </c>
      <c r="E918">
        <v>80</v>
      </c>
      <c r="F918" s="1">
        <f t="shared" ca="1" si="28"/>
        <v>2.9534347826086953</v>
      </c>
      <c r="G918" s="1">
        <f t="shared" ca="1" si="29"/>
        <v>-5887.4632318840568</v>
      </c>
      <c r="H918" s="1" cm="1">
        <f t="array" aca="1" ref="H918" ca="1">MIN(
  INDEX($E:$E, MATCH($A918, $A:$A, 0) + 23) +
  (F918 * (2030 - 2023)),
  100
)</f>
        <v>100</v>
      </c>
      <c r="I91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19" spans="1:9" hidden="1" x14ac:dyDescent="0.35">
      <c r="A919" s="1" t="s">
        <v>109</v>
      </c>
      <c r="B919" s="1" t="s">
        <v>176</v>
      </c>
      <c r="C919" s="1" t="s">
        <v>31</v>
      </c>
      <c r="D919" s="3">
        <v>2021</v>
      </c>
      <c r="E919">
        <v>82.9</v>
      </c>
      <c r="F919" s="1">
        <f t="shared" ca="1" si="28"/>
        <v>2.9534347826086953</v>
      </c>
      <c r="G919" s="1">
        <f t="shared" ca="1" si="29"/>
        <v>-5887.4632318840568</v>
      </c>
      <c r="H919" s="1" cm="1">
        <f t="array" aca="1" ref="H919" ca="1">MIN(
  INDEX($E:$E, MATCH($A919, $A:$A, 0) + 23) +
  (F919 * (2030 - 2023)),
  100
)</f>
        <v>100</v>
      </c>
      <c r="I91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0" spans="1:9" hidden="1" x14ac:dyDescent="0.35">
      <c r="A920" s="1" t="s">
        <v>109</v>
      </c>
      <c r="B920" s="1" t="s">
        <v>176</v>
      </c>
      <c r="C920" s="1" t="s">
        <v>31</v>
      </c>
      <c r="D920" s="3">
        <v>2022</v>
      </c>
      <c r="E920">
        <v>82.3</v>
      </c>
      <c r="F920" s="1">
        <f t="shared" ca="1" si="28"/>
        <v>2.9534347826086953</v>
      </c>
      <c r="G920" s="1">
        <f t="shared" ca="1" si="29"/>
        <v>-5887.4632318840568</v>
      </c>
      <c r="H920" s="1" cm="1">
        <f t="array" aca="1" ref="H920" ca="1">MIN(
  INDEX($E:$E, MATCH($A920, $A:$A, 0) + 23) +
  (F920 * (2030 - 2023)),
  100
)</f>
        <v>100</v>
      </c>
      <c r="I92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1" spans="1:9" x14ac:dyDescent="0.35">
      <c r="A921" s="1" t="s">
        <v>109</v>
      </c>
      <c r="B921" s="1" t="s">
        <v>176</v>
      </c>
      <c r="C921" s="1" t="s">
        <v>31</v>
      </c>
      <c r="D921" s="3">
        <v>2023</v>
      </c>
      <c r="E921">
        <v>86.4</v>
      </c>
      <c r="F921" s="4">
        <f t="shared" ca="1" si="28"/>
        <v>2.9534347826086953</v>
      </c>
      <c r="G921" s="4">
        <f t="shared" ca="1" si="29"/>
        <v>-5887.4632318840568</v>
      </c>
      <c r="H921" s="4" cm="1">
        <f t="array" aca="1" ref="H921" ca="1">MIN(
  INDEX($E:$E, MATCH($A921, $A:$A, 0) + 23) +
  (F921 * (2030 - 2023)),
  100
)</f>
        <v>100</v>
      </c>
      <c r="I92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2" spans="1:9" hidden="1" x14ac:dyDescent="0.35">
      <c r="A922" s="1" t="s">
        <v>111</v>
      </c>
      <c r="B922" s="1" t="s">
        <v>174</v>
      </c>
      <c r="C922" s="1" t="s">
        <v>113</v>
      </c>
      <c r="D922" s="3">
        <v>2000</v>
      </c>
      <c r="E922">
        <v>94.1</v>
      </c>
      <c r="F922" s="1">
        <f t="shared" ca="1" si="28"/>
        <v>0.27582608695652167</v>
      </c>
      <c r="G922" s="1">
        <f t="shared" ca="1" si="29"/>
        <v>-456.90750724637661</v>
      </c>
      <c r="H922" s="1" cm="1">
        <f t="array" aca="1" ref="H922" ca="1">MIN(
  INDEX($E:$E, MATCH($A922, $A:$A, 0) + 23) +
  (F922 * (2030 - 2023)),
  100
)</f>
        <v>100</v>
      </c>
      <c r="I92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3" spans="1:9" hidden="1" x14ac:dyDescent="0.35">
      <c r="A923" s="1" t="s">
        <v>111</v>
      </c>
      <c r="B923" s="1" t="s">
        <v>174</v>
      </c>
      <c r="C923" s="1" t="s">
        <v>113</v>
      </c>
      <c r="D923" s="3">
        <v>2001</v>
      </c>
      <c r="E923">
        <v>94.4</v>
      </c>
      <c r="F923" s="1">
        <f t="shared" ca="1" si="28"/>
        <v>0.27582608695652167</v>
      </c>
      <c r="G923" s="1">
        <f t="shared" ca="1" si="29"/>
        <v>-456.90750724637661</v>
      </c>
      <c r="H923" s="1" cm="1">
        <f t="array" aca="1" ref="H923" ca="1">MIN(
  INDEX($E:$E, MATCH($A923, $A:$A, 0) + 23) +
  (F923 * (2030 - 2023)),
  100
)</f>
        <v>100</v>
      </c>
      <c r="I92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4" spans="1:9" hidden="1" x14ac:dyDescent="0.35">
      <c r="A924" s="1" t="s">
        <v>111</v>
      </c>
      <c r="B924" s="1" t="s">
        <v>174</v>
      </c>
      <c r="C924" s="1" t="s">
        <v>113</v>
      </c>
      <c r="D924" s="3">
        <v>2002</v>
      </c>
      <c r="E924">
        <v>96.1</v>
      </c>
      <c r="F924" s="1">
        <f t="shared" ca="1" si="28"/>
        <v>0.27582608695652167</v>
      </c>
      <c r="G924" s="1">
        <f t="shared" ca="1" si="29"/>
        <v>-456.90750724637661</v>
      </c>
      <c r="H924" s="1" cm="1">
        <f t="array" aca="1" ref="H924" ca="1">MIN(
  INDEX($E:$E, MATCH($A924, $A:$A, 0) + 23) +
  (F924 * (2030 - 2023)),
  100
)</f>
        <v>100</v>
      </c>
      <c r="I92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5" spans="1:9" hidden="1" x14ac:dyDescent="0.35">
      <c r="A925" s="1" t="s">
        <v>111</v>
      </c>
      <c r="B925" s="1" t="s">
        <v>174</v>
      </c>
      <c r="C925" s="1" t="s">
        <v>113</v>
      </c>
      <c r="D925" s="3">
        <v>2003</v>
      </c>
      <c r="E925">
        <v>94.9</v>
      </c>
      <c r="F925" s="1">
        <f t="shared" ca="1" si="28"/>
        <v>0.27582608695652167</v>
      </c>
      <c r="G925" s="1">
        <f t="shared" ca="1" si="29"/>
        <v>-456.90750724637661</v>
      </c>
      <c r="H925" s="1" cm="1">
        <f t="array" aca="1" ref="H925" ca="1">MIN(
  INDEX($E:$E, MATCH($A925, $A:$A, 0) + 23) +
  (F925 * (2030 - 2023)),
  100
)</f>
        <v>100</v>
      </c>
      <c r="I92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6" spans="1:9" hidden="1" x14ac:dyDescent="0.35">
      <c r="A926" s="1" t="s">
        <v>111</v>
      </c>
      <c r="B926" s="1" t="s">
        <v>174</v>
      </c>
      <c r="C926" s="1" t="s">
        <v>113</v>
      </c>
      <c r="D926" s="3">
        <v>2004</v>
      </c>
      <c r="E926">
        <v>95.2</v>
      </c>
      <c r="F926" s="1">
        <f t="shared" ca="1" si="28"/>
        <v>0.27582608695652167</v>
      </c>
      <c r="G926" s="1">
        <f t="shared" ca="1" si="29"/>
        <v>-456.90750724637661</v>
      </c>
      <c r="H926" s="1" cm="1">
        <f t="array" aca="1" ref="H926" ca="1">MIN(
  INDEX($E:$E, MATCH($A926, $A:$A, 0) + 23) +
  (F926 * (2030 - 2023)),
  100
)</f>
        <v>100</v>
      </c>
      <c r="I92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7" spans="1:9" hidden="1" x14ac:dyDescent="0.35">
      <c r="A927" s="1" t="s">
        <v>111</v>
      </c>
      <c r="B927" s="1" t="s">
        <v>174</v>
      </c>
      <c r="C927" s="1" t="s">
        <v>113</v>
      </c>
      <c r="D927" s="3">
        <v>2005</v>
      </c>
      <c r="E927">
        <v>95.5</v>
      </c>
      <c r="F927" s="1">
        <f t="shared" ca="1" si="28"/>
        <v>0.27582608695652167</v>
      </c>
      <c r="G927" s="1">
        <f t="shared" ca="1" si="29"/>
        <v>-456.90750724637661</v>
      </c>
      <c r="H927" s="1" cm="1">
        <f t="array" aca="1" ref="H927" ca="1">MIN(
  INDEX($E:$E, MATCH($A927, $A:$A, 0) + 23) +
  (F927 * (2030 - 2023)),
  100
)</f>
        <v>100</v>
      </c>
      <c r="I92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8" spans="1:9" hidden="1" x14ac:dyDescent="0.35">
      <c r="A928" s="1" t="s">
        <v>111</v>
      </c>
      <c r="B928" s="1" t="s">
        <v>174</v>
      </c>
      <c r="C928" s="1" t="s">
        <v>113</v>
      </c>
      <c r="D928" s="3">
        <v>2006</v>
      </c>
      <c r="E928">
        <v>99</v>
      </c>
      <c r="F928" s="1">
        <f t="shared" ca="1" si="28"/>
        <v>0.27582608695652167</v>
      </c>
      <c r="G928" s="1">
        <f t="shared" ca="1" si="29"/>
        <v>-456.90750724637661</v>
      </c>
      <c r="H928" s="1" cm="1">
        <f t="array" aca="1" ref="H928" ca="1">MIN(
  INDEX($E:$E, MATCH($A928, $A:$A, 0) + 23) +
  (F928 * (2030 - 2023)),
  100
)</f>
        <v>100</v>
      </c>
      <c r="I92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29" spans="1:9" hidden="1" x14ac:dyDescent="0.35">
      <c r="A929" s="1" t="s">
        <v>111</v>
      </c>
      <c r="B929" s="1" t="s">
        <v>174</v>
      </c>
      <c r="C929" s="1" t="s">
        <v>113</v>
      </c>
      <c r="D929" s="3">
        <v>2007</v>
      </c>
      <c r="E929">
        <v>96.1</v>
      </c>
      <c r="F929" s="1">
        <f t="shared" ca="1" si="28"/>
        <v>0.27582608695652167</v>
      </c>
      <c r="G929" s="1">
        <f t="shared" ca="1" si="29"/>
        <v>-456.90750724637661</v>
      </c>
      <c r="H929" s="1" cm="1">
        <f t="array" aca="1" ref="H929" ca="1">MIN(
  INDEX($E:$E, MATCH($A929, $A:$A, 0) + 23) +
  (F929 * (2030 - 2023)),
  100
)</f>
        <v>100</v>
      </c>
      <c r="I92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0" spans="1:9" hidden="1" x14ac:dyDescent="0.35">
      <c r="A930" s="1" t="s">
        <v>111</v>
      </c>
      <c r="B930" s="1" t="s">
        <v>174</v>
      </c>
      <c r="C930" s="1" t="s">
        <v>113</v>
      </c>
      <c r="D930" s="3">
        <v>2008</v>
      </c>
      <c r="E930">
        <v>96.5</v>
      </c>
      <c r="F930" s="1">
        <f t="shared" ca="1" si="28"/>
        <v>0.27582608695652167</v>
      </c>
      <c r="G930" s="1">
        <f t="shared" ca="1" si="29"/>
        <v>-456.90750724637661</v>
      </c>
      <c r="H930" s="1" cm="1">
        <f t="array" aca="1" ref="H930" ca="1">MIN(
  INDEX($E:$E, MATCH($A930, $A:$A, 0) + 23) +
  (F930 * (2030 - 2023)),
  100
)</f>
        <v>100</v>
      </c>
      <c r="I93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1" spans="1:9" hidden="1" x14ac:dyDescent="0.35">
      <c r="A931" s="1" t="s">
        <v>111</v>
      </c>
      <c r="B931" s="1" t="s">
        <v>174</v>
      </c>
      <c r="C931" s="1" t="s">
        <v>113</v>
      </c>
      <c r="D931" s="3">
        <v>2009</v>
      </c>
      <c r="E931">
        <v>96.8</v>
      </c>
      <c r="F931" s="1">
        <f t="shared" ca="1" si="28"/>
        <v>0.27582608695652167</v>
      </c>
      <c r="G931" s="1">
        <f t="shared" ca="1" si="29"/>
        <v>-456.90750724637661</v>
      </c>
      <c r="H931" s="1" cm="1">
        <f t="array" aca="1" ref="H931" ca="1">MIN(
  INDEX($E:$E, MATCH($A931, $A:$A, 0) + 23) +
  (F931 * (2030 - 2023)),
  100
)</f>
        <v>100</v>
      </c>
      <c r="I93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2" spans="1:9" hidden="1" x14ac:dyDescent="0.35">
      <c r="A932" s="1" t="s">
        <v>111</v>
      </c>
      <c r="B932" s="1" t="s">
        <v>174</v>
      </c>
      <c r="C932" s="1" t="s">
        <v>113</v>
      </c>
      <c r="D932" s="3">
        <v>2010</v>
      </c>
      <c r="E932">
        <v>97</v>
      </c>
      <c r="F932" s="1">
        <f t="shared" ca="1" si="28"/>
        <v>0.27582608695652167</v>
      </c>
      <c r="G932" s="1">
        <f t="shared" ca="1" si="29"/>
        <v>-456.90750724637661</v>
      </c>
      <c r="H932" s="1" cm="1">
        <f t="array" aca="1" ref="H932" ca="1">MIN(
  INDEX($E:$E, MATCH($A932, $A:$A, 0) + 23) +
  (F932 * (2030 - 2023)),
  100
)</f>
        <v>100</v>
      </c>
      <c r="I93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3" spans="1:9" hidden="1" x14ac:dyDescent="0.35">
      <c r="A933" s="1" t="s">
        <v>111</v>
      </c>
      <c r="B933" s="1" t="s">
        <v>174</v>
      </c>
      <c r="C933" s="1" t="s">
        <v>113</v>
      </c>
      <c r="D933" s="3">
        <v>2011</v>
      </c>
      <c r="E933">
        <v>98.1</v>
      </c>
      <c r="F933" s="1">
        <f t="shared" ca="1" si="28"/>
        <v>0.27582608695652167</v>
      </c>
      <c r="G933" s="1">
        <f t="shared" ca="1" si="29"/>
        <v>-456.90750724637661</v>
      </c>
      <c r="H933" s="1" cm="1">
        <f t="array" aca="1" ref="H933" ca="1">MIN(
  INDEX($E:$E, MATCH($A933, $A:$A, 0) + 23) +
  (F933 * (2030 - 2023)),
  100
)</f>
        <v>100</v>
      </c>
      <c r="I93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4" spans="1:9" hidden="1" x14ac:dyDescent="0.35">
      <c r="A934" s="1" t="s">
        <v>111</v>
      </c>
      <c r="B934" s="1" t="s">
        <v>174</v>
      </c>
      <c r="C934" s="1" t="s">
        <v>113</v>
      </c>
      <c r="D934" s="3">
        <v>2012</v>
      </c>
      <c r="E934">
        <v>98.3</v>
      </c>
      <c r="F934" s="1">
        <f t="shared" ca="1" si="28"/>
        <v>0.27582608695652167</v>
      </c>
      <c r="G934" s="1">
        <f t="shared" ca="1" si="29"/>
        <v>-456.90750724637661</v>
      </c>
      <c r="H934" s="1" cm="1">
        <f t="array" aca="1" ref="H934" ca="1">MIN(
  INDEX($E:$E, MATCH($A934, $A:$A, 0) + 23) +
  (F934 * (2030 - 2023)),
  100
)</f>
        <v>100</v>
      </c>
      <c r="I93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5" spans="1:9" hidden="1" x14ac:dyDescent="0.35">
      <c r="A935" s="1" t="s">
        <v>111</v>
      </c>
      <c r="B935" s="1" t="s">
        <v>174</v>
      </c>
      <c r="C935" s="1" t="s">
        <v>113</v>
      </c>
      <c r="D935" s="3">
        <v>2013</v>
      </c>
      <c r="E935">
        <v>98</v>
      </c>
      <c r="F935" s="1">
        <f t="shared" ca="1" si="28"/>
        <v>0.27582608695652167</v>
      </c>
      <c r="G935" s="1">
        <f t="shared" ca="1" si="29"/>
        <v>-456.90750724637661</v>
      </c>
      <c r="H935" s="1" cm="1">
        <f t="array" aca="1" ref="H935" ca="1">MIN(
  INDEX($E:$E, MATCH($A935, $A:$A, 0) + 23) +
  (F935 * (2030 - 2023)),
  100
)</f>
        <v>100</v>
      </c>
      <c r="I93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6" spans="1:9" hidden="1" x14ac:dyDescent="0.35">
      <c r="A936" s="1" t="s">
        <v>111</v>
      </c>
      <c r="B936" s="1" t="s">
        <v>174</v>
      </c>
      <c r="C936" s="1" t="s">
        <v>113</v>
      </c>
      <c r="D936" s="3">
        <v>2014</v>
      </c>
      <c r="E936">
        <v>100</v>
      </c>
      <c r="F936" s="1">
        <f t="shared" ca="1" si="28"/>
        <v>0.27582608695652167</v>
      </c>
      <c r="G936" s="1">
        <f t="shared" ca="1" si="29"/>
        <v>-456.90750724637661</v>
      </c>
      <c r="H936" s="1" cm="1">
        <f t="array" aca="1" ref="H936" ca="1">MIN(
  INDEX($E:$E, MATCH($A936, $A:$A, 0) + 23) +
  (F936 * (2030 - 2023)),
  100
)</f>
        <v>100</v>
      </c>
      <c r="I93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7" spans="1:9" hidden="1" x14ac:dyDescent="0.35">
      <c r="A937" s="1" t="s">
        <v>111</v>
      </c>
      <c r="B937" s="1" t="s">
        <v>174</v>
      </c>
      <c r="C937" s="1" t="s">
        <v>113</v>
      </c>
      <c r="D937" s="3">
        <v>2015</v>
      </c>
      <c r="E937">
        <v>100</v>
      </c>
      <c r="F937" s="1">
        <f t="shared" ca="1" si="28"/>
        <v>0.27582608695652167</v>
      </c>
      <c r="G937" s="1">
        <f t="shared" ca="1" si="29"/>
        <v>-456.90750724637661</v>
      </c>
      <c r="H937" s="1" cm="1">
        <f t="array" aca="1" ref="H937" ca="1">MIN(
  INDEX($E:$E, MATCH($A937, $A:$A, 0) + 23) +
  (F937 * (2030 - 2023)),
  100
)</f>
        <v>100</v>
      </c>
      <c r="I93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8" spans="1:9" hidden="1" x14ac:dyDescent="0.35">
      <c r="A938" s="1" t="s">
        <v>111</v>
      </c>
      <c r="B938" s="1" t="s">
        <v>174</v>
      </c>
      <c r="C938" s="1" t="s">
        <v>113</v>
      </c>
      <c r="D938" s="3">
        <v>2016</v>
      </c>
      <c r="E938">
        <v>100</v>
      </c>
      <c r="F938" s="1">
        <f t="shared" ca="1" si="28"/>
        <v>0.27582608695652167</v>
      </c>
      <c r="G938" s="1">
        <f t="shared" ca="1" si="29"/>
        <v>-456.90750724637661</v>
      </c>
      <c r="H938" s="1" cm="1">
        <f t="array" aca="1" ref="H938" ca="1">MIN(
  INDEX($E:$E, MATCH($A938, $A:$A, 0) + 23) +
  (F938 * (2030 - 2023)),
  100
)</f>
        <v>100</v>
      </c>
      <c r="I93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39" spans="1:9" hidden="1" x14ac:dyDescent="0.35">
      <c r="A939" s="1" t="s">
        <v>111</v>
      </c>
      <c r="B939" s="1" t="s">
        <v>174</v>
      </c>
      <c r="C939" s="1" t="s">
        <v>113</v>
      </c>
      <c r="D939" s="3">
        <v>2017</v>
      </c>
      <c r="E939">
        <v>100</v>
      </c>
      <c r="F939" s="1">
        <f t="shared" ca="1" si="28"/>
        <v>0.27582608695652167</v>
      </c>
      <c r="G939" s="1">
        <f t="shared" ca="1" si="29"/>
        <v>-456.90750724637661</v>
      </c>
      <c r="H939" s="1" cm="1">
        <f t="array" aca="1" ref="H939" ca="1">MIN(
  INDEX($E:$E, MATCH($A939, $A:$A, 0) + 23) +
  (F939 * (2030 - 2023)),
  100
)</f>
        <v>100</v>
      </c>
      <c r="I93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40" spans="1:9" hidden="1" x14ac:dyDescent="0.35">
      <c r="A940" s="1" t="s">
        <v>111</v>
      </c>
      <c r="B940" s="1" t="s">
        <v>174</v>
      </c>
      <c r="C940" s="1" t="s">
        <v>113</v>
      </c>
      <c r="D940" s="3">
        <v>2018</v>
      </c>
      <c r="E940">
        <v>100</v>
      </c>
      <c r="F940" s="1">
        <f t="shared" ca="1" si="28"/>
        <v>0.27582608695652167</v>
      </c>
      <c r="G940" s="1">
        <f t="shared" ca="1" si="29"/>
        <v>-456.90750724637661</v>
      </c>
      <c r="H940" s="1" cm="1">
        <f t="array" aca="1" ref="H940" ca="1">MIN(
  INDEX($E:$E, MATCH($A940, $A:$A, 0) + 23) +
  (F940 * (2030 - 2023)),
  100
)</f>
        <v>100</v>
      </c>
      <c r="I94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41" spans="1:9" hidden="1" x14ac:dyDescent="0.35">
      <c r="A941" s="1" t="s">
        <v>111</v>
      </c>
      <c r="B941" s="1" t="s">
        <v>174</v>
      </c>
      <c r="C941" s="1" t="s">
        <v>113</v>
      </c>
      <c r="D941" s="3">
        <v>2019</v>
      </c>
      <c r="E941">
        <v>100</v>
      </c>
      <c r="F941" s="1">
        <f t="shared" ca="1" si="28"/>
        <v>0.27582608695652167</v>
      </c>
      <c r="G941" s="1">
        <f t="shared" ca="1" si="29"/>
        <v>-456.90750724637661</v>
      </c>
      <c r="H941" s="1" cm="1">
        <f t="array" aca="1" ref="H941" ca="1">MIN(
  INDEX($E:$E, MATCH($A941, $A:$A, 0) + 23) +
  (F941 * (2030 - 2023)),
  100
)</f>
        <v>100</v>
      </c>
      <c r="I94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42" spans="1:9" hidden="1" x14ac:dyDescent="0.35">
      <c r="A942" s="1" t="s">
        <v>111</v>
      </c>
      <c r="B942" s="1" t="s">
        <v>174</v>
      </c>
      <c r="C942" s="1" t="s">
        <v>113</v>
      </c>
      <c r="D942" s="3">
        <v>2020</v>
      </c>
      <c r="E942">
        <v>100</v>
      </c>
      <c r="F942" s="1">
        <f t="shared" ca="1" si="28"/>
        <v>0.27582608695652167</v>
      </c>
      <c r="G942" s="1">
        <f t="shared" ca="1" si="29"/>
        <v>-456.90750724637661</v>
      </c>
      <c r="H942" s="1" cm="1">
        <f t="array" aca="1" ref="H942" ca="1">MIN(
  INDEX($E:$E, MATCH($A942, $A:$A, 0) + 23) +
  (F942 * (2030 - 2023)),
  100
)</f>
        <v>100</v>
      </c>
      <c r="I94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43" spans="1:9" hidden="1" x14ac:dyDescent="0.35">
      <c r="A943" s="1" t="s">
        <v>111</v>
      </c>
      <c r="B943" s="1" t="s">
        <v>174</v>
      </c>
      <c r="C943" s="1" t="s">
        <v>113</v>
      </c>
      <c r="D943" s="3">
        <v>2021</v>
      </c>
      <c r="E943">
        <v>100</v>
      </c>
      <c r="F943" s="1">
        <f t="shared" ca="1" si="28"/>
        <v>0.27582608695652167</v>
      </c>
      <c r="G943" s="1">
        <f t="shared" ca="1" si="29"/>
        <v>-456.90750724637661</v>
      </c>
      <c r="H943" s="1" cm="1">
        <f t="array" aca="1" ref="H943" ca="1">MIN(
  INDEX($E:$E, MATCH($A943, $A:$A, 0) + 23) +
  (F943 * (2030 - 2023)),
  100
)</f>
        <v>100</v>
      </c>
      <c r="I94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44" spans="1:9" hidden="1" x14ac:dyDescent="0.35">
      <c r="A944" s="1" t="s">
        <v>111</v>
      </c>
      <c r="B944" s="1" t="s">
        <v>174</v>
      </c>
      <c r="C944" s="1" t="s">
        <v>113</v>
      </c>
      <c r="D944" s="3">
        <v>2022</v>
      </c>
      <c r="E944">
        <v>100</v>
      </c>
      <c r="F944" s="1">
        <f t="shared" ca="1" si="28"/>
        <v>0.27582608695652167</v>
      </c>
      <c r="G944" s="1">
        <f t="shared" ca="1" si="29"/>
        <v>-456.90750724637661</v>
      </c>
      <c r="H944" s="1" cm="1">
        <f t="array" aca="1" ref="H944" ca="1">MIN(
  INDEX($E:$E, MATCH($A944, $A:$A, 0) + 23) +
  (F944 * (2030 - 2023)),
  100
)</f>
        <v>100</v>
      </c>
      <c r="I94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45" spans="1:9" x14ac:dyDescent="0.35">
      <c r="A945" s="1" t="s">
        <v>111</v>
      </c>
      <c r="B945" s="1" t="s">
        <v>174</v>
      </c>
      <c r="C945" s="1" t="s">
        <v>113</v>
      </c>
      <c r="D945" s="3">
        <v>2023</v>
      </c>
      <c r="E945">
        <v>100</v>
      </c>
      <c r="F945" s="4">
        <f t="shared" ca="1" si="28"/>
        <v>0.27582608695652167</v>
      </c>
      <c r="G945" s="4">
        <f t="shared" ca="1" si="29"/>
        <v>-456.90750724637661</v>
      </c>
      <c r="H945" s="4" cm="1">
        <f t="array" aca="1" ref="H945" ca="1">MIN(
  INDEX($E:$E, MATCH($A945, $A:$A, 0) + 23) +
  (F945 * (2030 - 2023)),
  100
)</f>
        <v>100</v>
      </c>
      <c r="I94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46" spans="1:9" hidden="1" x14ac:dyDescent="0.35">
      <c r="A946" s="1" t="s">
        <v>114</v>
      </c>
      <c r="B946" s="1" t="s">
        <v>172</v>
      </c>
      <c r="C946" s="1" t="s">
        <v>34</v>
      </c>
      <c r="D946" s="3">
        <v>2000</v>
      </c>
      <c r="E946">
        <v>3.1</v>
      </c>
      <c r="F946" s="1">
        <f t="shared" ca="1" si="28"/>
        <v>0.3928695652173913</v>
      </c>
      <c r="G946" s="1">
        <f t="shared" ca="1" si="29"/>
        <v>-782.865463768116</v>
      </c>
      <c r="H946" s="1" cm="1">
        <f t="array" aca="1" ref="H946" ca="1">MIN(
  INDEX($E:$E, MATCH($A946, $A:$A, 0) + 23) +
  (F946 * (2030 - 2023)),
  100
)</f>
        <v>14.75008695652174</v>
      </c>
      <c r="I94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47" spans="1:9" hidden="1" x14ac:dyDescent="0.35">
      <c r="A947" s="1" t="s">
        <v>114</v>
      </c>
      <c r="B947" s="1" t="s">
        <v>172</v>
      </c>
      <c r="C947" s="1" t="s">
        <v>34</v>
      </c>
      <c r="D947" s="3">
        <v>2001</v>
      </c>
      <c r="E947">
        <v>3.4</v>
      </c>
      <c r="F947" s="1">
        <f t="shared" ca="1" si="28"/>
        <v>0.3928695652173913</v>
      </c>
      <c r="G947" s="1">
        <f t="shared" ca="1" si="29"/>
        <v>-782.865463768116</v>
      </c>
      <c r="H947" s="1" cm="1">
        <f t="array" aca="1" ref="H947" ca="1">MIN(
  INDEX($E:$E, MATCH($A947, $A:$A, 0) + 23) +
  (F947 * (2030 - 2023)),
  100
)</f>
        <v>14.75008695652174</v>
      </c>
      <c r="I94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48" spans="1:9" hidden="1" x14ac:dyDescent="0.35">
      <c r="A948" s="1" t="s">
        <v>114</v>
      </c>
      <c r="B948" s="1" t="s">
        <v>172</v>
      </c>
      <c r="C948" s="1" t="s">
        <v>34</v>
      </c>
      <c r="D948" s="3">
        <v>2002</v>
      </c>
      <c r="E948">
        <v>3.8</v>
      </c>
      <c r="F948" s="1">
        <f t="shared" ca="1" si="28"/>
        <v>0.3928695652173913</v>
      </c>
      <c r="G948" s="1">
        <f t="shared" ca="1" si="29"/>
        <v>-782.865463768116</v>
      </c>
      <c r="H948" s="1" cm="1">
        <f t="array" aca="1" ref="H948" ca="1">MIN(
  INDEX($E:$E, MATCH($A948, $A:$A, 0) + 23) +
  (F948 * (2030 - 2023)),
  100
)</f>
        <v>14.75008695652174</v>
      </c>
      <c r="I94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49" spans="1:9" hidden="1" x14ac:dyDescent="0.35">
      <c r="A949" s="1" t="s">
        <v>114</v>
      </c>
      <c r="B949" s="1" t="s">
        <v>172</v>
      </c>
      <c r="C949" s="1" t="s">
        <v>34</v>
      </c>
      <c r="D949" s="3">
        <v>2003</v>
      </c>
      <c r="E949">
        <v>4.0999999999999996</v>
      </c>
      <c r="F949" s="1">
        <f t="shared" ca="1" si="28"/>
        <v>0.3928695652173913</v>
      </c>
      <c r="G949" s="1">
        <f t="shared" ca="1" si="29"/>
        <v>-782.865463768116</v>
      </c>
      <c r="H949" s="1" cm="1">
        <f t="array" aca="1" ref="H949" ca="1">MIN(
  INDEX($E:$E, MATCH($A949, $A:$A, 0) + 23) +
  (F949 * (2030 - 2023)),
  100
)</f>
        <v>14.75008695652174</v>
      </c>
      <c r="I94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0" spans="1:9" hidden="1" x14ac:dyDescent="0.35">
      <c r="A950" s="1" t="s">
        <v>114</v>
      </c>
      <c r="B950" s="1" t="s">
        <v>172</v>
      </c>
      <c r="C950" s="1" t="s">
        <v>34</v>
      </c>
      <c r="D950" s="3">
        <v>2004</v>
      </c>
      <c r="E950">
        <v>3.5</v>
      </c>
      <c r="F950" s="1">
        <f t="shared" ca="1" si="28"/>
        <v>0.3928695652173913</v>
      </c>
      <c r="G950" s="1">
        <f t="shared" ca="1" si="29"/>
        <v>-782.865463768116</v>
      </c>
      <c r="H950" s="1" cm="1">
        <f t="array" aca="1" ref="H950" ca="1">MIN(
  INDEX($E:$E, MATCH($A950, $A:$A, 0) + 23) +
  (F950 * (2030 - 2023)),
  100
)</f>
        <v>14.75008695652174</v>
      </c>
      <c r="I95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1" spans="1:9" hidden="1" x14ac:dyDescent="0.35">
      <c r="A951" s="1" t="s">
        <v>114</v>
      </c>
      <c r="B951" s="1" t="s">
        <v>172</v>
      </c>
      <c r="C951" s="1" t="s">
        <v>34</v>
      </c>
      <c r="D951" s="3">
        <v>2005</v>
      </c>
      <c r="E951">
        <v>4.8</v>
      </c>
      <c r="F951" s="1">
        <f t="shared" ca="1" si="28"/>
        <v>0.3928695652173913</v>
      </c>
      <c r="G951" s="1">
        <f t="shared" ca="1" si="29"/>
        <v>-782.865463768116</v>
      </c>
      <c r="H951" s="1" cm="1">
        <f t="array" aca="1" ref="H951" ca="1">MIN(
  INDEX($E:$E, MATCH($A951, $A:$A, 0) + 23) +
  (F951 * (2030 - 2023)),
  100
)</f>
        <v>14.75008695652174</v>
      </c>
      <c r="I95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2" spans="1:9" hidden="1" x14ac:dyDescent="0.35">
      <c r="A952" s="1" t="s">
        <v>114</v>
      </c>
      <c r="B952" s="1" t="s">
        <v>172</v>
      </c>
      <c r="C952" s="1" t="s">
        <v>34</v>
      </c>
      <c r="D952" s="3">
        <v>2006</v>
      </c>
      <c r="E952">
        <v>5.0999999999999996</v>
      </c>
      <c r="F952" s="1">
        <f t="shared" ca="1" si="28"/>
        <v>0.3928695652173913</v>
      </c>
      <c r="G952" s="1">
        <f t="shared" ca="1" si="29"/>
        <v>-782.865463768116</v>
      </c>
      <c r="H952" s="1" cm="1">
        <f t="array" aca="1" ref="H952" ca="1">MIN(
  INDEX($E:$E, MATCH($A952, $A:$A, 0) + 23) +
  (F952 * (2030 - 2023)),
  100
)</f>
        <v>14.75008695652174</v>
      </c>
      <c r="I95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3" spans="1:9" hidden="1" x14ac:dyDescent="0.35">
      <c r="A953" s="1" t="s">
        <v>114</v>
      </c>
      <c r="B953" s="1" t="s">
        <v>172</v>
      </c>
      <c r="C953" s="1" t="s">
        <v>34</v>
      </c>
      <c r="D953" s="3">
        <v>2007</v>
      </c>
      <c r="E953">
        <v>5.5</v>
      </c>
      <c r="F953" s="1">
        <f t="shared" ca="1" si="28"/>
        <v>0.3928695652173913</v>
      </c>
      <c r="G953" s="1">
        <f t="shared" ca="1" si="29"/>
        <v>-782.865463768116</v>
      </c>
      <c r="H953" s="1" cm="1">
        <f t="array" aca="1" ref="H953" ca="1">MIN(
  INDEX($E:$E, MATCH($A953, $A:$A, 0) + 23) +
  (F953 * (2030 - 2023)),
  100
)</f>
        <v>14.75008695652174</v>
      </c>
      <c r="I95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4" spans="1:9" hidden="1" x14ac:dyDescent="0.35">
      <c r="A954" s="1" t="s">
        <v>114</v>
      </c>
      <c r="B954" s="1" t="s">
        <v>172</v>
      </c>
      <c r="C954" s="1" t="s">
        <v>34</v>
      </c>
      <c r="D954" s="3">
        <v>2008</v>
      </c>
      <c r="E954">
        <v>5.9</v>
      </c>
      <c r="F954" s="1">
        <f t="shared" ca="1" si="28"/>
        <v>0.3928695652173913</v>
      </c>
      <c r="G954" s="1">
        <f t="shared" ca="1" si="29"/>
        <v>-782.865463768116</v>
      </c>
      <c r="H954" s="1" cm="1">
        <f t="array" aca="1" ref="H954" ca="1">MIN(
  INDEX($E:$E, MATCH($A954, $A:$A, 0) + 23) +
  (F954 * (2030 - 2023)),
  100
)</f>
        <v>14.75008695652174</v>
      </c>
      <c r="I95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5" spans="1:9" hidden="1" x14ac:dyDescent="0.35">
      <c r="A955" s="1" t="s">
        <v>114</v>
      </c>
      <c r="B955" s="1" t="s">
        <v>172</v>
      </c>
      <c r="C955" s="1" t="s">
        <v>34</v>
      </c>
      <c r="D955" s="3">
        <v>2009</v>
      </c>
      <c r="E955">
        <v>6.3</v>
      </c>
      <c r="F955" s="1">
        <f t="shared" ca="1" si="28"/>
        <v>0.3928695652173913</v>
      </c>
      <c r="G955" s="1">
        <f t="shared" ca="1" si="29"/>
        <v>-782.865463768116</v>
      </c>
      <c r="H955" s="1" cm="1">
        <f t="array" aca="1" ref="H955" ca="1">MIN(
  INDEX($E:$E, MATCH($A955, $A:$A, 0) + 23) +
  (F955 * (2030 - 2023)),
  100
)</f>
        <v>14.75008695652174</v>
      </c>
      <c r="I95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6" spans="1:9" hidden="1" x14ac:dyDescent="0.35">
      <c r="A956" s="1" t="s">
        <v>114</v>
      </c>
      <c r="B956" s="1" t="s">
        <v>172</v>
      </c>
      <c r="C956" s="1" t="s">
        <v>34</v>
      </c>
      <c r="D956" s="3">
        <v>2010</v>
      </c>
      <c r="E956">
        <v>6.4</v>
      </c>
      <c r="F956" s="1">
        <f t="shared" ca="1" si="28"/>
        <v>0.3928695652173913</v>
      </c>
      <c r="G956" s="1">
        <f t="shared" ca="1" si="29"/>
        <v>-782.865463768116</v>
      </c>
      <c r="H956" s="1" cm="1">
        <f t="array" aca="1" ref="H956" ca="1">MIN(
  INDEX($E:$E, MATCH($A956, $A:$A, 0) + 23) +
  (F956 * (2030 - 2023)),
  100
)</f>
        <v>14.75008695652174</v>
      </c>
      <c r="I95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7" spans="1:9" hidden="1" x14ac:dyDescent="0.35">
      <c r="A957" s="1" t="s">
        <v>114</v>
      </c>
      <c r="B957" s="1" t="s">
        <v>172</v>
      </c>
      <c r="C957" s="1" t="s">
        <v>34</v>
      </c>
      <c r="D957" s="3">
        <v>2011</v>
      </c>
      <c r="E957">
        <v>9</v>
      </c>
      <c r="F957" s="1">
        <f t="shared" ca="1" si="28"/>
        <v>0.3928695652173913</v>
      </c>
      <c r="G957" s="1">
        <f t="shared" ca="1" si="29"/>
        <v>-782.865463768116</v>
      </c>
      <c r="H957" s="1" cm="1">
        <f t="array" aca="1" ref="H957" ca="1">MIN(
  INDEX($E:$E, MATCH($A957, $A:$A, 0) + 23) +
  (F957 * (2030 - 2023)),
  100
)</f>
        <v>14.75008695652174</v>
      </c>
      <c r="I95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8" spans="1:9" hidden="1" x14ac:dyDescent="0.35">
      <c r="A958" s="1" t="s">
        <v>114</v>
      </c>
      <c r="B958" s="1" t="s">
        <v>172</v>
      </c>
      <c r="C958" s="1" t="s">
        <v>34</v>
      </c>
      <c r="D958" s="3">
        <v>2012</v>
      </c>
      <c r="E958">
        <v>7.8</v>
      </c>
      <c r="F958" s="1">
        <f t="shared" ca="1" si="28"/>
        <v>0.3928695652173913</v>
      </c>
      <c r="G958" s="1">
        <f t="shared" ca="1" si="29"/>
        <v>-782.865463768116</v>
      </c>
      <c r="H958" s="1" cm="1">
        <f t="array" aca="1" ref="H958" ca="1">MIN(
  INDEX($E:$E, MATCH($A958, $A:$A, 0) + 23) +
  (F958 * (2030 - 2023)),
  100
)</f>
        <v>14.75008695652174</v>
      </c>
      <c r="I95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59" spans="1:9" hidden="1" x14ac:dyDescent="0.35">
      <c r="A959" s="1" t="s">
        <v>114</v>
      </c>
      <c r="B959" s="1" t="s">
        <v>172</v>
      </c>
      <c r="C959" s="1" t="s">
        <v>34</v>
      </c>
      <c r="D959" s="3">
        <v>2013</v>
      </c>
      <c r="E959">
        <v>8.1</v>
      </c>
      <c r="F959" s="1">
        <f t="shared" ca="1" si="28"/>
        <v>0.3928695652173913</v>
      </c>
      <c r="G959" s="1">
        <f t="shared" ca="1" si="29"/>
        <v>-782.865463768116</v>
      </c>
      <c r="H959" s="1" cm="1">
        <f t="array" aca="1" ref="H959" ca="1">MIN(
  INDEX($E:$E, MATCH($A959, $A:$A, 0) + 23) +
  (F959 * (2030 - 2023)),
  100
)</f>
        <v>14.75008695652174</v>
      </c>
      <c r="I95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0" spans="1:9" hidden="1" x14ac:dyDescent="0.35">
      <c r="A960" s="1" t="s">
        <v>114</v>
      </c>
      <c r="B960" s="1" t="s">
        <v>172</v>
      </c>
      <c r="C960" s="1" t="s">
        <v>34</v>
      </c>
      <c r="D960" s="3">
        <v>2014</v>
      </c>
      <c r="E960">
        <v>8.4</v>
      </c>
      <c r="F960" s="1">
        <f t="shared" ca="1" si="28"/>
        <v>0.3928695652173913</v>
      </c>
      <c r="G960" s="1">
        <f t="shared" ca="1" si="29"/>
        <v>-782.865463768116</v>
      </c>
      <c r="H960" s="1" cm="1">
        <f t="array" aca="1" ref="H960" ca="1">MIN(
  INDEX($E:$E, MATCH($A960, $A:$A, 0) + 23) +
  (F960 * (2030 - 2023)),
  100
)</f>
        <v>14.75008695652174</v>
      </c>
      <c r="I96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1" spans="1:9" hidden="1" x14ac:dyDescent="0.35">
      <c r="A961" s="1" t="s">
        <v>114</v>
      </c>
      <c r="B961" s="1" t="s">
        <v>172</v>
      </c>
      <c r="C961" s="1" t="s">
        <v>34</v>
      </c>
      <c r="D961" s="3">
        <v>2015</v>
      </c>
      <c r="E961">
        <v>7.7</v>
      </c>
      <c r="F961" s="1">
        <f t="shared" ca="1" si="28"/>
        <v>0.3928695652173913</v>
      </c>
      <c r="G961" s="1">
        <f t="shared" ca="1" si="29"/>
        <v>-782.865463768116</v>
      </c>
      <c r="H961" s="1" cm="1">
        <f t="array" aca="1" ref="H961" ca="1">MIN(
  INDEX($E:$E, MATCH($A961, $A:$A, 0) + 23) +
  (F961 * (2030 - 2023)),
  100
)</f>
        <v>14.75008695652174</v>
      </c>
      <c r="I96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2" spans="1:9" hidden="1" x14ac:dyDescent="0.35">
      <c r="A962" s="1" t="s">
        <v>114</v>
      </c>
      <c r="B962" s="1" t="s">
        <v>172</v>
      </c>
      <c r="C962" s="1" t="s">
        <v>34</v>
      </c>
      <c r="D962" s="3">
        <v>2016</v>
      </c>
      <c r="E962">
        <v>9.1999999999999993</v>
      </c>
      <c r="F962" s="1">
        <f t="shared" ref="F962:F1025" ca="1" si="30">SLOPE(
  OFFSET($E$1, MATCH($A962, $A:$A, 0)-1, 0, 24, 1),
  OFFSET($D$1, MATCH($A962, $A:$A, 0)-1, 0, 24, 1)
)</f>
        <v>0.3928695652173913</v>
      </c>
      <c r="G962" s="1">
        <f t="shared" ref="G962:G1025" ca="1" si="31">INTERCEPT(
  OFFSET($E$1, MATCH($A962, $A:$A, 0)-1, 0, 24, 1),
  OFFSET($D$1, MATCH($A962, $A:$A, 0)-1, 0, 24, 1)
)</f>
        <v>-782.865463768116</v>
      </c>
      <c r="H962" s="1" cm="1">
        <f t="array" aca="1" ref="H962" ca="1">MIN(
  INDEX($E:$E, MATCH($A962, $A:$A, 0) + 23) +
  (F962 * (2030 - 2023)),
  100
)</f>
        <v>14.75008695652174</v>
      </c>
      <c r="I96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3" spans="1:9" hidden="1" x14ac:dyDescent="0.35">
      <c r="A963" s="1" t="s">
        <v>114</v>
      </c>
      <c r="B963" s="1" t="s">
        <v>172</v>
      </c>
      <c r="C963" s="1" t="s">
        <v>34</v>
      </c>
      <c r="D963" s="3">
        <v>2017</v>
      </c>
      <c r="E963">
        <v>10.9</v>
      </c>
      <c r="F963" s="1">
        <f t="shared" ca="1" si="30"/>
        <v>0.3928695652173913</v>
      </c>
      <c r="G963" s="1">
        <f t="shared" ca="1" si="31"/>
        <v>-782.865463768116</v>
      </c>
      <c r="H963" s="1" cm="1">
        <f t="array" aca="1" ref="H963" ca="1">MIN(
  INDEX($E:$E, MATCH($A963, $A:$A, 0) + 23) +
  (F963 * (2030 - 2023)),
  100
)</f>
        <v>14.75008695652174</v>
      </c>
      <c r="I96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4" spans="1:9" hidden="1" x14ac:dyDescent="0.35">
      <c r="A964" s="1" t="s">
        <v>114</v>
      </c>
      <c r="B964" s="1" t="s">
        <v>172</v>
      </c>
      <c r="C964" s="1" t="s">
        <v>34</v>
      </c>
      <c r="D964" s="3">
        <v>2018</v>
      </c>
      <c r="E964">
        <v>10.1</v>
      </c>
      <c r="F964" s="1">
        <f t="shared" ca="1" si="30"/>
        <v>0.3928695652173913</v>
      </c>
      <c r="G964" s="1">
        <f t="shared" ca="1" si="31"/>
        <v>-782.865463768116</v>
      </c>
      <c r="H964" s="1" cm="1">
        <f t="array" aca="1" ref="H964" ca="1">MIN(
  INDEX($E:$E, MATCH($A964, $A:$A, 0) + 23) +
  (F964 * (2030 - 2023)),
  100
)</f>
        <v>14.75008695652174</v>
      </c>
      <c r="I96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5" spans="1:9" hidden="1" x14ac:dyDescent="0.35">
      <c r="A965" s="1" t="s">
        <v>114</v>
      </c>
      <c r="B965" s="1" t="s">
        <v>172</v>
      </c>
      <c r="C965" s="1" t="s">
        <v>34</v>
      </c>
      <c r="D965" s="3">
        <v>2019</v>
      </c>
      <c r="E965">
        <v>8.4</v>
      </c>
      <c r="F965" s="1">
        <f t="shared" ca="1" si="30"/>
        <v>0.3928695652173913</v>
      </c>
      <c r="G965" s="1">
        <f t="shared" ca="1" si="31"/>
        <v>-782.865463768116</v>
      </c>
      <c r="H965" s="1" cm="1">
        <f t="array" aca="1" ref="H965" ca="1">MIN(
  INDEX($E:$E, MATCH($A965, $A:$A, 0) + 23) +
  (F965 * (2030 - 2023)),
  100
)</f>
        <v>14.75008695652174</v>
      </c>
      <c r="I9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6" spans="1:9" hidden="1" x14ac:dyDescent="0.35">
      <c r="A966" s="1" t="s">
        <v>114</v>
      </c>
      <c r="B966" s="1" t="s">
        <v>172</v>
      </c>
      <c r="C966" s="1" t="s">
        <v>34</v>
      </c>
      <c r="D966" s="3">
        <v>2020</v>
      </c>
      <c r="E966">
        <v>10.9</v>
      </c>
      <c r="F966" s="1">
        <f t="shared" ca="1" si="30"/>
        <v>0.3928695652173913</v>
      </c>
      <c r="G966" s="1">
        <f t="shared" ca="1" si="31"/>
        <v>-782.865463768116</v>
      </c>
      <c r="H966" s="1" cm="1">
        <f t="array" aca="1" ref="H966" ca="1">MIN(
  INDEX($E:$E, MATCH($A966, $A:$A, 0) + 23) +
  (F966 * (2030 - 2023)),
  100
)</f>
        <v>14.75008695652174</v>
      </c>
      <c r="I96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7" spans="1:9" hidden="1" x14ac:dyDescent="0.35">
      <c r="A967" s="1" t="s">
        <v>114</v>
      </c>
      <c r="B967" s="1" t="s">
        <v>172</v>
      </c>
      <c r="C967" s="1" t="s">
        <v>34</v>
      </c>
      <c r="D967" s="3">
        <v>2021</v>
      </c>
      <c r="E967">
        <v>11.3</v>
      </c>
      <c r="F967" s="1">
        <f t="shared" ca="1" si="30"/>
        <v>0.3928695652173913</v>
      </c>
      <c r="G967" s="1">
        <f t="shared" ca="1" si="31"/>
        <v>-782.865463768116</v>
      </c>
      <c r="H967" s="1" cm="1">
        <f t="array" aca="1" ref="H967" ca="1">MIN(
  INDEX($E:$E, MATCH($A967, $A:$A, 0) + 23) +
  (F967 * (2030 - 2023)),
  100
)</f>
        <v>14.75008695652174</v>
      </c>
      <c r="I96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8" spans="1:9" hidden="1" x14ac:dyDescent="0.35">
      <c r="A968" s="1" t="s">
        <v>114</v>
      </c>
      <c r="B968" s="1" t="s">
        <v>172</v>
      </c>
      <c r="C968" s="1" t="s">
        <v>34</v>
      </c>
      <c r="D968" s="3">
        <v>2022</v>
      </c>
      <c r="E968">
        <v>11.7</v>
      </c>
      <c r="F968" s="1">
        <f t="shared" ca="1" si="30"/>
        <v>0.3928695652173913</v>
      </c>
      <c r="G968" s="1">
        <f t="shared" ca="1" si="31"/>
        <v>-782.865463768116</v>
      </c>
      <c r="H968" s="1" cm="1">
        <f t="array" aca="1" ref="H968" ca="1">MIN(
  INDEX($E:$E, MATCH($A968, $A:$A, 0) + 23) +
  (F968 * (2030 - 2023)),
  100
)</f>
        <v>14.75008695652174</v>
      </c>
      <c r="I96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69" spans="1:9" x14ac:dyDescent="0.35">
      <c r="A969" s="1" t="s">
        <v>114</v>
      </c>
      <c r="B969" s="1" t="s">
        <v>172</v>
      </c>
      <c r="C969" s="1" t="s">
        <v>34</v>
      </c>
      <c r="D969" s="3">
        <v>2023</v>
      </c>
      <c r="E969">
        <v>12</v>
      </c>
      <c r="F969" s="4">
        <f t="shared" ca="1" si="30"/>
        <v>0.3928695652173913</v>
      </c>
      <c r="G969" s="4">
        <f t="shared" ca="1" si="31"/>
        <v>-782.865463768116</v>
      </c>
      <c r="H969" s="4" cm="1">
        <f t="array" aca="1" ref="H969" ca="1">MIN(
  INDEX($E:$E, MATCH($A969, $A:$A, 0) + 23) +
  (F969 * (2030 - 2023)),
  100
)</f>
        <v>14.75008695652174</v>
      </c>
      <c r="I96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0" spans="1:9" hidden="1" x14ac:dyDescent="0.35">
      <c r="A970" s="1" t="s">
        <v>116</v>
      </c>
      <c r="B970" s="1" t="s">
        <v>175</v>
      </c>
      <c r="C970" s="1" t="s">
        <v>34</v>
      </c>
      <c r="D970" s="3">
        <v>2000</v>
      </c>
      <c r="E970">
        <v>17</v>
      </c>
      <c r="F970" s="1">
        <f t="shared" ca="1" si="30"/>
        <v>1.8330869565217389</v>
      </c>
      <c r="G970" s="1">
        <f t="shared" ca="1" si="31"/>
        <v>-3648.916913043478</v>
      </c>
      <c r="H970" s="1" cm="1">
        <f t="array" aca="1" ref="H970" ca="1">MIN(
  INDEX($E:$E, MATCH($A970, $A:$A, 0) + 23) +
  (F970 * (2030 - 2023)),
  100
)</f>
        <v>72.031608695652181</v>
      </c>
      <c r="I97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1" spans="1:9" hidden="1" x14ac:dyDescent="0.35">
      <c r="A971" s="1" t="s">
        <v>116</v>
      </c>
      <c r="B971" s="1" t="s">
        <v>175</v>
      </c>
      <c r="C971" s="1" t="s">
        <v>34</v>
      </c>
      <c r="D971" s="3">
        <v>2001</v>
      </c>
      <c r="E971">
        <v>19.600000000000001</v>
      </c>
      <c r="F971" s="1">
        <f t="shared" ca="1" si="30"/>
        <v>1.8330869565217389</v>
      </c>
      <c r="G971" s="1">
        <f t="shared" ca="1" si="31"/>
        <v>-3648.916913043478</v>
      </c>
      <c r="H971" s="1" cm="1">
        <f t="array" aca="1" ref="H971" ca="1">MIN(
  INDEX($E:$E, MATCH($A971, $A:$A, 0) + 23) +
  (F971 * (2030 - 2023)),
  100
)</f>
        <v>72.031608695652181</v>
      </c>
      <c r="I97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2" spans="1:9" hidden="1" x14ac:dyDescent="0.35">
      <c r="A972" s="1" t="s">
        <v>116</v>
      </c>
      <c r="B972" s="1" t="s">
        <v>175</v>
      </c>
      <c r="C972" s="1" t="s">
        <v>34</v>
      </c>
      <c r="D972" s="3">
        <v>2002</v>
      </c>
      <c r="E972">
        <v>21.3</v>
      </c>
      <c r="F972" s="1">
        <f t="shared" ca="1" si="30"/>
        <v>1.8330869565217389</v>
      </c>
      <c r="G972" s="1">
        <f t="shared" ca="1" si="31"/>
        <v>-3648.916913043478</v>
      </c>
      <c r="H972" s="1" cm="1">
        <f t="array" aca="1" ref="H972" ca="1">MIN(
  INDEX($E:$E, MATCH($A972, $A:$A, 0) + 23) +
  (F972 * (2030 - 2023)),
  100
)</f>
        <v>72.031608695652181</v>
      </c>
      <c r="I97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3" spans="1:9" hidden="1" x14ac:dyDescent="0.35">
      <c r="A973" s="1" t="s">
        <v>116</v>
      </c>
      <c r="B973" s="1" t="s">
        <v>175</v>
      </c>
      <c r="C973" s="1" t="s">
        <v>34</v>
      </c>
      <c r="D973" s="3">
        <v>2003</v>
      </c>
      <c r="E973">
        <v>23</v>
      </c>
      <c r="F973" s="1">
        <f t="shared" ca="1" si="30"/>
        <v>1.8330869565217389</v>
      </c>
      <c r="G973" s="1">
        <f t="shared" ca="1" si="31"/>
        <v>-3648.916913043478</v>
      </c>
      <c r="H973" s="1" cm="1">
        <f t="array" aca="1" ref="H973" ca="1">MIN(
  INDEX($E:$E, MATCH($A973, $A:$A, 0) + 23) +
  (F973 * (2030 - 2023)),
  100
)</f>
        <v>72.031608695652181</v>
      </c>
      <c r="I97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4" spans="1:9" hidden="1" x14ac:dyDescent="0.35">
      <c r="A974" s="1" t="s">
        <v>116</v>
      </c>
      <c r="B974" s="1" t="s">
        <v>175</v>
      </c>
      <c r="C974" s="1" t="s">
        <v>34</v>
      </c>
      <c r="D974" s="3">
        <v>2004</v>
      </c>
      <c r="E974">
        <v>24.8</v>
      </c>
      <c r="F974" s="1">
        <f t="shared" ca="1" si="30"/>
        <v>1.8330869565217389</v>
      </c>
      <c r="G974" s="1">
        <f t="shared" ca="1" si="31"/>
        <v>-3648.916913043478</v>
      </c>
      <c r="H974" s="1" cm="1">
        <f t="array" aca="1" ref="H974" ca="1">MIN(
  INDEX($E:$E, MATCH($A974, $A:$A, 0) + 23) +
  (F974 * (2030 - 2023)),
  100
)</f>
        <v>72.031608695652181</v>
      </c>
      <c r="I97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5" spans="1:9" hidden="1" x14ac:dyDescent="0.35">
      <c r="A975" s="1" t="s">
        <v>116</v>
      </c>
      <c r="B975" s="1" t="s">
        <v>175</v>
      </c>
      <c r="C975" s="1" t="s">
        <v>34</v>
      </c>
      <c r="D975" s="3">
        <v>2005</v>
      </c>
      <c r="E975">
        <v>26.5</v>
      </c>
      <c r="F975" s="1">
        <f t="shared" ca="1" si="30"/>
        <v>1.8330869565217389</v>
      </c>
      <c r="G975" s="1">
        <f t="shared" ca="1" si="31"/>
        <v>-3648.916913043478</v>
      </c>
      <c r="H975" s="1" cm="1">
        <f t="array" aca="1" ref="H975" ca="1">MIN(
  INDEX($E:$E, MATCH($A975, $A:$A, 0) + 23) +
  (F975 * (2030 - 2023)),
  100
)</f>
        <v>72.031608695652181</v>
      </c>
      <c r="I97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6" spans="1:9" hidden="1" x14ac:dyDescent="0.35">
      <c r="A976" s="1" t="s">
        <v>116</v>
      </c>
      <c r="B976" s="1" t="s">
        <v>175</v>
      </c>
      <c r="C976" s="1" t="s">
        <v>34</v>
      </c>
      <c r="D976" s="3">
        <v>2006</v>
      </c>
      <c r="E976">
        <v>27.9</v>
      </c>
      <c r="F976" s="1">
        <f t="shared" ca="1" si="30"/>
        <v>1.8330869565217389</v>
      </c>
      <c r="G976" s="1">
        <f t="shared" ca="1" si="31"/>
        <v>-3648.916913043478</v>
      </c>
      <c r="H976" s="1" cm="1">
        <f t="array" aca="1" ref="H976" ca="1">MIN(
  INDEX($E:$E, MATCH($A976, $A:$A, 0) + 23) +
  (F976 * (2030 - 2023)),
  100
)</f>
        <v>72.031608695652181</v>
      </c>
      <c r="I97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7" spans="1:9" hidden="1" x14ac:dyDescent="0.35">
      <c r="A977" s="1" t="s">
        <v>116</v>
      </c>
      <c r="B977" s="1" t="s">
        <v>175</v>
      </c>
      <c r="C977" s="1" t="s">
        <v>34</v>
      </c>
      <c r="D977" s="3">
        <v>2007</v>
      </c>
      <c r="E977">
        <v>30</v>
      </c>
      <c r="F977" s="1">
        <f t="shared" ca="1" si="30"/>
        <v>1.8330869565217389</v>
      </c>
      <c r="G977" s="1">
        <f t="shared" ca="1" si="31"/>
        <v>-3648.916913043478</v>
      </c>
      <c r="H977" s="1" cm="1">
        <f t="array" aca="1" ref="H977" ca="1">MIN(
  INDEX($E:$E, MATCH($A977, $A:$A, 0) + 23) +
  (F977 * (2030 - 2023)),
  100
)</f>
        <v>72.031608695652181</v>
      </c>
      <c r="I97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8" spans="1:9" hidden="1" x14ac:dyDescent="0.35">
      <c r="A978" s="1" t="s">
        <v>116</v>
      </c>
      <c r="B978" s="1" t="s">
        <v>175</v>
      </c>
      <c r="C978" s="1" t="s">
        <v>34</v>
      </c>
      <c r="D978" s="3">
        <v>2008</v>
      </c>
      <c r="E978">
        <v>31.8</v>
      </c>
      <c r="F978" s="1">
        <f t="shared" ca="1" si="30"/>
        <v>1.8330869565217389</v>
      </c>
      <c r="G978" s="1">
        <f t="shared" ca="1" si="31"/>
        <v>-3648.916913043478</v>
      </c>
      <c r="H978" s="1" cm="1">
        <f t="array" aca="1" ref="H978" ca="1">MIN(
  INDEX($E:$E, MATCH($A978, $A:$A, 0) + 23) +
  (F978 * (2030 - 2023)),
  100
)</f>
        <v>72.031608695652181</v>
      </c>
      <c r="I97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79" spans="1:9" hidden="1" x14ac:dyDescent="0.35">
      <c r="A979" s="1" t="s">
        <v>116</v>
      </c>
      <c r="B979" s="1" t="s">
        <v>175</v>
      </c>
      <c r="C979" s="1" t="s">
        <v>34</v>
      </c>
      <c r="D979" s="3">
        <v>2009</v>
      </c>
      <c r="E979">
        <v>33.700000000000003</v>
      </c>
      <c r="F979" s="1">
        <f t="shared" ca="1" si="30"/>
        <v>1.8330869565217389</v>
      </c>
      <c r="G979" s="1">
        <f t="shared" ca="1" si="31"/>
        <v>-3648.916913043478</v>
      </c>
      <c r="H979" s="1" cm="1">
        <f t="array" aca="1" ref="H979" ca="1">MIN(
  INDEX($E:$E, MATCH($A979, $A:$A, 0) + 23) +
  (F979 * (2030 - 2023)),
  100
)</f>
        <v>72.031608695652181</v>
      </c>
      <c r="I97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0" spans="1:9" hidden="1" x14ac:dyDescent="0.35">
      <c r="A980" s="1" t="s">
        <v>116</v>
      </c>
      <c r="B980" s="1" t="s">
        <v>175</v>
      </c>
      <c r="C980" s="1" t="s">
        <v>34</v>
      </c>
      <c r="D980" s="3">
        <v>2010</v>
      </c>
      <c r="E980">
        <v>30.8</v>
      </c>
      <c r="F980" s="1">
        <f t="shared" ca="1" si="30"/>
        <v>1.8330869565217389</v>
      </c>
      <c r="G980" s="1">
        <f t="shared" ca="1" si="31"/>
        <v>-3648.916913043478</v>
      </c>
      <c r="H980" s="1" cm="1">
        <f t="array" aca="1" ref="H980" ca="1">MIN(
  INDEX($E:$E, MATCH($A980, $A:$A, 0) + 23) +
  (F980 * (2030 - 2023)),
  100
)</f>
        <v>72.031608695652181</v>
      </c>
      <c r="I98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1" spans="1:9" hidden="1" x14ac:dyDescent="0.35">
      <c r="A981" s="1" t="s">
        <v>116</v>
      </c>
      <c r="B981" s="1" t="s">
        <v>175</v>
      </c>
      <c r="C981" s="1" t="s">
        <v>34</v>
      </c>
      <c r="D981" s="3">
        <v>2011</v>
      </c>
      <c r="E981">
        <v>39.700000000000003</v>
      </c>
      <c r="F981" s="1">
        <f t="shared" ca="1" si="30"/>
        <v>1.8330869565217389</v>
      </c>
      <c r="G981" s="1">
        <f t="shared" ca="1" si="31"/>
        <v>-3648.916913043478</v>
      </c>
      <c r="H981" s="1" cm="1">
        <f t="array" aca="1" ref="H981" ca="1">MIN(
  INDEX($E:$E, MATCH($A981, $A:$A, 0) + 23) +
  (F981 * (2030 - 2023)),
  100
)</f>
        <v>72.031608695652181</v>
      </c>
      <c r="I98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2" spans="1:9" hidden="1" x14ac:dyDescent="0.35">
      <c r="A982" s="1" t="s">
        <v>116</v>
      </c>
      <c r="B982" s="1" t="s">
        <v>175</v>
      </c>
      <c r="C982" s="1" t="s">
        <v>34</v>
      </c>
      <c r="D982" s="3">
        <v>2012</v>
      </c>
      <c r="E982">
        <v>39.1</v>
      </c>
      <c r="F982" s="1">
        <f t="shared" ca="1" si="30"/>
        <v>1.8330869565217389</v>
      </c>
      <c r="G982" s="1">
        <f t="shared" ca="1" si="31"/>
        <v>-3648.916913043478</v>
      </c>
      <c r="H982" s="1" cm="1">
        <f t="array" aca="1" ref="H982" ca="1">MIN(
  INDEX($E:$E, MATCH($A982, $A:$A, 0) + 23) +
  (F982 * (2030 - 2023)),
  100
)</f>
        <v>72.031608695652181</v>
      </c>
      <c r="I98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3" spans="1:9" hidden="1" x14ac:dyDescent="0.35">
      <c r="A983" s="1" t="s">
        <v>116</v>
      </c>
      <c r="B983" s="1" t="s">
        <v>175</v>
      </c>
      <c r="C983" s="1" t="s">
        <v>34</v>
      </c>
      <c r="D983" s="3">
        <v>2013</v>
      </c>
      <c r="E983">
        <v>41</v>
      </c>
      <c r="F983" s="1">
        <f t="shared" ca="1" si="30"/>
        <v>1.8330869565217389</v>
      </c>
      <c r="G983" s="1">
        <f t="shared" ca="1" si="31"/>
        <v>-3648.916913043478</v>
      </c>
      <c r="H983" s="1" cm="1">
        <f t="array" aca="1" ref="H983" ca="1">MIN(
  INDEX($E:$E, MATCH($A983, $A:$A, 0) + 23) +
  (F983 * (2030 - 2023)),
  100
)</f>
        <v>72.031608695652181</v>
      </c>
      <c r="I98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4" spans="1:9" hidden="1" x14ac:dyDescent="0.35">
      <c r="A984" s="1" t="s">
        <v>116</v>
      </c>
      <c r="B984" s="1" t="s">
        <v>175</v>
      </c>
      <c r="C984" s="1" t="s">
        <v>34</v>
      </c>
      <c r="D984" s="3">
        <v>2014</v>
      </c>
      <c r="E984">
        <v>45.7</v>
      </c>
      <c r="F984" s="1">
        <f t="shared" ca="1" si="30"/>
        <v>1.8330869565217389</v>
      </c>
      <c r="G984" s="1">
        <f t="shared" ca="1" si="31"/>
        <v>-3648.916913043478</v>
      </c>
      <c r="H984" s="1" cm="1">
        <f t="array" aca="1" ref="H984" ca="1">MIN(
  INDEX($E:$E, MATCH($A984, $A:$A, 0) + 23) +
  (F984 * (2030 - 2023)),
  100
)</f>
        <v>72.031608695652181</v>
      </c>
      <c r="I98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5" spans="1:9" hidden="1" x14ac:dyDescent="0.35">
      <c r="A985" s="1" t="s">
        <v>116</v>
      </c>
      <c r="B985" s="1" t="s">
        <v>175</v>
      </c>
      <c r="C985" s="1" t="s">
        <v>34</v>
      </c>
      <c r="D985" s="3">
        <v>2015</v>
      </c>
      <c r="E985">
        <v>44.7</v>
      </c>
      <c r="F985" s="1">
        <f t="shared" ca="1" si="30"/>
        <v>1.8330869565217389</v>
      </c>
      <c r="G985" s="1">
        <f t="shared" ca="1" si="31"/>
        <v>-3648.916913043478</v>
      </c>
      <c r="H985" s="1" cm="1">
        <f t="array" aca="1" ref="H985" ca="1">MIN(
  INDEX($E:$E, MATCH($A985, $A:$A, 0) + 23) +
  (F985 * (2030 - 2023)),
  100
)</f>
        <v>72.031608695652181</v>
      </c>
      <c r="I98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6" spans="1:9" hidden="1" x14ac:dyDescent="0.35">
      <c r="A986" s="1" t="s">
        <v>116</v>
      </c>
      <c r="B986" s="1" t="s">
        <v>175</v>
      </c>
      <c r="C986" s="1" t="s">
        <v>34</v>
      </c>
      <c r="D986" s="3">
        <v>2016</v>
      </c>
      <c r="E986">
        <v>46.8</v>
      </c>
      <c r="F986" s="1">
        <f t="shared" ca="1" si="30"/>
        <v>1.8330869565217389</v>
      </c>
      <c r="G986" s="1">
        <f t="shared" ca="1" si="31"/>
        <v>-3648.916913043478</v>
      </c>
      <c r="H986" s="1" cm="1">
        <f t="array" aca="1" ref="H986" ca="1">MIN(
  INDEX($E:$E, MATCH($A986, $A:$A, 0) + 23) +
  (F986 * (2030 - 2023)),
  100
)</f>
        <v>72.031608695652181</v>
      </c>
      <c r="I98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7" spans="1:9" hidden="1" x14ac:dyDescent="0.35">
      <c r="A987" s="1" t="s">
        <v>116</v>
      </c>
      <c r="B987" s="1" t="s">
        <v>175</v>
      </c>
      <c r="C987" s="1" t="s">
        <v>34</v>
      </c>
      <c r="D987" s="3">
        <v>2017</v>
      </c>
      <c r="E987">
        <v>48</v>
      </c>
      <c r="F987" s="1">
        <f t="shared" ca="1" si="30"/>
        <v>1.8330869565217389</v>
      </c>
      <c r="G987" s="1">
        <f t="shared" ca="1" si="31"/>
        <v>-3648.916913043478</v>
      </c>
      <c r="H987" s="1" cm="1">
        <f t="array" aca="1" ref="H987" ca="1">MIN(
  INDEX($E:$E, MATCH($A987, $A:$A, 0) + 23) +
  (F987 * (2030 - 2023)),
  100
)</f>
        <v>72.031608695652181</v>
      </c>
      <c r="I98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8" spans="1:9" hidden="1" x14ac:dyDescent="0.35">
      <c r="A988" s="1" t="s">
        <v>116</v>
      </c>
      <c r="B988" s="1" t="s">
        <v>175</v>
      </c>
      <c r="C988" s="1" t="s">
        <v>34</v>
      </c>
      <c r="D988" s="3">
        <v>2018</v>
      </c>
      <c r="E988">
        <v>50</v>
      </c>
      <c r="F988" s="1">
        <f t="shared" ca="1" si="30"/>
        <v>1.8330869565217389</v>
      </c>
      <c r="G988" s="1">
        <f t="shared" ca="1" si="31"/>
        <v>-3648.916913043478</v>
      </c>
      <c r="H988" s="1" cm="1">
        <f t="array" aca="1" ref="H988" ca="1">MIN(
  INDEX($E:$E, MATCH($A988, $A:$A, 0) + 23) +
  (F988 * (2030 - 2023)),
  100
)</f>
        <v>72.031608695652181</v>
      </c>
      <c r="I98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89" spans="1:9" hidden="1" x14ac:dyDescent="0.35">
      <c r="A989" s="1" t="s">
        <v>116</v>
      </c>
      <c r="B989" s="1" t="s">
        <v>175</v>
      </c>
      <c r="C989" s="1" t="s">
        <v>34</v>
      </c>
      <c r="D989" s="3">
        <v>2019</v>
      </c>
      <c r="E989">
        <v>52.5</v>
      </c>
      <c r="F989" s="1">
        <f t="shared" ca="1" si="30"/>
        <v>1.8330869565217389</v>
      </c>
      <c r="G989" s="1">
        <f t="shared" ca="1" si="31"/>
        <v>-3648.916913043478</v>
      </c>
      <c r="H989" s="1" cm="1">
        <f t="array" aca="1" ref="H989" ca="1">MIN(
  INDEX($E:$E, MATCH($A989, $A:$A, 0) + 23) +
  (F989 * (2030 - 2023)),
  100
)</f>
        <v>72.031608695652181</v>
      </c>
      <c r="I98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90" spans="1:9" hidden="1" x14ac:dyDescent="0.35">
      <c r="A990" s="1" t="s">
        <v>116</v>
      </c>
      <c r="B990" s="1" t="s">
        <v>175</v>
      </c>
      <c r="C990" s="1" t="s">
        <v>34</v>
      </c>
      <c r="D990" s="3">
        <v>2020</v>
      </c>
      <c r="E990">
        <v>54.1</v>
      </c>
      <c r="F990" s="1">
        <f t="shared" ca="1" si="30"/>
        <v>1.8330869565217389</v>
      </c>
      <c r="G990" s="1">
        <f t="shared" ca="1" si="31"/>
        <v>-3648.916913043478</v>
      </c>
      <c r="H990" s="1" cm="1">
        <f t="array" aca="1" ref="H990" ca="1">MIN(
  INDEX($E:$E, MATCH($A990, $A:$A, 0) + 23) +
  (F990 * (2030 - 2023)),
  100
)</f>
        <v>72.031608695652181</v>
      </c>
      <c r="I9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91" spans="1:9" hidden="1" x14ac:dyDescent="0.35">
      <c r="A991" s="1" t="s">
        <v>116</v>
      </c>
      <c r="B991" s="1" t="s">
        <v>175</v>
      </c>
      <c r="C991" s="1" t="s">
        <v>34</v>
      </c>
      <c r="D991" s="3">
        <v>2021</v>
      </c>
      <c r="E991">
        <v>55.7</v>
      </c>
      <c r="F991" s="1">
        <f t="shared" ca="1" si="30"/>
        <v>1.8330869565217389</v>
      </c>
      <c r="G991" s="1">
        <f t="shared" ca="1" si="31"/>
        <v>-3648.916913043478</v>
      </c>
      <c r="H991" s="1" cm="1">
        <f t="array" aca="1" ref="H991" ca="1">MIN(
  INDEX($E:$E, MATCH($A991, $A:$A, 0) + 23) +
  (F991 * (2030 - 2023)),
  100
)</f>
        <v>72.031608695652181</v>
      </c>
      <c r="I9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92" spans="1:9" hidden="1" x14ac:dyDescent="0.35">
      <c r="A992" s="1" t="s">
        <v>116</v>
      </c>
      <c r="B992" s="1" t="s">
        <v>175</v>
      </c>
      <c r="C992" s="1" t="s">
        <v>34</v>
      </c>
      <c r="D992" s="3">
        <v>2022</v>
      </c>
      <c r="E992">
        <v>57.2</v>
      </c>
      <c r="F992" s="1">
        <f t="shared" ca="1" si="30"/>
        <v>1.8330869565217389</v>
      </c>
      <c r="G992" s="1">
        <f t="shared" ca="1" si="31"/>
        <v>-3648.916913043478</v>
      </c>
      <c r="H992" s="1" cm="1">
        <f t="array" aca="1" ref="H992" ca="1">MIN(
  INDEX($E:$E, MATCH($A992, $A:$A, 0) + 23) +
  (F992 * (2030 - 2023)),
  100
)</f>
        <v>72.031608695652181</v>
      </c>
      <c r="I9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93" spans="1:9" x14ac:dyDescent="0.35">
      <c r="A993" s="1" t="s">
        <v>116</v>
      </c>
      <c r="B993" s="1" t="s">
        <v>175</v>
      </c>
      <c r="C993" s="1" t="s">
        <v>34</v>
      </c>
      <c r="D993" s="3">
        <v>2023</v>
      </c>
      <c r="E993">
        <v>59.2</v>
      </c>
      <c r="F993" s="4">
        <f t="shared" ca="1" si="30"/>
        <v>1.8330869565217389</v>
      </c>
      <c r="G993" s="4">
        <f t="shared" ca="1" si="31"/>
        <v>-3648.916913043478</v>
      </c>
      <c r="H993" s="4" cm="1">
        <f t="array" aca="1" ref="H993" ca="1">MIN(
  INDEX($E:$E, MATCH($A993, $A:$A, 0) + 23) +
  (F993 * (2030 - 2023)),
  100
)</f>
        <v>72.031608695652181</v>
      </c>
      <c r="I9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994" spans="1:9" hidden="1" x14ac:dyDescent="0.35">
      <c r="A994" s="1" t="s">
        <v>118</v>
      </c>
      <c r="B994" s="1" t="s">
        <v>173</v>
      </c>
      <c r="C994" s="1" t="s">
        <v>31</v>
      </c>
      <c r="D994" s="3">
        <v>2000</v>
      </c>
      <c r="E994">
        <v>94.8</v>
      </c>
      <c r="F994" s="1">
        <f t="shared" ca="1" si="30"/>
        <v>0.12265217391304352</v>
      </c>
      <c r="G994" s="1">
        <f t="shared" ca="1" si="31"/>
        <v>-147.47734782608705</v>
      </c>
      <c r="H994" s="1" cm="1">
        <f t="array" aca="1" ref="H994" ca="1">MIN(
  INDEX($E:$E, MATCH($A994, $A:$A, 0) + 23) +
  (F994 * (2030 - 2023)),
  100
)</f>
        <v>100</v>
      </c>
      <c r="I99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95" spans="1:9" hidden="1" x14ac:dyDescent="0.35">
      <c r="A995" s="1" t="s">
        <v>118</v>
      </c>
      <c r="B995" s="1" t="s">
        <v>173</v>
      </c>
      <c r="C995" s="1" t="s">
        <v>31</v>
      </c>
      <c r="D995" s="3">
        <v>2001</v>
      </c>
      <c r="E995">
        <v>97.3</v>
      </c>
      <c r="F995" s="1">
        <f t="shared" ca="1" si="30"/>
        <v>0.12265217391304352</v>
      </c>
      <c r="G995" s="1">
        <f t="shared" ca="1" si="31"/>
        <v>-147.47734782608705</v>
      </c>
      <c r="H995" s="1" cm="1">
        <f t="array" aca="1" ref="H995" ca="1">MIN(
  INDEX($E:$E, MATCH($A995, $A:$A, 0) + 23) +
  (F995 * (2030 - 2023)),
  100
)</f>
        <v>100</v>
      </c>
      <c r="I99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96" spans="1:9" hidden="1" x14ac:dyDescent="0.35">
      <c r="A996" s="1" t="s">
        <v>118</v>
      </c>
      <c r="B996" s="1" t="s">
        <v>173</v>
      </c>
      <c r="C996" s="1" t="s">
        <v>31</v>
      </c>
      <c r="D996" s="3">
        <v>2002</v>
      </c>
      <c r="E996">
        <v>97.8</v>
      </c>
      <c r="F996" s="1">
        <f t="shared" ca="1" si="30"/>
        <v>0.12265217391304352</v>
      </c>
      <c r="G996" s="1">
        <f t="shared" ca="1" si="31"/>
        <v>-147.47734782608705</v>
      </c>
      <c r="H996" s="1" cm="1">
        <f t="array" aca="1" ref="H996" ca="1">MIN(
  INDEX($E:$E, MATCH($A996, $A:$A, 0) + 23) +
  (F996 * (2030 - 2023)),
  100
)</f>
        <v>100</v>
      </c>
      <c r="I99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97" spans="1:9" hidden="1" x14ac:dyDescent="0.35">
      <c r="A997" s="1" t="s">
        <v>118</v>
      </c>
      <c r="B997" s="1" t="s">
        <v>173</v>
      </c>
      <c r="C997" s="1" t="s">
        <v>31</v>
      </c>
      <c r="D997" s="3">
        <v>2003</v>
      </c>
      <c r="E997">
        <v>98.4</v>
      </c>
      <c r="F997" s="1">
        <f t="shared" ca="1" si="30"/>
        <v>0.12265217391304352</v>
      </c>
      <c r="G997" s="1">
        <f t="shared" ca="1" si="31"/>
        <v>-147.47734782608705</v>
      </c>
      <c r="H997" s="1" cm="1">
        <f t="array" aca="1" ref="H997" ca="1">MIN(
  INDEX($E:$E, MATCH($A997, $A:$A, 0) + 23) +
  (F997 * (2030 - 2023)),
  100
)</f>
        <v>100</v>
      </c>
      <c r="I99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98" spans="1:9" hidden="1" x14ac:dyDescent="0.35">
      <c r="A998" s="1" t="s">
        <v>118</v>
      </c>
      <c r="B998" s="1" t="s">
        <v>173</v>
      </c>
      <c r="C998" s="1" t="s">
        <v>31</v>
      </c>
      <c r="D998" s="3">
        <v>2004</v>
      </c>
      <c r="E998">
        <v>99</v>
      </c>
      <c r="F998" s="1">
        <f t="shared" ca="1" si="30"/>
        <v>0.12265217391304352</v>
      </c>
      <c r="G998" s="1">
        <f t="shared" ca="1" si="31"/>
        <v>-147.47734782608705</v>
      </c>
      <c r="H998" s="1" cm="1">
        <f t="array" aca="1" ref="H998" ca="1">MIN(
  INDEX($E:$E, MATCH($A998, $A:$A, 0) + 23) +
  (F998 * (2030 - 2023)),
  100
)</f>
        <v>100</v>
      </c>
      <c r="I99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999" spans="1:9" hidden="1" x14ac:dyDescent="0.35">
      <c r="A999" s="1" t="s">
        <v>118</v>
      </c>
      <c r="B999" s="1" t="s">
        <v>173</v>
      </c>
      <c r="C999" s="1" t="s">
        <v>31</v>
      </c>
      <c r="D999" s="3">
        <v>2005</v>
      </c>
      <c r="E999">
        <v>99.2</v>
      </c>
      <c r="F999" s="1">
        <f t="shared" ca="1" si="30"/>
        <v>0.12265217391304352</v>
      </c>
      <c r="G999" s="1">
        <f t="shared" ca="1" si="31"/>
        <v>-147.47734782608705</v>
      </c>
      <c r="H999" s="1" cm="1">
        <f t="array" aca="1" ref="H999" ca="1">MIN(
  INDEX($E:$E, MATCH($A999, $A:$A, 0) + 23) +
  (F999 * (2030 - 2023)),
  100
)</f>
        <v>100</v>
      </c>
      <c r="I99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0" spans="1:9" hidden="1" x14ac:dyDescent="0.35">
      <c r="A1000" s="1" t="s">
        <v>118</v>
      </c>
      <c r="B1000" s="1" t="s">
        <v>173</v>
      </c>
      <c r="C1000" s="1" t="s">
        <v>31</v>
      </c>
      <c r="D1000" s="3">
        <v>2006</v>
      </c>
      <c r="E1000">
        <v>99.4</v>
      </c>
      <c r="F1000" s="1">
        <f t="shared" ca="1" si="30"/>
        <v>0.12265217391304352</v>
      </c>
      <c r="G1000" s="1">
        <f t="shared" ca="1" si="31"/>
        <v>-147.47734782608705</v>
      </c>
      <c r="H1000" s="1" cm="1">
        <f t="array" aca="1" ref="H1000" ca="1">MIN(
  INDEX($E:$E, MATCH($A1000, $A:$A, 0) + 23) +
  (F1000 * (2030 - 2023)),
  100
)</f>
        <v>100</v>
      </c>
      <c r="I100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1" spans="1:9" hidden="1" x14ac:dyDescent="0.35">
      <c r="A1001" s="1" t="s">
        <v>118</v>
      </c>
      <c r="B1001" s="1" t="s">
        <v>173</v>
      </c>
      <c r="C1001" s="1" t="s">
        <v>31</v>
      </c>
      <c r="D1001" s="3">
        <v>2007</v>
      </c>
      <c r="E1001">
        <v>99.4</v>
      </c>
      <c r="F1001" s="1">
        <f t="shared" ca="1" si="30"/>
        <v>0.12265217391304352</v>
      </c>
      <c r="G1001" s="1">
        <f t="shared" ca="1" si="31"/>
        <v>-147.47734782608705</v>
      </c>
      <c r="H1001" s="1" cm="1">
        <f t="array" aca="1" ref="H1001" ca="1">MIN(
  INDEX($E:$E, MATCH($A1001, $A:$A, 0) + 23) +
  (F1001 * (2030 - 2023)),
  100
)</f>
        <v>100</v>
      </c>
      <c r="I100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2" spans="1:9" hidden="1" x14ac:dyDescent="0.35">
      <c r="A1002" s="1" t="s">
        <v>118</v>
      </c>
      <c r="B1002" s="1" t="s">
        <v>173</v>
      </c>
      <c r="C1002" s="1" t="s">
        <v>31</v>
      </c>
      <c r="D1002" s="3">
        <v>2008</v>
      </c>
      <c r="E1002">
        <v>99.4</v>
      </c>
      <c r="F1002" s="1">
        <f t="shared" ca="1" si="30"/>
        <v>0.12265217391304352</v>
      </c>
      <c r="G1002" s="1">
        <f t="shared" ca="1" si="31"/>
        <v>-147.47734782608705</v>
      </c>
      <c r="H1002" s="1" cm="1">
        <f t="array" aca="1" ref="H1002" ca="1">MIN(
  INDEX($E:$E, MATCH($A1002, $A:$A, 0) + 23) +
  (F1002 * (2030 - 2023)),
  100
)</f>
        <v>100</v>
      </c>
      <c r="I100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3" spans="1:9" hidden="1" x14ac:dyDescent="0.35">
      <c r="A1003" s="1" t="s">
        <v>118</v>
      </c>
      <c r="B1003" s="1" t="s">
        <v>173</v>
      </c>
      <c r="C1003" s="1" t="s">
        <v>31</v>
      </c>
      <c r="D1003" s="3">
        <v>2009</v>
      </c>
      <c r="E1003">
        <v>99.5</v>
      </c>
      <c r="F1003" s="1">
        <f t="shared" ca="1" si="30"/>
        <v>0.12265217391304352</v>
      </c>
      <c r="G1003" s="1">
        <f t="shared" ca="1" si="31"/>
        <v>-147.47734782608705</v>
      </c>
      <c r="H1003" s="1" cm="1">
        <f t="array" aca="1" ref="H1003" ca="1">MIN(
  INDEX($E:$E, MATCH($A1003, $A:$A, 0) + 23) +
  (F1003 * (2030 - 2023)),
  100
)</f>
        <v>100</v>
      </c>
      <c r="I100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4" spans="1:9" hidden="1" x14ac:dyDescent="0.35">
      <c r="A1004" s="1" t="s">
        <v>118</v>
      </c>
      <c r="B1004" s="1" t="s">
        <v>173</v>
      </c>
      <c r="C1004" s="1" t="s">
        <v>31</v>
      </c>
      <c r="D1004" s="3">
        <v>2010</v>
      </c>
      <c r="E1004">
        <v>99.5</v>
      </c>
      <c r="F1004" s="1">
        <f t="shared" ca="1" si="30"/>
        <v>0.12265217391304352</v>
      </c>
      <c r="G1004" s="1">
        <f t="shared" ca="1" si="31"/>
        <v>-147.47734782608705</v>
      </c>
      <c r="H1004" s="1" cm="1">
        <f t="array" aca="1" ref="H1004" ca="1">MIN(
  INDEX($E:$E, MATCH($A1004, $A:$A, 0) + 23) +
  (F1004 * (2030 - 2023)),
  100
)</f>
        <v>100</v>
      </c>
      <c r="I100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5" spans="1:9" hidden="1" x14ac:dyDescent="0.35">
      <c r="A1005" s="1" t="s">
        <v>118</v>
      </c>
      <c r="B1005" s="1" t="s">
        <v>173</v>
      </c>
      <c r="C1005" s="1" t="s">
        <v>31</v>
      </c>
      <c r="D1005" s="3">
        <v>2011</v>
      </c>
      <c r="E1005">
        <v>99.5</v>
      </c>
      <c r="F1005" s="1">
        <f t="shared" ca="1" si="30"/>
        <v>0.12265217391304352</v>
      </c>
      <c r="G1005" s="1">
        <f t="shared" ca="1" si="31"/>
        <v>-147.47734782608705</v>
      </c>
      <c r="H1005" s="1" cm="1">
        <f t="array" aca="1" ref="H1005" ca="1">MIN(
  INDEX($E:$E, MATCH($A1005, $A:$A, 0) + 23) +
  (F1005 * (2030 - 2023)),
  100
)</f>
        <v>100</v>
      </c>
      <c r="I100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6" spans="1:9" hidden="1" x14ac:dyDescent="0.35">
      <c r="A1006" s="1" t="s">
        <v>118</v>
      </c>
      <c r="B1006" s="1" t="s">
        <v>173</v>
      </c>
      <c r="C1006" s="1" t="s">
        <v>31</v>
      </c>
      <c r="D1006" s="3">
        <v>2012</v>
      </c>
      <c r="E1006">
        <v>99.5</v>
      </c>
      <c r="F1006" s="1">
        <f t="shared" ca="1" si="30"/>
        <v>0.12265217391304352</v>
      </c>
      <c r="G1006" s="1">
        <f t="shared" ca="1" si="31"/>
        <v>-147.47734782608705</v>
      </c>
      <c r="H1006" s="1" cm="1">
        <f t="array" aca="1" ref="H1006" ca="1">MIN(
  INDEX($E:$E, MATCH($A1006, $A:$A, 0) + 23) +
  (F1006 * (2030 - 2023)),
  100
)</f>
        <v>100</v>
      </c>
      <c r="I100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7" spans="1:9" hidden="1" x14ac:dyDescent="0.35">
      <c r="A1007" s="1" t="s">
        <v>118</v>
      </c>
      <c r="B1007" s="1" t="s">
        <v>173</v>
      </c>
      <c r="C1007" s="1" t="s">
        <v>31</v>
      </c>
      <c r="D1007" s="3">
        <v>2013</v>
      </c>
      <c r="E1007">
        <v>99.7</v>
      </c>
      <c r="F1007" s="1">
        <f t="shared" ca="1" si="30"/>
        <v>0.12265217391304352</v>
      </c>
      <c r="G1007" s="1">
        <f t="shared" ca="1" si="31"/>
        <v>-147.47734782608705</v>
      </c>
      <c r="H1007" s="1" cm="1">
        <f t="array" aca="1" ref="H1007" ca="1">MIN(
  INDEX($E:$E, MATCH($A1007, $A:$A, 0) + 23) +
  (F1007 * (2030 - 2023)),
  100
)</f>
        <v>100</v>
      </c>
      <c r="I100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8" spans="1:9" hidden="1" x14ac:dyDescent="0.35">
      <c r="A1008" s="1" t="s">
        <v>118</v>
      </c>
      <c r="B1008" s="1" t="s">
        <v>173</v>
      </c>
      <c r="C1008" s="1" t="s">
        <v>31</v>
      </c>
      <c r="D1008" s="3">
        <v>2014</v>
      </c>
      <c r="E1008">
        <v>99.8</v>
      </c>
      <c r="F1008" s="1">
        <f t="shared" ca="1" si="30"/>
        <v>0.12265217391304352</v>
      </c>
      <c r="G1008" s="1">
        <f t="shared" ca="1" si="31"/>
        <v>-147.47734782608705</v>
      </c>
      <c r="H1008" s="1" cm="1">
        <f t="array" aca="1" ref="H1008" ca="1">MIN(
  INDEX($E:$E, MATCH($A1008, $A:$A, 0) + 23) +
  (F1008 * (2030 - 2023)),
  100
)</f>
        <v>100</v>
      </c>
      <c r="I1008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09" spans="1:9" hidden="1" x14ac:dyDescent="0.35">
      <c r="A1009" s="1" t="s">
        <v>118</v>
      </c>
      <c r="B1009" s="1" t="s">
        <v>173</v>
      </c>
      <c r="C1009" s="1" t="s">
        <v>31</v>
      </c>
      <c r="D1009" s="3">
        <v>2015</v>
      </c>
      <c r="E1009">
        <v>99.9</v>
      </c>
      <c r="F1009" s="1">
        <f t="shared" ca="1" si="30"/>
        <v>0.12265217391304352</v>
      </c>
      <c r="G1009" s="1">
        <f t="shared" ca="1" si="31"/>
        <v>-147.47734782608705</v>
      </c>
      <c r="H1009" s="1" cm="1">
        <f t="array" aca="1" ref="H1009" ca="1">MIN(
  INDEX($E:$E, MATCH($A1009, $A:$A, 0) + 23) +
  (F1009 * (2030 - 2023)),
  100
)</f>
        <v>100</v>
      </c>
      <c r="I1009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0" spans="1:9" hidden="1" x14ac:dyDescent="0.35">
      <c r="A1010" s="1" t="s">
        <v>118</v>
      </c>
      <c r="B1010" s="1" t="s">
        <v>173</v>
      </c>
      <c r="C1010" s="1" t="s">
        <v>31</v>
      </c>
      <c r="D1010" s="3">
        <v>2016</v>
      </c>
      <c r="E1010">
        <v>100</v>
      </c>
      <c r="F1010" s="1">
        <f t="shared" ca="1" si="30"/>
        <v>0.12265217391304352</v>
      </c>
      <c r="G1010" s="1">
        <f t="shared" ca="1" si="31"/>
        <v>-147.47734782608705</v>
      </c>
      <c r="H1010" s="1" cm="1">
        <f t="array" aca="1" ref="H1010" ca="1">MIN(
  INDEX($E:$E, MATCH($A1010, $A:$A, 0) + 23) +
  (F1010 * (2030 - 2023)),
  100
)</f>
        <v>100</v>
      </c>
      <c r="I1010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1" spans="1:9" hidden="1" x14ac:dyDescent="0.35">
      <c r="A1011" s="1" t="s">
        <v>118</v>
      </c>
      <c r="B1011" s="1" t="s">
        <v>173</v>
      </c>
      <c r="C1011" s="1" t="s">
        <v>31</v>
      </c>
      <c r="D1011" s="3">
        <v>2017</v>
      </c>
      <c r="E1011">
        <v>100</v>
      </c>
      <c r="F1011" s="1">
        <f t="shared" ca="1" si="30"/>
        <v>0.12265217391304352</v>
      </c>
      <c r="G1011" s="1">
        <f t="shared" ca="1" si="31"/>
        <v>-147.47734782608705</v>
      </c>
      <c r="H1011" s="1" cm="1">
        <f t="array" aca="1" ref="H1011" ca="1">MIN(
  INDEX($E:$E, MATCH($A1011, $A:$A, 0) + 23) +
  (F1011 * (2030 - 2023)),
  100
)</f>
        <v>100</v>
      </c>
      <c r="I1011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2" spans="1:9" hidden="1" x14ac:dyDescent="0.35">
      <c r="A1012" s="1" t="s">
        <v>118</v>
      </c>
      <c r="B1012" s="1" t="s">
        <v>173</v>
      </c>
      <c r="C1012" s="1" t="s">
        <v>31</v>
      </c>
      <c r="D1012" s="3">
        <v>2018</v>
      </c>
      <c r="E1012">
        <v>99.8</v>
      </c>
      <c r="F1012" s="1">
        <f t="shared" ca="1" si="30"/>
        <v>0.12265217391304352</v>
      </c>
      <c r="G1012" s="1">
        <f t="shared" ca="1" si="31"/>
        <v>-147.47734782608705</v>
      </c>
      <c r="H1012" s="1" cm="1">
        <f t="array" aca="1" ref="H1012" ca="1">MIN(
  INDEX($E:$E, MATCH($A1012, $A:$A, 0) + 23) +
  (F1012 * (2030 - 2023)),
  100
)</f>
        <v>100</v>
      </c>
      <c r="I1012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3" spans="1:9" hidden="1" x14ac:dyDescent="0.35">
      <c r="A1013" s="1" t="s">
        <v>118</v>
      </c>
      <c r="B1013" s="1" t="s">
        <v>173</v>
      </c>
      <c r="C1013" s="1" t="s">
        <v>31</v>
      </c>
      <c r="D1013" s="3">
        <v>2019</v>
      </c>
      <c r="E1013">
        <v>100</v>
      </c>
      <c r="F1013" s="1">
        <f t="shared" ca="1" si="30"/>
        <v>0.12265217391304352</v>
      </c>
      <c r="G1013" s="1">
        <f t="shared" ca="1" si="31"/>
        <v>-147.47734782608705</v>
      </c>
      <c r="H1013" s="1" cm="1">
        <f t="array" aca="1" ref="H1013" ca="1">MIN(
  INDEX($E:$E, MATCH($A1013, $A:$A, 0) + 23) +
  (F1013 * (2030 - 2023)),
  100
)</f>
        <v>100</v>
      </c>
      <c r="I1013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4" spans="1:9" hidden="1" x14ac:dyDescent="0.35">
      <c r="A1014" s="1" t="s">
        <v>118</v>
      </c>
      <c r="B1014" s="1" t="s">
        <v>173</v>
      </c>
      <c r="C1014" s="1" t="s">
        <v>31</v>
      </c>
      <c r="D1014" s="3">
        <v>2020</v>
      </c>
      <c r="E1014">
        <v>99.9</v>
      </c>
      <c r="F1014" s="1">
        <f t="shared" ca="1" si="30"/>
        <v>0.12265217391304352</v>
      </c>
      <c r="G1014" s="1">
        <f t="shared" ca="1" si="31"/>
        <v>-147.47734782608705</v>
      </c>
      <c r="H1014" s="1" cm="1">
        <f t="array" aca="1" ref="H1014" ca="1">MIN(
  INDEX($E:$E, MATCH($A1014, $A:$A, 0) + 23) +
  (F1014 * (2030 - 2023)),
  100
)</f>
        <v>100</v>
      </c>
      <c r="I1014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5" spans="1:9" hidden="1" x14ac:dyDescent="0.35">
      <c r="A1015" s="1" t="s">
        <v>118</v>
      </c>
      <c r="B1015" s="1" t="s">
        <v>173</v>
      </c>
      <c r="C1015" s="1" t="s">
        <v>31</v>
      </c>
      <c r="D1015" s="3">
        <v>2021</v>
      </c>
      <c r="E1015">
        <v>99.9</v>
      </c>
      <c r="F1015" s="1">
        <f t="shared" ca="1" si="30"/>
        <v>0.12265217391304352</v>
      </c>
      <c r="G1015" s="1">
        <f t="shared" ca="1" si="31"/>
        <v>-147.47734782608705</v>
      </c>
      <c r="H1015" s="1" cm="1">
        <f t="array" aca="1" ref="H1015" ca="1">MIN(
  INDEX($E:$E, MATCH($A1015, $A:$A, 0) + 23) +
  (F1015 * (2030 - 2023)),
  100
)</f>
        <v>100</v>
      </c>
      <c r="I1015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6" spans="1:9" hidden="1" x14ac:dyDescent="0.35">
      <c r="A1016" s="1" t="s">
        <v>118</v>
      </c>
      <c r="B1016" s="1" t="s">
        <v>173</v>
      </c>
      <c r="C1016" s="1" t="s">
        <v>31</v>
      </c>
      <c r="D1016" s="3">
        <v>2022</v>
      </c>
      <c r="E1016">
        <v>100</v>
      </c>
      <c r="F1016" s="1">
        <f t="shared" ca="1" si="30"/>
        <v>0.12265217391304352</v>
      </c>
      <c r="G1016" s="1">
        <f t="shared" ca="1" si="31"/>
        <v>-147.47734782608705</v>
      </c>
      <c r="H1016" s="1" cm="1">
        <f t="array" aca="1" ref="H1016" ca="1">MIN(
  INDEX($E:$E, MATCH($A1016, $A:$A, 0) + 23) +
  (F1016 * (2030 - 2023)),
  100
)</f>
        <v>100</v>
      </c>
      <c r="I1016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7" spans="1:9" x14ac:dyDescent="0.35">
      <c r="A1017" s="1" t="s">
        <v>118</v>
      </c>
      <c r="B1017" s="1" t="s">
        <v>173</v>
      </c>
      <c r="C1017" s="1" t="s">
        <v>31</v>
      </c>
      <c r="D1017" s="3">
        <v>2023</v>
      </c>
      <c r="E1017">
        <v>100</v>
      </c>
      <c r="F1017" s="4">
        <f t="shared" ca="1" si="30"/>
        <v>0.12265217391304352</v>
      </c>
      <c r="G1017" s="4">
        <f t="shared" ca="1" si="31"/>
        <v>-147.47734782608705</v>
      </c>
      <c r="H1017" s="4" cm="1">
        <f t="array" aca="1" ref="H1017" ca="1">MIN(
  INDEX($E:$E, MATCH($A1017, $A:$A, 0) + 23) +
  (F1017 * (2030 - 2023)),
  100
)</f>
        <v>100</v>
      </c>
      <c r="I1017" s="1" t="str">
        <f ca="1">IF(Electricity_Access__2[[#This Row],[2030 Prediction %]]&gt;=95, "On Track",
   IF(Electricity_Access__2[[#This Row],[2030 Prediction %]]&gt;=80, "Moderate Gap",
   "Significantly Off Track"))</f>
        <v>On Track</v>
      </c>
    </row>
    <row r="1018" spans="1:9" hidden="1" x14ac:dyDescent="0.35">
      <c r="A1018" s="1" t="s">
        <v>120</v>
      </c>
      <c r="B1018" s="1" t="s">
        <v>174</v>
      </c>
      <c r="C1018" s="1" t="s">
        <v>31</v>
      </c>
      <c r="D1018" s="3">
        <v>2000</v>
      </c>
      <c r="E1018">
        <v>8.6999999999999993</v>
      </c>
      <c r="F1018" s="1">
        <f t="shared" ca="1" si="30"/>
        <v>1.7160434782608698</v>
      </c>
      <c r="G1018" s="1">
        <f t="shared" ca="1" si="31"/>
        <v>-3429.175623188406</v>
      </c>
      <c r="H1018" s="1" cm="1">
        <f t="array" aca="1" ref="H1018" ca="1">MIN(
  INDEX($E:$E, MATCH($A1018, $A:$A, 0) + 23) +
  (F1018 * (2030 - 2023)),
  100
)</f>
        <v>60.312304347826085</v>
      </c>
      <c r="I10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19" spans="1:9" hidden="1" x14ac:dyDescent="0.35">
      <c r="A1019" s="1" t="s">
        <v>120</v>
      </c>
      <c r="B1019" s="1" t="s">
        <v>174</v>
      </c>
      <c r="C1019" s="1" t="s">
        <v>31</v>
      </c>
      <c r="D1019" s="3">
        <v>2001</v>
      </c>
      <c r="E1019">
        <v>9.6999999999999993</v>
      </c>
      <c r="F1019" s="1">
        <f t="shared" ca="1" si="30"/>
        <v>1.7160434782608698</v>
      </c>
      <c r="G1019" s="1">
        <f t="shared" ca="1" si="31"/>
        <v>-3429.175623188406</v>
      </c>
      <c r="H1019" s="1" cm="1">
        <f t="array" aca="1" ref="H1019" ca="1">MIN(
  INDEX($E:$E, MATCH($A1019, $A:$A, 0) + 23) +
  (F1019 * (2030 - 2023)),
  100
)</f>
        <v>60.312304347826085</v>
      </c>
      <c r="I10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0" spans="1:9" hidden="1" x14ac:dyDescent="0.35">
      <c r="A1020" s="1" t="s">
        <v>120</v>
      </c>
      <c r="B1020" s="1" t="s">
        <v>174</v>
      </c>
      <c r="C1020" s="1" t="s">
        <v>31</v>
      </c>
      <c r="D1020" s="3">
        <v>2002</v>
      </c>
      <c r="E1020">
        <v>10.7</v>
      </c>
      <c r="F1020" s="1">
        <f t="shared" ca="1" si="30"/>
        <v>1.7160434782608698</v>
      </c>
      <c r="G1020" s="1">
        <f t="shared" ca="1" si="31"/>
        <v>-3429.175623188406</v>
      </c>
      <c r="H1020" s="1" cm="1">
        <f t="array" aca="1" ref="H1020" ca="1">MIN(
  INDEX($E:$E, MATCH($A1020, $A:$A, 0) + 23) +
  (F1020 * (2030 - 2023)),
  100
)</f>
        <v>60.312304347826085</v>
      </c>
      <c r="I10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1" spans="1:9" hidden="1" x14ac:dyDescent="0.35">
      <c r="A1021" s="1" t="s">
        <v>120</v>
      </c>
      <c r="B1021" s="1" t="s">
        <v>174</v>
      </c>
      <c r="C1021" s="1" t="s">
        <v>31</v>
      </c>
      <c r="D1021" s="3">
        <v>2003</v>
      </c>
      <c r="E1021">
        <v>11.1</v>
      </c>
      <c r="F1021" s="1">
        <f t="shared" ca="1" si="30"/>
        <v>1.7160434782608698</v>
      </c>
      <c r="G1021" s="1">
        <f t="shared" ca="1" si="31"/>
        <v>-3429.175623188406</v>
      </c>
      <c r="H1021" s="1" cm="1">
        <f t="array" aca="1" ref="H1021" ca="1">MIN(
  INDEX($E:$E, MATCH($A1021, $A:$A, 0) + 23) +
  (F1021 * (2030 - 2023)),
  100
)</f>
        <v>60.312304347826085</v>
      </c>
      <c r="I102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2" spans="1:9" hidden="1" x14ac:dyDescent="0.35">
      <c r="A1022" s="1" t="s">
        <v>120</v>
      </c>
      <c r="B1022" s="1" t="s">
        <v>174</v>
      </c>
      <c r="C1022" s="1" t="s">
        <v>31</v>
      </c>
      <c r="D1022" s="3">
        <v>2004</v>
      </c>
      <c r="E1022">
        <v>11.4</v>
      </c>
      <c r="F1022" s="1">
        <f t="shared" ca="1" si="30"/>
        <v>1.7160434782608698</v>
      </c>
      <c r="G1022" s="1">
        <f t="shared" ca="1" si="31"/>
        <v>-3429.175623188406</v>
      </c>
      <c r="H1022" s="1" cm="1">
        <f t="array" aca="1" ref="H1022" ca="1">MIN(
  INDEX($E:$E, MATCH($A1022, $A:$A, 0) + 23) +
  (F1022 * (2030 - 2023)),
  100
)</f>
        <v>60.312304347826085</v>
      </c>
      <c r="I10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3" spans="1:9" hidden="1" x14ac:dyDescent="0.35">
      <c r="A1023" s="1" t="s">
        <v>120</v>
      </c>
      <c r="B1023" s="1" t="s">
        <v>174</v>
      </c>
      <c r="C1023" s="1" t="s">
        <v>31</v>
      </c>
      <c r="D1023" s="3">
        <v>2005</v>
      </c>
      <c r="E1023">
        <v>13.8</v>
      </c>
      <c r="F1023" s="1">
        <f t="shared" ca="1" si="30"/>
        <v>1.7160434782608698</v>
      </c>
      <c r="G1023" s="1">
        <f t="shared" ca="1" si="31"/>
        <v>-3429.175623188406</v>
      </c>
      <c r="H1023" s="1" cm="1">
        <f t="array" aca="1" ref="H1023" ca="1">MIN(
  INDEX($E:$E, MATCH($A1023, $A:$A, 0) + 23) +
  (F1023 * (2030 - 2023)),
  100
)</f>
        <v>60.312304347826085</v>
      </c>
      <c r="I10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4" spans="1:9" hidden="1" x14ac:dyDescent="0.35">
      <c r="A1024" s="1" t="s">
        <v>120</v>
      </c>
      <c r="B1024" s="1" t="s">
        <v>174</v>
      </c>
      <c r="C1024" s="1" t="s">
        <v>31</v>
      </c>
      <c r="D1024" s="3">
        <v>2006</v>
      </c>
      <c r="E1024">
        <v>14.9</v>
      </c>
      <c r="F1024" s="1">
        <f t="shared" ca="1" si="30"/>
        <v>1.7160434782608698</v>
      </c>
      <c r="G1024" s="1">
        <f t="shared" ca="1" si="31"/>
        <v>-3429.175623188406</v>
      </c>
      <c r="H1024" s="1" cm="1">
        <f t="array" aca="1" ref="H1024" ca="1">MIN(
  INDEX($E:$E, MATCH($A1024, $A:$A, 0) + 23) +
  (F1024 * (2030 - 2023)),
  100
)</f>
        <v>60.312304347826085</v>
      </c>
      <c r="I10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5" spans="1:9" hidden="1" x14ac:dyDescent="0.35">
      <c r="A1025" s="1" t="s">
        <v>120</v>
      </c>
      <c r="B1025" s="1" t="s">
        <v>174</v>
      </c>
      <c r="C1025" s="1" t="s">
        <v>31</v>
      </c>
      <c r="D1025" s="3">
        <v>2007</v>
      </c>
      <c r="E1025">
        <v>15.9</v>
      </c>
      <c r="F1025" s="1">
        <f t="shared" ca="1" si="30"/>
        <v>1.7160434782608698</v>
      </c>
      <c r="G1025" s="1">
        <f t="shared" ca="1" si="31"/>
        <v>-3429.175623188406</v>
      </c>
      <c r="H1025" s="1" cm="1">
        <f t="array" aca="1" ref="H1025" ca="1">MIN(
  INDEX($E:$E, MATCH($A1025, $A:$A, 0) + 23) +
  (F1025 * (2030 - 2023)),
  100
)</f>
        <v>60.312304347826085</v>
      </c>
      <c r="I10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6" spans="1:9" hidden="1" x14ac:dyDescent="0.35">
      <c r="A1026" s="1" t="s">
        <v>120</v>
      </c>
      <c r="B1026" s="1" t="s">
        <v>174</v>
      </c>
      <c r="C1026" s="1" t="s">
        <v>31</v>
      </c>
      <c r="D1026" s="3">
        <v>2008</v>
      </c>
      <c r="E1026">
        <v>11.5</v>
      </c>
      <c r="F1026" s="1">
        <f t="shared" ref="F1026:F1089" ca="1" si="32">SLOPE(
  OFFSET($E$1, MATCH($A1026, $A:$A, 0)-1, 0, 24, 1),
  OFFSET($D$1, MATCH($A1026, $A:$A, 0)-1, 0, 24, 1)
)</f>
        <v>1.7160434782608698</v>
      </c>
      <c r="G1026" s="1">
        <f t="shared" ref="G1026:G1089" ca="1" si="33">INTERCEPT(
  OFFSET($E$1, MATCH($A1026, $A:$A, 0)-1, 0, 24, 1),
  OFFSET($D$1, MATCH($A1026, $A:$A, 0)-1, 0, 24, 1)
)</f>
        <v>-3429.175623188406</v>
      </c>
      <c r="H1026" s="1" cm="1">
        <f t="array" aca="1" ref="H1026" ca="1">MIN(
  INDEX($E:$E, MATCH($A1026, $A:$A, 0) + 23) +
  (F1026 * (2030 - 2023)),
  100
)</f>
        <v>60.312304347826085</v>
      </c>
      <c r="I10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7" spans="1:9" hidden="1" x14ac:dyDescent="0.35">
      <c r="A1027" s="1" t="s">
        <v>120</v>
      </c>
      <c r="B1027" s="1" t="s">
        <v>174</v>
      </c>
      <c r="C1027" s="1" t="s">
        <v>31</v>
      </c>
      <c r="D1027" s="3">
        <v>2009</v>
      </c>
      <c r="E1027">
        <v>11.2</v>
      </c>
      <c r="F1027" s="1">
        <f t="shared" ca="1" si="32"/>
        <v>1.7160434782608698</v>
      </c>
      <c r="G1027" s="1">
        <f t="shared" ca="1" si="33"/>
        <v>-3429.175623188406</v>
      </c>
      <c r="H1027" s="1" cm="1">
        <f t="array" aca="1" ref="H1027" ca="1">MIN(
  INDEX($E:$E, MATCH($A1027, $A:$A, 0) + 23) +
  (F1027 * (2030 - 2023)),
  100
)</f>
        <v>60.312304347826085</v>
      </c>
      <c r="I10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8" spans="1:9" hidden="1" x14ac:dyDescent="0.35">
      <c r="A1028" s="1" t="s">
        <v>120</v>
      </c>
      <c r="B1028" s="1" t="s">
        <v>174</v>
      </c>
      <c r="C1028" s="1" t="s">
        <v>31</v>
      </c>
      <c r="D1028" s="3">
        <v>2010</v>
      </c>
      <c r="E1028">
        <v>14.8</v>
      </c>
      <c r="F1028" s="1">
        <f t="shared" ca="1" si="32"/>
        <v>1.7160434782608698</v>
      </c>
      <c r="G1028" s="1">
        <f t="shared" ca="1" si="33"/>
        <v>-3429.175623188406</v>
      </c>
      <c r="H1028" s="1" cm="1">
        <f t="array" aca="1" ref="H1028" ca="1">MIN(
  INDEX($E:$E, MATCH($A1028, $A:$A, 0) + 23) +
  (F1028 * (2030 - 2023)),
  100
)</f>
        <v>60.312304347826085</v>
      </c>
      <c r="I10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29" spans="1:9" hidden="1" x14ac:dyDescent="0.35">
      <c r="A1029" s="1" t="s">
        <v>120</v>
      </c>
      <c r="B1029" s="1" t="s">
        <v>174</v>
      </c>
      <c r="C1029" s="1" t="s">
        <v>31</v>
      </c>
      <c r="D1029" s="3">
        <v>2011</v>
      </c>
      <c r="E1029">
        <v>14.2</v>
      </c>
      <c r="F1029" s="1">
        <f t="shared" ca="1" si="32"/>
        <v>1.7160434782608698</v>
      </c>
      <c r="G1029" s="1">
        <f t="shared" ca="1" si="33"/>
        <v>-3429.175623188406</v>
      </c>
      <c r="H1029" s="1" cm="1">
        <f t="array" aca="1" ref="H1029" ca="1">MIN(
  INDEX($E:$E, MATCH($A1029, $A:$A, 0) + 23) +
  (F1029 * (2030 - 2023)),
  100
)</f>
        <v>60.312304347826085</v>
      </c>
      <c r="I10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0" spans="1:9" hidden="1" x14ac:dyDescent="0.35">
      <c r="A1030" s="1" t="s">
        <v>120</v>
      </c>
      <c r="B1030" s="1" t="s">
        <v>174</v>
      </c>
      <c r="C1030" s="1" t="s">
        <v>31</v>
      </c>
      <c r="D1030" s="3">
        <v>2012</v>
      </c>
      <c r="E1030">
        <v>15.3</v>
      </c>
      <c r="F1030" s="1">
        <f t="shared" ca="1" si="32"/>
        <v>1.7160434782608698</v>
      </c>
      <c r="G1030" s="1">
        <f t="shared" ca="1" si="33"/>
        <v>-3429.175623188406</v>
      </c>
      <c r="H1030" s="1" cm="1">
        <f t="array" aca="1" ref="H1030" ca="1">MIN(
  INDEX($E:$E, MATCH($A1030, $A:$A, 0) + 23) +
  (F1030 * (2030 - 2023)),
  100
)</f>
        <v>60.312304347826085</v>
      </c>
      <c r="I10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1" spans="1:9" hidden="1" x14ac:dyDescent="0.35">
      <c r="A1031" s="1" t="s">
        <v>120</v>
      </c>
      <c r="B1031" s="1" t="s">
        <v>174</v>
      </c>
      <c r="C1031" s="1" t="s">
        <v>31</v>
      </c>
      <c r="D1031" s="3">
        <v>2013</v>
      </c>
      <c r="E1031">
        <v>16.399999999999999</v>
      </c>
      <c r="F1031" s="1">
        <f t="shared" ca="1" si="32"/>
        <v>1.7160434782608698</v>
      </c>
      <c r="G1031" s="1">
        <f t="shared" ca="1" si="33"/>
        <v>-3429.175623188406</v>
      </c>
      <c r="H1031" s="1" cm="1">
        <f t="array" aca="1" ref="H1031" ca="1">MIN(
  INDEX($E:$E, MATCH($A1031, $A:$A, 0) + 23) +
  (F1031 * (2030 - 2023)),
  100
)</f>
        <v>60.312304347826085</v>
      </c>
      <c r="I10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2" spans="1:9" hidden="1" x14ac:dyDescent="0.35">
      <c r="A1032" s="1" t="s">
        <v>120</v>
      </c>
      <c r="B1032" s="1" t="s">
        <v>174</v>
      </c>
      <c r="C1032" s="1" t="s">
        <v>31</v>
      </c>
      <c r="D1032" s="3">
        <v>2014</v>
      </c>
      <c r="E1032">
        <v>23.5</v>
      </c>
      <c r="F1032" s="1">
        <f t="shared" ca="1" si="32"/>
        <v>1.7160434782608698</v>
      </c>
      <c r="G1032" s="1">
        <f t="shared" ca="1" si="33"/>
        <v>-3429.175623188406</v>
      </c>
      <c r="H1032" s="1" cm="1">
        <f t="array" aca="1" ref="H1032" ca="1">MIN(
  INDEX($E:$E, MATCH($A1032, $A:$A, 0) + 23) +
  (F1032 * (2030 - 2023)),
  100
)</f>
        <v>60.312304347826085</v>
      </c>
      <c r="I103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3" spans="1:9" hidden="1" x14ac:dyDescent="0.35">
      <c r="A1033" s="1" t="s">
        <v>120</v>
      </c>
      <c r="B1033" s="1" t="s">
        <v>174</v>
      </c>
      <c r="C1033" s="1" t="s">
        <v>31</v>
      </c>
      <c r="D1033" s="3">
        <v>2015</v>
      </c>
      <c r="E1033">
        <v>26.2</v>
      </c>
      <c r="F1033" s="1">
        <f t="shared" ca="1" si="32"/>
        <v>1.7160434782608698</v>
      </c>
      <c r="G1033" s="1">
        <f t="shared" ca="1" si="33"/>
        <v>-3429.175623188406</v>
      </c>
      <c r="H1033" s="1" cm="1">
        <f t="array" aca="1" ref="H1033" ca="1">MIN(
  INDEX($E:$E, MATCH($A1033, $A:$A, 0) + 23) +
  (F1033 * (2030 - 2023)),
  100
)</f>
        <v>60.312304347826085</v>
      </c>
      <c r="I10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4" spans="1:9" hidden="1" x14ac:dyDescent="0.35">
      <c r="A1034" s="1" t="s">
        <v>120</v>
      </c>
      <c r="B1034" s="1" t="s">
        <v>174</v>
      </c>
      <c r="C1034" s="1" t="s">
        <v>31</v>
      </c>
      <c r="D1034" s="3">
        <v>2016</v>
      </c>
      <c r="E1034">
        <v>32.799999999999997</v>
      </c>
      <c r="F1034" s="1">
        <f t="shared" ca="1" si="32"/>
        <v>1.7160434782608698</v>
      </c>
      <c r="G1034" s="1">
        <f t="shared" ca="1" si="33"/>
        <v>-3429.175623188406</v>
      </c>
      <c r="H1034" s="1" cm="1">
        <f t="array" aca="1" ref="H1034" ca="1">MIN(
  INDEX($E:$E, MATCH($A1034, $A:$A, 0) + 23) +
  (F1034 * (2030 - 2023)),
  100
)</f>
        <v>60.312304347826085</v>
      </c>
      <c r="I10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5" spans="1:9" hidden="1" x14ac:dyDescent="0.35">
      <c r="A1035" s="1" t="s">
        <v>120</v>
      </c>
      <c r="B1035" s="1" t="s">
        <v>174</v>
      </c>
      <c r="C1035" s="1" t="s">
        <v>31</v>
      </c>
      <c r="D1035" s="3">
        <v>2017</v>
      </c>
      <c r="E1035">
        <v>32.1</v>
      </c>
      <c r="F1035" s="1">
        <f t="shared" ca="1" si="32"/>
        <v>1.7160434782608698</v>
      </c>
      <c r="G1035" s="1">
        <f t="shared" ca="1" si="33"/>
        <v>-3429.175623188406</v>
      </c>
      <c r="H1035" s="1" cm="1">
        <f t="array" aca="1" ref="H1035" ca="1">MIN(
  INDEX($E:$E, MATCH($A1035, $A:$A, 0) + 23) +
  (F1035 * (2030 - 2023)),
  100
)</f>
        <v>60.312304347826085</v>
      </c>
      <c r="I10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6" spans="1:9" hidden="1" x14ac:dyDescent="0.35">
      <c r="A1036" s="1" t="s">
        <v>120</v>
      </c>
      <c r="B1036" s="1" t="s">
        <v>174</v>
      </c>
      <c r="C1036" s="1" t="s">
        <v>31</v>
      </c>
      <c r="D1036" s="3">
        <v>2018</v>
      </c>
      <c r="E1036">
        <v>34.9</v>
      </c>
      <c r="F1036" s="1">
        <f t="shared" ca="1" si="32"/>
        <v>1.7160434782608698</v>
      </c>
      <c r="G1036" s="1">
        <f t="shared" ca="1" si="33"/>
        <v>-3429.175623188406</v>
      </c>
      <c r="H1036" s="1" cm="1">
        <f t="array" aca="1" ref="H1036" ca="1">MIN(
  INDEX($E:$E, MATCH($A1036, $A:$A, 0) + 23) +
  (F1036 * (2030 - 2023)),
  100
)</f>
        <v>60.312304347826085</v>
      </c>
      <c r="I10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7" spans="1:9" hidden="1" x14ac:dyDescent="0.35">
      <c r="A1037" s="1" t="s">
        <v>120</v>
      </c>
      <c r="B1037" s="1" t="s">
        <v>174</v>
      </c>
      <c r="C1037" s="1" t="s">
        <v>31</v>
      </c>
      <c r="D1037" s="3">
        <v>2019</v>
      </c>
      <c r="E1037">
        <v>37.700000000000003</v>
      </c>
      <c r="F1037" s="1">
        <f t="shared" ca="1" si="32"/>
        <v>1.7160434782608698</v>
      </c>
      <c r="G1037" s="1">
        <f t="shared" ca="1" si="33"/>
        <v>-3429.175623188406</v>
      </c>
      <c r="H1037" s="1" cm="1">
        <f t="array" aca="1" ref="H1037" ca="1">MIN(
  INDEX($E:$E, MATCH($A1037, $A:$A, 0) + 23) +
  (F1037 * (2030 - 2023)),
  100
)</f>
        <v>60.312304347826085</v>
      </c>
      <c r="I10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8" spans="1:9" hidden="1" x14ac:dyDescent="0.35">
      <c r="A1038" s="1" t="s">
        <v>120</v>
      </c>
      <c r="B1038" s="1" t="s">
        <v>174</v>
      </c>
      <c r="C1038" s="1" t="s">
        <v>31</v>
      </c>
      <c r="D1038" s="3">
        <v>2020</v>
      </c>
      <c r="E1038">
        <v>39.9</v>
      </c>
      <c r="F1038" s="1">
        <f t="shared" ca="1" si="32"/>
        <v>1.7160434782608698</v>
      </c>
      <c r="G1038" s="1">
        <f t="shared" ca="1" si="33"/>
        <v>-3429.175623188406</v>
      </c>
      <c r="H1038" s="1" cm="1">
        <f t="array" aca="1" ref="H1038" ca="1">MIN(
  INDEX($E:$E, MATCH($A1038, $A:$A, 0) + 23) +
  (F1038 * (2030 - 2023)),
  100
)</f>
        <v>60.312304347826085</v>
      </c>
      <c r="I103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39" spans="1:9" hidden="1" x14ac:dyDescent="0.35">
      <c r="A1039" s="1" t="s">
        <v>120</v>
      </c>
      <c r="B1039" s="1" t="s">
        <v>174</v>
      </c>
      <c r="C1039" s="1" t="s">
        <v>31</v>
      </c>
      <c r="D1039" s="3">
        <v>2021</v>
      </c>
      <c r="E1039">
        <v>42.7</v>
      </c>
      <c r="F1039" s="1">
        <f t="shared" ca="1" si="32"/>
        <v>1.7160434782608698</v>
      </c>
      <c r="G1039" s="1">
        <f t="shared" ca="1" si="33"/>
        <v>-3429.175623188406</v>
      </c>
      <c r="H1039" s="1" cm="1">
        <f t="array" aca="1" ref="H1039" ca="1">MIN(
  INDEX($E:$E, MATCH($A1039, $A:$A, 0) + 23) +
  (F1039 * (2030 - 2023)),
  100
)</f>
        <v>60.312304347826085</v>
      </c>
      <c r="I103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0" spans="1:9" hidden="1" x14ac:dyDescent="0.35">
      <c r="A1040" s="1" t="s">
        <v>120</v>
      </c>
      <c r="B1040" s="1" t="s">
        <v>174</v>
      </c>
      <c r="C1040" s="1" t="s">
        <v>31</v>
      </c>
      <c r="D1040" s="3">
        <v>2022</v>
      </c>
      <c r="E1040">
        <v>45.8</v>
      </c>
      <c r="F1040" s="1">
        <f t="shared" ca="1" si="32"/>
        <v>1.7160434782608698</v>
      </c>
      <c r="G1040" s="1">
        <f t="shared" ca="1" si="33"/>
        <v>-3429.175623188406</v>
      </c>
      <c r="H1040" s="1" cm="1">
        <f t="array" aca="1" ref="H1040" ca="1">MIN(
  INDEX($E:$E, MATCH($A1040, $A:$A, 0) + 23) +
  (F1040 * (2030 - 2023)),
  100
)</f>
        <v>60.312304347826085</v>
      </c>
      <c r="I104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1" spans="1:9" x14ac:dyDescent="0.35">
      <c r="A1041" s="1" t="s">
        <v>120</v>
      </c>
      <c r="B1041" s="1" t="s">
        <v>174</v>
      </c>
      <c r="C1041" s="1" t="s">
        <v>31</v>
      </c>
      <c r="D1041" s="3">
        <v>2023</v>
      </c>
      <c r="E1041">
        <v>48.3</v>
      </c>
      <c r="F1041" s="4">
        <f t="shared" ca="1" si="32"/>
        <v>1.7160434782608698</v>
      </c>
      <c r="G1041" s="4">
        <f t="shared" ca="1" si="33"/>
        <v>-3429.175623188406</v>
      </c>
      <c r="H1041" s="4" cm="1">
        <f t="array" aca="1" ref="H1041" ca="1">MIN(
  INDEX($E:$E, MATCH($A1041, $A:$A, 0) + 23) +
  (F1041 * (2030 - 2023)),
  100
)</f>
        <v>60.312304347826085</v>
      </c>
      <c r="I104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2" spans="1:9" hidden="1" x14ac:dyDescent="0.35">
      <c r="A1042" s="1" t="s">
        <v>122</v>
      </c>
      <c r="B1042" s="1" t="s">
        <v>174</v>
      </c>
      <c r="C1042" s="1" t="s">
        <v>34</v>
      </c>
      <c r="D1042" s="3">
        <v>2000</v>
      </c>
      <c r="E1042">
        <v>7.4</v>
      </c>
      <c r="F1042" s="1">
        <f t="shared" ca="1" si="32"/>
        <v>1.9091739130434784</v>
      </c>
      <c r="G1042" s="1">
        <f t="shared" ca="1" si="33"/>
        <v>-3818.1074927536238</v>
      </c>
      <c r="H1042" s="1" cm="1">
        <f t="array" aca="1" ref="H1042" ca="1">MIN(
  INDEX($E:$E, MATCH($A1042, $A:$A, 0) + 23) +
  (F1042 * (2030 - 2023)),
  100
)</f>
        <v>64.864217391304351</v>
      </c>
      <c r="I104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3" spans="1:9" hidden="1" x14ac:dyDescent="0.35">
      <c r="A1043" s="1" t="s">
        <v>122</v>
      </c>
      <c r="B1043" s="1" t="s">
        <v>174</v>
      </c>
      <c r="C1043" s="1" t="s">
        <v>34</v>
      </c>
      <c r="D1043" s="3">
        <v>2001</v>
      </c>
      <c r="E1043">
        <v>8.6</v>
      </c>
      <c r="F1043" s="1">
        <f t="shared" ca="1" si="32"/>
        <v>1.9091739130434784</v>
      </c>
      <c r="G1043" s="1">
        <f t="shared" ca="1" si="33"/>
        <v>-3818.1074927536238</v>
      </c>
      <c r="H1043" s="1" cm="1">
        <f t="array" aca="1" ref="H1043" ca="1">MIN(
  INDEX($E:$E, MATCH($A1043, $A:$A, 0) + 23) +
  (F1043 * (2030 - 2023)),
  100
)</f>
        <v>64.864217391304351</v>
      </c>
      <c r="I104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4" spans="1:9" hidden="1" x14ac:dyDescent="0.35">
      <c r="A1044" s="1" t="s">
        <v>122</v>
      </c>
      <c r="B1044" s="1" t="s">
        <v>174</v>
      </c>
      <c r="C1044" s="1" t="s">
        <v>34</v>
      </c>
      <c r="D1044" s="3">
        <v>2002</v>
      </c>
      <c r="E1044">
        <v>7.8</v>
      </c>
      <c r="F1044" s="1">
        <f t="shared" ca="1" si="32"/>
        <v>1.9091739130434784</v>
      </c>
      <c r="G1044" s="1">
        <f t="shared" ca="1" si="33"/>
        <v>-3818.1074927536238</v>
      </c>
      <c r="H1044" s="1" cm="1">
        <f t="array" aca="1" ref="H1044" ca="1">MIN(
  INDEX($E:$E, MATCH($A1044, $A:$A, 0) + 23) +
  (F1044 * (2030 - 2023)),
  100
)</f>
        <v>64.864217391304351</v>
      </c>
      <c r="I104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5" spans="1:9" hidden="1" x14ac:dyDescent="0.35">
      <c r="A1045" s="1" t="s">
        <v>122</v>
      </c>
      <c r="B1045" s="1" t="s">
        <v>174</v>
      </c>
      <c r="C1045" s="1" t="s">
        <v>34</v>
      </c>
      <c r="D1045" s="3">
        <v>2003</v>
      </c>
      <c r="E1045">
        <v>10.5</v>
      </c>
      <c r="F1045" s="1">
        <f t="shared" ca="1" si="32"/>
        <v>1.9091739130434784</v>
      </c>
      <c r="G1045" s="1">
        <f t="shared" ca="1" si="33"/>
        <v>-3818.1074927536238</v>
      </c>
      <c r="H1045" s="1" cm="1">
        <f t="array" aca="1" ref="H1045" ca="1">MIN(
  INDEX($E:$E, MATCH($A1045, $A:$A, 0) + 23) +
  (F1045 * (2030 - 2023)),
  100
)</f>
        <v>64.864217391304351</v>
      </c>
      <c r="I104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6" spans="1:9" hidden="1" x14ac:dyDescent="0.35">
      <c r="A1046" s="1" t="s">
        <v>122</v>
      </c>
      <c r="B1046" s="1" t="s">
        <v>174</v>
      </c>
      <c r="C1046" s="1" t="s">
        <v>34</v>
      </c>
      <c r="D1046" s="3">
        <v>2004</v>
      </c>
      <c r="E1046">
        <v>11.6</v>
      </c>
      <c r="F1046" s="1">
        <f t="shared" ca="1" si="32"/>
        <v>1.9091739130434784</v>
      </c>
      <c r="G1046" s="1">
        <f t="shared" ca="1" si="33"/>
        <v>-3818.1074927536238</v>
      </c>
      <c r="H1046" s="1" cm="1">
        <f t="array" aca="1" ref="H1046" ca="1">MIN(
  INDEX($E:$E, MATCH($A1046, $A:$A, 0) + 23) +
  (F1046 * (2030 - 2023)),
  100
)</f>
        <v>64.864217391304351</v>
      </c>
      <c r="I104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7" spans="1:9" hidden="1" x14ac:dyDescent="0.35">
      <c r="A1047" s="1" t="s">
        <v>122</v>
      </c>
      <c r="B1047" s="1" t="s">
        <v>174</v>
      </c>
      <c r="C1047" s="1" t="s">
        <v>34</v>
      </c>
      <c r="D1047" s="3">
        <v>2005</v>
      </c>
      <c r="E1047">
        <v>8.9</v>
      </c>
      <c r="F1047" s="1">
        <f t="shared" ca="1" si="32"/>
        <v>1.9091739130434784</v>
      </c>
      <c r="G1047" s="1">
        <f t="shared" ca="1" si="33"/>
        <v>-3818.1074927536238</v>
      </c>
      <c r="H1047" s="1" cm="1">
        <f t="array" aca="1" ref="H1047" ca="1">MIN(
  INDEX($E:$E, MATCH($A1047, $A:$A, 0) + 23) +
  (F1047 * (2030 - 2023)),
  100
)</f>
        <v>64.864217391304351</v>
      </c>
      <c r="I104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8" spans="1:9" hidden="1" x14ac:dyDescent="0.35">
      <c r="A1048" s="1" t="s">
        <v>122</v>
      </c>
      <c r="B1048" s="1" t="s">
        <v>174</v>
      </c>
      <c r="C1048" s="1" t="s">
        <v>34</v>
      </c>
      <c r="D1048" s="3">
        <v>2006</v>
      </c>
      <c r="E1048">
        <v>9</v>
      </c>
      <c r="F1048" s="1">
        <f t="shared" ca="1" si="32"/>
        <v>1.9091739130434784</v>
      </c>
      <c r="G1048" s="1">
        <f t="shared" ca="1" si="33"/>
        <v>-3818.1074927536238</v>
      </c>
      <c r="H1048" s="1" cm="1">
        <f t="array" aca="1" ref="H1048" ca="1">MIN(
  INDEX($E:$E, MATCH($A1048, $A:$A, 0) + 23) +
  (F1048 * (2030 - 2023)),
  100
)</f>
        <v>64.864217391304351</v>
      </c>
      <c r="I104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49" spans="1:9" hidden="1" x14ac:dyDescent="0.35">
      <c r="A1049" s="1" t="s">
        <v>122</v>
      </c>
      <c r="B1049" s="1" t="s">
        <v>174</v>
      </c>
      <c r="C1049" s="1" t="s">
        <v>34</v>
      </c>
      <c r="D1049" s="3">
        <v>2007</v>
      </c>
      <c r="E1049">
        <v>14.8</v>
      </c>
      <c r="F1049" s="1">
        <f t="shared" ca="1" si="32"/>
        <v>1.9091739130434784</v>
      </c>
      <c r="G1049" s="1">
        <f t="shared" ca="1" si="33"/>
        <v>-3818.1074927536238</v>
      </c>
      <c r="H1049" s="1" cm="1">
        <f t="array" aca="1" ref="H1049" ca="1">MIN(
  INDEX($E:$E, MATCH($A1049, $A:$A, 0) + 23) +
  (F1049 * (2030 - 2023)),
  100
)</f>
        <v>64.864217391304351</v>
      </c>
      <c r="I104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0" spans="1:9" hidden="1" x14ac:dyDescent="0.35">
      <c r="A1050" s="1" t="s">
        <v>122</v>
      </c>
      <c r="B1050" s="1" t="s">
        <v>174</v>
      </c>
      <c r="C1050" s="1" t="s">
        <v>34</v>
      </c>
      <c r="D1050" s="3">
        <v>2008</v>
      </c>
      <c r="E1050">
        <v>15.9</v>
      </c>
      <c r="F1050" s="1">
        <f t="shared" ca="1" si="32"/>
        <v>1.9091739130434784</v>
      </c>
      <c r="G1050" s="1">
        <f t="shared" ca="1" si="33"/>
        <v>-3818.1074927536238</v>
      </c>
      <c r="H1050" s="1" cm="1">
        <f t="array" aca="1" ref="H1050" ca="1">MIN(
  INDEX($E:$E, MATCH($A1050, $A:$A, 0) + 23) +
  (F1050 * (2030 - 2023)),
  100
)</f>
        <v>64.864217391304351</v>
      </c>
      <c r="I105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1" spans="1:9" hidden="1" x14ac:dyDescent="0.35">
      <c r="A1051" s="1" t="s">
        <v>122</v>
      </c>
      <c r="B1051" s="1" t="s">
        <v>174</v>
      </c>
      <c r="C1051" s="1" t="s">
        <v>34</v>
      </c>
      <c r="D1051" s="3">
        <v>2009</v>
      </c>
      <c r="E1051">
        <v>10</v>
      </c>
      <c r="F1051" s="1">
        <f t="shared" ca="1" si="32"/>
        <v>1.9091739130434784</v>
      </c>
      <c r="G1051" s="1">
        <f t="shared" ca="1" si="33"/>
        <v>-3818.1074927536238</v>
      </c>
      <c r="H1051" s="1" cm="1">
        <f t="array" aca="1" ref="H1051" ca="1">MIN(
  INDEX($E:$E, MATCH($A1051, $A:$A, 0) + 23) +
  (F1051 * (2030 - 2023)),
  100
)</f>
        <v>64.864217391304351</v>
      </c>
      <c r="I105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2" spans="1:9" hidden="1" x14ac:dyDescent="0.35">
      <c r="A1052" s="1" t="s">
        <v>122</v>
      </c>
      <c r="B1052" s="1" t="s">
        <v>174</v>
      </c>
      <c r="C1052" s="1" t="s">
        <v>34</v>
      </c>
      <c r="D1052" s="3">
        <v>2010</v>
      </c>
      <c r="E1052">
        <v>12.1</v>
      </c>
      <c r="F1052" s="1">
        <f t="shared" ca="1" si="32"/>
        <v>1.9091739130434784</v>
      </c>
      <c r="G1052" s="1">
        <f t="shared" ca="1" si="33"/>
        <v>-3818.1074927536238</v>
      </c>
      <c r="H1052" s="1" cm="1">
        <f t="array" aca="1" ref="H1052" ca="1">MIN(
  INDEX($E:$E, MATCH($A1052, $A:$A, 0) + 23) +
  (F1052 * (2030 - 2023)),
  100
)</f>
        <v>64.864217391304351</v>
      </c>
      <c r="I105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3" spans="1:9" hidden="1" x14ac:dyDescent="0.35">
      <c r="A1053" s="1" t="s">
        <v>122</v>
      </c>
      <c r="B1053" s="1" t="s">
        <v>174</v>
      </c>
      <c r="C1053" s="1" t="s">
        <v>34</v>
      </c>
      <c r="D1053" s="3">
        <v>2011</v>
      </c>
      <c r="E1053">
        <v>14.6</v>
      </c>
      <c r="F1053" s="1">
        <f t="shared" ca="1" si="32"/>
        <v>1.9091739130434784</v>
      </c>
      <c r="G1053" s="1">
        <f t="shared" ca="1" si="33"/>
        <v>-3818.1074927536238</v>
      </c>
      <c r="H1053" s="1" cm="1">
        <f t="array" aca="1" ref="H1053" ca="1">MIN(
  INDEX($E:$E, MATCH($A1053, $A:$A, 0) + 23) +
  (F1053 * (2030 - 2023)),
  100
)</f>
        <v>64.864217391304351</v>
      </c>
      <c r="I105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4" spans="1:9" hidden="1" x14ac:dyDescent="0.35">
      <c r="A1054" s="1" t="s">
        <v>122</v>
      </c>
      <c r="B1054" s="1" t="s">
        <v>174</v>
      </c>
      <c r="C1054" s="1" t="s">
        <v>34</v>
      </c>
      <c r="D1054" s="3">
        <v>2012</v>
      </c>
      <c r="E1054">
        <v>20.5</v>
      </c>
      <c r="F1054" s="1">
        <f t="shared" ca="1" si="32"/>
        <v>1.9091739130434784</v>
      </c>
      <c r="G1054" s="1">
        <f t="shared" ca="1" si="33"/>
        <v>-3818.1074927536238</v>
      </c>
      <c r="H1054" s="1" cm="1">
        <f t="array" aca="1" ref="H1054" ca="1">MIN(
  INDEX($E:$E, MATCH($A1054, $A:$A, 0) + 23) +
  (F1054 * (2030 - 2023)),
  100
)</f>
        <v>64.864217391304351</v>
      </c>
      <c r="I105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5" spans="1:9" hidden="1" x14ac:dyDescent="0.35">
      <c r="A1055" s="1" t="s">
        <v>122</v>
      </c>
      <c r="B1055" s="1" t="s">
        <v>174</v>
      </c>
      <c r="C1055" s="1" t="s">
        <v>34</v>
      </c>
      <c r="D1055" s="3">
        <v>2013</v>
      </c>
      <c r="E1055">
        <v>13.9</v>
      </c>
      <c r="F1055" s="1">
        <f t="shared" ca="1" si="32"/>
        <v>1.9091739130434784</v>
      </c>
      <c r="G1055" s="1">
        <f t="shared" ca="1" si="33"/>
        <v>-3818.1074927536238</v>
      </c>
      <c r="H1055" s="1" cm="1">
        <f t="array" aca="1" ref="H1055" ca="1">MIN(
  INDEX($E:$E, MATCH($A1055, $A:$A, 0) + 23) +
  (F1055 * (2030 - 2023)),
  100
)</f>
        <v>64.864217391304351</v>
      </c>
      <c r="I105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6" spans="1:9" hidden="1" x14ac:dyDescent="0.35">
      <c r="A1056" s="1" t="s">
        <v>122</v>
      </c>
      <c r="B1056" s="1" t="s">
        <v>174</v>
      </c>
      <c r="C1056" s="1" t="s">
        <v>34</v>
      </c>
      <c r="D1056" s="3">
        <v>2014</v>
      </c>
      <c r="E1056">
        <v>20.399999999999999</v>
      </c>
      <c r="F1056" s="1">
        <f t="shared" ca="1" si="32"/>
        <v>1.9091739130434784</v>
      </c>
      <c r="G1056" s="1">
        <f t="shared" ca="1" si="33"/>
        <v>-3818.1074927536238</v>
      </c>
      <c r="H1056" s="1" cm="1">
        <f t="array" aca="1" ref="H1056" ca="1">MIN(
  INDEX($E:$E, MATCH($A1056, $A:$A, 0) + 23) +
  (F1056 * (2030 - 2023)),
  100
)</f>
        <v>64.864217391304351</v>
      </c>
      <c r="I105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7" spans="1:9" hidden="1" x14ac:dyDescent="0.35">
      <c r="A1057" s="1" t="s">
        <v>122</v>
      </c>
      <c r="B1057" s="1" t="s">
        <v>174</v>
      </c>
      <c r="C1057" s="1" t="s">
        <v>34</v>
      </c>
      <c r="D1057" s="3">
        <v>2015</v>
      </c>
      <c r="E1057">
        <v>18.5</v>
      </c>
      <c r="F1057" s="1">
        <f t="shared" ca="1" si="32"/>
        <v>1.9091739130434784</v>
      </c>
      <c r="G1057" s="1">
        <f t="shared" ca="1" si="33"/>
        <v>-3818.1074927536238</v>
      </c>
      <c r="H1057" s="1" cm="1">
        <f t="array" aca="1" ref="H1057" ca="1">MIN(
  INDEX($E:$E, MATCH($A1057, $A:$A, 0) + 23) +
  (F1057 * (2030 - 2023)),
  100
)</f>
        <v>64.864217391304351</v>
      </c>
      <c r="I105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8" spans="1:9" hidden="1" x14ac:dyDescent="0.35">
      <c r="A1058" s="1" t="s">
        <v>122</v>
      </c>
      <c r="B1058" s="1" t="s">
        <v>174</v>
      </c>
      <c r="C1058" s="1" t="s">
        <v>34</v>
      </c>
      <c r="D1058" s="3">
        <v>2016</v>
      </c>
      <c r="E1058">
        <v>26.7</v>
      </c>
      <c r="F1058" s="1">
        <f t="shared" ca="1" si="32"/>
        <v>1.9091739130434784</v>
      </c>
      <c r="G1058" s="1">
        <f t="shared" ca="1" si="33"/>
        <v>-3818.1074927536238</v>
      </c>
      <c r="H1058" s="1" cm="1">
        <f t="array" aca="1" ref="H1058" ca="1">MIN(
  INDEX($E:$E, MATCH($A1058, $A:$A, 0) + 23) +
  (F1058 * (2030 - 2023)),
  100
)</f>
        <v>64.864217391304351</v>
      </c>
      <c r="I105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59" spans="1:9" hidden="1" x14ac:dyDescent="0.35">
      <c r="A1059" s="1" t="s">
        <v>122</v>
      </c>
      <c r="B1059" s="1" t="s">
        <v>174</v>
      </c>
      <c r="C1059" s="1" t="s">
        <v>34</v>
      </c>
      <c r="D1059" s="3">
        <v>2017</v>
      </c>
      <c r="E1059">
        <v>32.4</v>
      </c>
      <c r="F1059" s="1">
        <f t="shared" ca="1" si="32"/>
        <v>1.9091739130434784</v>
      </c>
      <c r="G1059" s="1">
        <f t="shared" ca="1" si="33"/>
        <v>-3818.1074927536238</v>
      </c>
      <c r="H1059" s="1" cm="1">
        <f t="array" aca="1" ref="H1059" ca="1">MIN(
  INDEX($E:$E, MATCH($A1059, $A:$A, 0) + 23) +
  (F1059 * (2030 - 2023)),
  100
)</f>
        <v>64.864217391304351</v>
      </c>
      <c r="I105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60" spans="1:9" hidden="1" x14ac:dyDescent="0.35">
      <c r="A1060" s="1" t="s">
        <v>122</v>
      </c>
      <c r="B1060" s="1" t="s">
        <v>174</v>
      </c>
      <c r="C1060" s="1" t="s">
        <v>34</v>
      </c>
      <c r="D1060" s="3">
        <v>2018</v>
      </c>
      <c r="E1060">
        <v>41.9</v>
      </c>
      <c r="F1060" s="1">
        <f t="shared" ca="1" si="32"/>
        <v>1.9091739130434784</v>
      </c>
      <c r="G1060" s="1">
        <f t="shared" ca="1" si="33"/>
        <v>-3818.1074927536238</v>
      </c>
      <c r="H1060" s="1" cm="1">
        <f t="array" aca="1" ref="H1060" ca="1">MIN(
  INDEX($E:$E, MATCH($A1060, $A:$A, 0) + 23) +
  (F1060 * (2030 - 2023)),
  100
)</f>
        <v>64.864217391304351</v>
      </c>
      <c r="I106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61" spans="1:9" hidden="1" x14ac:dyDescent="0.35">
      <c r="A1061" s="1" t="s">
        <v>122</v>
      </c>
      <c r="B1061" s="1" t="s">
        <v>174</v>
      </c>
      <c r="C1061" s="1" t="s">
        <v>34</v>
      </c>
      <c r="D1061" s="3">
        <v>2019</v>
      </c>
      <c r="E1061">
        <v>41.3</v>
      </c>
      <c r="F1061" s="1">
        <f t="shared" ca="1" si="32"/>
        <v>1.9091739130434784</v>
      </c>
      <c r="G1061" s="1">
        <f t="shared" ca="1" si="33"/>
        <v>-3818.1074927536238</v>
      </c>
      <c r="H1061" s="1" cm="1">
        <f t="array" aca="1" ref="H1061" ca="1">MIN(
  INDEX($E:$E, MATCH($A1061, $A:$A, 0) + 23) +
  (F1061 * (2030 - 2023)),
  100
)</f>
        <v>64.864217391304351</v>
      </c>
      <c r="I106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62" spans="1:9" hidden="1" x14ac:dyDescent="0.35">
      <c r="A1062" s="1" t="s">
        <v>122</v>
      </c>
      <c r="B1062" s="1" t="s">
        <v>174</v>
      </c>
      <c r="C1062" s="1" t="s">
        <v>34</v>
      </c>
      <c r="D1062" s="3">
        <v>2020</v>
      </c>
      <c r="E1062">
        <v>42.1</v>
      </c>
      <c r="F1062" s="1">
        <f t="shared" ca="1" si="32"/>
        <v>1.9091739130434784</v>
      </c>
      <c r="G1062" s="1">
        <f t="shared" ca="1" si="33"/>
        <v>-3818.1074927536238</v>
      </c>
      <c r="H1062" s="1" cm="1">
        <f t="array" aca="1" ref="H1062" ca="1">MIN(
  INDEX($E:$E, MATCH($A1062, $A:$A, 0) + 23) +
  (F1062 * (2030 - 2023)),
  100
)</f>
        <v>64.864217391304351</v>
      </c>
      <c r="I106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63" spans="1:9" hidden="1" x14ac:dyDescent="0.35">
      <c r="A1063" s="1" t="s">
        <v>122</v>
      </c>
      <c r="B1063" s="1" t="s">
        <v>174</v>
      </c>
      <c r="C1063" s="1" t="s">
        <v>34</v>
      </c>
      <c r="D1063" s="3">
        <v>2021</v>
      </c>
      <c r="E1063">
        <v>45.2</v>
      </c>
      <c r="F1063" s="1">
        <f t="shared" ca="1" si="32"/>
        <v>1.9091739130434784</v>
      </c>
      <c r="G1063" s="1">
        <f t="shared" ca="1" si="33"/>
        <v>-3818.1074927536238</v>
      </c>
      <c r="H1063" s="1" cm="1">
        <f t="array" aca="1" ref="H1063" ca="1">MIN(
  INDEX($E:$E, MATCH($A1063, $A:$A, 0) + 23) +
  (F1063 * (2030 - 2023)),
  100
)</f>
        <v>64.864217391304351</v>
      </c>
      <c r="I106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64" spans="1:9" hidden="1" x14ac:dyDescent="0.35">
      <c r="A1064" s="1" t="s">
        <v>122</v>
      </c>
      <c r="B1064" s="1" t="s">
        <v>174</v>
      </c>
      <c r="C1064" s="1" t="s">
        <v>34</v>
      </c>
      <c r="D1064" s="3">
        <v>2022</v>
      </c>
      <c r="E1064">
        <v>47.1</v>
      </c>
      <c r="F1064" s="1">
        <f t="shared" ca="1" si="32"/>
        <v>1.9091739130434784</v>
      </c>
      <c r="G1064" s="1">
        <f t="shared" ca="1" si="33"/>
        <v>-3818.1074927536238</v>
      </c>
      <c r="H1064" s="1" cm="1">
        <f t="array" aca="1" ref="H1064" ca="1">MIN(
  INDEX($E:$E, MATCH($A1064, $A:$A, 0) + 23) +
  (F1064 * (2030 - 2023)),
  100
)</f>
        <v>64.864217391304351</v>
      </c>
      <c r="I106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65" spans="1:9" x14ac:dyDescent="0.35">
      <c r="A1065" s="1" t="s">
        <v>122</v>
      </c>
      <c r="B1065" s="1" t="s">
        <v>174</v>
      </c>
      <c r="C1065" s="1" t="s">
        <v>34</v>
      </c>
      <c r="D1065" s="3">
        <v>2023</v>
      </c>
      <c r="E1065">
        <v>51.5</v>
      </c>
      <c r="F1065" s="4">
        <f t="shared" ca="1" si="32"/>
        <v>1.9091739130434784</v>
      </c>
      <c r="G1065" s="4">
        <f t="shared" ca="1" si="33"/>
        <v>-3818.1074927536238</v>
      </c>
      <c r="H1065" s="4" cm="1">
        <f t="array" aca="1" ref="H1065" ca="1">MIN(
  INDEX($E:$E, MATCH($A1065, $A:$A, 0) + 23) +
  (F1065 * (2030 - 2023)),
  100
)</f>
        <v>64.864217391304351</v>
      </c>
      <c r="I106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66" spans="1:9" hidden="1" x14ac:dyDescent="0.35">
      <c r="A1066" s="1" t="s">
        <v>124</v>
      </c>
      <c r="B1066" s="1" t="s">
        <v>176</v>
      </c>
      <c r="C1066" s="1" t="s">
        <v>41</v>
      </c>
      <c r="D1066" s="3">
        <v>2000</v>
      </c>
      <c r="E1066">
        <v>72.400000000000006</v>
      </c>
      <c r="F1066" s="1">
        <f t="shared" ca="1" si="32"/>
        <v>0.5859130434782609</v>
      </c>
      <c r="G1066" s="1">
        <f t="shared" ca="1" si="33"/>
        <v>-1095.8057536231884</v>
      </c>
      <c r="H1066" s="1" cm="1">
        <f t="array" aca="1" ref="H1066" ca="1">MIN(
  INDEX($E:$E, MATCH($A1066, $A:$A, 0) + 23) +
  (F1066 * (2030 - 2023)),
  100
)</f>
        <v>91.801391304347831</v>
      </c>
      <c r="I106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67" spans="1:9" hidden="1" x14ac:dyDescent="0.35">
      <c r="A1067" s="1" t="s">
        <v>124</v>
      </c>
      <c r="B1067" s="1" t="s">
        <v>176</v>
      </c>
      <c r="C1067" s="1" t="s">
        <v>41</v>
      </c>
      <c r="D1067" s="3">
        <v>2001</v>
      </c>
      <c r="E1067">
        <v>70.2</v>
      </c>
      <c r="F1067" s="1">
        <f t="shared" ca="1" si="32"/>
        <v>0.5859130434782609</v>
      </c>
      <c r="G1067" s="1">
        <f t="shared" ca="1" si="33"/>
        <v>-1095.8057536231884</v>
      </c>
      <c r="H1067" s="1" cm="1">
        <f t="array" aca="1" ref="H1067" ca="1">MIN(
  INDEX($E:$E, MATCH($A1067, $A:$A, 0) + 23) +
  (F1067 * (2030 - 2023)),
  100
)</f>
        <v>91.801391304347831</v>
      </c>
      <c r="I106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68" spans="1:9" hidden="1" x14ac:dyDescent="0.35">
      <c r="A1068" s="1" t="s">
        <v>124</v>
      </c>
      <c r="B1068" s="1" t="s">
        <v>176</v>
      </c>
      <c r="C1068" s="1" t="s">
        <v>41</v>
      </c>
      <c r="D1068" s="3">
        <v>2002</v>
      </c>
      <c r="E1068">
        <v>76.7</v>
      </c>
      <c r="F1068" s="1">
        <f t="shared" ca="1" si="32"/>
        <v>0.5859130434782609</v>
      </c>
      <c r="G1068" s="1">
        <f t="shared" ca="1" si="33"/>
        <v>-1095.8057536231884</v>
      </c>
      <c r="H1068" s="1" cm="1">
        <f t="array" aca="1" ref="H1068" ca="1">MIN(
  INDEX($E:$E, MATCH($A1068, $A:$A, 0) + 23) +
  (F1068 * (2030 - 2023)),
  100
)</f>
        <v>91.801391304347831</v>
      </c>
      <c r="I106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69" spans="1:9" hidden="1" x14ac:dyDescent="0.35">
      <c r="A1069" s="1" t="s">
        <v>124</v>
      </c>
      <c r="B1069" s="1" t="s">
        <v>176</v>
      </c>
      <c r="C1069" s="1" t="s">
        <v>41</v>
      </c>
      <c r="D1069" s="3">
        <v>2003</v>
      </c>
      <c r="E1069">
        <v>78.8</v>
      </c>
      <c r="F1069" s="1">
        <f t="shared" ca="1" si="32"/>
        <v>0.5859130434782609</v>
      </c>
      <c r="G1069" s="1">
        <f t="shared" ca="1" si="33"/>
        <v>-1095.8057536231884</v>
      </c>
      <c r="H1069" s="1" cm="1">
        <f t="array" aca="1" ref="H1069" ca="1">MIN(
  INDEX($E:$E, MATCH($A1069, $A:$A, 0) + 23) +
  (F1069 * (2030 - 2023)),
  100
)</f>
        <v>91.801391304347831</v>
      </c>
      <c r="I106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0" spans="1:9" hidden="1" x14ac:dyDescent="0.35">
      <c r="A1070" s="1" t="s">
        <v>124</v>
      </c>
      <c r="B1070" s="1" t="s">
        <v>176</v>
      </c>
      <c r="C1070" s="1" t="s">
        <v>41</v>
      </c>
      <c r="D1070" s="3">
        <v>2004</v>
      </c>
      <c r="E1070">
        <v>80.599999999999994</v>
      </c>
      <c r="F1070" s="1">
        <f t="shared" ca="1" si="32"/>
        <v>0.5859130434782609</v>
      </c>
      <c r="G1070" s="1">
        <f t="shared" ca="1" si="33"/>
        <v>-1095.8057536231884</v>
      </c>
      <c r="H1070" s="1" cm="1">
        <f t="array" aca="1" ref="H1070" ca="1">MIN(
  INDEX($E:$E, MATCH($A1070, $A:$A, 0) + 23) +
  (F1070 * (2030 - 2023)),
  100
)</f>
        <v>91.801391304347831</v>
      </c>
      <c r="I107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1" spans="1:9" hidden="1" x14ac:dyDescent="0.35">
      <c r="A1071" s="1" t="s">
        <v>124</v>
      </c>
      <c r="B1071" s="1" t="s">
        <v>176</v>
      </c>
      <c r="C1071" s="1" t="s">
        <v>41</v>
      </c>
      <c r="D1071" s="3">
        <v>2005</v>
      </c>
      <c r="E1071">
        <v>80.8</v>
      </c>
      <c r="F1071" s="1">
        <f t="shared" ca="1" si="32"/>
        <v>0.5859130434782609</v>
      </c>
      <c r="G1071" s="1">
        <f t="shared" ca="1" si="33"/>
        <v>-1095.8057536231884</v>
      </c>
      <c r="H1071" s="1" cm="1">
        <f t="array" aca="1" ref="H1071" ca="1">MIN(
  INDEX($E:$E, MATCH($A1071, $A:$A, 0) + 23) +
  (F1071 * (2030 - 2023)),
  100
)</f>
        <v>91.801391304347831</v>
      </c>
      <c r="I107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2" spans="1:9" hidden="1" x14ac:dyDescent="0.35">
      <c r="A1072" s="1" t="s">
        <v>124</v>
      </c>
      <c r="B1072" s="1" t="s">
        <v>176</v>
      </c>
      <c r="C1072" s="1" t="s">
        <v>41</v>
      </c>
      <c r="D1072" s="3">
        <v>2006</v>
      </c>
      <c r="E1072">
        <v>80.7</v>
      </c>
      <c r="F1072" s="1">
        <f t="shared" ca="1" si="32"/>
        <v>0.5859130434782609</v>
      </c>
      <c r="G1072" s="1">
        <f t="shared" ca="1" si="33"/>
        <v>-1095.8057536231884</v>
      </c>
      <c r="H1072" s="1" cm="1">
        <f t="array" aca="1" ref="H1072" ca="1">MIN(
  INDEX($E:$E, MATCH($A1072, $A:$A, 0) + 23) +
  (F1072 * (2030 - 2023)),
  100
)</f>
        <v>91.801391304347831</v>
      </c>
      <c r="I107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3" spans="1:9" hidden="1" x14ac:dyDescent="0.35">
      <c r="A1073" s="1" t="s">
        <v>124</v>
      </c>
      <c r="B1073" s="1" t="s">
        <v>176</v>
      </c>
      <c r="C1073" s="1" t="s">
        <v>41</v>
      </c>
      <c r="D1073" s="3">
        <v>2007</v>
      </c>
      <c r="E1073">
        <v>82</v>
      </c>
      <c r="F1073" s="1">
        <f t="shared" ca="1" si="32"/>
        <v>0.5859130434782609</v>
      </c>
      <c r="G1073" s="1">
        <f t="shared" ca="1" si="33"/>
        <v>-1095.8057536231884</v>
      </c>
      <c r="H1073" s="1" cm="1">
        <f t="array" aca="1" ref="H1073" ca="1">MIN(
  INDEX($E:$E, MATCH($A1073, $A:$A, 0) + 23) +
  (F1073 * (2030 - 2023)),
  100
)</f>
        <v>91.801391304347831</v>
      </c>
      <c r="I107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4" spans="1:9" hidden="1" x14ac:dyDescent="0.35">
      <c r="A1074" s="1" t="s">
        <v>124</v>
      </c>
      <c r="B1074" s="1" t="s">
        <v>176</v>
      </c>
      <c r="C1074" s="1" t="s">
        <v>41</v>
      </c>
      <c r="D1074" s="3">
        <v>2008</v>
      </c>
      <c r="E1074">
        <v>81.900000000000006</v>
      </c>
      <c r="F1074" s="1">
        <f t="shared" ca="1" si="32"/>
        <v>0.5859130434782609</v>
      </c>
      <c r="G1074" s="1">
        <f t="shared" ca="1" si="33"/>
        <v>-1095.8057536231884</v>
      </c>
      <c r="H1074" s="1" cm="1">
        <f t="array" aca="1" ref="H1074" ca="1">MIN(
  INDEX($E:$E, MATCH($A1074, $A:$A, 0) + 23) +
  (F1074 * (2030 - 2023)),
  100
)</f>
        <v>91.801391304347831</v>
      </c>
      <c r="I107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5" spans="1:9" hidden="1" x14ac:dyDescent="0.35">
      <c r="A1075" s="1" t="s">
        <v>124</v>
      </c>
      <c r="B1075" s="1" t="s">
        <v>176</v>
      </c>
      <c r="C1075" s="1" t="s">
        <v>41</v>
      </c>
      <c r="D1075" s="3">
        <v>2009</v>
      </c>
      <c r="E1075">
        <v>82.6</v>
      </c>
      <c r="F1075" s="1">
        <f t="shared" ca="1" si="32"/>
        <v>0.5859130434782609</v>
      </c>
      <c r="G1075" s="1">
        <f t="shared" ca="1" si="33"/>
        <v>-1095.8057536231884</v>
      </c>
      <c r="H1075" s="1" cm="1">
        <f t="array" aca="1" ref="H1075" ca="1">MIN(
  INDEX($E:$E, MATCH($A1075, $A:$A, 0) + 23) +
  (F1075 * (2030 - 2023)),
  100
)</f>
        <v>91.801391304347831</v>
      </c>
      <c r="I107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6" spans="1:9" hidden="1" x14ac:dyDescent="0.35">
      <c r="A1076" s="1" t="s">
        <v>124</v>
      </c>
      <c r="B1076" s="1" t="s">
        <v>176</v>
      </c>
      <c r="C1076" s="1" t="s">
        <v>41</v>
      </c>
      <c r="D1076" s="3">
        <v>2010</v>
      </c>
      <c r="E1076">
        <v>82.8</v>
      </c>
      <c r="F1076" s="1">
        <f t="shared" ca="1" si="32"/>
        <v>0.5859130434782609</v>
      </c>
      <c r="G1076" s="1">
        <f t="shared" ca="1" si="33"/>
        <v>-1095.8057536231884</v>
      </c>
      <c r="H1076" s="1" cm="1">
        <f t="array" aca="1" ref="H1076" ca="1">MIN(
  INDEX($E:$E, MATCH($A1076, $A:$A, 0) + 23) +
  (F1076 * (2030 - 2023)),
  100
)</f>
        <v>91.801391304347831</v>
      </c>
      <c r="I107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7" spans="1:9" hidden="1" x14ac:dyDescent="0.35">
      <c r="A1077" s="1" t="s">
        <v>124</v>
      </c>
      <c r="B1077" s="1" t="s">
        <v>176</v>
      </c>
      <c r="C1077" s="1" t="s">
        <v>41</v>
      </c>
      <c r="D1077" s="3">
        <v>2011</v>
      </c>
      <c r="E1077">
        <v>83.6</v>
      </c>
      <c r="F1077" s="1">
        <f t="shared" ca="1" si="32"/>
        <v>0.5859130434782609</v>
      </c>
      <c r="G1077" s="1">
        <f t="shared" ca="1" si="33"/>
        <v>-1095.8057536231884</v>
      </c>
      <c r="H1077" s="1" cm="1">
        <f t="array" aca="1" ref="H1077" ca="1">MIN(
  INDEX($E:$E, MATCH($A1077, $A:$A, 0) + 23) +
  (F1077 * (2030 - 2023)),
  100
)</f>
        <v>91.801391304347831</v>
      </c>
      <c r="I107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8" spans="1:9" hidden="1" x14ac:dyDescent="0.35">
      <c r="A1078" s="1" t="s">
        <v>124</v>
      </c>
      <c r="B1078" s="1" t="s">
        <v>176</v>
      </c>
      <c r="C1078" s="1" t="s">
        <v>41</v>
      </c>
      <c r="D1078" s="3">
        <v>2012</v>
      </c>
      <c r="E1078">
        <v>85.2</v>
      </c>
      <c r="F1078" s="1">
        <f t="shared" ca="1" si="32"/>
        <v>0.5859130434782609</v>
      </c>
      <c r="G1078" s="1">
        <f t="shared" ca="1" si="33"/>
        <v>-1095.8057536231884</v>
      </c>
      <c r="H1078" s="1" cm="1">
        <f t="array" aca="1" ref="H1078" ca="1">MIN(
  INDEX($E:$E, MATCH($A1078, $A:$A, 0) + 23) +
  (F1078 * (2030 - 2023)),
  100
)</f>
        <v>91.801391304347831</v>
      </c>
      <c r="I107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79" spans="1:9" hidden="1" x14ac:dyDescent="0.35">
      <c r="A1079" s="1" t="s">
        <v>124</v>
      </c>
      <c r="B1079" s="1" t="s">
        <v>176</v>
      </c>
      <c r="C1079" s="1" t="s">
        <v>41</v>
      </c>
      <c r="D1079" s="3">
        <v>2013</v>
      </c>
      <c r="E1079">
        <v>85.2</v>
      </c>
      <c r="F1079" s="1">
        <f t="shared" ca="1" si="32"/>
        <v>0.5859130434782609</v>
      </c>
      <c r="G1079" s="1">
        <f t="shared" ca="1" si="33"/>
        <v>-1095.8057536231884</v>
      </c>
      <c r="H1079" s="1" cm="1">
        <f t="array" aca="1" ref="H1079" ca="1">MIN(
  INDEX($E:$E, MATCH($A1079, $A:$A, 0) + 23) +
  (F1079 * (2030 - 2023)),
  100
)</f>
        <v>91.801391304347831</v>
      </c>
      <c r="I107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0" spans="1:9" hidden="1" x14ac:dyDescent="0.35">
      <c r="A1080" s="1" t="s">
        <v>124</v>
      </c>
      <c r="B1080" s="1" t="s">
        <v>176</v>
      </c>
      <c r="C1080" s="1" t="s">
        <v>41</v>
      </c>
      <c r="D1080" s="3">
        <v>2014</v>
      </c>
      <c r="E1080">
        <v>85.9</v>
      </c>
      <c r="F1080" s="1">
        <f t="shared" ca="1" si="32"/>
        <v>0.5859130434782609</v>
      </c>
      <c r="G1080" s="1">
        <f t="shared" ca="1" si="33"/>
        <v>-1095.8057536231884</v>
      </c>
      <c r="H1080" s="1" cm="1">
        <f t="array" aca="1" ref="H1080" ca="1">MIN(
  INDEX($E:$E, MATCH($A1080, $A:$A, 0) + 23) +
  (F1080 * (2030 - 2023)),
  100
)</f>
        <v>91.801391304347831</v>
      </c>
      <c r="I1080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1" spans="1:9" hidden="1" x14ac:dyDescent="0.35">
      <c r="A1081" s="1" t="s">
        <v>124</v>
      </c>
      <c r="B1081" s="1" t="s">
        <v>176</v>
      </c>
      <c r="C1081" s="1" t="s">
        <v>41</v>
      </c>
      <c r="D1081" s="3">
        <v>2015</v>
      </c>
      <c r="E1081">
        <v>85.3</v>
      </c>
      <c r="F1081" s="1">
        <f t="shared" ca="1" si="32"/>
        <v>0.5859130434782609</v>
      </c>
      <c r="G1081" s="1">
        <f t="shared" ca="1" si="33"/>
        <v>-1095.8057536231884</v>
      </c>
      <c r="H1081" s="1" cm="1">
        <f t="array" aca="1" ref="H1081" ca="1">MIN(
  INDEX($E:$E, MATCH($A1081, $A:$A, 0) + 23) +
  (F1081 * (2030 - 2023)),
  100
)</f>
        <v>91.801391304347831</v>
      </c>
      <c r="I1081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2" spans="1:9" hidden="1" x14ac:dyDescent="0.35">
      <c r="A1082" s="1" t="s">
        <v>124</v>
      </c>
      <c r="B1082" s="1" t="s">
        <v>176</v>
      </c>
      <c r="C1082" s="1" t="s">
        <v>41</v>
      </c>
      <c r="D1082" s="3">
        <v>2016</v>
      </c>
      <c r="E1082">
        <v>83.9</v>
      </c>
      <c r="F1082" s="1">
        <f t="shared" ca="1" si="32"/>
        <v>0.5859130434782609</v>
      </c>
      <c r="G1082" s="1">
        <f t="shared" ca="1" si="33"/>
        <v>-1095.8057536231884</v>
      </c>
      <c r="H1082" s="1" cm="1">
        <f t="array" aca="1" ref="H1082" ca="1">MIN(
  INDEX($E:$E, MATCH($A1082, $A:$A, 0) + 23) +
  (F1082 * (2030 - 2023)),
  100
)</f>
        <v>91.801391304347831</v>
      </c>
      <c r="I1082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3" spans="1:9" hidden="1" x14ac:dyDescent="0.35">
      <c r="A1083" s="1" t="s">
        <v>124</v>
      </c>
      <c r="B1083" s="1" t="s">
        <v>176</v>
      </c>
      <c r="C1083" s="1" t="s">
        <v>41</v>
      </c>
      <c r="D1083" s="3">
        <v>2017</v>
      </c>
      <c r="E1083">
        <v>84.4</v>
      </c>
      <c r="F1083" s="1">
        <f t="shared" ca="1" si="32"/>
        <v>0.5859130434782609</v>
      </c>
      <c r="G1083" s="1">
        <f t="shared" ca="1" si="33"/>
        <v>-1095.8057536231884</v>
      </c>
      <c r="H1083" s="1" cm="1">
        <f t="array" aca="1" ref="H1083" ca="1">MIN(
  INDEX($E:$E, MATCH($A1083, $A:$A, 0) + 23) +
  (F1083 * (2030 - 2023)),
  100
)</f>
        <v>91.801391304347831</v>
      </c>
      <c r="I1083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4" spans="1:9" hidden="1" x14ac:dyDescent="0.35">
      <c r="A1084" s="1" t="s">
        <v>124</v>
      </c>
      <c r="B1084" s="1" t="s">
        <v>176</v>
      </c>
      <c r="C1084" s="1" t="s">
        <v>41</v>
      </c>
      <c r="D1084" s="3">
        <v>2018</v>
      </c>
      <c r="E1084">
        <v>84.7</v>
      </c>
      <c r="F1084" s="1">
        <f t="shared" ca="1" si="32"/>
        <v>0.5859130434782609</v>
      </c>
      <c r="G1084" s="1">
        <f t="shared" ca="1" si="33"/>
        <v>-1095.8057536231884</v>
      </c>
      <c r="H1084" s="1" cm="1">
        <f t="array" aca="1" ref="H1084" ca="1">MIN(
  INDEX($E:$E, MATCH($A1084, $A:$A, 0) + 23) +
  (F1084 * (2030 - 2023)),
  100
)</f>
        <v>91.801391304347831</v>
      </c>
      <c r="I1084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5" spans="1:9" hidden="1" x14ac:dyDescent="0.35">
      <c r="A1085" s="1" t="s">
        <v>124</v>
      </c>
      <c r="B1085" s="1" t="s">
        <v>176</v>
      </c>
      <c r="C1085" s="1" t="s">
        <v>41</v>
      </c>
      <c r="D1085" s="3">
        <v>2019</v>
      </c>
      <c r="E1085">
        <v>85</v>
      </c>
      <c r="F1085" s="1">
        <f t="shared" ca="1" si="32"/>
        <v>0.5859130434782609</v>
      </c>
      <c r="G1085" s="1">
        <f t="shared" ca="1" si="33"/>
        <v>-1095.8057536231884</v>
      </c>
      <c r="H1085" s="1" cm="1">
        <f t="array" aca="1" ref="H1085" ca="1">MIN(
  INDEX($E:$E, MATCH($A1085, $A:$A, 0) + 23) +
  (F1085 * (2030 - 2023)),
  100
)</f>
        <v>91.801391304347831</v>
      </c>
      <c r="I1085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6" spans="1:9" hidden="1" x14ac:dyDescent="0.35">
      <c r="A1086" s="1" t="s">
        <v>124</v>
      </c>
      <c r="B1086" s="1" t="s">
        <v>176</v>
      </c>
      <c r="C1086" s="1" t="s">
        <v>41</v>
      </c>
      <c r="D1086" s="3">
        <v>2020</v>
      </c>
      <c r="E1086">
        <v>90</v>
      </c>
      <c r="F1086" s="1">
        <f t="shared" ca="1" si="32"/>
        <v>0.5859130434782609</v>
      </c>
      <c r="G1086" s="1">
        <f t="shared" ca="1" si="33"/>
        <v>-1095.8057536231884</v>
      </c>
      <c r="H1086" s="1" cm="1">
        <f t="array" aca="1" ref="H1086" ca="1">MIN(
  INDEX($E:$E, MATCH($A1086, $A:$A, 0) + 23) +
  (F1086 * (2030 - 2023)),
  100
)</f>
        <v>91.801391304347831</v>
      </c>
      <c r="I1086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7" spans="1:9" hidden="1" x14ac:dyDescent="0.35">
      <c r="A1087" s="1" t="s">
        <v>124</v>
      </c>
      <c r="B1087" s="1" t="s">
        <v>176</v>
      </c>
      <c r="C1087" s="1" t="s">
        <v>41</v>
      </c>
      <c r="D1087" s="3">
        <v>2021</v>
      </c>
      <c r="E1087">
        <v>89.3</v>
      </c>
      <c r="F1087" s="1">
        <f t="shared" ca="1" si="32"/>
        <v>0.5859130434782609</v>
      </c>
      <c r="G1087" s="1">
        <f t="shared" ca="1" si="33"/>
        <v>-1095.8057536231884</v>
      </c>
      <c r="H1087" s="1" cm="1">
        <f t="array" aca="1" ref="H1087" ca="1">MIN(
  INDEX($E:$E, MATCH($A1087, $A:$A, 0) + 23) +
  (F1087 * (2030 - 2023)),
  100
)</f>
        <v>91.801391304347831</v>
      </c>
      <c r="I1087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8" spans="1:9" hidden="1" x14ac:dyDescent="0.35">
      <c r="A1088" s="1" t="s">
        <v>124</v>
      </c>
      <c r="B1088" s="1" t="s">
        <v>176</v>
      </c>
      <c r="C1088" s="1" t="s">
        <v>41</v>
      </c>
      <c r="D1088" s="3">
        <v>2022</v>
      </c>
      <c r="E1088">
        <v>86.5</v>
      </c>
      <c r="F1088" s="1">
        <f t="shared" ca="1" si="32"/>
        <v>0.5859130434782609</v>
      </c>
      <c r="G1088" s="1">
        <f t="shared" ca="1" si="33"/>
        <v>-1095.8057536231884</v>
      </c>
      <c r="H1088" s="1" cm="1">
        <f t="array" aca="1" ref="H1088" ca="1">MIN(
  INDEX($E:$E, MATCH($A1088, $A:$A, 0) + 23) +
  (F1088 * (2030 - 2023)),
  100
)</f>
        <v>91.801391304347831</v>
      </c>
      <c r="I1088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89" spans="1:9" x14ac:dyDescent="0.35">
      <c r="A1089" s="1" t="s">
        <v>124</v>
      </c>
      <c r="B1089" s="1" t="s">
        <v>176</v>
      </c>
      <c r="C1089" s="1" t="s">
        <v>41</v>
      </c>
      <c r="D1089" s="3">
        <v>2023</v>
      </c>
      <c r="E1089">
        <v>87.7</v>
      </c>
      <c r="F1089" s="4">
        <f t="shared" ca="1" si="32"/>
        <v>0.5859130434782609</v>
      </c>
      <c r="G1089" s="4">
        <f t="shared" ca="1" si="33"/>
        <v>-1095.8057536231884</v>
      </c>
      <c r="H1089" s="4" cm="1">
        <f t="array" aca="1" ref="H1089" ca="1">MIN(
  INDEX($E:$E, MATCH($A1089, $A:$A, 0) + 23) +
  (F1089 * (2030 - 2023)),
  100
)</f>
        <v>91.801391304347831</v>
      </c>
      <c r="I1089" s="1" t="str">
        <f ca="1">IF(Electricity_Access__2[[#This Row],[2030 Prediction %]]&gt;=95, "On Track",
   IF(Electricity_Access__2[[#This Row],[2030 Prediction %]]&gt;=80, "Moderate Gap",
   "Significantly Off Track"))</f>
        <v>Moderate Gap</v>
      </c>
    </row>
    <row r="1090" spans="1:9" hidden="1" x14ac:dyDescent="0.35">
      <c r="A1090" s="1" t="s">
        <v>126</v>
      </c>
      <c r="B1090" s="1" t="s">
        <v>174</v>
      </c>
      <c r="C1090" s="1" t="s">
        <v>31</v>
      </c>
      <c r="D1090" s="3">
        <v>2000</v>
      </c>
      <c r="E1090">
        <v>16.7</v>
      </c>
      <c r="F1090" s="1">
        <f t="shared" ref="F1090:F1137" ca="1" si="34">SLOPE(
  OFFSET($E$1, MATCH($A1090, $A:$A, 0)-1, 0, 24, 1),
  OFFSET($D$1, MATCH($A1090, $A:$A, 0)-1, 0, 24, 1)
)</f>
        <v>1.4483478260869564</v>
      </c>
      <c r="G1090" s="1">
        <f t="shared" ref="G1090:G1137" ca="1" si="35">INTERCEPT(
  OFFSET($E$1, MATCH($A1090, $A:$A, 0)-1, 0, 24, 1),
  OFFSET($D$1, MATCH($A1090, $A:$A, 0)-1, 0, 24, 1)
)</f>
        <v>-2882.976652173913</v>
      </c>
      <c r="H1090" s="1" cm="1">
        <f t="array" aca="1" ref="H1090" ca="1">MIN(
  INDEX($E:$E, MATCH($A1090, $A:$A, 0) + 23) +
  (F1090 * (2030 - 2023)),
  100
)</f>
        <v>61.238434782608692</v>
      </c>
      <c r="I109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1" spans="1:9" hidden="1" x14ac:dyDescent="0.35">
      <c r="A1091" s="1" t="s">
        <v>126</v>
      </c>
      <c r="B1091" s="1" t="s">
        <v>174</v>
      </c>
      <c r="C1091" s="1" t="s">
        <v>31</v>
      </c>
      <c r="D1091" s="3">
        <v>2001</v>
      </c>
      <c r="E1091">
        <v>20.2</v>
      </c>
      <c r="F1091" s="1">
        <f t="shared" ca="1" si="34"/>
        <v>1.4483478260869564</v>
      </c>
      <c r="G1091" s="1">
        <f t="shared" ca="1" si="35"/>
        <v>-2882.976652173913</v>
      </c>
      <c r="H1091" s="1" cm="1">
        <f t="array" aca="1" ref="H1091" ca="1">MIN(
  INDEX($E:$E, MATCH($A1091, $A:$A, 0) + 23) +
  (F1091 * (2030 - 2023)),
  100
)</f>
        <v>61.238434782608692</v>
      </c>
      <c r="I109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2" spans="1:9" hidden="1" x14ac:dyDescent="0.35">
      <c r="A1092" s="1" t="s">
        <v>126</v>
      </c>
      <c r="B1092" s="1" t="s">
        <v>174</v>
      </c>
      <c r="C1092" s="1" t="s">
        <v>31</v>
      </c>
      <c r="D1092" s="3">
        <v>2002</v>
      </c>
      <c r="E1092">
        <v>17.399999999999999</v>
      </c>
      <c r="F1092" s="1">
        <f t="shared" ca="1" si="34"/>
        <v>1.4483478260869564</v>
      </c>
      <c r="G1092" s="1">
        <f t="shared" ca="1" si="35"/>
        <v>-2882.976652173913</v>
      </c>
      <c r="H1092" s="1" cm="1">
        <f t="array" aca="1" ref="H1092" ca="1">MIN(
  INDEX($E:$E, MATCH($A1092, $A:$A, 0) + 23) +
  (F1092 * (2030 - 2023)),
  100
)</f>
        <v>61.238434782608692</v>
      </c>
      <c r="I109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3" spans="1:9" hidden="1" x14ac:dyDescent="0.35">
      <c r="A1093" s="1" t="s">
        <v>126</v>
      </c>
      <c r="B1093" s="1" t="s">
        <v>174</v>
      </c>
      <c r="C1093" s="1" t="s">
        <v>31</v>
      </c>
      <c r="D1093" s="3">
        <v>2003</v>
      </c>
      <c r="E1093">
        <v>18.5</v>
      </c>
      <c r="F1093" s="1">
        <f t="shared" ca="1" si="34"/>
        <v>1.4483478260869564</v>
      </c>
      <c r="G1093" s="1">
        <f t="shared" ca="1" si="35"/>
        <v>-2882.976652173913</v>
      </c>
      <c r="H1093" s="1" cm="1">
        <f t="array" aca="1" ref="H1093" ca="1">MIN(
  INDEX($E:$E, MATCH($A1093, $A:$A, 0) + 23) +
  (F1093 * (2030 - 2023)),
  100
)</f>
        <v>61.238434782608692</v>
      </c>
      <c r="I109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4" spans="1:9" hidden="1" x14ac:dyDescent="0.35">
      <c r="A1094" s="1" t="s">
        <v>126</v>
      </c>
      <c r="B1094" s="1" t="s">
        <v>174</v>
      </c>
      <c r="C1094" s="1" t="s">
        <v>31</v>
      </c>
      <c r="D1094" s="3">
        <v>2004</v>
      </c>
      <c r="E1094">
        <v>20.3</v>
      </c>
      <c r="F1094" s="1">
        <f t="shared" ca="1" si="34"/>
        <v>1.4483478260869564</v>
      </c>
      <c r="G1094" s="1">
        <f t="shared" ca="1" si="35"/>
        <v>-2882.976652173913</v>
      </c>
      <c r="H1094" s="1" cm="1">
        <f t="array" aca="1" ref="H1094" ca="1">MIN(
  INDEX($E:$E, MATCH($A1094, $A:$A, 0) + 23) +
  (F1094 * (2030 - 2023)),
  100
)</f>
        <v>61.238434782608692</v>
      </c>
      <c r="I109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5" spans="1:9" hidden="1" x14ac:dyDescent="0.35">
      <c r="A1095" s="1" t="s">
        <v>126</v>
      </c>
      <c r="B1095" s="1" t="s">
        <v>174</v>
      </c>
      <c r="C1095" s="1" t="s">
        <v>31</v>
      </c>
      <c r="D1095" s="3">
        <v>2005</v>
      </c>
      <c r="E1095">
        <v>23.3</v>
      </c>
      <c r="F1095" s="1">
        <f t="shared" ca="1" si="34"/>
        <v>1.4483478260869564</v>
      </c>
      <c r="G1095" s="1">
        <f t="shared" ca="1" si="35"/>
        <v>-2882.976652173913</v>
      </c>
      <c r="H1095" s="1" cm="1">
        <f t="array" aca="1" ref="H1095" ca="1">MIN(
  INDEX($E:$E, MATCH($A1095, $A:$A, 0) + 23) +
  (F1095 * (2030 - 2023)),
  100
)</f>
        <v>61.238434782608692</v>
      </c>
      <c r="I109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6" spans="1:9" hidden="1" x14ac:dyDescent="0.35">
      <c r="A1096" s="1" t="s">
        <v>126</v>
      </c>
      <c r="B1096" s="1" t="s">
        <v>174</v>
      </c>
      <c r="C1096" s="1" t="s">
        <v>31</v>
      </c>
      <c r="D1096" s="3">
        <v>2006</v>
      </c>
      <c r="E1096">
        <v>24.1</v>
      </c>
      <c r="F1096" s="1">
        <f t="shared" ca="1" si="34"/>
        <v>1.4483478260869564</v>
      </c>
      <c r="G1096" s="1">
        <f t="shared" ca="1" si="35"/>
        <v>-2882.976652173913</v>
      </c>
      <c r="H1096" s="1" cm="1">
        <f t="array" aca="1" ref="H1096" ca="1">MIN(
  INDEX($E:$E, MATCH($A1096, $A:$A, 0) + 23) +
  (F1096 * (2030 - 2023)),
  100
)</f>
        <v>61.238434782608692</v>
      </c>
      <c r="I109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7" spans="1:9" hidden="1" x14ac:dyDescent="0.35">
      <c r="A1097" s="1" t="s">
        <v>126</v>
      </c>
      <c r="B1097" s="1" t="s">
        <v>174</v>
      </c>
      <c r="C1097" s="1" t="s">
        <v>31</v>
      </c>
      <c r="D1097" s="3">
        <v>2007</v>
      </c>
      <c r="E1097">
        <v>18.5</v>
      </c>
      <c r="F1097" s="1">
        <f t="shared" ca="1" si="34"/>
        <v>1.4483478260869564</v>
      </c>
      <c r="G1097" s="1">
        <f t="shared" ca="1" si="35"/>
        <v>-2882.976652173913</v>
      </c>
      <c r="H1097" s="1" cm="1">
        <f t="array" aca="1" ref="H1097" ca="1">MIN(
  INDEX($E:$E, MATCH($A1097, $A:$A, 0) + 23) +
  (F1097 * (2030 - 2023)),
  100
)</f>
        <v>61.238434782608692</v>
      </c>
      <c r="I109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8" spans="1:9" hidden="1" x14ac:dyDescent="0.35">
      <c r="A1098" s="1" t="s">
        <v>126</v>
      </c>
      <c r="B1098" s="1" t="s">
        <v>174</v>
      </c>
      <c r="C1098" s="1" t="s">
        <v>31</v>
      </c>
      <c r="D1098" s="3">
        <v>2008</v>
      </c>
      <c r="E1098">
        <v>25.7</v>
      </c>
      <c r="F1098" s="1">
        <f t="shared" ca="1" si="34"/>
        <v>1.4483478260869564</v>
      </c>
      <c r="G1098" s="1">
        <f t="shared" ca="1" si="35"/>
        <v>-2882.976652173913</v>
      </c>
      <c r="H1098" s="1" cm="1">
        <f t="array" aca="1" ref="H1098" ca="1">MIN(
  INDEX($E:$E, MATCH($A1098, $A:$A, 0) + 23) +
  (F1098 * (2030 - 2023)),
  100
)</f>
        <v>61.238434782608692</v>
      </c>
      <c r="I109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099" spans="1:9" hidden="1" x14ac:dyDescent="0.35">
      <c r="A1099" s="1" t="s">
        <v>126</v>
      </c>
      <c r="B1099" s="1" t="s">
        <v>174</v>
      </c>
      <c r="C1099" s="1" t="s">
        <v>31</v>
      </c>
      <c r="D1099" s="3">
        <v>2009</v>
      </c>
      <c r="E1099">
        <v>26.6</v>
      </c>
      <c r="F1099" s="1">
        <f t="shared" ca="1" si="34"/>
        <v>1.4483478260869564</v>
      </c>
      <c r="G1099" s="1">
        <f t="shared" ca="1" si="35"/>
        <v>-2882.976652173913</v>
      </c>
      <c r="H1099" s="1" cm="1">
        <f t="array" aca="1" ref="H1099" ca="1">MIN(
  INDEX($E:$E, MATCH($A1099, $A:$A, 0) + 23) +
  (F1099 * (2030 - 2023)),
  100
)</f>
        <v>61.238434782608692</v>
      </c>
      <c r="I109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0" spans="1:9" hidden="1" x14ac:dyDescent="0.35">
      <c r="A1100" s="1" t="s">
        <v>126</v>
      </c>
      <c r="B1100" s="1" t="s">
        <v>174</v>
      </c>
      <c r="C1100" s="1" t="s">
        <v>31</v>
      </c>
      <c r="D1100" s="3">
        <v>2010</v>
      </c>
      <c r="E1100">
        <v>22</v>
      </c>
      <c r="F1100" s="1">
        <f t="shared" ca="1" si="34"/>
        <v>1.4483478260869564</v>
      </c>
      <c r="G1100" s="1">
        <f t="shared" ca="1" si="35"/>
        <v>-2882.976652173913</v>
      </c>
      <c r="H1100" s="1" cm="1">
        <f t="array" aca="1" ref="H1100" ca="1">MIN(
  INDEX($E:$E, MATCH($A1100, $A:$A, 0) + 23) +
  (F1100 * (2030 - 2023)),
  100
)</f>
        <v>61.238434782608692</v>
      </c>
      <c r="I110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1" spans="1:9" hidden="1" x14ac:dyDescent="0.35">
      <c r="A1101" s="1" t="s">
        <v>126</v>
      </c>
      <c r="B1101" s="1" t="s">
        <v>174</v>
      </c>
      <c r="C1101" s="1" t="s">
        <v>31</v>
      </c>
      <c r="D1101" s="3">
        <v>2011</v>
      </c>
      <c r="E1101">
        <v>28.3</v>
      </c>
      <c r="F1101" s="1">
        <f t="shared" ca="1" si="34"/>
        <v>1.4483478260869564</v>
      </c>
      <c r="G1101" s="1">
        <f t="shared" ca="1" si="35"/>
        <v>-2882.976652173913</v>
      </c>
      <c r="H1101" s="1" cm="1">
        <f t="array" aca="1" ref="H1101" ca="1">MIN(
  INDEX($E:$E, MATCH($A1101, $A:$A, 0) + 23) +
  (F1101 * (2030 - 2023)),
  100
)</f>
        <v>61.238434782608692</v>
      </c>
      <c r="I110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2" spans="1:9" hidden="1" x14ac:dyDescent="0.35">
      <c r="A1102" s="1" t="s">
        <v>126</v>
      </c>
      <c r="B1102" s="1" t="s">
        <v>174</v>
      </c>
      <c r="C1102" s="1" t="s">
        <v>31</v>
      </c>
      <c r="D1102" s="3">
        <v>2012</v>
      </c>
      <c r="E1102">
        <v>29.2</v>
      </c>
      <c r="F1102" s="1">
        <f t="shared" ca="1" si="34"/>
        <v>1.4483478260869564</v>
      </c>
      <c r="G1102" s="1">
        <f t="shared" ca="1" si="35"/>
        <v>-2882.976652173913</v>
      </c>
      <c r="H1102" s="1" cm="1">
        <f t="array" aca="1" ref="H1102" ca="1">MIN(
  INDEX($E:$E, MATCH($A1102, $A:$A, 0) + 23) +
  (F1102 * (2030 - 2023)),
  100
)</f>
        <v>61.238434782608692</v>
      </c>
      <c r="I110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3" spans="1:9" hidden="1" x14ac:dyDescent="0.35">
      <c r="A1103" s="1" t="s">
        <v>126</v>
      </c>
      <c r="B1103" s="1" t="s">
        <v>174</v>
      </c>
      <c r="C1103" s="1" t="s">
        <v>31</v>
      </c>
      <c r="D1103" s="3">
        <v>2013</v>
      </c>
      <c r="E1103">
        <v>30.1</v>
      </c>
      <c r="F1103" s="1">
        <f t="shared" ca="1" si="34"/>
        <v>1.4483478260869564</v>
      </c>
      <c r="G1103" s="1">
        <f t="shared" ca="1" si="35"/>
        <v>-2882.976652173913</v>
      </c>
      <c r="H1103" s="1" cm="1">
        <f t="array" aca="1" ref="H1103" ca="1">MIN(
  INDEX($E:$E, MATCH($A1103, $A:$A, 0) + 23) +
  (F1103 * (2030 - 2023)),
  100
)</f>
        <v>61.238434782608692</v>
      </c>
      <c r="I110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4" spans="1:9" hidden="1" x14ac:dyDescent="0.35">
      <c r="A1104" s="1" t="s">
        <v>126</v>
      </c>
      <c r="B1104" s="1" t="s">
        <v>174</v>
      </c>
      <c r="C1104" s="1" t="s">
        <v>31</v>
      </c>
      <c r="D1104" s="3">
        <v>2014</v>
      </c>
      <c r="E1104">
        <v>27.9</v>
      </c>
      <c r="F1104" s="1">
        <f t="shared" ca="1" si="34"/>
        <v>1.4483478260869564</v>
      </c>
      <c r="G1104" s="1">
        <f t="shared" ca="1" si="35"/>
        <v>-2882.976652173913</v>
      </c>
      <c r="H1104" s="1" cm="1">
        <f t="array" aca="1" ref="H1104" ca="1">MIN(
  INDEX($E:$E, MATCH($A1104, $A:$A, 0) + 23) +
  (F1104 * (2030 - 2023)),
  100
)</f>
        <v>61.238434782608692</v>
      </c>
      <c r="I110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5" spans="1:9" hidden="1" x14ac:dyDescent="0.35">
      <c r="A1105" s="1" t="s">
        <v>126</v>
      </c>
      <c r="B1105" s="1" t="s">
        <v>174</v>
      </c>
      <c r="C1105" s="1" t="s">
        <v>31</v>
      </c>
      <c r="D1105" s="3">
        <v>2015</v>
      </c>
      <c r="E1105">
        <v>31.1</v>
      </c>
      <c r="F1105" s="1">
        <f t="shared" ca="1" si="34"/>
        <v>1.4483478260869564</v>
      </c>
      <c r="G1105" s="1">
        <f t="shared" ca="1" si="35"/>
        <v>-2882.976652173913</v>
      </c>
      <c r="H1105" s="1" cm="1">
        <f t="array" aca="1" ref="H1105" ca="1">MIN(
  INDEX($E:$E, MATCH($A1105, $A:$A, 0) + 23) +
  (F1105 * (2030 - 2023)),
  100
)</f>
        <v>61.238434782608692</v>
      </c>
      <c r="I110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6" spans="1:9" hidden="1" x14ac:dyDescent="0.35">
      <c r="A1106" s="1" t="s">
        <v>126</v>
      </c>
      <c r="B1106" s="1" t="s">
        <v>174</v>
      </c>
      <c r="C1106" s="1" t="s">
        <v>31</v>
      </c>
      <c r="D1106" s="3">
        <v>2016</v>
      </c>
      <c r="E1106">
        <v>35.4</v>
      </c>
      <c r="F1106" s="1">
        <f t="shared" ca="1" si="34"/>
        <v>1.4483478260869564</v>
      </c>
      <c r="G1106" s="1">
        <f t="shared" ca="1" si="35"/>
        <v>-2882.976652173913</v>
      </c>
      <c r="H1106" s="1" cm="1">
        <f t="array" aca="1" ref="H1106" ca="1">MIN(
  INDEX($E:$E, MATCH($A1106, $A:$A, 0) + 23) +
  (F1106 * (2030 - 2023)),
  100
)</f>
        <v>61.238434782608692</v>
      </c>
      <c r="I110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7" spans="1:9" hidden="1" x14ac:dyDescent="0.35">
      <c r="A1107" s="1" t="s">
        <v>126</v>
      </c>
      <c r="B1107" s="1" t="s">
        <v>174</v>
      </c>
      <c r="C1107" s="1" t="s">
        <v>31</v>
      </c>
      <c r="D1107" s="3">
        <v>2017</v>
      </c>
      <c r="E1107">
        <v>40.299999999999997</v>
      </c>
      <c r="F1107" s="1">
        <f t="shared" ca="1" si="34"/>
        <v>1.4483478260869564</v>
      </c>
      <c r="G1107" s="1">
        <f t="shared" ca="1" si="35"/>
        <v>-2882.976652173913</v>
      </c>
      <c r="H1107" s="1" cm="1">
        <f t="array" aca="1" ref="H1107" ca="1">MIN(
  INDEX($E:$E, MATCH($A1107, $A:$A, 0) + 23) +
  (F1107 * (2030 - 2023)),
  100
)</f>
        <v>61.238434782608692</v>
      </c>
      <c r="I110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8" spans="1:9" hidden="1" x14ac:dyDescent="0.35">
      <c r="A1108" s="1" t="s">
        <v>126</v>
      </c>
      <c r="B1108" s="1" t="s">
        <v>174</v>
      </c>
      <c r="C1108" s="1" t="s">
        <v>31</v>
      </c>
      <c r="D1108" s="3">
        <v>2018</v>
      </c>
      <c r="E1108">
        <v>40.200000000000003</v>
      </c>
      <c r="F1108" s="1">
        <f t="shared" ca="1" si="34"/>
        <v>1.4483478260869564</v>
      </c>
      <c r="G1108" s="1">
        <f t="shared" ca="1" si="35"/>
        <v>-2882.976652173913</v>
      </c>
      <c r="H1108" s="1" cm="1">
        <f t="array" aca="1" ref="H1108" ca="1">MIN(
  INDEX($E:$E, MATCH($A1108, $A:$A, 0) + 23) +
  (F1108 * (2030 - 2023)),
  100
)</f>
        <v>61.238434782608692</v>
      </c>
      <c r="I110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09" spans="1:9" hidden="1" x14ac:dyDescent="0.35">
      <c r="A1109" s="1" t="s">
        <v>126</v>
      </c>
      <c r="B1109" s="1" t="s">
        <v>174</v>
      </c>
      <c r="C1109" s="1" t="s">
        <v>31</v>
      </c>
      <c r="D1109" s="3">
        <v>2019</v>
      </c>
      <c r="E1109">
        <v>43</v>
      </c>
      <c r="F1109" s="1">
        <f t="shared" ca="1" si="34"/>
        <v>1.4483478260869564</v>
      </c>
      <c r="G1109" s="1">
        <f t="shared" ca="1" si="35"/>
        <v>-2882.976652173913</v>
      </c>
      <c r="H1109" s="1" cm="1">
        <f t="array" aca="1" ref="H1109" ca="1">MIN(
  INDEX($E:$E, MATCH($A1109, $A:$A, 0) + 23) +
  (F1109 * (2030 - 2023)),
  100
)</f>
        <v>61.238434782608692</v>
      </c>
      <c r="I110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0" spans="1:9" hidden="1" x14ac:dyDescent="0.35">
      <c r="A1110" s="1" t="s">
        <v>126</v>
      </c>
      <c r="B1110" s="1" t="s">
        <v>174</v>
      </c>
      <c r="C1110" s="1" t="s">
        <v>31</v>
      </c>
      <c r="D1110" s="3">
        <v>2020</v>
      </c>
      <c r="E1110">
        <v>44.6</v>
      </c>
      <c r="F1110" s="1">
        <f t="shared" ca="1" si="34"/>
        <v>1.4483478260869564</v>
      </c>
      <c r="G1110" s="1">
        <f t="shared" ca="1" si="35"/>
        <v>-2882.976652173913</v>
      </c>
      <c r="H1110" s="1" cm="1">
        <f t="array" aca="1" ref="H1110" ca="1">MIN(
  INDEX($E:$E, MATCH($A1110, $A:$A, 0) + 23) +
  (F1110 * (2030 - 2023)),
  100
)</f>
        <v>61.238434782608692</v>
      </c>
      <c r="I111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1" spans="1:9" hidden="1" x14ac:dyDescent="0.35">
      <c r="A1111" s="1" t="s">
        <v>126</v>
      </c>
      <c r="B1111" s="1" t="s">
        <v>174</v>
      </c>
      <c r="C1111" s="1" t="s">
        <v>31</v>
      </c>
      <c r="D1111" s="3">
        <v>2021</v>
      </c>
      <c r="E1111">
        <v>46.7</v>
      </c>
      <c r="F1111" s="1">
        <f t="shared" ca="1" si="34"/>
        <v>1.4483478260869564</v>
      </c>
      <c r="G1111" s="1">
        <f t="shared" ca="1" si="35"/>
        <v>-2882.976652173913</v>
      </c>
      <c r="H1111" s="1" cm="1">
        <f t="array" aca="1" ref="H1111" ca="1">MIN(
  INDEX($E:$E, MATCH($A1111, $A:$A, 0) + 23) +
  (F1111 * (2030 - 2023)),
  100
)</f>
        <v>61.238434782608692</v>
      </c>
      <c r="I111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2" spans="1:9" hidden="1" x14ac:dyDescent="0.35">
      <c r="A1112" s="1" t="s">
        <v>126</v>
      </c>
      <c r="B1112" s="1" t="s">
        <v>174</v>
      </c>
      <c r="C1112" s="1" t="s">
        <v>31</v>
      </c>
      <c r="D1112" s="3">
        <v>2022</v>
      </c>
      <c r="E1112">
        <v>47.8</v>
      </c>
      <c r="F1112" s="1">
        <f t="shared" ca="1" si="34"/>
        <v>1.4483478260869564</v>
      </c>
      <c r="G1112" s="1">
        <f t="shared" ca="1" si="35"/>
        <v>-2882.976652173913</v>
      </c>
      <c r="H1112" s="1" cm="1">
        <f t="array" aca="1" ref="H1112" ca="1">MIN(
  INDEX($E:$E, MATCH($A1112, $A:$A, 0) + 23) +
  (F1112 * (2030 - 2023)),
  100
)</f>
        <v>61.238434782608692</v>
      </c>
      <c r="I111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3" spans="1:9" x14ac:dyDescent="0.35">
      <c r="A1113" s="1" t="s">
        <v>126</v>
      </c>
      <c r="B1113" s="1" t="s">
        <v>174</v>
      </c>
      <c r="C1113" s="1" t="s">
        <v>31</v>
      </c>
      <c r="D1113" s="3">
        <v>2023</v>
      </c>
      <c r="E1113">
        <v>51.1</v>
      </c>
      <c r="F1113" s="4">
        <f t="shared" ca="1" si="34"/>
        <v>1.4483478260869564</v>
      </c>
      <c r="G1113" s="4">
        <f t="shared" ca="1" si="35"/>
        <v>-2882.976652173913</v>
      </c>
      <c r="H1113" s="4" cm="1">
        <f t="array" aca="1" ref="H1113" ca="1">MIN(
  INDEX($E:$E, MATCH($A1113, $A:$A, 0) + 23) +
  (F1113 * (2030 - 2023)),
  100
)</f>
        <v>61.238434782608692</v>
      </c>
      <c r="I111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4" spans="1:9" hidden="1" x14ac:dyDescent="0.35">
      <c r="A1114" s="1" t="s">
        <v>128</v>
      </c>
      <c r="B1114" s="1" t="s">
        <v>174</v>
      </c>
      <c r="C1114" s="1" t="s">
        <v>31</v>
      </c>
      <c r="D1114" s="3">
        <v>2000</v>
      </c>
      <c r="E1114">
        <v>33.700000000000003</v>
      </c>
      <c r="F1114" s="1">
        <f t="shared" ca="1" si="34"/>
        <v>0.82773913043478253</v>
      </c>
      <c r="G1114" s="1">
        <f t="shared" ca="1" si="35"/>
        <v>-1624.0305942028983</v>
      </c>
      <c r="H1114" s="1" cm="1">
        <f t="array" aca="1" ref="H1114" ca="1">MIN(
  INDEX($E:$E, MATCH($A1114, $A:$A, 0) + 23) +
  (F1114 * (2030 - 2023)),
  100
)</f>
        <v>67.79417391304348</v>
      </c>
      <c r="I111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5" spans="1:9" hidden="1" x14ac:dyDescent="0.35">
      <c r="A1115" s="1" t="s">
        <v>128</v>
      </c>
      <c r="B1115" s="1" t="s">
        <v>174</v>
      </c>
      <c r="C1115" s="1" t="s">
        <v>31</v>
      </c>
      <c r="D1115" s="3">
        <v>2001</v>
      </c>
      <c r="E1115">
        <v>34.200000000000003</v>
      </c>
      <c r="F1115" s="1">
        <f t="shared" ca="1" si="34"/>
        <v>0.82773913043478253</v>
      </c>
      <c r="G1115" s="1">
        <f t="shared" ca="1" si="35"/>
        <v>-1624.0305942028983</v>
      </c>
      <c r="H1115" s="1" cm="1">
        <f t="array" aca="1" ref="H1115" ca="1">MIN(
  INDEX($E:$E, MATCH($A1115, $A:$A, 0) + 23) +
  (F1115 * (2030 - 2023)),
  100
)</f>
        <v>67.79417391304348</v>
      </c>
      <c r="I111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6" spans="1:9" hidden="1" x14ac:dyDescent="0.35">
      <c r="A1116" s="1" t="s">
        <v>128</v>
      </c>
      <c r="B1116" s="1" t="s">
        <v>174</v>
      </c>
      <c r="C1116" s="1" t="s">
        <v>31</v>
      </c>
      <c r="D1116" s="3">
        <v>2002</v>
      </c>
      <c r="E1116">
        <v>34.200000000000003</v>
      </c>
      <c r="F1116" s="1">
        <f t="shared" ca="1" si="34"/>
        <v>0.82773913043478253</v>
      </c>
      <c r="G1116" s="1">
        <f t="shared" ca="1" si="35"/>
        <v>-1624.0305942028983</v>
      </c>
      <c r="H1116" s="1" cm="1">
        <f t="array" aca="1" ref="H1116" ca="1">MIN(
  INDEX($E:$E, MATCH($A1116, $A:$A, 0) + 23) +
  (F1116 * (2030 - 2023)),
  100
)</f>
        <v>67.79417391304348</v>
      </c>
      <c r="I111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7" spans="1:9" hidden="1" x14ac:dyDescent="0.35">
      <c r="A1117" s="1" t="s">
        <v>128</v>
      </c>
      <c r="B1117" s="1" t="s">
        <v>174</v>
      </c>
      <c r="C1117" s="1" t="s">
        <v>31</v>
      </c>
      <c r="D1117" s="3">
        <v>2003</v>
      </c>
      <c r="E1117">
        <v>35.1</v>
      </c>
      <c r="F1117" s="1">
        <f t="shared" ca="1" si="34"/>
        <v>0.82773913043478253</v>
      </c>
      <c r="G1117" s="1">
        <f t="shared" ca="1" si="35"/>
        <v>-1624.0305942028983</v>
      </c>
      <c r="H1117" s="1" cm="1">
        <f t="array" aca="1" ref="H1117" ca="1">MIN(
  INDEX($E:$E, MATCH($A1117, $A:$A, 0) + 23) +
  (F1117 * (2030 - 2023)),
  100
)</f>
        <v>67.79417391304348</v>
      </c>
      <c r="I111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8" spans="1:9" hidden="1" x14ac:dyDescent="0.35">
      <c r="A1118" s="1" t="s">
        <v>128</v>
      </c>
      <c r="B1118" s="1" t="s">
        <v>174</v>
      </c>
      <c r="C1118" s="1" t="s">
        <v>31</v>
      </c>
      <c r="D1118" s="3">
        <v>2004</v>
      </c>
      <c r="E1118">
        <v>35.6</v>
      </c>
      <c r="F1118" s="1">
        <f t="shared" ca="1" si="34"/>
        <v>0.82773913043478253</v>
      </c>
      <c r="G1118" s="1">
        <f t="shared" ca="1" si="35"/>
        <v>-1624.0305942028983</v>
      </c>
      <c r="H1118" s="1" cm="1">
        <f t="array" aca="1" ref="H1118" ca="1">MIN(
  INDEX($E:$E, MATCH($A1118, $A:$A, 0) + 23) +
  (F1118 * (2030 - 2023)),
  100
)</f>
        <v>67.79417391304348</v>
      </c>
      <c r="I111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19" spans="1:9" hidden="1" x14ac:dyDescent="0.35">
      <c r="A1119" s="1" t="s">
        <v>128</v>
      </c>
      <c r="B1119" s="1" t="s">
        <v>174</v>
      </c>
      <c r="C1119" s="1" t="s">
        <v>31</v>
      </c>
      <c r="D1119" s="3">
        <v>2005</v>
      </c>
      <c r="E1119">
        <v>36.1</v>
      </c>
      <c r="F1119" s="1">
        <f t="shared" ca="1" si="34"/>
        <v>0.82773913043478253</v>
      </c>
      <c r="G1119" s="1">
        <f t="shared" ca="1" si="35"/>
        <v>-1624.0305942028983</v>
      </c>
      <c r="H1119" s="1" cm="1">
        <f t="array" aca="1" ref="H1119" ca="1">MIN(
  INDEX($E:$E, MATCH($A1119, $A:$A, 0) + 23) +
  (F1119 * (2030 - 2023)),
  100
)</f>
        <v>67.79417391304348</v>
      </c>
      <c r="I111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0" spans="1:9" hidden="1" x14ac:dyDescent="0.35">
      <c r="A1120" s="1" t="s">
        <v>128</v>
      </c>
      <c r="B1120" s="1" t="s">
        <v>174</v>
      </c>
      <c r="C1120" s="1" t="s">
        <v>31</v>
      </c>
      <c r="D1120" s="3">
        <v>2006</v>
      </c>
      <c r="E1120">
        <v>37.200000000000003</v>
      </c>
      <c r="F1120" s="1">
        <f t="shared" ca="1" si="34"/>
        <v>0.82773913043478253</v>
      </c>
      <c r="G1120" s="1">
        <f t="shared" ca="1" si="35"/>
        <v>-1624.0305942028983</v>
      </c>
      <c r="H1120" s="1" cm="1">
        <f t="array" aca="1" ref="H1120" ca="1">MIN(
  INDEX($E:$E, MATCH($A1120, $A:$A, 0) + 23) +
  (F1120 * (2030 - 2023)),
  100
)</f>
        <v>67.79417391304348</v>
      </c>
      <c r="I112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1" spans="1:9" hidden="1" x14ac:dyDescent="0.35">
      <c r="A1121" s="1" t="s">
        <v>128</v>
      </c>
      <c r="B1121" s="1" t="s">
        <v>174</v>
      </c>
      <c r="C1121" s="1" t="s">
        <v>31</v>
      </c>
      <c r="D1121" s="3">
        <v>2007</v>
      </c>
      <c r="E1121">
        <v>37.200000000000003</v>
      </c>
      <c r="F1121" s="1">
        <f t="shared" ca="1" si="34"/>
        <v>0.82773913043478253</v>
      </c>
      <c r="G1121" s="1">
        <f t="shared" ca="1" si="35"/>
        <v>-1624.0305942028983</v>
      </c>
      <c r="H1121" s="1" cm="1">
        <f t="array" aca="1" ref="H1121" ca="1">MIN(
  INDEX($E:$E, MATCH($A1121, $A:$A, 0) + 23) +
  (F1121 * (2030 - 2023)),
  100
)</f>
        <v>67.79417391304348</v>
      </c>
      <c r="I112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2" spans="1:9" hidden="1" x14ac:dyDescent="0.35">
      <c r="A1122" s="1" t="s">
        <v>128</v>
      </c>
      <c r="B1122" s="1" t="s">
        <v>174</v>
      </c>
      <c r="C1122" s="1" t="s">
        <v>31</v>
      </c>
      <c r="D1122" s="3">
        <v>2008</v>
      </c>
      <c r="E1122">
        <v>37.700000000000003</v>
      </c>
      <c r="F1122" s="1">
        <f t="shared" ca="1" si="34"/>
        <v>0.82773913043478253</v>
      </c>
      <c r="G1122" s="1">
        <f t="shared" ca="1" si="35"/>
        <v>-1624.0305942028983</v>
      </c>
      <c r="H1122" s="1" cm="1">
        <f t="array" aca="1" ref="H1122" ca="1">MIN(
  INDEX($E:$E, MATCH($A1122, $A:$A, 0) + 23) +
  (F1122 * (2030 - 2023)),
  100
)</f>
        <v>67.79417391304348</v>
      </c>
      <c r="I112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3" spans="1:9" hidden="1" x14ac:dyDescent="0.35">
      <c r="A1123" s="1" t="s">
        <v>128</v>
      </c>
      <c r="B1123" s="1" t="s">
        <v>174</v>
      </c>
      <c r="C1123" s="1" t="s">
        <v>31</v>
      </c>
      <c r="D1123" s="3">
        <v>2009</v>
      </c>
      <c r="E1123">
        <v>43.4</v>
      </c>
      <c r="F1123" s="1">
        <f t="shared" ca="1" si="34"/>
        <v>0.82773913043478253</v>
      </c>
      <c r="G1123" s="1">
        <f t="shared" ca="1" si="35"/>
        <v>-1624.0305942028983</v>
      </c>
      <c r="H1123" s="1" cm="1">
        <f t="array" aca="1" ref="H1123" ca="1">MIN(
  INDEX($E:$E, MATCH($A1123, $A:$A, 0) + 23) +
  (F1123 * (2030 - 2023)),
  100
)</f>
        <v>67.79417391304348</v>
      </c>
      <c r="I112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4" spans="1:9" hidden="1" x14ac:dyDescent="0.35">
      <c r="A1124" s="1" t="s">
        <v>128</v>
      </c>
      <c r="B1124" s="1" t="s">
        <v>174</v>
      </c>
      <c r="C1124" s="1" t="s">
        <v>31</v>
      </c>
      <c r="D1124" s="3">
        <v>2010</v>
      </c>
      <c r="E1124">
        <v>38.9</v>
      </c>
      <c r="F1124" s="1">
        <f t="shared" ca="1" si="34"/>
        <v>0.82773913043478253</v>
      </c>
      <c r="G1124" s="1">
        <f t="shared" ca="1" si="35"/>
        <v>-1624.0305942028983</v>
      </c>
      <c r="H1124" s="1" cm="1">
        <f t="array" aca="1" ref="H1124" ca="1">MIN(
  INDEX($E:$E, MATCH($A1124, $A:$A, 0) + 23) +
  (F1124 * (2030 - 2023)),
  100
)</f>
        <v>67.79417391304348</v>
      </c>
      <c r="I112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5" spans="1:9" hidden="1" x14ac:dyDescent="0.35">
      <c r="A1125" s="1" t="s">
        <v>128</v>
      </c>
      <c r="B1125" s="1" t="s">
        <v>174</v>
      </c>
      <c r="C1125" s="1" t="s">
        <v>31</v>
      </c>
      <c r="D1125" s="3">
        <v>2011</v>
      </c>
      <c r="E1125">
        <v>36.9</v>
      </c>
      <c r="F1125" s="1">
        <f t="shared" ca="1" si="34"/>
        <v>0.82773913043478253</v>
      </c>
      <c r="G1125" s="1">
        <f t="shared" ca="1" si="35"/>
        <v>-1624.0305942028983</v>
      </c>
      <c r="H1125" s="1" cm="1">
        <f t="array" aca="1" ref="H1125" ca="1">MIN(
  INDEX($E:$E, MATCH($A1125, $A:$A, 0) + 23) +
  (F1125 * (2030 - 2023)),
  100
)</f>
        <v>67.79417391304348</v>
      </c>
      <c r="I112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6" spans="1:9" hidden="1" x14ac:dyDescent="0.35">
      <c r="A1126" s="1" t="s">
        <v>128</v>
      </c>
      <c r="B1126" s="1" t="s">
        <v>174</v>
      </c>
      <c r="C1126" s="1" t="s">
        <v>31</v>
      </c>
      <c r="D1126" s="3">
        <v>2012</v>
      </c>
      <c r="E1126">
        <v>44</v>
      </c>
      <c r="F1126" s="1">
        <f t="shared" ca="1" si="34"/>
        <v>0.82773913043478253</v>
      </c>
      <c r="G1126" s="1">
        <f t="shared" ca="1" si="35"/>
        <v>-1624.0305942028983</v>
      </c>
      <c r="H1126" s="1" cm="1">
        <f t="array" aca="1" ref="H1126" ca="1">MIN(
  INDEX($E:$E, MATCH($A1126, $A:$A, 0) + 23) +
  (F1126 * (2030 - 2023)),
  100
)</f>
        <v>67.79417391304348</v>
      </c>
      <c r="I112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7" spans="1:9" hidden="1" x14ac:dyDescent="0.35">
      <c r="A1127" s="1" t="s">
        <v>128</v>
      </c>
      <c r="B1127" s="1" t="s">
        <v>174</v>
      </c>
      <c r="C1127" s="1" t="s">
        <v>31</v>
      </c>
      <c r="D1127" s="3">
        <v>2013</v>
      </c>
      <c r="E1127">
        <v>40.6</v>
      </c>
      <c r="F1127" s="1">
        <f t="shared" ca="1" si="34"/>
        <v>0.82773913043478253</v>
      </c>
      <c r="G1127" s="1">
        <f t="shared" ca="1" si="35"/>
        <v>-1624.0305942028983</v>
      </c>
      <c r="H1127" s="1" cm="1">
        <f t="array" aca="1" ref="H1127" ca="1">MIN(
  INDEX($E:$E, MATCH($A1127, $A:$A, 0) + 23) +
  (F1127 * (2030 - 2023)),
  100
)</f>
        <v>67.79417391304348</v>
      </c>
      <c r="I112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8" spans="1:9" hidden="1" x14ac:dyDescent="0.35">
      <c r="A1128" s="1" t="s">
        <v>128</v>
      </c>
      <c r="B1128" s="1" t="s">
        <v>174</v>
      </c>
      <c r="C1128" s="1" t="s">
        <v>31</v>
      </c>
      <c r="D1128" s="3">
        <v>2014</v>
      </c>
      <c r="E1128">
        <v>32.299999999999997</v>
      </c>
      <c r="F1128" s="1">
        <f t="shared" ca="1" si="34"/>
        <v>0.82773913043478253</v>
      </c>
      <c r="G1128" s="1">
        <f t="shared" ca="1" si="35"/>
        <v>-1624.0305942028983</v>
      </c>
      <c r="H1128" s="1" cm="1">
        <f t="array" aca="1" ref="H1128" ca="1">MIN(
  INDEX($E:$E, MATCH($A1128, $A:$A, 0) + 23) +
  (F1128 * (2030 - 2023)),
  100
)</f>
        <v>67.79417391304348</v>
      </c>
      <c r="I1128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29" spans="1:9" hidden="1" x14ac:dyDescent="0.35">
      <c r="A1129" s="1" t="s">
        <v>128</v>
      </c>
      <c r="B1129" s="1" t="s">
        <v>174</v>
      </c>
      <c r="C1129" s="1" t="s">
        <v>31</v>
      </c>
      <c r="D1129" s="3">
        <v>2015</v>
      </c>
      <c r="E1129">
        <v>33.700000000000003</v>
      </c>
      <c r="F1129" s="1">
        <f t="shared" ca="1" si="34"/>
        <v>0.82773913043478253</v>
      </c>
      <c r="G1129" s="1">
        <f t="shared" ca="1" si="35"/>
        <v>-1624.0305942028983</v>
      </c>
      <c r="H1129" s="1" cm="1">
        <f t="array" aca="1" ref="H1129" ca="1">MIN(
  INDEX($E:$E, MATCH($A1129, $A:$A, 0) + 23) +
  (F1129 * (2030 - 2023)),
  100
)</f>
        <v>67.79417391304348</v>
      </c>
      <c r="I1129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0" spans="1:9" hidden="1" x14ac:dyDescent="0.35">
      <c r="A1130" s="1" t="s">
        <v>128</v>
      </c>
      <c r="B1130" s="1" t="s">
        <v>174</v>
      </c>
      <c r="C1130" s="1" t="s">
        <v>31</v>
      </c>
      <c r="D1130" s="3">
        <v>2016</v>
      </c>
      <c r="E1130">
        <v>42.5</v>
      </c>
      <c r="F1130" s="1">
        <f t="shared" ca="1" si="34"/>
        <v>0.82773913043478253</v>
      </c>
      <c r="G1130" s="1">
        <f t="shared" ca="1" si="35"/>
        <v>-1624.0305942028983</v>
      </c>
      <c r="H1130" s="1" cm="1">
        <f t="array" aca="1" ref="H1130" ca="1">MIN(
  INDEX($E:$E, MATCH($A1130, $A:$A, 0) + 23) +
  (F1130 * (2030 - 2023)),
  100
)</f>
        <v>67.79417391304348</v>
      </c>
      <c r="I1130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1" spans="1:9" hidden="1" x14ac:dyDescent="0.35">
      <c r="A1131" s="1" t="s">
        <v>128</v>
      </c>
      <c r="B1131" s="1" t="s">
        <v>174</v>
      </c>
      <c r="C1131" s="1" t="s">
        <v>31</v>
      </c>
      <c r="D1131" s="3">
        <v>2017</v>
      </c>
      <c r="E1131">
        <v>44</v>
      </c>
      <c r="F1131" s="1">
        <f t="shared" ca="1" si="34"/>
        <v>0.82773913043478253</v>
      </c>
      <c r="G1131" s="1">
        <f t="shared" ca="1" si="35"/>
        <v>-1624.0305942028983</v>
      </c>
      <c r="H1131" s="1" cm="1">
        <f t="array" aca="1" ref="H1131" ca="1">MIN(
  INDEX($E:$E, MATCH($A1131, $A:$A, 0) + 23) +
  (F1131 * (2030 - 2023)),
  100
)</f>
        <v>67.79417391304348</v>
      </c>
      <c r="I1131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2" spans="1:9" hidden="1" x14ac:dyDescent="0.35">
      <c r="A1132" s="1" t="s">
        <v>128</v>
      </c>
      <c r="B1132" s="1" t="s">
        <v>174</v>
      </c>
      <c r="C1132" s="1" t="s">
        <v>31</v>
      </c>
      <c r="D1132" s="3">
        <v>2018</v>
      </c>
      <c r="E1132">
        <v>45.4</v>
      </c>
      <c r="F1132" s="1">
        <f t="shared" ca="1" si="34"/>
        <v>0.82773913043478253</v>
      </c>
      <c r="G1132" s="1">
        <f t="shared" ca="1" si="35"/>
        <v>-1624.0305942028983</v>
      </c>
      <c r="H1132" s="1" cm="1">
        <f t="array" aca="1" ref="H1132" ca="1">MIN(
  INDEX($E:$E, MATCH($A1132, $A:$A, 0) + 23) +
  (F1132 * (2030 - 2023)),
  100
)</f>
        <v>67.79417391304348</v>
      </c>
      <c r="I1132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3" spans="1:9" hidden="1" x14ac:dyDescent="0.35">
      <c r="A1133" s="1" t="s">
        <v>128</v>
      </c>
      <c r="B1133" s="1" t="s">
        <v>174</v>
      </c>
      <c r="C1133" s="1" t="s">
        <v>31</v>
      </c>
      <c r="D1133" s="3">
        <v>2019</v>
      </c>
      <c r="E1133">
        <v>46.7</v>
      </c>
      <c r="F1133" s="1">
        <f t="shared" ca="1" si="34"/>
        <v>0.82773913043478253</v>
      </c>
      <c r="G1133" s="1">
        <f t="shared" ca="1" si="35"/>
        <v>-1624.0305942028983</v>
      </c>
      <c r="H1133" s="1" cm="1">
        <f t="array" aca="1" ref="H1133" ca="1">MIN(
  INDEX($E:$E, MATCH($A1133, $A:$A, 0) + 23) +
  (F1133 * (2030 - 2023)),
  100
)</f>
        <v>67.79417391304348</v>
      </c>
      <c r="I1133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4" spans="1:9" hidden="1" x14ac:dyDescent="0.35">
      <c r="A1134" s="1" t="s">
        <v>128</v>
      </c>
      <c r="B1134" s="1" t="s">
        <v>174</v>
      </c>
      <c r="C1134" s="1" t="s">
        <v>31</v>
      </c>
      <c r="D1134" s="3">
        <v>2020</v>
      </c>
      <c r="E1134">
        <v>52.7</v>
      </c>
      <c r="F1134" s="1">
        <f t="shared" ca="1" si="34"/>
        <v>0.82773913043478253</v>
      </c>
      <c r="G1134" s="1">
        <f t="shared" ca="1" si="35"/>
        <v>-1624.0305942028983</v>
      </c>
      <c r="H1134" s="1" cm="1">
        <f t="array" aca="1" ref="H1134" ca="1">MIN(
  INDEX($E:$E, MATCH($A1134, $A:$A, 0) + 23) +
  (F1134 * (2030 - 2023)),
  100
)</f>
        <v>67.79417391304348</v>
      </c>
      <c r="I1134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5" spans="1:9" hidden="1" x14ac:dyDescent="0.35">
      <c r="A1135" s="1" t="s">
        <v>128</v>
      </c>
      <c r="B1135" s="1" t="s">
        <v>174</v>
      </c>
      <c r="C1135" s="1" t="s">
        <v>31</v>
      </c>
      <c r="D1135" s="3">
        <v>2021</v>
      </c>
      <c r="E1135">
        <v>49</v>
      </c>
      <c r="F1135" s="1">
        <f t="shared" ca="1" si="34"/>
        <v>0.82773913043478253</v>
      </c>
      <c r="G1135" s="1">
        <f t="shared" ca="1" si="35"/>
        <v>-1624.0305942028983</v>
      </c>
      <c r="H1135" s="1" cm="1">
        <f t="array" aca="1" ref="H1135" ca="1">MIN(
  INDEX($E:$E, MATCH($A1135, $A:$A, 0) + 23) +
  (F1135 * (2030 - 2023)),
  100
)</f>
        <v>67.79417391304348</v>
      </c>
      <c r="I1135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6" spans="1:9" hidden="1" x14ac:dyDescent="0.35">
      <c r="A1136" s="1" t="s">
        <v>128</v>
      </c>
      <c r="B1136" s="1" t="s">
        <v>174</v>
      </c>
      <c r="C1136" s="1" t="s">
        <v>31</v>
      </c>
      <c r="D1136" s="3">
        <v>2022</v>
      </c>
      <c r="E1136">
        <v>50.1</v>
      </c>
      <c r="F1136" s="1">
        <f t="shared" ca="1" si="34"/>
        <v>0.82773913043478253</v>
      </c>
      <c r="G1136" s="1">
        <f t="shared" ca="1" si="35"/>
        <v>-1624.0305942028983</v>
      </c>
      <c r="H1136" s="1" cm="1">
        <f t="array" aca="1" ref="H1136" ca="1">MIN(
  INDEX($E:$E, MATCH($A1136, $A:$A, 0) + 23) +
  (F1136 * (2030 - 2023)),
  100
)</f>
        <v>67.79417391304348</v>
      </c>
      <c r="I1136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  <row r="1137" spans="1:9" x14ac:dyDescent="0.35">
      <c r="A1137" s="1" t="s">
        <v>128</v>
      </c>
      <c r="B1137" s="1" t="s">
        <v>174</v>
      </c>
      <c r="C1137" s="1" t="s">
        <v>31</v>
      </c>
      <c r="D1137" s="3">
        <v>2023</v>
      </c>
      <c r="E1137">
        <v>62</v>
      </c>
      <c r="F1137" s="4">
        <f t="shared" ca="1" si="34"/>
        <v>0.82773913043478253</v>
      </c>
      <c r="G1137" s="4">
        <f t="shared" ca="1" si="35"/>
        <v>-1624.0305942028983</v>
      </c>
      <c r="H1137" s="4" cm="1">
        <f t="array" aca="1" ref="H1137" ca="1">MIN(
  INDEX($E:$E, MATCH($A1137, $A:$A, 0) + 23) +
  (F1137 * (2030 - 2023)),
  100
)</f>
        <v>67.79417391304348</v>
      </c>
      <c r="I1137" s="1" t="str">
        <f ca="1">IF(Electricity_Access__2[[#This Row],[2030 Prediction %]]&gt;=95, "On Track",
   IF(Electricity_Access__2[[#This Row],[2030 Prediction %]]&gt;=80, "Moderate Gap",
   "Significantly Off Track"))</f>
        <v>Significantly Off Track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1E25-0E5B-4920-8F5B-0FCA12657C52}">
  <dimension ref="A1:C5"/>
  <sheetViews>
    <sheetView workbookViewId="0">
      <selection activeCell="F25" sqref="F25"/>
    </sheetView>
  </sheetViews>
  <sheetFormatPr defaultRowHeight="14.5" x14ac:dyDescent="0.35"/>
  <cols>
    <col min="1" max="1" width="21.7265625" customWidth="1"/>
    <col min="2" max="2" width="24" customWidth="1"/>
    <col min="3" max="3" width="54.26953125" customWidth="1"/>
  </cols>
  <sheetData>
    <row r="1" spans="1:3" ht="40.5" customHeight="1" x14ac:dyDescent="0.35">
      <c r="A1" s="24" t="s">
        <v>185</v>
      </c>
      <c r="B1" s="24" t="s">
        <v>186</v>
      </c>
      <c r="C1" s="24" t="s">
        <v>187</v>
      </c>
    </row>
    <row r="2" spans="1:3" ht="40.5" customHeight="1" x14ac:dyDescent="0.35">
      <c r="A2" s="22" t="s">
        <v>188</v>
      </c>
      <c r="B2" s="23" t="s">
        <v>189</v>
      </c>
      <c r="C2" s="22" t="s">
        <v>195</v>
      </c>
    </row>
    <row r="3" spans="1:3" ht="40.5" customHeight="1" x14ac:dyDescent="0.35">
      <c r="A3" s="23"/>
      <c r="B3" s="23" t="s">
        <v>190</v>
      </c>
      <c r="C3" s="22" t="s">
        <v>196</v>
      </c>
    </row>
    <row r="4" spans="1:3" ht="40.5" customHeight="1" x14ac:dyDescent="0.35">
      <c r="A4" s="22" t="s">
        <v>191</v>
      </c>
      <c r="B4" s="23" t="s">
        <v>192</v>
      </c>
      <c r="C4" s="23" t="s">
        <v>197</v>
      </c>
    </row>
    <row r="5" spans="1:3" ht="40.5" customHeight="1" x14ac:dyDescent="0.35">
      <c r="A5" s="22" t="s">
        <v>193</v>
      </c>
      <c r="B5" s="23" t="s">
        <v>194</v>
      </c>
      <c r="C5" s="23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A28F-0088-443A-9372-BE68FA002A02}">
  <dimension ref="A1:L603"/>
  <sheetViews>
    <sheetView zoomScale="72" workbookViewId="0">
      <selection activeCell="F25" sqref="F25"/>
    </sheetView>
  </sheetViews>
  <sheetFormatPr defaultRowHeight="14.5" x14ac:dyDescent="0.35"/>
  <cols>
    <col min="1" max="1" width="19.1796875" bestFit="1" customWidth="1"/>
    <col min="2" max="2" width="13.26953125" bestFit="1" customWidth="1"/>
    <col min="3" max="3" width="18.08984375" bestFit="1" customWidth="1"/>
    <col min="4" max="4" width="6.81640625" bestFit="1" customWidth="1"/>
    <col min="5" max="5" width="20.1796875" bestFit="1" customWidth="1"/>
    <col min="6" max="6" width="22.08984375" bestFit="1" customWidth="1"/>
    <col min="7" max="7" width="13.54296875" bestFit="1" customWidth="1"/>
    <col min="8" max="8" width="17.81640625" bestFit="1" customWidth="1"/>
    <col min="9" max="9" width="18.81640625" bestFit="1" customWidth="1"/>
    <col min="10" max="10" width="13.08984375" bestFit="1" customWidth="1"/>
    <col min="11" max="12" width="22.36328125" bestFit="1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132</v>
      </c>
      <c r="E1" t="s">
        <v>171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</row>
    <row r="2" spans="1:12" hidden="1" x14ac:dyDescent="0.35">
      <c r="A2" s="1" t="s">
        <v>128</v>
      </c>
      <c r="B2" s="1" t="s">
        <v>174</v>
      </c>
      <c r="C2" s="1" t="s">
        <v>31</v>
      </c>
      <c r="D2">
        <v>2023</v>
      </c>
      <c r="E2">
        <v>62</v>
      </c>
      <c r="F2">
        <v>64.98</v>
      </c>
      <c r="G2">
        <v>2.980000000000004</v>
      </c>
      <c r="H2">
        <v>1</v>
      </c>
      <c r="I2">
        <f>IF(Merge1[[#This Row],[Discrepancy]]&gt;=40,1,0)</f>
        <v>0</v>
      </c>
      <c r="J2">
        <f>IF(Merge1[[#This Row],[Year]]=2023,Merge1[[#This Row],[High Discrepancy2]],"")</f>
        <v>0</v>
      </c>
      <c r="K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" s="1" t="str">
        <f ca="1">IF(Merge1[[#This Row],[Consecutive from 2023]]&gt;=5,"ALERT","")</f>
        <v/>
      </c>
    </row>
    <row r="3" spans="1:12" hidden="1" x14ac:dyDescent="0.35">
      <c r="A3" s="1" t="s">
        <v>128</v>
      </c>
      <c r="B3" s="1" t="s">
        <v>174</v>
      </c>
      <c r="C3" s="1" t="s">
        <v>31</v>
      </c>
      <c r="D3">
        <v>2022</v>
      </c>
      <c r="E3">
        <v>50.1</v>
      </c>
      <c r="F3">
        <v>75.5</v>
      </c>
      <c r="G3">
        <v>25.4</v>
      </c>
      <c r="H3">
        <v>1</v>
      </c>
      <c r="I3">
        <f>IF(Merge1[[#This Row],[Discrepancy]]&gt;=40,1,0)</f>
        <v>0</v>
      </c>
      <c r="J3" t="str">
        <f>IF(Merge1[[#This Row],[Year]]=2023,Merge1[[#This Row],[High Discrepancy2]],"")</f>
        <v/>
      </c>
      <c r="K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" s="1" t="str">
        <f ca="1">IF(Merge1[[#This Row],[Consecutive from 2023]]&gt;=5,"ALERT","")</f>
        <v/>
      </c>
    </row>
    <row r="4" spans="1:12" hidden="1" x14ac:dyDescent="0.35">
      <c r="A4" s="1" t="s">
        <v>128</v>
      </c>
      <c r="B4" s="1" t="s">
        <v>174</v>
      </c>
      <c r="C4" s="1" t="s">
        <v>31</v>
      </c>
      <c r="D4">
        <v>2021</v>
      </c>
      <c r="E4">
        <v>49</v>
      </c>
      <c r="F4">
        <v>77.53</v>
      </c>
      <c r="G4">
        <v>28.53</v>
      </c>
      <c r="H4">
        <v>1</v>
      </c>
      <c r="I4">
        <f>IF(Merge1[[#This Row],[Discrepancy]]&gt;=40,1,0)</f>
        <v>0</v>
      </c>
      <c r="J4" t="str">
        <f>IF(Merge1[[#This Row],[Year]]=2023,Merge1[[#This Row],[High Discrepancy2]],"")</f>
        <v/>
      </c>
      <c r="K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" s="1" t="str">
        <f ca="1">IF(Merge1[[#This Row],[Consecutive from 2023]]&gt;=5,"ALERT","")</f>
        <v/>
      </c>
    </row>
    <row r="5" spans="1:12" hidden="1" x14ac:dyDescent="0.35">
      <c r="A5" s="1" t="s">
        <v>128</v>
      </c>
      <c r="B5" s="1" t="s">
        <v>174</v>
      </c>
      <c r="C5" s="1" t="s">
        <v>31</v>
      </c>
      <c r="D5">
        <v>2020</v>
      </c>
      <c r="E5">
        <v>52.7</v>
      </c>
      <c r="F5">
        <v>72.400000000000006</v>
      </c>
      <c r="G5">
        <v>19.700000000000003</v>
      </c>
      <c r="H5">
        <v>1</v>
      </c>
      <c r="I5">
        <f>IF(Merge1[[#This Row],[Discrepancy]]&gt;=40,1,0)</f>
        <v>0</v>
      </c>
      <c r="J5" t="str">
        <f>IF(Merge1[[#This Row],[Year]]=2023,Merge1[[#This Row],[High Discrepancy2]],"")</f>
        <v/>
      </c>
      <c r="K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" s="1" t="str">
        <f ca="1">IF(Merge1[[#This Row],[Consecutive from 2023]]&gt;=5,"ALERT","")</f>
        <v/>
      </c>
    </row>
    <row r="6" spans="1:12" hidden="1" x14ac:dyDescent="0.35">
      <c r="A6" s="1" t="s">
        <v>128</v>
      </c>
      <c r="B6" s="1" t="s">
        <v>174</v>
      </c>
      <c r="C6" s="1" t="s">
        <v>31</v>
      </c>
      <c r="D6">
        <v>2019</v>
      </c>
      <c r="E6">
        <v>46.7</v>
      </c>
      <c r="F6">
        <v>72</v>
      </c>
      <c r="G6">
        <v>25.299999999999997</v>
      </c>
      <c r="H6">
        <v>1</v>
      </c>
      <c r="I6">
        <f>IF(Merge1[[#This Row],[Discrepancy]]&gt;=40,1,0)</f>
        <v>0</v>
      </c>
      <c r="J6" t="str">
        <f>IF(Merge1[[#This Row],[Year]]=2023,Merge1[[#This Row],[High Discrepancy2]],"")</f>
        <v/>
      </c>
      <c r="K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" s="1" t="str">
        <f ca="1">IF(Merge1[[#This Row],[Consecutive from 2023]]&gt;=5,"ALERT","")</f>
        <v/>
      </c>
    </row>
    <row r="7" spans="1:12" hidden="1" x14ac:dyDescent="0.35">
      <c r="A7" s="1" t="s">
        <v>128</v>
      </c>
      <c r="B7" s="1" t="s">
        <v>174</v>
      </c>
      <c r="C7" s="1" t="s">
        <v>31</v>
      </c>
      <c r="D7">
        <v>2018</v>
      </c>
      <c r="E7">
        <v>45.4</v>
      </c>
      <c r="F7">
        <v>72.13</v>
      </c>
      <c r="G7">
        <v>26.729999999999997</v>
      </c>
      <c r="H7">
        <v>1</v>
      </c>
      <c r="I7">
        <f>IF(Merge1[[#This Row],[Discrepancy]]&gt;=40,1,0)</f>
        <v>0</v>
      </c>
      <c r="J7" t="str">
        <f>IF(Merge1[[#This Row],[Year]]=2023,Merge1[[#This Row],[High Discrepancy2]],"")</f>
        <v/>
      </c>
      <c r="K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" s="1" t="str">
        <f ca="1">IF(Merge1[[#This Row],[Consecutive from 2023]]&gt;=5,"ALERT","")</f>
        <v/>
      </c>
    </row>
    <row r="8" spans="1:12" hidden="1" x14ac:dyDescent="0.35">
      <c r="A8" s="1" t="s">
        <v>128</v>
      </c>
      <c r="B8" s="1" t="s">
        <v>174</v>
      </c>
      <c r="C8" s="1" t="s">
        <v>31</v>
      </c>
      <c r="D8">
        <v>2017</v>
      </c>
      <c r="E8">
        <v>44</v>
      </c>
      <c r="F8">
        <v>67.75</v>
      </c>
      <c r="G8">
        <v>23.75</v>
      </c>
      <c r="H8">
        <v>1</v>
      </c>
      <c r="I8">
        <f>IF(Merge1[[#This Row],[Discrepancy]]&gt;=40,1,0)</f>
        <v>0</v>
      </c>
      <c r="J8" t="str">
        <f>IF(Merge1[[#This Row],[Year]]=2023,Merge1[[#This Row],[High Discrepancy2]],"")</f>
        <v/>
      </c>
      <c r="K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" s="1" t="str">
        <f ca="1">IF(Merge1[[#This Row],[Consecutive from 2023]]&gt;=5,"ALERT","")</f>
        <v/>
      </c>
    </row>
    <row r="9" spans="1:12" hidden="1" x14ac:dyDescent="0.35">
      <c r="A9" s="1" t="s">
        <v>128</v>
      </c>
      <c r="B9" s="1" t="s">
        <v>174</v>
      </c>
      <c r="C9" s="1" t="s">
        <v>31</v>
      </c>
      <c r="D9">
        <v>2016</v>
      </c>
      <c r="E9">
        <v>42.5</v>
      </c>
      <c r="F9">
        <v>62.57</v>
      </c>
      <c r="G9">
        <v>20.07</v>
      </c>
      <c r="H9">
        <v>1</v>
      </c>
      <c r="I9">
        <f>IF(Merge1[[#This Row],[Discrepancy]]&gt;=40,1,0)</f>
        <v>0</v>
      </c>
      <c r="J9" t="str">
        <f>IF(Merge1[[#This Row],[Year]]=2023,Merge1[[#This Row],[High Discrepancy2]],"")</f>
        <v/>
      </c>
      <c r="K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" s="1" t="str">
        <f ca="1">IF(Merge1[[#This Row],[Consecutive from 2023]]&gt;=5,"ALERT","")</f>
        <v/>
      </c>
    </row>
    <row r="10" spans="1:12" hidden="1" x14ac:dyDescent="0.35">
      <c r="A10" s="1" t="s">
        <v>28</v>
      </c>
      <c r="B10" s="1" t="s">
        <v>172</v>
      </c>
      <c r="C10" s="1" t="s">
        <v>31</v>
      </c>
      <c r="D10">
        <v>2020</v>
      </c>
      <c r="E10">
        <v>47</v>
      </c>
      <c r="F10">
        <v>80.510000000000005</v>
      </c>
      <c r="G10">
        <v>33.510000000000005</v>
      </c>
      <c r="H10">
        <v>1</v>
      </c>
      <c r="I10">
        <f>IF(Merge1[[#This Row],[Discrepancy]]&gt;=40,1,0)</f>
        <v>0</v>
      </c>
      <c r="J10" t="str">
        <f>IF(Merge1[[#This Row],[Year]]=2023,Merge1[[#This Row],[High Discrepancy2]],"")</f>
        <v/>
      </c>
      <c r="K1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" s="1" t="str">
        <f ca="1">IF(Merge1[[#This Row],[Consecutive from 2023]]&gt;=5,"ALERT","")</f>
        <v/>
      </c>
    </row>
    <row r="11" spans="1:12" hidden="1" x14ac:dyDescent="0.35">
      <c r="A11" s="1" t="s">
        <v>28</v>
      </c>
      <c r="B11" s="1" t="s">
        <v>172</v>
      </c>
      <c r="C11" s="1" t="s">
        <v>31</v>
      </c>
      <c r="D11">
        <v>2011</v>
      </c>
      <c r="E11">
        <v>34.6</v>
      </c>
      <c r="F11">
        <v>68.569999999999993</v>
      </c>
      <c r="G11">
        <v>33.969999999999992</v>
      </c>
      <c r="H11">
        <v>1</v>
      </c>
      <c r="I11">
        <f>IF(Merge1[[#This Row],[Discrepancy]]&gt;=40,1,0)</f>
        <v>0</v>
      </c>
      <c r="J11" t="str">
        <f>IF(Merge1[[#This Row],[Year]]=2023,Merge1[[#This Row],[High Discrepancy2]],"")</f>
        <v/>
      </c>
      <c r="K1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" s="1" t="str">
        <f ca="1">IF(Merge1[[#This Row],[Consecutive from 2023]]&gt;=5,"ALERT","")</f>
        <v/>
      </c>
    </row>
    <row r="12" spans="1:12" hidden="1" x14ac:dyDescent="0.35">
      <c r="A12" s="1" t="s">
        <v>128</v>
      </c>
      <c r="B12" s="1" t="s">
        <v>174</v>
      </c>
      <c r="C12" s="1" t="s">
        <v>31</v>
      </c>
      <c r="D12">
        <v>2013</v>
      </c>
      <c r="E12">
        <v>40.6</v>
      </c>
      <c r="F12">
        <v>69.75</v>
      </c>
      <c r="G12">
        <v>29.15</v>
      </c>
      <c r="H12">
        <v>1</v>
      </c>
      <c r="I12">
        <f>IF(Merge1[[#This Row],[Discrepancy]]&gt;=40,1,0)</f>
        <v>0</v>
      </c>
      <c r="J12" t="str">
        <f>IF(Merge1[[#This Row],[Year]]=2023,Merge1[[#This Row],[High Discrepancy2]],"")</f>
        <v/>
      </c>
      <c r="K1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" s="1" t="str">
        <f ca="1">IF(Merge1[[#This Row],[Consecutive from 2023]]&gt;=5,"ALERT","")</f>
        <v/>
      </c>
    </row>
    <row r="13" spans="1:12" hidden="1" x14ac:dyDescent="0.35">
      <c r="A13" s="1" t="s">
        <v>128</v>
      </c>
      <c r="B13" s="1" t="s">
        <v>174</v>
      </c>
      <c r="C13" s="1" t="s">
        <v>31</v>
      </c>
      <c r="D13">
        <v>2012</v>
      </c>
      <c r="E13">
        <v>44</v>
      </c>
      <c r="F13">
        <v>72.06</v>
      </c>
      <c r="G13">
        <v>28.060000000000002</v>
      </c>
      <c r="H13">
        <v>1</v>
      </c>
      <c r="I13">
        <f>IF(Merge1[[#This Row],[Discrepancy]]&gt;=40,1,0)</f>
        <v>0</v>
      </c>
      <c r="J13" t="str">
        <f>IF(Merge1[[#This Row],[Year]]=2023,Merge1[[#This Row],[High Discrepancy2]],"")</f>
        <v/>
      </c>
      <c r="K1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" s="1" t="str">
        <f ca="1">IF(Merge1[[#This Row],[Consecutive from 2023]]&gt;=5,"ALERT","")</f>
        <v/>
      </c>
    </row>
    <row r="14" spans="1:12" hidden="1" x14ac:dyDescent="0.35">
      <c r="A14" s="1" t="s">
        <v>28</v>
      </c>
      <c r="B14" s="1" t="s">
        <v>172</v>
      </c>
      <c r="C14" s="1" t="s">
        <v>31</v>
      </c>
      <c r="D14">
        <v>2010</v>
      </c>
      <c r="E14">
        <v>35</v>
      </c>
      <c r="F14">
        <v>74.81</v>
      </c>
      <c r="G14">
        <v>39.81</v>
      </c>
      <c r="H14">
        <v>1</v>
      </c>
      <c r="I14">
        <f>IF(Merge1[[#This Row],[Discrepancy]]&gt;=40,1,0)</f>
        <v>0</v>
      </c>
      <c r="J14" t="str">
        <f>IF(Merge1[[#This Row],[Year]]=2023,Merge1[[#This Row],[High Discrepancy2]],"")</f>
        <v/>
      </c>
      <c r="K1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" s="1" t="str">
        <f ca="1">IF(Merge1[[#This Row],[Consecutive from 2023]]&gt;=5,"ALERT","")</f>
        <v/>
      </c>
    </row>
    <row r="15" spans="1:12" hidden="1" x14ac:dyDescent="0.35">
      <c r="A15" s="1" t="s">
        <v>32</v>
      </c>
      <c r="B15" s="1" t="s">
        <v>174</v>
      </c>
      <c r="C15" s="1" t="s">
        <v>34</v>
      </c>
      <c r="D15">
        <v>2023</v>
      </c>
      <c r="E15">
        <v>11.6</v>
      </c>
      <c r="F15">
        <v>95.62</v>
      </c>
      <c r="G15">
        <v>84.02000000000001</v>
      </c>
      <c r="H15">
        <v>1</v>
      </c>
      <c r="I15">
        <f>IF(Merge1[[#This Row],[Discrepancy]]&gt;=40,1,0)</f>
        <v>1</v>
      </c>
      <c r="J15">
        <f>IF(Merge1[[#This Row],[Year]]=2023,Merge1[[#This Row],[High Discrepancy2]],"")</f>
        <v>1</v>
      </c>
      <c r="K1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</v>
      </c>
      <c r="L15" s="1" t="str">
        <f ca="1">IF(Merge1[[#This Row],[Consecutive from 2023]]&gt;=5,"ALERT","")</f>
        <v/>
      </c>
    </row>
    <row r="16" spans="1:12" hidden="1" x14ac:dyDescent="0.35">
      <c r="A16" s="1" t="s">
        <v>32</v>
      </c>
      <c r="B16" s="1" t="s">
        <v>174</v>
      </c>
      <c r="C16" s="1" t="s">
        <v>34</v>
      </c>
      <c r="D16">
        <v>2022</v>
      </c>
      <c r="E16">
        <v>10.3</v>
      </c>
      <c r="F16">
        <v>72.97</v>
      </c>
      <c r="G16">
        <v>62.67</v>
      </c>
      <c r="H16">
        <v>1</v>
      </c>
      <c r="I16">
        <f>IF(Merge1[[#This Row],[Discrepancy]]&gt;=40,1,0)</f>
        <v>1</v>
      </c>
      <c r="J16" t="str">
        <f>IF(Merge1[[#This Row],[Year]]=2023,Merge1[[#This Row],[High Discrepancy2]],"")</f>
        <v/>
      </c>
      <c r="K1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2</v>
      </c>
      <c r="L16" s="1" t="str">
        <f ca="1">IF(Merge1[[#This Row],[Consecutive from 2023]]&gt;=5,"ALERT","")</f>
        <v/>
      </c>
    </row>
    <row r="17" spans="1:12" hidden="1" x14ac:dyDescent="0.35">
      <c r="A17" s="1" t="s">
        <v>32</v>
      </c>
      <c r="B17" s="1" t="s">
        <v>174</v>
      </c>
      <c r="C17" s="1" t="s">
        <v>34</v>
      </c>
      <c r="D17">
        <v>2021</v>
      </c>
      <c r="E17">
        <v>10.199999999999999</v>
      </c>
      <c r="F17">
        <v>68.319999999999993</v>
      </c>
      <c r="G17">
        <v>58.11999999999999</v>
      </c>
      <c r="H17">
        <v>1</v>
      </c>
      <c r="I17">
        <f>IF(Merge1[[#This Row],[Discrepancy]]&gt;=40,1,0)</f>
        <v>1</v>
      </c>
      <c r="J17" t="str">
        <f>IF(Merge1[[#This Row],[Year]]=2023,Merge1[[#This Row],[High Discrepancy2]],"")</f>
        <v/>
      </c>
      <c r="K1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3</v>
      </c>
      <c r="L17" s="1" t="str">
        <f ca="1">IF(Merge1[[#This Row],[Consecutive from 2023]]&gt;=5,"ALERT","")</f>
        <v/>
      </c>
    </row>
    <row r="18" spans="1:12" hidden="1" x14ac:dyDescent="0.35">
      <c r="A18" s="1" t="s">
        <v>32</v>
      </c>
      <c r="B18" s="1" t="s">
        <v>174</v>
      </c>
      <c r="C18" s="1" t="s">
        <v>34</v>
      </c>
      <c r="D18">
        <v>2020</v>
      </c>
      <c r="E18">
        <v>9.1</v>
      </c>
      <c r="F18">
        <v>75.83</v>
      </c>
      <c r="G18">
        <v>66.73</v>
      </c>
      <c r="H18">
        <v>1</v>
      </c>
      <c r="I18">
        <f>IF(Merge1[[#This Row],[Discrepancy]]&gt;=40,1,0)</f>
        <v>1</v>
      </c>
      <c r="J18" t="str">
        <f>IF(Merge1[[#This Row],[Year]]=2023,Merge1[[#This Row],[High Discrepancy2]],"")</f>
        <v/>
      </c>
      <c r="K1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4</v>
      </c>
      <c r="L18" s="1" t="str">
        <f ca="1">IF(Merge1[[#This Row],[Consecutive from 2023]]&gt;=5,"ALERT","")</f>
        <v/>
      </c>
    </row>
    <row r="19" spans="1:12" x14ac:dyDescent="0.35">
      <c r="A19" s="1" t="s">
        <v>32</v>
      </c>
      <c r="B19" s="1" t="s">
        <v>174</v>
      </c>
      <c r="C19" s="1" t="s">
        <v>34</v>
      </c>
      <c r="D19">
        <v>2019</v>
      </c>
      <c r="E19">
        <v>9.8000000000000007</v>
      </c>
      <c r="F19">
        <v>64.650000000000006</v>
      </c>
      <c r="G19">
        <v>54.850000000000009</v>
      </c>
      <c r="H19">
        <v>1</v>
      </c>
      <c r="I19">
        <f>IF(Merge1[[#This Row],[Discrepancy]]&gt;=40,1,0)</f>
        <v>1</v>
      </c>
      <c r="J19" t="str">
        <f>IF(Merge1[[#This Row],[Year]]=2023,Merge1[[#This Row],[High Discrepancy2]],"")</f>
        <v/>
      </c>
      <c r="K1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5</v>
      </c>
      <c r="L19" s="1" t="str">
        <f ca="1">IF(Merge1[[#This Row],[Consecutive from 2023]]&gt;=5,"ALERT","")</f>
        <v>ALERT</v>
      </c>
    </row>
    <row r="20" spans="1:12" x14ac:dyDescent="0.35">
      <c r="A20" s="1" t="s">
        <v>32</v>
      </c>
      <c r="B20" s="1" t="s">
        <v>174</v>
      </c>
      <c r="C20" s="1" t="s">
        <v>34</v>
      </c>
      <c r="D20">
        <v>2018</v>
      </c>
      <c r="E20">
        <v>9.5</v>
      </c>
      <c r="F20">
        <v>68.180000000000007</v>
      </c>
      <c r="G20">
        <v>58.680000000000007</v>
      </c>
      <c r="H20">
        <v>1</v>
      </c>
      <c r="I20">
        <f>IF(Merge1[[#This Row],[Discrepancy]]&gt;=40,1,0)</f>
        <v>1</v>
      </c>
      <c r="J20" t="str">
        <f>IF(Merge1[[#This Row],[Year]]=2023,Merge1[[#This Row],[High Discrepancy2]],"")</f>
        <v/>
      </c>
      <c r="K2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6</v>
      </c>
      <c r="L20" s="1" t="str">
        <f ca="1">IF(Merge1[[#This Row],[Consecutive from 2023]]&gt;=5,"ALERT","")</f>
        <v>ALERT</v>
      </c>
    </row>
    <row r="21" spans="1:12" x14ac:dyDescent="0.35">
      <c r="A21" s="1" t="s">
        <v>32</v>
      </c>
      <c r="B21" s="1" t="s">
        <v>174</v>
      </c>
      <c r="C21" s="1" t="s">
        <v>34</v>
      </c>
      <c r="D21">
        <v>2017</v>
      </c>
      <c r="E21">
        <v>9.3000000000000007</v>
      </c>
      <c r="F21">
        <v>71.02</v>
      </c>
      <c r="G21">
        <v>61.72</v>
      </c>
      <c r="H21">
        <v>1</v>
      </c>
      <c r="I21">
        <f>IF(Merge1[[#This Row],[Discrepancy]]&gt;=40,1,0)</f>
        <v>1</v>
      </c>
      <c r="J21" t="str">
        <f>IF(Merge1[[#This Row],[Year]]=2023,Merge1[[#This Row],[High Discrepancy2]],"")</f>
        <v/>
      </c>
      <c r="K2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7</v>
      </c>
      <c r="L21" s="1" t="str">
        <f ca="1">IF(Merge1[[#This Row],[Consecutive from 2023]]&gt;=5,"ALERT","")</f>
        <v>ALERT</v>
      </c>
    </row>
    <row r="22" spans="1:12" x14ac:dyDescent="0.35">
      <c r="A22" s="1" t="s">
        <v>32</v>
      </c>
      <c r="B22" s="1" t="s">
        <v>174</v>
      </c>
      <c r="C22" s="1" t="s">
        <v>34</v>
      </c>
      <c r="D22">
        <v>2016</v>
      </c>
      <c r="E22">
        <v>8.5</v>
      </c>
      <c r="F22">
        <v>91.35</v>
      </c>
      <c r="G22">
        <v>82.85</v>
      </c>
      <c r="H22">
        <v>1</v>
      </c>
      <c r="I22">
        <f>IF(Merge1[[#This Row],[Discrepancy]]&gt;=40,1,0)</f>
        <v>1</v>
      </c>
      <c r="J22" t="str">
        <f>IF(Merge1[[#This Row],[Year]]=2023,Merge1[[#This Row],[High Discrepancy2]],"")</f>
        <v/>
      </c>
      <c r="K2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8</v>
      </c>
      <c r="L22" s="1" t="str">
        <f ca="1">IF(Merge1[[#This Row],[Consecutive from 2023]]&gt;=5,"ALERT","")</f>
        <v>ALERT</v>
      </c>
    </row>
    <row r="23" spans="1:12" x14ac:dyDescent="0.35">
      <c r="A23" s="1" t="s">
        <v>32</v>
      </c>
      <c r="B23" s="1" t="s">
        <v>174</v>
      </c>
      <c r="C23" s="1" t="s">
        <v>34</v>
      </c>
      <c r="D23">
        <v>2015</v>
      </c>
      <c r="E23">
        <v>7.9</v>
      </c>
      <c r="F23">
        <v>88.58</v>
      </c>
      <c r="G23">
        <v>80.679999999999993</v>
      </c>
      <c r="H23">
        <v>1</v>
      </c>
      <c r="I23">
        <f>IF(Merge1[[#This Row],[Discrepancy]]&gt;=40,1,0)</f>
        <v>1</v>
      </c>
      <c r="J23" t="str">
        <f>IF(Merge1[[#This Row],[Year]]=2023,Merge1[[#This Row],[High Discrepancy2]],"")</f>
        <v/>
      </c>
      <c r="K2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9</v>
      </c>
      <c r="L23" s="1" t="str">
        <f ca="1">IF(Merge1[[#This Row],[Consecutive from 2023]]&gt;=5,"ALERT","")</f>
        <v>ALERT</v>
      </c>
    </row>
    <row r="24" spans="1:12" x14ac:dyDescent="0.35">
      <c r="A24" s="1" t="s">
        <v>32</v>
      </c>
      <c r="B24" s="1" t="s">
        <v>174</v>
      </c>
      <c r="C24" s="1" t="s">
        <v>34</v>
      </c>
      <c r="D24">
        <v>2014</v>
      </c>
      <c r="E24">
        <v>7</v>
      </c>
      <c r="F24">
        <v>87.75</v>
      </c>
      <c r="G24">
        <v>80.75</v>
      </c>
      <c r="H24">
        <v>1</v>
      </c>
      <c r="I24">
        <f>IF(Merge1[[#This Row],[Discrepancy]]&gt;=40,1,0)</f>
        <v>1</v>
      </c>
      <c r="J24" t="str">
        <f>IF(Merge1[[#This Row],[Year]]=2023,Merge1[[#This Row],[High Discrepancy2]],"")</f>
        <v/>
      </c>
      <c r="K2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10</v>
      </c>
      <c r="L24" s="1" t="str">
        <f ca="1">IF(Merge1[[#This Row],[Consecutive from 2023]]&gt;=5,"ALERT","")</f>
        <v>ALERT</v>
      </c>
    </row>
    <row r="25" spans="1:12" x14ac:dyDescent="0.35">
      <c r="A25" s="1" t="s">
        <v>32</v>
      </c>
      <c r="B25" s="1" t="s">
        <v>174</v>
      </c>
      <c r="C25" s="1" t="s">
        <v>34</v>
      </c>
      <c r="D25">
        <v>2013</v>
      </c>
      <c r="E25">
        <v>6.9</v>
      </c>
      <c r="F25">
        <v>91.02</v>
      </c>
      <c r="G25">
        <v>84.11999999999999</v>
      </c>
      <c r="H25">
        <v>1</v>
      </c>
      <c r="I25">
        <f>IF(Merge1[[#This Row],[Discrepancy]]&gt;=40,1,0)</f>
        <v>1</v>
      </c>
      <c r="J25" t="str">
        <f>IF(Merge1[[#This Row],[Year]]=2023,Merge1[[#This Row],[High Discrepancy2]],"")</f>
        <v/>
      </c>
      <c r="K2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11</v>
      </c>
      <c r="L25" s="1" t="str">
        <f ca="1">IF(Merge1[[#This Row],[Consecutive from 2023]]&gt;=5,"ALERT","")</f>
        <v>ALERT</v>
      </c>
    </row>
    <row r="26" spans="1:12" x14ac:dyDescent="0.35">
      <c r="A26" s="1" t="s">
        <v>32</v>
      </c>
      <c r="B26" s="1" t="s">
        <v>174</v>
      </c>
      <c r="C26" s="1" t="s">
        <v>34</v>
      </c>
      <c r="D26">
        <v>2012</v>
      </c>
      <c r="E26">
        <v>6.5</v>
      </c>
      <c r="F26">
        <v>98.15</v>
      </c>
      <c r="G26">
        <v>91.65</v>
      </c>
      <c r="H26">
        <v>1</v>
      </c>
      <c r="I26">
        <f>IF(Merge1[[#This Row],[Discrepancy]]&gt;=40,1,0)</f>
        <v>1</v>
      </c>
      <c r="J26" t="str">
        <f>IF(Merge1[[#This Row],[Year]]=2023,Merge1[[#This Row],[High Discrepancy2]],"")</f>
        <v/>
      </c>
      <c r="K2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12</v>
      </c>
      <c r="L26" s="1" t="str">
        <f ca="1">IF(Merge1[[#This Row],[Consecutive from 2023]]&gt;=5,"ALERT","")</f>
        <v>ALERT</v>
      </c>
    </row>
    <row r="27" spans="1:12" x14ac:dyDescent="0.35">
      <c r="A27" s="1" t="s">
        <v>32</v>
      </c>
      <c r="B27" s="1" t="s">
        <v>174</v>
      </c>
      <c r="C27" s="1" t="s">
        <v>34</v>
      </c>
      <c r="D27">
        <v>2011</v>
      </c>
      <c r="E27">
        <v>6.2</v>
      </c>
      <c r="F27">
        <v>91.66</v>
      </c>
      <c r="G27">
        <v>85.46</v>
      </c>
      <c r="H27">
        <v>1</v>
      </c>
      <c r="I27">
        <f>IF(Merge1[[#This Row],[Discrepancy]]&gt;=40,1,0)</f>
        <v>1</v>
      </c>
      <c r="J27" t="str">
        <f>IF(Merge1[[#This Row],[Year]]=2023,Merge1[[#This Row],[High Discrepancy2]],"")</f>
        <v/>
      </c>
      <c r="K2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13</v>
      </c>
      <c r="L27" s="1" t="str">
        <f ca="1">IF(Merge1[[#This Row],[Consecutive from 2023]]&gt;=5,"ALERT","")</f>
        <v>ALERT</v>
      </c>
    </row>
    <row r="28" spans="1:12" x14ac:dyDescent="0.35">
      <c r="A28" s="1" t="s">
        <v>32</v>
      </c>
      <c r="B28" s="1" t="s">
        <v>174</v>
      </c>
      <c r="C28" s="1" t="s">
        <v>34</v>
      </c>
      <c r="D28">
        <v>2010</v>
      </c>
      <c r="E28">
        <v>5.3</v>
      </c>
      <c r="F28">
        <v>88.46</v>
      </c>
      <c r="G28">
        <v>83.16</v>
      </c>
      <c r="H28">
        <v>1</v>
      </c>
      <c r="I28">
        <f>IF(Merge1[[#This Row],[Discrepancy]]&gt;=40,1,0)</f>
        <v>1</v>
      </c>
      <c r="J28" t="str">
        <f>IF(Merge1[[#This Row],[Year]]=2023,Merge1[[#This Row],[High Discrepancy2]],"")</f>
        <v/>
      </c>
      <c r="K2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14</v>
      </c>
      <c r="L28" s="1" t="str">
        <f ca="1">IF(Merge1[[#This Row],[Consecutive from 2023]]&gt;=5,"ALERT","")</f>
        <v>ALERT</v>
      </c>
    </row>
    <row r="29" spans="1:12" hidden="1" x14ac:dyDescent="0.35">
      <c r="A29" s="1" t="s">
        <v>44</v>
      </c>
      <c r="B29" s="1" t="s">
        <v>172</v>
      </c>
      <c r="C29" s="1" t="s">
        <v>31</v>
      </c>
      <c r="D29">
        <v>2011</v>
      </c>
      <c r="E29">
        <v>53.7</v>
      </c>
      <c r="F29">
        <v>86.06</v>
      </c>
      <c r="G29">
        <v>32.36</v>
      </c>
      <c r="H29">
        <v>1</v>
      </c>
      <c r="I29">
        <f>IF(Merge1[[#This Row],[Discrepancy]]&gt;=40,1,0)</f>
        <v>0</v>
      </c>
      <c r="J29" t="str">
        <f>IF(Merge1[[#This Row],[Year]]=2023,Merge1[[#This Row],[High Discrepancy2]],"")</f>
        <v/>
      </c>
      <c r="K2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" s="1" t="str">
        <f ca="1">IF(Merge1[[#This Row],[Consecutive from 2023]]&gt;=5,"ALERT","")</f>
        <v/>
      </c>
    </row>
    <row r="30" spans="1:12" hidden="1" x14ac:dyDescent="0.35">
      <c r="A30" s="1" t="s">
        <v>44</v>
      </c>
      <c r="B30" s="1" t="s">
        <v>172</v>
      </c>
      <c r="C30" s="1" t="s">
        <v>31</v>
      </c>
      <c r="D30">
        <v>2010</v>
      </c>
      <c r="E30">
        <v>52.8</v>
      </c>
      <c r="F30">
        <v>85.98</v>
      </c>
      <c r="G30">
        <v>33.180000000000007</v>
      </c>
      <c r="H30">
        <v>1</v>
      </c>
      <c r="I30">
        <f>IF(Merge1[[#This Row],[Discrepancy]]&gt;=40,1,0)</f>
        <v>0</v>
      </c>
      <c r="J30" t="str">
        <f>IF(Merge1[[#This Row],[Year]]=2023,Merge1[[#This Row],[High Discrepancy2]],"")</f>
        <v/>
      </c>
      <c r="K3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" s="1" t="str">
        <f ca="1">IF(Merge1[[#This Row],[Consecutive from 2023]]&gt;=5,"ALERT","")</f>
        <v/>
      </c>
    </row>
    <row r="31" spans="1:12" hidden="1" x14ac:dyDescent="0.35">
      <c r="A31" s="1" t="s">
        <v>109</v>
      </c>
      <c r="B31" s="1" t="s">
        <v>176</v>
      </c>
      <c r="C31" s="1" t="s">
        <v>31</v>
      </c>
      <c r="D31">
        <v>2016</v>
      </c>
      <c r="E31">
        <v>63.4</v>
      </c>
      <c r="F31">
        <v>98.09</v>
      </c>
      <c r="G31">
        <v>34.690000000000005</v>
      </c>
      <c r="H31">
        <v>1</v>
      </c>
      <c r="I31">
        <f>IF(Merge1[[#This Row],[Discrepancy]]&gt;=40,1,0)</f>
        <v>0</v>
      </c>
      <c r="J31" t="str">
        <f>IF(Merge1[[#This Row],[Year]]=2023,Merge1[[#This Row],[High Discrepancy2]],"")</f>
        <v/>
      </c>
      <c r="K3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" s="1" t="str">
        <f ca="1">IF(Merge1[[#This Row],[Consecutive from 2023]]&gt;=5,"ALERT","")</f>
        <v/>
      </c>
    </row>
    <row r="32" spans="1:12" hidden="1" x14ac:dyDescent="0.35">
      <c r="A32" s="1" t="s">
        <v>109</v>
      </c>
      <c r="B32" s="1" t="s">
        <v>176</v>
      </c>
      <c r="C32" s="1" t="s">
        <v>31</v>
      </c>
      <c r="D32">
        <v>2015</v>
      </c>
      <c r="E32">
        <v>64.099999999999994</v>
      </c>
      <c r="F32">
        <v>98.49</v>
      </c>
      <c r="G32">
        <v>34.39</v>
      </c>
      <c r="H32">
        <v>1</v>
      </c>
      <c r="I32">
        <f>IF(Merge1[[#This Row],[Discrepancy]]&gt;=40,1,0)</f>
        <v>0</v>
      </c>
      <c r="J32" t="str">
        <f>IF(Merge1[[#This Row],[Year]]=2023,Merge1[[#This Row],[High Discrepancy2]],"")</f>
        <v/>
      </c>
      <c r="K3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" s="1" t="str">
        <f ca="1">IF(Merge1[[#This Row],[Consecutive from 2023]]&gt;=5,"ALERT","")</f>
        <v/>
      </c>
    </row>
    <row r="33" spans="1:12" hidden="1" x14ac:dyDescent="0.35">
      <c r="A33" s="1" t="s">
        <v>109</v>
      </c>
      <c r="B33" s="1" t="s">
        <v>176</v>
      </c>
      <c r="C33" s="1" t="s">
        <v>31</v>
      </c>
      <c r="D33">
        <v>2014</v>
      </c>
      <c r="E33">
        <v>65</v>
      </c>
      <c r="F33">
        <v>98.6</v>
      </c>
      <c r="G33">
        <v>33.599999999999994</v>
      </c>
      <c r="H33">
        <v>1</v>
      </c>
      <c r="I33">
        <f>IF(Merge1[[#This Row],[Discrepancy]]&gt;=40,1,0)</f>
        <v>0</v>
      </c>
      <c r="J33" t="str">
        <f>IF(Merge1[[#This Row],[Year]]=2023,Merge1[[#This Row],[High Discrepancy2]],"")</f>
        <v/>
      </c>
      <c r="K3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" s="1" t="str">
        <f ca="1">IF(Merge1[[#This Row],[Consecutive from 2023]]&gt;=5,"ALERT","")</f>
        <v/>
      </c>
    </row>
    <row r="34" spans="1:12" hidden="1" x14ac:dyDescent="0.35">
      <c r="A34" s="1" t="s">
        <v>109</v>
      </c>
      <c r="B34" s="1" t="s">
        <v>176</v>
      </c>
      <c r="C34" s="1" t="s">
        <v>31</v>
      </c>
      <c r="D34">
        <v>2013</v>
      </c>
      <c r="E34">
        <v>57.5</v>
      </c>
      <c r="F34">
        <v>98.48</v>
      </c>
      <c r="G34">
        <v>40.980000000000004</v>
      </c>
      <c r="H34">
        <v>1</v>
      </c>
      <c r="I34">
        <f>IF(Merge1[[#This Row],[Discrepancy]]&gt;=40,1,0)</f>
        <v>1</v>
      </c>
      <c r="J34" t="str">
        <f>IF(Merge1[[#This Row],[Year]]=2023,Merge1[[#This Row],[High Discrepancy2]],"")</f>
        <v/>
      </c>
      <c r="K3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" s="1" t="str">
        <f ca="1">IF(Merge1[[#This Row],[Consecutive from 2023]]&gt;=5,"ALERT","")</f>
        <v/>
      </c>
    </row>
    <row r="35" spans="1:12" hidden="1" x14ac:dyDescent="0.35">
      <c r="A35" s="1" t="s">
        <v>109</v>
      </c>
      <c r="B35" s="1" t="s">
        <v>176</v>
      </c>
      <c r="C35" s="1" t="s">
        <v>31</v>
      </c>
      <c r="D35">
        <v>2012</v>
      </c>
      <c r="E35">
        <v>54.3</v>
      </c>
      <c r="F35">
        <v>98.6</v>
      </c>
      <c r="G35">
        <v>44.3</v>
      </c>
      <c r="H35">
        <v>1</v>
      </c>
      <c r="I35">
        <f>IF(Merge1[[#This Row],[Discrepancy]]&gt;=40,1,0)</f>
        <v>1</v>
      </c>
      <c r="J35" t="str">
        <f>IF(Merge1[[#This Row],[Year]]=2023,Merge1[[#This Row],[High Discrepancy2]],"")</f>
        <v/>
      </c>
      <c r="K3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" s="1" t="str">
        <f ca="1">IF(Merge1[[#This Row],[Consecutive from 2023]]&gt;=5,"ALERT","")</f>
        <v/>
      </c>
    </row>
    <row r="36" spans="1:12" hidden="1" x14ac:dyDescent="0.35">
      <c r="A36" s="1" t="s">
        <v>109</v>
      </c>
      <c r="B36" s="1" t="s">
        <v>176</v>
      </c>
      <c r="C36" s="1" t="s">
        <v>31</v>
      </c>
      <c r="D36">
        <v>2011</v>
      </c>
      <c r="E36">
        <v>51.2</v>
      </c>
      <c r="F36">
        <v>98.6</v>
      </c>
      <c r="G36">
        <v>47.399999999999991</v>
      </c>
      <c r="H36">
        <v>1</v>
      </c>
      <c r="I36">
        <f>IF(Merge1[[#This Row],[Discrepancy]]&gt;=40,1,0)</f>
        <v>1</v>
      </c>
      <c r="J36" t="str">
        <f>IF(Merge1[[#This Row],[Year]]=2023,Merge1[[#This Row],[High Discrepancy2]],"")</f>
        <v/>
      </c>
      <c r="K3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" s="1" t="str">
        <f ca="1">IF(Merge1[[#This Row],[Consecutive from 2023]]&gt;=5,"ALERT","")</f>
        <v/>
      </c>
    </row>
    <row r="37" spans="1:12" hidden="1" x14ac:dyDescent="0.35">
      <c r="A37" s="1" t="s">
        <v>109</v>
      </c>
      <c r="B37" s="1" t="s">
        <v>176</v>
      </c>
      <c r="C37" s="1" t="s">
        <v>31</v>
      </c>
      <c r="D37">
        <v>2010</v>
      </c>
      <c r="E37">
        <v>45.6</v>
      </c>
      <c r="F37">
        <v>98.45</v>
      </c>
      <c r="G37">
        <v>52.85</v>
      </c>
      <c r="H37">
        <v>1</v>
      </c>
      <c r="I37">
        <f>IF(Merge1[[#This Row],[Discrepancy]]&gt;=40,1,0)</f>
        <v>1</v>
      </c>
      <c r="J37" t="str">
        <f>IF(Merge1[[#This Row],[Year]]=2023,Merge1[[#This Row],[High Discrepancy2]],"")</f>
        <v/>
      </c>
      <c r="K3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" s="1" t="str">
        <f ca="1">IF(Merge1[[#This Row],[Consecutive from 2023]]&gt;=5,"ALERT","")</f>
        <v/>
      </c>
    </row>
    <row r="38" spans="1:12" hidden="1" x14ac:dyDescent="0.35">
      <c r="A38" s="1" t="s">
        <v>57</v>
      </c>
      <c r="B38" s="1" t="s">
        <v>174</v>
      </c>
      <c r="C38" s="1" t="s">
        <v>34</v>
      </c>
      <c r="D38">
        <v>2023</v>
      </c>
      <c r="E38">
        <v>55.4</v>
      </c>
      <c r="F38">
        <v>100</v>
      </c>
      <c r="G38">
        <v>44.6</v>
      </c>
      <c r="H38">
        <v>1</v>
      </c>
      <c r="I38">
        <f>IF(Merge1[[#This Row],[Discrepancy]]&gt;=40,1,0)</f>
        <v>1</v>
      </c>
      <c r="J38">
        <f>IF(Merge1[[#This Row],[Year]]=2023,Merge1[[#This Row],[High Discrepancy2]],"")</f>
        <v>1</v>
      </c>
      <c r="K3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</v>
      </c>
      <c r="L38" s="1" t="str">
        <f ca="1">IF(Merge1[[#This Row],[Consecutive from 2023]]&gt;=5,"ALERT","")</f>
        <v/>
      </c>
    </row>
    <row r="39" spans="1:12" hidden="1" x14ac:dyDescent="0.35">
      <c r="A39" s="1" t="s">
        <v>57</v>
      </c>
      <c r="B39" s="1" t="s">
        <v>174</v>
      </c>
      <c r="C39" s="1" t="s">
        <v>34</v>
      </c>
      <c r="D39">
        <v>2022</v>
      </c>
      <c r="E39">
        <v>55.4</v>
      </c>
      <c r="F39">
        <v>100</v>
      </c>
      <c r="G39">
        <v>44.6</v>
      </c>
      <c r="H39">
        <v>1</v>
      </c>
      <c r="I39">
        <f>IF(Merge1[[#This Row],[Discrepancy]]&gt;=40,1,0)</f>
        <v>1</v>
      </c>
      <c r="J39" t="str">
        <f>IF(Merge1[[#This Row],[Year]]=2023,Merge1[[#This Row],[High Discrepancy2]],"")</f>
        <v/>
      </c>
      <c r="K3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2</v>
      </c>
      <c r="L39" s="1" t="str">
        <f ca="1">IF(Merge1[[#This Row],[Consecutive from 2023]]&gt;=5,"ALERT","")</f>
        <v/>
      </c>
    </row>
    <row r="40" spans="1:12" hidden="1" x14ac:dyDescent="0.35">
      <c r="A40" s="1" t="s">
        <v>57</v>
      </c>
      <c r="B40" s="1" t="s">
        <v>174</v>
      </c>
      <c r="C40" s="1" t="s">
        <v>34</v>
      </c>
      <c r="D40">
        <v>2021</v>
      </c>
      <c r="E40">
        <v>54.2</v>
      </c>
      <c r="F40">
        <v>100</v>
      </c>
      <c r="G40">
        <v>45.8</v>
      </c>
      <c r="H40">
        <v>1</v>
      </c>
      <c r="I40">
        <f>IF(Merge1[[#This Row],[Discrepancy]]&gt;=40,1,0)</f>
        <v>1</v>
      </c>
      <c r="J40" t="str">
        <f>IF(Merge1[[#This Row],[Year]]=2023,Merge1[[#This Row],[High Discrepancy2]],"")</f>
        <v/>
      </c>
      <c r="K4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3</v>
      </c>
      <c r="L40" s="1" t="str">
        <f ca="1">IF(Merge1[[#This Row],[Consecutive from 2023]]&gt;=5,"ALERT","")</f>
        <v/>
      </c>
    </row>
    <row r="41" spans="1:12" hidden="1" x14ac:dyDescent="0.35">
      <c r="A41" s="1" t="s">
        <v>57</v>
      </c>
      <c r="B41" s="1" t="s">
        <v>174</v>
      </c>
      <c r="C41" s="1" t="s">
        <v>34</v>
      </c>
      <c r="D41">
        <v>2020</v>
      </c>
      <c r="E41">
        <v>51.1</v>
      </c>
      <c r="F41">
        <v>100</v>
      </c>
      <c r="G41">
        <v>48.9</v>
      </c>
      <c r="H41">
        <v>1</v>
      </c>
      <c r="I41">
        <f>IF(Merge1[[#This Row],[Discrepancy]]&gt;=40,1,0)</f>
        <v>1</v>
      </c>
      <c r="J41" t="str">
        <f>IF(Merge1[[#This Row],[Year]]=2023,Merge1[[#This Row],[High Discrepancy2]],"")</f>
        <v/>
      </c>
      <c r="K4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4</v>
      </c>
      <c r="L41" s="1" t="str">
        <f ca="1">IF(Merge1[[#This Row],[Consecutive from 2023]]&gt;=5,"ALERT","")</f>
        <v/>
      </c>
    </row>
    <row r="42" spans="1:12" x14ac:dyDescent="0.35">
      <c r="A42" s="1" t="s">
        <v>57</v>
      </c>
      <c r="B42" s="1" t="s">
        <v>174</v>
      </c>
      <c r="C42" s="1" t="s">
        <v>34</v>
      </c>
      <c r="D42">
        <v>2019</v>
      </c>
      <c r="E42">
        <v>48</v>
      </c>
      <c r="F42">
        <v>100</v>
      </c>
      <c r="G42">
        <v>52</v>
      </c>
      <c r="H42">
        <v>1</v>
      </c>
      <c r="I42">
        <f>IF(Merge1[[#This Row],[Discrepancy]]&gt;=40,1,0)</f>
        <v>1</v>
      </c>
      <c r="J42" t="str">
        <f>IF(Merge1[[#This Row],[Year]]=2023,Merge1[[#This Row],[High Discrepancy2]],"")</f>
        <v/>
      </c>
      <c r="K4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5</v>
      </c>
      <c r="L42" s="1" t="str">
        <f ca="1">IF(Merge1[[#This Row],[Consecutive from 2023]]&gt;=5,"ALERT","")</f>
        <v>ALERT</v>
      </c>
    </row>
    <row r="43" spans="1:12" x14ac:dyDescent="0.35">
      <c r="A43" s="1" t="s">
        <v>57</v>
      </c>
      <c r="B43" s="1" t="s">
        <v>174</v>
      </c>
      <c r="C43" s="1" t="s">
        <v>34</v>
      </c>
      <c r="D43">
        <v>2018</v>
      </c>
      <c r="E43">
        <v>44.8</v>
      </c>
      <c r="F43">
        <v>100</v>
      </c>
      <c r="G43">
        <v>55.2</v>
      </c>
      <c r="H43">
        <v>1</v>
      </c>
      <c r="I43">
        <f>IF(Merge1[[#This Row],[Discrepancy]]&gt;=40,1,0)</f>
        <v>1</v>
      </c>
      <c r="J43" t="str">
        <f>IF(Merge1[[#This Row],[Year]]=2023,Merge1[[#This Row],[High Discrepancy2]],"")</f>
        <v/>
      </c>
      <c r="K4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6</v>
      </c>
      <c r="L43" s="1" t="str">
        <f ca="1">IF(Merge1[[#This Row],[Consecutive from 2023]]&gt;=5,"ALERT","")</f>
        <v>ALERT</v>
      </c>
    </row>
    <row r="44" spans="1:12" hidden="1" x14ac:dyDescent="0.35">
      <c r="A44" s="1" t="s">
        <v>118</v>
      </c>
      <c r="B44" s="1" t="s">
        <v>173</v>
      </c>
      <c r="C44" s="1" t="s">
        <v>31</v>
      </c>
      <c r="D44">
        <v>2023</v>
      </c>
      <c r="E44">
        <v>100</v>
      </c>
      <c r="F44">
        <v>6.25</v>
      </c>
      <c r="G44">
        <v>-93.75</v>
      </c>
      <c r="H44">
        <v>0</v>
      </c>
      <c r="I44">
        <f>IF(Merge1[[#This Row],[Discrepancy]]&gt;=40,1,0)</f>
        <v>0</v>
      </c>
      <c r="J44">
        <f>IF(Merge1[[#This Row],[Year]]=2023,Merge1[[#This Row],[High Discrepancy2]],"")</f>
        <v>0</v>
      </c>
      <c r="K4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" s="1" t="str">
        <f ca="1">IF(Merge1[[#This Row],[Consecutive from 2023]]&gt;=5,"ALERT","")</f>
        <v/>
      </c>
    </row>
    <row r="45" spans="1:12" hidden="1" x14ac:dyDescent="0.35">
      <c r="A45" s="1" t="s">
        <v>118</v>
      </c>
      <c r="B45" s="1" t="s">
        <v>173</v>
      </c>
      <c r="C45" s="1" t="s">
        <v>31</v>
      </c>
      <c r="D45">
        <v>2022</v>
      </c>
      <c r="E45">
        <v>100</v>
      </c>
      <c r="F45">
        <v>4.0999999999999996</v>
      </c>
      <c r="G45">
        <v>-95.9</v>
      </c>
      <c r="H45">
        <v>0</v>
      </c>
      <c r="I45">
        <f>IF(Merge1[[#This Row],[Discrepancy]]&gt;=40,1,0)</f>
        <v>0</v>
      </c>
      <c r="J45" t="str">
        <f>IF(Merge1[[#This Row],[Year]]=2023,Merge1[[#This Row],[High Discrepancy2]],"")</f>
        <v/>
      </c>
      <c r="K4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" s="1" t="str">
        <f ca="1">IF(Merge1[[#This Row],[Consecutive from 2023]]&gt;=5,"ALERT","")</f>
        <v/>
      </c>
    </row>
    <row r="46" spans="1:12" hidden="1" x14ac:dyDescent="0.35">
      <c r="A46" s="1" t="s">
        <v>118</v>
      </c>
      <c r="B46" s="1" t="s">
        <v>173</v>
      </c>
      <c r="C46" s="1" t="s">
        <v>31</v>
      </c>
      <c r="D46">
        <v>2021</v>
      </c>
      <c r="E46">
        <v>99.9</v>
      </c>
      <c r="F46">
        <v>4.2699999999999996</v>
      </c>
      <c r="G46">
        <v>-95.63000000000001</v>
      </c>
      <c r="H46">
        <v>0</v>
      </c>
      <c r="I46">
        <f>IF(Merge1[[#This Row],[Discrepancy]]&gt;=40,1,0)</f>
        <v>0</v>
      </c>
      <c r="J46" t="str">
        <f>IF(Merge1[[#This Row],[Year]]=2023,Merge1[[#This Row],[High Discrepancy2]],"")</f>
        <v/>
      </c>
      <c r="K4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" s="1" t="str">
        <f ca="1">IF(Merge1[[#This Row],[Consecutive from 2023]]&gt;=5,"ALERT","")</f>
        <v/>
      </c>
    </row>
    <row r="47" spans="1:12" hidden="1" x14ac:dyDescent="0.35">
      <c r="A47" s="1" t="s">
        <v>118</v>
      </c>
      <c r="B47" s="1" t="s">
        <v>173</v>
      </c>
      <c r="C47" s="1" t="s">
        <v>31</v>
      </c>
      <c r="D47">
        <v>2020</v>
      </c>
      <c r="E47">
        <v>99.9</v>
      </c>
      <c r="F47">
        <v>4.0599999999999996</v>
      </c>
      <c r="G47">
        <v>-95.84</v>
      </c>
      <c r="H47">
        <v>0</v>
      </c>
      <c r="I47">
        <f>IF(Merge1[[#This Row],[Discrepancy]]&gt;=40,1,0)</f>
        <v>0</v>
      </c>
      <c r="J47" t="str">
        <f>IF(Merge1[[#This Row],[Year]]=2023,Merge1[[#This Row],[High Discrepancy2]],"")</f>
        <v/>
      </c>
      <c r="K4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" s="1" t="str">
        <f ca="1">IF(Merge1[[#This Row],[Consecutive from 2023]]&gt;=5,"ALERT","")</f>
        <v/>
      </c>
    </row>
    <row r="48" spans="1:12" hidden="1" x14ac:dyDescent="0.35">
      <c r="A48" s="1" t="s">
        <v>118</v>
      </c>
      <c r="B48" s="1" t="s">
        <v>173</v>
      </c>
      <c r="C48" s="1" t="s">
        <v>31</v>
      </c>
      <c r="D48">
        <v>2019</v>
      </c>
      <c r="E48">
        <v>100</v>
      </c>
      <c r="F48">
        <v>3.73</v>
      </c>
      <c r="G48">
        <v>-96.27</v>
      </c>
      <c r="H48">
        <v>0</v>
      </c>
      <c r="I48">
        <f>IF(Merge1[[#This Row],[Discrepancy]]&gt;=40,1,0)</f>
        <v>0</v>
      </c>
      <c r="J48" t="str">
        <f>IF(Merge1[[#This Row],[Year]]=2023,Merge1[[#This Row],[High Discrepancy2]],"")</f>
        <v/>
      </c>
      <c r="K4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" s="1" t="str">
        <f ca="1">IF(Merge1[[#This Row],[Consecutive from 2023]]&gt;=5,"ALERT","")</f>
        <v/>
      </c>
    </row>
    <row r="49" spans="1:12" hidden="1" x14ac:dyDescent="0.35">
      <c r="A49" s="1" t="s">
        <v>118</v>
      </c>
      <c r="B49" s="1" t="s">
        <v>173</v>
      </c>
      <c r="C49" s="1" t="s">
        <v>31</v>
      </c>
      <c r="D49">
        <v>2018</v>
      </c>
      <c r="E49">
        <v>99.8</v>
      </c>
      <c r="F49">
        <v>3.08</v>
      </c>
      <c r="G49">
        <v>-96.72</v>
      </c>
      <c r="H49">
        <v>0</v>
      </c>
      <c r="I49">
        <f>IF(Merge1[[#This Row],[Discrepancy]]&gt;=40,1,0)</f>
        <v>0</v>
      </c>
      <c r="J49" t="str">
        <f>IF(Merge1[[#This Row],[Year]]=2023,Merge1[[#This Row],[High Discrepancy2]],"")</f>
        <v/>
      </c>
      <c r="K4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" s="1" t="str">
        <f ca="1">IF(Merge1[[#This Row],[Consecutive from 2023]]&gt;=5,"ALERT","")</f>
        <v/>
      </c>
    </row>
    <row r="50" spans="1:12" hidden="1" x14ac:dyDescent="0.35">
      <c r="A50" s="1" t="s">
        <v>118</v>
      </c>
      <c r="B50" s="1" t="s">
        <v>173</v>
      </c>
      <c r="C50" s="1" t="s">
        <v>31</v>
      </c>
      <c r="D50">
        <v>2017</v>
      </c>
      <c r="E50">
        <v>100</v>
      </c>
      <c r="F50">
        <v>2.91</v>
      </c>
      <c r="G50">
        <v>-97.09</v>
      </c>
      <c r="H50">
        <v>0</v>
      </c>
      <c r="I50">
        <f>IF(Merge1[[#This Row],[Discrepancy]]&gt;=40,1,0)</f>
        <v>0</v>
      </c>
      <c r="J50" t="str">
        <f>IF(Merge1[[#This Row],[Year]]=2023,Merge1[[#This Row],[High Discrepancy2]],"")</f>
        <v/>
      </c>
      <c r="K5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" s="1" t="str">
        <f ca="1">IF(Merge1[[#This Row],[Consecutive from 2023]]&gt;=5,"ALERT","")</f>
        <v/>
      </c>
    </row>
    <row r="51" spans="1:12" hidden="1" x14ac:dyDescent="0.35">
      <c r="A51" s="1" t="s">
        <v>118</v>
      </c>
      <c r="B51" s="1" t="s">
        <v>173</v>
      </c>
      <c r="C51" s="1" t="s">
        <v>31</v>
      </c>
      <c r="D51">
        <v>2016</v>
      </c>
      <c r="E51">
        <v>100</v>
      </c>
      <c r="F51">
        <v>2.96</v>
      </c>
      <c r="G51">
        <v>-97.04</v>
      </c>
      <c r="H51">
        <v>0</v>
      </c>
      <c r="I51">
        <f>IF(Merge1[[#This Row],[Discrepancy]]&gt;=40,1,0)</f>
        <v>0</v>
      </c>
      <c r="J51" t="str">
        <f>IF(Merge1[[#This Row],[Year]]=2023,Merge1[[#This Row],[High Discrepancy2]],"")</f>
        <v/>
      </c>
      <c r="K5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" s="1" t="str">
        <f ca="1">IF(Merge1[[#This Row],[Consecutive from 2023]]&gt;=5,"ALERT","")</f>
        <v/>
      </c>
    </row>
    <row r="52" spans="1:12" hidden="1" x14ac:dyDescent="0.35">
      <c r="A52" s="1" t="s">
        <v>118</v>
      </c>
      <c r="B52" s="1" t="s">
        <v>173</v>
      </c>
      <c r="C52" s="1" t="s">
        <v>31</v>
      </c>
      <c r="D52">
        <v>2015</v>
      </c>
      <c r="E52">
        <v>99.9</v>
      </c>
      <c r="F52">
        <v>2.86</v>
      </c>
      <c r="G52">
        <v>-97.04</v>
      </c>
      <c r="H52">
        <v>0</v>
      </c>
      <c r="I52">
        <f>IF(Merge1[[#This Row],[Discrepancy]]&gt;=40,1,0)</f>
        <v>0</v>
      </c>
      <c r="J52" t="str">
        <f>IF(Merge1[[#This Row],[Year]]=2023,Merge1[[#This Row],[High Discrepancy2]],"")</f>
        <v/>
      </c>
      <c r="K5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" s="1" t="str">
        <f ca="1">IF(Merge1[[#This Row],[Consecutive from 2023]]&gt;=5,"ALERT","")</f>
        <v/>
      </c>
    </row>
    <row r="53" spans="1:12" hidden="1" x14ac:dyDescent="0.35">
      <c r="A53" s="1" t="s">
        <v>118</v>
      </c>
      <c r="B53" s="1" t="s">
        <v>173</v>
      </c>
      <c r="C53" s="1" t="s">
        <v>31</v>
      </c>
      <c r="D53">
        <v>2014</v>
      </c>
      <c r="E53">
        <v>99.8</v>
      </c>
      <c r="F53">
        <v>3.08</v>
      </c>
      <c r="G53">
        <v>-96.72</v>
      </c>
      <c r="H53">
        <v>0</v>
      </c>
      <c r="I53">
        <f>IF(Merge1[[#This Row],[Discrepancy]]&gt;=40,1,0)</f>
        <v>0</v>
      </c>
      <c r="J53" t="str">
        <f>IF(Merge1[[#This Row],[Year]]=2023,Merge1[[#This Row],[High Discrepancy2]],"")</f>
        <v/>
      </c>
      <c r="K5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" s="1" t="str">
        <f ca="1">IF(Merge1[[#This Row],[Consecutive from 2023]]&gt;=5,"ALERT","")</f>
        <v/>
      </c>
    </row>
    <row r="54" spans="1:12" hidden="1" x14ac:dyDescent="0.35">
      <c r="A54" s="1" t="s">
        <v>118</v>
      </c>
      <c r="B54" s="1" t="s">
        <v>173</v>
      </c>
      <c r="C54" s="1" t="s">
        <v>31</v>
      </c>
      <c r="D54">
        <v>2013</v>
      </c>
      <c r="E54">
        <v>99.7</v>
      </c>
      <c r="F54">
        <v>2.35</v>
      </c>
      <c r="G54">
        <v>-97.350000000000009</v>
      </c>
      <c r="H54">
        <v>0</v>
      </c>
      <c r="I54">
        <f>IF(Merge1[[#This Row],[Discrepancy]]&gt;=40,1,0)</f>
        <v>0</v>
      </c>
      <c r="J54" t="str">
        <f>IF(Merge1[[#This Row],[Year]]=2023,Merge1[[#This Row],[High Discrepancy2]],"")</f>
        <v/>
      </c>
      <c r="K5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" s="1" t="str">
        <f ca="1">IF(Merge1[[#This Row],[Consecutive from 2023]]&gt;=5,"ALERT","")</f>
        <v/>
      </c>
    </row>
    <row r="55" spans="1:12" hidden="1" x14ac:dyDescent="0.35">
      <c r="A55" s="1" t="s">
        <v>118</v>
      </c>
      <c r="B55" s="1" t="s">
        <v>173</v>
      </c>
      <c r="C55" s="1" t="s">
        <v>31</v>
      </c>
      <c r="D55">
        <v>2012</v>
      </c>
      <c r="E55">
        <v>99.5</v>
      </c>
      <c r="F55">
        <v>1.73</v>
      </c>
      <c r="G55">
        <v>-97.77</v>
      </c>
      <c r="H55">
        <v>0</v>
      </c>
      <c r="I55">
        <f>IF(Merge1[[#This Row],[Discrepancy]]&gt;=40,1,0)</f>
        <v>0</v>
      </c>
      <c r="J55" t="str">
        <f>IF(Merge1[[#This Row],[Year]]=2023,Merge1[[#This Row],[High Discrepancy2]],"")</f>
        <v/>
      </c>
      <c r="K5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" s="1" t="str">
        <f ca="1">IF(Merge1[[#This Row],[Consecutive from 2023]]&gt;=5,"ALERT","")</f>
        <v/>
      </c>
    </row>
    <row r="56" spans="1:12" hidden="1" x14ac:dyDescent="0.35">
      <c r="A56" s="1" t="s">
        <v>118</v>
      </c>
      <c r="B56" s="1" t="s">
        <v>173</v>
      </c>
      <c r="C56" s="1" t="s">
        <v>31</v>
      </c>
      <c r="D56">
        <v>2011</v>
      </c>
      <c r="E56">
        <v>99.5</v>
      </c>
      <c r="F56">
        <v>1.02</v>
      </c>
      <c r="G56">
        <v>-98.48</v>
      </c>
      <c r="H56">
        <v>0</v>
      </c>
      <c r="I56">
        <f>IF(Merge1[[#This Row],[Discrepancy]]&gt;=40,1,0)</f>
        <v>0</v>
      </c>
      <c r="J56" t="str">
        <f>IF(Merge1[[#This Row],[Year]]=2023,Merge1[[#This Row],[High Discrepancy2]],"")</f>
        <v/>
      </c>
      <c r="K5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" s="1" t="str">
        <f ca="1">IF(Merge1[[#This Row],[Consecutive from 2023]]&gt;=5,"ALERT","")</f>
        <v/>
      </c>
    </row>
    <row r="57" spans="1:12" hidden="1" x14ac:dyDescent="0.35">
      <c r="A57" s="1" t="s">
        <v>118</v>
      </c>
      <c r="B57" s="1" t="s">
        <v>173</v>
      </c>
      <c r="C57" s="1" t="s">
        <v>31</v>
      </c>
      <c r="D57">
        <v>2010</v>
      </c>
      <c r="E57">
        <v>99.5</v>
      </c>
      <c r="F57">
        <v>1.18</v>
      </c>
      <c r="G57">
        <v>-98.32</v>
      </c>
      <c r="H57">
        <v>0</v>
      </c>
      <c r="I57">
        <f>IF(Merge1[[#This Row],[Discrepancy]]&gt;=40,1,0)</f>
        <v>0</v>
      </c>
      <c r="J57" t="str">
        <f>IF(Merge1[[#This Row],[Year]]=2023,Merge1[[#This Row],[High Discrepancy2]],"")</f>
        <v/>
      </c>
      <c r="K5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" s="1" t="str">
        <f ca="1">IF(Merge1[[#This Row],[Consecutive from 2023]]&gt;=5,"ALERT","")</f>
        <v/>
      </c>
    </row>
    <row r="58" spans="1:12" hidden="1" x14ac:dyDescent="0.35">
      <c r="A58" s="1" t="s">
        <v>116</v>
      </c>
      <c r="B58" s="1" t="s">
        <v>175</v>
      </c>
      <c r="C58" s="1" t="s">
        <v>34</v>
      </c>
      <c r="D58">
        <v>2023</v>
      </c>
      <c r="E58">
        <v>59.2</v>
      </c>
      <c r="F58">
        <v>18.97</v>
      </c>
      <c r="G58">
        <v>-40.230000000000004</v>
      </c>
      <c r="H58">
        <v>0</v>
      </c>
      <c r="I58">
        <f>IF(Merge1[[#This Row],[Discrepancy]]&gt;=40,1,0)</f>
        <v>0</v>
      </c>
      <c r="J58">
        <f>IF(Merge1[[#This Row],[Year]]=2023,Merge1[[#This Row],[High Discrepancy2]],"")</f>
        <v>0</v>
      </c>
      <c r="K5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" s="1" t="str">
        <f ca="1">IF(Merge1[[#This Row],[Consecutive from 2023]]&gt;=5,"ALERT","")</f>
        <v/>
      </c>
    </row>
    <row r="59" spans="1:12" hidden="1" x14ac:dyDescent="0.35">
      <c r="A59" s="1" t="s">
        <v>116</v>
      </c>
      <c r="B59" s="1" t="s">
        <v>175</v>
      </c>
      <c r="C59" s="1" t="s">
        <v>34</v>
      </c>
      <c r="D59">
        <v>2022</v>
      </c>
      <c r="E59">
        <v>57.2</v>
      </c>
      <c r="F59">
        <v>14.51</v>
      </c>
      <c r="G59">
        <v>-42.690000000000005</v>
      </c>
      <c r="H59">
        <v>0</v>
      </c>
      <c r="I59">
        <f>IF(Merge1[[#This Row],[Discrepancy]]&gt;=40,1,0)</f>
        <v>0</v>
      </c>
      <c r="J59" t="str">
        <f>IF(Merge1[[#This Row],[Year]]=2023,Merge1[[#This Row],[High Discrepancy2]],"")</f>
        <v/>
      </c>
      <c r="K5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" s="1" t="str">
        <f ca="1">IF(Merge1[[#This Row],[Consecutive from 2023]]&gt;=5,"ALERT","")</f>
        <v/>
      </c>
    </row>
    <row r="60" spans="1:12" hidden="1" x14ac:dyDescent="0.35">
      <c r="A60" s="1" t="s">
        <v>116</v>
      </c>
      <c r="B60" s="1" t="s">
        <v>175</v>
      </c>
      <c r="C60" s="1" t="s">
        <v>34</v>
      </c>
      <c r="D60">
        <v>2021</v>
      </c>
      <c r="E60">
        <v>55.7</v>
      </c>
      <c r="F60">
        <v>20.66</v>
      </c>
      <c r="G60">
        <v>-35.040000000000006</v>
      </c>
      <c r="H60">
        <v>0</v>
      </c>
      <c r="I60">
        <f>IF(Merge1[[#This Row],[Discrepancy]]&gt;=40,1,0)</f>
        <v>0</v>
      </c>
      <c r="J60" t="str">
        <f>IF(Merge1[[#This Row],[Year]]=2023,Merge1[[#This Row],[High Discrepancy2]],"")</f>
        <v/>
      </c>
      <c r="K6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0" s="1" t="str">
        <f ca="1">IF(Merge1[[#This Row],[Consecutive from 2023]]&gt;=5,"ALERT","")</f>
        <v/>
      </c>
    </row>
    <row r="61" spans="1:12" hidden="1" x14ac:dyDescent="0.35">
      <c r="A61" s="1" t="s">
        <v>116</v>
      </c>
      <c r="B61" s="1" t="s">
        <v>175</v>
      </c>
      <c r="C61" s="1" t="s">
        <v>34</v>
      </c>
      <c r="D61">
        <v>2020</v>
      </c>
      <c r="E61">
        <v>54.1</v>
      </c>
      <c r="F61">
        <v>14.91</v>
      </c>
      <c r="G61">
        <v>-39.19</v>
      </c>
      <c r="H61">
        <v>0</v>
      </c>
      <c r="I61">
        <f>IF(Merge1[[#This Row],[Discrepancy]]&gt;=40,1,0)</f>
        <v>0</v>
      </c>
      <c r="J61" t="str">
        <f>IF(Merge1[[#This Row],[Year]]=2023,Merge1[[#This Row],[High Discrepancy2]],"")</f>
        <v/>
      </c>
      <c r="K6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1" s="1" t="str">
        <f ca="1">IF(Merge1[[#This Row],[Consecutive from 2023]]&gt;=5,"ALERT","")</f>
        <v/>
      </c>
    </row>
    <row r="62" spans="1:12" hidden="1" x14ac:dyDescent="0.35">
      <c r="A62" s="1" t="s">
        <v>116</v>
      </c>
      <c r="B62" s="1" t="s">
        <v>175</v>
      </c>
      <c r="C62" s="1" t="s">
        <v>34</v>
      </c>
      <c r="D62">
        <v>2019</v>
      </c>
      <c r="E62">
        <v>52.5</v>
      </c>
      <c r="F62">
        <v>23.68</v>
      </c>
      <c r="G62">
        <v>-28.82</v>
      </c>
      <c r="H62">
        <v>0</v>
      </c>
      <c r="I62">
        <f>IF(Merge1[[#This Row],[Discrepancy]]&gt;=40,1,0)</f>
        <v>0</v>
      </c>
      <c r="J62" t="str">
        <f>IF(Merge1[[#This Row],[Year]]=2023,Merge1[[#This Row],[High Discrepancy2]],"")</f>
        <v/>
      </c>
      <c r="K6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2" s="1" t="str">
        <f ca="1">IF(Merge1[[#This Row],[Consecutive from 2023]]&gt;=5,"ALERT","")</f>
        <v/>
      </c>
    </row>
    <row r="63" spans="1:12" hidden="1" x14ac:dyDescent="0.35">
      <c r="A63" s="1" t="s">
        <v>116</v>
      </c>
      <c r="B63" s="1" t="s">
        <v>175</v>
      </c>
      <c r="C63" s="1" t="s">
        <v>34</v>
      </c>
      <c r="D63">
        <v>2018</v>
      </c>
      <c r="E63">
        <v>50</v>
      </c>
      <c r="F63">
        <v>22.6</v>
      </c>
      <c r="G63">
        <v>-27.4</v>
      </c>
      <c r="H63">
        <v>0</v>
      </c>
      <c r="I63">
        <f>IF(Merge1[[#This Row],[Discrepancy]]&gt;=40,1,0)</f>
        <v>0</v>
      </c>
      <c r="J63" t="str">
        <f>IF(Merge1[[#This Row],[Year]]=2023,Merge1[[#This Row],[High Discrepancy2]],"")</f>
        <v/>
      </c>
      <c r="K6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3" s="1" t="str">
        <f ca="1">IF(Merge1[[#This Row],[Consecutive from 2023]]&gt;=5,"ALERT","")</f>
        <v/>
      </c>
    </row>
    <row r="64" spans="1:12" hidden="1" x14ac:dyDescent="0.35">
      <c r="A64" s="1" t="s">
        <v>116</v>
      </c>
      <c r="B64" s="1" t="s">
        <v>175</v>
      </c>
      <c r="C64" s="1" t="s">
        <v>34</v>
      </c>
      <c r="D64">
        <v>2017</v>
      </c>
      <c r="E64">
        <v>48</v>
      </c>
      <c r="F64">
        <v>32.18</v>
      </c>
      <c r="G64">
        <v>-15.82</v>
      </c>
      <c r="H64">
        <v>0</v>
      </c>
      <c r="I64">
        <f>IF(Merge1[[#This Row],[Discrepancy]]&gt;=40,1,0)</f>
        <v>0</v>
      </c>
      <c r="J64" t="str">
        <f>IF(Merge1[[#This Row],[Year]]=2023,Merge1[[#This Row],[High Discrepancy2]],"")</f>
        <v/>
      </c>
      <c r="K6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4" s="1" t="str">
        <f ca="1">IF(Merge1[[#This Row],[Consecutive from 2023]]&gt;=5,"ALERT","")</f>
        <v/>
      </c>
    </row>
    <row r="65" spans="1:12" hidden="1" x14ac:dyDescent="0.35">
      <c r="A65" s="1" t="s">
        <v>116</v>
      </c>
      <c r="B65" s="1" t="s">
        <v>175</v>
      </c>
      <c r="C65" s="1" t="s">
        <v>34</v>
      </c>
      <c r="D65">
        <v>2016</v>
      </c>
      <c r="E65">
        <v>46.8</v>
      </c>
      <c r="F65">
        <v>23.61</v>
      </c>
      <c r="G65">
        <v>-23.189999999999998</v>
      </c>
      <c r="H65">
        <v>0</v>
      </c>
      <c r="I65">
        <f>IF(Merge1[[#This Row],[Discrepancy]]&gt;=40,1,0)</f>
        <v>0</v>
      </c>
      <c r="J65" t="str">
        <f>IF(Merge1[[#This Row],[Year]]=2023,Merge1[[#This Row],[High Discrepancy2]],"")</f>
        <v/>
      </c>
      <c r="K6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5" s="1" t="str">
        <f ca="1">IF(Merge1[[#This Row],[Consecutive from 2023]]&gt;=5,"ALERT","")</f>
        <v/>
      </c>
    </row>
    <row r="66" spans="1:12" hidden="1" x14ac:dyDescent="0.35">
      <c r="A66" s="1" t="s">
        <v>116</v>
      </c>
      <c r="B66" s="1" t="s">
        <v>175</v>
      </c>
      <c r="C66" s="1" t="s">
        <v>34</v>
      </c>
      <c r="D66">
        <v>2015</v>
      </c>
      <c r="E66">
        <v>44.7</v>
      </c>
      <c r="F66">
        <v>14.76</v>
      </c>
      <c r="G66">
        <v>-29.940000000000005</v>
      </c>
      <c r="H66">
        <v>0</v>
      </c>
      <c r="I66">
        <f>IF(Merge1[[#This Row],[Discrepancy]]&gt;=40,1,0)</f>
        <v>0</v>
      </c>
      <c r="J66" t="str">
        <f>IF(Merge1[[#This Row],[Year]]=2023,Merge1[[#This Row],[High Discrepancy2]],"")</f>
        <v/>
      </c>
      <c r="K6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6" s="1" t="str">
        <f ca="1">IF(Merge1[[#This Row],[Consecutive from 2023]]&gt;=5,"ALERT","")</f>
        <v/>
      </c>
    </row>
    <row r="67" spans="1:12" hidden="1" x14ac:dyDescent="0.35">
      <c r="A67" s="1" t="s">
        <v>116</v>
      </c>
      <c r="B67" s="1" t="s">
        <v>175</v>
      </c>
      <c r="C67" s="1" t="s">
        <v>34</v>
      </c>
      <c r="D67">
        <v>2014</v>
      </c>
      <c r="E67">
        <v>45.7</v>
      </c>
      <c r="F67">
        <v>62.11</v>
      </c>
      <c r="G67">
        <v>16.409999999999997</v>
      </c>
      <c r="H67">
        <v>1</v>
      </c>
      <c r="I67">
        <f>IF(Merge1[[#This Row],[Discrepancy]]&gt;=40,1,0)</f>
        <v>0</v>
      </c>
      <c r="J67" t="str">
        <f>IF(Merge1[[#This Row],[Year]]=2023,Merge1[[#This Row],[High Discrepancy2]],"")</f>
        <v/>
      </c>
      <c r="K6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7" s="1" t="str">
        <f ca="1">IF(Merge1[[#This Row],[Consecutive from 2023]]&gt;=5,"ALERT","")</f>
        <v/>
      </c>
    </row>
    <row r="68" spans="1:12" hidden="1" x14ac:dyDescent="0.35">
      <c r="A68" s="1" t="s">
        <v>116</v>
      </c>
      <c r="B68" s="1" t="s">
        <v>175</v>
      </c>
      <c r="C68" s="1" t="s">
        <v>34</v>
      </c>
      <c r="D68">
        <v>2013</v>
      </c>
      <c r="E68">
        <v>41</v>
      </c>
      <c r="F68">
        <v>23.79</v>
      </c>
      <c r="G68">
        <v>-17.21</v>
      </c>
      <c r="H68">
        <v>0</v>
      </c>
      <c r="I68">
        <f>IF(Merge1[[#This Row],[Discrepancy]]&gt;=40,1,0)</f>
        <v>0</v>
      </c>
      <c r="J68" t="str">
        <f>IF(Merge1[[#This Row],[Year]]=2023,Merge1[[#This Row],[High Discrepancy2]],"")</f>
        <v/>
      </c>
      <c r="K6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8" s="1" t="str">
        <f ca="1">IF(Merge1[[#This Row],[Consecutive from 2023]]&gt;=5,"ALERT","")</f>
        <v/>
      </c>
    </row>
    <row r="69" spans="1:12" hidden="1" x14ac:dyDescent="0.35">
      <c r="A69" s="1" t="s">
        <v>116</v>
      </c>
      <c r="B69" s="1" t="s">
        <v>175</v>
      </c>
      <c r="C69" s="1" t="s">
        <v>34</v>
      </c>
      <c r="D69">
        <v>2012</v>
      </c>
      <c r="E69">
        <v>39.1</v>
      </c>
      <c r="F69">
        <v>45.07</v>
      </c>
      <c r="G69">
        <v>5.9699999999999989</v>
      </c>
      <c r="H69">
        <v>1</v>
      </c>
      <c r="I69">
        <f>IF(Merge1[[#This Row],[Discrepancy]]&gt;=40,1,0)</f>
        <v>0</v>
      </c>
      <c r="J69" t="str">
        <f>IF(Merge1[[#This Row],[Year]]=2023,Merge1[[#This Row],[High Discrepancy2]],"")</f>
        <v/>
      </c>
      <c r="K6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9" s="1" t="str">
        <f ca="1">IF(Merge1[[#This Row],[Consecutive from 2023]]&gt;=5,"ALERT","")</f>
        <v/>
      </c>
    </row>
    <row r="70" spans="1:12" hidden="1" x14ac:dyDescent="0.35">
      <c r="A70" s="1" t="s">
        <v>116</v>
      </c>
      <c r="B70" s="1" t="s">
        <v>175</v>
      </c>
      <c r="C70" s="1" t="s">
        <v>34</v>
      </c>
      <c r="D70">
        <v>2011</v>
      </c>
      <c r="E70">
        <v>39.700000000000003</v>
      </c>
      <c r="F70">
        <v>62.96</v>
      </c>
      <c r="G70">
        <v>23.259999999999998</v>
      </c>
      <c r="H70">
        <v>1</v>
      </c>
      <c r="I70">
        <f>IF(Merge1[[#This Row],[Discrepancy]]&gt;=40,1,0)</f>
        <v>0</v>
      </c>
      <c r="J70" t="str">
        <f>IF(Merge1[[#This Row],[Year]]=2023,Merge1[[#This Row],[High Discrepancy2]],"")</f>
        <v/>
      </c>
      <c r="K7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0" s="1" t="str">
        <f ca="1">IF(Merge1[[#This Row],[Consecutive from 2023]]&gt;=5,"ALERT","")</f>
        <v/>
      </c>
    </row>
    <row r="71" spans="1:12" hidden="1" x14ac:dyDescent="0.35">
      <c r="A71" s="1" t="s">
        <v>116</v>
      </c>
      <c r="B71" s="1" t="s">
        <v>175</v>
      </c>
      <c r="C71" s="1" t="s">
        <v>34</v>
      </c>
      <c r="D71">
        <v>2010</v>
      </c>
      <c r="E71">
        <v>30.8</v>
      </c>
      <c r="F71">
        <v>49.15</v>
      </c>
      <c r="G71">
        <v>18.349999999999998</v>
      </c>
      <c r="H71">
        <v>1</v>
      </c>
      <c r="I71">
        <f>IF(Merge1[[#This Row],[Discrepancy]]&gt;=40,1,0)</f>
        <v>0</v>
      </c>
      <c r="J71" t="str">
        <f>IF(Merge1[[#This Row],[Year]]=2023,Merge1[[#This Row],[High Discrepancy2]],"")</f>
        <v/>
      </c>
      <c r="K7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1" s="1" t="str">
        <f ca="1">IF(Merge1[[#This Row],[Consecutive from 2023]]&gt;=5,"ALERT","")</f>
        <v/>
      </c>
    </row>
    <row r="72" spans="1:12" hidden="1" x14ac:dyDescent="0.35">
      <c r="A72" s="1" t="s">
        <v>105</v>
      </c>
      <c r="B72" s="1" t="s">
        <v>174</v>
      </c>
      <c r="C72" s="1" t="s">
        <v>34</v>
      </c>
      <c r="D72">
        <v>2023</v>
      </c>
      <c r="E72">
        <v>5.4</v>
      </c>
      <c r="F72">
        <v>1.28</v>
      </c>
      <c r="G72">
        <v>-4.12</v>
      </c>
      <c r="H72">
        <v>0</v>
      </c>
      <c r="I72">
        <f>IF(Merge1[[#This Row],[Discrepancy]]&gt;=40,1,0)</f>
        <v>0</v>
      </c>
      <c r="J72">
        <f>IF(Merge1[[#This Row],[Year]]=2023,Merge1[[#This Row],[High Discrepancy2]],"")</f>
        <v>0</v>
      </c>
      <c r="K7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2" s="1" t="str">
        <f ca="1">IF(Merge1[[#This Row],[Consecutive from 2023]]&gt;=5,"ALERT","")</f>
        <v/>
      </c>
    </row>
    <row r="73" spans="1:12" hidden="1" x14ac:dyDescent="0.35">
      <c r="A73" s="1" t="s">
        <v>105</v>
      </c>
      <c r="B73" s="1" t="s">
        <v>174</v>
      </c>
      <c r="C73" s="1" t="s">
        <v>34</v>
      </c>
      <c r="D73">
        <v>2022</v>
      </c>
      <c r="E73">
        <v>8.4</v>
      </c>
      <c r="F73">
        <v>1.08</v>
      </c>
      <c r="G73">
        <v>-7.32</v>
      </c>
      <c r="H73">
        <v>0</v>
      </c>
      <c r="I73">
        <f>IF(Merge1[[#This Row],[Discrepancy]]&gt;=40,1,0)</f>
        <v>0</v>
      </c>
      <c r="J73" t="str">
        <f>IF(Merge1[[#This Row],[Year]]=2023,Merge1[[#This Row],[High Discrepancy2]],"")</f>
        <v/>
      </c>
      <c r="K7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3" s="1" t="str">
        <f ca="1">IF(Merge1[[#This Row],[Consecutive from 2023]]&gt;=5,"ALERT","")</f>
        <v/>
      </c>
    </row>
    <row r="74" spans="1:12" hidden="1" x14ac:dyDescent="0.35">
      <c r="A74" s="1" t="s">
        <v>105</v>
      </c>
      <c r="B74" s="1" t="s">
        <v>174</v>
      </c>
      <c r="C74" s="1" t="s">
        <v>34</v>
      </c>
      <c r="D74">
        <v>2021</v>
      </c>
      <c r="E74">
        <v>7.7</v>
      </c>
      <c r="F74">
        <v>0.96</v>
      </c>
      <c r="G74">
        <v>-6.74</v>
      </c>
      <c r="H74">
        <v>0</v>
      </c>
      <c r="I74">
        <f>IF(Merge1[[#This Row],[Discrepancy]]&gt;=40,1,0)</f>
        <v>0</v>
      </c>
      <c r="J74" t="str">
        <f>IF(Merge1[[#This Row],[Year]]=2023,Merge1[[#This Row],[High Discrepancy2]],"")</f>
        <v/>
      </c>
      <c r="K7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4" s="1" t="str">
        <f ca="1">IF(Merge1[[#This Row],[Consecutive from 2023]]&gt;=5,"ALERT","")</f>
        <v/>
      </c>
    </row>
    <row r="75" spans="1:12" hidden="1" x14ac:dyDescent="0.35">
      <c r="A75" s="1" t="s">
        <v>105</v>
      </c>
      <c r="B75" s="1" t="s">
        <v>174</v>
      </c>
      <c r="C75" s="1" t="s">
        <v>34</v>
      </c>
      <c r="D75">
        <v>2020</v>
      </c>
      <c r="E75">
        <v>7.3</v>
      </c>
      <c r="F75">
        <v>1.01</v>
      </c>
      <c r="G75">
        <v>-6.29</v>
      </c>
      <c r="H75">
        <v>0</v>
      </c>
      <c r="I75">
        <f>IF(Merge1[[#This Row],[Discrepancy]]&gt;=40,1,0)</f>
        <v>0</v>
      </c>
      <c r="J75" t="str">
        <f>IF(Merge1[[#This Row],[Year]]=2023,Merge1[[#This Row],[High Discrepancy2]],"")</f>
        <v/>
      </c>
      <c r="K7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5" s="1" t="str">
        <f ca="1">IF(Merge1[[#This Row],[Consecutive from 2023]]&gt;=5,"ALERT","")</f>
        <v/>
      </c>
    </row>
    <row r="76" spans="1:12" hidden="1" x14ac:dyDescent="0.35">
      <c r="A76" s="1" t="s">
        <v>105</v>
      </c>
      <c r="B76" s="1" t="s">
        <v>174</v>
      </c>
      <c r="C76" s="1" t="s">
        <v>34</v>
      </c>
      <c r="D76">
        <v>2019</v>
      </c>
      <c r="E76">
        <v>6.8</v>
      </c>
      <c r="F76">
        <v>0.68</v>
      </c>
      <c r="G76">
        <v>-6.12</v>
      </c>
      <c r="H76">
        <v>0</v>
      </c>
      <c r="I76">
        <f>IF(Merge1[[#This Row],[Discrepancy]]&gt;=40,1,0)</f>
        <v>0</v>
      </c>
      <c r="J76" t="str">
        <f>IF(Merge1[[#This Row],[Year]]=2023,Merge1[[#This Row],[High Discrepancy2]],"")</f>
        <v/>
      </c>
      <c r="K7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6" s="1" t="str">
        <f ca="1">IF(Merge1[[#This Row],[Consecutive from 2023]]&gt;=5,"ALERT","")</f>
        <v/>
      </c>
    </row>
    <row r="77" spans="1:12" hidden="1" x14ac:dyDescent="0.35">
      <c r="A77" s="1" t="s">
        <v>105</v>
      </c>
      <c r="B77" s="1" t="s">
        <v>174</v>
      </c>
      <c r="C77" s="1" t="s">
        <v>34</v>
      </c>
      <c r="D77">
        <v>2018</v>
      </c>
      <c r="E77">
        <v>6.3</v>
      </c>
      <c r="F77">
        <v>0.56999999999999995</v>
      </c>
      <c r="G77">
        <v>-5.7299999999999995</v>
      </c>
      <c r="H77">
        <v>0</v>
      </c>
      <c r="I77">
        <f>IF(Merge1[[#This Row],[Discrepancy]]&gt;=40,1,0)</f>
        <v>0</v>
      </c>
      <c r="J77" t="str">
        <f>IF(Merge1[[#This Row],[Year]]=2023,Merge1[[#This Row],[High Discrepancy2]],"")</f>
        <v/>
      </c>
      <c r="K7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7" s="1" t="str">
        <f ca="1">IF(Merge1[[#This Row],[Consecutive from 2023]]&gt;=5,"ALERT","")</f>
        <v/>
      </c>
    </row>
    <row r="78" spans="1:12" hidden="1" x14ac:dyDescent="0.35">
      <c r="A78" s="1" t="s">
        <v>105</v>
      </c>
      <c r="B78" s="1" t="s">
        <v>174</v>
      </c>
      <c r="C78" s="1" t="s">
        <v>34</v>
      </c>
      <c r="D78">
        <v>2017</v>
      </c>
      <c r="E78">
        <v>4.2</v>
      </c>
      <c r="F78">
        <v>0.54</v>
      </c>
      <c r="G78">
        <v>-3.66</v>
      </c>
      <c r="H78">
        <v>0</v>
      </c>
      <c r="I78">
        <f>IF(Merge1[[#This Row],[Discrepancy]]&gt;=40,1,0)</f>
        <v>0</v>
      </c>
      <c r="J78" t="str">
        <f>IF(Merge1[[#This Row],[Year]]=2023,Merge1[[#This Row],[High Discrepancy2]],"")</f>
        <v/>
      </c>
      <c r="K7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8" s="1" t="str">
        <f ca="1">IF(Merge1[[#This Row],[Consecutive from 2023]]&gt;=5,"ALERT","")</f>
        <v/>
      </c>
    </row>
    <row r="79" spans="1:12" hidden="1" x14ac:dyDescent="0.35">
      <c r="A79" s="1" t="s">
        <v>105</v>
      </c>
      <c r="B79" s="1" t="s">
        <v>174</v>
      </c>
      <c r="C79" s="1" t="s">
        <v>34</v>
      </c>
      <c r="D79">
        <v>2016</v>
      </c>
      <c r="E79">
        <v>5.3</v>
      </c>
      <c r="F79">
        <v>0.42</v>
      </c>
      <c r="G79">
        <v>-4.88</v>
      </c>
      <c r="H79">
        <v>0</v>
      </c>
      <c r="I79">
        <f>IF(Merge1[[#This Row],[Discrepancy]]&gt;=40,1,0)</f>
        <v>0</v>
      </c>
      <c r="J79" t="str">
        <f>IF(Merge1[[#This Row],[Year]]=2023,Merge1[[#This Row],[High Discrepancy2]],"")</f>
        <v/>
      </c>
      <c r="K7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79" s="1" t="str">
        <f ca="1">IF(Merge1[[#This Row],[Consecutive from 2023]]&gt;=5,"ALERT","")</f>
        <v/>
      </c>
    </row>
    <row r="80" spans="1:12" hidden="1" x14ac:dyDescent="0.35">
      <c r="A80" s="1" t="s">
        <v>105</v>
      </c>
      <c r="B80" s="1" t="s">
        <v>174</v>
      </c>
      <c r="C80" s="1" t="s">
        <v>34</v>
      </c>
      <c r="D80">
        <v>2015</v>
      </c>
      <c r="E80">
        <v>4.8</v>
      </c>
      <c r="F80">
        <v>0.03</v>
      </c>
      <c r="G80">
        <v>-4.7699999999999996</v>
      </c>
      <c r="H80">
        <v>0</v>
      </c>
      <c r="I80">
        <f>IF(Merge1[[#This Row],[Discrepancy]]&gt;=40,1,0)</f>
        <v>0</v>
      </c>
      <c r="J80" t="str">
        <f>IF(Merge1[[#This Row],[Year]]=2023,Merge1[[#This Row],[High Discrepancy2]],"")</f>
        <v/>
      </c>
      <c r="K8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0" s="1" t="str">
        <f ca="1">IF(Merge1[[#This Row],[Consecutive from 2023]]&gt;=5,"ALERT","")</f>
        <v/>
      </c>
    </row>
    <row r="81" spans="1:12" hidden="1" x14ac:dyDescent="0.35">
      <c r="A81" s="1" t="s">
        <v>105</v>
      </c>
      <c r="B81" s="1" t="s">
        <v>174</v>
      </c>
      <c r="C81" s="1" t="s">
        <v>34</v>
      </c>
      <c r="D81">
        <v>2014</v>
      </c>
      <c r="E81">
        <v>4.3</v>
      </c>
      <c r="F81">
        <v>0.03</v>
      </c>
      <c r="G81">
        <v>-4.2699999999999996</v>
      </c>
      <c r="H81">
        <v>0</v>
      </c>
      <c r="I81">
        <f>IF(Merge1[[#This Row],[Discrepancy]]&gt;=40,1,0)</f>
        <v>0</v>
      </c>
      <c r="J81" t="str">
        <f>IF(Merge1[[#This Row],[Year]]=2023,Merge1[[#This Row],[High Discrepancy2]],"")</f>
        <v/>
      </c>
      <c r="K8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1" s="1" t="str">
        <f ca="1">IF(Merge1[[#This Row],[Consecutive from 2023]]&gt;=5,"ALERT","")</f>
        <v/>
      </c>
    </row>
    <row r="82" spans="1:12" hidden="1" x14ac:dyDescent="0.35">
      <c r="A82" s="1" t="s">
        <v>105</v>
      </c>
      <c r="B82" s="1" t="s">
        <v>174</v>
      </c>
      <c r="C82" s="1" t="s">
        <v>34</v>
      </c>
      <c r="D82">
        <v>2013</v>
      </c>
      <c r="E82">
        <v>3.8</v>
      </c>
      <c r="F82">
        <v>0.03</v>
      </c>
      <c r="G82">
        <v>-3.77</v>
      </c>
      <c r="H82">
        <v>0</v>
      </c>
      <c r="I82">
        <f>IF(Merge1[[#This Row],[Discrepancy]]&gt;=40,1,0)</f>
        <v>0</v>
      </c>
      <c r="J82" t="str">
        <f>IF(Merge1[[#This Row],[Year]]=2023,Merge1[[#This Row],[High Discrepancy2]],"")</f>
        <v/>
      </c>
      <c r="K8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2" s="1" t="str">
        <f ca="1">IF(Merge1[[#This Row],[Consecutive from 2023]]&gt;=5,"ALERT","")</f>
        <v/>
      </c>
    </row>
    <row r="83" spans="1:12" hidden="1" x14ac:dyDescent="0.35">
      <c r="A83" s="1" t="s">
        <v>105</v>
      </c>
      <c r="B83" s="1" t="s">
        <v>174</v>
      </c>
      <c r="C83" s="1" t="s">
        <v>34</v>
      </c>
      <c r="D83">
        <v>2012</v>
      </c>
      <c r="E83">
        <v>3.3</v>
      </c>
      <c r="F83">
        <v>0.01</v>
      </c>
      <c r="G83">
        <v>-3.29</v>
      </c>
      <c r="H83">
        <v>0</v>
      </c>
      <c r="I83">
        <f>IF(Merge1[[#This Row],[Discrepancy]]&gt;=40,1,0)</f>
        <v>0</v>
      </c>
      <c r="J83" t="str">
        <f>IF(Merge1[[#This Row],[Year]]=2023,Merge1[[#This Row],[High Discrepancy2]],"")</f>
        <v/>
      </c>
      <c r="K8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3" s="1" t="str">
        <f ca="1">IF(Merge1[[#This Row],[Consecutive from 2023]]&gt;=5,"ALERT","")</f>
        <v/>
      </c>
    </row>
    <row r="84" spans="1:12" hidden="1" x14ac:dyDescent="0.35">
      <c r="A84" s="1" t="s">
        <v>105</v>
      </c>
      <c r="B84" s="1" t="s">
        <v>174</v>
      </c>
      <c r="C84" s="1" t="s">
        <v>34</v>
      </c>
      <c r="D84">
        <v>2011</v>
      </c>
      <c r="E84">
        <v>2.8</v>
      </c>
      <c r="F84" t="s">
        <v>136</v>
      </c>
      <c r="I84">
        <f>IF(Merge1[[#This Row],[Discrepancy]]&gt;=40,1,0)</f>
        <v>0</v>
      </c>
      <c r="J84" t="str">
        <f>IF(Merge1[[#This Row],[Year]]=2023,Merge1[[#This Row],[High Discrepancy2]],"")</f>
        <v/>
      </c>
      <c r="K8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4" s="1" t="str">
        <f ca="1">IF(Merge1[[#This Row],[Consecutive from 2023]]&gt;=5,"ALERT","")</f>
        <v/>
      </c>
    </row>
    <row r="85" spans="1:12" hidden="1" x14ac:dyDescent="0.35">
      <c r="A85" s="1" t="s">
        <v>105</v>
      </c>
      <c r="B85" s="1" t="s">
        <v>174</v>
      </c>
      <c r="C85" s="1" t="s">
        <v>34</v>
      </c>
      <c r="D85">
        <v>2010</v>
      </c>
      <c r="E85">
        <v>1.5</v>
      </c>
      <c r="F85" t="s">
        <v>136</v>
      </c>
      <c r="I85">
        <f>IF(Merge1[[#This Row],[Discrepancy]]&gt;=40,1,0)</f>
        <v>0</v>
      </c>
      <c r="J85" t="str">
        <f>IF(Merge1[[#This Row],[Year]]=2023,Merge1[[#This Row],[High Discrepancy2]],"")</f>
        <v/>
      </c>
      <c r="K8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5" s="1" t="str">
        <f ca="1">IF(Merge1[[#This Row],[Consecutive from 2023]]&gt;=5,"ALERT","")</f>
        <v/>
      </c>
    </row>
    <row r="86" spans="1:12" hidden="1" x14ac:dyDescent="0.35">
      <c r="A86" s="1" t="s">
        <v>124</v>
      </c>
      <c r="B86" s="1" t="s">
        <v>176</v>
      </c>
      <c r="C86" s="1" t="s">
        <v>41</v>
      </c>
      <c r="D86">
        <v>2023</v>
      </c>
      <c r="E86">
        <v>87.7</v>
      </c>
      <c r="F86">
        <v>8.32</v>
      </c>
      <c r="G86">
        <v>-79.38</v>
      </c>
      <c r="H86">
        <v>0</v>
      </c>
      <c r="I86">
        <f>IF(Merge1[[#This Row],[Discrepancy]]&gt;=40,1,0)</f>
        <v>0</v>
      </c>
      <c r="J86">
        <f>IF(Merge1[[#This Row],[Year]]=2023,Merge1[[#This Row],[High Discrepancy2]],"")</f>
        <v>0</v>
      </c>
      <c r="K8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6" s="1" t="str">
        <f ca="1">IF(Merge1[[#This Row],[Consecutive from 2023]]&gt;=5,"ALERT","")</f>
        <v/>
      </c>
    </row>
    <row r="87" spans="1:12" hidden="1" x14ac:dyDescent="0.35">
      <c r="A87" s="1" t="s">
        <v>124</v>
      </c>
      <c r="B87" s="1" t="s">
        <v>176</v>
      </c>
      <c r="C87" s="1" t="s">
        <v>41</v>
      </c>
      <c r="D87">
        <v>2022</v>
      </c>
      <c r="E87">
        <v>86.5</v>
      </c>
      <c r="F87">
        <v>6.22</v>
      </c>
      <c r="G87">
        <v>-80.28</v>
      </c>
      <c r="H87">
        <v>0</v>
      </c>
      <c r="I87">
        <f>IF(Merge1[[#This Row],[Discrepancy]]&gt;=40,1,0)</f>
        <v>0</v>
      </c>
      <c r="J87" t="str">
        <f>IF(Merge1[[#This Row],[Year]]=2023,Merge1[[#This Row],[High Discrepancy2]],"")</f>
        <v/>
      </c>
      <c r="K8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7" s="1" t="str">
        <f ca="1">IF(Merge1[[#This Row],[Consecutive from 2023]]&gt;=5,"ALERT","")</f>
        <v/>
      </c>
    </row>
    <row r="88" spans="1:12" hidden="1" x14ac:dyDescent="0.35">
      <c r="A88" s="1" t="s">
        <v>124</v>
      </c>
      <c r="B88" s="1" t="s">
        <v>176</v>
      </c>
      <c r="C88" s="1" t="s">
        <v>41</v>
      </c>
      <c r="D88">
        <v>2021</v>
      </c>
      <c r="E88">
        <v>89.3</v>
      </c>
      <c r="F88">
        <v>4.8499999999999996</v>
      </c>
      <c r="G88">
        <v>-84.45</v>
      </c>
      <c r="H88">
        <v>0</v>
      </c>
      <c r="I88">
        <f>IF(Merge1[[#This Row],[Discrepancy]]&gt;=40,1,0)</f>
        <v>0</v>
      </c>
      <c r="J88" t="str">
        <f>IF(Merge1[[#This Row],[Year]]=2023,Merge1[[#This Row],[High Discrepancy2]],"")</f>
        <v/>
      </c>
      <c r="K8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8" s="1" t="str">
        <f ca="1">IF(Merge1[[#This Row],[Consecutive from 2023]]&gt;=5,"ALERT","")</f>
        <v/>
      </c>
    </row>
    <row r="89" spans="1:12" hidden="1" x14ac:dyDescent="0.35">
      <c r="A89" s="1" t="s">
        <v>124</v>
      </c>
      <c r="B89" s="1" t="s">
        <v>176</v>
      </c>
      <c r="C89" s="1" t="s">
        <v>41</v>
      </c>
      <c r="D89">
        <v>2020</v>
      </c>
      <c r="E89">
        <v>90</v>
      </c>
      <c r="F89">
        <v>4.2</v>
      </c>
      <c r="G89">
        <v>-85.8</v>
      </c>
      <c r="H89">
        <v>0</v>
      </c>
      <c r="I89">
        <f>IF(Merge1[[#This Row],[Discrepancy]]&gt;=40,1,0)</f>
        <v>0</v>
      </c>
      <c r="J89" t="str">
        <f>IF(Merge1[[#This Row],[Year]]=2023,Merge1[[#This Row],[High Discrepancy2]],"")</f>
        <v/>
      </c>
      <c r="K8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89" s="1" t="str">
        <f ca="1">IF(Merge1[[#This Row],[Consecutive from 2023]]&gt;=5,"ALERT","")</f>
        <v/>
      </c>
    </row>
    <row r="90" spans="1:12" hidden="1" x14ac:dyDescent="0.35">
      <c r="A90" s="1" t="s">
        <v>124</v>
      </c>
      <c r="B90" s="1" t="s">
        <v>176</v>
      </c>
      <c r="C90" s="1" t="s">
        <v>41</v>
      </c>
      <c r="D90">
        <v>2019</v>
      </c>
      <c r="E90">
        <v>85</v>
      </c>
      <c r="F90">
        <v>3.12</v>
      </c>
      <c r="G90">
        <v>-81.88</v>
      </c>
      <c r="H90">
        <v>0</v>
      </c>
      <c r="I90">
        <f>IF(Merge1[[#This Row],[Discrepancy]]&gt;=40,1,0)</f>
        <v>0</v>
      </c>
      <c r="J90" t="str">
        <f>IF(Merge1[[#This Row],[Year]]=2023,Merge1[[#This Row],[High Discrepancy2]],"")</f>
        <v/>
      </c>
      <c r="K9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0" s="1" t="str">
        <f ca="1">IF(Merge1[[#This Row],[Consecutive from 2023]]&gt;=5,"ALERT","")</f>
        <v/>
      </c>
    </row>
    <row r="91" spans="1:12" hidden="1" x14ac:dyDescent="0.35">
      <c r="A91" s="1" t="s">
        <v>124</v>
      </c>
      <c r="B91" s="1" t="s">
        <v>176</v>
      </c>
      <c r="C91" s="1" t="s">
        <v>41</v>
      </c>
      <c r="D91">
        <v>2018</v>
      </c>
      <c r="E91">
        <v>84.7</v>
      </c>
      <c r="F91">
        <v>2.79</v>
      </c>
      <c r="G91">
        <v>-81.91</v>
      </c>
      <c r="H91">
        <v>0</v>
      </c>
      <c r="I91">
        <f>IF(Merge1[[#This Row],[Discrepancy]]&gt;=40,1,0)</f>
        <v>0</v>
      </c>
      <c r="J91" t="str">
        <f>IF(Merge1[[#This Row],[Year]]=2023,Merge1[[#This Row],[High Discrepancy2]],"")</f>
        <v/>
      </c>
      <c r="K9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1" s="1" t="str">
        <f ca="1">IF(Merge1[[#This Row],[Consecutive from 2023]]&gt;=5,"ALERT","")</f>
        <v/>
      </c>
    </row>
    <row r="92" spans="1:12" hidden="1" x14ac:dyDescent="0.35">
      <c r="A92" s="1" t="s">
        <v>124</v>
      </c>
      <c r="B92" s="1" t="s">
        <v>176</v>
      </c>
      <c r="C92" s="1" t="s">
        <v>41</v>
      </c>
      <c r="D92">
        <v>2017</v>
      </c>
      <c r="E92">
        <v>84.4</v>
      </c>
      <c r="F92">
        <v>2.34</v>
      </c>
      <c r="G92">
        <v>-82.06</v>
      </c>
      <c r="H92">
        <v>0</v>
      </c>
      <c r="I92">
        <f>IF(Merge1[[#This Row],[Discrepancy]]&gt;=40,1,0)</f>
        <v>0</v>
      </c>
      <c r="J92" t="str">
        <f>IF(Merge1[[#This Row],[Year]]=2023,Merge1[[#This Row],[High Discrepancy2]],"")</f>
        <v/>
      </c>
      <c r="K9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2" s="1" t="str">
        <f ca="1">IF(Merge1[[#This Row],[Consecutive from 2023]]&gt;=5,"ALERT","")</f>
        <v/>
      </c>
    </row>
    <row r="93" spans="1:12" hidden="1" x14ac:dyDescent="0.35">
      <c r="A93" s="1" t="s">
        <v>124</v>
      </c>
      <c r="B93" s="1" t="s">
        <v>176</v>
      </c>
      <c r="C93" s="1" t="s">
        <v>41</v>
      </c>
      <c r="D93">
        <v>2016</v>
      </c>
      <c r="E93">
        <v>83.9</v>
      </c>
      <c r="F93">
        <v>2.0699999999999998</v>
      </c>
      <c r="G93">
        <v>-81.830000000000013</v>
      </c>
      <c r="H93">
        <v>0</v>
      </c>
      <c r="I93">
        <f>IF(Merge1[[#This Row],[Discrepancy]]&gt;=40,1,0)</f>
        <v>0</v>
      </c>
      <c r="J93" t="str">
        <f>IF(Merge1[[#This Row],[Year]]=2023,Merge1[[#This Row],[High Discrepancy2]],"")</f>
        <v/>
      </c>
      <c r="K9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3" s="1" t="str">
        <f ca="1">IF(Merge1[[#This Row],[Consecutive from 2023]]&gt;=5,"ALERT","")</f>
        <v/>
      </c>
    </row>
    <row r="94" spans="1:12" hidden="1" x14ac:dyDescent="0.35">
      <c r="A94" s="1" t="s">
        <v>124</v>
      </c>
      <c r="B94" s="1" t="s">
        <v>176</v>
      </c>
      <c r="C94" s="1" t="s">
        <v>41</v>
      </c>
      <c r="D94">
        <v>2015</v>
      </c>
      <c r="E94">
        <v>85.3</v>
      </c>
      <c r="F94">
        <v>1.65</v>
      </c>
      <c r="G94">
        <v>-83.649999999999991</v>
      </c>
      <c r="H94">
        <v>0</v>
      </c>
      <c r="I94">
        <f>IF(Merge1[[#This Row],[Discrepancy]]&gt;=40,1,0)</f>
        <v>0</v>
      </c>
      <c r="J94" t="str">
        <f>IF(Merge1[[#This Row],[Year]]=2023,Merge1[[#This Row],[High Discrepancy2]],"")</f>
        <v/>
      </c>
      <c r="K9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4" s="1" t="str">
        <f ca="1">IF(Merge1[[#This Row],[Consecutive from 2023]]&gt;=5,"ALERT","")</f>
        <v/>
      </c>
    </row>
    <row r="95" spans="1:12" hidden="1" x14ac:dyDescent="0.35">
      <c r="A95" s="1" t="s">
        <v>124</v>
      </c>
      <c r="B95" s="1" t="s">
        <v>176</v>
      </c>
      <c r="C95" s="1" t="s">
        <v>41</v>
      </c>
      <c r="D95">
        <v>2014</v>
      </c>
      <c r="E95">
        <v>85.9</v>
      </c>
      <c r="F95">
        <v>1.03</v>
      </c>
      <c r="G95">
        <v>-84.87</v>
      </c>
      <c r="H95">
        <v>0</v>
      </c>
      <c r="I95">
        <f>IF(Merge1[[#This Row],[Discrepancy]]&gt;=40,1,0)</f>
        <v>0</v>
      </c>
      <c r="J95" t="str">
        <f>IF(Merge1[[#This Row],[Year]]=2023,Merge1[[#This Row],[High Discrepancy2]],"")</f>
        <v/>
      </c>
      <c r="K9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5" s="1" t="str">
        <f ca="1">IF(Merge1[[#This Row],[Consecutive from 2023]]&gt;=5,"ALERT","")</f>
        <v/>
      </c>
    </row>
    <row r="96" spans="1:12" hidden="1" x14ac:dyDescent="0.35">
      <c r="A96" s="1" t="s">
        <v>124</v>
      </c>
      <c r="B96" s="1" t="s">
        <v>176</v>
      </c>
      <c r="C96" s="1" t="s">
        <v>41</v>
      </c>
      <c r="D96">
        <v>2013</v>
      </c>
      <c r="E96">
        <v>85.2</v>
      </c>
      <c r="F96">
        <v>0.66</v>
      </c>
      <c r="G96">
        <v>-84.54</v>
      </c>
      <c r="H96">
        <v>0</v>
      </c>
      <c r="I96">
        <f>IF(Merge1[[#This Row],[Discrepancy]]&gt;=40,1,0)</f>
        <v>0</v>
      </c>
      <c r="J96" t="str">
        <f>IF(Merge1[[#This Row],[Year]]=2023,Merge1[[#This Row],[High Discrepancy2]],"")</f>
        <v/>
      </c>
      <c r="K9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6" s="1" t="str">
        <f ca="1">IF(Merge1[[#This Row],[Consecutive from 2023]]&gt;=5,"ALERT","")</f>
        <v/>
      </c>
    </row>
    <row r="97" spans="1:12" hidden="1" x14ac:dyDescent="0.35">
      <c r="A97" s="1" t="s">
        <v>124</v>
      </c>
      <c r="B97" s="1" t="s">
        <v>176</v>
      </c>
      <c r="C97" s="1" t="s">
        <v>41</v>
      </c>
      <c r="D97">
        <v>2012</v>
      </c>
      <c r="E97">
        <v>85.2</v>
      </c>
      <c r="F97">
        <v>0.71</v>
      </c>
      <c r="G97">
        <v>-84.490000000000009</v>
      </c>
      <c r="H97">
        <v>0</v>
      </c>
      <c r="I97">
        <f>IF(Merge1[[#This Row],[Discrepancy]]&gt;=40,1,0)</f>
        <v>0</v>
      </c>
      <c r="J97" t="str">
        <f>IF(Merge1[[#This Row],[Year]]=2023,Merge1[[#This Row],[High Discrepancy2]],"")</f>
        <v/>
      </c>
      <c r="K9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7" s="1" t="str">
        <f ca="1">IF(Merge1[[#This Row],[Consecutive from 2023]]&gt;=5,"ALERT","")</f>
        <v/>
      </c>
    </row>
    <row r="98" spans="1:12" hidden="1" x14ac:dyDescent="0.35">
      <c r="A98" s="1" t="s">
        <v>124</v>
      </c>
      <c r="B98" s="1" t="s">
        <v>176</v>
      </c>
      <c r="C98" s="1" t="s">
        <v>41</v>
      </c>
      <c r="D98">
        <v>2011</v>
      </c>
      <c r="E98">
        <v>83.6</v>
      </c>
      <c r="F98">
        <v>0.96</v>
      </c>
      <c r="G98">
        <v>-82.64</v>
      </c>
      <c r="H98">
        <v>0</v>
      </c>
      <c r="I98">
        <f>IF(Merge1[[#This Row],[Discrepancy]]&gt;=40,1,0)</f>
        <v>0</v>
      </c>
      <c r="J98" t="str">
        <f>IF(Merge1[[#This Row],[Year]]=2023,Merge1[[#This Row],[High Discrepancy2]],"")</f>
        <v/>
      </c>
      <c r="K9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8" s="1" t="str">
        <f ca="1">IF(Merge1[[#This Row],[Consecutive from 2023]]&gt;=5,"ALERT","")</f>
        <v/>
      </c>
    </row>
    <row r="99" spans="1:12" hidden="1" x14ac:dyDescent="0.35">
      <c r="A99" s="1" t="s">
        <v>124</v>
      </c>
      <c r="B99" s="1" t="s">
        <v>176</v>
      </c>
      <c r="C99" s="1" t="s">
        <v>41</v>
      </c>
      <c r="D99">
        <v>2010</v>
      </c>
      <c r="E99">
        <v>82.8</v>
      </c>
      <c r="F99">
        <v>0.9</v>
      </c>
      <c r="G99">
        <v>-81.899999999999991</v>
      </c>
      <c r="H99">
        <v>0</v>
      </c>
      <c r="I99">
        <f>IF(Merge1[[#This Row],[Discrepancy]]&gt;=40,1,0)</f>
        <v>0</v>
      </c>
      <c r="J99" t="str">
        <f>IF(Merge1[[#This Row],[Year]]=2023,Merge1[[#This Row],[High Discrepancy2]],"")</f>
        <v/>
      </c>
      <c r="K9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99" s="1" t="str">
        <f ca="1">IF(Merge1[[#This Row],[Consecutive from 2023]]&gt;=5,"ALERT","")</f>
        <v/>
      </c>
    </row>
    <row r="100" spans="1:12" hidden="1" x14ac:dyDescent="0.35">
      <c r="A100" s="1" t="s">
        <v>57</v>
      </c>
      <c r="B100" s="1" t="s">
        <v>174</v>
      </c>
      <c r="C100" s="1" t="s">
        <v>34</v>
      </c>
      <c r="D100">
        <v>2017</v>
      </c>
      <c r="E100">
        <v>44.3</v>
      </c>
      <c r="F100">
        <v>99.99</v>
      </c>
      <c r="G100">
        <v>55.69</v>
      </c>
      <c r="H100">
        <v>1</v>
      </c>
      <c r="I100">
        <f>IF(Merge1[[#This Row],[Discrepancy]]&gt;=40,1,0)</f>
        <v>1</v>
      </c>
      <c r="J100" t="str">
        <f>IF(Merge1[[#This Row],[Year]]=2023,Merge1[[#This Row],[High Discrepancy2]],"")</f>
        <v/>
      </c>
      <c r="K10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0" s="1" t="str">
        <f ca="1">IF(Merge1[[#This Row],[Consecutive from 2023]]&gt;=5,"ALERT","")</f>
        <v/>
      </c>
    </row>
    <row r="101" spans="1:12" hidden="1" x14ac:dyDescent="0.35">
      <c r="A101" s="1" t="s">
        <v>57</v>
      </c>
      <c r="B101" s="1" t="s">
        <v>174</v>
      </c>
      <c r="C101" s="1" t="s">
        <v>34</v>
      </c>
      <c r="D101">
        <v>2016</v>
      </c>
      <c r="E101">
        <v>42.9</v>
      </c>
      <c r="F101">
        <v>99.99</v>
      </c>
      <c r="G101">
        <v>57.089999999999996</v>
      </c>
      <c r="H101">
        <v>1</v>
      </c>
      <c r="I101">
        <f>IF(Merge1[[#This Row],[Discrepancy]]&gt;=40,1,0)</f>
        <v>1</v>
      </c>
      <c r="J101" t="str">
        <f>IF(Merge1[[#This Row],[Year]]=2023,Merge1[[#This Row],[High Discrepancy2]],"")</f>
        <v/>
      </c>
      <c r="K10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1" s="1" t="str">
        <f ca="1">IF(Merge1[[#This Row],[Consecutive from 2023]]&gt;=5,"ALERT","")</f>
        <v/>
      </c>
    </row>
    <row r="102" spans="1:12" hidden="1" x14ac:dyDescent="0.35">
      <c r="A102" s="1" t="s">
        <v>57</v>
      </c>
      <c r="B102" s="1" t="s">
        <v>174</v>
      </c>
      <c r="C102" s="1" t="s">
        <v>34</v>
      </c>
      <c r="D102">
        <v>2015</v>
      </c>
      <c r="E102">
        <v>29</v>
      </c>
      <c r="F102">
        <v>99.97</v>
      </c>
      <c r="G102">
        <v>70.97</v>
      </c>
      <c r="H102">
        <v>1</v>
      </c>
      <c r="I102">
        <f>IF(Merge1[[#This Row],[Discrepancy]]&gt;=40,1,0)</f>
        <v>1</v>
      </c>
      <c r="J102" t="str">
        <f>IF(Merge1[[#This Row],[Year]]=2023,Merge1[[#This Row],[High Discrepancy2]],"")</f>
        <v/>
      </c>
      <c r="K10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2" s="1" t="str">
        <f ca="1">IF(Merge1[[#This Row],[Consecutive from 2023]]&gt;=5,"ALERT","")</f>
        <v/>
      </c>
    </row>
    <row r="103" spans="1:12" hidden="1" x14ac:dyDescent="0.35">
      <c r="A103" s="1" t="s">
        <v>57</v>
      </c>
      <c r="B103" s="1" t="s">
        <v>174</v>
      </c>
      <c r="C103" s="1" t="s">
        <v>34</v>
      </c>
      <c r="D103">
        <v>2014</v>
      </c>
      <c r="E103">
        <v>27.2</v>
      </c>
      <c r="F103">
        <v>99.96</v>
      </c>
      <c r="G103">
        <v>72.759999999999991</v>
      </c>
      <c r="H103">
        <v>1</v>
      </c>
      <c r="I103">
        <f>IF(Merge1[[#This Row],[Discrepancy]]&gt;=40,1,0)</f>
        <v>1</v>
      </c>
      <c r="J103" t="str">
        <f>IF(Merge1[[#This Row],[Year]]=2023,Merge1[[#This Row],[High Discrepancy2]],"")</f>
        <v/>
      </c>
      <c r="K10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3" s="1" t="str">
        <f ca="1">IF(Merge1[[#This Row],[Consecutive from 2023]]&gt;=5,"ALERT","")</f>
        <v/>
      </c>
    </row>
    <row r="104" spans="1:12" hidden="1" x14ac:dyDescent="0.35">
      <c r="A104" s="1" t="s">
        <v>57</v>
      </c>
      <c r="B104" s="1" t="s">
        <v>174</v>
      </c>
      <c r="C104" s="1" t="s">
        <v>34</v>
      </c>
      <c r="D104">
        <v>2013</v>
      </c>
      <c r="E104">
        <v>30.8</v>
      </c>
      <c r="F104">
        <v>99.91</v>
      </c>
      <c r="G104">
        <v>69.11</v>
      </c>
      <c r="H104">
        <v>1</v>
      </c>
      <c r="I104">
        <f>IF(Merge1[[#This Row],[Discrepancy]]&gt;=40,1,0)</f>
        <v>1</v>
      </c>
      <c r="J104" t="str">
        <f>IF(Merge1[[#This Row],[Year]]=2023,Merge1[[#This Row],[High Discrepancy2]],"")</f>
        <v/>
      </c>
      <c r="K10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4" s="1" t="str">
        <f ca="1">IF(Merge1[[#This Row],[Consecutive from 2023]]&gt;=5,"ALERT","")</f>
        <v/>
      </c>
    </row>
    <row r="105" spans="1:12" hidden="1" x14ac:dyDescent="0.35">
      <c r="A105" s="1" t="s">
        <v>57</v>
      </c>
      <c r="B105" s="1" t="s">
        <v>174</v>
      </c>
      <c r="C105" s="1" t="s">
        <v>34</v>
      </c>
      <c r="D105">
        <v>2012</v>
      </c>
      <c r="E105">
        <v>29</v>
      </c>
      <c r="F105">
        <v>99.84</v>
      </c>
      <c r="G105">
        <v>70.84</v>
      </c>
      <c r="H105">
        <v>1</v>
      </c>
      <c r="I105">
        <f>IF(Merge1[[#This Row],[Discrepancy]]&gt;=40,1,0)</f>
        <v>1</v>
      </c>
      <c r="J105" t="str">
        <f>IF(Merge1[[#This Row],[Year]]=2023,Merge1[[#This Row],[High Discrepancy2]],"")</f>
        <v/>
      </c>
      <c r="K10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5" s="1" t="str">
        <f ca="1">IF(Merge1[[#This Row],[Consecutive from 2023]]&gt;=5,"ALERT","")</f>
        <v/>
      </c>
    </row>
    <row r="106" spans="1:12" hidden="1" x14ac:dyDescent="0.35">
      <c r="A106" s="1" t="s">
        <v>57</v>
      </c>
      <c r="B106" s="1" t="s">
        <v>174</v>
      </c>
      <c r="C106" s="1" t="s">
        <v>34</v>
      </c>
      <c r="D106">
        <v>2011</v>
      </c>
      <c r="E106">
        <v>23</v>
      </c>
      <c r="F106">
        <v>99.42</v>
      </c>
      <c r="G106">
        <v>76.42</v>
      </c>
      <c r="H106">
        <v>1</v>
      </c>
      <c r="I106">
        <f>IF(Merge1[[#This Row],[Discrepancy]]&gt;=40,1,0)</f>
        <v>1</v>
      </c>
      <c r="J106" t="str">
        <f>IF(Merge1[[#This Row],[Year]]=2023,Merge1[[#This Row],[High Discrepancy2]],"")</f>
        <v/>
      </c>
      <c r="K10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6" s="1" t="str">
        <f ca="1">IF(Merge1[[#This Row],[Consecutive from 2023]]&gt;=5,"ALERT","")</f>
        <v/>
      </c>
    </row>
    <row r="107" spans="1:12" hidden="1" x14ac:dyDescent="0.35">
      <c r="A107" s="1" t="s">
        <v>57</v>
      </c>
      <c r="B107" s="1" t="s">
        <v>174</v>
      </c>
      <c r="C107" s="1" t="s">
        <v>34</v>
      </c>
      <c r="D107">
        <v>2010</v>
      </c>
      <c r="E107">
        <v>25.5</v>
      </c>
      <c r="F107">
        <v>99.38</v>
      </c>
      <c r="G107">
        <v>73.88</v>
      </c>
      <c r="H107">
        <v>1</v>
      </c>
      <c r="I107">
        <f>IF(Merge1[[#This Row],[Discrepancy]]&gt;=40,1,0)</f>
        <v>1</v>
      </c>
      <c r="J107" t="str">
        <f>IF(Merge1[[#This Row],[Year]]=2023,Merge1[[#This Row],[High Discrepancy2]],"")</f>
        <v/>
      </c>
      <c r="K10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7" s="1" t="str">
        <f ca="1">IF(Merge1[[#This Row],[Consecutive from 2023]]&gt;=5,"ALERT","")</f>
        <v/>
      </c>
    </row>
    <row r="108" spans="1:12" hidden="1" x14ac:dyDescent="0.35">
      <c r="A108" s="1" t="s">
        <v>63</v>
      </c>
      <c r="B108" s="1" t="s">
        <v>175</v>
      </c>
      <c r="C108" s="1" t="s">
        <v>31</v>
      </c>
      <c r="D108">
        <v>2023</v>
      </c>
      <c r="E108">
        <v>51.1</v>
      </c>
      <c r="F108">
        <v>90.65</v>
      </c>
      <c r="G108">
        <v>39.550000000000004</v>
      </c>
      <c r="H108">
        <v>1</v>
      </c>
      <c r="I108">
        <f>IF(Merge1[[#This Row],[Discrepancy]]&gt;=40,1,0)</f>
        <v>0</v>
      </c>
      <c r="J108">
        <f>IF(Merge1[[#This Row],[Year]]=2023,Merge1[[#This Row],[High Discrepancy2]],"")</f>
        <v>0</v>
      </c>
      <c r="K10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8" s="1" t="str">
        <f ca="1">IF(Merge1[[#This Row],[Consecutive from 2023]]&gt;=5,"ALERT","")</f>
        <v/>
      </c>
    </row>
    <row r="109" spans="1:12" hidden="1" x14ac:dyDescent="0.35">
      <c r="A109" s="1" t="s">
        <v>63</v>
      </c>
      <c r="B109" s="1" t="s">
        <v>175</v>
      </c>
      <c r="C109" s="1" t="s">
        <v>31</v>
      </c>
      <c r="D109">
        <v>2022</v>
      </c>
      <c r="E109">
        <v>47.7</v>
      </c>
      <c r="F109">
        <v>90.64</v>
      </c>
      <c r="G109">
        <v>42.94</v>
      </c>
      <c r="H109">
        <v>1</v>
      </c>
      <c r="I109">
        <f>IF(Merge1[[#This Row],[Discrepancy]]&gt;=40,1,0)</f>
        <v>1</v>
      </c>
      <c r="J109" t="str">
        <f>IF(Merge1[[#This Row],[Year]]=2023,Merge1[[#This Row],[High Discrepancy2]],"")</f>
        <v/>
      </c>
      <c r="K10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09" s="1" t="str">
        <f ca="1">IF(Merge1[[#This Row],[Consecutive from 2023]]&gt;=5,"ALERT","")</f>
        <v/>
      </c>
    </row>
    <row r="110" spans="1:12" hidden="1" x14ac:dyDescent="0.35">
      <c r="A110" s="1" t="s">
        <v>63</v>
      </c>
      <c r="B110" s="1" t="s">
        <v>175</v>
      </c>
      <c r="C110" s="1" t="s">
        <v>31</v>
      </c>
      <c r="D110">
        <v>2021</v>
      </c>
      <c r="E110">
        <v>46.8</v>
      </c>
      <c r="F110">
        <v>88.13</v>
      </c>
      <c r="G110">
        <v>41.33</v>
      </c>
      <c r="H110">
        <v>1</v>
      </c>
      <c r="I110">
        <f>IF(Merge1[[#This Row],[Discrepancy]]&gt;=40,1,0)</f>
        <v>1</v>
      </c>
      <c r="J110" t="str">
        <f>IF(Merge1[[#This Row],[Year]]=2023,Merge1[[#This Row],[High Discrepancy2]],"")</f>
        <v/>
      </c>
      <c r="K11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0" s="1" t="str">
        <f ca="1">IF(Merge1[[#This Row],[Consecutive from 2023]]&gt;=5,"ALERT","")</f>
        <v/>
      </c>
    </row>
    <row r="111" spans="1:12" hidden="1" x14ac:dyDescent="0.35">
      <c r="A111" s="1" t="s">
        <v>63</v>
      </c>
      <c r="B111" s="1" t="s">
        <v>175</v>
      </c>
      <c r="C111" s="1" t="s">
        <v>31</v>
      </c>
      <c r="D111">
        <v>2017</v>
      </c>
      <c r="E111">
        <v>35.4</v>
      </c>
      <c r="F111">
        <v>69.3</v>
      </c>
      <c r="G111">
        <v>33.9</v>
      </c>
      <c r="H111">
        <v>1</v>
      </c>
      <c r="I111">
        <f>IF(Merge1[[#This Row],[Discrepancy]]&gt;=40,1,0)</f>
        <v>0</v>
      </c>
      <c r="J111" t="str">
        <f>IF(Merge1[[#This Row],[Year]]=2023,Merge1[[#This Row],[High Discrepancy2]],"")</f>
        <v/>
      </c>
      <c r="K11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1" s="1" t="str">
        <f ca="1">IF(Merge1[[#This Row],[Consecutive from 2023]]&gt;=5,"ALERT","")</f>
        <v/>
      </c>
    </row>
    <row r="112" spans="1:12" hidden="1" x14ac:dyDescent="0.35">
      <c r="A112" s="1" t="s">
        <v>63</v>
      </c>
      <c r="B112" s="1" t="s">
        <v>175</v>
      </c>
      <c r="C112" s="1" t="s">
        <v>31</v>
      </c>
      <c r="D112">
        <v>2016</v>
      </c>
      <c r="E112">
        <v>33.5</v>
      </c>
      <c r="F112">
        <v>67.95</v>
      </c>
      <c r="G112">
        <v>34.450000000000003</v>
      </c>
      <c r="H112">
        <v>1</v>
      </c>
      <c r="I112">
        <f>IF(Merge1[[#This Row],[Discrepancy]]&gt;=40,1,0)</f>
        <v>0</v>
      </c>
      <c r="J112" t="str">
        <f>IF(Merge1[[#This Row],[Year]]=2023,Merge1[[#This Row],[High Discrepancy2]],"")</f>
        <v/>
      </c>
      <c r="K11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2" s="1" t="str">
        <f ca="1">IF(Merge1[[#This Row],[Consecutive from 2023]]&gt;=5,"ALERT","")</f>
        <v/>
      </c>
    </row>
    <row r="113" spans="1:12" hidden="1" x14ac:dyDescent="0.35">
      <c r="A113" s="1" t="s">
        <v>63</v>
      </c>
      <c r="B113" s="1" t="s">
        <v>175</v>
      </c>
      <c r="C113" s="1" t="s">
        <v>31</v>
      </c>
      <c r="D113">
        <v>2015</v>
      </c>
      <c r="E113">
        <v>34.9</v>
      </c>
      <c r="F113">
        <v>78.87</v>
      </c>
      <c r="G113">
        <v>43.970000000000006</v>
      </c>
      <c r="H113">
        <v>1</v>
      </c>
      <c r="I113">
        <f>IF(Merge1[[#This Row],[Discrepancy]]&gt;=40,1,0)</f>
        <v>1</v>
      </c>
      <c r="J113" t="str">
        <f>IF(Merge1[[#This Row],[Year]]=2023,Merge1[[#This Row],[High Discrepancy2]],"")</f>
        <v/>
      </c>
      <c r="K11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3" s="1" t="str">
        <f ca="1">IF(Merge1[[#This Row],[Consecutive from 2023]]&gt;=5,"ALERT","")</f>
        <v/>
      </c>
    </row>
    <row r="114" spans="1:12" hidden="1" x14ac:dyDescent="0.35">
      <c r="A114" s="1" t="s">
        <v>111</v>
      </c>
      <c r="B114" s="1" t="s">
        <v>174</v>
      </c>
      <c r="C114" s="1" t="s">
        <v>113</v>
      </c>
      <c r="D114">
        <v>2023</v>
      </c>
      <c r="E114">
        <v>100</v>
      </c>
      <c r="F114">
        <v>5.7</v>
      </c>
      <c r="G114">
        <v>-94.3</v>
      </c>
      <c r="H114">
        <v>0</v>
      </c>
      <c r="I114">
        <f>IF(Merge1[[#This Row],[Discrepancy]]&gt;=40,1,0)</f>
        <v>0</v>
      </c>
      <c r="J114">
        <f>IF(Merge1[[#This Row],[Year]]=2023,Merge1[[#This Row],[High Discrepancy2]],"")</f>
        <v>0</v>
      </c>
      <c r="K11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4" s="1" t="str">
        <f ca="1">IF(Merge1[[#This Row],[Consecutive from 2023]]&gt;=5,"ALERT","")</f>
        <v/>
      </c>
    </row>
    <row r="115" spans="1:12" hidden="1" x14ac:dyDescent="0.35">
      <c r="A115" s="1" t="s">
        <v>111</v>
      </c>
      <c r="B115" s="1" t="s">
        <v>174</v>
      </c>
      <c r="C115" s="1" t="s">
        <v>113</v>
      </c>
      <c r="D115">
        <v>2022</v>
      </c>
      <c r="E115">
        <v>100</v>
      </c>
      <c r="F115">
        <v>5.91</v>
      </c>
      <c r="G115">
        <v>-94.09</v>
      </c>
      <c r="H115">
        <v>0</v>
      </c>
      <c r="I115">
        <f>IF(Merge1[[#This Row],[Discrepancy]]&gt;=40,1,0)</f>
        <v>0</v>
      </c>
      <c r="J115" t="str">
        <f>IF(Merge1[[#This Row],[Year]]=2023,Merge1[[#This Row],[High Discrepancy2]],"")</f>
        <v/>
      </c>
      <c r="K11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5" s="1" t="str">
        <f ca="1">IF(Merge1[[#This Row],[Consecutive from 2023]]&gt;=5,"ALERT","")</f>
        <v/>
      </c>
    </row>
    <row r="116" spans="1:12" hidden="1" x14ac:dyDescent="0.35">
      <c r="A116" s="1" t="s">
        <v>111</v>
      </c>
      <c r="B116" s="1" t="s">
        <v>174</v>
      </c>
      <c r="C116" s="1" t="s">
        <v>113</v>
      </c>
      <c r="D116">
        <v>2021</v>
      </c>
      <c r="E116">
        <v>100</v>
      </c>
      <c r="F116">
        <v>5.66</v>
      </c>
      <c r="G116">
        <v>-94.34</v>
      </c>
      <c r="H116">
        <v>0</v>
      </c>
      <c r="I116">
        <f>IF(Merge1[[#This Row],[Discrepancy]]&gt;=40,1,0)</f>
        <v>0</v>
      </c>
      <c r="J116" t="str">
        <f>IF(Merge1[[#This Row],[Year]]=2023,Merge1[[#This Row],[High Discrepancy2]],"")</f>
        <v/>
      </c>
      <c r="K11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6" s="1" t="str">
        <f ca="1">IF(Merge1[[#This Row],[Consecutive from 2023]]&gt;=5,"ALERT","")</f>
        <v/>
      </c>
    </row>
    <row r="117" spans="1:12" hidden="1" x14ac:dyDescent="0.35">
      <c r="A117" s="1" t="s">
        <v>111</v>
      </c>
      <c r="B117" s="1" t="s">
        <v>174</v>
      </c>
      <c r="C117" s="1" t="s">
        <v>113</v>
      </c>
      <c r="D117">
        <v>2020</v>
      </c>
      <c r="E117">
        <v>100</v>
      </c>
      <c r="F117">
        <v>3.27</v>
      </c>
      <c r="G117">
        <v>-96.73</v>
      </c>
      <c r="H117">
        <v>0</v>
      </c>
      <c r="I117">
        <f>IF(Merge1[[#This Row],[Discrepancy]]&gt;=40,1,0)</f>
        <v>0</v>
      </c>
      <c r="J117" t="str">
        <f>IF(Merge1[[#This Row],[Year]]=2023,Merge1[[#This Row],[High Discrepancy2]],"")</f>
        <v/>
      </c>
      <c r="K11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7" s="1" t="str">
        <f ca="1">IF(Merge1[[#This Row],[Consecutive from 2023]]&gt;=5,"ALERT","")</f>
        <v/>
      </c>
    </row>
    <row r="118" spans="1:12" hidden="1" x14ac:dyDescent="0.35">
      <c r="A118" s="1" t="s">
        <v>111</v>
      </c>
      <c r="B118" s="1" t="s">
        <v>174</v>
      </c>
      <c r="C118" s="1" t="s">
        <v>113</v>
      </c>
      <c r="D118">
        <v>2019</v>
      </c>
      <c r="E118">
        <v>100</v>
      </c>
      <c r="F118">
        <v>2.62</v>
      </c>
      <c r="G118">
        <v>-97.38</v>
      </c>
      <c r="H118">
        <v>0</v>
      </c>
      <c r="I118">
        <f>IF(Merge1[[#This Row],[Discrepancy]]&gt;=40,1,0)</f>
        <v>0</v>
      </c>
      <c r="J118" t="str">
        <f>IF(Merge1[[#This Row],[Year]]=2023,Merge1[[#This Row],[High Discrepancy2]],"")</f>
        <v/>
      </c>
      <c r="K11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8" s="1" t="str">
        <f ca="1">IF(Merge1[[#This Row],[Consecutive from 2023]]&gt;=5,"ALERT","")</f>
        <v/>
      </c>
    </row>
    <row r="119" spans="1:12" hidden="1" x14ac:dyDescent="0.35">
      <c r="A119" s="1" t="s">
        <v>111</v>
      </c>
      <c r="B119" s="1" t="s">
        <v>174</v>
      </c>
      <c r="C119" s="1" t="s">
        <v>113</v>
      </c>
      <c r="D119">
        <v>2018</v>
      </c>
      <c r="E119">
        <v>100</v>
      </c>
      <c r="F119">
        <v>3.07</v>
      </c>
      <c r="G119">
        <v>-96.93</v>
      </c>
      <c r="H119">
        <v>0</v>
      </c>
      <c r="I119">
        <f>IF(Merge1[[#This Row],[Discrepancy]]&gt;=40,1,0)</f>
        <v>0</v>
      </c>
      <c r="J119" t="str">
        <f>IF(Merge1[[#This Row],[Year]]=2023,Merge1[[#This Row],[High Discrepancy2]],"")</f>
        <v/>
      </c>
      <c r="K11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19" s="1" t="str">
        <f ca="1">IF(Merge1[[#This Row],[Consecutive from 2023]]&gt;=5,"ALERT","")</f>
        <v/>
      </c>
    </row>
    <row r="120" spans="1:12" hidden="1" x14ac:dyDescent="0.35">
      <c r="A120" s="1" t="s">
        <v>111</v>
      </c>
      <c r="B120" s="1" t="s">
        <v>174</v>
      </c>
      <c r="C120" s="1" t="s">
        <v>113</v>
      </c>
      <c r="D120">
        <v>2017</v>
      </c>
      <c r="E120">
        <v>100</v>
      </c>
      <c r="F120">
        <v>2.66</v>
      </c>
      <c r="G120">
        <v>-97.34</v>
      </c>
      <c r="H120">
        <v>0</v>
      </c>
      <c r="I120">
        <f>IF(Merge1[[#This Row],[Discrepancy]]&gt;=40,1,0)</f>
        <v>0</v>
      </c>
      <c r="J120" t="str">
        <f>IF(Merge1[[#This Row],[Year]]=2023,Merge1[[#This Row],[High Discrepancy2]],"")</f>
        <v/>
      </c>
      <c r="K12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0" s="1" t="str">
        <f ca="1">IF(Merge1[[#This Row],[Consecutive from 2023]]&gt;=5,"ALERT","")</f>
        <v/>
      </c>
    </row>
    <row r="121" spans="1:12" hidden="1" x14ac:dyDescent="0.35">
      <c r="A121" s="1" t="s">
        <v>111</v>
      </c>
      <c r="B121" s="1" t="s">
        <v>174</v>
      </c>
      <c r="C121" s="1" t="s">
        <v>113</v>
      </c>
      <c r="D121">
        <v>2016</v>
      </c>
      <c r="E121">
        <v>100</v>
      </c>
      <c r="F121">
        <v>2.5299999999999998</v>
      </c>
      <c r="G121">
        <v>-97.47</v>
      </c>
      <c r="H121">
        <v>0</v>
      </c>
      <c r="I121">
        <f>IF(Merge1[[#This Row],[Discrepancy]]&gt;=40,1,0)</f>
        <v>0</v>
      </c>
      <c r="J121" t="str">
        <f>IF(Merge1[[#This Row],[Year]]=2023,Merge1[[#This Row],[High Discrepancy2]],"")</f>
        <v/>
      </c>
      <c r="K12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1" s="1" t="str">
        <f ca="1">IF(Merge1[[#This Row],[Consecutive from 2023]]&gt;=5,"ALERT","")</f>
        <v/>
      </c>
    </row>
    <row r="122" spans="1:12" hidden="1" x14ac:dyDescent="0.35">
      <c r="A122" s="1" t="s">
        <v>111</v>
      </c>
      <c r="B122" s="1" t="s">
        <v>174</v>
      </c>
      <c r="C122" s="1" t="s">
        <v>113</v>
      </c>
      <c r="D122">
        <v>2015</v>
      </c>
      <c r="E122">
        <v>100</v>
      </c>
      <c r="F122">
        <v>2.23</v>
      </c>
      <c r="G122">
        <v>-97.77</v>
      </c>
      <c r="H122">
        <v>0</v>
      </c>
      <c r="I122">
        <f>IF(Merge1[[#This Row],[Discrepancy]]&gt;=40,1,0)</f>
        <v>0</v>
      </c>
      <c r="J122" t="str">
        <f>IF(Merge1[[#This Row],[Year]]=2023,Merge1[[#This Row],[High Discrepancy2]],"")</f>
        <v/>
      </c>
      <c r="K12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2" s="1" t="str">
        <f ca="1">IF(Merge1[[#This Row],[Consecutive from 2023]]&gt;=5,"ALERT","")</f>
        <v/>
      </c>
    </row>
    <row r="123" spans="1:12" hidden="1" x14ac:dyDescent="0.35">
      <c r="A123" s="1" t="s">
        <v>111</v>
      </c>
      <c r="B123" s="1" t="s">
        <v>174</v>
      </c>
      <c r="C123" s="1" t="s">
        <v>113</v>
      </c>
      <c r="D123">
        <v>2014</v>
      </c>
      <c r="E123">
        <v>100</v>
      </c>
      <c r="F123">
        <v>2.25</v>
      </c>
      <c r="G123">
        <v>-97.75</v>
      </c>
      <c r="H123">
        <v>0</v>
      </c>
      <c r="I123">
        <f>IF(Merge1[[#This Row],[Discrepancy]]&gt;=40,1,0)</f>
        <v>0</v>
      </c>
      <c r="J123" t="str">
        <f>IF(Merge1[[#This Row],[Year]]=2023,Merge1[[#This Row],[High Discrepancy2]],"")</f>
        <v/>
      </c>
      <c r="K12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3" s="1" t="str">
        <f ca="1">IF(Merge1[[#This Row],[Consecutive from 2023]]&gt;=5,"ALERT","")</f>
        <v/>
      </c>
    </row>
    <row r="124" spans="1:12" hidden="1" x14ac:dyDescent="0.35">
      <c r="A124" s="1" t="s">
        <v>111</v>
      </c>
      <c r="B124" s="1" t="s">
        <v>174</v>
      </c>
      <c r="C124" s="1" t="s">
        <v>113</v>
      </c>
      <c r="D124">
        <v>2013</v>
      </c>
      <c r="E124">
        <v>98</v>
      </c>
      <c r="F124">
        <v>2.02</v>
      </c>
      <c r="G124">
        <v>-95.98</v>
      </c>
      <c r="H124">
        <v>0</v>
      </c>
      <c r="I124">
        <f>IF(Merge1[[#This Row],[Discrepancy]]&gt;=40,1,0)</f>
        <v>0</v>
      </c>
      <c r="J124" t="str">
        <f>IF(Merge1[[#This Row],[Year]]=2023,Merge1[[#This Row],[High Discrepancy2]],"")</f>
        <v/>
      </c>
      <c r="K12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4" s="1" t="str">
        <f ca="1">IF(Merge1[[#This Row],[Consecutive from 2023]]&gt;=5,"ALERT","")</f>
        <v/>
      </c>
    </row>
    <row r="125" spans="1:12" hidden="1" x14ac:dyDescent="0.35">
      <c r="A125" s="1" t="s">
        <v>111</v>
      </c>
      <c r="B125" s="1" t="s">
        <v>174</v>
      </c>
      <c r="C125" s="1" t="s">
        <v>113</v>
      </c>
      <c r="D125">
        <v>2012</v>
      </c>
      <c r="E125">
        <v>98.3</v>
      </c>
      <c r="F125" t="s">
        <v>136</v>
      </c>
      <c r="I125">
        <f>IF(Merge1[[#This Row],[Discrepancy]]&gt;=40,1,0)</f>
        <v>0</v>
      </c>
      <c r="J125" t="str">
        <f>IF(Merge1[[#This Row],[Year]]=2023,Merge1[[#This Row],[High Discrepancy2]],"")</f>
        <v/>
      </c>
      <c r="K12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5" s="1" t="str">
        <f ca="1">IF(Merge1[[#This Row],[Consecutive from 2023]]&gt;=5,"ALERT","")</f>
        <v/>
      </c>
    </row>
    <row r="126" spans="1:12" hidden="1" x14ac:dyDescent="0.35">
      <c r="A126" s="1" t="s">
        <v>111</v>
      </c>
      <c r="B126" s="1" t="s">
        <v>174</v>
      </c>
      <c r="C126" s="1" t="s">
        <v>113</v>
      </c>
      <c r="D126">
        <v>2011</v>
      </c>
      <c r="E126">
        <v>98.1</v>
      </c>
      <c r="F126" t="s">
        <v>136</v>
      </c>
      <c r="I126">
        <f>IF(Merge1[[#This Row],[Discrepancy]]&gt;=40,1,0)</f>
        <v>0</v>
      </c>
      <c r="J126" t="str">
        <f>IF(Merge1[[#This Row],[Year]]=2023,Merge1[[#This Row],[High Discrepancy2]],"")</f>
        <v/>
      </c>
      <c r="K12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6" s="1" t="str">
        <f ca="1">IF(Merge1[[#This Row],[Consecutive from 2023]]&gt;=5,"ALERT","")</f>
        <v/>
      </c>
    </row>
    <row r="127" spans="1:12" hidden="1" x14ac:dyDescent="0.35">
      <c r="A127" s="1" t="s">
        <v>111</v>
      </c>
      <c r="B127" s="1" t="s">
        <v>174</v>
      </c>
      <c r="C127" s="1" t="s">
        <v>113</v>
      </c>
      <c r="D127">
        <v>2010</v>
      </c>
      <c r="E127">
        <v>97</v>
      </c>
      <c r="F127" t="s">
        <v>136</v>
      </c>
      <c r="I127">
        <f>IF(Merge1[[#This Row],[Discrepancy]]&gt;=40,1,0)</f>
        <v>0</v>
      </c>
      <c r="J127" t="str">
        <f>IF(Merge1[[#This Row],[Year]]=2023,Merge1[[#This Row],[High Discrepancy2]],"")</f>
        <v/>
      </c>
      <c r="K12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7" s="1" t="str">
        <f ca="1">IF(Merge1[[#This Row],[Consecutive from 2023]]&gt;=5,"ALERT","")</f>
        <v/>
      </c>
    </row>
    <row r="128" spans="1:12" hidden="1" x14ac:dyDescent="0.35">
      <c r="A128" s="1" t="s">
        <v>101</v>
      </c>
      <c r="B128" s="1" t="s">
        <v>175</v>
      </c>
      <c r="C128" s="1" t="s">
        <v>31</v>
      </c>
      <c r="D128">
        <v>2023</v>
      </c>
      <c r="E128">
        <v>74.2</v>
      </c>
      <c r="F128">
        <v>14.72</v>
      </c>
      <c r="G128">
        <v>-59.480000000000004</v>
      </c>
      <c r="H128">
        <v>0</v>
      </c>
      <c r="I128">
        <f>IF(Merge1[[#This Row],[Discrepancy]]&gt;=40,1,0)</f>
        <v>0</v>
      </c>
      <c r="J128">
        <f>IF(Merge1[[#This Row],[Year]]=2023,Merge1[[#This Row],[High Discrepancy2]],"")</f>
        <v>0</v>
      </c>
      <c r="K12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8" s="1" t="str">
        <f ca="1">IF(Merge1[[#This Row],[Consecutive from 2023]]&gt;=5,"ALERT","")</f>
        <v/>
      </c>
    </row>
    <row r="129" spans="1:12" hidden="1" x14ac:dyDescent="0.35">
      <c r="A129" s="1" t="s">
        <v>101</v>
      </c>
      <c r="B129" s="1" t="s">
        <v>175</v>
      </c>
      <c r="C129" s="1" t="s">
        <v>31</v>
      </c>
      <c r="D129">
        <v>2022</v>
      </c>
      <c r="E129">
        <v>67.900000000000006</v>
      </c>
      <c r="F129">
        <v>16.38</v>
      </c>
      <c r="G129">
        <v>-51.52000000000001</v>
      </c>
      <c r="H129">
        <v>0</v>
      </c>
      <c r="I129">
        <f>IF(Merge1[[#This Row],[Discrepancy]]&gt;=40,1,0)</f>
        <v>0</v>
      </c>
      <c r="J129" t="str">
        <f>IF(Merge1[[#This Row],[Year]]=2023,Merge1[[#This Row],[High Discrepancy2]],"")</f>
        <v/>
      </c>
      <c r="K12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29" s="1" t="str">
        <f ca="1">IF(Merge1[[#This Row],[Consecutive from 2023]]&gt;=5,"ALERT","")</f>
        <v/>
      </c>
    </row>
    <row r="130" spans="1:12" hidden="1" x14ac:dyDescent="0.35">
      <c r="A130" s="1" t="s">
        <v>101</v>
      </c>
      <c r="B130" s="1" t="s">
        <v>175</v>
      </c>
      <c r="C130" s="1" t="s">
        <v>31</v>
      </c>
      <c r="D130">
        <v>2021</v>
      </c>
      <c r="E130">
        <v>68</v>
      </c>
      <c r="F130">
        <v>20.63</v>
      </c>
      <c r="G130">
        <v>-47.370000000000005</v>
      </c>
      <c r="H130">
        <v>0</v>
      </c>
      <c r="I130">
        <f>IF(Merge1[[#This Row],[Discrepancy]]&gt;=40,1,0)</f>
        <v>0</v>
      </c>
      <c r="J130" t="str">
        <f>IF(Merge1[[#This Row],[Year]]=2023,Merge1[[#This Row],[High Discrepancy2]],"")</f>
        <v/>
      </c>
      <c r="K13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0" s="1" t="str">
        <f ca="1">IF(Merge1[[#This Row],[Consecutive from 2023]]&gt;=5,"ALERT","")</f>
        <v/>
      </c>
    </row>
    <row r="131" spans="1:12" hidden="1" x14ac:dyDescent="0.35">
      <c r="A131" s="1" t="s">
        <v>101</v>
      </c>
      <c r="B131" s="1" t="s">
        <v>175</v>
      </c>
      <c r="C131" s="1" t="s">
        <v>31</v>
      </c>
      <c r="D131">
        <v>2020</v>
      </c>
      <c r="E131">
        <v>64.3</v>
      </c>
      <c r="F131">
        <v>12.41</v>
      </c>
      <c r="G131">
        <v>-51.89</v>
      </c>
      <c r="H131">
        <v>0</v>
      </c>
      <c r="I131">
        <f>IF(Merge1[[#This Row],[Discrepancy]]&gt;=40,1,0)</f>
        <v>0</v>
      </c>
      <c r="J131" t="str">
        <f>IF(Merge1[[#This Row],[Year]]=2023,Merge1[[#This Row],[High Discrepancy2]],"")</f>
        <v/>
      </c>
      <c r="K13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1" s="1" t="str">
        <f ca="1">IF(Merge1[[#This Row],[Consecutive from 2023]]&gt;=5,"ALERT","")</f>
        <v/>
      </c>
    </row>
    <row r="132" spans="1:12" hidden="1" x14ac:dyDescent="0.35">
      <c r="A132" s="1" t="s">
        <v>101</v>
      </c>
      <c r="B132" s="1" t="s">
        <v>175</v>
      </c>
      <c r="C132" s="1" t="s">
        <v>31</v>
      </c>
      <c r="D132">
        <v>2019</v>
      </c>
      <c r="E132">
        <v>70.400000000000006</v>
      </c>
      <c r="F132">
        <v>8.81</v>
      </c>
      <c r="G132">
        <v>-61.59</v>
      </c>
      <c r="H132">
        <v>0</v>
      </c>
      <c r="I132">
        <f>IF(Merge1[[#This Row],[Discrepancy]]&gt;=40,1,0)</f>
        <v>0</v>
      </c>
      <c r="J132" t="str">
        <f>IF(Merge1[[#This Row],[Year]]=2023,Merge1[[#This Row],[High Discrepancy2]],"")</f>
        <v/>
      </c>
      <c r="K13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2" s="1" t="str">
        <f ca="1">IF(Merge1[[#This Row],[Consecutive from 2023]]&gt;=5,"ALERT","")</f>
        <v/>
      </c>
    </row>
    <row r="133" spans="1:12" hidden="1" x14ac:dyDescent="0.35">
      <c r="A133" s="1" t="s">
        <v>101</v>
      </c>
      <c r="B133" s="1" t="s">
        <v>175</v>
      </c>
      <c r="C133" s="1" t="s">
        <v>31</v>
      </c>
      <c r="D133">
        <v>2018</v>
      </c>
      <c r="E133">
        <v>66</v>
      </c>
      <c r="F133">
        <v>8.0299999999999994</v>
      </c>
      <c r="G133">
        <v>-57.97</v>
      </c>
      <c r="H133">
        <v>0</v>
      </c>
      <c r="I133">
        <f>IF(Merge1[[#This Row],[Discrepancy]]&gt;=40,1,0)</f>
        <v>0</v>
      </c>
      <c r="J133" t="str">
        <f>IF(Merge1[[#This Row],[Year]]=2023,Merge1[[#This Row],[High Discrepancy2]],"")</f>
        <v/>
      </c>
      <c r="K13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3" s="1" t="str">
        <f ca="1">IF(Merge1[[#This Row],[Consecutive from 2023]]&gt;=5,"ALERT","")</f>
        <v/>
      </c>
    </row>
    <row r="134" spans="1:12" hidden="1" x14ac:dyDescent="0.35">
      <c r="A134" s="1" t="s">
        <v>101</v>
      </c>
      <c r="B134" s="1" t="s">
        <v>175</v>
      </c>
      <c r="C134" s="1" t="s">
        <v>31</v>
      </c>
      <c r="D134">
        <v>2017</v>
      </c>
      <c r="E134">
        <v>61.7</v>
      </c>
      <c r="F134">
        <v>4.46</v>
      </c>
      <c r="G134">
        <v>-57.24</v>
      </c>
      <c r="H134">
        <v>0</v>
      </c>
      <c r="I134">
        <f>IF(Merge1[[#This Row],[Discrepancy]]&gt;=40,1,0)</f>
        <v>0</v>
      </c>
      <c r="J134" t="str">
        <f>IF(Merge1[[#This Row],[Year]]=2023,Merge1[[#This Row],[High Discrepancy2]],"")</f>
        <v/>
      </c>
      <c r="K13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4" s="1" t="str">
        <f ca="1">IF(Merge1[[#This Row],[Consecutive from 2023]]&gt;=5,"ALERT","")</f>
        <v/>
      </c>
    </row>
    <row r="135" spans="1:12" hidden="1" x14ac:dyDescent="0.35">
      <c r="A135" s="1" t="s">
        <v>101</v>
      </c>
      <c r="B135" s="1" t="s">
        <v>175</v>
      </c>
      <c r="C135" s="1" t="s">
        <v>31</v>
      </c>
      <c r="D135">
        <v>2016</v>
      </c>
      <c r="E135">
        <v>64.5</v>
      </c>
      <c r="F135">
        <v>2</v>
      </c>
      <c r="G135">
        <v>-62.5</v>
      </c>
      <c r="H135">
        <v>0</v>
      </c>
      <c r="I135">
        <f>IF(Merge1[[#This Row],[Discrepancy]]&gt;=40,1,0)</f>
        <v>0</v>
      </c>
      <c r="J135" t="str">
        <f>IF(Merge1[[#This Row],[Year]]=2023,Merge1[[#This Row],[High Discrepancy2]],"")</f>
        <v/>
      </c>
      <c r="K13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5" s="1" t="str">
        <f ca="1">IF(Merge1[[#This Row],[Consecutive from 2023]]&gt;=5,"ALERT","")</f>
        <v/>
      </c>
    </row>
    <row r="136" spans="1:12" hidden="1" x14ac:dyDescent="0.35">
      <c r="A136" s="1" t="s">
        <v>101</v>
      </c>
      <c r="B136" s="1" t="s">
        <v>175</v>
      </c>
      <c r="C136" s="1" t="s">
        <v>31</v>
      </c>
      <c r="D136">
        <v>2015</v>
      </c>
      <c r="E136">
        <v>60.5</v>
      </c>
      <c r="F136">
        <v>1.96</v>
      </c>
      <c r="G136">
        <v>-58.54</v>
      </c>
      <c r="H136">
        <v>0</v>
      </c>
      <c r="I136">
        <f>IF(Merge1[[#This Row],[Discrepancy]]&gt;=40,1,0)</f>
        <v>0</v>
      </c>
      <c r="J136" t="str">
        <f>IF(Merge1[[#This Row],[Year]]=2023,Merge1[[#This Row],[High Discrepancy2]],"")</f>
        <v/>
      </c>
      <c r="K13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6" s="1" t="str">
        <f ca="1">IF(Merge1[[#This Row],[Consecutive from 2023]]&gt;=5,"ALERT","")</f>
        <v/>
      </c>
    </row>
    <row r="137" spans="1:12" hidden="1" x14ac:dyDescent="0.35">
      <c r="A137" s="1" t="s">
        <v>101</v>
      </c>
      <c r="B137" s="1" t="s">
        <v>175</v>
      </c>
      <c r="C137" s="1" t="s">
        <v>31</v>
      </c>
      <c r="D137">
        <v>2014</v>
      </c>
      <c r="E137">
        <v>61</v>
      </c>
      <c r="F137">
        <v>1.62</v>
      </c>
      <c r="G137">
        <v>-59.38</v>
      </c>
      <c r="H137">
        <v>0</v>
      </c>
      <c r="I137">
        <f>IF(Merge1[[#This Row],[Discrepancy]]&gt;=40,1,0)</f>
        <v>0</v>
      </c>
      <c r="J137" t="str">
        <f>IF(Merge1[[#This Row],[Year]]=2023,Merge1[[#This Row],[High Discrepancy2]],"")</f>
        <v/>
      </c>
      <c r="K13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7" s="1" t="str">
        <f ca="1">IF(Merge1[[#This Row],[Consecutive from 2023]]&gt;=5,"ALERT","")</f>
        <v/>
      </c>
    </row>
    <row r="138" spans="1:12" hidden="1" x14ac:dyDescent="0.35">
      <c r="A138" s="1" t="s">
        <v>101</v>
      </c>
      <c r="B138" s="1" t="s">
        <v>175</v>
      </c>
      <c r="C138" s="1" t="s">
        <v>31</v>
      </c>
      <c r="D138">
        <v>2013</v>
      </c>
      <c r="E138">
        <v>57</v>
      </c>
      <c r="F138">
        <v>1.49</v>
      </c>
      <c r="G138">
        <v>-55.51</v>
      </c>
      <c r="H138">
        <v>0</v>
      </c>
      <c r="I138">
        <f>IF(Merge1[[#This Row],[Discrepancy]]&gt;=40,1,0)</f>
        <v>0</v>
      </c>
      <c r="J138" t="str">
        <f>IF(Merge1[[#This Row],[Year]]=2023,Merge1[[#This Row],[High Discrepancy2]],"")</f>
        <v/>
      </c>
      <c r="K13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8" s="1" t="str">
        <f ca="1">IF(Merge1[[#This Row],[Consecutive from 2023]]&gt;=5,"ALERT","")</f>
        <v/>
      </c>
    </row>
    <row r="139" spans="1:12" hidden="1" x14ac:dyDescent="0.35">
      <c r="A139" s="1" t="s">
        <v>101</v>
      </c>
      <c r="B139" s="1" t="s">
        <v>175</v>
      </c>
      <c r="C139" s="1" t="s">
        <v>31</v>
      </c>
      <c r="D139">
        <v>2012</v>
      </c>
      <c r="E139">
        <v>56.5</v>
      </c>
      <c r="F139">
        <v>1.55</v>
      </c>
      <c r="G139">
        <v>-54.95</v>
      </c>
      <c r="H139">
        <v>0</v>
      </c>
      <c r="I139">
        <f>IF(Merge1[[#This Row],[Discrepancy]]&gt;=40,1,0)</f>
        <v>0</v>
      </c>
      <c r="J139" t="str">
        <f>IF(Merge1[[#This Row],[Year]]=2023,Merge1[[#This Row],[High Discrepancy2]],"")</f>
        <v/>
      </c>
      <c r="K13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39" s="1" t="str">
        <f ca="1">IF(Merge1[[#This Row],[Consecutive from 2023]]&gt;=5,"ALERT","")</f>
        <v/>
      </c>
    </row>
    <row r="140" spans="1:12" hidden="1" x14ac:dyDescent="0.35">
      <c r="A140" s="1" t="s">
        <v>101</v>
      </c>
      <c r="B140" s="1" t="s">
        <v>175</v>
      </c>
      <c r="C140" s="1" t="s">
        <v>31</v>
      </c>
      <c r="D140">
        <v>2011</v>
      </c>
      <c r="E140">
        <v>56.5</v>
      </c>
      <c r="F140">
        <v>1.73</v>
      </c>
      <c r="G140">
        <v>-54.77</v>
      </c>
      <c r="H140">
        <v>0</v>
      </c>
      <c r="I140">
        <f>IF(Merge1[[#This Row],[Discrepancy]]&gt;=40,1,0)</f>
        <v>0</v>
      </c>
      <c r="J140" t="str">
        <f>IF(Merge1[[#This Row],[Year]]=2023,Merge1[[#This Row],[High Discrepancy2]],"")</f>
        <v/>
      </c>
      <c r="K14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0" s="1" t="str">
        <f ca="1">IF(Merge1[[#This Row],[Consecutive from 2023]]&gt;=5,"ALERT","")</f>
        <v/>
      </c>
    </row>
    <row r="141" spans="1:12" hidden="1" x14ac:dyDescent="0.35">
      <c r="A141" s="1" t="s">
        <v>101</v>
      </c>
      <c r="B141" s="1" t="s">
        <v>175</v>
      </c>
      <c r="C141" s="1" t="s">
        <v>31</v>
      </c>
      <c r="D141">
        <v>2010</v>
      </c>
      <c r="E141">
        <v>56.5</v>
      </c>
      <c r="F141">
        <v>1.63</v>
      </c>
      <c r="G141">
        <v>-54.87</v>
      </c>
      <c r="H141">
        <v>0</v>
      </c>
      <c r="I141">
        <f>IF(Merge1[[#This Row],[Discrepancy]]&gt;=40,1,0)</f>
        <v>0</v>
      </c>
      <c r="J141" t="str">
        <f>IF(Merge1[[#This Row],[Year]]=2023,Merge1[[#This Row],[High Discrepancy2]],"")</f>
        <v/>
      </c>
      <c r="K14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1" s="1" t="str">
        <f ca="1">IF(Merge1[[#This Row],[Consecutive from 2023]]&gt;=5,"ALERT","")</f>
        <v/>
      </c>
    </row>
    <row r="142" spans="1:12" hidden="1" x14ac:dyDescent="0.35">
      <c r="A142" s="1" t="s">
        <v>107</v>
      </c>
      <c r="B142" s="1" t="s">
        <v>172</v>
      </c>
      <c r="C142" s="1" t="s">
        <v>31</v>
      </c>
      <c r="D142">
        <v>2023</v>
      </c>
      <c r="E142">
        <v>81.3</v>
      </c>
      <c r="F142">
        <v>5.88</v>
      </c>
      <c r="G142">
        <v>-75.42</v>
      </c>
      <c r="H142">
        <v>0</v>
      </c>
      <c r="I142">
        <f>IF(Merge1[[#This Row],[Discrepancy]]&gt;=40,1,0)</f>
        <v>0</v>
      </c>
      <c r="J142">
        <f>IF(Merge1[[#This Row],[Year]]=2023,Merge1[[#This Row],[High Discrepancy2]],"")</f>
        <v>0</v>
      </c>
      <c r="K14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2" s="1" t="str">
        <f ca="1">IF(Merge1[[#This Row],[Consecutive from 2023]]&gt;=5,"ALERT","")</f>
        <v/>
      </c>
    </row>
    <row r="143" spans="1:12" hidden="1" x14ac:dyDescent="0.35">
      <c r="A143" s="1" t="s">
        <v>107</v>
      </c>
      <c r="B143" s="1" t="s">
        <v>172</v>
      </c>
      <c r="C143" s="1" t="s">
        <v>31</v>
      </c>
      <c r="D143">
        <v>2022</v>
      </c>
      <c r="E143">
        <v>78</v>
      </c>
      <c r="F143">
        <v>5.88</v>
      </c>
      <c r="G143">
        <v>-72.12</v>
      </c>
      <c r="H143">
        <v>0</v>
      </c>
      <c r="I143">
        <f>IF(Merge1[[#This Row],[Discrepancy]]&gt;=40,1,0)</f>
        <v>0</v>
      </c>
      <c r="J143" t="str">
        <f>IF(Merge1[[#This Row],[Year]]=2023,Merge1[[#This Row],[High Discrepancy2]],"")</f>
        <v/>
      </c>
      <c r="K14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3" s="1" t="str">
        <f ca="1">IF(Merge1[[#This Row],[Consecutive from 2023]]&gt;=5,"ALERT","")</f>
        <v/>
      </c>
    </row>
    <row r="144" spans="1:12" hidden="1" x14ac:dyDescent="0.35">
      <c r="A144" s="1" t="s">
        <v>107</v>
      </c>
      <c r="B144" s="1" t="s">
        <v>172</v>
      </c>
      <c r="C144" s="1" t="s">
        <v>31</v>
      </c>
      <c r="D144">
        <v>2021</v>
      </c>
      <c r="E144">
        <v>78.5</v>
      </c>
      <c r="F144">
        <v>6.06</v>
      </c>
      <c r="G144">
        <v>-72.44</v>
      </c>
      <c r="H144">
        <v>0</v>
      </c>
      <c r="I144">
        <f>IF(Merge1[[#This Row],[Discrepancy]]&gt;=40,1,0)</f>
        <v>0</v>
      </c>
      <c r="J144" t="str">
        <f>IF(Merge1[[#This Row],[Year]]=2023,Merge1[[#This Row],[High Discrepancy2]],"")</f>
        <v/>
      </c>
      <c r="K14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4" s="1" t="str">
        <f ca="1">IF(Merge1[[#This Row],[Consecutive from 2023]]&gt;=5,"ALERT","")</f>
        <v/>
      </c>
    </row>
    <row r="145" spans="1:12" hidden="1" x14ac:dyDescent="0.35">
      <c r="A145" s="1" t="s">
        <v>107</v>
      </c>
      <c r="B145" s="1" t="s">
        <v>172</v>
      </c>
      <c r="C145" s="1" t="s">
        <v>31</v>
      </c>
      <c r="D145">
        <v>2020</v>
      </c>
      <c r="E145">
        <v>76.8</v>
      </c>
      <c r="F145">
        <v>5.84</v>
      </c>
      <c r="G145">
        <v>-70.959999999999994</v>
      </c>
      <c r="H145">
        <v>0</v>
      </c>
      <c r="I145">
        <f>IF(Merge1[[#This Row],[Discrepancy]]&gt;=40,1,0)</f>
        <v>0</v>
      </c>
      <c r="J145" t="str">
        <f>IF(Merge1[[#This Row],[Year]]=2023,Merge1[[#This Row],[High Discrepancy2]],"")</f>
        <v/>
      </c>
      <c r="K14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5" s="1" t="str">
        <f ca="1">IF(Merge1[[#This Row],[Consecutive from 2023]]&gt;=5,"ALERT","")</f>
        <v/>
      </c>
    </row>
    <row r="146" spans="1:12" hidden="1" x14ac:dyDescent="0.35">
      <c r="A146" s="1" t="s">
        <v>107</v>
      </c>
      <c r="B146" s="1" t="s">
        <v>172</v>
      </c>
      <c r="C146" s="1" t="s">
        <v>31</v>
      </c>
      <c r="D146">
        <v>2019</v>
      </c>
      <c r="E146">
        <v>75.099999999999994</v>
      </c>
      <c r="F146">
        <v>5.71</v>
      </c>
      <c r="G146">
        <v>-69.39</v>
      </c>
      <c r="H146">
        <v>0</v>
      </c>
      <c r="I146">
        <f>IF(Merge1[[#This Row],[Discrepancy]]&gt;=40,1,0)</f>
        <v>0</v>
      </c>
      <c r="J146" t="str">
        <f>IF(Merge1[[#This Row],[Year]]=2023,Merge1[[#This Row],[High Discrepancy2]],"")</f>
        <v/>
      </c>
      <c r="K14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6" s="1" t="str">
        <f ca="1">IF(Merge1[[#This Row],[Consecutive from 2023]]&gt;=5,"ALERT","")</f>
        <v/>
      </c>
    </row>
    <row r="147" spans="1:12" hidden="1" x14ac:dyDescent="0.35">
      <c r="A147" s="1" t="s">
        <v>107</v>
      </c>
      <c r="B147" s="1" t="s">
        <v>172</v>
      </c>
      <c r="C147" s="1" t="s">
        <v>31</v>
      </c>
      <c r="D147">
        <v>2018</v>
      </c>
      <c r="E147">
        <v>71</v>
      </c>
      <c r="F147">
        <v>5.56</v>
      </c>
      <c r="G147">
        <v>-65.44</v>
      </c>
      <c r="H147">
        <v>0</v>
      </c>
      <c r="I147">
        <f>IF(Merge1[[#This Row],[Discrepancy]]&gt;=40,1,0)</f>
        <v>0</v>
      </c>
      <c r="J147" t="str">
        <f>IF(Merge1[[#This Row],[Year]]=2023,Merge1[[#This Row],[High Discrepancy2]],"")</f>
        <v/>
      </c>
      <c r="K14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7" s="1" t="str">
        <f ca="1">IF(Merge1[[#This Row],[Consecutive from 2023]]&gt;=5,"ALERT","")</f>
        <v/>
      </c>
    </row>
    <row r="148" spans="1:12" hidden="1" x14ac:dyDescent="0.35">
      <c r="A148" s="1" t="s">
        <v>107</v>
      </c>
      <c r="B148" s="1" t="s">
        <v>172</v>
      </c>
      <c r="C148" s="1" t="s">
        <v>31</v>
      </c>
      <c r="D148">
        <v>2017</v>
      </c>
      <c r="E148">
        <v>74.3</v>
      </c>
      <c r="F148">
        <v>4.93</v>
      </c>
      <c r="G148">
        <v>-69.37</v>
      </c>
      <c r="H148">
        <v>0</v>
      </c>
      <c r="I148">
        <f>IF(Merge1[[#This Row],[Discrepancy]]&gt;=40,1,0)</f>
        <v>0</v>
      </c>
      <c r="J148" t="str">
        <f>IF(Merge1[[#This Row],[Year]]=2023,Merge1[[#This Row],[High Discrepancy2]],"")</f>
        <v/>
      </c>
      <c r="K14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8" s="1" t="str">
        <f ca="1">IF(Merge1[[#This Row],[Consecutive from 2023]]&gt;=5,"ALERT","")</f>
        <v/>
      </c>
    </row>
    <row r="149" spans="1:12" hidden="1" x14ac:dyDescent="0.35">
      <c r="A149" s="1" t="s">
        <v>107</v>
      </c>
      <c r="B149" s="1" t="s">
        <v>172</v>
      </c>
      <c r="C149" s="1" t="s">
        <v>31</v>
      </c>
      <c r="D149">
        <v>2016</v>
      </c>
      <c r="E149">
        <v>69.400000000000006</v>
      </c>
      <c r="F149">
        <v>5.61</v>
      </c>
      <c r="G149">
        <v>-63.790000000000006</v>
      </c>
      <c r="H149">
        <v>0</v>
      </c>
      <c r="I149">
        <f>IF(Merge1[[#This Row],[Discrepancy]]&gt;=40,1,0)</f>
        <v>0</v>
      </c>
      <c r="J149" t="str">
        <f>IF(Merge1[[#This Row],[Year]]=2023,Merge1[[#This Row],[High Discrepancy2]],"")</f>
        <v/>
      </c>
      <c r="K14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49" s="1" t="str">
        <f ca="1">IF(Merge1[[#This Row],[Consecutive from 2023]]&gt;=5,"ALERT","")</f>
        <v/>
      </c>
    </row>
    <row r="150" spans="1:12" hidden="1" x14ac:dyDescent="0.35">
      <c r="A150" s="1" t="s">
        <v>107</v>
      </c>
      <c r="B150" s="1" t="s">
        <v>172</v>
      </c>
      <c r="C150" s="1" t="s">
        <v>31</v>
      </c>
      <c r="D150">
        <v>2015</v>
      </c>
      <c r="E150">
        <v>67.3</v>
      </c>
      <c r="F150">
        <v>6.53</v>
      </c>
      <c r="G150">
        <v>-60.769999999999996</v>
      </c>
      <c r="H150">
        <v>0</v>
      </c>
      <c r="I150">
        <f>IF(Merge1[[#This Row],[Discrepancy]]&gt;=40,1,0)</f>
        <v>0</v>
      </c>
      <c r="J150" t="str">
        <f>IF(Merge1[[#This Row],[Year]]=2023,Merge1[[#This Row],[High Discrepancy2]],"")</f>
        <v/>
      </c>
      <c r="K15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0" s="1" t="str">
        <f ca="1">IF(Merge1[[#This Row],[Consecutive from 2023]]&gt;=5,"ALERT","")</f>
        <v/>
      </c>
    </row>
    <row r="151" spans="1:12" hidden="1" x14ac:dyDescent="0.35">
      <c r="A151" s="1" t="s">
        <v>107</v>
      </c>
      <c r="B151" s="1" t="s">
        <v>172</v>
      </c>
      <c r="C151" s="1" t="s">
        <v>31</v>
      </c>
      <c r="D151">
        <v>2014</v>
      </c>
      <c r="E151">
        <v>68.599999999999994</v>
      </c>
      <c r="F151">
        <v>9.41</v>
      </c>
      <c r="G151">
        <v>-59.19</v>
      </c>
      <c r="H151">
        <v>0</v>
      </c>
      <c r="I151">
        <f>IF(Merge1[[#This Row],[Discrepancy]]&gt;=40,1,0)</f>
        <v>0</v>
      </c>
      <c r="J151" t="str">
        <f>IF(Merge1[[#This Row],[Year]]=2023,Merge1[[#This Row],[High Discrepancy2]],"")</f>
        <v/>
      </c>
      <c r="K15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1" s="1" t="str">
        <f ca="1">IF(Merge1[[#This Row],[Consecutive from 2023]]&gt;=5,"ALERT","")</f>
        <v/>
      </c>
    </row>
    <row r="152" spans="1:12" hidden="1" x14ac:dyDescent="0.35">
      <c r="A152" s="1" t="s">
        <v>107</v>
      </c>
      <c r="B152" s="1" t="s">
        <v>172</v>
      </c>
      <c r="C152" s="1" t="s">
        <v>31</v>
      </c>
      <c r="D152">
        <v>2013</v>
      </c>
      <c r="E152">
        <v>65</v>
      </c>
      <c r="F152">
        <v>91.68</v>
      </c>
      <c r="G152">
        <v>26.680000000000007</v>
      </c>
      <c r="H152">
        <v>1</v>
      </c>
      <c r="I152">
        <f>IF(Merge1[[#This Row],[Discrepancy]]&gt;=40,1,0)</f>
        <v>0</v>
      </c>
      <c r="J152" t="str">
        <f>IF(Merge1[[#This Row],[Year]]=2023,Merge1[[#This Row],[High Discrepancy2]],"")</f>
        <v/>
      </c>
      <c r="K15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2" s="1" t="str">
        <f ca="1">IF(Merge1[[#This Row],[Consecutive from 2023]]&gt;=5,"ALERT","")</f>
        <v/>
      </c>
    </row>
    <row r="153" spans="1:12" hidden="1" x14ac:dyDescent="0.35">
      <c r="A153" s="1" t="s">
        <v>63</v>
      </c>
      <c r="B153" s="1" t="s">
        <v>175</v>
      </c>
      <c r="C153" s="1" t="s">
        <v>31</v>
      </c>
      <c r="D153">
        <v>2013</v>
      </c>
      <c r="E153">
        <v>32.200000000000003</v>
      </c>
      <c r="F153">
        <v>74.099999999999994</v>
      </c>
      <c r="G153">
        <v>41.899999999999991</v>
      </c>
      <c r="H153">
        <v>1</v>
      </c>
      <c r="I153">
        <f>IF(Merge1[[#This Row],[Discrepancy]]&gt;=40,1,0)</f>
        <v>1</v>
      </c>
      <c r="J153" t="str">
        <f>IF(Merge1[[#This Row],[Year]]=2023,Merge1[[#This Row],[High Discrepancy2]],"")</f>
        <v/>
      </c>
      <c r="K15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3" s="1" t="str">
        <f ca="1">IF(Merge1[[#This Row],[Consecutive from 2023]]&gt;=5,"ALERT","")</f>
        <v/>
      </c>
    </row>
    <row r="154" spans="1:12" hidden="1" x14ac:dyDescent="0.35">
      <c r="A154" s="1" t="s">
        <v>107</v>
      </c>
      <c r="B154" s="1" t="s">
        <v>172</v>
      </c>
      <c r="C154" s="1" t="s">
        <v>31</v>
      </c>
      <c r="D154">
        <v>2011</v>
      </c>
      <c r="E154">
        <v>62.6</v>
      </c>
      <c r="F154">
        <v>91.07</v>
      </c>
      <c r="G154">
        <v>28.469999999999992</v>
      </c>
      <c r="H154">
        <v>1</v>
      </c>
      <c r="I154">
        <f>IF(Merge1[[#This Row],[Discrepancy]]&gt;=40,1,0)</f>
        <v>0</v>
      </c>
      <c r="J154" t="str">
        <f>IF(Merge1[[#This Row],[Year]]=2023,Merge1[[#This Row],[High Discrepancy2]],"")</f>
        <v/>
      </c>
      <c r="K15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4" s="1" t="str">
        <f ca="1">IF(Merge1[[#This Row],[Consecutive from 2023]]&gt;=5,"ALERT","")</f>
        <v/>
      </c>
    </row>
    <row r="155" spans="1:12" hidden="1" x14ac:dyDescent="0.35">
      <c r="A155" s="1" t="s">
        <v>63</v>
      </c>
      <c r="B155" s="1" t="s">
        <v>175</v>
      </c>
      <c r="C155" s="1" t="s">
        <v>31</v>
      </c>
      <c r="D155">
        <v>2012</v>
      </c>
      <c r="E155">
        <v>26.2</v>
      </c>
      <c r="F155">
        <v>67.69</v>
      </c>
      <c r="G155">
        <v>41.489999999999995</v>
      </c>
      <c r="H155">
        <v>1</v>
      </c>
      <c r="I155">
        <f>IF(Merge1[[#This Row],[Discrepancy]]&gt;=40,1,0)</f>
        <v>1</v>
      </c>
      <c r="J155" t="str">
        <f>IF(Merge1[[#This Row],[Year]]=2023,Merge1[[#This Row],[High Discrepancy2]],"")</f>
        <v/>
      </c>
      <c r="K15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5" s="1" t="str">
        <f ca="1">IF(Merge1[[#This Row],[Consecutive from 2023]]&gt;=5,"ALERT","")</f>
        <v/>
      </c>
    </row>
    <row r="156" spans="1:12" hidden="1" x14ac:dyDescent="0.35">
      <c r="A156" s="1" t="s">
        <v>97</v>
      </c>
      <c r="B156" s="1" t="s">
        <v>174</v>
      </c>
      <c r="C156" s="1" t="s">
        <v>34</v>
      </c>
      <c r="D156">
        <v>2023</v>
      </c>
      <c r="E156">
        <v>63.9</v>
      </c>
      <c r="F156">
        <v>52.77</v>
      </c>
      <c r="G156">
        <v>-11.129999999999995</v>
      </c>
      <c r="H156">
        <v>0</v>
      </c>
      <c r="I156">
        <f>IF(Merge1[[#This Row],[Discrepancy]]&gt;=40,1,0)</f>
        <v>0</v>
      </c>
      <c r="J156">
        <f>IF(Merge1[[#This Row],[Year]]=2023,Merge1[[#This Row],[High Discrepancy2]],"")</f>
        <v>0</v>
      </c>
      <c r="K15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6" s="1" t="str">
        <f ca="1">IF(Merge1[[#This Row],[Consecutive from 2023]]&gt;=5,"ALERT","")</f>
        <v/>
      </c>
    </row>
    <row r="157" spans="1:12" hidden="1" x14ac:dyDescent="0.35">
      <c r="A157" s="1" t="s">
        <v>97</v>
      </c>
      <c r="B157" s="1" t="s">
        <v>174</v>
      </c>
      <c r="C157" s="1" t="s">
        <v>34</v>
      </c>
      <c r="D157">
        <v>2022</v>
      </c>
      <c r="E157">
        <v>50.6</v>
      </c>
      <c r="F157">
        <v>52.76</v>
      </c>
      <c r="G157">
        <v>2.1599999999999966</v>
      </c>
      <c r="H157">
        <v>1</v>
      </c>
      <c r="I157">
        <f>IF(Merge1[[#This Row],[Discrepancy]]&gt;=40,1,0)</f>
        <v>0</v>
      </c>
      <c r="J157" t="str">
        <f>IF(Merge1[[#This Row],[Year]]=2023,Merge1[[#This Row],[High Discrepancy2]],"")</f>
        <v/>
      </c>
      <c r="K15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7" s="1" t="str">
        <f ca="1">IF(Merge1[[#This Row],[Consecutive from 2023]]&gt;=5,"ALERT","")</f>
        <v/>
      </c>
    </row>
    <row r="158" spans="1:12" hidden="1" x14ac:dyDescent="0.35">
      <c r="A158" s="1" t="s">
        <v>97</v>
      </c>
      <c r="B158" s="1" t="s">
        <v>174</v>
      </c>
      <c r="C158" s="1" t="s">
        <v>34</v>
      </c>
      <c r="D158">
        <v>2021</v>
      </c>
      <c r="E158">
        <v>48.7</v>
      </c>
      <c r="F158">
        <v>58.16</v>
      </c>
      <c r="G158">
        <v>9.4599999999999937</v>
      </c>
      <c r="H158">
        <v>1</v>
      </c>
      <c r="I158">
        <f>IF(Merge1[[#This Row],[Discrepancy]]&gt;=40,1,0)</f>
        <v>0</v>
      </c>
      <c r="J158" t="str">
        <f>IF(Merge1[[#This Row],[Year]]=2023,Merge1[[#This Row],[High Discrepancy2]],"")</f>
        <v/>
      </c>
      <c r="K15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8" s="1" t="str">
        <f ca="1">IF(Merge1[[#This Row],[Consecutive from 2023]]&gt;=5,"ALERT","")</f>
        <v/>
      </c>
    </row>
    <row r="159" spans="1:12" hidden="1" x14ac:dyDescent="0.35">
      <c r="A159" s="1" t="s">
        <v>97</v>
      </c>
      <c r="B159" s="1" t="s">
        <v>174</v>
      </c>
      <c r="C159" s="1" t="s">
        <v>34</v>
      </c>
      <c r="D159">
        <v>2020</v>
      </c>
      <c r="E159">
        <v>45.2</v>
      </c>
      <c r="F159">
        <v>60.43</v>
      </c>
      <c r="G159">
        <v>15.229999999999997</v>
      </c>
      <c r="H159">
        <v>1</v>
      </c>
      <c r="I159">
        <f>IF(Merge1[[#This Row],[Discrepancy]]&gt;=40,1,0)</f>
        <v>0</v>
      </c>
      <c r="J159" t="str">
        <f>IF(Merge1[[#This Row],[Year]]=2023,Merge1[[#This Row],[High Discrepancy2]],"")</f>
        <v/>
      </c>
      <c r="K15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59" s="1" t="str">
        <f ca="1">IF(Merge1[[#This Row],[Consecutive from 2023]]&gt;=5,"ALERT","")</f>
        <v/>
      </c>
    </row>
    <row r="160" spans="1:12" hidden="1" x14ac:dyDescent="0.35">
      <c r="A160" s="1" t="s">
        <v>97</v>
      </c>
      <c r="B160" s="1" t="s">
        <v>174</v>
      </c>
      <c r="C160" s="1" t="s">
        <v>34</v>
      </c>
      <c r="D160">
        <v>2019</v>
      </c>
      <c r="E160">
        <v>46.6</v>
      </c>
      <c r="F160">
        <v>51.64</v>
      </c>
      <c r="G160">
        <v>5.0399999999999991</v>
      </c>
      <c r="H160">
        <v>1</v>
      </c>
      <c r="I160">
        <f>IF(Merge1[[#This Row],[Discrepancy]]&gt;=40,1,0)</f>
        <v>0</v>
      </c>
      <c r="J160" t="str">
        <f>IF(Merge1[[#This Row],[Year]]=2023,Merge1[[#This Row],[High Discrepancy2]],"")</f>
        <v/>
      </c>
      <c r="K16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0" s="1" t="str">
        <f ca="1">IF(Merge1[[#This Row],[Consecutive from 2023]]&gt;=5,"ALERT","")</f>
        <v/>
      </c>
    </row>
    <row r="161" spans="1:12" hidden="1" x14ac:dyDescent="0.35">
      <c r="A161" s="1" t="s">
        <v>97</v>
      </c>
      <c r="B161" s="1" t="s">
        <v>174</v>
      </c>
      <c r="C161" s="1" t="s">
        <v>34</v>
      </c>
      <c r="D161">
        <v>2018</v>
      </c>
      <c r="E161">
        <v>38</v>
      </c>
      <c r="F161">
        <v>47.75</v>
      </c>
      <c r="G161">
        <v>9.75</v>
      </c>
      <c r="H161">
        <v>1</v>
      </c>
      <c r="I161">
        <f>IF(Merge1[[#This Row],[Discrepancy]]&gt;=40,1,0)</f>
        <v>0</v>
      </c>
      <c r="J161" t="str">
        <f>IF(Merge1[[#This Row],[Year]]=2023,Merge1[[#This Row],[High Discrepancy2]],"")</f>
        <v/>
      </c>
      <c r="K16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1" s="1" t="str">
        <f ca="1">IF(Merge1[[#This Row],[Consecutive from 2023]]&gt;=5,"ALERT","")</f>
        <v/>
      </c>
    </row>
    <row r="162" spans="1:12" hidden="1" x14ac:dyDescent="0.35">
      <c r="A162" s="1" t="s">
        <v>97</v>
      </c>
      <c r="B162" s="1" t="s">
        <v>174</v>
      </c>
      <c r="C162" s="1" t="s">
        <v>34</v>
      </c>
      <c r="D162">
        <v>2017</v>
      </c>
      <c r="E162">
        <v>34.1</v>
      </c>
      <c r="F162">
        <v>47.72</v>
      </c>
      <c r="G162">
        <v>13.619999999999997</v>
      </c>
      <c r="H162">
        <v>1</v>
      </c>
      <c r="I162">
        <f>IF(Merge1[[#This Row],[Discrepancy]]&gt;=40,1,0)</f>
        <v>0</v>
      </c>
      <c r="J162" t="str">
        <f>IF(Merge1[[#This Row],[Year]]=2023,Merge1[[#This Row],[High Discrepancy2]],"")</f>
        <v/>
      </c>
      <c r="K16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2" s="1" t="str">
        <f ca="1">IF(Merge1[[#This Row],[Consecutive from 2023]]&gt;=5,"ALERT","")</f>
        <v/>
      </c>
    </row>
    <row r="163" spans="1:12" hidden="1" x14ac:dyDescent="0.35">
      <c r="A163" s="1" t="s">
        <v>97</v>
      </c>
      <c r="B163" s="1" t="s">
        <v>174</v>
      </c>
      <c r="C163" s="1" t="s">
        <v>34</v>
      </c>
      <c r="D163">
        <v>2016</v>
      </c>
      <c r="E163">
        <v>29.4</v>
      </c>
      <c r="F163">
        <v>48.76</v>
      </c>
      <c r="G163">
        <v>19.36</v>
      </c>
      <c r="H163">
        <v>1</v>
      </c>
      <c r="I163">
        <f>IF(Merge1[[#This Row],[Discrepancy]]&gt;=40,1,0)</f>
        <v>0</v>
      </c>
      <c r="J163" t="str">
        <f>IF(Merge1[[#This Row],[Year]]=2023,Merge1[[#This Row],[High Discrepancy2]],"")</f>
        <v/>
      </c>
      <c r="K16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3" s="1" t="str">
        <f ca="1">IF(Merge1[[#This Row],[Consecutive from 2023]]&gt;=5,"ALERT","")</f>
        <v/>
      </c>
    </row>
    <row r="164" spans="1:12" hidden="1" x14ac:dyDescent="0.35">
      <c r="A164" s="1" t="s">
        <v>63</v>
      </c>
      <c r="B164" s="1" t="s">
        <v>175</v>
      </c>
      <c r="C164" s="1" t="s">
        <v>31</v>
      </c>
      <c r="D164">
        <v>2011</v>
      </c>
      <c r="E164">
        <v>29.5</v>
      </c>
      <c r="F164">
        <v>75.91</v>
      </c>
      <c r="G164">
        <v>46.41</v>
      </c>
      <c r="H164">
        <v>1</v>
      </c>
      <c r="I164">
        <f>IF(Merge1[[#This Row],[Discrepancy]]&gt;=40,1,0)</f>
        <v>1</v>
      </c>
      <c r="J164" t="str">
        <f>IF(Merge1[[#This Row],[Year]]=2023,Merge1[[#This Row],[High Discrepancy2]],"")</f>
        <v/>
      </c>
      <c r="K16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4" s="1" t="str">
        <f ca="1">IF(Merge1[[#This Row],[Consecutive from 2023]]&gt;=5,"ALERT","")</f>
        <v/>
      </c>
    </row>
    <row r="165" spans="1:12" hidden="1" x14ac:dyDescent="0.35">
      <c r="A165" s="1" t="s">
        <v>63</v>
      </c>
      <c r="B165" s="1" t="s">
        <v>175</v>
      </c>
      <c r="C165" s="1" t="s">
        <v>31</v>
      </c>
      <c r="D165">
        <v>2010</v>
      </c>
      <c r="E165">
        <v>28.1</v>
      </c>
      <c r="F165">
        <v>77.37</v>
      </c>
      <c r="G165">
        <v>49.27</v>
      </c>
      <c r="H165">
        <v>1</v>
      </c>
      <c r="I165">
        <f>IF(Merge1[[#This Row],[Discrepancy]]&gt;=40,1,0)</f>
        <v>1</v>
      </c>
      <c r="J165" t="str">
        <f>IF(Merge1[[#This Row],[Year]]=2023,Merge1[[#This Row],[High Discrepancy2]],"")</f>
        <v/>
      </c>
      <c r="K16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5" s="1" t="str">
        <f ca="1">IF(Merge1[[#This Row],[Consecutive from 2023]]&gt;=5,"ALERT","")</f>
        <v/>
      </c>
    </row>
    <row r="166" spans="1:12" hidden="1" x14ac:dyDescent="0.35">
      <c r="A166" s="1" t="s">
        <v>69</v>
      </c>
      <c r="B166" s="1" t="s">
        <v>174</v>
      </c>
      <c r="C166" s="1" t="s">
        <v>31</v>
      </c>
      <c r="D166">
        <v>2015</v>
      </c>
      <c r="E166">
        <v>41.6</v>
      </c>
      <c r="F166">
        <v>83.38</v>
      </c>
      <c r="G166">
        <v>41.779999999999994</v>
      </c>
      <c r="H166">
        <v>1</v>
      </c>
      <c r="I166">
        <f>IF(Merge1[[#This Row],[Discrepancy]]&gt;=40,1,0)</f>
        <v>1</v>
      </c>
      <c r="J166" t="str">
        <f>IF(Merge1[[#This Row],[Year]]=2023,Merge1[[#This Row],[High Discrepancy2]],"")</f>
        <v/>
      </c>
      <c r="K16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6" s="1" t="str">
        <f ca="1">IF(Merge1[[#This Row],[Consecutive from 2023]]&gt;=5,"ALERT","")</f>
        <v/>
      </c>
    </row>
    <row r="167" spans="1:12" hidden="1" x14ac:dyDescent="0.35">
      <c r="A167" s="1" t="s">
        <v>69</v>
      </c>
      <c r="B167" s="1" t="s">
        <v>174</v>
      </c>
      <c r="C167" s="1" t="s">
        <v>31</v>
      </c>
      <c r="D167">
        <v>2014</v>
      </c>
      <c r="E167">
        <v>36</v>
      </c>
      <c r="F167">
        <v>75.27</v>
      </c>
      <c r="G167">
        <v>39.269999999999996</v>
      </c>
      <c r="H167">
        <v>1</v>
      </c>
      <c r="I167">
        <f>IF(Merge1[[#This Row],[Discrepancy]]&gt;=40,1,0)</f>
        <v>0</v>
      </c>
      <c r="J167" t="str">
        <f>IF(Merge1[[#This Row],[Year]]=2023,Merge1[[#This Row],[High Discrepancy2]],"")</f>
        <v/>
      </c>
      <c r="K16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7" s="1" t="str">
        <f ca="1">IF(Merge1[[#This Row],[Consecutive from 2023]]&gt;=5,"ALERT","")</f>
        <v/>
      </c>
    </row>
    <row r="168" spans="1:12" hidden="1" x14ac:dyDescent="0.35">
      <c r="A168" s="1" t="s">
        <v>69</v>
      </c>
      <c r="B168" s="1" t="s">
        <v>174</v>
      </c>
      <c r="C168" s="1" t="s">
        <v>31</v>
      </c>
      <c r="D168">
        <v>2013</v>
      </c>
      <c r="E168">
        <v>40.1</v>
      </c>
      <c r="F168">
        <v>72.400000000000006</v>
      </c>
      <c r="G168">
        <v>32.300000000000004</v>
      </c>
      <c r="H168">
        <v>1</v>
      </c>
      <c r="I168">
        <f>IF(Merge1[[#This Row],[Discrepancy]]&gt;=40,1,0)</f>
        <v>0</v>
      </c>
      <c r="J168" t="str">
        <f>IF(Merge1[[#This Row],[Year]]=2023,Merge1[[#This Row],[High Discrepancy2]],"")</f>
        <v/>
      </c>
      <c r="K16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8" s="1" t="str">
        <f ca="1">IF(Merge1[[#This Row],[Consecutive from 2023]]&gt;=5,"ALERT","")</f>
        <v/>
      </c>
    </row>
    <row r="169" spans="1:12" hidden="1" x14ac:dyDescent="0.35">
      <c r="A169" s="1" t="s">
        <v>69</v>
      </c>
      <c r="B169" s="1" t="s">
        <v>174</v>
      </c>
      <c r="C169" s="1" t="s">
        <v>31</v>
      </c>
      <c r="D169">
        <v>2012</v>
      </c>
      <c r="E169">
        <v>38.1</v>
      </c>
      <c r="F169">
        <v>71.27</v>
      </c>
      <c r="G169">
        <v>33.169999999999995</v>
      </c>
      <c r="H169">
        <v>1</v>
      </c>
      <c r="I169">
        <f>IF(Merge1[[#This Row],[Discrepancy]]&gt;=40,1,0)</f>
        <v>0</v>
      </c>
      <c r="J169" t="str">
        <f>IF(Merge1[[#This Row],[Year]]=2023,Merge1[[#This Row],[High Discrepancy2]],"")</f>
        <v/>
      </c>
      <c r="K16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69" s="1" t="str">
        <f ca="1">IF(Merge1[[#This Row],[Consecutive from 2023]]&gt;=5,"ALERT","")</f>
        <v/>
      </c>
    </row>
    <row r="170" spans="1:12" hidden="1" x14ac:dyDescent="0.35">
      <c r="A170" s="1" t="s">
        <v>95</v>
      </c>
      <c r="B170" s="1" t="s">
        <v>175</v>
      </c>
      <c r="C170" s="1" t="s">
        <v>31</v>
      </c>
      <c r="D170">
        <v>2023</v>
      </c>
      <c r="E170">
        <v>61.2</v>
      </c>
      <c r="F170">
        <v>26.09</v>
      </c>
      <c r="G170">
        <v>-35.11</v>
      </c>
      <c r="H170">
        <v>0</v>
      </c>
      <c r="I170">
        <f>IF(Merge1[[#This Row],[Discrepancy]]&gt;=40,1,0)</f>
        <v>0</v>
      </c>
      <c r="J170">
        <f>IF(Merge1[[#This Row],[Year]]=2023,Merge1[[#This Row],[High Discrepancy2]],"")</f>
        <v>0</v>
      </c>
      <c r="K17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0" s="1" t="str">
        <f ca="1">IF(Merge1[[#This Row],[Consecutive from 2023]]&gt;=5,"ALERT","")</f>
        <v/>
      </c>
    </row>
    <row r="171" spans="1:12" hidden="1" x14ac:dyDescent="0.35">
      <c r="A171" s="1" t="s">
        <v>95</v>
      </c>
      <c r="B171" s="1" t="s">
        <v>175</v>
      </c>
      <c r="C171" s="1" t="s">
        <v>31</v>
      </c>
      <c r="D171">
        <v>2022</v>
      </c>
      <c r="E171">
        <v>60.5</v>
      </c>
      <c r="F171">
        <v>27.28</v>
      </c>
      <c r="G171">
        <v>-33.22</v>
      </c>
      <c r="H171">
        <v>0</v>
      </c>
      <c r="I171">
        <f>IF(Merge1[[#This Row],[Discrepancy]]&gt;=40,1,0)</f>
        <v>0</v>
      </c>
      <c r="J171" t="str">
        <f>IF(Merge1[[#This Row],[Year]]=2023,Merge1[[#This Row],[High Discrepancy2]],"")</f>
        <v/>
      </c>
      <c r="K17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1" s="1" t="str">
        <f ca="1">IF(Merge1[[#This Row],[Consecutive from 2023]]&gt;=5,"ALERT","")</f>
        <v/>
      </c>
    </row>
    <row r="172" spans="1:12" hidden="1" x14ac:dyDescent="0.35">
      <c r="A172" s="1" t="s">
        <v>95</v>
      </c>
      <c r="B172" s="1" t="s">
        <v>175</v>
      </c>
      <c r="C172" s="1" t="s">
        <v>31</v>
      </c>
      <c r="D172">
        <v>2021</v>
      </c>
      <c r="E172">
        <v>59.5</v>
      </c>
      <c r="F172">
        <v>25.46</v>
      </c>
      <c r="G172">
        <v>-34.04</v>
      </c>
      <c r="H172">
        <v>0</v>
      </c>
      <c r="I172">
        <f>IF(Merge1[[#This Row],[Discrepancy]]&gt;=40,1,0)</f>
        <v>0</v>
      </c>
      <c r="J172" t="str">
        <f>IF(Merge1[[#This Row],[Year]]=2023,Merge1[[#This Row],[High Discrepancy2]],"")</f>
        <v/>
      </c>
      <c r="K17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2" s="1" t="str">
        <f ca="1">IF(Merge1[[#This Row],[Consecutive from 2023]]&gt;=5,"ALERT","")</f>
        <v/>
      </c>
    </row>
    <row r="173" spans="1:12" hidden="1" x14ac:dyDescent="0.35">
      <c r="A173" s="1" t="s">
        <v>95</v>
      </c>
      <c r="B173" s="1" t="s">
        <v>175</v>
      </c>
      <c r="C173" s="1" t="s">
        <v>31</v>
      </c>
      <c r="D173">
        <v>2020</v>
      </c>
      <c r="E173">
        <v>55.4</v>
      </c>
      <c r="F173">
        <v>22.66</v>
      </c>
      <c r="G173">
        <v>-32.739999999999995</v>
      </c>
      <c r="H173">
        <v>0</v>
      </c>
      <c r="I173">
        <f>IF(Merge1[[#This Row],[Discrepancy]]&gt;=40,1,0)</f>
        <v>0</v>
      </c>
      <c r="J173" t="str">
        <f>IF(Merge1[[#This Row],[Year]]=2023,Merge1[[#This Row],[High Discrepancy2]],"")</f>
        <v/>
      </c>
      <c r="K17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3" s="1" t="str">
        <f ca="1">IF(Merge1[[#This Row],[Consecutive from 2023]]&gt;=5,"ALERT","")</f>
        <v/>
      </c>
    </row>
    <row r="174" spans="1:12" hidden="1" x14ac:dyDescent="0.35">
      <c r="A174" s="1" t="s">
        <v>95</v>
      </c>
      <c r="B174" s="1" t="s">
        <v>175</v>
      </c>
      <c r="C174" s="1" t="s">
        <v>31</v>
      </c>
      <c r="D174">
        <v>2019</v>
      </c>
      <c r="E174">
        <v>55.4</v>
      </c>
      <c r="F174">
        <v>25.39</v>
      </c>
      <c r="G174">
        <v>-30.009999999999998</v>
      </c>
      <c r="H174">
        <v>0</v>
      </c>
      <c r="I174">
        <f>IF(Merge1[[#This Row],[Discrepancy]]&gt;=40,1,0)</f>
        <v>0</v>
      </c>
      <c r="J174" t="str">
        <f>IF(Merge1[[#This Row],[Year]]=2023,Merge1[[#This Row],[High Discrepancy2]],"")</f>
        <v/>
      </c>
      <c r="K17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4" s="1" t="str">
        <f ca="1">IF(Merge1[[#This Row],[Consecutive from 2023]]&gt;=5,"ALERT","")</f>
        <v/>
      </c>
    </row>
    <row r="175" spans="1:12" hidden="1" x14ac:dyDescent="0.35">
      <c r="A175" s="1" t="s">
        <v>95</v>
      </c>
      <c r="B175" s="1" t="s">
        <v>175</v>
      </c>
      <c r="C175" s="1" t="s">
        <v>31</v>
      </c>
      <c r="D175">
        <v>2018</v>
      </c>
      <c r="E175">
        <v>56.5</v>
      </c>
      <c r="F175">
        <v>22.99</v>
      </c>
      <c r="G175">
        <v>-33.510000000000005</v>
      </c>
      <c r="H175">
        <v>0</v>
      </c>
      <c r="I175">
        <f>IF(Merge1[[#This Row],[Discrepancy]]&gt;=40,1,0)</f>
        <v>0</v>
      </c>
      <c r="J175" t="str">
        <f>IF(Merge1[[#This Row],[Year]]=2023,Merge1[[#This Row],[High Discrepancy2]],"")</f>
        <v/>
      </c>
      <c r="K17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5" s="1" t="str">
        <f ca="1">IF(Merge1[[#This Row],[Consecutive from 2023]]&gt;=5,"ALERT","")</f>
        <v/>
      </c>
    </row>
    <row r="176" spans="1:12" hidden="1" x14ac:dyDescent="0.35">
      <c r="A176" s="1" t="s">
        <v>95</v>
      </c>
      <c r="B176" s="1" t="s">
        <v>175</v>
      </c>
      <c r="C176" s="1" t="s">
        <v>31</v>
      </c>
      <c r="D176">
        <v>2017</v>
      </c>
      <c r="E176">
        <v>54.4</v>
      </c>
      <c r="F176">
        <v>24.61</v>
      </c>
      <c r="G176">
        <v>-29.79</v>
      </c>
      <c r="H176">
        <v>0</v>
      </c>
      <c r="I176">
        <f>IF(Merge1[[#This Row],[Discrepancy]]&gt;=40,1,0)</f>
        <v>0</v>
      </c>
      <c r="J176" t="str">
        <f>IF(Merge1[[#This Row],[Year]]=2023,Merge1[[#This Row],[High Discrepancy2]],"")</f>
        <v/>
      </c>
      <c r="K17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6" s="1" t="str">
        <f ca="1">IF(Merge1[[#This Row],[Consecutive from 2023]]&gt;=5,"ALERT","")</f>
        <v/>
      </c>
    </row>
    <row r="177" spans="1:12" hidden="1" x14ac:dyDescent="0.35">
      <c r="A177" s="1" t="s">
        <v>95</v>
      </c>
      <c r="B177" s="1" t="s">
        <v>175</v>
      </c>
      <c r="C177" s="1" t="s">
        <v>31</v>
      </c>
      <c r="D177">
        <v>2016</v>
      </c>
      <c r="E177">
        <v>59.3</v>
      </c>
      <c r="F177">
        <v>28.56</v>
      </c>
      <c r="G177">
        <v>-30.74</v>
      </c>
      <c r="H177">
        <v>0</v>
      </c>
      <c r="I177">
        <f>IF(Merge1[[#This Row],[Discrepancy]]&gt;=40,1,0)</f>
        <v>0</v>
      </c>
      <c r="J177" t="str">
        <f>IF(Merge1[[#This Row],[Year]]=2023,Merge1[[#This Row],[High Discrepancy2]],"")</f>
        <v/>
      </c>
      <c r="K17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7" s="1" t="str">
        <f ca="1">IF(Merge1[[#This Row],[Consecutive from 2023]]&gt;=5,"ALERT","")</f>
        <v/>
      </c>
    </row>
    <row r="178" spans="1:12" hidden="1" x14ac:dyDescent="0.35">
      <c r="A178" s="1" t="s">
        <v>95</v>
      </c>
      <c r="B178" s="1" t="s">
        <v>175</v>
      </c>
      <c r="C178" s="1" t="s">
        <v>31</v>
      </c>
      <c r="D178">
        <v>2015</v>
      </c>
      <c r="E178">
        <v>52.5</v>
      </c>
      <c r="F178">
        <v>20.100000000000001</v>
      </c>
      <c r="G178">
        <v>-32.4</v>
      </c>
      <c r="H178">
        <v>0</v>
      </c>
      <c r="I178">
        <f>IF(Merge1[[#This Row],[Discrepancy]]&gt;=40,1,0)</f>
        <v>0</v>
      </c>
      <c r="J178" t="str">
        <f>IF(Merge1[[#This Row],[Year]]=2023,Merge1[[#This Row],[High Discrepancy2]],"")</f>
        <v/>
      </c>
      <c r="K17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8" s="1" t="str">
        <f ca="1">IF(Merge1[[#This Row],[Consecutive from 2023]]&gt;=5,"ALERT","")</f>
        <v/>
      </c>
    </row>
    <row r="179" spans="1:12" hidden="1" x14ac:dyDescent="0.35">
      <c r="A179" s="1" t="s">
        <v>95</v>
      </c>
      <c r="B179" s="1" t="s">
        <v>175</v>
      </c>
      <c r="C179" s="1" t="s">
        <v>31</v>
      </c>
      <c r="D179">
        <v>2014</v>
      </c>
      <c r="E179">
        <v>54.2</v>
      </c>
      <c r="F179">
        <v>19.760000000000002</v>
      </c>
      <c r="G179">
        <v>-34.44</v>
      </c>
      <c r="H179">
        <v>0</v>
      </c>
      <c r="I179">
        <f>IF(Merge1[[#This Row],[Discrepancy]]&gt;=40,1,0)</f>
        <v>0</v>
      </c>
      <c r="J179" t="str">
        <f>IF(Merge1[[#This Row],[Year]]=2023,Merge1[[#This Row],[High Discrepancy2]],"")</f>
        <v/>
      </c>
      <c r="K17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79" s="1" t="str">
        <f ca="1">IF(Merge1[[#This Row],[Consecutive from 2023]]&gt;=5,"ALERT","")</f>
        <v/>
      </c>
    </row>
    <row r="180" spans="1:12" hidden="1" x14ac:dyDescent="0.35">
      <c r="A180" s="1" t="s">
        <v>95</v>
      </c>
      <c r="B180" s="1" t="s">
        <v>175</v>
      </c>
      <c r="C180" s="1" t="s">
        <v>31</v>
      </c>
      <c r="D180">
        <v>2013</v>
      </c>
      <c r="E180">
        <v>55.6</v>
      </c>
      <c r="F180">
        <v>20.68</v>
      </c>
      <c r="G180">
        <v>-34.92</v>
      </c>
      <c r="H180">
        <v>0</v>
      </c>
      <c r="I180">
        <f>IF(Merge1[[#This Row],[Discrepancy]]&gt;=40,1,0)</f>
        <v>0</v>
      </c>
      <c r="J180" t="str">
        <f>IF(Merge1[[#This Row],[Year]]=2023,Merge1[[#This Row],[High Discrepancy2]],"")</f>
        <v/>
      </c>
      <c r="K18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80" s="1" t="str">
        <f ca="1">IF(Merge1[[#This Row],[Consecutive from 2023]]&gt;=5,"ALERT","")</f>
        <v/>
      </c>
    </row>
    <row r="181" spans="1:12" hidden="1" x14ac:dyDescent="0.35">
      <c r="A181" s="1" t="s">
        <v>95</v>
      </c>
      <c r="B181" s="1" t="s">
        <v>175</v>
      </c>
      <c r="C181" s="1" t="s">
        <v>31</v>
      </c>
      <c r="D181">
        <v>2012</v>
      </c>
      <c r="E181">
        <v>53</v>
      </c>
      <c r="F181">
        <v>18.77</v>
      </c>
      <c r="G181">
        <v>-34.230000000000004</v>
      </c>
      <c r="H181">
        <v>0</v>
      </c>
      <c r="I181">
        <f>IF(Merge1[[#This Row],[Discrepancy]]&gt;=40,1,0)</f>
        <v>0</v>
      </c>
      <c r="J181" t="str">
        <f>IF(Merge1[[#This Row],[Year]]=2023,Merge1[[#This Row],[High Discrepancy2]],"")</f>
        <v/>
      </c>
      <c r="K18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81" s="1" t="str">
        <f ca="1">IF(Merge1[[#This Row],[Consecutive from 2023]]&gt;=5,"ALERT","")</f>
        <v/>
      </c>
    </row>
    <row r="182" spans="1:12" hidden="1" x14ac:dyDescent="0.35">
      <c r="A182" s="1" t="s">
        <v>95</v>
      </c>
      <c r="B182" s="1" t="s">
        <v>175</v>
      </c>
      <c r="C182" s="1" t="s">
        <v>31</v>
      </c>
      <c r="D182">
        <v>2011</v>
      </c>
      <c r="E182">
        <v>55.9</v>
      </c>
      <c r="F182">
        <v>19.87</v>
      </c>
      <c r="G182">
        <v>-36.03</v>
      </c>
      <c r="H182">
        <v>0</v>
      </c>
      <c r="I182">
        <f>IF(Merge1[[#This Row],[Discrepancy]]&gt;=40,1,0)</f>
        <v>0</v>
      </c>
      <c r="J182" t="str">
        <f>IF(Merge1[[#This Row],[Year]]=2023,Merge1[[#This Row],[High Discrepancy2]],"")</f>
        <v/>
      </c>
      <c r="K18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82" s="1" t="str">
        <f ca="1">IF(Merge1[[#This Row],[Consecutive from 2023]]&gt;=5,"ALERT","")</f>
        <v/>
      </c>
    </row>
    <row r="183" spans="1:12" hidden="1" x14ac:dyDescent="0.35">
      <c r="A183" s="1" t="s">
        <v>95</v>
      </c>
      <c r="B183" s="1" t="s">
        <v>175</v>
      </c>
      <c r="C183" s="1" t="s">
        <v>31</v>
      </c>
      <c r="D183">
        <v>2010</v>
      </c>
      <c r="E183">
        <v>48</v>
      </c>
      <c r="F183">
        <v>26.74</v>
      </c>
      <c r="G183">
        <v>-21.26</v>
      </c>
      <c r="H183">
        <v>0</v>
      </c>
      <c r="I183">
        <f>IF(Merge1[[#This Row],[Discrepancy]]&gt;=40,1,0)</f>
        <v>0</v>
      </c>
      <c r="J183" t="str">
        <f>IF(Merge1[[#This Row],[Year]]=2023,Merge1[[#This Row],[High Discrepancy2]],"")</f>
        <v/>
      </c>
      <c r="K18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83" s="1" t="str">
        <f ca="1">IF(Merge1[[#This Row],[Consecutive from 2023]]&gt;=5,"ALERT","")</f>
        <v/>
      </c>
    </row>
    <row r="184" spans="1:12" hidden="1" x14ac:dyDescent="0.35">
      <c r="A184" s="1" t="s">
        <v>69</v>
      </c>
      <c r="B184" s="1" t="s">
        <v>174</v>
      </c>
      <c r="C184" s="1" t="s">
        <v>31</v>
      </c>
      <c r="D184">
        <v>2011</v>
      </c>
      <c r="E184">
        <v>36.200000000000003</v>
      </c>
      <c r="F184">
        <v>68.33</v>
      </c>
      <c r="G184">
        <v>32.129999999999995</v>
      </c>
      <c r="H184">
        <v>1</v>
      </c>
      <c r="I184">
        <f>IF(Merge1[[#This Row],[Discrepancy]]&gt;=40,1,0)</f>
        <v>0</v>
      </c>
      <c r="J184" t="str">
        <f>IF(Merge1[[#This Row],[Year]]=2023,Merge1[[#This Row],[High Discrepancy2]],"")</f>
        <v/>
      </c>
      <c r="K18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84" s="1" t="str">
        <f ca="1">IF(Merge1[[#This Row],[Consecutive from 2023]]&gt;=5,"ALERT","")</f>
        <v/>
      </c>
    </row>
    <row r="185" spans="1:12" hidden="1" x14ac:dyDescent="0.35">
      <c r="A185" s="1" t="s">
        <v>69</v>
      </c>
      <c r="B185" s="1" t="s">
        <v>174</v>
      </c>
      <c r="C185" s="1" t="s">
        <v>31</v>
      </c>
      <c r="D185">
        <v>2010</v>
      </c>
      <c r="E185">
        <v>19.2</v>
      </c>
      <c r="F185">
        <v>62.94</v>
      </c>
      <c r="G185">
        <v>43.739999999999995</v>
      </c>
      <c r="H185">
        <v>1</v>
      </c>
      <c r="I185">
        <f>IF(Merge1[[#This Row],[Discrepancy]]&gt;=40,1,0)</f>
        <v>1</v>
      </c>
      <c r="J185" t="str">
        <f>IF(Merge1[[#This Row],[Year]]=2023,Merge1[[#This Row],[High Discrepancy2]],"")</f>
        <v/>
      </c>
      <c r="K18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85" s="1" t="str">
        <f ca="1">IF(Merge1[[#This Row],[Consecutive from 2023]]&gt;=5,"ALERT","")</f>
        <v/>
      </c>
    </row>
    <row r="186" spans="1:12" hidden="1" x14ac:dyDescent="0.35">
      <c r="A186" s="1" t="s">
        <v>91</v>
      </c>
      <c r="B186" s="1" t="s">
        <v>176</v>
      </c>
      <c r="C186" s="1" t="s">
        <v>31</v>
      </c>
      <c r="D186">
        <v>2021</v>
      </c>
      <c r="E186">
        <v>55.2</v>
      </c>
      <c r="F186">
        <v>85.18</v>
      </c>
      <c r="G186">
        <v>29.980000000000004</v>
      </c>
      <c r="H186">
        <v>1</v>
      </c>
      <c r="I186">
        <f>IF(Merge1[[#This Row],[Discrepancy]]&gt;=40,1,0)</f>
        <v>0</v>
      </c>
      <c r="J186" t="str">
        <f>IF(Merge1[[#This Row],[Year]]=2023,Merge1[[#This Row],[High Discrepancy2]],"")</f>
        <v/>
      </c>
      <c r="K18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186" s="1" t="str">
        <f ca="1">IF(Merge1[[#This Row],[Consecutive from 2023]]&gt;=5,"ALERT","")</f>
        <v/>
      </c>
    </row>
    <row r="187" spans="1:12" hidden="1" x14ac:dyDescent="0.35">
      <c r="A187" s="1" t="s">
        <v>75</v>
      </c>
      <c r="B187" s="1" t="s">
        <v>176</v>
      </c>
      <c r="C187" s="1" t="s">
        <v>31</v>
      </c>
      <c r="D187">
        <v>2023</v>
      </c>
      <c r="E187">
        <v>57.3</v>
      </c>
      <c r="F187">
        <v>99.83</v>
      </c>
      <c r="G187">
        <v>42.53</v>
      </c>
      <c r="H187">
        <v>1</v>
      </c>
      <c r="I187">
        <f>IF(Merge1[[#This Row],[Discrepancy]]&gt;=40,1,0)</f>
        <v>1</v>
      </c>
      <c r="J187">
        <f>IF(Merge1[[#This Row],[Year]]=2023,Merge1[[#This Row],[High Discrepancy2]],"")</f>
        <v>1</v>
      </c>
      <c r="K18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</v>
      </c>
      <c r="L187" s="1" t="str">
        <f ca="1">IF(Merge1[[#This Row],[Consecutive from 2023]]&gt;=5,"ALERT","")</f>
        <v/>
      </c>
    </row>
    <row r="188" spans="1:12" hidden="1" x14ac:dyDescent="0.35">
      <c r="A188" s="1" t="s">
        <v>75</v>
      </c>
      <c r="B188" s="1" t="s">
        <v>176</v>
      </c>
      <c r="C188" s="1" t="s">
        <v>31</v>
      </c>
      <c r="D188">
        <v>2022</v>
      </c>
      <c r="E188">
        <v>50</v>
      </c>
      <c r="F188">
        <v>99.83</v>
      </c>
      <c r="G188">
        <v>49.83</v>
      </c>
      <c r="H188">
        <v>1</v>
      </c>
      <c r="I188">
        <f>IF(Merge1[[#This Row],[Discrepancy]]&gt;=40,1,0)</f>
        <v>1</v>
      </c>
      <c r="J188" t="str">
        <f>IF(Merge1[[#This Row],[Year]]=2023,Merge1[[#This Row],[High Discrepancy2]],"")</f>
        <v/>
      </c>
      <c r="K18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2</v>
      </c>
      <c r="L188" s="1" t="str">
        <f ca="1">IF(Merge1[[#This Row],[Consecutive from 2023]]&gt;=5,"ALERT","")</f>
        <v/>
      </c>
    </row>
    <row r="189" spans="1:12" hidden="1" x14ac:dyDescent="0.35">
      <c r="A189" s="1" t="s">
        <v>75</v>
      </c>
      <c r="B189" s="1" t="s">
        <v>176</v>
      </c>
      <c r="C189" s="1" t="s">
        <v>31</v>
      </c>
      <c r="D189">
        <v>2021</v>
      </c>
      <c r="E189">
        <v>50.4</v>
      </c>
      <c r="F189">
        <v>99.53</v>
      </c>
      <c r="G189">
        <v>49.13</v>
      </c>
      <c r="H189">
        <v>1</v>
      </c>
      <c r="I189">
        <f>IF(Merge1[[#This Row],[Discrepancy]]&gt;=40,1,0)</f>
        <v>1</v>
      </c>
      <c r="J189" t="str">
        <f>IF(Merge1[[#This Row],[Year]]=2023,Merge1[[#This Row],[High Discrepancy2]],"")</f>
        <v/>
      </c>
      <c r="K18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3</v>
      </c>
      <c r="L189" s="1" t="str">
        <f ca="1">IF(Merge1[[#This Row],[Consecutive from 2023]]&gt;=5,"ALERT","")</f>
        <v/>
      </c>
    </row>
    <row r="190" spans="1:12" hidden="1" x14ac:dyDescent="0.35">
      <c r="A190" s="1" t="s">
        <v>75</v>
      </c>
      <c r="B190" s="1" t="s">
        <v>176</v>
      </c>
      <c r="C190" s="1" t="s">
        <v>31</v>
      </c>
      <c r="D190">
        <v>2020</v>
      </c>
      <c r="E190">
        <v>47.5</v>
      </c>
      <c r="F190">
        <v>99.88</v>
      </c>
      <c r="G190">
        <v>52.379999999999995</v>
      </c>
      <c r="H190">
        <v>1</v>
      </c>
      <c r="I190">
        <f>IF(Merge1[[#This Row],[Discrepancy]]&gt;=40,1,0)</f>
        <v>1</v>
      </c>
      <c r="J190" t="str">
        <f>IF(Merge1[[#This Row],[Year]]=2023,Merge1[[#This Row],[High Discrepancy2]],"")</f>
        <v/>
      </c>
      <c r="K19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4</v>
      </c>
      <c r="L190" s="1" t="str">
        <f ca="1">IF(Merge1[[#This Row],[Consecutive from 2023]]&gt;=5,"ALERT","")</f>
        <v/>
      </c>
    </row>
    <row r="191" spans="1:12" x14ac:dyDescent="0.35">
      <c r="A191" s="1" t="s">
        <v>75</v>
      </c>
      <c r="B191" s="1" t="s">
        <v>176</v>
      </c>
      <c r="C191" s="1" t="s">
        <v>31</v>
      </c>
      <c r="D191">
        <v>2019</v>
      </c>
      <c r="E191">
        <v>44.6</v>
      </c>
      <c r="F191">
        <v>99.87</v>
      </c>
      <c r="G191">
        <v>55.27</v>
      </c>
      <c r="H191">
        <v>1</v>
      </c>
      <c r="I191">
        <f>IF(Merge1[[#This Row],[Discrepancy]]&gt;=40,1,0)</f>
        <v>1</v>
      </c>
      <c r="J191" t="str">
        <f>IF(Merge1[[#This Row],[Year]]=2023,Merge1[[#This Row],[High Discrepancy2]],"")</f>
        <v/>
      </c>
      <c r="K19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5</v>
      </c>
      <c r="L191" s="1" t="str">
        <f ca="1">IF(Merge1[[#This Row],[Consecutive from 2023]]&gt;=5,"ALERT","")</f>
        <v>ALERT</v>
      </c>
    </row>
    <row r="192" spans="1:12" x14ac:dyDescent="0.35">
      <c r="A192" s="1" t="s">
        <v>75</v>
      </c>
      <c r="B192" s="1" t="s">
        <v>176</v>
      </c>
      <c r="C192" s="1" t="s">
        <v>31</v>
      </c>
      <c r="D192">
        <v>2018</v>
      </c>
      <c r="E192">
        <v>47</v>
      </c>
      <c r="F192">
        <v>99.88</v>
      </c>
      <c r="G192">
        <v>52.879999999999995</v>
      </c>
      <c r="H192">
        <v>1</v>
      </c>
      <c r="I192">
        <f>IF(Merge1[[#This Row],[Discrepancy]]&gt;=40,1,0)</f>
        <v>1</v>
      </c>
      <c r="J192" t="str">
        <f>IF(Merge1[[#This Row],[Year]]=2023,Merge1[[#This Row],[High Discrepancy2]],"")</f>
        <v/>
      </c>
      <c r="K19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6</v>
      </c>
      <c r="L192" s="1" t="str">
        <f ca="1">IF(Merge1[[#This Row],[Consecutive from 2023]]&gt;=5,"ALERT","")</f>
        <v>ALERT</v>
      </c>
    </row>
    <row r="193" spans="1:12" x14ac:dyDescent="0.35">
      <c r="A193" s="1" t="s">
        <v>75</v>
      </c>
      <c r="B193" s="1" t="s">
        <v>176</v>
      </c>
      <c r="C193" s="1" t="s">
        <v>31</v>
      </c>
      <c r="D193">
        <v>2017</v>
      </c>
      <c r="E193">
        <v>33.700000000000003</v>
      </c>
      <c r="F193">
        <v>99.88</v>
      </c>
      <c r="G193">
        <v>66.179999999999993</v>
      </c>
      <c r="H193">
        <v>1</v>
      </c>
      <c r="I193">
        <f>IF(Merge1[[#This Row],[Discrepancy]]&gt;=40,1,0)</f>
        <v>1</v>
      </c>
      <c r="J193" t="str">
        <f>IF(Merge1[[#This Row],[Year]]=2023,Merge1[[#This Row],[High Discrepancy2]],"")</f>
        <v/>
      </c>
      <c r="K19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7</v>
      </c>
      <c r="L193" s="1" t="str">
        <f ca="1">IF(Merge1[[#This Row],[Consecutive from 2023]]&gt;=5,"ALERT","")</f>
        <v>ALERT</v>
      </c>
    </row>
    <row r="194" spans="1:12" x14ac:dyDescent="0.35">
      <c r="A194" s="1" t="s">
        <v>75</v>
      </c>
      <c r="B194" s="1" t="s">
        <v>176</v>
      </c>
      <c r="C194" s="1" t="s">
        <v>31</v>
      </c>
      <c r="D194">
        <v>2016</v>
      </c>
      <c r="E194">
        <v>35.1</v>
      </c>
      <c r="F194">
        <v>99.93</v>
      </c>
      <c r="G194">
        <v>64.830000000000013</v>
      </c>
      <c r="H194">
        <v>1</v>
      </c>
      <c r="I194">
        <f>IF(Merge1[[#This Row],[Discrepancy]]&gt;=40,1,0)</f>
        <v>1</v>
      </c>
      <c r="J194" t="str">
        <f>IF(Merge1[[#This Row],[Year]]=2023,Merge1[[#This Row],[High Discrepancy2]],"")</f>
        <v/>
      </c>
      <c r="K19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8</v>
      </c>
      <c r="L194" s="1" t="str">
        <f ca="1">IF(Merge1[[#This Row],[Consecutive from 2023]]&gt;=5,"ALERT","")</f>
        <v>ALERT</v>
      </c>
    </row>
    <row r="195" spans="1:12" x14ac:dyDescent="0.35">
      <c r="A195" s="1" t="s">
        <v>75</v>
      </c>
      <c r="B195" s="1" t="s">
        <v>176</v>
      </c>
      <c r="C195" s="1" t="s">
        <v>31</v>
      </c>
      <c r="D195">
        <v>2015</v>
      </c>
      <c r="E195">
        <v>31.8</v>
      </c>
      <c r="F195">
        <v>99.93</v>
      </c>
      <c r="G195">
        <v>68.13000000000001</v>
      </c>
      <c r="H195">
        <v>1</v>
      </c>
      <c r="I195">
        <f>IF(Merge1[[#This Row],[Discrepancy]]&gt;=40,1,0)</f>
        <v>1</v>
      </c>
      <c r="J195" t="str">
        <f>IF(Merge1[[#This Row],[Year]]=2023,Merge1[[#This Row],[High Discrepancy2]],"")</f>
        <v/>
      </c>
      <c r="K19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9</v>
      </c>
      <c r="L195" s="1" t="str">
        <f ca="1">IF(Merge1[[#This Row],[Consecutive from 2023]]&gt;=5,"ALERT","")</f>
        <v>ALERT</v>
      </c>
    </row>
    <row r="196" spans="1:12" x14ac:dyDescent="0.35">
      <c r="A196" s="1" t="s">
        <v>75</v>
      </c>
      <c r="B196" s="1" t="s">
        <v>176</v>
      </c>
      <c r="C196" s="1" t="s">
        <v>31</v>
      </c>
      <c r="D196">
        <v>2014</v>
      </c>
      <c r="E196">
        <v>27.8</v>
      </c>
      <c r="F196">
        <v>99.93</v>
      </c>
      <c r="G196">
        <v>72.13000000000001</v>
      </c>
      <c r="H196">
        <v>1</v>
      </c>
      <c r="I196">
        <f>IF(Merge1[[#This Row],[Discrepancy]]&gt;=40,1,0)</f>
        <v>1</v>
      </c>
      <c r="J196" t="str">
        <f>IF(Merge1[[#This Row],[Year]]=2023,Merge1[[#This Row],[High Discrepancy2]],"")</f>
        <v/>
      </c>
      <c r="K19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10</v>
      </c>
      <c r="L196" s="1" t="str">
        <f ca="1">IF(Merge1[[#This Row],[Consecutive from 2023]]&gt;=5,"ALERT","")</f>
        <v>ALERT</v>
      </c>
    </row>
    <row r="197" spans="1:12" x14ac:dyDescent="0.35">
      <c r="A197" s="1" t="s">
        <v>75</v>
      </c>
      <c r="B197" s="1" t="s">
        <v>176</v>
      </c>
      <c r="C197" s="1" t="s">
        <v>31</v>
      </c>
      <c r="D197">
        <v>2013</v>
      </c>
      <c r="E197">
        <v>26.9</v>
      </c>
      <c r="F197">
        <v>99.93</v>
      </c>
      <c r="G197">
        <v>73.03</v>
      </c>
      <c r="H197">
        <v>1</v>
      </c>
      <c r="I197">
        <f>IF(Merge1[[#This Row],[Discrepancy]]&gt;=40,1,0)</f>
        <v>1</v>
      </c>
      <c r="J197" t="str">
        <f>IF(Merge1[[#This Row],[Year]]=2023,Merge1[[#This Row],[High Discrepancy2]],"")</f>
        <v/>
      </c>
      <c r="K19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11</v>
      </c>
      <c r="L197" s="1" t="str">
        <f ca="1">IF(Merge1[[#This Row],[Consecutive from 2023]]&gt;=5,"ALERT","")</f>
        <v>ALERT</v>
      </c>
    </row>
    <row r="198" spans="1:12" x14ac:dyDescent="0.35">
      <c r="A198" s="1" t="s">
        <v>75</v>
      </c>
      <c r="B198" s="1" t="s">
        <v>176</v>
      </c>
      <c r="C198" s="1" t="s">
        <v>31</v>
      </c>
      <c r="D198">
        <v>2012</v>
      </c>
      <c r="E198">
        <v>20.6</v>
      </c>
      <c r="F198">
        <v>99.92</v>
      </c>
      <c r="G198">
        <v>79.319999999999993</v>
      </c>
      <c r="H198">
        <v>1</v>
      </c>
      <c r="I198">
        <f>IF(Merge1[[#This Row],[Discrepancy]]&gt;=40,1,0)</f>
        <v>1</v>
      </c>
      <c r="J198" t="str">
        <f>IF(Merge1[[#This Row],[Year]]=2023,Merge1[[#This Row],[High Discrepancy2]],"")</f>
        <v/>
      </c>
      <c r="K19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12</v>
      </c>
      <c r="L198" s="1" t="str">
        <f ca="1">IF(Merge1[[#This Row],[Consecutive from 2023]]&gt;=5,"ALERT","")</f>
        <v>ALERT</v>
      </c>
    </row>
    <row r="199" spans="1:12" x14ac:dyDescent="0.35">
      <c r="A199" s="1" t="s">
        <v>75</v>
      </c>
      <c r="B199" s="1" t="s">
        <v>176</v>
      </c>
      <c r="C199" s="1" t="s">
        <v>31</v>
      </c>
      <c r="D199">
        <v>2011</v>
      </c>
      <c r="E199">
        <v>22.5</v>
      </c>
      <c r="F199">
        <v>99.92</v>
      </c>
      <c r="G199">
        <v>77.42</v>
      </c>
      <c r="H199">
        <v>1</v>
      </c>
      <c r="I199">
        <f>IF(Merge1[[#This Row],[Discrepancy]]&gt;=40,1,0)</f>
        <v>1</v>
      </c>
      <c r="J199" t="str">
        <f>IF(Merge1[[#This Row],[Year]]=2023,Merge1[[#This Row],[High Discrepancy2]],"")</f>
        <v/>
      </c>
      <c r="K19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13</v>
      </c>
      <c r="L199" s="1" t="str">
        <f ca="1">IF(Merge1[[#This Row],[Consecutive from 2023]]&gt;=5,"ALERT","")</f>
        <v>ALERT</v>
      </c>
    </row>
    <row r="200" spans="1:12" x14ac:dyDescent="0.35">
      <c r="A200" s="1" t="s">
        <v>75</v>
      </c>
      <c r="B200" s="1" t="s">
        <v>176</v>
      </c>
      <c r="C200" s="1" t="s">
        <v>31</v>
      </c>
      <c r="D200">
        <v>2010</v>
      </c>
      <c r="E200">
        <v>17</v>
      </c>
      <c r="F200">
        <v>99.92</v>
      </c>
      <c r="G200">
        <v>82.92</v>
      </c>
      <c r="H200">
        <v>1</v>
      </c>
      <c r="I200">
        <f>IF(Merge1[[#This Row],[Discrepancy]]&gt;=40,1,0)</f>
        <v>1</v>
      </c>
      <c r="J200" t="str">
        <f>IF(Merge1[[#This Row],[Year]]=2023,Merge1[[#This Row],[High Discrepancy2]],"")</f>
        <v/>
      </c>
      <c r="K20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14</v>
      </c>
      <c r="L200" s="1" t="str">
        <f ca="1">IF(Merge1[[#This Row],[Consecutive from 2023]]&gt;=5,"ALERT","")</f>
        <v>ALERT</v>
      </c>
    </row>
    <row r="201" spans="1:12" hidden="1" x14ac:dyDescent="0.35">
      <c r="A201" s="1" t="s">
        <v>79</v>
      </c>
      <c r="B201" s="1" t="s">
        <v>174</v>
      </c>
      <c r="C201" s="1" t="s">
        <v>34</v>
      </c>
      <c r="D201">
        <v>2016</v>
      </c>
      <c r="E201">
        <v>22.9</v>
      </c>
      <c r="F201">
        <v>54.62</v>
      </c>
      <c r="G201">
        <v>31.72</v>
      </c>
      <c r="H201">
        <v>1</v>
      </c>
      <c r="I201">
        <f>IF(Merge1[[#This Row],[Discrepancy]]&gt;=40,1,0)</f>
        <v>0</v>
      </c>
      <c r="J201" t="str">
        <f>IF(Merge1[[#This Row],[Year]]=2023,Merge1[[#This Row],[High Discrepancy2]],"")</f>
        <v/>
      </c>
      <c r="K20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01" s="1" t="str">
        <f ca="1">IF(Merge1[[#This Row],[Consecutive from 2023]]&gt;=5,"ALERT","")</f>
        <v/>
      </c>
    </row>
    <row r="202" spans="1:12" hidden="1" x14ac:dyDescent="0.35">
      <c r="A202" s="1" t="s">
        <v>79</v>
      </c>
      <c r="B202" s="1" t="s">
        <v>174</v>
      </c>
      <c r="C202" s="1" t="s">
        <v>34</v>
      </c>
      <c r="D202">
        <v>2015</v>
      </c>
      <c r="E202">
        <v>23.8</v>
      </c>
      <c r="F202">
        <v>61.42</v>
      </c>
      <c r="G202">
        <v>37.620000000000005</v>
      </c>
      <c r="H202">
        <v>1</v>
      </c>
      <c r="I202">
        <f>IF(Merge1[[#This Row],[Discrepancy]]&gt;=40,1,0)</f>
        <v>0</v>
      </c>
      <c r="J202" t="str">
        <f>IF(Merge1[[#This Row],[Year]]=2023,Merge1[[#This Row],[High Discrepancy2]],"")</f>
        <v/>
      </c>
      <c r="K20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02" s="1" t="str">
        <f ca="1">IF(Merge1[[#This Row],[Consecutive from 2023]]&gt;=5,"ALERT","")</f>
        <v/>
      </c>
    </row>
    <row r="203" spans="1:12" hidden="1" x14ac:dyDescent="0.35">
      <c r="A203" s="1" t="s">
        <v>79</v>
      </c>
      <c r="B203" s="1" t="s">
        <v>174</v>
      </c>
      <c r="C203" s="1" t="s">
        <v>34</v>
      </c>
      <c r="D203">
        <v>2014</v>
      </c>
      <c r="E203">
        <v>23</v>
      </c>
      <c r="F203">
        <v>58.02</v>
      </c>
      <c r="G203">
        <v>35.020000000000003</v>
      </c>
      <c r="H203">
        <v>1</v>
      </c>
      <c r="I203">
        <f>IF(Merge1[[#This Row],[Discrepancy]]&gt;=40,1,0)</f>
        <v>0</v>
      </c>
      <c r="J203" t="str">
        <f>IF(Merge1[[#This Row],[Year]]=2023,Merge1[[#This Row],[High Discrepancy2]],"")</f>
        <v/>
      </c>
      <c r="K20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03" s="1" t="str">
        <f ca="1">IF(Merge1[[#This Row],[Consecutive from 2023]]&gt;=5,"ALERT","")</f>
        <v/>
      </c>
    </row>
    <row r="204" spans="1:12" hidden="1" x14ac:dyDescent="0.35">
      <c r="A204" s="1" t="s">
        <v>79</v>
      </c>
      <c r="B204" s="1" t="s">
        <v>174</v>
      </c>
      <c r="C204" s="1" t="s">
        <v>34</v>
      </c>
      <c r="D204">
        <v>2013</v>
      </c>
      <c r="E204">
        <v>12.9</v>
      </c>
      <c r="F204">
        <v>54.95</v>
      </c>
      <c r="G204">
        <v>42.050000000000004</v>
      </c>
      <c r="H204">
        <v>1</v>
      </c>
      <c r="I204">
        <f>IF(Merge1[[#This Row],[Discrepancy]]&gt;=40,1,0)</f>
        <v>1</v>
      </c>
      <c r="J204" t="str">
        <f>IF(Merge1[[#This Row],[Year]]=2023,Merge1[[#This Row],[High Discrepancy2]],"")</f>
        <v/>
      </c>
      <c r="K20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04" s="1" t="str">
        <f ca="1">IF(Merge1[[#This Row],[Consecutive from 2023]]&gt;=5,"ALERT","")</f>
        <v/>
      </c>
    </row>
    <row r="205" spans="1:12" hidden="1" x14ac:dyDescent="0.35">
      <c r="A205" s="1" t="s">
        <v>79</v>
      </c>
      <c r="B205" s="1" t="s">
        <v>174</v>
      </c>
      <c r="C205" s="1" t="s">
        <v>34</v>
      </c>
      <c r="D205">
        <v>2012</v>
      </c>
      <c r="E205">
        <v>18.7</v>
      </c>
      <c r="F205">
        <v>56.63</v>
      </c>
      <c r="G205">
        <v>37.930000000000007</v>
      </c>
      <c r="H205">
        <v>1</v>
      </c>
      <c r="I205">
        <f>IF(Merge1[[#This Row],[Discrepancy]]&gt;=40,1,0)</f>
        <v>0</v>
      </c>
      <c r="J205" t="str">
        <f>IF(Merge1[[#This Row],[Year]]=2023,Merge1[[#This Row],[High Discrepancy2]],"")</f>
        <v/>
      </c>
      <c r="K20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05" s="1" t="str">
        <f ca="1">IF(Merge1[[#This Row],[Consecutive from 2023]]&gt;=5,"ALERT","")</f>
        <v/>
      </c>
    </row>
    <row r="206" spans="1:12" hidden="1" x14ac:dyDescent="0.35">
      <c r="A206" s="1" t="s">
        <v>79</v>
      </c>
      <c r="B206" s="1" t="s">
        <v>174</v>
      </c>
      <c r="C206" s="1" t="s">
        <v>34</v>
      </c>
      <c r="D206">
        <v>2011</v>
      </c>
      <c r="E206">
        <v>14.3</v>
      </c>
      <c r="F206">
        <v>55.21</v>
      </c>
      <c r="G206">
        <v>40.909999999999997</v>
      </c>
      <c r="H206">
        <v>1</v>
      </c>
      <c r="I206">
        <f>IF(Merge1[[#This Row],[Discrepancy]]&gt;=40,1,0)</f>
        <v>1</v>
      </c>
      <c r="J206" t="str">
        <f>IF(Merge1[[#This Row],[Year]]=2023,Merge1[[#This Row],[High Discrepancy2]],"")</f>
        <v/>
      </c>
      <c r="K20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06" s="1" t="str">
        <f ca="1">IF(Merge1[[#This Row],[Consecutive from 2023]]&gt;=5,"ALERT","")</f>
        <v/>
      </c>
    </row>
    <row r="207" spans="1:12" hidden="1" x14ac:dyDescent="0.35">
      <c r="A207" s="1" t="s">
        <v>79</v>
      </c>
      <c r="B207" s="1" t="s">
        <v>174</v>
      </c>
      <c r="C207" s="1" t="s">
        <v>34</v>
      </c>
      <c r="D207">
        <v>2010</v>
      </c>
      <c r="E207">
        <v>12.3</v>
      </c>
      <c r="F207">
        <v>60.43</v>
      </c>
      <c r="G207">
        <v>48.129999999999995</v>
      </c>
      <c r="H207">
        <v>1</v>
      </c>
      <c r="I207">
        <f>IF(Merge1[[#This Row],[Discrepancy]]&gt;=40,1,0)</f>
        <v>1</v>
      </c>
      <c r="J207" t="str">
        <f>IF(Merge1[[#This Row],[Year]]=2023,Merge1[[#This Row],[High Discrepancy2]],"")</f>
        <v/>
      </c>
      <c r="K20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07" s="1" t="str">
        <f ca="1">IF(Merge1[[#This Row],[Consecutive from 2023]]&gt;=5,"ALERT","")</f>
        <v/>
      </c>
    </row>
    <row r="208" spans="1:12" hidden="1" x14ac:dyDescent="0.35">
      <c r="A208" s="1" t="s">
        <v>89</v>
      </c>
      <c r="B208" s="1" t="s">
        <v>174</v>
      </c>
      <c r="C208" s="1" t="s">
        <v>34</v>
      </c>
      <c r="D208">
        <v>2023</v>
      </c>
      <c r="E208">
        <v>15.6</v>
      </c>
      <c r="F208">
        <v>79.06</v>
      </c>
      <c r="G208">
        <v>63.46</v>
      </c>
      <c r="H208">
        <v>1</v>
      </c>
      <c r="I208">
        <f>IF(Merge1[[#This Row],[Discrepancy]]&gt;=40,1,0)</f>
        <v>1</v>
      </c>
      <c r="J208">
        <f>IF(Merge1[[#This Row],[Year]]=2023,Merge1[[#This Row],[High Discrepancy2]],"")</f>
        <v>1</v>
      </c>
      <c r="K20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</v>
      </c>
      <c r="L208" s="1" t="str">
        <f ca="1">IF(Merge1[[#This Row],[Consecutive from 2023]]&gt;=5,"ALERT","")</f>
        <v/>
      </c>
    </row>
    <row r="209" spans="1:12" hidden="1" x14ac:dyDescent="0.35">
      <c r="A209" s="1" t="s">
        <v>89</v>
      </c>
      <c r="B209" s="1" t="s">
        <v>174</v>
      </c>
      <c r="C209" s="1" t="s">
        <v>34</v>
      </c>
      <c r="D209">
        <v>2022</v>
      </c>
      <c r="E209">
        <v>14</v>
      </c>
      <c r="F209">
        <v>79.06</v>
      </c>
      <c r="G209">
        <v>65.06</v>
      </c>
      <c r="H209">
        <v>1</v>
      </c>
      <c r="I209">
        <f>IF(Merge1[[#This Row],[Discrepancy]]&gt;=40,1,0)</f>
        <v>1</v>
      </c>
      <c r="J209" t="str">
        <f>IF(Merge1[[#This Row],[Year]]=2023,Merge1[[#This Row],[High Discrepancy2]],"")</f>
        <v/>
      </c>
      <c r="K20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2</v>
      </c>
      <c r="L209" s="1" t="str">
        <f ca="1">IF(Merge1[[#This Row],[Consecutive from 2023]]&gt;=5,"ALERT","")</f>
        <v/>
      </c>
    </row>
    <row r="210" spans="1:12" hidden="1" x14ac:dyDescent="0.35">
      <c r="A210" s="1" t="s">
        <v>89</v>
      </c>
      <c r="B210" s="1" t="s">
        <v>174</v>
      </c>
      <c r="C210" s="1" t="s">
        <v>34</v>
      </c>
      <c r="D210">
        <v>2021</v>
      </c>
      <c r="E210">
        <v>14.2</v>
      </c>
      <c r="F210">
        <v>79.03</v>
      </c>
      <c r="G210">
        <v>64.83</v>
      </c>
      <c r="H210">
        <v>1</v>
      </c>
      <c r="I210">
        <f>IF(Merge1[[#This Row],[Discrepancy]]&gt;=40,1,0)</f>
        <v>1</v>
      </c>
      <c r="J210" t="str">
        <f>IF(Merge1[[#This Row],[Year]]=2023,Merge1[[#This Row],[High Discrepancy2]],"")</f>
        <v/>
      </c>
      <c r="K21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3</v>
      </c>
      <c r="L210" s="1" t="str">
        <f ca="1">IF(Merge1[[#This Row],[Consecutive from 2023]]&gt;=5,"ALERT","")</f>
        <v/>
      </c>
    </row>
    <row r="211" spans="1:12" hidden="1" x14ac:dyDescent="0.35">
      <c r="A211" s="1" t="s">
        <v>89</v>
      </c>
      <c r="B211" s="1" t="s">
        <v>174</v>
      </c>
      <c r="C211" s="1" t="s">
        <v>34</v>
      </c>
      <c r="D211">
        <v>2020</v>
      </c>
      <c r="E211">
        <v>11.5</v>
      </c>
      <c r="F211">
        <v>78.2</v>
      </c>
      <c r="G211">
        <v>66.7</v>
      </c>
      <c r="H211">
        <v>1</v>
      </c>
      <c r="I211">
        <f>IF(Merge1[[#This Row],[Discrepancy]]&gt;=40,1,0)</f>
        <v>1</v>
      </c>
      <c r="J211" t="str">
        <f>IF(Merge1[[#This Row],[Year]]=2023,Merge1[[#This Row],[High Discrepancy2]],"")</f>
        <v/>
      </c>
      <c r="K21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4</v>
      </c>
      <c r="L211" s="1" t="str">
        <f ca="1">IF(Merge1[[#This Row],[Consecutive from 2023]]&gt;=5,"ALERT","")</f>
        <v/>
      </c>
    </row>
    <row r="212" spans="1:12" hidden="1" x14ac:dyDescent="0.35">
      <c r="A212" s="1" t="s">
        <v>77</v>
      </c>
      <c r="B212" s="1" t="s">
        <v>173</v>
      </c>
      <c r="C212" s="1" t="s">
        <v>31</v>
      </c>
      <c r="D212">
        <v>2023</v>
      </c>
      <c r="E212">
        <v>100</v>
      </c>
      <c r="F212">
        <v>18.53</v>
      </c>
      <c r="G212">
        <v>-81.47</v>
      </c>
      <c r="H212">
        <v>0</v>
      </c>
      <c r="I212">
        <f>IF(Merge1[[#This Row],[Discrepancy]]&gt;=40,1,0)</f>
        <v>0</v>
      </c>
      <c r="J212">
        <f>IF(Merge1[[#This Row],[Year]]=2023,Merge1[[#This Row],[High Discrepancy2]],"")</f>
        <v>0</v>
      </c>
      <c r="K21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2" s="1" t="str">
        <f ca="1">IF(Merge1[[#This Row],[Consecutive from 2023]]&gt;=5,"ALERT","")</f>
        <v/>
      </c>
    </row>
    <row r="213" spans="1:12" hidden="1" x14ac:dyDescent="0.35">
      <c r="A213" s="1" t="s">
        <v>77</v>
      </c>
      <c r="B213" s="1" t="s">
        <v>173</v>
      </c>
      <c r="C213" s="1" t="s">
        <v>31</v>
      </c>
      <c r="D213">
        <v>2022</v>
      </c>
      <c r="E213">
        <v>100</v>
      </c>
      <c r="F213">
        <v>17.440000000000001</v>
      </c>
      <c r="G213">
        <v>-82.56</v>
      </c>
      <c r="H213">
        <v>0</v>
      </c>
      <c r="I213">
        <f>IF(Merge1[[#This Row],[Discrepancy]]&gt;=40,1,0)</f>
        <v>0</v>
      </c>
      <c r="J213" t="str">
        <f>IF(Merge1[[#This Row],[Year]]=2023,Merge1[[#This Row],[High Discrepancy2]],"")</f>
        <v/>
      </c>
      <c r="K21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3" s="1" t="str">
        <f ca="1">IF(Merge1[[#This Row],[Consecutive from 2023]]&gt;=5,"ALERT","")</f>
        <v/>
      </c>
    </row>
    <row r="214" spans="1:12" hidden="1" x14ac:dyDescent="0.35">
      <c r="A214" s="1" t="s">
        <v>77</v>
      </c>
      <c r="B214" s="1" t="s">
        <v>173</v>
      </c>
      <c r="C214" s="1" t="s">
        <v>31</v>
      </c>
      <c r="D214">
        <v>2021</v>
      </c>
      <c r="E214">
        <v>100</v>
      </c>
      <c r="F214">
        <v>18.93</v>
      </c>
      <c r="G214">
        <v>-81.069999999999993</v>
      </c>
      <c r="H214">
        <v>0</v>
      </c>
      <c r="I214">
        <f>IF(Merge1[[#This Row],[Discrepancy]]&gt;=40,1,0)</f>
        <v>0</v>
      </c>
      <c r="J214" t="str">
        <f>IF(Merge1[[#This Row],[Year]]=2023,Merge1[[#This Row],[High Discrepancy2]],"")</f>
        <v/>
      </c>
      <c r="K21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4" s="1" t="str">
        <f ca="1">IF(Merge1[[#This Row],[Consecutive from 2023]]&gt;=5,"ALERT","")</f>
        <v/>
      </c>
    </row>
    <row r="215" spans="1:12" hidden="1" x14ac:dyDescent="0.35">
      <c r="A215" s="1" t="s">
        <v>77</v>
      </c>
      <c r="B215" s="1" t="s">
        <v>173</v>
      </c>
      <c r="C215" s="1" t="s">
        <v>31</v>
      </c>
      <c r="D215">
        <v>2020</v>
      </c>
      <c r="E215">
        <v>100</v>
      </c>
      <c r="F215">
        <v>18.18</v>
      </c>
      <c r="G215">
        <v>-81.819999999999993</v>
      </c>
      <c r="H215">
        <v>0</v>
      </c>
      <c r="I215">
        <f>IF(Merge1[[#This Row],[Discrepancy]]&gt;=40,1,0)</f>
        <v>0</v>
      </c>
      <c r="J215" t="str">
        <f>IF(Merge1[[#This Row],[Year]]=2023,Merge1[[#This Row],[High Discrepancy2]],"")</f>
        <v/>
      </c>
      <c r="K21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5" s="1" t="str">
        <f ca="1">IF(Merge1[[#This Row],[Consecutive from 2023]]&gt;=5,"ALERT","")</f>
        <v/>
      </c>
    </row>
    <row r="216" spans="1:12" hidden="1" x14ac:dyDescent="0.35">
      <c r="A216" s="1" t="s">
        <v>77</v>
      </c>
      <c r="B216" s="1" t="s">
        <v>173</v>
      </c>
      <c r="C216" s="1" t="s">
        <v>31</v>
      </c>
      <c r="D216">
        <v>2019</v>
      </c>
      <c r="E216">
        <v>99.6</v>
      </c>
      <c r="F216">
        <v>18.86</v>
      </c>
      <c r="G216">
        <v>-80.739999999999995</v>
      </c>
      <c r="H216">
        <v>0</v>
      </c>
      <c r="I216">
        <f>IF(Merge1[[#This Row],[Discrepancy]]&gt;=40,1,0)</f>
        <v>0</v>
      </c>
      <c r="J216" t="str">
        <f>IF(Merge1[[#This Row],[Year]]=2023,Merge1[[#This Row],[High Discrepancy2]],"")</f>
        <v/>
      </c>
      <c r="K21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6" s="1" t="str">
        <f ca="1">IF(Merge1[[#This Row],[Consecutive from 2023]]&gt;=5,"ALERT","")</f>
        <v/>
      </c>
    </row>
    <row r="217" spans="1:12" hidden="1" x14ac:dyDescent="0.35">
      <c r="A217" s="1" t="s">
        <v>77</v>
      </c>
      <c r="B217" s="1" t="s">
        <v>173</v>
      </c>
      <c r="C217" s="1" t="s">
        <v>31</v>
      </c>
      <c r="D217">
        <v>2018</v>
      </c>
      <c r="E217">
        <v>98.1</v>
      </c>
      <c r="F217">
        <v>18.98</v>
      </c>
      <c r="G217">
        <v>-79.11999999999999</v>
      </c>
      <c r="H217">
        <v>0</v>
      </c>
      <c r="I217">
        <f>IF(Merge1[[#This Row],[Discrepancy]]&gt;=40,1,0)</f>
        <v>0</v>
      </c>
      <c r="J217" t="str">
        <f>IF(Merge1[[#This Row],[Year]]=2023,Merge1[[#This Row],[High Discrepancy2]],"")</f>
        <v/>
      </c>
      <c r="K21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7" s="1" t="str">
        <f ca="1">IF(Merge1[[#This Row],[Consecutive from 2023]]&gt;=5,"ALERT","")</f>
        <v/>
      </c>
    </row>
    <row r="218" spans="1:12" hidden="1" x14ac:dyDescent="0.35">
      <c r="A218" s="1" t="s">
        <v>77</v>
      </c>
      <c r="B218" s="1" t="s">
        <v>173</v>
      </c>
      <c r="C218" s="1" t="s">
        <v>31</v>
      </c>
      <c r="D218">
        <v>2017</v>
      </c>
      <c r="E218">
        <v>100</v>
      </c>
      <c r="F218">
        <v>14.76</v>
      </c>
      <c r="G218">
        <v>-85.24</v>
      </c>
      <c r="H218">
        <v>0</v>
      </c>
      <c r="I218">
        <f>IF(Merge1[[#This Row],[Discrepancy]]&gt;=40,1,0)</f>
        <v>0</v>
      </c>
      <c r="J218" t="str">
        <f>IF(Merge1[[#This Row],[Year]]=2023,Merge1[[#This Row],[High Discrepancy2]],"")</f>
        <v/>
      </c>
      <c r="K21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8" s="1" t="str">
        <f ca="1">IF(Merge1[[#This Row],[Consecutive from 2023]]&gt;=5,"ALERT","")</f>
        <v/>
      </c>
    </row>
    <row r="219" spans="1:12" hidden="1" x14ac:dyDescent="0.35">
      <c r="A219" s="1" t="s">
        <v>77</v>
      </c>
      <c r="B219" s="1" t="s">
        <v>173</v>
      </c>
      <c r="C219" s="1" t="s">
        <v>31</v>
      </c>
      <c r="D219">
        <v>2016</v>
      </c>
      <c r="E219">
        <v>97.8</v>
      </c>
      <c r="F219">
        <v>15.26</v>
      </c>
      <c r="G219">
        <v>-82.539999999999992</v>
      </c>
      <c r="H219">
        <v>0</v>
      </c>
      <c r="I219">
        <f>IF(Merge1[[#This Row],[Discrepancy]]&gt;=40,1,0)</f>
        <v>0</v>
      </c>
      <c r="J219" t="str">
        <f>IF(Merge1[[#This Row],[Year]]=2023,Merge1[[#This Row],[High Discrepancy2]],"")</f>
        <v/>
      </c>
      <c r="K21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19" s="1" t="str">
        <f ca="1">IF(Merge1[[#This Row],[Consecutive from 2023]]&gt;=5,"ALERT","")</f>
        <v/>
      </c>
    </row>
    <row r="220" spans="1:12" hidden="1" x14ac:dyDescent="0.35">
      <c r="A220" s="1" t="s">
        <v>77</v>
      </c>
      <c r="B220" s="1" t="s">
        <v>173</v>
      </c>
      <c r="C220" s="1" t="s">
        <v>31</v>
      </c>
      <c r="D220">
        <v>2015</v>
      </c>
      <c r="E220">
        <v>97.3</v>
      </c>
      <c r="F220">
        <v>14.87</v>
      </c>
      <c r="G220">
        <v>-82.429999999999993</v>
      </c>
      <c r="H220">
        <v>0</v>
      </c>
      <c r="I220">
        <f>IF(Merge1[[#This Row],[Discrepancy]]&gt;=40,1,0)</f>
        <v>0</v>
      </c>
      <c r="J220" t="str">
        <f>IF(Merge1[[#This Row],[Year]]=2023,Merge1[[#This Row],[High Discrepancy2]],"")</f>
        <v/>
      </c>
      <c r="K22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0" s="1" t="str">
        <f ca="1">IF(Merge1[[#This Row],[Consecutive from 2023]]&gt;=5,"ALERT","")</f>
        <v/>
      </c>
    </row>
    <row r="221" spans="1:12" hidden="1" x14ac:dyDescent="0.35">
      <c r="A221" s="1" t="s">
        <v>77</v>
      </c>
      <c r="B221" s="1" t="s">
        <v>173</v>
      </c>
      <c r="C221" s="1" t="s">
        <v>31</v>
      </c>
      <c r="D221">
        <v>2014</v>
      </c>
      <c r="E221">
        <v>97.3</v>
      </c>
      <c r="F221">
        <v>12.94</v>
      </c>
      <c r="G221">
        <v>-84.36</v>
      </c>
      <c r="H221">
        <v>0</v>
      </c>
      <c r="I221">
        <f>IF(Merge1[[#This Row],[Discrepancy]]&gt;=40,1,0)</f>
        <v>0</v>
      </c>
      <c r="J221" t="str">
        <f>IF(Merge1[[#This Row],[Year]]=2023,Merge1[[#This Row],[High Discrepancy2]],"")</f>
        <v/>
      </c>
      <c r="K22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1" s="1" t="str">
        <f ca="1">IF(Merge1[[#This Row],[Consecutive from 2023]]&gt;=5,"ALERT","")</f>
        <v/>
      </c>
    </row>
    <row r="222" spans="1:12" hidden="1" x14ac:dyDescent="0.35">
      <c r="A222" s="1" t="s">
        <v>77</v>
      </c>
      <c r="B222" s="1" t="s">
        <v>173</v>
      </c>
      <c r="C222" s="1" t="s">
        <v>31</v>
      </c>
      <c r="D222">
        <v>2013</v>
      </c>
      <c r="E222">
        <v>97.2</v>
      </c>
      <c r="F222">
        <v>15.62</v>
      </c>
      <c r="G222">
        <v>-81.58</v>
      </c>
      <c r="H222">
        <v>0</v>
      </c>
      <c r="I222">
        <f>IF(Merge1[[#This Row],[Discrepancy]]&gt;=40,1,0)</f>
        <v>0</v>
      </c>
      <c r="J222" t="str">
        <f>IF(Merge1[[#This Row],[Year]]=2023,Merge1[[#This Row],[High Discrepancy2]],"")</f>
        <v/>
      </c>
      <c r="K22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2" s="1" t="str">
        <f ca="1">IF(Merge1[[#This Row],[Consecutive from 2023]]&gt;=5,"ALERT","")</f>
        <v/>
      </c>
    </row>
    <row r="223" spans="1:12" hidden="1" x14ac:dyDescent="0.35">
      <c r="A223" s="1" t="s">
        <v>77</v>
      </c>
      <c r="B223" s="1" t="s">
        <v>173</v>
      </c>
      <c r="C223" s="1" t="s">
        <v>31</v>
      </c>
      <c r="D223">
        <v>2012</v>
      </c>
      <c r="E223">
        <v>96.4</v>
      </c>
      <c r="F223">
        <v>9.17</v>
      </c>
      <c r="G223">
        <v>-87.23</v>
      </c>
      <c r="H223">
        <v>0</v>
      </c>
      <c r="I223">
        <f>IF(Merge1[[#This Row],[Discrepancy]]&gt;=40,1,0)</f>
        <v>0</v>
      </c>
      <c r="J223" t="str">
        <f>IF(Merge1[[#This Row],[Year]]=2023,Merge1[[#This Row],[High Discrepancy2]],"")</f>
        <v/>
      </c>
      <c r="K22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3" s="1" t="str">
        <f ca="1">IF(Merge1[[#This Row],[Consecutive from 2023]]&gt;=5,"ALERT","")</f>
        <v/>
      </c>
    </row>
    <row r="224" spans="1:12" hidden="1" x14ac:dyDescent="0.35">
      <c r="A224" s="1" t="s">
        <v>77</v>
      </c>
      <c r="B224" s="1" t="s">
        <v>173</v>
      </c>
      <c r="C224" s="1" t="s">
        <v>31</v>
      </c>
      <c r="D224">
        <v>2011</v>
      </c>
      <c r="E224">
        <v>96.1</v>
      </c>
      <c r="F224">
        <v>11.23</v>
      </c>
      <c r="G224">
        <v>-84.86999999999999</v>
      </c>
      <c r="H224">
        <v>0</v>
      </c>
      <c r="I224">
        <f>IF(Merge1[[#This Row],[Discrepancy]]&gt;=40,1,0)</f>
        <v>0</v>
      </c>
      <c r="J224" t="str">
        <f>IF(Merge1[[#This Row],[Year]]=2023,Merge1[[#This Row],[High Discrepancy2]],"")</f>
        <v/>
      </c>
      <c r="K22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4" s="1" t="str">
        <f ca="1">IF(Merge1[[#This Row],[Consecutive from 2023]]&gt;=5,"ALERT","")</f>
        <v/>
      </c>
    </row>
    <row r="225" spans="1:12" hidden="1" x14ac:dyDescent="0.35">
      <c r="A225" s="1" t="s">
        <v>77</v>
      </c>
      <c r="B225" s="1" t="s">
        <v>173</v>
      </c>
      <c r="C225" s="1" t="s">
        <v>31</v>
      </c>
      <c r="D225">
        <v>2010</v>
      </c>
      <c r="E225">
        <v>95.7</v>
      </c>
      <c r="F225">
        <v>18.14</v>
      </c>
      <c r="G225">
        <v>-77.56</v>
      </c>
      <c r="H225">
        <v>0</v>
      </c>
      <c r="I225">
        <f>IF(Merge1[[#This Row],[Discrepancy]]&gt;=40,1,0)</f>
        <v>0</v>
      </c>
      <c r="J225" t="str">
        <f>IF(Merge1[[#This Row],[Year]]=2023,Merge1[[#This Row],[High Discrepancy2]],"")</f>
        <v/>
      </c>
      <c r="K22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5" s="1" t="str">
        <f ca="1">IF(Merge1[[#This Row],[Consecutive from 2023]]&gt;=5,"ALERT","")</f>
        <v/>
      </c>
    </row>
    <row r="226" spans="1:12" hidden="1" x14ac:dyDescent="0.35">
      <c r="A226" s="1" t="s">
        <v>87</v>
      </c>
      <c r="B226" s="1" t="s">
        <v>174</v>
      </c>
      <c r="C226" s="1" t="s">
        <v>41</v>
      </c>
      <c r="D226">
        <v>2023</v>
      </c>
      <c r="E226">
        <v>100</v>
      </c>
      <c r="F226">
        <v>17.690000000000001</v>
      </c>
      <c r="G226">
        <v>-82.31</v>
      </c>
      <c r="H226">
        <v>0</v>
      </c>
      <c r="I226">
        <f>IF(Merge1[[#This Row],[Discrepancy]]&gt;=40,1,0)</f>
        <v>0</v>
      </c>
      <c r="J226">
        <f>IF(Merge1[[#This Row],[Year]]=2023,Merge1[[#This Row],[High Discrepancy2]],"")</f>
        <v>0</v>
      </c>
      <c r="K22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6" s="1" t="str">
        <f ca="1">IF(Merge1[[#This Row],[Consecutive from 2023]]&gt;=5,"ALERT","")</f>
        <v/>
      </c>
    </row>
    <row r="227" spans="1:12" hidden="1" x14ac:dyDescent="0.35">
      <c r="A227" s="1" t="s">
        <v>87</v>
      </c>
      <c r="B227" s="1" t="s">
        <v>174</v>
      </c>
      <c r="C227" s="1" t="s">
        <v>41</v>
      </c>
      <c r="D227">
        <v>2022</v>
      </c>
      <c r="E227">
        <v>100</v>
      </c>
      <c r="F227">
        <v>19.29</v>
      </c>
      <c r="G227">
        <v>-80.710000000000008</v>
      </c>
      <c r="H227">
        <v>0</v>
      </c>
      <c r="I227">
        <f>IF(Merge1[[#This Row],[Discrepancy]]&gt;=40,1,0)</f>
        <v>0</v>
      </c>
      <c r="J227" t="str">
        <f>IF(Merge1[[#This Row],[Year]]=2023,Merge1[[#This Row],[High Discrepancy2]],"")</f>
        <v/>
      </c>
      <c r="K22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7" s="1" t="str">
        <f ca="1">IF(Merge1[[#This Row],[Consecutive from 2023]]&gt;=5,"ALERT","")</f>
        <v/>
      </c>
    </row>
    <row r="228" spans="1:12" hidden="1" x14ac:dyDescent="0.35">
      <c r="A228" s="1" t="s">
        <v>87</v>
      </c>
      <c r="B228" s="1" t="s">
        <v>174</v>
      </c>
      <c r="C228" s="1" t="s">
        <v>41</v>
      </c>
      <c r="D228">
        <v>2021</v>
      </c>
      <c r="E228">
        <v>99.6</v>
      </c>
      <c r="F228">
        <v>21.68</v>
      </c>
      <c r="G228">
        <v>-77.919999999999987</v>
      </c>
      <c r="H228">
        <v>0</v>
      </c>
      <c r="I228">
        <f>IF(Merge1[[#This Row],[Discrepancy]]&gt;=40,1,0)</f>
        <v>0</v>
      </c>
      <c r="J228" t="str">
        <f>IF(Merge1[[#This Row],[Year]]=2023,Merge1[[#This Row],[High Discrepancy2]],"")</f>
        <v/>
      </c>
      <c r="K22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8" s="1" t="str">
        <f ca="1">IF(Merge1[[#This Row],[Consecutive from 2023]]&gt;=5,"ALERT","")</f>
        <v/>
      </c>
    </row>
    <row r="229" spans="1:12" hidden="1" x14ac:dyDescent="0.35">
      <c r="A229" s="1" t="s">
        <v>87</v>
      </c>
      <c r="B229" s="1" t="s">
        <v>174</v>
      </c>
      <c r="C229" s="1" t="s">
        <v>41</v>
      </c>
      <c r="D229">
        <v>2020</v>
      </c>
      <c r="E229">
        <v>99.5</v>
      </c>
      <c r="F229">
        <v>24.11</v>
      </c>
      <c r="G229">
        <v>-75.39</v>
      </c>
      <c r="H229">
        <v>0</v>
      </c>
      <c r="I229">
        <f>IF(Merge1[[#This Row],[Discrepancy]]&gt;=40,1,0)</f>
        <v>0</v>
      </c>
      <c r="J229" t="str">
        <f>IF(Merge1[[#This Row],[Year]]=2023,Merge1[[#This Row],[High Discrepancy2]],"")</f>
        <v/>
      </c>
      <c r="K22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29" s="1" t="str">
        <f ca="1">IF(Merge1[[#This Row],[Consecutive from 2023]]&gt;=5,"ALERT","")</f>
        <v/>
      </c>
    </row>
    <row r="230" spans="1:12" hidden="1" x14ac:dyDescent="0.35">
      <c r="A230" s="1" t="s">
        <v>87</v>
      </c>
      <c r="B230" s="1" t="s">
        <v>174</v>
      </c>
      <c r="C230" s="1" t="s">
        <v>41</v>
      </c>
      <c r="D230">
        <v>2019</v>
      </c>
      <c r="E230">
        <v>100</v>
      </c>
      <c r="F230">
        <v>21.93</v>
      </c>
      <c r="G230">
        <v>-78.069999999999993</v>
      </c>
      <c r="H230">
        <v>0</v>
      </c>
      <c r="I230">
        <f>IF(Merge1[[#This Row],[Discrepancy]]&gt;=40,1,0)</f>
        <v>0</v>
      </c>
      <c r="J230" t="str">
        <f>IF(Merge1[[#This Row],[Year]]=2023,Merge1[[#This Row],[High Discrepancy2]],"")</f>
        <v/>
      </c>
      <c r="K23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0" s="1" t="str">
        <f ca="1">IF(Merge1[[#This Row],[Consecutive from 2023]]&gt;=5,"ALERT","")</f>
        <v/>
      </c>
    </row>
    <row r="231" spans="1:12" hidden="1" x14ac:dyDescent="0.35">
      <c r="A231" s="1" t="s">
        <v>87</v>
      </c>
      <c r="B231" s="1" t="s">
        <v>174</v>
      </c>
      <c r="C231" s="1" t="s">
        <v>41</v>
      </c>
      <c r="D231">
        <v>2018</v>
      </c>
      <c r="E231">
        <v>99.8</v>
      </c>
      <c r="F231">
        <v>20.92</v>
      </c>
      <c r="G231">
        <v>-78.88</v>
      </c>
      <c r="H231">
        <v>0</v>
      </c>
      <c r="I231">
        <f>IF(Merge1[[#This Row],[Discrepancy]]&gt;=40,1,0)</f>
        <v>0</v>
      </c>
      <c r="J231" t="str">
        <f>IF(Merge1[[#This Row],[Year]]=2023,Merge1[[#This Row],[High Discrepancy2]],"")</f>
        <v/>
      </c>
      <c r="K23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1" s="1" t="str">
        <f ca="1">IF(Merge1[[#This Row],[Consecutive from 2023]]&gt;=5,"ALERT","")</f>
        <v/>
      </c>
    </row>
    <row r="232" spans="1:12" hidden="1" x14ac:dyDescent="0.35">
      <c r="A232" s="1" t="s">
        <v>87</v>
      </c>
      <c r="B232" s="1" t="s">
        <v>174</v>
      </c>
      <c r="C232" s="1" t="s">
        <v>41</v>
      </c>
      <c r="D232">
        <v>2017</v>
      </c>
      <c r="E232">
        <v>99.6</v>
      </c>
      <c r="F232">
        <v>20.149999999999999</v>
      </c>
      <c r="G232">
        <v>-79.449999999999989</v>
      </c>
      <c r="H232">
        <v>0</v>
      </c>
      <c r="I232">
        <f>IF(Merge1[[#This Row],[Discrepancy]]&gt;=40,1,0)</f>
        <v>0</v>
      </c>
      <c r="J232" t="str">
        <f>IF(Merge1[[#This Row],[Year]]=2023,Merge1[[#This Row],[High Discrepancy2]],"")</f>
        <v/>
      </c>
      <c r="K23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2" s="1" t="str">
        <f ca="1">IF(Merge1[[#This Row],[Consecutive from 2023]]&gt;=5,"ALERT","")</f>
        <v/>
      </c>
    </row>
    <row r="233" spans="1:12" hidden="1" x14ac:dyDescent="0.35">
      <c r="A233" s="1" t="s">
        <v>87</v>
      </c>
      <c r="B233" s="1" t="s">
        <v>174</v>
      </c>
      <c r="C233" s="1" t="s">
        <v>41</v>
      </c>
      <c r="D233">
        <v>2016</v>
      </c>
      <c r="E233">
        <v>99.7</v>
      </c>
      <c r="F233">
        <v>21.88</v>
      </c>
      <c r="G233">
        <v>-77.820000000000007</v>
      </c>
      <c r="H233">
        <v>0</v>
      </c>
      <c r="I233">
        <f>IF(Merge1[[#This Row],[Discrepancy]]&gt;=40,1,0)</f>
        <v>0</v>
      </c>
      <c r="J233" t="str">
        <f>IF(Merge1[[#This Row],[Year]]=2023,Merge1[[#This Row],[High Discrepancy2]],"")</f>
        <v/>
      </c>
      <c r="K23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3" s="1" t="str">
        <f ca="1">IF(Merge1[[#This Row],[Consecutive from 2023]]&gt;=5,"ALERT","")</f>
        <v/>
      </c>
    </row>
    <row r="234" spans="1:12" hidden="1" x14ac:dyDescent="0.35">
      <c r="A234" s="1" t="s">
        <v>87</v>
      </c>
      <c r="B234" s="1" t="s">
        <v>174</v>
      </c>
      <c r="C234" s="1" t="s">
        <v>41</v>
      </c>
      <c r="D234">
        <v>2015</v>
      </c>
      <c r="E234">
        <v>99.6</v>
      </c>
      <c r="F234">
        <v>22.76</v>
      </c>
      <c r="G234">
        <v>-76.839999999999989</v>
      </c>
      <c r="H234">
        <v>0</v>
      </c>
      <c r="I234">
        <f>IF(Merge1[[#This Row],[Discrepancy]]&gt;=40,1,0)</f>
        <v>0</v>
      </c>
      <c r="J234" t="str">
        <f>IF(Merge1[[#This Row],[Year]]=2023,Merge1[[#This Row],[High Discrepancy2]],"")</f>
        <v/>
      </c>
      <c r="K23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4" s="1" t="str">
        <f ca="1">IF(Merge1[[#This Row],[Consecutive from 2023]]&gt;=5,"ALERT","")</f>
        <v/>
      </c>
    </row>
    <row r="235" spans="1:12" hidden="1" x14ac:dyDescent="0.35">
      <c r="A235" s="1" t="s">
        <v>87</v>
      </c>
      <c r="B235" s="1" t="s">
        <v>174</v>
      </c>
      <c r="C235" s="1" t="s">
        <v>41</v>
      </c>
      <c r="D235">
        <v>2014</v>
      </c>
      <c r="E235">
        <v>99.5</v>
      </c>
      <c r="F235">
        <v>20.34</v>
      </c>
      <c r="G235">
        <v>-79.16</v>
      </c>
      <c r="H235">
        <v>0</v>
      </c>
      <c r="I235">
        <f>IF(Merge1[[#This Row],[Discrepancy]]&gt;=40,1,0)</f>
        <v>0</v>
      </c>
      <c r="J235" t="str">
        <f>IF(Merge1[[#This Row],[Year]]=2023,Merge1[[#This Row],[High Discrepancy2]],"")</f>
        <v/>
      </c>
      <c r="K23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5" s="1" t="str">
        <f ca="1">IF(Merge1[[#This Row],[Consecutive from 2023]]&gt;=5,"ALERT","")</f>
        <v/>
      </c>
    </row>
    <row r="236" spans="1:12" hidden="1" x14ac:dyDescent="0.35">
      <c r="A236" s="1" t="s">
        <v>87</v>
      </c>
      <c r="B236" s="1" t="s">
        <v>174</v>
      </c>
      <c r="C236" s="1" t="s">
        <v>41</v>
      </c>
      <c r="D236">
        <v>2013</v>
      </c>
      <c r="E236">
        <v>99.4</v>
      </c>
      <c r="F236">
        <v>20.63</v>
      </c>
      <c r="G236">
        <v>-78.77000000000001</v>
      </c>
      <c r="H236">
        <v>0</v>
      </c>
      <c r="I236">
        <f>IF(Merge1[[#This Row],[Discrepancy]]&gt;=40,1,0)</f>
        <v>0</v>
      </c>
      <c r="J236" t="str">
        <f>IF(Merge1[[#This Row],[Year]]=2023,Merge1[[#This Row],[High Discrepancy2]],"")</f>
        <v/>
      </c>
      <c r="K23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6" s="1" t="str">
        <f ca="1">IF(Merge1[[#This Row],[Consecutive from 2023]]&gt;=5,"ALERT","")</f>
        <v/>
      </c>
    </row>
    <row r="237" spans="1:12" hidden="1" x14ac:dyDescent="0.35">
      <c r="A237" s="1" t="s">
        <v>87</v>
      </c>
      <c r="B237" s="1" t="s">
        <v>174</v>
      </c>
      <c r="C237" s="1" t="s">
        <v>41</v>
      </c>
      <c r="D237">
        <v>2012</v>
      </c>
      <c r="E237">
        <v>99.4</v>
      </c>
      <c r="F237">
        <v>20.29</v>
      </c>
      <c r="G237">
        <v>-79.110000000000014</v>
      </c>
      <c r="H237">
        <v>0</v>
      </c>
      <c r="I237">
        <f>IF(Merge1[[#This Row],[Discrepancy]]&gt;=40,1,0)</f>
        <v>0</v>
      </c>
      <c r="J237" t="str">
        <f>IF(Merge1[[#This Row],[Year]]=2023,Merge1[[#This Row],[High Discrepancy2]],"")</f>
        <v/>
      </c>
      <c r="K23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7" s="1" t="str">
        <f ca="1">IF(Merge1[[#This Row],[Consecutive from 2023]]&gt;=5,"ALERT","")</f>
        <v/>
      </c>
    </row>
    <row r="238" spans="1:12" hidden="1" x14ac:dyDescent="0.35">
      <c r="A238" s="1" t="s">
        <v>87</v>
      </c>
      <c r="B238" s="1" t="s">
        <v>174</v>
      </c>
      <c r="C238" s="1" t="s">
        <v>41</v>
      </c>
      <c r="D238">
        <v>2011</v>
      </c>
      <c r="E238">
        <v>99.6</v>
      </c>
      <c r="F238">
        <v>20.07</v>
      </c>
      <c r="G238">
        <v>-79.53</v>
      </c>
      <c r="H238">
        <v>0</v>
      </c>
      <c r="I238">
        <f>IF(Merge1[[#This Row],[Discrepancy]]&gt;=40,1,0)</f>
        <v>0</v>
      </c>
      <c r="J238" t="str">
        <f>IF(Merge1[[#This Row],[Year]]=2023,Merge1[[#This Row],[High Discrepancy2]],"")</f>
        <v/>
      </c>
      <c r="K23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8" s="1" t="str">
        <f ca="1">IF(Merge1[[#This Row],[Consecutive from 2023]]&gt;=5,"ALERT","")</f>
        <v/>
      </c>
    </row>
    <row r="239" spans="1:12" hidden="1" x14ac:dyDescent="0.35">
      <c r="A239" s="1" t="s">
        <v>87</v>
      </c>
      <c r="B239" s="1" t="s">
        <v>174</v>
      </c>
      <c r="C239" s="1" t="s">
        <v>41</v>
      </c>
      <c r="D239">
        <v>2010</v>
      </c>
      <c r="E239">
        <v>99.4</v>
      </c>
      <c r="F239">
        <v>21.49</v>
      </c>
      <c r="G239">
        <v>-77.910000000000011</v>
      </c>
      <c r="H239">
        <v>0</v>
      </c>
      <c r="I239">
        <f>IF(Merge1[[#This Row],[Discrepancy]]&gt;=40,1,0)</f>
        <v>0</v>
      </c>
      <c r="J239" t="str">
        <f>IF(Merge1[[#This Row],[Year]]=2023,Merge1[[#This Row],[High Discrepancy2]],"")</f>
        <v/>
      </c>
      <c r="K23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39" s="1" t="str">
        <f ca="1">IF(Merge1[[#This Row],[Consecutive from 2023]]&gt;=5,"ALERT","")</f>
        <v/>
      </c>
    </row>
    <row r="240" spans="1:12" hidden="1" x14ac:dyDescent="0.35">
      <c r="A240" s="1" t="s">
        <v>85</v>
      </c>
      <c r="B240" s="1" t="s">
        <v>173</v>
      </c>
      <c r="C240" s="1" t="s">
        <v>31</v>
      </c>
      <c r="D240">
        <v>2023</v>
      </c>
      <c r="E240">
        <v>50.3</v>
      </c>
      <c r="F240">
        <v>16.239999999999998</v>
      </c>
      <c r="G240">
        <v>-34.06</v>
      </c>
      <c r="H240">
        <v>0</v>
      </c>
      <c r="I240">
        <f>IF(Merge1[[#This Row],[Discrepancy]]&gt;=40,1,0)</f>
        <v>0</v>
      </c>
      <c r="J240">
        <f>IF(Merge1[[#This Row],[Year]]=2023,Merge1[[#This Row],[High Discrepancy2]],"")</f>
        <v>0</v>
      </c>
      <c r="K24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0" s="1" t="str">
        <f ca="1">IF(Merge1[[#This Row],[Consecutive from 2023]]&gt;=5,"ALERT","")</f>
        <v/>
      </c>
    </row>
    <row r="241" spans="1:12" hidden="1" x14ac:dyDescent="0.35">
      <c r="A241" s="1" t="s">
        <v>85</v>
      </c>
      <c r="B241" s="1" t="s">
        <v>173</v>
      </c>
      <c r="C241" s="1" t="s">
        <v>31</v>
      </c>
      <c r="D241">
        <v>2022</v>
      </c>
      <c r="E241">
        <v>49</v>
      </c>
      <c r="F241">
        <v>16.38</v>
      </c>
      <c r="G241">
        <v>-32.620000000000005</v>
      </c>
      <c r="H241">
        <v>0</v>
      </c>
      <c r="I241">
        <f>IF(Merge1[[#This Row],[Discrepancy]]&gt;=40,1,0)</f>
        <v>0</v>
      </c>
      <c r="J241" t="str">
        <f>IF(Merge1[[#This Row],[Year]]=2023,Merge1[[#This Row],[High Discrepancy2]],"")</f>
        <v/>
      </c>
      <c r="K24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1" s="1" t="str">
        <f ca="1">IF(Merge1[[#This Row],[Consecutive from 2023]]&gt;=5,"ALERT","")</f>
        <v/>
      </c>
    </row>
    <row r="242" spans="1:12" hidden="1" x14ac:dyDescent="0.35">
      <c r="A242" s="1" t="s">
        <v>85</v>
      </c>
      <c r="B242" s="1" t="s">
        <v>173</v>
      </c>
      <c r="C242" s="1" t="s">
        <v>31</v>
      </c>
      <c r="D242">
        <v>2021</v>
      </c>
      <c r="E242">
        <v>47.7</v>
      </c>
      <c r="F242">
        <v>20.37</v>
      </c>
      <c r="G242">
        <v>-27.330000000000002</v>
      </c>
      <c r="H242">
        <v>0</v>
      </c>
      <c r="I242">
        <f>IF(Merge1[[#This Row],[Discrepancy]]&gt;=40,1,0)</f>
        <v>0</v>
      </c>
      <c r="J242" t="str">
        <f>IF(Merge1[[#This Row],[Year]]=2023,Merge1[[#This Row],[High Discrepancy2]],"")</f>
        <v/>
      </c>
      <c r="K24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2" s="1" t="str">
        <f ca="1">IF(Merge1[[#This Row],[Consecutive from 2023]]&gt;=5,"ALERT","")</f>
        <v/>
      </c>
    </row>
    <row r="243" spans="1:12" hidden="1" x14ac:dyDescent="0.35">
      <c r="A243" s="1" t="s">
        <v>85</v>
      </c>
      <c r="B243" s="1" t="s">
        <v>173</v>
      </c>
      <c r="C243" s="1" t="s">
        <v>31</v>
      </c>
      <c r="D243">
        <v>2020</v>
      </c>
      <c r="E243">
        <v>45.4</v>
      </c>
      <c r="F243">
        <v>18.989999999999998</v>
      </c>
      <c r="G243">
        <v>-26.41</v>
      </c>
      <c r="H243">
        <v>0</v>
      </c>
      <c r="I243">
        <f>IF(Merge1[[#This Row],[Discrepancy]]&gt;=40,1,0)</f>
        <v>0</v>
      </c>
      <c r="J243" t="str">
        <f>IF(Merge1[[#This Row],[Year]]=2023,Merge1[[#This Row],[High Discrepancy2]],"")</f>
        <v/>
      </c>
      <c r="K24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3" s="1" t="str">
        <f ca="1">IF(Merge1[[#This Row],[Consecutive from 2023]]&gt;=5,"ALERT","")</f>
        <v/>
      </c>
    </row>
    <row r="244" spans="1:12" hidden="1" x14ac:dyDescent="0.35">
      <c r="A244" s="1" t="s">
        <v>85</v>
      </c>
      <c r="B244" s="1" t="s">
        <v>173</v>
      </c>
      <c r="C244" s="1" t="s">
        <v>31</v>
      </c>
      <c r="D244">
        <v>2019</v>
      </c>
      <c r="E244">
        <v>44.9</v>
      </c>
      <c r="F244">
        <v>18.73</v>
      </c>
      <c r="G244">
        <v>-26.169999999999998</v>
      </c>
      <c r="H244">
        <v>0</v>
      </c>
      <c r="I244">
        <f>IF(Merge1[[#This Row],[Discrepancy]]&gt;=40,1,0)</f>
        <v>0</v>
      </c>
      <c r="J244" t="str">
        <f>IF(Merge1[[#This Row],[Year]]=2023,Merge1[[#This Row],[High Discrepancy2]],"")</f>
        <v/>
      </c>
      <c r="K24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4" s="1" t="str">
        <f ca="1">IF(Merge1[[#This Row],[Consecutive from 2023]]&gt;=5,"ALERT","")</f>
        <v/>
      </c>
    </row>
    <row r="245" spans="1:12" hidden="1" x14ac:dyDescent="0.35">
      <c r="A245" s="1" t="s">
        <v>85</v>
      </c>
      <c r="B245" s="1" t="s">
        <v>173</v>
      </c>
      <c r="C245" s="1" t="s">
        <v>31</v>
      </c>
      <c r="D245">
        <v>2018</v>
      </c>
      <c r="E245">
        <v>43.6</v>
      </c>
      <c r="F245">
        <v>19.78</v>
      </c>
      <c r="G245">
        <v>-23.82</v>
      </c>
      <c r="H245">
        <v>0</v>
      </c>
      <c r="I245">
        <f>IF(Merge1[[#This Row],[Discrepancy]]&gt;=40,1,0)</f>
        <v>0</v>
      </c>
      <c r="J245" t="str">
        <f>IF(Merge1[[#This Row],[Year]]=2023,Merge1[[#This Row],[High Discrepancy2]],"")</f>
        <v/>
      </c>
      <c r="K24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5" s="1" t="str">
        <f ca="1">IF(Merge1[[#This Row],[Consecutive from 2023]]&gt;=5,"ALERT","")</f>
        <v/>
      </c>
    </row>
    <row r="246" spans="1:12" hidden="1" x14ac:dyDescent="0.35">
      <c r="A246" s="1" t="s">
        <v>85</v>
      </c>
      <c r="B246" s="1" t="s">
        <v>173</v>
      </c>
      <c r="C246" s="1" t="s">
        <v>31</v>
      </c>
      <c r="D246">
        <v>2017</v>
      </c>
      <c r="E246">
        <v>42.9</v>
      </c>
      <c r="F246">
        <v>13.91</v>
      </c>
      <c r="G246">
        <v>-28.99</v>
      </c>
      <c r="H246">
        <v>0</v>
      </c>
      <c r="I246">
        <f>IF(Merge1[[#This Row],[Discrepancy]]&gt;=40,1,0)</f>
        <v>0</v>
      </c>
      <c r="J246" t="str">
        <f>IF(Merge1[[#This Row],[Year]]=2023,Merge1[[#This Row],[High Discrepancy2]],"")</f>
        <v/>
      </c>
      <c r="K24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6" s="1" t="str">
        <f ca="1">IF(Merge1[[#This Row],[Consecutive from 2023]]&gt;=5,"ALERT","")</f>
        <v/>
      </c>
    </row>
    <row r="247" spans="1:12" hidden="1" x14ac:dyDescent="0.35">
      <c r="A247" s="1" t="s">
        <v>85</v>
      </c>
      <c r="B247" s="1" t="s">
        <v>173</v>
      </c>
      <c r="C247" s="1" t="s">
        <v>31</v>
      </c>
      <c r="D247">
        <v>2016</v>
      </c>
      <c r="E247">
        <v>41.2</v>
      </c>
      <c r="F247">
        <v>15.72</v>
      </c>
      <c r="G247">
        <v>-25.480000000000004</v>
      </c>
      <c r="H247">
        <v>0</v>
      </c>
      <c r="I247">
        <f>IF(Merge1[[#This Row],[Discrepancy]]&gt;=40,1,0)</f>
        <v>0</v>
      </c>
      <c r="J247" t="str">
        <f>IF(Merge1[[#This Row],[Year]]=2023,Merge1[[#This Row],[High Discrepancy2]],"")</f>
        <v/>
      </c>
      <c r="K24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7" s="1" t="str">
        <f ca="1">IF(Merge1[[#This Row],[Consecutive from 2023]]&gt;=5,"ALERT","")</f>
        <v/>
      </c>
    </row>
    <row r="248" spans="1:12" hidden="1" x14ac:dyDescent="0.35">
      <c r="A248" s="1" t="s">
        <v>85</v>
      </c>
      <c r="B248" s="1" t="s">
        <v>173</v>
      </c>
      <c r="C248" s="1" t="s">
        <v>31</v>
      </c>
      <c r="D248">
        <v>2015</v>
      </c>
      <c r="E248">
        <v>39.5</v>
      </c>
      <c r="F248">
        <v>13.42</v>
      </c>
      <c r="G248">
        <v>-26.08</v>
      </c>
      <c r="H248">
        <v>0</v>
      </c>
      <c r="I248">
        <f>IF(Merge1[[#This Row],[Discrepancy]]&gt;=40,1,0)</f>
        <v>0</v>
      </c>
      <c r="J248" t="str">
        <f>IF(Merge1[[#This Row],[Year]]=2023,Merge1[[#This Row],[High Discrepancy2]],"")</f>
        <v/>
      </c>
      <c r="K24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8" s="1" t="str">
        <f ca="1">IF(Merge1[[#This Row],[Consecutive from 2023]]&gt;=5,"ALERT","")</f>
        <v/>
      </c>
    </row>
    <row r="249" spans="1:12" hidden="1" x14ac:dyDescent="0.35">
      <c r="A249" s="1" t="s">
        <v>85</v>
      </c>
      <c r="B249" s="1" t="s">
        <v>173</v>
      </c>
      <c r="C249" s="1" t="s">
        <v>31</v>
      </c>
      <c r="D249">
        <v>2014</v>
      </c>
      <c r="E249">
        <v>38.799999999999997</v>
      </c>
      <c r="F249">
        <v>5.0999999999999996</v>
      </c>
      <c r="G249">
        <v>-33.699999999999996</v>
      </c>
      <c r="H249">
        <v>0</v>
      </c>
      <c r="I249">
        <f>IF(Merge1[[#This Row],[Discrepancy]]&gt;=40,1,0)</f>
        <v>0</v>
      </c>
      <c r="J249" t="str">
        <f>IF(Merge1[[#This Row],[Year]]=2023,Merge1[[#This Row],[High Discrepancy2]],"")</f>
        <v/>
      </c>
      <c r="K24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49" s="1" t="str">
        <f ca="1">IF(Merge1[[#This Row],[Consecutive from 2023]]&gt;=5,"ALERT","")</f>
        <v/>
      </c>
    </row>
    <row r="250" spans="1:12" hidden="1" x14ac:dyDescent="0.35">
      <c r="A250" s="1" t="s">
        <v>85</v>
      </c>
      <c r="B250" s="1" t="s">
        <v>173</v>
      </c>
      <c r="C250" s="1" t="s">
        <v>31</v>
      </c>
      <c r="D250">
        <v>2013</v>
      </c>
      <c r="E250">
        <v>37.6</v>
      </c>
      <c r="F250">
        <v>4.82</v>
      </c>
      <c r="G250">
        <v>-32.78</v>
      </c>
      <c r="H250">
        <v>0</v>
      </c>
      <c r="I250">
        <f>IF(Merge1[[#This Row],[Discrepancy]]&gt;=40,1,0)</f>
        <v>0</v>
      </c>
      <c r="J250" t="str">
        <f>IF(Merge1[[#This Row],[Year]]=2023,Merge1[[#This Row],[High Discrepancy2]],"")</f>
        <v/>
      </c>
      <c r="K25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0" s="1" t="str">
        <f ca="1">IF(Merge1[[#This Row],[Consecutive from 2023]]&gt;=5,"ALERT","")</f>
        <v/>
      </c>
    </row>
    <row r="251" spans="1:12" hidden="1" x14ac:dyDescent="0.35">
      <c r="A251" s="1" t="s">
        <v>85</v>
      </c>
      <c r="B251" s="1" t="s">
        <v>173</v>
      </c>
      <c r="C251" s="1" t="s">
        <v>31</v>
      </c>
      <c r="D251">
        <v>2012</v>
      </c>
      <c r="E251">
        <v>36.4</v>
      </c>
      <c r="F251">
        <v>1.59</v>
      </c>
      <c r="G251">
        <v>-34.809999999999995</v>
      </c>
      <c r="H251">
        <v>0</v>
      </c>
      <c r="I251">
        <f>IF(Merge1[[#This Row],[Discrepancy]]&gt;=40,1,0)</f>
        <v>0</v>
      </c>
      <c r="J251" t="str">
        <f>IF(Merge1[[#This Row],[Year]]=2023,Merge1[[#This Row],[High Discrepancy2]],"")</f>
        <v/>
      </c>
      <c r="K25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1" s="1" t="str">
        <f ca="1">IF(Merge1[[#This Row],[Consecutive from 2023]]&gt;=5,"ALERT","")</f>
        <v/>
      </c>
    </row>
    <row r="252" spans="1:12" hidden="1" x14ac:dyDescent="0.35">
      <c r="A252" s="1" t="s">
        <v>85</v>
      </c>
      <c r="B252" s="1" t="s">
        <v>173</v>
      </c>
      <c r="C252" s="1" t="s">
        <v>31</v>
      </c>
      <c r="D252">
        <v>2011</v>
      </c>
      <c r="E252">
        <v>35.299999999999997</v>
      </c>
      <c r="F252">
        <v>0</v>
      </c>
      <c r="G252">
        <v>-35.299999999999997</v>
      </c>
      <c r="H252">
        <v>0</v>
      </c>
      <c r="I252">
        <f>IF(Merge1[[#This Row],[Discrepancy]]&gt;=40,1,0)</f>
        <v>0</v>
      </c>
      <c r="J252" t="str">
        <f>IF(Merge1[[#This Row],[Year]]=2023,Merge1[[#This Row],[High Discrepancy2]],"")</f>
        <v/>
      </c>
      <c r="K25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2" s="1" t="str">
        <f ca="1">IF(Merge1[[#This Row],[Consecutive from 2023]]&gt;=5,"ALERT","")</f>
        <v/>
      </c>
    </row>
    <row r="253" spans="1:12" hidden="1" x14ac:dyDescent="0.35">
      <c r="A253" s="1" t="s">
        <v>85</v>
      </c>
      <c r="B253" s="1" t="s">
        <v>173</v>
      </c>
      <c r="C253" s="1" t="s">
        <v>31</v>
      </c>
      <c r="D253">
        <v>2010</v>
      </c>
      <c r="E253">
        <v>34.200000000000003</v>
      </c>
      <c r="F253">
        <v>0</v>
      </c>
      <c r="G253">
        <v>-34.200000000000003</v>
      </c>
      <c r="H253">
        <v>0</v>
      </c>
      <c r="I253">
        <f>IF(Merge1[[#This Row],[Discrepancy]]&gt;=40,1,0)</f>
        <v>0</v>
      </c>
      <c r="J253" t="str">
        <f>IF(Merge1[[#This Row],[Year]]=2023,Merge1[[#This Row],[High Discrepancy2]],"")</f>
        <v/>
      </c>
      <c r="K25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3" s="1" t="str">
        <f ca="1">IF(Merge1[[#This Row],[Consecutive from 2023]]&gt;=5,"ALERT","")</f>
        <v/>
      </c>
    </row>
    <row r="254" spans="1:12" hidden="1" x14ac:dyDescent="0.35">
      <c r="A254" s="1" t="s">
        <v>81</v>
      </c>
      <c r="B254" s="1" t="s">
        <v>175</v>
      </c>
      <c r="C254" s="1" t="s">
        <v>34</v>
      </c>
      <c r="D254">
        <v>2023</v>
      </c>
      <c r="E254">
        <v>54.5</v>
      </c>
      <c r="F254">
        <v>37.520000000000003</v>
      </c>
      <c r="G254">
        <v>-16.979999999999997</v>
      </c>
      <c r="H254">
        <v>0</v>
      </c>
      <c r="I254">
        <f>IF(Merge1[[#This Row],[Discrepancy]]&gt;=40,1,0)</f>
        <v>0</v>
      </c>
      <c r="J254">
        <f>IF(Merge1[[#This Row],[Year]]=2023,Merge1[[#This Row],[High Discrepancy2]],"")</f>
        <v>0</v>
      </c>
      <c r="K25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4" s="1" t="str">
        <f ca="1">IF(Merge1[[#This Row],[Consecutive from 2023]]&gt;=5,"ALERT","")</f>
        <v/>
      </c>
    </row>
    <row r="255" spans="1:12" hidden="1" x14ac:dyDescent="0.35">
      <c r="A255" s="1" t="s">
        <v>81</v>
      </c>
      <c r="B255" s="1" t="s">
        <v>175</v>
      </c>
      <c r="C255" s="1" t="s">
        <v>34</v>
      </c>
      <c r="D255">
        <v>2022</v>
      </c>
      <c r="E255">
        <v>53</v>
      </c>
      <c r="F255">
        <v>34.07</v>
      </c>
      <c r="G255">
        <v>-18.93</v>
      </c>
      <c r="H255">
        <v>0</v>
      </c>
      <c r="I255">
        <f>IF(Merge1[[#This Row],[Discrepancy]]&gt;=40,1,0)</f>
        <v>0</v>
      </c>
      <c r="J255" t="str">
        <f>IF(Merge1[[#This Row],[Year]]=2023,Merge1[[#This Row],[High Discrepancy2]],"")</f>
        <v/>
      </c>
      <c r="K25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5" s="1" t="str">
        <f ca="1">IF(Merge1[[#This Row],[Consecutive from 2023]]&gt;=5,"ALERT","")</f>
        <v/>
      </c>
    </row>
    <row r="256" spans="1:12" hidden="1" x14ac:dyDescent="0.35">
      <c r="A256" s="1" t="s">
        <v>81</v>
      </c>
      <c r="B256" s="1" t="s">
        <v>175</v>
      </c>
      <c r="C256" s="1" t="s">
        <v>34</v>
      </c>
      <c r="D256">
        <v>2021</v>
      </c>
      <c r="E256">
        <v>53.4</v>
      </c>
      <c r="F256">
        <v>29.09</v>
      </c>
      <c r="G256">
        <v>-24.31</v>
      </c>
      <c r="H256">
        <v>0</v>
      </c>
      <c r="I256">
        <f>IF(Merge1[[#This Row],[Discrepancy]]&gt;=40,1,0)</f>
        <v>0</v>
      </c>
      <c r="J256" t="str">
        <f>IF(Merge1[[#This Row],[Year]]=2023,Merge1[[#This Row],[High Discrepancy2]],"")</f>
        <v/>
      </c>
      <c r="K25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6" s="1" t="str">
        <f ca="1">IF(Merge1[[#This Row],[Consecutive from 2023]]&gt;=5,"ALERT","")</f>
        <v/>
      </c>
    </row>
    <row r="257" spans="1:12" hidden="1" x14ac:dyDescent="0.35">
      <c r="A257" s="1" t="s">
        <v>81</v>
      </c>
      <c r="B257" s="1" t="s">
        <v>175</v>
      </c>
      <c r="C257" s="1" t="s">
        <v>34</v>
      </c>
      <c r="D257">
        <v>2020</v>
      </c>
      <c r="E257">
        <v>50.6</v>
      </c>
      <c r="F257">
        <v>32.33</v>
      </c>
      <c r="G257">
        <v>-18.270000000000003</v>
      </c>
      <c r="H257">
        <v>0</v>
      </c>
      <c r="I257">
        <f>IF(Merge1[[#This Row],[Discrepancy]]&gt;=40,1,0)</f>
        <v>0</v>
      </c>
      <c r="J257" t="str">
        <f>IF(Merge1[[#This Row],[Year]]=2023,Merge1[[#This Row],[High Discrepancy2]],"")</f>
        <v/>
      </c>
      <c r="K25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7" s="1" t="str">
        <f ca="1">IF(Merge1[[#This Row],[Consecutive from 2023]]&gt;=5,"ALERT","")</f>
        <v/>
      </c>
    </row>
    <row r="258" spans="1:12" hidden="1" x14ac:dyDescent="0.35">
      <c r="A258" s="1" t="s">
        <v>81</v>
      </c>
      <c r="B258" s="1" t="s">
        <v>175</v>
      </c>
      <c r="C258" s="1" t="s">
        <v>34</v>
      </c>
      <c r="D258">
        <v>2019</v>
      </c>
      <c r="E258">
        <v>47.9</v>
      </c>
      <c r="F258">
        <v>50.71</v>
      </c>
      <c r="G258">
        <v>2.8100000000000023</v>
      </c>
      <c r="H258">
        <v>1</v>
      </c>
      <c r="I258">
        <f>IF(Merge1[[#This Row],[Discrepancy]]&gt;=40,1,0)</f>
        <v>0</v>
      </c>
      <c r="J258" t="str">
        <f>IF(Merge1[[#This Row],[Year]]=2023,Merge1[[#This Row],[High Discrepancy2]],"")</f>
        <v/>
      </c>
      <c r="K25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8" s="1" t="str">
        <f ca="1">IF(Merge1[[#This Row],[Consecutive from 2023]]&gt;=5,"ALERT","")</f>
        <v/>
      </c>
    </row>
    <row r="259" spans="1:12" hidden="1" x14ac:dyDescent="0.35">
      <c r="A259" s="1" t="s">
        <v>89</v>
      </c>
      <c r="B259" s="1" t="s">
        <v>174</v>
      </c>
      <c r="C259" s="1" t="s">
        <v>34</v>
      </c>
      <c r="D259">
        <v>2019</v>
      </c>
      <c r="E259">
        <v>11.2</v>
      </c>
      <c r="F259">
        <v>78.12</v>
      </c>
      <c r="G259">
        <v>66.92</v>
      </c>
      <c r="H259">
        <v>1</v>
      </c>
      <c r="I259">
        <f>IF(Merge1[[#This Row],[Discrepancy]]&gt;=40,1,0)</f>
        <v>1</v>
      </c>
      <c r="J259" t="str">
        <f>IF(Merge1[[#This Row],[Year]]=2023,Merge1[[#This Row],[High Discrepancy2]],"")</f>
        <v/>
      </c>
      <c r="K25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59" s="1" t="str">
        <f ca="1">IF(Merge1[[#This Row],[Consecutive from 2023]]&gt;=5,"ALERT","")</f>
        <v/>
      </c>
    </row>
    <row r="260" spans="1:12" hidden="1" x14ac:dyDescent="0.35">
      <c r="A260" s="1" t="s">
        <v>89</v>
      </c>
      <c r="B260" s="1" t="s">
        <v>174</v>
      </c>
      <c r="C260" s="1" t="s">
        <v>34</v>
      </c>
      <c r="D260">
        <v>2018</v>
      </c>
      <c r="E260">
        <v>18</v>
      </c>
      <c r="F260">
        <v>79.790000000000006</v>
      </c>
      <c r="G260">
        <v>61.790000000000006</v>
      </c>
      <c r="H260">
        <v>1</v>
      </c>
      <c r="I260">
        <f>IF(Merge1[[#This Row],[Discrepancy]]&gt;=40,1,0)</f>
        <v>1</v>
      </c>
      <c r="J260" t="str">
        <f>IF(Merge1[[#This Row],[Year]]=2023,Merge1[[#This Row],[High Discrepancy2]],"")</f>
        <v/>
      </c>
      <c r="K26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0" s="1" t="str">
        <f ca="1">IF(Merge1[[#This Row],[Consecutive from 2023]]&gt;=5,"ALERT","")</f>
        <v/>
      </c>
    </row>
    <row r="261" spans="1:12" hidden="1" x14ac:dyDescent="0.35">
      <c r="A261" s="1" t="s">
        <v>81</v>
      </c>
      <c r="B261" s="1" t="s">
        <v>175</v>
      </c>
      <c r="C261" s="1" t="s">
        <v>34</v>
      </c>
      <c r="D261">
        <v>2016</v>
      </c>
      <c r="E261">
        <v>38.799999999999997</v>
      </c>
      <c r="F261">
        <v>67.13</v>
      </c>
      <c r="G261">
        <v>28.33</v>
      </c>
      <c r="H261">
        <v>1</v>
      </c>
      <c r="I261">
        <f>IF(Merge1[[#This Row],[Discrepancy]]&gt;=40,1,0)</f>
        <v>0</v>
      </c>
      <c r="J261" t="str">
        <f>IF(Merge1[[#This Row],[Year]]=2023,Merge1[[#This Row],[High Discrepancy2]],"")</f>
        <v/>
      </c>
      <c r="K26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1" s="1" t="str">
        <f ca="1">IF(Merge1[[#This Row],[Consecutive from 2023]]&gt;=5,"ALERT","")</f>
        <v/>
      </c>
    </row>
    <row r="262" spans="1:12" hidden="1" x14ac:dyDescent="0.35">
      <c r="A262" s="1" t="s">
        <v>89</v>
      </c>
      <c r="B262" s="1" t="s">
        <v>174</v>
      </c>
      <c r="C262" s="1" t="s">
        <v>34</v>
      </c>
      <c r="D262">
        <v>2017</v>
      </c>
      <c r="E262">
        <v>12.7</v>
      </c>
      <c r="F262">
        <v>84.29</v>
      </c>
      <c r="G262">
        <v>71.59</v>
      </c>
      <c r="H262">
        <v>1</v>
      </c>
      <c r="I262">
        <f>IF(Merge1[[#This Row],[Discrepancy]]&gt;=40,1,0)</f>
        <v>1</v>
      </c>
      <c r="J262" t="str">
        <f>IF(Merge1[[#This Row],[Year]]=2023,Merge1[[#This Row],[High Discrepancy2]],"")</f>
        <v/>
      </c>
      <c r="K26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2" s="1" t="str">
        <f ca="1">IF(Merge1[[#This Row],[Consecutive from 2023]]&gt;=5,"ALERT","")</f>
        <v/>
      </c>
    </row>
    <row r="263" spans="1:12" hidden="1" x14ac:dyDescent="0.35">
      <c r="A263" s="1" t="s">
        <v>89</v>
      </c>
      <c r="B263" s="1" t="s">
        <v>174</v>
      </c>
      <c r="C263" s="1" t="s">
        <v>34</v>
      </c>
      <c r="D263">
        <v>2016</v>
      </c>
      <c r="E263">
        <v>11</v>
      </c>
      <c r="F263">
        <v>96.79</v>
      </c>
      <c r="G263">
        <v>85.79</v>
      </c>
      <c r="H263">
        <v>1</v>
      </c>
      <c r="I263">
        <f>IF(Merge1[[#This Row],[Discrepancy]]&gt;=40,1,0)</f>
        <v>1</v>
      </c>
      <c r="J263" t="str">
        <f>IF(Merge1[[#This Row],[Year]]=2023,Merge1[[#This Row],[High Discrepancy2]],"")</f>
        <v/>
      </c>
      <c r="K26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3" s="1" t="str">
        <f ca="1">IF(Merge1[[#This Row],[Consecutive from 2023]]&gt;=5,"ALERT","")</f>
        <v/>
      </c>
    </row>
    <row r="264" spans="1:12" hidden="1" x14ac:dyDescent="0.35">
      <c r="A264" s="1" t="s">
        <v>89</v>
      </c>
      <c r="B264" s="1" t="s">
        <v>174</v>
      </c>
      <c r="C264" s="1" t="s">
        <v>34</v>
      </c>
      <c r="D264">
        <v>2015</v>
      </c>
      <c r="E264">
        <v>10.8</v>
      </c>
      <c r="F264">
        <v>99.1</v>
      </c>
      <c r="G264">
        <v>88.3</v>
      </c>
      <c r="H264">
        <v>1</v>
      </c>
      <c r="I264">
        <f>IF(Merge1[[#This Row],[Discrepancy]]&gt;=40,1,0)</f>
        <v>1</v>
      </c>
      <c r="J264" t="str">
        <f>IF(Merge1[[#This Row],[Year]]=2023,Merge1[[#This Row],[High Discrepancy2]],"")</f>
        <v/>
      </c>
      <c r="K26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4" s="1" t="str">
        <f ca="1">IF(Merge1[[#This Row],[Consecutive from 2023]]&gt;=5,"ALERT","")</f>
        <v/>
      </c>
    </row>
    <row r="265" spans="1:12" hidden="1" x14ac:dyDescent="0.35">
      <c r="A265" s="1" t="s">
        <v>81</v>
      </c>
      <c r="B265" s="1" t="s">
        <v>175</v>
      </c>
      <c r="C265" s="1" t="s">
        <v>34</v>
      </c>
      <c r="D265">
        <v>2012</v>
      </c>
      <c r="E265">
        <v>25.6</v>
      </c>
      <c r="F265">
        <v>52.53</v>
      </c>
      <c r="G265">
        <v>26.93</v>
      </c>
      <c r="H265">
        <v>1</v>
      </c>
      <c r="I265">
        <f>IF(Merge1[[#This Row],[Discrepancy]]&gt;=40,1,0)</f>
        <v>0</v>
      </c>
      <c r="J265" t="str">
        <f>IF(Merge1[[#This Row],[Year]]=2023,Merge1[[#This Row],[High Discrepancy2]],"")</f>
        <v/>
      </c>
      <c r="K26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5" s="1" t="str">
        <f ca="1">IF(Merge1[[#This Row],[Consecutive from 2023]]&gt;=5,"ALERT","")</f>
        <v/>
      </c>
    </row>
    <row r="266" spans="1:12" hidden="1" x14ac:dyDescent="0.35">
      <c r="A266" s="1" t="s">
        <v>81</v>
      </c>
      <c r="B266" s="1" t="s">
        <v>175</v>
      </c>
      <c r="C266" s="1" t="s">
        <v>34</v>
      </c>
      <c r="D266">
        <v>2011</v>
      </c>
      <c r="E266">
        <v>28.8</v>
      </c>
      <c r="F266">
        <v>52.77</v>
      </c>
      <c r="G266">
        <v>23.970000000000002</v>
      </c>
      <c r="H266">
        <v>1</v>
      </c>
      <c r="I266">
        <f>IF(Merge1[[#This Row],[Discrepancy]]&gt;=40,1,0)</f>
        <v>0</v>
      </c>
      <c r="J266" t="str">
        <f>IF(Merge1[[#This Row],[Year]]=2023,Merge1[[#This Row],[High Discrepancy2]],"")</f>
        <v/>
      </c>
      <c r="K26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6" s="1" t="str">
        <f ca="1">IF(Merge1[[#This Row],[Consecutive from 2023]]&gt;=5,"ALERT","")</f>
        <v/>
      </c>
    </row>
    <row r="267" spans="1:12" hidden="1" x14ac:dyDescent="0.35">
      <c r="A267" s="1" t="s">
        <v>81</v>
      </c>
      <c r="B267" s="1" t="s">
        <v>175</v>
      </c>
      <c r="C267" s="1" t="s">
        <v>34</v>
      </c>
      <c r="D267">
        <v>2010</v>
      </c>
      <c r="E267">
        <v>27</v>
      </c>
      <c r="F267">
        <v>56.23</v>
      </c>
      <c r="G267">
        <v>29.229999999999997</v>
      </c>
      <c r="H267">
        <v>1</v>
      </c>
      <c r="I267">
        <f>IF(Merge1[[#This Row],[Discrepancy]]&gt;=40,1,0)</f>
        <v>0</v>
      </c>
      <c r="J267" t="str">
        <f>IF(Merge1[[#This Row],[Year]]=2023,Merge1[[#This Row],[High Discrepancy2]],"")</f>
        <v/>
      </c>
      <c r="K26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7" s="1" t="str">
        <f ca="1">IF(Merge1[[#This Row],[Consecutive from 2023]]&gt;=5,"ALERT","")</f>
        <v/>
      </c>
    </row>
    <row r="268" spans="1:12" hidden="1" x14ac:dyDescent="0.35">
      <c r="A268" s="1" t="s">
        <v>89</v>
      </c>
      <c r="B268" s="1" t="s">
        <v>174</v>
      </c>
      <c r="C268" s="1" t="s">
        <v>34</v>
      </c>
      <c r="D268">
        <v>2014</v>
      </c>
      <c r="E268">
        <v>11.9</v>
      </c>
      <c r="F268">
        <v>98.84</v>
      </c>
      <c r="G268">
        <v>86.94</v>
      </c>
      <c r="H268">
        <v>1</v>
      </c>
      <c r="I268">
        <f>IF(Merge1[[#This Row],[Discrepancy]]&gt;=40,1,0)</f>
        <v>1</v>
      </c>
      <c r="J268" t="str">
        <f>IF(Merge1[[#This Row],[Year]]=2023,Merge1[[#This Row],[High Discrepancy2]],"")</f>
        <v/>
      </c>
      <c r="K26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8" s="1" t="str">
        <f ca="1">IF(Merge1[[#This Row],[Consecutive from 2023]]&gt;=5,"ALERT","")</f>
        <v/>
      </c>
    </row>
    <row r="269" spans="1:12" hidden="1" x14ac:dyDescent="0.35">
      <c r="A269" s="1" t="s">
        <v>89</v>
      </c>
      <c r="B269" s="1" t="s">
        <v>174</v>
      </c>
      <c r="C269" s="1" t="s">
        <v>34</v>
      </c>
      <c r="D269">
        <v>2013</v>
      </c>
      <c r="E269">
        <v>9</v>
      </c>
      <c r="F269">
        <v>98.81</v>
      </c>
      <c r="G269">
        <v>89.81</v>
      </c>
      <c r="H269">
        <v>1</v>
      </c>
      <c r="I269">
        <f>IF(Merge1[[#This Row],[Discrepancy]]&gt;=40,1,0)</f>
        <v>1</v>
      </c>
      <c r="J269" t="str">
        <f>IF(Merge1[[#This Row],[Year]]=2023,Merge1[[#This Row],[High Discrepancy2]],"")</f>
        <v/>
      </c>
      <c r="K26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69" s="1" t="str">
        <f ca="1">IF(Merge1[[#This Row],[Consecutive from 2023]]&gt;=5,"ALERT","")</f>
        <v/>
      </c>
    </row>
    <row r="270" spans="1:12" hidden="1" x14ac:dyDescent="0.35">
      <c r="A270" s="1" t="s">
        <v>89</v>
      </c>
      <c r="B270" s="1" t="s">
        <v>174</v>
      </c>
      <c r="C270" s="1" t="s">
        <v>34</v>
      </c>
      <c r="D270">
        <v>2012</v>
      </c>
      <c r="E270">
        <v>7.4</v>
      </c>
      <c r="F270">
        <v>98.71</v>
      </c>
      <c r="G270">
        <v>91.309999999999988</v>
      </c>
      <c r="H270">
        <v>1</v>
      </c>
      <c r="I270">
        <f>IF(Merge1[[#This Row],[Discrepancy]]&gt;=40,1,0)</f>
        <v>1</v>
      </c>
      <c r="J270" t="str">
        <f>IF(Merge1[[#This Row],[Year]]=2023,Merge1[[#This Row],[High Discrepancy2]],"")</f>
        <v/>
      </c>
      <c r="K27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0" s="1" t="str">
        <f ca="1">IF(Merge1[[#This Row],[Consecutive from 2023]]&gt;=5,"ALERT","")</f>
        <v/>
      </c>
    </row>
    <row r="271" spans="1:12" hidden="1" x14ac:dyDescent="0.35">
      <c r="A271" s="1" t="s">
        <v>89</v>
      </c>
      <c r="B271" s="1" t="s">
        <v>174</v>
      </c>
      <c r="C271" s="1" t="s">
        <v>34</v>
      </c>
      <c r="D271">
        <v>2011</v>
      </c>
      <c r="E271">
        <v>7.6</v>
      </c>
      <c r="F271">
        <v>98.71</v>
      </c>
      <c r="G271">
        <v>91.11</v>
      </c>
      <c r="H271">
        <v>1</v>
      </c>
      <c r="I271">
        <f>IF(Merge1[[#This Row],[Discrepancy]]&gt;=40,1,0)</f>
        <v>1</v>
      </c>
      <c r="J271" t="str">
        <f>IF(Merge1[[#This Row],[Year]]=2023,Merge1[[#This Row],[High Discrepancy2]],"")</f>
        <v/>
      </c>
      <c r="K27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1" s="1" t="str">
        <f ca="1">IF(Merge1[[#This Row],[Consecutive from 2023]]&gt;=5,"ALERT","")</f>
        <v/>
      </c>
    </row>
    <row r="272" spans="1:12" hidden="1" x14ac:dyDescent="0.35">
      <c r="A272" s="1" t="s">
        <v>89</v>
      </c>
      <c r="B272" s="1" t="s">
        <v>174</v>
      </c>
      <c r="C272" s="1" t="s">
        <v>34</v>
      </c>
      <c r="D272">
        <v>2010</v>
      </c>
      <c r="E272">
        <v>8.6999999999999993</v>
      </c>
      <c r="F272">
        <v>98.94</v>
      </c>
      <c r="G272">
        <v>90.24</v>
      </c>
      <c r="H272">
        <v>1</v>
      </c>
      <c r="I272">
        <f>IF(Merge1[[#This Row],[Discrepancy]]&gt;=40,1,0)</f>
        <v>1</v>
      </c>
      <c r="J272" t="str">
        <f>IF(Merge1[[#This Row],[Year]]=2023,Merge1[[#This Row],[High Discrepancy2]],"")</f>
        <v/>
      </c>
      <c r="K27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2" s="1" t="str">
        <f ca="1">IF(Merge1[[#This Row],[Consecutive from 2023]]&gt;=5,"ALERT","")</f>
        <v/>
      </c>
    </row>
    <row r="273" spans="1:12" hidden="1" x14ac:dyDescent="0.35">
      <c r="A273" s="1" t="s">
        <v>81</v>
      </c>
      <c r="B273" s="1" t="s">
        <v>175</v>
      </c>
      <c r="C273" s="1" t="s">
        <v>34</v>
      </c>
      <c r="D273">
        <v>2018</v>
      </c>
      <c r="E273">
        <v>50.9</v>
      </c>
      <c r="F273">
        <v>87.94</v>
      </c>
      <c r="G273">
        <v>37.04</v>
      </c>
      <c r="H273">
        <v>1</v>
      </c>
      <c r="I273">
        <f>IF(Merge1[[#This Row],[Discrepancy]]&gt;=40,1,0)</f>
        <v>0</v>
      </c>
      <c r="J273" t="str">
        <f>IF(Merge1[[#This Row],[Year]]=2023,Merge1[[#This Row],[High Discrepancy2]],"")</f>
        <v/>
      </c>
      <c r="K27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3" s="1" t="str">
        <f ca="1">IF(Merge1[[#This Row],[Consecutive from 2023]]&gt;=5,"ALERT","")</f>
        <v/>
      </c>
    </row>
    <row r="274" spans="1:12" hidden="1" x14ac:dyDescent="0.35">
      <c r="A274" s="1" t="s">
        <v>81</v>
      </c>
      <c r="B274" s="1" t="s">
        <v>175</v>
      </c>
      <c r="C274" s="1" t="s">
        <v>34</v>
      </c>
      <c r="D274">
        <v>2017</v>
      </c>
      <c r="E274">
        <v>34.799999999999997</v>
      </c>
      <c r="F274">
        <v>65.239999999999995</v>
      </c>
      <c r="G274">
        <v>30.439999999999998</v>
      </c>
      <c r="H274">
        <v>1</v>
      </c>
      <c r="I274">
        <f>IF(Merge1[[#This Row],[Discrepancy]]&gt;=40,1,0)</f>
        <v>0</v>
      </c>
      <c r="J274" t="str">
        <f>IF(Merge1[[#This Row],[Year]]=2023,Merge1[[#This Row],[High Discrepancy2]],"")</f>
        <v/>
      </c>
      <c r="K27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4" s="1" t="str">
        <f ca="1">IF(Merge1[[#This Row],[Consecutive from 2023]]&gt;=5,"ALERT","")</f>
        <v/>
      </c>
    </row>
    <row r="275" spans="1:12" hidden="1" x14ac:dyDescent="0.35">
      <c r="A275" s="1" t="s">
        <v>81</v>
      </c>
      <c r="B275" s="1" t="s">
        <v>175</v>
      </c>
      <c r="C275" s="1" t="s">
        <v>34</v>
      </c>
      <c r="D275">
        <v>2015</v>
      </c>
      <c r="E275">
        <v>37.6</v>
      </c>
      <c r="F275">
        <v>67.72</v>
      </c>
      <c r="G275">
        <v>30.119999999999997</v>
      </c>
      <c r="H275">
        <v>1</v>
      </c>
      <c r="I275">
        <f>IF(Merge1[[#This Row],[Discrepancy]]&gt;=40,1,0)</f>
        <v>0</v>
      </c>
      <c r="J275" t="str">
        <f>IF(Merge1[[#This Row],[Year]]=2023,Merge1[[#This Row],[High Discrepancy2]],"")</f>
        <v/>
      </c>
      <c r="K27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5" s="1" t="str">
        <f ca="1">IF(Merge1[[#This Row],[Consecutive from 2023]]&gt;=5,"ALERT","")</f>
        <v/>
      </c>
    </row>
    <row r="276" spans="1:12" hidden="1" x14ac:dyDescent="0.35">
      <c r="A276" s="1" t="s">
        <v>81</v>
      </c>
      <c r="B276" s="1" t="s">
        <v>175</v>
      </c>
      <c r="C276" s="1" t="s">
        <v>34</v>
      </c>
      <c r="D276">
        <v>2014</v>
      </c>
      <c r="E276">
        <v>34.200000000000003</v>
      </c>
      <c r="F276">
        <v>69.739999999999995</v>
      </c>
      <c r="G276">
        <v>35.539999999999992</v>
      </c>
      <c r="H276">
        <v>1</v>
      </c>
      <c r="I276">
        <f>IF(Merge1[[#This Row],[Discrepancy]]&gt;=40,1,0)</f>
        <v>0</v>
      </c>
      <c r="J276" t="str">
        <f>IF(Merge1[[#This Row],[Year]]=2023,Merge1[[#This Row],[High Discrepancy2]],"")</f>
        <v/>
      </c>
      <c r="K27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6" s="1" t="str">
        <f ca="1">IF(Merge1[[#This Row],[Consecutive from 2023]]&gt;=5,"ALERT","")</f>
        <v/>
      </c>
    </row>
    <row r="277" spans="1:12" hidden="1" x14ac:dyDescent="0.35">
      <c r="A277" s="1" t="s">
        <v>81</v>
      </c>
      <c r="B277" s="1" t="s">
        <v>175</v>
      </c>
      <c r="C277" s="1" t="s">
        <v>34</v>
      </c>
      <c r="D277">
        <v>2013</v>
      </c>
      <c r="E277">
        <v>32.4</v>
      </c>
      <c r="F277">
        <v>65.03</v>
      </c>
      <c r="G277">
        <v>32.630000000000003</v>
      </c>
      <c r="H277">
        <v>1</v>
      </c>
      <c r="I277">
        <f>IF(Merge1[[#This Row],[Discrepancy]]&gt;=40,1,0)</f>
        <v>0</v>
      </c>
      <c r="J277" t="str">
        <f>IF(Merge1[[#This Row],[Year]]=2023,Merge1[[#This Row],[High Discrepancy2]],"")</f>
        <v/>
      </c>
      <c r="K27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77" s="1" t="str">
        <f ca="1">IF(Merge1[[#This Row],[Consecutive from 2023]]&gt;=5,"ALERT","")</f>
        <v/>
      </c>
    </row>
    <row r="278" spans="1:12" hidden="1" x14ac:dyDescent="0.35">
      <c r="A278" s="1" t="s">
        <v>83</v>
      </c>
      <c r="B278" s="1" t="s">
        <v>174</v>
      </c>
      <c r="C278" s="1" t="s">
        <v>34</v>
      </c>
      <c r="D278">
        <v>2023</v>
      </c>
      <c r="E278">
        <v>36</v>
      </c>
      <c r="F278">
        <v>83.71</v>
      </c>
      <c r="G278">
        <v>47.709999999999994</v>
      </c>
      <c r="H278">
        <v>1</v>
      </c>
      <c r="I278">
        <f>IF(Merge1[[#This Row],[Discrepancy]]&gt;=40,1,0)</f>
        <v>1</v>
      </c>
      <c r="J278">
        <f>IF(Merge1[[#This Row],[Year]]=2023,Merge1[[#This Row],[High Discrepancy2]],"")</f>
        <v>1</v>
      </c>
      <c r="K27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</v>
      </c>
      <c r="L278" s="1" t="str">
        <f ca="1">IF(Merge1[[#This Row],[Consecutive from 2023]]&gt;=5,"ALERT","")</f>
        <v/>
      </c>
    </row>
    <row r="279" spans="1:12" hidden="1" x14ac:dyDescent="0.35">
      <c r="A279" s="1" t="s">
        <v>83</v>
      </c>
      <c r="B279" s="1" t="s">
        <v>174</v>
      </c>
      <c r="C279" s="1" t="s">
        <v>34</v>
      </c>
      <c r="D279">
        <v>2022</v>
      </c>
      <c r="E279">
        <v>33.200000000000003</v>
      </c>
      <c r="F279">
        <v>84.06</v>
      </c>
      <c r="G279">
        <v>50.86</v>
      </c>
      <c r="H279">
        <v>1</v>
      </c>
      <c r="I279">
        <f>IF(Merge1[[#This Row],[Discrepancy]]&gt;=40,1,0)</f>
        <v>1</v>
      </c>
      <c r="J279" t="str">
        <f>IF(Merge1[[#This Row],[Year]]=2023,Merge1[[#This Row],[High Discrepancy2]],"")</f>
        <v/>
      </c>
      <c r="K27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2</v>
      </c>
      <c r="L279" s="1" t="str">
        <f ca="1">IF(Merge1[[#This Row],[Consecutive from 2023]]&gt;=5,"ALERT","")</f>
        <v/>
      </c>
    </row>
    <row r="280" spans="1:12" hidden="1" x14ac:dyDescent="0.35">
      <c r="A280" s="1" t="s">
        <v>83</v>
      </c>
      <c r="B280" s="1" t="s">
        <v>174</v>
      </c>
      <c r="C280" s="1" t="s">
        <v>34</v>
      </c>
      <c r="D280">
        <v>2021</v>
      </c>
      <c r="E280">
        <v>31.5</v>
      </c>
      <c r="F280">
        <v>83.12</v>
      </c>
      <c r="G280">
        <v>51.620000000000005</v>
      </c>
      <c r="H280">
        <v>1</v>
      </c>
      <c r="I280">
        <f>IF(Merge1[[#This Row],[Discrepancy]]&gt;=40,1,0)</f>
        <v>1</v>
      </c>
      <c r="J280" t="str">
        <f>IF(Merge1[[#This Row],[Year]]=2023,Merge1[[#This Row],[High Discrepancy2]],"")</f>
        <v/>
      </c>
      <c r="K28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3</v>
      </c>
      <c r="L280" s="1" t="str">
        <f ca="1">IF(Merge1[[#This Row],[Consecutive from 2023]]&gt;=5,"ALERT","")</f>
        <v/>
      </c>
    </row>
    <row r="281" spans="1:12" hidden="1" x14ac:dyDescent="0.35">
      <c r="A281" s="1" t="s">
        <v>83</v>
      </c>
      <c r="B281" s="1" t="s">
        <v>174</v>
      </c>
      <c r="C281" s="1" t="s">
        <v>34</v>
      </c>
      <c r="D281">
        <v>2020</v>
      </c>
      <c r="E281">
        <v>30.6</v>
      </c>
      <c r="F281">
        <v>83.72</v>
      </c>
      <c r="G281">
        <v>53.12</v>
      </c>
      <c r="H281">
        <v>1</v>
      </c>
      <c r="I281">
        <f>IF(Merge1[[#This Row],[Discrepancy]]&gt;=40,1,0)</f>
        <v>1</v>
      </c>
      <c r="J281" t="str">
        <f>IF(Merge1[[#This Row],[Year]]=2023,Merge1[[#This Row],[High Discrepancy2]],"")</f>
        <v/>
      </c>
      <c r="K28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4</v>
      </c>
      <c r="L281" s="1" t="str">
        <f ca="1">IF(Merge1[[#This Row],[Consecutive from 2023]]&gt;=5,"ALERT","")</f>
        <v/>
      </c>
    </row>
    <row r="282" spans="1:12" hidden="1" x14ac:dyDescent="0.35">
      <c r="A282" s="1" t="s">
        <v>79</v>
      </c>
      <c r="B282" s="1" t="s">
        <v>174</v>
      </c>
      <c r="C282" s="1" t="s">
        <v>34</v>
      </c>
      <c r="D282">
        <v>2023</v>
      </c>
      <c r="E282">
        <v>39.4</v>
      </c>
      <c r="F282">
        <v>53.48</v>
      </c>
      <c r="G282">
        <v>14.079999999999998</v>
      </c>
      <c r="H282">
        <v>1</v>
      </c>
      <c r="I282">
        <f>IF(Merge1[[#This Row],[Discrepancy]]&gt;=40,1,0)</f>
        <v>0</v>
      </c>
      <c r="J282">
        <f>IF(Merge1[[#This Row],[Year]]=2023,Merge1[[#This Row],[High Discrepancy2]],"")</f>
        <v>0</v>
      </c>
      <c r="K28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2" s="1" t="str">
        <f ca="1">IF(Merge1[[#This Row],[Consecutive from 2023]]&gt;=5,"ALERT","")</f>
        <v/>
      </c>
    </row>
    <row r="283" spans="1:12" hidden="1" x14ac:dyDescent="0.35">
      <c r="A283" s="1" t="s">
        <v>79</v>
      </c>
      <c r="B283" s="1" t="s">
        <v>174</v>
      </c>
      <c r="C283" s="1" t="s">
        <v>34</v>
      </c>
      <c r="D283">
        <v>2022</v>
      </c>
      <c r="E283">
        <v>36.1</v>
      </c>
      <c r="F283">
        <v>45.93</v>
      </c>
      <c r="G283">
        <v>9.8299999999999983</v>
      </c>
      <c r="H283">
        <v>1</v>
      </c>
      <c r="I283">
        <f>IF(Merge1[[#This Row],[Discrepancy]]&gt;=40,1,0)</f>
        <v>0</v>
      </c>
      <c r="J283" t="str">
        <f>IF(Merge1[[#This Row],[Year]]=2023,Merge1[[#This Row],[High Discrepancy2]],"")</f>
        <v/>
      </c>
      <c r="K28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3" s="1" t="str">
        <f ca="1">IF(Merge1[[#This Row],[Consecutive from 2023]]&gt;=5,"ALERT","")</f>
        <v/>
      </c>
    </row>
    <row r="284" spans="1:12" hidden="1" x14ac:dyDescent="0.35">
      <c r="A284" s="1" t="s">
        <v>79</v>
      </c>
      <c r="B284" s="1" t="s">
        <v>174</v>
      </c>
      <c r="C284" s="1" t="s">
        <v>34</v>
      </c>
      <c r="D284">
        <v>2021</v>
      </c>
      <c r="E284">
        <v>35.1</v>
      </c>
      <c r="F284">
        <v>42.39</v>
      </c>
      <c r="G284">
        <v>7.2899999999999991</v>
      </c>
      <c r="H284">
        <v>1</v>
      </c>
      <c r="I284">
        <f>IF(Merge1[[#This Row],[Discrepancy]]&gt;=40,1,0)</f>
        <v>0</v>
      </c>
      <c r="J284" t="str">
        <f>IF(Merge1[[#This Row],[Year]]=2023,Merge1[[#This Row],[High Discrepancy2]],"")</f>
        <v/>
      </c>
      <c r="K28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4" s="1" t="str">
        <f ca="1">IF(Merge1[[#This Row],[Consecutive from 2023]]&gt;=5,"ALERT","")</f>
        <v/>
      </c>
    </row>
    <row r="285" spans="1:12" hidden="1" x14ac:dyDescent="0.35">
      <c r="A285" s="1" t="s">
        <v>79</v>
      </c>
      <c r="B285" s="1" t="s">
        <v>174</v>
      </c>
      <c r="C285" s="1" t="s">
        <v>34</v>
      </c>
      <c r="D285">
        <v>2020</v>
      </c>
      <c r="E285">
        <v>32</v>
      </c>
      <c r="F285">
        <v>46.69</v>
      </c>
      <c r="G285">
        <v>14.689999999999998</v>
      </c>
      <c r="H285">
        <v>1</v>
      </c>
      <c r="I285">
        <f>IF(Merge1[[#This Row],[Discrepancy]]&gt;=40,1,0)</f>
        <v>0</v>
      </c>
      <c r="J285" t="str">
        <f>IF(Merge1[[#This Row],[Year]]=2023,Merge1[[#This Row],[High Discrepancy2]],"")</f>
        <v/>
      </c>
      <c r="K28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5" s="1" t="str">
        <f ca="1">IF(Merge1[[#This Row],[Consecutive from 2023]]&gt;=5,"ALERT","")</f>
        <v/>
      </c>
    </row>
    <row r="286" spans="1:12" hidden="1" x14ac:dyDescent="0.35">
      <c r="A286" s="1" t="s">
        <v>79</v>
      </c>
      <c r="B286" s="1" t="s">
        <v>174</v>
      </c>
      <c r="C286" s="1" t="s">
        <v>34</v>
      </c>
      <c r="D286">
        <v>2019</v>
      </c>
      <c r="E286">
        <v>31</v>
      </c>
      <c r="F286">
        <v>49.63</v>
      </c>
      <c r="G286">
        <v>18.630000000000003</v>
      </c>
      <c r="H286">
        <v>1</v>
      </c>
      <c r="I286">
        <f>IF(Merge1[[#This Row],[Discrepancy]]&gt;=40,1,0)</f>
        <v>0</v>
      </c>
      <c r="J286" t="str">
        <f>IF(Merge1[[#This Row],[Year]]=2023,Merge1[[#This Row],[High Discrepancy2]],"")</f>
        <v/>
      </c>
      <c r="K28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6" s="1" t="str">
        <f ca="1">IF(Merge1[[#This Row],[Consecutive from 2023]]&gt;=5,"ALERT","")</f>
        <v/>
      </c>
    </row>
    <row r="287" spans="1:12" hidden="1" x14ac:dyDescent="0.35">
      <c r="A287" s="1" t="s">
        <v>79</v>
      </c>
      <c r="B287" s="1" t="s">
        <v>174</v>
      </c>
      <c r="C287" s="1" t="s">
        <v>34</v>
      </c>
      <c r="D287">
        <v>2018</v>
      </c>
      <c r="E287">
        <v>36.5</v>
      </c>
      <c r="F287">
        <v>55.61</v>
      </c>
      <c r="G287">
        <v>19.11</v>
      </c>
      <c r="H287">
        <v>1</v>
      </c>
      <c r="I287">
        <f>IF(Merge1[[#This Row],[Discrepancy]]&gt;=40,1,0)</f>
        <v>0</v>
      </c>
      <c r="J287" t="str">
        <f>IF(Merge1[[#This Row],[Year]]=2023,Merge1[[#This Row],[High Discrepancy2]],"")</f>
        <v/>
      </c>
      <c r="K28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7" s="1" t="str">
        <f ca="1">IF(Merge1[[#This Row],[Consecutive from 2023]]&gt;=5,"ALERT","")</f>
        <v/>
      </c>
    </row>
    <row r="288" spans="1:12" hidden="1" x14ac:dyDescent="0.35">
      <c r="A288" s="1" t="s">
        <v>79</v>
      </c>
      <c r="B288" s="1" t="s">
        <v>174</v>
      </c>
      <c r="C288" s="1" t="s">
        <v>34</v>
      </c>
      <c r="D288">
        <v>2017</v>
      </c>
      <c r="E288">
        <v>24.1</v>
      </c>
      <c r="F288">
        <v>47.17</v>
      </c>
      <c r="G288">
        <v>23.07</v>
      </c>
      <c r="H288">
        <v>1</v>
      </c>
      <c r="I288">
        <f>IF(Merge1[[#This Row],[Discrepancy]]&gt;=40,1,0)</f>
        <v>0</v>
      </c>
      <c r="J288" t="str">
        <f>IF(Merge1[[#This Row],[Year]]=2023,Merge1[[#This Row],[High Discrepancy2]],"")</f>
        <v/>
      </c>
      <c r="K28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8" s="1" t="str">
        <f ca="1">IF(Merge1[[#This Row],[Consecutive from 2023]]&gt;=5,"ALERT","")</f>
        <v/>
      </c>
    </row>
    <row r="289" spans="1:12" hidden="1" x14ac:dyDescent="0.35">
      <c r="A289" s="1" t="s">
        <v>83</v>
      </c>
      <c r="B289" s="1" t="s">
        <v>174</v>
      </c>
      <c r="C289" s="1" t="s">
        <v>34</v>
      </c>
      <c r="D289">
        <v>2019</v>
      </c>
      <c r="E289">
        <v>29.7</v>
      </c>
      <c r="F289">
        <v>81.91</v>
      </c>
      <c r="G289">
        <v>52.209999999999994</v>
      </c>
      <c r="H289">
        <v>1</v>
      </c>
      <c r="I289">
        <f>IF(Merge1[[#This Row],[Discrepancy]]&gt;=40,1,0)</f>
        <v>1</v>
      </c>
      <c r="J289" t="str">
        <f>IF(Merge1[[#This Row],[Year]]=2023,Merge1[[#This Row],[High Discrepancy2]],"")</f>
        <v/>
      </c>
      <c r="K28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89" s="1" t="str">
        <f ca="1">IF(Merge1[[#This Row],[Consecutive from 2023]]&gt;=5,"ALERT","")</f>
        <v/>
      </c>
    </row>
    <row r="290" spans="1:12" hidden="1" x14ac:dyDescent="0.35">
      <c r="A290" s="1" t="s">
        <v>83</v>
      </c>
      <c r="B290" s="1" t="s">
        <v>174</v>
      </c>
      <c r="C290" s="1" t="s">
        <v>34</v>
      </c>
      <c r="D290">
        <v>2018</v>
      </c>
      <c r="E290">
        <v>31.1</v>
      </c>
      <c r="F290">
        <v>82.31</v>
      </c>
      <c r="G290">
        <v>51.21</v>
      </c>
      <c r="H290">
        <v>1</v>
      </c>
      <c r="I290">
        <f>IF(Merge1[[#This Row],[Discrepancy]]&gt;=40,1,0)</f>
        <v>1</v>
      </c>
      <c r="J290" t="str">
        <f>IF(Merge1[[#This Row],[Year]]=2023,Merge1[[#This Row],[High Discrepancy2]],"")</f>
        <v/>
      </c>
      <c r="K29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0" s="1" t="str">
        <f ca="1">IF(Merge1[[#This Row],[Consecutive from 2023]]&gt;=5,"ALERT","")</f>
        <v/>
      </c>
    </row>
    <row r="291" spans="1:12" hidden="1" x14ac:dyDescent="0.35">
      <c r="A291" s="1" t="s">
        <v>83</v>
      </c>
      <c r="B291" s="1" t="s">
        <v>174</v>
      </c>
      <c r="C291" s="1" t="s">
        <v>34</v>
      </c>
      <c r="D291">
        <v>2017</v>
      </c>
      <c r="E291">
        <v>24.3</v>
      </c>
      <c r="F291">
        <v>80.989999999999995</v>
      </c>
      <c r="G291">
        <v>56.69</v>
      </c>
      <c r="H291">
        <v>1</v>
      </c>
      <c r="I291">
        <f>IF(Merge1[[#This Row],[Discrepancy]]&gt;=40,1,0)</f>
        <v>1</v>
      </c>
      <c r="J291" t="str">
        <f>IF(Merge1[[#This Row],[Year]]=2023,Merge1[[#This Row],[High Discrepancy2]],"")</f>
        <v/>
      </c>
      <c r="K29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1" s="1" t="str">
        <f ca="1">IF(Merge1[[#This Row],[Consecutive from 2023]]&gt;=5,"ALERT","")</f>
        <v/>
      </c>
    </row>
    <row r="292" spans="1:12" hidden="1" x14ac:dyDescent="0.35">
      <c r="A292" s="1" t="s">
        <v>83</v>
      </c>
      <c r="B292" s="1" t="s">
        <v>174</v>
      </c>
      <c r="C292" s="1" t="s">
        <v>34</v>
      </c>
      <c r="D292">
        <v>2016</v>
      </c>
      <c r="E292">
        <v>26.2</v>
      </c>
      <c r="F292">
        <v>95.76</v>
      </c>
      <c r="G292">
        <v>69.56</v>
      </c>
      <c r="H292">
        <v>1</v>
      </c>
      <c r="I292">
        <f>IF(Merge1[[#This Row],[Discrepancy]]&gt;=40,1,0)</f>
        <v>1</v>
      </c>
      <c r="J292" t="str">
        <f>IF(Merge1[[#This Row],[Year]]=2023,Merge1[[#This Row],[High Discrepancy2]],"")</f>
        <v/>
      </c>
      <c r="K29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2" s="1" t="str">
        <f ca="1">IF(Merge1[[#This Row],[Consecutive from 2023]]&gt;=5,"ALERT","")</f>
        <v/>
      </c>
    </row>
    <row r="293" spans="1:12" hidden="1" x14ac:dyDescent="0.35">
      <c r="A293" s="1" t="s">
        <v>83</v>
      </c>
      <c r="B293" s="1" t="s">
        <v>174</v>
      </c>
      <c r="C293" s="1" t="s">
        <v>34</v>
      </c>
      <c r="D293">
        <v>2015</v>
      </c>
      <c r="E293">
        <v>24</v>
      </c>
      <c r="F293">
        <v>99.68</v>
      </c>
      <c r="G293">
        <v>75.680000000000007</v>
      </c>
      <c r="H293">
        <v>1</v>
      </c>
      <c r="I293">
        <f>IF(Merge1[[#This Row],[Discrepancy]]&gt;=40,1,0)</f>
        <v>1</v>
      </c>
      <c r="J293" t="str">
        <f>IF(Merge1[[#This Row],[Year]]=2023,Merge1[[#This Row],[High Discrepancy2]],"")</f>
        <v/>
      </c>
      <c r="K29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3" s="1" t="str">
        <f ca="1">IF(Merge1[[#This Row],[Consecutive from 2023]]&gt;=5,"ALERT","")</f>
        <v/>
      </c>
    </row>
    <row r="294" spans="1:12" hidden="1" x14ac:dyDescent="0.35">
      <c r="A294" s="1" t="s">
        <v>83</v>
      </c>
      <c r="B294" s="1" t="s">
        <v>174</v>
      </c>
      <c r="C294" s="1" t="s">
        <v>34</v>
      </c>
      <c r="D294">
        <v>2014</v>
      </c>
      <c r="E294">
        <v>24.8</v>
      </c>
      <c r="F294">
        <v>99.79</v>
      </c>
      <c r="G294">
        <v>74.990000000000009</v>
      </c>
      <c r="H294">
        <v>1</v>
      </c>
      <c r="I294">
        <f>IF(Merge1[[#This Row],[Discrepancy]]&gt;=40,1,0)</f>
        <v>1</v>
      </c>
      <c r="J294" t="str">
        <f>IF(Merge1[[#This Row],[Year]]=2023,Merge1[[#This Row],[High Discrepancy2]],"")</f>
        <v/>
      </c>
      <c r="K29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4" s="1" t="str">
        <f ca="1">IF(Merge1[[#This Row],[Consecutive from 2023]]&gt;=5,"ALERT","")</f>
        <v/>
      </c>
    </row>
    <row r="295" spans="1:12" hidden="1" x14ac:dyDescent="0.35">
      <c r="A295" s="1" t="s">
        <v>83</v>
      </c>
      <c r="B295" s="1" t="s">
        <v>174</v>
      </c>
      <c r="C295" s="1" t="s">
        <v>34</v>
      </c>
      <c r="D295">
        <v>2013</v>
      </c>
      <c r="E295">
        <v>22.4</v>
      </c>
      <c r="F295">
        <v>99.8</v>
      </c>
      <c r="G295">
        <v>77.400000000000006</v>
      </c>
      <c r="H295">
        <v>1</v>
      </c>
      <c r="I295">
        <f>IF(Merge1[[#This Row],[Discrepancy]]&gt;=40,1,0)</f>
        <v>1</v>
      </c>
      <c r="J295" t="str">
        <f>IF(Merge1[[#This Row],[Year]]=2023,Merge1[[#This Row],[High Discrepancy2]],"")</f>
        <v/>
      </c>
      <c r="K29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5" s="1" t="str">
        <f ca="1">IF(Merge1[[#This Row],[Consecutive from 2023]]&gt;=5,"ALERT","")</f>
        <v/>
      </c>
    </row>
    <row r="296" spans="1:12" hidden="1" x14ac:dyDescent="0.35">
      <c r="A296" s="1" t="s">
        <v>73</v>
      </c>
      <c r="B296" s="1" t="s">
        <v>173</v>
      </c>
      <c r="C296" s="1" t="s">
        <v>41</v>
      </c>
      <c r="D296">
        <v>2023</v>
      </c>
      <c r="E296">
        <v>73.2</v>
      </c>
      <c r="F296">
        <v>0.02</v>
      </c>
      <c r="G296">
        <v>-73.180000000000007</v>
      </c>
      <c r="H296">
        <v>0</v>
      </c>
      <c r="I296">
        <f>IF(Merge1[[#This Row],[Discrepancy]]&gt;=40,1,0)</f>
        <v>0</v>
      </c>
      <c r="J296">
        <f>IF(Merge1[[#This Row],[Year]]=2023,Merge1[[#This Row],[High Discrepancy2]],"")</f>
        <v>0</v>
      </c>
      <c r="K29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6" s="1" t="str">
        <f ca="1">IF(Merge1[[#This Row],[Consecutive from 2023]]&gt;=5,"ALERT","")</f>
        <v/>
      </c>
    </row>
    <row r="297" spans="1:12" hidden="1" x14ac:dyDescent="0.35">
      <c r="A297" s="1" t="s">
        <v>73</v>
      </c>
      <c r="B297" s="1" t="s">
        <v>173</v>
      </c>
      <c r="C297" s="1" t="s">
        <v>41</v>
      </c>
      <c r="D297">
        <v>2022</v>
      </c>
      <c r="E297">
        <v>70</v>
      </c>
      <c r="F297">
        <v>0.02</v>
      </c>
      <c r="G297">
        <v>-69.98</v>
      </c>
      <c r="H297">
        <v>0</v>
      </c>
      <c r="I297">
        <f>IF(Merge1[[#This Row],[Discrepancy]]&gt;=40,1,0)</f>
        <v>0</v>
      </c>
      <c r="J297" t="str">
        <f>IF(Merge1[[#This Row],[Year]]=2023,Merge1[[#This Row],[High Discrepancy2]],"")</f>
        <v/>
      </c>
      <c r="K29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7" s="1" t="str">
        <f ca="1">IF(Merge1[[#This Row],[Consecutive from 2023]]&gt;=5,"ALERT","")</f>
        <v/>
      </c>
    </row>
    <row r="298" spans="1:12" hidden="1" x14ac:dyDescent="0.35">
      <c r="A298" s="1" t="s">
        <v>73</v>
      </c>
      <c r="B298" s="1" t="s">
        <v>173</v>
      </c>
      <c r="C298" s="1" t="s">
        <v>41</v>
      </c>
      <c r="D298">
        <v>2021</v>
      </c>
      <c r="E298">
        <v>70.2</v>
      </c>
      <c r="F298">
        <v>0.02</v>
      </c>
      <c r="G298">
        <v>-70.180000000000007</v>
      </c>
      <c r="H298">
        <v>0</v>
      </c>
      <c r="I298">
        <f>IF(Merge1[[#This Row],[Discrepancy]]&gt;=40,1,0)</f>
        <v>0</v>
      </c>
      <c r="J298" t="str">
        <f>IF(Merge1[[#This Row],[Year]]=2023,Merge1[[#This Row],[High Discrepancy2]],"")</f>
        <v/>
      </c>
      <c r="K29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8" s="1" t="str">
        <f ca="1">IF(Merge1[[#This Row],[Consecutive from 2023]]&gt;=5,"ALERT","")</f>
        <v/>
      </c>
    </row>
    <row r="299" spans="1:12" hidden="1" x14ac:dyDescent="0.35">
      <c r="A299" s="1" t="s">
        <v>73</v>
      </c>
      <c r="B299" s="1" t="s">
        <v>173</v>
      </c>
      <c r="C299" s="1" t="s">
        <v>41</v>
      </c>
      <c r="D299">
        <v>2020</v>
      </c>
      <c r="E299">
        <v>69.400000000000006</v>
      </c>
      <c r="F299">
        <v>0.03</v>
      </c>
      <c r="G299">
        <v>-69.37</v>
      </c>
      <c r="H299">
        <v>0</v>
      </c>
      <c r="I299">
        <f>IF(Merge1[[#This Row],[Discrepancy]]&gt;=40,1,0)</f>
        <v>0</v>
      </c>
      <c r="J299" t="str">
        <f>IF(Merge1[[#This Row],[Year]]=2023,Merge1[[#This Row],[High Discrepancy2]],"")</f>
        <v/>
      </c>
      <c r="K29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299" s="1" t="str">
        <f ca="1">IF(Merge1[[#This Row],[Consecutive from 2023]]&gt;=5,"ALERT","")</f>
        <v/>
      </c>
    </row>
    <row r="300" spans="1:12" hidden="1" x14ac:dyDescent="0.35">
      <c r="A300" s="1" t="s">
        <v>73</v>
      </c>
      <c r="B300" s="1" t="s">
        <v>173</v>
      </c>
      <c r="C300" s="1" t="s">
        <v>41</v>
      </c>
      <c r="D300">
        <v>2019</v>
      </c>
      <c r="E300">
        <v>68.5</v>
      </c>
      <c r="F300">
        <v>0.02</v>
      </c>
      <c r="G300">
        <v>-68.48</v>
      </c>
      <c r="H300">
        <v>0</v>
      </c>
      <c r="I300">
        <f>IF(Merge1[[#This Row],[Discrepancy]]&gt;=40,1,0)</f>
        <v>0</v>
      </c>
      <c r="J300" t="str">
        <f>IF(Merge1[[#This Row],[Year]]=2023,Merge1[[#This Row],[High Discrepancy2]],"")</f>
        <v/>
      </c>
      <c r="K30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0" s="1" t="str">
        <f ca="1">IF(Merge1[[#This Row],[Consecutive from 2023]]&gt;=5,"ALERT","")</f>
        <v/>
      </c>
    </row>
    <row r="301" spans="1:12" hidden="1" x14ac:dyDescent="0.35">
      <c r="A301" s="1" t="s">
        <v>73</v>
      </c>
      <c r="B301" s="1" t="s">
        <v>173</v>
      </c>
      <c r="C301" s="1" t="s">
        <v>41</v>
      </c>
      <c r="D301">
        <v>2018</v>
      </c>
      <c r="E301">
        <v>67</v>
      </c>
      <c r="F301">
        <v>0.02</v>
      </c>
      <c r="G301">
        <v>-66.98</v>
      </c>
      <c r="H301">
        <v>0</v>
      </c>
      <c r="I301">
        <f>IF(Merge1[[#This Row],[Discrepancy]]&gt;=40,1,0)</f>
        <v>0</v>
      </c>
      <c r="J301" t="str">
        <f>IF(Merge1[[#This Row],[Year]]=2023,Merge1[[#This Row],[High Discrepancy2]],"")</f>
        <v/>
      </c>
      <c r="K30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1" s="1" t="str">
        <f ca="1">IF(Merge1[[#This Row],[Consecutive from 2023]]&gt;=5,"ALERT","")</f>
        <v/>
      </c>
    </row>
    <row r="302" spans="1:12" hidden="1" x14ac:dyDescent="0.35">
      <c r="A302" s="1" t="s">
        <v>73</v>
      </c>
      <c r="B302" s="1" t="s">
        <v>173</v>
      </c>
      <c r="C302" s="1" t="s">
        <v>41</v>
      </c>
      <c r="D302">
        <v>2017</v>
      </c>
      <c r="E302">
        <v>70.599999999999994</v>
      </c>
      <c r="F302">
        <v>0.02</v>
      </c>
      <c r="G302">
        <v>-70.58</v>
      </c>
      <c r="H302">
        <v>0</v>
      </c>
      <c r="I302">
        <f>IF(Merge1[[#This Row],[Discrepancy]]&gt;=40,1,0)</f>
        <v>0</v>
      </c>
      <c r="J302" t="str">
        <f>IF(Merge1[[#This Row],[Year]]=2023,Merge1[[#This Row],[High Discrepancy2]],"")</f>
        <v/>
      </c>
      <c r="K30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2" s="1" t="str">
        <f ca="1">IF(Merge1[[#This Row],[Consecutive from 2023]]&gt;=5,"ALERT","")</f>
        <v/>
      </c>
    </row>
    <row r="303" spans="1:12" hidden="1" x14ac:dyDescent="0.35">
      <c r="A303" s="1" t="s">
        <v>73</v>
      </c>
      <c r="B303" s="1" t="s">
        <v>173</v>
      </c>
      <c r="C303" s="1" t="s">
        <v>41</v>
      </c>
      <c r="D303">
        <v>2016</v>
      </c>
      <c r="E303">
        <v>72.2</v>
      </c>
      <c r="F303">
        <v>0.02</v>
      </c>
      <c r="G303">
        <v>-72.180000000000007</v>
      </c>
      <c r="H303">
        <v>0</v>
      </c>
      <c r="I303">
        <f>IF(Merge1[[#This Row],[Discrepancy]]&gt;=40,1,0)</f>
        <v>0</v>
      </c>
      <c r="J303" t="str">
        <f>IF(Merge1[[#This Row],[Year]]=2023,Merge1[[#This Row],[High Discrepancy2]],"")</f>
        <v/>
      </c>
      <c r="K30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3" s="1" t="str">
        <f ca="1">IF(Merge1[[#This Row],[Consecutive from 2023]]&gt;=5,"ALERT","")</f>
        <v/>
      </c>
    </row>
    <row r="304" spans="1:12" hidden="1" x14ac:dyDescent="0.35">
      <c r="A304" s="1" t="s">
        <v>73</v>
      </c>
      <c r="B304" s="1" t="s">
        <v>173</v>
      </c>
      <c r="C304" s="1" t="s">
        <v>41</v>
      </c>
      <c r="D304">
        <v>2015</v>
      </c>
      <c r="E304">
        <v>73.8</v>
      </c>
      <c r="F304">
        <v>0.02</v>
      </c>
      <c r="G304">
        <v>-73.78</v>
      </c>
      <c r="H304">
        <v>0</v>
      </c>
      <c r="I304">
        <f>IF(Merge1[[#This Row],[Discrepancy]]&gt;=40,1,0)</f>
        <v>0</v>
      </c>
      <c r="J304" t="str">
        <f>IF(Merge1[[#This Row],[Year]]=2023,Merge1[[#This Row],[High Discrepancy2]],"")</f>
        <v/>
      </c>
      <c r="K30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4" s="1" t="str">
        <f ca="1">IF(Merge1[[#This Row],[Consecutive from 2023]]&gt;=5,"ALERT","")</f>
        <v/>
      </c>
    </row>
    <row r="305" spans="1:12" hidden="1" x14ac:dyDescent="0.35">
      <c r="A305" s="1" t="s">
        <v>73</v>
      </c>
      <c r="B305" s="1" t="s">
        <v>173</v>
      </c>
      <c r="C305" s="1" t="s">
        <v>41</v>
      </c>
      <c r="D305">
        <v>2014</v>
      </c>
      <c r="E305">
        <v>75.5</v>
      </c>
      <c r="F305">
        <v>0.02</v>
      </c>
      <c r="G305">
        <v>-75.48</v>
      </c>
      <c r="H305">
        <v>0</v>
      </c>
      <c r="I305">
        <f>IF(Merge1[[#This Row],[Discrepancy]]&gt;=40,1,0)</f>
        <v>0</v>
      </c>
      <c r="J305" t="str">
        <f>IF(Merge1[[#This Row],[Year]]=2023,Merge1[[#This Row],[High Discrepancy2]],"")</f>
        <v/>
      </c>
      <c r="K30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5" s="1" t="str">
        <f ca="1">IF(Merge1[[#This Row],[Consecutive from 2023]]&gt;=5,"ALERT","")</f>
        <v/>
      </c>
    </row>
    <row r="306" spans="1:12" hidden="1" x14ac:dyDescent="0.35">
      <c r="A306" s="1" t="s">
        <v>73</v>
      </c>
      <c r="B306" s="1" t="s">
        <v>173</v>
      </c>
      <c r="C306" s="1" t="s">
        <v>41</v>
      </c>
      <c r="D306">
        <v>2013</v>
      </c>
      <c r="E306">
        <v>77.099999999999994</v>
      </c>
      <c r="F306">
        <v>0.02</v>
      </c>
      <c r="G306">
        <v>-77.08</v>
      </c>
      <c r="H306">
        <v>0</v>
      </c>
      <c r="I306">
        <f>IF(Merge1[[#This Row],[Discrepancy]]&gt;=40,1,0)</f>
        <v>0</v>
      </c>
      <c r="J306" t="str">
        <f>IF(Merge1[[#This Row],[Year]]=2023,Merge1[[#This Row],[High Discrepancy2]],"")</f>
        <v/>
      </c>
      <c r="K30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6" s="1" t="str">
        <f ca="1">IF(Merge1[[#This Row],[Consecutive from 2023]]&gt;=5,"ALERT","")</f>
        <v/>
      </c>
    </row>
    <row r="307" spans="1:12" hidden="1" x14ac:dyDescent="0.35">
      <c r="A307" s="1" t="s">
        <v>73</v>
      </c>
      <c r="B307" s="1" t="s">
        <v>173</v>
      </c>
      <c r="C307" s="1" t="s">
        <v>41</v>
      </c>
      <c r="D307">
        <v>2012</v>
      </c>
      <c r="E307">
        <v>78.7</v>
      </c>
      <c r="F307">
        <v>0.02</v>
      </c>
      <c r="G307">
        <v>-78.680000000000007</v>
      </c>
      <c r="H307">
        <v>0</v>
      </c>
      <c r="I307">
        <f>IF(Merge1[[#This Row],[Discrepancy]]&gt;=40,1,0)</f>
        <v>0</v>
      </c>
      <c r="J307" t="str">
        <f>IF(Merge1[[#This Row],[Year]]=2023,Merge1[[#This Row],[High Discrepancy2]],"")</f>
        <v/>
      </c>
      <c r="K30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7" s="1" t="str">
        <f ca="1">IF(Merge1[[#This Row],[Consecutive from 2023]]&gt;=5,"ALERT","")</f>
        <v/>
      </c>
    </row>
    <row r="308" spans="1:12" hidden="1" x14ac:dyDescent="0.35">
      <c r="A308" s="1" t="s">
        <v>73</v>
      </c>
      <c r="B308" s="1" t="s">
        <v>173</v>
      </c>
      <c r="C308" s="1" t="s">
        <v>41</v>
      </c>
      <c r="D308">
        <v>2011</v>
      </c>
      <c r="E308">
        <v>80.3</v>
      </c>
      <c r="F308">
        <v>0.03</v>
      </c>
      <c r="G308">
        <v>-80.27</v>
      </c>
      <c r="H308">
        <v>0</v>
      </c>
      <c r="I308">
        <f>IF(Merge1[[#This Row],[Discrepancy]]&gt;=40,1,0)</f>
        <v>0</v>
      </c>
      <c r="J308" t="str">
        <f>IF(Merge1[[#This Row],[Year]]=2023,Merge1[[#This Row],[High Discrepancy2]],"")</f>
        <v/>
      </c>
      <c r="K30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8" s="1" t="str">
        <f ca="1">IF(Merge1[[#This Row],[Consecutive from 2023]]&gt;=5,"ALERT","")</f>
        <v/>
      </c>
    </row>
    <row r="309" spans="1:12" hidden="1" x14ac:dyDescent="0.35">
      <c r="A309" s="1" t="s">
        <v>73</v>
      </c>
      <c r="B309" s="1" t="s">
        <v>173</v>
      </c>
      <c r="C309" s="1" t="s">
        <v>41</v>
      </c>
      <c r="D309">
        <v>2010</v>
      </c>
      <c r="E309">
        <v>81.900000000000006</v>
      </c>
      <c r="F309">
        <v>0.02</v>
      </c>
      <c r="G309">
        <v>-81.88000000000001</v>
      </c>
      <c r="H309">
        <v>0</v>
      </c>
      <c r="I309">
        <f>IF(Merge1[[#This Row],[Discrepancy]]&gt;=40,1,0)</f>
        <v>0</v>
      </c>
      <c r="J309" t="str">
        <f>IF(Merge1[[#This Row],[Year]]=2023,Merge1[[#This Row],[High Discrepancy2]],"")</f>
        <v/>
      </c>
      <c r="K30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09" s="1" t="str">
        <f ca="1">IF(Merge1[[#This Row],[Consecutive from 2023]]&gt;=5,"ALERT","")</f>
        <v/>
      </c>
    </row>
    <row r="310" spans="1:12" hidden="1" x14ac:dyDescent="0.35">
      <c r="A310" s="1" t="s">
        <v>71</v>
      </c>
      <c r="B310" s="1" t="s">
        <v>175</v>
      </c>
      <c r="C310" s="1" t="s">
        <v>34</v>
      </c>
      <c r="D310">
        <v>2023</v>
      </c>
      <c r="E310">
        <v>32.5</v>
      </c>
      <c r="F310">
        <v>59.69</v>
      </c>
      <c r="G310">
        <v>27.189999999999998</v>
      </c>
      <c r="H310">
        <v>1</v>
      </c>
      <c r="I310">
        <f>IF(Merge1[[#This Row],[Discrepancy]]&gt;=40,1,0)</f>
        <v>0</v>
      </c>
      <c r="J310">
        <f>IF(Merge1[[#This Row],[Year]]=2023,Merge1[[#This Row],[High Discrepancy2]],"")</f>
        <v>0</v>
      </c>
      <c r="K31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0" s="1" t="str">
        <f ca="1">IF(Merge1[[#This Row],[Consecutive from 2023]]&gt;=5,"ALERT","")</f>
        <v/>
      </c>
    </row>
    <row r="311" spans="1:12" hidden="1" x14ac:dyDescent="0.35">
      <c r="A311" s="1" t="s">
        <v>71</v>
      </c>
      <c r="B311" s="1" t="s">
        <v>175</v>
      </c>
      <c r="C311" s="1" t="s">
        <v>34</v>
      </c>
      <c r="D311">
        <v>2022</v>
      </c>
      <c r="E311">
        <v>31.8</v>
      </c>
      <c r="F311">
        <v>52.21</v>
      </c>
      <c r="G311">
        <v>20.41</v>
      </c>
      <c r="H311">
        <v>1</v>
      </c>
      <c r="I311">
        <f>IF(Merge1[[#This Row],[Discrepancy]]&gt;=40,1,0)</f>
        <v>0</v>
      </c>
      <c r="J311" t="str">
        <f>IF(Merge1[[#This Row],[Year]]=2023,Merge1[[#This Row],[High Discrepancy2]],"")</f>
        <v/>
      </c>
      <c r="K31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1" s="1" t="str">
        <f ca="1">IF(Merge1[[#This Row],[Consecutive from 2023]]&gt;=5,"ALERT","")</f>
        <v/>
      </c>
    </row>
    <row r="312" spans="1:12" hidden="1" x14ac:dyDescent="0.35">
      <c r="A312" s="1" t="s">
        <v>71</v>
      </c>
      <c r="B312" s="1" t="s">
        <v>175</v>
      </c>
      <c r="C312" s="1" t="s">
        <v>34</v>
      </c>
      <c r="D312">
        <v>2021</v>
      </c>
      <c r="E312">
        <v>29.8</v>
      </c>
      <c r="F312">
        <v>50.26</v>
      </c>
      <c r="G312">
        <v>20.459999999999997</v>
      </c>
      <c r="H312">
        <v>1</v>
      </c>
      <c r="I312">
        <f>IF(Merge1[[#This Row],[Discrepancy]]&gt;=40,1,0)</f>
        <v>0</v>
      </c>
      <c r="J312" t="str">
        <f>IF(Merge1[[#This Row],[Year]]=2023,Merge1[[#This Row],[High Discrepancy2]],"")</f>
        <v/>
      </c>
      <c r="K31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2" s="1" t="str">
        <f ca="1">IF(Merge1[[#This Row],[Consecutive from 2023]]&gt;=5,"ALERT","")</f>
        <v/>
      </c>
    </row>
    <row r="313" spans="1:12" hidden="1" x14ac:dyDescent="0.35">
      <c r="A313" s="1" t="s">
        <v>71</v>
      </c>
      <c r="B313" s="1" t="s">
        <v>175</v>
      </c>
      <c r="C313" s="1" t="s">
        <v>34</v>
      </c>
      <c r="D313">
        <v>2020</v>
      </c>
      <c r="E313">
        <v>27.6</v>
      </c>
      <c r="F313">
        <v>29.35</v>
      </c>
      <c r="G313">
        <v>1.75</v>
      </c>
      <c r="H313">
        <v>1</v>
      </c>
      <c r="I313">
        <f>IF(Merge1[[#This Row],[Discrepancy]]&gt;=40,1,0)</f>
        <v>0</v>
      </c>
      <c r="J313" t="str">
        <f>IF(Merge1[[#This Row],[Year]]=2023,Merge1[[#This Row],[High Discrepancy2]],"")</f>
        <v/>
      </c>
      <c r="K31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3" s="1" t="str">
        <f ca="1">IF(Merge1[[#This Row],[Consecutive from 2023]]&gt;=5,"ALERT","")</f>
        <v/>
      </c>
    </row>
    <row r="314" spans="1:12" hidden="1" x14ac:dyDescent="0.35">
      <c r="A314" s="1" t="s">
        <v>71</v>
      </c>
      <c r="B314" s="1" t="s">
        <v>175</v>
      </c>
      <c r="C314" s="1" t="s">
        <v>34</v>
      </c>
      <c r="D314">
        <v>2019</v>
      </c>
      <c r="E314">
        <v>23.1</v>
      </c>
      <c r="F314">
        <v>31.1</v>
      </c>
      <c r="G314">
        <v>8</v>
      </c>
      <c r="H314">
        <v>1</v>
      </c>
      <c r="I314">
        <f>IF(Merge1[[#This Row],[Discrepancy]]&gt;=40,1,0)</f>
        <v>0</v>
      </c>
      <c r="J314" t="str">
        <f>IF(Merge1[[#This Row],[Year]]=2023,Merge1[[#This Row],[High Discrepancy2]],"")</f>
        <v/>
      </c>
      <c r="K31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4" s="1" t="str">
        <f ca="1">IF(Merge1[[#This Row],[Consecutive from 2023]]&gt;=5,"ALERT","")</f>
        <v/>
      </c>
    </row>
    <row r="315" spans="1:12" hidden="1" x14ac:dyDescent="0.35">
      <c r="A315" s="1" t="s">
        <v>71</v>
      </c>
      <c r="B315" s="1" t="s">
        <v>175</v>
      </c>
      <c r="C315" s="1" t="s">
        <v>34</v>
      </c>
      <c r="D315">
        <v>2018</v>
      </c>
      <c r="E315">
        <v>22.8</v>
      </c>
      <c r="F315">
        <v>32</v>
      </c>
      <c r="G315">
        <v>9.1999999999999993</v>
      </c>
      <c r="H315">
        <v>1</v>
      </c>
      <c r="I315">
        <f>IF(Merge1[[#This Row],[Discrepancy]]&gt;=40,1,0)</f>
        <v>0</v>
      </c>
      <c r="J315" t="str">
        <f>IF(Merge1[[#This Row],[Year]]=2023,Merge1[[#This Row],[High Discrepancy2]],"")</f>
        <v/>
      </c>
      <c r="K31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5" s="1" t="str">
        <f ca="1">IF(Merge1[[#This Row],[Consecutive from 2023]]&gt;=5,"ALERT","")</f>
        <v/>
      </c>
    </row>
    <row r="316" spans="1:12" hidden="1" x14ac:dyDescent="0.35">
      <c r="A316" s="1" t="s">
        <v>71</v>
      </c>
      <c r="B316" s="1" t="s">
        <v>175</v>
      </c>
      <c r="C316" s="1" t="s">
        <v>34</v>
      </c>
      <c r="D316">
        <v>2017</v>
      </c>
      <c r="E316">
        <v>24.2</v>
      </c>
      <c r="F316">
        <v>26.98</v>
      </c>
      <c r="G316">
        <v>2.7800000000000011</v>
      </c>
      <c r="H316">
        <v>1</v>
      </c>
      <c r="I316">
        <f>IF(Merge1[[#This Row],[Discrepancy]]&gt;=40,1,0)</f>
        <v>0</v>
      </c>
      <c r="J316" t="str">
        <f>IF(Merge1[[#This Row],[Year]]=2023,Merge1[[#This Row],[High Discrepancy2]],"")</f>
        <v/>
      </c>
      <c r="K31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6" s="1" t="str">
        <f ca="1">IF(Merge1[[#This Row],[Consecutive from 2023]]&gt;=5,"ALERT","")</f>
        <v/>
      </c>
    </row>
    <row r="317" spans="1:12" hidden="1" x14ac:dyDescent="0.35">
      <c r="A317" s="1" t="s">
        <v>71</v>
      </c>
      <c r="B317" s="1" t="s">
        <v>175</v>
      </c>
      <c r="C317" s="1" t="s">
        <v>34</v>
      </c>
      <c r="D317">
        <v>2016</v>
      </c>
      <c r="E317">
        <v>17.7</v>
      </c>
      <c r="F317">
        <v>7.95</v>
      </c>
      <c r="G317">
        <v>-9.75</v>
      </c>
      <c r="H317">
        <v>0</v>
      </c>
      <c r="I317">
        <f>IF(Merge1[[#This Row],[Discrepancy]]&gt;=40,1,0)</f>
        <v>0</v>
      </c>
      <c r="J317" t="str">
        <f>IF(Merge1[[#This Row],[Year]]=2023,Merge1[[#This Row],[High Discrepancy2]],"")</f>
        <v/>
      </c>
      <c r="K31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7" s="1" t="str">
        <f ca="1">IF(Merge1[[#This Row],[Consecutive from 2023]]&gt;=5,"ALERT","")</f>
        <v/>
      </c>
    </row>
    <row r="318" spans="1:12" hidden="1" x14ac:dyDescent="0.35">
      <c r="A318" s="1" t="s">
        <v>71</v>
      </c>
      <c r="B318" s="1" t="s">
        <v>175</v>
      </c>
      <c r="C318" s="1" t="s">
        <v>34</v>
      </c>
      <c r="D318">
        <v>2015</v>
      </c>
      <c r="E318">
        <v>15.2</v>
      </c>
      <c r="F318">
        <v>7.63</v>
      </c>
      <c r="G318">
        <v>-7.5699999999999994</v>
      </c>
      <c r="H318">
        <v>0</v>
      </c>
      <c r="I318">
        <f>IF(Merge1[[#This Row],[Discrepancy]]&gt;=40,1,0)</f>
        <v>0</v>
      </c>
      <c r="J318" t="str">
        <f>IF(Merge1[[#This Row],[Year]]=2023,Merge1[[#This Row],[High Discrepancy2]],"")</f>
        <v/>
      </c>
      <c r="K31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8" s="1" t="str">
        <f ca="1">IF(Merge1[[#This Row],[Consecutive from 2023]]&gt;=5,"ALERT","")</f>
        <v/>
      </c>
    </row>
    <row r="319" spans="1:12" hidden="1" x14ac:dyDescent="0.35">
      <c r="A319" s="1" t="s">
        <v>71</v>
      </c>
      <c r="B319" s="1" t="s">
        <v>175</v>
      </c>
      <c r="C319" s="1" t="s">
        <v>34</v>
      </c>
      <c r="D319">
        <v>2014</v>
      </c>
      <c r="E319">
        <v>9.4</v>
      </c>
      <c r="F319">
        <v>7.86</v>
      </c>
      <c r="G319">
        <v>-1.54</v>
      </c>
      <c r="H319">
        <v>0</v>
      </c>
      <c r="I319">
        <f>IF(Merge1[[#This Row],[Discrepancy]]&gt;=40,1,0)</f>
        <v>0</v>
      </c>
      <c r="J319" t="str">
        <f>IF(Merge1[[#This Row],[Year]]=2023,Merge1[[#This Row],[High Discrepancy2]],"")</f>
        <v/>
      </c>
      <c r="K31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19" s="1" t="str">
        <f ca="1">IF(Merge1[[#This Row],[Consecutive from 2023]]&gt;=5,"ALERT","")</f>
        <v/>
      </c>
    </row>
    <row r="320" spans="1:12" hidden="1" x14ac:dyDescent="0.35">
      <c r="A320" s="1" t="s">
        <v>71</v>
      </c>
      <c r="B320" s="1" t="s">
        <v>175</v>
      </c>
      <c r="C320" s="1" t="s">
        <v>34</v>
      </c>
      <c r="D320">
        <v>2013</v>
      </c>
      <c r="E320">
        <v>9.8000000000000007</v>
      </c>
      <c r="F320">
        <v>7.82</v>
      </c>
      <c r="G320">
        <v>-1.9800000000000004</v>
      </c>
      <c r="H320">
        <v>0</v>
      </c>
      <c r="I320">
        <f>IF(Merge1[[#This Row],[Discrepancy]]&gt;=40,1,0)</f>
        <v>0</v>
      </c>
      <c r="J320" t="str">
        <f>IF(Merge1[[#This Row],[Year]]=2023,Merge1[[#This Row],[High Discrepancy2]],"")</f>
        <v/>
      </c>
      <c r="K32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0" s="1" t="str">
        <f ca="1">IF(Merge1[[#This Row],[Consecutive from 2023]]&gt;=5,"ALERT","")</f>
        <v/>
      </c>
    </row>
    <row r="321" spans="1:12" hidden="1" x14ac:dyDescent="0.35">
      <c r="A321" s="1" t="s">
        <v>71</v>
      </c>
      <c r="B321" s="1" t="s">
        <v>175</v>
      </c>
      <c r="C321" s="1" t="s">
        <v>34</v>
      </c>
      <c r="D321">
        <v>2012</v>
      </c>
      <c r="E321">
        <v>9.3000000000000007</v>
      </c>
      <c r="F321">
        <v>7.77</v>
      </c>
      <c r="G321">
        <v>-1.5300000000000011</v>
      </c>
      <c r="H321">
        <v>0</v>
      </c>
      <c r="I321">
        <f>IF(Merge1[[#This Row],[Discrepancy]]&gt;=40,1,0)</f>
        <v>0</v>
      </c>
      <c r="J321" t="str">
        <f>IF(Merge1[[#This Row],[Year]]=2023,Merge1[[#This Row],[High Discrepancy2]],"")</f>
        <v/>
      </c>
      <c r="K32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1" s="1" t="str">
        <f ca="1">IF(Merge1[[#This Row],[Consecutive from 2023]]&gt;=5,"ALERT","")</f>
        <v/>
      </c>
    </row>
    <row r="322" spans="1:12" hidden="1" x14ac:dyDescent="0.35">
      <c r="A322" s="1" t="s">
        <v>71</v>
      </c>
      <c r="B322" s="1" t="s">
        <v>175</v>
      </c>
      <c r="C322" s="1" t="s">
        <v>34</v>
      </c>
      <c r="D322">
        <v>2011</v>
      </c>
      <c r="E322">
        <v>4.0999999999999996</v>
      </c>
      <c r="F322">
        <v>7.77</v>
      </c>
      <c r="G322">
        <v>3.67</v>
      </c>
      <c r="H322">
        <v>1</v>
      </c>
      <c r="I322">
        <f>IF(Merge1[[#This Row],[Discrepancy]]&gt;=40,1,0)</f>
        <v>0</v>
      </c>
      <c r="J322" t="str">
        <f>IF(Merge1[[#This Row],[Year]]=2023,Merge1[[#This Row],[High Discrepancy2]],"")</f>
        <v/>
      </c>
      <c r="K32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2" s="1" t="str">
        <f ca="1">IF(Merge1[[#This Row],[Consecutive from 2023]]&gt;=5,"ALERT","")</f>
        <v/>
      </c>
    </row>
    <row r="323" spans="1:12" hidden="1" x14ac:dyDescent="0.35">
      <c r="A323" s="1" t="s">
        <v>71</v>
      </c>
      <c r="B323" s="1" t="s">
        <v>175</v>
      </c>
      <c r="C323" s="1" t="s">
        <v>34</v>
      </c>
      <c r="D323">
        <v>2010</v>
      </c>
      <c r="E323">
        <v>5.3</v>
      </c>
      <c r="F323">
        <v>9.07</v>
      </c>
      <c r="G323">
        <v>3.7700000000000005</v>
      </c>
      <c r="H323">
        <v>1</v>
      </c>
      <c r="I323">
        <f>IF(Merge1[[#This Row],[Discrepancy]]&gt;=40,1,0)</f>
        <v>0</v>
      </c>
      <c r="J323" t="str">
        <f>IF(Merge1[[#This Row],[Year]]=2023,Merge1[[#This Row],[High Discrepancy2]],"")</f>
        <v/>
      </c>
      <c r="K32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3" s="1" t="str">
        <f ca="1">IF(Merge1[[#This Row],[Consecutive from 2023]]&gt;=5,"ALERT","")</f>
        <v/>
      </c>
    </row>
    <row r="324" spans="1:12" hidden="1" x14ac:dyDescent="0.35">
      <c r="A324" s="1" t="s">
        <v>83</v>
      </c>
      <c r="B324" s="1" t="s">
        <v>174</v>
      </c>
      <c r="C324" s="1" t="s">
        <v>34</v>
      </c>
      <c r="D324">
        <v>2012</v>
      </c>
      <c r="E324">
        <v>21.2</v>
      </c>
      <c r="F324">
        <v>99.84</v>
      </c>
      <c r="G324">
        <v>78.64</v>
      </c>
      <c r="H324">
        <v>1</v>
      </c>
      <c r="I324">
        <f>IF(Merge1[[#This Row],[Discrepancy]]&gt;=40,1,0)</f>
        <v>1</v>
      </c>
      <c r="J324" t="str">
        <f>IF(Merge1[[#This Row],[Year]]=2023,Merge1[[#This Row],[High Discrepancy2]],"")</f>
        <v/>
      </c>
      <c r="K32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4" s="1" t="str">
        <f ca="1">IF(Merge1[[#This Row],[Consecutive from 2023]]&gt;=5,"ALERT","")</f>
        <v/>
      </c>
    </row>
    <row r="325" spans="1:12" hidden="1" x14ac:dyDescent="0.35">
      <c r="A325" s="1" t="s">
        <v>83</v>
      </c>
      <c r="B325" s="1" t="s">
        <v>174</v>
      </c>
      <c r="C325" s="1" t="s">
        <v>34</v>
      </c>
      <c r="D325">
        <v>2011</v>
      </c>
      <c r="E325">
        <v>20.2</v>
      </c>
      <c r="F325">
        <v>99.87</v>
      </c>
      <c r="G325">
        <v>79.67</v>
      </c>
      <c r="H325">
        <v>1</v>
      </c>
      <c r="I325">
        <f>IF(Merge1[[#This Row],[Discrepancy]]&gt;=40,1,0)</f>
        <v>1</v>
      </c>
      <c r="J325" t="str">
        <f>IF(Merge1[[#This Row],[Year]]=2023,Merge1[[#This Row],[High Discrepancy2]],"")</f>
        <v/>
      </c>
      <c r="K32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5" s="1" t="str">
        <f ca="1">IF(Merge1[[#This Row],[Consecutive from 2023]]&gt;=5,"ALERT","")</f>
        <v/>
      </c>
    </row>
    <row r="326" spans="1:12" hidden="1" x14ac:dyDescent="0.35">
      <c r="A326" s="1" t="s">
        <v>83</v>
      </c>
      <c r="B326" s="1" t="s">
        <v>174</v>
      </c>
      <c r="C326" s="1" t="s">
        <v>34</v>
      </c>
      <c r="D326">
        <v>2010</v>
      </c>
      <c r="E326">
        <v>18.899999999999999</v>
      </c>
      <c r="F326">
        <v>99.89</v>
      </c>
      <c r="G326">
        <v>80.990000000000009</v>
      </c>
      <c r="H326">
        <v>1</v>
      </c>
      <c r="I326">
        <f>IF(Merge1[[#This Row],[Discrepancy]]&gt;=40,1,0)</f>
        <v>1</v>
      </c>
      <c r="J326" t="str">
        <f>IF(Merge1[[#This Row],[Year]]=2023,Merge1[[#This Row],[High Discrepancy2]],"")</f>
        <v/>
      </c>
      <c r="K32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6" s="1" t="str">
        <f ca="1">IF(Merge1[[#This Row],[Consecutive from 2023]]&gt;=5,"ALERT","")</f>
        <v/>
      </c>
    </row>
    <row r="327" spans="1:12" hidden="1" x14ac:dyDescent="0.35">
      <c r="A327" s="1" t="s">
        <v>91</v>
      </c>
      <c r="B327" s="1" t="s">
        <v>176</v>
      </c>
      <c r="C327" s="1" t="s">
        <v>31</v>
      </c>
      <c r="D327">
        <v>2023</v>
      </c>
      <c r="E327">
        <v>56.7</v>
      </c>
      <c r="F327">
        <v>90.36</v>
      </c>
      <c r="G327">
        <v>33.659999999999997</v>
      </c>
      <c r="H327">
        <v>1</v>
      </c>
      <c r="I327">
        <f>IF(Merge1[[#This Row],[Discrepancy]]&gt;=40,1,0)</f>
        <v>0</v>
      </c>
      <c r="J327">
        <f>IF(Merge1[[#This Row],[Year]]=2023,Merge1[[#This Row],[High Discrepancy2]],"")</f>
        <v>0</v>
      </c>
      <c r="K32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7" s="1" t="str">
        <f ca="1">IF(Merge1[[#This Row],[Consecutive from 2023]]&gt;=5,"ALERT","")</f>
        <v/>
      </c>
    </row>
    <row r="328" spans="1:12" hidden="1" x14ac:dyDescent="0.35">
      <c r="A328" s="1" t="s">
        <v>91</v>
      </c>
      <c r="B328" s="1" t="s">
        <v>176</v>
      </c>
      <c r="C328" s="1" t="s">
        <v>31</v>
      </c>
      <c r="D328">
        <v>2022</v>
      </c>
      <c r="E328">
        <v>56.2</v>
      </c>
      <c r="F328">
        <v>87.38</v>
      </c>
      <c r="G328">
        <v>31.179999999999993</v>
      </c>
      <c r="H328">
        <v>1</v>
      </c>
      <c r="I328">
        <f>IF(Merge1[[#This Row],[Discrepancy]]&gt;=40,1,0)</f>
        <v>0</v>
      </c>
      <c r="J328" t="str">
        <f>IF(Merge1[[#This Row],[Year]]=2023,Merge1[[#This Row],[High Discrepancy2]],"")</f>
        <v/>
      </c>
      <c r="K32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8" s="1" t="str">
        <f ca="1">IF(Merge1[[#This Row],[Consecutive from 2023]]&gt;=5,"ALERT","")</f>
        <v/>
      </c>
    </row>
    <row r="329" spans="1:12" hidden="1" x14ac:dyDescent="0.35">
      <c r="A329" s="1" t="s">
        <v>91</v>
      </c>
      <c r="B329" s="1" t="s">
        <v>176</v>
      </c>
      <c r="C329" s="1" t="s">
        <v>31</v>
      </c>
      <c r="D329">
        <v>2020</v>
      </c>
      <c r="E329">
        <v>52.3</v>
      </c>
      <c r="F329">
        <v>86.85</v>
      </c>
      <c r="G329">
        <v>34.549999999999997</v>
      </c>
      <c r="H329">
        <v>1</v>
      </c>
      <c r="I329">
        <f>IF(Merge1[[#This Row],[Discrepancy]]&gt;=40,1,0)</f>
        <v>0</v>
      </c>
      <c r="J329" t="str">
        <f>IF(Merge1[[#This Row],[Year]]=2023,Merge1[[#This Row],[High Discrepancy2]],"")</f>
        <v/>
      </c>
      <c r="K32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29" s="1" t="str">
        <f ca="1">IF(Merge1[[#This Row],[Consecutive from 2023]]&gt;=5,"ALERT","")</f>
        <v/>
      </c>
    </row>
    <row r="330" spans="1:12" hidden="1" x14ac:dyDescent="0.35">
      <c r="A330" s="1" t="s">
        <v>91</v>
      </c>
      <c r="B330" s="1" t="s">
        <v>176</v>
      </c>
      <c r="C330" s="1" t="s">
        <v>31</v>
      </c>
      <c r="D330">
        <v>2019</v>
      </c>
      <c r="E330">
        <v>53.3</v>
      </c>
      <c r="F330">
        <v>90.55</v>
      </c>
      <c r="G330">
        <v>37.25</v>
      </c>
      <c r="H330">
        <v>1</v>
      </c>
      <c r="I330">
        <f>IF(Merge1[[#This Row],[Discrepancy]]&gt;=40,1,0)</f>
        <v>0</v>
      </c>
      <c r="J330" t="str">
        <f>IF(Merge1[[#This Row],[Year]]=2023,Merge1[[#This Row],[High Discrepancy2]],"")</f>
        <v/>
      </c>
      <c r="K33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0" s="1" t="str">
        <f ca="1">IF(Merge1[[#This Row],[Consecutive from 2023]]&gt;=5,"ALERT","")</f>
        <v/>
      </c>
    </row>
    <row r="331" spans="1:12" hidden="1" x14ac:dyDescent="0.35">
      <c r="A331" s="1" t="s">
        <v>91</v>
      </c>
      <c r="B331" s="1" t="s">
        <v>176</v>
      </c>
      <c r="C331" s="1" t="s">
        <v>31</v>
      </c>
      <c r="D331">
        <v>2018</v>
      </c>
      <c r="E331">
        <v>52.3</v>
      </c>
      <c r="F331">
        <v>90.49</v>
      </c>
      <c r="G331">
        <v>38.19</v>
      </c>
      <c r="H331">
        <v>1</v>
      </c>
      <c r="I331">
        <f>IF(Merge1[[#This Row],[Discrepancy]]&gt;=40,1,0)</f>
        <v>0</v>
      </c>
      <c r="J331" t="str">
        <f>IF(Merge1[[#This Row],[Year]]=2023,Merge1[[#This Row],[High Discrepancy2]],"")</f>
        <v/>
      </c>
      <c r="K33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1" s="1" t="str">
        <f ca="1">IF(Merge1[[#This Row],[Consecutive from 2023]]&gt;=5,"ALERT","")</f>
        <v/>
      </c>
    </row>
    <row r="332" spans="1:12" hidden="1" x14ac:dyDescent="0.35">
      <c r="A332" s="1" t="s">
        <v>91</v>
      </c>
      <c r="B332" s="1" t="s">
        <v>176</v>
      </c>
      <c r="C332" s="1" t="s">
        <v>31</v>
      </c>
      <c r="D332">
        <v>2017</v>
      </c>
      <c r="E332">
        <v>52.5</v>
      </c>
      <c r="F332">
        <v>91.2</v>
      </c>
      <c r="G332">
        <v>38.700000000000003</v>
      </c>
      <c r="H332">
        <v>1</v>
      </c>
      <c r="I332">
        <f>IF(Merge1[[#This Row],[Discrepancy]]&gt;=40,1,0)</f>
        <v>0</v>
      </c>
      <c r="J332" t="str">
        <f>IF(Merge1[[#This Row],[Year]]=2023,Merge1[[#This Row],[High Discrepancy2]],"")</f>
        <v/>
      </c>
      <c r="K33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2" s="1" t="str">
        <f ca="1">IF(Merge1[[#This Row],[Consecutive from 2023]]&gt;=5,"ALERT","")</f>
        <v/>
      </c>
    </row>
    <row r="333" spans="1:12" hidden="1" x14ac:dyDescent="0.35">
      <c r="A333" s="1" t="s">
        <v>91</v>
      </c>
      <c r="B333" s="1" t="s">
        <v>176</v>
      </c>
      <c r="C333" s="1" t="s">
        <v>31</v>
      </c>
      <c r="D333">
        <v>2016</v>
      </c>
      <c r="E333">
        <v>49.7</v>
      </c>
      <c r="F333">
        <v>89.84</v>
      </c>
      <c r="G333">
        <v>40.14</v>
      </c>
      <c r="H333">
        <v>1</v>
      </c>
      <c r="I333">
        <f>IF(Merge1[[#This Row],[Discrepancy]]&gt;=40,1,0)</f>
        <v>1</v>
      </c>
      <c r="J333" t="str">
        <f>IF(Merge1[[#This Row],[Year]]=2023,Merge1[[#This Row],[High Discrepancy2]],"")</f>
        <v/>
      </c>
      <c r="K33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3" s="1" t="str">
        <f ca="1">IF(Merge1[[#This Row],[Consecutive from 2023]]&gt;=5,"ALERT","")</f>
        <v/>
      </c>
    </row>
    <row r="334" spans="1:12" hidden="1" x14ac:dyDescent="0.35">
      <c r="A334" s="1" t="s">
        <v>91</v>
      </c>
      <c r="B334" s="1" t="s">
        <v>176</v>
      </c>
      <c r="C334" s="1" t="s">
        <v>31</v>
      </c>
      <c r="D334">
        <v>2015</v>
      </c>
      <c r="E334">
        <v>51.6</v>
      </c>
      <c r="F334">
        <v>90.3</v>
      </c>
      <c r="G334">
        <v>38.699999999999996</v>
      </c>
      <c r="H334">
        <v>1</v>
      </c>
      <c r="I334">
        <f>IF(Merge1[[#This Row],[Discrepancy]]&gt;=40,1,0)</f>
        <v>0</v>
      </c>
      <c r="J334" t="str">
        <f>IF(Merge1[[#This Row],[Year]]=2023,Merge1[[#This Row],[High Discrepancy2]],"")</f>
        <v/>
      </c>
      <c r="K33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4" s="1" t="str">
        <f ca="1">IF(Merge1[[#This Row],[Consecutive from 2023]]&gt;=5,"ALERT","")</f>
        <v/>
      </c>
    </row>
    <row r="335" spans="1:12" hidden="1" x14ac:dyDescent="0.35">
      <c r="A335" s="1" t="s">
        <v>91</v>
      </c>
      <c r="B335" s="1" t="s">
        <v>176</v>
      </c>
      <c r="C335" s="1" t="s">
        <v>31</v>
      </c>
      <c r="D335">
        <v>2014</v>
      </c>
      <c r="E335">
        <v>48.4</v>
      </c>
      <c r="F335">
        <v>91.99</v>
      </c>
      <c r="G335">
        <v>43.589999999999996</v>
      </c>
      <c r="H335">
        <v>1</v>
      </c>
      <c r="I335">
        <f>IF(Merge1[[#This Row],[Discrepancy]]&gt;=40,1,0)</f>
        <v>1</v>
      </c>
      <c r="J335" t="str">
        <f>IF(Merge1[[#This Row],[Year]]=2023,Merge1[[#This Row],[High Discrepancy2]],"")</f>
        <v/>
      </c>
      <c r="K33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5" s="1" t="str">
        <f ca="1">IF(Merge1[[#This Row],[Consecutive from 2023]]&gt;=5,"ALERT","")</f>
        <v/>
      </c>
    </row>
    <row r="336" spans="1:12" hidden="1" x14ac:dyDescent="0.35">
      <c r="A336" s="1" t="s">
        <v>91</v>
      </c>
      <c r="B336" s="1" t="s">
        <v>176</v>
      </c>
      <c r="C336" s="1" t="s">
        <v>31</v>
      </c>
      <c r="D336">
        <v>2013</v>
      </c>
      <c r="E336">
        <v>47.4</v>
      </c>
      <c r="F336">
        <v>94.53</v>
      </c>
      <c r="G336">
        <v>47.13</v>
      </c>
      <c r="H336">
        <v>1</v>
      </c>
      <c r="I336">
        <f>IF(Merge1[[#This Row],[Discrepancy]]&gt;=40,1,0)</f>
        <v>1</v>
      </c>
      <c r="J336" t="str">
        <f>IF(Merge1[[#This Row],[Year]]=2023,Merge1[[#This Row],[High Discrepancy2]],"")</f>
        <v/>
      </c>
      <c r="K33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6" s="1" t="str">
        <f ca="1">IF(Merge1[[#This Row],[Consecutive from 2023]]&gt;=5,"ALERT","")</f>
        <v/>
      </c>
    </row>
    <row r="337" spans="1:12" hidden="1" x14ac:dyDescent="0.35">
      <c r="A337" s="1" t="s">
        <v>91</v>
      </c>
      <c r="B337" s="1" t="s">
        <v>176</v>
      </c>
      <c r="C337" s="1" t="s">
        <v>31</v>
      </c>
      <c r="D337">
        <v>2012</v>
      </c>
      <c r="E337">
        <v>46.4</v>
      </c>
      <c r="F337">
        <v>93.97</v>
      </c>
      <c r="G337">
        <v>47.57</v>
      </c>
      <c r="H337">
        <v>1</v>
      </c>
      <c r="I337">
        <f>IF(Merge1[[#This Row],[Discrepancy]]&gt;=40,1,0)</f>
        <v>1</v>
      </c>
      <c r="J337" t="str">
        <f>IF(Merge1[[#This Row],[Year]]=2023,Merge1[[#This Row],[High Discrepancy2]],"")</f>
        <v/>
      </c>
      <c r="K33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7" s="1" t="str">
        <f ca="1">IF(Merge1[[#This Row],[Consecutive from 2023]]&gt;=5,"ALERT","")</f>
        <v/>
      </c>
    </row>
    <row r="338" spans="1:12" hidden="1" x14ac:dyDescent="0.35">
      <c r="A338" s="1" t="s">
        <v>69</v>
      </c>
      <c r="B338" s="1" t="s">
        <v>174</v>
      </c>
      <c r="C338" s="1" t="s">
        <v>31</v>
      </c>
      <c r="D338">
        <v>2023</v>
      </c>
      <c r="E338">
        <v>76.2</v>
      </c>
      <c r="F338">
        <v>89.09</v>
      </c>
      <c r="G338">
        <v>12.89</v>
      </c>
      <c r="H338">
        <v>1</v>
      </c>
      <c r="I338">
        <f>IF(Merge1[[#This Row],[Discrepancy]]&gt;=40,1,0)</f>
        <v>0</v>
      </c>
      <c r="J338">
        <f>IF(Merge1[[#This Row],[Year]]=2023,Merge1[[#This Row],[High Discrepancy2]],"")</f>
        <v>0</v>
      </c>
      <c r="K33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8" s="1" t="str">
        <f ca="1">IF(Merge1[[#This Row],[Consecutive from 2023]]&gt;=5,"ALERT","")</f>
        <v/>
      </c>
    </row>
    <row r="339" spans="1:12" hidden="1" x14ac:dyDescent="0.35">
      <c r="A339" s="1" t="s">
        <v>69</v>
      </c>
      <c r="B339" s="1" t="s">
        <v>174</v>
      </c>
      <c r="C339" s="1" t="s">
        <v>31</v>
      </c>
      <c r="D339">
        <v>2022</v>
      </c>
      <c r="E339">
        <v>76</v>
      </c>
      <c r="F339">
        <v>86.32</v>
      </c>
      <c r="G339">
        <v>10.319999999999993</v>
      </c>
      <c r="H339">
        <v>1</v>
      </c>
      <c r="I339">
        <f>IF(Merge1[[#This Row],[Discrepancy]]&gt;=40,1,0)</f>
        <v>0</v>
      </c>
      <c r="J339" t="str">
        <f>IF(Merge1[[#This Row],[Year]]=2023,Merge1[[#This Row],[High Discrepancy2]],"")</f>
        <v/>
      </c>
      <c r="K33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39" s="1" t="str">
        <f ca="1">IF(Merge1[[#This Row],[Consecutive from 2023]]&gt;=5,"ALERT","")</f>
        <v/>
      </c>
    </row>
    <row r="340" spans="1:12" hidden="1" x14ac:dyDescent="0.35">
      <c r="A340" s="1" t="s">
        <v>69</v>
      </c>
      <c r="B340" s="1" t="s">
        <v>174</v>
      </c>
      <c r="C340" s="1" t="s">
        <v>31</v>
      </c>
      <c r="D340">
        <v>2021</v>
      </c>
      <c r="E340">
        <v>76.5</v>
      </c>
      <c r="F340">
        <v>88.22</v>
      </c>
      <c r="G340">
        <v>11.719999999999999</v>
      </c>
      <c r="H340">
        <v>1</v>
      </c>
      <c r="I340">
        <f>IF(Merge1[[#This Row],[Discrepancy]]&gt;=40,1,0)</f>
        <v>0</v>
      </c>
      <c r="J340" t="str">
        <f>IF(Merge1[[#This Row],[Year]]=2023,Merge1[[#This Row],[High Discrepancy2]],"")</f>
        <v/>
      </c>
      <c r="K34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0" s="1" t="str">
        <f ca="1">IF(Merge1[[#This Row],[Consecutive from 2023]]&gt;=5,"ALERT","")</f>
        <v/>
      </c>
    </row>
    <row r="341" spans="1:12" hidden="1" x14ac:dyDescent="0.35">
      <c r="A341" s="1" t="s">
        <v>69</v>
      </c>
      <c r="B341" s="1" t="s">
        <v>174</v>
      </c>
      <c r="C341" s="1" t="s">
        <v>31</v>
      </c>
      <c r="D341">
        <v>2020</v>
      </c>
      <c r="E341">
        <v>71.5</v>
      </c>
      <c r="F341">
        <v>91.46</v>
      </c>
      <c r="G341">
        <v>19.959999999999994</v>
      </c>
      <c r="H341">
        <v>1</v>
      </c>
      <c r="I341">
        <f>IF(Merge1[[#This Row],[Discrepancy]]&gt;=40,1,0)</f>
        <v>0</v>
      </c>
      <c r="J341" t="str">
        <f>IF(Merge1[[#This Row],[Year]]=2023,Merge1[[#This Row],[High Discrepancy2]],"")</f>
        <v/>
      </c>
      <c r="K34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1" s="1" t="str">
        <f ca="1">IF(Merge1[[#This Row],[Consecutive from 2023]]&gt;=5,"ALERT","")</f>
        <v/>
      </c>
    </row>
    <row r="342" spans="1:12" hidden="1" x14ac:dyDescent="0.35">
      <c r="A342" s="1" t="s">
        <v>69</v>
      </c>
      <c r="B342" s="1" t="s">
        <v>174</v>
      </c>
      <c r="C342" s="1" t="s">
        <v>31</v>
      </c>
      <c r="D342">
        <v>2019</v>
      </c>
      <c r="E342">
        <v>69.7</v>
      </c>
      <c r="F342">
        <v>89.64</v>
      </c>
      <c r="G342">
        <v>19.939999999999998</v>
      </c>
      <c r="H342">
        <v>1</v>
      </c>
      <c r="I342">
        <f>IF(Merge1[[#This Row],[Discrepancy]]&gt;=40,1,0)</f>
        <v>0</v>
      </c>
      <c r="J342" t="str">
        <f>IF(Merge1[[#This Row],[Year]]=2023,Merge1[[#This Row],[High Discrepancy2]],"")</f>
        <v/>
      </c>
      <c r="K34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2" s="1" t="str">
        <f ca="1">IF(Merge1[[#This Row],[Consecutive from 2023]]&gt;=5,"ALERT","")</f>
        <v/>
      </c>
    </row>
    <row r="343" spans="1:12" hidden="1" x14ac:dyDescent="0.35">
      <c r="A343" s="1" t="s">
        <v>69</v>
      </c>
      <c r="B343" s="1" t="s">
        <v>174</v>
      </c>
      <c r="C343" s="1" t="s">
        <v>31</v>
      </c>
      <c r="D343">
        <v>2018</v>
      </c>
      <c r="E343">
        <v>61.2</v>
      </c>
      <c r="F343">
        <v>83.68</v>
      </c>
      <c r="G343">
        <v>22.480000000000004</v>
      </c>
      <c r="H343">
        <v>1</v>
      </c>
      <c r="I343">
        <f>IF(Merge1[[#This Row],[Discrepancy]]&gt;=40,1,0)</f>
        <v>0</v>
      </c>
      <c r="J343" t="str">
        <f>IF(Merge1[[#This Row],[Year]]=2023,Merge1[[#This Row],[High Discrepancy2]],"")</f>
        <v/>
      </c>
      <c r="K34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3" s="1" t="str">
        <f ca="1">IF(Merge1[[#This Row],[Consecutive from 2023]]&gt;=5,"ALERT","")</f>
        <v/>
      </c>
    </row>
    <row r="344" spans="1:12" hidden="1" x14ac:dyDescent="0.35">
      <c r="A344" s="1" t="s">
        <v>69</v>
      </c>
      <c r="B344" s="1" t="s">
        <v>174</v>
      </c>
      <c r="C344" s="1" t="s">
        <v>31</v>
      </c>
      <c r="D344">
        <v>2017</v>
      </c>
      <c r="E344">
        <v>55.8</v>
      </c>
      <c r="F344">
        <v>79.33</v>
      </c>
      <c r="G344">
        <v>23.53</v>
      </c>
      <c r="H344">
        <v>1</v>
      </c>
      <c r="I344">
        <f>IF(Merge1[[#This Row],[Discrepancy]]&gt;=40,1,0)</f>
        <v>0</v>
      </c>
      <c r="J344" t="str">
        <f>IF(Merge1[[#This Row],[Year]]=2023,Merge1[[#This Row],[High Discrepancy2]],"")</f>
        <v/>
      </c>
      <c r="K34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4" s="1" t="str">
        <f ca="1">IF(Merge1[[#This Row],[Consecutive from 2023]]&gt;=5,"ALERT","")</f>
        <v/>
      </c>
    </row>
    <row r="345" spans="1:12" hidden="1" x14ac:dyDescent="0.35">
      <c r="A345" s="1" t="s">
        <v>69</v>
      </c>
      <c r="B345" s="1" t="s">
        <v>174</v>
      </c>
      <c r="C345" s="1" t="s">
        <v>31</v>
      </c>
      <c r="D345">
        <v>2016</v>
      </c>
      <c r="E345">
        <v>53.1</v>
      </c>
      <c r="F345">
        <v>82.52</v>
      </c>
      <c r="G345">
        <v>29.419999999999995</v>
      </c>
      <c r="H345">
        <v>1</v>
      </c>
      <c r="I345">
        <f>IF(Merge1[[#This Row],[Discrepancy]]&gt;=40,1,0)</f>
        <v>0</v>
      </c>
      <c r="J345" t="str">
        <f>IF(Merge1[[#This Row],[Year]]=2023,Merge1[[#This Row],[High Discrepancy2]],"")</f>
        <v/>
      </c>
      <c r="K34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5" s="1" t="str">
        <f ca="1">IF(Merge1[[#This Row],[Consecutive from 2023]]&gt;=5,"ALERT","")</f>
        <v/>
      </c>
    </row>
    <row r="346" spans="1:12" hidden="1" x14ac:dyDescent="0.35">
      <c r="A346" s="1" t="s">
        <v>91</v>
      </c>
      <c r="B346" s="1" t="s">
        <v>176</v>
      </c>
      <c r="C346" s="1" t="s">
        <v>31</v>
      </c>
      <c r="D346">
        <v>2011</v>
      </c>
      <c r="E346">
        <v>42.3</v>
      </c>
      <c r="F346">
        <v>95.17</v>
      </c>
      <c r="G346">
        <v>52.870000000000005</v>
      </c>
      <c r="H346">
        <v>1</v>
      </c>
      <c r="I346">
        <f>IF(Merge1[[#This Row],[Discrepancy]]&gt;=40,1,0)</f>
        <v>1</v>
      </c>
      <c r="J346" t="str">
        <f>IF(Merge1[[#This Row],[Year]]=2023,Merge1[[#This Row],[High Discrepancy2]],"")</f>
        <v/>
      </c>
      <c r="K34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6" s="1" t="str">
        <f ca="1">IF(Merge1[[#This Row],[Consecutive from 2023]]&gt;=5,"ALERT","")</f>
        <v/>
      </c>
    </row>
    <row r="347" spans="1:12" hidden="1" x14ac:dyDescent="0.35">
      <c r="A347" s="1" t="s">
        <v>91</v>
      </c>
      <c r="B347" s="1" t="s">
        <v>176</v>
      </c>
      <c r="C347" s="1" t="s">
        <v>31</v>
      </c>
      <c r="D347">
        <v>2010</v>
      </c>
      <c r="E347">
        <v>44.4</v>
      </c>
      <c r="F347">
        <v>93.58</v>
      </c>
      <c r="G347">
        <v>49.18</v>
      </c>
      <c r="H347">
        <v>1</v>
      </c>
      <c r="I347">
        <f>IF(Merge1[[#This Row],[Discrepancy]]&gt;=40,1,0)</f>
        <v>1</v>
      </c>
      <c r="J347" t="str">
        <f>IF(Merge1[[#This Row],[Year]]=2023,Merge1[[#This Row],[High Discrepancy2]],"")</f>
        <v/>
      </c>
      <c r="K34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7" s="1" t="str">
        <f ca="1">IF(Merge1[[#This Row],[Consecutive from 2023]]&gt;=5,"ALERT","")</f>
        <v/>
      </c>
    </row>
    <row r="348" spans="1:12" hidden="1" x14ac:dyDescent="0.35">
      <c r="A348" s="1" t="s">
        <v>97</v>
      </c>
      <c r="B348" s="1" t="s">
        <v>174</v>
      </c>
      <c r="C348" s="1" t="s">
        <v>34</v>
      </c>
      <c r="D348">
        <v>2015</v>
      </c>
      <c r="E348">
        <v>22.8</v>
      </c>
      <c r="F348">
        <v>60.5</v>
      </c>
      <c r="G348">
        <v>37.700000000000003</v>
      </c>
      <c r="H348">
        <v>1</v>
      </c>
      <c r="I348">
        <f>IF(Merge1[[#This Row],[Discrepancy]]&gt;=40,1,0)</f>
        <v>0</v>
      </c>
      <c r="J348" t="str">
        <f>IF(Merge1[[#This Row],[Year]]=2023,Merge1[[#This Row],[High Discrepancy2]],"")</f>
        <v/>
      </c>
      <c r="K34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8" s="1" t="str">
        <f ca="1">IF(Merge1[[#This Row],[Consecutive from 2023]]&gt;=5,"ALERT","")</f>
        <v/>
      </c>
    </row>
    <row r="349" spans="1:12" hidden="1" x14ac:dyDescent="0.35">
      <c r="A349" s="1" t="s">
        <v>97</v>
      </c>
      <c r="B349" s="1" t="s">
        <v>174</v>
      </c>
      <c r="C349" s="1" t="s">
        <v>34</v>
      </c>
      <c r="D349">
        <v>2014</v>
      </c>
      <c r="E349">
        <v>19.8</v>
      </c>
      <c r="F349">
        <v>53.22</v>
      </c>
      <c r="G349">
        <v>33.42</v>
      </c>
      <c r="H349">
        <v>1</v>
      </c>
      <c r="I349">
        <f>IF(Merge1[[#This Row],[Discrepancy]]&gt;=40,1,0)</f>
        <v>0</v>
      </c>
      <c r="J349" t="str">
        <f>IF(Merge1[[#This Row],[Year]]=2023,Merge1[[#This Row],[High Discrepancy2]],"")</f>
        <v/>
      </c>
      <c r="K34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49" s="1" t="str">
        <f ca="1">IF(Merge1[[#This Row],[Consecutive from 2023]]&gt;=5,"ALERT","")</f>
        <v/>
      </c>
    </row>
    <row r="350" spans="1:12" hidden="1" x14ac:dyDescent="0.35">
      <c r="A350" s="1" t="s">
        <v>97</v>
      </c>
      <c r="B350" s="1" t="s">
        <v>174</v>
      </c>
      <c r="C350" s="1" t="s">
        <v>34</v>
      </c>
      <c r="D350">
        <v>2013</v>
      </c>
      <c r="E350">
        <v>15.2</v>
      </c>
      <c r="F350">
        <v>48.27</v>
      </c>
      <c r="G350">
        <v>33.070000000000007</v>
      </c>
      <c r="H350">
        <v>1</v>
      </c>
      <c r="I350">
        <f>IF(Merge1[[#This Row],[Discrepancy]]&gt;=40,1,0)</f>
        <v>0</v>
      </c>
      <c r="J350" t="str">
        <f>IF(Merge1[[#This Row],[Year]]=2023,Merge1[[#This Row],[High Discrepancy2]],"")</f>
        <v/>
      </c>
      <c r="K35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0" s="1" t="str">
        <f ca="1">IF(Merge1[[#This Row],[Consecutive from 2023]]&gt;=5,"ALERT","")</f>
        <v/>
      </c>
    </row>
    <row r="351" spans="1:12" hidden="1" x14ac:dyDescent="0.35">
      <c r="A351" s="1" t="s">
        <v>97</v>
      </c>
      <c r="B351" s="1" t="s">
        <v>174</v>
      </c>
      <c r="C351" s="1" t="s">
        <v>34</v>
      </c>
      <c r="D351">
        <v>2012</v>
      </c>
      <c r="E351">
        <v>17.5</v>
      </c>
      <c r="F351">
        <v>56.4</v>
      </c>
      <c r="G351">
        <v>38.9</v>
      </c>
      <c r="H351">
        <v>1</v>
      </c>
      <c r="I351">
        <f>IF(Merge1[[#This Row],[Discrepancy]]&gt;=40,1,0)</f>
        <v>0</v>
      </c>
      <c r="J351" t="str">
        <f>IF(Merge1[[#This Row],[Year]]=2023,Merge1[[#This Row],[High Discrepancy2]],"")</f>
        <v/>
      </c>
      <c r="K35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1" s="1" t="str">
        <f ca="1">IF(Merge1[[#This Row],[Consecutive from 2023]]&gt;=5,"ALERT","")</f>
        <v/>
      </c>
    </row>
    <row r="352" spans="1:12" hidden="1" x14ac:dyDescent="0.35">
      <c r="A352" s="1" t="s">
        <v>65</v>
      </c>
      <c r="B352" s="1" t="s">
        <v>175</v>
      </c>
      <c r="C352" s="1" t="s">
        <v>34</v>
      </c>
      <c r="D352">
        <v>2023</v>
      </c>
      <c r="E352">
        <v>40.5</v>
      </c>
      <c r="F352">
        <v>11.43</v>
      </c>
      <c r="G352">
        <v>-29.07</v>
      </c>
      <c r="H352">
        <v>0</v>
      </c>
      <c r="I352">
        <f>IF(Merge1[[#This Row],[Discrepancy]]&gt;=40,1,0)</f>
        <v>0</v>
      </c>
      <c r="J352">
        <f>IF(Merge1[[#This Row],[Year]]=2023,Merge1[[#This Row],[High Discrepancy2]],"")</f>
        <v>0</v>
      </c>
      <c r="K35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2" s="1" t="str">
        <f ca="1">IF(Merge1[[#This Row],[Consecutive from 2023]]&gt;=5,"ALERT","")</f>
        <v/>
      </c>
    </row>
    <row r="353" spans="1:12" hidden="1" x14ac:dyDescent="0.35">
      <c r="A353" s="1" t="s">
        <v>65</v>
      </c>
      <c r="B353" s="1" t="s">
        <v>175</v>
      </c>
      <c r="C353" s="1" t="s">
        <v>34</v>
      </c>
      <c r="D353">
        <v>2022</v>
      </c>
      <c r="E353">
        <v>37.4</v>
      </c>
      <c r="F353">
        <v>10.52</v>
      </c>
      <c r="G353">
        <v>-26.88</v>
      </c>
      <c r="H353">
        <v>0</v>
      </c>
      <c r="I353">
        <f>IF(Merge1[[#This Row],[Discrepancy]]&gt;=40,1,0)</f>
        <v>0</v>
      </c>
      <c r="J353" t="str">
        <f>IF(Merge1[[#This Row],[Year]]=2023,Merge1[[#This Row],[High Discrepancy2]],"")</f>
        <v/>
      </c>
      <c r="K35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3" s="1" t="str">
        <f ca="1">IF(Merge1[[#This Row],[Consecutive from 2023]]&gt;=5,"ALERT","")</f>
        <v/>
      </c>
    </row>
    <row r="354" spans="1:12" hidden="1" x14ac:dyDescent="0.35">
      <c r="A354" s="1" t="s">
        <v>65</v>
      </c>
      <c r="B354" s="1" t="s">
        <v>175</v>
      </c>
      <c r="C354" s="1" t="s">
        <v>34</v>
      </c>
      <c r="D354">
        <v>2021</v>
      </c>
      <c r="E354">
        <v>35.799999999999997</v>
      </c>
      <c r="F354">
        <v>11.8</v>
      </c>
      <c r="G354">
        <v>-23.999999999999996</v>
      </c>
      <c r="H354">
        <v>0</v>
      </c>
      <c r="I354">
        <f>IF(Merge1[[#This Row],[Discrepancy]]&gt;=40,1,0)</f>
        <v>0</v>
      </c>
      <c r="J354" t="str">
        <f>IF(Merge1[[#This Row],[Year]]=2023,Merge1[[#This Row],[High Discrepancy2]],"")</f>
        <v/>
      </c>
      <c r="K35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4" s="1" t="str">
        <f ca="1">IF(Merge1[[#This Row],[Consecutive from 2023]]&gt;=5,"ALERT","")</f>
        <v/>
      </c>
    </row>
    <row r="355" spans="1:12" hidden="1" x14ac:dyDescent="0.35">
      <c r="A355" s="1" t="s">
        <v>65</v>
      </c>
      <c r="B355" s="1" t="s">
        <v>175</v>
      </c>
      <c r="C355" s="1" t="s">
        <v>34</v>
      </c>
      <c r="D355">
        <v>2020</v>
      </c>
      <c r="E355">
        <v>33.4</v>
      </c>
      <c r="F355">
        <v>10.3</v>
      </c>
      <c r="G355">
        <v>-23.099999999999998</v>
      </c>
      <c r="H355">
        <v>0</v>
      </c>
      <c r="I355">
        <f>IF(Merge1[[#This Row],[Discrepancy]]&gt;=40,1,0)</f>
        <v>0</v>
      </c>
      <c r="J355" t="str">
        <f>IF(Merge1[[#This Row],[Year]]=2023,Merge1[[#This Row],[High Discrepancy2]],"")</f>
        <v/>
      </c>
      <c r="K35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5" s="1" t="str">
        <f ca="1">IF(Merge1[[#This Row],[Consecutive from 2023]]&gt;=5,"ALERT","")</f>
        <v/>
      </c>
    </row>
    <row r="356" spans="1:12" hidden="1" x14ac:dyDescent="0.35">
      <c r="A356" s="1" t="s">
        <v>65</v>
      </c>
      <c r="B356" s="1" t="s">
        <v>175</v>
      </c>
      <c r="C356" s="1" t="s">
        <v>34</v>
      </c>
      <c r="D356">
        <v>2019</v>
      </c>
      <c r="E356">
        <v>30.9</v>
      </c>
      <c r="F356">
        <v>10.62</v>
      </c>
      <c r="G356">
        <v>-20.28</v>
      </c>
      <c r="H356">
        <v>0</v>
      </c>
      <c r="I356">
        <f>IF(Merge1[[#This Row],[Discrepancy]]&gt;=40,1,0)</f>
        <v>0</v>
      </c>
      <c r="J356" t="str">
        <f>IF(Merge1[[#This Row],[Year]]=2023,Merge1[[#This Row],[High Discrepancy2]],"")</f>
        <v/>
      </c>
      <c r="K35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6" s="1" t="str">
        <f ca="1">IF(Merge1[[#This Row],[Consecutive from 2023]]&gt;=5,"ALERT","")</f>
        <v/>
      </c>
    </row>
    <row r="357" spans="1:12" hidden="1" x14ac:dyDescent="0.35">
      <c r="A357" s="1" t="s">
        <v>65</v>
      </c>
      <c r="B357" s="1" t="s">
        <v>175</v>
      </c>
      <c r="C357" s="1" t="s">
        <v>34</v>
      </c>
      <c r="D357">
        <v>2018</v>
      </c>
      <c r="E357">
        <v>28.4</v>
      </c>
      <c r="F357">
        <v>10.64</v>
      </c>
      <c r="G357">
        <v>-17.759999999999998</v>
      </c>
      <c r="H357">
        <v>0</v>
      </c>
      <c r="I357">
        <f>IF(Merge1[[#This Row],[Discrepancy]]&gt;=40,1,0)</f>
        <v>0</v>
      </c>
      <c r="J357" t="str">
        <f>IF(Merge1[[#This Row],[Year]]=2023,Merge1[[#This Row],[High Discrepancy2]],"")</f>
        <v/>
      </c>
      <c r="K35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7" s="1" t="str">
        <f ca="1">IF(Merge1[[#This Row],[Consecutive from 2023]]&gt;=5,"ALERT","")</f>
        <v/>
      </c>
    </row>
    <row r="358" spans="1:12" hidden="1" x14ac:dyDescent="0.35">
      <c r="A358" s="1" t="s">
        <v>65</v>
      </c>
      <c r="B358" s="1" t="s">
        <v>175</v>
      </c>
      <c r="C358" s="1" t="s">
        <v>34</v>
      </c>
      <c r="D358">
        <v>2017</v>
      </c>
      <c r="E358">
        <v>26</v>
      </c>
      <c r="F358">
        <v>5.81</v>
      </c>
      <c r="G358">
        <v>-20.190000000000001</v>
      </c>
      <c r="H358">
        <v>0</v>
      </c>
      <c r="I358">
        <f>IF(Merge1[[#This Row],[Discrepancy]]&gt;=40,1,0)</f>
        <v>0</v>
      </c>
      <c r="J358" t="str">
        <f>IF(Merge1[[#This Row],[Year]]=2023,Merge1[[#This Row],[High Discrepancy2]],"")</f>
        <v/>
      </c>
      <c r="K35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8" s="1" t="str">
        <f ca="1">IF(Merge1[[#This Row],[Consecutive from 2023]]&gt;=5,"ALERT","")</f>
        <v/>
      </c>
    </row>
    <row r="359" spans="1:12" hidden="1" x14ac:dyDescent="0.35">
      <c r="A359" s="1" t="s">
        <v>65</v>
      </c>
      <c r="B359" s="1" t="s">
        <v>175</v>
      </c>
      <c r="C359" s="1" t="s">
        <v>34</v>
      </c>
      <c r="D359">
        <v>2016</v>
      </c>
      <c r="E359">
        <v>22.9</v>
      </c>
      <c r="F359">
        <v>4.38</v>
      </c>
      <c r="G359">
        <v>-18.52</v>
      </c>
      <c r="H359">
        <v>0</v>
      </c>
      <c r="I359">
        <f>IF(Merge1[[#This Row],[Discrepancy]]&gt;=40,1,0)</f>
        <v>0</v>
      </c>
      <c r="J359" t="str">
        <f>IF(Merge1[[#This Row],[Year]]=2023,Merge1[[#This Row],[High Discrepancy2]],"")</f>
        <v/>
      </c>
      <c r="K35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59" s="1" t="str">
        <f ca="1">IF(Merge1[[#This Row],[Consecutive from 2023]]&gt;=5,"ALERT","")</f>
        <v/>
      </c>
    </row>
    <row r="360" spans="1:12" hidden="1" x14ac:dyDescent="0.35">
      <c r="A360" s="1" t="s">
        <v>65</v>
      </c>
      <c r="B360" s="1" t="s">
        <v>175</v>
      </c>
      <c r="C360" s="1" t="s">
        <v>34</v>
      </c>
      <c r="D360">
        <v>2015</v>
      </c>
      <c r="E360">
        <v>20.100000000000001</v>
      </c>
      <c r="F360">
        <v>1.1599999999999999</v>
      </c>
      <c r="G360">
        <v>-18.940000000000001</v>
      </c>
      <c r="H360">
        <v>0</v>
      </c>
      <c r="I360">
        <f>IF(Merge1[[#This Row],[Discrepancy]]&gt;=40,1,0)</f>
        <v>0</v>
      </c>
      <c r="J360" t="str">
        <f>IF(Merge1[[#This Row],[Year]]=2023,Merge1[[#This Row],[High Discrepancy2]],"")</f>
        <v/>
      </c>
      <c r="K36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0" s="1" t="str">
        <f ca="1">IF(Merge1[[#This Row],[Consecutive from 2023]]&gt;=5,"ALERT","")</f>
        <v/>
      </c>
    </row>
    <row r="361" spans="1:12" hidden="1" x14ac:dyDescent="0.35">
      <c r="A361" s="1" t="s">
        <v>65</v>
      </c>
      <c r="B361" s="1" t="s">
        <v>175</v>
      </c>
      <c r="C361" s="1" t="s">
        <v>34</v>
      </c>
      <c r="D361">
        <v>2014</v>
      </c>
      <c r="E361">
        <v>17.2</v>
      </c>
      <c r="F361">
        <v>0</v>
      </c>
      <c r="G361">
        <v>-17.2</v>
      </c>
      <c r="H361">
        <v>0</v>
      </c>
      <c r="I361">
        <f>IF(Merge1[[#This Row],[Discrepancy]]&gt;=40,1,0)</f>
        <v>0</v>
      </c>
      <c r="J361" t="str">
        <f>IF(Merge1[[#This Row],[Year]]=2023,Merge1[[#This Row],[High Discrepancy2]],"")</f>
        <v/>
      </c>
      <c r="K36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1" s="1" t="str">
        <f ca="1">IF(Merge1[[#This Row],[Consecutive from 2023]]&gt;=5,"ALERT","")</f>
        <v/>
      </c>
    </row>
    <row r="362" spans="1:12" hidden="1" x14ac:dyDescent="0.35">
      <c r="A362" s="1" t="s">
        <v>65</v>
      </c>
      <c r="B362" s="1" t="s">
        <v>175</v>
      </c>
      <c r="C362" s="1" t="s">
        <v>34</v>
      </c>
      <c r="D362">
        <v>2013</v>
      </c>
      <c r="E362">
        <v>16.3</v>
      </c>
      <c r="F362" t="s">
        <v>136</v>
      </c>
      <c r="I362">
        <f>IF(Merge1[[#This Row],[Discrepancy]]&gt;=40,1,0)</f>
        <v>0</v>
      </c>
      <c r="J362" t="str">
        <f>IF(Merge1[[#This Row],[Year]]=2023,Merge1[[#This Row],[High Discrepancy2]],"")</f>
        <v/>
      </c>
      <c r="K36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2" s="1" t="str">
        <f ca="1">IF(Merge1[[#This Row],[Consecutive from 2023]]&gt;=5,"ALERT","")</f>
        <v/>
      </c>
    </row>
    <row r="363" spans="1:12" hidden="1" x14ac:dyDescent="0.35">
      <c r="A363" s="1" t="s">
        <v>65</v>
      </c>
      <c r="B363" s="1" t="s">
        <v>175</v>
      </c>
      <c r="C363" s="1" t="s">
        <v>34</v>
      </c>
      <c r="D363">
        <v>2012</v>
      </c>
      <c r="E363">
        <v>14.9</v>
      </c>
      <c r="F363" t="s">
        <v>136</v>
      </c>
      <c r="I363">
        <f>IF(Merge1[[#This Row],[Discrepancy]]&gt;=40,1,0)</f>
        <v>0</v>
      </c>
      <c r="J363" t="str">
        <f>IF(Merge1[[#This Row],[Year]]=2023,Merge1[[#This Row],[High Discrepancy2]],"")</f>
        <v/>
      </c>
      <c r="K36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3" s="1" t="str">
        <f ca="1">IF(Merge1[[#This Row],[Consecutive from 2023]]&gt;=5,"ALERT","")</f>
        <v/>
      </c>
    </row>
    <row r="364" spans="1:12" hidden="1" x14ac:dyDescent="0.35">
      <c r="A364" s="1" t="s">
        <v>65</v>
      </c>
      <c r="B364" s="1" t="s">
        <v>175</v>
      </c>
      <c r="C364" s="1" t="s">
        <v>34</v>
      </c>
      <c r="D364">
        <v>2011</v>
      </c>
      <c r="E364">
        <v>13.5</v>
      </c>
      <c r="F364" t="s">
        <v>136</v>
      </c>
      <c r="I364">
        <f>IF(Merge1[[#This Row],[Discrepancy]]&gt;=40,1,0)</f>
        <v>0</v>
      </c>
      <c r="J364" t="str">
        <f>IF(Merge1[[#This Row],[Year]]=2023,Merge1[[#This Row],[High Discrepancy2]],"")</f>
        <v/>
      </c>
      <c r="K36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4" s="1" t="str">
        <f ca="1">IF(Merge1[[#This Row],[Consecutive from 2023]]&gt;=5,"ALERT","")</f>
        <v/>
      </c>
    </row>
    <row r="365" spans="1:12" hidden="1" x14ac:dyDescent="0.35">
      <c r="A365" s="1" t="s">
        <v>65</v>
      </c>
      <c r="B365" s="1" t="s">
        <v>175</v>
      </c>
      <c r="C365" s="1" t="s">
        <v>34</v>
      </c>
      <c r="D365">
        <v>2010</v>
      </c>
      <c r="E365">
        <v>6</v>
      </c>
      <c r="F365" t="s">
        <v>136</v>
      </c>
      <c r="I365">
        <f>IF(Merge1[[#This Row],[Discrepancy]]&gt;=40,1,0)</f>
        <v>0</v>
      </c>
      <c r="J365" t="str">
        <f>IF(Merge1[[#This Row],[Year]]=2023,Merge1[[#This Row],[High Discrepancy2]],"")</f>
        <v/>
      </c>
      <c r="K36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5" s="1" t="str">
        <f ca="1">IF(Merge1[[#This Row],[Consecutive from 2023]]&gt;=5,"ALERT","")</f>
        <v/>
      </c>
    </row>
    <row r="366" spans="1:12" hidden="1" x14ac:dyDescent="0.35">
      <c r="A366" s="1" t="s">
        <v>97</v>
      </c>
      <c r="B366" s="1" t="s">
        <v>174</v>
      </c>
      <c r="C366" s="1" t="s">
        <v>34</v>
      </c>
      <c r="D366">
        <v>2011</v>
      </c>
      <c r="E366">
        <v>10.8</v>
      </c>
      <c r="F366">
        <v>53.5</v>
      </c>
      <c r="G366">
        <v>42.7</v>
      </c>
      <c r="H366">
        <v>1</v>
      </c>
      <c r="I366">
        <f>IF(Merge1[[#This Row],[Discrepancy]]&gt;=40,1,0)</f>
        <v>1</v>
      </c>
      <c r="J366" t="str">
        <f>IF(Merge1[[#This Row],[Year]]=2023,Merge1[[#This Row],[High Discrepancy2]],"")</f>
        <v/>
      </c>
      <c r="K36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6" s="1" t="str">
        <f ca="1">IF(Merge1[[#This Row],[Consecutive from 2023]]&gt;=5,"ALERT","")</f>
        <v/>
      </c>
    </row>
    <row r="367" spans="1:12" hidden="1" x14ac:dyDescent="0.35">
      <c r="A367" s="1" t="s">
        <v>97</v>
      </c>
      <c r="B367" s="1" t="s">
        <v>174</v>
      </c>
      <c r="C367" s="1" t="s">
        <v>34</v>
      </c>
      <c r="D367">
        <v>2010</v>
      </c>
      <c r="E367">
        <v>9.6999999999999993</v>
      </c>
      <c r="F367">
        <v>53.44</v>
      </c>
      <c r="G367">
        <v>43.739999999999995</v>
      </c>
      <c r="H367">
        <v>1</v>
      </c>
      <c r="I367">
        <f>IF(Merge1[[#This Row],[Discrepancy]]&gt;=40,1,0)</f>
        <v>1</v>
      </c>
      <c r="J367" t="str">
        <f>IF(Merge1[[#This Row],[Year]]=2023,Merge1[[#This Row],[High Discrepancy2]],"")</f>
        <v/>
      </c>
      <c r="K36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7" s="1" t="str">
        <f ca="1">IF(Merge1[[#This Row],[Consecutive from 2023]]&gt;=5,"ALERT","")</f>
        <v/>
      </c>
    </row>
    <row r="368" spans="1:12" hidden="1" x14ac:dyDescent="0.35">
      <c r="A368" s="1" t="s">
        <v>107</v>
      </c>
      <c r="B368" s="1" t="s">
        <v>172</v>
      </c>
      <c r="C368" s="1" t="s">
        <v>31</v>
      </c>
      <c r="D368">
        <v>2012</v>
      </c>
      <c r="E368">
        <v>57.9</v>
      </c>
      <c r="F368">
        <v>91.69</v>
      </c>
      <c r="G368">
        <v>33.79</v>
      </c>
      <c r="H368">
        <v>1</v>
      </c>
      <c r="I368">
        <f>IF(Merge1[[#This Row],[Discrepancy]]&gt;=40,1,0)</f>
        <v>0</v>
      </c>
      <c r="J368" t="str">
        <f>IF(Merge1[[#This Row],[Year]]=2023,Merge1[[#This Row],[High Discrepancy2]],"")</f>
        <v/>
      </c>
      <c r="K36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8" s="1" t="str">
        <f ca="1">IF(Merge1[[#This Row],[Consecutive from 2023]]&gt;=5,"ALERT","")</f>
        <v/>
      </c>
    </row>
    <row r="369" spans="1:12" hidden="1" x14ac:dyDescent="0.35">
      <c r="A369" s="1" t="s">
        <v>63</v>
      </c>
      <c r="B369" s="1" t="s">
        <v>175</v>
      </c>
      <c r="C369" s="1" t="s">
        <v>31</v>
      </c>
      <c r="D369">
        <v>2020</v>
      </c>
      <c r="E369">
        <v>44.7</v>
      </c>
      <c r="F369">
        <v>61.85</v>
      </c>
      <c r="G369">
        <v>17.149999999999999</v>
      </c>
      <c r="H369">
        <v>1</v>
      </c>
      <c r="I369">
        <f>IF(Merge1[[#This Row],[Discrepancy]]&gt;=40,1,0)</f>
        <v>0</v>
      </c>
      <c r="J369" t="str">
        <f>IF(Merge1[[#This Row],[Year]]=2023,Merge1[[#This Row],[High Discrepancy2]],"")</f>
        <v/>
      </c>
      <c r="K36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69" s="1" t="str">
        <f ca="1">IF(Merge1[[#This Row],[Consecutive from 2023]]&gt;=5,"ALERT","")</f>
        <v/>
      </c>
    </row>
    <row r="370" spans="1:12" hidden="1" x14ac:dyDescent="0.35">
      <c r="A370" s="1" t="s">
        <v>63</v>
      </c>
      <c r="B370" s="1" t="s">
        <v>175</v>
      </c>
      <c r="C370" s="1" t="s">
        <v>31</v>
      </c>
      <c r="D370">
        <v>2019</v>
      </c>
      <c r="E370">
        <v>42.2</v>
      </c>
      <c r="F370">
        <v>63.9</v>
      </c>
      <c r="G370">
        <v>21.699999999999996</v>
      </c>
      <c r="H370">
        <v>1</v>
      </c>
      <c r="I370">
        <f>IF(Merge1[[#This Row],[Discrepancy]]&gt;=40,1,0)</f>
        <v>0</v>
      </c>
      <c r="J370" t="str">
        <f>IF(Merge1[[#This Row],[Year]]=2023,Merge1[[#This Row],[High Discrepancy2]],"")</f>
        <v/>
      </c>
      <c r="K37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0" s="1" t="str">
        <f ca="1">IF(Merge1[[#This Row],[Consecutive from 2023]]&gt;=5,"ALERT","")</f>
        <v/>
      </c>
    </row>
    <row r="371" spans="1:12" hidden="1" x14ac:dyDescent="0.35">
      <c r="A371" s="1" t="s">
        <v>63</v>
      </c>
      <c r="B371" s="1" t="s">
        <v>175</v>
      </c>
      <c r="C371" s="1" t="s">
        <v>31</v>
      </c>
      <c r="D371">
        <v>2018</v>
      </c>
      <c r="E371">
        <v>45</v>
      </c>
      <c r="F371">
        <v>63.29</v>
      </c>
      <c r="G371">
        <v>18.29</v>
      </c>
      <c r="H371">
        <v>1</v>
      </c>
      <c r="I371">
        <f>IF(Merge1[[#This Row],[Discrepancy]]&gt;=40,1,0)</f>
        <v>0</v>
      </c>
      <c r="J371" t="str">
        <f>IF(Merge1[[#This Row],[Year]]=2023,Merge1[[#This Row],[High Discrepancy2]],"")</f>
        <v/>
      </c>
      <c r="K37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1" s="1" t="str">
        <f ca="1">IF(Merge1[[#This Row],[Consecutive from 2023]]&gt;=5,"ALERT","")</f>
        <v/>
      </c>
    </row>
    <row r="372" spans="1:12" hidden="1" x14ac:dyDescent="0.35">
      <c r="A372" s="1" t="s">
        <v>107</v>
      </c>
      <c r="B372" s="1" t="s">
        <v>172</v>
      </c>
      <c r="C372" s="1" t="s">
        <v>31</v>
      </c>
      <c r="D372">
        <v>2010</v>
      </c>
      <c r="E372">
        <v>61.4</v>
      </c>
      <c r="F372">
        <v>91.63</v>
      </c>
      <c r="G372">
        <v>30.229999999999997</v>
      </c>
      <c r="H372">
        <v>1</v>
      </c>
      <c r="I372">
        <f>IF(Merge1[[#This Row],[Discrepancy]]&gt;=40,1,0)</f>
        <v>0</v>
      </c>
      <c r="J372" t="str">
        <f>IF(Merge1[[#This Row],[Year]]=2023,Merge1[[#This Row],[High Discrepancy2]],"")</f>
        <v/>
      </c>
      <c r="K37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2" s="1" t="str">
        <f ca="1">IF(Merge1[[#This Row],[Consecutive from 2023]]&gt;=5,"ALERT","")</f>
        <v/>
      </c>
    </row>
    <row r="373" spans="1:12" hidden="1" x14ac:dyDescent="0.35">
      <c r="A373" s="1" t="s">
        <v>103</v>
      </c>
      <c r="B373" s="1" t="s">
        <v>175</v>
      </c>
      <c r="C373" s="1" t="s">
        <v>34</v>
      </c>
      <c r="D373">
        <v>2023</v>
      </c>
      <c r="E373">
        <v>35.5</v>
      </c>
      <c r="F373">
        <v>80.45</v>
      </c>
      <c r="G373">
        <v>44.95</v>
      </c>
      <c r="H373">
        <v>1</v>
      </c>
      <c r="I373">
        <f>IF(Merge1[[#This Row],[Discrepancy]]&gt;=40,1,0)</f>
        <v>1</v>
      </c>
      <c r="J373">
        <f>IF(Merge1[[#This Row],[Year]]=2023,Merge1[[#This Row],[High Discrepancy2]],"")</f>
        <v>1</v>
      </c>
      <c r="K37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</v>
      </c>
      <c r="L373" s="1" t="str">
        <f ca="1">IF(Merge1[[#This Row],[Consecutive from 2023]]&gt;=5,"ALERT","")</f>
        <v/>
      </c>
    </row>
    <row r="374" spans="1:12" hidden="1" x14ac:dyDescent="0.35">
      <c r="A374" s="1" t="s">
        <v>103</v>
      </c>
      <c r="B374" s="1" t="s">
        <v>175</v>
      </c>
      <c r="C374" s="1" t="s">
        <v>34</v>
      </c>
      <c r="D374">
        <v>2022</v>
      </c>
      <c r="E374">
        <v>29.4</v>
      </c>
      <c r="F374">
        <v>75.06</v>
      </c>
      <c r="G374">
        <v>45.660000000000004</v>
      </c>
      <c r="H374">
        <v>1</v>
      </c>
      <c r="I374">
        <f>IF(Merge1[[#This Row],[Discrepancy]]&gt;=40,1,0)</f>
        <v>1</v>
      </c>
      <c r="J374" t="str">
        <f>IF(Merge1[[#This Row],[Year]]=2023,Merge1[[#This Row],[High Discrepancy2]],"")</f>
        <v/>
      </c>
      <c r="K37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2</v>
      </c>
      <c r="L374" s="1" t="str">
        <f ca="1">IF(Merge1[[#This Row],[Consecutive from 2023]]&gt;=5,"ALERT","")</f>
        <v/>
      </c>
    </row>
    <row r="375" spans="1:12" hidden="1" x14ac:dyDescent="0.35">
      <c r="A375" s="1" t="s">
        <v>63</v>
      </c>
      <c r="B375" s="1" t="s">
        <v>175</v>
      </c>
      <c r="C375" s="1" t="s">
        <v>31</v>
      </c>
      <c r="D375">
        <v>2014</v>
      </c>
      <c r="E375">
        <v>33.5</v>
      </c>
      <c r="F375">
        <v>60.3</v>
      </c>
      <c r="G375">
        <v>26.799999999999997</v>
      </c>
      <c r="H375">
        <v>1</v>
      </c>
      <c r="I375">
        <f>IF(Merge1[[#This Row],[Discrepancy]]&gt;=40,1,0)</f>
        <v>0</v>
      </c>
      <c r="J375" t="str">
        <f>IF(Merge1[[#This Row],[Year]]=2023,Merge1[[#This Row],[High Discrepancy2]],"")</f>
        <v/>
      </c>
      <c r="K37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5" s="1" t="str">
        <f ca="1">IF(Merge1[[#This Row],[Consecutive from 2023]]&gt;=5,"ALERT","")</f>
        <v/>
      </c>
    </row>
    <row r="376" spans="1:12" hidden="1" x14ac:dyDescent="0.35">
      <c r="A376" s="1" t="s">
        <v>103</v>
      </c>
      <c r="B376" s="1" t="s">
        <v>175</v>
      </c>
      <c r="C376" s="1" t="s">
        <v>34</v>
      </c>
      <c r="D376">
        <v>2021</v>
      </c>
      <c r="E376">
        <v>27.5</v>
      </c>
      <c r="F376">
        <v>97.18</v>
      </c>
      <c r="G376">
        <v>69.680000000000007</v>
      </c>
      <c r="H376">
        <v>1</v>
      </c>
      <c r="I376">
        <f>IF(Merge1[[#This Row],[Discrepancy]]&gt;=40,1,0)</f>
        <v>1</v>
      </c>
      <c r="J376" t="str">
        <f>IF(Merge1[[#This Row],[Year]]=2023,Merge1[[#This Row],[High Discrepancy2]],"")</f>
        <v/>
      </c>
      <c r="K37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6" s="1" t="str">
        <f ca="1">IF(Merge1[[#This Row],[Consecutive from 2023]]&gt;=5,"ALERT","")</f>
        <v/>
      </c>
    </row>
    <row r="377" spans="1:12" hidden="1" x14ac:dyDescent="0.35">
      <c r="A377" s="1" t="s">
        <v>103</v>
      </c>
      <c r="B377" s="1" t="s">
        <v>175</v>
      </c>
      <c r="C377" s="1" t="s">
        <v>34</v>
      </c>
      <c r="D377">
        <v>2020</v>
      </c>
      <c r="E377">
        <v>26.3</v>
      </c>
      <c r="F377">
        <v>97.13</v>
      </c>
      <c r="G377">
        <v>70.83</v>
      </c>
      <c r="H377">
        <v>1</v>
      </c>
      <c r="I377">
        <f>IF(Merge1[[#This Row],[Discrepancy]]&gt;=40,1,0)</f>
        <v>1</v>
      </c>
      <c r="J377" t="str">
        <f>IF(Merge1[[#This Row],[Year]]=2023,Merge1[[#This Row],[High Discrepancy2]],"")</f>
        <v/>
      </c>
      <c r="K37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7" s="1" t="str">
        <f ca="1">IF(Merge1[[#This Row],[Consecutive from 2023]]&gt;=5,"ALERT","")</f>
        <v/>
      </c>
    </row>
    <row r="378" spans="1:12" hidden="1" x14ac:dyDescent="0.35">
      <c r="A378" s="1" t="s">
        <v>103</v>
      </c>
      <c r="B378" s="1" t="s">
        <v>175</v>
      </c>
      <c r="C378" s="1" t="s">
        <v>34</v>
      </c>
      <c r="D378">
        <v>2019</v>
      </c>
      <c r="E378">
        <v>22.7</v>
      </c>
      <c r="F378">
        <v>94.86</v>
      </c>
      <c r="G378">
        <v>72.16</v>
      </c>
      <c r="H378">
        <v>1</v>
      </c>
      <c r="I378">
        <f>IF(Merge1[[#This Row],[Discrepancy]]&gt;=40,1,0)</f>
        <v>1</v>
      </c>
      <c r="J378" t="str">
        <f>IF(Merge1[[#This Row],[Year]]=2023,Merge1[[#This Row],[High Discrepancy2]],"")</f>
        <v/>
      </c>
      <c r="K37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8" s="1" t="str">
        <f ca="1">IF(Merge1[[#This Row],[Consecutive from 2023]]&gt;=5,"ALERT","")</f>
        <v/>
      </c>
    </row>
    <row r="379" spans="1:12" hidden="1" x14ac:dyDescent="0.35">
      <c r="A379" s="1" t="s">
        <v>103</v>
      </c>
      <c r="B379" s="1" t="s">
        <v>175</v>
      </c>
      <c r="C379" s="1" t="s">
        <v>34</v>
      </c>
      <c r="D379">
        <v>2018</v>
      </c>
      <c r="E379">
        <v>26.1</v>
      </c>
      <c r="F379">
        <v>73.39</v>
      </c>
      <c r="G379">
        <v>47.29</v>
      </c>
      <c r="H379">
        <v>1</v>
      </c>
      <c r="I379">
        <f>IF(Merge1[[#This Row],[Discrepancy]]&gt;=40,1,0)</f>
        <v>1</v>
      </c>
      <c r="J379" t="str">
        <f>IF(Merge1[[#This Row],[Year]]=2023,Merge1[[#This Row],[High Discrepancy2]],"")</f>
        <v/>
      </c>
      <c r="K37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79" s="1" t="str">
        <f ca="1">IF(Merge1[[#This Row],[Consecutive from 2023]]&gt;=5,"ALERT","")</f>
        <v/>
      </c>
    </row>
    <row r="380" spans="1:12" hidden="1" x14ac:dyDescent="0.35">
      <c r="A380" s="1" t="s">
        <v>61</v>
      </c>
      <c r="B380" s="1" t="s">
        <v>175</v>
      </c>
      <c r="C380" s="1" t="s">
        <v>31</v>
      </c>
      <c r="D380">
        <v>2023</v>
      </c>
      <c r="E380">
        <v>89.5</v>
      </c>
      <c r="F380">
        <v>36.200000000000003</v>
      </c>
      <c r="G380">
        <v>-53.3</v>
      </c>
      <c r="H380">
        <v>0</v>
      </c>
      <c r="I380">
        <f>IF(Merge1[[#This Row],[Discrepancy]]&gt;=40,1,0)</f>
        <v>0</v>
      </c>
      <c r="J380">
        <f>IF(Merge1[[#This Row],[Year]]=2023,Merge1[[#This Row],[High Discrepancy2]],"")</f>
        <v>0</v>
      </c>
      <c r="K38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0" s="1" t="str">
        <f ca="1">IF(Merge1[[#This Row],[Consecutive from 2023]]&gt;=5,"ALERT","")</f>
        <v/>
      </c>
    </row>
    <row r="381" spans="1:12" hidden="1" x14ac:dyDescent="0.35">
      <c r="A381" s="1" t="s">
        <v>61</v>
      </c>
      <c r="B381" s="1" t="s">
        <v>175</v>
      </c>
      <c r="C381" s="1" t="s">
        <v>31</v>
      </c>
      <c r="D381">
        <v>2022</v>
      </c>
      <c r="E381">
        <v>85.1</v>
      </c>
      <c r="F381">
        <v>35.880000000000003</v>
      </c>
      <c r="G381">
        <v>-49.219999999999992</v>
      </c>
      <c r="H381">
        <v>0</v>
      </c>
      <c r="I381">
        <f>IF(Merge1[[#This Row],[Discrepancy]]&gt;=40,1,0)</f>
        <v>0</v>
      </c>
      <c r="J381" t="str">
        <f>IF(Merge1[[#This Row],[Year]]=2023,Merge1[[#This Row],[High Discrepancy2]],"")</f>
        <v/>
      </c>
      <c r="K38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1" s="1" t="str">
        <f ca="1">IF(Merge1[[#This Row],[Consecutive from 2023]]&gt;=5,"ALERT","")</f>
        <v/>
      </c>
    </row>
    <row r="382" spans="1:12" hidden="1" x14ac:dyDescent="0.35">
      <c r="A382" s="1" t="s">
        <v>61</v>
      </c>
      <c r="B382" s="1" t="s">
        <v>175</v>
      </c>
      <c r="C382" s="1" t="s">
        <v>31</v>
      </c>
      <c r="D382">
        <v>2021</v>
      </c>
      <c r="E382">
        <v>86.3</v>
      </c>
      <c r="F382">
        <v>34.56</v>
      </c>
      <c r="G382">
        <v>-51.739999999999995</v>
      </c>
      <c r="H382">
        <v>0</v>
      </c>
      <c r="I382">
        <f>IF(Merge1[[#This Row],[Discrepancy]]&gt;=40,1,0)</f>
        <v>0</v>
      </c>
      <c r="J382" t="str">
        <f>IF(Merge1[[#This Row],[Year]]=2023,Merge1[[#This Row],[High Discrepancy2]],"")</f>
        <v/>
      </c>
      <c r="K38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2" s="1" t="str">
        <f ca="1">IF(Merge1[[#This Row],[Consecutive from 2023]]&gt;=5,"ALERT","")</f>
        <v/>
      </c>
    </row>
    <row r="383" spans="1:12" hidden="1" x14ac:dyDescent="0.35">
      <c r="A383" s="1" t="s">
        <v>61</v>
      </c>
      <c r="B383" s="1" t="s">
        <v>175</v>
      </c>
      <c r="C383" s="1" t="s">
        <v>31</v>
      </c>
      <c r="D383">
        <v>2020</v>
      </c>
      <c r="E383">
        <v>85.4</v>
      </c>
      <c r="F383">
        <v>36.549999999999997</v>
      </c>
      <c r="G383">
        <v>-48.850000000000009</v>
      </c>
      <c r="H383">
        <v>0</v>
      </c>
      <c r="I383">
        <f>IF(Merge1[[#This Row],[Discrepancy]]&gt;=40,1,0)</f>
        <v>0</v>
      </c>
      <c r="J383" t="str">
        <f>IF(Merge1[[#This Row],[Year]]=2023,Merge1[[#This Row],[High Discrepancy2]],"")</f>
        <v/>
      </c>
      <c r="K38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3" s="1" t="str">
        <f ca="1">IF(Merge1[[#This Row],[Consecutive from 2023]]&gt;=5,"ALERT","")</f>
        <v/>
      </c>
    </row>
    <row r="384" spans="1:12" hidden="1" x14ac:dyDescent="0.35">
      <c r="A384" s="1" t="s">
        <v>61</v>
      </c>
      <c r="B384" s="1" t="s">
        <v>175</v>
      </c>
      <c r="C384" s="1" t="s">
        <v>31</v>
      </c>
      <c r="D384">
        <v>2019</v>
      </c>
      <c r="E384">
        <v>83.5</v>
      </c>
      <c r="F384">
        <v>40.65</v>
      </c>
      <c r="G384">
        <v>-42.85</v>
      </c>
      <c r="H384">
        <v>0</v>
      </c>
      <c r="I384">
        <f>IF(Merge1[[#This Row],[Discrepancy]]&gt;=40,1,0)</f>
        <v>0</v>
      </c>
      <c r="J384" t="str">
        <f>IF(Merge1[[#This Row],[Year]]=2023,Merge1[[#This Row],[High Discrepancy2]],"")</f>
        <v/>
      </c>
      <c r="K38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4" s="1" t="str">
        <f ca="1">IF(Merge1[[#This Row],[Consecutive from 2023]]&gt;=5,"ALERT","")</f>
        <v/>
      </c>
    </row>
    <row r="385" spans="1:12" hidden="1" x14ac:dyDescent="0.35">
      <c r="A385" s="1" t="s">
        <v>61</v>
      </c>
      <c r="B385" s="1" t="s">
        <v>175</v>
      </c>
      <c r="C385" s="1" t="s">
        <v>31</v>
      </c>
      <c r="D385">
        <v>2018</v>
      </c>
      <c r="E385">
        <v>80.400000000000006</v>
      </c>
      <c r="F385">
        <v>37.35</v>
      </c>
      <c r="G385">
        <v>-43.050000000000004</v>
      </c>
      <c r="H385">
        <v>0</v>
      </c>
      <c r="I385">
        <f>IF(Merge1[[#This Row],[Discrepancy]]&gt;=40,1,0)</f>
        <v>0</v>
      </c>
      <c r="J385" t="str">
        <f>IF(Merge1[[#This Row],[Year]]=2023,Merge1[[#This Row],[High Discrepancy2]],"")</f>
        <v/>
      </c>
      <c r="K38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5" s="1" t="str">
        <f ca="1">IF(Merge1[[#This Row],[Consecutive from 2023]]&gt;=5,"ALERT","")</f>
        <v/>
      </c>
    </row>
    <row r="386" spans="1:12" hidden="1" x14ac:dyDescent="0.35">
      <c r="A386" s="1" t="s">
        <v>61</v>
      </c>
      <c r="B386" s="1" t="s">
        <v>175</v>
      </c>
      <c r="C386" s="1" t="s">
        <v>31</v>
      </c>
      <c r="D386">
        <v>2017</v>
      </c>
      <c r="E386">
        <v>79</v>
      </c>
      <c r="F386">
        <v>41.21</v>
      </c>
      <c r="G386">
        <v>-37.79</v>
      </c>
      <c r="H386">
        <v>0</v>
      </c>
      <c r="I386">
        <f>IF(Merge1[[#This Row],[Discrepancy]]&gt;=40,1,0)</f>
        <v>0</v>
      </c>
      <c r="J386" t="str">
        <f>IF(Merge1[[#This Row],[Year]]=2023,Merge1[[#This Row],[High Discrepancy2]],"")</f>
        <v/>
      </c>
      <c r="K38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6" s="1" t="str">
        <f ca="1">IF(Merge1[[#This Row],[Consecutive from 2023]]&gt;=5,"ALERT","")</f>
        <v/>
      </c>
    </row>
    <row r="387" spans="1:12" hidden="1" x14ac:dyDescent="0.35">
      <c r="A387" s="1" t="s">
        <v>61</v>
      </c>
      <c r="B387" s="1" t="s">
        <v>175</v>
      </c>
      <c r="C387" s="1" t="s">
        <v>31</v>
      </c>
      <c r="D387">
        <v>2016</v>
      </c>
      <c r="E387">
        <v>79.3</v>
      </c>
      <c r="F387">
        <v>42.96</v>
      </c>
      <c r="G387">
        <v>-36.339999999999996</v>
      </c>
      <c r="H387">
        <v>0</v>
      </c>
      <c r="I387">
        <f>IF(Merge1[[#This Row],[Discrepancy]]&gt;=40,1,0)</f>
        <v>0</v>
      </c>
      <c r="J387" t="str">
        <f>IF(Merge1[[#This Row],[Year]]=2023,Merge1[[#This Row],[High Discrepancy2]],"")</f>
        <v/>
      </c>
      <c r="K38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7" s="1" t="str">
        <f ca="1">IF(Merge1[[#This Row],[Consecutive from 2023]]&gt;=5,"ALERT","")</f>
        <v/>
      </c>
    </row>
    <row r="388" spans="1:12" hidden="1" x14ac:dyDescent="0.35">
      <c r="A388" s="1" t="s">
        <v>61</v>
      </c>
      <c r="B388" s="1" t="s">
        <v>175</v>
      </c>
      <c r="C388" s="1" t="s">
        <v>31</v>
      </c>
      <c r="D388">
        <v>2015</v>
      </c>
      <c r="E388">
        <v>74</v>
      </c>
      <c r="F388">
        <v>51.02</v>
      </c>
      <c r="G388">
        <v>-22.979999999999997</v>
      </c>
      <c r="H388">
        <v>0</v>
      </c>
      <c r="I388">
        <f>IF(Merge1[[#This Row],[Discrepancy]]&gt;=40,1,0)</f>
        <v>0</v>
      </c>
      <c r="J388" t="str">
        <f>IF(Merge1[[#This Row],[Year]]=2023,Merge1[[#This Row],[High Discrepancy2]],"")</f>
        <v/>
      </c>
      <c r="K38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8" s="1" t="str">
        <f ca="1">IF(Merge1[[#This Row],[Consecutive from 2023]]&gt;=5,"ALERT","")</f>
        <v/>
      </c>
    </row>
    <row r="389" spans="1:12" hidden="1" x14ac:dyDescent="0.35">
      <c r="A389" s="1" t="s">
        <v>61</v>
      </c>
      <c r="B389" s="1" t="s">
        <v>175</v>
      </c>
      <c r="C389" s="1" t="s">
        <v>31</v>
      </c>
      <c r="D389">
        <v>2014</v>
      </c>
      <c r="E389">
        <v>78.3</v>
      </c>
      <c r="F389">
        <v>64.790000000000006</v>
      </c>
      <c r="G389">
        <v>-13.509999999999991</v>
      </c>
      <c r="H389">
        <v>0</v>
      </c>
      <c r="I389">
        <f>IF(Merge1[[#This Row],[Discrepancy]]&gt;=40,1,0)</f>
        <v>0</v>
      </c>
      <c r="J389" t="str">
        <f>IF(Merge1[[#This Row],[Year]]=2023,Merge1[[#This Row],[High Discrepancy2]],"")</f>
        <v/>
      </c>
      <c r="K38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89" s="1" t="str">
        <f ca="1">IF(Merge1[[#This Row],[Consecutive from 2023]]&gt;=5,"ALERT","")</f>
        <v/>
      </c>
    </row>
    <row r="390" spans="1:12" hidden="1" x14ac:dyDescent="0.35">
      <c r="A390" s="1" t="s">
        <v>61</v>
      </c>
      <c r="B390" s="1" t="s">
        <v>175</v>
      </c>
      <c r="C390" s="1" t="s">
        <v>31</v>
      </c>
      <c r="D390">
        <v>2013</v>
      </c>
      <c r="E390">
        <v>70.7</v>
      </c>
      <c r="F390">
        <v>64.03</v>
      </c>
      <c r="G390">
        <v>-6.6700000000000017</v>
      </c>
      <c r="H390">
        <v>0</v>
      </c>
      <c r="I390">
        <f>IF(Merge1[[#This Row],[Discrepancy]]&gt;=40,1,0)</f>
        <v>0</v>
      </c>
      <c r="J390" t="str">
        <f>IF(Merge1[[#This Row],[Year]]=2023,Merge1[[#This Row],[High Discrepancy2]],"")</f>
        <v/>
      </c>
      <c r="K39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0" s="1" t="str">
        <f ca="1">IF(Merge1[[#This Row],[Consecutive from 2023]]&gt;=5,"ALERT","")</f>
        <v/>
      </c>
    </row>
    <row r="391" spans="1:12" hidden="1" x14ac:dyDescent="0.35">
      <c r="A391" s="1" t="s">
        <v>61</v>
      </c>
      <c r="B391" s="1" t="s">
        <v>175</v>
      </c>
      <c r="C391" s="1" t="s">
        <v>31</v>
      </c>
      <c r="D391">
        <v>2012</v>
      </c>
      <c r="E391">
        <v>56.5</v>
      </c>
      <c r="F391">
        <v>67.17</v>
      </c>
      <c r="G391">
        <v>10.670000000000002</v>
      </c>
      <c r="H391">
        <v>1</v>
      </c>
      <c r="I391">
        <f>IF(Merge1[[#This Row],[Discrepancy]]&gt;=40,1,0)</f>
        <v>0</v>
      </c>
      <c r="J391" t="str">
        <f>IF(Merge1[[#This Row],[Year]]=2023,Merge1[[#This Row],[High Discrepancy2]],"")</f>
        <v/>
      </c>
      <c r="K39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1" s="1" t="str">
        <f ca="1">IF(Merge1[[#This Row],[Consecutive from 2023]]&gt;=5,"ALERT","")</f>
        <v/>
      </c>
    </row>
    <row r="392" spans="1:12" hidden="1" x14ac:dyDescent="0.35">
      <c r="A392" s="1" t="s">
        <v>61</v>
      </c>
      <c r="B392" s="1" t="s">
        <v>175</v>
      </c>
      <c r="C392" s="1" t="s">
        <v>31</v>
      </c>
      <c r="D392">
        <v>2011</v>
      </c>
      <c r="E392">
        <v>64.099999999999994</v>
      </c>
      <c r="F392">
        <v>67.55</v>
      </c>
      <c r="G392">
        <v>3.4500000000000028</v>
      </c>
      <c r="H392">
        <v>1</v>
      </c>
      <c r="I392">
        <f>IF(Merge1[[#This Row],[Discrepancy]]&gt;=40,1,0)</f>
        <v>0</v>
      </c>
      <c r="J392" t="str">
        <f>IF(Merge1[[#This Row],[Year]]=2023,Merge1[[#This Row],[High Discrepancy2]],"")</f>
        <v/>
      </c>
      <c r="K39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2" s="1" t="str">
        <f ca="1">IF(Merge1[[#This Row],[Consecutive from 2023]]&gt;=5,"ALERT","")</f>
        <v/>
      </c>
    </row>
    <row r="393" spans="1:12" hidden="1" x14ac:dyDescent="0.35">
      <c r="A393" s="1" t="s">
        <v>61</v>
      </c>
      <c r="B393" s="1" t="s">
        <v>175</v>
      </c>
      <c r="C393" s="1" t="s">
        <v>31</v>
      </c>
      <c r="D393">
        <v>2010</v>
      </c>
      <c r="E393">
        <v>64.2</v>
      </c>
      <c r="F393">
        <v>68.86</v>
      </c>
      <c r="G393">
        <v>4.6599999999999966</v>
      </c>
      <c r="H393">
        <v>1</v>
      </c>
      <c r="I393">
        <f>IF(Merge1[[#This Row],[Discrepancy]]&gt;=40,1,0)</f>
        <v>0</v>
      </c>
      <c r="J393" t="str">
        <f>IF(Merge1[[#This Row],[Year]]=2023,Merge1[[#This Row],[High Discrepancy2]],"")</f>
        <v/>
      </c>
      <c r="K39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3" s="1" t="str">
        <f ca="1">IF(Merge1[[#This Row],[Consecutive from 2023]]&gt;=5,"ALERT","")</f>
        <v/>
      </c>
    </row>
    <row r="394" spans="1:12" hidden="1" x14ac:dyDescent="0.35">
      <c r="A394" s="1" t="s">
        <v>59</v>
      </c>
      <c r="B394" s="1" t="s">
        <v>172</v>
      </c>
      <c r="C394" s="1" t="s">
        <v>41</v>
      </c>
      <c r="D394">
        <v>2023</v>
      </c>
      <c r="E394">
        <v>94.1</v>
      </c>
      <c r="F394">
        <v>38.049999999999997</v>
      </c>
      <c r="G394">
        <v>-56.05</v>
      </c>
      <c r="H394">
        <v>0</v>
      </c>
      <c r="I394">
        <f>IF(Merge1[[#This Row],[Discrepancy]]&gt;=40,1,0)</f>
        <v>0</v>
      </c>
      <c r="J394">
        <f>IF(Merge1[[#This Row],[Year]]=2023,Merge1[[#This Row],[High Discrepancy2]],"")</f>
        <v>0</v>
      </c>
      <c r="K39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4" s="1" t="str">
        <f ca="1">IF(Merge1[[#This Row],[Consecutive from 2023]]&gt;=5,"ALERT","")</f>
        <v/>
      </c>
    </row>
    <row r="395" spans="1:12" hidden="1" x14ac:dyDescent="0.35">
      <c r="A395" s="1" t="s">
        <v>59</v>
      </c>
      <c r="B395" s="1" t="s">
        <v>172</v>
      </c>
      <c r="C395" s="1" t="s">
        <v>41</v>
      </c>
      <c r="D395">
        <v>2022</v>
      </c>
      <c r="E395">
        <v>93.5</v>
      </c>
      <c r="F395">
        <v>38.049999999999997</v>
      </c>
      <c r="G395">
        <v>-55.45</v>
      </c>
      <c r="H395">
        <v>0</v>
      </c>
      <c r="I395">
        <f>IF(Merge1[[#This Row],[Discrepancy]]&gt;=40,1,0)</f>
        <v>0</v>
      </c>
      <c r="J395" t="str">
        <f>IF(Merge1[[#This Row],[Year]]=2023,Merge1[[#This Row],[High Discrepancy2]],"")</f>
        <v/>
      </c>
      <c r="K39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5" s="1" t="str">
        <f ca="1">IF(Merge1[[#This Row],[Consecutive from 2023]]&gt;=5,"ALERT","")</f>
        <v/>
      </c>
    </row>
    <row r="396" spans="1:12" hidden="1" x14ac:dyDescent="0.35">
      <c r="A396" s="1" t="s">
        <v>59</v>
      </c>
      <c r="B396" s="1" t="s">
        <v>172</v>
      </c>
      <c r="C396" s="1" t="s">
        <v>41</v>
      </c>
      <c r="D396">
        <v>2021</v>
      </c>
      <c r="E396">
        <v>91.8</v>
      </c>
      <c r="F396">
        <v>38.08</v>
      </c>
      <c r="G396">
        <v>-53.72</v>
      </c>
      <c r="H396">
        <v>0</v>
      </c>
      <c r="I396">
        <f>IF(Merge1[[#This Row],[Discrepancy]]&gt;=40,1,0)</f>
        <v>0</v>
      </c>
      <c r="J396" t="str">
        <f>IF(Merge1[[#This Row],[Year]]=2023,Merge1[[#This Row],[High Discrepancy2]],"")</f>
        <v/>
      </c>
      <c r="K39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6" s="1" t="str">
        <f ca="1">IF(Merge1[[#This Row],[Consecutive from 2023]]&gt;=5,"ALERT","")</f>
        <v/>
      </c>
    </row>
    <row r="397" spans="1:12" hidden="1" x14ac:dyDescent="0.35">
      <c r="A397" s="1" t="s">
        <v>59</v>
      </c>
      <c r="B397" s="1" t="s">
        <v>172</v>
      </c>
      <c r="C397" s="1" t="s">
        <v>41</v>
      </c>
      <c r="D397">
        <v>2020</v>
      </c>
      <c r="E397">
        <v>91.1</v>
      </c>
      <c r="F397">
        <v>38.07</v>
      </c>
      <c r="G397">
        <v>-53.029999999999994</v>
      </c>
      <c r="H397">
        <v>0</v>
      </c>
      <c r="I397">
        <f>IF(Merge1[[#This Row],[Discrepancy]]&gt;=40,1,0)</f>
        <v>0</v>
      </c>
      <c r="J397" t="str">
        <f>IF(Merge1[[#This Row],[Year]]=2023,Merge1[[#This Row],[High Discrepancy2]],"")</f>
        <v/>
      </c>
      <c r="K39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7" s="1" t="str">
        <f ca="1">IF(Merge1[[#This Row],[Consecutive from 2023]]&gt;=5,"ALERT","")</f>
        <v/>
      </c>
    </row>
    <row r="398" spans="1:12" hidden="1" x14ac:dyDescent="0.35">
      <c r="A398" s="1" t="s">
        <v>59</v>
      </c>
      <c r="B398" s="1" t="s">
        <v>172</v>
      </c>
      <c r="C398" s="1" t="s">
        <v>41</v>
      </c>
      <c r="D398">
        <v>2019</v>
      </c>
      <c r="E398">
        <v>90.3</v>
      </c>
      <c r="F398">
        <v>41.07</v>
      </c>
      <c r="G398">
        <v>-49.23</v>
      </c>
      <c r="H398">
        <v>0</v>
      </c>
      <c r="I398">
        <f>IF(Merge1[[#This Row],[Discrepancy]]&gt;=40,1,0)</f>
        <v>0</v>
      </c>
      <c r="J398" t="str">
        <f>IF(Merge1[[#This Row],[Year]]=2023,Merge1[[#This Row],[High Discrepancy2]],"")</f>
        <v/>
      </c>
      <c r="K39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8" s="1" t="str">
        <f ca="1">IF(Merge1[[#This Row],[Consecutive from 2023]]&gt;=5,"ALERT","")</f>
        <v/>
      </c>
    </row>
    <row r="399" spans="1:12" hidden="1" x14ac:dyDescent="0.35">
      <c r="A399" s="1" t="s">
        <v>59</v>
      </c>
      <c r="B399" s="1" t="s">
        <v>172</v>
      </c>
      <c r="C399" s="1" t="s">
        <v>41</v>
      </c>
      <c r="D399">
        <v>2018</v>
      </c>
      <c r="E399">
        <v>89.6</v>
      </c>
      <c r="F399">
        <v>53.94</v>
      </c>
      <c r="G399">
        <v>-35.659999999999997</v>
      </c>
      <c r="H399">
        <v>0</v>
      </c>
      <c r="I399">
        <f>IF(Merge1[[#This Row],[Discrepancy]]&gt;=40,1,0)</f>
        <v>0</v>
      </c>
      <c r="J399" t="str">
        <f>IF(Merge1[[#This Row],[Year]]=2023,Merge1[[#This Row],[High Discrepancy2]],"")</f>
        <v/>
      </c>
      <c r="K39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399" s="1" t="str">
        <f ca="1">IF(Merge1[[#This Row],[Consecutive from 2023]]&gt;=5,"ALERT","")</f>
        <v/>
      </c>
    </row>
    <row r="400" spans="1:12" hidden="1" x14ac:dyDescent="0.35">
      <c r="A400" s="1" t="s">
        <v>59</v>
      </c>
      <c r="B400" s="1" t="s">
        <v>172</v>
      </c>
      <c r="C400" s="1" t="s">
        <v>41</v>
      </c>
      <c r="D400">
        <v>2017</v>
      </c>
      <c r="E400">
        <v>86.3</v>
      </c>
      <c r="F400">
        <v>48.93</v>
      </c>
      <c r="G400">
        <v>-37.369999999999997</v>
      </c>
      <c r="H400">
        <v>0</v>
      </c>
      <c r="I400">
        <f>IF(Merge1[[#This Row],[Discrepancy]]&gt;=40,1,0)</f>
        <v>0</v>
      </c>
      <c r="J400" t="str">
        <f>IF(Merge1[[#This Row],[Year]]=2023,Merge1[[#This Row],[High Discrepancy2]],"")</f>
        <v/>
      </c>
      <c r="K40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0" s="1" t="str">
        <f ca="1">IF(Merge1[[#This Row],[Consecutive from 2023]]&gt;=5,"ALERT","")</f>
        <v/>
      </c>
    </row>
    <row r="401" spans="1:12" hidden="1" x14ac:dyDescent="0.35">
      <c r="A401" s="1" t="s">
        <v>59</v>
      </c>
      <c r="B401" s="1" t="s">
        <v>172</v>
      </c>
      <c r="C401" s="1" t="s">
        <v>41</v>
      </c>
      <c r="D401">
        <v>2016</v>
      </c>
      <c r="E401">
        <v>88.1</v>
      </c>
      <c r="F401">
        <v>41.57</v>
      </c>
      <c r="G401">
        <v>-46.529999999999994</v>
      </c>
      <c r="H401">
        <v>0</v>
      </c>
      <c r="I401">
        <f>IF(Merge1[[#This Row],[Discrepancy]]&gt;=40,1,0)</f>
        <v>0</v>
      </c>
      <c r="J401" t="str">
        <f>IF(Merge1[[#This Row],[Year]]=2023,Merge1[[#This Row],[High Discrepancy2]],"")</f>
        <v/>
      </c>
      <c r="K40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1" s="1" t="str">
        <f ca="1">IF(Merge1[[#This Row],[Consecutive from 2023]]&gt;=5,"ALERT","")</f>
        <v/>
      </c>
    </row>
    <row r="402" spans="1:12" hidden="1" x14ac:dyDescent="0.35">
      <c r="A402" s="1" t="s">
        <v>59</v>
      </c>
      <c r="B402" s="1" t="s">
        <v>172</v>
      </c>
      <c r="C402" s="1" t="s">
        <v>41</v>
      </c>
      <c r="D402">
        <v>2015</v>
      </c>
      <c r="E402">
        <v>87.3</v>
      </c>
      <c r="F402">
        <v>48.2</v>
      </c>
      <c r="G402">
        <v>-39.099999999999994</v>
      </c>
      <c r="H402">
        <v>0</v>
      </c>
      <c r="I402">
        <f>IF(Merge1[[#This Row],[Discrepancy]]&gt;=40,1,0)</f>
        <v>0</v>
      </c>
      <c r="J402" t="str">
        <f>IF(Merge1[[#This Row],[Year]]=2023,Merge1[[#This Row],[High Discrepancy2]],"")</f>
        <v/>
      </c>
      <c r="K40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2" s="1" t="str">
        <f ca="1">IF(Merge1[[#This Row],[Consecutive from 2023]]&gt;=5,"ALERT","")</f>
        <v/>
      </c>
    </row>
    <row r="403" spans="1:12" hidden="1" x14ac:dyDescent="0.35">
      <c r="A403" s="1" t="s">
        <v>59</v>
      </c>
      <c r="B403" s="1" t="s">
        <v>172</v>
      </c>
      <c r="C403" s="1" t="s">
        <v>41</v>
      </c>
      <c r="D403">
        <v>2014</v>
      </c>
      <c r="E403">
        <v>87.1</v>
      </c>
      <c r="F403">
        <v>44.79</v>
      </c>
      <c r="G403">
        <v>-42.309999999999995</v>
      </c>
      <c r="H403">
        <v>0</v>
      </c>
      <c r="I403">
        <f>IF(Merge1[[#This Row],[Discrepancy]]&gt;=40,1,0)</f>
        <v>0</v>
      </c>
      <c r="J403" t="str">
        <f>IF(Merge1[[#This Row],[Year]]=2023,Merge1[[#This Row],[High Discrepancy2]],"")</f>
        <v/>
      </c>
      <c r="K40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3" s="1" t="str">
        <f ca="1">IF(Merge1[[#This Row],[Consecutive from 2023]]&gt;=5,"ALERT","")</f>
        <v/>
      </c>
    </row>
    <row r="404" spans="1:12" hidden="1" x14ac:dyDescent="0.35">
      <c r="A404" s="1" t="s">
        <v>59</v>
      </c>
      <c r="B404" s="1" t="s">
        <v>172</v>
      </c>
      <c r="C404" s="1" t="s">
        <v>41</v>
      </c>
      <c r="D404">
        <v>2013</v>
      </c>
      <c r="E404">
        <v>86.4</v>
      </c>
      <c r="F404">
        <v>49.44</v>
      </c>
      <c r="G404">
        <v>-36.960000000000008</v>
      </c>
      <c r="H404">
        <v>0</v>
      </c>
      <c r="I404">
        <f>IF(Merge1[[#This Row],[Discrepancy]]&gt;=40,1,0)</f>
        <v>0</v>
      </c>
      <c r="J404" t="str">
        <f>IF(Merge1[[#This Row],[Year]]=2023,Merge1[[#This Row],[High Discrepancy2]],"")</f>
        <v/>
      </c>
      <c r="K40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4" s="1" t="str">
        <f ca="1">IF(Merge1[[#This Row],[Consecutive from 2023]]&gt;=5,"ALERT","")</f>
        <v/>
      </c>
    </row>
    <row r="405" spans="1:12" hidden="1" x14ac:dyDescent="0.35">
      <c r="A405" s="1" t="s">
        <v>59</v>
      </c>
      <c r="B405" s="1" t="s">
        <v>172</v>
      </c>
      <c r="C405" s="1" t="s">
        <v>41</v>
      </c>
      <c r="D405">
        <v>2012</v>
      </c>
      <c r="E405">
        <v>89.3</v>
      </c>
      <c r="F405">
        <v>46.24</v>
      </c>
      <c r="G405">
        <v>-43.059999999999995</v>
      </c>
      <c r="H405">
        <v>0</v>
      </c>
      <c r="I405">
        <f>IF(Merge1[[#This Row],[Discrepancy]]&gt;=40,1,0)</f>
        <v>0</v>
      </c>
      <c r="J405" t="str">
        <f>IF(Merge1[[#This Row],[Year]]=2023,Merge1[[#This Row],[High Discrepancy2]],"")</f>
        <v/>
      </c>
      <c r="K40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5" s="1" t="str">
        <f ca="1">IF(Merge1[[#This Row],[Consecutive from 2023]]&gt;=5,"ALERT","")</f>
        <v/>
      </c>
    </row>
    <row r="406" spans="1:12" hidden="1" x14ac:dyDescent="0.35">
      <c r="A406" s="1" t="s">
        <v>59</v>
      </c>
      <c r="B406" s="1" t="s">
        <v>172</v>
      </c>
      <c r="C406" s="1" t="s">
        <v>41</v>
      </c>
      <c r="D406">
        <v>2011</v>
      </c>
      <c r="E406">
        <v>88.7</v>
      </c>
      <c r="F406">
        <v>45.73</v>
      </c>
      <c r="G406">
        <v>-42.970000000000006</v>
      </c>
      <c r="H406">
        <v>0</v>
      </c>
      <c r="I406">
        <f>IF(Merge1[[#This Row],[Discrepancy]]&gt;=40,1,0)</f>
        <v>0</v>
      </c>
      <c r="J406" t="str">
        <f>IF(Merge1[[#This Row],[Year]]=2023,Merge1[[#This Row],[High Discrepancy2]],"")</f>
        <v/>
      </c>
      <c r="K40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6" s="1" t="str">
        <f ca="1">IF(Merge1[[#This Row],[Consecutive from 2023]]&gt;=5,"ALERT","")</f>
        <v/>
      </c>
    </row>
    <row r="407" spans="1:12" hidden="1" x14ac:dyDescent="0.35">
      <c r="A407" s="1" t="s">
        <v>59</v>
      </c>
      <c r="B407" s="1" t="s">
        <v>172</v>
      </c>
      <c r="C407" s="1" t="s">
        <v>41</v>
      </c>
      <c r="D407">
        <v>2010</v>
      </c>
      <c r="E407">
        <v>89.3</v>
      </c>
      <c r="F407">
        <v>51.8</v>
      </c>
      <c r="G407">
        <v>-37.5</v>
      </c>
      <c r="H407">
        <v>0</v>
      </c>
      <c r="I407">
        <f>IF(Merge1[[#This Row],[Discrepancy]]&gt;=40,1,0)</f>
        <v>0</v>
      </c>
      <c r="J407" t="str">
        <f>IF(Merge1[[#This Row],[Year]]=2023,Merge1[[#This Row],[High Discrepancy2]],"")</f>
        <v/>
      </c>
      <c r="K40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7" s="1" t="str">
        <f ca="1">IF(Merge1[[#This Row],[Consecutive from 2023]]&gt;=5,"ALERT","")</f>
        <v/>
      </c>
    </row>
    <row r="408" spans="1:12" hidden="1" x14ac:dyDescent="0.35">
      <c r="A408" s="1" t="s">
        <v>103</v>
      </c>
      <c r="B408" s="1" t="s">
        <v>175</v>
      </c>
      <c r="C408" s="1" t="s">
        <v>34</v>
      </c>
      <c r="D408">
        <v>2017</v>
      </c>
      <c r="E408">
        <v>23.4</v>
      </c>
      <c r="F408">
        <v>73.8</v>
      </c>
      <c r="G408">
        <v>50.4</v>
      </c>
      <c r="H408">
        <v>1</v>
      </c>
      <c r="I408">
        <f>IF(Merge1[[#This Row],[Discrepancy]]&gt;=40,1,0)</f>
        <v>1</v>
      </c>
      <c r="J408" t="str">
        <f>IF(Merge1[[#This Row],[Year]]=2023,Merge1[[#This Row],[High Discrepancy2]],"")</f>
        <v/>
      </c>
      <c r="K40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8" s="1" t="str">
        <f ca="1">IF(Merge1[[#This Row],[Consecutive from 2023]]&gt;=5,"ALERT","")</f>
        <v/>
      </c>
    </row>
    <row r="409" spans="1:12" hidden="1" x14ac:dyDescent="0.35">
      <c r="A409" s="1" t="s">
        <v>103</v>
      </c>
      <c r="B409" s="1" t="s">
        <v>175</v>
      </c>
      <c r="C409" s="1" t="s">
        <v>34</v>
      </c>
      <c r="D409">
        <v>2016</v>
      </c>
      <c r="E409">
        <v>20.3</v>
      </c>
      <c r="F409">
        <v>74.260000000000005</v>
      </c>
      <c r="G409">
        <v>53.960000000000008</v>
      </c>
      <c r="H409">
        <v>1</v>
      </c>
      <c r="I409">
        <f>IF(Merge1[[#This Row],[Discrepancy]]&gt;=40,1,0)</f>
        <v>1</v>
      </c>
      <c r="J409" t="str">
        <f>IF(Merge1[[#This Row],[Year]]=2023,Merge1[[#This Row],[High Discrepancy2]],"")</f>
        <v/>
      </c>
      <c r="K40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09" s="1" t="str">
        <f ca="1">IF(Merge1[[#This Row],[Consecutive from 2023]]&gt;=5,"ALERT","")</f>
        <v/>
      </c>
    </row>
    <row r="410" spans="1:12" hidden="1" x14ac:dyDescent="0.35">
      <c r="A410" s="1" t="s">
        <v>103</v>
      </c>
      <c r="B410" s="1" t="s">
        <v>175</v>
      </c>
      <c r="C410" s="1" t="s">
        <v>34</v>
      </c>
      <c r="D410">
        <v>2015</v>
      </c>
      <c r="E410">
        <v>19.7</v>
      </c>
      <c r="F410">
        <v>74.7</v>
      </c>
      <c r="G410">
        <v>55</v>
      </c>
      <c r="H410">
        <v>1</v>
      </c>
      <c r="I410">
        <f>IF(Merge1[[#This Row],[Discrepancy]]&gt;=40,1,0)</f>
        <v>1</v>
      </c>
      <c r="J410" t="str">
        <f>IF(Merge1[[#This Row],[Year]]=2023,Merge1[[#This Row],[High Discrepancy2]],"")</f>
        <v/>
      </c>
      <c r="K41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10" s="1" t="str">
        <f ca="1">IF(Merge1[[#This Row],[Consecutive from 2023]]&gt;=5,"ALERT","")</f>
        <v/>
      </c>
    </row>
    <row r="411" spans="1:12" hidden="1" x14ac:dyDescent="0.35">
      <c r="A411" s="1" t="s">
        <v>103</v>
      </c>
      <c r="B411" s="1" t="s">
        <v>175</v>
      </c>
      <c r="C411" s="1" t="s">
        <v>34</v>
      </c>
      <c r="D411">
        <v>2014</v>
      </c>
      <c r="E411">
        <v>18.8</v>
      </c>
      <c r="F411">
        <v>82.51</v>
      </c>
      <c r="G411">
        <v>63.710000000000008</v>
      </c>
      <c r="H411">
        <v>1</v>
      </c>
      <c r="I411">
        <f>IF(Merge1[[#This Row],[Discrepancy]]&gt;=40,1,0)</f>
        <v>1</v>
      </c>
      <c r="J411" t="str">
        <f>IF(Merge1[[#This Row],[Year]]=2023,Merge1[[#This Row],[High Discrepancy2]],"")</f>
        <v/>
      </c>
      <c r="K41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11" s="1" t="str">
        <f ca="1">IF(Merge1[[#This Row],[Consecutive from 2023]]&gt;=5,"ALERT","")</f>
        <v/>
      </c>
    </row>
    <row r="412" spans="1:12" hidden="1" x14ac:dyDescent="0.35">
      <c r="A412" s="1" t="s">
        <v>103</v>
      </c>
      <c r="B412" s="1" t="s">
        <v>175</v>
      </c>
      <c r="C412" s="1" t="s">
        <v>34</v>
      </c>
      <c r="D412">
        <v>2013</v>
      </c>
      <c r="E412">
        <v>13.5</v>
      </c>
      <c r="F412">
        <v>61.89</v>
      </c>
      <c r="G412">
        <v>48.39</v>
      </c>
      <c r="H412">
        <v>1</v>
      </c>
      <c r="I412">
        <f>IF(Merge1[[#This Row],[Discrepancy]]&gt;=40,1,0)</f>
        <v>1</v>
      </c>
      <c r="J412" t="str">
        <f>IF(Merge1[[#This Row],[Year]]=2023,Merge1[[#This Row],[High Discrepancy2]],"")</f>
        <v/>
      </c>
      <c r="K41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12" s="1" t="str">
        <f ca="1">IF(Merge1[[#This Row],[Consecutive from 2023]]&gt;=5,"ALERT","")</f>
        <v/>
      </c>
    </row>
    <row r="413" spans="1:12" hidden="1" x14ac:dyDescent="0.35">
      <c r="A413" s="1" t="s">
        <v>103</v>
      </c>
      <c r="B413" s="1" t="s">
        <v>175</v>
      </c>
      <c r="C413" s="1" t="s">
        <v>34</v>
      </c>
      <c r="D413">
        <v>2012</v>
      </c>
      <c r="E413">
        <v>17.2</v>
      </c>
      <c r="F413">
        <v>73.84</v>
      </c>
      <c r="G413">
        <v>56.64</v>
      </c>
      <c r="H413">
        <v>1</v>
      </c>
      <c r="I413">
        <f>IF(Merge1[[#This Row],[Discrepancy]]&gt;=40,1,0)</f>
        <v>1</v>
      </c>
      <c r="J413" t="str">
        <f>IF(Merge1[[#This Row],[Year]]=2023,Merge1[[#This Row],[High Discrepancy2]],"")</f>
        <v/>
      </c>
      <c r="K41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13" s="1" t="str">
        <f ca="1">IF(Merge1[[#This Row],[Consecutive from 2023]]&gt;=5,"ALERT","")</f>
        <v/>
      </c>
    </row>
    <row r="414" spans="1:12" hidden="1" x14ac:dyDescent="0.35">
      <c r="A414" s="1" t="s">
        <v>103</v>
      </c>
      <c r="B414" s="1" t="s">
        <v>175</v>
      </c>
      <c r="C414" s="1" t="s">
        <v>34</v>
      </c>
      <c r="D414">
        <v>2011</v>
      </c>
      <c r="E414">
        <v>14.2</v>
      </c>
      <c r="F414">
        <v>87.08</v>
      </c>
      <c r="G414">
        <v>72.88</v>
      </c>
      <c r="H414">
        <v>1</v>
      </c>
      <c r="I414">
        <f>IF(Merge1[[#This Row],[Discrepancy]]&gt;=40,1,0)</f>
        <v>1</v>
      </c>
      <c r="J414" t="str">
        <f>IF(Merge1[[#This Row],[Year]]=2023,Merge1[[#This Row],[High Discrepancy2]],"")</f>
        <v/>
      </c>
      <c r="K41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14" s="1" t="str">
        <f ca="1">IF(Merge1[[#This Row],[Consecutive from 2023]]&gt;=5,"ALERT","")</f>
        <v/>
      </c>
    </row>
    <row r="415" spans="1:12" hidden="1" x14ac:dyDescent="0.35">
      <c r="A415" s="1" t="s">
        <v>103</v>
      </c>
      <c r="B415" s="1" t="s">
        <v>175</v>
      </c>
      <c r="C415" s="1" t="s">
        <v>34</v>
      </c>
      <c r="D415">
        <v>2010</v>
      </c>
      <c r="E415">
        <v>11.5</v>
      </c>
      <c r="F415">
        <v>87.4</v>
      </c>
      <c r="G415">
        <v>75.900000000000006</v>
      </c>
      <c r="H415">
        <v>1</v>
      </c>
      <c r="I415">
        <f>IF(Merge1[[#This Row],[Discrepancy]]&gt;=40,1,0)</f>
        <v>1</v>
      </c>
      <c r="J415" t="str">
        <f>IF(Merge1[[#This Row],[Year]]=2023,Merge1[[#This Row],[High Discrepancy2]],"")</f>
        <v/>
      </c>
      <c r="K41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15" s="1" t="str">
        <f ca="1">IF(Merge1[[#This Row],[Consecutive from 2023]]&gt;=5,"ALERT","")</f>
        <v/>
      </c>
    </row>
    <row r="416" spans="1:12" hidden="1" x14ac:dyDescent="0.35">
      <c r="A416" s="1" t="s">
        <v>122</v>
      </c>
      <c r="B416" s="1" t="s">
        <v>174</v>
      </c>
      <c r="C416" s="1" t="s">
        <v>34</v>
      </c>
      <c r="D416">
        <v>2023</v>
      </c>
      <c r="E416">
        <v>51.5</v>
      </c>
      <c r="F416">
        <v>99.72</v>
      </c>
      <c r="G416">
        <v>48.22</v>
      </c>
      <c r="H416">
        <v>1</v>
      </c>
      <c r="I416">
        <f>IF(Merge1[[#This Row],[Discrepancy]]&gt;=40,1,0)</f>
        <v>1</v>
      </c>
      <c r="J416">
        <f>IF(Merge1[[#This Row],[Year]]=2023,Merge1[[#This Row],[High Discrepancy2]],"")</f>
        <v>1</v>
      </c>
      <c r="K41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1</v>
      </c>
      <c r="L416" s="1" t="str">
        <f ca="1">IF(Merge1[[#This Row],[Consecutive from 2023]]&gt;=5,"ALERT","")</f>
        <v/>
      </c>
    </row>
    <row r="417" spans="1:12" hidden="1" x14ac:dyDescent="0.35">
      <c r="A417" s="1" t="s">
        <v>122</v>
      </c>
      <c r="B417" s="1" t="s">
        <v>174</v>
      </c>
      <c r="C417" s="1" t="s">
        <v>34</v>
      </c>
      <c r="D417">
        <v>2022</v>
      </c>
      <c r="E417">
        <v>47.1</v>
      </c>
      <c r="F417">
        <v>99.72</v>
      </c>
      <c r="G417">
        <v>52.62</v>
      </c>
      <c r="H417">
        <v>1</v>
      </c>
      <c r="I417">
        <f>IF(Merge1[[#This Row],[Discrepancy]]&gt;=40,1,0)</f>
        <v>1</v>
      </c>
      <c r="J417" t="str">
        <f>IF(Merge1[[#This Row],[Year]]=2023,Merge1[[#This Row],[High Discrepancy2]],"")</f>
        <v/>
      </c>
      <c r="K41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2</v>
      </c>
      <c r="L417" s="1" t="str">
        <f ca="1">IF(Merge1[[#This Row],[Consecutive from 2023]]&gt;=5,"ALERT","")</f>
        <v/>
      </c>
    </row>
    <row r="418" spans="1:12" hidden="1" x14ac:dyDescent="0.35">
      <c r="A418" s="1" t="s">
        <v>122</v>
      </c>
      <c r="B418" s="1" t="s">
        <v>174</v>
      </c>
      <c r="C418" s="1" t="s">
        <v>34</v>
      </c>
      <c r="D418">
        <v>2021</v>
      </c>
      <c r="E418">
        <v>45.2</v>
      </c>
      <c r="F418">
        <v>97.85</v>
      </c>
      <c r="G418">
        <v>52.649999999999991</v>
      </c>
      <c r="H418">
        <v>1</v>
      </c>
      <c r="I418">
        <f>IF(Merge1[[#This Row],[Discrepancy]]&gt;=40,1,0)</f>
        <v>1</v>
      </c>
      <c r="J418" t="str">
        <f>IF(Merge1[[#This Row],[Year]]=2023,Merge1[[#This Row],[High Discrepancy2]],"")</f>
        <v/>
      </c>
      <c r="K41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3</v>
      </c>
      <c r="L418" s="1" t="str">
        <f ca="1">IF(Merge1[[#This Row],[Consecutive from 2023]]&gt;=5,"ALERT","")</f>
        <v/>
      </c>
    </row>
    <row r="419" spans="1:12" hidden="1" x14ac:dyDescent="0.35">
      <c r="A419" s="1" t="s">
        <v>122</v>
      </c>
      <c r="B419" s="1" t="s">
        <v>174</v>
      </c>
      <c r="C419" s="1" t="s">
        <v>34</v>
      </c>
      <c r="D419">
        <v>2020</v>
      </c>
      <c r="E419">
        <v>42.1</v>
      </c>
      <c r="F419">
        <v>98.69</v>
      </c>
      <c r="G419">
        <v>56.589999999999996</v>
      </c>
      <c r="H419">
        <v>1</v>
      </c>
      <c r="I419">
        <f>IF(Merge1[[#This Row],[Discrepancy]]&gt;=40,1,0)</f>
        <v>1</v>
      </c>
      <c r="J419" t="str">
        <f>IF(Merge1[[#This Row],[Year]]=2023,Merge1[[#This Row],[High Discrepancy2]],"")</f>
        <v/>
      </c>
      <c r="K41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4</v>
      </c>
      <c r="L419" s="1" t="str">
        <f ca="1">IF(Merge1[[#This Row],[Consecutive from 2023]]&gt;=5,"ALERT","")</f>
        <v/>
      </c>
    </row>
    <row r="420" spans="1:12" x14ac:dyDescent="0.35">
      <c r="A420" s="1" t="s">
        <v>122</v>
      </c>
      <c r="B420" s="1" t="s">
        <v>174</v>
      </c>
      <c r="C420" s="1" t="s">
        <v>34</v>
      </c>
      <c r="D420">
        <v>2019</v>
      </c>
      <c r="E420">
        <v>41.3</v>
      </c>
      <c r="F420">
        <v>97.64</v>
      </c>
      <c r="G420">
        <v>56.34</v>
      </c>
      <c r="H420">
        <v>1</v>
      </c>
      <c r="I420">
        <f>IF(Merge1[[#This Row],[Discrepancy]]&gt;=40,1,0)</f>
        <v>1</v>
      </c>
      <c r="J420" t="str">
        <f>IF(Merge1[[#This Row],[Year]]=2023,Merge1[[#This Row],[High Discrepancy2]],"")</f>
        <v/>
      </c>
      <c r="K42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5</v>
      </c>
      <c r="L420" s="1" t="str">
        <f ca="1">IF(Merge1[[#This Row],[Consecutive from 2023]]&gt;=5,"ALERT","")</f>
        <v>ALERT</v>
      </c>
    </row>
    <row r="421" spans="1:12" x14ac:dyDescent="0.35">
      <c r="A421" s="1" t="s">
        <v>122</v>
      </c>
      <c r="B421" s="1" t="s">
        <v>174</v>
      </c>
      <c r="C421" s="1" t="s">
        <v>34</v>
      </c>
      <c r="D421">
        <v>2018</v>
      </c>
      <c r="E421">
        <v>41.9</v>
      </c>
      <c r="F421">
        <v>94.37</v>
      </c>
      <c r="G421">
        <v>52.470000000000006</v>
      </c>
      <c r="H421">
        <v>1</v>
      </c>
      <c r="I421">
        <f>IF(Merge1[[#This Row],[Discrepancy]]&gt;=40,1,0)</f>
        <v>1</v>
      </c>
      <c r="J421" t="str">
        <f>IF(Merge1[[#This Row],[Year]]=2023,Merge1[[#This Row],[High Discrepancy2]],"")</f>
        <v/>
      </c>
      <c r="K42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6</v>
      </c>
      <c r="L421" s="1" t="str">
        <f ca="1">IF(Merge1[[#This Row],[Consecutive from 2023]]&gt;=5,"ALERT","")</f>
        <v>ALERT</v>
      </c>
    </row>
    <row r="422" spans="1:12" hidden="1" x14ac:dyDescent="0.35">
      <c r="A422" s="1" t="s">
        <v>109</v>
      </c>
      <c r="B422" s="1" t="s">
        <v>176</v>
      </c>
      <c r="C422" s="1" t="s">
        <v>31</v>
      </c>
      <c r="D422">
        <v>2023</v>
      </c>
      <c r="E422">
        <v>86.4</v>
      </c>
      <c r="F422">
        <v>98.99</v>
      </c>
      <c r="G422">
        <v>12.589999999999989</v>
      </c>
      <c r="H422">
        <v>1</v>
      </c>
      <c r="I422">
        <f>IF(Merge1[[#This Row],[Discrepancy]]&gt;=40,1,0)</f>
        <v>0</v>
      </c>
      <c r="J422">
        <f>IF(Merge1[[#This Row],[Year]]=2023,Merge1[[#This Row],[High Discrepancy2]],"")</f>
        <v>0</v>
      </c>
      <c r="K42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2" s="1" t="str">
        <f ca="1">IF(Merge1[[#This Row],[Consecutive from 2023]]&gt;=5,"ALERT","")</f>
        <v/>
      </c>
    </row>
    <row r="423" spans="1:12" hidden="1" x14ac:dyDescent="0.35">
      <c r="A423" s="1" t="s">
        <v>109</v>
      </c>
      <c r="B423" s="1" t="s">
        <v>176</v>
      </c>
      <c r="C423" s="1" t="s">
        <v>31</v>
      </c>
      <c r="D423">
        <v>2022</v>
      </c>
      <c r="E423">
        <v>82.3</v>
      </c>
      <c r="F423">
        <v>98.71</v>
      </c>
      <c r="G423">
        <v>16.409999999999997</v>
      </c>
      <c r="H423">
        <v>1</v>
      </c>
      <c r="I423">
        <f>IF(Merge1[[#This Row],[Discrepancy]]&gt;=40,1,0)</f>
        <v>0</v>
      </c>
      <c r="J423" t="str">
        <f>IF(Merge1[[#This Row],[Year]]=2023,Merge1[[#This Row],[High Discrepancy2]],"")</f>
        <v/>
      </c>
      <c r="K42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3" s="1" t="str">
        <f ca="1">IF(Merge1[[#This Row],[Consecutive from 2023]]&gt;=5,"ALERT","")</f>
        <v/>
      </c>
    </row>
    <row r="424" spans="1:12" hidden="1" x14ac:dyDescent="0.35">
      <c r="A424" s="1" t="s">
        <v>109</v>
      </c>
      <c r="B424" s="1" t="s">
        <v>176</v>
      </c>
      <c r="C424" s="1" t="s">
        <v>31</v>
      </c>
      <c r="D424">
        <v>2021</v>
      </c>
      <c r="E424">
        <v>82.9</v>
      </c>
      <c r="F424">
        <v>98.6</v>
      </c>
      <c r="G424">
        <v>15.699999999999989</v>
      </c>
      <c r="H424">
        <v>1</v>
      </c>
      <c r="I424">
        <f>IF(Merge1[[#This Row],[Discrepancy]]&gt;=40,1,0)</f>
        <v>0</v>
      </c>
      <c r="J424" t="str">
        <f>IF(Merge1[[#This Row],[Year]]=2023,Merge1[[#This Row],[High Discrepancy2]],"")</f>
        <v/>
      </c>
      <c r="K42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4" s="1" t="str">
        <f ca="1">IF(Merge1[[#This Row],[Consecutive from 2023]]&gt;=5,"ALERT","")</f>
        <v/>
      </c>
    </row>
    <row r="425" spans="1:12" hidden="1" x14ac:dyDescent="0.35">
      <c r="A425" s="1" t="s">
        <v>109</v>
      </c>
      <c r="B425" s="1" t="s">
        <v>176</v>
      </c>
      <c r="C425" s="1" t="s">
        <v>31</v>
      </c>
      <c r="D425">
        <v>2020</v>
      </c>
      <c r="E425">
        <v>80</v>
      </c>
      <c r="F425">
        <v>98.48</v>
      </c>
      <c r="G425">
        <v>18.480000000000004</v>
      </c>
      <c r="H425">
        <v>1</v>
      </c>
      <c r="I425">
        <f>IF(Merge1[[#This Row],[Discrepancy]]&gt;=40,1,0)</f>
        <v>0</v>
      </c>
      <c r="J425" t="str">
        <f>IF(Merge1[[#This Row],[Year]]=2023,Merge1[[#This Row],[High Discrepancy2]],"")</f>
        <v/>
      </c>
      <c r="K42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5" s="1" t="str">
        <f ca="1">IF(Merge1[[#This Row],[Consecutive from 2023]]&gt;=5,"ALERT","")</f>
        <v/>
      </c>
    </row>
    <row r="426" spans="1:12" hidden="1" x14ac:dyDescent="0.35">
      <c r="A426" s="1" t="s">
        <v>109</v>
      </c>
      <c r="B426" s="1" t="s">
        <v>176</v>
      </c>
      <c r="C426" s="1" t="s">
        <v>31</v>
      </c>
      <c r="D426">
        <v>2019</v>
      </c>
      <c r="E426">
        <v>77</v>
      </c>
      <c r="F426">
        <v>98.45</v>
      </c>
      <c r="G426">
        <v>21.450000000000003</v>
      </c>
      <c r="H426">
        <v>1</v>
      </c>
      <c r="I426">
        <f>IF(Merge1[[#This Row],[Discrepancy]]&gt;=40,1,0)</f>
        <v>0</v>
      </c>
      <c r="J426" t="str">
        <f>IF(Merge1[[#This Row],[Year]]=2023,Merge1[[#This Row],[High Discrepancy2]],"")</f>
        <v/>
      </c>
      <c r="K42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6" s="1" t="str">
        <f ca="1">IF(Merge1[[#This Row],[Consecutive from 2023]]&gt;=5,"ALERT","")</f>
        <v/>
      </c>
    </row>
    <row r="427" spans="1:12" hidden="1" x14ac:dyDescent="0.35">
      <c r="A427" s="1" t="s">
        <v>109</v>
      </c>
      <c r="B427" s="1" t="s">
        <v>176</v>
      </c>
      <c r="C427" s="1" t="s">
        <v>31</v>
      </c>
      <c r="D427">
        <v>2018</v>
      </c>
      <c r="E427">
        <v>74</v>
      </c>
      <c r="F427">
        <v>98.3</v>
      </c>
      <c r="G427">
        <v>24.299999999999997</v>
      </c>
      <c r="H427">
        <v>1</v>
      </c>
      <c r="I427">
        <f>IF(Merge1[[#This Row],[Discrepancy]]&gt;=40,1,0)</f>
        <v>0</v>
      </c>
      <c r="J427" t="str">
        <f>IF(Merge1[[#This Row],[Year]]=2023,Merge1[[#This Row],[High Discrepancy2]],"")</f>
        <v/>
      </c>
      <c r="K42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7" s="1" t="str">
        <f ca="1">IF(Merge1[[#This Row],[Consecutive from 2023]]&gt;=5,"ALERT","")</f>
        <v/>
      </c>
    </row>
    <row r="428" spans="1:12" hidden="1" x14ac:dyDescent="0.35">
      <c r="A428" s="1" t="s">
        <v>109</v>
      </c>
      <c r="B428" s="1" t="s">
        <v>176</v>
      </c>
      <c r="C428" s="1" t="s">
        <v>31</v>
      </c>
      <c r="D428">
        <v>2017</v>
      </c>
      <c r="E428">
        <v>73.5</v>
      </c>
      <c r="F428">
        <v>97.9</v>
      </c>
      <c r="G428">
        <v>24.400000000000006</v>
      </c>
      <c r="H428">
        <v>1</v>
      </c>
      <c r="I428">
        <f>IF(Merge1[[#This Row],[Discrepancy]]&gt;=40,1,0)</f>
        <v>0</v>
      </c>
      <c r="J428" t="str">
        <f>IF(Merge1[[#This Row],[Year]]=2023,Merge1[[#This Row],[High Discrepancy2]],"")</f>
        <v/>
      </c>
      <c r="K42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8" s="1" t="str">
        <f ca="1">IF(Merge1[[#This Row],[Consecutive from 2023]]&gt;=5,"ALERT","")</f>
        <v/>
      </c>
    </row>
    <row r="429" spans="1:12" hidden="1" x14ac:dyDescent="0.35">
      <c r="A429" s="1" t="s">
        <v>122</v>
      </c>
      <c r="B429" s="1" t="s">
        <v>174</v>
      </c>
      <c r="C429" s="1" t="s">
        <v>34</v>
      </c>
      <c r="D429">
        <v>2017</v>
      </c>
      <c r="E429">
        <v>32.4</v>
      </c>
      <c r="F429">
        <v>93.8</v>
      </c>
      <c r="G429">
        <v>61.4</v>
      </c>
      <c r="H429">
        <v>1</v>
      </c>
      <c r="I429">
        <f>IF(Merge1[[#This Row],[Discrepancy]]&gt;=40,1,0)</f>
        <v>1</v>
      </c>
      <c r="J429" t="str">
        <f>IF(Merge1[[#This Row],[Year]]=2023,Merge1[[#This Row],[High Discrepancy2]],"")</f>
        <v/>
      </c>
      <c r="K42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29" s="1" t="str">
        <f ca="1">IF(Merge1[[#This Row],[Consecutive from 2023]]&gt;=5,"ALERT","")</f>
        <v/>
      </c>
    </row>
    <row r="430" spans="1:12" hidden="1" x14ac:dyDescent="0.35">
      <c r="A430" s="1" t="s">
        <v>122</v>
      </c>
      <c r="B430" s="1" t="s">
        <v>174</v>
      </c>
      <c r="C430" s="1" t="s">
        <v>34</v>
      </c>
      <c r="D430">
        <v>2016</v>
      </c>
      <c r="E430">
        <v>26.7</v>
      </c>
      <c r="F430">
        <v>98.15</v>
      </c>
      <c r="G430">
        <v>71.45</v>
      </c>
      <c r="H430">
        <v>1</v>
      </c>
      <c r="I430">
        <f>IF(Merge1[[#This Row],[Discrepancy]]&gt;=40,1,0)</f>
        <v>1</v>
      </c>
      <c r="J430" t="str">
        <f>IF(Merge1[[#This Row],[Year]]=2023,Merge1[[#This Row],[High Discrepancy2]],"")</f>
        <v/>
      </c>
      <c r="K43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0" s="1" t="str">
        <f ca="1">IF(Merge1[[#This Row],[Consecutive from 2023]]&gt;=5,"ALERT","")</f>
        <v/>
      </c>
    </row>
    <row r="431" spans="1:12" hidden="1" x14ac:dyDescent="0.35">
      <c r="A431" s="1" t="s">
        <v>122</v>
      </c>
      <c r="B431" s="1" t="s">
        <v>174</v>
      </c>
      <c r="C431" s="1" t="s">
        <v>34</v>
      </c>
      <c r="D431">
        <v>2015</v>
      </c>
      <c r="E431">
        <v>18.5</v>
      </c>
      <c r="F431">
        <v>97.43</v>
      </c>
      <c r="G431">
        <v>78.930000000000007</v>
      </c>
      <c r="H431">
        <v>1</v>
      </c>
      <c r="I431">
        <f>IF(Merge1[[#This Row],[Discrepancy]]&gt;=40,1,0)</f>
        <v>1</v>
      </c>
      <c r="J431" t="str">
        <f>IF(Merge1[[#This Row],[Year]]=2023,Merge1[[#This Row],[High Discrepancy2]],"")</f>
        <v/>
      </c>
      <c r="K43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1" s="1" t="str">
        <f ca="1">IF(Merge1[[#This Row],[Consecutive from 2023]]&gt;=5,"ALERT","")</f>
        <v/>
      </c>
    </row>
    <row r="432" spans="1:12" hidden="1" x14ac:dyDescent="0.35">
      <c r="A432" s="1" t="s">
        <v>122</v>
      </c>
      <c r="B432" s="1" t="s">
        <v>174</v>
      </c>
      <c r="C432" s="1" t="s">
        <v>34</v>
      </c>
      <c r="D432">
        <v>2014</v>
      </c>
      <c r="E432">
        <v>20.399999999999999</v>
      </c>
      <c r="F432">
        <v>97.38</v>
      </c>
      <c r="G432">
        <v>76.97999999999999</v>
      </c>
      <c r="H432">
        <v>1</v>
      </c>
      <c r="I432">
        <f>IF(Merge1[[#This Row],[Discrepancy]]&gt;=40,1,0)</f>
        <v>1</v>
      </c>
      <c r="J432" t="str">
        <f>IF(Merge1[[#This Row],[Year]]=2023,Merge1[[#This Row],[High Discrepancy2]],"")</f>
        <v/>
      </c>
      <c r="K43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2" s="1" t="str">
        <f ca="1">IF(Merge1[[#This Row],[Consecutive from 2023]]&gt;=5,"ALERT","")</f>
        <v/>
      </c>
    </row>
    <row r="433" spans="1:12" hidden="1" x14ac:dyDescent="0.35">
      <c r="A433" s="1" t="s">
        <v>122</v>
      </c>
      <c r="B433" s="1" t="s">
        <v>174</v>
      </c>
      <c r="C433" s="1" t="s">
        <v>34</v>
      </c>
      <c r="D433">
        <v>2013</v>
      </c>
      <c r="E433">
        <v>13.9</v>
      </c>
      <c r="F433">
        <v>99.95</v>
      </c>
      <c r="G433">
        <v>86.05</v>
      </c>
      <c r="H433">
        <v>1</v>
      </c>
      <c r="I433">
        <f>IF(Merge1[[#This Row],[Discrepancy]]&gt;=40,1,0)</f>
        <v>1</v>
      </c>
      <c r="J433" t="str">
        <f>IF(Merge1[[#This Row],[Year]]=2023,Merge1[[#This Row],[High Discrepancy2]],"")</f>
        <v/>
      </c>
      <c r="K43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3" s="1" t="str">
        <f ca="1">IF(Merge1[[#This Row],[Consecutive from 2023]]&gt;=5,"ALERT","")</f>
        <v/>
      </c>
    </row>
    <row r="434" spans="1:12" hidden="1" x14ac:dyDescent="0.35">
      <c r="A434" s="1" t="s">
        <v>122</v>
      </c>
      <c r="B434" s="1" t="s">
        <v>174</v>
      </c>
      <c r="C434" s="1" t="s">
        <v>34</v>
      </c>
      <c r="D434">
        <v>2012</v>
      </c>
      <c r="E434">
        <v>20.5</v>
      </c>
      <c r="F434">
        <v>90.49</v>
      </c>
      <c r="G434">
        <v>69.989999999999995</v>
      </c>
      <c r="H434">
        <v>1</v>
      </c>
      <c r="I434">
        <f>IF(Merge1[[#This Row],[Discrepancy]]&gt;=40,1,0)</f>
        <v>1</v>
      </c>
      <c r="J434" t="str">
        <f>IF(Merge1[[#This Row],[Year]]=2023,Merge1[[#This Row],[High Discrepancy2]],"")</f>
        <v/>
      </c>
      <c r="K43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4" s="1" t="str">
        <f ca="1">IF(Merge1[[#This Row],[Consecutive from 2023]]&gt;=5,"ALERT","")</f>
        <v/>
      </c>
    </row>
    <row r="435" spans="1:12" hidden="1" x14ac:dyDescent="0.35">
      <c r="A435" s="1" t="s">
        <v>122</v>
      </c>
      <c r="B435" s="1" t="s">
        <v>174</v>
      </c>
      <c r="C435" s="1" t="s">
        <v>34</v>
      </c>
      <c r="D435">
        <v>2011</v>
      </c>
      <c r="E435">
        <v>14.6</v>
      </c>
      <c r="F435">
        <v>63.15</v>
      </c>
      <c r="G435">
        <v>48.55</v>
      </c>
      <c r="H435">
        <v>1</v>
      </c>
      <c r="I435">
        <f>IF(Merge1[[#This Row],[Discrepancy]]&gt;=40,1,0)</f>
        <v>1</v>
      </c>
      <c r="J435" t="str">
        <f>IF(Merge1[[#This Row],[Year]]=2023,Merge1[[#This Row],[High Discrepancy2]],"")</f>
        <v/>
      </c>
      <c r="K43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5" s="1" t="str">
        <f ca="1">IF(Merge1[[#This Row],[Consecutive from 2023]]&gt;=5,"ALERT","")</f>
        <v/>
      </c>
    </row>
    <row r="436" spans="1:12" hidden="1" x14ac:dyDescent="0.35">
      <c r="A436" s="1" t="s">
        <v>55</v>
      </c>
      <c r="B436" s="1" t="s">
        <v>174</v>
      </c>
      <c r="C436" s="1" t="s">
        <v>34</v>
      </c>
      <c r="D436">
        <v>2023</v>
      </c>
      <c r="E436">
        <v>54.4</v>
      </c>
      <c r="F436">
        <v>11.16</v>
      </c>
      <c r="G436">
        <v>-43.239999999999995</v>
      </c>
      <c r="H436">
        <v>0</v>
      </c>
      <c r="I436">
        <f>IF(Merge1[[#This Row],[Discrepancy]]&gt;=40,1,0)</f>
        <v>0</v>
      </c>
      <c r="J436">
        <f>IF(Merge1[[#This Row],[Year]]=2023,Merge1[[#This Row],[High Discrepancy2]],"")</f>
        <v>0</v>
      </c>
      <c r="K43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6" s="1" t="str">
        <f ca="1">IF(Merge1[[#This Row],[Consecutive from 2023]]&gt;=5,"ALERT","")</f>
        <v/>
      </c>
    </row>
    <row r="437" spans="1:12" hidden="1" x14ac:dyDescent="0.35">
      <c r="A437" s="1" t="s">
        <v>55</v>
      </c>
      <c r="B437" s="1" t="s">
        <v>174</v>
      </c>
      <c r="C437" s="1" t="s">
        <v>34</v>
      </c>
      <c r="D437">
        <v>2022</v>
      </c>
      <c r="E437">
        <v>53.4</v>
      </c>
      <c r="F437">
        <v>11.16</v>
      </c>
      <c r="G437">
        <v>-42.239999999999995</v>
      </c>
      <c r="H437">
        <v>0</v>
      </c>
      <c r="I437">
        <f>IF(Merge1[[#This Row],[Discrepancy]]&gt;=40,1,0)</f>
        <v>0</v>
      </c>
      <c r="J437" t="str">
        <f>IF(Merge1[[#This Row],[Year]]=2023,Merge1[[#This Row],[High Discrepancy2]],"")</f>
        <v/>
      </c>
      <c r="K43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7" s="1" t="str">
        <f ca="1">IF(Merge1[[#This Row],[Consecutive from 2023]]&gt;=5,"ALERT","")</f>
        <v/>
      </c>
    </row>
    <row r="438" spans="1:12" hidden="1" x14ac:dyDescent="0.35">
      <c r="A438" s="1" t="s">
        <v>55</v>
      </c>
      <c r="B438" s="1" t="s">
        <v>174</v>
      </c>
      <c r="C438" s="1" t="s">
        <v>34</v>
      </c>
      <c r="D438">
        <v>2021</v>
      </c>
      <c r="E438">
        <v>52.5</v>
      </c>
      <c r="F438">
        <v>11.75</v>
      </c>
      <c r="G438">
        <v>-40.75</v>
      </c>
      <c r="H438">
        <v>0</v>
      </c>
      <c r="I438">
        <f>IF(Merge1[[#This Row],[Discrepancy]]&gt;=40,1,0)</f>
        <v>0</v>
      </c>
      <c r="J438" t="str">
        <f>IF(Merge1[[#This Row],[Year]]=2023,Merge1[[#This Row],[High Discrepancy2]],"")</f>
        <v/>
      </c>
      <c r="K43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8" s="1" t="str">
        <f ca="1">IF(Merge1[[#This Row],[Consecutive from 2023]]&gt;=5,"ALERT","")</f>
        <v/>
      </c>
    </row>
    <row r="439" spans="1:12" hidden="1" x14ac:dyDescent="0.35">
      <c r="A439" s="1" t="s">
        <v>55</v>
      </c>
      <c r="B439" s="1" t="s">
        <v>174</v>
      </c>
      <c r="C439" s="1" t="s">
        <v>34</v>
      </c>
      <c r="D439">
        <v>2020</v>
      </c>
      <c r="E439">
        <v>51.4</v>
      </c>
      <c r="F439">
        <v>12.37</v>
      </c>
      <c r="G439">
        <v>-39.03</v>
      </c>
      <c r="H439">
        <v>0</v>
      </c>
      <c r="I439">
        <f>IF(Merge1[[#This Row],[Discrepancy]]&gt;=40,1,0)</f>
        <v>0</v>
      </c>
      <c r="J439" t="str">
        <f>IF(Merge1[[#This Row],[Year]]=2023,Merge1[[#This Row],[High Discrepancy2]],"")</f>
        <v/>
      </c>
      <c r="K43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39" s="1" t="str">
        <f ca="1">IF(Merge1[[#This Row],[Consecutive from 2023]]&gt;=5,"ALERT","")</f>
        <v/>
      </c>
    </row>
    <row r="440" spans="1:12" hidden="1" x14ac:dyDescent="0.35">
      <c r="A440" s="1" t="s">
        <v>55</v>
      </c>
      <c r="B440" s="1" t="s">
        <v>174</v>
      </c>
      <c r="C440" s="1" t="s">
        <v>34</v>
      </c>
      <c r="D440">
        <v>2019</v>
      </c>
      <c r="E440">
        <v>50.3</v>
      </c>
      <c r="F440">
        <v>12.71</v>
      </c>
      <c r="G440">
        <v>-37.589999999999996</v>
      </c>
      <c r="H440">
        <v>0</v>
      </c>
      <c r="I440">
        <f>IF(Merge1[[#This Row],[Discrepancy]]&gt;=40,1,0)</f>
        <v>0</v>
      </c>
      <c r="J440" t="str">
        <f>IF(Merge1[[#This Row],[Year]]=2023,Merge1[[#This Row],[High Discrepancy2]],"")</f>
        <v/>
      </c>
      <c r="K44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0" s="1" t="str">
        <f ca="1">IF(Merge1[[#This Row],[Consecutive from 2023]]&gt;=5,"ALERT","")</f>
        <v/>
      </c>
    </row>
    <row r="441" spans="1:12" hidden="1" x14ac:dyDescent="0.35">
      <c r="A441" s="1" t="s">
        <v>55</v>
      </c>
      <c r="B441" s="1" t="s">
        <v>174</v>
      </c>
      <c r="C441" s="1" t="s">
        <v>34</v>
      </c>
      <c r="D441">
        <v>2018</v>
      </c>
      <c r="E441">
        <v>49.1</v>
      </c>
      <c r="F441">
        <v>13.02</v>
      </c>
      <c r="G441">
        <v>-36.08</v>
      </c>
      <c r="H441">
        <v>0</v>
      </c>
      <c r="I441">
        <f>IF(Merge1[[#This Row],[Discrepancy]]&gt;=40,1,0)</f>
        <v>0</v>
      </c>
      <c r="J441" t="str">
        <f>IF(Merge1[[#This Row],[Year]]=2023,Merge1[[#This Row],[High Discrepancy2]],"")</f>
        <v/>
      </c>
      <c r="K44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1" s="1" t="str">
        <f ca="1">IF(Merge1[[#This Row],[Consecutive from 2023]]&gt;=5,"ALERT","")</f>
        <v/>
      </c>
    </row>
    <row r="442" spans="1:12" hidden="1" x14ac:dyDescent="0.35">
      <c r="A442" s="1" t="s">
        <v>55</v>
      </c>
      <c r="B442" s="1" t="s">
        <v>174</v>
      </c>
      <c r="C442" s="1" t="s">
        <v>34</v>
      </c>
      <c r="D442">
        <v>2017</v>
      </c>
      <c r="E442">
        <v>48</v>
      </c>
      <c r="F442">
        <v>12.4</v>
      </c>
      <c r="G442">
        <v>-35.6</v>
      </c>
      <c r="H442">
        <v>0</v>
      </c>
      <c r="I442">
        <f>IF(Merge1[[#This Row],[Discrepancy]]&gt;=40,1,0)</f>
        <v>0</v>
      </c>
      <c r="J442" t="str">
        <f>IF(Merge1[[#This Row],[Year]]=2023,Merge1[[#This Row],[High Discrepancy2]],"")</f>
        <v/>
      </c>
      <c r="K44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2" s="1" t="str">
        <f ca="1">IF(Merge1[[#This Row],[Consecutive from 2023]]&gt;=5,"ALERT","")</f>
        <v/>
      </c>
    </row>
    <row r="443" spans="1:12" hidden="1" x14ac:dyDescent="0.35">
      <c r="A443" s="1" t="s">
        <v>55</v>
      </c>
      <c r="B443" s="1" t="s">
        <v>174</v>
      </c>
      <c r="C443" s="1" t="s">
        <v>34</v>
      </c>
      <c r="D443">
        <v>2016</v>
      </c>
      <c r="E443">
        <v>46.9</v>
      </c>
      <c r="F443">
        <v>6.68</v>
      </c>
      <c r="G443">
        <v>-40.22</v>
      </c>
      <c r="H443">
        <v>0</v>
      </c>
      <c r="I443">
        <f>IF(Merge1[[#This Row],[Discrepancy]]&gt;=40,1,0)</f>
        <v>0</v>
      </c>
      <c r="J443" t="str">
        <f>IF(Merge1[[#This Row],[Year]]=2023,Merge1[[#This Row],[High Discrepancy2]],"")</f>
        <v/>
      </c>
      <c r="K44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3" s="1" t="str">
        <f ca="1">IF(Merge1[[#This Row],[Consecutive from 2023]]&gt;=5,"ALERT","")</f>
        <v/>
      </c>
    </row>
    <row r="444" spans="1:12" hidden="1" x14ac:dyDescent="0.35">
      <c r="A444" s="1" t="s">
        <v>55</v>
      </c>
      <c r="B444" s="1" t="s">
        <v>174</v>
      </c>
      <c r="C444" s="1" t="s">
        <v>34</v>
      </c>
      <c r="D444">
        <v>2015</v>
      </c>
      <c r="E444">
        <v>45.8</v>
      </c>
      <c r="F444">
        <v>6.06</v>
      </c>
      <c r="G444">
        <v>-39.739999999999995</v>
      </c>
      <c r="H444">
        <v>0</v>
      </c>
      <c r="I444">
        <f>IF(Merge1[[#This Row],[Discrepancy]]&gt;=40,1,0)</f>
        <v>0</v>
      </c>
      <c r="J444" t="str">
        <f>IF(Merge1[[#This Row],[Year]]=2023,Merge1[[#This Row],[High Discrepancy2]],"")</f>
        <v/>
      </c>
      <c r="K44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4" s="1" t="str">
        <f ca="1">IF(Merge1[[#This Row],[Consecutive from 2023]]&gt;=5,"ALERT","")</f>
        <v/>
      </c>
    </row>
    <row r="445" spans="1:12" hidden="1" x14ac:dyDescent="0.35">
      <c r="A445" s="1" t="s">
        <v>55</v>
      </c>
      <c r="B445" s="1" t="s">
        <v>174</v>
      </c>
      <c r="C445" s="1" t="s">
        <v>34</v>
      </c>
      <c r="D445">
        <v>2014</v>
      </c>
      <c r="E445">
        <v>44.6</v>
      </c>
      <c r="F445">
        <v>5.89</v>
      </c>
      <c r="G445">
        <v>-38.71</v>
      </c>
      <c r="H445">
        <v>0</v>
      </c>
      <c r="I445">
        <f>IF(Merge1[[#This Row],[Discrepancy]]&gt;=40,1,0)</f>
        <v>0</v>
      </c>
      <c r="J445" t="str">
        <f>IF(Merge1[[#This Row],[Year]]=2023,Merge1[[#This Row],[High Discrepancy2]],"")</f>
        <v/>
      </c>
      <c r="K44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5" s="1" t="str">
        <f ca="1">IF(Merge1[[#This Row],[Consecutive from 2023]]&gt;=5,"ALERT","")</f>
        <v/>
      </c>
    </row>
    <row r="446" spans="1:12" hidden="1" x14ac:dyDescent="0.35">
      <c r="A446" s="1" t="s">
        <v>55</v>
      </c>
      <c r="B446" s="1" t="s">
        <v>174</v>
      </c>
      <c r="C446" s="1" t="s">
        <v>34</v>
      </c>
      <c r="D446">
        <v>2013</v>
      </c>
      <c r="E446">
        <v>43.5</v>
      </c>
      <c r="F446">
        <v>0.75</v>
      </c>
      <c r="G446">
        <v>-42.75</v>
      </c>
      <c r="H446">
        <v>0</v>
      </c>
      <c r="I446">
        <f>IF(Merge1[[#This Row],[Discrepancy]]&gt;=40,1,0)</f>
        <v>0</v>
      </c>
      <c r="J446" t="str">
        <f>IF(Merge1[[#This Row],[Year]]=2023,Merge1[[#This Row],[High Discrepancy2]],"")</f>
        <v/>
      </c>
      <c r="K44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6" s="1" t="str">
        <f ca="1">IF(Merge1[[#This Row],[Consecutive from 2023]]&gt;=5,"ALERT","")</f>
        <v/>
      </c>
    </row>
    <row r="447" spans="1:12" hidden="1" x14ac:dyDescent="0.35">
      <c r="A447" s="1" t="s">
        <v>55</v>
      </c>
      <c r="B447" s="1" t="s">
        <v>174</v>
      </c>
      <c r="C447" s="1" t="s">
        <v>34</v>
      </c>
      <c r="D447">
        <v>2012</v>
      </c>
      <c r="E447">
        <v>42.3</v>
      </c>
      <c r="F447">
        <v>0.64</v>
      </c>
      <c r="G447">
        <v>-41.66</v>
      </c>
      <c r="H447">
        <v>0</v>
      </c>
      <c r="I447">
        <f>IF(Merge1[[#This Row],[Discrepancy]]&gt;=40,1,0)</f>
        <v>0</v>
      </c>
      <c r="J447" t="str">
        <f>IF(Merge1[[#This Row],[Year]]=2023,Merge1[[#This Row],[High Discrepancy2]],"")</f>
        <v/>
      </c>
      <c r="K44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7" s="1" t="str">
        <f ca="1">IF(Merge1[[#This Row],[Consecutive from 2023]]&gt;=5,"ALERT","")</f>
        <v/>
      </c>
    </row>
    <row r="448" spans="1:12" hidden="1" x14ac:dyDescent="0.35">
      <c r="A448" s="1" t="s">
        <v>55</v>
      </c>
      <c r="B448" s="1" t="s">
        <v>174</v>
      </c>
      <c r="C448" s="1" t="s">
        <v>34</v>
      </c>
      <c r="D448">
        <v>2011</v>
      </c>
      <c r="E448">
        <v>41.2</v>
      </c>
      <c r="F448">
        <v>0.62</v>
      </c>
      <c r="G448">
        <v>-40.580000000000005</v>
      </c>
      <c r="H448">
        <v>0</v>
      </c>
      <c r="I448">
        <f>IF(Merge1[[#This Row],[Discrepancy]]&gt;=40,1,0)</f>
        <v>0</v>
      </c>
      <c r="J448" t="str">
        <f>IF(Merge1[[#This Row],[Year]]=2023,Merge1[[#This Row],[High Discrepancy2]],"")</f>
        <v/>
      </c>
      <c r="K44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8" s="1" t="str">
        <f ca="1">IF(Merge1[[#This Row],[Consecutive from 2023]]&gt;=5,"ALERT","")</f>
        <v/>
      </c>
    </row>
    <row r="449" spans="1:12" hidden="1" x14ac:dyDescent="0.35">
      <c r="A449" s="1" t="s">
        <v>55</v>
      </c>
      <c r="B449" s="1" t="s">
        <v>174</v>
      </c>
      <c r="C449" s="1" t="s">
        <v>34</v>
      </c>
      <c r="D449">
        <v>2010</v>
      </c>
      <c r="E449">
        <v>40.1</v>
      </c>
      <c r="F449">
        <v>0.63</v>
      </c>
      <c r="G449">
        <v>-39.47</v>
      </c>
      <c r="H449">
        <v>0</v>
      </c>
      <c r="I449">
        <f>IF(Merge1[[#This Row],[Discrepancy]]&gt;=40,1,0)</f>
        <v>0</v>
      </c>
      <c r="J449" t="str">
        <f>IF(Merge1[[#This Row],[Year]]=2023,Merge1[[#This Row],[High Discrepancy2]],"")</f>
        <v/>
      </c>
      <c r="K44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49" s="1" t="str">
        <f ca="1">IF(Merge1[[#This Row],[Consecutive from 2023]]&gt;=5,"ALERT","")</f>
        <v/>
      </c>
    </row>
    <row r="450" spans="1:12" hidden="1" x14ac:dyDescent="0.35">
      <c r="A450" s="1" t="s">
        <v>67</v>
      </c>
      <c r="B450" s="1" t="s">
        <v>172</v>
      </c>
      <c r="C450" s="1" t="s">
        <v>41</v>
      </c>
      <c r="D450">
        <v>2023</v>
      </c>
      <c r="E450">
        <v>66.900000000000006</v>
      </c>
      <c r="F450">
        <v>34.49</v>
      </c>
      <c r="G450">
        <v>-32.410000000000004</v>
      </c>
      <c r="H450">
        <v>0</v>
      </c>
      <c r="I450">
        <f>IF(Merge1[[#This Row],[Discrepancy]]&gt;=40,1,0)</f>
        <v>0</v>
      </c>
      <c r="J450">
        <f>IF(Merge1[[#This Row],[Year]]=2023,Merge1[[#This Row],[High Discrepancy2]],"")</f>
        <v>0</v>
      </c>
      <c r="K45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0" s="1" t="str">
        <f ca="1">IF(Merge1[[#This Row],[Consecutive from 2023]]&gt;=5,"ALERT","")</f>
        <v/>
      </c>
    </row>
    <row r="451" spans="1:12" hidden="1" x14ac:dyDescent="0.35">
      <c r="A451" s="1" t="s">
        <v>67</v>
      </c>
      <c r="B451" s="1" t="s">
        <v>172</v>
      </c>
      <c r="C451" s="1" t="s">
        <v>41</v>
      </c>
      <c r="D451">
        <v>2022</v>
      </c>
      <c r="E451">
        <v>67</v>
      </c>
      <c r="F451">
        <v>43.22</v>
      </c>
      <c r="G451">
        <v>-23.78</v>
      </c>
      <c r="H451">
        <v>0</v>
      </c>
      <c r="I451">
        <f>IF(Merge1[[#This Row],[Discrepancy]]&gt;=40,1,0)</f>
        <v>0</v>
      </c>
      <c r="J451" t="str">
        <f>IF(Merge1[[#This Row],[Year]]=2023,Merge1[[#This Row],[High Discrepancy2]],"")</f>
        <v/>
      </c>
      <c r="K45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1" s="1" t="str">
        <f ca="1">IF(Merge1[[#This Row],[Consecutive from 2023]]&gt;=5,"ALERT","")</f>
        <v/>
      </c>
    </row>
    <row r="452" spans="1:12" hidden="1" x14ac:dyDescent="0.35">
      <c r="A452" s="1" t="s">
        <v>67</v>
      </c>
      <c r="B452" s="1" t="s">
        <v>172</v>
      </c>
      <c r="C452" s="1" t="s">
        <v>41</v>
      </c>
      <c r="D452">
        <v>2021</v>
      </c>
      <c r="E452">
        <v>66.8</v>
      </c>
      <c r="F452">
        <v>43.67</v>
      </c>
      <c r="G452">
        <v>-23.129999999999995</v>
      </c>
      <c r="H452">
        <v>0</v>
      </c>
      <c r="I452">
        <f>IF(Merge1[[#This Row],[Discrepancy]]&gt;=40,1,0)</f>
        <v>0</v>
      </c>
      <c r="J452" t="str">
        <f>IF(Merge1[[#This Row],[Year]]=2023,Merge1[[#This Row],[High Discrepancy2]],"")</f>
        <v/>
      </c>
      <c r="K45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2" s="1" t="str">
        <f ca="1">IF(Merge1[[#This Row],[Consecutive from 2023]]&gt;=5,"ALERT","")</f>
        <v/>
      </c>
    </row>
    <row r="453" spans="1:12" hidden="1" x14ac:dyDescent="0.35">
      <c r="A453" s="1" t="s">
        <v>67</v>
      </c>
      <c r="B453" s="1" t="s">
        <v>172</v>
      </c>
      <c r="C453" s="1" t="s">
        <v>41</v>
      </c>
      <c r="D453">
        <v>2020</v>
      </c>
      <c r="E453">
        <v>66.7</v>
      </c>
      <c r="F453">
        <v>45.23</v>
      </c>
      <c r="G453">
        <v>-21.470000000000006</v>
      </c>
      <c r="H453">
        <v>0</v>
      </c>
      <c r="I453">
        <f>IF(Merge1[[#This Row],[Discrepancy]]&gt;=40,1,0)</f>
        <v>0</v>
      </c>
      <c r="J453" t="str">
        <f>IF(Merge1[[#This Row],[Year]]=2023,Merge1[[#This Row],[High Discrepancy2]],"")</f>
        <v/>
      </c>
      <c r="K45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3" s="1" t="str">
        <f ca="1">IF(Merge1[[#This Row],[Consecutive from 2023]]&gt;=5,"ALERT","")</f>
        <v/>
      </c>
    </row>
    <row r="454" spans="1:12" hidden="1" x14ac:dyDescent="0.35">
      <c r="A454" s="1" t="s">
        <v>67</v>
      </c>
      <c r="B454" s="1" t="s">
        <v>172</v>
      </c>
      <c r="C454" s="1" t="s">
        <v>41</v>
      </c>
      <c r="D454">
        <v>2019</v>
      </c>
      <c r="E454">
        <v>66.599999999999994</v>
      </c>
      <c r="F454">
        <v>45.72</v>
      </c>
      <c r="G454">
        <v>-20.879999999999995</v>
      </c>
      <c r="H454">
        <v>0</v>
      </c>
      <c r="I454">
        <f>IF(Merge1[[#This Row],[Discrepancy]]&gt;=40,1,0)</f>
        <v>0</v>
      </c>
      <c r="J454" t="str">
        <f>IF(Merge1[[#This Row],[Year]]=2023,Merge1[[#This Row],[High Discrepancy2]],"")</f>
        <v/>
      </c>
      <c r="K45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4" s="1" t="str">
        <f ca="1">IF(Merge1[[#This Row],[Consecutive from 2023]]&gt;=5,"ALERT","")</f>
        <v/>
      </c>
    </row>
    <row r="455" spans="1:12" hidden="1" x14ac:dyDescent="0.35">
      <c r="A455" s="1" t="s">
        <v>67</v>
      </c>
      <c r="B455" s="1" t="s">
        <v>172</v>
      </c>
      <c r="C455" s="1" t="s">
        <v>41</v>
      </c>
      <c r="D455">
        <v>2018</v>
      </c>
      <c r="E455">
        <v>66.5</v>
      </c>
      <c r="F455">
        <v>32.72</v>
      </c>
      <c r="G455">
        <v>-33.78</v>
      </c>
      <c r="H455">
        <v>0</v>
      </c>
      <c r="I455">
        <f>IF(Merge1[[#This Row],[Discrepancy]]&gt;=40,1,0)</f>
        <v>0</v>
      </c>
      <c r="J455" t="str">
        <f>IF(Merge1[[#This Row],[Year]]=2023,Merge1[[#This Row],[High Discrepancy2]],"")</f>
        <v/>
      </c>
      <c r="K45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5" s="1" t="str">
        <f ca="1">IF(Merge1[[#This Row],[Consecutive from 2023]]&gt;=5,"ALERT","")</f>
        <v/>
      </c>
    </row>
    <row r="456" spans="1:12" hidden="1" x14ac:dyDescent="0.35">
      <c r="A456" s="1" t="s">
        <v>67</v>
      </c>
      <c r="B456" s="1" t="s">
        <v>172</v>
      </c>
      <c r="C456" s="1" t="s">
        <v>41</v>
      </c>
      <c r="D456">
        <v>2017</v>
      </c>
      <c r="E456">
        <v>66.400000000000006</v>
      </c>
      <c r="F456">
        <v>32.86</v>
      </c>
      <c r="G456">
        <v>-33.540000000000006</v>
      </c>
      <c r="H456">
        <v>0</v>
      </c>
      <c r="I456">
        <f>IF(Merge1[[#This Row],[Discrepancy]]&gt;=40,1,0)</f>
        <v>0</v>
      </c>
      <c r="J456" t="str">
        <f>IF(Merge1[[#This Row],[Year]]=2023,Merge1[[#This Row],[High Discrepancy2]],"")</f>
        <v/>
      </c>
      <c r="K45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6" s="1" t="str">
        <f ca="1">IF(Merge1[[#This Row],[Consecutive from 2023]]&gt;=5,"ALERT","")</f>
        <v/>
      </c>
    </row>
    <row r="457" spans="1:12" hidden="1" x14ac:dyDescent="0.35">
      <c r="A457" s="1" t="s">
        <v>67</v>
      </c>
      <c r="B457" s="1" t="s">
        <v>172</v>
      </c>
      <c r="C457" s="1" t="s">
        <v>41</v>
      </c>
      <c r="D457">
        <v>2016</v>
      </c>
      <c r="E457">
        <v>66.2</v>
      </c>
      <c r="F457">
        <v>33.700000000000003</v>
      </c>
      <c r="G457">
        <v>-32.5</v>
      </c>
      <c r="H457">
        <v>0</v>
      </c>
      <c r="I457">
        <f>IF(Merge1[[#This Row],[Discrepancy]]&gt;=40,1,0)</f>
        <v>0</v>
      </c>
      <c r="J457" t="str">
        <f>IF(Merge1[[#This Row],[Year]]=2023,Merge1[[#This Row],[High Discrepancy2]],"")</f>
        <v/>
      </c>
      <c r="K45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7" s="1" t="str">
        <f ca="1">IF(Merge1[[#This Row],[Consecutive from 2023]]&gt;=5,"ALERT","")</f>
        <v/>
      </c>
    </row>
    <row r="458" spans="1:12" hidden="1" x14ac:dyDescent="0.35">
      <c r="A458" s="1" t="s">
        <v>67</v>
      </c>
      <c r="B458" s="1" t="s">
        <v>172</v>
      </c>
      <c r="C458" s="1" t="s">
        <v>41</v>
      </c>
      <c r="D458">
        <v>2015</v>
      </c>
      <c r="E458">
        <v>66.099999999999994</v>
      </c>
      <c r="F458">
        <v>35.950000000000003</v>
      </c>
      <c r="G458">
        <v>-30.149999999999991</v>
      </c>
      <c r="H458">
        <v>0</v>
      </c>
      <c r="I458">
        <f>IF(Merge1[[#This Row],[Discrepancy]]&gt;=40,1,0)</f>
        <v>0</v>
      </c>
      <c r="J458" t="str">
        <f>IF(Merge1[[#This Row],[Year]]=2023,Merge1[[#This Row],[High Discrepancy2]],"")</f>
        <v/>
      </c>
      <c r="K45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8" s="1" t="str">
        <f ca="1">IF(Merge1[[#This Row],[Consecutive from 2023]]&gt;=5,"ALERT","")</f>
        <v/>
      </c>
    </row>
    <row r="459" spans="1:12" hidden="1" x14ac:dyDescent="0.35">
      <c r="A459" s="1" t="s">
        <v>67</v>
      </c>
      <c r="B459" s="1" t="s">
        <v>172</v>
      </c>
      <c r="C459" s="1" t="s">
        <v>41</v>
      </c>
      <c r="D459">
        <v>2014</v>
      </c>
      <c r="E459">
        <v>66</v>
      </c>
      <c r="F459">
        <v>38.56</v>
      </c>
      <c r="G459">
        <v>-27.439999999999998</v>
      </c>
      <c r="H459">
        <v>0</v>
      </c>
      <c r="I459">
        <f>IF(Merge1[[#This Row],[Discrepancy]]&gt;=40,1,0)</f>
        <v>0</v>
      </c>
      <c r="J459" t="str">
        <f>IF(Merge1[[#This Row],[Year]]=2023,Merge1[[#This Row],[High Discrepancy2]],"")</f>
        <v/>
      </c>
      <c r="K45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59" s="1" t="str">
        <f ca="1">IF(Merge1[[#This Row],[Consecutive from 2023]]&gt;=5,"ALERT","")</f>
        <v/>
      </c>
    </row>
    <row r="460" spans="1:12" hidden="1" x14ac:dyDescent="0.35">
      <c r="A460" s="1" t="s">
        <v>67</v>
      </c>
      <c r="B460" s="1" t="s">
        <v>172</v>
      </c>
      <c r="C460" s="1" t="s">
        <v>41</v>
      </c>
      <c r="D460">
        <v>2013</v>
      </c>
      <c r="E460">
        <v>65.900000000000006</v>
      </c>
      <c r="F460">
        <v>17.5</v>
      </c>
      <c r="G460">
        <v>-48.400000000000006</v>
      </c>
      <c r="H460">
        <v>0</v>
      </c>
      <c r="I460">
        <f>IF(Merge1[[#This Row],[Discrepancy]]&gt;=40,1,0)</f>
        <v>0</v>
      </c>
      <c r="J460" t="str">
        <f>IF(Merge1[[#This Row],[Year]]=2023,Merge1[[#This Row],[High Discrepancy2]],"")</f>
        <v/>
      </c>
      <c r="K46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0" s="1" t="str">
        <f ca="1">IF(Merge1[[#This Row],[Consecutive from 2023]]&gt;=5,"ALERT","")</f>
        <v/>
      </c>
    </row>
    <row r="461" spans="1:12" hidden="1" x14ac:dyDescent="0.35">
      <c r="A461" s="1" t="s">
        <v>67</v>
      </c>
      <c r="B461" s="1" t="s">
        <v>172</v>
      </c>
      <c r="C461" s="1" t="s">
        <v>41</v>
      </c>
      <c r="D461">
        <v>2012</v>
      </c>
      <c r="E461">
        <v>65.7</v>
      </c>
      <c r="F461">
        <v>12.67</v>
      </c>
      <c r="G461">
        <v>-53.03</v>
      </c>
      <c r="H461">
        <v>0</v>
      </c>
      <c r="I461">
        <f>IF(Merge1[[#This Row],[Discrepancy]]&gt;=40,1,0)</f>
        <v>0</v>
      </c>
      <c r="J461" t="str">
        <f>IF(Merge1[[#This Row],[Year]]=2023,Merge1[[#This Row],[High Discrepancy2]],"")</f>
        <v/>
      </c>
      <c r="K46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1" s="1" t="str">
        <f ca="1">IF(Merge1[[#This Row],[Consecutive from 2023]]&gt;=5,"ALERT","")</f>
        <v/>
      </c>
    </row>
    <row r="462" spans="1:12" hidden="1" x14ac:dyDescent="0.35">
      <c r="A462" s="1" t="s">
        <v>67</v>
      </c>
      <c r="B462" s="1" t="s">
        <v>172</v>
      </c>
      <c r="C462" s="1" t="s">
        <v>41</v>
      </c>
      <c r="D462">
        <v>2011</v>
      </c>
      <c r="E462">
        <v>66.099999999999994</v>
      </c>
      <c r="F462">
        <v>4.91</v>
      </c>
      <c r="G462">
        <v>-61.19</v>
      </c>
      <c r="H462">
        <v>0</v>
      </c>
      <c r="I462">
        <f>IF(Merge1[[#This Row],[Discrepancy]]&gt;=40,1,0)</f>
        <v>0</v>
      </c>
      <c r="J462" t="str">
        <f>IF(Merge1[[#This Row],[Year]]=2023,Merge1[[#This Row],[High Discrepancy2]],"")</f>
        <v/>
      </c>
      <c r="K46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2" s="1" t="str">
        <f ca="1">IF(Merge1[[#This Row],[Consecutive from 2023]]&gt;=5,"ALERT","")</f>
        <v/>
      </c>
    </row>
    <row r="463" spans="1:12" hidden="1" x14ac:dyDescent="0.35">
      <c r="A463" s="1" t="s">
        <v>67</v>
      </c>
      <c r="B463" s="1" t="s">
        <v>172</v>
      </c>
      <c r="C463" s="1" t="s">
        <v>41</v>
      </c>
      <c r="D463">
        <v>2010</v>
      </c>
      <c r="E463">
        <v>66.099999999999994</v>
      </c>
      <c r="F463">
        <v>6.84</v>
      </c>
      <c r="G463">
        <v>-59.259999999999991</v>
      </c>
      <c r="H463">
        <v>0</v>
      </c>
      <c r="I463">
        <f>IF(Merge1[[#This Row],[Discrepancy]]&gt;=40,1,0)</f>
        <v>0</v>
      </c>
      <c r="J463" t="str">
        <f>IF(Merge1[[#This Row],[Year]]=2023,Merge1[[#This Row],[High Discrepancy2]],"")</f>
        <v/>
      </c>
      <c r="K46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3" s="1" t="str">
        <f ca="1">IF(Merge1[[#This Row],[Consecutive from 2023]]&gt;=5,"ALERT","")</f>
        <v/>
      </c>
    </row>
    <row r="464" spans="1:12" hidden="1" x14ac:dyDescent="0.35">
      <c r="A464" s="1" t="s">
        <v>50</v>
      </c>
      <c r="B464" s="1" t="s">
        <v>174</v>
      </c>
      <c r="C464" s="1" t="s">
        <v>31</v>
      </c>
      <c r="D464">
        <v>2023</v>
      </c>
      <c r="E464">
        <v>65.2</v>
      </c>
      <c r="F464">
        <v>35.03</v>
      </c>
      <c r="G464">
        <v>-30.17</v>
      </c>
      <c r="H464">
        <v>0</v>
      </c>
      <c r="I464">
        <f>IF(Merge1[[#This Row],[Discrepancy]]&gt;=40,1,0)</f>
        <v>0</v>
      </c>
      <c r="J464">
        <f>IF(Merge1[[#This Row],[Year]]=2023,Merge1[[#This Row],[High Discrepancy2]],"")</f>
        <v>0</v>
      </c>
      <c r="K46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4" s="1" t="str">
        <f ca="1">IF(Merge1[[#This Row],[Consecutive from 2023]]&gt;=5,"ALERT","")</f>
        <v/>
      </c>
    </row>
    <row r="465" spans="1:12" hidden="1" x14ac:dyDescent="0.35">
      <c r="A465" s="1" t="s">
        <v>50</v>
      </c>
      <c r="B465" s="1" t="s">
        <v>174</v>
      </c>
      <c r="C465" s="1" t="s">
        <v>31</v>
      </c>
      <c r="D465">
        <v>2022</v>
      </c>
      <c r="E465">
        <v>65</v>
      </c>
      <c r="F465">
        <v>35.39</v>
      </c>
      <c r="G465">
        <v>-29.61</v>
      </c>
      <c r="H465">
        <v>0</v>
      </c>
      <c r="I465">
        <f>IF(Merge1[[#This Row],[Discrepancy]]&gt;=40,1,0)</f>
        <v>0</v>
      </c>
      <c r="J465" t="str">
        <f>IF(Merge1[[#This Row],[Year]]=2023,Merge1[[#This Row],[High Discrepancy2]],"")</f>
        <v/>
      </c>
      <c r="K46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5" s="1" t="str">
        <f ca="1">IF(Merge1[[#This Row],[Consecutive from 2023]]&gt;=5,"ALERT","")</f>
        <v/>
      </c>
    </row>
    <row r="466" spans="1:12" hidden="1" x14ac:dyDescent="0.35">
      <c r="A466" s="1" t="s">
        <v>50</v>
      </c>
      <c r="B466" s="1" t="s">
        <v>174</v>
      </c>
      <c r="C466" s="1" t="s">
        <v>31</v>
      </c>
      <c r="D466">
        <v>2021</v>
      </c>
      <c r="E466">
        <v>65.400000000000006</v>
      </c>
      <c r="F466">
        <v>35.93</v>
      </c>
      <c r="G466">
        <v>-29.470000000000006</v>
      </c>
      <c r="H466">
        <v>0</v>
      </c>
      <c r="I466">
        <f>IF(Merge1[[#This Row],[Discrepancy]]&gt;=40,1,0)</f>
        <v>0</v>
      </c>
      <c r="J466" t="str">
        <f>IF(Merge1[[#This Row],[Year]]=2023,Merge1[[#This Row],[High Discrepancy2]],"")</f>
        <v/>
      </c>
      <c r="K46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6" s="1" t="str">
        <f ca="1">IF(Merge1[[#This Row],[Consecutive from 2023]]&gt;=5,"ALERT","")</f>
        <v/>
      </c>
    </row>
    <row r="467" spans="1:12" hidden="1" x14ac:dyDescent="0.35">
      <c r="A467" s="1" t="s">
        <v>50</v>
      </c>
      <c r="B467" s="1" t="s">
        <v>174</v>
      </c>
      <c r="C467" s="1" t="s">
        <v>31</v>
      </c>
      <c r="D467">
        <v>2020</v>
      </c>
      <c r="E467">
        <v>64.5</v>
      </c>
      <c r="F467">
        <v>0.56000000000000005</v>
      </c>
      <c r="G467">
        <v>-63.94</v>
      </c>
      <c r="H467">
        <v>0</v>
      </c>
      <c r="I467">
        <f>IF(Merge1[[#This Row],[Discrepancy]]&gt;=40,1,0)</f>
        <v>0</v>
      </c>
      <c r="J467" t="str">
        <f>IF(Merge1[[#This Row],[Year]]=2023,Merge1[[#This Row],[High Discrepancy2]],"")</f>
        <v/>
      </c>
      <c r="K46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7" s="1" t="str">
        <f ca="1">IF(Merge1[[#This Row],[Consecutive from 2023]]&gt;=5,"ALERT","")</f>
        <v/>
      </c>
    </row>
    <row r="468" spans="1:12" hidden="1" x14ac:dyDescent="0.35">
      <c r="A468" s="1" t="s">
        <v>50</v>
      </c>
      <c r="B468" s="1" t="s">
        <v>174</v>
      </c>
      <c r="C468" s="1" t="s">
        <v>31</v>
      </c>
      <c r="D468">
        <v>2019</v>
      </c>
      <c r="E468">
        <v>64.7</v>
      </c>
      <c r="F468">
        <v>0.76</v>
      </c>
      <c r="G468">
        <v>-63.940000000000005</v>
      </c>
      <c r="H468">
        <v>0</v>
      </c>
      <c r="I468">
        <f>IF(Merge1[[#This Row],[Discrepancy]]&gt;=40,1,0)</f>
        <v>0</v>
      </c>
      <c r="J468" t="str">
        <f>IF(Merge1[[#This Row],[Year]]=2023,Merge1[[#This Row],[High Discrepancy2]],"")</f>
        <v/>
      </c>
      <c r="K46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8" s="1" t="str">
        <f ca="1">IF(Merge1[[#This Row],[Consecutive from 2023]]&gt;=5,"ALERT","")</f>
        <v/>
      </c>
    </row>
    <row r="469" spans="1:12" hidden="1" x14ac:dyDescent="0.35">
      <c r="A469" s="1" t="s">
        <v>50</v>
      </c>
      <c r="B469" s="1" t="s">
        <v>174</v>
      </c>
      <c r="C469" s="1" t="s">
        <v>31</v>
      </c>
      <c r="D469">
        <v>2018</v>
      </c>
      <c r="E469">
        <v>62.4</v>
      </c>
      <c r="F469">
        <v>1.26</v>
      </c>
      <c r="G469">
        <v>-61.14</v>
      </c>
      <c r="H469">
        <v>0</v>
      </c>
      <c r="I469">
        <f>IF(Merge1[[#This Row],[Discrepancy]]&gt;=40,1,0)</f>
        <v>0</v>
      </c>
      <c r="J469" t="str">
        <f>IF(Merge1[[#This Row],[Year]]=2023,Merge1[[#This Row],[High Discrepancy2]],"")</f>
        <v/>
      </c>
      <c r="K46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69" s="1" t="str">
        <f ca="1">IF(Merge1[[#This Row],[Consecutive from 2023]]&gt;=5,"ALERT","")</f>
        <v/>
      </c>
    </row>
    <row r="470" spans="1:12" hidden="1" x14ac:dyDescent="0.35">
      <c r="A470" s="1" t="s">
        <v>50</v>
      </c>
      <c r="B470" s="1" t="s">
        <v>174</v>
      </c>
      <c r="C470" s="1" t="s">
        <v>31</v>
      </c>
      <c r="D470">
        <v>2017</v>
      </c>
      <c r="E470">
        <v>60.2</v>
      </c>
      <c r="F470">
        <v>1.17</v>
      </c>
      <c r="G470">
        <v>-59.03</v>
      </c>
      <c r="H470">
        <v>0</v>
      </c>
      <c r="I470">
        <f>IF(Merge1[[#This Row],[Discrepancy]]&gt;=40,1,0)</f>
        <v>0</v>
      </c>
      <c r="J470" t="str">
        <f>IF(Merge1[[#This Row],[Year]]=2023,Merge1[[#This Row],[High Discrepancy2]],"")</f>
        <v/>
      </c>
      <c r="K47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0" s="1" t="str">
        <f ca="1">IF(Merge1[[#This Row],[Consecutive from 2023]]&gt;=5,"ALERT","")</f>
        <v/>
      </c>
    </row>
    <row r="471" spans="1:12" hidden="1" x14ac:dyDescent="0.35">
      <c r="A471" s="1" t="s">
        <v>50</v>
      </c>
      <c r="B471" s="1" t="s">
        <v>174</v>
      </c>
      <c r="C471" s="1" t="s">
        <v>31</v>
      </c>
      <c r="D471">
        <v>2016</v>
      </c>
      <c r="E471">
        <v>59.8</v>
      </c>
      <c r="F471">
        <v>0.79</v>
      </c>
      <c r="G471">
        <v>-59.01</v>
      </c>
      <c r="H471">
        <v>0</v>
      </c>
      <c r="I471">
        <f>IF(Merge1[[#This Row],[Discrepancy]]&gt;=40,1,0)</f>
        <v>0</v>
      </c>
      <c r="J471" t="str">
        <f>IF(Merge1[[#This Row],[Year]]=2023,Merge1[[#This Row],[High Discrepancy2]],"")</f>
        <v/>
      </c>
      <c r="K47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1" s="1" t="str">
        <f ca="1">IF(Merge1[[#This Row],[Consecutive from 2023]]&gt;=5,"ALERT","")</f>
        <v/>
      </c>
    </row>
    <row r="472" spans="1:12" hidden="1" x14ac:dyDescent="0.35">
      <c r="A472" s="1" t="s">
        <v>50</v>
      </c>
      <c r="B472" s="1" t="s">
        <v>174</v>
      </c>
      <c r="C472" s="1" t="s">
        <v>31</v>
      </c>
      <c r="D472">
        <v>2015</v>
      </c>
      <c r="E472">
        <v>59.1</v>
      </c>
      <c r="F472">
        <v>0.11</v>
      </c>
      <c r="G472">
        <v>-58.99</v>
      </c>
      <c r="H472">
        <v>0</v>
      </c>
      <c r="I472">
        <f>IF(Merge1[[#This Row],[Discrepancy]]&gt;=40,1,0)</f>
        <v>0</v>
      </c>
      <c r="J472" t="str">
        <f>IF(Merge1[[#This Row],[Year]]=2023,Merge1[[#This Row],[High Discrepancy2]],"")</f>
        <v/>
      </c>
      <c r="K47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2" s="1" t="str">
        <f ca="1">IF(Merge1[[#This Row],[Consecutive from 2023]]&gt;=5,"ALERT","")</f>
        <v/>
      </c>
    </row>
    <row r="473" spans="1:12" hidden="1" x14ac:dyDescent="0.35">
      <c r="A473" s="1" t="s">
        <v>50</v>
      </c>
      <c r="B473" s="1" t="s">
        <v>174</v>
      </c>
      <c r="C473" s="1" t="s">
        <v>31</v>
      </c>
      <c r="D473">
        <v>2014</v>
      </c>
      <c r="E473">
        <v>58.9</v>
      </c>
      <c r="F473">
        <v>0.2</v>
      </c>
      <c r="G473">
        <v>-58.699999999999996</v>
      </c>
      <c r="H473">
        <v>0</v>
      </c>
      <c r="I473">
        <f>IF(Merge1[[#This Row],[Discrepancy]]&gt;=40,1,0)</f>
        <v>0</v>
      </c>
      <c r="J473" t="str">
        <f>IF(Merge1[[#This Row],[Year]]=2023,Merge1[[#This Row],[High Discrepancy2]],"")</f>
        <v/>
      </c>
      <c r="K47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3" s="1" t="str">
        <f ca="1">IF(Merge1[[#This Row],[Consecutive from 2023]]&gt;=5,"ALERT","")</f>
        <v/>
      </c>
    </row>
    <row r="474" spans="1:12" hidden="1" x14ac:dyDescent="0.35">
      <c r="A474" s="1" t="s">
        <v>50</v>
      </c>
      <c r="B474" s="1" t="s">
        <v>174</v>
      </c>
      <c r="C474" s="1" t="s">
        <v>31</v>
      </c>
      <c r="D474">
        <v>2013</v>
      </c>
      <c r="E474">
        <v>58.6</v>
      </c>
      <c r="F474">
        <v>0.05</v>
      </c>
      <c r="G474">
        <v>-58.550000000000004</v>
      </c>
      <c r="H474">
        <v>0</v>
      </c>
      <c r="I474">
        <f>IF(Merge1[[#This Row],[Discrepancy]]&gt;=40,1,0)</f>
        <v>0</v>
      </c>
      <c r="J474" t="str">
        <f>IF(Merge1[[#This Row],[Year]]=2023,Merge1[[#This Row],[High Discrepancy2]],"")</f>
        <v/>
      </c>
      <c r="K47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4" s="1" t="str">
        <f ca="1">IF(Merge1[[#This Row],[Consecutive from 2023]]&gt;=5,"ALERT","")</f>
        <v/>
      </c>
    </row>
    <row r="475" spans="1:12" hidden="1" x14ac:dyDescent="0.35">
      <c r="A475" s="1" t="s">
        <v>50</v>
      </c>
      <c r="B475" s="1" t="s">
        <v>174</v>
      </c>
      <c r="C475" s="1" t="s">
        <v>31</v>
      </c>
      <c r="D475">
        <v>2012</v>
      </c>
      <c r="E475">
        <v>54.6</v>
      </c>
      <c r="F475">
        <v>0.03</v>
      </c>
      <c r="G475">
        <v>-54.57</v>
      </c>
      <c r="H475">
        <v>0</v>
      </c>
      <c r="I475">
        <f>IF(Merge1[[#This Row],[Discrepancy]]&gt;=40,1,0)</f>
        <v>0</v>
      </c>
      <c r="J475" t="str">
        <f>IF(Merge1[[#This Row],[Year]]=2023,Merge1[[#This Row],[High Discrepancy2]],"")</f>
        <v/>
      </c>
      <c r="K47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5" s="1" t="str">
        <f ca="1">IF(Merge1[[#This Row],[Consecutive from 2023]]&gt;=5,"ALERT","")</f>
        <v/>
      </c>
    </row>
    <row r="476" spans="1:12" hidden="1" x14ac:dyDescent="0.35">
      <c r="A476" s="1" t="s">
        <v>50</v>
      </c>
      <c r="B476" s="1" t="s">
        <v>174</v>
      </c>
      <c r="C476" s="1" t="s">
        <v>31</v>
      </c>
      <c r="D476">
        <v>2011</v>
      </c>
      <c r="E476">
        <v>58.1</v>
      </c>
      <c r="F476" t="s">
        <v>136</v>
      </c>
      <c r="I476">
        <f>IF(Merge1[[#This Row],[Discrepancy]]&gt;=40,1,0)</f>
        <v>0</v>
      </c>
      <c r="J476" t="str">
        <f>IF(Merge1[[#This Row],[Year]]=2023,Merge1[[#This Row],[High Discrepancy2]],"")</f>
        <v/>
      </c>
      <c r="K47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6" s="1" t="str">
        <f ca="1">IF(Merge1[[#This Row],[Consecutive from 2023]]&gt;=5,"ALERT","")</f>
        <v/>
      </c>
    </row>
    <row r="477" spans="1:12" hidden="1" x14ac:dyDescent="0.35">
      <c r="A477" s="1" t="s">
        <v>50</v>
      </c>
      <c r="B477" s="1" t="s">
        <v>174</v>
      </c>
      <c r="C477" s="1" t="s">
        <v>31</v>
      </c>
      <c r="D477">
        <v>2010</v>
      </c>
      <c r="E477">
        <v>57.9</v>
      </c>
      <c r="F477" t="s">
        <v>136</v>
      </c>
      <c r="I477">
        <f>IF(Merge1[[#This Row],[Discrepancy]]&gt;=40,1,0)</f>
        <v>0</v>
      </c>
      <c r="J477" t="str">
        <f>IF(Merge1[[#This Row],[Year]]=2023,Merge1[[#This Row],[High Discrepancy2]],"")</f>
        <v/>
      </c>
      <c r="K47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7" s="1" t="str">
        <f ca="1">IF(Merge1[[#This Row],[Consecutive from 2023]]&gt;=5,"ALERT","")</f>
        <v/>
      </c>
    </row>
    <row r="478" spans="1:12" hidden="1" x14ac:dyDescent="0.35">
      <c r="A478" s="1" t="s">
        <v>114</v>
      </c>
      <c r="B478" s="1" t="s">
        <v>172</v>
      </c>
      <c r="C478" s="1" t="s">
        <v>34</v>
      </c>
      <c r="D478">
        <v>2023</v>
      </c>
      <c r="E478">
        <v>12</v>
      </c>
      <c r="F478">
        <v>5.7</v>
      </c>
      <c r="G478">
        <v>-6.3</v>
      </c>
      <c r="H478">
        <v>0</v>
      </c>
      <c r="I478">
        <f>IF(Merge1[[#This Row],[Discrepancy]]&gt;=40,1,0)</f>
        <v>0</v>
      </c>
      <c r="J478">
        <f>IF(Merge1[[#This Row],[Year]]=2023,Merge1[[#This Row],[High Discrepancy2]],"")</f>
        <v>0</v>
      </c>
      <c r="K47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8" s="1" t="str">
        <f ca="1">IF(Merge1[[#This Row],[Consecutive from 2023]]&gt;=5,"ALERT","")</f>
        <v/>
      </c>
    </row>
    <row r="479" spans="1:12" hidden="1" x14ac:dyDescent="0.35">
      <c r="A479" s="1" t="s">
        <v>114</v>
      </c>
      <c r="B479" s="1" t="s">
        <v>172</v>
      </c>
      <c r="C479" s="1" t="s">
        <v>34</v>
      </c>
      <c r="D479">
        <v>2022</v>
      </c>
      <c r="E479">
        <v>11.7</v>
      </c>
      <c r="F479">
        <v>5.83</v>
      </c>
      <c r="G479">
        <v>-5.8699999999999992</v>
      </c>
      <c r="H479">
        <v>0</v>
      </c>
      <c r="I479">
        <f>IF(Merge1[[#This Row],[Discrepancy]]&gt;=40,1,0)</f>
        <v>0</v>
      </c>
      <c r="J479" t="str">
        <f>IF(Merge1[[#This Row],[Year]]=2023,Merge1[[#This Row],[High Discrepancy2]],"")</f>
        <v/>
      </c>
      <c r="K47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79" s="1" t="str">
        <f ca="1">IF(Merge1[[#This Row],[Consecutive from 2023]]&gt;=5,"ALERT","")</f>
        <v/>
      </c>
    </row>
    <row r="480" spans="1:12" hidden="1" x14ac:dyDescent="0.35">
      <c r="A480" s="1" t="s">
        <v>114</v>
      </c>
      <c r="B480" s="1" t="s">
        <v>172</v>
      </c>
      <c r="C480" s="1" t="s">
        <v>34</v>
      </c>
      <c r="D480">
        <v>2021</v>
      </c>
      <c r="E480">
        <v>11.3</v>
      </c>
      <c r="F480">
        <v>5.79</v>
      </c>
      <c r="G480">
        <v>-5.5100000000000007</v>
      </c>
      <c r="H480">
        <v>0</v>
      </c>
      <c r="I480">
        <f>IF(Merge1[[#This Row],[Discrepancy]]&gt;=40,1,0)</f>
        <v>0</v>
      </c>
      <c r="J480" t="str">
        <f>IF(Merge1[[#This Row],[Year]]=2023,Merge1[[#This Row],[High Discrepancy2]],"")</f>
        <v/>
      </c>
      <c r="K48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0" s="1" t="str">
        <f ca="1">IF(Merge1[[#This Row],[Consecutive from 2023]]&gt;=5,"ALERT","")</f>
        <v/>
      </c>
    </row>
    <row r="481" spans="1:12" hidden="1" x14ac:dyDescent="0.35">
      <c r="A481" s="1" t="s">
        <v>114</v>
      </c>
      <c r="B481" s="1" t="s">
        <v>172</v>
      </c>
      <c r="C481" s="1" t="s">
        <v>34</v>
      </c>
      <c r="D481">
        <v>2020</v>
      </c>
      <c r="E481">
        <v>10.9</v>
      </c>
      <c r="F481">
        <v>5.33</v>
      </c>
      <c r="G481">
        <v>-5.57</v>
      </c>
      <c r="H481">
        <v>0</v>
      </c>
      <c r="I481">
        <f>IF(Merge1[[#This Row],[Discrepancy]]&gt;=40,1,0)</f>
        <v>0</v>
      </c>
      <c r="J481" t="str">
        <f>IF(Merge1[[#This Row],[Year]]=2023,Merge1[[#This Row],[High Discrepancy2]],"")</f>
        <v/>
      </c>
      <c r="K48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1" s="1" t="str">
        <f ca="1">IF(Merge1[[#This Row],[Consecutive from 2023]]&gt;=5,"ALERT","")</f>
        <v/>
      </c>
    </row>
    <row r="482" spans="1:12" hidden="1" x14ac:dyDescent="0.35">
      <c r="A482" s="1" t="s">
        <v>114</v>
      </c>
      <c r="B482" s="1" t="s">
        <v>172</v>
      </c>
      <c r="C482" s="1" t="s">
        <v>34</v>
      </c>
      <c r="D482">
        <v>2019</v>
      </c>
      <c r="E482">
        <v>8.4</v>
      </c>
      <c r="F482">
        <v>4.6100000000000003</v>
      </c>
      <c r="G482">
        <v>-3.79</v>
      </c>
      <c r="H482">
        <v>0</v>
      </c>
      <c r="I482">
        <f>IF(Merge1[[#This Row],[Discrepancy]]&gt;=40,1,0)</f>
        <v>0</v>
      </c>
      <c r="J482" t="str">
        <f>IF(Merge1[[#This Row],[Year]]=2023,Merge1[[#This Row],[High Discrepancy2]],"")</f>
        <v/>
      </c>
      <c r="K48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2" s="1" t="str">
        <f ca="1">IF(Merge1[[#This Row],[Consecutive from 2023]]&gt;=5,"ALERT","")</f>
        <v/>
      </c>
    </row>
    <row r="483" spans="1:12" hidden="1" x14ac:dyDescent="0.35">
      <c r="A483" s="1" t="s">
        <v>114</v>
      </c>
      <c r="B483" s="1" t="s">
        <v>172</v>
      </c>
      <c r="C483" s="1" t="s">
        <v>34</v>
      </c>
      <c r="D483">
        <v>2018</v>
      </c>
      <c r="E483">
        <v>10.1</v>
      </c>
      <c r="F483">
        <v>5</v>
      </c>
      <c r="G483">
        <v>-5.0999999999999996</v>
      </c>
      <c r="H483">
        <v>0</v>
      </c>
      <c r="I483">
        <f>IF(Merge1[[#This Row],[Discrepancy]]&gt;=40,1,0)</f>
        <v>0</v>
      </c>
      <c r="J483" t="str">
        <f>IF(Merge1[[#This Row],[Year]]=2023,Merge1[[#This Row],[High Discrepancy2]],"")</f>
        <v/>
      </c>
      <c r="K48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3" s="1" t="str">
        <f ca="1">IF(Merge1[[#This Row],[Consecutive from 2023]]&gt;=5,"ALERT","")</f>
        <v/>
      </c>
    </row>
    <row r="484" spans="1:12" hidden="1" x14ac:dyDescent="0.35">
      <c r="A484" s="1" t="s">
        <v>114</v>
      </c>
      <c r="B484" s="1" t="s">
        <v>172</v>
      </c>
      <c r="C484" s="1" t="s">
        <v>34</v>
      </c>
      <c r="D484">
        <v>2017</v>
      </c>
      <c r="E484">
        <v>10.9</v>
      </c>
      <c r="F484">
        <v>4.96</v>
      </c>
      <c r="G484">
        <v>-5.94</v>
      </c>
      <c r="H484">
        <v>0</v>
      </c>
      <c r="I484">
        <f>IF(Merge1[[#This Row],[Discrepancy]]&gt;=40,1,0)</f>
        <v>0</v>
      </c>
      <c r="J484" t="str">
        <f>IF(Merge1[[#This Row],[Year]]=2023,Merge1[[#This Row],[High Discrepancy2]],"")</f>
        <v/>
      </c>
      <c r="K48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4" s="1" t="str">
        <f ca="1">IF(Merge1[[#This Row],[Consecutive from 2023]]&gt;=5,"ALERT","")</f>
        <v/>
      </c>
    </row>
    <row r="485" spans="1:12" hidden="1" x14ac:dyDescent="0.35">
      <c r="A485" s="1" t="s">
        <v>114</v>
      </c>
      <c r="B485" s="1" t="s">
        <v>172</v>
      </c>
      <c r="C485" s="1" t="s">
        <v>34</v>
      </c>
      <c r="D485">
        <v>2016</v>
      </c>
      <c r="E485">
        <v>9.1999999999999993</v>
      </c>
      <c r="F485">
        <v>5.09</v>
      </c>
      <c r="G485">
        <v>-4.1099999999999994</v>
      </c>
      <c r="H485">
        <v>0</v>
      </c>
      <c r="I485">
        <f>IF(Merge1[[#This Row],[Discrepancy]]&gt;=40,1,0)</f>
        <v>0</v>
      </c>
      <c r="J485" t="str">
        <f>IF(Merge1[[#This Row],[Year]]=2023,Merge1[[#This Row],[High Discrepancy2]],"")</f>
        <v/>
      </c>
      <c r="K48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5" s="1" t="str">
        <f ca="1">IF(Merge1[[#This Row],[Consecutive from 2023]]&gt;=5,"ALERT","")</f>
        <v/>
      </c>
    </row>
    <row r="486" spans="1:12" hidden="1" x14ac:dyDescent="0.35">
      <c r="A486" s="1" t="s">
        <v>114</v>
      </c>
      <c r="B486" s="1" t="s">
        <v>172</v>
      </c>
      <c r="C486" s="1" t="s">
        <v>34</v>
      </c>
      <c r="D486">
        <v>2015</v>
      </c>
      <c r="E486">
        <v>7.7</v>
      </c>
      <c r="F486">
        <v>2.5299999999999998</v>
      </c>
      <c r="G486">
        <v>-5.17</v>
      </c>
      <c r="H486">
        <v>0</v>
      </c>
      <c r="I486">
        <f>IF(Merge1[[#This Row],[Discrepancy]]&gt;=40,1,0)</f>
        <v>0</v>
      </c>
      <c r="J486" t="str">
        <f>IF(Merge1[[#This Row],[Year]]=2023,Merge1[[#This Row],[High Discrepancy2]],"")</f>
        <v/>
      </c>
      <c r="K48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6" s="1" t="str">
        <f ca="1">IF(Merge1[[#This Row],[Consecutive from 2023]]&gt;=5,"ALERT","")</f>
        <v/>
      </c>
    </row>
    <row r="487" spans="1:12" hidden="1" x14ac:dyDescent="0.35">
      <c r="A487" s="1" t="s">
        <v>114</v>
      </c>
      <c r="B487" s="1" t="s">
        <v>172</v>
      </c>
      <c r="C487" s="1" t="s">
        <v>34</v>
      </c>
      <c r="D487">
        <v>2014</v>
      </c>
      <c r="E487">
        <v>8.4</v>
      </c>
      <c r="F487">
        <v>6.33</v>
      </c>
      <c r="G487">
        <v>-2.0700000000000003</v>
      </c>
      <c r="H487">
        <v>0</v>
      </c>
      <c r="I487">
        <f>IF(Merge1[[#This Row],[Discrepancy]]&gt;=40,1,0)</f>
        <v>0</v>
      </c>
      <c r="J487" t="str">
        <f>IF(Merge1[[#This Row],[Year]]=2023,Merge1[[#This Row],[High Discrepancy2]],"")</f>
        <v/>
      </c>
      <c r="K48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7" s="1" t="str">
        <f ca="1">IF(Merge1[[#This Row],[Consecutive from 2023]]&gt;=5,"ALERT","")</f>
        <v/>
      </c>
    </row>
    <row r="488" spans="1:12" hidden="1" x14ac:dyDescent="0.35">
      <c r="A488" s="1" t="s">
        <v>114</v>
      </c>
      <c r="B488" s="1" t="s">
        <v>172</v>
      </c>
      <c r="C488" s="1" t="s">
        <v>34</v>
      </c>
      <c r="D488">
        <v>2013</v>
      </c>
      <c r="E488">
        <v>8.1</v>
      </c>
      <c r="F488">
        <v>6.22</v>
      </c>
      <c r="G488">
        <v>-1.88</v>
      </c>
      <c r="H488">
        <v>0</v>
      </c>
      <c r="I488">
        <f>IF(Merge1[[#This Row],[Discrepancy]]&gt;=40,1,0)</f>
        <v>0</v>
      </c>
      <c r="J488" t="str">
        <f>IF(Merge1[[#This Row],[Year]]=2023,Merge1[[#This Row],[High Discrepancy2]],"")</f>
        <v/>
      </c>
      <c r="K48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8" s="1" t="str">
        <f ca="1">IF(Merge1[[#This Row],[Consecutive from 2023]]&gt;=5,"ALERT","")</f>
        <v/>
      </c>
    </row>
    <row r="489" spans="1:12" hidden="1" x14ac:dyDescent="0.35">
      <c r="A489" s="1" t="s">
        <v>114</v>
      </c>
      <c r="B489" s="1" t="s">
        <v>172</v>
      </c>
      <c r="C489" s="1" t="s">
        <v>34</v>
      </c>
      <c r="D489">
        <v>2012</v>
      </c>
      <c r="E489">
        <v>7.8</v>
      </c>
      <c r="F489">
        <v>6.09</v>
      </c>
      <c r="G489">
        <v>-1.71</v>
      </c>
      <c r="H489">
        <v>0</v>
      </c>
      <c r="I489">
        <f>IF(Merge1[[#This Row],[Discrepancy]]&gt;=40,1,0)</f>
        <v>0</v>
      </c>
      <c r="J489" t="str">
        <f>IF(Merge1[[#This Row],[Year]]=2023,Merge1[[#This Row],[High Discrepancy2]],"")</f>
        <v/>
      </c>
      <c r="K48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89" s="1" t="str">
        <f ca="1">IF(Merge1[[#This Row],[Consecutive from 2023]]&gt;=5,"ALERT","")</f>
        <v/>
      </c>
    </row>
    <row r="490" spans="1:12" hidden="1" x14ac:dyDescent="0.35">
      <c r="A490" s="1" t="s">
        <v>114</v>
      </c>
      <c r="B490" s="1" t="s">
        <v>172</v>
      </c>
      <c r="C490" s="1" t="s">
        <v>34</v>
      </c>
      <c r="D490">
        <v>2011</v>
      </c>
      <c r="E490">
        <v>9</v>
      </c>
      <c r="F490">
        <v>5.99</v>
      </c>
      <c r="G490">
        <v>-3.01</v>
      </c>
      <c r="H490">
        <v>0</v>
      </c>
      <c r="I490">
        <f>IF(Merge1[[#This Row],[Discrepancy]]&gt;=40,1,0)</f>
        <v>0</v>
      </c>
      <c r="J490" t="str">
        <f>IF(Merge1[[#This Row],[Year]]=2023,Merge1[[#This Row],[High Discrepancy2]],"")</f>
        <v/>
      </c>
      <c r="K49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0" s="1" t="str">
        <f ca="1">IF(Merge1[[#This Row],[Consecutive from 2023]]&gt;=5,"ALERT","")</f>
        <v/>
      </c>
    </row>
    <row r="491" spans="1:12" hidden="1" x14ac:dyDescent="0.35">
      <c r="A491" s="1" t="s">
        <v>114</v>
      </c>
      <c r="B491" s="1" t="s">
        <v>172</v>
      </c>
      <c r="C491" s="1" t="s">
        <v>34</v>
      </c>
      <c r="D491">
        <v>2010</v>
      </c>
      <c r="E491">
        <v>6.4</v>
      </c>
      <c r="F491">
        <v>6.22</v>
      </c>
      <c r="G491">
        <v>-0.1800000000000006</v>
      </c>
      <c r="H491">
        <v>0</v>
      </c>
      <c r="I491">
        <f>IF(Merge1[[#This Row],[Discrepancy]]&gt;=40,1,0)</f>
        <v>0</v>
      </c>
      <c r="J491" t="str">
        <f>IF(Merge1[[#This Row],[Year]]=2023,Merge1[[#This Row],[High Discrepancy2]],"")</f>
        <v/>
      </c>
      <c r="K49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1" s="1" t="str">
        <f ca="1">IF(Merge1[[#This Row],[Consecutive from 2023]]&gt;=5,"ALERT","")</f>
        <v/>
      </c>
    </row>
    <row r="492" spans="1:12" hidden="1" x14ac:dyDescent="0.35">
      <c r="A492" s="1" t="s">
        <v>44</v>
      </c>
      <c r="B492" s="1" t="s">
        <v>172</v>
      </c>
      <c r="C492" s="1" t="s">
        <v>31</v>
      </c>
      <c r="D492">
        <v>2023</v>
      </c>
      <c r="E492">
        <v>72</v>
      </c>
      <c r="F492">
        <v>77.05</v>
      </c>
      <c r="G492">
        <v>5.0499999999999972</v>
      </c>
      <c r="H492">
        <v>1</v>
      </c>
      <c r="I492">
        <f>IF(Merge1[[#This Row],[Discrepancy]]&gt;=40,1,0)</f>
        <v>0</v>
      </c>
      <c r="J492">
        <f>IF(Merge1[[#This Row],[Year]]=2023,Merge1[[#This Row],[High Discrepancy2]],"")</f>
        <v>0</v>
      </c>
      <c r="K49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2" s="1" t="str">
        <f ca="1">IF(Merge1[[#This Row],[Consecutive from 2023]]&gt;=5,"ALERT","")</f>
        <v/>
      </c>
    </row>
    <row r="493" spans="1:12" hidden="1" x14ac:dyDescent="0.35">
      <c r="A493" s="1" t="s">
        <v>44</v>
      </c>
      <c r="B493" s="1" t="s">
        <v>172</v>
      </c>
      <c r="C493" s="1" t="s">
        <v>31</v>
      </c>
      <c r="D493">
        <v>2022</v>
      </c>
      <c r="E493">
        <v>71</v>
      </c>
      <c r="F493">
        <v>76.78</v>
      </c>
      <c r="G493">
        <v>5.7800000000000011</v>
      </c>
      <c r="H493">
        <v>1</v>
      </c>
      <c r="I493">
        <f>IF(Merge1[[#This Row],[Discrepancy]]&gt;=40,1,0)</f>
        <v>0</v>
      </c>
      <c r="J493" t="str">
        <f>IF(Merge1[[#This Row],[Year]]=2023,Merge1[[#This Row],[High Discrepancy2]],"")</f>
        <v/>
      </c>
      <c r="K49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3" s="1" t="str">
        <f ca="1">IF(Merge1[[#This Row],[Consecutive from 2023]]&gt;=5,"ALERT","")</f>
        <v/>
      </c>
    </row>
    <row r="494" spans="1:12" hidden="1" x14ac:dyDescent="0.35">
      <c r="A494" s="1" t="s">
        <v>44</v>
      </c>
      <c r="B494" s="1" t="s">
        <v>172</v>
      </c>
      <c r="C494" s="1" t="s">
        <v>31</v>
      </c>
      <c r="D494">
        <v>2021</v>
      </c>
      <c r="E494">
        <v>65.400000000000006</v>
      </c>
      <c r="F494">
        <v>76.78</v>
      </c>
      <c r="G494">
        <v>11.379999999999995</v>
      </c>
      <c r="H494">
        <v>1</v>
      </c>
      <c r="I494">
        <f>IF(Merge1[[#This Row],[Discrepancy]]&gt;=40,1,0)</f>
        <v>0</v>
      </c>
      <c r="J494" t="str">
        <f>IF(Merge1[[#This Row],[Year]]=2023,Merge1[[#This Row],[High Discrepancy2]],"")</f>
        <v/>
      </c>
      <c r="K49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4" s="1" t="str">
        <f ca="1">IF(Merge1[[#This Row],[Consecutive from 2023]]&gt;=5,"ALERT","")</f>
        <v/>
      </c>
    </row>
    <row r="495" spans="1:12" hidden="1" x14ac:dyDescent="0.35">
      <c r="A495" s="1" t="s">
        <v>44</v>
      </c>
      <c r="B495" s="1" t="s">
        <v>172</v>
      </c>
      <c r="C495" s="1" t="s">
        <v>31</v>
      </c>
      <c r="D495">
        <v>2020</v>
      </c>
      <c r="E495">
        <v>64.3</v>
      </c>
      <c r="F495">
        <v>76.73</v>
      </c>
      <c r="G495">
        <v>12.430000000000007</v>
      </c>
      <c r="H495">
        <v>1</v>
      </c>
      <c r="I495">
        <f>IF(Merge1[[#This Row],[Discrepancy]]&gt;=40,1,0)</f>
        <v>0</v>
      </c>
      <c r="J495" t="str">
        <f>IF(Merge1[[#This Row],[Year]]=2023,Merge1[[#This Row],[High Discrepancy2]],"")</f>
        <v/>
      </c>
      <c r="K49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5" s="1" t="str">
        <f ca="1">IF(Merge1[[#This Row],[Consecutive from 2023]]&gt;=5,"ALERT","")</f>
        <v/>
      </c>
    </row>
    <row r="496" spans="1:12" hidden="1" x14ac:dyDescent="0.35">
      <c r="A496" s="1" t="s">
        <v>44</v>
      </c>
      <c r="B496" s="1" t="s">
        <v>172</v>
      </c>
      <c r="C496" s="1" t="s">
        <v>31</v>
      </c>
      <c r="D496">
        <v>2019</v>
      </c>
      <c r="E496">
        <v>63.2</v>
      </c>
      <c r="F496">
        <v>75.930000000000007</v>
      </c>
      <c r="G496">
        <v>12.730000000000004</v>
      </c>
      <c r="H496">
        <v>1</v>
      </c>
      <c r="I496">
        <f>IF(Merge1[[#This Row],[Discrepancy]]&gt;=40,1,0)</f>
        <v>0</v>
      </c>
      <c r="J496" t="str">
        <f>IF(Merge1[[#This Row],[Year]]=2023,Merge1[[#This Row],[High Discrepancy2]],"")</f>
        <v/>
      </c>
      <c r="K49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6" s="1" t="str">
        <f ca="1">IF(Merge1[[#This Row],[Consecutive from 2023]]&gt;=5,"ALERT","")</f>
        <v/>
      </c>
    </row>
    <row r="497" spans="1:12" hidden="1" x14ac:dyDescent="0.35">
      <c r="A497" s="1" t="s">
        <v>44</v>
      </c>
      <c r="B497" s="1" t="s">
        <v>172</v>
      </c>
      <c r="C497" s="1" t="s">
        <v>31</v>
      </c>
      <c r="D497">
        <v>2018</v>
      </c>
      <c r="E497">
        <v>62.2</v>
      </c>
      <c r="F497">
        <v>72.39</v>
      </c>
      <c r="G497">
        <v>10.189999999999998</v>
      </c>
      <c r="H497">
        <v>1</v>
      </c>
      <c r="I497">
        <f>IF(Merge1[[#This Row],[Discrepancy]]&gt;=40,1,0)</f>
        <v>0</v>
      </c>
      <c r="J497" t="str">
        <f>IF(Merge1[[#This Row],[Year]]=2023,Merge1[[#This Row],[High Discrepancy2]],"")</f>
        <v/>
      </c>
      <c r="K49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7" s="1" t="str">
        <f ca="1">IF(Merge1[[#This Row],[Consecutive from 2023]]&gt;=5,"ALERT","")</f>
        <v/>
      </c>
    </row>
    <row r="498" spans="1:12" hidden="1" x14ac:dyDescent="0.35">
      <c r="A498" s="1" t="s">
        <v>44</v>
      </c>
      <c r="B498" s="1" t="s">
        <v>172</v>
      </c>
      <c r="C498" s="1" t="s">
        <v>31</v>
      </c>
      <c r="D498">
        <v>2017</v>
      </c>
      <c r="E498">
        <v>60.9</v>
      </c>
      <c r="F498">
        <v>74.63</v>
      </c>
      <c r="G498">
        <v>13.729999999999997</v>
      </c>
      <c r="H498">
        <v>1</v>
      </c>
      <c r="I498">
        <f>IF(Merge1[[#This Row],[Discrepancy]]&gt;=40,1,0)</f>
        <v>0</v>
      </c>
      <c r="J498" t="str">
        <f>IF(Merge1[[#This Row],[Year]]=2023,Merge1[[#This Row],[High Discrepancy2]],"")</f>
        <v/>
      </c>
      <c r="K49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8" s="1" t="str">
        <f ca="1">IF(Merge1[[#This Row],[Consecutive from 2023]]&gt;=5,"ALERT","")</f>
        <v/>
      </c>
    </row>
    <row r="499" spans="1:12" hidden="1" x14ac:dyDescent="0.35">
      <c r="A499" s="1" t="s">
        <v>44</v>
      </c>
      <c r="B499" s="1" t="s">
        <v>172</v>
      </c>
      <c r="C499" s="1" t="s">
        <v>31</v>
      </c>
      <c r="D499">
        <v>2016</v>
      </c>
      <c r="E499">
        <v>59.8</v>
      </c>
      <c r="F499">
        <v>74.45</v>
      </c>
      <c r="G499">
        <v>14.650000000000006</v>
      </c>
      <c r="H499">
        <v>1</v>
      </c>
      <c r="I499">
        <f>IF(Merge1[[#This Row],[Discrepancy]]&gt;=40,1,0)</f>
        <v>0</v>
      </c>
      <c r="J499" t="str">
        <f>IF(Merge1[[#This Row],[Year]]=2023,Merge1[[#This Row],[High Discrepancy2]],"")</f>
        <v/>
      </c>
      <c r="K49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499" s="1" t="str">
        <f ca="1">IF(Merge1[[#This Row],[Consecutive from 2023]]&gt;=5,"ALERT","")</f>
        <v/>
      </c>
    </row>
    <row r="500" spans="1:12" hidden="1" x14ac:dyDescent="0.35">
      <c r="A500" s="1" t="s">
        <v>44</v>
      </c>
      <c r="B500" s="1" t="s">
        <v>172</v>
      </c>
      <c r="C500" s="1" t="s">
        <v>31</v>
      </c>
      <c r="D500">
        <v>2015</v>
      </c>
      <c r="E500">
        <v>58.6</v>
      </c>
      <c r="F500">
        <v>71.010000000000005</v>
      </c>
      <c r="G500">
        <v>12.410000000000004</v>
      </c>
      <c r="H500">
        <v>1</v>
      </c>
      <c r="I500">
        <f>IF(Merge1[[#This Row],[Discrepancy]]&gt;=40,1,0)</f>
        <v>0</v>
      </c>
      <c r="J500" t="str">
        <f>IF(Merge1[[#This Row],[Year]]=2023,Merge1[[#This Row],[High Discrepancy2]],"")</f>
        <v/>
      </c>
      <c r="K50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0" s="1" t="str">
        <f ca="1">IF(Merge1[[#This Row],[Consecutive from 2023]]&gt;=5,"ALERT","")</f>
        <v/>
      </c>
    </row>
    <row r="501" spans="1:12" hidden="1" x14ac:dyDescent="0.35">
      <c r="A501" s="1" t="s">
        <v>44</v>
      </c>
      <c r="B501" s="1" t="s">
        <v>172</v>
      </c>
      <c r="C501" s="1" t="s">
        <v>31</v>
      </c>
      <c r="D501">
        <v>2014</v>
      </c>
      <c r="E501">
        <v>56.8</v>
      </c>
      <c r="F501">
        <v>79.489999999999995</v>
      </c>
      <c r="G501">
        <v>22.689999999999998</v>
      </c>
      <c r="H501">
        <v>1</v>
      </c>
      <c r="I501">
        <f>IF(Merge1[[#This Row],[Discrepancy]]&gt;=40,1,0)</f>
        <v>0</v>
      </c>
      <c r="J501" t="str">
        <f>IF(Merge1[[#This Row],[Year]]=2023,Merge1[[#This Row],[High Discrepancy2]],"")</f>
        <v/>
      </c>
      <c r="K50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1" s="1" t="str">
        <f ca="1">IF(Merge1[[#This Row],[Consecutive from 2023]]&gt;=5,"ALERT","")</f>
        <v/>
      </c>
    </row>
    <row r="502" spans="1:12" hidden="1" x14ac:dyDescent="0.35">
      <c r="A502" s="1" t="s">
        <v>44</v>
      </c>
      <c r="B502" s="1" t="s">
        <v>172</v>
      </c>
      <c r="C502" s="1" t="s">
        <v>31</v>
      </c>
      <c r="D502">
        <v>2013</v>
      </c>
      <c r="E502">
        <v>56.3</v>
      </c>
      <c r="F502">
        <v>79.09</v>
      </c>
      <c r="G502">
        <v>22.790000000000006</v>
      </c>
      <c r="H502">
        <v>1</v>
      </c>
      <c r="I502">
        <f>IF(Merge1[[#This Row],[Discrepancy]]&gt;=40,1,0)</f>
        <v>0</v>
      </c>
      <c r="J502" t="str">
        <f>IF(Merge1[[#This Row],[Year]]=2023,Merge1[[#This Row],[High Discrepancy2]],"")</f>
        <v/>
      </c>
      <c r="K50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2" s="1" t="str">
        <f ca="1">IF(Merge1[[#This Row],[Consecutive from 2023]]&gt;=5,"ALERT","")</f>
        <v/>
      </c>
    </row>
    <row r="503" spans="1:12" hidden="1" x14ac:dyDescent="0.35">
      <c r="A503" s="1" t="s">
        <v>44</v>
      </c>
      <c r="B503" s="1" t="s">
        <v>172</v>
      </c>
      <c r="C503" s="1" t="s">
        <v>31</v>
      </c>
      <c r="D503">
        <v>2012</v>
      </c>
      <c r="E503">
        <v>55.2</v>
      </c>
      <c r="F503">
        <v>84.77</v>
      </c>
      <c r="G503">
        <v>29.569999999999993</v>
      </c>
      <c r="H503">
        <v>1</v>
      </c>
      <c r="I503">
        <f>IF(Merge1[[#This Row],[Discrepancy]]&gt;=40,1,0)</f>
        <v>0</v>
      </c>
      <c r="J503" t="str">
        <f>IF(Merge1[[#This Row],[Year]]=2023,Merge1[[#This Row],[High Discrepancy2]],"")</f>
        <v/>
      </c>
      <c r="K50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3" s="1" t="str">
        <f ca="1">IF(Merge1[[#This Row],[Consecutive from 2023]]&gt;=5,"ALERT","")</f>
        <v/>
      </c>
    </row>
    <row r="504" spans="1:12" hidden="1" x14ac:dyDescent="0.35">
      <c r="A504" s="1" t="s">
        <v>122</v>
      </c>
      <c r="B504" s="1" t="s">
        <v>174</v>
      </c>
      <c r="C504" s="1" t="s">
        <v>34</v>
      </c>
      <c r="D504">
        <v>2010</v>
      </c>
      <c r="E504">
        <v>12.1</v>
      </c>
      <c r="F504">
        <v>58.01</v>
      </c>
      <c r="G504">
        <v>45.91</v>
      </c>
      <c r="H504">
        <v>1</v>
      </c>
      <c r="I504">
        <f>IF(Merge1[[#This Row],[Discrepancy]]&gt;=40,1,0)</f>
        <v>1</v>
      </c>
      <c r="J504" t="str">
        <f>IF(Merge1[[#This Row],[Year]]=2023,Merge1[[#This Row],[High Discrepancy2]],"")</f>
        <v/>
      </c>
      <c r="K50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4" s="1" t="str">
        <f ca="1">IF(Merge1[[#This Row],[Consecutive from 2023]]&gt;=5,"ALERT","")</f>
        <v/>
      </c>
    </row>
    <row r="505" spans="1:12" hidden="1" x14ac:dyDescent="0.35">
      <c r="A505" s="1" t="s">
        <v>126</v>
      </c>
      <c r="B505" s="1" t="s">
        <v>174</v>
      </c>
      <c r="C505" s="1" t="s">
        <v>31</v>
      </c>
      <c r="D505">
        <v>2023</v>
      </c>
      <c r="E505">
        <v>51.1</v>
      </c>
      <c r="F505">
        <v>89.06</v>
      </c>
      <c r="G505">
        <v>37.96</v>
      </c>
      <c r="H505">
        <v>1</v>
      </c>
      <c r="I505">
        <f>IF(Merge1[[#This Row],[Discrepancy]]&gt;=40,1,0)</f>
        <v>0</v>
      </c>
      <c r="J505">
        <f>IF(Merge1[[#This Row],[Year]]=2023,Merge1[[#This Row],[High Discrepancy2]],"")</f>
        <v>0</v>
      </c>
      <c r="K50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5" s="1" t="str">
        <f ca="1">IF(Merge1[[#This Row],[Consecutive from 2023]]&gt;=5,"ALERT","")</f>
        <v/>
      </c>
    </row>
    <row r="506" spans="1:12" hidden="1" x14ac:dyDescent="0.35">
      <c r="A506" s="1" t="s">
        <v>48</v>
      </c>
      <c r="B506" s="1" t="s">
        <v>175</v>
      </c>
      <c r="C506" s="1" t="s">
        <v>41</v>
      </c>
      <c r="D506">
        <v>2023</v>
      </c>
      <c r="E506">
        <v>98.6</v>
      </c>
      <c r="F506">
        <v>15.97</v>
      </c>
      <c r="G506">
        <v>-82.63</v>
      </c>
      <c r="H506">
        <v>0</v>
      </c>
      <c r="I506">
        <f>IF(Merge1[[#This Row],[Discrepancy]]&gt;=40,1,0)</f>
        <v>0</v>
      </c>
      <c r="J506">
        <f>IF(Merge1[[#This Row],[Year]]=2023,Merge1[[#This Row],[High Discrepancy2]],"")</f>
        <v>0</v>
      </c>
      <c r="K50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6" s="1" t="str">
        <f ca="1">IF(Merge1[[#This Row],[Consecutive from 2023]]&gt;=5,"ALERT","")</f>
        <v/>
      </c>
    </row>
    <row r="507" spans="1:12" hidden="1" x14ac:dyDescent="0.35">
      <c r="A507" s="1" t="s">
        <v>48</v>
      </c>
      <c r="B507" s="1" t="s">
        <v>175</v>
      </c>
      <c r="C507" s="1" t="s">
        <v>41</v>
      </c>
      <c r="D507">
        <v>2022</v>
      </c>
      <c r="E507">
        <v>97.1</v>
      </c>
      <c r="F507">
        <v>16.82</v>
      </c>
      <c r="G507">
        <v>-80.28</v>
      </c>
      <c r="H507">
        <v>0</v>
      </c>
      <c r="I507">
        <f>IF(Merge1[[#This Row],[Discrepancy]]&gt;=40,1,0)</f>
        <v>0</v>
      </c>
      <c r="J507" t="str">
        <f>IF(Merge1[[#This Row],[Year]]=2023,Merge1[[#This Row],[High Discrepancy2]],"")</f>
        <v/>
      </c>
      <c r="K50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7" s="1" t="str">
        <f ca="1">IF(Merge1[[#This Row],[Consecutive from 2023]]&gt;=5,"ALERT","")</f>
        <v/>
      </c>
    </row>
    <row r="508" spans="1:12" hidden="1" x14ac:dyDescent="0.35">
      <c r="A508" s="1" t="s">
        <v>48</v>
      </c>
      <c r="B508" s="1" t="s">
        <v>175</v>
      </c>
      <c r="C508" s="1" t="s">
        <v>41</v>
      </c>
      <c r="D508">
        <v>2021</v>
      </c>
      <c r="E508">
        <v>95.5</v>
      </c>
      <c r="F508">
        <v>18.27</v>
      </c>
      <c r="G508">
        <v>-77.23</v>
      </c>
      <c r="H508">
        <v>0</v>
      </c>
      <c r="I508">
        <f>IF(Merge1[[#This Row],[Discrepancy]]&gt;=40,1,0)</f>
        <v>0</v>
      </c>
      <c r="J508" t="str">
        <f>IF(Merge1[[#This Row],[Year]]=2023,Merge1[[#This Row],[High Discrepancy2]],"")</f>
        <v/>
      </c>
      <c r="K50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8" s="1" t="str">
        <f ca="1">IF(Merge1[[#This Row],[Consecutive from 2023]]&gt;=5,"ALERT","")</f>
        <v/>
      </c>
    </row>
    <row r="509" spans="1:12" hidden="1" x14ac:dyDescent="0.35">
      <c r="A509" s="1" t="s">
        <v>48</v>
      </c>
      <c r="B509" s="1" t="s">
        <v>175</v>
      </c>
      <c r="C509" s="1" t="s">
        <v>41</v>
      </c>
      <c r="D509">
        <v>2020</v>
      </c>
      <c r="E509">
        <v>93.7</v>
      </c>
      <c r="F509">
        <v>16.82</v>
      </c>
      <c r="G509">
        <v>-76.88</v>
      </c>
      <c r="H509">
        <v>0</v>
      </c>
      <c r="I509">
        <f>IF(Merge1[[#This Row],[Discrepancy]]&gt;=40,1,0)</f>
        <v>0</v>
      </c>
      <c r="J509" t="str">
        <f>IF(Merge1[[#This Row],[Year]]=2023,Merge1[[#This Row],[High Discrepancy2]],"")</f>
        <v/>
      </c>
      <c r="K50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09" s="1" t="str">
        <f ca="1">IF(Merge1[[#This Row],[Consecutive from 2023]]&gt;=5,"ALERT","")</f>
        <v/>
      </c>
    </row>
    <row r="510" spans="1:12" hidden="1" x14ac:dyDescent="0.35">
      <c r="A510" s="1" t="s">
        <v>48</v>
      </c>
      <c r="B510" s="1" t="s">
        <v>175</v>
      </c>
      <c r="C510" s="1" t="s">
        <v>41</v>
      </c>
      <c r="D510">
        <v>2019</v>
      </c>
      <c r="E510">
        <v>91.4</v>
      </c>
      <c r="F510">
        <v>18.66</v>
      </c>
      <c r="G510">
        <v>-72.740000000000009</v>
      </c>
      <c r="H510">
        <v>0</v>
      </c>
      <c r="I510">
        <f>IF(Merge1[[#This Row],[Discrepancy]]&gt;=40,1,0)</f>
        <v>0</v>
      </c>
      <c r="J510" t="str">
        <f>IF(Merge1[[#This Row],[Year]]=2023,Merge1[[#This Row],[High Discrepancy2]],"")</f>
        <v/>
      </c>
      <c r="K51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0" s="1" t="str">
        <f ca="1">IF(Merge1[[#This Row],[Consecutive from 2023]]&gt;=5,"ALERT","")</f>
        <v/>
      </c>
    </row>
    <row r="511" spans="1:12" hidden="1" x14ac:dyDescent="0.35">
      <c r="A511" s="1" t="s">
        <v>48</v>
      </c>
      <c r="B511" s="1" t="s">
        <v>175</v>
      </c>
      <c r="C511" s="1" t="s">
        <v>41</v>
      </c>
      <c r="D511">
        <v>2018</v>
      </c>
      <c r="E511">
        <v>90.2</v>
      </c>
      <c r="F511">
        <v>20.8</v>
      </c>
      <c r="G511">
        <v>-69.400000000000006</v>
      </c>
      <c r="H511">
        <v>0</v>
      </c>
      <c r="I511">
        <f>IF(Merge1[[#This Row],[Discrepancy]]&gt;=40,1,0)</f>
        <v>0</v>
      </c>
      <c r="J511" t="str">
        <f>IF(Merge1[[#This Row],[Year]]=2023,Merge1[[#This Row],[High Discrepancy2]],"")</f>
        <v/>
      </c>
      <c r="K51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1" s="1" t="str">
        <f ca="1">IF(Merge1[[#This Row],[Consecutive from 2023]]&gt;=5,"ALERT","")</f>
        <v/>
      </c>
    </row>
    <row r="512" spans="1:12" hidden="1" x14ac:dyDescent="0.35">
      <c r="A512" s="1" t="s">
        <v>48</v>
      </c>
      <c r="B512" s="1" t="s">
        <v>175</v>
      </c>
      <c r="C512" s="1" t="s">
        <v>41</v>
      </c>
      <c r="D512">
        <v>2017</v>
      </c>
      <c r="E512">
        <v>88.6</v>
      </c>
      <c r="F512">
        <v>17.64</v>
      </c>
      <c r="G512">
        <v>-70.959999999999994</v>
      </c>
      <c r="H512">
        <v>0</v>
      </c>
      <c r="I512">
        <f>IF(Merge1[[#This Row],[Discrepancy]]&gt;=40,1,0)</f>
        <v>0</v>
      </c>
      <c r="J512" t="str">
        <f>IF(Merge1[[#This Row],[Year]]=2023,Merge1[[#This Row],[High Discrepancy2]],"")</f>
        <v/>
      </c>
      <c r="K51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2" s="1" t="str">
        <f ca="1">IF(Merge1[[#This Row],[Consecutive from 2023]]&gt;=5,"ALERT","")</f>
        <v/>
      </c>
    </row>
    <row r="513" spans="1:12" hidden="1" x14ac:dyDescent="0.35">
      <c r="A513" s="1" t="s">
        <v>48</v>
      </c>
      <c r="B513" s="1" t="s">
        <v>175</v>
      </c>
      <c r="C513" s="1" t="s">
        <v>41</v>
      </c>
      <c r="D513">
        <v>2016</v>
      </c>
      <c r="E513">
        <v>87.5</v>
      </c>
      <c r="F513">
        <v>18.600000000000001</v>
      </c>
      <c r="G513">
        <v>-68.900000000000006</v>
      </c>
      <c r="H513">
        <v>0</v>
      </c>
      <c r="I513">
        <f>IF(Merge1[[#This Row],[Discrepancy]]&gt;=40,1,0)</f>
        <v>0</v>
      </c>
      <c r="J513" t="str">
        <f>IF(Merge1[[#This Row],[Year]]=2023,Merge1[[#This Row],[High Discrepancy2]],"")</f>
        <v/>
      </c>
      <c r="K51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3" s="1" t="str">
        <f ca="1">IF(Merge1[[#This Row],[Consecutive from 2023]]&gt;=5,"ALERT","")</f>
        <v/>
      </c>
    </row>
    <row r="514" spans="1:12" hidden="1" x14ac:dyDescent="0.35">
      <c r="A514" s="1" t="s">
        <v>48</v>
      </c>
      <c r="B514" s="1" t="s">
        <v>175</v>
      </c>
      <c r="C514" s="1" t="s">
        <v>41</v>
      </c>
      <c r="D514">
        <v>2015</v>
      </c>
      <c r="E514">
        <v>86.4</v>
      </c>
      <c r="F514">
        <v>20.27</v>
      </c>
      <c r="G514">
        <v>-66.13000000000001</v>
      </c>
      <c r="H514">
        <v>0</v>
      </c>
      <c r="I514">
        <f>IF(Merge1[[#This Row],[Discrepancy]]&gt;=40,1,0)</f>
        <v>0</v>
      </c>
      <c r="J514" t="str">
        <f>IF(Merge1[[#This Row],[Year]]=2023,Merge1[[#This Row],[High Discrepancy2]],"")</f>
        <v/>
      </c>
      <c r="K51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4" s="1" t="str">
        <f ca="1">IF(Merge1[[#This Row],[Consecutive from 2023]]&gt;=5,"ALERT","")</f>
        <v/>
      </c>
    </row>
    <row r="515" spans="1:12" hidden="1" x14ac:dyDescent="0.35">
      <c r="A515" s="1" t="s">
        <v>48</v>
      </c>
      <c r="B515" s="1" t="s">
        <v>175</v>
      </c>
      <c r="C515" s="1" t="s">
        <v>41</v>
      </c>
      <c r="D515">
        <v>2014</v>
      </c>
      <c r="E515">
        <v>85.3</v>
      </c>
      <c r="F515">
        <v>22.21</v>
      </c>
      <c r="G515">
        <v>-63.089999999999996</v>
      </c>
      <c r="H515">
        <v>0</v>
      </c>
      <c r="I515">
        <f>IF(Merge1[[#This Row],[Discrepancy]]&gt;=40,1,0)</f>
        <v>0</v>
      </c>
      <c r="J515" t="str">
        <f>IF(Merge1[[#This Row],[Year]]=2023,Merge1[[#This Row],[High Discrepancy2]],"")</f>
        <v/>
      </c>
      <c r="K51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5" s="1" t="str">
        <f ca="1">IF(Merge1[[#This Row],[Consecutive from 2023]]&gt;=5,"ALERT","")</f>
        <v/>
      </c>
    </row>
    <row r="516" spans="1:12" hidden="1" x14ac:dyDescent="0.35">
      <c r="A516" s="1" t="s">
        <v>48</v>
      </c>
      <c r="B516" s="1" t="s">
        <v>175</v>
      </c>
      <c r="C516" s="1" t="s">
        <v>41</v>
      </c>
      <c r="D516">
        <v>2013</v>
      </c>
      <c r="E516">
        <v>84.3</v>
      </c>
      <c r="F516">
        <v>21.28</v>
      </c>
      <c r="G516">
        <v>-63.019999999999996</v>
      </c>
      <c r="H516">
        <v>0</v>
      </c>
      <c r="I516">
        <f>IF(Merge1[[#This Row],[Discrepancy]]&gt;=40,1,0)</f>
        <v>0</v>
      </c>
      <c r="J516" t="str">
        <f>IF(Merge1[[#This Row],[Year]]=2023,Merge1[[#This Row],[High Discrepancy2]],"")</f>
        <v/>
      </c>
      <c r="K51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6" s="1" t="str">
        <f ca="1">IF(Merge1[[#This Row],[Consecutive from 2023]]&gt;=5,"ALERT","")</f>
        <v/>
      </c>
    </row>
    <row r="517" spans="1:12" hidden="1" x14ac:dyDescent="0.35">
      <c r="A517" s="1" t="s">
        <v>48</v>
      </c>
      <c r="B517" s="1" t="s">
        <v>175</v>
      </c>
      <c r="C517" s="1" t="s">
        <v>41</v>
      </c>
      <c r="D517">
        <v>2012</v>
      </c>
      <c r="E517">
        <v>83.2</v>
      </c>
      <c r="F517">
        <v>19.010000000000002</v>
      </c>
      <c r="G517">
        <v>-64.19</v>
      </c>
      <c r="H517">
        <v>0</v>
      </c>
      <c r="I517">
        <f>IF(Merge1[[#This Row],[Discrepancy]]&gt;=40,1,0)</f>
        <v>0</v>
      </c>
      <c r="J517" t="str">
        <f>IF(Merge1[[#This Row],[Year]]=2023,Merge1[[#This Row],[High Discrepancy2]],"")</f>
        <v/>
      </c>
      <c r="K51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7" s="1" t="str">
        <f ca="1">IF(Merge1[[#This Row],[Consecutive from 2023]]&gt;=5,"ALERT","")</f>
        <v/>
      </c>
    </row>
    <row r="518" spans="1:12" hidden="1" x14ac:dyDescent="0.35">
      <c r="A518" s="1" t="s">
        <v>48</v>
      </c>
      <c r="B518" s="1" t="s">
        <v>175</v>
      </c>
      <c r="C518" s="1" t="s">
        <v>41</v>
      </c>
      <c r="D518">
        <v>2011</v>
      </c>
      <c r="E518">
        <v>82.3</v>
      </c>
      <c r="F518">
        <v>7.04</v>
      </c>
      <c r="G518">
        <v>-75.259999999999991</v>
      </c>
      <c r="H518">
        <v>0</v>
      </c>
      <c r="I518">
        <f>IF(Merge1[[#This Row],[Discrepancy]]&gt;=40,1,0)</f>
        <v>0</v>
      </c>
      <c r="J518" t="str">
        <f>IF(Merge1[[#This Row],[Year]]=2023,Merge1[[#This Row],[High Discrepancy2]],"")</f>
        <v/>
      </c>
      <c r="K51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8" s="1" t="str">
        <f ca="1">IF(Merge1[[#This Row],[Consecutive from 2023]]&gt;=5,"ALERT","")</f>
        <v/>
      </c>
    </row>
    <row r="519" spans="1:12" hidden="1" x14ac:dyDescent="0.35">
      <c r="A519" s="1" t="s">
        <v>48</v>
      </c>
      <c r="B519" s="1" t="s">
        <v>175</v>
      </c>
      <c r="C519" s="1" t="s">
        <v>41</v>
      </c>
      <c r="D519">
        <v>2010</v>
      </c>
      <c r="E519">
        <v>81.099999999999994</v>
      </c>
      <c r="F519">
        <v>1.21</v>
      </c>
      <c r="G519">
        <v>-79.89</v>
      </c>
      <c r="H519">
        <v>0</v>
      </c>
      <c r="I519">
        <f>IF(Merge1[[#This Row],[Discrepancy]]&gt;=40,1,0)</f>
        <v>0</v>
      </c>
      <c r="J519" t="str">
        <f>IF(Merge1[[#This Row],[Year]]=2023,Merge1[[#This Row],[High Discrepancy2]],"")</f>
        <v/>
      </c>
      <c r="K51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19" s="1" t="str">
        <f ca="1">IF(Merge1[[#This Row],[Consecutive from 2023]]&gt;=5,"ALERT","")</f>
        <v/>
      </c>
    </row>
    <row r="520" spans="1:12" hidden="1" x14ac:dyDescent="0.35">
      <c r="A520" s="1" t="s">
        <v>126</v>
      </c>
      <c r="B520" s="1" t="s">
        <v>174</v>
      </c>
      <c r="C520" s="1" t="s">
        <v>31</v>
      </c>
      <c r="D520">
        <v>2022</v>
      </c>
      <c r="E520">
        <v>47.8</v>
      </c>
      <c r="F520">
        <v>88.91</v>
      </c>
      <c r="G520">
        <v>41.11</v>
      </c>
      <c r="H520">
        <v>1</v>
      </c>
      <c r="I520">
        <f>IF(Merge1[[#This Row],[Discrepancy]]&gt;=40,1,0)</f>
        <v>1</v>
      </c>
      <c r="J520" t="str">
        <f>IF(Merge1[[#This Row],[Year]]=2023,Merge1[[#This Row],[High Discrepancy2]],"")</f>
        <v/>
      </c>
      <c r="K52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0" s="1" t="str">
        <f ca="1">IF(Merge1[[#This Row],[Consecutive from 2023]]&gt;=5,"ALERT","")</f>
        <v/>
      </c>
    </row>
    <row r="521" spans="1:12" hidden="1" x14ac:dyDescent="0.35">
      <c r="A521" s="1" t="s">
        <v>126</v>
      </c>
      <c r="B521" s="1" t="s">
        <v>174</v>
      </c>
      <c r="C521" s="1" t="s">
        <v>31</v>
      </c>
      <c r="D521">
        <v>2021</v>
      </c>
      <c r="E521">
        <v>46.7</v>
      </c>
      <c r="F521">
        <v>92.05</v>
      </c>
      <c r="G521">
        <v>45.349999999999994</v>
      </c>
      <c r="H521">
        <v>1</v>
      </c>
      <c r="I521">
        <f>IF(Merge1[[#This Row],[Discrepancy]]&gt;=40,1,0)</f>
        <v>1</v>
      </c>
      <c r="J521" t="str">
        <f>IF(Merge1[[#This Row],[Year]]=2023,Merge1[[#This Row],[High Discrepancy2]],"")</f>
        <v/>
      </c>
      <c r="K52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1" s="1" t="str">
        <f ca="1">IF(Merge1[[#This Row],[Consecutive from 2023]]&gt;=5,"ALERT","")</f>
        <v/>
      </c>
    </row>
    <row r="522" spans="1:12" hidden="1" x14ac:dyDescent="0.35">
      <c r="A522" s="1" t="s">
        <v>126</v>
      </c>
      <c r="B522" s="1" t="s">
        <v>174</v>
      </c>
      <c r="C522" s="1" t="s">
        <v>31</v>
      </c>
      <c r="D522">
        <v>2020</v>
      </c>
      <c r="E522">
        <v>44.6</v>
      </c>
      <c r="F522">
        <v>85.55</v>
      </c>
      <c r="G522">
        <v>40.949999999999996</v>
      </c>
      <c r="H522">
        <v>1</v>
      </c>
      <c r="I522">
        <f>IF(Merge1[[#This Row],[Discrepancy]]&gt;=40,1,0)</f>
        <v>1</v>
      </c>
      <c r="J522" t="str">
        <f>IF(Merge1[[#This Row],[Year]]=2023,Merge1[[#This Row],[High Discrepancy2]],"")</f>
        <v/>
      </c>
      <c r="K52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2" s="1" t="str">
        <f ca="1">IF(Merge1[[#This Row],[Consecutive from 2023]]&gt;=5,"ALERT","")</f>
        <v/>
      </c>
    </row>
    <row r="523" spans="1:12" hidden="1" x14ac:dyDescent="0.35">
      <c r="A523" s="1" t="s">
        <v>126</v>
      </c>
      <c r="B523" s="1" t="s">
        <v>174</v>
      </c>
      <c r="C523" s="1" t="s">
        <v>31</v>
      </c>
      <c r="D523">
        <v>2019</v>
      </c>
      <c r="E523">
        <v>43</v>
      </c>
      <c r="F523">
        <v>82.93</v>
      </c>
      <c r="G523">
        <v>39.930000000000007</v>
      </c>
      <c r="H523">
        <v>1</v>
      </c>
      <c r="I523">
        <f>IF(Merge1[[#This Row],[Discrepancy]]&gt;=40,1,0)</f>
        <v>0</v>
      </c>
      <c r="J523" t="str">
        <f>IF(Merge1[[#This Row],[Year]]=2023,Merge1[[#This Row],[High Discrepancy2]],"")</f>
        <v/>
      </c>
      <c r="K52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3" s="1" t="str">
        <f ca="1">IF(Merge1[[#This Row],[Consecutive from 2023]]&gt;=5,"ALERT","")</f>
        <v/>
      </c>
    </row>
    <row r="524" spans="1:12" hidden="1" x14ac:dyDescent="0.35">
      <c r="A524" s="1" t="s">
        <v>126</v>
      </c>
      <c r="B524" s="1" t="s">
        <v>174</v>
      </c>
      <c r="C524" s="1" t="s">
        <v>31</v>
      </c>
      <c r="D524">
        <v>2018</v>
      </c>
      <c r="E524">
        <v>40.200000000000003</v>
      </c>
      <c r="F524">
        <v>84.71</v>
      </c>
      <c r="G524">
        <v>44.509999999999991</v>
      </c>
      <c r="H524">
        <v>1</v>
      </c>
      <c r="I524">
        <f>IF(Merge1[[#This Row],[Discrepancy]]&gt;=40,1,0)</f>
        <v>1</v>
      </c>
      <c r="J524" t="str">
        <f>IF(Merge1[[#This Row],[Year]]=2023,Merge1[[#This Row],[High Discrepancy2]],"")</f>
        <v/>
      </c>
      <c r="K52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4" s="1" t="str">
        <f ca="1">IF(Merge1[[#This Row],[Consecutive from 2023]]&gt;=5,"ALERT","")</f>
        <v/>
      </c>
    </row>
    <row r="525" spans="1:12" hidden="1" x14ac:dyDescent="0.35">
      <c r="A525" s="1" t="s">
        <v>126</v>
      </c>
      <c r="B525" s="1" t="s">
        <v>174</v>
      </c>
      <c r="C525" s="1" t="s">
        <v>31</v>
      </c>
      <c r="D525">
        <v>2017</v>
      </c>
      <c r="E525">
        <v>40.299999999999997</v>
      </c>
      <c r="F525">
        <v>86.37</v>
      </c>
      <c r="G525">
        <v>46.070000000000007</v>
      </c>
      <c r="H525">
        <v>1</v>
      </c>
      <c r="I525">
        <f>IF(Merge1[[#This Row],[Discrepancy]]&gt;=40,1,0)</f>
        <v>1</v>
      </c>
      <c r="J525" t="str">
        <f>IF(Merge1[[#This Row],[Year]]=2023,Merge1[[#This Row],[High Discrepancy2]],"")</f>
        <v/>
      </c>
      <c r="K52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5" s="1" t="str">
        <f ca="1">IF(Merge1[[#This Row],[Consecutive from 2023]]&gt;=5,"ALERT","")</f>
        <v/>
      </c>
    </row>
    <row r="526" spans="1:12" hidden="1" x14ac:dyDescent="0.35">
      <c r="A526" s="1" t="s">
        <v>126</v>
      </c>
      <c r="B526" s="1" t="s">
        <v>174</v>
      </c>
      <c r="C526" s="1" t="s">
        <v>31</v>
      </c>
      <c r="D526">
        <v>2016</v>
      </c>
      <c r="E526">
        <v>35.4</v>
      </c>
      <c r="F526">
        <v>94.33</v>
      </c>
      <c r="G526">
        <v>58.93</v>
      </c>
      <c r="H526">
        <v>1</v>
      </c>
      <c r="I526">
        <f>IF(Merge1[[#This Row],[Discrepancy]]&gt;=40,1,0)</f>
        <v>1</v>
      </c>
      <c r="J526" t="str">
        <f>IF(Merge1[[#This Row],[Year]]=2023,Merge1[[#This Row],[High Discrepancy2]],"")</f>
        <v/>
      </c>
      <c r="K52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6" s="1" t="str">
        <f ca="1">IF(Merge1[[#This Row],[Consecutive from 2023]]&gt;=5,"ALERT","")</f>
        <v/>
      </c>
    </row>
    <row r="527" spans="1:12" hidden="1" x14ac:dyDescent="0.35">
      <c r="A527" s="1" t="s">
        <v>126</v>
      </c>
      <c r="B527" s="1" t="s">
        <v>174</v>
      </c>
      <c r="C527" s="1" t="s">
        <v>31</v>
      </c>
      <c r="D527">
        <v>2015</v>
      </c>
      <c r="E527">
        <v>31.1</v>
      </c>
      <c r="F527">
        <v>97.01</v>
      </c>
      <c r="G527">
        <v>65.91</v>
      </c>
      <c r="H527">
        <v>1</v>
      </c>
      <c r="I527">
        <f>IF(Merge1[[#This Row],[Discrepancy]]&gt;=40,1,0)</f>
        <v>1</v>
      </c>
      <c r="J527" t="str">
        <f>IF(Merge1[[#This Row],[Year]]=2023,Merge1[[#This Row],[High Discrepancy2]],"")</f>
        <v/>
      </c>
      <c r="K52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7" s="1" t="str">
        <f ca="1">IF(Merge1[[#This Row],[Consecutive from 2023]]&gt;=5,"ALERT","")</f>
        <v/>
      </c>
    </row>
    <row r="528" spans="1:12" hidden="1" x14ac:dyDescent="0.35">
      <c r="A528" s="1" t="s">
        <v>126</v>
      </c>
      <c r="B528" s="1" t="s">
        <v>174</v>
      </c>
      <c r="C528" s="1" t="s">
        <v>31</v>
      </c>
      <c r="D528">
        <v>2014</v>
      </c>
      <c r="E528">
        <v>27.9</v>
      </c>
      <c r="F528">
        <v>97.17</v>
      </c>
      <c r="G528">
        <v>69.27000000000001</v>
      </c>
      <c r="H528">
        <v>1</v>
      </c>
      <c r="I528">
        <f>IF(Merge1[[#This Row],[Discrepancy]]&gt;=40,1,0)</f>
        <v>1</v>
      </c>
      <c r="J528" t="str">
        <f>IF(Merge1[[#This Row],[Year]]=2023,Merge1[[#This Row],[High Discrepancy2]],"")</f>
        <v/>
      </c>
      <c r="K52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8" s="1" t="str">
        <f ca="1">IF(Merge1[[#This Row],[Consecutive from 2023]]&gt;=5,"ALERT","")</f>
        <v/>
      </c>
    </row>
    <row r="529" spans="1:12" hidden="1" x14ac:dyDescent="0.35">
      <c r="A529" s="1" t="s">
        <v>126</v>
      </c>
      <c r="B529" s="1" t="s">
        <v>174</v>
      </c>
      <c r="C529" s="1" t="s">
        <v>31</v>
      </c>
      <c r="D529">
        <v>2013</v>
      </c>
      <c r="E529">
        <v>30.1</v>
      </c>
      <c r="F529">
        <v>99.85</v>
      </c>
      <c r="G529">
        <v>69.75</v>
      </c>
      <c r="H529">
        <v>1</v>
      </c>
      <c r="I529">
        <f>IF(Merge1[[#This Row],[Discrepancy]]&gt;=40,1,0)</f>
        <v>1</v>
      </c>
      <c r="J529" t="str">
        <f>IF(Merge1[[#This Row],[Year]]=2023,Merge1[[#This Row],[High Discrepancy2]],"")</f>
        <v/>
      </c>
      <c r="K52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29" s="1" t="str">
        <f ca="1">IF(Merge1[[#This Row],[Consecutive from 2023]]&gt;=5,"ALERT","")</f>
        <v/>
      </c>
    </row>
    <row r="530" spans="1:12" hidden="1" x14ac:dyDescent="0.35">
      <c r="A530" s="1" t="s">
        <v>126</v>
      </c>
      <c r="B530" s="1" t="s">
        <v>174</v>
      </c>
      <c r="C530" s="1" t="s">
        <v>31</v>
      </c>
      <c r="D530">
        <v>2012</v>
      </c>
      <c r="E530">
        <v>29.2</v>
      </c>
      <c r="F530">
        <v>99.85</v>
      </c>
      <c r="G530">
        <v>70.649999999999991</v>
      </c>
      <c r="H530">
        <v>1</v>
      </c>
      <c r="I530">
        <f>IF(Merge1[[#This Row],[Discrepancy]]&gt;=40,1,0)</f>
        <v>1</v>
      </c>
      <c r="J530" t="str">
        <f>IF(Merge1[[#This Row],[Year]]=2023,Merge1[[#This Row],[High Discrepancy2]],"")</f>
        <v/>
      </c>
      <c r="K53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0" s="1" t="str">
        <f ca="1">IF(Merge1[[#This Row],[Consecutive from 2023]]&gt;=5,"ALERT","")</f>
        <v/>
      </c>
    </row>
    <row r="531" spans="1:12" hidden="1" x14ac:dyDescent="0.35">
      <c r="A531" s="1" t="s">
        <v>126</v>
      </c>
      <c r="B531" s="1" t="s">
        <v>174</v>
      </c>
      <c r="C531" s="1" t="s">
        <v>31</v>
      </c>
      <c r="D531">
        <v>2011</v>
      </c>
      <c r="E531">
        <v>28.3</v>
      </c>
      <c r="F531">
        <v>99.87</v>
      </c>
      <c r="G531">
        <v>71.570000000000007</v>
      </c>
      <c r="H531">
        <v>1</v>
      </c>
      <c r="I531">
        <f>IF(Merge1[[#This Row],[Discrepancy]]&gt;=40,1,0)</f>
        <v>1</v>
      </c>
      <c r="J531" t="str">
        <f>IF(Merge1[[#This Row],[Year]]=2023,Merge1[[#This Row],[High Discrepancy2]],"")</f>
        <v/>
      </c>
      <c r="K53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1" s="1" t="str">
        <f ca="1">IF(Merge1[[#This Row],[Consecutive from 2023]]&gt;=5,"ALERT","")</f>
        <v/>
      </c>
    </row>
    <row r="532" spans="1:12" hidden="1" x14ac:dyDescent="0.35">
      <c r="A532" s="1" t="s">
        <v>126</v>
      </c>
      <c r="B532" s="1" t="s">
        <v>174</v>
      </c>
      <c r="C532" s="1" t="s">
        <v>31</v>
      </c>
      <c r="D532">
        <v>2010</v>
      </c>
      <c r="E532">
        <v>22</v>
      </c>
      <c r="F532">
        <v>99.87</v>
      </c>
      <c r="G532">
        <v>77.87</v>
      </c>
      <c r="H532">
        <v>1</v>
      </c>
      <c r="I532">
        <f>IF(Merge1[[#This Row],[Discrepancy]]&gt;=40,1,0)</f>
        <v>1</v>
      </c>
      <c r="J532" t="str">
        <f>IF(Merge1[[#This Row],[Year]]=2023,Merge1[[#This Row],[High Discrepancy2]],"")</f>
        <v/>
      </c>
      <c r="K53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2" s="1" t="str">
        <f ca="1">IF(Merge1[[#This Row],[Consecutive from 2023]]&gt;=5,"ALERT","")</f>
        <v/>
      </c>
    </row>
    <row r="533" spans="1:12" hidden="1" x14ac:dyDescent="0.35">
      <c r="A533" s="1" t="s">
        <v>128</v>
      </c>
      <c r="B533" s="1" t="s">
        <v>174</v>
      </c>
      <c r="C533" s="1" t="s">
        <v>31</v>
      </c>
      <c r="D533">
        <v>2015</v>
      </c>
      <c r="E533">
        <v>33.700000000000003</v>
      </c>
      <c r="F533">
        <v>68.89</v>
      </c>
      <c r="G533">
        <v>35.19</v>
      </c>
      <c r="H533">
        <v>1</v>
      </c>
      <c r="I533">
        <f>IF(Merge1[[#This Row],[Discrepancy]]&gt;=40,1,0)</f>
        <v>0</v>
      </c>
      <c r="J533" t="str">
        <f>IF(Merge1[[#This Row],[Year]]=2023,Merge1[[#This Row],[High Discrepancy2]],"")</f>
        <v/>
      </c>
      <c r="K53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3" s="1" t="str">
        <f ca="1">IF(Merge1[[#This Row],[Consecutive from 2023]]&gt;=5,"ALERT","")</f>
        <v/>
      </c>
    </row>
    <row r="534" spans="1:12" hidden="1" x14ac:dyDescent="0.35">
      <c r="A534" s="1" t="s">
        <v>37</v>
      </c>
      <c r="B534" s="1" t="s">
        <v>175</v>
      </c>
      <c r="C534" s="1" t="s">
        <v>34</v>
      </c>
      <c r="D534">
        <v>2023</v>
      </c>
      <c r="E534">
        <v>21.7</v>
      </c>
      <c r="F534">
        <v>24.52</v>
      </c>
      <c r="G534">
        <v>2.8200000000000003</v>
      </c>
      <c r="H534">
        <v>1</v>
      </c>
      <c r="I534">
        <f>IF(Merge1[[#This Row],[Discrepancy]]&gt;=40,1,0)</f>
        <v>0</v>
      </c>
      <c r="J534">
        <f>IF(Merge1[[#This Row],[Year]]=2023,Merge1[[#This Row],[High Discrepancy2]],"")</f>
        <v>0</v>
      </c>
      <c r="K53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4" s="1" t="str">
        <f ca="1">IF(Merge1[[#This Row],[Consecutive from 2023]]&gt;=5,"ALERT","")</f>
        <v/>
      </c>
    </row>
    <row r="535" spans="1:12" hidden="1" x14ac:dyDescent="0.35">
      <c r="A535" s="1" t="s">
        <v>37</v>
      </c>
      <c r="B535" s="1" t="s">
        <v>175</v>
      </c>
      <c r="C535" s="1" t="s">
        <v>34</v>
      </c>
      <c r="D535">
        <v>2022</v>
      </c>
      <c r="E535">
        <v>19.5</v>
      </c>
      <c r="F535">
        <v>23.79</v>
      </c>
      <c r="G535">
        <v>4.2899999999999991</v>
      </c>
      <c r="H535">
        <v>1</v>
      </c>
      <c r="I535">
        <f>IF(Merge1[[#This Row],[Discrepancy]]&gt;=40,1,0)</f>
        <v>0</v>
      </c>
      <c r="J535" t="str">
        <f>IF(Merge1[[#This Row],[Year]]=2023,Merge1[[#This Row],[High Discrepancy2]],"")</f>
        <v/>
      </c>
      <c r="K53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5" s="1" t="str">
        <f ca="1">IF(Merge1[[#This Row],[Consecutive from 2023]]&gt;=5,"ALERT","")</f>
        <v/>
      </c>
    </row>
    <row r="536" spans="1:12" hidden="1" x14ac:dyDescent="0.35">
      <c r="A536" s="1" t="s">
        <v>37</v>
      </c>
      <c r="B536" s="1" t="s">
        <v>175</v>
      </c>
      <c r="C536" s="1" t="s">
        <v>34</v>
      </c>
      <c r="D536">
        <v>2021</v>
      </c>
      <c r="E536">
        <v>19</v>
      </c>
      <c r="F536">
        <v>24.4</v>
      </c>
      <c r="G536">
        <v>5.3999999999999986</v>
      </c>
      <c r="H536">
        <v>1</v>
      </c>
      <c r="I536">
        <f>IF(Merge1[[#This Row],[Discrepancy]]&gt;=40,1,0)</f>
        <v>0</v>
      </c>
      <c r="J536" t="str">
        <f>IF(Merge1[[#This Row],[Year]]=2023,Merge1[[#This Row],[High Discrepancy2]],"")</f>
        <v/>
      </c>
      <c r="K53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6" s="1" t="str">
        <f ca="1">IF(Merge1[[#This Row],[Consecutive from 2023]]&gt;=5,"ALERT","")</f>
        <v/>
      </c>
    </row>
    <row r="537" spans="1:12" hidden="1" x14ac:dyDescent="0.35">
      <c r="A537" s="1" t="s">
        <v>37</v>
      </c>
      <c r="B537" s="1" t="s">
        <v>175</v>
      </c>
      <c r="C537" s="1" t="s">
        <v>34</v>
      </c>
      <c r="D537">
        <v>2020</v>
      </c>
      <c r="E537">
        <v>18.5</v>
      </c>
      <c r="F537">
        <v>27.87</v>
      </c>
      <c r="G537">
        <v>9.370000000000001</v>
      </c>
      <c r="H537">
        <v>1</v>
      </c>
      <c r="I537">
        <f>IF(Merge1[[#This Row],[Discrepancy]]&gt;=40,1,0)</f>
        <v>0</v>
      </c>
      <c r="J537" t="str">
        <f>IF(Merge1[[#This Row],[Year]]=2023,Merge1[[#This Row],[High Discrepancy2]],"")</f>
        <v/>
      </c>
      <c r="K53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7" s="1" t="str">
        <f ca="1">IF(Merge1[[#This Row],[Consecutive from 2023]]&gt;=5,"ALERT","")</f>
        <v/>
      </c>
    </row>
    <row r="538" spans="1:12" hidden="1" x14ac:dyDescent="0.35">
      <c r="A538" s="1" t="s">
        <v>37</v>
      </c>
      <c r="B538" s="1" t="s">
        <v>175</v>
      </c>
      <c r="C538" s="1" t="s">
        <v>34</v>
      </c>
      <c r="D538">
        <v>2019</v>
      </c>
      <c r="E538">
        <v>17.600000000000001</v>
      </c>
      <c r="F538">
        <v>25.17</v>
      </c>
      <c r="G538">
        <v>7.57</v>
      </c>
      <c r="H538">
        <v>1</v>
      </c>
      <c r="I538">
        <f>IF(Merge1[[#This Row],[Discrepancy]]&gt;=40,1,0)</f>
        <v>0</v>
      </c>
      <c r="J538" t="str">
        <f>IF(Merge1[[#This Row],[Year]]=2023,Merge1[[#This Row],[High Discrepancy2]],"")</f>
        <v/>
      </c>
      <c r="K53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8" s="1" t="str">
        <f ca="1">IF(Merge1[[#This Row],[Consecutive from 2023]]&gt;=5,"ALERT","")</f>
        <v/>
      </c>
    </row>
    <row r="539" spans="1:12" hidden="1" x14ac:dyDescent="0.35">
      <c r="A539" s="1" t="s">
        <v>37</v>
      </c>
      <c r="B539" s="1" t="s">
        <v>175</v>
      </c>
      <c r="C539" s="1" t="s">
        <v>34</v>
      </c>
      <c r="D539">
        <v>2018</v>
      </c>
      <c r="E539">
        <v>14.4</v>
      </c>
      <c r="F539">
        <v>16.86</v>
      </c>
      <c r="G539">
        <v>2.4599999999999991</v>
      </c>
      <c r="H539">
        <v>1</v>
      </c>
      <c r="I539">
        <f>IF(Merge1[[#This Row],[Discrepancy]]&gt;=40,1,0)</f>
        <v>0</v>
      </c>
      <c r="J539" t="str">
        <f>IF(Merge1[[#This Row],[Year]]=2023,Merge1[[#This Row],[High Discrepancy2]],"")</f>
        <v/>
      </c>
      <c r="K53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39" s="1" t="str">
        <f ca="1">IF(Merge1[[#This Row],[Consecutive from 2023]]&gt;=5,"ALERT","")</f>
        <v/>
      </c>
    </row>
    <row r="540" spans="1:12" hidden="1" x14ac:dyDescent="0.35">
      <c r="A540" s="1" t="s">
        <v>37</v>
      </c>
      <c r="B540" s="1" t="s">
        <v>175</v>
      </c>
      <c r="C540" s="1" t="s">
        <v>34</v>
      </c>
      <c r="D540">
        <v>2017</v>
      </c>
      <c r="E540">
        <v>17</v>
      </c>
      <c r="F540">
        <v>13.09</v>
      </c>
      <c r="G540">
        <v>-3.91</v>
      </c>
      <c r="H540">
        <v>0</v>
      </c>
      <c r="I540">
        <f>IF(Merge1[[#This Row],[Discrepancy]]&gt;=40,1,0)</f>
        <v>0</v>
      </c>
      <c r="J540" t="str">
        <f>IF(Merge1[[#This Row],[Year]]=2023,Merge1[[#This Row],[High Discrepancy2]],"")</f>
        <v/>
      </c>
      <c r="K54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0" s="1" t="str">
        <f ca="1">IF(Merge1[[#This Row],[Consecutive from 2023]]&gt;=5,"ALERT","")</f>
        <v/>
      </c>
    </row>
    <row r="541" spans="1:12" hidden="1" x14ac:dyDescent="0.35">
      <c r="A541" s="1" t="s">
        <v>37</v>
      </c>
      <c r="B541" s="1" t="s">
        <v>175</v>
      </c>
      <c r="C541" s="1" t="s">
        <v>34</v>
      </c>
      <c r="D541">
        <v>2016</v>
      </c>
      <c r="E541">
        <v>16.600000000000001</v>
      </c>
      <c r="F541">
        <v>14.81</v>
      </c>
      <c r="G541">
        <v>-1.7900000000000009</v>
      </c>
      <c r="H541">
        <v>0</v>
      </c>
      <c r="I541">
        <f>IF(Merge1[[#This Row],[Discrepancy]]&gt;=40,1,0)</f>
        <v>0</v>
      </c>
      <c r="J541" t="str">
        <f>IF(Merge1[[#This Row],[Year]]=2023,Merge1[[#This Row],[High Discrepancy2]],"")</f>
        <v/>
      </c>
      <c r="K54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1" s="1" t="str">
        <f ca="1">IF(Merge1[[#This Row],[Consecutive from 2023]]&gt;=5,"ALERT","")</f>
        <v/>
      </c>
    </row>
    <row r="542" spans="1:12" hidden="1" x14ac:dyDescent="0.35">
      <c r="A542" s="1" t="s">
        <v>37</v>
      </c>
      <c r="B542" s="1" t="s">
        <v>175</v>
      </c>
      <c r="C542" s="1" t="s">
        <v>34</v>
      </c>
      <c r="D542">
        <v>2015</v>
      </c>
      <c r="E542">
        <v>16.2</v>
      </c>
      <c r="F542">
        <v>9.7899999999999991</v>
      </c>
      <c r="G542">
        <v>-6.41</v>
      </c>
      <c r="H542">
        <v>0</v>
      </c>
      <c r="I542">
        <f>IF(Merge1[[#This Row],[Discrepancy]]&gt;=40,1,0)</f>
        <v>0</v>
      </c>
      <c r="J542" t="str">
        <f>IF(Merge1[[#This Row],[Year]]=2023,Merge1[[#This Row],[High Discrepancy2]],"")</f>
        <v/>
      </c>
      <c r="K54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2" s="1" t="str">
        <f ca="1">IF(Merge1[[#This Row],[Consecutive from 2023]]&gt;=5,"ALERT","")</f>
        <v/>
      </c>
    </row>
    <row r="543" spans="1:12" hidden="1" x14ac:dyDescent="0.35">
      <c r="A543" s="1" t="s">
        <v>37</v>
      </c>
      <c r="B543" s="1" t="s">
        <v>175</v>
      </c>
      <c r="C543" s="1" t="s">
        <v>34</v>
      </c>
      <c r="D543">
        <v>2014</v>
      </c>
      <c r="E543">
        <v>19.2</v>
      </c>
      <c r="F543">
        <v>10.72</v>
      </c>
      <c r="G543">
        <v>-8.4799999999999986</v>
      </c>
      <c r="H543">
        <v>0</v>
      </c>
      <c r="I543">
        <f>IF(Merge1[[#This Row],[Discrepancy]]&gt;=40,1,0)</f>
        <v>0</v>
      </c>
      <c r="J543" t="str">
        <f>IF(Merge1[[#This Row],[Year]]=2023,Merge1[[#This Row],[High Discrepancy2]],"")</f>
        <v/>
      </c>
      <c r="K54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3" s="1" t="str">
        <f ca="1">IF(Merge1[[#This Row],[Consecutive from 2023]]&gt;=5,"ALERT","")</f>
        <v/>
      </c>
    </row>
    <row r="544" spans="1:12" hidden="1" x14ac:dyDescent="0.35">
      <c r="A544" s="1" t="s">
        <v>37</v>
      </c>
      <c r="B544" s="1" t="s">
        <v>175</v>
      </c>
      <c r="C544" s="1" t="s">
        <v>34</v>
      </c>
      <c r="D544">
        <v>2013</v>
      </c>
      <c r="E544">
        <v>15.4</v>
      </c>
      <c r="F544">
        <v>14.71</v>
      </c>
      <c r="G544">
        <v>-0.6899999999999995</v>
      </c>
      <c r="H544">
        <v>0</v>
      </c>
      <c r="I544">
        <f>IF(Merge1[[#This Row],[Discrepancy]]&gt;=40,1,0)</f>
        <v>0</v>
      </c>
      <c r="J544" t="str">
        <f>IF(Merge1[[#This Row],[Year]]=2023,Merge1[[#This Row],[High Discrepancy2]],"")</f>
        <v/>
      </c>
      <c r="K54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4" s="1" t="str">
        <f ca="1">IF(Merge1[[#This Row],[Consecutive from 2023]]&gt;=5,"ALERT","")</f>
        <v/>
      </c>
    </row>
    <row r="545" spans="1:12" hidden="1" x14ac:dyDescent="0.35">
      <c r="A545" s="1" t="s">
        <v>37</v>
      </c>
      <c r="B545" s="1" t="s">
        <v>175</v>
      </c>
      <c r="C545" s="1" t="s">
        <v>34</v>
      </c>
      <c r="D545">
        <v>2012</v>
      </c>
      <c r="E545">
        <v>15.1</v>
      </c>
      <c r="F545">
        <v>15.64</v>
      </c>
      <c r="G545">
        <v>0.54000000000000092</v>
      </c>
      <c r="H545">
        <v>1</v>
      </c>
      <c r="I545">
        <f>IF(Merge1[[#This Row],[Discrepancy]]&gt;=40,1,0)</f>
        <v>0</v>
      </c>
      <c r="J545" t="str">
        <f>IF(Merge1[[#This Row],[Year]]=2023,Merge1[[#This Row],[High Discrepancy2]],"")</f>
        <v/>
      </c>
      <c r="K54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5" s="1" t="str">
        <f ca="1">IF(Merge1[[#This Row],[Consecutive from 2023]]&gt;=5,"ALERT","")</f>
        <v/>
      </c>
    </row>
    <row r="546" spans="1:12" hidden="1" x14ac:dyDescent="0.35">
      <c r="A546" s="1" t="s">
        <v>37</v>
      </c>
      <c r="B546" s="1" t="s">
        <v>175</v>
      </c>
      <c r="C546" s="1" t="s">
        <v>34</v>
      </c>
      <c r="D546">
        <v>2011</v>
      </c>
      <c r="E546">
        <v>14.8</v>
      </c>
      <c r="F546">
        <v>15.52</v>
      </c>
      <c r="G546">
        <v>0.71999999999999886</v>
      </c>
      <c r="H546">
        <v>1</v>
      </c>
      <c r="I546">
        <f>IF(Merge1[[#This Row],[Discrepancy]]&gt;=40,1,0)</f>
        <v>0</v>
      </c>
      <c r="J546" t="str">
        <f>IF(Merge1[[#This Row],[Year]]=2023,Merge1[[#This Row],[High Discrepancy2]],"")</f>
        <v/>
      </c>
      <c r="K54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6" s="1" t="str">
        <f ca="1">IF(Merge1[[#This Row],[Consecutive from 2023]]&gt;=5,"ALERT","")</f>
        <v/>
      </c>
    </row>
    <row r="547" spans="1:12" hidden="1" x14ac:dyDescent="0.35">
      <c r="A547" s="1" t="s">
        <v>37</v>
      </c>
      <c r="B547" s="1" t="s">
        <v>175</v>
      </c>
      <c r="C547" s="1" t="s">
        <v>34</v>
      </c>
      <c r="D547">
        <v>2010</v>
      </c>
      <c r="E547">
        <v>13.1</v>
      </c>
      <c r="F547">
        <v>20.83</v>
      </c>
      <c r="G547">
        <v>7.7299999999999986</v>
      </c>
      <c r="H547">
        <v>1</v>
      </c>
      <c r="I547">
        <f>IF(Merge1[[#This Row],[Discrepancy]]&gt;=40,1,0)</f>
        <v>0</v>
      </c>
      <c r="J547" t="str">
        <f>IF(Merge1[[#This Row],[Year]]=2023,Merge1[[#This Row],[High Discrepancy2]],"")</f>
        <v/>
      </c>
      <c r="K54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7" s="1" t="str">
        <f ca="1">IF(Merge1[[#This Row],[Consecutive from 2023]]&gt;=5,"ALERT","")</f>
        <v/>
      </c>
    </row>
    <row r="548" spans="1:12" hidden="1" x14ac:dyDescent="0.35">
      <c r="A548" s="1" t="s">
        <v>39</v>
      </c>
      <c r="B548" s="1" t="s">
        <v>176</v>
      </c>
      <c r="C548" s="1" t="s">
        <v>41</v>
      </c>
      <c r="D548">
        <v>2023</v>
      </c>
      <c r="E548">
        <v>76</v>
      </c>
      <c r="F548">
        <v>0.22</v>
      </c>
      <c r="G548">
        <v>-75.78</v>
      </c>
      <c r="H548">
        <v>0</v>
      </c>
      <c r="I548">
        <f>IF(Merge1[[#This Row],[Discrepancy]]&gt;=40,1,0)</f>
        <v>0</v>
      </c>
      <c r="J548">
        <f>IF(Merge1[[#This Row],[Year]]=2023,Merge1[[#This Row],[High Discrepancy2]],"")</f>
        <v>0</v>
      </c>
      <c r="K54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8" s="1" t="str">
        <f ca="1">IF(Merge1[[#This Row],[Consecutive from 2023]]&gt;=5,"ALERT","")</f>
        <v/>
      </c>
    </row>
    <row r="549" spans="1:12" hidden="1" x14ac:dyDescent="0.35">
      <c r="A549" s="1" t="s">
        <v>39</v>
      </c>
      <c r="B549" s="1" t="s">
        <v>176</v>
      </c>
      <c r="C549" s="1" t="s">
        <v>41</v>
      </c>
      <c r="D549">
        <v>2022</v>
      </c>
      <c r="E549">
        <v>75.900000000000006</v>
      </c>
      <c r="F549">
        <v>0.23</v>
      </c>
      <c r="G549">
        <v>-75.67</v>
      </c>
      <c r="H549">
        <v>0</v>
      </c>
      <c r="I549">
        <f>IF(Merge1[[#This Row],[Discrepancy]]&gt;=40,1,0)</f>
        <v>0</v>
      </c>
      <c r="J549" t="str">
        <f>IF(Merge1[[#This Row],[Year]]=2023,Merge1[[#This Row],[High Discrepancy2]],"")</f>
        <v/>
      </c>
      <c r="K54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49" s="1" t="str">
        <f ca="1">IF(Merge1[[#This Row],[Consecutive from 2023]]&gt;=5,"ALERT","")</f>
        <v/>
      </c>
    </row>
    <row r="550" spans="1:12" hidden="1" x14ac:dyDescent="0.35">
      <c r="A550" s="1" t="s">
        <v>39</v>
      </c>
      <c r="B550" s="1" t="s">
        <v>176</v>
      </c>
      <c r="C550" s="1" t="s">
        <v>41</v>
      </c>
      <c r="D550">
        <v>2021</v>
      </c>
      <c r="E550">
        <v>73.7</v>
      </c>
      <c r="F550">
        <v>0.25</v>
      </c>
      <c r="G550">
        <v>-73.45</v>
      </c>
      <c r="H550">
        <v>0</v>
      </c>
      <c r="I550">
        <f>IF(Merge1[[#This Row],[Discrepancy]]&gt;=40,1,0)</f>
        <v>0</v>
      </c>
      <c r="J550" t="str">
        <f>IF(Merge1[[#This Row],[Year]]=2023,Merge1[[#This Row],[High Discrepancy2]],"")</f>
        <v/>
      </c>
      <c r="K55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0" s="1" t="str">
        <f ca="1">IF(Merge1[[#This Row],[Consecutive from 2023]]&gt;=5,"ALERT","")</f>
        <v/>
      </c>
    </row>
    <row r="551" spans="1:12" hidden="1" x14ac:dyDescent="0.35">
      <c r="A551" s="1" t="s">
        <v>39</v>
      </c>
      <c r="B551" s="1" t="s">
        <v>176</v>
      </c>
      <c r="C551" s="1" t="s">
        <v>41</v>
      </c>
      <c r="D551">
        <v>2020</v>
      </c>
      <c r="E551">
        <v>71.8</v>
      </c>
      <c r="F551">
        <v>0.26</v>
      </c>
      <c r="G551">
        <v>-71.539999999999992</v>
      </c>
      <c r="H551">
        <v>0</v>
      </c>
      <c r="I551">
        <f>IF(Merge1[[#This Row],[Discrepancy]]&gt;=40,1,0)</f>
        <v>0</v>
      </c>
      <c r="J551" t="str">
        <f>IF(Merge1[[#This Row],[Year]]=2023,Merge1[[#This Row],[High Discrepancy2]],"")</f>
        <v/>
      </c>
      <c r="K55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1" s="1" t="str">
        <f ca="1">IF(Merge1[[#This Row],[Consecutive from 2023]]&gt;=5,"ALERT","")</f>
        <v/>
      </c>
    </row>
    <row r="552" spans="1:12" hidden="1" x14ac:dyDescent="0.35">
      <c r="A552" s="1" t="s">
        <v>39</v>
      </c>
      <c r="B552" s="1" t="s">
        <v>176</v>
      </c>
      <c r="C552" s="1" t="s">
        <v>41</v>
      </c>
      <c r="D552">
        <v>2019</v>
      </c>
      <c r="E552">
        <v>70.099999999999994</v>
      </c>
      <c r="F552">
        <v>0.18</v>
      </c>
      <c r="G552">
        <v>-69.919999999999987</v>
      </c>
      <c r="H552">
        <v>0</v>
      </c>
      <c r="I552">
        <f>IF(Merge1[[#This Row],[Discrepancy]]&gt;=40,1,0)</f>
        <v>0</v>
      </c>
      <c r="J552" t="str">
        <f>IF(Merge1[[#This Row],[Year]]=2023,Merge1[[#This Row],[High Discrepancy2]],"")</f>
        <v/>
      </c>
      <c r="K55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2" s="1" t="str">
        <f ca="1">IF(Merge1[[#This Row],[Consecutive from 2023]]&gt;=5,"ALERT","")</f>
        <v/>
      </c>
    </row>
    <row r="553" spans="1:12" hidden="1" x14ac:dyDescent="0.35">
      <c r="A553" s="1" t="s">
        <v>39</v>
      </c>
      <c r="B553" s="1" t="s">
        <v>176</v>
      </c>
      <c r="C553" s="1" t="s">
        <v>41</v>
      </c>
      <c r="D553">
        <v>2018</v>
      </c>
      <c r="E553">
        <v>68.3</v>
      </c>
      <c r="F553">
        <v>0.17</v>
      </c>
      <c r="G553">
        <v>-68.13</v>
      </c>
      <c r="H553">
        <v>0</v>
      </c>
      <c r="I553">
        <f>IF(Merge1[[#This Row],[Discrepancy]]&gt;=40,1,0)</f>
        <v>0</v>
      </c>
      <c r="J553" t="str">
        <f>IF(Merge1[[#This Row],[Year]]=2023,Merge1[[#This Row],[High Discrepancy2]],"")</f>
        <v/>
      </c>
      <c r="K55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3" s="1" t="str">
        <f ca="1">IF(Merge1[[#This Row],[Consecutive from 2023]]&gt;=5,"ALERT","")</f>
        <v/>
      </c>
    </row>
    <row r="554" spans="1:12" hidden="1" x14ac:dyDescent="0.35">
      <c r="A554" s="1" t="s">
        <v>39</v>
      </c>
      <c r="B554" s="1" t="s">
        <v>176</v>
      </c>
      <c r="C554" s="1" t="s">
        <v>41</v>
      </c>
      <c r="D554">
        <v>2017</v>
      </c>
      <c r="E554">
        <v>67.400000000000006</v>
      </c>
      <c r="F554">
        <v>0.18</v>
      </c>
      <c r="G554">
        <v>-67.22</v>
      </c>
      <c r="H554">
        <v>0</v>
      </c>
      <c r="I554">
        <f>IF(Merge1[[#This Row],[Discrepancy]]&gt;=40,1,0)</f>
        <v>0</v>
      </c>
      <c r="J554" t="str">
        <f>IF(Merge1[[#This Row],[Year]]=2023,Merge1[[#This Row],[High Discrepancy2]],"")</f>
        <v/>
      </c>
      <c r="K55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4" s="1" t="str">
        <f ca="1">IF(Merge1[[#This Row],[Consecutive from 2023]]&gt;=5,"ALERT","")</f>
        <v/>
      </c>
    </row>
    <row r="555" spans="1:12" hidden="1" x14ac:dyDescent="0.35">
      <c r="A555" s="1" t="s">
        <v>39</v>
      </c>
      <c r="B555" s="1" t="s">
        <v>176</v>
      </c>
      <c r="C555" s="1" t="s">
        <v>41</v>
      </c>
      <c r="D555">
        <v>2016</v>
      </c>
      <c r="E555">
        <v>64.2</v>
      </c>
      <c r="F555">
        <v>0.19</v>
      </c>
      <c r="G555">
        <v>-64.010000000000005</v>
      </c>
      <c r="H555">
        <v>0</v>
      </c>
      <c r="I555">
        <f>IF(Merge1[[#This Row],[Discrepancy]]&gt;=40,1,0)</f>
        <v>0</v>
      </c>
      <c r="J555" t="str">
        <f>IF(Merge1[[#This Row],[Year]]=2023,Merge1[[#This Row],[High Discrepancy2]],"")</f>
        <v/>
      </c>
      <c r="K55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5" s="1" t="str">
        <f ca="1">IF(Merge1[[#This Row],[Consecutive from 2023]]&gt;=5,"ALERT","")</f>
        <v/>
      </c>
    </row>
    <row r="556" spans="1:12" hidden="1" x14ac:dyDescent="0.35">
      <c r="A556" s="1" t="s">
        <v>39</v>
      </c>
      <c r="B556" s="1" t="s">
        <v>176</v>
      </c>
      <c r="C556" s="1" t="s">
        <v>41</v>
      </c>
      <c r="D556">
        <v>2015</v>
      </c>
      <c r="E556">
        <v>62.1</v>
      </c>
      <c r="F556">
        <v>0.11</v>
      </c>
      <c r="G556">
        <v>-61.99</v>
      </c>
      <c r="H556">
        <v>0</v>
      </c>
      <c r="I556">
        <f>IF(Merge1[[#This Row],[Discrepancy]]&gt;=40,1,0)</f>
        <v>0</v>
      </c>
      <c r="J556" t="str">
        <f>IF(Merge1[[#This Row],[Year]]=2023,Merge1[[#This Row],[High Discrepancy2]],"")</f>
        <v/>
      </c>
      <c r="K55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6" s="1" t="str">
        <f ca="1">IF(Merge1[[#This Row],[Consecutive from 2023]]&gt;=5,"ALERT","")</f>
        <v/>
      </c>
    </row>
    <row r="557" spans="1:12" hidden="1" x14ac:dyDescent="0.35">
      <c r="A557" s="1" t="s">
        <v>39</v>
      </c>
      <c r="B557" s="1" t="s">
        <v>176</v>
      </c>
      <c r="C557" s="1" t="s">
        <v>41</v>
      </c>
      <c r="D557">
        <v>2014</v>
      </c>
      <c r="E557">
        <v>60</v>
      </c>
      <c r="F557">
        <v>0.12</v>
      </c>
      <c r="G557">
        <v>-59.88</v>
      </c>
      <c r="H557">
        <v>0</v>
      </c>
      <c r="I557">
        <f>IF(Merge1[[#This Row],[Discrepancy]]&gt;=40,1,0)</f>
        <v>0</v>
      </c>
      <c r="J557" t="str">
        <f>IF(Merge1[[#This Row],[Year]]=2023,Merge1[[#This Row],[High Discrepancy2]],"")</f>
        <v/>
      </c>
      <c r="K55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7" s="1" t="str">
        <f ca="1">IF(Merge1[[#This Row],[Consecutive from 2023]]&gt;=5,"ALERT","")</f>
        <v/>
      </c>
    </row>
    <row r="558" spans="1:12" hidden="1" x14ac:dyDescent="0.35">
      <c r="A558" s="1" t="s">
        <v>39</v>
      </c>
      <c r="B558" s="1" t="s">
        <v>176</v>
      </c>
      <c r="C558" s="1" t="s">
        <v>41</v>
      </c>
      <c r="D558">
        <v>2013</v>
      </c>
      <c r="E558">
        <v>58</v>
      </c>
      <c r="F558">
        <v>0.25</v>
      </c>
      <c r="G558">
        <v>-57.75</v>
      </c>
      <c r="H558">
        <v>0</v>
      </c>
      <c r="I558">
        <f>IF(Merge1[[#This Row],[Discrepancy]]&gt;=40,1,0)</f>
        <v>0</v>
      </c>
      <c r="J558" t="str">
        <f>IF(Merge1[[#This Row],[Year]]=2023,Merge1[[#This Row],[High Discrepancy2]],"")</f>
        <v/>
      </c>
      <c r="K55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8" s="1" t="str">
        <f ca="1">IF(Merge1[[#This Row],[Consecutive from 2023]]&gt;=5,"ALERT","")</f>
        <v/>
      </c>
    </row>
    <row r="559" spans="1:12" hidden="1" x14ac:dyDescent="0.35">
      <c r="A559" s="1" t="s">
        <v>39</v>
      </c>
      <c r="B559" s="1" t="s">
        <v>176</v>
      </c>
      <c r="C559" s="1" t="s">
        <v>41</v>
      </c>
      <c r="D559">
        <v>2012</v>
      </c>
      <c r="E559">
        <v>56</v>
      </c>
      <c r="F559">
        <v>0.28999999999999998</v>
      </c>
      <c r="G559">
        <v>-55.71</v>
      </c>
      <c r="H559">
        <v>0</v>
      </c>
      <c r="I559">
        <f>IF(Merge1[[#This Row],[Discrepancy]]&gt;=40,1,0)</f>
        <v>0</v>
      </c>
      <c r="J559" t="str">
        <f>IF(Merge1[[#This Row],[Year]]=2023,Merge1[[#This Row],[High Discrepancy2]],"")</f>
        <v/>
      </c>
      <c r="K55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59" s="1" t="str">
        <f ca="1">IF(Merge1[[#This Row],[Consecutive from 2023]]&gt;=5,"ALERT","")</f>
        <v/>
      </c>
    </row>
    <row r="560" spans="1:12" hidden="1" x14ac:dyDescent="0.35">
      <c r="A560" s="1" t="s">
        <v>39</v>
      </c>
      <c r="B560" s="1" t="s">
        <v>176</v>
      </c>
      <c r="C560" s="1" t="s">
        <v>41</v>
      </c>
      <c r="D560">
        <v>2011</v>
      </c>
      <c r="E560">
        <v>53.2</v>
      </c>
      <c r="F560">
        <v>0.06</v>
      </c>
      <c r="G560">
        <v>-53.14</v>
      </c>
      <c r="H560">
        <v>0</v>
      </c>
      <c r="I560">
        <f>IF(Merge1[[#This Row],[Discrepancy]]&gt;=40,1,0)</f>
        <v>0</v>
      </c>
      <c r="J560" t="str">
        <f>IF(Merge1[[#This Row],[Year]]=2023,Merge1[[#This Row],[High Discrepancy2]],"")</f>
        <v/>
      </c>
      <c r="K56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0" s="1" t="str">
        <f ca="1">IF(Merge1[[#This Row],[Consecutive from 2023]]&gt;=5,"ALERT","")</f>
        <v/>
      </c>
    </row>
    <row r="561" spans="1:12" hidden="1" x14ac:dyDescent="0.35">
      <c r="A561" s="1" t="s">
        <v>39</v>
      </c>
      <c r="B561" s="1" t="s">
        <v>176</v>
      </c>
      <c r="C561" s="1" t="s">
        <v>41</v>
      </c>
      <c r="D561">
        <v>2010</v>
      </c>
      <c r="E561">
        <v>52</v>
      </c>
      <c r="F561">
        <v>0.04</v>
      </c>
      <c r="G561">
        <v>-51.96</v>
      </c>
      <c r="H561">
        <v>0</v>
      </c>
      <c r="I561">
        <f>IF(Merge1[[#This Row],[Discrepancy]]&gt;=40,1,0)</f>
        <v>0</v>
      </c>
      <c r="J561" t="str">
        <f>IF(Merge1[[#This Row],[Year]]=2023,Merge1[[#This Row],[High Discrepancy2]],"")</f>
        <v/>
      </c>
      <c r="K56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1" s="1" t="str">
        <f ca="1">IF(Merge1[[#This Row],[Consecutive from 2023]]&gt;=5,"ALERT","")</f>
        <v/>
      </c>
    </row>
    <row r="562" spans="1:12" hidden="1" x14ac:dyDescent="0.35">
      <c r="A562" s="1" t="s">
        <v>35</v>
      </c>
      <c r="B562" s="1" t="s">
        <v>175</v>
      </c>
      <c r="C562" s="1" t="s">
        <v>31</v>
      </c>
      <c r="D562">
        <v>2023</v>
      </c>
      <c r="E562">
        <v>57</v>
      </c>
      <c r="F562">
        <v>3.45</v>
      </c>
      <c r="G562">
        <v>-53.55</v>
      </c>
      <c r="H562">
        <v>0</v>
      </c>
      <c r="I562">
        <f>IF(Merge1[[#This Row],[Discrepancy]]&gt;=40,1,0)</f>
        <v>0</v>
      </c>
      <c r="J562">
        <f>IF(Merge1[[#This Row],[Year]]=2023,Merge1[[#This Row],[High Discrepancy2]],"")</f>
        <v>0</v>
      </c>
      <c r="K56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2" s="1" t="str">
        <f ca="1">IF(Merge1[[#This Row],[Consecutive from 2023]]&gt;=5,"ALERT","")</f>
        <v/>
      </c>
    </row>
    <row r="563" spans="1:12" hidden="1" x14ac:dyDescent="0.35">
      <c r="A563" s="1" t="s">
        <v>35</v>
      </c>
      <c r="B563" s="1" t="s">
        <v>175</v>
      </c>
      <c r="C563" s="1" t="s">
        <v>31</v>
      </c>
      <c r="D563">
        <v>2022</v>
      </c>
      <c r="E563">
        <v>56.5</v>
      </c>
      <c r="F563">
        <v>3.28</v>
      </c>
      <c r="G563">
        <v>-53.22</v>
      </c>
      <c r="H563">
        <v>0</v>
      </c>
      <c r="I563">
        <f>IF(Merge1[[#This Row],[Discrepancy]]&gt;=40,1,0)</f>
        <v>0</v>
      </c>
      <c r="J563" t="str">
        <f>IF(Merge1[[#This Row],[Year]]=2023,Merge1[[#This Row],[High Discrepancy2]],"")</f>
        <v/>
      </c>
      <c r="K56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3" s="1" t="str">
        <f ca="1">IF(Merge1[[#This Row],[Consecutive from 2023]]&gt;=5,"ALERT","")</f>
        <v/>
      </c>
    </row>
    <row r="564" spans="1:12" hidden="1" x14ac:dyDescent="0.35">
      <c r="A564" s="1" t="s">
        <v>35</v>
      </c>
      <c r="B564" s="1" t="s">
        <v>175</v>
      </c>
      <c r="C564" s="1" t="s">
        <v>31</v>
      </c>
      <c r="D564">
        <v>2021</v>
      </c>
      <c r="E564">
        <v>42</v>
      </c>
      <c r="F564">
        <v>0.63</v>
      </c>
      <c r="G564">
        <v>-41.37</v>
      </c>
      <c r="H564">
        <v>0</v>
      </c>
      <c r="I564">
        <f>IF(Merge1[[#This Row],[Discrepancy]]&gt;=40,1,0)</f>
        <v>0</v>
      </c>
      <c r="J564" t="str">
        <f>IF(Merge1[[#This Row],[Year]]=2023,Merge1[[#This Row],[High Discrepancy2]],"")</f>
        <v/>
      </c>
      <c r="K56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4" s="1" t="str">
        <f ca="1">IF(Merge1[[#This Row],[Consecutive from 2023]]&gt;=5,"ALERT","")</f>
        <v/>
      </c>
    </row>
    <row r="565" spans="1:12" hidden="1" x14ac:dyDescent="0.35">
      <c r="A565" s="1" t="s">
        <v>35</v>
      </c>
      <c r="B565" s="1" t="s">
        <v>175</v>
      </c>
      <c r="C565" s="1" t="s">
        <v>31</v>
      </c>
      <c r="D565">
        <v>2020</v>
      </c>
      <c r="E565">
        <v>41</v>
      </c>
      <c r="F565">
        <v>0.52</v>
      </c>
      <c r="G565">
        <v>-40.479999999999997</v>
      </c>
      <c r="H565">
        <v>0</v>
      </c>
      <c r="I565">
        <f>IF(Merge1[[#This Row],[Discrepancy]]&gt;=40,1,0)</f>
        <v>0</v>
      </c>
      <c r="J565" t="str">
        <f>IF(Merge1[[#This Row],[Year]]=2023,Merge1[[#This Row],[High Discrepancy2]],"")</f>
        <v/>
      </c>
      <c r="K56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5" s="1" t="str">
        <f ca="1">IF(Merge1[[#This Row],[Consecutive from 2023]]&gt;=5,"ALERT","")</f>
        <v/>
      </c>
    </row>
    <row r="566" spans="1:12" hidden="1" x14ac:dyDescent="0.35">
      <c r="A566" s="1" t="s">
        <v>35</v>
      </c>
      <c r="B566" s="1" t="s">
        <v>175</v>
      </c>
      <c r="C566" s="1" t="s">
        <v>31</v>
      </c>
      <c r="D566">
        <v>2019</v>
      </c>
      <c r="E566">
        <v>40</v>
      </c>
      <c r="F566">
        <v>0.42</v>
      </c>
      <c r="G566">
        <v>-39.58</v>
      </c>
      <c r="H566">
        <v>0</v>
      </c>
      <c r="I566">
        <f>IF(Merge1[[#This Row],[Discrepancy]]&gt;=40,1,0)</f>
        <v>0</v>
      </c>
      <c r="J566" t="str">
        <f>IF(Merge1[[#This Row],[Year]]=2023,Merge1[[#This Row],[High Discrepancy2]],"")</f>
        <v/>
      </c>
      <c r="K56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6" s="1" t="str">
        <f ca="1">IF(Merge1[[#This Row],[Consecutive from 2023]]&gt;=5,"ALERT","")</f>
        <v/>
      </c>
    </row>
    <row r="567" spans="1:12" hidden="1" x14ac:dyDescent="0.35">
      <c r="A567" s="1" t="s">
        <v>35</v>
      </c>
      <c r="B567" s="1" t="s">
        <v>175</v>
      </c>
      <c r="C567" s="1" t="s">
        <v>31</v>
      </c>
      <c r="D567">
        <v>2018</v>
      </c>
      <c r="E567">
        <v>39</v>
      </c>
      <c r="F567">
        <v>1.26</v>
      </c>
      <c r="G567">
        <v>-37.74</v>
      </c>
      <c r="H567">
        <v>0</v>
      </c>
      <c r="I567">
        <f>IF(Merge1[[#This Row],[Discrepancy]]&gt;=40,1,0)</f>
        <v>0</v>
      </c>
      <c r="J567" t="str">
        <f>IF(Merge1[[#This Row],[Year]]=2023,Merge1[[#This Row],[High Discrepancy2]],"")</f>
        <v/>
      </c>
      <c r="K56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7" s="1" t="str">
        <f ca="1">IF(Merge1[[#This Row],[Consecutive from 2023]]&gt;=5,"ALERT","")</f>
        <v/>
      </c>
    </row>
    <row r="568" spans="1:12" hidden="1" x14ac:dyDescent="0.35">
      <c r="A568" s="1" t="s">
        <v>35</v>
      </c>
      <c r="B568" s="1" t="s">
        <v>175</v>
      </c>
      <c r="C568" s="1" t="s">
        <v>31</v>
      </c>
      <c r="D568">
        <v>2017</v>
      </c>
      <c r="E568">
        <v>34.5</v>
      </c>
      <c r="F568">
        <v>1.21</v>
      </c>
      <c r="G568">
        <v>-33.29</v>
      </c>
      <c r="H568">
        <v>0</v>
      </c>
      <c r="I568">
        <f>IF(Merge1[[#This Row],[Discrepancy]]&gt;=40,1,0)</f>
        <v>0</v>
      </c>
      <c r="J568" t="str">
        <f>IF(Merge1[[#This Row],[Year]]=2023,Merge1[[#This Row],[High Discrepancy2]],"")</f>
        <v/>
      </c>
      <c r="K56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8" s="1" t="str">
        <f ca="1">IF(Merge1[[#This Row],[Consecutive from 2023]]&gt;=5,"ALERT","")</f>
        <v/>
      </c>
    </row>
    <row r="569" spans="1:12" hidden="1" x14ac:dyDescent="0.35">
      <c r="A569" s="1" t="s">
        <v>35</v>
      </c>
      <c r="B569" s="1" t="s">
        <v>175</v>
      </c>
      <c r="C569" s="1" t="s">
        <v>31</v>
      </c>
      <c r="D569">
        <v>2016</v>
      </c>
      <c r="E569">
        <v>37</v>
      </c>
      <c r="F569">
        <v>1.33</v>
      </c>
      <c r="G569">
        <v>-35.67</v>
      </c>
      <c r="H569">
        <v>0</v>
      </c>
      <c r="I569">
        <f>IF(Merge1[[#This Row],[Discrepancy]]&gt;=40,1,0)</f>
        <v>0</v>
      </c>
      <c r="J569" t="str">
        <f>IF(Merge1[[#This Row],[Year]]=2023,Merge1[[#This Row],[High Discrepancy2]],"")</f>
        <v/>
      </c>
      <c r="K56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69" s="1" t="str">
        <f ca="1">IF(Merge1[[#This Row],[Consecutive from 2023]]&gt;=5,"ALERT","")</f>
        <v/>
      </c>
    </row>
    <row r="570" spans="1:12" hidden="1" x14ac:dyDescent="0.35">
      <c r="A570" s="1" t="s">
        <v>35</v>
      </c>
      <c r="B570" s="1" t="s">
        <v>175</v>
      </c>
      <c r="C570" s="1" t="s">
        <v>31</v>
      </c>
      <c r="D570">
        <v>2015</v>
      </c>
      <c r="E570">
        <v>29.6</v>
      </c>
      <c r="F570">
        <v>1.22</v>
      </c>
      <c r="G570">
        <v>-28.380000000000003</v>
      </c>
      <c r="H570">
        <v>0</v>
      </c>
      <c r="I570">
        <f>IF(Merge1[[#This Row],[Discrepancy]]&gt;=40,1,0)</f>
        <v>0</v>
      </c>
      <c r="J570" t="str">
        <f>IF(Merge1[[#This Row],[Year]]=2023,Merge1[[#This Row],[High Discrepancy2]],"")</f>
        <v/>
      </c>
      <c r="K57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0" s="1" t="str">
        <f ca="1">IF(Merge1[[#This Row],[Consecutive from 2023]]&gt;=5,"ALERT","")</f>
        <v/>
      </c>
    </row>
    <row r="571" spans="1:12" hidden="1" x14ac:dyDescent="0.35">
      <c r="A571" s="1" t="s">
        <v>35</v>
      </c>
      <c r="B571" s="1" t="s">
        <v>175</v>
      </c>
      <c r="C571" s="1" t="s">
        <v>31</v>
      </c>
      <c r="D571">
        <v>2014</v>
      </c>
      <c r="E571">
        <v>34.1</v>
      </c>
      <c r="F571">
        <v>0.28999999999999998</v>
      </c>
      <c r="G571">
        <v>-33.81</v>
      </c>
      <c r="H571">
        <v>0</v>
      </c>
      <c r="I571">
        <f>IF(Merge1[[#This Row],[Discrepancy]]&gt;=40,1,0)</f>
        <v>0</v>
      </c>
      <c r="J571" t="str">
        <f>IF(Merge1[[#This Row],[Year]]=2023,Merge1[[#This Row],[High Discrepancy2]],"")</f>
        <v/>
      </c>
      <c r="K57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1" s="1" t="str">
        <f ca="1">IF(Merge1[[#This Row],[Consecutive from 2023]]&gt;=5,"ALERT","")</f>
        <v/>
      </c>
    </row>
    <row r="572" spans="1:12" hidden="1" x14ac:dyDescent="0.35">
      <c r="A572" s="1" t="s">
        <v>35</v>
      </c>
      <c r="B572" s="1" t="s">
        <v>175</v>
      </c>
      <c r="C572" s="1" t="s">
        <v>31</v>
      </c>
      <c r="D572">
        <v>2013</v>
      </c>
      <c r="E572">
        <v>34.700000000000003</v>
      </c>
      <c r="F572">
        <v>0</v>
      </c>
      <c r="G572">
        <v>-34.700000000000003</v>
      </c>
      <c r="H572">
        <v>0</v>
      </c>
      <c r="I572">
        <f>IF(Merge1[[#This Row],[Discrepancy]]&gt;=40,1,0)</f>
        <v>0</v>
      </c>
      <c r="J572" t="str">
        <f>IF(Merge1[[#This Row],[Year]]=2023,Merge1[[#This Row],[High Discrepancy2]],"")</f>
        <v/>
      </c>
      <c r="K57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2" s="1" t="str">
        <f ca="1">IF(Merge1[[#This Row],[Consecutive from 2023]]&gt;=5,"ALERT","")</f>
        <v/>
      </c>
    </row>
    <row r="573" spans="1:12" hidden="1" x14ac:dyDescent="0.35">
      <c r="A573" s="1" t="s">
        <v>35</v>
      </c>
      <c r="B573" s="1" t="s">
        <v>175</v>
      </c>
      <c r="C573" s="1" t="s">
        <v>31</v>
      </c>
      <c r="D573">
        <v>2012</v>
      </c>
      <c r="E573">
        <v>38.4</v>
      </c>
      <c r="F573">
        <v>0.28000000000000003</v>
      </c>
      <c r="G573">
        <v>-38.119999999999997</v>
      </c>
      <c r="H573">
        <v>0</v>
      </c>
      <c r="I573">
        <f>IF(Merge1[[#This Row],[Discrepancy]]&gt;=40,1,0)</f>
        <v>0</v>
      </c>
      <c r="J573" t="str">
        <f>IF(Merge1[[#This Row],[Year]]=2023,Merge1[[#This Row],[High Discrepancy2]],"")</f>
        <v/>
      </c>
      <c r="K57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3" s="1" t="str">
        <f ca="1">IF(Merge1[[#This Row],[Consecutive from 2023]]&gt;=5,"ALERT","")</f>
        <v/>
      </c>
    </row>
    <row r="574" spans="1:12" hidden="1" x14ac:dyDescent="0.35">
      <c r="A574" s="1" t="s">
        <v>35</v>
      </c>
      <c r="B574" s="1" t="s">
        <v>175</v>
      </c>
      <c r="C574" s="1" t="s">
        <v>31</v>
      </c>
      <c r="D574">
        <v>2011</v>
      </c>
      <c r="E574">
        <v>36.9</v>
      </c>
      <c r="F574">
        <v>0</v>
      </c>
      <c r="G574">
        <v>-36.9</v>
      </c>
      <c r="H574">
        <v>0</v>
      </c>
      <c r="I574">
        <f>IF(Merge1[[#This Row],[Discrepancy]]&gt;=40,1,0)</f>
        <v>0</v>
      </c>
      <c r="J574" t="str">
        <f>IF(Merge1[[#This Row],[Year]]=2023,Merge1[[#This Row],[High Discrepancy2]],"")</f>
        <v/>
      </c>
      <c r="K57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4" s="1" t="str">
        <f ca="1">IF(Merge1[[#This Row],[Consecutive from 2023]]&gt;=5,"ALERT","")</f>
        <v/>
      </c>
    </row>
    <row r="575" spans="1:12" hidden="1" x14ac:dyDescent="0.35">
      <c r="A575" s="1" t="s">
        <v>35</v>
      </c>
      <c r="B575" s="1" t="s">
        <v>175</v>
      </c>
      <c r="C575" s="1" t="s">
        <v>31</v>
      </c>
      <c r="D575">
        <v>2010</v>
      </c>
      <c r="E575">
        <v>34.200000000000003</v>
      </c>
      <c r="F575">
        <v>0</v>
      </c>
      <c r="G575">
        <v>-34.200000000000003</v>
      </c>
      <c r="H575">
        <v>0</v>
      </c>
      <c r="I575">
        <f>IF(Merge1[[#This Row],[Discrepancy]]&gt;=40,1,0)</f>
        <v>0</v>
      </c>
      <c r="J575" t="str">
        <f>IF(Merge1[[#This Row],[Year]]=2023,Merge1[[#This Row],[High Discrepancy2]],"")</f>
        <v/>
      </c>
      <c r="K57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5" s="1" t="str">
        <f ca="1">IF(Merge1[[#This Row],[Consecutive from 2023]]&gt;=5,"ALERT","")</f>
        <v/>
      </c>
    </row>
    <row r="576" spans="1:12" hidden="1" x14ac:dyDescent="0.35">
      <c r="A576" s="1" t="s">
        <v>28</v>
      </c>
      <c r="B576" s="1" t="s">
        <v>172</v>
      </c>
      <c r="C576" s="1" t="s">
        <v>31</v>
      </c>
      <c r="D576">
        <v>2023</v>
      </c>
      <c r="E576">
        <v>51.1</v>
      </c>
      <c r="F576">
        <v>76.34</v>
      </c>
      <c r="G576">
        <v>25.240000000000002</v>
      </c>
      <c r="H576">
        <v>1</v>
      </c>
      <c r="I576">
        <f>IF(Merge1[[#This Row],[Discrepancy]]&gt;=40,1,0)</f>
        <v>0</v>
      </c>
      <c r="J576">
        <f>IF(Merge1[[#This Row],[Year]]=2023,Merge1[[#This Row],[High Discrepancy2]],"")</f>
        <v>0</v>
      </c>
      <c r="K57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6" s="1" t="str">
        <f ca="1">IF(Merge1[[#This Row],[Consecutive from 2023]]&gt;=5,"ALERT","")</f>
        <v/>
      </c>
    </row>
    <row r="577" spans="1:12" hidden="1" x14ac:dyDescent="0.35">
      <c r="A577" s="1" t="s">
        <v>28</v>
      </c>
      <c r="B577" s="1" t="s">
        <v>172</v>
      </c>
      <c r="C577" s="1" t="s">
        <v>31</v>
      </c>
      <c r="D577">
        <v>2022</v>
      </c>
      <c r="E577">
        <v>48.5</v>
      </c>
      <c r="F577">
        <v>76.3</v>
      </c>
      <c r="G577">
        <v>27.799999999999997</v>
      </c>
      <c r="H577">
        <v>1</v>
      </c>
      <c r="I577">
        <f>IF(Merge1[[#This Row],[Discrepancy]]&gt;=40,1,0)</f>
        <v>0</v>
      </c>
      <c r="J577" t="str">
        <f>IF(Merge1[[#This Row],[Year]]=2023,Merge1[[#This Row],[High Discrepancy2]],"")</f>
        <v/>
      </c>
      <c r="K57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7" s="1" t="str">
        <f ca="1">IF(Merge1[[#This Row],[Consecutive from 2023]]&gt;=5,"ALERT","")</f>
        <v/>
      </c>
    </row>
    <row r="578" spans="1:12" hidden="1" x14ac:dyDescent="0.35">
      <c r="A578" s="1" t="s">
        <v>28</v>
      </c>
      <c r="B578" s="1" t="s">
        <v>172</v>
      </c>
      <c r="C578" s="1" t="s">
        <v>31</v>
      </c>
      <c r="D578">
        <v>2021</v>
      </c>
      <c r="E578">
        <v>48.2</v>
      </c>
      <c r="F578">
        <v>73.989999999999995</v>
      </c>
      <c r="G578">
        <v>25.789999999999992</v>
      </c>
      <c r="H578">
        <v>1</v>
      </c>
      <c r="I578">
        <f>IF(Merge1[[#This Row],[Discrepancy]]&gt;=40,1,0)</f>
        <v>0</v>
      </c>
      <c r="J578" t="str">
        <f>IF(Merge1[[#This Row],[Year]]=2023,Merge1[[#This Row],[High Discrepancy2]],"")</f>
        <v/>
      </c>
      <c r="K57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8" s="1" t="str">
        <f ca="1">IF(Merge1[[#This Row],[Consecutive from 2023]]&gt;=5,"ALERT","")</f>
        <v/>
      </c>
    </row>
    <row r="579" spans="1:12" hidden="1" x14ac:dyDescent="0.35">
      <c r="A579" s="1" t="s">
        <v>128</v>
      </c>
      <c r="B579" s="1" t="s">
        <v>174</v>
      </c>
      <c r="C579" s="1" t="s">
        <v>31</v>
      </c>
      <c r="D579">
        <v>2014</v>
      </c>
      <c r="E579">
        <v>32.299999999999997</v>
      </c>
      <c r="F579">
        <v>69.63</v>
      </c>
      <c r="G579">
        <v>37.33</v>
      </c>
      <c r="H579">
        <v>1</v>
      </c>
      <c r="I579">
        <f>IF(Merge1[[#This Row],[Discrepancy]]&gt;=40,1,0)</f>
        <v>0</v>
      </c>
      <c r="J579" t="str">
        <f>IF(Merge1[[#This Row],[Year]]=2023,Merge1[[#This Row],[High Discrepancy2]],"")</f>
        <v/>
      </c>
      <c r="K57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79" s="1" t="str">
        <f ca="1">IF(Merge1[[#This Row],[Consecutive from 2023]]&gt;=5,"ALERT","")</f>
        <v/>
      </c>
    </row>
    <row r="580" spans="1:12" hidden="1" x14ac:dyDescent="0.35">
      <c r="A580" s="1" t="s">
        <v>28</v>
      </c>
      <c r="B580" s="1" t="s">
        <v>172</v>
      </c>
      <c r="C580" s="1" t="s">
        <v>31</v>
      </c>
      <c r="D580">
        <v>2019</v>
      </c>
      <c r="E580">
        <v>45.6</v>
      </c>
      <c r="F580">
        <v>72.849999999999994</v>
      </c>
      <c r="G580">
        <v>27.249999999999993</v>
      </c>
      <c r="H580">
        <v>1</v>
      </c>
      <c r="I580">
        <f>IF(Merge1[[#This Row],[Discrepancy]]&gt;=40,1,0)</f>
        <v>0</v>
      </c>
      <c r="J580" t="str">
        <f>IF(Merge1[[#This Row],[Year]]=2023,Merge1[[#This Row],[High Discrepancy2]],"")</f>
        <v/>
      </c>
      <c r="K58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0" s="1" t="str">
        <f ca="1">IF(Merge1[[#This Row],[Consecutive from 2023]]&gt;=5,"ALERT","")</f>
        <v/>
      </c>
    </row>
    <row r="581" spans="1:12" hidden="1" x14ac:dyDescent="0.35">
      <c r="A581" s="1" t="s">
        <v>28</v>
      </c>
      <c r="B581" s="1" t="s">
        <v>172</v>
      </c>
      <c r="C581" s="1" t="s">
        <v>31</v>
      </c>
      <c r="D581">
        <v>2018</v>
      </c>
      <c r="E581">
        <v>45.3</v>
      </c>
      <c r="F581">
        <v>72.31</v>
      </c>
      <c r="G581">
        <v>27.010000000000005</v>
      </c>
      <c r="H581">
        <v>1</v>
      </c>
      <c r="I581">
        <f>IF(Merge1[[#This Row],[Discrepancy]]&gt;=40,1,0)</f>
        <v>0</v>
      </c>
      <c r="J581" t="str">
        <f>IF(Merge1[[#This Row],[Year]]=2023,Merge1[[#This Row],[High Discrepancy2]],"")</f>
        <v/>
      </c>
      <c r="K58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1" s="1" t="str">
        <f ca="1">IF(Merge1[[#This Row],[Consecutive from 2023]]&gt;=5,"ALERT","")</f>
        <v/>
      </c>
    </row>
    <row r="582" spans="1:12" hidden="1" x14ac:dyDescent="0.35">
      <c r="A582" s="1" t="s">
        <v>28</v>
      </c>
      <c r="B582" s="1" t="s">
        <v>172</v>
      </c>
      <c r="C582" s="1" t="s">
        <v>31</v>
      </c>
      <c r="D582">
        <v>2017</v>
      </c>
      <c r="E582">
        <v>42.9</v>
      </c>
      <c r="F582">
        <v>64.42</v>
      </c>
      <c r="G582">
        <v>21.520000000000003</v>
      </c>
      <c r="H582">
        <v>1</v>
      </c>
      <c r="I582">
        <f>IF(Merge1[[#This Row],[Discrepancy]]&gt;=40,1,0)</f>
        <v>0</v>
      </c>
      <c r="J582" t="str">
        <f>IF(Merge1[[#This Row],[Year]]=2023,Merge1[[#This Row],[High Discrepancy2]],"")</f>
        <v/>
      </c>
      <c r="K58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2" s="1" t="str">
        <f ca="1">IF(Merge1[[#This Row],[Consecutive from 2023]]&gt;=5,"ALERT","")</f>
        <v/>
      </c>
    </row>
    <row r="583" spans="1:12" hidden="1" x14ac:dyDescent="0.35">
      <c r="A583" s="1" t="s">
        <v>28</v>
      </c>
      <c r="B583" s="1" t="s">
        <v>172</v>
      </c>
      <c r="C583" s="1" t="s">
        <v>31</v>
      </c>
      <c r="D583">
        <v>2016</v>
      </c>
      <c r="E583">
        <v>41.8</v>
      </c>
      <c r="F583">
        <v>52.57</v>
      </c>
      <c r="G583">
        <v>10.770000000000003</v>
      </c>
      <c r="H583">
        <v>1</v>
      </c>
      <c r="I583">
        <f>IF(Merge1[[#This Row],[Discrepancy]]&gt;=40,1,0)</f>
        <v>0</v>
      </c>
      <c r="J583" t="str">
        <f>IF(Merge1[[#This Row],[Year]]=2023,Merge1[[#This Row],[High Discrepancy2]],"")</f>
        <v/>
      </c>
      <c r="K58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3" s="1" t="str">
        <f ca="1">IF(Merge1[[#This Row],[Consecutive from 2023]]&gt;=5,"ALERT","")</f>
        <v/>
      </c>
    </row>
    <row r="584" spans="1:12" hidden="1" x14ac:dyDescent="0.35">
      <c r="A584" s="1" t="s">
        <v>28</v>
      </c>
      <c r="B584" s="1" t="s">
        <v>172</v>
      </c>
      <c r="C584" s="1" t="s">
        <v>31</v>
      </c>
      <c r="D584">
        <v>2015</v>
      </c>
      <c r="E584">
        <v>42</v>
      </c>
      <c r="F584">
        <v>46.34</v>
      </c>
      <c r="G584">
        <v>4.3400000000000034</v>
      </c>
      <c r="H584">
        <v>1</v>
      </c>
      <c r="I584">
        <f>IF(Merge1[[#This Row],[Discrepancy]]&gt;=40,1,0)</f>
        <v>0</v>
      </c>
      <c r="J584" t="str">
        <f>IF(Merge1[[#This Row],[Year]]=2023,Merge1[[#This Row],[High Discrepancy2]],"")</f>
        <v/>
      </c>
      <c r="K58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4" s="1" t="str">
        <f ca="1">IF(Merge1[[#This Row],[Consecutive from 2023]]&gt;=5,"ALERT","")</f>
        <v/>
      </c>
    </row>
    <row r="585" spans="1:12" hidden="1" x14ac:dyDescent="0.35">
      <c r="A585" s="1" t="s">
        <v>28</v>
      </c>
      <c r="B585" s="1" t="s">
        <v>172</v>
      </c>
      <c r="C585" s="1" t="s">
        <v>31</v>
      </c>
      <c r="D585">
        <v>2014</v>
      </c>
      <c r="E585">
        <v>32</v>
      </c>
      <c r="F585">
        <v>47.68</v>
      </c>
      <c r="G585">
        <v>15.68</v>
      </c>
      <c r="H585">
        <v>1</v>
      </c>
      <c r="I585">
        <f>IF(Merge1[[#This Row],[Discrepancy]]&gt;=40,1,0)</f>
        <v>0</v>
      </c>
      <c r="J585" t="str">
        <f>IF(Merge1[[#This Row],[Year]]=2023,Merge1[[#This Row],[High Discrepancy2]],"")</f>
        <v/>
      </c>
      <c r="K58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5" s="1" t="str">
        <f ca="1">IF(Merge1[[#This Row],[Consecutive from 2023]]&gt;=5,"ALERT","")</f>
        <v/>
      </c>
    </row>
    <row r="586" spans="1:12" hidden="1" x14ac:dyDescent="0.35">
      <c r="A586" s="1" t="s">
        <v>28</v>
      </c>
      <c r="B586" s="1" t="s">
        <v>172</v>
      </c>
      <c r="C586" s="1" t="s">
        <v>31</v>
      </c>
      <c r="D586">
        <v>2013</v>
      </c>
      <c r="E586">
        <v>38.4</v>
      </c>
      <c r="F586">
        <v>45.99</v>
      </c>
      <c r="G586">
        <v>7.5900000000000034</v>
      </c>
      <c r="H586">
        <v>1</v>
      </c>
      <c r="I586">
        <f>IF(Merge1[[#This Row],[Discrepancy]]&gt;=40,1,0)</f>
        <v>0</v>
      </c>
      <c r="J586" t="str">
        <f>IF(Merge1[[#This Row],[Year]]=2023,Merge1[[#This Row],[High Discrepancy2]],"")</f>
        <v/>
      </c>
      <c r="K58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6" s="1" t="str">
        <f ca="1">IF(Merge1[[#This Row],[Consecutive from 2023]]&gt;=5,"ALERT","")</f>
        <v/>
      </c>
    </row>
    <row r="587" spans="1:12" hidden="1" x14ac:dyDescent="0.35">
      <c r="A587" s="1" t="s">
        <v>28</v>
      </c>
      <c r="B587" s="1" t="s">
        <v>172</v>
      </c>
      <c r="C587" s="1" t="s">
        <v>31</v>
      </c>
      <c r="D587">
        <v>2012</v>
      </c>
      <c r="E587">
        <v>37.299999999999997</v>
      </c>
      <c r="F587">
        <v>57.4</v>
      </c>
      <c r="G587">
        <v>20.100000000000001</v>
      </c>
      <c r="H587">
        <v>1</v>
      </c>
      <c r="I587">
        <f>IF(Merge1[[#This Row],[Discrepancy]]&gt;=40,1,0)</f>
        <v>0</v>
      </c>
      <c r="J587" t="str">
        <f>IF(Merge1[[#This Row],[Year]]=2023,Merge1[[#This Row],[High Discrepancy2]],"")</f>
        <v/>
      </c>
      <c r="K58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7" s="1" t="str">
        <f ca="1">IF(Merge1[[#This Row],[Consecutive from 2023]]&gt;=5,"ALERT","")</f>
        <v/>
      </c>
    </row>
    <row r="588" spans="1:12" hidden="1" x14ac:dyDescent="0.35">
      <c r="A588" s="1" t="s">
        <v>128</v>
      </c>
      <c r="B588" s="1" t="s">
        <v>174</v>
      </c>
      <c r="C588" s="1" t="s">
        <v>31</v>
      </c>
      <c r="D588">
        <v>2011</v>
      </c>
      <c r="E588">
        <v>36.9</v>
      </c>
      <c r="F588">
        <v>70.44</v>
      </c>
      <c r="G588">
        <v>33.54</v>
      </c>
      <c r="H588">
        <v>1</v>
      </c>
      <c r="I588">
        <f>IF(Merge1[[#This Row],[Discrepancy]]&gt;=40,1,0)</f>
        <v>0</v>
      </c>
      <c r="J588" t="str">
        <f>IF(Merge1[[#This Row],[Year]]=2023,Merge1[[#This Row],[High Discrepancy2]],"")</f>
        <v/>
      </c>
      <c r="K58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8" s="1" t="str">
        <f ca="1">IF(Merge1[[#This Row],[Consecutive from 2023]]&gt;=5,"ALERT","")</f>
        <v/>
      </c>
    </row>
    <row r="589" spans="1:12" hidden="1" x14ac:dyDescent="0.35">
      <c r="A589" s="1" t="s">
        <v>128</v>
      </c>
      <c r="B589" s="1" t="s">
        <v>174</v>
      </c>
      <c r="C589" s="1" t="s">
        <v>31</v>
      </c>
      <c r="D589">
        <v>2010</v>
      </c>
      <c r="E589">
        <v>38.9</v>
      </c>
      <c r="F589">
        <v>75.97</v>
      </c>
      <c r="G589">
        <v>37.07</v>
      </c>
      <c r="H589">
        <v>1</v>
      </c>
      <c r="I589">
        <f>IF(Merge1[[#This Row],[Discrepancy]]&gt;=40,1,0)</f>
        <v>0</v>
      </c>
      <c r="J589" t="str">
        <f>IF(Merge1[[#This Row],[Year]]=2023,Merge1[[#This Row],[High Discrepancy2]],"")</f>
        <v/>
      </c>
      <c r="K58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89" s="1" t="str">
        <f ca="1">IF(Merge1[[#This Row],[Consecutive from 2023]]&gt;=5,"ALERT","")</f>
        <v/>
      </c>
    </row>
    <row r="590" spans="1:12" hidden="1" x14ac:dyDescent="0.35">
      <c r="A590" s="1" t="s">
        <v>53</v>
      </c>
      <c r="B590" s="1" t="s">
        <v>173</v>
      </c>
      <c r="C590" s="1" t="s">
        <v>41</v>
      </c>
      <c r="D590">
        <v>2023</v>
      </c>
      <c r="E590">
        <v>100</v>
      </c>
      <c r="F590">
        <v>0.97</v>
      </c>
      <c r="G590">
        <v>-99.03</v>
      </c>
      <c r="H590">
        <v>0</v>
      </c>
      <c r="I590">
        <f>IF(Merge1[[#This Row],[Discrepancy]]&gt;=40,1,0)</f>
        <v>0</v>
      </c>
      <c r="J590">
        <f>IF(Merge1[[#This Row],[Year]]=2023,Merge1[[#This Row],[High Discrepancy2]],"")</f>
        <v>0</v>
      </c>
      <c r="K59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0" s="1" t="str">
        <f ca="1">IF(Merge1[[#This Row],[Consecutive from 2023]]&gt;=5,"ALERT","")</f>
        <v/>
      </c>
    </row>
    <row r="591" spans="1:12" hidden="1" x14ac:dyDescent="0.35">
      <c r="A591" s="1" t="s">
        <v>53</v>
      </c>
      <c r="B591" s="1" t="s">
        <v>173</v>
      </c>
      <c r="C591" s="1" t="s">
        <v>41</v>
      </c>
      <c r="D591">
        <v>2022</v>
      </c>
      <c r="E591">
        <v>100</v>
      </c>
      <c r="F591">
        <v>0.95</v>
      </c>
      <c r="G591">
        <v>-99.05</v>
      </c>
      <c r="H591">
        <v>0</v>
      </c>
      <c r="I591">
        <f>IF(Merge1[[#This Row],[Discrepancy]]&gt;=40,1,0)</f>
        <v>0</v>
      </c>
      <c r="J591" t="str">
        <f>IF(Merge1[[#This Row],[Year]]=2023,Merge1[[#This Row],[High Discrepancy2]],"")</f>
        <v/>
      </c>
      <c r="K59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1" s="1" t="str">
        <f ca="1">IF(Merge1[[#This Row],[Consecutive from 2023]]&gt;=5,"ALERT","")</f>
        <v/>
      </c>
    </row>
    <row r="592" spans="1:12" hidden="1" x14ac:dyDescent="0.35">
      <c r="A592" s="1" t="s">
        <v>53</v>
      </c>
      <c r="B592" s="1" t="s">
        <v>173</v>
      </c>
      <c r="C592" s="1" t="s">
        <v>41</v>
      </c>
      <c r="D592">
        <v>2021</v>
      </c>
      <c r="E592">
        <v>99.8</v>
      </c>
      <c r="F592">
        <v>0.95</v>
      </c>
      <c r="G592">
        <v>-98.85</v>
      </c>
      <c r="H592">
        <v>0</v>
      </c>
      <c r="I592">
        <f>IF(Merge1[[#This Row],[Discrepancy]]&gt;=40,1,0)</f>
        <v>0</v>
      </c>
      <c r="J592" t="str">
        <f>IF(Merge1[[#This Row],[Year]]=2023,Merge1[[#This Row],[High Discrepancy2]],"")</f>
        <v/>
      </c>
      <c r="K59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2" s="1" t="str">
        <f ca="1">IF(Merge1[[#This Row],[Consecutive from 2023]]&gt;=5,"ALERT","")</f>
        <v/>
      </c>
    </row>
    <row r="593" spans="1:12" hidden="1" x14ac:dyDescent="0.35">
      <c r="A593" s="1" t="s">
        <v>53</v>
      </c>
      <c r="B593" s="1" t="s">
        <v>173</v>
      </c>
      <c r="C593" s="1" t="s">
        <v>41</v>
      </c>
      <c r="D593">
        <v>2020</v>
      </c>
      <c r="E593">
        <v>99.7</v>
      </c>
      <c r="F593">
        <v>1.1000000000000001</v>
      </c>
      <c r="G593">
        <v>-98.600000000000009</v>
      </c>
      <c r="H593">
        <v>0</v>
      </c>
      <c r="I593">
        <f>IF(Merge1[[#This Row],[Discrepancy]]&gt;=40,1,0)</f>
        <v>0</v>
      </c>
      <c r="J593" t="str">
        <f>IF(Merge1[[#This Row],[Year]]=2023,Merge1[[#This Row],[High Discrepancy2]],"")</f>
        <v/>
      </c>
      <c r="K59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3" s="1" t="str">
        <f ca="1">IF(Merge1[[#This Row],[Consecutive from 2023]]&gt;=5,"ALERT","")</f>
        <v/>
      </c>
    </row>
    <row r="594" spans="1:12" hidden="1" x14ac:dyDescent="0.35">
      <c r="A594" s="1" t="s">
        <v>53</v>
      </c>
      <c r="B594" s="1" t="s">
        <v>173</v>
      </c>
      <c r="C594" s="1" t="s">
        <v>41</v>
      </c>
      <c r="D594">
        <v>2019</v>
      </c>
      <c r="E594">
        <v>99.5</v>
      </c>
      <c r="F594">
        <v>1.07</v>
      </c>
      <c r="G594">
        <v>-98.43</v>
      </c>
      <c r="H594">
        <v>0</v>
      </c>
      <c r="I594">
        <f>IF(Merge1[[#This Row],[Discrepancy]]&gt;=40,1,0)</f>
        <v>0</v>
      </c>
      <c r="J594" t="str">
        <f>IF(Merge1[[#This Row],[Year]]=2023,Merge1[[#This Row],[High Discrepancy2]],"")</f>
        <v/>
      </c>
      <c r="K594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4" s="1" t="str">
        <f ca="1">IF(Merge1[[#This Row],[Consecutive from 2023]]&gt;=5,"ALERT","")</f>
        <v/>
      </c>
    </row>
    <row r="595" spans="1:12" hidden="1" x14ac:dyDescent="0.35">
      <c r="A595" s="1" t="s">
        <v>53</v>
      </c>
      <c r="B595" s="1" t="s">
        <v>173</v>
      </c>
      <c r="C595" s="1" t="s">
        <v>41</v>
      </c>
      <c r="D595">
        <v>2018</v>
      </c>
      <c r="E595">
        <v>99.6</v>
      </c>
      <c r="F595">
        <v>1.06</v>
      </c>
      <c r="G595">
        <v>-98.539999999999992</v>
      </c>
      <c r="H595">
        <v>0</v>
      </c>
      <c r="I595">
        <f>IF(Merge1[[#This Row],[Discrepancy]]&gt;=40,1,0)</f>
        <v>0</v>
      </c>
      <c r="J595" t="str">
        <f>IF(Merge1[[#This Row],[Year]]=2023,Merge1[[#This Row],[High Discrepancy2]],"")</f>
        <v/>
      </c>
      <c r="K595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5" s="1" t="str">
        <f ca="1">IF(Merge1[[#This Row],[Consecutive from 2023]]&gt;=5,"ALERT","")</f>
        <v/>
      </c>
    </row>
    <row r="596" spans="1:12" hidden="1" x14ac:dyDescent="0.35">
      <c r="A596" s="1" t="s">
        <v>53</v>
      </c>
      <c r="B596" s="1" t="s">
        <v>173</v>
      </c>
      <c r="C596" s="1" t="s">
        <v>41</v>
      </c>
      <c r="D596">
        <v>2017</v>
      </c>
      <c r="E596">
        <v>99.5</v>
      </c>
      <c r="F596">
        <v>0.66</v>
      </c>
      <c r="G596">
        <v>-98.84</v>
      </c>
      <c r="H596">
        <v>0</v>
      </c>
      <c r="I596">
        <f>IF(Merge1[[#This Row],[Discrepancy]]&gt;=40,1,0)</f>
        <v>0</v>
      </c>
      <c r="J596" t="str">
        <f>IF(Merge1[[#This Row],[Year]]=2023,Merge1[[#This Row],[High Discrepancy2]],"")</f>
        <v/>
      </c>
      <c r="K596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6" s="1" t="str">
        <f ca="1">IF(Merge1[[#This Row],[Consecutive from 2023]]&gt;=5,"ALERT","")</f>
        <v/>
      </c>
    </row>
    <row r="597" spans="1:12" hidden="1" x14ac:dyDescent="0.35">
      <c r="A597" s="1" t="s">
        <v>53</v>
      </c>
      <c r="B597" s="1" t="s">
        <v>173</v>
      </c>
      <c r="C597" s="1" t="s">
        <v>41</v>
      </c>
      <c r="D597">
        <v>2016</v>
      </c>
      <c r="E597">
        <v>99.4</v>
      </c>
      <c r="F597">
        <v>0.65</v>
      </c>
      <c r="G597">
        <v>-98.75</v>
      </c>
      <c r="H597">
        <v>0</v>
      </c>
      <c r="I597">
        <f>IF(Merge1[[#This Row],[Discrepancy]]&gt;=40,1,0)</f>
        <v>0</v>
      </c>
      <c r="J597" t="str">
        <f>IF(Merge1[[#This Row],[Year]]=2023,Merge1[[#This Row],[High Discrepancy2]],"")</f>
        <v/>
      </c>
      <c r="K597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7" s="1" t="str">
        <f ca="1">IF(Merge1[[#This Row],[Consecutive from 2023]]&gt;=5,"ALERT","")</f>
        <v/>
      </c>
    </row>
    <row r="598" spans="1:12" hidden="1" x14ac:dyDescent="0.35">
      <c r="A598" s="1" t="s">
        <v>53</v>
      </c>
      <c r="B598" s="1" t="s">
        <v>173</v>
      </c>
      <c r="C598" s="1" t="s">
        <v>41</v>
      </c>
      <c r="D598">
        <v>2015</v>
      </c>
      <c r="E598">
        <v>99.4</v>
      </c>
      <c r="F598">
        <v>0.52</v>
      </c>
      <c r="G598">
        <v>-98.88000000000001</v>
      </c>
      <c r="H598">
        <v>0</v>
      </c>
      <c r="I598">
        <f>IF(Merge1[[#This Row],[Discrepancy]]&gt;=40,1,0)</f>
        <v>0</v>
      </c>
      <c r="J598" t="str">
        <f>IF(Merge1[[#This Row],[Year]]=2023,Merge1[[#This Row],[High Discrepancy2]],"")</f>
        <v/>
      </c>
      <c r="K598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8" s="1" t="str">
        <f ca="1">IF(Merge1[[#This Row],[Consecutive from 2023]]&gt;=5,"ALERT","")</f>
        <v/>
      </c>
    </row>
    <row r="599" spans="1:12" hidden="1" x14ac:dyDescent="0.35">
      <c r="A599" s="1" t="s">
        <v>53</v>
      </c>
      <c r="B599" s="1" t="s">
        <v>173</v>
      </c>
      <c r="C599" s="1" t="s">
        <v>41</v>
      </c>
      <c r="D599">
        <v>2014</v>
      </c>
      <c r="E599">
        <v>99.3</v>
      </c>
      <c r="F599">
        <v>0.61</v>
      </c>
      <c r="G599">
        <v>-98.69</v>
      </c>
      <c r="H599">
        <v>0</v>
      </c>
      <c r="I599">
        <f>IF(Merge1[[#This Row],[Discrepancy]]&gt;=40,1,0)</f>
        <v>0</v>
      </c>
      <c r="J599" t="str">
        <f>IF(Merge1[[#This Row],[Year]]=2023,Merge1[[#This Row],[High Discrepancy2]],"")</f>
        <v/>
      </c>
      <c r="K599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599" s="1" t="str">
        <f ca="1">IF(Merge1[[#This Row],[Consecutive from 2023]]&gt;=5,"ALERT","")</f>
        <v/>
      </c>
    </row>
    <row r="600" spans="1:12" hidden="1" x14ac:dyDescent="0.35">
      <c r="A600" s="1" t="s">
        <v>53</v>
      </c>
      <c r="B600" s="1" t="s">
        <v>173</v>
      </c>
      <c r="C600" s="1" t="s">
        <v>41</v>
      </c>
      <c r="D600">
        <v>2013</v>
      </c>
      <c r="E600">
        <v>99.2</v>
      </c>
      <c r="F600">
        <v>0.49</v>
      </c>
      <c r="G600">
        <v>-98.710000000000008</v>
      </c>
      <c r="H600">
        <v>0</v>
      </c>
      <c r="I600">
        <f>IF(Merge1[[#This Row],[Discrepancy]]&gt;=40,1,0)</f>
        <v>0</v>
      </c>
      <c r="J600" t="str">
        <f>IF(Merge1[[#This Row],[Year]]=2023,Merge1[[#This Row],[High Discrepancy2]],"")</f>
        <v/>
      </c>
      <c r="K600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00" s="1" t="str">
        <f ca="1">IF(Merge1[[#This Row],[Consecutive from 2023]]&gt;=5,"ALERT","")</f>
        <v/>
      </c>
    </row>
    <row r="601" spans="1:12" hidden="1" x14ac:dyDescent="0.35">
      <c r="A601" s="1" t="s">
        <v>53</v>
      </c>
      <c r="B601" s="1" t="s">
        <v>173</v>
      </c>
      <c r="C601" s="1" t="s">
        <v>41</v>
      </c>
      <c r="D601">
        <v>2012</v>
      </c>
      <c r="E601">
        <v>98.8</v>
      </c>
      <c r="F601">
        <v>1.02</v>
      </c>
      <c r="G601">
        <v>-97.78</v>
      </c>
      <c r="H601">
        <v>0</v>
      </c>
      <c r="I601">
        <f>IF(Merge1[[#This Row],[Discrepancy]]&gt;=40,1,0)</f>
        <v>0</v>
      </c>
      <c r="J601" t="str">
        <f>IF(Merge1[[#This Row],[Year]]=2023,Merge1[[#This Row],[High Discrepancy2]],"")</f>
        <v/>
      </c>
      <c r="K601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01" s="1" t="str">
        <f ca="1">IF(Merge1[[#This Row],[Consecutive from 2023]]&gt;=5,"ALERT","")</f>
        <v/>
      </c>
    </row>
    <row r="602" spans="1:12" hidden="1" x14ac:dyDescent="0.35">
      <c r="A602" s="1" t="s">
        <v>53</v>
      </c>
      <c r="B602" s="1" t="s">
        <v>173</v>
      </c>
      <c r="C602" s="1" t="s">
        <v>41</v>
      </c>
      <c r="D602">
        <v>2011</v>
      </c>
      <c r="E602">
        <v>99</v>
      </c>
      <c r="F602">
        <v>0.94</v>
      </c>
      <c r="G602">
        <v>-98.06</v>
      </c>
      <c r="H602">
        <v>0</v>
      </c>
      <c r="I602">
        <f>IF(Merge1[[#This Row],[Discrepancy]]&gt;=40,1,0)</f>
        <v>0</v>
      </c>
      <c r="J602" t="str">
        <f>IF(Merge1[[#This Row],[Year]]=2023,Merge1[[#This Row],[High Discrepancy2]],"")</f>
        <v/>
      </c>
      <c r="K602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02" s="1" t="str">
        <f ca="1">IF(Merge1[[#This Row],[Consecutive from 2023]]&gt;=5,"ALERT","")</f>
        <v/>
      </c>
    </row>
    <row r="603" spans="1:12" hidden="1" x14ac:dyDescent="0.35">
      <c r="A603" s="1" t="s">
        <v>53</v>
      </c>
      <c r="B603" s="1" t="s">
        <v>173</v>
      </c>
      <c r="C603" s="1" t="s">
        <v>41</v>
      </c>
      <c r="D603">
        <v>2010</v>
      </c>
      <c r="E603">
        <v>98.9</v>
      </c>
      <c r="F603">
        <v>0.38</v>
      </c>
      <c r="G603">
        <v>-98.52000000000001</v>
      </c>
      <c r="H603">
        <v>0</v>
      </c>
      <c r="I603">
        <f>IF(Merge1[[#This Row],[Discrepancy]]&gt;=40,1,0)</f>
        <v>0</v>
      </c>
      <c r="J603" t="str">
        <f>IF(Merge1[[#This Row],[Year]]=2023,Merge1[[#This Row],[High Discrepancy2]],"")</f>
        <v/>
      </c>
      <c r="K603">
        <f ca="1">IF(Merge1[[#This Row],[Year]]=2023,
        IF(Merge1[[#This Row],[High Discrepancy2]]=1,1,0),
    IF(Merge1[[#This Row],[Country Name]] = OFFSET(Merge1[[#This Row],[Country Name]],-1,0),
        IF(OFFSET(Merge1[[#This Row],[Consecutive from 2023]],-1,0)&gt;0,
            OFFSET(Merge1[[#This Row],[Consecutive from 2023]],-1,0)+Merge1[[#This Row],[High Discrepancy2]],
            0),
        0))</f>
        <v>0</v>
      </c>
      <c r="L603" s="1" t="str">
        <f ca="1">IF(Merge1[[#This Row],[Consecutive from 2023]]&gt;=5,"ALERT","")</f>
        <v/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4FB8-AEF8-4776-B7E8-81961820E1AB}">
  <sheetPr filterMode="1"/>
  <dimension ref="A1:B44"/>
  <sheetViews>
    <sheetView workbookViewId="0">
      <selection activeCell="F25" sqref="F25"/>
    </sheetView>
  </sheetViews>
  <sheetFormatPr defaultRowHeight="14.5" x14ac:dyDescent="0.35"/>
  <cols>
    <col min="1" max="1" width="19.1796875" bestFit="1" customWidth="1"/>
    <col min="2" max="2" width="25.26953125" bestFit="1" customWidth="1"/>
  </cols>
  <sheetData>
    <row r="1" spans="1:2" x14ac:dyDescent="0.35">
      <c r="A1" t="s">
        <v>207</v>
      </c>
      <c r="B1" t="s">
        <v>208</v>
      </c>
    </row>
    <row r="2" spans="1:2" hidden="1" x14ac:dyDescent="0.35">
      <c r="A2" t="s">
        <v>53</v>
      </c>
      <c r="B2">
        <v>0</v>
      </c>
    </row>
    <row r="3" spans="1:2" hidden="1" x14ac:dyDescent="0.35">
      <c r="A3" t="s">
        <v>28</v>
      </c>
      <c r="B3">
        <v>0</v>
      </c>
    </row>
    <row r="4" spans="1:2" hidden="1" x14ac:dyDescent="0.35">
      <c r="A4" t="s">
        <v>35</v>
      </c>
      <c r="B4">
        <v>0</v>
      </c>
    </row>
    <row r="5" spans="1:2" hidden="1" x14ac:dyDescent="0.35">
      <c r="A5" t="s">
        <v>39</v>
      </c>
      <c r="B5">
        <v>0</v>
      </c>
    </row>
    <row r="6" spans="1:2" hidden="1" x14ac:dyDescent="0.35">
      <c r="A6" t="s">
        <v>37</v>
      </c>
      <c r="B6">
        <v>0</v>
      </c>
    </row>
    <row r="7" spans="1:2" x14ac:dyDescent="0.35">
      <c r="A7" t="s">
        <v>32</v>
      </c>
      <c r="B7">
        <v>14</v>
      </c>
    </row>
    <row r="8" spans="1:2" hidden="1" x14ac:dyDescent="0.35">
      <c r="A8" t="s">
        <v>48</v>
      </c>
      <c r="B8">
        <v>0</v>
      </c>
    </row>
    <row r="9" spans="1:2" hidden="1" x14ac:dyDescent="0.35">
      <c r="A9" t="s">
        <v>44</v>
      </c>
      <c r="B9">
        <v>0</v>
      </c>
    </row>
    <row r="10" spans="1:2" hidden="1" x14ac:dyDescent="0.35">
      <c r="A10" t="s">
        <v>114</v>
      </c>
      <c r="B10">
        <v>0</v>
      </c>
    </row>
    <row r="11" spans="1:2" hidden="1" x14ac:dyDescent="0.35">
      <c r="A11" t="s">
        <v>50</v>
      </c>
      <c r="B11">
        <v>0</v>
      </c>
    </row>
    <row r="12" spans="1:2" hidden="1" x14ac:dyDescent="0.35">
      <c r="A12" t="s">
        <v>67</v>
      </c>
      <c r="B12">
        <v>0</v>
      </c>
    </row>
    <row r="13" spans="1:2" hidden="1" x14ac:dyDescent="0.35">
      <c r="A13" t="s">
        <v>55</v>
      </c>
      <c r="B13">
        <v>0</v>
      </c>
    </row>
    <row r="14" spans="1:2" hidden="1" x14ac:dyDescent="0.35">
      <c r="A14" t="s">
        <v>109</v>
      </c>
      <c r="B14">
        <v>0</v>
      </c>
    </row>
    <row r="15" spans="1:2" x14ac:dyDescent="0.35">
      <c r="A15" t="s">
        <v>57</v>
      </c>
      <c r="B15">
        <v>6</v>
      </c>
    </row>
    <row r="16" spans="1:2" hidden="1" x14ac:dyDescent="0.35">
      <c r="A16" t="s">
        <v>59</v>
      </c>
      <c r="B16">
        <v>0</v>
      </c>
    </row>
    <row r="17" spans="1:2" hidden="1" x14ac:dyDescent="0.35">
      <c r="A17" t="s">
        <v>61</v>
      </c>
      <c r="B17">
        <v>0</v>
      </c>
    </row>
    <row r="18" spans="1:2" hidden="1" x14ac:dyDescent="0.35">
      <c r="A18" t="s">
        <v>63</v>
      </c>
      <c r="B18">
        <v>0</v>
      </c>
    </row>
    <row r="19" spans="1:2" hidden="1" x14ac:dyDescent="0.35">
      <c r="A19" t="s">
        <v>65</v>
      </c>
      <c r="B19">
        <v>0</v>
      </c>
    </row>
    <row r="20" spans="1:2" hidden="1" x14ac:dyDescent="0.35">
      <c r="A20" t="s">
        <v>69</v>
      </c>
      <c r="B20">
        <v>0</v>
      </c>
    </row>
    <row r="21" spans="1:2" x14ac:dyDescent="0.35">
      <c r="A21" t="s">
        <v>75</v>
      </c>
      <c r="B21">
        <v>14</v>
      </c>
    </row>
    <row r="22" spans="1:2" hidden="1" x14ac:dyDescent="0.35">
      <c r="A22" t="s">
        <v>71</v>
      </c>
      <c r="B22">
        <v>0</v>
      </c>
    </row>
    <row r="23" spans="1:2" hidden="1" x14ac:dyDescent="0.35">
      <c r="A23" t="s">
        <v>73</v>
      </c>
      <c r="B23">
        <v>0</v>
      </c>
    </row>
    <row r="24" spans="1:2" hidden="1" x14ac:dyDescent="0.35">
      <c r="A24" t="s">
        <v>79</v>
      </c>
      <c r="B24">
        <v>0</v>
      </c>
    </row>
    <row r="25" spans="1:2" hidden="1" x14ac:dyDescent="0.35">
      <c r="A25" t="s">
        <v>89</v>
      </c>
      <c r="B25">
        <v>4</v>
      </c>
    </row>
    <row r="26" spans="1:2" hidden="1" x14ac:dyDescent="0.35">
      <c r="A26" t="s">
        <v>81</v>
      </c>
      <c r="B26">
        <v>0</v>
      </c>
    </row>
    <row r="27" spans="1:2" hidden="1" x14ac:dyDescent="0.35">
      <c r="A27" t="s">
        <v>85</v>
      </c>
      <c r="B27">
        <v>0</v>
      </c>
    </row>
    <row r="28" spans="1:2" hidden="1" x14ac:dyDescent="0.35">
      <c r="A28" t="s">
        <v>87</v>
      </c>
      <c r="B28">
        <v>0</v>
      </c>
    </row>
    <row r="29" spans="1:2" hidden="1" x14ac:dyDescent="0.35">
      <c r="A29" t="s">
        <v>77</v>
      </c>
      <c r="B29">
        <v>0</v>
      </c>
    </row>
    <row r="30" spans="1:2" hidden="1" x14ac:dyDescent="0.35">
      <c r="A30" t="s">
        <v>83</v>
      </c>
      <c r="B30">
        <v>4</v>
      </c>
    </row>
    <row r="31" spans="1:2" hidden="1" x14ac:dyDescent="0.35">
      <c r="A31" t="s">
        <v>91</v>
      </c>
      <c r="B31">
        <v>0</v>
      </c>
    </row>
    <row r="32" spans="1:2" hidden="1" x14ac:dyDescent="0.35">
      <c r="A32" t="s">
        <v>95</v>
      </c>
      <c r="B32">
        <v>0</v>
      </c>
    </row>
    <row r="33" spans="1:2" hidden="1" x14ac:dyDescent="0.35">
      <c r="A33" t="s">
        <v>97</v>
      </c>
      <c r="B33">
        <v>0</v>
      </c>
    </row>
    <row r="34" spans="1:2" hidden="1" x14ac:dyDescent="0.35">
      <c r="A34" t="s">
        <v>107</v>
      </c>
      <c r="B34">
        <v>0</v>
      </c>
    </row>
    <row r="35" spans="1:2" hidden="1" x14ac:dyDescent="0.35">
      <c r="A35" t="s">
        <v>101</v>
      </c>
      <c r="B35">
        <v>0</v>
      </c>
    </row>
    <row r="36" spans="1:2" hidden="1" x14ac:dyDescent="0.35">
      <c r="A36" t="s">
        <v>111</v>
      </c>
      <c r="B36">
        <v>0</v>
      </c>
    </row>
    <row r="37" spans="1:2" hidden="1" x14ac:dyDescent="0.35">
      <c r="A37" t="s">
        <v>103</v>
      </c>
      <c r="B37">
        <v>2</v>
      </c>
    </row>
    <row r="38" spans="1:2" hidden="1" x14ac:dyDescent="0.35">
      <c r="A38" t="s">
        <v>124</v>
      </c>
      <c r="B38">
        <v>0</v>
      </c>
    </row>
    <row r="39" spans="1:2" hidden="1" x14ac:dyDescent="0.35">
      <c r="A39" t="s">
        <v>105</v>
      </c>
      <c r="B39">
        <v>0</v>
      </c>
    </row>
    <row r="40" spans="1:2" hidden="1" x14ac:dyDescent="0.35">
      <c r="A40" t="s">
        <v>116</v>
      </c>
      <c r="B40">
        <v>0</v>
      </c>
    </row>
    <row r="41" spans="1:2" hidden="1" x14ac:dyDescent="0.35">
      <c r="A41" t="s">
        <v>118</v>
      </c>
      <c r="B41">
        <v>0</v>
      </c>
    </row>
    <row r="42" spans="1:2" x14ac:dyDescent="0.35">
      <c r="A42" t="s">
        <v>122</v>
      </c>
      <c r="B42">
        <v>6</v>
      </c>
    </row>
    <row r="43" spans="1:2" hidden="1" x14ac:dyDescent="0.35">
      <c r="A43" t="s">
        <v>126</v>
      </c>
      <c r="B43">
        <v>0</v>
      </c>
    </row>
    <row r="44" spans="1:2" hidden="1" x14ac:dyDescent="0.35">
      <c r="A44" t="s">
        <v>128</v>
      </c>
      <c r="B44">
        <v>0</v>
      </c>
    </row>
  </sheetData>
  <autoFilter ref="A1:B45" xr:uid="{39784FB8-AEF8-4776-B7E8-81961820E1AB}">
    <filterColumn colId="1">
      <filters>
        <filter val="6"/>
        <filter val="14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801A-22BD-4659-A80D-1EA811A76F1C}">
  <dimension ref="A1:E5"/>
  <sheetViews>
    <sheetView workbookViewId="0">
      <selection activeCell="F25" sqref="F25"/>
    </sheetView>
  </sheetViews>
  <sheetFormatPr defaultRowHeight="14.5" x14ac:dyDescent="0.35"/>
  <cols>
    <col min="1" max="1" width="10.08984375" bestFit="1" customWidth="1"/>
    <col min="2" max="2" width="25.26953125" bestFit="1" customWidth="1"/>
    <col min="5" max="5" width="18.1796875" bestFit="1" customWidth="1"/>
  </cols>
  <sheetData>
    <row r="1" spans="1:5" x14ac:dyDescent="0.35">
      <c r="A1" t="s">
        <v>207</v>
      </c>
      <c r="B1" t="s">
        <v>208</v>
      </c>
    </row>
    <row r="2" spans="1:5" x14ac:dyDescent="0.35">
      <c r="A2" t="s">
        <v>32</v>
      </c>
      <c r="B2">
        <v>14</v>
      </c>
      <c r="C2">
        <f>2023-B2</f>
        <v>2009</v>
      </c>
      <c r="D2">
        <v>2023</v>
      </c>
      <c r="E2" t="str">
        <f>CONCATENATE(C2,"-",D2," ","(",B2," Years)")</f>
        <v>2009-2023 (14 Years)</v>
      </c>
    </row>
    <row r="3" spans="1:5" x14ac:dyDescent="0.35">
      <c r="A3" t="s">
        <v>57</v>
      </c>
      <c r="B3">
        <v>6</v>
      </c>
      <c r="C3">
        <f t="shared" ref="C3:C5" si="0">2023-B3</f>
        <v>2017</v>
      </c>
      <c r="D3">
        <v>2023</v>
      </c>
      <c r="E3" t="str">
        <f>CONCATENATE(C3,"-",D3," ","(",B3," Years)")</f>
        <v>2017-2023 (6 Years)</v>
      </c>
    </row>
    <row r="4" spans="1:5" x14ac:dyDescent="0.35">
      <c r="A4" t="s">
        <v>75</v>
      </c>
      <c r="B4">
        <v>14</v>
      </c>
      <c r="C4">
        <f t="shared" si="0"/>
        <v>2009</v>
      </c>
      <c r="D4">
        <v>2023</v>
      </c>
      <c r="E4" t="str">
        <f t="shared" ref="E4:E5" si="1">CONCATENATE(C4,"-",D4," ","(",B4," Years)")</f>
        <v>2009-2023 (14 Years)</v>
      </c>
    </row>
    <row r="5" spans="1:5" x14ac:dyDescent="0.35">
      <c r="A5" t="s">
        <v>122</v>
      </c>
      <c r="B5">
        <v>6</v>
      </c>
      <c r="C5">
        <f t="shared" si="0"/>
        <v>2017</v>
      </c>
      <c r="D5">
        <v>2023</v>
      </c>
      <c r="E5" t="str">
        <f t="shared" si="1"/>
        <v>2017-2023 (6 Years)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4CCC-CC98-4195-94D0-88B30444CA34}">
  <dimension ref="A1:L52"/>
  <sheetViews>
    <sheetView showGridLines="0" showRowColHeaders="0" tabSelected="1" workbookViewId="0">
      <selection activeCell="F13" sqref="F13"/>
    </sheetView>
  </sheetViews>
  <sheetFormatPr defaultRowHeight="14.5" x14ac:dyDescent="0.35"/>
  <cols>
    <col min="1" max="1" width="20.453125" bestFit="1" customWidth="1"/>
    <col min="2" max="2" width="13.26953125" bestFit="1" customWidth="1"/>
    <col min="3" max="3" width="18.08984375" bestFit="1" customWidth="1"/>
    <col min="4" max="4" width="23.08984375" customWidth="1"/>
    <col min="5" max="5" width="12.54296875" bestFit="1" customWidth="1"/>
    <col min="6" max="6" width="14.08984375" bestFit="1" customWidth="1"/>
    <col min="7" max="7" width="15.54296875" bestFit="1" customWidth="1"/>
    <col min="8" max="8" width="18.36328125" bestFit="1" customWidth="1"/>
    <col min="10" max="10" width="9" customWidth="1"/>
    <col min="11" max="11" width="22.81640625" customWidth="1"/>
    <col min="12" max="12" width="13.7265625" customWidth="1"/>
  </cols>
  <sheetData>
    <row r="1" spans="1:12" ht="16" customHeight="1" x14ac:dyDescent="0.35">
      <c r="B1" s="31" t="s">
        <v>214</v>
      </c>
      <c r="C1" s="32"/>
      <c r="D1" s="32"/>
      <c r="E1" s="32"/>
      <c r="F1" s="32"/>
      <c r="G1" s="33"/>
      <c r="J1" s="37" t="s">
        <v>215</v>
      </c>
      <c r="K1" s="32"/>
      <c r="L1" s="33"/>
    </row>
    <row r="2" spans="1:12" ht="35" customHeight="1" thickBot="1" x14ac:dyDescent="0.4">
      <c r="B2" s="34"/>
      <c r="C2" s="35"/>
      <c r="D2" s="35"/>
      <c r="E2" s="35"/>
      <c r="F2" s="35"/>
      <c r="G2" s="36"/>
      <c r="J2" s="34"/>
      <c r="K2" s="35"/>
      <c r="L2" s="36"/>
    </row>
    <row r="3" spans="1:12" ht="15" thickBot="1" x14ac:dyDescent="0.4"/>
    <row r="4" spans="1:12" ht="15" thickBot="1" x14ac:dyDescent="0.4">
      <c r="A4" s="26" t="s">
        <v>0</v>
      </c>
      <c r="B4" s="25" t="s">
        <v>2</v>
      </c>
      <c r="C4" s="17" t="s">
        <v>3</v>
      </c>
      <c r="D4" s="17" t="s">
        <v>184</v>
      </c>
      <c r="E4" s="17" t="s">
        <v>177</v>
      </c>
      <c r="F4" s="17" t="s">
        <v>178</v>
      </c>
      <c r="G4" s="17" t="s">
        <v>179</v>
      </c>
      <c r="H4" s="18" t="s">
        <v>199</v>
      </c>
      <c r="J4" s="26" t="s">
        <v>130</v>
      </c>
      <c r="K4" s="25" t="s">
        <v>211</v>
      </c>
      <c r="L4" s="18" t="s">
        <v>212</v>
      </c>
    </row>
    <row r="5" spans="1:12" x14ac:dyDescent="0.35">
      <c r="A5" s="14" t="s">
        <v>28</v>
      </c>
      <c r="B5" s="11" t="s">
        <v>172</v>
      </c>
      <c r="C5" s="12" t="s">
        <v>31</v>
      </c>
      <c r="D5" s="12">
        <v>51.1</v>
      </c>
      <c r="E5" s="19">
        <v>1.14552173913043</v>
      </c>
      <c r="F5" s="19">
        <v>-2267.3128115942027</v>
      </c>
      <c r="G5" s="19">
        <v>59.118652173913048</v>
      </c>
      <c r="H5" s="13" t="s">
        <v>181</v>
      </c>
      <c r="J5" s="27" t="s">
        <v>32</v>
      </c>
      <c r="K5" s="11" t="s">
        <v>209</v>
      </c>
      <c r="L5" s="28" t="s">
        <v>213</v>
      </c>
    </row>
    <row r="6" spans="1:12" x14ac:dyDescent="0.35">
      <c r="A6" s="15" t="s">
        <v>32</v>
      </c>
      <c r="B6" s="9" t="s">
        <v>174</v>
      </c>
      <c r="C6" s="5" t="s">
        <v>34</v>
      </c>
      <c r="D6" s="5">
        <v>11.6</v>
      </c>
      <c r="E6" s="20">
        <v>0.39721739130434786</v>
      </c>
      <c r="F6" s="20">
        <v>-792.56944927536244</v>
      </c>
      <c r="G6" s="20">
        <v>14.380521739130435</v>
      </c>
      <c r="H6" s="6" t="s">
        <v>181</v>
      </c>
      <c r="J6" s="15" t="s">
        <v>57</v>
      </c>
      <c r="K6" s="9" t="s">
        <v>210</v>
      </c>
      <c r="L6" s="29" t="s">
        <v>213</v>
      </c>
    </row>
    <row r="7" spans="1:12" x14ac:dyDescent="0.35">
      <c r="A7" s="15" t="s">
        <v>35</v>
      </c>
      <c r="B7" s="9" t="s">
        <v>175</v>
      </c>
      <c r="C7" s="5" t="s">
        <v>31</v>
      </c>
      <c r="D7" s="5">
        <v>57</v>
      </c>
      <c r="E7" s="20">
        <v>1.1962608695652173</v>
      </c>
      <c r="F7" s="20">
        <v>-2372.4370724637679</v>
      </c>
      <c r="G7" s="20">
        <v>65.373826086956527</v>
      </c>
      <c r="H7" s="6" t="s">
        <v>181</v>
      </c>
      <c r="J7" s="15" t="s">
        <v>75</v>
      </c>
      <c r="K7" s="9" t="s">
        <v>209</v>
      </c>
      <c r="L7" s="29" t="s">
        <v>213</v>
      </c>
    </row>
    <row r="8" spans="1:12" ht="15" thickBot="1" x14ac:dyDescent="0.4">
      <c r="A8" s="15" t="s">
        <v>37</v>
      </c>
      <c r="B8" s="9" t="s">
        <v>175</v>
      </c>
      <c r="C8" s="5" t="s">
        <v>34</v>
      </c>
      <c r="D8" s="5">
        <v>21.7</v>
      </c>
      <c r="E8" s="20">
        <v>0.48117391304347829</v>
      </c>
      <c r="F8" s="20">
        <v>-953.36049275362325</v>
      </c>
      <c r="G8" s="20">
        <v>25.068217391304348</v>
      </c>
      <c r="H8" s="6" t="s">
        <v>181</v>
      </c>
      <c r="J8" s="16" t="s">
        <v>122</v>
      </c>
      <c r="K8" s="10" t="s">
        <v>210</v>
      </c>
      <c r="L8" s="30" t="s">
        <v>213</v>
      </c>
    </row>
    <row r="9" spans="1:12" x14ac:dyDescent="0.35">
      <c r="A9" s="15" t="s">
        <v>39</v>
      </c>
      <c r="B9" s="9" t="s">
        <v>176</v>
      </c>
      <c r="C9" s="5" t="s">
        <v>41</v>
      </c>
      <c r="D9" s="5">
        <v>76</v>
      </c>
      <c r="E9" s="20">
        <v>2.3528695652173917</v>
      </c>
      <c r="F9" s="20">
        <v>-4680.1971304347826</v>
      </c>
      <c r="G9" s="20">
        <v>92.47008695652174</v>
      </c>
      <c r="H9" s="6" t="s">
        <v>182</v>
      </c>
    </row>
    <row r="10" spans="1:12" x14ac:dyDescent="0.35">
      <c r="A10" s="15" t="s">
        <v>42</v>
      </c>
      <c r="B10" s="9" t="s">
        <v>172</v>
      </c>
      <c r="C10" s="5" t="s">
        <v>34</v>
      </c>
      <c r="D10" s="5">
        <v>17.600000000000001</v>
      </c>
      <c r="E10" s="20">
        <v>0.51360869565217393</v>
      </c>
      <c r="F10" s="20">
        <v>-1022.2863913043478</v>
      </c>
      <c r="G10" s="20">
        <v>21.195260869565217</v>
      </c>
      <c r="H10" s="6" t="s">
        <v>181</v>
      </c>
    </row>
    <row r="11" spans="1:12" x14ac:dyDescent="0.35">
      <c r="A11" s="15" t="s">
        <v>44</v>
      </c>
      <c r="B11" s="9" t="s">
        <v>172</v>
      </c>
      <c r="C11" s="5" t="s">
        <v>31</v>
      </c>
      <c r="D11" s="5">
        <v>72</v>
      </c>
      <c r="E11" s="20">
        <v>1.1878695652173914</v>
      </c>
      <c r="F11" s="20">
        <v>-2334.3037971014496</v>
      </c>
      <c r="G11" s="20">
        <v>80.315086956521739</v>
      </c>
      <c r="H11" s="6" t="s">
        <v>182</v>
      </c>
    </row>
    <row r="12" spans="1:12" x14ac:dyDescent="0.35">
      <c r="A12" s="15" t="s">
        <v>46</v>
      </c>
      <c r="B12" s="9" t="s">
        <v>174</v>
      </c>
      <c r="C12" s="5" t="s">
        <v>31</v>
      </c>
      <c r="D12" s="5">
        <v>89.8</v>
      </c>
      <c r="E12" s="20">
        <v>2.2559999999999998</v>
      </c>
      <c r="F12" s="20">
        <v>-4471.4606666666659</v>
      </c>
      <c r="G12" s="20">
        <v>100</v>
      </c>
      <c r="H12" s="6" t="s">
        <v>183</v>
      </c>
    </row>
    <row r="13" spans="1:12" x14ac:dyDescent="0.35">
      <c r="A13" s="15" t="s">
        <v>48</v>
      </c>
      <c r="B13" s="9" t="s">
        <v>175</v>
      </c>
      <c r="C13" s="5" t="s">
        <v>41</v>
      </c>
      <c r="D13" s="5">
        <v>98.6</v>
      </c>
      <c r="E13" s="20">
        <v>1.7963043478260869</v>
      </c>
      <c r="F13" s="20">
        <v>-3533.9120289855073</v>
      </c>
      <c r="G13" s="20">
        <v>100</v>
      </c>
      <c r="H13" s="6" t="s">
        <v>183</v>
      </c>
    </row>
    <row r="14" spans="1:12" x14ac:dyDescent="0.35">
      <c r="A14" s="15" t="s">
        <v>50</v>
      </c>
      <c r="B14" s="9" t="s">
        <v>174</v>
      </c>
      <c r="C14" s="5" t="s">
        <v>31</v>
      </c>
      <c r="D14" s="5">
        <v>65.2</v>
      </c>
      <c r="E14" s="20">
        <v>0.48734782608695654</v>
      </c>
      <c r="F14" s="20">
        <v>-921.39598550724634</v>
      </c>
      <c r="G14" s="20">
        <v>68.611434782608697</v>
      </c>
      <c r="H14" s="6" t="s">
        <v>181</v>
      </c>
    </row>
    <row r="15" spans="1:12" x14ac:dyDescent="0.35">
      <c r="A15" s="15" t="s">
        <v>53</v>
      </c>
      <c r="B15" s="9" t="s">
        <v>173</v>
      </c>
      <c r="C15" s="5" t="s">
        <v>41</v>
      </c>
      <c r="D15" s="5">
        <v>100</v>
      </c>
      <c r="E15" s="20">
        <v>6.460869565217417E-2</v>
      </c>
      <c r="F15" s="20">
        <v>-30.827057971015009</v>
      </c>
      <c r="G15" s="20">
        <v>100</v>
      </c>
      <c r="H15" s="6" t="s">
        <v>183</v>
      </c>
    </row>
    <row r="16" spans="1:12" x14ac:dyDescent="0.35">
      <c r="A16" s="15" t="s">
        <v>55</v>
      </c>
      <c r="B16" s="9" t="s">
        <v>174</v>
      </c>
      <c r="C16" s="5" t="s">
        <v>34</v>
      </c>
      <c r="D16" s="5">
        <v>54.4</v>
      </c>
      <c r="E16" s="20">
        <v>1.1036521739130436</v>
      </c>
      <c r="F16" s="20">
        <v>-2178.1380144927539</v>
      </c>
      <c r="G16" s="20">
        <v>62.125565217391305</v>
      </c>
      <c r="H16" s="6" t="s">
        <v>181</v>
      </c>
    </row>
    <row r="17" spans="1:8" x14ac:dyDescent="0.35">
      <c r="A17" s="15" t="s">
        <v>57</v>
      </c>
      <c r="B17" s="9" t="s">
        <v>174</v>
      </c>
      <c r="C17" s="5" t="s">
        <v>34</v>
      </c>
      <c r="D17" s="5">
        <v>55.4</v>
      </c>
      <c r="E17" s="20">
        <v>2.1048260869565221</v>
      </c>
      <c r="F17" s="20">
        <v>-4203.7451739130438</v>
      </c>
      <c r="G17" s="20">
        <v>70.133782608695654</v>
      </c>
      <c r="H17" s="6" t="s">
        <v>181</v>
      </c>
    </row>
    <row r="18" spans="1:8" x14ac:dyDescent="0.35">
      <c r="A18" s="15" t="s">
        <v>59</v>
      </c>
      <c r="B18" s="9" t="s">
        <v>172</v>
      </c>
      <c r="C18" s="5" t="s">
        <v>41</v>
      </c>
      <c r="D18" s="5">
        <v>94.1</v>
      </c>
      <c r="E18" s="20">
        <v>0.75673913043478236</v>
      </c>
      <c r="F18" s="20">
        <v>-1436.8765942028981</v>
      </c>
      <c r="G18" s="20">
        <v>99.397173913043474</v>
      </c>
      <c r="H18" s="6" t="s">
        <v>183</v>
      </c>
    </row>
    <row r="19" spans="1:8" x14ac:dyDescent="0.35">
      <c r="A19" s="15" t="s">
        <v>61</v>
      </c>
      <c r="B19" s="9" t="s">
        <v>175</v>
      </c>
      <c r="C19" s="5" t="s">
        <v>31</v>
      </c>
      <c r="D19" s="5">
        <v>89.5</v>
      </c>
      <c r="E19" s="20">
        <v>2.1463478260869562</v>
      </c>
      <c r="F19" s="20">
        <v>-4251.3119855072455</v>
      </c>
      <c r="G19" s="20">
        <v>100</v>
      </c>
      <c r="H19" s="6" t="s">
        <v>183</v>
      </c>
    </row>
    <row r="20" spans="1:8" x14ac:dyDescent="0.35">
      <c r="A20" s="15" t="s">
        <v>63</v>
      </c>
      <c r="B20" s="9" t="s">
        <v>175</v>
      </c>
      <c r="C20" s="5" t="s">
        <v>31</v>
      </c>
      <c r="D20" s="5">
        <v>51.1</v>
      </c>
      <c r="E20" s="20">
        <v>1.5041739130434779</v>
      </c>
      <c r="F20" s="20">
        <v>-2994.8791594202889</v>
      </c>
      <c r="G20" s="20">
        <v>61.629217391304351</v>
      </c>
      <c r="H20" s="6" t="s">
        <v>181</v>
      </c>
    </row>
    <row r="21" spans="1:8" x14ac:dyDescent="0.35">
      <c r="A21" s="15" t="s">
        <v>65</v>
      </c>
      <c r="B21" s="9" t="s">
        <v>175</v>
      </c>
      <c r="C21" s="5" t="s">
        <v>34</v>
      </c>
      <c r="D21" s="5">
        <v>40.5</v>
      </c>
      <c r="E21" s="20">
        <v>0.51356521739130423</v>
      </c>
      <c r="F21" s="20">
        <v>-1011.2697681159418</v>
      </c>
      <c r="G21" s="20">
        <v>68.494956521739141</v>
      </c>
      <c r="H21" s="6" t="s">
        <v>181</v>
      </c>
    </row>
    <row r="22" spans="1:8" x14ac:dyDescent="0.35">
      <c r="A22" s="15" t="s">
        <v>67</v>
      </c>
      <c r="B22" s="9" t="s">
        <v>172</v>
      </c>
      <c r="C22" s="5" t="s">
        <v>41</v>
      </c>
      <c r="D22" s="5">
        <v>66.900000000000006</v>
      </c>
      <c r="E22" s="20">
        <v>0.10286956521739123</v>
      </c>
      <c r="F22" s="20">
        <v>-141.12213043478243</v>
      </c>
      <c r="G22" s="20">
        <v>67.620086956521746</v>
      </c>
      <c r="H22" s="6" t="s">
        <v>181</v>
      </c>
    </row>
    <row r="23" spans="1:8" x14ac:dyDescent="0.35">
      <c r="A23" s="15" t="s">
        <v>69</v>
      </c>
      <c r="B23" s="9" t="s">
        <v>174</v>
      </c>
      <c r="C23" s="5" t="s">
        <v>31</v>
      </c>
      <c r="D23" s="5">
        <v>76.2</v>
      </c>
      <c r="E23" s="20">
        <v>2.8777391304347826</v>
      </c>
      <c r="F23" s="20">
        <v>-5748.0139275362317</v>
      </c>
      <c r="G23" s="20">
        <v>96.344173913043477</v>
      </c>
      <c r="H23" s="6" t="s">
        <v>183</v>
      </c>
    </row>
    <row r="24" spans="1:8" x14ac:dyDescent="0.35">
      <c r="A24" s="15" t="s">
        <v>71</v>
      </c>
      <c r="B24" s="9" t="s">
        <v>175</v>
      </c>
      <c r="C24" s="5" t="s">
        <v>34</v>
      </c>
      <c r="D24" s="5">
        <v>32.5</v>
      </c>
      <c r="E24" s="20">
        <v>-3.3059565217391302</v>
      </c>
      <c r="F24" s="20">
        <v>6688.4523768115932</v>
      </c>
      <c r="G24" s="20">
        <v>65.258304347826098</v>
      </c>
      <c r="H24" s="6" t="s">
        <v>181</v>
      </c>
    </row>
    <row r="25" spans="1:8" x14ac:dyDescent="0.35">
      <c r="A25" s="15" t="s">
        <v>73</v>
      </c>
      <c r="B25" s="9" t="s">
        <v>173</v>
      </c>
      <c r="C25" s="5" t="s">
        <v>41</v>
      </c>
      <c r="D25" s="5">
        <v>73.2</v>
      </c>
      <c r="E25" s="20">
        <v>-1.3797826086956522</v>
      </c>
      <c r="F25" s="20">
        <v>2856.2452173913043</v>
      </c>
      <c r="G25" s="20">
        <v>63.541521739130438</v>
      </c>
      <c r="H25" s="6" t="s">
        <v>181</v>
      </c>
    </row>
    <row r="26" spans="1:8" x14ac:dyDescent="0.35">
      <c r="A26" s="15" t="s">
        <v>75</v>
      </c>
      <c r="B26" s="9" t="s">
        <v>176</v>
      </c>
      <c r="C26" s="5" t="s">
        <v>31</v>
      </c>
      <c r="D26" s="5">
        <v>57.3</v>
      </c>
      <c r="E26" s="20">
        <v>2.4133913043478259</v>
      </c>
      <c r="F26" s="20">
        <v>-4829.5532753623183</v>
      </c>
      <c r="G26" s="20">
        <v>74.193739130434778</v>
      </c>
      <c r="H26" s="6" t="s">
        <v>181</v>
      </c>
    </row>
    <row r="27" spans="1:8" x14ac:dyDescent="0.35">
      <c r="A27" s="15" t="s">
        <v>77</v>
      </c>
      <c r="B27" s="9" t="s">
        <v>173</v>
      </c>
      <c r="C27" s="5" t="s">
        <v>31</v>
      </c>
      <c r="D27" s="5">
        <v>100</v>
      </c>
      <c r="E27" s="20">
        <v>1.3605217391304349</v>
      </c>
      <c r="F27" s="20">
        <v>-2646.2394782608699</v>
      </c>
      <c r="G27" s="20">
        <v>100</v>
      </c>
      <c r="H27" s="6" t="s">
        <v>183</v>
      </c>
    </row>
    <row r="28" spans="1:8" x14ac:dyDescent="0.35">
      <c r="A28" s="15" t="s">
        <v>79</v>
      </c>
      <c r="B28" s="9" t="s">
        <v>174</v>
      </c>
      <c r="C28" s="5" t="s">
        <v>34</v>
      </c>
      <c r="D28" s="5">
        <v>39.4</v>
      </c>
      <c r="E28" s="20">
        <v>1.0291739130434783</v>
      </c>
      <c r="F28" s="20">
        <v>-2048.30415942029</v>
      </c>
      <c r="G28" s="20">
        <v>46.604217391304346</v>
      </c>
      <c r="H28" s="6" t="s">
        <v>181</v>
      </c>
    </row>
    <row r="29" spans="1:8" x14ac:dyDescent="0.35">
      <c r="A29" s="15" t="s">
        <v>81</v>
      </c>
      <c r="B29" s="9" t="s">
        <v>175</v>
      </c>
      <c r="C29" s="5" t="s">
        <v>34</v>
      </c>
      <c r="D29" s="5">
        <v>54.5</v>
      </c>
      <c r="E29" s="20">
        <v>2.0486521739130432</v>
      </c>
      <c r="F29" s="20">
        <v>-4090.118014492753</v>
      </c>
      <c r="G29" s="20">
        <v>68.840565217391301</v>
      </c>
      <c r="H29" s="6" t="s">
        <v>181</v>
      </c>
    </row>
    <row r="30" spans="1:8" x14ac:dyDescent="0.35">
      <c r="A30" s="15" t="s">
        <v>83</v>
      </c>
      <c r="B30" s="9" t="s">
        <v>174</v>
      </c>
      <c r="C30" s="5" t="s">
        <v>34</v>
      </c>
      <c r="D30" s="5">
        <v>36</v>
      </c>
      <c r="E30" s="20">
        <v>1.306217391304348</v>
      </c>
      <c r="F30" s="20">
        <v>-2607.5021159420289</v>
      </c>
      <c r="G30" s="20">
        <v>45.143521739130435</v>
      </c>
      <c r="H30" s="6" t="s">
        <v>181</v>
      </c>
    </row>
    <row r="31" spans="1:8" x14ac:dyDescent="0.35">
      <c r="A31" s="15" t="s">
        <v>85</v>
      </c>
      <c r="B31" s="9" t="s">
        <v>173</v>
      </c>
      <c r="C31" s="5" t="s">
        <v>31</v>
      </c>
      <c r="D31" s="5">
        <v>50.3</v>
      </c>
      <c r="E31" s="20">
        <v>1.3736521739130436</v>
      </c>
      <c r="F31" s="20">
        <v>-2728.2513478260871</v>
      </c>
      <c r="G31" s="20">
        <v>59.915565217391304</v>
      </c>
      <c r="H31" s="6" t="s">
        <v>181</v>
      </c>
    </row>
    <row r="32" spans="1:8" x14ac:dyDescent="0.35">
      <c r="A32" s="15" t="s">
        <v>87</v>
      </c>
      <c r="B32" s="9" t="s">
        <v>174</v>
      </c>
      <c r="C32" s="5" t="s">
        <v>41</v>
      </c>
      <c r="D32" s="5">
        <v>100</v>
      </c>
      <c r="E32" s="20">
        <v>4.1391304347825966E-2</v>
      </c>
      <c r="F32" s="20">
        <v>16.149724637681388</v>
      </c>
      <c r="G32" s="20">
        <v>100</v>
      </c>
      <c r="H32" s="6" t="s">
        <v>183</v>
      </c>
    </row>
    <row r="33" spans="1:8" x14ac:dyDescent="0.35">
      <c r="A33" s="15" t="s">
        <v>89</v>
      </c>
      <c r="B33" s="9" t="s">
        <v>174</v>
      </c>
      <c r="C33" s="5" t="s">
        <v>34</v>
      </c>
      <c r="D33" s="5">
        <v>15.6</v>
      </c>
      <c r="E33" s="20">
        <v>0.46543478260869564</v>
      </c>
      <c r="F33" s="20">
        <v>-926.80123188405798</v>
      </c>
      <c r="G33" s="20">
        <v>18.858043478260868</v>
      </c>
      <c r="H33" s="6" t="s">
        <v>181</v>
      </c>
    </row>
    <row r="34" spans="1:8" x14ac:dyDescent="0.35">
      <c r="A34" s="15" t="s">
        <v>91</v>
      </c>
      <c r="B34" s="9" t="s">
        <v>176</v>
      </c>
      <c r="C34" s="5" t="s">
        <v>31</v>
      </c>
      <c r="D34" s="5">
        <v>56.7</v>
      </c>
      <c r="E34" s="20">
        <v>0.93569565217391304</v>
      </c>
      <c r="F34" s="20">
        <v>-1836.1143043478262</v>
      </c>
      <c r="G34" s="20">
        <v>63.249869565217395</v>
      </c>
      <c r="H34" s="6" t="s">
        <v>181</v>
      </c>
    </row>
    <row r="35" spans="1:8" x14ac:dyDescent="0.35">
      <c r="A35" s="15" t="s">
        <v>93</v>
      </c>
      <c r="B35" s="9" t="s">
        <v>175</v>
      </c>
      <c r="C35" s="5" t="s">
        <v>34</v>
      </c>
      <c r="D35" s="5">
        <v>20.100000000000001</v>
      </c>
      <c r="E35" s="20">
        <v>0.59104347826086956</v>
      </c>
      <c r="F35" s="20">
        <v>-1175.058956521739</v>
      </c>
      <c r="G35" s="20">
        <v>24.23730434782609</v>
      </c>
      <c r="H35" s="6" t="s">
        <v>181</v>
      </c>
    </row>
    <row r="36" spans="1:8" x14ac:dyDescent="0.35">
      <c r="A36" s="15" t="s">
        <v>95</v>
      </c>
      <c r="B36" s="9" t="s">
        <v>175</v>
      </c>
      <c r="C36" s="5" t="s">
        <v>31</v>
      </c>
      <c r="D36" s="5">
        <v>61.2</v>
      </c>
      <c r="E36" s="20">
        <v>0.68678260869565211</v>
      </c>
      <c r="F36" s="20">
        <v>-1329.1215507246375</v>
      </c>
      <c r="G36" s="20">
        <v>66.007478260869561</v>
      </c>
      <c r="H36" s="6" t="s">
        <v>181</v>
      </c>
    </row>
    <row r="37" spans="1:8" x14ac:dyDescent="0.35">
      <c r="A37" s="15" t="s">
        <v>97</v>
      </c>
      <c r="B37" s="9" t="s">
        <v>174</v>
      </c>
      <c r="C37" s="5" t="s">
        <v>34</v>
      </c>
      <c r="D37" s="5">
        <v>63.9</v>
      </c>
      <c r="E37" s="20">
        <v>2.3069130434782608</v>
      </c>
      <c r="F37" s="20">
        <v>-4618.0264202898552</v>
      </c>
      <c r="G37" s="20">
        <v>80.048391304347831</v>
      </c>
      <c r="H37" s="6" t="s">
        <v>182</v>
      </c>
    </row>
    <row r="38" spans="1:8" x14ac:dyDescent="0.35">
      <c r="A38" s="15" t="s">
        <v>99</v>
      </c>
      <c r="B38" s="9" t="s">
        <v>173</v>
      </c>
      <c r="C38" s="5" t="s">
        <v>34</v>
      </c>
      <c r="D38" s="5">
        <v>66</v>
      </c>
      <c r="E38" s="20">
        <v>1.8550869565217394</v>
      </c>
      <c r="F38" s="20">
        <v>-3689.7699130434785</v>
      </c>
      <c r="G38" s="20">
        <v>78.985608695652175</v>
      </c>
      <c r="H38" s="6" t="s">
        <v>181</v>
      </c>
    </row>
    <row r="39" spans="1:8" x14ac:dyDescent="0.35">
      <c r="A39" s="15" t="s">
        <v>101</v>
      </c>
      <c r="B39" s="9" t="s">
        <v>175</v>
      </c>
      <c r="C39" s="5" t="s">
        <v>31</v>
      </c>
      <c r="D39" s="5">
        <v>74.2</v>
      </c>
      <c r="E39" s="20">
        <v>1.5494782608695652</v>
      </c>
      <c r="F39" s="20">
        <v>-3061.5505217391305</v>
      </c>
      <c r="G39" s="20">
        <v>85.046347826086958</v>
      </c>
      <c r="H39" s="6" t="s">
        <v>182</v>
      </c>
    </row>
    <row r="40" spans="1:8" x14ac:dyDescent="0.35">
      <c r="A40" s="15" t="s">
        <v>103</v>
      </c>
      <c r="B40" s="9" t="s">
        <v>175</v>
      </c>
      <c r="C40" s="5" t="s">
        <v>34</v>
      </c>
      <c r="D40" s="5">
        <v>35.5</v>
      </c>
      <c r="E40" s="20">
        <v>0.9816521739130436</v>
      </c>
      <c r="F40" s="20">
        <v>-1957.0350144927538</v>
      </c>
      <c r="G40" s="20">
        <v>42.371565217391307</v>
      </c>
      <c r="H40" s="6" t="s">
        <v>181</v>
      </c>
    </row>
    <row r="41" spans="1:8" x14ac:dyDescent="0.35">
      <c r="A41" s="15" t="s">
        <v>105</v>
      </c>
      <c r="B41" s="9" t="s">
        <v>174</v>
      </c>
      <c r="C41" s="5" t="s">
        <v>34</v>
      </c>
      <c r="D41" s="5">
        <v>5.4</v>
      </c>
      <c r="E41" s="20">
        <v>-2.3907391304347825</v>
      </c>
      <c r="F41" s="20">
        <v>4827.925927536231</v>
      </c>
      <c r="G41" s="20">
        <v>40.164826086956523</v>
      </c>
      <c r="H41" s="6" t="s">
        <v>181</v>
      </c>
    </row>
    <row r="42" spans="1:8" x14ac:dyDescent="0.35">
      <c r="A42" s="15" t="s">
        <v>107</v>
      </c>
      <c r="B42" s="9" t="s">
        <v>172</v>
      </c>
      <c r="C42" s="5" t="s">
        <v>31</v>
      </c>
      <c r="D42" s="5">
        <v>81.3</v>
      </c>
      <c r="E42" s="20">
        <v>1.3120434782608694</v>
      </c>
      <c r="F42" s="20">
        <v>-2575.0462898550722</v>
      </c>
      <c r="G42" s="20">
        <v>90.484304347826082</v>
      </c>
      <c r="H42" s="6" t="s">
        <v>182</v>
      </c>
    </row>
    <row r="43" spans="1:8" x14ac:dyDescent="0.35">
      <c r="A43" s="15" t="s">
        <v>109</v>
      </c>
      <c r="B43" s="9" t="s">
        <v>176</v>
      </c>
      <c r="C43" s="5" t="s">
        <v>31</v>
      </c>
      <c r="D43" s="5">
        <v>86.4</v>
      </c>
      <c r="E43" s="20">
        <v>2.9534347826086953</v>
      </c>
      <c r="F43" s="20">
        <v>-5887.4632318840568</v>
      </c>
      <c r="G43" s="20">
        <v>100</v>
      </c>
      <c r="H43" s="6" t="s">
        <v>183</v>
      </c>
    </row>
    <row r="44" spans="1:8" x14ac:dyDescent="0.35">
      <c r="A44" s="15" t="s">
        <v>111</v>
      </c>
      <c r="B44" s="9" t="s">
        <v>174</v>
      </c>
      <c r="C44" s="5" t="s">
        <v>113</v>
      </c>
      <c r="D44" s="5">
        <v>100</v>
      </c>
      <c r="E44" s="20">
        <v>0.27582608695652167</v>
      </c>
      <c r="F44" s="20">
        <v>-456.90750724637661</v>
      </c>
      <c r="G44" s="20">
        <v>100</v>
      </c>
      <c r="H44" s="6" t="s">
        <v>183</v>
      </c>
    </row>
    <row r="45" spans="1:8" x14ac:dyDescent="0.35">
      <c r="A45" s="15" t="s">
        <v>114</v>
      </c>
      <c r="B45" s="9" t="s">
        <v>172</v>
      </c>
      <c r="C45" s="5" t="s">
        <v>34</v>
      </c>
      <c r="D45" s="5">
        <v>12</v>
      </c>
      <c r="E45" s="20">
        <v>0.3928695652173913</v>
      </c>
      <c r="F45" s="20">
        <v>-782.865463768116</v>
      </c>
      <c r="G45" s="20">
        <v>14.75008695652174</v>
      </c>
      <c r="H45" s="6" t="s">
        <v>181</v>
      </c>
    </row>
    <row r="46" spans="1:8" x14ac:dyDescent="0.35">
      <c r="A46" s="15" t="s">
        <v>116</v>
      </c>
      <c r="B46" s="9" t="s">
        <v>175</v>
      </c>
      <c r="C46" s="5" t="s">
        <v>34</v>
      </c>
      <c r="D46" s="5">
        <v>59.2</v>
      </c>
      <c r="E46" s="20">
        <v>1.8330869565217389</v>
      </c>
      <c r="F46" s="20">
        <v>-3648.916913043478</v>
      </c>
      <c r="G46" s="20">
        <v>72.031608695652181</v>
      </c>
      <c r="H46" s="6" t="s">
        <v>181</v>
      </c>
    </row>
    <row r="47" spans="1:8" x14ac:dyDescent="0.35">
      <c r="A47" s="15" t="s">
        <v>118</v>
      </c>
      <c r="B47" s="9" t="s">
        <v>173</v>
      </c>
      <c r="C47" s="5" t="s">
        <v>31</v>
      </c>
      <c r="D47" s="5">
        <v>100</v>
      </c>
      <c r="E47" s="20">
        <v>0.12265217391304352</v>
      </c>
      <c r="F47" s="20">
        <v>-147.47734782608705</v>
      </c>
      <c r="G47" s="20">
        <v>100</v>
      </c>
      <c r="H47" s="6" t="s">
        <v>183</v>
      </c>
    </row>
    <row r="48" spans="1:8" x14ac:dyDescent="0.35">
      <c r="A48" s="15" t="s">
        <v>120</v>
      </c>
      <c r="B48" s="9" t="s">
        <v>174</v>
      </c>
      <c r="C48" s="5" t="s">
        <v>31</v>
      </c>
      <c r="D48" s="5">
        <v>48.3</v>
      </c>
      <c r="E48" s="20">
        <v>1.7160434782608698</v>
      </c>
      <c r="F48" s="20">
        <v>-3429.175623188406</v>
      </c>
      <c r="G48" s="20">
        <v>60.312304347826085</v>
      </c>
      <c r="H48" s="6" t="s">
        <v>181</v>
      </c>
    </row>
    <row r="49" spans="1:8" x14ac:dyDescent="0.35">
      <c r="A49" s="15" t="s">
        <v>122</v>
      </c>
      <c r="B49" s="9" t="s">
        <v>174</v>
      </c>
      <c r="C49" s="5" t="s">
        <v>34</v>
      </c>
      <c r="D49" s="5">
        <v>51.5</v>
      </c>
      <c r="E49" s="20">
        <v>1.9091739130434784</v>
      </c>
      <c r="F49" s="20">
        <v>-3818.1074927536238</v>
      </c>
      <c r="G49" s="20">
        <v>64.864217391304351</v>
      </c>
      <c r="H49" s="6" t="s">
        <v>181</v>
      </c>
    </row>
    <row r="50" spans="1:8" x14ac:dyDescent="0.35">
      <c r="A50" s="15" t="s">
        <v>124</v>
      </c>
      <c r="B50" s="9" t="s">
        <v>176</v>
      </c>
      <c r="C50" s="5" t="s">
        <v>41</v>
      </c>
      <c r="D50" s="5">
        <v>87.7</v>
      </c>
      <c r="E50" s="20">
        <v>0.5859130434782609</v>
      </c>
      <c r="F50" s="20">
        <v>-1095.8057536231884</v>
      </c>
      <c r="G50" s="20">
        <v>91.801391304347831</v>
      </c>
      <c r="H50" s="6" t="s">
        <v>182</v>
      </c>
    </row>
    <row r="51" spans="1:8" x14ac:dyDescent="0.35">
      <c r="A51" s="15" t="s">
        <v>126</v>
      </c>
      <c r="B51" s="9" t="s">
        <v>174</v>
      </c>
      <c r="C51" s="5" t="s">
        <v>31</v>
      </c>
      <c r="D51" s="5">
        <v>51.1</v>
      </c>
      <c r="E51" s="20">
        <v>1.4483478260869564</v>
      </c>
      <c r="F51" s="20">
        <v>-2882.976652173913</v>
      </c>
      <c r="G51" s="20">
        <v>61.238434782608692</v>
      </c>
      <c r="H51" s="6" t="s">
        <v>181</v>
      </c>
    </row>
    <row r="52" spans="1:8" ht="15" thickBot="1" x14ac:dyDescent="0.4">
      <c r="A52" s="16" t="s">
        <v>128</v>
      </c>
      <c r="B52" s="10" t="s">
        <v>174</v>
      </c>
      <c r="C52" s="7" t="s">
        <v>31</v>
      </c>
      <c r="D52" s="7">
        <v>62</v>
      </c>
      <c r="E52" s="21">
        <v>0.82773913043478253</v>
      </c>
      <c r="F52" s="21">
        <v>-1624.0305942028983</v>
      </c>
      <c r="G52" s="21">
        <v>67.79417391304348</v>
      </c>
      <c r="H52" s="8" t="s">
        <v>181</v>
      </c>
    </row>
  </sheetData>
  <sheetProtection algorithmName="SHA-512" hashValue="ZM5m4fM1Uvj/st00oV9q1jDmiYKRjQTURehAHEazsiACOi2T2WVByoacsOA/7IC04f9+LVKGk6PWD7rXHH7+1w==" saltValue="WDYsXrjgIoHbCaRAC6OpTw==" spinCount="100000" sheet="1" objects="1" scenarios="1"/>
  <mergeCells count="2">
    <mergeCell ref="B1:G2"/>
    <mergeCell ref="J1:L2"/>
  </mergeCells>
  <conditionalFormatting sqref="G5:G52">
    <cfRule type="iconSet" priority="2">
      <iconSet iconSet="3Arrows">
        <cfvo type="percent" val="0"/>
        <cfvo type="percent" val="80"/>
        <cfvo type="percent" val="9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0E3428-EFA8-4AA2-8207-7028D3E54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Electric-Stat (2)</vt:lpstr>
      <vt:lpstr>RE-Share (2)</vt:lpstr>
      <vt:lpstr>RE-Share (3)</vt:lpstr>
      <vt:lpstr>Electricity-Access (2)</vt:lpstr>
      <vt:lpstr>_5_African_Regions</vt:lpstr>
      <vt:lpstr>4.0</vt:lpstr>
      <vt:lpstr>4.1</vt:lpstr>
      <vt:lpstr>4.2.1</vt:lpstr>
      <vt:lpstr>4.2.2</vt:lpstr>
      <vt:lpstr>4.2.3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 Di</dc:creator>
  <cp:lastModifiedBy>Yor Di</cp:lastModifiedBy>
  <dcterms:created xsi:type="dcterms:W3CDTF">2025-11-15T18:30:28Z</dcterms:created>
  <dcterms:modified xsi:type="dcterms:W3CDTF">2025-11-20T07:21:53Z</dcterms:modified>
</cp:coreProperties>
</file>