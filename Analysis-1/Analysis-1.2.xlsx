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yrdns\OneDrive\Desktop\Data Science\Projects\Excel\2nd\Electricity data\Analysis\"/>
    </mc:Choice>
  </mc:AlternateContent>
  <xr:revisionPtr revIDLastSave="0" documentId="13_ncr:1_{071E03C6-42D9-405C-A1C6-0948AE5B8C34}" xr6:coauthVersionLast="47" xr6:coauthVersionMax="47" xr10:uidLastSave="{00000000-0000-0000-0000-000000000000}"/>
  <bookViews>
    <workbookView xWindow="-110" yWindow="-110" windowWidth="19420" windowHeight="10300" tabRatio="657" firstSheet="12" activeTab="12" xr2:uid="{E298EB12-9999-4907-A917-E468B0CDE2B1}"/>
  </bookViews>
  <sheets>
    <sheet name="Electric-Stat" sheetId="4" state="hidden" r:id="rId1"/>
    <sheet name="RE-Share" sheetId="28" state="hidden" r:id="rId2"/>
    <sheet name="Electricity-Access" sheetId="2" state="hidden" r:id="rId3"/>
    <sheet name="Solar-Wind-Hydro" sheetId="17" state="hidden" r:id="rId4"/>
    <sheet name="1" sheetId="5" state="hidden" r:id="rId5"/>
    <sheet name="1.2" sheetId="10" state="hidden" r:id="rId6"/>
    <sheet name="1.3" sheetId="15" state="hidden" r:id="rId7"/>
    <sheet name="1.4" sheetId="12" state="hidden" r:id="rId8"/>
    <sheet name="1.5" sheetId="7" state="hidden" r:id="rId9"/>
    <sheet name="1.7" sheetId="21" state="hidden" r:id="rId10"/>
    <sheet name="1 8" sheetId="25" state="hidden" r:id="rId11"/>
    <sheet name="1.9" sheetId="24" state="hidden" r:id="rId12"/>
    <sheet name="Describtive-Analysis" sheetId="1" r:id="rId13"/>
  </sheets>
  <definedNames>
    <definedName name="_xlnm._FilterDatabase" localSheetId="4" hidden="1">'1'!$D$1:$E$49</definedName>
    <definedName name="_xlnm._FilterDatabase" localSheetId="11" hidden="1">'1.9'!$F$1:$G$271</definedName>
    <definedName name="_xlchart.v5.0" hidden="1">'1.9'!$H$1</definedName>
    <definedName name="_xlchart.v5.1" hidden="1">'1.9'!$H$2:$H$85</definedName>
    <definedName name="_xlchart.v5.2" hidden="1">'1.9'!$I$1</definedName>
    <definedName name="_xlchart.v5.3" hidden="1">'1.9'!$I$2:$I$85</definedName>
    <definedName name="ExternalData_1" localSheetId="5" hidden="1">'1.2'!$A$1:$D$1126</definedName>
    <definedName name="ExternalData_1" localSheetId="8" hidden="1">'1.5'!$A$1:$D$2248</definedName>
    <definedName name="ExternalData_1" localSheetId="2" hidden="1">'Electricity-Access'!$A$1:$AB$49</definedName>
    <definedName name="ExternalData_1" localSheetId="3" hidden="1">'Solar-Wind-Hydro'!$A$1:$F$271</definedName>
    <definedName name="ExternalData_2" localSheetId="10" hidden="1">'1 8'!$A$1:$C$98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7" i="7" l="1"/>
  <c r="H38" i="7"/>
  <c r="H39" i="7"/>
  <c r="H40" i="7"/>
  <c r="H41" i="7"/>
  <c r="H36" i="7"/>
  <c r="G2" i="24" a="1"/>
  <c r="G2" i="24" s="1"/>
  <c r="F2" i="24" a="1"/>
  <c r="F2" i="24" s="1"/>
  <c r="H2" i="24" l="1" a="1"/>
  <c r="H2" i="24" s="1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K34" i="7"/>
  <c r="J34" i="7"/>
  <c r="H34" i="7"/>
  <c r="C34" i="7"/>
  <c r="K33" i="7"/>
  <c r="J33" i="7"/>
  <c r="H33" i="7"/>
  <c r="C33" i="7"/>
  <c r="K32" i="7"/>
  <c r="J32" i="7"/>
  <c r="H32" i="7"/>
  <c r="C32" i="7"/>
  <c r="K31" i="7"/>
  <c r="J31" i="7"/>
  <c r="H31" i="7"/>
  <c r="C31" i="7"/>
  <c r="K30" i="7"/>
  <c r="J30" i="7"/>
  <c r="H30" i="7"/>
  <c r="C30" i="7"/>
  <c r="K29" i="7"/>
  <c r="J29" i="7"/>
  <c r="H29" i="7"/>
  <c r="C29" i="7"/>
  <c r="AJ26" i="7"/>
  <c r="AJ26" i="7" a="1"/>
  <c r="AI26" i="7"/>
  <c r="AI26" i="7" a="1"/>
  <c r="AH26" i="7"/>
  <c r="AH26" i="7" a="1"/>
  <c r="AG26" i="7"/>
  <c r="AG26" i="7" a="1"/>
  <c r="AF26" i="7"/>
  <c r="AF26" i="7" a="1"/>
  <c r="AE26" i="7"/>
  <c r="AE26" i="7" a="1"/>
  <c r="AD26" i="7"/>
  <c r="AD26" i="7" a="1"/>
  <c r="AC26" i="7"/>
  <c r="AC26" i="7" a="1"/>
  <c r="AB26" i="7"/>
  <c r="AB26" i="7" a="1"/>
  <c r="AA26" i="7"/>
  <c r="AA26" i="7" a="1"/>
  <c r="Z26" i="7"/>
  <c r="Z26" i="7" a="1"/>
  <c r="Y26" i="7"/>
  <c r="Y26" i="7" a="1"/>
  <c r="X26" i="7"/>
  <c r="X26" i="7" a="1"/>
  <c r="W26" i="7"/>
  <c r="W26" i="7" a="1"/>
  <c r="V26" i="7"/>
  <c r="V26" i="7" a="1"/>
  <c r="U26" i="7"/>
  <c r="U26" i="7" a="1"/>
  <c r="T26" i="7"/>
  <c r="T26" i="7" a="1"/>
  <c r="S26" i="7"/>
  <c r="S26" i="7" a="1"/>
  <c r="R26" i="7"/>
  <c r="R26" i="7" a="1"/>
  <c r="Q26" i="7"/>
  <c r="Q26" i="7" a="1"/>
  <c r="P26" i="7"/>
  <c r="P26" i="7" a="1"/>
  <c r="O26" i="7"/>
  <c r="O26" i="7" a="1"/>
  <c r="N26" i="7"/>
  <c r="N26" i="7" a="1"/>
  <c r="M26" i="7"/>
  <c r="M26" i="7" a="1"/>
  <c r="L26" i="7"/>
  <c r="L26" i="7" a="1"/>
  <c r="K26" i="7"/>
  <c r="K26" i="7" a="1"/>
  <c r="J26" i="7"/>
  <c r="J26" i="7" a="1"/>
  <c r="I26" i="7"/>
  <c r="I26" i="7" a="1"/>
  <c r="H26" i="7"/>
  <c r="H26" i="7" a="1"/>
  <c r="G26" i="7"/>
  <c r="G26" i="7" a="1"/>
  <c r="F26" i="7"/>
  <c r="F26" i="7" a="1"/>
  <c r="E26" i="7"/>
  <c r="E26" i="7" a="1"/>
  <c r="D26" i="7"/>
  <c r="D26" i="7" a="1"/>
  <c r="C26" i="7"/>
  <c r="C26" i="7" a="1"/>
  <c r="B26" i="7"/>
  <c r="B26" i="7" a="1"/>
  <c r="AJ25" i="7"/>
  <c r="AJ25" i="7" a="1"/>
  <c r="AI25" i="7"/>
  <c r="AI25" i="7" a="1"/>
  <c r="AH25" i="7"/>
  <c r="AH25" i="7" a="1"/>
  <c r="AG25" i="7"/>
  <c r="AG25" i="7" a="1"/>
  <c r="AF25" i="7"/>
  <c r="AF25" i="7" a="1"/>
  <c r="AE25" i="7"/>
  <c r="AE25" i="7" a="1"/>
  <c r="AD25" i="7"/>
  <c r="AD25" i="7" a="1"/>
  <c r="AC25" i="7"/>
  <c r="AC25" i="7" a="1"/>
  <c r="AB25" i="7"/>
  <c r="AB25" i="7" a="1"/>
  <c r="AA25" i="7"/>
  <c r="AA25" i="7" a="1"/>
  <c r="Z25" i="7"/>
  <c r="Z25" i="7" a="1"/>
  <c r="Y25" i="7"/>
  <c r="Y25" i="7" a="1"/>
  <c r="X25" i="7"/>
  <c r="X25" i="7" a="1"/>
  <c r="W25" i="7"/>
  <c r="W25" i="7" a="1"/>
  <c r="V25" i="7"/>
  <c r="V25" i="7" a="1"/>
  <c r="U25" i="7"/>
  <c r="U25" i="7" a="1"/>
  <c r="T25" i="7"/>
  <c r="T25" i="7" a="1"/>
  <c r="S25" i="7"/>
  <c r="S25" i="7" a="1"/>
  <c r="R25" i="7"/>
  <c r="R25" i="7" a="1"/>
  <c r="Q25" i="7"/>
  <c r="Q25" i="7" a="1"/>
  <c r="P25" i="7"/>
  <c r="P25" i="7" a="1"/>
  <c r="O25" i="7"/>
  <c r="O25" i="7" a="1"/>
  <c r="N25" i="7"/>
  <c r="N25" i="7" a="1"/>
  <c r="M25" i="7"/>
  <c r="M25" i="7" a="1"/>
  <c r="L25" i="7"/>
  <c r="L25" i="7" a="1"/>
  <c r="K25" i="7"/>
  <c r="K25" i="7" a="1"/>
  <c r="J25" i="7"/>
  <c r="J25" i="7" a="1"/>
  <c r="I25" i="7"/>
  <c r="I25" i="7" a="1"/>
  <c r="H25" i="7"/>
  <c r="H25" i="7" a="1"/>
  <c r="G25" i="7"/>
  <c r="G25" i="7" a="1"/>
  <c r="F25" i="7"/>
  <c r="F25" i="7" a="1"/>
  <c r="E25" i="7"/>
  <c r="E25" i="7" a="1"/>
  <c r="D25" i="7"/>
  <c r="D25" i="7" a="1"/>
  <c r="C25" i="7"/>
  <c r="C25" i="7" a="1"/>
  <c r="B25" i="7"/>
  <c r="B25" i="7" a="1"/>
  <c r="AJ24" i="7"/>
  <c r="AJ24" i="7" a="1"/>
  <c r="AI24" i="7"/>
  <c r="AI24" i="7" a="1"/>
  <c r="AH24" i="7"/>
  <c r="AH24" i="7" a="1"/>
  <c r="AG24" i="7"/>
  <c r="AG24" i="7" a="1"/>
  <c r="AF24" i="7"/>
  <c r="AF24" i="7" a="1"/>
  <c r="AE24" i="7"/>
  <c r="AE24" i="7" a="1"/>
  <c r="AD24" i="7"/>
  <c r="AD24" i="7" a="1"/>
  <c r="AC24" i="7"/>
  <c r="AC24" i="7" a="1"/>
  <c r="AB24" i="7"/>
  <c r="AB24" i="7" a="1"/>
  <c r="AA24" i="7"/>
  <c r="AA24" i="7" a="1"/>
  <c r="Z24" i="7"/>
  <c r="Z24" i="7" a="1"/>
  <c r="Y24" i="7"/>
  <c r="Y24" i="7" a="1"/>
  <c r="X24" i="7"/>
  <c r="X24" i="7" a="1"/>
  <c r="W24" i="7"/>
  <c r="W24" i="7" a="1"/>
  <c r="V24" i="7"/>
  <c r="V24" i="7" a="1"/>
  <c r="U24" i="7"/>
  <c r="U24" i="7" a="1"/>
  <c r="T24" i="7"/>
  <c r="T24" i="7" a="1"/>
  <c r="S24" i="7"/>
  <c r="S24" i="7" a="1"/>
  <c r="R24" i="7"/>
  <c r="R24" i="7" a="1"/>
  <c r="Q24" i="7"/>
  <c r="Q24" i="7" a="1"/>
  <c r="P24" i="7"/>
  <c r="P24" i="7" a="1"/>
  <c r="O24" i="7"/>
  <c r="O24" i="7" a="1"/>
  <c r="N24" i="7"/>
  <c r="N24" i="7" a="1"/>
  <c r="M24" i="7"/>
  <c r="M24" i="7" a="1"/>
  <c r="L24" i="7"/>
  <c r="L24" i="7" a="1"/>
  <c r="K24" i="7"/>
  <c r="K24" i="7" a="1"/>
  <c r="J24" i="7"/>
  <c r="J24" i="7" a="1"/>
  <c r="I24" i="7"/>
  <c r="I24" i="7" a="1"/>
  <c r="H24" i="7"/>
  <c r="H24" i="7" a="1"/>
  <c r="G24" i="7"/>
  <c r="G24" i="7" a="1"/>
  <c r="F24" i="7"/>
  <c r="F24" i="7" a="1"/>
  <c r="E24" i="7"/>
  <c r="E24" i="7" a="1"/>
  <c r="D24" i="7"/>
  <c r="D24" i="7" a="1"/>
  <c r="C24" i="7"/>
  <c r="C24" i="7" a="1"/>
  <c r="B24" i="7"/>
  <c r="B24" i="7" a="1"/>
  <c r="AJ23" i="7"/>
  <c r="AJ23" i="7" a="1"/>
  <c r="AI23" i="7"/>
  <c r="AI23" i="7" a="1"/>
  <c r="AH23" i="7"/>
  <c r="AH23" i="7" a="1"/>
  <c r="AG23" i="7"/>
  <c r="AG23" i="7" a="1"/>
  <c r="AF23" i="7"/>
  <c r="AF23" i="7" a="1"/>
  <c r="AE23" i="7"/>
  <c r="AE23" i="7" a="1"/>
  <c r="AD23" i="7"/>
  <c r="AD23" i="7" a="1"/>
  <c r="AC23" i="7"/>
  <c r="AC23" i="7" a="1"/>
  <c r="AB23" i="7"/>
  <c r="AB23" i="7" a="1"/>
  <c r="AA23" i="7"/>
  <c r="AA23" i="7" a="1"/>
  <c r="Z23" i="7"/>
  <c r="Z23" i="7" a="1"/>
  <c r="Y23" i="7"/>
  <c r="Y23" i="7" a="1"/>
  <c r="X23" i="7"/>
  <c r="X23" i="7" a="1"/>
  <c r="W23" i="7"/>
  <c r="W23" i="7" a="1"/>
  <c r="V23" i="7"/>
  <c r="V23" i="7" a="1"/>
  <c r="U23" i="7"/>
  <c r="U23" i="7" a="1"/>
  <c r="T23" i="7"/>
  <c r="T23" i="7" a="1"/>
  <c r="S23" i="7"/>
  <c r="S23" i="7" a="1"/>
  <c r="R23" i="7"/>
  <c r="R23" i="7" a="1"/>
  <c r="Q23" i="7"/>
  <c r="Q23" i="7" a="1"/>
  <c r="P23" i="7"/>
  <c r="P23" i="7" a="1"/>
  <c r="O23" i="7"/>
  <c r="O23" i="7" a="1"/>
  <c r="N23" i="7"/>
  <c r="N23" i="7" a="1"/>
  <c r="M23" i="7"/>
  <c r="M23" i="7" a="1"/>
  <c r="L23" i="7"/>
  <c r="L23" i="7" a="1"/>
  <c r="K23" i="7"/>
  <c r="K23" i="7" a="1"/>
  <c r="J23" i="7"/>
  <c r="J23" i="7" a="1"/>
  <c r="I23" i="7"/>
  <c r="I23" i="7" a="1"/>
  <c r="H23" i="7"/>
  <c r="H23" i="7" a="1"/>
  <c r="G23" i="7"/>
  <c r="G23" i="7" a="1"/>
  <c r="F23" i="7"/>
  <c r="F23" i="7" a="1"/>
  <c r="E23" i="7"/>
  <c r="E23" i="7" a="1"/>
  <c r="D23" i="7"/>
  <c r="D23" i="7" a="1"/>
  <c r="C23" i="7"/>
  <c r="C23" i="7" a="1"/>
  <c r="B23" i="7"/>
  <c r="B23" i="7" a="1"/>
  <c r="AJ22" i="7"/>
  <c r="AJ22" i="7" a="1"/>
  <c r="AI22" i="7"/>
  <c r="AI22" i="7" a="1"/>
  <c r="AH22" i="7"/>
  <c r="AH22" i="7" a="1"/>
  <c r="AG22" i="7"/>
  <c r="AG22" i="7" a="1"/>
  <c r="AF22" i="7"/>
  <c r="AF22" i="7" a="1"/>
  <c r="AE22" i="7"/>
  <c r="AE22" i="7" a="1"/>
  <c r="AD22" i="7"/>
  <c r="AD22" i="7" a="1"/>
  <c r="AC22" i="7"/>
  <c r="AC22" i="7" a="1"/>
  <c r="AB22" i="7"/>
  <c r="AB22" i="7" a="1"/>
  <c r="AA22" i="7"/>
  <c r="AA22" i="7" a="1"/>
  <c r="Z22" i="7"/>
  <c r="Z22" i="7" a="1"/>
  <c r="Y22" i="7"/>
  <c r="Y22" i="7" a="1"/>
  <c r="X22" i="7"/>
  <c r="X22" i="7" a="1"/>
  <c r="W22" i="7"/>
  <c r="W22" i="7" a="1"/>
  <c r="V22" i="7"/>
  <c r="V22" i="7" a="1"/>
  <c r="U22" i="7"/>
  <c r="U22" i="7" a="1"/>
  <c r="T22" i="7"/>
  <c r="T22" i="7" a="1"/>
  <c r="S22" i="7"/>
  <c r="S22" i="7" a="1"/>
  <c r="R22" i="7"/>
  <c r="R22" i="7" a="1"/>
  <c r="Q22" i="7"/>
  <c r="Q22" i="7" a="1"/>
  <c r="P22" i="7"/>
  <c r="P22" i="7" a="1"/>
  <c r="O22" i="7"/>
  <c r="O22" i="7" a="1"/>
  <c r="N22" i="7"/>
  <c r="N22" i="7" a="1"/>
  <c r="M22" i="7"/>
  <c r="M22" i="7" a="1"/>
  <c r="L22" i="7"/>
  <c r="L22" i="7" a="1"/>
  <c r="K22" i="7"/>
  <c r="K22" i="7" a="1"/>
  <c r="J22" i="7"/>
  <c r="J22" i="7" a="1"/>
  <c r="I22" i="7"/>
  <c r="I22" i="7" a="1"/>
  <c r="H22" i="7"/>
  <c r="H22" i="7" a="1"/>
  <c r="G22" i="7"/>
  <c r="G22" i="7" a="1"/>
  <c r="F22" i="7"/>
  <c r="F22" i="7" a="1"/>
  <c r="E22" i="7"/>
  <c r="E22" i="7" a="1"/>
  <c r="D22" i="7"/>
  <c r="D22" i="7" a="1"/>
  <c r="C22" i="7"/>
  <c r="C22" i="7" a="1"/>
  <c r="B22" i="7"/>
  <c r="B22" i="7" a="1"/>
  <c r="AJ21" i="7"/>
  <c r="AJ21" i="7" a="1"/>
  <c r="AI21" i="7"/>
  <c r="AI21" i="7" a="1"/>
  <c r="AH21" i="7"/>
  <c r="AH21" i="7" a="1"/>
  <c r="AG21" i="7"/>
  <c r="AG21" i="7" a="1"/>
  <c r="AF21" i="7"/>
  <c r="AF21" i="7" a="1"/>
  <c r="AE21" i="7"/>
  <c r="AE21" i="7" a="1"/>
  <c r="AD21" i="7"/>
  <c r="AD21" i="7" a="1"/>
  <c r="AC21" i="7"/>
  <c r="AC21" i="7" a="1"/>
  <c r="AB21" i="7"/>
  <c r="AB21" i="7" a="1"/>
  <c r="AA21" i="7"/>
  <c r="AA21" i="7" a="1"/>
  <c r="Z21" i="7"/>
  <c r="Z21" i="7" a="1"/>
  <c r="Y21" i="7"/>
  <c r="Y21" i="7" a="1"/>
  <c r="X21" i="7"/>
  <c r="X21" i="7" a="1"/>
  <c r="W21" i="7"/>
  <c r="W21" i="7" a="1"/>
  <c r="V21" i="7"/>
  <c r="V21" i="7" a="1"/>
  <c r="U21" i="7"/>
  <c r="U21" i="7" a="1"/>
  <c r="T21" i="7"/>
  <c r="T21" i="7" a="1"/>
  <c r="S21" i="7"/>
  <c r="S21" i="7" a="1"/>
  <c r="R21" i="7"/>
  <c r="R21" i="7" a="1"/>
  <c r="Q21" i="7"/>
  <c r="Q21" i="7" a="1"/>
  <c r="P21" i="7"/>
  <c r="P21" i="7" a="1"/>
  <c r="O21" i="7"/>
  <c r="O21" i="7" a="1"/>
  <c r="N21" i="7"/>
  <c r="N21" i="7" a="1"/>
  <c r="M21" i="7"/>
  <c r="M21" i="7" a="1"/>
  <c r="L21" i="7"/>
  <c r="L21" i="7" a="1"/>
  <c r="K21" i="7"/>
  <c r="K21" i="7" a="1"/>
  <c r="J21" i="7"/>
  <c r="J21" i="7" a="1"/>
  <c r="I21" i="7"/>
  <c r="I21" i="7" a="1"/>
  <c r="H21" i="7"/>
  <c r="H21" i="7" a="1"/>
  <c r="G21" i="7"/>
  <c r="G21" i="7" a="1"/>
  <c r="F21" i="7"/>
  <c r="F21" i="7" a="1"/>
  <c r="E21" i="7"/>
  <c r="E21" i="7" a="1"/>
  <c r="D21" i="7"/>
  <c r="D21" i="7" a="1"/>
  <c r="C21" i="7"/>
  <c r="C21" i="7" a="1"/>
  <c r="B21" i="7"/>
  <c r="B21" i="7" a="1"/>
  <c r="AJ20" i="7"/>
  <c r="AJ20" i="7" a="1"/>
  <c r="AI20" i="7"/>
  <c r="AI20" i="7" a="1"/>
  <c r="AH20" i="7"/>
  <c r="AH20" i="7" a="1"/>
  <c r="AG20" i="7"/>
  <c r="AG20" i="7" a="1"/>
  <c r="AF20" i="7"/>
  <c r="AF20" i="7" a="1"/>
  <c r="AE20" i="7"/>
  <c r="AE20" i="7" a="1"/>
  <c r="AD20" i="7"/>
  <c r="AD20" i="7" a="1"/>
  <c r="AC20" i="7"/>
  <c r="AC20" i="7" a="1"/>
  <c r="AB20" i="7"/>
  <c r="AB20" i="7" a="1"/>
  <c r="AA20" i="7"/>
  <c r="AA20" i="7" a="1"/>
  <c r="Z20" i="7"/>
  <c r="Z20" i="7" a="1"/>
  <c r="Y20" i="7"/>
  <c r="Y20" i="7" a="1"/>
  <c r="X20" i="7"/>
  <c r="X20" i="7" a="1"/>
  <c r="W20" i="7"/>
  <c r="W20" i="7" a="1"/>
  <c r="V20" i="7"/>
  <c r="V20" i="7" a="1"/>
  <c r="U20" i="7"/>
  <c r="U20" i="7" a="1"/>
  <c r="T20" i="7"/>
  <c r="T20" i="7" a="1"/>
  <c r="S20" i="7"/>
  <c r="S20" i="7" a="1"/>
  <c r="R20" i="7"/>
  <c r="R20" i="7" a="1"/>
  <c r="Q20" i="7"/>
  <c r="Q20" i="7" a="1"/>
  <c r="P20" i="7"/>
  <c r="P20" i="7" a="1"/>
  <c r="O20" i="7"/>
  <c r="O20" i="7" a="1"/>
  <c r="N20" i="7"/>
  <c r="N20" i="7" a="1"/>
  <c r="M20" i="7"/>
  <c r="M20" i="7" a="1"/>
  <c r="L20" i="7"/>
  <c r="L20" i="7" a="1"/>
  <c r="K20" i="7"/>
  <c r="K20" i="7" a="1"/>
  <c r="J20" i="7"/>
  <c r="J20" i="7" a="1"/>
  <c r="I20" i="7"/>
  <c r="I20" i="7" a="1"/>
  <c r="H20" i="7"/>
  <c r="H20" i="7" a="1"/>
  <c r="G20" i="7"/>
  <c r="G20" i="7" a="1"/>
  <c r="F20" i="7"/>
  <c r="F20" i="7" a="1"/>
  <c r="E20" i="7"/>
  <c r="E20" i="7" a="1"/>
  <c r="D20" i="7"/>
  <c r="D20" i="7" a="1"/>
  <c r="C20" i="7"/>
  <c r="C20" i="7" a="1"/>
  <c r="B20" i="7"/>
  <c r="B20" i="7" a="1"/>
  <c r="AJ19" i="7"/>
  <c r="AJ19" i="7" a="1"/>
  <c r="AI19" i="7"/>
  <c r="AI19" i="7" a="1"/>
  <c r="AH19" i="7"/>
  <c r="AH19" i="7" a="1"/>
  <c r="AG19" i="7"/>
  <c r="AG19" i="7" a="1"/>
  <c r="AF19" i="7"/>
  <c r="AF19" i="7" a="1"/>
  <c r="AE19" i="7"/>
  <c r="AE19" i="7" a="1"/>
  <c r="AD19" i="7"/>
  <c r="AD19" i="7" a="1"/>
  <c r="AC19" i="7"/>
  <c r="AC19" i="7" a="1"/>
  <c r="AB19" i="7"/>
  <c r="AB19" i="7" a="1"/>
  <c r="AA19" i="7"/>
  <c r="AA19" i="7" a="1"/>
  <c r="Z19" i="7"/>
  <c r="Z19" i="7" a="1"/>
  <c r="Y19" i="7"/>
  <c r="Y19" i="7" a="1"/>
  <c r="X19" i="7"/>
  <c r="X19" i="7" a="1"/>
  <c r="W19" i="7"/>
  <c r="W19" i="7" a="1"/>
  <c r="V19" i="7"/>
  <c r="V19" i="7" a="1"/>
  <c r="U19" i="7"/>
  <c r="U19" i="7" a="1"/>
  <c r="T19" i="7"/>
  <c r="T19" i="7" a="1"/>
  <c r="S19" i="7"/>
  <c r="S19" i="7" a="1"/>
  <c r="R19" i="7"/>
  <c r="R19" i="7" a="1"/>
  <c r="Q19" i="7"/>
  <c r="Q19" i="7" a="1"/>
  <c r="P19" i="7"/>
  <c r="P19" i="7" a="1"/>
  <c r="O19" i="7"/>
  <c r="O19" i="7" a="1"/>
  <c r="N19" i="7"/>
  <c r="N19" i="7" a="1"/>
  <c r="M19" i="7"/>
  <c r="M19" i="7" a="1"/>
  <c r="L19" i="7"/>
  <c r="L19" i="7" a="1"/>
  <c r="K19" i="7"/>
  <c r="K19" i="7" a="1"/>
  <c r="J19" i="7"/>
  <c r="J19" i="7" a="1"/>
  <c r="I19" i="7"/>
  <c r="I19" i="7" a="1"/>
  <c r="H19" i="7"/>
  <c r="H19" i="7" a="1"/>
  <c r="G19" i="7"/>
  <c r="G19" i="7" a="1"/>
  <c r="F19" i="7"/>
  <c r="F19" i="7" a="1"/>
  <c r="E19" i="7"/>
  <c r="E19" i="7" a="1"/>
  <c r="D19" i="7"/>
  <c r="D19" i="7" a="1"/>
  <c r="C19" i="7"/>
  <c r="C19" i="7" a="1"/>
  <c r="B19" i="7"/>
  <c r="B19" i="7" a="1"/>
  <c r="AJ18" i="7"/>
  <c r="AJ18" i="7" a="1"/>
  <c r="AI18" i="7"/>
  <c r="AI18" i="7" a="1"/>
  <c r="AH18" i="7"/>
  <c r="AH18" i="7" a="1"/>
  <c r="AG18" i="7"/>
  <c r="AG18" i="7" a="1"/>
  <c r="AF18" i="7"/>
  <c r="AF18" i="7" a="1"/>
  <c r="AE18" i="7"/>
  <c r="AE18" i="7" a="1"/>
  <c r="AD18" i="7"/>
  <c r="AD18" i="7" a="1"/>
  <c r="AC18" i="7"/>
  <c r="AC18" i="7" a="1"/>
  <c r="AB18" i="7"/>
  <c r="AB18" i="7" a="1"/>
  <c r="AA18" i="7"/>
  <c r="AA18" i="7" a="1"/>
  <c r="Z18" i="7"/>
  <c r="Z18" i="7" a="1"/>
  <c r="Y18" i="7"/>
  <c r="Y18" i="7" a="1"/>
  <c r="X18" i="7"/>
  <c r="X18" i="7" a="1"/>
  <c r="W18" i="7"/>
  <c r="W18" i="7" a="1"/>
  <c r="V18" i="7"/>
  <c r="V18" i="7" a="1"/>
  <c r="U18" i="7"/>
  <c r="U18" i="7" a="1"/>
  <c r="T18" i="7"/>
  <c r="T18" i="7" a="1"/>
  <c r="S18" i="7"/>
  <c r="S18" i="7" a="1"/>
  <c r="R18" i="7"/>
  <c r="R18" i="7" a="1"/>
  <c r="Q18" i="7"/>
  <c r="Q18" i="7" a="1"/>
  <c r="P18" i="7"/>
  <c r="P18" i="7" a="1"/>
  <c r="O18" i="7"/>
  <c r="O18" i="7" a="1"/>
  <c r="N18" i="7"/>
  <c r="N18" i="7" a="1"/>
  <c r="M18" i="7"/>
  <c r="M18" i="7" a="1"/>
  <c r="L18" i="7"/>
  <c r="L18" i="7" a="1"/>
  <c r="K18" i="7"/>
  <c r="K18" i="7" a="1"/>
  <c r="J18" i="7"/>
  <c r="J18" i="7" a="1"/>
  <c r="I18" i="7"/>
  <c r="I18" i="7" a="1"/>
  <c r="H18" i="7"/>
  <c r="H18" i="7" a="1"/>
  <c r="G18" i="7"/>
  <c r="G18" i="7" a="1"/>
  <c r="F18" i="7"/>
  <c r="F18" i="7" a="1"/>
  <c r="E18" i="7"/>
  <c r="E18" i="7" a="1"/>
  <c r="D18" i="7"/>
  <c r="D18" i="7" a="1"/>
  <c r="C18" i="7"/>
  <c r="C18" i="7" a="1"/>
  <c r="B18" i="7"/>
  <c r="B18" i="7" a="1"/>
  <c r="AJ17" i="7"/>
  <c r="AJ17" i="7" a="1"/>
  <c r="AI17" i="7"/>
  <c r="AI17" i="7" a="1"/>
  <c r="AH17" i="7"/>
  <c r="AH17" i="7" a="1"/>
  <c r="AG17" i="7"/>
  <c r="AG17" i="7" a="1"/>
  <c r="AF17" i="7"/>
  <c r="AF17" i="7" a="1"/>
  <c r="AE17" i="7"/>
  <c r="AE17" i="7" a="1"/>
  <c r="AD17" i="7"/>
  <c r="AD17" i="7" a="1"/>
  <c r="AC17" i="7"/>
  <c r="AC17" i="7" a="1"/>
  <c r="AB17" i="7"/>
  <c r="AB17" i="7" a="1"/>
  <c r="AA17" i="7"/>
  <c r="AA17" i="7" a="1"/>
  <c r="Z17" i="7"/>
  <c r="Z17" i="7" a="1"/>
  <c r="Y17" i="7"/>
  <c r="Y17" i="7" a="1"/>
  <c r="X17" i="7"/>
  <c r="X17" i="7" a="1"/>
  <c r="W17" i="7"/>
  <c r="W17" i="7" a="1"/>
  <c r="V17" i="7"/>
  <c r="V17" i="7" a="1"/>
  <c r="U17" i="7"/>
  <c r="U17" i="7" a="1"/>
  <c r="T17" i="7"/>
  <c r="T17" i="7" a="1"/>
  <c r="S17" i="7"/>
  <c r="S17" i="7" a="1"/>
  <c r="R17" i="7"/>
  <c r="R17" i="7" a="1"/>
  <c r="Q17" i="7"/>
  <c r="Q17" i="7" a="1"/>
  <c r="P17" i="7"/>
  <c r="P17" i="7" a="1"/>
  <c r="O17" i="7"/>
  <c r="O17" i="7" a="1"/>
  <c r="N17" i="7"/>
  <c r="N17" i="7" a="1"/>
  <c r="M17" i="7"/>
  <c r="M17" i="7" a="1"/>
  <c r="L17" i="7"/>
  <c r="L17" i="7" a="1"/>
  <c r="K17" i="7"/>
  <c r="K17" i="7" a="1"/>
  <c r="J17" i="7"/>
  <c r="J17" i="7" a="1"/>
  <c r="I17" i="7"/>
  <c r="I17" i="7" a="1"/>
  <c r="H17" i="7"/>
  <c r="H17" i="7" a="1"/>
  <c r="G17" i="7"/>
  <c r="G17" i="7" a="1"/>
  <c r="F17" i="7"/>
  <c r="F17" i="7" a="1"/>
  <c r="E17" i="7"/>
  <c r="E17" i="7" a="1"/>
  <c r="D17" i="7"/>
  <c r="D17" i="7" a="1"/>
  <c r="C17" i="7"/>
  <c r="C17" i="7" a="1"/>
  <c r="B17" i="7"/>
  <c r="B17" i="7" a="1"/>
  <c r="AJ16" i="7"/>
  <c r="AJ16" i="7" a="1"/>
  <c r="AI16" i="7"/>
  <c r="AI16" i="7" a="1"/>
  <c r="AH16" i="7"/>
  <c r="AH16" i="7" a="1"/>
  <c r="AG16" i="7"/>
  <c r="AG16" i="7" a="1"/>
  <c r="AF16" i="7"/>
  <c r="AF16" i="7" a="1"/>
  <c r="AE16" i="7"/>
  <c r="AE16" i="7" a="1"/>
  <c r="AD16" i="7"/>
  <c r="AD16" i="7" a="1"/>
  <c r="AC16" i="7"/>
  <c r="AC16" i="7" a="1"/>
  <c r="AB16" i="7"/>
  <c r="AB16" i="7" a="1"/>
  <c r="AA16" i="7"/>
  <c r="AA16" i="7" a="1"/>
  <c r="Z16" i="7"/>
  <c r="Z16" i="7" a="1"/>
  <c r="Y16" i="7"/>
  <c r="Y16" i="7" a="1"/>
  <c r="X16" i="7"/>
  <c r="X16" i="7" a="1"/>
  <c r="W16" i="7"/>
  <c r="W16" i="7" a="1"/>
  <c r="V16" i="7"/>
  <c r="V16" i="7" a="1"/>
  <c r="U16" i="7"/>
  <c r="U16" i="7" a="1"/>
  <c r="T16" i="7"/>
  <c r="T16" i="7" a="1"/>
  <c r="S16" i="7"/>
  <c r="S16" i="7" a="1"/>
  <c r="R16" i="7"/>
  <c r="R16" i="7" a="1"/>
  <c r="Q16" i="7"/>
  <c r="Q16" i="7" a="1"/>
  <c r="P16" i="7"/>
  <c r="P16" i="7" a="1"/>
  <c r="O16" i="7"/>
  <c r="O16" i="7" a="1"/>
  <c r="N16" i="7"/>
  <c r="N16" i="7" a="1"/>
  <c r="M16" i="7"/>
  <c r="M16" i="7" a="1"/>
  <c r="L16" i="7"/>
  <c r="L16" i="7" a="1"/>
  <c r="K16" i="7"/>
  <c r="K16" i="7" a="1"/>
  <c r="J16" i="7"/>
  <c r="J16" i="7" a="1"/>
  <c r="I16" i="7"/>
  <c r="I16" i="7" a="1"/>
  <c r="H16" i="7"/>
  <c r="H16" i="7" a="1"/>
  <c r="G16" i="7"/>
  <c r="G16" i="7" a="1"/>
  <c r="F16" i="7"/>
  <c r="F16" i="7" a="1"/>
  <c r="E16" i="7"/>
  <c r="E16" i="7" a="1"/>
  <c r="D16" i="7"/>
  <c r="D16" i="7" a="1"/>
  <c r="C16" i="7"/>
  <c r="C16" i="7" a="1"/>
  <c r="B16" i="7"/>
  <c r="B16" i="7" a="1"/>
  <c r="AJ15" i="7"/>
  <c r="AJ15" i="7" a="1"/>
  <c r="AI15" i="7"/>
  <c r="AI15" i="7" a="1"/>
  <c r="AH15" i="7"/>
  <c r="AH15" i="7" a="1"/>
  <c r="AG15" i="7"/>
  <c r="AG15" i="7" a="1"/>
  <c r="AF15" i="7"/>
  <c r="AF15" i="7" a="1"/>
  <c r="AE15" i="7"/>
  <c r="AE15" i="7" a="1"/>
  <c r="AD15" i="7"/>
  <c r="AD15" i="7" a="1"/>
  <c r="AC15" i="7"/>
  <c r="AC15" i="7" a="1"/>
  <c r="AB15" i="7"/>
  <c r="AB15" i="7" a="1"/>
  <c r="AA15" i="7"/>
  <c r="AA15" i="7" a="1"/>
  <c r="Z15" i="7"/>
  <c r="Z15" i="7" a="1"/>
  <c r="Y15" i="7"/>
  <c r="Y15" i="7" a="1"/>
  <c r="X15" i="7"/>
  <c r="X15" i="7" a="1"/>
  <c r="W15" i="7"/>
  <c r="W15" i="7" a="1"/>
  <c r="V15" i="7"/>
  <c r="V15" i="7" a="1"/>
  <c r="U15" i="7"/>
  <c r="U15" i="7" a="1"/>
  <c r="T15" i="7"/>
  <c r="T15" i="7" a="1"/>
  <c r="S15" i="7"/>
  <c r="S15" i="7" a="1"/>
  <c r="R15" i="7"/>
  <c r="R15" i="7" a="1"/>
  <c r="Q15" i="7"/>
  <c r="Q15" i="7" a="1"/>
  <c r="P15" i="7"/>
  <c r="P15" i="7" a="1"/>
  <c r="O15" i="7"/>
  <c r="O15" i="7" a="1"/>
  <c r="N15" i="7"/>
  <c r="N15" i="7" a="1"/>
  <c r="M15" i="7"/>
  <c r="M15" i="7" a="1"/>
  <c r="L15" i="7"/>
  <c r="L15" i="7" a="1"/>
  <c r="K15" i="7"/>
  <c r="K15" i="7" a="1"/>
  <c r="J15" i="7"/>
  <c r="J15" i="7" a="1"/>
  <c r="I15" i="7"/>
  <c r="I15" i="7" a="1"/>
  <c r="H15" i="7"/>
  <c r="H15" i="7" a="1"/>
  <c r="G15" i="7"/>
  <c r="G15" i="7" a="1"/>
  <c r="F15" i="7"/>
  <c r="F15" i="7" a="1"/>
  <c r="E15" i="7"/>
  <c r="E15" i="7" a="1"/>
  <c r="D15" i="7"/>
  <c r="D15" i="7" a="1"/>
  <c r="C15" i="7"/>
  <c r="C15" i="7" a="1"/>
  <c r="B15" i="7"/>
  <c r="B15" i="7" a="1"/>
  <c r="AJ14" i="7"/>
  <c r="AJ14" i="7" a="1"/>
  <c r="AI14" i="7"/>
  <c r="AI14" i="7" a="1"/>
  <c r="AH14" i="7"/>
  <c r="AH14" i="7" a="1"/>
  <c r="AG14" i="7"/>
  <c r="AG14" i="7" a="1"/>
  <c r="AF14" i="7"/>
  <c r="AF14" i="7" a="1"/>
  <c r="AE14" i="7"/>
  <c r="AE14" i="7" a="1"/>
  <c r="AD14" i="7"/>
  <c r="AD14" i="7" a="1"/>
  <c r="AC14" i="7"/>
  <c r="AC14" i="7" a="1"/>
  <c r="AB14" i="7"/>
  <c r="AB14" i="7" a="1"/>
  <c r="AA14" i="7"/>
  <c r="AA14" i="7" a="1"/>
  <c r="Z14" i="7"/>
  <c r="Z14" i="7" a="1"/>
  <c r="Y14" i="7"/>
  <c r="Y14" i="7" a="1"/>
  <c r="X14" i="7"/>
  <c r="X14" i="7" a="1"/>
  <c r="W14" i="7"/>
  <c r="W14" i="7" a="1"/>
  <c r="V14" i="7"/>
  <c r="V14" i="7" a="1"/>
  <c r="U14" i="7"/>
  <c r="U14" i="7" a="1"/>
  <c r="T14" i="7"/>
  <c r="T14" i="7" a="1"/>
  <c r="S14" i="7"/>
  <c r="S14" i="7" a="1"/>
  <c r="R14" i="7"/>
  <c r="R14" i="7" a="1"/>
  <c r="Q14" i="7"/>
  <c r="Q14" i="7" a="1"/>
  <c r="P14" i="7"/>
  <c r="P14" i="7" a="1"/>
  <c r="O14" i="7"/>
  <c r="O14" i="7" a="1"/>
  <c r="N14" i="7"/>
  <c r="N14" i="7" a="1"/>
  <c r="M14" i="7"/>
  <c r="M14" i="7" a="1"/>
  <c r="L14" i="7"/>
  <c r="L14" i="7" a="1"/>
  <c r="K14" i="7"/>
  <c r="K14" i="7" a="1"/>
  <c r="J14" i="7"/>
  <c r="J14" i="7" a="1"/>
  <c r="I14" i="7"/>
  <c r="I14" i="7" a="1"/>
  <c r="H14" i="7"/>
  <c r="H14" i="7" a="1"/>
  <c r="G14" i="7"/>
  <c r="G14" i="7" a="1"/>
  <c r="F14" i="7"/>
  <c r="F14" i="7" a="1"/>
  <c r="E14" i="7"/>
  <c r="E14" i="7" a="1"/>
  <c r="D14" i="7"/>
  <c r="D14" i="7" a="1"/>
  <c r="C14" i="7"/>
  <c r="C14" i="7" a="1"/>
  <c r="B14" i="7"/>
  <c r="B14" i="7" a="1"/>
  <c r="AJ13" i="7"/>
  <c r="AJ13" i="7" a="1"/>
  <c r="AI13" i="7"/>
  <c r="AI13" i="7" a="1"/>
  <c r="AH13" i="7"/>
  <c r="AH13" i="7" a="1"/>
  <c r="AG13" i="7"/>
  <c r="AG13" i="7" a="1"/>
  <c r="AF13" i="7"/>
  <c r="AF13" i="7" a="1"/>
  <c r="AE13" i="7"/>
  <c r="AE13" i="7" a="1"/>
  <c r="AD13" i="7"/>
  <c r="AD13" i="7" a="1"/>
  <c r="AC13" i="7"/>
  <c r="AC13" i="7" a="1"/>
  <c r="AB13" i="7"/>
  <c r="AB13" i="7" a="1"/>
  <c r="AA13" i="7"/>
  <c r="AA13" i="7" a="1"/>
  <c r="Z13" i="7"/>
  <c r="Z13" i="7" a="1"/>
  <c r="Y13" i="7"/>
  <c r="Y13" i="7" a="1"/>
  <c r="X13" i="7"/>
  <c r="X13" i="7" a="1"/>
  <c r="W13" i="7"/>
  <c r="W13" i="7" a="1"/>
  <c r="V13" i="7"/>
  <c r="V13" i="7" a="1"/>
  <c r="U13" i="7"/>
  <c r="U13" i="7" a="1"/>
  <c r="T13" i="7"/>
  <c r="T13" i="7" a="1"/>
  <c r="S13" i="7"/>
  <c r="S13" i="7" a="1"/>
  <c r="R13" i="7"/>
  <c r="R13" i="7" a="1"/>
  <c r="Q13" i="7"/>
  <c r="Q13" i="7" a="1"/>
  <c r="P13" i="7"/>
  <c r="P13" i="7" a="1"/>
  <c r="O13" i="7"/>
  <c r="O13" i="7" a="1"/>
  <c r="N13" i="7"/>
  <c r="N13" i="7" a="1"/>
  <c r="M13" i="7"/>
  <c r="M13" i="7" a="1"/>
  <c r="L13" i="7"/>
  <c r="L13" i="7" a="1"/>
  <c r="K13" i="7"/>
  <c r="K13" i="7" a="1"/>
  <c r="J13" i="7"/>
  <c r="J13" i="7" a="1"/>
  <c r="I13" i="7"/>
  <c r="I13" i="7" a="1"/>
  <c r="H13" i="7"/>
  <c r="H13" i="7" a="1"/>
  <c r="G13" i="7"/>
  <c r="G13" i="7" a="1"/>
  <c r="F13" i="7"/>
  <c r="F13" i="7" a="1"/>
  <c r="E13" i="7"/>
  <c r="E13" i="7" a="1"/>
  <c r="D13" i="7"/>
  <c r="D13" i="7" a="1"/>
  <c r="C13" i="7"/>
  <c r="C13" i="7" a="1"/>
  <c r="B13" i="7"/>
  <c r="B13" i="7" a="1"/>
  <c r="AJ12" i="7"/>
  <c r="AJ12" i="7" a="1"/>
  <c r="AI12" i="7"/>
  <c r="AI12" i="7" a="1"/>
  <c r="AH12" i="7"/>
  <c r="AH12" i="7" a="1"/>
  <c r="AG12" i="7"/>
  <c r="AG12" i="7" a="1"/>
  <c r="AF12" i="7"/>
  <c r="AF12" i="7" a="1"/>
  <c r="AE12" i="7"/>
  <c r="AE12" i="7" a="1"/>
  <c r="AD12" i="7"/>
  <c r="AD12" i="7" a="1"/>
  <c r="AC12" i="7"/>
  <c r="AC12" i="7" a="1"/>
  <c r="AB12" i="7"/>
  <c r="AB12" i="7" a="1"/>
  <c r="AA12" i="7"/>
  <c r="AA12" i="7" a="1"/>
  <c r="Z12" i="7"/>
  <c r="Z12" i="7" a="1"/>
  <c r="Y12" i="7"/>
  <c r="Y12" i="7" a="1"/>
  <c r="X12" i="7"/>
  <c r="X12" i="7" a="1"/>
  <c r="W12" i="7"/>
  <c r="W12" i="7" a="1"/>
  <c r="V12" i="7"/>
  <c r="V12" i="7" a="1"/>
  <c r="U12" i="7"/>
  <c r="U12" i="7" a="1"/>
  <c r="T12" i="7"/>
  <c r="T12" i="7" a="1"/>
  <c r="S12" i="7"/>
  <c r="S12" i="7" a="1"/>
  <c r="R12" i="7"/>
  <c r="R12" i="7" a="1"/>
  <c r="Q12" i="7"/>
  <c r="Q12" i="7" a="1"/>
  <c r="P12" i="7"/>
  <c r="P12" i="7" a="1"/>
  <c r="O12" i="7"/>
  <c r="O12" i="7" a="1"/>
  <c r="N12" i="7"/>
  <c r="N12" i="7" a="1"/>
  <c r="M12" i="7"/>
  <c r="M12" i="7" a="1"/>
  <c r="L12" i="7"/>
  <c r="L12" i="7" a="1"/>
  <c r="K12" i="7"/>
  <c r="K12" i="7" a="1"/>
  <c r="J12" i="7"/>
  <c r="J12" i="7" a="1"/>
  <c r="I12" i="7"/>
  <c r="I12" i="7" a="1"/>
  <c r="H12" i="7"/>
  <c r="H12" i="7" a="1"/>
  <c r="G12" i="7"/>
  <c r="G12" i="7" a="1"/>
  <c r="F12" i="7"/>
  <c r="F12" i="7" a="1"/>
  <c r="E12" i="7"/>
  <c r="E12" i="7" a="1"/>
  <c r="D12" i="7"/>
  <c r="D12" i="7" a="1"/>
  <c r="C12" i="7"/>
  <c r="C12" i="7" a="1"/>
  <c r="B12" i="7"/>
  <c r="B12" i="7" a="1"/>
  <c r="AJ11" i="7"/>
  <c r="AJ11" i="7" a="1"/>
  <c r="AI11" i="7"/>
  <c r="AI11" i="7" a="1"/>
  <c r="AH11" i="7"/>
  <c r="AH11" i="7" a="1"/>
  <c r="AG11" i="7"/>
  <c r="AG11" i="7" a="1"/>
  <c r="AF11" i="7"/>
  <c r="AF11" i="7" a="1"/>
  <c r="AE11" i="7"/>
  <c r="AE11" i="7" a="1"/>
  <c r="AD11" i="7"/>
  <c r="AD11" i="7" a="1"/>
  <c r="AC11" i="7"/>
  <c r="AC11" i="7" a="1"/>
  <c r="AB11" i="7"/>
  <c r="AB11" i="7" a="1"/>
  <c r="AA11" i="7"/>
  <c r="AA11" i="7" a="1"/>
  <c r="Z11" i="7"/>
  <c r="Z11" i="7" a="1"/>
  <c r="Y11" i="7"/>
  <c r="Y11" i="7" a="1"/>
  <c r="X11" i="7"/>
  <c r="X11" i="7" a="1"/>
  <c r="W11" i="7"/>
  <c r="W11" i="7" a="1"/>
  <c r="V11" i="7"/>
  <c r="V11" i="7" a="1"/>
  <c r="U11" i="7"/>
  <c r="U11" i="7" a="1"/>
  <c r="T11" i="7"/>
  <c r="T11" i="7" a="1"/>
  <c r="S11" i="7"/>
  <c r="S11" i="7" a="1"/>
  <c r="R11" i="7"/>
  <c r="R11" i="7" a="1"/>
  <c r="Q11" i="7"/>
  <c r="Q11" i="7" a="1"/>
  <c r="P11" i="7"/>
  <c r="P11" i="7" a="1"/>
  <c r="O11" i="7"/>
  <c r="O11" i="7" a="1"/>
  <c r="N11" i="7"/>
  <c r="N11" i="7" a="1"/>
  <c r="M11" i="7"/>
  <c r="M11" i="7" a="1"/>
  <c r="L11" i="7"/>
  <c r="L11" i="7" a="1"/>
  <c r="K11" i="7"/>
  <c r="K11" i="7" a="1"/>
  <c r="J11" i="7"/>
  <c r="J11" i="7" a="1"/>
  <c r="I11" i="7"/>
  <c r="I11" i="7" a="1"/>
  <c r="H11" i="7"/>
  <c r="H11" i="7" a="1"/>
  <c r="G11" i="7"/>
  <c r="G11" i="7" a="1"/>
  <c r="F11" i="7"/>
  <c r="F11" i="7" a="1"/>
  <c r="E11" i="7"/>
  <c r="E11" i="7" a="1"/>
  <c r="D11" i="7"/>
  <c r="D11" i="7" a="1"/>
  <c r="C11" i="7"/>
  <c r="C11" i="7" a="1"/>
  <c r="B11" i="7"/>
  <c r="B11" i="7" a="1"/>
  <c r="AJ10" i="7"/>
  <c r="AJ10" i="7" a="1"/>
  <c r="AI10" i="7"/>
  <c r="AI10" i="7" a="1"/>
  <c r="AH10" i="7"/>
  <c r="AH10" i="7" a="1"/>
  <c r="AG10" i="7"/>
  <c r="AG10" i="7" a="1"/>
  <c r="AF10" i="7"/>
  <c r="AF10" i="7" a="1"/>
  <c r="AE10" i="7"/>
  <c r="AE10" i="7" a="1"/>
  <c r="AD10" i="7"/>
  <c r="AD10" i="7" a="1"/>
  <c r="AC10" i="7"/>
  <c r="AC10" i="7" a="1"/>
  <c r="AB10" i="7"/>
  <c r="AB10" i="7" a="1"/>
  <c r="AA10" i="7"/>
  <c r="AA10" i="7" a="1"/>
  <c r="Z10" i="7"/>
  <c r="Z10" i="7" a="1"/>
  <c r="Y10" i="7"/>
  <c r="Y10" i="7" a="1"/>
  <c r="X10" i="7"/>
  <c r="X10" i="7" a="1"/>
  <c r="W10" i="7"/>
  <c r="W10" i="7" a="1"/>
  <c r="V10" i="7"/>
  <c r="V10" i="7" a="1"/>
  <c r="U10" i="7"/>
  <c r="U10" i="7" a="1"/>
  <c r="T10" i="7"/>
  <c r="T10" i="7" a="1"/>
  <c r="S10" i="7"/>
  <c r="S10" i="7" a="1"/>
  <c r="R10" i="7"/>
  <c r="R10" i="7" a="1"/>
  <c r="Q10" i="7"/>
  <c r="Q10" i="7" a="1"/>
  <c r="P10" i="7"/>
  <c r="P10" i="7" a="1"/>
  <c r="O10" i="7"/>
  <c r="O10" i="7" a="1"/>
  <c r="N10" i="7"/>
  <c r="N10" i="7" a="1"/>
  <c r="M10" i="7"/>
  <c r="M10" i="7" a="1"/>
  <c r="L10" i="7"/>
  <c r="L10" i="7" a="1"/>
  <c r="K10" i="7"/>
  <c r="K10" i="7" a="1"/>
  <c r="J10" i="7"/>
  <c r="J10" i="7" a="1"/>
  <c r="I10" i="7"/>
  <c r="I10" i="7" a="1"/>
  <c r="H10" i="7"/>
  <c r="H10" i="7" a="1"/>
  <c r="G10" i="7"/>
  <c r="G10" i="7" a="1"/>
  <c r="F10" i="7"/>
  <c r="F10" i="7" a="1"/>
  <c r="E10" i="7"/>
  <c r="E10" i="7" a="1"/>
  <c r="D10" i="7"/>
  <c r="D10" i="7" a="1"/>
  <c r="C10" i="7"/>
  <c r="C10" i="7" a="1"/>
  <c r="B10" i="7"/>
  <c r="B10" i="7" a="1"/>
  <c r="AJ9" i="7"/>
  <c r="AJ9" i="7" a="1"/>
  <c r="AI9" i="7"/>
  <c r="AI9" i="7" a="1"/>
  <c r="AH9" i="7"/>
  <c r="AH9" i="7" a="1"/>
  <c r="AG9" i="7"/>
  <c r="AG9" i="7" a="1"/>
  <c r="AF9" i="7"/>
  <c r="AF9" i="7" a="1"/>
  <c r="AE9" i="7"/>
  <c r="AE9" i="7" a="1"/>
  <c r="AD9" i="7"/>
  <c r="AD9" i="7" a="1"/>
  <c r="AC9" i="7"/>
  <c r="AC9" i="7" a="1"/>
  <c r="AB9" i="7"/>
  <c r="AB9" i="7" a="1"/>
  <c r="AA9" i="7"/>
  <c r="AA9" i="7" a="1"/>
  <c r="Z9" i="7"/>
  <c r="Z9" i="7" a="1"/>
  <c r="Y9" i="7"/>
  <c r="Y9" i="7" a="1"/>
  <c r="X9" i="7"/>
  <c r="X9" i="7" a="1"/>
  <c r="W9" i="7"/>
  <c r="W9" i="7" a="1"/>
  <c r="V9" i="7"/>
  <c r="V9" i="7" a="1"/>
  <c r="U9" i="7"/>
  <c r="U9" i="7" a="1"/>
  <c r="T9" i="7"/>
  <c r="T9" i="7" a="1"/>
  <c r="S9" i="7"/>
  <c r="S9" i="7" a="1"/>
  <c r="R9" i="7"/>
  <c r="R9" i="7" a="1"/>
  <c r="Q9" i="7"/>
  <c r="Q9" i="7" a="1"/>
  <c r="P9" i="7"/>
  <c r="P9" i="7" a="1"/>
  <c r="O9" i="7"/>
  <c r="O9" i="7" a="1"/>
  <c r="N9" i="7"/>
  <c r="N9" i="7" a="1"/>
  <c r="M9" i="7"/>
  <c r="M9" i="7" a="1"/>
  <c r="L9" i="7"/>
  <c r="L9" i="7" a="1"/>
  <c r="K9" i="7"/>
  <c r="K9" i="7" a="1"/>
  <c r="J9" i="7"/>
  <c r="J9" i="7" a="1"/>
  <c r="I9" i="7"/>
  <c r="I9" i="7" a="1"/>
  <c r="H9" i="7"/>
  <c r="H9" i="7" a="1"/>
  <c r="G9" i="7"/>
  <c r="G9" i="7" a="1"/>
  <c r="F9" i="7"/>
  <c r="F9" i="7" a="1"/>
  <c r="E9" i="7"/>
  <c r="E9" i="7" a="1"/>
  <c r="D9" i="7"/>
  <c r="D9" i="7" a="1"/>
  <c r="C9" i="7"/>
  <c r="C9" i="7" a="1"/>
  <c r="B9" i="7"/>
  <c r="B9" i="7" a="1"/>
  <c r="AJ8" i="7"/>
  <c r="AJ8" i="7" a="1"/>
  <c r="AI8" i="7"/>
  <c r="AI8" i="7" a="1"/>
  <c r="AH8" i="7"/>
  <c r="AH8" i="7" a="1"/>
  <c r="AG8" i="7"/>
  <c r="AG8" i="7" a="1"/>
  <c r="AF8" i="7"/>
  <c r="AF8" i="7" a="1"/>
  <c r="AE8" i="7"/>
  <c r="AE8" i="7" a="1"/>
  <c r="AD8" i="7"/>
  <c r="AD8" i="7" a="1"/>
  <c r="AC8" i="7"/>
  <c r="AC8" i="7" a="1"/>
  <c r="AB8" i="7"/>
  <c r="AB8" i="7" a="1"/>
  <c r="AA8" i="7"/>
  <c r="AA8" i="7" a="1"/>
  <c r="Z8" i="7"/>
  <c r="Z8" i="7" a="1"/>
  <c r="Y8" i="7"/>
  <c r="Y8" i="7" a="1"/>
  <c r="X8" i="7"/>
  <c r="X8" i="7" a="1"/>
  <c r="W8" i="7"/>
  <c r="W8" i="7" a="1"/>
  <c r="V8" i="7"/>
  <c r="V8" i="7" a="1"/>
  <c r="U8" i="7"/>
  <c r="U8" i="7" a="1"/>
  <c r="T8" i="7"/>
  <c r="T8" i="7" a="1"/>
  <c r="S8" i="7"/>
  <c r="S8" i="7" a="1"/>
  <c r="R8" i="7"/>
  <c r="R8" i="7" a="1"/>
  <c r="Q8" i="7"/>
  <c r="Q8" i="7" a="1"/>
  <c r="P8" i="7"/>
  <c r="P8" i="7" a="1"/>
  <c r="O8" i="7"/>
  <c r="O8" i="7" a="1"/>
  <c r="N8" i="7"/>
  <c r="N8" i="7" a="1"/>
  <c r="M8" i="7"/>
  <c r="M8" i="7" a="1"/>
  <c r="L8" i="7"/>
  <c r="L8" i="7" a="1"/>
  <c r="K8" i="7"/>
  <c r="K8" i="7" a="1"/>
  <c r="J8" i="7"/>
  <c r="J8" i="7" a="1"/>
  <c r="I8" i="7"/>
  <c r="I8" i="7" a="1"/>
  <c r="H8" i="7"/>
  <c r="H8" i="7" a="1"/>
  <c r="G8" i="7"/>
  <c r="G8" i="7" a="1"/>
  <c r="F8" i="7"/>
  <c r="F8" i="7" a="1"/>
  <c r="E8" i="7"/>
  <c r="E8" i="7" a="1"/>
  <c r="D8" i="7"/>
  <c r="D8" i="7" a="1"/>
  <c r="C8" i="7"/>
  <c r="C8" i="7" a="1"/>
  <c r="B8" i="7"/>
  <c r="B8" i="7" a="1"/>
  <c r="AJ7" i="7"/>
  <c r="AJ7" i="7" a="1"/>
  <c r="AI7" i="7"/>
  <c r="AI7" i="7" a="1"/>
  <c r="AH7" i="7"/>
  <c r="AH7" i="7" a="1"/>
  <c r="AG7" i="7"/>
  <c r="AG7" i="7" a="1"/>
  <c r="AF7" i="7"/>
  <c r="AF7" i="7" a="1"/>
  <c r="AE7" i="7"/>
  <c r="AE7" i="7" a="1"/>
  <c r="AD7" i="7"/>
  <c r="AD7" i="7" a="1"/>
  <c r="AC7" i="7"/>
  <c r="AC7" i="7" a="1"/>
  <c r="AB7" i="7"/>
  <c r="AB7" i="7" a="1"/>
  <c r="AA7" i="7"/>
  <c r="AA7" i="7" a="1"/>
  <c r="Z7" i="7"/>
  <c r="Z7" i="7" a="1"/>
  <c r="Y7" i="7"/>
  <c r="Y7" i="7" a="1"/>
  <c r="X7" i="7"/>
  <c r="X7" i="7" a="1"/>
  <c r="W7" i="7"/>
  <c r="W7" i="7" a="1"/>
  <c r="V7" i="7"/>
  <c r="V7" i="7" a="1"/>
  <c r="U7" i="7"/>
  <c r="U7" i="7" a="1"/>
  <c r="T7" i="7"/>
  <c r="T7" i="7" a="1"/>
  <c r="S7" i="7"/>
  <c r="S7" i="7" a="1"/>
  <c r="R7" i="7"/>
  <c r="R7" i="7" a="1"/>
  <c r="Q7" i="7"/>
  <c r="Q7" i="7" a="1"/>
  <c r="P7" i="7"/>
  <c r="P7" i="7" a="1"/>
  <c r="O7" i="7"/>
  <c r="O7" i="7" a="1"/>
  <c r="N7" i="7"/>
  <c r="N7" i="7" a="1"/>
  <c r="M7" i="7"/>
  <c r="M7" i="7" a="1"/>
  <c r="L7" i="7"/>
  <c r="L7" i="7" a="1"/>
  <c r="K7" i="7"/>
  <c r="K7" i="7" a="1"/>
  <c r="J7" i="7"/>
  <c r="J7" i="7" a="1"/>
  <c r="I7" i="7"/>
  <c r="I7" i="7" a="1"/>
  <c r="H7" i="7"/>
  <c r="H7" i="7" a="1"/>
  <c r="G7" i="7"/>
  <c r="G7" i="7" a="1"/>
  <c r="F7" i="7"/>
  <c r="F7" i="7" a="1"/>
  <c r="E7" i="7"/>
  <c r="E7" i="7" a="1"/>
  <c r="D7" i="7"/>
  <c r="D7" i="7" a="1"/>
  <c r="C7" i="7"/>
  <c r="C7" i="7" a="1"/>
  <c r="B7" i="7"/>
  <c r="B7" i="7" a="1"/>
  <c r="AJ6" i="7"/>
  <c r="AJ6" i="7" a="1"/>
  <c r="AI6" i="7"/>
  <c r="AI6" i="7" a="1"/>
  <c r="AH6" i="7"/>
  <c r="AH6" i="7" a="1"/>
  <c r="AG6" i="7"/>
  <c r="AG6" i="7" a="1"/>
  <c r="AF6" i="7"/>
  <c r="AF6" i="7" a="1"/>
  <c r="AE6" i="7"/>
  <c r="AE6" i="7" a="1"/>
  <c r="AD6" i="7"/>
  <c r="AD6" i="7" a="1"/>
  <c r="AC6" i="7"/>
  <c r="AC6" i="7" a="1"/>
  <c r="AB6" i="7"/>
  <c r="AB6" i="7" a="1"/>
  <c r="AA6" i="7"/>
  <c r="AA6" i="7" a="1"/>
  <c r="Z6" i="7"/>
  <c r="Z6" i="7" a="1"/>
  <c r="Y6" i="7"/>
  <c r="Y6" i="7" a="1"/>
  <c r="X6" i="7"/>
  <c r="X6" i="7" a="1"/>
  <c r="W6" i="7"/>
  <c r="W6" i="7" a="1"/>
  <c r="V6" i="7"/>
  <c r="V6" i="7" a="1"/>
  <c r="U6" i="7"/>
  <c r="U6" i="7" a="1"/>
  <c r="T6" i="7"/>
  <c r="T6" i="7" a="1"/>
  <c r="S6" i="7"/>
  <c r="S6" i="7" a="1"/>
  <c r="R6" i="7"/>
  <c r="R6" i="7" a="1"/>
  <c r="Q6" i="7"/>
  <c r="Q6" i="7" a="1"/>
  <c r="P6" i="7"/>
  <c r="P6" i="7" a="1"/>
  <c r="O6" i="7"/>
  <c r="O6" i="7" a="1"/>
  <c r="N6" i="7"/>
  <c r="N6" i="7" a="1"/>
  <c r="M6" i="7"/>
  <c r="M6" i="7" a="1"/>
  <c r="L6" i="7"/>
  <c r="L6" i="7" a="1"/>
  <c r="K6" i="7"/>
  <c r="K6" i="7" a="1"/>
  <c r="J6" i="7"/>
  <c r="J6" i="7" a="1"/>
  <c r="I6" i="7"/>
  <c r="I6" i="7" a="1"/>
  <c r="H6" i="7"/>
  <c r="H6" i="7" a="1"/>
  <c r="G6" i="7"/>
  <c r="G6" i="7" a="1"/>
  <c r="F6" i="7"/>
  <c r="F6" i="7" a="1"/>
  <c r="E6" i="7"/>
  <c r="E6" i="7" a="1"/>
  <c r="D6" i="7"/>
  <c r="D6" i="7" a="1"/>
  <c r="C6" i="7"/>
  <c r="C6" i="7" a="1"/>
  <c r="B6" i="7"/>
  <c r="B6" i="7" a="1"/>
  <c r="AJ5" i="7"/>
  <c r="AJ5" i="7" a="1"/>
  <c r="AI5" i="7"/>
  <c r="AI5" i="7" a="1"/>
  <c r="AH5" i="7"/>
  <c r="AH5" i="7" a="1"/>
  <c r="AG5" i="7"/>
  <c r="AG5" i="7" a="1"/>
  <c r="AF5" i="7"/>
  <c r="AF5" i="7" a="1"/>
  <c r="AE5" i="7"/>
  <c r="AE5" i="7" a="1"/>
  <c r="AD5" i="7"/>
  <c r="AD5" i="7" a="1"/>
  <c r="AC5" i="7"/>
  <c r="AC5" i="7" a="1"/>
  <c r="AB5" i="7"/>
  <c r="AB5" i="7" a="1"/>
  <c r="AA5" i="7"/>
  <c r="AA5" i="7" a="1"/>
  <c r="Z5" i="7"/>
  <c r="Z5" i="7" a="1"/>
  <c r="Y5" i="7"/>
  <c r="Y5" i="7" a="1"/>
  <c r="X5" i="7"/>
  <c r="X5" i="7" a="1"/>
  <c r="W5" i="7"/>
  <c r="W5" i="7" a="1"/>
  <c r="V5" i="7"/>
  <c r="V5" i="7" a="1"/>
  <c r="U5" i="7"/>
  <c r="U5" i="7" a="1"/>
  <c r="T5" i="7"/>
  <c r="T5" i="7" a="1"/>
  <c r="S5" i="7"/>
  <c r="S5" i="7" a="1"/>
  <c r="R5" i="7"/>
  <c r="R5" i="7" a="1"/>
  <c r="Q5" i="7"/>
  <c r="Q5" i="7" a="1"/>
  <c r="P5" i="7"/>
  <c r="P5" i="7" a="1"/>
  <c r="O5" i="7"/>
  <c r="O5" i="7" a="1"/>
  <c r="N5" i="7"/>
  <c r="N5" i="7" a="1"/>
  <c r="M5" i="7"/>
  <c r="M5" i="7" a="1"/>
  <c r="L5" i="7"/>
  <c r="L5" i="7" a="1"/>
  <c r="K5" i="7"/>
  <c r="K5" i="7" a="1"/>
  <c r="J5" i="7"/>
  <c r="J5" i="7" a="1"/>
  <c r="I5" i="7"/>
  <c r="I5" i="7" a="1"/>
  <c r="H5" i="7"/>
  <c r="H5" i="7" a="1"/>
  <c r="G5" i="7"/>
  <c r="G5" i="7" a="1"/>
  <c r="F5" i="7"/>
  <c r="F5" i="7" a="1"/>
  <c r="E5" i="7"/>
  <c r="E5" i="7" a="1"/>
  <c r="D5" i="7"/>
  <c r="D5" i="7" a="1"/>
  <c r="C5" i="7"/>
  <c r="C5" i="7" a="1"/>
  <c r="B5" i="7"/>
  <c r="B5" i="7" a="1"/>
  <c r="AJ4" i="7"/>
  <c r="AJ4" i="7" a="1"/>
  <c r="AI4" i="7"/>
  <c r="AI4" i="7" a="1"/>
  <c r="AH4" i="7"/>
  <c r="AH4" i="7" a="1"/>
  <c r="AG4" i="7"/>
  <c r="AG4" i="7" a="1"/>
  <c r="AF4" i="7"/>
  <c r="AF4" i="7" a="1"/>
  <c r="AE4" i="7"/>
  <c r="AE4" i="7" a="1"/>
  <c r="AD4" i="7"/>
  <c r="AD4" i="7" a="1"/>
  <c r="AC4" i="7"/>
  <c r="AC4" i="7" a="1"/>
  <c r="AB4" i="7"/>
  <c r="AB4" i="7" a="1"/>
  <c r="AA4" i="7"/>
  <c r="AA4" i="7" a="1"/>
  <c r="Z4" i="7"/>
  <c r="Z4" i="7" a="1"/>
  <c r="Y4" i="7"/>
  <c r="Y4" i="7" a="1"/>
  <c r="X4" i="7"/>
  <c r="X4" i="7" a="1"/>
  <c r="W4" i="7"/>
  <c r="W4" i="7" a="1"/>
  <c r="V4" i="7"/>
  <c r="V4" i="7" a="1"/>
  <c r="U4" i="7"/>
  <c r="U4" i="7" a="1"/>
  <c r="T4" i="7"/>
  <c r="T4" i="7" a="1"/>
  <c r="S4" i="7"/>
  <c r="S4" i="7" a="1"/>
  <c r="R4" i="7"/>
  <c r="R4" i="7" a="1"/>
  <c r="Q4" i="7"/>
  <c r="Q4" i="7" a="1"/>
  <c r="P4" i="7"/>
  <c r="P4" i="7" a="1"/>
  <c r="O4" i="7"/>
  <c r="O4" i="7" a="1"/>
  <c r="N4" i="7"/>
  <c r="N4" i="7" a="1"/>
  <c r="M4" i="7"/>
  <c r="M4" i="7" a="1"/>
  <c r="L4" i="7"/>
  <c r="L4" i="7" a="1"/>
  <c r="K4" i="7"/>
  <c r="K4" i="7" a="1"/>
  <c r="J4" i="7"/>
  <c r="J4" i="7" a="1"/>
  <c r="I4" i="7"/>
  <c r="I4" i="7" a="1"/>
  <c r="H4" i="7"/>
  <c r="H4" i="7" a="1"/>
  <c r="G4" i="7"/>
  <c r="G4" i="7" a="1"/>
  <c r="F4" i="7"/>
  <c r="F4" i="7" a="1"/>
  <c r="E4" i="7"/>
  <c r="E4" i="7" a="1"/>
  <c r="D4" i="7"/>
  <c r="D4" i="7" a="1"/>
  <c r="C4" i="7"/>
  <c r="C4" i="7" a="1"/>
  <c r="B4" i="7"/>
  <c r="B4" i="7" a="1"/>
  <c r="AJ3" i="7"/>
  <c r="AJ3" i="7" a="1"/>
  <c r="AI3" i="7"/>
  <c r="AI3" i="7" a="1"/>
  <c r="AH3" i="7"/>
  <c r="AH3" i="7" a="1"/>
  <c r="AG3" i="7"/>
  <c r="AG3" i="7" a="1"/>
  <c r="AF3" i="7"/>
  <c r="AF3" i="7" a="1"/>
  <c r="AE3" i="7"/>
  <c r="AE3" i="7" a="1"/>
  <c r="AD3" i="7"/>
  <c r="AD3" i="7" a="1"/>
  <c r="AC3" i="7"/>
  <c r="AC3" i="7" a="1"/>
  <c r="AB3" i="7"/>
  <c r="AB3" i="7" a="1"/>
  <c r="AA3" i="7"/>
  <c r="AA3" i="7" a="1"/>
  <c r="Z3" i="7"/>
  <c r="Z3" i="7" a="1"/>
  <c r="Y3" i="7"/>
  <c r="Y3" i="7" a="1"/>
  <c r="X3" i="7"/>
  <c r="X3" i="7" a="1"/>
  <c r="W3" i="7"/>
  <c r="W3" i="7" a="1"/>
  <c r="V3" i="7"/>
  <c r="V3" i="7" a="1"/>
  <c r="U3" i="7"/>
  <c r="U3" i="7" a="1"/>
  <c r="T3" i="7"/>
  <c r="T3" i="7" a="1"/>
  <c r="S3" i="7"/>
  <c r="S3" i="7" a="1"/>
  <c r="R3" i="7"/>
  <c r="R3" i="7" a="1"/>
  <c r="Q3" i="7"/>
  <c r="Q3" i="7" a="1"/>
  <c r="P3" i="7"/>
  <c r="P3" i="7" a="1"/>
  <c r="O3" i="7"/>
  <c r="O3" i="7" a="1"/>
  <c r="N3" i="7"/>
  <c r="N3" i="7" a="1"/>
  <c r="M3" i="7"/>
  <c r="M3" i="7" a="1"/>
  <c r="L3" i="7"/>
  <c r="L3" i="7" a="1"/>
  <c r="K3" i="7"/>
  <c r="K3" i="7" a="1"/>
  <c r="J3" i="7"/>
  <c r="J3" i="7" a="1"/>
  <c r="I3" i="7"/>
  <c r="I3" i="7" a="1"/>
  <c r="H3" i="7"/>
  <c r="H3" i="7" a="1"/>
  <c r="G3" i="7"/>
  <c r="G3" i="7" a="1"/>
  <c r="F3" i="7"/>
  <c r="F3" i="7" a="1"/>
  <c r="E3" i="7"/>
  <c r="E3" i="7" a="1"/>
  <c r="D3" i="7"/>
  <c r="D3" i="7" a="1"/>
  <c r="C3" i="7"/>
  <c r="C3" i="7" a="1"/>
  <c r="B3" i="7"/>
  <c r="B3" i="7" a="1"/>
  <c r="AJ2" i="7"/>
  <c r="AJ2" i="7" a="1"/>
  <c r="AI2" i="7"/>
  <c r="AI2" i="7" a="1"/>
  <c r="AH2" i="7"/>
  <c r="AH2" i="7" a="1"/>
  <c r="AG2" i="7"/>
  <c r="AG2" i="7" a="1"/>
  <c r="AF2" i="7"/>
  <c r="AF2" i="7" a="1"/>
  <c r="AE2" i="7"/>
  <c r="AE2" i="7" a="1"/>
  <c r="AD2" i="7"/>
  <c r="AD2" i="7" a="1"/>
  <c r="AC2" i="7"/>
  <c r="AC2" i="7" a="1"/>
  <c r="AB2" i="7"/>
  <c r="AB2" i="7" a="1"/>
  <c r="AA2" i="7"/>
  <c r="AA2" i="7" a="1"/>
  <c r="Z2" i="7"/>
  <c r="Z2" i="7" a="1"/>
  <c r="Y2" i="7"/>
  <c r="Y2" i="7" a="1"/>
  <c r="X2" i="7"/>
  <c r="X2" i="7" a="1"/>
  <c r="W2" i="7"/>
  <c r="W2" i="7" a="1"/>
  <c r="V2" i="7"/>
  <c r="V2" i="7" a="1"/>
  <c r="U2" i="7"/>
  <c r="U2" i="7" a="1"/>
  <c r="T2" i="7"/>
  <c r="T2" i="7" a="1"/>
  <c r="S2" i="7"/>
  <c r="S2" i="7" a="1"/>
  <c r="R2" i="7"/>
  <c r="R2" i="7" a="1"/>
  <c r="Q2" i="7"/>
  <c r="Q2" i="7" a="1"/>
  <c r="P2" i="7"/>
  <c r="P2" i="7" a="1"/>
  <c r="O2" i="7"/>
  <c r="O2" i="7" a="1"/>
  <c r="N2" i="7"/>
  <c r="N2" i="7" a="1"/>
  <c r="M2" i="7"/>
  <c r="M2" i="7" a="1"/>
  <c r="L2" i="7"/>
  <c r="L2" i="7" a="1"/>
  <c r="K2" i="7"/>
  <c r="K2" i="7" a="1"/>
  <c r="J2" i="7"/>
  <c r="J2" i="7" a="1"/>
  <c r="I2" i="7"/>
  <c r="I2" i="7" a="1"/>
  <c r="H2" i="7"/>
  <c r="H2" i="7" a="1"/>
  <c r="G2" i="7"/>
  <c r="G2" i="7" a="1"/>
  <c r="F2" i="7"/>
  <c r="F2" i="7" a="1"/>
  <c r="E2" i="7"/>
  <c r="E2" i="7" a="1"/>
  <c r="D2" i="7"/>
  <c r="D2" i="7" a="1"/>
  <c r="C2" i="7"/>
  <c r="C2" i="7" a="1"/>
  <c r="B2" i="7"/>
  <c r="B2" i="7" a="1"/>
  <c r="B1" i="7"/>
  <c r="B1" i="7" a="1"/>
  <c r="F1126" i="10"/>
  <c r="F1126" i="10" a="1"/>
  <c r="E1126" i="10"/>
  <c r="F1125" i="10"/>
  <c r="F1125" i="10" a="1"/>
  <c r="E1125" i="10"/>
  <c r="F1124" i="10"/>
  <c r="F1124" i="10" a="1"/>
  <c r="E1124" i="10"/>
  <c r="F1123" i="10"/>
  <c r="F1123" i="10" a="1"/>
  <c r="E1123" i="10"/>
  <c r="F1122" i="10"/>
  <c r="F1122" i="10" a="1"/>
  <c r="E1122" i="10"/>
  <c r="F1121" i="10"/>
  <c r="F1121" i="10" a="1"/>
  <c r="E1121" i="10"/>
  <c r="F1120" i="10"/>
  <c r="F1120" i="10" a="1"/>
  <c r="E1120" i="10"/>
  <c r="F1119" i="10"/>
  <c r="F1119" i="10" a="1"/>
  <c r="E1119" i="10"/>
  <c r="F1118" i="10"/>
  <c r="F1118" i="10" a="1"/>
  <c r="E1118" i="10"/>
  <c r="F1117" i="10"/>
  <c r="F1117" i="10" a="1"/>
  <c r="E1117" i="10"/>
  <c r="F1116" i="10"/>
  <c r="F1116" i="10" a="1"/>
  <c r="E1116" i="10"/>
  <c r="F1115" i="10"/>
  <c r="F1115" i="10" a="1"/>
  <c r="E1115" i="10"/>
  <c r="F1114" i="10"/>
  <c r="F1114" i="10" a="1"/>
  <c r="E1114" i="10"/>
  <c r="F1113" i="10"/>
  <c r="F1113" i="10" a="1"/>
  <c r="E1113" i="10"/>
  <c r="F1112" i="10"/>
  <c r="F1112" i="10" a="1"/>
  <c r="E1112" i="10"/>
  <c r="F1111" i="10"/>
  <c r="F1111" i="10" a="1"/>
  <c r="E1111" i="10"/>
  <c r="F1110" i="10"/>
  <c r="F1110" i="10" a="1"/>
  <c r="E1110" i="10"/>
  <c r="F1109" i="10"/>
  <c r="F1109" i="10" a="1"/>
  <c r="E1109" i="10"/>
  <c r="F1108" i="10"/>
  <c r="F1108" i="10" a="1"/>
  <c r="E1108" i="10"/>
  <c r="F1107" i="10"/>
  <c r="F1107" i="10" a="1"/>
  <c r="E1107" i="10"/>
  <c r="F1106" i="10"/>
  <c r="F1106" i="10" a="1"/>
  <c r="E1106" i="10"/>
  <c r="F1105" i="10"/>
  <c r="F1105" i="10" a="1"/>
  <c r="E1105" i="10"/>
  <c r="F1104" i="10"/>
  <c r="F1104" i="10" a="1"/>
  <c r="E1104" i="10"/>
  <c r="F1103" i="10"/>
  <c r="F1103" i="10" a="1"/>
  <c r="E1103" i="10"/>
  <c r="F1102" i="10"/>
  <c r="F1102" i="10" a="1"/>
  <c r="E1102" i="10"/>
  <c r="F1101" i="10"/>
  <c r="F1101" i="10" a="1"/>
  <c r="E1101" i="10"/>
  <c r="F1100" i="10"/>
  <c r="F1100" i="10" a="1"/>
  <c r="E1100" i="10"/>
  <c r="F1099" i="10"/>
  <c r="F1099" i="10" a="1"/>
  <c r="E1099" i="10"/>
  <c r="F1098" i="10"/>
  <c r="F1098" i="10" a="1"/>
  <c r="E1098" i="10"/>
  <c r="F1097" i="10"/>
  <c r="F1097" i="10" a="1"/>
  <c r="E1097" i="10"/>
  <c r="F1096" i="10"/>
  <c r="F1096" i="10" a="1"/>
  <c r="E1096" i="10"/>
  <c r="F1095" i="10"/>
  <c r="F1095" i="10" a="1"/>
  <c r="E1095" i="10"/>
  <c r="F1094" i="10"/>
  <c r="F1094" i="10" a="1"/>
  <c r="E1094" i="10"/>
  <c r="F1093" i="10"/>
  <c r="F1093" i="10" a="1"/>
  <c r="E1093" i="10"/>
  <c r="F1092" i="10"/>
  <c r="F1092" i="10" a="1"/>
  <c r="E1092" i="10"/>
  <c r="F1091" i="10"/>
  <c r="F1091" i="10" a="1"/>
  <c r="E1091" i="10"/>
  <c r="F1090" i="10"/>
  <c r="F1090" i="10" a="1"/>
  <c r="E1090" i="10"/>
  <c r="F1089" i="10"/>
  <c r="F1089" i="10" a="1"/>
  <c r="E1089" i="10"/>
  <c r="F1088" i="10"/>
  <c r="F1088" i="10" a="1"/>
  <c r="E1088" i="10"/>
  <c r="F1087" i="10"/>
  <c r="F1087" i="10" a="1"/>
  <c r="E1087" i="10"/>
  <c r="F1086" i="10"/>
  <c r="F1086" i="10" a="1"/>
  <c r="E1086" i="10"/>
  <c r="F1085" i="10"/>
  <c r="F1085" i="10" a="1"/>
  <c r="E1085" i="10"/>
  <c r="F1084" i="10"/>
  <c r="F1084" i="10" a="1"/>
  <c r="E1084" i="10"/>
  <c r="F1083" i="10"/>
  <c r="F1083" i="10" a="1"/>
  <c r="E1083" i="10"/>
  <c r="F1082" i="10"/>
  <c r="F1082" i="10" a="1"/>
  <c r="E1082" i="10"/>
  <c r="F1081" i="10"/>
  <c r="F1081" i="10" a="1"/>
  <c r="E1081" i="10"/>
  <c r="F1080" i="10"/>
  <c r="F1080" i="10" a="1"/>
  <c r="E1080" i="10"/>
  <c r="F1079" i="10"/>
  <c r="F1079" i="10" a="1"/>
  <c r="E1079" i="10"/>
  <c r="F1078" i="10"/>
  <c r="F1078" i="10" a="1"/>
  <c r="E1078" i="10"/>
  <c r="F1077" i="10"/>
  <c r="F1077" i="10" a="1"/>
  <c r="E1077" i="10"/>
  <c r="F1076" i="10"/>
  <c r="F1076" i="10" a="1"/>
  <c r="E1076" i="10"/>
  <c r="F1075" i="10"/>
  <c r="F1075" i="10" a="1"/>
  <c r="E1075" i="10"/>
  <c r="F1074" i="10"/>
  <c r="F1074" i="10" a="1"/>
  <c r="E1074" i="10"/>
  <c r="F1073" i="10"/>
  <c r="F1073" i="10" a="1"/>
  <c r="E1073" i="10"/>
  <c r="F1072" i="10"/>
  <c r="F1072" i="10" a="1"/>
  <c r="E1072" i="10"/>
  <c r="F1071" i="10"/>
  <c r="F1071" i="10" a="1"/>
  <c r="E1071" i="10"/>
  <c r="F1070" i="10"/>
  <c r="F1070" i="10" a="1"/>
  <c r="E1070" i="10"/>
  <c r="F1069" i="10"/>
  <c r="F1069" i="10" a="1"/>
  <c r="E1069" i="10"/>
  <c r="F1068" i="10"/>
  <c r="F1068" i="10" a="1"/>
  <c r="E1068" i="10"/>
  <c r="F1067" i="10"/>
  <c r="F1067" i="10" a="1"/>
  <c r="E1067" i="10"/>
  <c r="F1066" i="10"/>
  <c r="F1066" i="10" a="1"/>
  <c r="E1066" i="10"/>
  <c r="F1065" i="10"/>
  <c r="F1065" i="10" a="1"/>
  <c r="E1065" i="10"/>
  <c r="F1064" i="10"/>
  <c r="F1064" i="10" a="1"/>
  <c r="E1064" i="10"/>
  <c r="F1063" i="10"/>
  <c r="F1063" i="10" a="1"/>
  <c r="E1063" i="10"/>
  <c r="F1062" i="10"/>
  <c r="F1062" i="10" a="1"/>
  <c r="E1062" i="10"/>
  <c r="F1061" i="10"/>
  <c r="F1061" i="10" a="1"/>
  <c r="E1061" i="10"/>
  <c r="F1060" i="10"/>
  <c r="F1060" i="10" a="1"/>
  <c r="E1060" i="10"/>
  <c r="F1059" i="10"/>
  <c r="F1059" i="10" a="1"/>
  <c r="E1059" i="10"/>
  <c r="F1058" i="10"/>
  <c r="F1058" i="10" a="1"/>
  <c r="E1058" i="10"/>
  <c r="F1057" i="10"/>
  <c r="F1057" i="10" a="1"/>
  <c r="E1057" i="10"/>
  <c r="F1056" i="10"/>
  <c r="F1056" i="10" a="1"/>
  <c r="E1056" i="10"/>
  <c r="F1055" i="10"/>
  <c r="F1055" i="10" a="1"/>
  <c r="E1055" i="10"/>
  <c r="F1054" i="10"/>
  <c r="F1054" i="10" a="1"/>
  <c r="E1054" i="10"/>
  <c r="F1053" i="10"/>
  <c r="F1053" i="10" a="1"/>
  <c r="E1053" i="10"/>
  <c r="F1052" i="10"/>
  <c r="F1052" i="10" a="1"/>
  <c r="E1052" i="10"/>
  <c r="F1051" i="10"/>
  <c r="F1051" i="10" a="1"/>
  <c r="E1051" i="10"/>
  <c r="F1050" i="10"/>
  <c r="F1050" i="10" a="1"/>
  <c r="E1050" i="10"/>
  <c r="F1049" i="10"/>
  <c r="F1049" i="10" a="1"/>
  <c r="E1049" i="10"/>
  <c r="F1048" i="10"/>
  <c r="F1048" i="10" a="1"/>
  <c r="E1048" i="10"/>
  <c r="F1047" i="10"/>
  <c r="F1047" i="10" a="1"/>
  <c r="E1047" i="10"/>
  <c r="F1046" i="10"/>
  <c r="F1046" i="10" a="1"/>
  <c r="E1046" i="10"/>
  <c r="F1045" i="10"/>
  <c r="F1045" i="10" a="1"/>
  <c r="E1045" i="10"/>
  <c r="F1044" i="10"/>
  <c r="F1044" i="10" a="1"/>
  <c r="E1044" i="10"/>
  <c r="F1043" i="10"/>
  <c r="F1043" i="10" a="1"/>
  <c r="E1043" i="10"/>
  <c r="F1042" i="10"/>
  <c r="F1042" i="10" a="1"/>
  <c r="E1042" i="10"/>
  <c r="F1041" i="10"/>
  <c r="F1041" i="10" a="1"/>
  <c r="E1041" i="10"/>
  <c r="F1040" i="10"/>
  <c r="F1040" i="10" a="1"/>
  <c r="E1040" i="10"/>
  <c r="F1039" i="10"/>
  <c r="F1039" i="10" a="1"/>
  <c r="E1039" i="10"/>
  <c r="F1038" i="10"/>
  <c r="F1038" i="10" a="1"/>
  <c r="E1038" i="10"/>
  <c r="F1037" i="10"/>
  <c r="F1037" i="10" a="1"/>
  <c r="E1037" i="10"/>
  <c r="F1036" i="10"/>
  <c r="F1036" i="10" a="1"/>
  <c r="E1036" i="10"/>
  <c r="F1035" i="10"/>
  <c r="F1035" i="10" a="1"/>
  <c r="E1035" i="10"/>
  <c r="F1034" i="10"/>
  <c r="F1034" i="10" a="1"/>
  <c r="E1034" i="10"/>
  <c r="F1033" i="10"/>
  <c r="F1033" i="10" a="1"/>
  <c r="E1033" i="10"/>
  <c r="F1032" i="10"/>
  <c r="F1032" i="10" a="1"/>
  <c r="E1032" i="10"/>
  <c r="F1031" i="10"/>
  <c r="F1031" i="10" a="1"/>
  <c r="E1031" i="10"/>
  <c r="F1030" i="10"/>
  <c r="F1030" i="10" a="1"/>
  <c r="E1030" i="10"/>
  <c r="F1029" i="10"/>
  <c r="F1029" i="10" a="1"/>
  <c r="E1029" i="10"/>
  <c r="F1028" i="10"/>
  <c r="F1028" i="10" a="1"/>
  <c r="E1028" i="10"/>
  <c r="F1027" i="10"/>
  <c r="F1027" i="10" a="1"/>
  <c r="E1027" i="10"/>
  <c r="F1026" i="10"/>
  <c r="F1026" i="10" a="1"/>
  <c r="E1026" i="10"/>
  <c r="F1025" i="10"/>
  <c r="F1025" i="10" a="1"/>
  <c r="E1025" i="10"/>
  <c r="F1024" i="10"/>
  <c r="F1024" i="10" a="1"/>
  <c r="E1024" i="10"/>
  <c r="F1023" i="10"/>
  <c r="F1023" i="10" a="1"/>
  <c r="E1023" i="10"/>
  <c r="F1022" i="10"/>
  <c r="F1022" i="10" a="1"/>
  <c r="E1022" i="10"/>
  <c r="F1021" i="10"/>
  <c r="F1021" i="10" a="1"/>
  <c r="E1021" i="10"/>
  <c r="F1020" i="10"/>
  <c r="F1020" i="10" a="1"/>
  <c r="E1020" i="10"/>
  <c r="F1019" i="10"/>
  <c r="F1019" i="10" a="1"/>
  <c r="E1019" i="10"/>
  <c r="F1018" i="10"/>
  <c r="F1018" i="10" a="1"/>
  <c r="E1018" i="10"/>
  <c r="F1017" i="10"/>
  <c r="F1017" i="10" a="1"/>
  <c r="E1017" i="10"/>
  <c r="F1016" i="10"/>
  <c r="F1016" i="10" a="1"/>
  <c r="E1016" i="10"/>
  <c r="F1015" i="10"/>
  <c r="F1015" i="10" a="1"/>
  <c r="E1015" i="10"/>
  <c r="F1014" i="10"/>
  <c r="F1014" i="10" a="1"/>
  <c r="E1014" i="10"/>
  <c r="F1013" i="10"/>
  <c r="F1013" i="10" a="1"/>
  <c r="E1013" i="10"/>
  <c r="F1012" i="10"/>
  <c r="F1012" i="10" a="1"/>
  <c r="E1012" i="10"/>
  <c r="F1011" i="10"/>
  <c r="F1011" i="10" a="1"/>
  <c r="E1011" i="10"/>
  <c r="F1010" i="10"/>
  <c r="F1010" i="10" a="1"/>
  <c r="E1010" i="10"/>
  <c r="F1009" i="10"/>
  <c r="F1009" i="10" a="1"/>
  <c r="E1009" i="10"/>
  <c r="F1008" i="10"/>
  <c r="F1008" i="10" a="1"/>
  <c r="E1008" i="10"/>
  <c r="F1007" i="10"/>
  <c r="F1007" i="10" a="1"/>
  <c r="E1007" i="10"/>
  <c r="F1006" i="10"/>
  <c r="F1006" i="10" a="1"/>
  <c r="E1006" i="10"/>
  <c r="F1005" i="10"/>
  <c r="F1005" i="10" a="1"/>
  <c r="E1005" i="10"/>
  <c r="F1004" i="10"/>
  <c r="F1004" i="10" a="1"/>
  <c r="E1004" i="10"/>
  <c r="F1003" i="10"/>
  <c r="F1003" i="10" a="1"/>
  <c r="E1003" i="10"/>
  <c r="F1002" i="10"/>
  <c r="F1002" i="10" a="1"/>
  <c r="E1002" i="10"/>
  <c r="F1001" i="10"/>
  <c r="F1001" i="10" a="1"/>
  <c r="E1001" i="10"/>
  <c r="F1000" i="10"/>
  <c r="F1000" i="10" a="1"/>
  <c r="E1000" i="10"/>
  <c r="F999" i="10"/>
  <c r="F999" i="10" a="1"/>
  <c r="E999" i="10"/>
  <c r="F998" i="10"/>
  <c r="F998" i="10" a="1"/>
  <c r="E998" i="10"/>
  <c r="F997" i="10"/>
  <c r="F997" i="10" a="1"/>
  <c r="E997" i="10"/>
  <c r="F996" i="10"/>
  <c r="F996" i="10" a="1"/>
  <c r="E996" i="10"/>
  <c r="F995" i="10"/>
  <c r="F995" i="10" a="1"/>
  <c r="E995" i="10"/>
  <c r="F994" i="10"/>
  <c r="F994" i="10" a="1"/>
  <c r="E994" i="10"/>
  <c r="F993" i="10"/>
  <c r="F993" i="10" a="1"/>
  <c r="E993" i="10"/>
  <c r="F992" i="10"/>
  <c r="F992" i="10" a="1"/>
  <c r="E992" i="10"/>
  <c r="F991" i="10"/>
  <c r="F991" i="10" a="1"/>
  <c r="E991" i="10"/>
  <c r="F990" i="10"/>
  <c r="F990" i="10" a="1"/>
  <c r="E990" i="10"/>
  <c r="F989" i="10"/>
  <c r="F989" i="10" a="1"/>
  <c r="E989" i="10"/>
  <c r="F988" i="10"/>
  <c r="F988" i="10" a="1"/>
  <c r="E988" i="10"/>
  <c r="F987" i="10"/>
  <c r="F987" i="10" a="1"/>
  <c r="E987" i="10"/>
  <c r="F986" i="10"/>
  <c r="F986" i="10" a="1"/>
  <c r="E986" i="10"/>
  <c r="F985" i="10"/>
  <c r="F985" i="10" a="1"/>
  <c r="E985" i="10"/>
  <c r="F984" i="10"/>
  <c r="F984" i="10" a="1"/>
  <c r="E984" i="10"/>
  <c r="F983" i="10"/>
  <c r="F983" i="10" a="1"/>
  <c r="E983" i="10"/>
  <c r="F982" i="10"/>
  <c r="F982" i="10" a="1"/>
  <c r="E982" i="10"/>
  <c r="F981" i="10"/>
  <c r="F981" i="10" a="1"/>
  <c r="E981" i="10"/>
  <c r="F980" i="10"/>
  <c r="F980" i="10" a="1"/>
  <c r="E980" i="10"/>
  <c r="F979" i="10"/>
  <c r="F979" i="10" a="1"/>
  <c r="E979" i="10"/>
  <c r="F978" i="10"/>
  <c r="F978" i="10" a="1"/>
  <c r="E978" i="10"/>
  <c r="F977" i="10"/>
  <c r="F977" i="10" a="1"/>
  <c r="E977" i="10"/>
  <c r="F976" i="10"/>
  <c r="F976" i="10" a="1"/>
  <c r="E976" i="10"/>
  <c r="F975" i="10"/>
  <c r="F975" i="10" a="1"/>
  <c r="E975" i="10"/>
  <c r="F974" i="10"/>
  <c r="F974" i="10" a="1"/>
  <c r="E974" i="10"/>
  <c r="F973" i="10"/>
  <c r="F973" i="10" a="1"/>
  <c r="E973" i="10"/>
  <c r="F972" i="10"/>
  <c r="F972" i="10" a="1"/>
  <c r="E972" i="10"/>
  <c r="F971" i="10"/>
  <c r="F971" i="10" a="1"/>
  <c r="E971" i="10"/>
  <c r="F970" i="10"/>
  <c r="F970" i="10" a="1"/>
  <c r="E970" i="10"/>
  <c r="F969" i="10"/>
  <c r="F969" i="10" a="1"/>
  <c r="E969" i="10"/>
  <c r="F968" i="10"/>
  <c r="F968" i="10" a="1"/>
  <c r="E968" i="10"/>
  <c r="F967" i="10"/>
  <c r="F967" i="10" a="1"/>
  <c r="E967" i="10"/>
  <c r="F966" i="10"/>
  <c r="F966" i="10" a="1"/>
  <c r="E966" i="10"/>
  <c r="F965" i="10"/>
  <c r="F965" i="10" a="1"/>
  <c r="E965" i="10"/>
  <c r="F964" i="10"/>
  <c r="F964" i="10" a="1"/>
  <c r="E964" i="10"/>
  <c r="F963" i="10"/>
  <c r="F963" i="10" a="1"/>
  <c r="E963" i="10"/>
  <c r="F962" i="10"/>
  <c r="F962" i="10" a="1"/>
  <c r="E962" i="10"/>
  <c r="F961" i="10"/>
  <c r="F961" i="10" a="1"/>
  <c r="E961" i="10"/>
  <c r="F960" i="10"/>
  <c r="F960" i="10" a="1"/>
  <c r="E960" i="10"/>
  <c r="F959" i="10"/>
  <c r="F959" i="10" a="1"/>
  <c r="E959" i="10"/>
  <c r="F958" i="10"/>
  <c r="F958" i="10" a="1"/>
  <c r="E958" i="10"/>
  <c r="F957" i="10"/>
  <c r="F957" i="10" a="1"/>
  <c r="E957" i="10"/>
  <c r="F956" i="10"/>
  <c r="F956" i="10" a="1"/>
  <c r="E956" i="10"/>
  <c r="F955" i="10"/>
  <c r="F955" i="10" a="1"/>
  <c r="E955" i="10"/>
  <c r="F954" i="10"/>
  <c r="F954" i="10" a="1"/>
  <c r="E954" i="10"/>
  <c r="F953" i="10"/>
  <c r="F953" i="10" a="1"/>
  <c r="E953" i="10"/>
  <c r="F952" i="10"/>
  <c r="F952" i="10" a="1"/>
  <c r="E952" i="10"/>
  <c r="F951" i="10"/>
  <c r="F951" i="10" a="1"/>
  <c r="E951" i="10"/>
  <c r="F950" i="10"/>
  <c r="F950" i="10" a="1"/>
  <c r="E950" i="10"/>
  <c r="F949" i="10"/>
  <c r="F949" i="10" a="1"/>
  <c r="E949" i="10"/>
  <c r="F948" i="10"/>
  <c r="F948" i="10" a="1"/>
  <c r="E948" i="10"/>
  <c r="F947" i="10"/>
  <c r="F947" i="10" a="1"/>
  <c r="E947" i="10"/>
  <c r="F946" i="10"/>
  <c r="F946" i="10" a="1"/>
  <c r="E946" i="10"/>
  <c r="F945" i="10"/>
  <c r="F945" i="10" a="1"/>
  <c r="E945" i="10"/>
  <c r="F944" i="10"/>
  <c r="F944" i="10" a="1"/>
  <c r="E944" i="10"/>
  <c r="F943" i="10"/>
  <c r="F943" i="10" a="1"/>
  <c r="E943" i="10"/>
  <c r="F942" i="10"/>
  <c r="F942" i="10" a="1"/>
  <c r="E942" i="10"/>
  <c r="F941" i="10"/>
  <c r="F941" i="10" a="1"/>
  <c r="E941" i="10"/>
  <c r="F940" i="10"/>
  <c r="F940" i="10" a="1"/>
  <c r="E940" i="10"/>
  <c r="F939" i="10"/>
  <c r="F939" i="10" a="1"/>
  <c r="E939" i="10"/>
  <c r="F938" i="10"/>
  <c r="F938" i="10" a="1"/>
  <c r="E938" i="10"/>
  <c r="F937" i="10"/>
  <c r="F937" i="10" a="1"/>
  <c r="E937" i="10"/>
  <c r="F936" i="10"/>
  <c r="F936" i="10" a="1"/>
  <c r="E936" i="10"/>
  <c r="F935" i="10"/>
  <c r="F935" i="10" a="1"/>
  <c r="E935" i="10"/>
  <c r="F934" i="10"/>
  <c r="F934" i="10" a="1"/>
  <c r="E934" i="10"/>
  <c r="F933" i="10"/>
  <c r="F933" i="10" a="1"/>
  <c r="E933" i="10"/>
  <c r="F932" i="10"/>
  <c r="F932" i="10" a="1"/>
  <c r="E932" i="10"/>
  <c r="F931" i="10"/>
  <c r="F931" i="10" a="1"/>
  <c r="E931" i="10"/>
  <c r="F930" i="10"/>
  <c r="F930" i="10" a="1"/>
  <c r="E930" i="10"/>
  <c r="F929" i="10"/>
  <c r="F929" i="10" a="1"/>
  <c r="E929" i="10"/>
  <c r="F928" i="10"/>
  <c r="F928" i="10" a="1"/>
  <c r="E928" i="10"/>
  <c r="F927" i="10"/>
  <c r="F927" i="10" a="1"/>
  <c r="E927" i="10"/>
  <c r="F926" i="10"/>
  <c r="F926" i="10" a="1"/>
  <c r="E926" i="10"/>
  <c r="F925" i="10"/>
  <c r="F925" i="10" a="1"/>
  <c r="E925" i="10"/>
  <c r="F924" i="10"/>
  <c r="F924" i="10" a="1"/>
  <c r="E924" i="10"/>
  <c r="F923" i="10"/>
  <c r="F923" i="10" a="1"/>
  <c r="E923" i="10"/>
  <c r="F922" i="10"/>
  <c r="F922" i="10" a="1"/>
  <c r="E922" i="10"/>
  <c r="F921" i="10"/>
  <c r="F921" i="10" a="1"/>
  <c r="E921" i="10"/>
  <c r="F920" i="10"/>
  <c r="F920" i="10" a="1"/>
  <c r="E920" i="10"/>
  <c r="F919" i="10"/>
  <c r="F919" i="10" a="1"/>
  <c r="E919" i="10"/>
  <c r="F918" i="10"/>
  <c r="F918" i="10" a="1"/>
  <c r="E918" i="10"/>
  <c r="F917" i="10"/>
  <c r="F917" i="10" a="1"/>
  <c r="E917" i="10"/>
  <c r="F916" i="10"/>
  <c r="F916" i="10" a="1"/>
  <c r="E916" i="10"/>
  <c r="F915" i="10"/>
  <c r="F915" i="10" a="1"/>
  <c r="E915" i="10"/>
  <c r="F914" i="10"/>
  <c r="F914" i="10" a="1"/>
  <c r="E914" i="10"/>
  <c r="F913" i="10"/>
  <c r="F913" i="10" a="1"/>
  <c r="E913" i="10"/>
  <c r="F912" i="10"/>
  <c r="F912" i="10" a="1"/>
  <c r="E912" i="10"/>
  <c r="F911" i="10"/>
  <c r="F911" i="10" a="1"/>
  <c r="E911" i="10"/>
  <c r="F910" i="10"/>
  <c r="F910" i="10" a="1"/>
  <c r="E910" i="10"/>
  <c r="F909" i="10"/>
  <c r="F909" i="10" a="1"/>
  <c r="E909" i="10"/>
  <c r="F908" i="10"/>
  <c r="F908" i="10" a="1"/>
  <c r="E908" i="10"/>
  <c r="F907" i="10"/>
  <c r="F907" i="10" a="1"/>
  <c r="E907" i="10"/>
  <c r="F906" i="10"/>
  <c r="F906" i="10" a="1"/>
  <c r="E906" i="10"/>
  <c r="F905" i="10"/>
  <c r="F905" i="10" a="1"/>
  <c r="E905" i="10"/>
  <c r="F904" i="10"/>
  <c r="F904" i="10" a="1"/>
  <c r="E904" i="10"/>
  <c r="F903" i="10"/>
  <c r="F903" i="10" a="1"/>
  <c r="E903" i="10"/>
  <c r="F902" i="10"/>
  <c r="F902" i="10" a="1"/>
  <c r="E902" i="10"/>
  <c r="F901" i="10"/>
  <c r="F901" i="10" a="1"/>
  <c r="E901" i="10"/>
  <c r="F900" i="10"/>
  <c r="F900" i="10" a="1"/>
  <c r="E900" i="10"/>
  <c r="F899" i="10"/>
  <c r="F899" i="10" a="1"/>
  <c r="E899" i="10"/>
  <c r="F898" i="10"/>
  <c r="F898" i="10" a="1"/>
  <c r="E898" i="10"/>
  <c r="F897" i="10"/>
  <c r="F897" i="10" a="1"/>
  <c r="E897" i="10"/>
  <c r="F896" i="10"/>
  <c r="F896" i="10" a="1"/>
  <c r="E896" i="10"/>
  <c r="F895" i="10"/>
  <c r="F895" i="10" a="1"/>
  <c r="E895" i="10"/>
  <c r="F894" i="10"/>
  <c r="F894" i="10" a="1"/>
  <c r="E894" i="10"/>
  <c r="F893" i="10"/>
  <c r="F893" i="10" a="1"/>
  <c r="E893" i="10"/>
  <c r="F892" i="10"/>
  <c r="F892" i="10" a="1"/>
  <c r="E892" i="10"/>
  <c r="F891" i="10"/>
  <c r="F891" i="10" a="1"/>
  <c r="E891" i="10"/>
  <c r="F890" i="10"/>
  <c r="F890" i="10" a="1"/>
  <c r="E890" i="10"/>
  <c r="F889" i="10"/>
  <c r="F889" i="10" a="1"/>
  <c r="E889" i="10"/>
  <c r="F888" i="10"/>
  <c r="F888" i="10" a="1"/>
  <c r="E888" i="10"/>
  <c r="F887" i="10"/>
  <c r="F887" i="10" a="1"/>
  <c r="E887" i="10"/>
  <c r="F886" i="10"/>
  <c r="F886" i="10" a="1"/>
  <c r="E886" i="10"/>
  <c r="F885" i="10"/>
  <c r="F885" i="10" a="1"/>
  <c r="E885" i="10"/>
  <c r="F884" i="10"/>
  <c r="F884" i="10" a="1"/>
  <c r="E884" i="10"/>
  <c r="F883" i="10"/>
  <c r="F883" i="10" a="1"/>
  <c r="E883" i="10"/>
  <c r="F882" i="10"/>
  <c r="F882" i="10" a="1"/>
  <c r="E882" i="10"/>
  <c r="F881" i="10"/>
  <c r="F881" i="10" a="1"/>
  <c r="E881" i="10"/>
  <c r="F880" i="10"/>
  <c r="F880" i="10" a="1"/>
  <c r="E880" i="10"/>
  <c r="F879" i="10"/>
  <c r="F879" i="10" a="1"/>
  <c r="E879" i="10"/>
  <c r="F878" i="10"/>
  <c r="F878" i="10" a="1"/>
  <c r="E878" i="10"/>
  <c r="F877" i="10"/>
  <c r="F877" i="10" a="1"/>
  <c r="E877" i="10"/>
  <c r="F876" i="10"/>
  <c r="F876" i="10" a="1"/>
  <c r="E876" i="10"/>
  <c r="F875" i="10"/>
  <c r="F875" i="10" a="1"/>
  <c r="E875" i="10"/>
  <c r="F874" i="10"/>
  <c r="F874" i="10" a="1"/>
  <c r="E874" i="10"/>
  <c r="F873" i="10"/>
  <c r="F873" i="10" a="1"/>
  <c r="E873" i="10"/>
  <c r="F872" i="10"/>
  <c r="F872" i="10" a="1"/>
  <c r="E872" i="10"/>
  <c r="F871" i="10"/>
  <c r="F871" i="10" a="1"/>
  <c r="E871" i="10"/>
  <c r="F870" i="10"/>
  <c r="F870" i="10" a="1"/>
  <c r="E870" i="10"/>
  <c r="F869" i="10"/>
  <c r="F869" i="10" a="1"/>
  <c r="E869" i="10"/>
  <c r="F868" i="10"/>
  <c r="F868" i="10" a="1"/>
  <c r="E868" i="10"/>
  <c r="F867" i="10"/>
  <c r="F867" i="10" a="1"/>
  <c r="E867" i="10"/>
  <c r="F866" i="10"/>
  <c r="F866" i="10" a="1"/>
  <c r="E866" i="10"/>
  <c r="F865" i="10"/>
  <c r="F865" i="10" a="1"/>
  <c r="E865" i="10"/>
  <c r="F864" i="10"/>
  <c r="F864" i="10" a="1"/>
  <c r="E864" i="10"/>
  <c r="F863" i="10"/>
  <c r="F863" i="10" a="1"/>
  <c r="E863" i="10"/>
  <c r="F862" i="10"/>
  <c r="F862" i="10" a="1"/>
  <c r="E862" i="10"/>
  <c r="F861" i="10"/>
  <c r="F861" i="10" a="1"/>
  <c r="E861" i="10"/>
  <c r="F860" i="10"/>
  <c r="F860" i="10" a="1"/>
  <c r="E860" i="10"/>
  <c r="F859" i="10"/>
  <c r="F859" i="10" a="1"/>
  <c r="E859" i="10"/>
  <c r="F858" i="10"/>
  <c r="F858" i="10" a="1"/>
  <c r="E858" i="10"/>
  <c r="F857" i="10"/>
  <c r="F857" i="10" a="1"/>
  <c r="E857" i="10"/>
  <c r="F856" i="10"/>
  <c r="F856" i="10" a="1"/>
  <c r="E856" i="10"/>
  <c r="F855" i="10"/>
  <c r="F855" i="10" a="1"/>
  <c r="E855" i="10"/>
  <c r="F854" i="10"/>
  <c r="F854" i="10" a="1"/>
  <c r="E854" i="10"/>
  <c r="F853" i="10"/>
  <c r="F853" i="10" a="1"/>
  <c r="E853" i="10"/>
  <c r="F852" i="10"/>
  <c r="F852" i="10" a="1"/>
  <c r="E852" i="10"/>
  <c r="F851" i="10"/>
  <c r="F851" i="10" a="1"/>
  <c r="E851" i="10"/>
  <c r="F850" i="10"/>
  <c r="F850" i="10" a="1"/>
  <c r="E850" i="10"/>
  <c r="F849" i="10"/>
  <c r="F849" i="10" a="1"/>
  <c r="E849" i="10"/>
  <c r="F848" i="10"/>
  <c r="F848" i="10" a="1"/>
  <c r="E848" i="10"/>
  <c r="F847" i="10"/>
  <c r="F847" i="10" a="1"/>
  <c r="E847" i="10"/>
  <c r="F846" i="10"/>
  <c r="F846" i="10" a="1"/>
  <c r="E846" i="10"/>
  <c r="F845" i="10"/>
  <c r="F845" i="10" a="1"/>
  <c r="E845" i="10"/>
  <c r="F844" i="10"/>
  <c r="F844" i="10" a="1"/>
  <c r="E844" i="10"/>
  <c r="F843" i="10"/>
  <c r="F843" i="10" a="1"/>
  <c r="E843" i="10"/>
  <c r="F842" i="10"/>
  <c r="F842" i="10" a="1"/>
  <c r="E842" i="10"/>
  <c r="F841" i="10"/>
  <c r="F841" i="10" a="1"/>
  <c r="E841" i="10"/>
  <c r="F840" i="10"/>
  <c r="F840" i="10" a="1"/>
  <c r="E840" i="10"/>
  <c r="F839" i="10"/>
  <c r="F839" i="10" a="1"/>
  <c r="E839" i="10"/>
  <c r="F838" i="10"/>
  <c r="F838" i="10" a="1"/>
  <c r="E838" i="10"/>
  <c r="F837" i="10"/>
  <c r="F837" i="10" a="1"/>
  <c r="E837" i="10"/>
  <c r="F836" i="10"/>
  <c r="F836" i="10" a="1"/>
  <c r="E836" i="10"/>
  <c r="F835" i="10"/>
  <c r="F835" i="10" a="1"/>
  <c r="E835" i="10"/>
  <c r="F834" i="10"/>
  <c r="F834" i="10" a="1"/>
  <c r="E834" i="10"/>
  <c r="F833" i="10"/>
  <c r="F833" i="10" a="1"/>
  <c r="E833" i="10"/>
  <c r="F832" i="10"/>
  <c r="F832" i="10" a="1"/>
  <c r="E832" i="10"/>
  <c r="F831" i="10"/>
  <c r="F831" i="10" a="1"/>
  <c r="E831" i="10"/>
  <c r="F830" i="10"/>
  <c r="F830" i="10" a="1"/>
  <c r="E830" i="10"/>
  <c r="F829" i="10"/>
  <c r="F829" i="10" a="1"/>
  <c r="E829" i="10"/>
  <c r="F828" i="10"/>
  <c r="F828" i="10" a="1"/>
  <c r="E828" i="10"/>
  <c r="F827" i="10"/>
  <c r="F827" i="10" a="1"/>
  <c r="E827" i="10"/>
  <c r="F826" i="10"/>
  <c r="F826" i="10" a="1"/>
  <c r="E826" i="10"/>
  <c r="F825" i="10"/>
  <c r="F825" i="10" a="1"/>
  <c r="E825" i="10"/>
  <c r="F824" i="10"/>
  <c r="F824" i="10" a="1"/>
  <c r="E824" i="10"/>
  <c r="F823" i="10"/>
  <c r="F823" i="10" a="1"/>
  <c r="E823" i="10"/>
  <c r="F822" i="10"/>
  <c r="F822" i="10" a="1"/>
  <c r="E822" i="10"/>
  <c r="F821" i="10"/>
  <c r="F821" i="10" a="1"/>
  <c r="E821" i="10"/>
  <c r="F820" i="10"/>
  <c r="F820" i="10" a="1"/>
  <c r="E820" i="10"/>
  <c r="F819" i="10"/>
  <c r="F819" i="10" a="1"/>
  <c r="E819" i="10"/>
  <c r="F818" i="10"/>
  <c r="F818" i="10" a="1"/>
  <c r="E818" i="10"/>
  <c r="F817" i="10"/>
  <c r="F817" i="10" a="1"/>
  <c r="E817" i="10"/>
  <c r="F816" i="10"/>
  <c r="F816" i="10" a="1"/>
  <c r="E816" i="10"/>
  <c r="F815" i="10"/>
  <c r="F815" i="10" a="1"/>
  <c r="E815" i="10"/>
  <c r="F814" i="10"/>
  <c r="F814" i="10" a="1"/>
  <c r="E814" i="10"/>
  <c r="F813" i="10"/>
  <c r="F813" i="10" a="1"/>
  <c r="E813" i="10"/>
  <c r="F812" i="10"/>
  <c r="F812" i="10" a="1"/>
  <c r="E812" i="10"/>
  <c r="F811" i="10"/>
  <c r="F811" i="10" a="1"/>
  <c r="E811" i="10"/>
  <c r="F810" i="10"/>
  <c r="F810" i="10" a="1"/>
  <c r="E810" i="10"/>
  <c r="F809" i="10"/>
  <c r="F809" i="10" a="1"/>
  <c r="E809" i="10"/>
  <c r="F808" i="10"/>
  <c r="F808" i="10" a="1"/>
  <c r="E808" i="10"/>
  <c r="F807" i="10"/>
  <c r="F807" i="10" a="1"/>
  <c r="E807" i="10"/>
  <c r="F806" i="10"/>
  <c r="F806" i="10" a="1"/>
  <c r="E806" i="10"/>
  <c r="F805" i="10"/>
  <c r="F805" i="10" a="1"/>
  <c r="E805" i="10"/>
  <c r="F804" i="10"/>
  <c r="F804" i="10" a="1"/>
  <c r="E804" i="10"/>
  <c r="F803" i="10"/>
  <c r="F803" i="10" a="1"/>
  <c r="E803" i="10"/>
  <c r="F802" i="10"/>
  <c r="F802" i="10" a="1"/>
  <c r="E802" i="10"/>
  <c r="F801" i="10"/>
  <c r="F801" i="10" a="1"/>
  <c r="E801" i="10"/>
  <c r="F800" i="10"/>
  <c r="F800" i="10" a="1"/>
  <c r="E800" i="10"/>
  <c r="F799" i="10"/>
  <c r="F799" i="10" a="1"/>
  <c r="E799" i="10"/>
  <c r="F798" i="10"/>
  <c r="F798" i="10" a="1"/>
  <c r="E798" i="10"/>
  <c r="F797" i="10"/>
  <c r="F797" i="10" a="1"/>
  <c r="E797" i="10"/>
  <c r="F796" i="10"/>
  <c r="F796" i="10" a="1"/>
  <c r="E796" i="10"/>
  <c r="F795" i="10"/>
  <c r="F795" i="10" a="1"/>
  <c r="E795" i="10"/>
  <c r="F794" i="10"/>
  <c r="F794" i="10" a="1"/>
  <c r="E794" i="10"/>
  <c r="F793" i="10"/>
  <c r="F793" i="10" a="1"/>
  <c r="E793" i="10"/>
  <c r="F792" i="10"/>
  <c r="F792" i="10" a="1"/>
  <c r="E792" i="10"/>
  <c r="F791" i="10"/>
  <c r="F791" i="10" a="1"/>
  <c r="E791" i="10"/>
  <c r="F790" i="10"/>
  <c r="F790" i="10" a="1"/>
  <c r="E790" i="10"/>
  <c r="F789" i="10"/>
  <c r="F789" i="10" a="1"/>
  <c r="E789" i="10"/>
  <c r="F788" i="10"/>
  <c r="F788" i="10" a="1"/>
  <c r="E788" i="10"/>
  <c r="F787" i="10"/>
  <c r="F787" i="10" a="1"/>
  <c r="E787" i="10"/>
  <c r="F786" i="10"/>
  <c r="F786" i="10" a="1"/>
  <c r="E786" i="10"/>
  <c r="F785" i="10"/>
  <c r="F785" i="10" a="1"/>
  <c r="E785" i="10"/>
  <c r="F784" i="10"/>
  <c r="F784" i="10" a="1"/>
  <c r="E784" i="10"/>
  <c r="F783" i="10"/>
  <c r="F783" i="10" a="1"/>
  <c r="E783" i="10"/>
  <c r="F782" i="10"/>
  <c r="F782" i="10" a="1"/>
  <c r="E782" i="10"/>
  <c r="F781" i="10"/>
  <c r="F781" i="10" a="1"/>
  <c r="E781" i="10"/>
  <c r="F780" i="10"/>
  <c r="F780" i="10" a="1"/>
  <c r="E780" i="10"/>
  <c r="F779" i="10"/>
  <c r="F779" i="10" a="1"/>
  <c r="E779" i="10"/>
  <c r="F778" i="10"/>
  <c r="F778" i="10" a="1"/>
  <c r="E778" i="10"/>
  <c r="F777" i="10"/>
  <c r="F777" i="10" a="1"/>
  <c r="E777" i="10"/>
  <c r="F776" i="10"/>
  <c r="F776" i="10" a="1"/>
  <c r="E776" i="10"/>
  <c r="F775" i="10"/>
  <c r="F775" i="10" a="1"/>
  <c r="E775" i="10"/>
  <c r="F774" i="10"/>
  <c r="F774" i="10" a="1"/>
  <c r="E774" i="10"/>
  <c r="F773" i="10"/>
  <c r="F773" i="10" a="1"/>
  <c r="E773" i="10"/>
  <c r="F772" i="10"/>
  <c r="F772" i="10" a="1"/>
  <c r="E772" i="10"/>
  <c r="F771" i="10"/>
  <c r="F771" i="10" a="1"/>
  <c r="E771" i="10"/>
  <c r="F770" i="10"/>
  <c r="F770" i="10" a="1"/>
  <c r="E770" i="10"/>
  <c r="F769" i="10"/>
  <c r="F769" i="10" a="1"/>
  <c r="E769" i="10"/>
  <c r="F768" i="10"/>
  <c r="F768" i="10" a="1"/>
  <c r="E768" i="10"/>
  <c r="F767" i="10"/>
  <c r="F767" i="10" a="1"/>
  <c r="E767" i="10"/>
  <c r="F766" i="10"/>
  <c r="F766" i="10" a="1"/>
  <c r="E766" i="10"/>
  <c r="F765" i="10"/>
  <c r="F765" i="10" a="1"/>
  <c r="E765" i="10"/>
  <c r="F764" i="10"/>
  <c r="F764" i="10" a="1"/>
  <c r="E764" i="10"/>
  <c r="F763" i="10"/>
  <c r="F763" i="10" a="1"/>
  <c r="E763" i="10"/>
  <c r="F762" i="10"/>
  <c r="F762" i="10" a="1"/>
  <c r="E762" i="10"/>
  <c r="F761" i="10"/>
  <c r="F761" i="10" a="1"/>
  <c r="E761" i="10"/>
  <c r="F760" i="10"/>
  <c r="F760" i="10" a="1"/>
  <c r="E760" i="10"/>
  <c r="F759" i="10"/>
  <c r="F759" i="10" a="1"/>
  <c r="E759" i="10"/>
  <c r="F758" i="10"/>
  <c r="F758" i="10" a="1"/>
  <c r="E758" i="10"/>
  <c r="F757" i="10"/>
  <c r="F757" i="10" a="1"/>
  <c r="E757" i="10"/>
  <c r="F756" i="10"/>
  <c r="F756" i="10" a="1"/>
  <c r="E756" i="10"/>
  <c r="F755" i="10"/>
  <c r="F755" i="10" a="1"/>
  <c r="E755" i="10"/>
  <c r="F754" i="10"/>
  <c r="F754" i="10" a="1"/>
  <c r="E754" i="10"/>
  <c r="F753" i="10"/>
  <c r="F753" i="10" a="1"/>
  <c r="E753" i="10"/>
  <c r="F752" i="10"/>
  <c r="F752" i="10" a="1"/>
  <c r="E752" i="10"/>
  <c r="F751" i="10"/>
  <c r="F751" i="10" a="1"/>
  <c r="E751" i="10"/>
  <c r="F750" i="10"/>
  <c r="F750" i="10" a="1"/>
  <c r="E750" i="10"/>
  <c r="F749" i="10"/>
  <c r="F749" i="10" a="1"/>
  <c r="E749" i="10"/>
  <c r="F748" i="10"/>
  <c r="F748" i="10" a="1"/>
  <c r="E748" i="10"/>
  <c r="F747" i="10"/>
  <c r="F747" i="10" a="1"/>
  <c r="E747" i="10"/>
  <c r="F746" i="10"/>
  <c r="F746" i="10" a="1"/>
  <c r="E746" i="10"/>
  <c r="F745" i="10"/>
  <c r="F745" i="10" a="1"/>
  <c r="E745" i="10"/>
  <c r="F744" i="10"/>
  <c r="F744" i="10" a="1"/>
  <c r="E744" i="10"/>
  <c r="F743" i="10"/>
  <c r="F743" i="10" a="1"/>
  <c r="E743" i="10"/>
  <c r="F742" i="10"/>
  <c r="F742" i="10" a="1"/>
  <c r="E742" i="10"/>
  <c r="F741" i="10"/>
  <c r="F741" i="10" a="1"/>
  <c r="E741" i="10"/>
  <c r="F740" i="10"/>
  <c r="F740" i="10" a="1"/>
  <c r="E740" i="10"/>
  <c r="F739" i="10"/>
  <c r="F739" i="10" a="1"/>
  <c r="E739" i="10"/>
  <c r="F738" i="10"/>
  <c r="F738" i="10" a="1"/>
  <c r="E738" i="10"/>
  <c r="F737" i="10"/>
  <c r="F737" i="10" a="1"/>
  <c r="E737" i="10"/>
  <c r="F736" i="10"/>
  <c r="F736" i="10" a="1"/>
  <c r="E736" i="10"/>
  <c r="F735" i="10"/>
  <c r="F735" i="10" a="1"/>
  <c r="E735" i="10"/>
  <c r="F734" i="10"/>
  <c r="F734" i="10" a="1"/>
  <c r="E734" i="10"/>
  <c r="F733" i="10"/>
  <c r="F733" i="10" a="1"/>
  <c r="E733" i="10"/>
  <c r="F732" i="10"/>
  <c r="F732" i="10" a="1"/>
  <c r="E732" i="10"/>
  <c r="F731" i="10"/>
  <c r="F731" i="10" a="1"/>
  <c r="E731" i="10"/>
  <c r="F730" i="10"/>
  <c r="F730" i="10" a="1"/>
  <c r="E730" i="10"/>
  <c r="F729" i="10"/>
  <c r="F729" i="10" a="1"/>
  <c r="E729" i="10"/>
  <c r="F728" i="10"/>
  <c r="F728" i="10" a="1"/>
  <c r="E728" i="10"/>
  <c r="F727" i="10"/>
  <c r="F727" i="10" a="1"/>
  <c r="E727" i="10"/>
  <c r="F726" i="10"/>
  <c r="F726" i="10" a="1"/>
  <c r="E726" i="10"/>
  <c r="F725" i="10"/>
  <c r="F725" i="10" a="1"/>
  <c r="E725" i="10"/>
  <c r="F724" i="10"/>
  <c r="F724" i="10" a="1"/>
  <c r="E724" i="10"/>
  <c r="F723" i="10"/>
  <c r="F723" i="10" a="1"/>
  <c r="E723" i="10"/>
  <c r="F722" i="10"/>
  <c r="F722" i="10" a="1"/>
  <c r="E722" i="10"/>
  <c r="F721" i="10"/>
  <c r="F721" i="10" a="1"/>
  <c r="E721" i="10"/>
  <c r="F720" i="10"/>
  <c r="F720" i="10" a="1"/>
  <c r="E720" i="10"/>
  <c r="F719" i="10"/>
  <c r="F719" i="10" a="1"/>
  <c r="E719" i="10"/>
  <c r="F718" i="10"/>
  <c r="F718" i="10" a="1"/>
  <c r="E718" i="10"/>
  <c r="F717" i="10"/>
  <c r="F717" i="10" a="1"/>
  <c r="E717" i="10"/>
  <c r="F716" i="10"/>
  <c r="F716" i="10" a="1"/>
  <c r="E716" i="10"/>
  <c r="F715" i="10"/>
  <c r="F715" i="10" a="1"/>
  <c r="E715" i="10"/>
  <c r="F714" i="10"/>
  <c r="F714" i="10" a="1"/>
  <c r="E714" i="10"/>
  <c r="F713" i="10"/>
  <c r="F713" i="10" a="1"/>
  <c r="E713" i="10"/>
  <c r="F712" i="10"/>
  <c r="F712" i="10" a="1"/>
  <c r="E712" i="10"/>
  <c r="F711" i="10"/>
  <c r="F711" i="10" a="1"/>
  <c r="E711" i="10"/>
  <c r="F710" i="10"/>
  <c r="F710" i="10" a="1"/>
  <c r="E710" i="10"/>
  <c r="F709" i="10"/>
  <c r="F709" i="10" a="1"/>
  <c r="E709" i="10"/>
  <c r="F708" i="10"/>
  <c r="F708" i="10" a="1"/>
  <c r="E708" i="10"/>
  <c r="F707" i="10"/>
  <c r="F707" i="10" a="1"/>
  <c r="E707" i="10"/>
  <c r="F706" i="10"/>
  <c r="F706" i="10" a="1"/>
  <c r="E706" i="10"/>
  <c r="F705" i="10"/>
  <c r="F705" i="10" a="1"/>
  <c r="E705" i="10"/>
  <c r="F704" i="10"/>
  <c r="F704" i="10" a="1"/>
  <c r="E704" i="10"/>
  <c r="F703" i="10"/>
  <c r="F703" i="10" a="1"/>
  <c r="E703" i="10"/>
  <c r="F702" i="10"/>
  <c r="F702" i="10" a="1"/>
  <c r="E702" i="10"/>
  <c r="F701" i="10"/>
  <c r="F701" i="10" a="1"/>
  <c r="E701" i="10"/>
  <c r="F700" i="10"/>
  <c r="F700" i="10" a="1"/>
  <c r="E700" i="10"/>
  <c r="F699" i="10"/>
  <c r="F699" i="10" a="1"/>
  <c r="E699" i="10"/>
  <c r="F698" i="10"/>
  <c r="F698" i="10" a="1"/>
  <c r="E698" i="10"/>
  <c r="F697" i="10"/>
  <c r="F697" i="10" a="1"/>
  <c r="E697" i="10"/>
  <c r="F696" i="10"/>
  <c r="F696" i="10" a="1"/>
  <c r="E696" i="10"/>
  <c r="F695" i="10"/>
  <c r="F695" i="10" a="1"/>
  <c r="E695" i="10"/>
  <c r="F694" i="10"/>
  <c r="F694" i="10" a="1"/>
  <c r="E694" i="10"/>
  <c r="F693" i="10"/>
  <c r="F693" i="10" a="1"/>
  <c r="E693" i="10"/>
  <c r="F692" i="10"/>
  <c r="F692" i="10" a="1"/>
  <c r="E692" i="10"/>
  <c r="F691" i="10"/>
  <c r="F691" i="10" a="1"/>
  <c r="E691" i="10"/>
  <c r="F690" i="10"/>
  <c r="F690" i="10" a="1"/>
  <c r="E690" i="10"/>
  <c r="F689" i="10"/>
  <c r="F689" i="10" a="1"/>
  <c r="E689" i="10"/>
  <c r="F688" i="10"/>
  <c r="F688" i="10" a="1"/>
  <c r="E688" i="10"/>
  <c r="F687" i="10"/>
  <c r="F687" i="10" a="1"/>
  <c r="E687" i="10"/>
  <c r="F686" i="10"/>
  <c r="F686" i="10" a="1"/>
  <c r="E686" i="10"/>
  <c r="F685" i="10"/>
  <c r="F685" i="10" a="1"/>
  <c r="E685" i="10"/>
  <c r="F684" i="10"/>
  <c r="F684" i="10" a="1"/>
  <c r="E684" i="10"/>
  <c r="F683" i="10"/>
  <c r="F683" i="10" a="1"/>
  <c r="E683" i="10"/>
  <c r="F682" i="10"/>
  <c r="F682" i="10" a="1"/>
  <c r="E682" i="10"/>
  <c r="F681" i="10"/>
  <c r="F681" i="10" a="1"/>
  <c r="E681" i="10"/>
  <c r="F680" i="10"/>
  <c r="F680" i="10" a="1"/>
  <c r="E680" i="10"/>
  <c r="F679" i="10"/>
  <c r="F679" i="10" a="1"/>
  <c r="E679" i="10"/>
  <c r="F678" i="10"/>
  <c r="F678" i="10" a="1"/>
  <c r="E678" i="10"/>
  <c r="F677" i="10"/>
  <c r="F677" i="10" a="1"/>
  <c r="E677" i="10"/>
  <c r="F676" i="10"/>
  <c r="F676" i="10" a="1"/>
  <c r="E676" i="10"/>
  <c r="F675" i="10"/>
  <c r="F675" i="10" a="1"/>
  <c r="E675" i="10"/>
  <c r="F674" i="10"/>
  <c r="F674" i="10" a="1"/>
  <c r="E674" i="10"/>
  <c r="F673" i="10"/>
  <c r="F673" i="10" a="1"/>
  <c r="E673" i="10"/>
  <c r="F672" i="10"/>
  <c r="F672" i="10" a="1"/>
  <c r="E672" i="10"/>
  <c r="F671" i="10"/>
  <c r="F671" i="10" a="1"/>
  <c r="E671" i="10"/>
  <c r="F670" i="10"/>
  <c r="F670" i="10" a="1"/>
  <c r="E670" i="10"/>
  <c r="F669" i="10"/>
  <c r="F669" i="10" a="1"/>
  <c r="E669" i="10"/>
  <c r="F668" i="10"/>
  <c r="F668" i="10" a="1"/>
  <c r="E668" i="10"/>
  <c r="F667" i="10"/>
  <c r="F667" i="10" a="1"/>
  <c r="E667" i="10"/>
  <c r="F666" i="10"/>
  <c r="F666" i="10" a="1"/>
  <c r="E666" i="10"/>
  <c r="F665" i="10"/>
  <c r="F665" i="10" a="1"/>
  <c r="E665" i="10"/>
  <c r="F664" i="10"/>
  <c r="F664" i="10" a="1"/>
  <c r="E664" i="10"/>
  <c r="F663" i="10"/>
  <c r="F663" i="10" a="1"/>
  <c r="E663" i="10"/>
  <c r="F662" i="10"/>
  <c r="F662" i="10" a="1"/>
  <c r="E662" i="10"/>
  <c r="F661" i="10"/>
  <c r="F661" i="10" a="1"/>
  <c r="E661" i="10"/>
  <c r="F660" i="10"/>
  <c r="F660" i="10" a="1"/>
  <c r="E660" i="10"/>
  <c r="F659" i="10"/>
  <c r="F659" i="10" a="1"/>
  <c r="E659" i="10"/>
  <c r="F658" i="10"/>
  <c r="F658" i="10" a="1"/>
  <c r="E658" i="10"/>
  <c r="F657" i="10"/>
  <c r="F657" i="10" a="1"/>
  <c r="E657" i="10"/>
  <c r="F656" i="10"/>
  <c r="F656" i="10" a="1"/>
  <c r="E656" i="10"/>
  <c r="F655" i="10"/>
  <c r="F655" i="10" a="1"/>
  <c r="E655" i="10"/>
  <c r="F654" i="10"/>
  <c r="F654" i="10" a="1"/>
  <c r="E654" i="10"/>
  <c r="F653" i="10"/>
  <c r="F653" i="10" a="1"/>
  <c r="E653" i="10"/>
  <c r="F652" i="10"/>
  <c r="F652" i="10" a="1"/>
  <c r="E652" i="10"/>
  <c r="F651" i="10"/>
  <c r="F651" i="10" a="1"/>
  <c r="E651" i="10"/>
  <c r="F650" i="10"/>
  <c r="F650" i="10" a="1"/>
  <c r="E650" i="10"/>
  <c r="F649" i="10"/>
  <c r="F649" i="10" a="1"/>
  <c r="E649" i="10"/>
  <c r="F648" i="10"/>
  <c r="F648" i="10" a="1"/>
  <c r="E648" i="10"/>
  <c r="F647" i="10"/>
  <c r="F647" i="10" a="1"/>
  <c r="E647" i="10"/>
  <c r="F646" i="10"/>
  <c r="F646" i="10" a="1"/>
  <c r="E646" i="10"/>
  <c r="F645" i="10"/>
  <c r="F645" i="10" a="1"/>
  <c r="E645" i="10"/>
  <c r="F644" i="10"/>
  <c r="F644" i="10" a="1"/>
  <c r="E644" i="10"/>
  <c r="F643" i="10"/>
  <c r="F643" i="10" a="1"/>
  <c r="E643" i="10"/>
  <c r="F642" i="10"/>
  <c r="F642" i="10" a="1"/>
  <c r="E642" i="10"/>
  <c r="F641" i="10"/>
  <c r="F641" i="10" a="1"/>
  <c r="E641" i="10"/>
  <c r="F640" i="10"/>
  <c r="F640" i="10" a="1"/>
  <c r="E640" i="10"/>
  <c r="F639" i="10"/>
  <c r="F639" i="10" a="1"/>
  <c r="E639" i="10"/>
  <c r="F638" i="10"/>
  <c r="F638" i="10" a="1"/>
  <c r="E638" i="10"/>
  <c r="F637" i="10"/>
  <c r="F637" i="10" a="1"/>
  <c r="E637" i="10"/>
  <c r="F636" i="10"/>
  <c r="F636" i="10" a="1"/>
  <c r="E636" i="10"/>
  <c r="F635" i="10"/>
  <c r="F635" i="10" a="1"/>
  <c r="E635" i="10"/>
  <c r="F634" i="10"/>
  <c r="F634" i="10" a="1"/>
  <c r="E634" i="10"/>
  <c r="F633" i="10"/>
  <c r="F633" i="10" a="1"/>
  <c r="E633" i="10"/>
  <c r="F632" i="10"/>
  <c r="F632" i="10" a="1"/>
  <c r="E632" i="10"/>
  <c r="F631" i="10"/>
  <c r="F631" i="10" a="1"/>
  <c r="E631" i="10"/>
  <c r="F630" i="10"/>
  <c r="F630" i="10" a="1"/>
  <c r="E630" i="10"/>
  <c r="F629" i="10"/>
  <c r="F629" i="10" a="1"/>
  <c r="E629" i="10"/>
  <c r="F628" i="10"/>
  <c r="F628" i="10" a="1"/>
  <c r="E628" i="10"/>
  <c r="F627" i="10"/>
  <c r="F627" i="10" a="1"/>
  <c r="E627" i="10"/>
  <c r="F626" i="10"/>
  <c r="F626" i="10" a="1"/>
  <c r="E626" i="10"/>
  <c r="F625" i="10"/>
  <c r="F625" i="10" a="1"/>
  <c r="E625" i="10"/>
  <c r="F624" i="10"/>
  <c r="F624" i="10" a="1"/>
  <c r="E624" i="10"/>
  <c r="F623" i="10"/>
  <c r="F623" i="10" a="1"/>
  <c r="E623" i="10"/>
  <c r="F622" i="10"/>
  <c r="F622" i="10" a="1"/>
  <c r="E622" i="10"/>
  <c r="F621" i="10"/>
  <c r="F621" i="10" a="1"/>
  <c r="E621" i="10"/>
  <c r="F620" i="10"/>
  <c r="F620" i="10" a="1"/>
  <c r="E620" i="10"/>
  <c r="F619" i="10"/>
  <c r="F619" i="10" a="1"/>
  <c r="E619" i="10"/>
  <c r="F618" i="10"/>
  <c r="F618" i="10" a="1"/>
  <c r="E618" i="10"/>
  <c r="F617" i="10"/>
  <c r="F617" i="10" a="1"/>
  <c r="E617" i="10"/>
  <c r="F616" i="10"/>
  <c r="F616" i="10" a="1"/>
  <c r="E616" i="10"/>
  <c r="F615" i="10"/>
  <c r="F615" i="10" a="1"/>
  <c r="E615" i="10"/>
  <c r="F614" i="10"/>
  <c r="F614" i="10" a="1"/>
  <c r="E614" i="10"/>
  <c r="F613" i="10"/>
  <c r="F613" i="10" a="1"/>
  <c r="E613" i="10"/>
  <c r="F612" i="10"/>
  <c r="F612" i="10" a="1"/>
  <c r="E612" i="10"/>
  <c r="F611" i="10"/>
  <c r="F611" i="10" a="1"/>
  <c r="E611" i="10"/>
  <c r="F610" i="10"/>
  <c r="F610" i="10" a="1"/>
  <c r="E610" i="10"/>
  <c r="F609" i="10"/>
  <c r="F609" i="10" a="1"/>
  <c r="E609" i="10"/>
  <c r="F608" i="10"/>
  <c r="F608" i="10" a="1"/>
  <c r="E608" i="10"/>
  <c r="F607" i="10"/>
  <c r="F607" i="10" a="1"/>
  <c r="E607" i="10"/>
  <c r="F606" i="10"/>
  <c r="F606" i="10" a="1"/>
  <c r="E606" i="10"/>
  <c r="F605" i="10"/>
  <c r="F605" i="10" a="1"/>
  <c r="E605" i="10"/>
  <c r="F604" i="10"/>
  <c r="F604" i="10" a="1"/>
  <c r="E604" i="10"/>
  <c r="F603" i="10"/>
  <c r="F603" i="10" a="1"/>
  <c r="E603" i="10"/>
  <c r="F602" i="10"/>
  <c r="F602" i="10" a="1"/>
  <c r="E602" i="10"/>
  <c r="F601" i="10"/>
  <c r="F601" i="10" a="1"/>
  <c r="E601" i="10"/>
  <c r="F600" i="10"/>
  <c r="F600" i="10" a="1"/>
  <c r="E600" i="10"/>
  <c r="F599" i="10"/>
  <c r="F599" i="10" a="1"/>
  <c r="E599" i="10"/>
  <c r="F598" i="10"/>
  <c r="F598" i="10" a="1"/>
  <c r="E598" i="10"/>
  <c r="F597" i="10"/>
  <c r="F597" i="10" a="1"/>
  <c r="E597" i="10"/>
  <c r="F596" i="10"/>
  <c r="F596" i="10" a="1"/>
  <c r="E596" i="10"/>
  <c r="F595" i="10"/>
  <c r="F595" i="10" a="1"/>
  <c r="E595" i="10"/>
  <c r="F594" i="10"/>
  <c r="F594" i="10" a="1"/>
  <c r="E594" i="10"/>
  <c r="F593" i="10"/>
  <c r="F593" i="10" a="1"/>
  <c r="E593" i="10"/>
  <c r="F592" i="10"/>
  <c r="F592" i="10" a="1"/>
  <c r="E592" i="10"/>
  <c r="F591" i="10"/>
  <c r="F591" i="10" a="1"/>
  <c r="E591" i="10"/>
  <c r="F590" i="10"/>
  <c r="F590" i="10" a="1"/>
  <c r="E590" i="10"/>
  <c r="F589" i="10"/>
  <c r="F589" i="10" a="1"/>
  <c r="E589" i="10"/>
  <c r="F588" i="10"/>
  <c r="F588" i="10" a="1"/>
  <c r="E588" i="10"/>
  <c r="F587" i="10"/>
  <c r="F587" i="10" a="1"/>
  <c r="E587" i="10"/>
  <c r="F586" i="10"/>
  <c r="F586" i="10" a="1"/>
  <c r="E586" i="10"/>
  <c r="F585" i="10"/>
  <c r="F585" i="10" a="1"/>
  <c r="E585" i="10"/>
  <c r="F584" i="10"/>
  <c r="F584" i="10" a="1"/>
  <c r="E584" i="10"/>
  <c r="F583" i="10"/>
  <c r="F583" i="10" a="1"/>
  <c r="E583" i="10"/>
  <c r="F582" i="10"/>
  <c r="F582" i="10" a="1"/>
  <c r="E582" i="10"/>
  <c r="F581" i="10"/>
  <c r="F581" i="10" a="1"/>
  <c r="E581" i="10"/>
  <c r="F580" i="10"/>
  <c r="F580" i="10" a="1"/>
  <c r="E580" i="10"/>
  <c r="F579" i="10"/>
  <c r="F579" i="10" a="1"/>
  <c r="E579" i="10"/>
  <c r="F578" i="10"/>
  <c r="F578" i="10" a="1"/>
  <c r="E578" i="10"/>
  <c r="F577" i="10"/>
  <c r="F577" i="10" a="1"/>
  <c r="E577" i="10"/>
  <c r="F576" i="10"/>
  <c r="F576" i="10" a="1"/>
  <c r="E576" i="10"/>
  <c r="F575" i="10"/>
  <c r="F575" i="10" a="1"/>
  <c r="E575" i="10"/>
  <c r="F574" i="10"/>
  <c r="F574" i="10" a="1"/>
  <c r="E574" i="10"/>
  <c r="F573" i="10"/>
  <c r="F573" i="10" a="1"/>
  <c r="E573" i="10"/>
  <c r="F572" i="10"/>
  <c r="F572" i="10" a="1"/>
  <c r="E572" i="10"/>
  <c r="F571" i="10"/>
  <c r="F571" i="10" a="1"/>
  <c r="E571" i="10"/>
  <c r="F570" i="10"/>
  <c r="F570" i="10" a="1"/>
  <c r="E570" i="10"/>
  <c r="F569" i="10"/>
  <c r="F569" i="10" a="1"/>
  <c r="E569" i="10"/>
  <c r="F568" i="10"/>
  <c r="F568" i="10" a="1"/>
  <c r="E568" i="10"/>
  <c r="F567" i="10"/>
  <c r="F567" i="10" a="1"/>
  <c r="E567" i="10"/>
  <c r="F566" i="10"/>
  <c r="F566" i="10" a="1"/>
  <c r="E566" i="10"/>
  <c r="F565" i="10"/>
  <c r="F565" i="10" a="1"/>
  <c r="E565" i="10"/>
  <c r="F564" i="10"/>
  <c r="F564" i="10" a="1"/>
  <c r="E564" i="10"/>
  <c r="F563" i="10"/>
  <c r="F563" i="10" a="1"/>
  <c r="E563" i="10"/>
  <c r="F562" i="10"/>
  <c r="F562" i="10" a="1"/>
  <c r="E562" i="10"/>
  <c r="F561" i="10"/>
  <c r="F561" i="10" a="1"/>
  <c r="E561" i="10"/>
  <c r="F560" i="10"/>
  <c r="F560" i="10" a="1"/>
  <c r="E560" i="10"/>
  <c r="F559" i="10"/>
  <c r="F559" i="10" a="1"/>
  <c r="E559" i="10"/>
  <c r="F558" i="10"/>
  <c r="F558" i="10" a="1"/>
  <c r="E558" i="10"/>
  <c r="F557" i="10"/>
  <c r="F557" i="10" a="1"/>
  <c r="E557" i="10"/>
  <c r="F556" i="10"/>
  <c r="F556" i="10" a="1"/>
  <c r="E556" i="10"/>
  <c r="F555" i="10"/>
  <c r="F555" i="10" a="1"/>
  <c r="E555" i="10"/>
  <c r="F554" i="10"/>
  <c r="F554" i="10" a="1"/>
  <c r="E554" i="10"/>
  <c r="F553" i="10"/>
  <c r="F553" i="10" a="1"/>
  <c r="E553" i="10"/>
  <c r="F552" i="10"/>
  <c r="F552" i="10" a="1"/>
  <c r="E552" i="10"/>
  <c r="F551" i="10"/>
  <c r="F551" i="10" a="1"/>
  <c r="E551" i="10"/>
  <c r="F550" i="10"/>
  <c r="F550" i="10" a="1"/>
  <c r="E550" i="10"/>
  <c r="F549" i="10"/>
  <c r="F549" i="10" a="1"/>
  <c r="E549" i="10"/>
  <c r="F548" i="10"/>
  <c r="F548" i="10" a="1"/>
  <c r="E548" i="10"/>
  <c r="F547" i="10"/>
  <c r="F547" i="10" a="1"/>
  <c r="E547" i="10"/>
  <c r="F546" i="10"/>
  <c r="F546" i="10" a="1"/>
  <c r="E546" i="10"/>
  <c r="F545" i="10"/>
  <c r="F545" i="10" a="1"/>
  <c r="E545" i="10"/>
  <c r="F544" i="10"/>
  <c r="F544" i="10" a="1"/>
  <c r="E544" i="10"/>
  <c r="F543" i="10"/>
  <c r="F543" i="10" a="1"/>
  <c r="E543" i="10"/>
  <c r="F542" i="10"/>
  <c r="F542" i="10" a="1"/>
  <c r="E542" i="10"/>
  <c r="F541" i="10"/>
  <c r="F541" i="10" a="1"/>
  <c r="E541" i="10"/>
  <c r="F540" i="10"/>
  <c r="F540" i="10" a="1"/>
  <c r="E540" i="10"/>
  <c r="F539" i="10"/>
  <c r="F539" i="10" a="1"/>
  <c r="E539" i="10"/>
  <c r="F538" i="10"/>
  <c r="F538" i="10" a="1"/>
  <c r="E538" i="10"/>
  <c r="F537" i="10"/>
  <c r="F537" i="10" a="1"/>
  <c r="E537" i="10"/>
  <c r="F536" i="10"/>
  <c r="F536" i="10" a="1"/>
  <c r="E536" i="10"/>
  <c r="F535" i="10"/>
  <c r="F535" i="10" a="1"/>
  <c r="E535" i="10"/>
  <c r="F534" i="10"/>
  <c r="F534" i="10" a="1"/>
  <c r="E534" i="10"/>
  <c r="F533" i="10"/>
  <c r="F533" i="10" a="1"/>
  <c r="E533" i="10"/>
  <c r="F532" i="10"/>
  <c r="F532" i="10" a="1"/>
  <c r="E532" i="10"/>
  <c r="F531" i="10"/>
  <c r="F531" i="10" a="1"/>
  <c r="E531" i="10"/>
  <c r="F530" i="10"/>
  <c r="F530" i="10" a="1"/>
  <c r="E530" i="10"/>
  <c r="F529" i="10"/>
  <c r="F529" i="10" a="1"/>
  <c r="E529" i="10"/>
  <c r="F528" i="10"/>
  <c r="F528" i="10" a="1"/>
  <c r="E528" i="10"/>
  <c r="F527" i="10"/>
  <c r="F527" i="10" a="1"/>
  <c r="E527" i="10"/>
  <c r="F526" i="10"/>
  <c r="F526" i="10" a="1"/>
  <c r="E526" i="10"/>
  <c r="F525" i="10"/>
  <c r="F525" i="10" a="1"/>
  <c r="E525" i="10"/>
  <c r="F524" i="10"/>
  <c r="F524" i="10" a="1"/>
  <c r="E524" i="10"/>
  <c r="F523" i="10"/>
  <c r="F523" i="10" a="1"/>
  <c r="E523" i="10"/>
  <c r="F522" i="10"/>
  <c r="F522" i="10" a="1"/>
  <c r="E522" i="10"/>
  <c r="F521" i="10"/>
  <c r="F521" i="10" a="1"/>
  <c r="E521" i="10"/>
  <c r="F520" i="10"/>
  <c r="F520" i="10" a="1"/>
  <c r="E520" i="10"/>
  <c r="F519" i="10"/>
  <c r="F519" i="10" a="1"/>
  <c r="E519" i="10"/>
  <c r="F518" i="10"/>
  <c r="F518" i="10" a="1"/>
  <c r="E518" i="10"/>
  <c r="F517" i="10"/>
  <c r="F517" i="10" a="1"/>
  <c r="E517" i="10"/>
  <c r="F516" i="10"/>
  <c r="F516" i="10" a="1"/>
  <c r="E516" i="10"/>
  <c r="F515" i="10"/>
  <c r="F515" i="10" a="1"/>
  <c r="E515" i="10"/>
  <c r="F514" i="10"/>
  <c r="F514" i="10" a="1"/>
  <c r="E514" i="10"/>
  <c r="F513" i="10"/>
  <c r="F513" i="10" a="1"/>
  <c r="E513" i="10"/>
  <c r="F512" i="10"/>
  <c r="F512" i="10" a="1"/>
  <c r="E512" i="10"/>
  <c r="F511" i="10"/>
  <c r="F511" i="10" a="1"/>
  <c r="E511" i="10"/>
  <c r="F510" i="10"/>
  <c r="F510" i="10" a="1"/>
  <c r="E510" i="10"/>
  <c r="F509" i="10"/>
  <c r="F509" i="10" a="1"/>
  <c r="E509" i="10"/>
  <c r="F508" i="10"/>
  <c r="F508" i="10" a="1"/>
  <c r="E508" i="10"/>
  <c r="F507" i="10"/>
  <c r="F507" i="10" a="1"/>
  <c r="E507" i="10"/>
  <c r="F506" i="10"/>
  <c r="F506" i="10" a="1"/>
  <c r="E506" i="10"/>
  <c r="F505" i="10"/>
  <c r="F505" i="10" a="1"/>
  <c r="E505" i="10"/>
  <c r="F504" i="10"/>
  <c r="F504" i="10" a="1"/>
  <c r="E504" i="10"/>
  <c r="F503" i="10"/>
  <c r="F503" i="10" a="1"/>
  <c r="E503" i="10"/>
  <c r="F502" i="10"/>
  <c r="F502" i="10" a="1"/>
  <c r="E502" i="10"/>
  <c r="F501" i="10"/>
  <c r="F501" i="10" a="1"/>
  <c r="E501" i="10"/>
  <c r="F500" i="10"/>
  <c r="F500" i="10" a="1"/>
  <c r="E500" i="10"/>
  <c r="F499" i="10"/>
  <c r="F499" i="10" a="1"/>
  <c r="E499" i="10"/>
  <c r="F498" i="10"/>
  <c r="F498" i="10" a="1"/>
  <c r="E498" i="10"/>
  <c r="F497" i="10"/>
  <c r="F497" i="10" a="1"/>
  <c r="E497" i="10"/>
  <c r="F496" i="10"/>
  <c r="F496" i="10" a="1"/>
  <c r="E496" i="10"/>
  <c r="F495" i="10"/>
  <c r="F495" i="10" a="1"/>
  <c r="E495" i="10"/>
  <c r="F494" i="10"/>
  <c r="F494" i="10" a="1"/>
  <c r="E494" i="10"/>
  <c r="F493" i="10"/>
  <c r="F493" i="10" a="1"/>
  <c r="E493" i="10"/>
  <c r="F492" i="10"/>
  <c r="F492" i="10" a="1"/>
  <c r="E492" i="10"/>
  <c r="F491" i="10"/>
  <c r="F491" i="10" a="1"/>
  <c r="E491" i="10"/>
  <c r="F490" i="10"/>
  <c r="F490" i="10" a="1"/>
  <c r="E490" i="10"/>
  <c r="F489" i="10"/>
  <c r="F489" i="10" a="1"/>
  <c r="E489" i="10"/>
  <c r="F488" i="10"/>
  <c r="F488" i="10" a="1"/>
  <c r="E488" i="10"/>
  <c r="F487" i="10"/>
  <c r="F487" i="10" a="1"/>
  <c r="E487" i="10"/>
  <c r="F486" i="10"/>
  <c r="F486" i="10" a="1"/>
  <c r="E486" i="10"/>
  <c r="F485" i="10"/>
  <c r="F485" i="10" a="1"/>
  <c r="E485" i="10"/>
  <c r="F484" i="10"/>
  <c r="F484" i="10" a="1"/>
  <c r="E484" i="10"/>
  <c r="F483" i="10"/>
  <c r="F483" i="10" a="1"/>
  <c r="E483" i="10"/>
  <c r="F482" i="10"/>
  <c r="F482" i="10" a="1"/>
  <c r="E482" i="10"/>
  <c r="F481" i="10"/>
  <c r="F481" i="10" a="1"/>
  <c r="E481" i="10"/>
  <c r="F480" i="10"/>
  <c r="F480" i="10" a="1"/>
  <c r="E480" i="10"/>
  <c r="F479" i="10"/>
  <c r="F479" i="10" a="1"/>
  <c r="E479" i="10"/>
  <c r="F478" i="10"/>
  <c r="F478" i="10" a="1"/>
  <c r="E478" i="10"/>
  <c r="F477" i="10"/>
  <c r="F477" i="10" a="1"/>
  <c r="E477" i="10"/>
  <c r="F476" i="10"/>
  <c r="F476" i="10" a="1"/>
  <c r="E476" i="10"/>
  <c r="F475" i="10"/>
  <c r="F475" i="10" a="1"/>
  <c r="E475" i="10"/>
  <c r="F474" i="10"/>
  <c r="F474" i="10" a="1"/>
  <c r="E474" i="10"/>
  <c r="F473" i="10"/>
  <c r="F473" i="10" a="1"/>
  <c r="E473" i="10"/>
  <c r="F472" i="10"/>
  <c r="F472" i="10" a="1"/>
  <c r="E472" i="10"/>
  <c r="F471" i="10"/>
  <c r="F471" i="10" a="1"/>
  <c r="E471" i="10"/>
  <c r="F470" i="10"/>
  <c r="F470" i="10" a="1"/>
  <c r="E470" i="10"/>
  <c r="F469" i="10"/>
  <c r="F469" i="10" a="1"/>
  <c r="E469" i="10"/>
  <c r="F468" i="10"/>
  <c r="F468" i="10" a="1"/>
  <c r="E468" i="10"/>
  <c r="F467" i="10"/>
  <c r="F467" i="10" a="1"/>
  <c r="E467" i="10"/>
  <c r="F466" i="10"/>
  <c r="F466" i="10" a="1"/>
  <c r="E466" i="10"/>
  <c r="F465" i="10"/>
  <c r="F465" i="10" a="1"/>
  <c r="E465" i="10"/>
  <c r="F464" i="10"/>
  <c r="F464" i="10" a="1"/>
  <c r="E464" i="10"/>
  <c r="F463" i="10"/>
  <c r="F463" i="10" a="1"/>
  <c r="E463" i="10"/>
  <c r="F462" i="10"/>
  <c r="F462" i="10" a="1"/>
  <c r="E462" i="10"/>
  <c r="F461" i="10"/>
  <c r="F461" i="10" a="1"/>
  <c r="E461" i="10"/>
  <c r="F460" i="10"/>
  <c r="F460" i="10" a="1"/>
  <c r="E460" i="10"/>
  <c r="F459" i="10"/>
  <c r="F459" i="10" a="1"/>
  <c r="E459" i="10"/>
  <c r="F458" i="10"/>
  <c r="F458" i="10" a="1"/>
  <c r="E458" i="10"/>
  <c r="F457" i="10"/>
  <c r="F457" i="10" a="1"/>
  <c r="E457" i="10"/>
  <c r="F456" i="10"/>
  <c r="F456" i="10" a="1"/>
  <c r="E456" i="10"/>
  <c r="F455" i="10"/>
  <c r="F455" i="10" a="1"/>
  <c r="E455" i="10"/>
  <c r="F454" i="10"/>
  <c r="F454" i="10" a="1"/>
  <c r="E454" i="10"/>
  <c r="F453" i="10"/>
  <c r="F453" i="10" a="1"/>
  <c r="E453" i="10"/>
  <c r="F452" i="10"/>
  <c r="F452" i="10" a="1"/>
  <c r="E452" i="10"/>
  <c r="F451" i="10"/>
  <c r="F451" i="10" a="1"/>
  <c r="E451" i="10"/>
  <c r="F450" i="10"/>
  <c r="F450" i="10" a="1"/>
  <c r="E450" i="10"/>
  <c r="F449" i="10"/>
  <c r="F449" i="10" a="1"/>
  <c r="E449" i="10"/>
  <c r="F448" i="10"/>
  <c r="F448" i="10" a="1"/>
  <c r="E448" i="10"/>
  <c r="F447" i="10"/>
  <c r="F447" i="10" a="1"/>
  <c r="E447" i="10"/>
  <c r="F446" i="10"/>
  <c r="F446" i="10" a="1"/>
  <c r="E446" i="10"/>
  <c r="F445" i="10"/>
  <c r="F445" i="10" a="1"/>
  <c r="E445" i="10"/>
  <c r="F444" i="10"/>
  <c r="F444" i="10" a="1"/>
  <c r="E444" i="10"/>
  <c r="F443" i="10"/>
  <c r="F443" i="10" a="1"/>
  <c r="E443" i="10"/>
  <c r="F442" i="10"/>
  <c r="F442" i="10" a="1"/>
  <c r="E442" i="10"/>
  <c r="F441" i="10"/>
  <c r="F441" i="10" a="1"/>
  <c r="E441" i="10"/>
  <c r="F440" i="10"/>
  <c r="F440" i="10" a="1"/>
  <c r="E440" i="10"/>
  <c r="F439" i="10"/>
  <c r="F439" i="10" a="1"/>
  <c r="E439" i="10"/>
  <c r="F438" i="10"/>
  <c r="F438" i="10" a="1"/>
  <c r="E438" i="10"/>
  <c r="F437" i="10"/>
  <c r="F437" i="10" a="1"/>
  <c r="E437" i="10"/>
  <c r="F436" i="10"/>
  <c r="F436" i="10" a="1"/>
  <c r="E436" i="10"/>
  <c r="F435" i="10"/>
  <c r="F435" i="10" a="1"/>
  <c r="E435" i="10"/>
  <c r="F434" i="10"/>
  <c r="F434" i="10" a="1"/>
  <c r="E434" i="10"/>
  <c r="F433" i="10"/>
  <c r="F433" i="10" a="1"/>
  <c r="E433" i="10"/>
  <c r="F432" i="10"/>
  <c r="F432" i="10" a="1"/>
  <c r="E432" i="10"/>
  <c r="F431" i="10"/>
  <c r="F431" i="10" a="1"/>
  <c r="E431" i="10"/>
  <c r="F430" i="10"/>
  <c r="F430" i="10" a="1"/>
  <c r="E430" i="10"/>
  <c r="F429" i="10"/>
  <c r="F429" i="10" a="1"/>
  <c r="E429" i="10"/>
  <c r="F428" i="10"/>
  <c r="F428" i="10" a="1"/>
  <c r="E428" i="10"/>
  <c r="F427" i="10"/>
  <c r="F427" i="10" a="1"/>
  <c r="E427" i="10"/>
  <c r="F426" i="10"/>
  <c r="F426" i="10" a="1"/>
  <c r="E426" i="10"/>
  <c r="F425" i="10"/>
  <c r="F425" i="10" a="1"/>
  <c r="E425" i="10"/>
  <c r="F424" i="10"/>
  <c r="F424" i="10" a="1"/>
  <c r="E424" i="10"/>
  <c r="F423" i="10"/>
  <c r="F423" i="10" a="1"/>
  <c r="E423" i="10"/>
  <c r="F422" i="10"/>
  <c r="F422" i="10" a="1"/>
  <c r="E422" i="10"/>
  <c r="F421" i="10"/>
  <c r="F421" i="10" a="1"/>
  <c r="E421" i="10"/>
  <c r="F420" i="10"/>
  <c r="F420" i="10" a="1"/>
  <c r="E420" i="10"/>
  <c r="F419" i="10"/>
  <c r="F419" i="10" a="1"/>
  <c r="E419" i="10"/>
  <c r="F418" i="10"/>
  <c r="F418" i="10" a="1"/>
  <c r="E418" i="10"/>
  <c r="F417" i="10"/>
  <c r="F417" i="10" a="1"/>
  <c r="E417" i="10"/>
  <c r="F416" i="10"/>
  <c r="F416" i="10" a="1"/>
  <c r="E416" i="10"/>
  <c r="F415" i="10"/>
  <c r="F415" i="10" a="1"/>
  <c r="E415" i="10"/>
  <c r="F414" i="10"/>
  <c r="F414" i="10" a="1"/>
  <c r="E414" i="10"/>
  <c r="F413" i="10"/>
  <c r="F413" i="10" a="1"/>
  <c r="E413" i="10"/>
  <c r="F412" i="10"/>
  <c r="F412" i="10" a="1"/>
  <c r="E412" i="10"/>
  <c r="F411" i="10"/>
  <c r="F411" i="10" a="1"/>
  <c r="E411" i="10"/>
  <c r="F410" i="10"/>
  <c r="F410" i="10" a="1"/>
  <c r="E410" i="10"/>
  <c r="F409" i="10"/>
  <c r="F409" i="10" a="1"/>
  <c r="E409" i="10"/>
  <c r="F408" i="10"/>
  <c r="F408" i="10" a="1"/>
  <c r="E408" i="10"/>
  <c r="F407" i="10"/>
  <c r="F407" i="10" a="1"/>
  <c r="E407" i="10"/>
  <c r="F406" i="10"/>
  <c r="F406" i="10" a="1"/>
  <c r="E406" i="10"/>
  <c r="F405" i="10"/>
  <c r="F405" i="10" a="1"/>
  <c r="E405" i="10"/>
  <c r="F404" i="10"/>
  <c r="F404" i="10" a="1"/>
  <c r="E404" i="10"/>
  <c r="F403" i="10"/>
  <c r="F403" i="10" a="1"/>
  <c r="E403" i="10"/>
  <c r="F402" i="10"/>
  <c r="F402" i="10" a="1"/>
  <c r="E402" i="10"/>
  <c r="F401" i="10"/>
  <c r="F401" i="10" a="1"/>
  <c r="E401" i="10"/>
  <c r="F400" i="10"/>
  <c r="F400" i="10" a="1"/>
  <c r="E400" i="10"/>
  <c r="F399" i="10"/>
  <c r="F399" i="10" a="1"/>
  <c r="E399" i="10"/>
  <c r="F398" i="10"/>
  <c r="F398" i="10" a="1"/>
  <c r="E398" i="10"/>
  <c r="F397" i="10"/>
  <c r="F397" i="10" a="1"/>
  <c r="E397" i="10"/>
  <c r="F396" i="10"/>
  <c r="F396" i="10" a="1"/>
  <c r="E396" i="10"/>
  <c r="F395" i="10"/>
  <c r="F395" i="10" a="1"/>
  <c r="E395" i="10"/>
  <c r="F394" i="10"/>
  <c r="F394" i="10" a="1"/>
  <c r="E394" i="10"/>
  <c r="F393" i="10"/>
  <c r="F393" i="10" a="1"/>
  <c r="E393" i="10"/>
  <c r="F392" i="10"/>
  <c r="F392" i="10" a="1"/>
  <c r="E392" i="10"/>
  <c r="F391" i="10"/>
  <c r="F391" i="10" a="1"/>
  <c r="E391" i="10"/>
  <c r="F390" i="10"/>
  <c r="F390" i="10" a="1"/>
  <c r="E390" i="10"/>
  <c r="F389" i="10"/>
  <c r="F389" i="10" a="1"/>
  <c r="E389" i="10"/>
  <c r="F388" i="10"/>
  <c r="F388" i="10" a="1"/>
  <c r="E388" i="10"/>
  <c r="F387" i="10"/>
  <c r="F387" i="10" a="1"/>
  <c r="E387" i="10"/>
  <c r="F386" i="10"/>
  <c r="F386" i="10" a="1"/>
  <c r="E386" i="10"/>
  <c r="F385" i="10"/>
  <c r="F385" i="10" a="1"/>
  <c r="E385" i="10"/>
  <c r="F384" i="10"/>
  <c r="F384" i="10" a="1"/>
  <c r="E384" i="10"/>
  <c r="F383" i="10"/>
  <c r="F383" i="10" a="1"/>
  <c r="E383" i="10"/>
  <c r="F382" i="10"/>
  <c r="F382" i="10" a="1"/>
  <c r="E382" i="10"/>
  <c r="F381" i="10"/>
  <c r="F381" i="10" a="1"/>
  <c r="E381" i="10"/>
  <c r="F380" i="10"/>
  <c r="F380" i="10" a="1"/>
  <c r="E380" i="10"/>
  <c r="F379" i="10"/>
  <c r="F379" i="10" a="1"/>
  <c r="E379" i="10"/>
  <c r="F378" i="10"/>
  <c r="F378" i="10" a="1"/>
  <c r="E378" i="10"/>
  <c r="F377" i="10"/>
  <c r="F377" i="10" a="1"/>
  <c r="E377" i="10"/>
  <c r="F376" i="10"/>
  <c r="F376" i="10" a="1"/>
  <c r="E376" i="10"/>
  <c r="F375" i="10"/>
  <c r="F375" i="10" a="1"/>
  <c r="E375" i="10"/>
  <c r="F374" i="10"/>
  <c r="F374" i="10" a="1"/>
  <c r="E374" i="10"/>
  <c r="F373" i="10"/>
  <c r="F373" i="10" a="1"/>
  <c r="E373" i="10"/>
  <c r="F372" i="10"/>
  <c r="F372" i="10" a="1"/>
  <c r="E372" i="10"/>
  <c r="F371" i="10"/>
  <c r="F371" i="10" a="1"/>
  <c r="E371" i="10"/>
  <c r="F370" i="10"/>
  <c r="F370" i="10" a="1"/>
  <c r="E370" i="10"/>
  <c r="F369" i="10"/>
  <c r="F369" i="10" a="1"/>
  <c r="E369" i="10"/>
  <c r="F368" i="10"/>
  <c r="F368" i="10" a="1"/>
  <c r="E368" i="10"/>
  <c r="F367" i="10"/>
  <c r="F367" i="10" a="1"/>
  <c r="E367" i="10"/>
  <c r="F366" i="10"/>
  <c r="F366" i="10" a="1"/>
  <c r="E366" i="10"/>
  <c r="F365" i="10"/>
  <c r="F365" i="10" a="1"/>
  <c r="E365" i="10"/>
  <c r="F364" i="10"/>
  <c r="F364" i="10" a="1"/>
  <c r="E364" i="10"/>
  <c r="F363" i="10"/>
  <c r="F363" i="10" a="1"/>
  <c r="E363" i="10"/>
  <c r="F362" i="10"/>
  <c r="F362" i="10" a="1"/>
  <c r="E362" i="10"/>
  <c r="F361" i="10"/>
  <c r="F361" i="10" a="1"/>
  <c r="E361" i="10"/>
  <c r="F360" i="10"/>
  <c r="F360" i="10" a="1"/>
  <c r="E360" i="10"/>
  <c r="F359" i="10"/>
  <c r="F359" i="10" a="1"/>
  <c r="E359" i="10"/>
  <c r="F358" i="10"/>
  <c r="F358" i="10" a="1"/>
  <c r="E358" i="10"/>
  <c r="F357" i="10"/>
  <c r="F357" i="10" a="1"/>
  <c r="E357" i="10"/>
  <c r="F356" i="10"/>
  <c r="F356" i="10" a="1"/>
  <c r="E356" i="10"/>
  <c r="F355" i="10"/>
  <c r="F355" i="10" a="1"/>
  <c r="E355" i="10"/>
  <c r="F354" i="10"/>
  <c r="F354" i="10" a="1"/>
  <c r="E354" i="10"/>
  <c r="F353" i="10"/>
  <c r="F353" i="10" a="1"/>
  <c r="E353" i="10"/>
  <c r="F352" i="10"/>
  <c r="F352" i="10" a="1"/>
  <c r="E352" i="10"/>
  <c r="F351" i="10"/>
  <c r="F351" i="10" a="1"/>
  <c r="E351" i="10"/>
  <c r="F350" i="10"/>
  <c r="F350" i="10" a="1"/>
  <c r="E350" i="10"/>
  <c r="F349" i="10"/>
  <c r="F349" i="10" a="1"/>
  <c r="E349" i="10"/>
  <c r="F348" i="10"/>
  <c r="F348" i="10" a="1"/>
  <c r="E348" i="10"/>
  <c r="F347" i="10"/>
  <c r="F347" i="10" a="1"/>
  <c r="E347" i="10"/>
  <c r="F346" i="10"/>
  <c r="F346" i="10" a="1"/>
  <c r="E346" i="10"/>
  <c r="F345" i="10"/>
  <c r="F345" i="10" a="1"/>
  <c r="E345" i="10"/>
  <c r="F344" i="10"/>
  <c r="F344" i="10" a="1"/>
  <c r="E344" i="10"/>
  <c r="F343" i="10"/>
  <c r="F343" i="10" a="1"/>
  <c r="E343" i="10"/>
  <c r="F342" i="10"/>
  <c r="F342" i="10" a="1"/>
  <c r="E342" i="10"/>
  <c r="F341" i="10"/>
  <c r="F341" i="10" a="1"/>
  <c r="E341" i="10"/>
  <c r="F340" i="10"/>
  <c r="F340" i="10" a="1"/>
  <c r="E340" i="10"/>
  <c r="F339" i="10"/>
  <c r="F339" i="10" a="1"/>
  <c r="E339" i="10"/>
  <c r="F338" i="10"/>
  <c r="F338" i="10" a="1"/>
  <c r="E338" i="10"/>
  <c r="F337" i="10"/>
  <c r="F337" i="10" a="1"/>
  <c r="E337" i="10"/>
  <c r="F336" i="10"/>
  <c r="F336" i="10" a="1"/>
  <c r="E336" i="10"/>
  <c r="F335" i="10"/>
  <c r="F335" i="10" a="1"/>
  <c r="E335" i="10"/>
  <c r="F334" i="10"/>
  <c r="F334" i="10" a="1"/>
  <c r="E334" i="10"/>
  <c r="F333" i="10"/>
  <c r="F333" i="10" a="1"/>
  <c r="E333" i="10"/>
  <c r="F332" i="10"/>
  <c r="F332" i="10" a="1"/>
  <c r="E332" i="10"/>
  <c r="F331" i="10"/>
  <c r="F331" i="10" a="1"/>
  <c r="E331" i="10"/>
  <c r="F330" i="10"/>
  <c r="F330" i="10" a="1"/>
  <c r="E330" i="10"/>
  <c r="F329" i="10"/>
  <c r="F329" i="10" a="1"/>
  <c r="E329" i="10"/>
  <c r="F328" i="10"/>
  <c r="F328" i="10" a="1"/>
  <c r="E328" i="10"/>
  <c r="F327" i="10"/>
  <c r="F327" i="10" a="1"/>
  <c r="E327" i="10"/>
  <c r="F326" i="10"/>
  <c r="F326" i="10" a="1"/>
  <c r="E326" i="10"/>
  <c r="F325" i="10"/>
  <c r="F325" i="10" a="1"/>
  <c r="E325" i="10"/>
  <c r="F324" i="10"/>
  <c r="F324" i="10" a="1"/>
  <c r="E324" i="10"/>
  <c r="F323" i="10"/>
  <c r="F323" i="10" a="1"/>
  <c r="E323" i="10"/>
  <c r="F322" i="10"/>
  <c r="F322" i="10" a="1"/>
  <c r="E322" i="10"/>
  <c r="F321" i="10"/>
  <c r="F321" i="10" a="1"/>
  <c r="E321" i="10"/>
  <c r="F320" i="10"/>
  <c r="F320" i="10" a="1"/>
  <c r="E320" i="10"/>
  <c r="F319" i="10"/>
  <c r="F319" i="10" a="1"/>
  <c r="E319" i="10"/>
  <c r="F318" i="10"/>
  <c r="F318" i="10" a="1"/>
  <c r="E318" i="10"/>
  <c r="F317" i="10"/>
  <c r="F317" i="10" a="1"/>
  <c r="E317" i="10"/>
  <c r="F316" i="10"/>
  <c r="F316" i="10" a="1"/>
  <c r="E316" i="10"/>
  <c r="F315" i="10"/>
  <c r="F315" i="10" a="1"/>
  <c r="E315" i="10"/>
  <c r="F314" i="10"/>
  <c r="F314" i="10" a="1"/>
  <c r="E314" i="10"/>
  <c r="F313" i="10"/>
  <c r="F313" i="10" a="1"/>
  <c r="E313" i="10"/>
  <c r="F312" i="10"/>
  <c r="F312" i="10" a="1"/>
  <c r="E312" i="10"/>
  <c r="F311" i="10"/>
  <c r="F311" i="10" a="1"/>
  <c r="E311" i="10"/>
  <c r="F310" i="10"/>
  <c r="F310" i="10" a="1"/>
  <c r="E310" i="10"/>
  <c r="F309" i="10"/>
  <c r="F309" i="10" a="1"/>
  <c r="E309" i="10"/>
  <c r="F308" i="10"/>
  <c r="F308" i="10" a="1"/>
  <c r="E308" i="10"/>
  <c r="F307" i="10"/>
  <c r="F307" i="10" a="1"/>
  <c r="E307" i="10"/>
  <c r="F306" i="10"/>
  <c r="F306" i="10" a="1"/>
  <c r="E306" i="10"/>
  <c r="F305" i="10"/>
  <c r="F305" i="10" a="1"/>
  <c r="E305" i="10"/>
  <c r="F304" i="10"/>
  <c r="F304" i="10" a="1"/>
  <c r="E304" i="10"/>
  <c r="F303" i="10"/>
  <c r="F303" i="10" a="1"/>
  <c r="E303" i="10"/>
  <c r="F302" i="10"/>
  <c r="F302" i="10" a="1"/>
  <c r="E302" i="10"/>
  <c r="F301" i="10"/>
  <c r="F301" i="10" a="1"/>
  <c r="E301" i="10"/>
  <c r="F300" i="10"/>
  <c r="F300" i="10" a="1"/>
  <c r="E300" i="10"/>
  <c r="F299" i="10"/>
  <c r="F299" i="10" a="1"/>
  <c r="E299" i="10"/>
  <c r="F298" i="10"/>
  <c r="F298" i="10" a="1"/>
  <c r="E298" i="10"/>
  <c r="F297" i="10"/>
  <c r="F297" i="10" a="1"/>
  <c r="E297" i="10"/>
  <c r="F296" i="10"/>
  <c r="F296" i="10" a="1"/>
  <c r="E296" i="10"/>
  <c r="F295" i="10"/>
  <c r="F295" i="10" a="1"/>
  <c r="E295" i="10"/>
  <c r="F294" i="10"/>
  <c r="F294" i="10" a="1"/>
  <c r="E294" i="10"/>
  <c r="F293" i="10"/>
  <c r="F293" i="10" a="1"/>
  <c r="E293" i="10"/>
  <c r="F292" i="10"/>
  <c r="F292" i="10" a="1"/>
  <c r="E292" i="10"/>
  <c r="F291" i="10"/>
  <c r="F291" i="10" a="1"/>
  <c r="E291" i="10"/>
  <c r="F290" i="10"/>
  <c r="F290" i="10" a="1"/>
  <c r="E290" i="10"/>
  <c r="F289" i="10"/>
  <c r="F289" i="10" a="1"/>
  <c r="E289" i="10"/>
  <c r="F288" i="10"/>
  <c r="F288" i="10" a="1"/>
  <c r="E288" i="10"/>
  <c r="F287" i="10"/>
  <c r="F287" i="10" a="1"/>
  <c r="E287" i="10"/>
  <c r="F286" i="10"/>
  <c r="F286" i="10" a="1"/>
  <c r="E286" i="10"/>
  <c r="F285" i="10"/>
  <c r="F285" i="10" a="1"/>
  <c r="E285" i="10"/>
  <c r="F284" i="10"/>
  <c r="F284" i="10" a="1"/>
  <c r="E284" i="10"/>
  <c r="F283" i="10"/>
  <c r="F283" i="10" a="1"/>
  <c r="E283" i="10"/>
  <c r="F282" i="10"/>
  <c r="F282" i="10" a="1"/>
  <c r="E282" i="10"/>
  <c r="F281" i="10"/>
  <c r="F281" i="10" a="1"/>
  <c r="E281" i="10"/>
  <c r="F280" i="10"/>
  <c r="F280" i="10" a="1"/>
  <c r="E280" i="10"/>
  <c r="F279" i="10"/>
  <c r="F279" i="10" a="1"/>
  <c r="E279" i="10"/>
  <c r="F278" i="10"/>
  <c r="F278" i="10" a="1"/>
  <c r="E278" i="10"/>
  <c r="F277" i="10"/>
  <c r="F277" i="10" a="1"/>
  <c r="E277" i="10"/>
  <c r="F276" i="10"/>
  <c r="F276" i="10" a="1"/>
  <c r="E276" i="10"/>
  <c r="F275" i="10"/>
  <c r="F275" i="10" a="1"/>
  <c r="E275" i="10"/>
  <c r="F274" i="10"/>
  <c r="F274" i="10" a="1"/>
  <c r="E274" i="10"/>
  <c r="F273" i="10"/>
  <c r="F273" i="10" a="1"/>
  <c r="E273" i="10"/>
  <c r="F272" i="10"/>
  <c r="F272" i="10" a="1"/>
  <c r="E272" i="10"/>
  <c r="F271" i="10"/>
  <c r="F271" i="10" a="1"/>
  <c r="E271" i="10"/>
  <c r="F270" i="10"/>
  <c r="F270" i="10" a="1"/>
  <c r="E270" i="10"/>
  <c r="F269" i="10"/>
  <c r="F269" i="10" a="1"/>
  <c r="E269" i="10"/>
  <c r="F268" i="10"/>
  <c r="F268" i="10" a="1"/>
  <c r="E268" i="10"/>
  <c r="F267" i="10"/>
  <c r="F267" i="10" a="1"/>
  <c r="E267" i="10"/>
  <c r="F266" i="10"/>
  <c r="F266" i="10" a="1"/>
  <c r="E266" i="10"/>
  <c r="F265" i="10"/>
  <c r="F265" i="10" a="1"/>
  <c r="E265" i="10"/>
  <c r="F264" i="10"/>
  <c r="F264" i="10" a="1"/>
  <c r="E264" i="10"/>
  <c r="F263" i="10"/>
  <c r="F263" i="10" a="1"/>
  <c r="E263" i="10"/>
  <c r="F262" i="10"/>
  <c r="F262" i="10" a="1"/>
  <c r="E262" i="10"/>
  <c r="F261" i="10"/>
  <c r="F261" i="10" a="1"/>
  <c r="E261" i="10"/>
  <c r="F260" i="10"/>
  <c r="F260" i="10" a="1"/>
  <c r="E260" i="10"/>
  <c r="F259" i="10"/>
  <c r="F259" i="10" a="1"/>
  <c r="E259" i="10"/>
  <c r="F258" i="10"/>
  <c r="F258" i="10" a="1"/>
  <c r="E258" i="10"/>
  <c r="F257" i="10"/>
  <c r="F257" i="10" a="1"/>
  <c r="E257" i="10"/>
  <c r="F256" i="10"/>
  <c r="F256" i="10" a="1"/>
  <c r="E256" i="10"/>
  <c r="F255" i="10"/>
  <c r="F255" i="10" a="1"/>
  <c r="E255" i="10"/>
  <c r="F254" i="10"/>
  <c r="F254" i="10" a="1"/>
  <c r="E254" i="10"/>
  <c r="F253" i="10"/>
  <c r="F253" i="10" a="1"/>
  <c r="E253" i="10"/>
  <c r="F252" i="10"/>
  <c r="F252" i="10" a="1"/>
  <c r="E252" i="10"/>
  <c r="F251" i="10"/>
  <c r="F251" i="10" a="1"/>
  <c r="E251" i="10"/>
  <c r="F250" i="10"/>
  <c r="F250" i="10" a="1"/>
  <c r="E250" i="10"/>
  <c r="F249" i="10"/>
  <c r="F249" i="10" a="1"/>
  <c r="E249" i="10"/>
  <c r="F248" i="10"/>
  <c r="F248" i="10" a="1"/>
  <c r="E248" i="10"/>
  <c r="F247" i="10"/>
  <c r="F247" i="10" a="1"/>
  <c r="E247" i="10"/>
  <c r="F246" i="10"/>
  <c r="F246" i="10" a="1"/>
  <c r="E246" i="10"/>
  <c r="F245" i="10"/>
  <c r="F245" i="10" a="1"/>
  <c r="E245" i="10"/>
  <c r="F244" i="10"/>
  <c r="F244" i="10" a="1"/>
  <c r="E244" i="10"/>
  <c r="F243" i="10"/>
  <c r="F243" i="10" a="1"/>
  <c r="E243" i="10"/>
  <c r="F242" i="10"/>
  <c r="F242" i="10" a="1"/>
  <c r="E242" i="10"/>
  <c r="F241" i="10"/>
  <c r="F241" i="10" a="1"/>
  <c r="E241" i="10"/>
  <c r="F240" i="10"/>
  <c r="F240" i="10" a="1"/>
  <c r="E240" i="10"/>
  <c r="F239" i="10"/>
  <c r="F239" i="10" a="1"/>
  <c r="E239" i="10"/>
  <c r="F238" i="10"/>
  <c r="F238" i="10" a="1"/>
  <c r="E238" i="10"/>
  <c r="F237" i="10"/>
  <c r="F237" i="10" a="1"/>
  <c r="E237" i="10"/>
  <c r="F236" i="10"/>
  <c r="F236" i="10" a="1"/>
  <c r="E236" i="10"/>
  <c r="F235" i="10"/>
  <c r="F235" i="10" a="1"/>
  <c r="E235" i="10"/>
  <c r="F234" i="10"/>
  <c r="F234" i="10" a="1"/>
  <c r="E234" i="10"/>
  <c r="F233" i="10"/>
  <c r="F233" i="10" a="1"/>
  <c r="E233" i="10"/>
  <c r="F232" i="10"/>
  <c r="F232" i="10" a="1"/>
  <c r="E232" i="10"/>
  <c r="F231" i="10"/>
  <c r="F231" i="10" a="1"/>
  <c r="E231" i="10"/>
  <c r="F230" i="10"/>
  <c r="F230" i="10" a="1"/>
  <c r="E230" i="10"/>
  <c r="F229" i="10"/>
  <c r="F229" i="10" a="1"/>
  <c r="E229" i="10"/>
  <c r="F228" i="10"/>
  <c r="F228" i="10" a="1"/>
  <c r="E228" i="10"/>
  <c r="F227" i="10"/>
  <c r="F227" i="10" a="1"/>
  <c r="E227" i="10"/>
  <c r="F226" i="10"/>
  <c r="F226" i="10" a="1"/>
  <c r="E226" i="10"/>
  <c r="F225" i="10"/>
  <c r="F225" i="10" a="1"/>
  <c r="E225" i="10"/>
  <c r="F224" i="10"/>
  <c r="F224" i="10" a="1"/>
  <c r="E224" i="10"/>
  <c r="F223" i="10"/>
  <c r="F223" i="10" a="1"/>
  <c r="E223" i="10"/>
  <c r="F222" i="10"/>
  <c r="F222" i="10" a="1"/>
  <c r="E222" i="10"/>
  <c r="F221" i="10"/>
  <c r="F221" i="10" a="1"/>
  <c r="E221" i="10"/>
  <c r="F220" i="10"/>
  <c r="F220" i="10" a="1"/>
  <c r="E220" i="10"/>
  <c r="F219" i="10"/>
  <c r="F219" i="10" a="1"/>
  <c r="E219" i="10"/>
  <c r="F218" i="10"/>
  <c r="F218" i="10" a="1"/>
  <c r="E218" i="10"/>
  <c r="F217" i="10"/>
  <c r="F217" i="10" a="1"/>
  <c r="E217" i="10"/>
  <c r="F216" i="10"/>
  <c r="F216" i="10" a="1"/>
  <c r="E216" i="10"/>
  <c r="F215" i="10"/>
  <c r="F215" i="10" a="1"/>
  <c r="E215" i="10"/>
  <c r="F214" i="10"/>
  <c r="F214" i="10" a="1"/>
  <c r="E214" i="10"/>
  <c r="F213" i="10"/>
  <c r="F213" i="10" a="1"/>
  <c r="E213" i="10"/>
  <c r="F212" i="10"/>
  <c r="F212" i="10" a="1"/>
  <c r="E212" i="10"/>
  <c r="F211" i="10"/>
  <c r="F211" i="10" a="1"/>
  <c r="E211" i="10"/>
  <c r="F210" i="10"/>
  <c r="F210" i="10" a="1"/>
  <c r="E210" i="10"/>
  <c r="F209" i="10"/>
  <c r="F209" i="10" a="1"/>
  <c r="E209" i="10"/>
  <c r="F208" i="10"/>
  <c r="F208" i="10" a="1"/>
  <c r="E208" i="10"/>
  <c r="F207" i="10"/>
  <c r="F207" i="10" a="1"/>
  <c r="E207" i="10"/>
  <c r="F206" i="10"/>
  <c r="F206" i="10" a="1"/>
  <c r="E206" i="10"/>
  <c r="F205" i="10"/>
  <c r="F205" i="10" a="1"/>
  <c r="E205" i="10"/>
  <c r="F204" i="10"/>
  <c r="F204" i="10" a="1"/>
  <c r="E204" i="10"/>
  <c r="F203" i="10"/>
  <c r="F203" i="10" a="1"/>
  <c r="E203" i="10"/>
  <c r="F202" i="10"/>
  <c r="F202" i="10" a="1"/>
  <c r="E202" i="10"/>
  <c r="F201" i="10"/>
  <c r="F201" i="10" a="1"/>
  <c r="E201" i="10"/>
  <c r="F200" i="10"/>
  <c r="F200" i="10" a="1"/>
  <c r="E200" i="10"/>
  <c r="F199" i="10"/>
  <c r="F199" i="10" a="1"/>
  <c r="E199" i="10"/>
  <c r="F198" i="10"/>
  <c r="F198" i="10" a="1"/>
  <c r="E198" i="10"/>
  <c r="F197" i="10"/>
  <c r="F197" i="10" a="1"/>
  <c r="E197" i="10"/>
  <c r="F196" i="10"/>
  <c r="F196" i="10" a="1"/>
  <c r="E196" i="10"/>
  <c r="F195" i="10"/>
  <c r="F195" i="10" a="1"/>
  <c r="E195" i="10"/>
  <c r="F194" i="10"/>
  <c r="F194" i="10" a="1"/>
  <c r="E194" i="10"/>
  <c r="F193" i="10"/>
  <c r="F193" i="10" a="1"/>
  <c r="E193" i="10"/>
  <c r="F192" i="10"/>
  <c r="F192" i="10" a="1"/>
  <c r="E192" i="10"/>
  <c r="F191" i="10"/>
  <c r="F191" i="10" a="1"/>
  <c r="E191" i="10"/>
  <c r="F190" i="10"/>
  <c r="F190" i="10" a="1"/>
  <c r="E190" i="10"/>
  <c r="F189" i="10"/>
  <c r="F189" i="10" a="1"/>
  <c r="E189" i="10"/>
  <c r="F188" i="10"/>
  <c r="F188" i="10" a="1"/>
  <c r="E188" i="10"/>
  <c r="F187" i="10"/>
  <c r="F187" i="10" a="1"/>
  <c r="E187" i="10"/>
  <c r="F186" i="10"/>
  <c r="F186" i="10" a="1"/>
  <c r="E186" i="10"/>
  <c r="F185" i="10"/>
  <c r="F185" i="10" a="1"/>
  <c r="E185" i="10"/>
  <c r="F184" i="10"/>
  <c r="F184" i="10" a="1"/>
  <c r="E184" i="10"/>
  <c r="F183" i="10"/>
  <c r="F183" i="10" a="1"/>
  <c r="E183" i="10"/>
  <c r="F182" i="10"/>
  <c r="F182" i="10" a="1"/>
  <c r="E182" i="10"/>
  <c r="F181" i="10"/>
  <c r="F181" i="10" a="1"/>
  <c r="E181" i="10"/>
  <c r="F180" i="10"/>
  <c r="F180" i="10" a="1"/>
  <c r="E180" i="10"/>
  <c r="F179" i="10"/>
  <c r="F179" i="10" a="1"/>
  <c r="E179" i="10"/>
  <c r="F178" i="10"/>
  <c r="F178" i="10" a="1"/>
  <c r="E178" i="10"/>
  <c r="F177" i="10"/>
  <c r="F177" i="10" a="1"/>
  <c r="E177" i="10"/>
  <c r="F176" i="10"/>
  <c r="F176" i="10" a="1"/>
  <c r="E176" i="10"/>
  <c r="F175" i="10"/>
  <c r="F175" i="10" a="1"/>
  <c r="E175" i="10"/>
  <c r="F174" i="10"/>
  <c r="F174" i="10" a="1"/>
  <c r="E174" i="10"/>
  <c r="F173" i="10"/>
  <c r="F173" i="10" a="1"/>
  <c r="E173" i="10"/>
  <c r="F172" i="10"/>
  <c r="F172" i="10" a="1"/>
  <c r="E172" i="10"/>
  <c r="F171" i="10"/>
  <c r="F171" i="10" a="1"/>
  <c r="E171" i="10"/>
  <c r="F170" i="10"/>
  <c r="F170" i="10" a="1"/>
  <c r="E170" i="10"/>
  <c r="F169" i="10"/>
  <c r="F169" i="10" a="1"/>
  <c r="E169" i="10"/>
  <c r="F168" i="10"/>
  <c r="F168" i="10" a="1"/>
  <c r="E168" i="10"/>
  <c r="F167" i="10"/>
  <c r="F167" i="10" a="1"/>
  <c r="E167" i="10"/>
  <c r="F166" i="10"/>
  <c r="F166" i="10" a="1"/>
  <c r="E166" i="10"/>
  <c r="F165" i="10"/>
  <c r="F165" i="10" a="1"/>
  <c r="E165" i="10"/>
  <c r="F164" i="10"/>
  <c r="F164" i="10" a="1"/>
  <c r="E164" i="10"/>
  <c r="F163" i="10"/>
  <c r="F163" i="10" a="1"/>
  <c r="E163" i="10"/>
  <c r="F162" i="10"/>
  <c r="F162" i="10" a="1"/>
  <c r="E162" i="10"/>
  <c r="F161" i="10"/>
  <c r="F161" i="10" a="1"/>
  <c r="E161" i="10"/>
  <c r="F160" i="10"/>
  <c r="F160" i="10" a="1"/>
  <c r="E160" i="10"/>
  <c r="F159" i="10"/>
  <c r="F159" i="10" a="1"/>
  <c r="E159" i="10"/>
  <c r="F158" i="10"/>
  <c r="F158" i="10" a="1"/>
  <c r="E158" i="10"/>
  <c r="F157" i="10"/>
  <c r="F157" i="10" a="1"/>
  <c r="E157" i="10"/>
  <c r="F156" i="10"/>
  <c r="F156" i="10" a="1"/>
  <c r="E156" i="10"/>
  <c r="F155" i="10"/>
  <c r="F155" i="10" a="1"/>
  <c r="E155" i="10"/>
  <c r="F154" i="10"/>
  <c r="F154" i="10" a="1"/>
  <c r="E154" i="10"/>
  <c r="F153" i="10"/>
  <c r="F153" i="10" a="1"/>
  <c r="E153" i="10"/>
  <c r="F152" i="10"/>
  <c r="F152" i="10" a="1"/>
  <c r="E152" i="10"/>
  <c r="F151" i="10"/>
  <c r="F151" i="10" a="1"/>
  <c r="E151" i="10"/>
  <c r="F150" i="10"/>
  <c r="F150" i="10" a="1"/>
  <c r="E150" i="10"/>
  <c r="F149" i="10"/>
  <c r="F149" i="10" a="1"/>
  <c r="E149" i="10"/>
  <c r="F148" i="10"/>
  <c r="F148" i="10" a="1"/>
  <c r="E148" i="10"/>
  <c r="F147" i="10"/>
  <c r="F147" i="10" a="1"/>
  <c r="E147" i="10"/>
  <c r="F146" i="10"/>
  <c r="F146" i="10" a="1"/>
  <c r="E146" i="10"/>
  <c r="F145" i="10"/>
  <c r="F145" i="10" a="1"/>
  <c r="E145" i="10"/>
  <c r="F144" i="10"/>
  <c r="F144" i="10" a="1"/>
  <c r="E144" i="10"/>
  <c r="F143" i="10"/>
  <c r="F143" i="10" a="1"/>
  <c r="E143" i="10"/>
  <c r="F142" i="10"/>
  <c r="F142" i="10" a="1"/>
  <c r="E142" i="10"/>
  <c r="F141" i="10"/>
  <c r="F141" i="10" a="1"/>
  <c r="E141" i="10"/>
  <c r="F140" i="10"/>
  <c r="F140" i="10" a="1"/>
  <c r="E140" i="10"/>
  <c r="F139" i="10"/>
  <c r="F139" i="10" a="1"/>
  <c r="E139" i="10"/>
  <c r="F138" i="10"/>
  <c r="F138" i="10" a="1"/>
  <c r="E138" i="10"/>
  <c r="F137" i="10"/>
  <c r="F137" i="10" a="1"/>
  <c r="E137" i="10"/>
  <c r="F136" i="10"/>
  <c r="F136" i="10" a="1"/>
  <c r="E136" i="10"/>
  <c r="F135" i="10"/>
  <c r="F135" i="10" a="1"/>
  <c r="E135" i="10"/>
  <c r="F134" i="10"/>
  <c r="F134" i="10" a="1"/>
  <c r="E134" i="10"/>
  <c r="F133" i="10"/>
  <c r="F133" i="10" a="1"/>
  <c r="E133" i="10"/>
  <c r="F132" i="10"/>
  <c r="F132" i="10" a="1"/>
  <c r="E132" i="10"/>
  <c r="F131" i="10"/>
  <c r="F131" i="10" a="1"/>
  <c r="E131" i="10"/>
  <c r="F130" i="10"/>
  <c r="F130" i="10" a="1"/>
  <c r="E130" i="10"/>
  <c r="F129" i="10"/>
  <c r="F129" i="10" a="1"/>
  <c r="E129" i="10"/>
  <c r="F128" i="10"/>
  <c r="F128" i="10" a="1"/>
  <c r="E128" i="10"/>
  <c r="F127" i="10"/>
  <c r="F127" i="10" a="1"/>
  <c r="E127" i="10"/>
  <c r="F126" i="10"/>
  <c r="F126" i="10" a="1"/>
  <c r="E126" i="10"/>
  <c r="F125" i="10"/>
  <c r="F125" i="10" a="1"/>
  <c r="E125" i="10"/>
  <c r="F124" i="10"/>
  <c r="F124" i="10" a="1"/>
  <c r="E124" i="10"/>
  <c r="F123" i="10"/>
  <c r="F123" i="10" a="1"/>
  <c r="E123" i="10"/>
  <c r="F122" i="10"/>
  <c r="F122" i="10" a="1"/>
  <c r="E122" i="10"/>
  <c r="F121" i="10"/>
  <c r="F121" i="10" a="1"/>
  <c r="E121" i="10"/>
  <c r="F120" i="10"/>
  <c r="F120" i="10" a="1"/>
  <c r="E120" i="10"/>
  <c r="F119" i="10"/>
  <c r="F119" i="10" a="1"/>
  <c r="E119" i="10"/>
  <c r="F118" i="10"/>
  <c r="F118" i="10" a="1"/>
  <c r="E118" i="10"/>
  <c r="F117" i="10"/>
  <c r="F117" i="10" a="1"/>
  <c r="E117" i="10"/>
  <c r="F116" i="10"/>
  <c r="F116" i="10" a="1"/>
  <c r="E116" i="10"/>
  <c r="F115" i="10"/>
  <c r="F115" i="10" a="1"/>
  <c r="E115" i="10"/>
  <c r="F114" i="10"/>
  <c r="F114" i="10" a="1"/>
  <c r="E114" i="10"/>
  <c r="F113" i="10"/>
  <c r="F113" i="10" a="1"/>
  <c r="E113" i="10"/>
  <c r="F112" i="10"/>
  <c r="F112" i="10" a="1"/>
  <c r="E112" i="10"/>
  <c r="F111" i="10"/>
  <c r="F111" i="10" a="1"/>
  <c r="E111" i="10"/>
  <c r="F110" i="10"/>
  <c r="F110" i="10" a="1"/>
  <c r="E110" i="10"/>
  <c r="F109" i="10"/>
  <c r="F109" i="10" a="1"/>
  <c r="E109" i="10"/>
  <c r="F108" i="10"/>
  <c r="F108" i="10" a="1"/>
  <c r="E108" i="10"/>
  <c r="F107" i="10"/>
  <c r="F107" i="10" a="1"/>
  <c r="E107" i="10"/>
  <c r="F106" i="10"/>
  <c r="F106" i="10" a="1"/>
  <c r="E106" i="10"/>
  <c r="F105" i="10"/>
  <c r="F105" i="10" a="1"/>
  <c r="E105" i="10"/>
  <c r="F104" i="10"/>
  <c r="F104" i="10" a="1"/>
  <c r="E104" i="10"/>
  <c r="F103" i="10"/>
  <c r="F103" i="10" a="1"/>
  <c r="E103" i="10"/>
  <c r="F102" i="10"/>
  <c r="F102" i="10" a="1"/>
  <c r="E102" i="10"/>
  <c r="F101" i="10"/>
  <c r="F101" i="10" a="1"/>
  <c r="E101" i="10"/>
  <c r="F100" i="10"/>
  <c r="F100" i="10" a="1"/>
  <c r="E100" i="10"/>
  <c r="F99" i="10"/>
  <c r="F99" i="10" a="1"/>
  <c r="E99" i="10"/>
  <c r="F98" i="10"/>
  <c r="F98" i="10" a="1"/>
  <c r="E98" i="10"/>
  <c r="F97" i="10"/>
  <c r="F97" i="10" a="1"/>
  <c r="E97" i="10"/>
  <c r="F96" i="10"/>
  <c r="F96" i="10" a="1"/>
  <c r="E96" i="10"/>
  <c r="F95" i="10"/>
  <c r="F95" i="10" a="1"/>
  <c r="E95" i="10"/>
  <c r="F94" i="10"/>
  <c r="F94" i="10" a="1"/>
  <c r="E94" i="10"/>
  <c r="F93" i="10"/>
  <c r="F93" i="10" a="1"/>
  <c r="E93" i="10"/>
  <c r="F92" i="10"/>
  <c r="F92" i="10" a="1"/>
  <c r="E92" i="10"/>
  <c r="F91" i="10"/>
  <c r="F91" i="10" a="1"/>
  <c r="E91" i="10"/>
  <c r="F90" i="10"/>
  <c r="F90" i="10" a="1"/>
  <c r="E90" i="10"/>
  <c r="F89" i="10"/>
  <c r="F89" i="10" a="1"/>
  <c r="E89" i="10"/>
  <c r="F88" i="10"/>
  <c r="F88" i="10" a="1"/>
  <c r="E88" i="10"/>
  <c r="F87" i="10"/>
  <c r="F87" i="10" a="1"/>
  <c r="E87" i="10"/>
  <c r="F86" i="10"/>
  <c r="F86" i="10" a="1"/>
  <c r="E86" i="10"/>
  <c r="F85" i="10"/>
  <c r="F85" i="10" a="1"/>
  <c r="E85" i="10"/>
  <c r="F84" i="10"/>
  <c r="F84" i="10" a="1"/>
  <c r="E84" i="10"/>
  <c r="F83" i="10"/>
  <c r="F83" i="10" a="1"/>
  <c r="E83" i="10"/>
  <c r="F82" i="10"/>
  <c r="F82" i="10" a="1"/>
  <c r="E82" i="10"/>
  <c r="F81" i="10"/>
  <c r="F81" i="10" a="1"/>
  <c r="E81" i="10"/>
  <c r="F80" i="10"/>
  <c r="F80" i="10" a="1"/>
  <c r="E80" i="10"/>
  <c r="F79" i="10"/>
  <c r="F79" i="10" a="1"/>
  <c r="E79" i="10"/>
  <c r="F78" i="10"/>
  <c r="F78" i="10" a="1"/>
  <c r="E78" i="10"/>
  <c r="F77" i="10"/>
  <c r="F77" i="10" a="1"/>
  <c r="E77" i="10"/>
  <c r="F76" i="10"/>
  <c r="F76" i="10" a="1"/>
  <c r="E76" i="10"/>
  <c r="F75" i="10"/>
  <c r="F75" i="10" a="1"/>
  <c r="E75" i="10"/>
  <c r="F74" i="10"/>
  <c r="F74" i="10" a="1"/>
  <c r="E74" i="10"/>
  <c r="F73" i="10"/>
  <c r="F73" i="10" a="1"/>
  <c r="E73" i="10"/>
  <c r="F72" i="10"/>
  <c r="F72" i="10" a="1"/>
  <c r="E72" i="10"/>
  <c r="F71" i="10"/>
  <c r="F71" i="10" a="1"/>
  <c r="E71" i="10"/>
  <c r="F70" i="10"/>
  <c r="F70" i="10" a="1"/>
  <c r="E70" i="10"/>
  <c r="F69" i="10"/>
  <c r="F69" i="10" a="1"/>
  <c r="E69" i="10"/>
  <c r="F68" i="10"/>
  <c r="F68" i="10" a="1"/>
  <c r="E68" i="10"/>
  <c r="F67" i="10"/>
  <c r="F67" i="10" a="1"/>
  <c r="E67" i="10"/>
  <c r="F66" i="10"/>
  <c r="F66" i="10" a="1"/>
  <c r="E66" i="10"/>
  <c r="F65" i="10"/>
  <c r="F65" i="10" a="1"/>
  <c r="E65" i="10"/>
  <c r="F64" i="10"/>
  <c r="F64" i="10" a="1"/>
  <c r="E64" i="10"/>
  <c r="F63" i="10"/>
  <c r="F63" i="10" a="1"/>
  <c r="E63" i="10"/>
  <c r="F62" i="10"/>
  <c r="F62" i="10" a="1"/>
  <c r="E62" i="10"/>
  <c r="F61" i="10"/>
  <c r="F61" i="10" a="1"/>
  <c r="E61" i="10"/>
  <c r="F60" i="10"/>
  <c r="F60" i="10" a="1"/>
  <c r="E60" i="10"/>
  <c r="F59" i="10"/>
  <c r="F59" i="10" a="1"/>
  <c r="E59" i="10"/>
  <c r="F58" i="10"/>
  <c r="F58" i="10" a="1"/>
  <c r="E58" i="10"/>
  <c r="F57" i="10"/>
  <c r="F57" i="10" a="1"/>
  <c r="E57" i="10"/>
  <c r="F56" i="10"/>
  <c r="F56" i="10" a="1"/>
  <c r="E56" i="10"/>
  <c r="F55" i="10"/>
  <c r="F55" i="10" a="1"/>
  <c r="E55" i="10"/>
  <c r="F54" i="10"/>
  <c r="F54" i="10" a="1"/>
  <c r="E54" i="10"/>
  <c r="F53" i="10"/>
  <c r="F53" i="10" a="1"/>
  <c r="E53" i="10"/>
  <c r="F52" i="10"/>
  <c r="F52" i="10" a="1"/>
  <c r="E52" i="10"/>
  <c r="F51" i="10"/>
  <c r="F51" i="10" a="1"/>
  <c r="E51" i="10"/>
  <c r="F50" i="10"/>
  <c r="F50" i="10" a="1"/>
  <c r="E50" i="10"/>
  <c r="F49" i="10"/>
  <c r="F49" i="10" a="1"/>
  <c r="E49" i="10"/>
  <c r="F48" i="10"/>
  <c r="F48" i="10" a="1"/>
  <c r="E48" i="10"/>
  <c r="F47" i="10"/>
  <c r="F47" i="10" a="1"/>
  <c r="E47" i="10"/>
  <c r="F46" i="10"/>
  <c r="F46" i="10" a="1"/>
  <c r="E46" i="10"/>
  <c r="F45" i="10"/>
  <c r="F45" i="10" a="1"/>
  <c r="E45" i="10"/>
  <c r="F44" i="10"/>
  <c r="F44" i="10" a="1"/>
  <c r="E44" i="10"/>
  <c r="F43" i="10"/>
  <c r="F43" i="10" a="1"/>
  <c r="E43" i="10"/>
  <c r="F42" i="10"/>
  <c r="F42" i="10" a="1"/>
  <c r="E42" i="10"/>
  <c r="F41" i="10"/>
  <c r="F41" i="10" a="1"/>
  <c r="E41" i="10"/>
  <c r="F40" i="10"/>
  <c r="F40" i="10" a="1"/>
  <c r="E40" i="10"/>
  <c r="F39" i="10"/>
  <c r="F39" i="10" a="1"/>
  <c r="E39" i="10"/>
  <c r="F38" i="10"/>
  <c r="F38" i="10" a="1"/>
  <c r="E38" i="10"/>
  <c r="F37" i="10"/>
  <c r="F37" i="10" a="1"/>
  <c r="E37" i="10"/>
  <c r="F36" i="10"/>
  <c r="F36" i="10" a="1"/>
  <c r="E36" i="10"/>
  <c r="F35" i="10"/>
  <c r="F35" i="10" a="1"/>
  <c r="E35" i="10"/>
  <c r="F34" i="10"/>
  <c r="F34" i="10" a="1"/>
  <c r="E34" i="10"/>
  <c r="F33" i="10"/>
  <c r="F33" i="10" a="1"/>
  <c r="E33" i="10"/>
  <c r="F32" i="10"/>
  <c r="F32" i="10" a="1"/>
  <c r="E32" i="10"/>
  <c r="F31" i="10"/>
  <c r="F31" i="10" a="1"/>
  <c r="E31" i="10"/>
  <c r="F30" i="10"/>
  <c r="F30" i="10" a="1"/>
  <c r="E30" i="10"/>
  <c r="F29" i="10"/>
  <c r="F29" i="10" a="1"/>
  <c r="E29" i="10"/>
  <c r="F28" i="10"/>
  <c r="F28" i="10" a="1"/>
  <c r="E28" i="10"/>
  <c r="F27" i="10"/>
  <c r="F27" i="10" a="1"/>
  <c r="E27" i="10"/>
  <c r="F26" i="10"/>
  <c r="F26" i="10" a="1"/>
  <c r="E26" i="10"/>
  <c r="F25" i="10"/>
  <c r="F25" i="10" a="1"/>
  <c r="E25" i="10"/>
  <c r="F24" i="10"/>
  <c r="F24" i="10" a="1"/>
  <c r="E24" i="10"/>
  <c r="F23" i="10"/>
  <c r="F23" i="10" a="1"/>
  <c r="E23" i="10"/>
  <c r="F22" i="10"/>
  <c r="F22" i="10" a="1"/>
  <c r="E22" i="10"/>
  <c r="F21" i="10"/>
  <c r="F21" i="10" a="1"/>
  <c r="E21" i="10"/>
  <c r="F20" i="10"/>
  <c r="F20" i="10" a="1"/>
  <c r="E20" i="10"/>
  <c r="F19" i="10"/>
  <c r="F19" i="10" a="1"/>
  <c r="E19" i="10"/>
  <c r="F18" i="10"/>
  <c r="F18" i="10" a="1"/>
  <c r="E18" i="10"/>
  <c r="F17" i="10"/>
  <c r="F17" i="10" a="1"/>
  <c r="E17" i="10"/>
  <c r="F16" i="10"/>
  <c r="F16" i="10" a="1"/>
  <c r="E16" i="10"/>
  <c r="F15" i="10"/>
  <c r="F15" i="10" a="1"/>
  <c r="E15" i="10"/>
  <c r="F14" i="10"/>
  <c r="F14" i="10" a="1"/>
  <c r="E14" i="10"/>
  <c r="F13" i="10"/>
  <c r="F13" i="10" a="1"/>
  <c r="E13" i="10"/>
  <c r="F12" i="10"/>
  <c r="F12" i="10" a="1"/>
  <c r="E12" i="10"/>
  <c r="F11" i="10"/>
  <c r="F11" i="10" a="1"/>
  <c r="E11" i="10"/>
  <c r="F10" i="10"/>
  <c r="F10" i="10" a="1"/>
  <c r="E10" i="10"/>
  <c r="F9" i="10"/>
  <c r="F9" i="10" a="1"/>
  <c r="E9" i="10"/>
  <c r="F8" i="10"/>
  <c r="F8" i="10" a="1"/>
  <c r="E8" i="10"/>
  <c r="F7" i="10"/>
  <c r="F7" i="10" a="1"/>
  <c r="E7" i="10"/>
  <c r="F6" i="10"/>
  <c r="F6" i="10" a="1"/>
  <c r="E6" i="10"/>
  <c r="F5" i="10"/>
  <c r="F5" i="10" a="1"/>
  <c r="E5" i="10"/>
  <c r="F4" i="10"/>
  <c r="F4" i="10" a="1"/>
  <c r="E4" i="10"/>
  <c r="F3" i="10"/>
  <c r="F3" i="10" a="1"/>
  <c r="E3" i="10"/>
  <c r="F2" i="10"/>
  <c r="F2" i="10" a="1"/>
  <c r="E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6B6510-965F-4C4C-8CC3-992664EE3C5B}" keepAlive="1" name="Query - 1 8" description="Connection to the '1 8' query in the workbook." type="5" refreshedVersion="8" background="1" saveData="1">
    <dbPr connection="Provider=Microsoft.Mashup.OleDb.1;Data Source=$Workbook$;Location=&quot;1 8&quot;;Extended Properties=&quot;&quot;" command="SELECT * FROM [1 8]"/>
  </connection>
  <connection id="2" xr16:uid="{5B62403E-0C86-4357-B8BB-BA46D63F94A0}" keepAlive="1" name="Query - 1 8 (2)" description="Connection to the '1 8 (2)' query in the workbook." type="5" refreshedVersion="8" background="1" saveData="1">
    <dbPr connection="Provider=Microsoft.Mashup.OleDb.1;Data Source=$Workbook$;Location=&quot;1 8 (2)&quot;;Extended Properties=&quot;&quot;" command="SELECT * FROM [1 8 (2)]"/>
  </connection>
  <connection id="3" xr16:uid="{73B734C9-3A97-4BD5-ABEA-979C41304F07}" keepAlive="1" name="Query - 2" description="Connection to the '2' query in the workbook." type="5" refreshedVersion="8" background="1" saveData="1">
    <dbPr connection="Provider=Microsoft.Mashup.OleDb.1;Data Source=$Workbook$;Location=2;Extended Properties=&quot;&quot;" command="SELECT * FROM [2]"/>
  </connection>
  <connection id="4" xr16:uid="{110BA793-B070-4889-9391-6DF38ABD6698}" keepAlive="1" name="Query - Electric-Stat 2" description="Connection to the 'Electric-Stat 2' query in the workbook." type="5" refreshedVersion="8" background="1" saveData="1">
    <dbPr connection="Provider=Microsoft.Mashup.OleDb.1;Data Source=$Workbook$;Location=&quot;Electric-Stat 2&quot;;Extended Properties=&quot;&quot;" command="SELECT * FROM [Electric-Stat 2]"/>
  </connection>
  <connection id="5" xr16:uid="{79AD6087-CAC2-49B6-A87E-0EE35CB85D8E}" keepAlive="1" name="Query - Electric-Stat 2 (2)" description="Connection to the 'Electric-Stat 2 (2)' query in the workbook." type="5" refreshedVersion="8" background="1" saveData="1">
    <dbPr connection="Provider=Microsoft.Mashup.OleDb.1;Data Source=$Workbook$;Location=&quot;Electric-Stat 2 (2)&quot;;Extended Properties=&quot;&quot;" command="SELECT * FROM [Electric-Stat 2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<sst xmlns="http://schemas.openxmlformats.org/spreadsheetml/2006/main" count="28912" uniqueCount="195">
  <si>
    <t>Country Name</t>
  </si>
  <si>
    <t>Country Code</t>
  </si>
  <si>
    <t>Region</t>
  </si>
  <si>
    <t>IncomeGroup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</si>
  <si>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</si>
  <si>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</si>
  <si>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</si>
  <si>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</si>
  <si>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</si>
  <si>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</si>
  <si>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</si>
  <si>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</si>
  <si>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</si>
  <si>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</si>
  <si>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</si>
  <si>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</si>
  <si>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</si>
  <si>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</si>
  <si>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</si>
  <si>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</si>
  <si>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</si>
  <si>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</si>
  <si>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</si>
  <si>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</si>
  <si>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</si>
  <si>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</si>
  <si>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</si>
  <si>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</si>
  <si>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Angola</t>
  </si>
  <si>
    <t>AGO</t>
  </si>
  <si>
    <t>Sub-Saharan Africa</t>
  </si>
  <si>
    <t>Lower middle income</t>
  </si>
  <si>
    <t>Burundi</t>
  </si>
  <si>
    <t>BDI</t>
  </si>
  <si>
    <t>Low income</t>
  </si>
  <si>
    <t>Benin</t>
  </si>
  <si>
    <t>BEN</t>
  </si>
  <si>
    <t>Burkina Faso</t>
  </si>
  <si>
    <t>BFA</t>
  </si>
  <si>
    <t>Botswana</t>
  </si>
  <si>
    <t>BWA</t>
  </si>
  <si>
    <t>Upper middle income</t>
  </si>
  <si>
    <t>Central African Republic</t>
  </si>
  <si>
    <t>CAF</t>
  </si>
  <si>
    <t>Cameroon</t>
  </si>
  <si>
    <t>CMR</t>
  </si>
  <si>
    <t>Comoros</t>
  </si>
  <si>
    <t>COM</t>
  </si>
  <si>
    <t>Cabo Verde</t>
  </si>
  <si>
    <t>CPV</t>
  </si>
  <si>
    <t>Djibouti</t>
  </si>
  <si>
    <t>DJI</t>
  </si>
  <si>
    <t>Middle East &amp; North Africa</t>
  </si>
  <si>
    <t>Algeria</t>
  </si>
  <si>
    <t>DZA</t>
  </si>
  <si>
    <t>Eritrea</t>
  </si>
  <si>
    <t>ERI</t>
  </si>
  <si>
    <t>Ethiopia</t>
  </si>
  <si>
    <t>ETH</t>
  </si>
  <si>
    <t>Gabon</t>
  </si>
  <si>
    <t>GAB</t>
  </si>
  <si>
    <t>Ghana</t>
  </si>
  <si>
    <t>GHA</t>
  </si>
  <si>
    <t>Guinea</t>
  </si>
  <si>
    <t>GIN</t>
  </si>
  <si>
    <t>Guinea-Bissau</t>
  </si>
  <si>
    <t>GNB</t>
  </si>
  <si>
    <t>Equatorial Guinea</t>
  </si>
  <si>
    <t>GNQ</t>
  </si>
  <si>
    <t>Kenya</t>
  </si>
  <si>
    <t>KEN</t>
  </si>
  <si>
    <t>Liberia</t>
  </si>
  <si>
    <t>LBR</t>
  </si>
  <si>
    <t>Libya</t>
  </si>
  <si>
    <t>LBY</t>
  </si>
  <si>
    <t>Lesotho</t>
  </si>
  <si>
    <t>LSO</t>
  </si>
  <si>
    <t>Morocco</t>
  </si>
  <si>
    <t>MAR</t>
  </si>
  <si>
    <t>Madagascar</t>
  </si>
  <si>
    <t>MDG</t>
  </si>
  <si>
    <t>Mali</t>
  </si>
  <si>
    <t>MLI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</si>
  <si>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</si>
  <si>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</si>
  <si>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</si>
  <si>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</si>
  <si>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</si>
  <si>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</si>
  <si>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</si>
  <si>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</si>
  <si>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Namibia</t>
  </si>
  <si>
    <t>NAM</t>
  </si>
  <si>
    <t>Niger</t>
  </si>
  <si>
    <t>NER</t>
  </si>
  <si>
    <t>Nigeria</t>
  </si>
  <si>
    <t>NGA</t>
  </si>
  <si>
    <t>Rwanda</t>
  </si>
  <si>
    <t>RWA</t>
  </si>
  <si>
    <t>Sudan</t>
  </si>
  <si>
    <t>SDN</t>
  </si>
  <si>
    <t>Senegal</t>
  </si>
  <si>
    <t>SEN</t>
  </si>
  <si>
    <t>Sierra Leone</t>
  </si>
  <si>
    <t>SLE</t>
  </si>
  <si>
    <t>South Sudan</t>
  </si>
  <si>
    <t>SSD</t>
  </si>
  <si>
    <t>Sao Tome and Principe</t>
  </si>
  <si>
    <t>STP</t>
  </si>
  <si>
    <t>Eswatini</t>
  </si>
  <si>
    <t>SWZ</t>
  </si>
  <si>
    <t>Seychelles</t>
  </si>
  <si>
    <t>SYC</t>
  </si>
  <si>
    <t>High income</t>
  </si>
  <si>
    <t>Chad</t>
  </si>
  <si>
    <t>TCD</t>
  </si>
  <si>
    <t>Togo</t>
  </si>
  <si>
    <t>TGO</t>
  </si>
  <si>
    <t>Tunisia</t>
  </si>
  <si>
    <t>TUN</t>
  </si>
  <si>
    <t>Tanzania</t>
  </si>
  <si>
    <t>TZA</t>
  </si>
  <si>
    <t>Uganda</t>
  </si>
  <si>
    <t>UGA</t>
  </si>
  <si>
    <t>South Africa</t>
  </si>
  <si>
    <t>ZAF</t>
  </si>
  <si>
    <t>Zambia</t>
  </si>
  <si>
    <t>ZMB</t>
  </si>
  <si>
    <t>Zimbabwe</t>
  </si>
  <si>
    <t>ZWE</t>
  </si>
  <si>
    <t>Country</t>
  </si>
  <si>
    <t>Indicator</t>
  </si>
  <si>
    <t>Year</t>
  </si>
  <si>
    <t>Share (%)</t>
  </si>
  <si>
    <t>RE share of electricity capacity (%)</t>
  </si>
  <si>
    <t/>
  </si>
  <si>
    <t>RE share of electricity generation (%)</t>
  </si>
  <si>
    <t>-</t>
  </si>
  <si>
    <t>Egypt</t>
  </si>
  <si>
    <t>Somalia</t>
  </si>
  <si>
    <t>Countries</t>
  </si>
  <si>
    <t>Technology</t>
  </si>
  <si>
    <t>Data Type</t>
  </si>
  <si>
    <t>Grid Connection</t>
  </si>
  <si>
    <t>Column6</t>
  </si>
  <si>
    <t>Total renewable</t>
  </si>
  <si>
    <t>Electricity Installed Capacity (MW)</t>
  </si>
  <si>
    <t>All</t>
  </si>
  <si>
    <t>On-grid</t>
  </si>
  <si>
    <t>Off-grid</t>
  </si>
  <si>
    <t>Electricity Generation (GWh)</t>
  </si>
  <si>
    <t>Solar photovoltaic</t>
  </si>
  <si>
    <t>Solar thermal energy</t>
  </si>
  <si>
    <t>Onshore wind energy</t>
  </si>
  <si>
    <t>Offshore wind energy</t>
  </si>
  <si>
    <t>Renewable hydropower</t>
  </si>
  <si>
    <t>Mixed Hydro Plants</t>
  </si>
  <si>
    <t>Marine energy</t>
  </si>
  <si>
    <t>Solid biofuels</t>
  </si>
  <si>
    <t>Renewable municipal waste</t>
  </si>
  <si>
    <t>Liquid biofuels</t>
  </si>
  <si>
    <t>Biogas</t>
  </si>
  <si>
    <t>Geothermal energy</t>
  </si>
  <si>
    <t>Total non-renewable</t>
  </si>
  <si>
    <t>Pumped storage</t>
  </si>
  <si>
    <t>Coal and peat</t>
  </si>
  <si>
    <t>Oil</t>
  </si>
  <si>
    <t>Natural gas</t>
  </si>
  <si>
    <t>Fossil fuels n.e.s.</t>
  </si>
  <si>
    <t>Nuclear</t>
  </si>
  <si>
    <t>Other non-renewable energy</t>
  </si>
  <si>
    <t>2000_Share(%)</t>
  </si>
  <si>
    <t>Growth_Calculation</t>
  </si>
  <si>
    <t>DIFF+</t>
  </si>
  <si>
    <t>DIFF-</t>
  </si>
  <si>
    <t>MAX</t>
  </si>
  <si>
    <t>DATA LABEL +</t>
  </si>
  <si>
    <t>DATA LABEL -</t>
  </si>
  <si>
    <t>Row Labels</t>
  </si>
  <si>
    <t>Average of 2023</t>
  </si>
  <si>
    <t>Column Labels</t>
  </si>
  <si>
    <t>Bottom Line</t>
  </si>
  <si>
    <t>AVG</t>
  </si>
  <si>
    <t>`</t>
  </si>
  <si>
    <t>Tech Category</t>
  </si>
  <si>
    <t>Solar</t>
  </si>
  <si>
    <t>Wind</t>
  </si>
  <si>
    <t>Hydro</t>
  </si>
  <si>
    <t>Grand Total</t>
  </si>
  <si>
    <t>Total Electric Capacity</t>
  </si>
  <si>
    <t>Total Capacity</t>
  </si>
  <si>
    <t>Electric Capacity (MW)</t>
  </si>
  <si>
    <t>Which African Countries have the highest and lowest electricity access rate?</t>
  </si>
  <si>
    <t>What is the of distribution of renewable sources (Solar, Wind, &amp; Hydro) in Africa?</t>
  </si>
  <si>
    <t>Top 6 Countries in Africa that have showed the fastest growth in renewables 
since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</si>
</sst>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7"/>
      <color rgb="FFF9FAFB"/>
      <name val="Consolas"/>
      <family val="3"/>
    </font>
    <font>
      <sz val="11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Border="0" applyAlignment="0"/>
    <xf numFmtId="9" fontId="9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1"/>
    <xf numFmtId="0" fontId="1" fillId="0" borderId="0" xfId="1" applyNumberFormat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3" fillId="3" borderId="4" xfId="1" applyNumberFormat="1" applyFont="1" applyFill="1" applyBorder="1"/>
    <xf numFmtId="0" fontId="3" fillId="3" borderId="5" xfId="1" applyNumberFormat="1" applyFont="1" applyFill="1" applyBorder="1"/>
    <xf numFmtId="0" fontId="3" fillId="3" borderId="6" xfId="1" applyFont="1" applyFill="1" applyBorder="1"/>
    <xf numFmtId="0" fontId="3" fillId="4" borderId="4" xfId="1" applyNumberFormat="1" applyFont="1" applyFill="1" applyBorder="1"/>
    <xf numFmtId="0" fontId="3" fillId="4" borderId="5" xfId="1" applyNumberFormat="1" applyFont="1" applyFill="1" applyBorder="1"/>
    <xf numFmtId="0" fontId="3" fillId="4" borderId="6" xfId="1" applyFont="1" applyFill="1" applyBorder="1"/>
    <xf numFmtId="0" fontId="4" fillId="5" borderId="7" xfId="0" applyFont="1" applyFill="1" applyBorder="1"/>
    <xf numFmtId="0" fontId="4" fillId="5" borderId="8" xfId="0" applyFont="1" applyFill="1" applyBorder="1"/>
    <xf numFmtId="0" fontId="0" fillId="6" borderId="8" xfId="0" applyFont="1" applyFill="1" applyBorder="1"/>
    <xf numFmtId="0" fontId="0" fillId="0" borderId="8" xfId="0" applyFont="1" applyBorder="1"/>
    <xf numFmtId="0" fontId="0" fillId="0" borderId="0" xfId="0" applyNumberFormat="1"/>
    <xf numFmtId="0" fontId="4" fillId="5" borderId="9" xfId="0" applyFont="1" applyFill="1" applyBorder="1"/>
    <xf numFmtId="0" fontId="8" fillId="0" borderId="0" xfId="0" applyNumberFormat="1" applyFont="1"/>
    <xf numFmtId="0" fontId="0" fillId="0" borderId="0" xfId="0" applyAlignment="1">
      <alignment horizontal="left"/>
    </xf>
    <xf numFmtId="0" fontId="0" fillId="6" borderId="7" xfId="0" applyNumberFormat="1" applyFont="1" applyFill="1" applyBorder="1"/>
    <xf numFmtId="0" fontId="0" fillId="6" borderId="8" xfId="0" applyNumberFormat="1" applyFont="1" applyFill="1" applyBorder="1"/>
    <xf numFmtId="0" fontId="0" fillId="0" borderId="7" xfId="0" applyNumberFormat="1" applyFont="1" applyBorder="1"/>
    <xf numFmtId="0" fontId="0" fillId="0" borderId="8" xfId="0" applyNumberFormat="1" applyFont="1" applyBorder="1"/>
    <xf numFmtId="0" fontId="5" fillId="0" borderId="0" xfId="0" applyFont="1"/>
    <xf numFmtId="0" fontId="6" fillId="0" borderId="0" xfId="1" applyFont="1"/>
    <xf numFmtId="0" fontId="0" fillId="0" borderId="10" xfId="0" applyBorder="1"/>
    <xf numFmtId="0" fontId="1" fillId="0" borderId="10" xfId="1" applyBorder="1"/>
    <xf numFmtId="0" fontId="0" fillId="0" borderId="12" xfId="0" applyBorder="1"/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0" fillId="0" borderId="16" xfId="0" applyBorder="1"/>
    <xf numFmtId="0" fontId="0" fillId="0" borderId="17" xfId="0" applyBorder="1"/>
    <xf numFmtId="0" fontId="1" fillId="0" borderId="17" xfId="1" applyBorder="1"/>
    <xf numFmtId="0" fontId="5" fillId="0" borderId="11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0" xfId="0" applyFont="1" applyBorder="1" applyAlignment="1">
      <alignment horizontal="left"/>
    </xf>
    <xf numFmtId="0" fontId="0" fillId="0" borderId="0" xfId="0" applyBorder="1"/>
    <xf numFmtId="0" fontId="1" fillId="0" borderId="0" xfId="1" applyBorder="1"/>
    <xf numFmtId="164" fontId="0" fillId="0" borderId="0" xfId="2" applyNumberFormat="1" applyFont="1"/>
    <xf numFmtId="164" fontId="1" fillId="0" borderId="0" xfId="2" applyNumberFormat="1" applyFont="1"/>
    <xf numFmtId="0" fontId="5" fillId="0" borderId="10" xfId="0" applyFont="1" applyBorder="1"/>
    <xf numFmtId="0" fontId="0" fillId="6" borderId="9" xfId="0" applyFont="1" applyFill="1" applyBorder="1"/>
    <xf numFmtId="0" fontId="0" fillId="0" borderId="9" xfId="0" applyFont="1" applyBorder="1"/>
    <xf numFmtId="0" fontId="5" fillId="4" borderId="21" xfId="0" applyFont="1" applyFill="1" applyBorder="1"/>
    <xf numFmtId="0" fontId="5" fillId="4" borderId="22" xfId="0" applyFont="1" applyFill="1" applyBorder="1" applyAlignment="1">
      <alignment horizontal="left"/>
    </xf>
    <xf numFmtId="0" fontId="5" fillId="4" borderId="22" xfId="0" applyNumberFormat="1" applyFont="1" applyFill="1" applyBorder="1"/>
    <xf numFmtId="0" fontId="10" fillId="0" borderId="0" xfId="0" applyFont="1"/>
    <xf numFmtId="0" fontId="11" fillId="7" borderId="0" xfId="0" applyFont="1" applyFill="1"/>
    <xf numFmtId="0" fontId="0" fillId="7" borderId="0" xfId="0" applyFill="1"/>
    <xf numFmtId="0" fontId="10" fillId="7" borderId="0" xfId="0" applyFont="1" applyFill="1"/>
    <xf numFmtId="0" fontId="14" fillId="7" borderId="0" xfId="0" applyFont="1" applyFill="1" applyBorder="1" applyAlignment="1">
      <alignment horizontal="center" vertical="center"/>
    </xf>
    <xf numFmtId="0" fontId="0" fillId="7" borderId="0" xfId="0" applyFill="1" applyBorder="1"/>
    <xf numFmtId="0" fontId="12" fillId="7" borderId="29" xfId="0" applyFont="1" applyFill="1" applyBorder="1"/>
    <xf numFmtId="0" fontId="14" fillId="7" borderId="23" xfId="0" applyFont="1" applyFill="1" applyBorder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4" fillId="7" borderId="25" xfId="0" applyFont="1" applyFill="1" applyBorder="1" applyAlignment="1">
      <alignment horizontal="center" vertical="center"/>
    </xf>
    <xf numFmtId="0" fontId="14" fillId="7" borderId="26" xfId="0" applyFont="1" applyFill="1" applyBorder="1" applyAlignment="1">
      <alignment horizontal="center" vertical="center"/>
    </xf>
    <xf numFmtId="0" fontId="14" fillId="7" borderId="27" xfId="0" applyFont="1" applyFill="1" applyBorder="1" applyAlignment="1">
      <alignment horizontal="center" vertical="center"/>
    </xf>
    <xf numFmtId="0" fontId="14" fillId="7" borderId="28" xfId="0" applyFont="1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 wrapText="1"/>
    </xf>
    <xf numFmtId="0" fontId="13" fillId="8" borderId="11" xfId="0" applyFont="1" applyFill="1" applyBorder="1" applyProtection="1">
      <protection locked="0"/>
    </xf>
  </cellXfs>
  <cellStyles count="3">
    <cellStyle name="Normal" xfId="0" builtinId="0"/>
    <cellStyle name="Normal 2" xfId="1" xr:uid="{31323D8A-4295-4C40-84D9-FA9772960170}"/>
    <cellStyle name="Percent" xfId="2" builtinId="5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protection locked="1" hidden="0"/>
    </dxf>
  </dxfs>
  <tableStyles count="0" defaultTableStyle="TableStyleMedium2" defaultPivotStyle="PivotStyleLight16"/>
  <colors>
    <mruColors>
      <color rgb="FF248C24"/>
      <color rgb="FF1F7B1F"/>
      <color rgb="FFFF00FF"/>
      <color rgb="FF289C28"/>
      <color rgb="FFFF3F3F"/>
      <color rgb="FF63D763"/>
      <color rgb="FF42CE42"/>
      <color rgb="FF2EB42E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'1'!$B$1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7"/>
            <c:invertIfNegative val="0"/>
            <c:bubble3D val="0"/>
            <c:spPr>
              <a:solidFill>
                <a:srgbClr val="FF3F3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F70-48B8-AC5C-EC98D00474F4}"/>
              </c:ext>
            </c:extLst>
          </c:dPt>
          <c:dPt>
            <c:idx val="8"/>
            <c:invertIfNegative val="0"/>
            <c:bubble3D val="0"/>
            <c:spPr>
              <a:solidFill>
                <a:srgbClr val="FF3F3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70-48B8-AC5C-EC98D00474F4}"/>
              </c:ext>
            </c:extLst>
          </c:dPt>
          <c:dPt>
            <c:idx val="9"/>
            <c:invertIfNegative val="0"/>
            <c:bubble3D val="0"/>
            <c:spPr>
              <a:solidFill>
                <a:srgbClr val="FF3F3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3F70-48B8-AC5C-EC98D00474F4}"/>
              </c:ext>
            </c:extLst>
          </c:dPt>
          <c:cat>
            <c:strRef>
              <c:f>'1'!$A$2:$A$11</c:f>
              <c:strCache>
                <c:ptCount val="10"/>
                <c:pt idx="0">
                  <c:v>Mozambique</c:v>
                </c:pt>
                <c:pt idx="1">
                  <c:v>Sierra Leone</c:v>
                </c:pt>
                <c:pt idx="2">
                  <c:v>Liberia</c:v>
                </c:pt>
                <c:pt idx="3">
                  <c:v>Burkina Faso</c:v>
                </c:pt>
                <c:pt idx="4">
                  <c:v>Niger</c:v>
                </c:pt>
                <c:pt idx="5">
                  <c:v>Central African Republic</c:v>
                </c:pt>
                <c:pt idx="6">
                  <c:v>Malawi</c:v>
                </c:pt>
                <c:pt idx="7">
                  <c:v>Chad</c:v>
                </c:pt>
                <c:pt idx="8">
                  <c:v>Burundi</c:v>
                </c:pt>
                <c:pt idx="9">
                  <c:v>South Sudan</c:v>
                </c:pt>
              </c:strCache>
            </c:strRef>
          </c:cat>
          <c:val>
            <c:numRef>
              <c:f>'1'!$B$2:$B$11</c:f>
              <c:numCache>
                <c:formatCode>General</c:formatCode>
                <c:ptCount val="10"/>
                <c:pt idx="0">
                  <c:v>36</c:v>
                </c:pt>
                <c:pt idx="1">
                  <c:v>35.5</c:v>
                </c:pt>
                <c:pt idx="2">
                  <c:v>32.5</c:v>
                </c:pt>
                <c:pt idx="3">
                  <c:v>21.7</c:v>
                </c:pt>
                <c:pt idx="4">
                  <c:v>20.100000000000001</c:v>
                </c:pt>
                <c:pt idx="5">
                  <c:v>17.600000000000001</c:v>
                </c:pt>
                <c:pt idx="6">
                  <c:v>15.6</c:v>
                </c:pt>
                <c:pt idx="7">
                  <c:v>12</c:v>
                </c:pt>
                <c:pt idx="8">
                  <c:v>11.6</c:v>
                </c:pt>
                <c:pt idx="9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8-470F-B1C8-BC87EA44C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8115087"/>
        <c:axId val="68119887"/>
      </c:barChart>
      <c:catAx>
        <c:axId val="68115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19887"/>
        <c:crosses val="autoZero"/>
        <c:auto val="1"/>
        <c:lblAlgn val="ctr"/>
        <c:lblOffset val="100"/>
        <c:noMultiLvlLbl val="0"/>
      </c:catAx>
      <c:valAx>
        <c:axId val="6811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Population Access to Electricity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1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'1'!$E$1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5"/>
            <c:invertIfNegative val="0"/>
            <c:bubble3D val="0"/>
            <c:spPr>
              <a:solidFill>
                <a:srgbClr val="63D76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A33-4805-B5A6-958F2583B297}"/>
              </c:ext>
            </c:extLst>
          </c:dPt>
          <c:dPt>
            <c:idx val="6"/>
            <c:invertIfNegative val="0"/>
            <c:bubble3D val="0"/>
            <c:spPr>
              <a:solidFill>
                <a:srgbClr val="63D76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A33-4805-B5A6-958F2583B297}"/>
              </c:ext>
            </c:extLst>
          </c:dPt>
          <c:dPt>
            <c:idx val="7"/>
            <c:invertIfNegative val="0"/>
            <c:bubble3D val="0"/>
            <c:spPr>
              <a:solidFill>
                <a:srgbClr val="63D76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A33-4805-B5A6-958F2583B297}"/>
              </c:ext>
            </c:extLst>
          </c:dPt>
          <c:dPt>
            <c:idx val="8"/>
            <c:invertIfNegative val="0"/>
            <c:bubble3D val="0"/>
            <c:spPr>
              <a:solidFill>
                <a:srgbClr val="63D76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A33-4805-B5A6-958F2583B297}"/>
              </c:ext>
            </c:extLst>
          </c:dPt>
          <c:dPt>
            <c:idx val="9"/>
            <c:invertIfNegative val="0"/>
            <c:bubble3D val="0"/>
            <c:spPr>
              <a:solidFill>
                <a:srgbClr val="63D76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EA33-4805-B5A6-958F2583B297}"/>
              </c:ext>
            </c:extLst>
          </c:dPt>
          <c:cat>
            <c:strRef>
              <c:f>'1'!$D$2:$D$11</c:f>
              <c:strCache>
                <c:ptCount val="10"/>
                <c:pt idx="0">
                  <c:v>South Africa</c:v>
                </c:pt>
                <c:pt idx="1">
                  <c:v>Ghana</c:v>
                </c:pt>
                <c:pt idx="2">
                  <c:v>Comoros</c:v>
                </c:pt>
                <c:pt idx="3">
                  <c:v>Gabon</c:v>
                </c:pt>
                <c:pt idx="4">
                  <c:v>Cabo Verde</c:v>
                </c:pt>
                <c:pt idx="5">
                  <c:v>Algeria</c:v>
                </c:pt>
                <c:pt idx="6">
                  <c:v>Morocco</c:v>
                </c:pt>
                <c:pt idx="7">
                  <c:v>Mauritius</c:v>
                </c:pt>
                <c:pt idx="8">
                  <c:v>Seychelles</c:v>
                </c:pt>
                <c:pt idx="9">
                  <c:v>Tunisia</c:v>
                </c:pt>
              </c:strCache>
            </c:strRef>
          </c:cat>
          <c:val>
            <c:numRef>
              <c:f>'1'!$E$2:$E$11</c:f>
              <c:numCache>
                <c:formatCode>General</c:formatCode>
                <c:ptCount val="10"/>
                <c:pt idx="0">
                  <c:v>87.7</c:v>
                </c:pt>
                <c:pt idx="1">
                  <c:v>89.5</c:v>
                </c:pt>
                <c:pt idx="2">
                  <c:v>89.8</c:v>
                </c:pt>
                <c:pt idx="3">
                  <c:v>94.1</c:v>
                </c:pt>
                <c:pt idx="4">
                  <c:v>98.6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2-4117-881D-64497E229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63435535"/>
        <c:axId val="1563435055"/>
      </c:barChart>
      <c:catAx>
        <c:axId val="1563435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35055"/>
        <c:crosses val="autoZero"/>
        <c:auto val="1"/>
        <c:lblAlgn val="ctr"/>
        <c:lblOffset val="100"/>
        <c:noMultiLvlLbl val="0"/>
      </c:catAx>
      <c:valAx>
        <c:axId val="156343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Population Access to Electricity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3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27792638360396"/>
          <c:y val="5.106382978723404E-2"/>
          <c:w val="0.85479862864031952"/>
          <c:h val="0.75747495392863129"/>
        </c:manualLayout>
      </c:layout>
      <c:barChart>
        <c:barDir val="col"/>
        <c:grouping val="clustered"/>
        <c:varyColors val="0"/>
        <c:ser>
          <c:idx val="0"/>
          <c:order val="1"/>
          <c:tx>
            <c:v>2000</c:v>
          </c:tx>
          <c:spPr>
            <a:solidFill>
              <a:srgbClr val="63D763"/>
            </a:solidFill>
            <a:ln w="15875">
              <a:solidFill>
                <a:srgbClr val="248C24"/>
              </a:solidFill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'1.5'!$H$29:$H$34</c:f>
                <c:numCache>
                  <c:formatCode>General</c:formatCode>
                  <c:ptCount val="6"/>
                  <c:pt idx="0">
                    <c:v>43.059999999999995</c:v>
                  </c:pt>
                  <c:pt idx="1">
                    <c:v>30.090000000000003</c:v>
                  </c:pt>
                  <c:pt idx="2">
                    <c:v>27.870000000000005</c:v>
                  </c:pt>
                  <c:pt idx="3">
                    <c:v>26.75</c:v>
                  </c:pt>
                  <c:pt idx="4">
                    <c:v>25.35</c:v>
                  </c:pt>
                  <c:pt idx="5">
                    <c:v>25.29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0" cap="flat" cmpd="sng" algn="ctr"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</a:schemeClr>
                    </a:gs>
                  </a:gsLst>
                  <a:lin ang="5400000" scaled="1"/>
                </a:gradFill>
                <a:prstDash val="dash"/>
                <a:round/>
                <a:headEnd type="oval"/>
                <a:tailEnd type="triangle"/>
              </a:ln>
              <a:effectLst/>
            </c:spPr>
          </c:errBars>
          <c:cat>
            <c:strRef>
              <c:f>'1.5'!$E$29:$E$34</c:f>
              <c:strCache>
                <c:ptCount val="6"/>
                <c:pt idx="0">
                  <c:v>Liberia</c:v>
                </c:pt>
                <c:pt idx="1">
                  <c:v>Mali</c:v>
                </c:pt>
                <c:pt idx="2">
                  <c:v>Guinea</c:v>
                </c:pt>
                <c:pt idx="3">
                  <c:v>Ethiopia</c:v>
                </c:pt>
                <c:pt idx="4">
                  <c:v>Sierra Leone</c:v>
                </c:pt>
                <c:pt idx="5">
                  <c:v>Senegal</c:v>
                </c:pt>
              </c:strCache>
            </c:strRef>
          </c:cat>
          <c:val>
            <c:numRef>
              <c:f>'1.5'!$F$29:$F$34</c:f>
              <c:numCache>
                <c:formatCode>General</c:formatCode>
                <c:ptCount val="6"/>
                <c:pt idx="0">
                  <c:v>6.42</c:v>
                </c:pt>
                <c:pt idx="1">
                  <c:v>20.93</c:v>
                </c:pt>
                <c:pt idx="2">
                  <c:v>38.14</c:v>
                </c:pt>
                <c:pt idx="3">
                  <c:v>71.62</c:v>
                </c:pt>
                <c:pt idx="4">
                  <c:v>20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2-486D-9B6A-A50F00FC103F}"/>
            </c:ext>
          </c:extLst>
        </c:ser>
        <c:ser>
          <c:idx val="1"/>
          <c:order val="2"/>
          <c:tx>
            <c:v>2024</c:v>
          </c:tx>
          <c:spPr>
            <a:solidFill>
              <a:srgbClr val="1F7B1F"/>
            </a:solidFill>
            <a:ln w="15875">
              <a:solidFill>
                <a:srgbClr val="63D763"/>
              </a:solidFill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'1.5'!$I$29:$I$34</c:f>
                <c:numCache>
                  <c:formatCode>General</c:formatCode>
                  <c:ptCount val="6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'1.5'!$E$29:$E$34</c:f>
              <c:strCache>
                <c:ptCount val="6"/>
                <c:pt idx="0">
                  <c:v>Liberia</c:v>
                </c:pt>
                <c:pt idx="1">
                  <c:v>Mali</c:v>
                </c:pt>
                <c:pt idx="2">
                  <c:v>Guinea</c:v>
                </c:pt>
                <c:pt idx="3">
                  <c:v>Ethiopia</c:v>
                </c:pt>
                <c:pt idx="4">
                  <c:v>Sierra Leone</c:v>
                </c:pt>
                <c:pt idx="5">
                  <c:v>Senegal</c:v>
                </c:pt>
              </c:strCache>
            </c:strRef>
          </c:cat>
          <c:val>
            <c:numRef>
              <c:f>'1.5'!$G$29:$G$34</c:f>
              <c:numCache>
                <c:formatCode>General</c:formatCode>
                <c:ptCount val="6"/>
                <c:pt idx="0">
                  <c:v>49.48</c:v>
                </c:pt>
                <c:pt idx="1">
                  <c:v>51.02</c:v>
                </c:pt>
                <c:pt idx="2">
                  <c:v>66.010000000000005</c:v>
                </c:pt>
                <c:pt idx="3">
                  <c:v>98.37</c:v>
                </c:pt>
                <c:pt idx="4">
                  <c:v>45.35</c:v>
                </c:pt>
                <c:pt idx="5">
                  <c:v>25.29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82-486D-9B6A-A50F00FC1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25"/>
        <c:axId val="997274207"/>
        <c:axId val="997274687"/>
      </c:barChart>
      <c:barChart>
        <c:barDir val="col"/>
        <c:grouping val="clustered"/>
        <c:varyColors val="0"/>
        <c:ser>
          <c:idx val="2"/>
          <c:order val="0"/>
          <c:tx>
            <c:v>Max1</c:v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4533549180538693E-17"/>
                  <c:y val="3.9084476614036487E-3"/>
                </c:manualLayout>
              </c:layout>
              <c:tx>
                <c:rich>
                  <a:bodyPr/>
                  <a:lstStyle/>
                  <a:p>
                    <a:fld id="{3396AC25-3750-41F5-85CA-D5D299F2ED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A82-486D-9B6A-A50F00FC103F}"/>
                </c:ext>
              </c:extLst>
            </c:dLbl>
            <c:dLbl>
              <c:idx val="1"/>
              <c:layout>
                <c:manualLayout>
                  <c:x val="-4.9067098361077387E-17"/>
                  <c:y val="1.3016206432013988E-2"/>
                </c:manualLayout>
              </c:layout>
              <c:tx>
                <c:rich>
                  <a:bodyPr/>
                  <a:lstStyle/>
                  <a:p>
                    <a:fld id="{18837E2A-489E-481F-9402-7FC177A0C2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A82-486D-9B6A-A50F00FC103F}"/>
                </c:ext>
              </c:extLst>
            </c:dLbl>
            <c:dLbl>
              <c:idx val="2"/>
              <c:layout>
                <c:manualLayout>
                  <c:x val="0"/>
                  <c:y val="-1.0975925038125293E-3"/>
                </c:manualLayout>
              </c:layout>
              <c:tx>
                <c:rich>
                  <a:bodyPr/>
                  <a:lstStyle/>
                  <a:p>
                    <a:fld id="{657DBC54-81FA-416C-ABB1-8EDC910B52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A82-486D-9B6A-A50F00FC103F}"/>
                </c:ext>
              </c:extLst>
            </c:dLbl>
            <c:dLbl>
              <c:idx val="3"/>
              <c:layout>
                <c:manualLayout>
                  <c:x val="-1.4826024359041281E-2"/>
                  <c:y val="1.2145752859750983E-2"/>
                </c:manualLayout>
              </c:layout>
              <c:tx>
                <c:rich>
                  <a:bodyPr/>
                  <a:lstStyle/>
                  <a:p>
                    <a:fld id="{30958084-09DB-4A4B-A3E8-12B550BE18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A82-486D-9B6A-A50F00FC103F}"/>
                </c:ext>
              </c:extLst>
            </c:dLbl>
            <c:dLbl>
              <c:idx val="4"/>
              <c:layout>
                <c:manualLayout>
                  <c:x val="0"/>
                  <c:y val="8.4623270467088178E-3"/>
                </c:manualLayout>
              </c:layout>
              <c:tx>
                <c:rich>
                  <a:bodyPr/>
                  <a:lstStyle/>
                  <a:p>
                    <a:fld id="{B4EE06E0-D403-441E-8672-DEF627912F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A82-486D-9B6A-A50F00FC103F}"/>
                </c:ext>
              </c:extLst>
            </c:dLbl>
            <c:dLbl>
              <c:idx val="5"/>
              <c:layout>
                <c:manualLayout>
                  <c:x val="9.8134196722154773E-17"/>
                  <c:y val="-3.2271586195084349E-4"/>
                </c:manualLayout>
              </c:layout>
              <c:tx>
                <c:rich>
                  <a:bodyPr/>
                  <a:lstStyle/>
                  <a:p>
                    <a:fld id="{79D4E4E5-E0D9-4A37-B31E-1E519C488A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A82-486D-9B6A-A50F00FC10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'1.5'!$J$29:$J$34</c:f>
              <c:numCache>
                <c:formatCode>General</c:formatCode>
                <c:ptCount val="6"/>
                <c:pt idx="0">
                  <c:v>49.48</c:v>
                </c:pt>
                <c:pt idx="1">
                  <c:v>51.02</c:v>
                </c:pt>
                <c:pt idx="2">
                  <c:v>66.010000000000005</c:v>
                </c:pt>
                <c:pt idx="3">
                  <c:v>98.37</c:v>
                </c:pt>
                <c:pt idx="4">
                  <c:v>45.35</c:v>
                </c:pt>
                <c:pt idx="5">
                  <c:v>25.29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'1.5'!$H$36:$H$41</c15:f>
                <c15:dlblRangeCache>
                  <c:ptCount val="6"/>
                  <c:pt idx="0">
                    <c:v>43.1%</c:v>
                  </c:pt>
                  <c:pt idx="1">
                    <c:v>30.1%</c:v>
                  </c:pt>
                  <c:pt idx="2">
                    <c:v>27.9%</c:v>
                  </c:pt>
                  <c:pt idx="3">
                    <c:v>26.8%</c:v>
                  </c:pt>
                  <c:pt idx="4">
                    <c:v>25.4%</c:v>
                  </c:pt>
                  <c:pt idx="5">
                    <c:v>25.3%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4A82-486D-9B6A-A50F00FC103F}"/>
            </c:ext>
          </c:extLst>
        </c:ser>
        <c:ser>
          <c:idx val="3"/>
          <c:order val="3"/>
          <c:tx>
            <c:v>Max2</c:v>
          </c:tx>
          <c:spPr>
            <a:noFill/>
            <a:ln>
              <a:noFill/>
            </a:ln>
            <a:effectLst/>
          </c:spPr>
          <c:invertIfNegative val="0"/>
          <c:val>
            <c:numRef>
              <c:f>'1.5'!$J$29:$J$34</c:f>
              <c:numCache>
                <c:formatCode>General</c:formatCode>
                <c:ptCount val="6"/>
                <c:pt idx="0">
                  <c:v>49.48</c:v>
                </c:pt>
                <c:pt idx="1">
                  <c:v>51.02</c:v>
                </c:pt>
                <c:pt idx="2">
                  <c:v>66.010000000000005</c:v>
                </c:pt>
                <c:pt idx="3">
                  <c:v>98.37</c:v>
                </c:pt>
                <c:pt idx="4">
                  <c:v>45.35</c:v>
                </c:pt>
                <c:pt idx="5">
                  <c:v>25.29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82-486D-9B6A-A50F00FC1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25"/>
        <c:axId val="972113407"/>
        <c:axId val="1194129903"/>
      </c:barChart>
      <c:catAx>
        <c:axId val="99727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274687"/>
        <c:crosses val="autoZero"/>
        <c:auto val="1"/>
        <c:lblAlgn val="ctr"/>
        <c:lblOffset val="100"/>
        <c:noMultiLvlLbl val="0"/>
      </c:catAx>
      <c:valAx>
        <c:axId val="997274687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 Share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274207"/>
        <c:crosses val="autoZero"/>
        <c:crossBetween val="between"/>
      </c:valAx>
      <c:valAx>
        <c:axId val="1194129903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972113407"/>
        <c:crosses val="max"/>
        <c:crossBetween val="between"/>
      </c:valAx>
      <c:catAx>
        <c:axId val="972113407"/>
        <c:scaling>
          <c:orientation val="minMax"/>
        </c:scaling>
        <c:delete val="1"/>
        <c:axPos val="b"/>
        <c:majorTickMark val="out"/>
        <c:minorTickMark val="none"/>
        <c:tickLblPos val="nextTo"/>
        <c:crossAx val="1194129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C76BBD94-3448-4C6B-96D3-ECE7921228F9}">
          <cx:tx>
            <cx:txData>
              <cx:f>_xlchart.v5.2</cx:f>
              <cx:v>Electric Capacity (MW)</cx:v>
            </cx:txData>
          </cx:tx>
          <cx:spPr>
            <a:ln>
              <a:solidFill>
                <a:schemeClr val="accent1">
                  <a:alpha val="96000"/>
                </a:schemeClr>
              </a:solidFill>
            </a:ln>
          </cx:spPr>
          <cx:dataId val="0"/>
          <cx:layoutPr>
            <cx:regionLabelLayout val="bestFitOnly"/>
            <cx:geography cultureLanguage="en-US" cultureRegion="ET" attribution="Powered by Bing">
              <cx:geoCache provider="{E9337A44-BEBE-4D9F-B70C-5C5E7DAFC167}">
                <cx:binary>5Hxpb9w2F+5fKfL5yhU3kXrx9gVKacb7kjj7F8GxHYoStZFa+evvmXipPXGaFDWQXNwp0NbicEg+
PDzLcw7138v5P5fm+sL+Nlemdv+5nP94kfd9+5/ff3eX+XV14XYqfWkb13zudy6b6vfm82d9ef37
lb2YdK1+xyGiv1/mF7a/nl/877/wa+q6OWouL3rd1C+Ha7u8unaD6d3ftD3Z9NtlM9T9pruCX/rj
xfGF0S9+u6573S+vl/b6jxePvvDit9+3f+arIX8zMKt+uIK+KNohPAwJQ/DvzQe9+M00tbptDvAO
jsMQE3HTCv97N/bJRQX9vzebL3O5uLqy1879dvvfu16P5n33ULsmuVlw0mwmeHz0ZUW/Pwb0f//d
egBr3HryAPNtQL7XtA35n0ZdW31xt/J/jzoWOxs8cRTFt59HqOOdzVOBozvQYVNuNvwG9B+Yz9O4
33fcgv7++Tb66cefj/7K6t5ePyP6iO3EDGQeY/IIdsK/4B6x6PYsbMn6D0zkadjvO27Bfv98G/bV
q58P+5+1aswzoh4gtCM4ZzwS5EauQaofqBrEd1gUI0wxuj8Tj4T+u/N5Gvy7dWxhf/d4G/o/T38+
9MeNbS4vm7tD/+/1DUE7iGOBUUjusX0AfcB3CIkwFXetMb8b+1bLf39CT4N/v5It9O+fb8N//Ocv
AP/FACrnon5WjR/uYEZDwkX0SOqDeAcD6jgi9FbZbymd4x+azDfQf9B3ewMeNH21B7+A9pGDLXV9
8dv6wj3jOUB4J+SMhFywx7uAdiIhQoIofSz4PzqNp/F/3HtrBx43bu+BXP/8cyCva13f4fHvlVC8
w3BMKKf4VtIfnwTwNJmgNOT4VkWJu6FvdNB3Z/ONPbhZxDb4N0+/Qv3g56MOq9WfnlP1BJiAjiGM
xugvy/pA+4PhJZggFLJbJ39LA/3AhJ6G/r7jFvj3z7fhP/kFlH9y8an57e21vbq+E79/L/ngcIYE
3HlMwK4+QH6zMyyOQgpN93b5oc+TXLTX35/M0+g/7Lu1AQ+btvcgefvzj0ACoaVtmmfUPXQnQpgx
jO4CLlAuDzYCkR3ECMh/tOX4/MhMvgX/3Rq+Av+u4Svoj38+9Cu1tP3zST6OdliIIZDF4b2AP8Ad
xxASUBTG+BsR1/dm8zT2t4vYAv726Tbqq91fAHU3ASNTPyOvE2yQ37j0YbwV5KId8DcRQXxL1Fc/
MIdvwH3fcxvx+4Zt0M9/BV6hz3XTPqelReDkI7QhdcCEPhBzInYi0D1IRLcWFiLfh2p+9QMz+Qb0
9z23ob9v2IZ+9frny/tuflFf3GHw7+0rsGlAKWBB7uJX8OIfwB+gnRCABx1zq4Pi+G5scEWAY/zu
dJ4G/7bbFvK3T7dh3937+bAfN/6i+qS74Rl9mwDFOwRUPMH8NoIF4X4APqE7MYRVMSdb/vyPTeZp
5B/23YL/YdP2Hhz/AlrnvBn6/Lfz4eriGd0bviNA6VCIX/8iER7sAZjZKIo4EPlbiucHJ/P0Jjzq
vLULj9q2t+H8/OcfhddDrd1z6n5CdgQlMcSvj+1tvAN7gsgG/JvPltn9gYk8Df99xy3o759vw/76
5OfDfnhdL8+o+NEOpSgGQvkrewtngcQR5Tcafwvz787iacRvu23hfft0G+3D1c9H++jaNX3+jPxZ
sNEkwCFjHj3W8pDQAoYBvPzwLsB6bGF/YCZPY37fcQv1++fbuB/9Asrl+OLqQl24ywt7h8K/93EC
JHZiTOMIoqVHBpZGm0MQUdiTGwWzpeN/bDJPo/+w79YGPGza3oPjXyCkeqMu6qtnVTWMgIgzcpeU
fXwACNCX4PmzmEFmcfMBK/DQxf/+dJ7egbt+W+jfPd5G/s0vgDyUBEBJxN3yn0Pygb+MBMdh9GTi
ECxvTEIUU0HvOYaH0H9/Pk9Df9dvC/q7x9vQH7/7+Qr/JlmkB/eM6GMIajmLKYv+0i8PfEsGaVsO
9SMCPx3b/tCUvrUBmzzcl9V8tQf3LV9tw5ufvw0n+pnrRTZWd1Okc1eYELJHJuCmboEjccuihVtZ
rB+Yz9M7cN9xC//759von/wC+ufV9LyaH+gD8CSjiKDHqJNwJ4woJRsG/8tny/B+fx5Pg37Xbwvz
u8fbkL/6BfTO+XV9rS7M82kdRHcoZyGkRh4nCYNNA6QRozB+2tH8gZk8jfp9xy3Y759v437+C4RT
500F1YDP6OWAGx/xzT93+ajHIk9jYNIIRSwWT5raH5jPN9C/W8g2+nfPv0L/FyjTOf9C5fz52erL
Z9yCAGKpOI4Ihkz4Iy2PIYsoOKI43lLvPzqPb0G/IaTuVvEV/g8btzfh458/39a+btQzBrhih2+Y
YlDrNyp948Y/cHaASIYUOo9uffyv+LTvTebpHbjptYX8zcNtxF//Avb144ZDfk6BB53OkIDSvy0a
B4NryUQsBON3luWGr//+DJ4G+q7fFtR3j7fB/vgL5GM/6urTxafp+g6A5winBJhQqAZh4rFwA7fD
aSQoolux64/M4RuA389+G/L7hq9A/wXcmYf1ETeR5L+H/f+/GpBv1+PfX0hIL/qL1ZebDA9K8v++
9YugwdWKra63ZMuT+3SzhftXf7wA5uz+dsTmBx5RNHcVwY++fn3h+j9eYLoxvREBVURjAU4p/NB0
vWmBomZwlngUMwpWQXABLXVj+/yPFwHdIZRtGGgMJhsKrBjYc7fxGaAN2DwoCQIjg8JIbJrI/aWR
s8YsqqnvYbj9+7d6qM4aXffujxcRuGXtzdc2yxLglMEwcE0D5gipULSp320vL17BxRT4Nvo/TR72
hFK+5gXuw11rfFwZWbWDHsyuICY8q7KRnS9OFywtZt/vz0HMggR38XKlgogPSZ2L6qJbCOFycOX8
3vp8Ol3YGHzsNcVNiqd8emcL3tHE9cV0QvsoF4dm6G2V0HiMqESVDS5HGuRWxkERz3Ko6rpIugDY
BWmLxbSJKYf4vGDzYCWUK4dzImizjKtRxIzsZpNQ8btQBzWXHg30dcPK0K5pmWefVRmqKi1VNS8r
ZIYpTkJn9NtlKbpmpQMNI3DdFq85qyeexAFjTdoYY0I5Z8NQpKMN5yKdWSlowghuukS0XTgmukb9
WzppNR+0U1lXK+e4LmWnGhb3ks/TpI6D0ppdHtZjM6fTIlpfySnAhV5VLSnqzw9E7omdBFfu8UYy
DGUbULUBTC9UJG1cvYcbObWtx0sU7euw5qdlyKd3WTbHbfL3o2yLC7jvHAgbSMzCxR8CafHHo8Sm
7ocRo9NpLAlJg4Z21Z5tBpfvjcprffb3o0U0fLwqKC0E2QSphAGBIY0JejxeXfkyy/TwCUonrEk7
Upr3dcyrCx3HrtnzOmjyg7ipcbfiLsJ1gqM87uS8eDut8lm3h42aSS19n08fCitonuawaZ27Nv0g
UPNeqSWud1uD1NlcDs0ge9WLcFf0SyYOyYL6SUbOLbPEUQayp+bYEkk6Yhap7TwfEDvXSGaVyQtZ
V6o9jlEe9GekR807QRdNpBh7MqWecrHyXlGUmKCb43TwE6ukmjQSr7OJtFwaS0m18twTuw5Fa1M6
aOfl3Pa23TOWTMsB19HYpkFbEbRmRTNchVXO3y8gW2XCrCi8rBc65ntOh9He4O3S7nWaBWKXMcOu
e5Gzg4m1U55O5VB6WZSBHuN+1bnZz0uKu3ZuxyFp8FLUSZEjdmr5EmhpPZ6dbEtffSo776lUXa8r
6eYoGFNK2pnvxmHFzua6dvGBjjSZJPEAgSzysvzUq1HV62iMtEg85mWYcoayLmG0qTqZwXWbC5Sr
ZUqGslpQEgVWU+nyIKvWZilr/Mp7RONEmJxPAEcznDhSOXYU9dXoknCcsgPHMhXL3AxlfGixETjx
MR3e5SSuSrlY3tZJI2CeB7QlvkgYnP4jP+Wm2i9sMLy2hmklAxVTvPamJO/8iJ2QmR2CJcGFiPpV
XjneJCWt8s2qRGnl7LqpP+gDAVAAvT+ftyrDOslVS7QMhz6kciG1mHdnRDWT01hkLulEN1UgOovi
B6Qu+VHTm6pOc0LmYD/vyyJPlW91u1t0Ud4mvM5DnRRTF9arARVhIbtGo7elGrvrSS3ldU7F4OUY
gO2A0+ij7qBVttq3OBhYUgrXRimoPr/Xh4wfiViPk/Q2NInz7AQXuK4PWm0LtBakKA98N9MwcYtn
74jw85spEO1BFU79qp376XrmeHinAUWccmqLNmER1U2qJlJiaXw1VEnLKHUrg0d7FolyEclkfF2v
pnopsESDGPO0h2Lu0x55ehkBxu9MECh2KNo41gm2qBTJsixjsOuVzQPJuqFnSaYV7IbBWvA01I1t
pcX1dL6ErhrWLRFVLmm56CHRqq7TLBwmmxix6HLdT1zs95HvPhtQMLUsmnpCadcz+8aLYEarmmD7
GuXlfM2GiWA5kcjtsxkFajdm3LJkAXt4DbtY8jRb1ORkXAZ5uxLL2NC0W6LsZWNyUuwVvh1zGVc+
cEmzmNlLFcHttHTEjfgk8GCOg2WZ0eHgW/F5BsL2dApVe537prWroCOsTkNrTABny+pcmsnUPokI
Kd/kfrDHvPXz56ECpSfnoMret9XYFRLEQ4tUoRbUlEcTPo+pa18t7QJfg0NElMRDrJd00S0/VWGJ
VWrUZPna9Dyo12Jp1WWtaPuO5OWSy577vkxsgE2cekH6KWFjBvLnRaX3HPEjWjdhE7/KRB1WsuY6
BMDGeYDpLjTs0joLuzcZmMdSBiXNriPPokJCcTOOZBObcEmoGcVRj0kjhst6rss+CbquqGQG4grf
mVwljnIcNS9DN7da5t3c2b3YVOFApFKeNrukqUvsDzPse5HkQ9800ocsGA+6AbFGmgB3QQo8IMMS
1APnklYxPyzN4gPpqW1f4qWd6oSAGhhTUWN96jmb2iRqAnU8F1rxVRuz6GOpwkrsBYupr3WkCFtH
Kl/e2C7IIolEUOMkF1bv9bVztSRRWdRpowos7G7tSHsSL+PA08jVOjTSLgvaNaVqq2Tqmqg9yAn4
AmmWl41Kp0x7JYdchG8n16Nrm3XiilUMUO0XlZ8ShoP381hgEPIs0J8LtRAvs8h0w8FUVjFLuOvo
IjvhKjhCYmBDUjX58LnGGNFUBXpo1qKioZV0mWfYqwzP3crQzg1SaN3VcvSZd3Kau7mQyEDCWI5Z
lC1yjGPQ/nrx9eu8VcGlLWL6IfZ9f+qjnL9rrA0v6yzLOhnnrgWvh3ixwDkVtU6NQ1OfIBuOLG1V
2C1SAO4u4TYr3hU8CGgSxYrplI7j1CQkLLJQ4qZi3UoDdf4pjyqMJcPLBC7cgjvZBWF/moH6rRNl
evCxaF7Q8JBVDXurwl6f9yDvNskWVr60JQa935owO5372Exp3A8+l4GeA5TmpZk+tGpkJhkCnzfp
MmU+T2nVVgdshtMlRZxTlYIRLM+mwg1gdJa4YYku8/4MefAlU0i2m8uK1K2VCNykz9041O/LUWVX
ogyNk1GhxHsxDrD5qA7CKM2zSvUS8ya6Mjlz4EXO7UIlifsar0w5R6+9NdFFrwb1oerh0Mna9aWS
Yem6fs3CIswlVj6fEx0EIZFaxODLjGM9vq/qLHoP18A9W8d5GfPAS1N2szksp6mdGqm1asA9GMPm
c4UWjsCIOXwywyn72LScXDI+9V7mYG9HySOfq7SoSFemlSn5eNQKbizY9Cm3Z07ExfsRgoBatros
9irkF5PSqRu6fT7mdZnM3WjcmmdDaVZxKUafuKzk9SrPRNkmGevMIHGrPTpiZPZ8l/cm6A9j79r2
3aJIRpM50MH4as7reEzUNNXnLCAZPpkCN3d7NvA9SGRN8Wwh2mh8RudkZLRHY9JGlqFPddapsZAh
VgurkxjcS3DMom6p2bBbdgVeOjlgHtMWphEq/67U4FIedKytlgwsulBlLms1sWk91COEC7IqrYdb
NyzP6d6iDJmTpskydmRaFOEJfD7MCwVe45hVZ0G0TO2SBOBG4IQYxvJaGlOWxZRU4LUGJImMxsHZ
4gdfHokhDjKVzKHz+RW2zATrqqYFPyttzqIruNkP6xFZrTVdmQU0434oxjCuJcrnMhwSP9UxTnAs
Gr1uM2zbtOlmWAXTYoFQptTjwncdHzr9xsU+ZyYtOlEMb/3S+eaNHvIKr40rw+z1UFSMIFkSr6M1
uCLY7qnYFd0gWWUFfqlzuAPKJeLMRq+0h+BDJTqfwfeWU8HBigY1zDadS1/mrQQN2bg3i+2HuEtc
HoWgH1Xg+QqFirrjIG/y+qju7DgdO97xvpFtIEpeyHyGwHc/o7YLT4eOsjKp4O7F9LJtxwyfY9eK
6LiyyuBkIcv4Ng486DRUZjSS5VKBeyMmXyUoKyh5N+Xz8tkh66okLO0oIMjrsNmrFZneO9QO2YrN
8XjYRYsW0pXZBO4JsWANa+GC1wH41rOsi9BHK51VBQIHr8fqqIi4C0FRLj5MmricdiugJknSigm/
zz1uu9S6gaK9LqfGr0TjWbsfszzGB2jq8jDpcm2bFScAPshXFoGO6rmDoJUuXktfzc1w2vWG5Ks+
K8ZytVhwyVNdBbQ9KEil9KqIW/W5QRDRy1zUcSGBDrCvQlZpv7c4VuEVzUJw7Rdk+rNZEJhZc1iM
laJgunkGCwlGDWHCRMEN7rK8IincrTOvJsSGS1zE5MpD3KveB2Gn35vWqpdAOGSlVM1Y9jIizs6J
H+fpCocjLs6yhoLCZjjnnQQRHxZYejOsqgiB9a5BtK8tiEQuUTDrPWG9H2VpBYNgIlwMRN6C2Xl/
zPnwZqakf8vAChZy8V2tpRl1xGWj3fRSNI0rJJ3hsshu7ogRSQDRrpZTWLNTVPBSpGGs1OvQRtUH
D+5SJGOwEEE6Fy0x6y4PcjhCufKfPC+Eku2cm042LgMeYQxnTfcxK8Rll3H1Mov0nKVF68tFRras
IC6DGhIwSkXFMzgiaO7XX4LcWxLrNnK/4WQum3axWuW37/K4//N/x3cvCPnyLoq/nm/eBvLXX6ft
dX0ObzS47o8v2u1vbsa7/yoMdzv+hqx69MdXrNk3eLGbl458o/HHSDOOsdiQBFRwMIhwh3zDcf0N
jfZpudZ3dPWGnXqy/y2vBr90w6MB1w9VnMAQYKgl56DQoVr8lkeDWxVQWQXUgADaWgCXAGzGLY0G
peeUQNUDKGnImAlg4v4Ji4Ygt/yAfOEEKDK4BolZzBnUU1O+oTEesGizYtkUtP3HpZ7baEVHE3U2
cVaF4KpB6ABGlzZR3e7nLsukJYs9IB2iRidl1VrxypVMmUwSO8KR+whvkrFNJiddWp5aw8NFpV2Y
U375zwXv/zWRwgR4rW+L0H0J819U7JceN0IDlCsDtpPAXWKoyYALxUB23ggR5Ivg5REcGFq4zM3J
phL7Vobg1R6MbmQXcShkChmFPrcyBGUcwM+GLIauUNwHjvg/kaENc/YXEcsxIiCPmzI1vpFj4GQf
i1AxUz+HS1VLhsLqoymm/MBTHYPnOIznU2BMulg/n/E6nA5RYN3uA5xuldBDIvgxsbcZHiojgASA
Vz1EUInI4BQ9lGC6kL7TBvyioYvQSVP74ZN22Xze89zeKLyb9+z8yFAUuDy4VcA2dDgB0vnxUFUA
XpubOLgFdWFez30RJY0ZsrRDJv7Oqr4CFdJSsCqg0OGOvviiAB6uith6tnaOjQyZ07JH4FzKMh4r
JnPPmrWHIV9Ho6jQGkKt+NpNbiH7fw8sekzMArKwSqh8hisWHCogIra1XKcHNYVgSaTPxqLZm+Ip
dwmrzcBS4TWNJepauwauzh84vpgPTME9eDmSsn1LDO2LddBxfxVNncOrerJtJf9+gl/PD7RmDBkA
SOxB/camSPghRnoRBvmoLSGg9+64DYrxIKi66ubC+zc3HX8lYFCWAwOhkEKWHIpdtwSsG4o27oBp
kWVQ60xGYl6YJKNvAAyLww98Vvq0GgJXJrSuJr8bjm2s5MQrejVVmc1faovzl11Xj2XSdWMTrITS
QAoPVRGeF67hQCDCT+tkagxfA9fqTiD074mE+CawuxaiSLJecgLhQVe09EaZfnN9WxYAQ42pgCLf
CBIyoF7o5gVBD1EUmFYLHLIKGJeyXEdlKNYdHDc5LdW0ckA/f4ca3zY5mwEhtwEZkBAGhJqPrQFV
XAwTeJgVhAPhLmWmlJhE6ZgNKc7KjyKz541gQCMCY9XQD1MYHYQiS2vR79ZRfaw2ILpg/I6wgzJ8
pMS+TCra1JSDOYSqwq1N5izYcDFLJXPL9HkLmmxVZcu1d6U4nOmIE9M5k/wz+cVQdcSg8AIgAPUd
b6sTD4HnrCi4whBwNvs5Dst1bdx4k6L/5v5un5LNKDwUMBBcl8KQlHu8v4NmwhU4A9kxQCaTqSdJ
FrnoO/g9NQpYAQobSyAzx7aMwDLTKBvrzSijUfuI9VHaxNzcFJT9k7WAjYOMJNRO4Jt7Rw9ltYvr
KphtA0dRdxcVJdNH1Fl69Z1twRtIHlo08MYiGAbBxQPQ9fCWu8eQzShyDRrZpY0HUPZhPrFyL9I+
bq+BPWHJCAH4O6dmE+4pSgOcmhKouJVCowrSbmrNdDL0pMEnDCLgQg5hyZsTUrHe7bmoWCBy9n3T
7fe0VyIpZtsD+zU7COe044a9rMa5M4c4MoIcKaygLx26Bbi3jLVgepYQ+WR0WTEAswlMT1rbvG8l
z2t66oFDUNKbNgSSbsiLPVXaON6FqGRo5Agb0smlYmOZWlXMn3qGyiK1/VRDnqmyhYKD1U7qtB0V
2ZsXO5t3ASMLT/qGB+7I5NXgXw2k8+GbrMkV3h0H2/vVFCN7Gc9Ah6+trbxIwj4qqj2uDSnTUtt8
TOslnKjsOK66tG9wG6R2dEu17lom1O5CvX0XtsFYpUOYqX5dZS07hUC7DCGQFGI4yICj9mlZswal
vXHZckxb10E2CM/NkjJNuUtphvLXIvJDKHuIXNE6WOAalUR0yaYECBTR7eJ+qIENbywdZEi6AMw3
cgytJsivqsSNiOyFyEECVnnTkH2BKOBTOub3IcwPoI9T4cdmqZpy1Wo6ZJBZYkG3hsgqr1LVbhBk
pjL9aomYetnPM5g8DTb7ZMGQc5MKIFWyaHvhYDOWoJS+8OOHeWnLazuR0a24Ksp41cDs39jRghAY
Sl+hfkHBKfyYzZMyQ1G1suVYzbsYkl7LSpcZkEFYL+Hx3BR5v0JzHcbreJnr9UKBYtvHDpTwARYL
cO3CAmt0Foyus2tU4lKnDDJdHTgYQ/Ae2bhZVkHbQXKrNbb6IMhYfcp0PhoJPqnWx0s3q0byIpqL
E9T47kM4j0aklYCLh3tWiwKnLqy6q5F0QyljrMc9jYDCTlUX+SaZnHH7jc8hRd4gVs8JyNKCVhkN
UJ6Mglc8GTsDEe5IKtuD2wj3U5Jaz+QTaxoRrODllTGkt6sgH9Y50DfmsEUlJIZ4MRUHUzCUn7oF
rFbSeIV62UYUGO6Zd5AaUE3QgN4DzrtMdMPVxcK7mO5FnaF2VS0B/gSJktklLmyaWdpqDoCADqv+
pOrmmu+3RNX2oMi6ZTxjJmZwUsIJmHRc4gwnkPgQcxIWBpGUjzHP1uOSR3ql6hZDJoKVuJbYt0F/
woig8269DJ6fDaPDH6Kga9uzzC0qe4N6x/RBsLTZvqowKpOhHXWXVG6s8wTqE3CU6CmPWqlcMH8o
JgcJm3KcxybNZo7GtYtd/XGJ9fSS5CbHkELJuOhXYupYv2GKWLGmro+iVTsCBZh0zVL63bxsqQWC
2PdmF+cl1BBohVwngf7mZE/Ug+9lDBUA+5DJKusjz/gMLhDoTEhritxR2QyKRHL2MR9WpLbisGvd
iCU2VVwnfhjrE+MMcNWWNrmR81RRfwZcvyilwB29CguSoV06LzpfR8Wcv0OmacKkzcr2SpOeH+OG
6GZF2hDs8DDHxQrVsQuSuhDtYYQ6oJ8Zz46zwolG1pBPhyi1NI6ks+m6PW3sCMe2sLWRI6ujc00s
3Q+Ejac0Cg09LlteTxL4kwrS5XVbqlSbAsjfULfxAc5NY48hSgdvqMiJJfs4bLNzConuSI4VUVex
GtBJQD3v9ivRQCKYCuPCFO60DX63NLFvUwJp6+5szHof7bOopSqp2RRHSRQtEDhXkesuLBPLYVgh
yILQpoSQexxz8xbNVdysWtBWux5qNqg0dU66tY6FGxJWVFUCtHO0SX2hUz8DV75qA+amJPdg16TC
rEpzoPQO4GxW5CiKg+Cw7iYMOVcWty9N1eFy3dY26qSqpskknmMzSVwgpdNCFH0k7YyDz3AW3PsF
buNdNG0TWDl5SPlJXuURHNm570Nw49pGASOWdSMwjJDbTfIygHCwjVQcJmFcDQ6S35x9jGmJIPuU
j8KtGz72hWQu7+skUBVQy2MAZH84QZIgAT7RXdJ6ctm6o5A2lpDtEEPidGXD1VS0E171hKj3BRin
+oAqnKOEBU3HpG2i4FRlVRyn1bA050CKQfqpQDoHwTGDfl32s3gTz232uRriwm2yeDg8gmhqFpJA
Krbe9ZAx+uwg4Uv3WUmqtwt4cDGkMBwb0nyGfLCMdAYlQ12gBGTaM2uPhyFzRwEc6k7qkrdnURtN
4DFmI35jshzSfZuU3Affd+1LFpj6TVM6KKcocY5ZAuRQCxUFTR2OKcuiZVnREAigl7wtzLyHhpmW
u1AnYYPdDSAnpObNdJD/X/bOrLlqJdnC/6Xf1aGSStPjlfbg2YANxrwoDAcklea5pF9/P5l7u/GG
g4N+7ujo6BMnaGrXlJW5cq2lvg2mHX28kf6I085fyklW7IRrtjmvJzwL9qAdg7BRzmoDcE703Qa3
CsupnHzGDAgjlhhN48wm6+eZGjm+Nt1MLx+jwdquVZBtuzpVbXkjV0FjzA1yXVnhmHVSw/lYDHHQ
jeklb+xEVvoOHYMquki43uBd1Py7MQPMTRY/VJW3cMuswk3oumhPj/5529cOyEBt2TFRduntb2Mq
RbnTbeJvnKQ8c91y95zY/Rev/Acskh9y3J9ofj8KV/+NLz3/n77jS46J9kRQKaCmEhRnAtred3xJ
YhO15fVYFgElBZRt/wKYNndT/iwKRNpOqKBtSdH0/2Q/y0G/BdEK+1MsYChz/ojs97K6AIoFVsJs
g1/oWzgrBSfVmd/Eoy/SNI8IjPp8BVYPZTJU38/H31YXL2tAsjmcWKmR+NFgq9ucX6b9vnRNoXsY
RJPTXqYwAqZxehgdvYcCAHND9ssfFYDbgPYm6aEms4SDHfVWmv8Ivtr07lSi22hA/XOb8vIfA282
/ggmYRRLWBRl9Bi2Wsb0TwpARdt3XtTSkbOk/Q7uiXWUvS1fKeu3Lfh3zfQ8ikc/AVVksAFk4qSq
V0YOGtPRJ89LLaO162AxJIdcZleZ399rpb6MuuhemdpL7GIbFJqpxcnFYdGRoBcvF3BZk2R4zoOk
2yY7MbrDwWsWY+8Y1nJF26h55YS8hIK28fDbkYyE/YvpoxF9OZ63LGbsuy3kD9v76MW1t2O4OpJJ
Prwy0vbLXy4n7qhIr31KXQBO72Rm8dLVllJ6IFtI9cWyyjyymrH4D0axHFp9IH2bH+LJvZryWcFt
G4cobdM2v1BLGxscRmh1rwz009WyAJm5w7jNYUoHefjlwinosnAAgiEqtkprnPP8GEwwE/w4sw+N
UVvf+mEoz34Icm++r9bfI8PPu4VqizYJsDDByD7ZLbqGFB1jsT1ostq7PFKHjnr9ULVN8MpBPN2u
APjd5b+AaFhe4TX2cn4mxJtxbqlW1JyoI8WKfR7P8WuA58kqcvg2r+jNdAi83/TEyU3unDytoSbk
Ub7E7xxnkMc4gegwZ3tqvvMgD5JXtu3kfm0DSuEFnoRkDUp4yrF2VrNqKDyLyByXSzsNHHYt8C6K
xqrP2zwtXtmwXw1n4UXOaeRyoUh6uYptP0sfNlQBGdZ1+r3pV7RTpxQ0ZComQ0SjLMBjfn9ITnaO
KVrAPER2vKIlUPLJybQrl9Ihz/LIm13jvJHBXd46/R9PDLdjjj6gPhyDnzYuFUnbOz35LfTq/pxs
UJ7z3QQFu6QVez3b3Sv79qtJbeHJpcHHYTndN+lvQb80VMSlzw6j1xT7IkiM/2BW/jYI6aLN0T/B
3yu7yJZG+CrSeV2EcWWQz3XWEtVDCbt1yMX+j7eKd4yjyH4hSjidlSdJsbnSebTCbIgInfm+EI3+
s0eZA8EWbfaNKHF5m/2TLCBY6mJyFheUucnc3TD13S4f+/rw+7mcvCTbKB6t160Lh0WttzX0fnz6
BzcA8IOEFPldSqXOP+77ZFUhdU38yoR+NZTjPaP7wTOkeTKUJRJvnb0C2LFwYR5KfdeLYAaeWdTT
n8+KlQM65TbZ5ukFHtdpLJo1KECYk3u4KvpyyqwxbJZ5/OOzgPCDFj04MOg5HaqXk4pNgYtCkpa8
j4mXh5M7GpEG2fkPJkRsx+pha1kwrZfDpDbNmaEvyshVRn+9GuYqbqyxjZMbswqaVzpNP99a8tzt
see5R7ninISiWVWt33k5xB9AhJDbNV2bdeL/EVLPttCupdFBX49AS0V4cmtLw5ydhSsa0ZHr9qpf
H+VC2+n3B+EXU/Hh+Dpk0YwnT1uH2SRUGgsGMcaq2GdVJ2+ToZ1faW384mS/GOVkd6wmwVC9RI2T
xXN65jeFjV6iHaFxz97d7yf081CSJAJaiCl9Ttyz3OOHVN2ZDb20tDYjBwglD3kKwbYh3zwU/mi8
skO/GItunORkQ/LYvl/w8tAFeZ5bszTzyHeUvISEUV0Nc5I9bQ2eV2LDz/sk6T/xNlHyk7psn7r5
MQzNsWXUS81QNXF171DUh7kl+ldG2Q7uD8ksR47usb0xF6xNHHbagqqUNxd+5QEMJdBXr62xrj8W
Se4Pl5Of2A1IiFH4r5zAn8ekCIG7QzqxUWjsk4bUrO3SmuukiBr4C2GMrGpn5I4DvdciYbc78Uoe
IbZdeTlJZ4tE4BuBD+XCOhmwZndEWrdFlIwBegnPpgl8dIOmh2QJgvrBmAFQjuBRqHGWaeiX/aIa
8xF2YP9xEP7kRrR0EitqwDDh4QbpeCvHoDRAdXJdHGWT9cZhlIZ7ucIX/m77+Lel789HDuYEyfJW
+pqBME9+fKf6JBE2zxFERJpMxTr1DUXBGn82ipiW159eJu4SNbaAV0Dm9dwh/uEy9V3R6K4hz4OE
OSyHMnes951shy7qkMWlr4z2i5Ow9e5xXUb/a5LNvjzjVpypbCx5/6Sdg0TK1FV7KLI5fTjgvCmc
mrp7+/sJbn/lyVmAtAVtg2Dhcebtl0OaCWxkI3dRqwTmIRvdr/Auyyg3013WwleQcr77/YC/miO3
F94ZCQve0icDjqbse6PlOcxmbYRA8g+Bzq7bIoujHInQK2f9F6eFxdw0l/hP4YS0RZUf9s8uJtsz
OgkCTa2ShcbQN/fG0ubnSmb2dxeLPzmZ3vYcwn8CLaHGfzmW3zjdvKApiWhj632K2uGynBJ1UZT9
uv/9Iv5i12ARbZWwhf7+GR77cVpVWiWuH/e0LYKm2bVt7r23/N7c19IXe0pIBZt5SV55w37eOR9U
bSNhcQG3u/dyfjUKG+SHCJtm5HrX/VpC8DVncR5kkHcRF8rDn04Sgv2WtG+FMZ+/ObnphmUkbeqT
oo2zno/+VGd0qLNupL07m7S4cv0GJYqz+/2oP58Y5JemhY8NHzyCTHNyB3u5yNobGbWb1+K40nuL
2rwto2IoXjucPgv28u4Rv+wAihamjRDcThbUVtAOpgoEHJHYOIUrTdA3bdBtZO5qrT4Ua17coU1A
VZEt41i/Emx+PkPADZxXHDWeUaKTiRYZb2HW5BVykW64rovSiVoJchkG66xuDKdQ9zEamddy/J/e
cbhJ8Hgc7j/CaCLPy1OUTzQ+q1rx2gVlcK79pLgK7NR/5d7/ahRiKJ6vz14tp2FtnRDqQq+mPi+d
ZuflXRcFiT++ckJ/OisAX1yEbQUDTDLEyRIOg+4mCCQQ4rsl3W8JWSiWge1K5/U/GQpMhVoRqpt1
+hAVMK4HBEslE5rdM8sd9E5CZdybytDH39+AX6wdCZbDKwTHyseM4uUOlQINYGbpMtKN4YWlSbTZ
xV1R/yGmDJTH6sHD3I4/mNdpGjJbPaKICjlB1c8NMpw4LT65vjEuu9/P56eD/jyOKygoiMpkWS/n
k8DD6Z3EKaOgtbIm7P14MlCYB12UI0I817Vh9YcBzdorF+yX60jcc+Ere9vXBF+Om9vKUW61lFHn
BO1FFxvqiTYd8tXfT+/Xw2CvTtEnUaZvh/SHJy7pVtV57lxGFCDwHb0mm+rIAA575Vg8Y3YvwhXr
CJPU23hNNEt+mo+X1/W4sl8Skba/7N00uS/Srg5LpzivTfusyQBvKmQefuuPRy+orFcuwa+m+sMv
OKWAB4VGa+MKCsLRcKfIH93qYZSr8+7PV/THYU7isttneum5XNFka31dBv57u6ynVyCpX89lCx+e
C65nnZxKa5pWY463XGuB+nTwUapGRmkE5ivb9qvTD/jgYnbB8eczQy+PR9VlUz62VkkjvnXDWWrx
rpfWDCpFxgcpwmvjK5EisP8P1lDQehAe2R6I88thl9GpA7NmWAklYKTVr9aHIhntt78f5lcRmK/j
URgB1WOYYL0cxp3o7SYt+V0M/zZs6kUeFrq6JK6zjbry94P9vGVc5u0LEhuCTvQ6SV2tbJTT7DAn
o5mHcK3TJots1EZ/fqMZhySSIt4GRf+pgrcbDDZqAhZaz1yF/SSTo6O77JV87ue1o3J30TEREy1E
HSdb5NVaNpZMJk7CMoZq7ZcdMqEgxLOhfCVGbYf5ZejYGPecPjqIoIjyZOWKRU8I9ya6N9CMD6o2
2mPTLeVt6or6DGeP/hV8Smy//cWAHtU7tpB8OJeSGjONl+dCOY2zoM/XkVJWrm6bonDqp4Lyv6O2
Crrhbeo05kPlDRBXYNYU1gdPLaN3Ts5gNHe/PzY/rTOuZeTpNDSBSjbtwcvf0lWWgncy6Sj3WuOQ
eWZ5NAEz3qa291pGyTE5mTgedCbG6sRoPG+AtE4Gi9uqioc48yKM0wwi5VIZU3DrLVL2Hyu4SarY
5fCsRhdBnCHhG1L5ruttN6WwliVPh4oKYNj7Ntd59qSWvqsQxyV1H/Zr7dwUVFrvHDqLzkWuTRwr
umYWGu6jZ3+UKh/cS91CBgrbznY1ZgOQJN4bvE/P3ZFsHsA/V9I9e28NchoSBGfwKnzIRZXJ1gTa
GuebzX2gexcHGmJ+NIw6jj+UZhGc9WUqNTI5lWfxZxkUI/xCXil/bkJz9TIf9S7MEKXCTHiN/Tm2
ECwu0QLDs3q7QPTx2qhODIF0WPhdCQIXdF5fXtZ5wiEYB+EqOENFYtvXOPHEBqJ3t0/HfWsvhndV
TnmcILgNYBlloXKcak0i3EBG9Zd2jFhfoFoq4khV9qK/2H5SYkuypu3swCnRE8SgpJ91tqvMtVQP
trZTiYVKtsTuOw+2a3DexV3lvKnHOfAOWB7Y/fnABlvRsNSB2MPGWlD8w16xoZLWgWqPchnd4CZf
iyWArTjp5irO23a5nRE5G+8hKln9ZTwN3XTvL7Xt7EQmzIspSSsnNPS6Vl9bC9Y4IkzDurLHuawi
P0UNeNF6drFeu/BJu3Orq+bxPEnquEOcBxD8MYjb3IkIg64feUmc/CVJqnx0lUkuzVC1skoubahV
WbIDDEyzB0OmsQWfdNOgTlJ2y5dqsenph7aIU/WJ25bHu7h1qvgujgvfvRAOcuhDn1vaeiy1yBRc
PbhfT7pLzQIdfZOVyI0XmD/JPq96vwzztNPmOxSB0Fwlqh33FvuCdt6Xa2syHyS83zorsPioWdHP
oem5ZQKXyEwLEsLGS/dz7sXykNSmcdtTkCIY7edM39tjF+Mk00voadYyOd3XNovNR9tOewSLLr8t
RI468BC0WdUeuryar8zFRRQPnGeuD50xtej1u2xEKx3PHkr9kuQlFHxb86OFgwqyAqhF2LA48dju
RkDGMdJpUicYB2D+sPfW3LN3qantL2IqN9VSsBoIrmmPIaAOtIKv5NTqFscn8cW0ICLt6mlZ7eOc
G/o+iCu/O3cw6uj3KTRyHaWyr2WU95XjIjxvWudQNab1NVH2oHZ+YnnTcaUQd8JerHo+xHM+PHro
1OU11CgGXlYXJh1EELjKVWIsNezeWtw3s4Q3Xcs6mC+8xqHm6qBq5hd+vJjLQc5V8mWuKVP2VmnZ
VVQJd/jkrcoZ3mckw2PUJcZMxZu7ZEEAwO1dX9Xmcu3liTVELSLjFOx1HQIoc1Pr5TdNbcb9oXJy
Bx+E0k/N3QQfO75Om9i3oySGs3yh2jGRUZIp+37NoeQ9oLqu2Ayl1BKWWUV/XQ1Cvifwpw9NoON3
xG4r31e966r3RtVUhBu/NdezmZj5rTPl8OhMZacvAQ3UYzBB8LuEKQ51OO5bV+/IwWNjZ+Ku89W0
YvE+nWhUh3SwYDI7iYXZCiB6m0Szjmv301RPmflW16XoH8pmMd+ZnTHcilUAHs1I29dL4lB1O63O
WJwbZRPUZ07c5WsEFtTeNcOUF1FdGv63aYmD+nwZ9NgeEatY2VWTCvPRSE0nOTaLKgyY71Py1Z6F
QHbm98F8XgYt/MChUo0RpmSM/kFkrVJXSQU9/kLOpvPgpmbvhsYorY/KpGD3yfdTo+Wyaz+7WBIY
rgL68nrVjCluML1T5yiF5sSuIzdO5ykKYmjFczjXvY25mZGKXd725YTVwir9fenP8/g5pp3fXvdl
7Q2hPaaTvSeW4D4Ew3XRUW+o9W2xAql96sze/OS7cZK/h/KUi8uiN1ycAmRKyG8Tx+6jYBSDFYkx
N/IjsWSyDqXfNxCLl3h1xWbQsThRb+sy+VgInX9uptZ6cIvajw9SGCVkCLsQxIaMN6Db63GeYIiu
dtK+i42iL+/xK+qChyRvsuToFVzXUNeUImFZ29Y721pNiYVRLNWliAO7DamKyi4yzTlWO691unTX
+Tnqu6qrVXWbVFNTPLhVYVvHPCj89cpLoI29RxuxSVKbhlcyh8mOpRptQp+DqLohCtJuxq5kUgYW
cgun/NEoxtSN1DCNF9JI9HwuVzZvH/iZ2e+h5eRxGECTz88q3Inqbx3d/oWaaSqf5tTzvrZoDrov
Op8FBKgJKgFWbXUuwmY1WpKEpnSdD4SNwu7CMS7M4C3Rqu/PatjE+LFxR+0oWwaFkGbUg4l7V1J0
8QOEzDa7M/zRFBx23112malxbNn6/NO7XMgmvSubeJDnohbYXUWlP8py709eVd775loHKb5UsK4J
3yqrr7t0nvOLvumC4ixBggSxbsX0Kw4z6pnuoTIGBWk+GNYyQPe+2mL6hCy97J+cIemTd9nUlP0X
W/uaK5TFqXPTlon/VdbxxGNvBoNzkUHbQEivxLKeL+5kZPu4JiwfoaFiKxFp12eFo6rWWfuBzKjl
GDdGNXln2sXw6B5XJFPcdsjgzAd3zPvkTrPS43GZ2rm47ST6xwPtxXQ6bq4yaeTbY/Ew83HA5d0y
2ZWxY/qq/Uy3dUiiIF/keO5kVmuem4a/IhCoRk+DKnn2BfLKpf/YoKqMI0uossO6xV8vcVCY/bPK
U4DnWgRVGyn0IWVIkDCns26ZLHsn/Ew0t/3SzYQgvPRmEfVy4GKGqTlWxqeyzI35KNI2mQ+GyQhX
0spmD4805nidiwwFhB506SKaMpV1gIaioOgmmJa9geOfWx8m1zZu2m6svauJdu7wpQlwDbuRyVKD
tni5FP1dasEfCct+tobDYHiNQGmrlH80Bxk8GYNp9h+8GD+SSLpNYEHBH7Es2vM8gYga+EVIA1WJ
u5h1OMy4GDw1GJoZH9s6wR1MLOXy/jlv/y8J9x8Utn+v7/6f4sX3ETaTAP78v9TdkFlgFtK8ATwG
vPt/9q3BVxT5DMhmwAklBTrt9rHWf+u7Tdov23+omrem9L/Yt9t3c7DYBJbwAVBptck/0XcD8L4o
f/D6RPQcwO8BDeDlggzxstbCFyLuyjy7qGejTfJ7ng4pr/GfcPJJYDFkbTk4HF3RlaFpx1Wrjkmw
5jpKtukaIAjBbAz2jRUs5mO58KINBHm3GXvkMr2dlB/rZNCBtw8kMqYWvQb/rntS6SjMt56XmCIN
YfNns/UJ75N2qh7TrsAxCEMxS8+aisBJyTqyYvZ2hchGfWeTjpW7uRydaafxK5z2PgIVHTZ+1V4O
qRXPaAKKKT3Q+17vlrzP7Z0dpMmNmw/AD+i+Sius6WqjtKun9K/E9ov2WCvMjM6lSo3mSrg4FUYT
NqFUNL1yjJ3Qq5Gdef6zCDIQ03BNlWgURiRl5bTqUQ4a+44oSbvVPfOs0VUfZE1IwnVu8mZxZzSL
9o99TnP3uh3L+b4ImqA/k8aQB2/abA5M9E+VLmkKAaQc5gGc7qz0G3MzzBnyg1VpfkuR4ocSWlWD
NVc7lDx3I3WKxHMKS0XdBJUO/aJcUWfUXSuOYpF+sms8u5qO0iZPiww9GG558H3tjtNh6PKeVnnf
QlfDHQXEI1kvWswX4yZUQyPNC7qL+tx36WyEnSW6z3kuUvR2JUXgvqWqGM0gHKyMqu1gfxcAAC5h
b3ORWM96AfksHliehQTls6ggTgwEBt53tYHzLD3wn2UI5rMkYWg6az6A6aFXkN/FC/azkgG/V68J
q2eFQ2kZqB2wAfQbzJ5sOk3QvdBG5K721n1Q41ETZf0molgX3BAvEqrSm5YWo3E0nyUX+FOV+mwe
gKHfijKAnoW1qph2EC5bzIEmH+nG3JaOiKBRVe9R87hvE+qGxyYPNn83iOzv3dXUVqQ2RcgKwQGj
maQeroxNMYKaG/GI9ywkCeiO8dw7jTvu1mexiSjy6sPwLEExNzWKR8u6Oi7CQ6TSxYk0r2IAmD4q
lNb1DlZ34Z65/oK4ArcupC/9poJxnwUxs8KoMzIwQKsunKZIP+Iss8lnnqU0YJvIalBmUUnjIovc
xtyUN/nqJAKznE2QA8XKeCMaB5kOWlSKrgJ1YX/QykDKM4jG/SSeBT7ts9gncDctaWLYiID8Z0GQ
QzGFjCTJkGVid0ipU6uEaohkCTHRuumK+k1hNKHq+5Y/y47sZwkSnwpAjpQ+S5OSYZi7sOt9JKZt
Uql3QV2OI5BLVttXNdZwj0XXerRL2xXrP3xxEEPZzcjzpz2vRTe6CaeMjogZ1pueyjGrGDcjyGof
SLIRXFHyVlnEbV0vq02RpfyWxCusUERwpDrWN5n3vOByusgzCmBqZEnSguEPxPODa2k1HteRiic0
A+SdT6k/lcGFQTcX6STOg4L/kdy1eT93Re/ejyBC5m3cIIh86y8wecmyvLjCni2YhpIS0MdW4mme
8CiMt+ILaWOY2Uma/qVbogQXa23XKO0b2G9YuhnB6twCNORa7pyio2mAG5uVPyC886uzgH6uxNdw
6Ls7bSCqhHY6xdmlt451/inNlW8vOAs1Q3uXg54VaHORMhJy5URad879JHoTL+Ao+nsdYHW30z2V
ynxRMkhR77wOq4gUNz/i9z6upOFdNIEbNx+wgnIllrQiDW4yUQ0lppKDgz9RBnS3fCxnx67e+nFB
kikGXKlGLLh82ZxrSwzeA+2ywTrbQi898dE3MuzK1OT5yV+lwdXapGiLAWhRgoKGRmpp+5B2FJn7
DGaoF6lGdfnORnDohibuhc35gEfW06Ay63GaLcO4myZn1YTTUb6VMfztN4suxVO6ImXYrXOTZ/sR
eaXY27mw0o+iFGZ/wHJvtKLZwh40TA1zxJZ3dObixm+MZT6ONIvkfeCPnb/HN8fVtAbm5M61RnFf
mAI3XuUvvR+hZEQMyQieijy/1R2sKztZwnTw4qsi1jMuUsook50UTYmmvrFmyrzKaVouZL3Jp2Wb
v22klZZHu1vn93DpcTsB3Guz81wVaRCu88QFG33glb01phqBtJVPcLC6zvPKnXDiFo56UVMXR2ln
NlM4xI14pCVZ+WdqMhzjmLTcnqjIirY7olDFElAPeVyEBQ5gawi7cF0prMq4PoyxEeDrVVF24cdX
F+/SYrPddmSGI7AEuTrOBU9H1FZdkpxVwHT47m0whwP/XO5Ea9jutejliKX21Pj20QYu+0YRQ3OF
Gl184hxnfej3GUaguBWnye04iXkNM6+M1UUwt801Iu7lvVHoOj8UrGN+s0wQdPZoYIN0oAhNBZAN
WGcXmmZWBBco3v1D0rZ1dbQy1S1EwALjWo1lpi/vALscXAxVana3lTvgLuuWMmVbzGm6U64aBsK/
FN9GXwE5ZUYx2zsoCbC6qrHRMlRd4r1BSuqrsMHqMj+gnJ7ul7JP7J2ssupuUp37KW1FF4et42KP
OKgFHDZdN56cpxsR7xOwaGvLbtx0n5MDvkOumQ/YVJYl8c3v9OfVAo86WEZsvxW6Ge2Lsan8ei/I
qtz9ZPVef0lepbtb7F15yHfWOgl50Qatzp4KZB59vh98EftxqJRbzu+1mjt1zEUdf1lrw6nRwfbJ
/SCCRVxCIs6qm2Fq2vFLrb35G4J7tnRKcSpA1oG57A7w2JnCESYX4DGJTBApp3XOsm5wmmOPpNvd
NQqRMDzAUhRvY7nkxlmOS4J3gIhC5rdWrlvfisQukTMXs/ZCjEjbgzMYbb+Ls9ICYWENInvGog3a
ypLRSq+Lpgjzch5Bon03eRIljpG7CnYCboBdbXjnA8rTx8ZaF+CgovGad1a5DN2dkRp9dxR23X0L
in5t9xLqHTXwPC7mRT77WXFoSqvyIszvZnefZLUL8h30hbpA6r4ETxRwQQllexH1m1XZuUWxb3QO
LYG8L1A5m2q8cxTZc4blW9lNOdIkgCdSgfSIeLOp9Xh0a6bRc3cNe8wEtxDfxwwHwWlN7P4K9xj1
LTEccwGhN730aC0Clsc6dQh5jbYebprOROHZFklRh4bysHoTPt4NcA5r/shc8CTi2tpRrvqNyooz
kFx5zQubrhGZDxJkA0vUB7yj87cIPmPgvMQeMQZPYt88tzlZVKf9Qht/orp+9HPf7yLt1BbEMnPz
3tEB2XPUj43/1MSpPYR+Pcg6EijuFclVaUwhD9x87U1TdztWvUzQzIrpiaxl0YcsTWEXwtFpP3k4
0N177ZqbEVBQ8hazU0vvajeu1pDu9NrvOlWvj0REAOApSMFyFZ6sB3gHvMSlzboe7AxX8WwuzJHA
JPHeCPrZcMIRk9ZvNjYuzbGZyr4MayW7D1rb2PhCGsdaFkPtnAI86bJvaUCmcBhbm1dpa1r6Z8Lx
mmSHPtr8LByXxog/xksLxFotfB2qzuFLqtH+C9jTowDCMwn7a7fpMrpF6D7AxjPe9wSuB6rc1F3P
EghsXeRWuK0dc9MQGW9I3n1calytI9Oq3T40uqqCopW28mnItPlVAeNPeAp6I5TtQpGmSmMax7Co
3QnPQAqN9Htb9r91+j8sGGN/X6iHX4m+P3r5bX/8e52+fe6aB2kzYkPkyLc3qZO/q2TNf8LcoEZG
CQuPWm5f8PlXnS6sf258Kb4eBh8BqH3Tvv2fStb9J7I4YQewj2hk4jLl/0mdbj/L9f7dn+UDZpTn
tIQ3Iq8JDez0SwrWkseTT0o0N6mjsyPdFV/iuopjX3VY0bEfekDYlpC9tjh4CtRW/n6K5/rrbKwF
Nqpzr7/IUswkIviJeTu76Wq8BnQMb7b3NzJpYaiq2M1VG6RRu7aWQ6rqA29WpdDGzqp8cT9ox70h
4hg8WjNGKtEW76zLTncurqvjmFfXOSaeMmTgxtsU/6o6W9MYHSWJ1OYN7hRzfVk7daYp8LpkPPd4
99M3qjXyLGwGhUJichPihGekfhP1npk+WGmCcr0PSte/6OdZAzp0PaY3M2a0GOQ300GLBs8tLfjx
YazlcqmTfiIUWK7KI6Gy7FvrZerdqBD/7PkrZB/B8MCMPhFapYfWlu29rETQhK3s4vdx2kN76gAk
BNHXgb1j9V1/h161MaIlGRYy/qY3cLVt6vkpa7vOwmdCdPZemyZFEp8jKOxdJnvxDbpCN+4nH9ru
zlkVSENqlLLeU2QleGePo/ZvkfArGZG1+U04Y+UxHvrGA+DMLWCNKu+tBd8LWhOwKMbmw9DCrTlq
8BM+QCKnRO6ddapvsB9WmBFAsXZ2hpyMFaNinMQjr1jiZW91PdJgfGLy7GAb6ALJJ2PvE12f+TpT
1vh1MiuruHQ61Q63WVvjnqCtDnmlR/G/nAPMeMPZOJXjcLDXuaMtG5uYopJNLVaoxtRbUOhCCD9W
xM9vS2xo66hZ0Y+LFQ/OWxDj8lPNU5Hhyj2pysdqtfX0+1n3eRH2CvPZ42ANeOysmQfekePyp6Jy
yro+pO1dvnE0JdQ+pY/7yGHv8YTOyVExKIdeEnr9YGPd03hPCkGsc9Sr3b7BGnPCu5siH4+IAGA4
jMcmKXEkzylyymxyr/yJqnln9lOyJV45CmYqlJXPvbR57UW9kRQJfRbPjm+d0Rm+9H1S3JlJbN5V
LJDH3z2l7x01j3fjZNfBge9dJHjDlvlYhoXW/l9q6uWDmut5jazOi7Mwbpb0s4kdzw1eTrFJEyYh
LbSnCSghmET1ERKm/RFH6BRD9NbwzWuj0fbZILL425wU6SWvSvJX1S7WuwEk72mYbFxwKcvjz4NR
2d8yjDofrXFqL3qMHN7HsVs9mjapwJmtpoRGBXq05VA7raX2HXDRhen2Bp5VjutgCyRNupaI4ryC
g8mFnMmX6/9l7zyWJDfSrPsqv80eNGixhQiEjtRqA0tV0NKhn35OFHuaRXYb22b9z4bdxqpkZEQA
Dvfvnntv+ko6+CJt1GimOeMadtegfMpl7dbjSByxNJVO7lpyZpKkLTiduDZTeHY0ZjuMnqKkDSHw
TtaEVlwQhaHhxPIzQylu0q7SRn/StDLxG8VMPmoO1i+anfaPTNvj+4SOgNJvk46U9chehm/z53fd
K604Y3pXb/h6SX4RSr8rk6b76NBHkZ1nvfuQspY31aXZpHBtaCN1PUSPEGojLOMbSYFwASA87vCk
mR3h5sAGb2R69YdeFUSMJ0SRywTpx5HFLxxbziZXjJwEP2sYHlK5LyPPlIQWHYlxBMMFNx4dX2GT
3XmsWWw4GOv1y8XuZ61cNzPrQhEMBGgkbKip40lvKkzoIdP5/CJkMx1cqxBLuyGAsfsAiEUFlYxG
6DRnZAi82ODLkzNIunkklixxO73pdIDySsnu0tap6VxZOFex10ykYUfoEstjWWOMCXB8q23mDUWd
zwFxSSP5XJgaNh0ZyXkQxYr5WCpNTWz2mClm+2ivbSn7wOXJTkpJ0j61gq1Y2KSEAYUE5nXKcyOp
yvK54PB91VoOlgEhVt2wdXS9vnFqjjBublNJgktUilYPE/FwSRr8Em4uRqnhqQDT5FbMLDSk+bF/
j2NZrYLVaGnDwVON/MgDPJGDeMqbxxQX4lscZdET6SLRDZc6N0ukKuWPyVqSM89clPN1Hi3lqCaj
8ad+05vfH63/XwYgE0/+d5uk0zsOwf77123Sz5/4fZ+kG7/h9ecuvTK6oLoyO57f90n8CeGKV2eo
xj/ZDaEk/EPOYF74Gz40bKpQ+4gM11Da/9knXf/McaAtSRmRQfc4t/9vNkr/ws2xCUNswWuBh4Xf
+wp3/sL2Sq2CepczS62Z+YesNNpxMJN8A0f8iQT8n2II/qyeXN8nMgexiFdzGBuzn0Vmv7ycPqcT
LErDGFwQFpYvJhe5kXbeL1/APy7FX8MO/hXOu74Me08EfhwlECV/fldJIa2tRL8EqayOyXCzjfd5
BKCi8bYOSxbnYSREdT1aqBQjTfZ4BlVU/b//LX6+yh9b0N/fLObsn8473u5fKUvQNObnzcT6wt7x
Iyvk+HbNwxVB+0eNAPwlhpFZJMzQvqT1yl2VZNxkUgUfwLme5CQrR+RJBUAPJzo1zKJ0/O7Gsrgd
DKArRm2Zt9Z9fsQM10K314VCprBMnJklSBRLnIij20zGV8wDU6MRBvKO/PooDzIZGKvVsv5zoFIq
CczU4vUx3WzqWB3eIC6mt7VbbnSnic4mvVoetU31xrFRYiyJgi6iizOf9KRyhe6byOL7+cn933nr
v3D9/HIR/Us4kTuAZlXv/2/zLv7ZanuVR3/+2O8LivobAift16SxK5gsnT8WFMmgRxWTA5ZLzl4a
seh/rCjX+kkOQddiYdh6fuiPBcX5Tb8CnWRWU29IQAL2+//Ji//Tqk/p4r+79Ugi4ub647In/Rrw
iJQiuF9ucxlB7c83X5EnpcJpgRCJuvCUfmxXAj8d7RtBPnFpFhldfa0SIuYcMwR6VF+rONu0FJ5J
JP/gPmGs7rZEISZRHzhWFvkTGYeug2/DVRpqgNYoYb9U5EGnAmObpPxtG4qr3HqJdQa3nez3Iqu9
Sn/EdrRfmIcCnCZpUNhWux2EYx4oIrhPpDVkO00TG+OdC4OPziN5aCOzgwZ+iU88utvAVprpYo86
dWpkxlGAkAII4pO568hN9JsluqXn6jmqRj+TiAZtrU2ZRNPGVKL42UkjbhT8youSgMPlq+xPq6m+
oPCwScBa6iFFpP4KNEREADRQJIvHcsyMy9Sr2q7QaGeyzPJHWVhOELWTuJHNbP1hSOkb55KC+aVS
oG7l2U5NNXFta4gumTPoh8qe8lu87gobPZBXIgLHR2bD9QRlMyt7StbkNVAMw7jTCZvz4Jtum3Ty
F/QrZyyUrzkrAKZENpeTXymNfEt85kh4vdCjo60yjeVV9fXU9qt2gkmp6oCcF3MTl5H9o0VyZbJM
kFpg9JbN2aAp49faFmxVtFkVNzGHtOeijUByh3RdbjAJl2eNu4KdGqAaKJul7YRhT+2NWOfqlHbW
DwdjHEdkPsIRqndadgu5IuG8VPR+uKJ3kjQ0YyuegKwq2/QGMaaYD6rJ9LQhQ6ec4tJ5UTPdnj84
k0S+JOgmoX5P6F4/wiI/tHIsn8fOuq1MSQcLAlej5KVgvixlJixIfPWRwqUe63Ttgpqxbe92xVzu
Z3Zal9G5io152gRxn66XqGvOOKKpM2OXNp9JrtWYTpbLfo2tJ4ukzHyfYqAMa0XfjjUNG/YaLZu4
Ut/oH2TGJ8teP6/pc8r2zl/rynFBADj/GWG7GpofqdbOdqL1sjBDIAxJJVrToZvltpHpjyqH6hxN
+lHP5SNiqzumI9r08mK12SleyyC200M1qLZPUlmAdBAMZU4NZjxjCJS2yUKxUtaABljeSvhzRz5i
e7Ks/KKNVliUGGJgaedSPFCX41H6WISzrLKJHeczRK7Xm7teuxvre4g0posLMuknfTTBvCx8nvKL
bGTibsiHC5ob5uM2ZDkaNp2WgK+qB6oTXXmJTrFW+XNdQCgwum0yBNqqHANntbcp1PS2uHaZdS3f
quQc7LSpdnxVm7GYDzipsShZZPHmaNHDTA3hZGq7LE3EftSN9cZIeN0kyzmGlVSEtVbR3HPbHJXs
ZokxFclvaW4/JjLR0KsRLnbqkRu441SCY7ECgswuql17DYIaKf4HzG1+kv7QWVWsWUl2Qks5oYOl
87zuXZCrEJ+n7lmgzVFiQYJGNEWI0mCdE28RDrxjki0jgTHpD7pKEUgaQQiuZXuD3L407fQlRU4U
tNyNO1UfDvMMvzAX56oV70WahgqQ9bbXlI+lyuf4VKyR5k+pgAvLqqi4rekE8nO6PakxvMbNOi0l
pj+rLNXm3BOmVWd1Gu9EtXbaJmtgS+EAkgMIPLkHZYFm8xg7I7nrkoMylHt9kvuSjFFfFPf0K32n
kvxBlDFLHD2KtyUg2UrXTRONa1CZuuRm1iDdgdGJL23t7mRJju66MkohtVXpnCVjrQVXsZN8W9kZ
T0a05L7aSN12ampOdBZYahw3ypOjqIIZgahfpLoaPaZDUSBVq3MH10UZQK6s73knnJOupRuaG3vP
6tU16Bp2TXZNbx2GiRM2/3uoHWzTqf1SQA66M7TAbnLIQy1G+cjJN0UXIOXUxsHpMRgCdVdhUpPC
CbLG9kRTPijFdFO0BE32DbohEbHHNqqyS1T1rP3Jo8W80a/l/rktazpr31HjPSOJ762UgY9Vy992
am5jM9pXNJ6OaR5eM1u8Gg/DAYqiCaS8/VQU9QTF+Qn/LxgOoBzkdX7bKcpnK3UFg7SBh4+SbgHD
JU7XatCYeeDgcmGGx9yRTk8qDa1s5qxqoeATgk1cLbOjQjNx+gzk7yZRRQLm2nwiVyEN9tV+lp3s
aySSIiR288vpauroOnljxfQ2GbpHQyFkopwEWVSelzK9tATnIegRhE0Sb5Bjf4jaxm/ykT4vYlqf
1vVVGBqGZnr/+LTB+93rRUft5rMzTkcEeUQiPQtwXWwN6ZW231DLrdg11fXZsvMwk17NTmyHFpVE
nx8gtzu36lp6FZEgVgYotWGFg1zddsW40WsCEGOT24E8YN0ab+K+uWjxcEiJyHYBCD8sC22Z0L0T
BO1uEN1uqnR/qYqT0zLvaZMX8pb3DGb2ORdxTSto3GdgD443VLSRaURcozqdzbLZUe7kldZptWjP
XKS9KmkPcNQMTDrpjBHxex3vW2ElG2W8jpjAeN1x0X+YkRFomRFG6jt8jm+DiqCKxF40G/cYmV4W
8YM0hi3VTieT/jaHqgsXgebMXn7bRFQgYX24yZCCka1vYOZ0PBSF7RqLzG1Owx+jPPCk5JRoB+xo
WVAWn62c7uLGCAjToAGp8YZFWfnIJyaYb4wmqDSj+S2ZDS2g6uDkRGPYlpK0s2WxK2w6H8FtIVUB
zwo3Ec/JjN1ieV6mJLTJMJxnmtFUpXAzeWr2MpHjbgp1O7bOdlzn2zEZr4kB1JxGzhc3rU/RUxgV
xH4QQLfsmFvIpDJIX2ZDi47jbPjAGFnX3lIku7qkXXC1w6pbAjR3XzYfDKl7x5QRapkEDSSdYzlt
uQG7M+2gIAD9ndqVhIsUXiW1u2WEHygdL9JbRHQt9WoAYSY3J8ZYHK6K8jUX33ZhnudKvDCWQdZa
tnpubIxm9Wm7RritAIiKcOqzXWyNtl9cgyr0pHNo1Nb4emkAdPLBpxGOpUo/kntyXK5VbrIS3w7W
8FhPmuSX0+taDn4J+70lMtw6zIDmvFFn2fflF1/lDrwhjK7gyFCeuLUorKOgOtf3pogMpr35uWsB
UCmyvjUxBHjWMOFQGYwTM25S0lMrEIl6B889802Iu5aNxtiPN1LCY3FWfCOZdpR3y64jC1q7RajM
hm+Ck0yauJ8JpfFrQu65J8rGR08efF2fx+0q9Bd4m+phrIgH1AzhHJD+TNccZdmtZ8l4WLT0Rakf
nHU+9412TzS4b0DBDxJON7s94DQ8WlgRJqGy49QdXwdr6xeqyuL2Vu/UO5v881lN3ybZvumHciM5
R3WS/GSVQQ4id+CzL3RxLCf7geCLcbPK/dd1Qd+UOlCwVY9hYTg4nfvHtlJ3MrlD173pBmudg75O
jnESob/onGJLSEqyL5dnRohMWvViU6UUBwp7j2MN53C6HYckCZAilQA5lku9sYl+LwO4jc+4+6iS
JQ3ZqidcSroWlOrwVGnlq7LYb2oxR3vDKgKbNjhVYsIbq5itKMdNHXOnWGwWK0LrM9aFca0cNAqV
J0ea05FiRe+9MXrDWJy1moxhbiQ8ax4dyEGkTdiRCA4vT6UWQTSfo/StqtmQ6JciF+FYSTvaJl8F
WeJlQVqEipG3kd+0uNjkqAp9hJgUr0Eu14FRoxWsleS2RPfXJfPpSMUvZBXvramFGf3pdsoXYkgP
1rTuqrTxGjMNOX9uZ23wYxWfGLiPVzZqWFVSFKY1T41MD5B1zIAxfxT21Au1enRntW9ZaS9eRZrR
ZtXvaPDVAoMpvDvl9iayEOLjxRtTQ9lldB56lnXkgLeJkKDSnKxmu8if2rH308XaprNzNpaWSrji
wyFySVfehaXfLLr1ocSfhWzOoQkfQuXLflCetVrF575yzWgPKdV0m3K1eGoj92fSQsq9Lloa9Vrt
jdit6NWOWx6klc2E3p3UJVzpinbTK6uKDnXfIZQ8JTVxQ/y7eDnRWGts+rRhD2H29a5Hh4Inr+hl
0dlfabGxskyYB03PP+iDeJlYn+m0pZIvlq6XpDkSXZfeqIv2Uc5W6oP03yuztakRNUBzBO6F5G5C
IXvO5PwLhNYlZeQoUVeqKlNISeWtsfRyQLvmORrkL9FK+y7FPWJWwD+0F2dR99Xqk7dwCTmzfVJN
9UwvQiBgTjx6hS2AnjrkyR/Qv3GMeZTeZA7HPVWR8hMT7exMKoFzLRkk+LYuOicNRgR7dLsM3P/M
SVfajJWj7YYpN+4LBvxMfarkpWcY9Rbhc4J5RMZMdVUcTRJgvL6R1jeJPDNvGkcpgMS2T/jOna1j
01PgKWozopdGk7npi1U6Mh+kyFWTMG+4kpWWtQ/NoP8YmwToysqq6Zxn2nCJjU4iXmy1fwbZ05eA
uXGAbIiVLklRzpBLA3TQRjnW7HOnNqxyaaidbQZFYvsRnasGjs4ShcE24AtCeGLpRA5fGnKlUdhe
UWE4pxn7jpUt+E0zjTQ7kcsN3jJE6dlJQeXY+fa7viO5e6R1oHJzcOK9rXa4MvsiTqgFWPP0ygLq
Ck3sBriKNFpxHSDd8f91NhbkJQsn5XtTOYrqhWRuV82m7JyCg2n2ClBp5vPISjQrxvqy+Emhmxva
gJvdBF5Han/Wb80sbfSz1TaF6s6Zme5WgWjiiniJt0tndQdnKJyHGi/mHZyTVLElo07Ik9uYKzov
dUwUsNDWOeqF5KUk3/MN8odbbKCkPXVJdRrilTdPCUFzywipgGuchDRlF1uRDBPToVjXB+C1NPcX
fKicIB0MNIujpLuy5bjm61K0PLVVnWgbU+deQnq9bjsh+MxMbsQhXmUeYMA4Fu40qAFJ+bR5LMu7
3qppaCQfwOhyjertXL7KHEqrNCdp1KpY8VObD2oXVU5VHLMJNzC7XWUdqZdYFXq6UUSt7lwshOnt
itUy5/uMeabyzQEusb7TymH5mUSl7xPC5OcX2jWnY9/r65YZaTmwB5uR7Do73aprbSp3LQJ7dA0e
Uw4RoAIrUwphGlZ9VkSh0VMUDcFYMKhoWU1Yz8DLTpkJVe2aPdq4P84gY+A0ps2WwIlLiDmgeeIS
10ycTIEUea0dXztvzHPjoyZNnP4DrERUusyVUW3kdYl2naElkae182iEZYxfFSOqQfpRPcjWpZlt
smaQGaQ7UxTad9U4w4fK0P12Iaz7u+7ZoRRObvh91yQhgV5i38hj/dooZNZTYWio626SF1n1iGXD
Gl4WC21kNOlQJ6Wu7V2SZs2ehvv4FsYmSny7Xc3UNee421Coqe6qpaDni/7TF5ohxGGci+V2oCOG
mH4kJjdhGYATWiPOD3msfPdm5Oxo2HEwFBr2XZva9UntB+NW1hWsRNhZlX0nGjAeszSc537KjNuW
dI/rsTvLJ68wREdd6RW5cktSu/dmWTbXb3+Cfm1Sw7nh/GR4s5RlO6FcterEqnUgydzSN7Ml28+z
kfQ/ZILUaGOIaC5PtaS6r5AnLlXaSZuWNrFDqcecF5RjKoNGCitnD4HMV+7MdWGlmyGI0e2LWL1H
8HZekPKafabU8X3Ud+xH9Ek4jLJGpm0Gm/FzmarOi6BugUd1GmWOv0Rz/A7AlITA+CsZk0L5zK1C
L7DEKeVTli8GY0YwcTdrkvqMv6z7VrBmch3RNNM32Q8psxUu1AlqIVR7wSOGz9ncmHZ6linH7oOK
9YVNe9wMd1kLsuJqItZfNapRO7cgkJ6ydlp3n6Ei2c3ElnCXRgPlHUqF49uqqxCKNbI9cJuBQcSv
6Dl7ZOYK+oLNeNwqThe7ea2zSdYvlKSzXBWaHjbYWyz0/qFAZcC2xxhO2xmUaN50CgE4mBvrnba+
Jd3dRMOSh3VWPjL5XCxrvrdGLd233IV7zVw1Egv6GjINTM4vQcC+lRzfszcr0bJXiy6+iWMo1Emr
OCDodJyr8K8Ps5xw8GUELTYxufQnsrR1jq3N3Zrry1kx2oibS7MPBvr8ls+7v9VYYdh2dFUwzQ9Q
iQqGwrjZwn6qrt7XEjixQdhgx0iS70KeDzkO8qC1u3FTaFmEYIIxD6hf9kYjYqLan4cpOV1zAxYj
C7mtYCO6/KVdjPtOvlpTQ2l2DjhCvyq9CEWB1sPWxhIFBtllO8Bh0krDtmONAjlah+NkiwisLVO8
BjMMF2cFXWcxcFbqbjzp9RTtcbcbHH5y7csse+k5i7Wk3Mj1ZD7lZIdNmgLoehO1ffpiiuyw2G33
Ma9lcsLvqv2Y2DiAiOsyjcmNmr+Qt7R8F7pWvCp6r++jRfJR47ugoyoYT3G0WN2W0IbG2fWFJMBL
iPKaQ67PMtmNJMe9EECdfWkUTF1yfJGf+mpCLLUW/kbceMUjLQnKq1k7zVkTsoYtMBPSe4w5YfAt
ad4RBDY84EiuMhAIZ7wsNKPfYmKPGLvTmvWRdXq+V1O2sfylELVL3sqzbn6RlWgdE3ZIdFVBcb93
vc54Yurbi1YV5dZuDTlMVwmHv2WtIb3trgRZP8/Mh4bosFCw5RbYniC/5uRl6UolnCjR9hxsil5Z
X2IegX5E3LFHsz18Zpw6OznSNoLFFLs2gRIFu7XMud6Sc9pv4MdO40TI8zWx1qVy7MBYK8OEGVMh
WygU2MTMeDFEmE/TOhNOToqRKiVfvWXQhlyLQz+n0AXD0G/ryNR9DCe6P5MHYTlM7GPDuS8lwWG2
F+MWe2XKXgE8gIEo8RwqzGP0CIuaheSIZ8daKamEanozMOtlvbFE/Tqn3Xc2zrTBC84qbcYhq6r2
A6N4Tx0xzORKvMdm8YQ5K9DA4N+tZWCwlGTSxoTLGdohjLFx7RoswpxJzUfF5MLvxsgCYM2YtEhl
t2GmFSxDz5bOllqPAW93MRvjfpxioFh5bWrW1ehDtasDYoQ/GT29kLX02jZMMLGsuHrJZew0I0AI
6lA/aBZ23a/MmDhcOOq2qSgAX/rxNoKScfWKzwXvsoUPYnyeiTbiPjbODG2yJ7afeVgb4xiwvIdR
ig4K2Zbzn1nubC3z0YU2cEH1ZhxJ5NCVetnW2mjscKGSMsiwd7tU3fi6EJ3A1rpjWEHp+U1hvBh2
HYqh28eMdoPlerjRzOVWwd+0IYDxMCxavO3XmaJgO8cJIHe95c0lFUp5QcEZcUgXrcPpNmMuUnLu
pRpyuDAq6JHUs6dPcCuDgYe84Xjd7EAnAYWZG05WrtwB8Ae9bJWBGo9zICktgZ3x20JHDVO2hh3T
0D/rOaNzUHYiFVS0NN2Ybih24vJgH+bhYaNMiFpsb1LmnZj7baEze8wguW+niSsmL+YzkkLPWmdm
m6IcimOJAH3vRPLJcYSyG6TyAZfLUY3nr3km8aJpD/ZqHbGVPAF/Meqb+nt28DIkDfJ0gznrK2Zw
RyxNd8YfJr1ldAFdTJlUgXUGgGHdHQI6b4qDXVYZmw/ezDTU662p5h/9YIEwcafhwNVwARH7YQsS
SgcRn8suedQZ4stZjaWOUT+I345UTo9yylskQkyA1jZJYP9GG2KebbxnauUW3j8Q0nCpjD5o5uyl
H1frdmkHT+uW6jYTrfFez6N9Rxg6XpaIlY7dklwcnB6ayJ1VnYLbboDsp5duAtfszLraaBpzzBKV
JRz7oj9OGKhVhnjeKE9nEYnhyXHy5BJJYmOofXqnVCsjt552tKHBFKEQpEF0sv3etsiK1wYy9TRN
ClMdMUY7udYZiF0L/uQ3mtSVbaXErp06KoPAKZy0WNnUg/YwsJT4czx3+6Eq+485W3AJ9HnDRVHd
aWnsydV6tBXzThLKB66asGBJBOP2+Eb3GiS2SsR/hWoTp5PbT+oOEvEQ51Sp06EANf9GWrmXVuNh
ksqejThFdHpD459YGSc2TcFonYWd1DSo90b+1MbKbwreTZa1X4qm3TVdfqCz7EJcgb9kMKyM+E3S
Q4xlSwJEshnV4mlh+IhxQnscsIkNDPKqfCpcQmqvY0FuhDlRxdO8ZOIZW1yQt6gulK01pGcu6kbB
SX6wuvYVZ8FBrzPEAhTu1WsJrNhYMwkuPJdTj6CEF0tYz2RB3HOcLR55OyWxKADAjb2jpdLNdSbG
c9z4QxYfNWM/Jc0hY4B0Mw0yrQGLccnSL1x4GdE8grkM7XcbC0Qd6nN9TUd1/ui62biMJBB9pfE0
gM1m2uzP83CdpAOeRZ7ELYjpTmJI6hr4nG8pJOzZBtuz8xRzBJEOKOTSRVvs6rWODeNdvs7cCn5L
k790vZ8wuHaSx76tEwF5M63flBKuVrUirIZ1sRADaooSGurE1DkS44UOIRuvQyKfFNPMVx+7k85J
VF4/rYQtBvOY8pvNaIyOmI1ebxUDC1ihxPEh1hAvGQZ/01sONBgFaV9PocrGzEuotHzVBpJoT5Gu
LQw3RdZJCIgzYTZ1/48Qx/+DQf7r74uqvPeSwKD6T/z99Sf+4ZM36aIiigsMxIC3/2mG/50rs3/D
Im+aDo/9K23FbfZPrkzRrhSIxqUhy+DxpE7/EytTfgNQu6LyP0ElWVb/dzb5vyIgmqrSR2nhkye8
lNPcnxEQOt2USIMVHtlUbc1IrIdWm8Ygk9Zl8wsf8294kz/za8AmP1+JF+LTUOHr/sKv9cqU2REY
Pk49NSGlmzkuYG5K85slf1xzTnP3718Q88Kf6RZe8BryaVryNc1avv75LwTbyuwpoafYZ/uahl0/
Kz0BKfPyY7GvRkU44oKhuaonPiEd0tPfv/b1Y/sTWXN9bYPqGXwX19KMv3ys0aSkNWWaZHwRkuwL
2iqXkNgL+FyZjLHiP3y0/+7VcM9zAelXa4YDMvTrO53hbypWe2hjuPhnrNr03sHINwx4m6Edb/7+
vf27z9UmkpyUIgpt9L9GH6bKksAL0Y1JIFSoq6vk97n1QkiYsaNbiuxR3HI3uco//v51rxfIXz5T
nS9TNwyy/GAh/xJnN5oGUVJ27Y+mAk2Pn90gY87LTPBH7MneIrER+ftX/DfvFEJK5qt0DJqor2zn
r58rxhDR2R22U63CIkqUnLPN26g55TS3+4WRK0dFXldf5SnyH/IYgUT/+m7RTmTF0sBOr4Hz6l+u
IEszahLu1M3YS/TBLjPRri5f//WBy3LyhahMzFUNeLC1ItWgzrdPzF3CKPpBmnFzoTqLtruaNMmW
kdRCBhCytW+lX0fIfmJUvCbtqAztl1xm91kN9VEDuaGkSRmqj4kUWYcic1W/4cnTzSGnEKV81Mk+
ql0bzz3BPAKGPjA4xFWeORNi4C9DtVw4uI53SV+TSWzbWXU7cFngeewKIwqKuGn2klqnmo/bl0m8
nFra5Bb6aiwBwbyR6q+5hVFZSutGeGOr1PWB0vl8zTZzt/TlBh+2wVgZ8TAHGamXLBvDpdFNsHet
lCE0ZtAIXBtM912Ls95XX3TzC8+81AxT1J07Y9WFeTs6SAeTfhWrm8TMgUMmnpZFWzmtr2n0TqOK
WmxQkJfGjkNg0XMn21XxxKEpzzYSezNyu4wU9zghoZpLuaf2Wo/XM0tCSJRBYTEe9dg0WWg6nQvM
d9pKeZwaBZrIEYLQtJykh2KTEdChBUId6eZd5Ziq3YUtLEFzto5wZvbfiRj7Bbcr0r9WK0uLGUdk
iASgrHvTyMaIQbo+6k9aQsAAUlWcV8wsRJO4q4QZ6hVyZMFORGSd8uKQVqcqbk9aVXnGJiyWq3tA
Ibstm0WVPOXIwDKtPqoRgQ71TdzcriVOv8MC2WKQGTeIrIxAiPS8fZHymEygngyT5DzWeHkbV6qG
Np/O1dzr7SVXx4R8H73Ws03SlykVFjQHyZ5Sz+bEWliRsEGrX2/ndzJW2mRfytOinxJwk9UV+NKQ
TTCUShYF3HJWxkelbAzpJSn5PBjazlLfoo3jm6oJcVkUY3lV47RYjrZFmt5xajUxhX02ju1XW6ft
lHoJx4R45TyAtQRtseN7OSt6lMaf8iDVyr1uz8wOsIulwFlNK1kYwctknl7Wq7fRJcIIkkk1Oj16
5f7qQKkGGexrsQgbccu+tn4MhY6jIyMpyvFQ8iduRzz17OyxdY9ebE7jQ2nB4oEVaOhebPqJB89N
fXlJRmd6WObZyK4AC0GcVkN1rAuWKN3HBKS9NFra3g3oWo2nrCJR3M4ZYZAQ5qJTYXXmqxaLKASH
w4IrDxiGXDIG8KzOpaOfGe0PMvOHmaxETECkIpRmbSbHmCAs7r5sUe4TU1kfS+Ypn5IyK+9Olxev
GqvIZ6s68+C2/E49NJ1c3MSYGD7ItHC+aHNr3ic1QiqViw771GzjpcJmv0QyzjpTujXbJNKuqoH2
GVuWwYmImIX7akialnp6h89zzbLpKZqv646tCkwvkchznGWJcXWA2ca7hRYVezE1uUiNIznMb22q
GYvmWQgFcrUb6Td4VYZp5b/IjvmL6VmM6Al+CfJSR6nvJDoHUmJljdfVaWv8f0NOzkBpkOrJCVdu
nuD1yEIze/4HjALuBjarKZ9yHELCxZ4vtT4JcYSSJ5UJohPHa9+5xKWu13EV6WU0Qud8cQ7l14KB
gwaX41Q9Xw4WoQeJbFBkLj1ZSSxJR+OlwXeI4p9YsekTE0giAXku1l0P2FfhzGkjrnddL9/EmAkn
kInbKjd6VseDa1qJ1AeGtqblVecs60OED6Y82Q7FYu6VvKVEmubaUyRKvCiyasV3Avl2dUve1s62
mia5pLaZkoYpnKTOfX6ucBBTq2W5abqhS3dE0jTdfi4HTNirjl1+r3O2NUOhUv68mbnbQKfGBl9U
J6kEd6p0dZw04hWiB2dypHWjI+KTVUf06XhfpmgwbtUyneGvLwXX3URukq9nUwebQlQiHUuJoffB
BOolGOnLehJ/M12Knce4seL4mMhLPm3WhHKu0LJqYzgg8ayUADdzkXwpuhi7Y9fajJfJfNWXndJS
kujPGijxTd70jX5gzbVSbsQacoAkGIcJQy6J5tNZGtRc1jUpiNgPcmRzJByOh0VvSv3E+1rXFzHY
+PV7ok0XHif/zd6ZLMeNZNv2V9JqDhkcPczenURPBntRbDSBsUXfORzt79zRHbyvqB97C6HMSpLK
lEp39AZlVWlpSomKCATgfvycvde27FhdpQkgjfPOtcOG8XwjMOI7ruz2TmPo43Gk44Pc1Joftw0m
RbMOH53CoIHPQmA14OY5nfZH8FHMctV2TR6vkPPGn0tYd/QaWfrSBUqNL2EbN69RFTF/7uN4r+CG
ogguNY0pc9vshJcPdJ1EGSXIBCLLXQpYdTx5VtwQGA7CYYQbxEttUtvWSEzzQrkvPZv+kRA5Y5dm
SmnYdUE9NFsF4E4ChLXcp86jW4QzzkeJEivNXg+5re6bPrNuIGYG0RKFl/fUkNjA+hM39WMfsZWv
U79hGmiFjHV2oe4pa9MPRXDDzDlgoIw5n6iFPgmGO6KWBkUukJbuzaT15u+bWI2jClhQc84EZzpm
90clSuhz4A0r8Ivtid+WzXRKxpgQn80h8m5wijHU9CpIxahrXK9ZFjBDjLU1JY6iYRn35efOxmx2
xLjEd1dhPKB4q1Ph5sedi+HytCxEwwijxlR3G8twcu5YvCHVoMBkgiwgh8olTlz3OYRTdgeIwIcf
6CBp6kXBN6kcQZy1ld2hMnbGnU3meonKlUTGNciL0tyosOzVYnAGBRkizT2JoxTX2ZKQwWxampqK
wNTqoG13Fqt8ho4tDXpUT+N8WTVv6JaNg41xGZY0DyG5j9hYMTovuo7iZ2HakfbVqBzjtMlEoijw
IrBTqkwRzBCsPj1bU96clCj7jdO6aON+mVpAizaODbIPqHzoydtea5W2aWLG0I+DN/rF1tXGINsR
6+hoWwXX319oAIXUMRmTQ3o8aB4LJwVGHWyidGzCjUYnH0E3PAF7X8NmKK9jG1DjiUyHLtrrMbDH
eGEB02GM1YZoMpKIUmIZWiEPBgMcjkZMrDABov+KrTsUISGp8oNK/KWJRzGjMnALGngNQeQUak14
fOBco/uPqkdXTIgaQ9cYKUj98XQCmcIsJGArotLJU3+DF3yMVrlKWYYTuEpQLYcWdPOqUkHrPPdO
LOpyHpRJvA+uGQaviVl2cms4A88k0JU4ucUHUTFA87l83pMPDJQ8A26xG9hw5aPm29ivQ2OEHGno
LsSp2bn1UIb6OKEbVehJcLoar8xd4zNFM/e+qYv8CiiKb/ZXcQ4ofmVoPho4CE6cn1Sv7M2AnGk7
IffWdm7SRGdFnCZfHccsbnFPSRcph9k6qxYud7/wujD+OuKuRaBoZZG1CHWzOhtoGL6SHptd+hpA
zY1fSnlfE5hoLcu017WFw/goP5mMZDyPZEcByPobanSw05BguGrgcW8sUqMN0dXjOm7HVG07WeK/
ojRGKpyVjfEwxQn8flBhxVIb3fjZq5POWosCiDQJIXZ/GtXoK3nF2ntoI7/+7Fs1OAu+en2nBGLm
tcqC6SLOC91hw5f6btJLmgGxH/Zq2QRCe4x6uz7qIO+CmuyZTi01zvfhkveZPbRN619YvWFrFpos
0JoafistOjKb1ENHJziiUHLVibkQscy/TEXc12ufitFdOxwuELUyp6YVahn5BU4zVIFJ0Jh3pcr7
22qsi1srC9IzKjLwAxSi4WkgE3k/uq2fQOoQ6YltquzagdoFadLq7XGZDDJL2JN8g92018KvLFdm
tfbNLrrrg1libvjSPY41eACLxggY8CZtc9n06DVUOM8DSThXMak0Q4cIt2XUbeckKG8qKeC/Rklk
XlfBjA6sLI5b+yQaLHfl1EGK4Dn2W38Bd9uCUspGfplVQUxUnMXOmBuWhYDANLDXFWEG2sOidLpW
fcsxwKegPtP9MS82onQ4xBGMqk5oQxbMgALkZ988dv9pDv4DO+6btsJ3TrGz+DuG5uEnfu8OWp/I
r6f7ZhJT7wFjoevxrTuIsZRzPzG4ggYgxtS3HjGYHp5NVA5WUBoh3gz7aMpWReA5PxmubtAfxFhG
y3F2lv2CR8yZra0fmy5ICiF9eLaggvY+dO0wcDOzpLLMuiSuhu2o4zlamEap+0dTpo/eGXXarFhB
KB+dtspVasXjIZsjEuI95PcVejha7468dlvEAOjP+7A/9wF/wbew4xpXZ9jWundcKebL/gLzrZGV
/ETKREk07JCcPnQt3qSGK5Md4QWJvSS6oHROLbKCdCRaJXh+GeutzTFMQ8daOlypZTckbgJrU7Ax
Mt5mk2ywi6tFCzXz1Jp3UcCXjr2o2x5EmD3vs1bjh1/TJDbxJOWs7csCOTl/X042AiEiaczwwQtd
Nu7DJm6lPa7KJDASxKF94jM4OWz6UeJSAKg4qs2N2XHUWjuHIoHeAQWDNdcOPobRMyuySrFWsBjO
cSn4D9Fcb8AU9Z6rgAVj2Yw2BUkkG1oaZH4J5w6BaJ/fhqJWRAkAKMtPmX/6+TGiODg76FADd9Ue
ih8rK8bys3koiqZqgp1Iz8pH03AonPQuQoia2K13U4LlFp/tMmqnU/tQcR2KL1NpGZUYJpXpGA9Y
3Zw3TaBnR8ahcKP8SPfkc1LOlU0/3BWHIq/2PQAsi26u/qhNOwpBRGz5rgkiac7YhMQEAUjdyCSP
WmeqPfcpOhSWOvbAm36uNvVD4QlJUm2BwFGORmi3nppDkQoTEpE0Wj6KV/1QyBaHotab61tSGCh1
xaHslYlDCZweymEo/JTGRZubjHkPJbPdOJTPcq6kqUS05wjMc78AXhdD7G6iK01RfQvL+sKZjOli
1JBps8yUV1Wclb34c9uXtFc59NQb2JrYdRGKMVRxAFzcGuWAvSO1dBTyLoplzuzdLP5PWnavOJqP
Ll2GtA+zP/LrBSXZcDcUDlr7oW6LJ0NpOKw9U4Fsnhx7uqwzx+a9cZKk92WWyNWyYk5Sx2wqXyIj
D54C0hrOybMVj/Hh8NGE5cBhwa1xOjpdQN6rw6QLZLpBb0KnZSG3gY6vmxg5n15eOxTTgwWV4RxS
cwt8tZbDRIun9BQSmcAmASaq6chERpyUx4aSZrOIaYjEnMkbeneEGYywSOJJTHdkUwZPeU/nf1vl
UKH2Nt0POhFtXjWfC8Cp0coNfKBinTLSC5HYxlUwn8KENqkAbkWqP9d1Z0ybMKYOW3AC9u4SO3Qu
laP8u9KdBTbd4ThXZiaKX4wA+XmdlTr9l8zg4KwAE1bwv73wxWhGWlk2Z0Mm3dnc3WsOx0TbLMFe
oyfMvvRRSCOAXsPUfknKLLxvD0dLP0uwMI4KQvHKGXuWviHGeYg8C6fbAgBqzSIFRfPU95L8i27w
atD6kvFmGnszOu/yBjE+M7w2vZIgO4KVqTPVXwXeFO4gH9b9lggohtuhnM+/QFY4C7d1aYVobTNK
hfJwXi4OZ2c/yEMoHq3LNFnzW7MCwifyfFV1EP42cRHitg3LedKHelUroeOUHVCxrItPm8P5vBSk
ty7EBOZ45UnOByQiad29Rsl6n1twghZ9r6Hn1QCH9iv0LcgistYD7IpISw30HEjQyJqif2w8JffV
ABlpEfo2rsp0BL65AstmotdguELrY+4mhJYV9et4rJ1she7P0FcVDxxnE3OGnAZWS+zD6HhJj850
bkgEDJeP5KFNMc0diximOqcnVFabwqhZk9F6BgtctEh5crhk+SkU/6LcAwmmZKwhBLRriz0ICe3E
RGnjBbny106QF1ho5m5Ke+isqLnJ0hz6LXbl4PLNFPsdt/UQ35NjOUdPNIXurfy5acM8joMDLr3y
ODh0ddKQTGNOL3O3h9UUowV7xhyIC0rKWyhG1LTaDp2i7NA1Yrqd38SHXpJ76CvVhx6TPrebjBiD
8lIeulAkPxQRKnWaUxGuvZChLC0reeheIa6NqoWYm1qDH+s1/giR3Hvf2l5Wz6yZzpmT80AvnEiK
517lxRlHtxitmphcbAhIjxDWGOlrgvn1zB4c+4uhxdN91hryKdJYohGnl86zaFqATzCl9ZuhTPwR
UaIsX63QjuANueU+E9P0NRZGiwVpPjdFAQQKWqQJh5iaBhBM4roUV6OaxC09aURPKAJSf9Hz05yS
zb5cMEqartJYm15TTXXHDFI4EMvYUhA2E1pjUef65xTk8YhdibMxXQzk9whlohKVUdQh2Wxd7hm0
7g5LIw8NyCGSGUyoKp1znYYaesFUBm63yAJL1bTM0K2swGaiDu/sVD+Nsjp6agYgqYuhrkxriaZl
9C5DE282RTRm/LNG0fNeajRcR0QlSZGjtbdA6JgPqa8r+rHDpES7740wHy7IvrMHDkpO33onIeDs
9MQJtS5hZxmmoLh2slilq95LrGLlpu4Q7AikmMWGyI11cTQCn9IvJUYKwQxB0jPTmbgUq9Qxq1Ov
rL1sj7jTkQvSUcQT9Ni+fwZeG9YnJcnGMMvKmFb8kPltvBr7FMMDP4nvLQPR/BjCO+uXJt1SZIoC
qbda1W1MU38inCE4ogvVRrfOpHBQNwyXkms1drOpJ0j0ZBfEfThLiVnlBcbCkQvjK4MhQjQhd/na
Eh5lrnWCdKxd2ZaeS5SPn3WkXSLGZMqxkbbd6S/EpPLmNeZa2N+cROunVefT6kOt6OWWd+LHKhhf
lT/o6VnDAiE3yqRVchrTdpWn6CYTn6YdnlF7jVm9HfrVpBd6tokYaLroXjBaL62JfJwTo7Oy8LGU
mvQxnA06X1Ni54rTMqe6tUFXtN8NQWuZAw2G0LSeSahos+Mw7cb0wmUqPi1RHXvatqDhoR8Dsurq
pT5y7+4AVaHeRUqIGIrbFJ+oicpa3DT6ZMQzZ5ZSmBvZHr54B/JXYR8wYIlR1+4950dxNxxwYRBh
g1f9G0QsTYjBIEUczVh+AI0Z0wwdUwcA2dxAV7siQ5h/xDUHDTfqHQ5T5wAvS1h4sn00M800yuhT
BhbuVxdnr7sRB/wZYpPG2GJc8Md1D27IWE6ugFZU2k5or6aJHikXDaJaBTEchdMBtMbZj0YrOE2Q
Q65m4if0KLWHhcTE9siaELcbu2uQzpPDHpOjgzrAO1duy2MuvMxEm3dgv7Xs9Sb7u0GQvQM38BUD
IXh64ROws0DQwpjLaQ30u2UR4b8lrG3A7jmix9pSIMChQ9HM8xZAecPVzr75xfJjqHU8qvV1aVFN
b1pmLTZiIvpByzwQg7OuZvRdRd7qa2HMPLysm5WQ8ITHvaqCvEYO49lqVRYus5BSzmS9pnbAvKAH
h7gnDvQ9OYP4aJe4GDAPfD5lyoQgUrtFLtfVxF9fmAeeX3Fg+3XD2JZ768D8Gw/8v+nAAvQPXMC0
SBCdwbiEFwggGXZgeeAIpoSvkLFuznzBrnU7hFelwFSHT7vFmcoQ0ga9PHnRMj2wCvWW2clSWZg6
UDiPpCaGjPPcVZ/MYm+d7J4nQHjQD5kGlS/oVvE/43Kuk8cqIx9MruqQodZ6hPaHZdIhrgWlVYlV
EiFdqBxGVmWHsZcOpe1WooMmQ6hStqKvzfQPHwoI1fU4mgryT1q47rnHmh8cTzgs5Jkr8yG5de1+
aFFuS8DnSLwo/q1rSk/Cc4CGVjnqusOh+T/9g3+IWdzz92jP/UsxPrxjVs1//lv3wBKf5g4AceaI
eGAb+v/qHpgmv+MDkuHwQKAoXKt/aYsAzCAqgLZJWwFpjG6Chfm9e6BZn1zAV/N/19kYXOyfv9I+
ELzIu+6BZbOA2mCxEPzQe5zf3lsBRRARtpQX4tHmTCiMu0EkA3uLGdHwvPOHrLKvELP22hFU2OTF
54bjqIbNSjsJUDb0q9byMKhtddduwd6lgVDj/ZtLefFNPfKWP/VROTO/QQBU/EOLDUrXTMh5oxEy
QresgrR9HpiAlmvueuJD7ZxD1lIMbeVuf/xqH5haAlspxb1peiZ1NzCxD4okfNeMnVFE4MQWzMGa
KbuphrS6/PVXIeVVt4lX8U1hf7joUTSmZmQgBwhHfFxpnmAXL9zuG0XubxPu32tjGF7yWWibgD1D
1Abj6IM2xtPB67nI1BeVyJNNV/X6mT9E7a5gP9mnkcbwMqpeaN2PP/l477+y31/YtG2TM6uu694H
aFFN/EXTIyBdEMnC5iFGXNTEDm3EKOtva87ffsb3krXfXwouruXABrMPvbm3d8dUYDGtJ4mrSCTF
slWTogqqH+DOvupm/rOY3O8+GEkOrAXk4jg484T54e7w85iJzpwaQwrwLRoKfc3Q8GVkNP+TjzXf
AH8KqfhYWDt5CcuFPoVmzJzfyJubHj9rComfAU4gBKVkEufrwupxDjtFv7Sp7fa+DMbzX7wrPZqV
um17Anwp68G8VLx50cAC9cM0BBUt4qJ8jXW5fRVtQlP7f/E6Di9EBDD/6B9VYr4hfKyYGDmsqLyz
OcQtwrhKHn/8KoeM9Q/X0BeIOef/6VzSDy9jEx5oKMObeaLEAkVohHCadNY2JmmoktYpB8FVlljb
BqMiTZUdt8sudbojRh2no0+VImR5hqXq4sfv67sVhqssPMsgTF03PQs087urjIcbe+dsHU0muzgS
djLSzKEE/PGr/MWd6iM0nDvMAn/lYdl/813SaMpBbXGN81723kJH1IOZr2mYhGaEqLQ/+Uq/ewz5
UAYMagcdJdvJLJN9e+tYfpBqXkLHUktCjXGg91V03r7x7GOya8KfrNF//WJAt3y0dx6f8P2L2aVL
P76effpWTlIRcINLtJwWwm7NNNbUt/XPbqXvH0eDpxCpHxslGry5mf/24wX2kMhe8Dgyc6oB7nh3
lK3HeIqY3WL106etpu5izuVDg0AuoKAzU5AEHQrIDHEgo3fe7VgkN5zp5U8u/ff3E55UoJZoWRG6
Q0Z8/96wJDK88MA+tWFL7d7TcDcYuh396v3Eq1hcBUSdNjLkD1+wCOKImG2YczXY2HE/VFE4rIhz
CfptGMRMBX78cmLe1d8/vLweIlK+XlYDLvz7T2XiMK3JoAHLDUQOXUDnEAZRTlH6asnS4oxqhuHc
ekwSMoiakOQa09NuiTiwPEQ7ffkTsedfXWTTEHPBpZswMOdb8s3jpNoi9HLJx2d2TVe676Dn7AaM
SsZPPvjPXuhDZVCCs7aJMCIxFkXfrqRMWAshf7Y6zPfrx6vL5mxZnqHjKpl5828/joE7xXKYTy+K
oiPtExoyiZAqMLHVkTgU78jV6scjAp3lsAiQZP1sufh+dTJME9W1QaNoXpw+fLslrsORMQL7qKtN
q5H1cIOXVq0QFmm7H99Jpm58/LDzLsB3htOL1+QX7z+s3phakZgo6woOaPWOsC2Mopb0iWvIibvV
mdd7/rVhzXmJAcpLwFjQzqAZgET1n0UgvC90cgpYHKSDdBjzoqqcSNzBfOKVj9T3dfEE27p1z3xZ
QTxYILiklUG9FVbLNJnq4F5VnCGPySZlqFLpaR8sm94Y0ksN8Vq+RHpLqGw0xGw8RV83pN2Fig7V
VpfV7Euk3ZUSAzfak1oF5MqdgY4mL7dNeE+MNjqpNr7R1mrdDUgnV70czG3uwVhcVi1Gm1AL8d8X
IMVBbZT+FK48Bt6wgnp0kNvGr8jWoDOJgtIwRxOpYEyA9IqMUJVvpe/JGhd7Zn+lIDLzk1Rm0tjm
WO3ahUlMmTsuLBPkFcCVzI3mNmHOkQIlXhgbfXCKIx329mWkdaP093oZWjK5TyoMWC4RIlEKHhvE
Q0enavQB/WM6kNIDBE4gl8SLVgbqwapNdVHlWXzpoilCfYDvCESk1HV/iTKlGrEFiulz6qd1uNXx
Grt4wor0K0bM/JmxD71zk+w4GuEjavhl1wf+RTq5wX2cJ4Ldvy2DEK1RksXHBrxo70hk0kvX3iBj
ZxUPJmJmC75DdOwEZnzfaY4u91NBERVhoxxhQnbUgfJO7y0iORIae/eNSVyRu6LjRO40W4atcYEj
qz4O+rDQrIUbaNZFSNsF818uQ/jvBWXWCidb4qwSYqu205iV5OAVCpmoKczwoUb5Oy4Ciwb+okw1
Ea39MIurfdRV441l077aBLWVdyvy161dWMek/5Dvi14Uw3Nf84inpEzRqqnEAJ7CAdhCCuJwRa5V
jOYIHM850WS4qAj1sTd4uyfmsL0Vku4ke6MiAsbtq3g4TVzSe8iAmjQ5oMpAt9bwwhnhuNvc7eVt
2JLahldcVZeweIkSHU1HnqBY8eMV9ZBwrwsTSedVnyeyIVsF8cm2ssTEWAJ7YFfcDEPTYpIIlf4Z
L5cj12hYNLHlJOq4SIysUiu8fdE5jRYfJWxV8REnmsLZ5UB0s2UftVm+JWpbv3A1PXns0V9Fp2TB
MvktOgKnKBEy74zEJiLgXA4JIcMZsliXLP01TeZwwiZuE8Wl0fhqohd7zBBuplEz+GtINcAJUAA3
+ioxSHlkIm0hwyp9QPgL1gcHRCCCGJvgPqW3m6ieXAJmimKgVRt6818pMAcskjLh0rW1UAEP3GAN
q6rPh3TneMqwVkZDwHCiDQ1EHRQH0aqzfFuuKibD55zlSp+OWo3eNiklY8zaFdwQjR5mJ05eTMFC
FYxAcFxnVbpqChMySprjBlkGUTEamABiDx5hrKYHQbLbbTaijlkPhBcfxSF2mVVXVEm6ErpW3Ud9
3/v3dAWn5tYKYOuvlBGkT3XmCZ6CSToGnFCr8PelhL5x7Enm1mtmITiYpdNwgKZjbn7tApWJTU1o
JD0Ff6i1FZrg5CnyaEhv8zHSd9hz42JNpFo4291Txv1cJTDyDQ1VLLh67TrLiMYK2CoeaJytVTui
LkwaQD7QluqzRpTWHV12ONCKwfiyZyBOL44Gr4n6XOR3jAbQAfW5URGHbhasEmZkNhGTiq5LFghj
MVxqqszVtoxS+ypsi8xZZo6Z2tBGqgRZQp/QWO7GMKLln6l6/IzCMDUAOeeqtraGERWg4RAcSAF6
SoLwAEyVoOnvh/hco8GLPJrnbEpvemzwXrqj6KeIZdLeyopvUbpmCxQdOq8t78kTsJElik6KCILr
KHnCWmr59mLoQuOI6L/yK4hY4AdDYBcEVtt1mh5HRCAXrDgZTKoiLhEzLKXjQwZYSjPvHXvFQaQP
ra1vjHpaf6sN/9P3+4fhcGj8+77fuulJSSrit62/w498a/2Zxidh0n7xHWLmPapnKpNvwiGTXB8K
W9REXHfO3Kb/r9afZtifqNdpMtD0cmeLGvXKH70/w/3EKYQ2B20IzGQ25OlfkA5RvL8rjUjWYJPE
78h7ELQ1KOvfl0Zm2JnotFmaQj3c1lV1bQ3s1MsCSNq4lTbme8/2iM8NoV+21BvnFWLIfZ/UAC/0
1P86AE9+0tC/pKxWBjejl9bGERze867VHAaWTEbSQgHYTKJbBKeMxeNHmkbmxk6s40LprAoB2eGd
XCXKvua17G1ZAGEe5aZ1gnbVssAwTblrZX3B9MJZjl4UMTQ0hrXR5ddmS5CJCZb9huTGeh3pCfTg
UKlcXwfa2LVbdmIVXSe5ETzLGKwPMyeVlZ8HEgXx3grMhcwPM4+0rSzCQ4+BS9dsSGt5r9dnYYFV
biBk7kKzYWsvjHGAHA9GCdE0SKE6vDFKs4C7oaHAZsIqx3hN1LXonq0a7cpCaxAEryQpxzBwtZl5
Teom/g/6cSJqViOq09MyEvUJ65bGZ82ctLtlDDYyHU9c7FA4dAhzrEK9WBsS3t8irNrwMoJIcBo1
BFwsUPu7jIE4La2o3bx8XWlBeD0J6Atn5lC0W+RGmJxLHY0kzJPhxgg6f13iVD7tM7HltcHfox1x
S86P4ajjk9K1Zmf0TO24ddaMLfkWq6SGrC/9I2IpcYsYTbCrwfn2PWOIBBtjG+3IV7Y2kcuu09eu
tWfjWleE6+AL2mO+ua7BVRFOID/7mqo2cTdNl65IMcJo8e1k+9GpAWZgK2OfuXuSw+9fKdAq1bIe
WVNvPYkOF5JwbnjEz+VRGa5cStpxpRWWCU338Aj/0mp2Xr0Un5V8eVGnD9X/mX/0qQSQzDelDs/b
n786jZ9k2ZSv6uOfevdDRH38/vqz9vDdL9aFihVkpxc5Xr00pB3/8UDPf/Lf/c3fXg5/y/VYvfzX
P57KtlDz30Zu4DvD89xm/vvFbPlQvfx28yKfX94uZ/PPfFvNNAO5I5nhLjR8muM0Jzm1fVvO5jWL
HpuP3YfmOXUcP/R7+oZwP9HM05G/zP1ZFjoO+r+vZsL65OE45nRP/jeSSFv8ymJ2mAP8eaZFXMzq
YLBoksHhk3hmzcfAN0f0kNsGFiB01IFH+Ci1SMREuuw79+RkWccdUJ2vFeN5hGKSLlEV1Qyg/dQ0
N/PR/qEUyTHWTBYRTSudFRJKxF95pmfAV5T1YHmlsW89PYciFPeQXYPJqCfgSaN3F4AQO0/atI9X
KSjBWz/o2xNtwKBXZu4CuZQwd1L4EOzqEuJ1Uo7bqLXsx0S3tAcrH6keK9GD/UqnpQ3BaQEZYzzC
LN2jGDDiL2++1L8Yp3yQi84ma8/j3M/GhPFaYGF9f51wZGbQkMxXm33mi6kX0Cayeui3dksf1Aqz
HDSNyKNdaBc12kanfbJH3589oC6ITi0Mh88k5nKYSFyju9GdFCGd7Aa5hNx8ium4yrCm6+BLlJRY
BkTbxusitaaT/8XnIJHEot84b13Oh2O92TUhA87ytZ5dOHkQvET03LZZBaovIzUcqXb5LIGDQAYN
zW3YRc6VnwMKVWODnN6toGipUDwGWdAdB7YC75zrJ10Ct8MjSn2fFp11YRYR+FpRxsc/fvPze3t3
rzJoExa4HVLJdNoIH/qJ0tQzEyXra5EH+QmiJuvEC0M1Y3mMk1kdv/rxyx1a3e9fj7YHCma+U75V
hgrvv/Opz9ASGu5La2bYQu0vyBzF2q5AIqqyyPYBTUPcS3FBdV1y7w/55sdvYJ5XfvjAaKRx0TrU
O44FSeH9G2DANWDvL19iFMmQjZB/oIBsAJuUQWG8TllQE87ZdEeOpux4XXf6+JgjxauIZLPHh17U
UbfOZe6dZINxbhcuRol2ymrOF122ntLRpSjQVUWoba7F+84znGJdCle7KWNt3cHKsTehqSLF4Nu8
mtiK210ODO22KIrwimzoMF20mVftf/yxD33hd9d9Hq16NnZ4dOC2PceLvF2TLIRVZGsrWC4S1V9p
OOPxqLn9HWk2Pf5fOi0biC76a0Se+4y5HKx5LQgagg4yB8tnFEXYYhouWdqX41mrioSg9rFqbx1N
V2fRnJS8GUiSd7zGvhmioT/jPxGDGxHMzTJUHhVVJE8FsojrwfMukaq534r/f3MAx3JCHcsdjKKd
sc3cZHv/EXk4yrCT9mPFvr+wg2xaz4m9gLVEQd4A6r4fX1Lzu0eH1+P/FM/sJ9zO8532ZpmvE92l
1KkfW5RJzI5Ce02sYLriXJYnR1BvjAcz9d0d0ot9RPA0IuOguTI42MqF0bEeoWDsTspKapCNfRoH
jSggS0nL0rYZ3Q9qHK82l/j9VQt8y4cDPRrNJULF7tqgXIcFrML+GvzfSrmOQo+su/S1XJN4hwIt
htRMJG+2L499M25f53n2ue10SJAT6Ts/uRjv27iHa+9hX0cO4KMxIJ3t/bXIrdgiyGB66gGPr9KQ
sJaRK4a6SkZ7VL2gslibf3z9587s+zsay8J89GAbIT3j46AnIlKZzOXhCT+xd+SnCrRCRnqLnQb+
zxat79YMnhkWSb5mjlA8PB8+HVt1rhmyIfGtu5tBgmAqVQNfrwiWyeRj6HLCfmJiR74JBG43+xpL
AOWj5fTDT94KvJaPn/pww+mcvHhDzDneX+jUzwmmM/xHeA/6fTpOiIBBDsoLI5mZ/EMHsh/3+uh+
SYKeIlqzQnzweB8ISgEXVmR9fQ4RusxorbQTd+lQvNhegDA1s2O0tC4d6V1XV7TEXCmLvRHEJlJ2
etZ48AhS5CVz96dzo++/SlMYPLVz7Kzvcu++/1B6PHk1HN2HLDVKMgOywXnWG0YNkkf9vBuVgr/t
FVQ5GMnEuuLpeQHwSmcmZq5ABY4BspZQ26CHwhSYykGtBb488N+FKB76OITjgrIfC7I20QOLJuMz
vsHmLA1H6w68W3dTl4FxzlrMKSxh9hrU8WUaofhHmO91uM1Kjwugq9ClRxKUxc7AeHWfESZkcdDR
Pme0cY+1ybD3kFXaE4YKOUPbLqF7hPkPfHhI8OElwwHVrPy8s4ufPAvG93cozVdUKagBkMxzb7y/
gmanmr4JjQeCKfV7gLfOHOCB8BfrfE5rsSlG6aKvG/I9FpPhyI0GbQkpIzsGDx0mK1I0EQ33Gem3
eXbrQs4A6yobLOEqipZVZWK4HkKn3ftDiPBfU015eXiaf+ms87cnmHennh+eiP4/POswX3qzsH3n
+Pr8z/8uf4Pk/M//+e2heP7tQv7z/xZPcfXy9uhz+Cu+nX3cT5ZjoN1y5pOMK1iX/jj6OPyOMFl/
mWLphkUt+ufR59OsIBJzTBgaJoQw/NYfjRyduELGXvwYQd9URDZ76K+cfg4V3J/rMkNZQpnRwOAz
o3eEbfpDJweuBRFOdQvy1Fr6vaqOgNU1w7K3zJ2exfI0DRCWL0ljwN8CmSw4cnPPthbmFJnHHeOZ
jFAtF7PEENYXNmw1sVThOH0da8IjQt8rry0nVD8ddr5/gHjXBOF6ghEk/9YpUD/UR6mF5FK6951d
pcYi6IS4iFg2kqUC64jwmy4yuazFpWUGTFtyGYTnmefUr55hmKcm3NxjszGGG02XyTnLF8OhELX2
fkj7CcOm1vX3XV4V13zROklU+gSmRY+dE8FF1DjHZdoT/pn+RY+76qovhmFjt2b3mNCRPtUIYIU+
3qEqYEVOTmAQb7Ju1pvq8DmKpTvB8l544dS8svd5oHpK+8TMOHe0hDOX33oSf1tkzfvLn9+uR0nj
skQTr0MhSfSlNy/lb4oexbk3c+frxIwUP+JZ1NbEHzEIXxuuGmEGgKf8z8qgxjn+73CX/X0b5PQh
Y296uw4cfuD3jq79CbmJ7RBASqU8CzP/WAfo9TouxxtIKTQyqLKo1f4IIPVpjswNXUoHVD9suHy9
fywEc3+E6oa+BT9EmCdCiD8aQBff7oBvMbF/HRhIxf1hV3dmHRwCUXNmU+ne4X28vVXyIEmSyZiG
OdGAwVbgl/V0AvpC3wRpUN5Ehd7DtMYDvo48S26GzLOPoiJvLnApOyCUjHzfGBL3tIq9zYAh4riG
oLUqQqjejS/qBUr1fsl9PyBr6QAQhENWHlUV7TigsUvm13vp9HvbyY0Xwx/v6e0S6B5cqanAJ4D5
qyxJg3F61Fj6UN1YihgsgovrhVFbxxmvXrWsPX0P45WslbEq6iMNZD0ZhYi4tLTyN6CS9rCh84Uj
tFfN8G/bMt2EU4tTIsK2wWwPq2CzaCtLWw+aUx1XfY/+K4nL9TTTt5HKr0acKNd1/YCedZEOsb1r
jf/H3nksR45lW/Zfeo42aDF1AO5wQeGkMxjkBEYRhNbAhfj6Xoiq7o5g5AtavfEbllVmXgJ+ccU5
e6+dTttINxm/Ue6jAme+Vl33uqQTnlJcJjPfRTUMKyC7ddgEfYpYoQV4q3C+GyiF+8DxO5jp8U2J
ybGF0ufFYKKGBBOslD2Ekk/fGjZv7twoefIYY4ZpyCrkYu5X0K0is34OzRn+So8gPdXUH3LXxU9y
BDdL7iF8zgY6QKyuC060XKNdZ9GLDB13cmyfzk4RQFXQNuQXZ3clp3+9om6JAPKY4ZvwpaGL3bIh
a6QdAItChvB6451mNzgU6Uwel5HGoJS2IsNA1FcedrzxpTXGYYekObqzlfa6ybpD3T+WGWhrJ/PS
lSEra1CXqRXvx14hjm7ENmaLo+r0d6VanuoxxKckVHWXD+btUs4/WgvUn9aVe0eQkmNU02s0zkGG
TRNXQnYYh5jD51K8J8nwFunGDQjsI3IAvIMyy12aSKFbzOMHt+3CxbSzL4xwS3eLew5wlm2lD2kw
5bkHF4qEcezx6OrYlDckQ6c3qRzRdI1Efsi75aRiN9iVoFu2BD3dtWa+7Ur8g6kGKzdMskCuu+tu
ROKg581bOChvJcT2YZ73WjYcKM0DQHFgArQsvJuwrwu3jtLbIct+dIlxRq7zgfaBaG38eVQhkh86
qXCOOrF1zI5r1OjEyi55sPX+IUsJFK/le13inyhsIDnE/NApb3LPnjTfColyWpoDHtzXjohH31oT
uoTevupCfBcOwgZ3SpWbltpj6bQXpyJWxQaRshLOFLjcaUjwT9+7qgVTVDbvE9r2t02UAKrTSgS6
8qAE6RosGGvqIZZa2ysnB8FwVaNEkPJDkxkv6qj5LbF9LTaIZd47gJxEcrtER+RZENg7r0wIVlCC
kKtA6yjv5mwc1DDa1cNhIHoIwYGYjMgbJNXm46dpkeCHK4p92e40S3KLpfWqNtzCz3tWNObMaCsN
PzT6g1wACpJPZf5I3FI1WR6AcVzV5Lsk/O188m6G1BcNR44xpn4Utvke57S+cU5Yq+XVxArYUNPk
SgalxqqfR1oulDLbsiI6LKOGS9xE1qZRAzbDGBC6zloM3Fqepfkg2gXMhqbNifEGxg0FwxavB4ji
TSklwN+cEGr+s5yWJlxke7ay8iybnY7Vl8CD5okmGHrSGI9TcoCjhRkabndRW0E4q0S9DD2R4keQ
MkQVoQWKVE+WVzaZLmLcNWYfaa9YNOwbmSQAECySJM49VWPJpc5e76e0WnMqFy41bg9gCJxxnxKU
TtlHe8xBUIO7nuW63XWNZr7R3APbyykGZnIHcI3VGVVSr23MNmoc9HNEayBvyBtsTJGWCq8Ts1SQ
Kifl6XZhvzG8TiUtrm7qKIRT0Wtyi+onr265e1k+fBB7R9xK9FQQIhjOOR+8beD/jkG+m7oowXOg
b+crJ46HxuFi5C/dolyXaX6jE+J2VaFUuFQhfrGa7CA6cuZ8ryk15STd6p+q1ibCMgy/aU6REng2
vHMSroO+noobpRd8OgA4WmhktjMFpdoepCJ2Ds2ynUdANlN27GmX6YnABxa5hVm75sAiKrpApKmP
x4wXX92OmKaF4+wyTsOtpJAIFRY+K+0cRMtBGcveDaNtaUnFlXCmFA5Lf0lIcUEQGiL3SXwnrK0T
Hv+EquaPRSckwYblNJpxUCRWMLYA2vChUlpNekLIsi26rE2jEUqYS2Db0DSEBynOvbAdd9ogjGfs
hDTaJg1sg2H224WvaG9GwzczrtxWAIXUk0O31GTlNHgMBZ8kZsw7Mwmv7DraLiK/D5FxbmrwFZdo
jovTBHbNVVe+TDSd80oq9jrAcMjk/YYiUuiaBikTaKPI8m53Q4X7vJ67H2Gef9gZiSlaS1RiLOaa
62yWB1qEVaqzLB9o5AQkfwYEzrdHndm3w7i4HYt5q4jiox2kkx71u9DsPIQR13b8pOkzIRNVciy6
+rZHLaNpOKq0gWTDdDdEN4gvhC9sB6nsdKrr5Y7sN4qiNcK2ti3YdEzYynVGoX8JLLn9kOf+1tKK
/Ab8FTFw+rLrlNb2EZOdhDHghOpTt82cGZ6USRXU0aeXcLwJM8BBRopzZSyUbYwGyllOLWlnA6Z8
wXGJrRRqfmX03/QUeERtsfhjoY59qSBGLZ60rUWytw+N5qG3psMSi+U6lIoAdVh0wue5NRL1tjci
hJyUHjbSVNwWBnI7oaeXJX5BR+gX+PbEMu4tULTQlIZNCHsznNInFM3oppD2VSXby5qaqhCkaFf6
7Fu8ASx1dx3FjHbYmRbr8iQDcLAr6AW16RylLP6wiInNdek1b6vArphINfEOU+7VkOF7pyH4rWEC
4DHNdlkyf6vVZjvTVI1kJYis4ikK26u6ioOGDMRItgAVlsQeQLwvCj8XnMV0Rk2q7FEz+sCEktWH
5U2WIwJo5cje2liJ9ppBukVTEY41bcfYeYU/6+nJbRee4oS51dBRxsI7UrprnQs5YSdUYZxvHoQe
+qFs7vrxsdG6ADZE/m2oZXbBG2eRnR0Yx30TSsFaiZ0kWFSERRiW+Sg3L6KQ3oDEs/WfqhCDK4FY
RzVTXR2LrTH1mGed3ZBID2iCQj+ie0XQlV18q0fnUcEsfs83CTvQYpejon1VkXwR5eaHCRJD7jnS
NM7I6ktiEVvl5JZEsRCF28xeZ5B0adSPEuEmrhEqvj2PJQGgesgZuvSilqXQnjec+MJNJ10XUI9a
59mMfAAdXXKGu+mnghy3Lllil0zk6JYmzKNBIM2ADcSjM7VjqlmbKFaJUAiHo+jZMuTqZdLrY93b
13hwpX2TUOCm8Btk0KkWN8J9geKcFcyH9LKl/7J8HxOI8lX7XOdO5UWNEvkOGOnB2kWkrAHav9b7
9WKLaiVAQx8+pGMYrHHg5fR9KcxzrnSTJ1X6k9O8irzxBjUORDX/THA4W2votazJrAyETsg6cvc+
G7ptasI7QUrm0sZxdWIBCUnaUAy7pvK7ixwYvYkhgwmui/ahItiHyDUaGG+1XQF94qMTJ20SSCOb
admijxs9RSV7DdpB7jW1fqHDGG2U2rgl73J6WtRu+Ugg2CQD2AtFi69S5pDfDrdOPz4sM3b11DlY
S7MHdQsGVG1d6pfu3IACmwHV5xYmKVK6ytEzUNMaet6DY7Ok8zKbPe3BWHzL4+WCDCFh9h6bfuz8
MiTKoIpzN0wUsM7msbVCnCRi3/atl9tSjtPeOdlTfEoTh4iC9BoB4yMV4Le6S6/j8uwMxmuYJOvm
8r0hcjIu7DXAxE9ttqcxbM2LoZAmDWskoZ6f7xHGBoTpHZV0uVLTSGH1H3mOUHWTofTh6t0rpnpT
jM12gpO56KvbmosrDDQsLrVNC7fjfudGqz7NsG5rbNUxKQDO3L+JojIDbg9Ig3u0F2YUAKNf83Mg
Eda8vA54HqEs2Rwo9kTreOAyV9iEZfTZxVk1KUW2a9Vwr43DAwfBw1AR30v0LsK+Zj4kaGRk5bGx
B8eVY0O9KTv9zUikw8j6FZbFq1NaiPKIB1tWHY1xZlu5GPxL+PFGP9NUYsJp04AkIn+KgvmhnobH
TJNcMxmul1pJXaNVPnBq/4gmeTtE6bfBGU4D+WX0s5Pvejdd6UAiq8gJZn4WMwz6fObE8Rxa26Tl
TqBzvCUoiv1VBn+mKm7K5c7P8/KxqQbnW0ooy0nT7UAvrMlt8mGrK/LNkrAjJ1YDkDblToj3+tGs
tecyJ8gOhMI19o+XZknIAULB0tB+TiHKKYnyTv8KJ05jHUgWgP/mItQJmpY2qAzNdKz1W9uK2/tG
L7dpi1h1UTmd1lZ9zht7Oy5WA5x2/IgWAIxDqFYsESQm9lhfiGxgxXIG4TeT+iLjnCTuS3sPY7Ml
7jfGnT0VgZRNKwYg87Sw38LqQCJtc/nQLFEcUUlxSkTyYJWsI47NDd+Y7+0FaEFbXbjeKzpB95aY
qC1s+2HYFugJvC6zSBCO7sah3hqhekeqmC9UyzeIqyNc473s2sAep3uAg99rDu45+tmh445U5m5j
H51c37Z9/hBWJ/JpzihGmrvQsLxEiKDVKYMTKFHHr/R8d8n4OMB+vmqbxtj0i5k+ZxlwQZ20D+QJ
cXMXmWLgpnA7WE78FsUJ0Gk1yeMfkQZAiRgK5N4yhMk9M0oCdAeK+rHhQLKJiZzdE2ru+HNiq5dO
UetbWVnkU5Yx9yAsQX3Ga/9YlPngGrot73MLUkA7c3kOl+WqKTji6jV61Y60xi3neTI5iN9wycJU
PNOCjLQsyMIMklZHR34N9RglqyxHyh5xNmJ2o5mCxkryHYlAzxKq0gdFaiUudJH6mk9589hhfNrF
bSG2GDuTXRnW9oZeTLfXs6G65QqrnENNGgNaRgaoSBHz7gsQV3Fsaw+ktUFlkmKZ4FspmlVA22Fq
MH7FNUei0HQJ2coOdUkG7IKyKoODQSrGkAssDWFmzGwaZlad2Foy4s/TJffGtcxBt2K4AoWq3JRm
OB6K0oaEJI/Z/E553HIBaEx7VqBqH3XxvBdVJB0WQpNNoqbcqmsjCgaJup1lZ8COak2PmbMUe2Ie
p+9dbU3YMETFBsCfeWdO0/gRcp7yEpQOOwC2YSAn43QzhcX8nhkOl16wTv6MpqEG20i6ogtuqN1V
PFl1yuCe+EpVL7se85JrtZG9A8GcvoA9NHeOMWevLOQohZACNouQAxtU6gRvRp9+6IZdE3QjDMdV
wXhcRpNojmko9ZOmTTKRb0jzA+wgSSA3uuqRjsg3hI+jM4SWuajKuf82xcVmPyzI8k7D7cDLvyrK
rnTlSIJroEDb9oUlDBUrq0UyIWpH7Z4iTAg2ZTGuTbW3Xie1SC9yAXN+NjU13TlyLW1rVQ4vAtLr
kQhI7VQkIvMQ+x8zKcmgB8BgxjWt858Z5ao/Wzpht4BjhqeYjhZrat8jxksaLiT2WOSvETQIWsgd
8XEqp9vAanoTOOisBQ0OmQosc2K8w/kQkCkbbSTXl4TQfWMk7RESQnaAA52eUo5H3/sMD1E6aMYR
tmoEJyV0TLSIqhoeNEbdLDbq6W1etQbH9arRHrk/VZtaYpOhqb5PkIX34bI3HPOMgCH1yta5m4bq
RQ3bXdOGa7Z6hIQR4QTtOQuLRdbZxb4PkX9u5m6gAlBZFfE8OYiUIz1KlpFQsPtv8HSkixuXzg4t
l/C4yIuLKY2q1wL7o3HAvZ4wqd4yuHuU4dbpJdnVuU7vdAq4mge6LLyrxjLekSlDYW4WIPP6YZeh
J8o9Aru47EQjcb8S42xbu1a8ootzcNPW+GL31aMg4PBWIn+Nc0B5zLXxqpZI1VazvPcyx6FlCQjk
StKtu0ovtoVdnuepE7sePtMQVAC4ol07DtbVZPVN4RGsMNxHZf2clbj0UH3E/b5I0k53NXWurY1U
t8mxkVUj9/uMJRVvSrtDF/VqhP0Mj43i6xVaL2fazHlhnjghK345S1RbC02FC0uDujkoddWgEOrD
ndk66OW1uqzfc3Wh5klWaMQvOslkMZXtecQ3RAGLuxSHkUE8xXUBDX4Z8oXVLxzsjaROTegliqy7
S1O2D1LX1KDY+O8ewqhN/USy8tNi6SJI1YjcJAsNXSQPV9hQbF9ThHrR9GU9eiy22I+6klNTJA/9
0FOoYHvN6u4KDwyieczHJxVOX8sSojhbzFucSg3y7yiq9P2eooyfFFwD4dz7IhrkXWuJ4VWBw+N1
I7fh1DTrTd9UvmOKrRRru6EZT9WgjncqTgQEU5jm3izgZiRacg7hwpwZGD4iCCEpm/ie61Xzw4Ax
tV3sDg7NQniumydGfDVBrT8uZke5BPMAMJt6qKKDOVe3hm3UHH6KqD3njqY+R9zBYIcODYgWadL5
2lIi5BVWbMi8RBJZ0Td9aB6yqqOw2EdnRRChUkqq6TVL5UJS4wcbwJ1Y5pqmqsBksrT7Xt0teCSf
nFCqTriBMSBZ+UFlreVqkzxrihQHY94+mUV6q0z9RYTKB8uIO/IqOZZyD5euBX4PDhYkc+r66DVy
950SGP/IHH7vQyX3zdweCYxPmUuVTaKK6Up6yTVseCT+k1SwEeFbYz2plX5PJUnZhS2KJSfXbscJ
S5lM3iPeMrfLKilIRuNb12BAiRa9P1Nnuk3KaZtQW03lC3Ao61QZ2evE+odzi3qvZOjNaSDF/ixJ
FNM7gwzFhVzbatNzOBF8STZSbMWiXhfP4zZWQ/U5xIOILE03XZJBrYekNX0APC4BApeZ+vwG8dTN
1HFyIDb9jWbrtaxXhGqGJbJtNJ06Lu5tbcjVG1qfbc2q7GlDfiNnRJzFTeiT5u2N1nifQ/fdgUmq
78Qg22RETKcmUx8JM3vrevOlTx+60CJervKTRWgEjD1WOR0ITF3UnOCpuVGG300xXhbH5CUm1sMo
O1fI0kcE2hF7Le494l7QXSsUU9IOxczoVdTGjKi6pZfpi64Oprr2edStwYpAjqtf9ETlZTGxYBb7
eqELNyQa3BlLFBhIASm46nfACkHXl+1lHIab0BlQi6cUvBZtR9Jr7ILfkyHK5WsYBslavXUn5CYN
Ms5pJ+oNQUVEyFWmcMizbYibUhneAq5IN6Sh/tAgCQYL2U23FIjvJk79G1NwVw5H4940jMNcU9xu
EsuheatwSx4Dejr696ES3Arqb7kZb7kXNV5vFz/GJB13eVzTJR3jVL5JsEg+YOcu90ikzGJHqPMT
lYPjQLA8bKTxm60OEJimKZBFd27m6r1GruouqHi2Y1V8dFFKeUv+mEpU6A0evUpDVazrMMSSyCCy
yI6zLRWVhzGhai5HzTmS6+xA+Xm5kpKw2RYj9h14+7VrmUR1Np12qubp2czzvRMpvDmqYViTqgvV
eGnTFdCtzKTfgSXUgYt2NI9oZuyNuXArvWss1EBGdVUNJlF+mektnb2TtVD2ZKXhzYVuJcAX854N
ajnT95kEEWxvzikbFvVK6ki3x6U/nqdBkdxe5hYbO/N2XmgjczPAvD7AQ6u0xWbPXU51k5+J7rT9
KVIvWM/sjZKm6vNgxGMgQ3wGsR7h6nKcOb0BH5ZuBFpXMIBZ6079u912xn6Rsu5+XkT2xEY+Hasq
fl2kMHkCC2Zfh9gIyoHpEkkm15NmbY+kOKXq5sCtCHQ7MWkhNgNlIOtZQxTrJ3Y3n6AlSlucxZ6e
V6dwKHfDUvvYyF+mhoIdZQ+JkhSNMUebr3pD2YzT+ENlXW7y7DuQ021Fe8gV+O0WqjisaIhvQOX6
cTwYV6rJd1oDSuz07J28xS3y7g2UmXJjjeE217KHpu3NfQ5NSVcoVCPV9UdJ4kciGUviHhdqD4kk
4bCM+456dP+Rds33JXPik2Ol3rwKmYqWTYUTxkaLlnSnJqS96OmhbOR9pxhUtVmiY264ibKIZ6OR
Wl+E3Yi90H5YRu1NWMmRhOaDklpBmmc7J+NclRG0W3VBDEgPLUJzSqSouR5lJXQzB1ddrbJUO6Ti
erQ0ZjIyIujbicOilvKQ1K6q+tQgS8N6mHNqHYxAcU4lptJAr/PskIUSft5axw1XZxcQko+SNn3Q
xeJxlxu8GhVL+3pCiL87FJiIMJ48rWg56o/yfZImDxOaSLcu473eLPt5Co9hqVwZrblDaMFVfoiP
iT4e2BjJUk7Aq6x9zW1vgNJMda4iFt2NNIN6mcgOoEOV+Busi91CxEc0grawJ0M50A65YBJxBeoL
FybcU0h32xNWqF9lPMm2Mmvc0AXJzjbMRFn7VqXEJnw0Hc0OiakfKwvh7oiNf/SR+YxUGVMe9LxC
U2hglRR8sZY/4HMsDgahLvRrrjWxXKokeank9kmeaCsUYe0PHQbF6LoRYL/6hoiPBfD7No0IDnS4
YWIUwPI5wJbleMaxIVJIbGFX7JSzaGBlFryHNBm3IaxMSlRuI8vHPtKLoF5FcaDHKjerZC4QmIj1
UvYNZTuajUvcUOAUiGWge8huTIq1x7X/upjIvMwNhU5XMh0mksl2MWC/ByujvjwuSuxJmdXd6KRz
DXQ7RCft1hankGKklSqJ5U2slB5852cjrc5pehqziYjOWvaWXOcCk1eXhrdwWjKFBVwxL0rG30e2
pB8vcksYbk877VvFvDOEjBL2LRXt+NrTP9waVsbgt7IpWZuuCp1rsNbnloSlzNJu0po60FiT76Li
NtKdhRO3uJc4awSgWVhwhpeW+QUA1Rm/aRRkUzDF4GDNM2k/wdJbCKurHTVVmhqxToecrR1NOxXB
O9lMXAQa2QZi0AM22goYvAaOf1t2PPFGb4hcKePou9qm2zG36Syq0XkpaDZOk3JoouUOdOVZJ2xT
K2iRRMVHBJaCijYWX3lZPRQcW9lqbhoWeTLtIf0ZgB3BciDhc8s0PEZjccQ3z/VzMYluzoqAIJa9
U7NXZ3KXv7GhRC5++HpbSt2uSqiud2v8BwGV1GfW9E24qTd8WplHxOsddyHXJBkecMGie32rV16F
fQSV83ihAky5a6iDMKYZrLxz8A+KWLoqa+72qZW/R914ZebtI/QWPj3NIcX5lo4QsSO1nyksyICn
PQhVp5JDYfGYj8OeFHECLmxqauaQfCuUfKstc+QlvRLe2Vn9Nmr5XTfylcmmvNfNnuJjcnSwhaVK
9B3YQ+jWSv1RkFXBFSPaYVeOXKCFa6tspuiP9Q6VdnJVxMrrkJkk3GNK2SidfpSjYfByDS2DwPte
jvOzKRftY7L0YkdCVupaFIU8zoxBP0tPk575ZdxQojNGDx3I6LYpMT5WdtCL9zwNr3vwYQ4BFKWY
LjFgX1se7yvwYq3af1DrpJ8ph3xY4fwAHzR5HkR5O3NZhYu0kWvhZ0LiOmQ3R7vvj2o93JbLUwSm
srYLtAPEEufWmbIdRmN9BxHCX5UxKnMx1NrdpFC8q6yZ1bmzt1o+7gHdxjtt7rxCEEUh7E0hBP/D
7q9JJfQrvPrIFW5oD+zrVNlOlfYGp5zVr+2vSiGfVue002CI6M5CJRGagnVdRsONVhKLpH0j3QN7
p7RxyHWyqkM/y4cYoyQIbDAU7NncAGXPLtkRbem71BT0lRVx7KwR9c+8UzTUtEp3SqsQhKWDxXjo
9siKXUkEsl1wiGTuJfaun+O3GURBD7dArlZSKYhO1rg8si4dtXySnvLdoBtbvWZLd7I7tWse47lB
6hf5Ma4GYcSNxwYZf2gRqyzwAncysz13/E1bmP6yIGmK+mjfmvNVpyR8WXjpmyx6lCVxyBRKK8WZ
4+a4TekSY9/C556+GG0J7li69EXnyyLy65DW7sK9AdR41yq0DdTj0Or72gStsUgaVVyk3R1/ZqES
Klh1cuwaIglKVJNY9YlOXnbYMw4F2JlwAReSFy9Grj8Ka76h5pZ7E7V9szyKtglKh83LaOIz/NZQ
ov8zT74l48JP0nr+oYZcncJZ/8CK6uYLL8qo72Qnu1+MA9lU3pyr92QFX480TVjYW25UdeeDGe79
NMuQRVQ7Wo0xt3MyNhabmT2zP/plk11rebM8dBxPWSBjCq6UU/RIPxhz6dtDzj1UWd46Dk5Jm907
+XJvd2OQDDZ98sK5ShGFnxp5SK+RJC03lZiOk7pw1Anff9Hb/lu69ivW77MnaRWq4Xxb66Rr8Ar8
1t81jbUjljADJcjSZRk3M07TZs2cy95Lq80fcaRRSE3K2TohrxecAOO5V4mhotXrf/GX/K5CRc23
Ku9WJxmJrWtewyd1ZQLqwSzINtgg3+tenBwbDra1zsw3eVFmd00Bgp6yvX3Jh6q7t3tt3NK47HoP
JGv24+cf8z+K7P+1mib+a9mlH811/6vqcv3H/y26NP/36pRTYCVCC9LU/y+6VEnmAEmMiX6FCSkc
7v+f6FIjgxfBrGGzGf1fuOa/NZcqRE5HB95Htdw0EG9b/4nk8ncPjqXq/Dew3ui4H20Nucsq3f1F
mmtzLlFaxNHuSCcMzVZQVPlh7ZalTY18rNs2yeWXF/MPX87qKviXFHSVr/57RKiRqzcG/4G5Tudf
RqyL2I7bhQR6Wr1HjaNOESZf6I0/y8n/9VRwC7D5wMG0Vpzpr2OYKvtq6NiIDbx0v7ZrVM/8CA9J
kGxups0PnhQ5xVu7OQDz/8JQ9mlh+Pl8uJogVvLr6Yhp0dj+OvbM9Spvy5AMABjo3U3OITA2aXVT
jYsiCZ/fdaFWCMQ+/v5a/xwXVBOzDJceg1u4M38fNxkAi2Qy4yJw8tDK7qRWua4i+2hqPrgxf0rr
s5obO9t8/vvI6xT57QeFXomJwIIqafFzfn7ZvU3tZp7VjDs+UpdJsGlpVo3UQlwqTRs9CNHGFz/w
H7OWIXEeqLxidTUMfJpDiYDxDS5uTZqfX7tpEgcrtUFnDtKtkC26t7pz161at78/6T8MixEc2wOe
SCT/Pw01v0xdeRKNVSUpOocFhMlmVNTXLBw6HwTLfsxGT3MOOueXt7+P+scHYwPhMPBiYLOAl/v5
h22UNRN2jlLEVnqn0Wrp88c5J6Jv+/dxfrcmMnEZx2axgR+LZtz6Sdv45elM5CItIWIcDZAgw9vf
EpGzqUgsHIl9//tQ65b0+5QxEDAY2FFQo7MmfpqrJuAOy1gj6EoaH8lyPaFk1JcvBvnzva2DEDkO
DRfW8Cpb//VDrJc8rxRJQnTXJtRbrZVaNgn/v/EkYANUDRONRgPl90G4pKbtIMjzaWOOmJKYaiD+
9YuWyrH3n4+0Eu9WrxbHDuXTSFHqQBIZcJfkseyybpNyl7t8fF880D+9Nfw+bFW6yjwwPi1fVpXa
ulpXhFGo8cUy6OHn9RdDKP84Bl8RQHd+GsLLf39pYOPQRE38MqJTWhyumnrLgbsKCIK7R67uReWI
SHtWBkFkiZMFrTO3rkqj405thaJSoCPeZKLo/cUfZvw5LVXsqMBjERZS7vu0rBSSgv4nslN34fSp
In7rUFro7VfWxT+3J3jVbODsu6Romc7nLbDnjtV3pDfAfhlfW5hl26inMUoD2MPqLfmqXP1wrAr2
A4EkNPZNJMdqM3QH1EbZqYGPFujpZOyRxLuDNWgf/YCBl8NlTIjBIL//feKtv8anjxVCp01hQcWc
w+f6+68FuIwQRB0zxjLf59O7FV7nrnqetYe/D/NzY/xjHN1YXdiIvPiefh8HpJdwsol+syHMw1AL
jqlUGq5JhE0lKPAdjaa2A9G1mdVpNLnQtCReqIPfAnXYzVJGDJacN18sin8u+ZzZ4AutpzEbh/Tn
KVEjppxJ9HIrKXLtdo5uJ0e8ZH0wGHvy/KSgbKhG//1N/MM0BC/prNlsHP4w3Pz+IkypKFnukXY1
uuVXo00oUFIewqr/AuPwD58hewqrCRQkvD+fV5QpqTsCHyDQZEtpRaBpwnFbVHZ49/fH+TwMqGT2
aJZIdk6FG8qn+ZMqkqoMBfOnniPpxom10BtGtfviYT7vXp9HWf+KX3avhRu6VuAfocTYqIS1RxZZ
N4t5VIXW+FBBhi8mxucf6fN46///y3ixjB5bCJ7KaK905bg036gh/f3F/eMQmPvgwXDah5n/+xBm
JQ8tDWSSn+HjlaQs0/Kgpf7FNolF6/fvmyfR8eDz2ZFIabC//D6MmpGNlJY4egwjGk/gRs1dHtbT
k7BicS3LbffSdR1hUKv0gFwa6vwJSrNh6b74Qz6vMz//DnDaIHoUPv/PjzuB8ys7GjAuSpudKA06
ceHA8icbfq/Kwk+d6os583OG/7rk/GtIjUO6jfVV/vwF2MaoGXIpMle3hmlHMHN4LggsIx8Y8uSS
iPQeBA82rizUPYrFnqlJKnWl+DZTgKPK6fVSNoFmnRXFbC59E35BwP+HCYArFsf+SlJfwdS//zLG
onM3IhbQJR6weyPrJttWTsdWCPTvKxjDV2Ot39cv87mxtcpQU1Zf9KSEwmj4YJztlFRfPNI6Z/94
47880qetXzaLMSYsDTUP2rwTuo9DloTuaOo3s5PczWpMZl01vFgttIG/f03/sAzppFxyc+asxtn9
08jEVvWGpFEfNkxp2JCckh1bFXng30f582ti98K/rHAZWh/T+vQe2YNx/CdIVDNUEpukwNrGtY8u
lYxMGHVuGj0QEBc4YXkQQ7yjxvXFwvTHRZCju2pSoMaoiboEWtLvv2QkFQREYY4kaDt6t3r9Otfy
exmo4mYo4hul7S/yoHpdgrC+Dfd/f/w/ZtGnsT/N2L4SjpzRRHdb7W2E/oZrexUffLFS/KSy/DaL
Pg3z6SUr9Vg1I2UEtxkxFVhDYEnJS0+JZWOq9cEsIkrc8x6R6x6LFmk5ZRkT9Sl2f3/YPxas9a+w
bBy13J1ww3+aUZkFTDxZ1ch9lt6C+CF/lwK/kt5rOS6AqviPF0jGW9cBm1OYTNXm08u1kQll2mTA
x0HSxpKxmyaEXswpk2hnUf13XjJYDZ7OoXbFRer3eYSrXnQdcBxeshPEdXKgsXsmBvBQ6s1ZSZ2r
2qQZTBLcqU5CfIqzrW7m9qs1+vMBbJ3Nlg6qRbXA+6ifD2BZYo3D2GOpW+JSHy59p66KRKmzbqSs
0dtvpTaM9X2uaxWS8VzUxt3ff+TPM9r6P9yd2W7kSJZtv4gJksbx1emzXPMYeiGkCImDcTDOw9f3
ondVIUOZHYHs+3LRQFY+FJSinE6aHTtn77WX+IrlrnN1n2rpy+5INNyEDom7UOTXqOZ9hGkOA6lf
X2R5Xv/8PC8X4StF9smKsbQ0fr7VPUEAHDmWQ05yyGWytvUNWF6kfOlvSsu/uxC4Ong79IspMr+s
DSozrdxcthBrrDYRIr+0kPWV7IrqLgnT3ywGf3Mxm6WWb88wODR+LejTUbNML8MxZvX6lh5Y4Ipt
U9ZQbMVv7t9fVl1uIL5ZNktamBbL3pcbqBOPGdEcg2b94mOl2jr1IzNhBfm9qC+yMcHVcyB/5zd3
8y9bCk0S+BdsJrT6eOG+VLYFaX9z23IukfNAnx8MTe/Er79+NP5mkXEpTmybLv/CW/3y/JVkp5Tm
yCdTY/bNtkEDq/jGa/07Ry/Rqk3/m4/0p8uZPz+JA07aOY7SBYeHf3iW1XHsu/tff6Svz8XSW/rz
R/py20bPimlEwfmi6rJXzlCvhwJaBVjxZb/4zQf6ejGeDA9VFg1KmkDsyl+K6KT2o0gPaTNkDbJY
LE/680g2blDIrARHn2q/eei/PhPL9UjFMqHTWjQmv2bsxAJRTjbxKvuSwaY361j5LWPz6zv49xdx
HPqC2GEItPj5W7L13MXfjXEGpmGCVEPaa2a1v4Nl/c2t83WXQoKTqLPU5T9fpeM7agbBrSu867y/
K4YfVnxXZ0+//iznxe3L4sdlfMth1rFEhn3Z1nQ05VKlYxWYmcBZKp8Qyb1l0FAGJzuKNL2hZNyC
HCyJjA0hTHl7Ig5PpttBivEezYLbrDXWFPilf+Nimv3Nn8cxgM/55z8Q+gXbu0ktR4+bw9KXPzC0
NS/OkB6sageDy9hMprG2EaHVn93sTCDqM83T1o2jofny27C8L2lrYe5wOlusFHkqExCqJrWdwPNS
de1FIemYMYmv2RUkSjD6JEKmKJlaIhLuTfR8V9lgaC9TAZtNzLDsX5uGvBg03VZ5PQDhDFeJCpGF
TMAyuHzjdXtZVzWemylXHzgYzOtQ72v56BszIh3N6ObTMPp3bpp6m8bV3EcXFujtYMaDd0rMZvD2
E0na38hSbModUKjyttZhhhtG44TkTvfjkz6YPced2ZuuyZ7OD6Mj7I1emeFnQtH+QsS4ujRBFl6l
iP8BXbRkmEv5advNbB0aOWJbVwBypiCK56iCLerEAXoPXW6mLIqc3WTS5QoKegXVLixIaSNwQcL2
8uptAk/vWDDzGRZ/WMxgpYn7F13BqV81YXEKTUTLKxwOc33s20TcyDbdZmYbXwx2GML/kP02k1ZD
C63GaanJud7bk6GfdKOwbsFbifWUzveYQ9qrKinawzDH5ODI2ts2XUw+QFqEB6Px3QCnEtIepPPt
XivDksxiO0Pb2HblsO07q13nInGva9Knb9pQqm6T2zmPNN/o2pi0GZ07uMhHux2RxFlzomwG7ihy
D71XzBeGVPpKVia6NYl7vdQ6bHo1MhbBGH+xJB8ZpreYMTBje3q1y5V0X5wyaz5rvSVrsweUCM0L
kgDsDn2qbvJR5QSk0sIcs/HTc3K6B7HMJXivgjjeKt8pezqa+oA2K7OcHyjdCex1imhF6gccimRw
ADa4KNJMKxJXVW6SqU0uwS3fV3s9EmpsXPrV/G7rgLZ1vrQIVWnGfbYKPBDkUR6FX3wK4iw5KXs3
5dKzLjUgR2kMz760zADZoPUMiOjdFYnzLc1EcTKaQW3CYvkDE6nw2zjqkJTubODt1w6mMj+VsPCk
yiEmh1omGxWhV8Tzo2XyMR0jnHGqPHi9hiius+7CmNC/xisQt07ay2iX11PJd8zGRvrAJB5mUZeI
ySZ1dFXeB/yQts/daTjWy2FCm0PvYkHc26HqzOvERyGC1HcK5i4uN8WoG9vU6K8h65CP7cCQGHLa
k9lAxVFtQIU+4JADts1bFyFhXlrqKAYrMSavxJngh7TzDhF29R0gQQpOP1OXgM7nI8cyuQChxA8C
MJHlCCe2jmH9OmfgqMvMGEggLyL/xR2hTYT5ddbOj7n9osLN0BnDI9m+enFLcthYbryhK7ZFlnT7
uPFNRPiykPeDxjB4hejWvO/0T2s2s7XudWsnRh+TxfhQzbdI4zEbKajgUBEYwVffPkj6iBdN2mSo
vK1kbVSps2H+Fku8C05Q9UjZOq3aQk43vzeJ5myTqvEPecSqsIkQYuvSuKxRBIHCWU1Eqy8x3x8E
lV40mX1EtgYZR23mtuEFkhZQHYTVmz7DFrDSzbkPhFECqmjLp6jP1BreGaoOtP/GkNYYIRos8BBQ
SX2bd1YM0dvD3DoT8ZujNdT9V7vDdJRm65YCI5uTbW8VQZ92zyNSPj1NuFy6xtTX/ugIRC9pgEDW
dDatpTbO2O1Vt0/JxMHHA2F8IDg+XLMRrPqyHNo9plvxXA3GuC6K5oV1bO07md4f9Sk60kir6WDN
n8RjAD1QeMcz9wn4Q3+FD2fEkgaDpprlqLZwqI13Qwdv1OOABcBcHa3ami8JuXWqbZJSWFBO0JTB
7NF8Bz773Yvs21nPsj2+rCgnACmvrpXVhpteS4164xTevYj4phvbiiE8z1qJRwriKqI09NbAL/m+
hSKRZTL1G9OAQmJNlnzHvRMe+in84TVGSiR67zzpRZTtZxzJVhGe2lh7KmzrJS17FGPpRMCPd+OI
An1QI/Zg10Cwyb66qzQXcIk/srwCFUqAm40Vz1PU+YRtV0adH+tptG5znxmHMYaogWK/smAbsz+A
1H1ui9IMiGZOs01eVMN4DGma7HzsQ+HI6x3OWvdp5Qr7SzolU/xQtMV0QybwuNO0XDshbQyd3dzk
7kVbEBe5nrzZC5ImJzrPMo+8ctHJ8/CJ4cIOVMMsLUZlOaDDR2JkIDEan/UeZeyRYaVFJMYQfvfd
CdIT4BTMQLZ9g5hH0Q3MocZLdZUIyNiL8k0bxzW9iLUnpyOnsFVWq01bFJztcivop3hBrI375Gxf
IwbRZoKxmDDA8OnPaQaq56hnRW3dNZEQH7WBTdRRQwcqzd3otXMp9PiS9uuuCZvN7A4BpMawukr6
q6RhKqF8JyDtpDxkmVU3wUBPFzqlU93VU90ds7geMBmKBNDk4KUvoKKn7NjA/iSInEQAEkdGok8m
8mp4oXlFMZqb9aG2D2kk6iesU/bRduHRdHphVoGH5d2/GCOb6F+6nyseZh36XaMDmZnoEjPqcVZx
PKPtjuYHtHclH1BV7eNcE0GGlpyrBY0H7BhD6LxHN4y/azAgvojiO4HCfROUhnphpXpjjobwPG8t
WJijP91GJkbR2cmrq4xMdHfdhPqYLIpHcaWJDKOfEY0TIkMfByseV/h8Y+oh7puMEMrJqJXYzyYd
c4lIHzVQdMMqh7y5J4jFDUqalOSz63ad7M3K7ZqgjvzoCuiM91rVatiNvj37bCn2GK2RnUPrGgwy
kNZ94ld2kNnlMxGzQZo6L40LiQiunjsgDB1PrakdbFXdjxjZXxPXbneZhZ5YOZrhcveGYdMmw3CV
O/l0AzQBB4vuP4u0rS6Vq+3Hohzi9Rjb+c6FOBjwU9G1MZYlHCNWak3gYiAdDLqFWc5qq+PZbuyU
SWo1oHqeKj+9bPOE6KSI8LnILClQ0D6yhuYVEm1Y4SucBt+saboqxsZL99B09rFHNIyIiB7yOODe
tIPXnkI5pt9xZcP2KijBaUePtxhId26Ph4n0l7uS+CyQILJZt7El93kXx6fCGw5trAssBF6EHjL/
VqfdYSCKHLuqvCWD/aFQRXPth+4zEGxEn4WA3qMapg6jjZiGwYdmyT5/ieazlL7p5U6xPwSsaeFV
Iy13b839NZyDe0/aUMAwvLNSA9ECoeXkd8Loe7JBeZeQr2oApTBt36UVIDcNGvXRmsr6wjPj5iWb
xrsoM25FOD5rk9gNbtZG+yxjycnAKmB1IdavAGQFp1H0m7AWgpAlLEs3ImGzacNDPVv9TdKWkDtS
W0PeLL2ifh/ionpuQ6++UxS+11UDlmdoZvWABeRi0vockNSg7pLE79dm2+6EbN11WSr5Occ6Otx6
fFHKzbMVKevgdzLrKbbTkV6R+eZ2yUeez+MpxganNn5ih8fa7S6T1Bx2BkF/xJKY9GBk8iQE8tZa
dvl6GDWCAHrsKd2QXRB0aV9HWWrubBvTvdVTjjdTchXp+qmtzY2PRH7tc+y8r2akrmkyjphGlLtO
y+TNqePA6ZX7WbsOjchWRdd55x2dRG6U56CydQMHnYzVldquTakHskqUp8EQBQwOv986XtzsSVMs
2Ic91OKam0argWVgrSnS5QGmlbFzM6Hl7aVZXboZsvV5kmQD2yPBR76kPzIo8ukCE1lJfyHsHo32
WIc7Z3SITDDaT5hTDJP0qSbmrIQ5AyupJfLZ5VDyvYvcEJzEAGyliofXOqQSspPo3THHftWFQDrK
uLnz/fK1INJj0+vRjP2vrgnhmgD48ALE8gBfrLusFEVW3LbjtV8X6LJhTZfb1HdGBOc6xuZE6hEz
fmYRKz8ECq8MZ4sxud5bCeupO9YkDI9k532aItYO9agwVadVigMycmO0s4JVNYfct3EreICmxMc5
zm0Kubh5LyaO6m2YYEFf7J8DFdWUVCziMu7VNqs7a4/hcnEISHBSpRyfCsuXK6vUrqJRfpaI1W9T
mC+I4gc/u04Stsl9yzKKQa4bqEONlhYv7MMK2A4vTvE2D75fHTk1h9FFD42sOI2FiSGLwl4U+V7a
iU/89iL/4ogZjevOIOIJCEyby70/dPUYCJx5lbvy2TPbS5m3LpP2cCTvD9E9f9uE1Nq5q+kMC5zW
+GDXyaT7h3EUmXlUClfzDUlDELW1BVe9p4/q2as6bbV17DoGNI5JTM9JTaMmiEiTX3cgkxqsS0y7
VYvrQrbY8VeRgwvt2SzRr++gHgzVzoiNtF6JzlVvlROi4Ua0DOnBsvXscWp6N4NHNE2PzA6l2OH/
9T8iUxKW01uuIoRBxDduk7X3Psyrb51ph8UmmqcYIFTaD0d+0tAIwfKifJfGtfcEbZnUoqnMRvGe
JMq/4dhRsiqrVIhrChJ3eIo7s9iEUeKjuk60yXvqtagIr2PVN0B/1OgmpxTJb3RVikm31yxPiiWJ
uA+2pPYEDcnYj/UAJbacD1pR2XyW+qNu5RjEdtFitISdgnKptWtxzCWwoOey6LvuglFXVoATE7DF
IBTssLR17X6ckxa+HucoU9mR3LB5hw5Po381We1wib7njei6C5LvsPIUldlA9CPzZcXKJr8PdVQ/
JsYQn1QNhiti6ssy2FmYm8vWGh+TXthDv1Mhjqj7JKmPiVNyEE9ZVXAoOCHdqGHLxqf6+KokYCC1
PpKousfyIsIjrRwTfNJiR+aXrBHPJ4O+M/RbW3IsHiM9wwNUCzffx/h67CBKBg5sWmOsw9iE62d3
OrC4xDuFE0rybdEawLzEXKy50VdZEl4IeEdKny4EvhP3dZr9YIYttg3FVF5FSS2y27o2gbMQ1Tjg
zQRBYl+1sV3iabDX7nzDBcuXwTTUduhBf6SU+9EMBce4nMNn+IWYQ+nNXwAACNdxatPhTetqSy7s
Ow0Pgqj6ySL2tIZP2SSnuNLbS2AUmuMBHuAuOQO+dyOsk0Ab2wHjlL7rx1n/gJBkdqsEZIYLsMyr
HzLOArbkxZsYdvf1Bf05cUfYTfU0mNWjuqAhWJ9ckO/slorfXqdBynlba62TKVqV6UFZgAkgqIog
uSunSqOC5dzxwTng4De2xGuF14mDhcxMOsItao45HcVerL2bmJqdYmxXTjsDj3hH2dCRFamCSRar
1gD11RcOqzsMjKTHMDRQHXKHXIEpjSicfHF3woXC45xrjOwTnwUuIr0qKJz4dtJzoQE6LOP2Mre1
Y2yarz5pp9+J8cQcamrQFaNB4HHngeRw4xbOWyE1mi5FSVOmZtZXnDwJ5m6rjYA0AEEm6943S4SQ
2QTsEmAdDR0RIiYEicWtN1gMusq1HtppvJBdFHtAYdS3UeoHF5c6JZzVjcOmjHjir7TJmFZVFz9U
CFjVZnCtj8ZasiebZ3L5TH2fk2xKrKYRO4SRTfLKKAqxKtibN5L35IGaNLprfRg1WLGjTRiH9sE0
aEHNgy6uvalp6m2GfZKs1yrHG2Q5pYVTpqmCxCD4a924GEmiFh5soZz3ztDDUyo9lw5IAsmOnTnA
nEh0xSpvWO8KIrHwfhw6W7uUsjG2ZVwfh7K/6mugpWHhHztNqasOOnVR6kDgOq9ZiF9zv/BCNNsg
lgQoDUOYXLPlic45NpU2AjCrSCC9VBXsqZiy4c0Ih3QMJirto1vkJv0EiZqXZgLA+bjPxusew/PN
7IEl6Xq3/MyyOEtvC5rr937IzDkwmhkYgZ5pz6VM49OouTpItwIQJrmcY3jA61RjkKvNDqORC/Nq
PvZ2o0PnyumIhsTmFlQLMU8Z7n5iMClwt5LuBXa9WRYPsfSHw0yeyXMZi7Q4NbFZaoEns8rcRI4p
h+sp7KN0N5uTO2EljR4onyZt42vD3K4IubA+dTIQhk2Do37da0TN4QpWB78w2++h5Qwg5ObwRwYW
WNv1npbfzvS/KUxBFwBrlBWnh8Yal6UmR5A/I4eLo2xhvkTf5dDqF76RRvsQ6z+gR9mWuKIyxHwH
BiPGZvIMxlfbtHHHqtjSu1a5fadaNw4JPRpmn/1usdkBU/k2JMLi5KVZI1ZM+souazyM1QghI5TB
cOZXoAmRRB7sZuLtxl2sFI0Bu0jiG2ooawH+3IhmLvaSGd/FpDf2NS7Obm10Qluzhw7pMWqz7CHt
ebLoSxhlE+R671mcz/LU3pjVRBceDK4OfleuZG3OlfY2DAgANahsGXG04wCuYsUKMO1/3ej/m2nH
WZTp2LqF9NP9Mu42TGuOYSjVQQP6LKH9NbGGO/5DOP5movx1os1zTha55zC50b1l7vHzWAV+SOtb
PeMvpgothB8T862RPsvYeebQOqwZdLdoIKFr/voD/s3QiLEUXhSmUrDs7C8z0hizSaRlTKb6PM92
gB7lFQQM9RsBzNd55fLpbMSEzH1dm399uY1RS5BonHEbY2gUojCCKIfPOLvetsid/tD2mC9//bn+
5otjnI0ulRGpi9Twy4Q0xh2HR7WrOCPi5AUARbI74O1DjUonEOiMfvOgLMO1P4+DliEQ5HIX2DmC
eaZvP39/xuCK0lScOMCi7HzSFjPPu0prjIfdtB+mdkvq33srs5d/+jGB3SEaXuwOzM3tLzO/hDe0
kuSrBLnKd3y765EQbLtx7sLW+8148a93lEtZNiYH5qY+1oOfP+GIDc/sl9NETusGUrmO3sSoKYV/
86z89U1AVoEylIfRtxfq/M/XKWhJ+41CjSAq4kSyaQ3hhBnQvBnqmHxJuK24hn99F/+iMiZwSBfW
WbNjI9356tvzBkfUmsvbB2BHrKbR2LWxQThmAr+r0h8bQ35roBFE9B6Jf9wKyclatHdpyrzh13/K
Xz49gRcuWnME8GSs/kWL0WtGM8llsm8nfFpxWw742uFriZpSKtvDlv319f7y3C7XIzJ1iVBzWeq+
PLc2vWi9Lk06e5vspr2AKbFG7ffc7n59mb8sAFxmmX8v+vYlmefL60jMdE+ThXqMlhXkCbtyA4RL
d8rWHtgoksAz+/X/2xXNnx8jvxAeCakKK3n2o85wFeCe1QWNQq3FTvtbrclyn/70/iMftBbZB5Jc
FnEm8Mv3+ielJFIlMrQ8dCyq7I6GE16JJl8r6kiOMGW0N2d/G8E1iyFAnz/nPzJXEvrCP1/TOn/K
utl9lFdv+Ufz9Yf+v4y54bv6n12VD2VU/tlUaQp+/L9dlQYJxA4vDYbXxVvJAvLvKAtN/4N4YZ3g
miWdRvdNTJL/8VUaBpnGrDUkgFk4ns4Wrn/5Kp0/cHQtOgdddwwdTbDzT3yVmKZ+fkxQX+JlQGbK
Q0IyMfLAnx8TBS3fdtNPF3KbA6w/005uWljTZdeVDh1l16/nN+USi0erxDdOcYPrOwDEwynBNPJP
l1aeXInMCW+ifAyfUlbR15hBwyNBh7G+Mc2Ogatu02lZxZFOe4AXr30rGaCT4DVoHL10M2a0QugF
uBZp9921arVwDho/bt0g9twFz2xZ5Y1gVNDR6a51tZm0SnwzBvQU34twqo1no0vDeIf7wo93UZrE
46XD+WjB6Of6ekgRPj8W4NX8KNAiw3lEIC1p+hmat7UmOWDhz+g0bahMOSQGRakMYgEGOiaE9sZa
d2Bq2qtdWvmL38wpjPSusWiPEt8zxquw0yznpEdRfhmR7F5vU5cWAfX55DmrMW7qdy0d6Z97DhjM
VSRLeU2QOB3bxk2Smx5EE2qBCfFPhi5jFPm8HZK6n65rQCe0GwTUtqCtsJ2sGeguKQAIacLTlCg6
ShaN/4eMuOMkYHDq+du5op6l40GbqCH3MccPYnBaf7Sb0b4C6ZV09raJEwdmoTCj7pZCyfjhR0m4
QK2G4tNiZnvRA19lIFyTW1+1ymMttohG3CKNsPMVnsYfVhiSr+C4diORAFqIdvU8MzwA1yXt7KFI
a7rbJLLs7MjvoXeSQSZo8kj4iGSJwFjwQ3vWdyhDyGWeYf5CvAXvB1JLallgT2H02YUN3aFOtjwF
dGAWBIeNcW3l4DCjN1rN1Y+m99DgDygJMe+3KW1tF7glejC9AfjScDJ6TDP4kACUE6KI0hyFC/Sj
wVnDPwpfmoygbOQ8YFgxn1wk/lioHW+k1a+KsJP3Vb+okWnZyyoAuTGjFrDd7Mq3Nf3Z9MgrvpBZ
T+YHZ7RsXJlicB8dZJ6IxieXZlLI4WUKRB3lP5zKgYGDw3+C5AkJUQWELEegAh3lXM1JlXzMiZdC
SyBV/pYBXCI2JRH075kXDRdkW/pyE/oa5HWR222zmaqsQCVgtu9pROYrXefc/YDokTQHWj3pe+Sn
8Q19ijwBmrucSioJKG1lxppmrpgDM3ECwgeJLlUW+mpK+ujQ051Y0mKKNL0YkiTWGSPXHOFiWWjX
JoPUjolWOkzrVLTDgfAb1CoRbkJiQ8je5BQMNpSMugkIkWgBYbSkoaAiaJ3sVfia/KaRdNeS871Q
XkVk1e80PZehNwCOdUq0I6JcN4fqTARwnzNoG+muoBDytfVsIJhYteD27kVqhXrgzKp9r2fPrzYA
DIF1zD6wSn/s4e7yGUg39wa9NoOJyrpZyJmwjca21R4Z/lVLcyoJPzJaSfDYRRrVp3nWrQx8MR2j
FRMxjrUdIbsWEXjFGolJ+jEyHiLN1UdbpXjuicdWeX4XTY3fQQMCqTKnZIgHfa1nb10XV688MaO+
0UHmlvuCFYWiOwoRbzDVNVeCtLlH0085Ls+lNzr0awuHgyUA6gurD234aoOgF8lE+1QaXUJcBXEb
5grGYQFcg6Frs0fwQnBg6fZ9x4JaE7Pix+R4oGJBq0/XRR6cEr/Y/2Jn/78ZZLe4lf/nDX5HVMDb
n3f45cf/vcGfo+dIuDEJrfSZYv1ngxd/UHR5BhpRVLeOSwrbT/v7ecf99y7Of/Wv/d36w13ss4hA
XX4byIV/lFiHM+qn/R0oPwog/scJ1+YvZR37eX+nodxnsf8Wq9Ij503pyC8hw5NZYwgo/XVlaqe8
QfjIRjUqutaNzsh7YkAcrSaO3Yc8ps+9biuky0GtdPHNlKDR9jWKFXBkEJ7Ikic4p1x1bEv0zcKk
FDdIPOz+2GizD7MpT7uRM1ILJhBdDvO40wTuiPZwJWV/EfZmllCXdu0ayHfpB52v+G2CdQj0Mynk
/VFEdhOM/D/tg8Zx9zaOCZtcN63+YTp0dk7a1JJmFVYj6fb+2FbPMhWdDtPKcOEGxYwm93OqGvst
m+ZJv5orZkB7z+81iG6RytV6NIgNDVLT6D+9WnerjZ8mPWkIaYJSpAu5MWv3/Drl51eLEVW8K88v
HOWRtVPn19A7v5KszLye6flVtc+vrTq/wubyNo/nF9te3nHCO7UL+/zia8BB6UGcFwRXn+1H77xM
zI2hjuV58fBU75d7gNAsKrhxqtfZSfI3/bzoeF7l7KJQYymC65Tf+UiLGGGcF6tpWbdEaqQfVoTA
aa0Rl3OpAArduq6CrKWfF75Et+P6NM4RqqiomMKP7rxMZihFH7Xz4plknt4gY10W1fS8wMbI00hc
WNZdzTGksS1QvVQbpJ/tu3VepPFmu/dMm1m69cQMtXV4XtL98/I+n5f6fuLYvRLLDmBbTcFmsOwL
LUBcsMV8L0wsl52DSV3+yilt2U7OW0u17DL9ecMpzpsPIFc2oqJgRMswZzgQ78FGJc6bVnLev85b
GVrAZVs773D/2u3iJD7I8ybo/PeGqDXcPeO8UVbAL9HptY3UAtqrbKaR18U387LDivNmG2Gy+iBF
hS14WnZjJ5yKl1osM2TtvF0PehzKzRhXwwUm1vI9x7cuUNmwy+vnDV9Df/LRLVUA4w4KAiBvS3GQ
W+O8nnqv7plJUD9o51KiP5cVSZYvaOCl2gC8J8clyJ4iJKQXXV4wmzKes6VKKS1BwdKC1S7QhUD8
gZ5NTaPqZuEexk6pdqILLxyKl3cCtGUM9dQKX/RzeeS1DqUSKA7CfIa2Fp/6uaLyztWVnElEXiEu
oeqSToo7bNCT+scyNWuYndXUaM25XuvPtRtkReo4w+kiFKBLdRf1ZkrBcK76Er2pTuG5FozEUhcO
5xqxOdeLzrl29M91ZFn39T2iRqpLhvCmtw3PVSf1RSs3lpxJtCJGGuoYGopVfa5W63PlKpcilvqT
epY8A+1oLEUu4xLqXVSG5o/QFam8T2J3+HRdYP8Mqxp3FUutJJ/CJ1cK3rJnvHgIN17sbuhJBpKG
91RTodubQScQGSxteeOUNSeBmXniZxKnJqO22fTfSLQo4pWL4bdbcRDzL4E4Rx+Cs8N4FyqT++Lw
SGZIV+z8mFcoVDddNEIu1PhaDiaO1wMQPoX2ZbB97XXWbKhjWOCnpwjG4Atlsd6v5752gpxjPSIl
BpwBM3hmR0HbEmqFcY/s6n2RY4K6a/GJkezbh9glMHW7B1aNMGGe6fZOAExfeKtyLt1nN8QPcyXc
Tne3WhZ6n7Jp+XBF19qgu9pZXBoy0QD8ysR/N8zBK7aRs1D2/Xqorw3FaWJV+2mxDWNFW46/T2AI
FjG58QUXg6RR0oOYJq298eYwEoFrz8TaRHaLSEF2RKyuod97476pe8U0aHSdB3LswjIAkh1dJ32I
mkcgxbsraBQDIqwrG9xYpaG8hKZh3aqUfDWOG7ZpBnGLHgp9S1OQc+DprgrI4DJ5XwYzJ+CuwGeY
AvbyA8+h0gdpbkRXUCERAvK9l6fO8ZpkW7d59YPNwC1AattRzt1K5cSCC4w9MFlo5q1tWFO3UQ6L
GuUhoXToFWvmYz4SbN5okRjNinCX1H0xAaWwSrqW1l5OOQrhQ8TzORwYZsy8biXZNSSuuU62bkgT
fCKHx4R5mQ4k2QxkaxBhTMo1Ayc987bSMGIAWrpKvztkQZfGKjR53U59ODbGE6K/FAxFDuBw1WZY
Zm5VHabIydhgqnUGc/x5Tqdx2OV+OQ/EiHG0GZHSDiEgNp0Ed+aILMtCRPFrmscd1gZDmbdRO0yf
oydzrDFxjvJgRTRW/hqlmbk3jJqgEATyhnwZ+bMEh1NtljwVui3WBWjqiSGjJz4qNdord7CdXeKM
6a0zuzO8o8HuGhSJ1il/hg9kkaKLYO2hIaIGgTmPRHKqWXPV2s+qmJFw66FaKo15/AyhFo4rK0UU
z80OR3IvKLP8A83vMAtIM2copkfZe4N8TM9ijeyvqbghPsZV+4pD4j1sXKWdNGUsS17oFS9VNIxo
RKY+Yui8hkfXDZ+pOU/ffFHZP/IoL4vdUHHwj2xf6Ku88BEadFYN/O6f99P+b1bd527U/1x2v77l
78lPdff5P/gXr0z84eoeSAi+RXyCdDv/XXib5h+U1QLYHVAdyD10yP4TEuv9gUuTr+P8A0svn3L4
X4W3Znh/YCMC9sLYZOn32/+os4b18ucOLNMlzH7YF9HV0+gTf5kxtWrS6Ayx89aEFvhkDuUFKYVm
Tg6i2SQkfBmxZ6OLNWon+mxqY3yuEEf71mpIDKIN1og+hh+jSKd2l3pFVB39XNdHclv7xPuwi84i
epGwtjy+yggF0gPNccvyKfFDr8nWMvLHw4y403g1EcRmN+gMkAsYcC7g8qBPugUMKKKDrxWyJ4+T
cd5llOA8X1uVJOY174YXSxXFtEXAPJE3FmU5KfUsWDkHATM1arokdKuWXoqv1xcmsQbWWtGTQ0Of
41CobsO8KSRuCw2hM1ML7C+bjh3c2buMVeXOmXWIqaKKXsvZxPSBM/Myafv4YdZAY8a23tyP9aJH
V8n4UtGsOU5+4fGHkcRQI0jcJmH5DRgCEqSu+AFcX67NyRguBm4uJiV8Lp3mVm+U1BH9fX0+hH6e
7ZGa1Tt7LNNLXe+utQRefmZ2RCPk4MMNP242Mh6tfdEP3UWDvGCdcOaZ2gReO5XzBRm+7o2Z6+Em
tfT3wsm6dahX3b4YXXszxeLZd+dF2Of0x9jSi894tFsw20rsSBLQA+UPYl0tY+sSmtYqrtz2xc49
ovdwVa3Afw5VFWRWq0S/sjGftNf/xd6Z7FaOpFn6XXrPBGnGEeiuxZ0nzXJNG0IulzgPxsFI49P3
dyOzUZkJ1KK2hUasApHpLt1L2nD+c843cJkX9TofMCRfczJ0H/zC7q3NjlphvqhV19pNR/0l59L3
KQ2L/hxBCMHfV9e54BbXETthN+SX7wDFiIF71HhVpfRdroHEWaAOXNjh0wHspipvIdDcE3iJk23o
j2Q1atCda92M7I1MxxiAU89B0bfAL4WK0QJ76IEXFFeKQ5jbUMnCzloTqeU4EHTsylf2QwwEgsO5
GvD0XqFlbu1qa8vpNozwkYrS3/ncX2763AJFSurxYXHBo7D0hko+pSn9B6vxSrnQXRy6B9kOWXxa
cjwON32imuzEF14EF+pgf6d2artHS3LUpUPaBvI5ye6jv8I7Gr/2gl3CdpfsyyTkCogFuT2UISEU
ThCrjkL778UbvGNBhPcFXQ0FtDXOfe3JmNttfYgk1811VDvVuQotDMV2F/Qbr5FUwJZTZsBhWQFD
fznXJB84YWXsWSlwr3KO98xjwaFYf6FRJsbbFEfNhc8GFZtW3Ptpi5UkcwSOR+EvF1cnj1K0tzSG
l3vyVJwZW7HWTF5RdoG4cMsJmrc+XFTDzaLAWW45dnGyjInr34nCr7caS5fDU2Dc0t/MRe2pMyCl
Hs9AULJTxgPMqC9dFpx87DG4tZrGKtb43T1MROMIZditdarQXN0Pk3tptmlM8JU14og3pL2wQGEF
r5ae7zTlBhrB5lXIj45ne6/uXJ1cEDD1bgLt8FubmisRp+8OEXYwcv7DWtAGK9oVy3ATDrQVrfKS
+cSOCQKWf+4HU7W1Fqlpkopg5vBMXEHPBNo6mHh/gZIk4Imt1nBMOWAtBdkDEpHNhh0jjg7WX0ym
rqM9WLeji7ve9y7DldvEyztv6flvbghRjvsWRO+ezMjybtzOZPvBBz4YaJJEtkTjzkvUCDmO6165
9pExQEVyelp+Gbu8s5qOy45s+70oHCioY/ldQ9I7Nyz6O667wTnMB3keKjJRrsqsr3DMgPN1VwRW
7/kU0TsuismucxYXyqXqvV0Qjd9FUkQbTtfmQw31a881YJcR9DqVCtYVenZwdhiHcCPm9y48ICTS
+4NBOrvRQxly/agVMcrJfeWqPhBuyBbMzWm3nXBZdcjgM3hm6eri4vsBxkJKAQ9lbX9HWZM+st7G
lyhcYNLFMwC7xOBn7kLb2wd+5R+9Cq/nQIXvRz4kzc6yg+WDcpGs3ORxDIuIU/XR9fziIezc+gTR
4s7xxM8MrmtYBWGMyzoEO1YxxzgRFxt2TeyJx2IJxzflN9OelTY8ZoVOTqFu419yLpOtxzKoVip1
p6Nj+umOm6/fbdvJ4fpfC++zABT1Lk0dbSORTfda5fmDcem3DeNqFzhK4tDJMPnYyrq0VgHZDRrR
Sk4+HyLTjp6fJECU0cMZE3FwG0z9c83AhJCyoj9h6y7eD+m0R1Qa95i3tt53OWBNQERjrPksmubQ
tOITfWft+P29VY3+ymO/rFRtP4kOI2ydP1SzOnPcXQcBiM4lMtNZZHLZ5W3brFM5HPJupKjdkB6r
y3mAGODtBkFCf+Rr23WueWRkgMcHDEXnKk793Npc8s5bPn/3JXIn/qgJjKCZ3GifZkEClSe0AUJS
P6fTEqcpxvM1/tLkt+uM44mCZ7H3DN3GKQ61G6d0DkFTeesqmigy9sxXopPpgajCscvS56437grO
zZ3XJgfTNtPzmCHXsaP7018R2X0sx59GNw8FkbG4h646yI++6zaEJ089OZYihWicz7hAlvQ1UdNG
j/BCOucUCFBYg081N9SqGzKVBB27/DEN1CXKp1MaLjkxIsCLKHMvYvIOKBbYSCzqFz24KX5QnJnG
meNctOIqjddmT5rkV57RCx42hsrswL73p5DfZd4B7LY3ngHXw8/27jMI52fSPh5AMxGVNF66zfy0
YF1y7ce0iKPnAgF0vejMvJWWSl5CVWfWWrq9WXb45gR4Zp2T8cHRfIWOt9mQHulhshR3sVQCU6TW
+FPI5Q47LdE84kobnKqSXm9cJMO48BoyIku/xJSURzU4DQZZhxnNSo1Y3FZaEnJLK1PsCBU7LNaF
fU4XmBDhFJpNZC8xueOlYtClgirz97xBBPNMhZXODLAb87G665cxZUzmwgcX3O7eu2uywiMzRc4o
668Ywch6sGpWl1XvTDhX3SGv/D00tvlTGxNWFgAGi4Pkkjt4/nNTk7taikzeJFLo4FUnvoq2oKHz
epvpPrm3CYPcLb3wMeNn8m7ES5vClDIOEQmkYRJWrc4hxDDtZKARNMdeOst9lBv3toVLstGFLLbL
zKxNJyQ75pEvXUDsI2ED/6+PS3c7TJl91yaDfUPNu1yVlFpuJlePL8yay4fJFA9dK6y74loSj6Xe
XS2c9vdatObsaQrQjDc+Ztb8jq2VB4Mj+NplFssRcL64o2LMKRMqCuZyqHdlWz0lYDpWwwCHJMy7
F9ufO6pTo4uwl3QPJara9o1rb+opSGDjATNGHridenu6S3ihgbDbcPMkn368fCe+RVeAk57SgIL0
NMgOprOOPbyoTy/MYXb3RYSatAzHuYF2GyP90NY/T/UzX6t+5+7dX6wk+oK8rHZaoWg3vffaWn13
yxVIHqeRzKfl10/U/LOF4e9Mwfb0ABsbVlec8UNJG5qbVVuC7ekl9NhPmFu2+aGctbzvFA3lk7cU
J5lKgpAivCkdw/TWn5kMSvYSal/Mc0WN+qsTt/F+8oMK0qzTbjTW5t2cG485sMXmGg1/plE+ZM3c
vlV2ATK+sj/k4IRrHwTpQxxbgGSqOfmKchFdGsyxb1467NOk4eznq+YtYxy3TsAKPi5z/WRndfU2
ZOMfa2YcEFJqG3W5ebd7vSOkkB1KhLDfTdE3J89qx0cGAd227uLkN9bR4HcjvfGuS133FwgXIghO
fO33S2LvCacDSqTfDE9El8szYnKWkyaKxh8PLP3Osyq9Lxy73yO9sqcJsB0+IbsPgwPrrlQTjfc+
/KxVkylrK93ymVIE7lVlMz/ZGthANoq93brOV2mHkDFDYb275Vx/9IVKtw1m120xj/mdbu1o3dN2
c1eGxn6nh0vsbGgRG2hKr1pi+5olYWwrbPaE6gI0rcRscxpwj6MbjXiX8Ell8QKTKFiWE0PNhigp
vf3EnOerJ1YErEikN89z7BBWGMYKFO6wCbtwZPCNtsgwyF7ugUCYlXHH7GRlVvFrIYqzzgj97nlR
HxHx+hNxDegVbfyQGuJO+NYdMOswE6Yg9c4zB/lNo5etziCy2UGxzce8fcs623kYwJlKu1LnWSY3
SeVj9/cBW4Gqsg5yCLFCIH5u266drwG+6NPrU963cHwP3RlQhpP453ZxxJPTy/TisnWsC8xqGz9L
um0DOSJuohPhyemQY3p+zDki7RLLjla5A4rbr6l+mum5hqTlRYT9MIs8a52n7rYYHRjKY23cHRq5
ezBsNH/yuim2HG0zmAWQ3rmmc7uMg6i/9Qv1lRezWI+5bBm1hGlyVo0FwicmlZepvl9xhakwYiNa
TcYiydS6y32mjT5b3pRdRkc9ammL9UBpxpZMNDKAVXm3hSqTmzBvllXCJYv90UGbBJECKiSLDsr0
fBpkUTaZGAA9FxRH1dfzTzbBYXVF+2VfU9BSETkqIgk/1XYkUC8/OE50ohB8UfZOdv0LxSUM/tKE
e+gwtdy9W6jhpYtkVWczVLvZ/VZJ/UYfsPi1pB2FRModgVyZ+Tffl3ciUnG9KGdvxAHnNx7nI+kV
Ap2gdzCvYR2ihqvFxUPW9ei21yw0QkG3ySMDBHS2IKuVGF2ztbR7Ih3pjNUlnuXJLXKPYzTFGLaf
XxIdhvvYi29cYT8KAacKxB+E7jTETaQ3jt1ExzYKb6TRNBKoEAxQAcySE+ADfhKIv6OOt4vKPtFJ
Knb9ctj7pnDPjk4PY50vtMUvR1TADw0DiED70Pd32o5erDITa1A9wZ3hGHtmlNWatbOE5VR+pTS3
HFJvGG/CHs+3QCyAZbzA2iacspmrZW+Z6NyOXftk+Xn2W19350HOW0IHxVOfmAtDzPYSO1axS9yg
elZB8Yxw1L/0YzTdjewDJBK0/MP94DNsrdvGqb9q5oef09x3l9IUTbmS+WQfmqT1145deysL4tdG
iiWkDgLKHHmW19Tusj2dXf5n7vje2zy59h6P1aXU6bxmkcHgIBaZcLaX3WEatHPgEv4h8RegWQ5v
vjv/4RGJeS1kc9f2wtrP8WRfsrq5YA5Nto1s8p03lO6PG7vTs4+os4pyHTKu1QFSN+TRBcfOKsmK
+TBYEsx1qWa8Qn22EYqsV+3o6tfMSIh1O+3u874djlzZ/A0br7Vpx7xbta3w1q6ThKcSFYURmmnW
kVfCTq48Z203tsWckJz54oIlajGM/VIaacSaUY7LeloehOtCBSgEN2D7Z5mDdEfTa7JrbN6HTZtb
/VNrlj/5FVYZGkACfW13N7VVsVeGWHjnBntaZ3lI4FKCBbJVtwlRns94JcHUq+XW8cML5p5Xjkcc
yt2qv22bFhpq2bmXkmpK4kYltM9giIOPOuMCHLXpz2zYy8swUJte+/VlyOd2C6UVoCK/3DpsDURe
D+Y5sPSxW1JCbguomTEK2HQlAdC+nj/LwZlvmYqRYmicaqOq5W1kjr2TZgwu2ZJX/NXC/bYYBK/t
ynIfylER7SYwuHGSobohGErAm+vvqR6yK/PEJoZFlgJJ4Xqvk8sEVzTkTogIDvc1A+uFLRW4NveM
LWVwD6ol0910tlgFIqQsMobvrqraOjpD5Ky7TPygQIVcIfKnXhQUCU0eyHKKd1ZBWs8PuuicDerm
D/U80bkGiHOoRDAcxJVEpjqVbImL3vsiD1BaBAZjP/PYA/vqNHF+uoWPLSZmM9DgKsY0HCMRGjcu
iibBq0GteX8Ib871+GDRj7Mrq6hGrsPr3lVlvymprwHPAjFqs0gTbHQ/a2ZO5S82aLBqllkAzAO0
cmNKZCK/tmlJtz7Y8ai4bif7HAYJXGUxyR3hjztTV8eWHo4zKYh2T4SLwHUccHZkfeBuP9DQYZgx
bsMizA75jLKEi93ZS9XPm0K0Drhd1VO50/9qkvnFJCiLyItASEs8UY1/J6q421SLN70wweuvzxaT
QCcbwRCLu3np7E3hu9/4pwuq1dMCE7pf7ForYKRKJHzdEXw9iXjILrH02VjrPLgvyhzlNdH7nuDG
cSEryyTNoCC66ees41ieuLMP8VkYkM0rrfq02Rd+VeiLGPz5iVGL5+0YRo7LfZygxGPpiO16E2iR
yFUvHM/c9XLJL5mEPbD2Y2mbdZGrPkY3i3T6opixroo4xodlojzHu9YXPjdoe5Yzub0qfJuWvgHQ
ioj7SnFM+5wx+OP2ULfWfBxFzLvTJfiYVzmELy54qWMzz+1lr9ksSZJxrwwno3dB1bLk9XbJLWUy
+VNr94nzbQ3IdQ+BP03WKe9I17HpEYZnwC3nQTyQ9eDCnSvA5Rsnisf2Rk6dECflqIhrYzQ46bk1
Hhl6z+mKZsOiSfuNlfs4xKfElN3JnXiXViSvqvlS+fYoVwAYxd2QB+ZH+75dIn7Zqt7M/YD6mSEt
36P8R4egz8yBJqPnahnznTY+x7TqJh6DX6VzdcCWCHAJjNhHonUn5Tq/Y1Ez5yYnvtUVw3Z7Dv7o
wVleeBCmX+i3+d63ZyM41JXmFd8+mcMcqaOyonlHdku41yy2Ry1ASIdP3ttJvW6ypb4ey0MFaafU
+QuNLt3wIGAX8Tx0cwD0DiEZIpquHzMEpHyb6Lqsnupuas82ghCELWTLHp/CazFiWFxVUwtIuF0Y
SxDoFRatmH1aaPAmi0VV09S8zFq/lljIKxXEnx3zvkeAyN5j6xj6R1JzmQVHREyT9TvYRs4Wg/dE
YQDXAhbJlEVJVHs1tvU9McT2WJDDR+5EMn9ZALseZRt6O0jb3ZtYUvMjifbuA5HRACNbv2Z0G7+V
+WC2yXWoLTVgeAQA7zg5cf4TdSP1TykrRsjMgIK0m3DuYBF68+T8mcmIsIQsrWc+K99U4gAFvBRb
juLKO0hcQcmehz7KX3BiEtimWmHuj1laOQzAcZx28jyL3ANU5jmAu1zSoFwgBIMfrsg+fplNDewg
rlc6yilHYEFY1bPum13RBOCpmrEZ62dAix2lOIRm2VWhsBc0QZNIUWZZ1CFJYZ1zLEqCabqEavpk
FERUQ/Dd7OjRISG/xMt2GZdXQL73SNOnhGYAjKEyoCOg6Q7OglJb0YN1rBkpcWWvW1RFYGbMKDKX
gveQU6dXT3u/ps1VMv9GV3HJ/U3Fsh6T8CbS1E0z71hNXFfek667w4/p0tIyV3sxucmuwFd0sJvZ
uuu8sSGw3Mw0HOEsWbG6O9AEHa2OcduGpL17wGG1vbQfeEWCt0TDuVWOm22dRU4fqQrT04xE2iAR
ospi1kDlrZZmR3VPeAjVnJzGFILgbmqHruX7yfplNQp2+zZNCmtT8sissYfIahukNpQPUdvXDq3i
kVrIjyWJHVruukvlOMfJpO248+Z0+lm6bt47HcdyOy6pvKZOYKuJUlPcOPTBuqJnbs3+2d5paspp
5w4td9WiVO0CPVwpM67J0PCRfF6XPqKDLrGQcWeOt+++6r/7Bo257Ab/0sqWZv2egzOnlATBUDQ3
AyUKv3Ub3tFvEm3yMRswAJjomNvzfAqzlJIkYmwPaSNvMYVa+24w+xDanSr6Q9f60ZkYyNixH+Xq
Lgp1ckOREmb+PoLcV0SdA0eudcDb9ox9BkOvG1s0lrv4lmkHmyKX6QcV8FTaiICP0s1vfEVFFSy1
jHFeR6KBvp60fseIoRCfg0+vRad26ZOiMilPHh2T+gdUgPShDHKA39oVe3+ms4M67YeU3oqtEVHx
u13yYw+9oG5ptDARCqX0JV7ZmU06eahAcnyx3lavugtIIS4knX2buj+rh8cbDGG1tlAINp2kMB4X
gzPRNtR5T9KPXIf+tyo/Cho9DjInw2iWQjyjyn5PfkI3mc34i/fu4lVmPmCiwYMVkoyNqujWj4Pk
Pmn5DlcUQxDG98buqNMqPKqZWVPXs2mXagAXrSuzagZp3Y4YqDeO01bn2VLTFi8eL3E9h9ZTGTbq
SeviMas4xMaNq3chs80VCS+HKhGxHJPSw4YWVM2xHoPXOsdgYJuQjptpqm4qS3AJxHpHTW7/O6Ef
YeuMCXRPPtTO6YItF7h8Q8TcbDJOc21lvXWk2w46hpHJ/+iFsFy/LkJqs3Jn+iQdsUBq4eS+oVkv
JPXeM+ck7nGTDNQCuYn/VQdkeDkV2891yF4gC30D9ZO7llMtR6zNO35B5Gg//0squ6WlH+24Nlt/
nnBauDW+aRYtOlq9ipDtUtUbVaTps3bZxc7FpHV3a3qOSZC/+9g/V6j98UfXYZTcDuU8j2cV02uj
iUqw70o83dOUzHtrlmd7arl6RC2nXeVO/omWTpH9YvCBG4qCkck/FGZqqDy07VT9jgPbP3exH/so
raL/R6j0v5V8+h/q1PCwV/zXTg2CXNm/WzWu/4+/WzWE9zfhOzwdjIZtTLcRWbzpux/+z/8i58TL
S4WYjU3DvSJt/tOq4fh/i5jaOVg7iOiRh8Q+/f+sGiLkv4GaAnBFxJRC5f+WSfpfLdKh48nrP34Y
kbMkohv8ewRK8EMbwQjG153zwDj7A3hEs/WLUOz+6VO5/3v67p9xjESn/8WOzd9FIJdgl5CQI4jI
+nxI/5zK61XnmI4eCExIXbiyxkntJpr4GYBWtAgMdTx7K6+kHhb5xb+18W7jKZunp6CK68+W4f0t
t9mEpzetjmHlFZTJMHLOBYtOmYrvyPLdQ9vOr1kTyVM/9tY9SuSwoXBYcA2IXeZlSfhEOett6lgR
5xov2uII/TYd++hUJ/IrsxxnHcbJWxyRfVj5LfktnxeVCEYWG24zVpj561j7+g517F4LNXzHMgaV
6njB79BL+z3Ya4ajPf5qd85PJdXk67ghTbPG9xutu7FzmY3h2eAa7a98UuDrSnctujNFQE+dCkwO
TtaN0u1o4gCTdjUk30tSLExR5iTbpaJvNoX0Bm6jWUVavBueOOJahbMNKrLj9lOEQzx1QtDSWRNz
8R09t1QnO7Ig7u30zCh7OgWsxNObQQXFFz/liV5FUyC9uy6S0b0unPGrnBPCRIx9XcoY7Vp+9rNy
5m1ij+6RYDJatNsMxgfgO1jvUWx8IMZx82f0m+zRGU0Urts40wCyURqHNZZk7wMzIjN/hgsAXaNU
8Jk7E6G0k8cJ7M00dWSRVMkXrDWTPdNbgTNohz0oPiyx7n/1zUQGmAtf5p+wJ6iCdkubc60LqZDO
uGiAwWOYAFAS1OfDyeoLY6+SUvO4JaoKolOD/99nHBsxDO3KcfS2SVXQ1BLxFzebuvOUor1OekS9
VJKegrG18CyYPEa1Xbr6xUMnHoiY+ZgmbW+K8Nib3qb+bfR/wpm5G42IuuRvG6BYr50wJfUXuxXN
c/Tv4xN0bbTuFd0/BN6aIpCvPWIQIo+TBRSvICd84xYmsNVlpfgTtoW17Onyil4H+AjJCiMwpj+Z
pzTM6Ci08EqkXXRapoxbVRW4Mfs9ps9+XVrXJ7eRovnKoSdTBcydZpP34ax2wRSgvHbTVfmS+En/
LIXvpCsg5kWztepA+dQkliMKPANXvdNAvTh19FgeWRdYlEzbf9O566Ybe0gnRH3rarWprPnUirJY
trSgRgqELch2amRKB+eLNdbpSXlABw7BMFSfPh6eN8yhXQlr2ZlJ4juaD6fCt6aQDfokAilTUOBp
+dkcbzqOHg/Sy8MvnokMjO61RHDtlLpgFQEoyKZZzuY3mgWy9iAKUe5yt+4ytLyQ1YTHp3oHRm49
oa4UIQOz0L1bcKtmvKKyDBnjcDPcRw3PDMo1418Kpnxcutm1ihf5AYqxceXwQjPZ+KuvaxEch6YY
ro2RIUMBipqNXtF3AcDXnxrCxbPdf9e+Q/TDZOTV8eXTODBUmsyh1dDfuJUcIPN7aiunP4Hs6ddK
G4RBCGI1bRp47637xFHZmz3HY/Im80j+mR1v/HLKoXyk9Ywm5GZyF2jUls6WVYsEDn1dV4m7Ux6F
ZEgDQVouoqKt1vj9fdxOi7/qW5ITWwKM2XJoxqR7vEZ20REddBW8423yU8gqyXAsWW57whHUUsQV
57rYdgO4lK1dzc14Z7tm4X2pZs6Auo5pHAgl1UG7Ls06ms4mlcKGj3UgTgxdvfaopMNDodNMOodo
8Bq1cfJcvI1lKOQabUvvk5l+sLWlSN6sMuHaycUokzmrIJoMRObaHmbmmHgYngWura+hwLm88sOQ
Bh8fyNe5yCq6VJtETm9hRk/gwcFpBhEca3VBHA7q2Gqqqj587QucL2vbD/0LN69r5SU/LFERu9Qv
NeEDsU5sqmpvygie2wdeEW/4Djunrn6Urpf5dxOLvELCUsoTGIGdqXuM8tkNH/rGsxZvLTzET/qM
Nb5I6rJbe3qiWSbJbk2dOZpnK4hx4mGgu9r/vTitNadFXwaMhlXPFGg/gpuf7vicHeuIYtPQ1GvT
uxOsJH9+fEgZTY2kIY3LrzSTiUN4jkUSy5/cKtrqMEjf58jfD5pxGdk4zwQ7vFIWszqm13WGDDI6
C/hr4sWsSOR8+l9TZJs+I95hV+FLYEzeszgnuXpsOU0yrzdCLAdKQht3H2P/plBNKs1SMsR4ADBK
VtkpyZzWP3icxYN7a8hLBOqJinFnzUY7vlVOWjR7akjJ+8a0xlM0wkWaN0oFTP649I81CakaI/Fj
0fN2HABdjMHRQsLEg4MFwMn/yAkl6tX0/mAz24y8uNy0Tafyr0UPYnhuR18LnOTBXN14XutQW165
put4J5sgpYGLL3Qfa6hRv+yCimIMBK5O9ygRTcVP3+PSK6xqupsmI32aDcssvWH9nabvAcphzmA+
qbyHqbDlZU5ZX8/Toigt62EwCD4hf64fiwi1GOB57H+1jpsYkkZRPm6zvsR1Pyx9Ot6PRorfnjMl
409nqIn/dF2nGm/csVTJpfHzAGcZVaDIwY0dURkysYySSjO1Id/EozLn1BB22LQ8KluShfbZxfyZ
PSKk80xbFomt6ta3LI4LnFIqselMG9GcFS3eYSwhbKzzqi9dXGwZF30JOpSQECeO2EsOnjs/5wKx
aSoUJoe4wrORLWW2TeK0JOaOvRwuUrk1A8vWiqez37nIErzJoVlBMarvkN7SnRgVHTmt9lhzLQqk
tZ7U0fX9cj/bMM/rWFGtNhjawnWzvNQ0QDmr0REeFjiFab0fKBL0BiZyCcL2Te3M4b4TUL78LJo2
sF5vw9BeYTILcEDK6ULrPXXuffCnNYU+UOZI8sNmJSlImu7UqNAMhvkPUVaGYEytKIgsiApMzfiq
8rm+xxM8rfMAga7z3fytntL4nbxAV1wZUOQWKHun4LMvRUT8nq5tIuWGQ6ZVelTBBYHa+bl3cMtE
bOH8Dhg0qlHwQJMQtLGcJv4mdqNyh0vM+opi/zePSX8/u0AI5RCoa7R8vOkIS69nYZGVnsOy26Yo
sPf0C1JUbPz2pHzlEccerK/EdS84sYaNsooKbVxacODJcLRKFSdE1u5J++jbhJ1HzM0Jncl7guE/
IySeDac51Ai7dvNNQuHo7TDjTxVu+VJ0JW2asxWupn6yH1syN6gzbnBUmPRWeVpXT208m5vYCdXN
MOTdsable7dUtr8B40JNqY1uYvscnwYiHifT88RI20Xro1c7uziDeJqHKNk6TdpuiFDQDmshFuFB
UqtirpM3Xt5uQ9H08E4vgr3GmSJu5s5rf+rGxA+xIYfUSgLDcOHu06jGbVvbqzSn+71kkuIarzpM
ER2ZnIxRDeqMqVZH43KQ2eYFvDpOkTRyPzyOuCs9+vORkjaKFly7HKZNuPBSUzMe+p8jXbb3cmZb
Z9Dt3fhsnHvGKy/UfFbvBhlrhY1Tnko6yFmqVPNHRYKe835oToK4DUph+RQpmAk4NDkBInEzC6yY
gOSygkbQZ641rQVuYbycQ7Zy27T5dpraz7cy97sfQZHhkZr9eCMwsdD1nUx0L+GHuS7yMqNi0xrG
DYnZouC1wwq7VLTA02FubZXmeEqD1VtOMJ87DmBSbH7e0RuIqjOEneifGMz4k0O9Sv5/KiMbzF/s
cy7h//VVfzukGTHRf4llXIlCf7/qu8Hf6JoiWQ4/UxKzuBKO/n7VlwIePGloisQEVB3/GlSum25I
UQFc0PNc8lEHyF6w7nMp/sdNX/6Nah6uelHAf+COTk/Sf/xvamSS7+Yf1+3+3/79n6/fXvhvrT8S
AFr01w1cOK4r+Rn/9fqdMyGzGWlhBymcJjhRZuzdi9ZTiLSpSLpTh7l1XIXUmxMjZMfDb8n+t1jv
GAcx/Ha5K7o3lbIPrWtqU1mDKFIQ3RlTdf4uJ4Zdp3SWuKV5eTJ/c73kI86ldFMeB2JG2akbm/ja
X5477j6nwf498Nr4nhLxolpTSYKhyvKM0lfnWvVnaOvio6gKh7eoYMCyz0tneeKQh0UMcw0HCDgJ
LbzHsKVSr5yn7EEqOTCkI+G08nyav6ngYjlb84d4xBNp2C44vLTENaKBmVJu8GCj+tqdt1dYFZ1f
fZZPnFpp1ENQwCxIM0pRJ8mxawbGp5o0arKbKzvBKWYzHrujKgaJsfIC9psirmEJLglz27UfdDX7
L017lRYss1JGd3lDdhCmRmgjIPSxMhP5xxwP3Goahq5H6Fhw7G/qIEjzrdegWDNKr3HnbNScI5WP
ZiyS5QkFM+mfdUF5zgJ0A8Eh/C3s7CoT1rM12OODDnq8rwwdrDSPbsfJ9vvpUcCrXdS6Yrg5AobR
M8yXZZWNLrGWx8XPsdytMegoRHRG7p1eay2zCXcWO4vDBgIAmUFM1VO44HB3ZRCtZHtuvbzCPzyW
xYdjKY5zK2wHKrxnYuCg/s+pGVd21NX6KSl5X7ZuTl0psotw6sdGKVncsJD2xT4o9TStZZljB4GI
sAACRKH8v+ydR3PkyHq1/4pCe0zAI3OhTaEMySabtu0G0W7gvcev15PVo+9rgiVWcNZSKK5u6N6e
bKASad73nOdgdm3YPWFBLCWy5NjklLR0UHcpwKRjBQN+rCVaQsfsL9uin9pt31G2gVOq9DJN4pjj
zg5p4u3dOQRrsoSDjiJxjvTyppzH2N3hiS6eJIdyBXdNu7twGJTSxmLOofb07C3Z0l576MJF0C9q
J2PbjuivSNvBHsgvlNzGTlpUF7IXHZcwC6sOdegRtH4pRjVv3WCIKdBPyXRJKysw/djtKTwL0VIT
H5NhNg9YZJyQNxNbEWIt0KbbkR6X+dXUOkocIqYezWV+6Ot3ckI/sKFsZLrYpoKwau4N2XgP0qjQ
Ak6D3jrEVAQBbuCh0RvjA60AGNpmFI8I6ZnrFf0nreyprwPSxRBEtYKmcrs4yQ3XhRZRUBxDuvys
G2FZhCrSJDF3SWeL6POQQgdCIOR2GXBwlDAUc0KdS66TOZq2jzvakLHfTST83i7TMFo3Dh//8D6q
8xB9XsHl74eRcJHyKa24dzqXKulbyHp3/UAj3jfdvHlvcAJ9r9VI+H1jMMQ9lJs+Q6NZDRoE7FZ7
Fyl/ESZRS6tInukrWmtTTGIcNHT93gydzNjpWjRzqAxTjMSenpIyCfdYPPZidi5wAqHt6o14XLii
OdF9SJL1gVFzTNvwa8lGsaOh4GqTt6Bvey4Kez3v40sPSRqM1lS4MFFGOpEHF8vPd+JiZrmLA6yS
UHdkAt4n0eSV6Iko3xbMkXuXEt5DBJHJ3bGa4lijGhZhHC1R73OQdMhQyZ0Sa5NXivADYR3zt5Yz
ZLoTeR4uWOFaY9rXdsC30KRx9gu4NKrFFLj092kxak70eq1/dTsNsmttBOLSjhw5+Yjf0qsg0EXs
k3yNbWaggw+4d55Q0ZPMJMxdKQP61lmKpWMD7Ve/WkKs1hu+ELBWGjqwhuSnD/S66+hSp7IXlSDL
6/HRddQ6Mhty+OXCsKP7ZYHj24RJgG6B2+n7ytDraecOcDl87m7ICiYjmd+7NJXTndmjuGH6u604
RCx03FcGt7lfmjwPEDZ0brNpEOwRBWjJaLlOWfPuitRLnR18Zz6o0ByGYkvUufHF1ehgbw18JPec
GkNtN89hYJPfU5m9uAXVHw9YDbOAQx8VeDR2i9vKrsSEpk/OtPVSi5+gyVu32ulZbrPTCXeUn6oE
YQsGIRYvxD4aNxCjE/AVEgrXyDvqERudKjlC/Zk1172PExl31p7jF1avVHeUDKhN9E+NlnEpdOeE
LAfX7Ezhj1LkHgYq2/iJd0ordo4XtcVVlU1owukDsPuBz4CabHeeRAEP1+QnZZGlOZiN7D1OzShY
sb+QxdvtsYgo37tWBGQfEXBMlQOPzbZIU+sG6nuEP7tF3zPsNBzKKCOhXvfc9+3+MVjApmzaLKvv
+AR4VkkDkTZfow2XeRzw2JIUn08EDuGMBPCFOsTgeoOq1Qxl/87t6RoWiLNqJ/27wHQhLpkbFUEh
dBowmUzZoP6SWLwccmUiIlUMzNwfvbSdWw7iUR8+aRFq5fd63Nn1d2QYCW/XLMucqnZANglVvKVJ
hZ/AAy7jbZ4tib6voo67ViuqKffbpNIAgCcs07AvjQSO7ugl0ASroOl2SpxL9hMg6LuUl5du8lIF
VYDyMALfAZCWct9Ps2/89+aPdKXlw5xoC3OEKuLTqA8eInaAH5TD6/ozN3ZzoWs5eRaFVqhXuO1H
idgrWcItHdbivdTH+FFit7xDqVUJMNBy+US+nP2Vv+rwJdGa5SZOkXfjB4yr+8yNmidrqCgFhdaU
9vvcZnvE7yJRmTPFSkJZzHjgbx2VEnyagJmyiSSBruh9dEwgqVUiVnNkWGKop9JB1Fk+LddBO+Kf
oVoVXrCjdgTOuEO6d+M6zA+Ra3dXBY/S+l6aNg9I/KCex5ZeXkOXoG6HGqf82KKzfT+EGOiBU1TJ
AyF47c+xbZ2HNA1yG/lpZYRwihOEem5Qc/YjYiggGgWJkD8UY3Hg1jN6lzSbnJ5fhNCETUyFotjr
VlZC4Y+rKw2qPKXldqx+dkvkcFWMpuYzJ7SemDEZWT9YYIHlTLYTpZsanQd4PBE0t5FXFUjfl4E+
J/MEwjBKJa3ymU3jBV2jGI670ULWsSqTA6eo9B9uDcQCwfioZHDQI0I0jzO1XAz7xdOih1bxbspD
BHdJLjjzFAVN603vNm57kJGYtU3UDO4X3UBbjxYZ9+R1xAeq2gwNSlpMwSQh5Z1B9NRCZFaxxaUd
im3rIcHYEK82fOlN6gqJZdT8Y/NoZtFb3DT1MTmg7eBDykmi0VAn+j1Fgp9NL2IdSn4eU4GgpJDR
BJgDGrdFG9pQWGbxQY0PnHqiKoNZCbyl7meQv6nEVgFAYXaMurfI49Ai7Ii49A0ks+OU72Hquzg0
AFBsO9gJqBGSiXZVVObaTe+VjYF4eXLigyuhUWzoPLkw46NeJ8kmWFpFSxC7MsN7us9zjXSCwG7D
w+xwWAQqF9m8sU2HuDbzcdY6v0oeSX9EvNtvKySwxccSw1aGARchhDwMeFYoT0tz0R8MKFDeU9Pa
KNNdPAzXQZkNmp93XXWP+FLmPN7YfJIwhTKLppoI2/28aBScNrFXarSQ3BFv9E09mhWxkyPNw5YQ
eD55ZYmOFzR7opb3zSLFbdhg9fFj7FgPgXv0H1sVzqICQDLSAo6RCA9gBpInT5e2CVj+c04LtZ1D
oIEP1e/h880fMYHH1TtI9Ea0y7nug8fJXdLmkrIKv8VoRpgec4bvKxZBdjCnMXW3KQQH+nl5AxLj
/8AI/1zB6XW/cgVvAPv/en4D5w/8cwO3/jJMCLo0L6gtQh+lm/3PDdz9y+ZSTn1fmBRFLJO7+f/c
wEEfENwmuH5bhgRRzR/65wZumH/RqjYcCWlBtx0gZqsL92sXcNXd/t0V/11YgIEKiYx2vmnApbVM
dT3/g0kbO9S1Iw3ldSc0cz9C4sQGQ4Hyj7dxqsu+HkW6kIpNxqEQYevHHvwfo0RtWpqd0h8r9P3n
TmaIeYoSQz4JT+xC3ZhvXx/wuYCA5zhykVmVYFG4QFJWTf1p8eiuKhfyhLV/IyevuuzisbtKKXKd
GerFG1RDeerxXF6gEKuh5pkOQ6GVzqavU9xExVz5oVZFT68/0Dq5Xj0RZRiWWYNXaFom0+vPH8rg
uhgZU+9gYJfVXeEF2JbNUWseTU2r0UeW5S9WiAEnX29a+8nw+j1wm+Jzi9pjr9a7M/HSJ94wc5dz
P+UbZo+9mjgtN/FS0q9mg3A4tJseOnfa7u23sEe49/rDnxwL/ipxTwCiCTt//uxhkQLqSAiga13p
3Vb12D9VnL+Pxnnj9xL2rEL1Z0VKsUiefxG8aMmXxyeJ9IRz5/PBAL1C2RsrmnFtYl0Z3PafXAdQ
RlOS/ebQKbhLF6e+iugC+mNj0OiudaPzY3LtNuQncgDWkXWhIk2Gd1xK571dBd2711/IiTmHX5jJ
BrsXkPQ6K3rmh16MFKlGzWl7F6giMmrEfvv2UVRpEFCia9HnXKlw9CLuPfAVyBNqXIcbcEBPqecS
HPz6MIp3+GwJYgLxyh0WB1WEFCu8uLo9johZ0J2YaEHcpQ8vE2GYP8qZCr+Vz/QDIoD6O/Bm5uPr
Q5/6qoRuC930WKCFZaiZ98fCZAJkoL4YYYyAV1dtks5FXR3qubdHfmDcOkloYAMbcMH0rsBXEEpY
goXrgY7qaa3/AgpWvv2tM+s8w/V49xRZVwXRUBSYh1PgHoiJAmzc6bStWpGfWU9OzHJIPZ7tAevX
Ven1+YNrkTUS4pWw7hsaTQvuLCZUwMZWVTTYWTbf84/X37X6J65+ZuYrqGyDhzPYBp6PGNSZzt0p
pMTQEArEewz9gSiB7dtHkbYt8P2YBFbI1TI5mrHhLaG0N+R/6btqQRs7lzCl/8UokgH4MliYFXz0
z2mzUEE1Joia6DWq4c4o6TMJCkO3r49yYtlD/kYetmuzSAtVuf9zFNqcBrokdhYOFjbRYiP9qhlV
0EhT9e0PhKjCM/kSsCO+WPSo6VbULjAigLYItmJKgy0n7fLMl65ey2oKSN3i6MKEk7q+XrZ02ld5
p6NTocLRs06OHvFC6c5CEFY25mOEOMXPLHE3RPLMgnniVUpDp3HBs9GgWy9lwmmyWqtiZ4PLED+X
0+aEMcHYAwqhndms1Ga0fkjTAQUvHLothjrT/fmreXnqdbRV7c2Q4HtCCUDDE+GRThdDK/CwtKCN
Xp8nJ74smjVCdzxOg+wKqwXUkaXougzMgIXFHk9W3m5bGKNnnuvUKwRmKxzLYLnW1+cciqFQWgme
gqgxWBdlYEf7vqNAOva9deYjPjVPHJ1FiYu6LgB1PX+FIfq0AfALQgIdDjaXWPMy1/vxIFlcrulh
0i6mXPLUUM3c4xjTzwx/6klRsUqLd8lEXStCS1Dxhdshi5M5RW1Ps7MbxPvIcIywOvNST00Wx0Eq
4BrEi0Bjef6kaAoXclQGfrpm5EJcPMwxsvW0IfcZhIsI+/TMgC/niqdzSDIIBSZeQFcE5D9nZ1+w
QoqBwjGBIRbu5cAEtVI7u7fOSLg+wNzU+URw57GejzKRHNYHAaBClDj51ms7c19meEVeH+Xl78Qo
LoJjRL00KsVqFHzp1LPDyt40Ze0+YpSWP3pytX9mwbIczgyl/lnPv2rUPzqBK4Ykfglk3fMnMtOo
4VG5wXA29HSyFEXV0/6xFgv+5ODcyhFarR8JcKSbnEJEu3P4txk9I8TEW80e4q8LDAk8VLIk/W1s
B1ujZDZ1f8dIipf9NNZeCwK6z+HvWjn6QGI44QW4WTfsS9nENzPQQ3hqHX2MTZxo9U8KmRm280gf
gDLyyU6oHkznKQA4QgIWfFkAvLGdZ/sujp3vgUuWqcWmeAs9J/lEL8jFBlPxt+bva7rjO8co7Cd8
hRzpu0wW7T7kL/wl0pY+35lF7FxLFJ88oluHV4EnolQpYOhVjhKqNEl6thP6veVMMT1WUKhnEn9O
zFvDIHnDc3UOiqaj5sIfBzXq0V5MWgVdg9Yxb/K++ipIZL488yu//JENQ2nXHcld1VnvEik6iNaj
ZLxBYzi/SyyzuBAVHq0az+q5CXViKDqsrtRhUfIpruZTUsdE6jgxQJSJTK3UTZFiBrMTbvOBLtCZ
DeLEMdcz2Po4yvPRc3tc7RAKr1pCZHA2hVd5P0CTGDGmRQJDm6kiaZCzGYnZnswD32h0SQasMOef
VtTGaCHT5L6mnnrmVR9P1qsPijcJ7QXpPfLDdeEBp5fdlRxxN1VnZlfYWlpMJIRkXmiJLDy6u5m4
qR1mG1rDxKNTgVP2PXZtkApU9jsTX7vjTRhGoR9QlYuC+3oSuFxfnxEv12d+b7h/8OIhtVOqeT7t
SoFum8hJh1eUm99bxObE6mnO31z6zV/jbLjvwyjpf70+6Il1jf4DdR/HwolnytWvhVI21qNy5tWQ
Mn6dJ72NWSY2LpYu1d6/PtSp5xMUFHTqUshETLUT//FZoWVMuF8BMMA7RMOHejBU5Om+ictfs5MA
4CqXM2/01MNh6KDaZHMBcdcLqYWWL09CVS7BaXHRVo75MeP/6S89wJcz8/7UWMrgwqRnHye85/nT
FQW88AQsj9qG+kuDbBvfGa3qWquX/t8MxVRGvEZxjm/t+VCC3W4ZSo4sS4e/DcIOsyPj5tZB93/9
Jzv5UMxF2+FfTCw3z0cal3xOQOBylIX7si/ZV7uNYYhkX3I5Tc8MdmrZpU1AgQs6l1oanw8WeaQh
FAEL0khw/M0M7GjPhdn9/vojnRjFZGM1mYIUd8jIej6KEea01luWp6g28tsUS/cFgTG4Xf/FMDyH
dFwdy49UH8Mfk522WNJqI9MBQYiy05rWNXJ+/eLto3Aq4VAiuejqxuphWMiogOkWn1TXDveTNOdt
iD7vzIerFp7V8mlynbZtVVSmdrt6FmfUS9gfGuQR8FCbwc7/Doz+DtfGdalRSnn9kU5MOVYhlfzI
VRct2eo7ShZcP5PFYGww1mdkWmIv9Wg8NJH59soWpVQu7zo3DZucvdWCNOFlQn7kAqKmPX7dLhOc
2wi01OsPdOLtWQRscUHjLKe+pOczwQEpXqL1osYCoOlCaE1/OeWT/Vgrsyq6ffNMsfS40qx+Lipo
rqtmHs+nr/aRSbZoYiOuFDoRUUB6itT8hP8ORxAF6fulMpafcboYjwZwGQQZYT9cjPz9Dm9/bEt9
X8xLECHrq+liuRPIB1b7Oq4WINtQzGlSm2At8GbS2hvPfAqnXjMrh07WJZzoF8GBaILMANcHvM9G
J1YTFs5ejlH0ocPzjlEJdP7rz3dintIR0XEV6NRmDHe1CDcD0mXtWCfW2n4vemlsDah4O0ptn//F
SFTPTEolIKst8/kEikENQxjBy9OBZ/JHB5s87J3iXdYP45tLFx7VNiSXbM/Hdfj5UKEsacli+aXM
bN+1VuF9JKd5IUxtOtelUSvTapKycSEUpbfEMXu92DuRCQEuYKTGHNI7doVHgZNoS8gbTZrIc/Pt
oDfuBTHb3pkF5sQGQImLGpdFlR9b6uqrbzr6kjRXnA1sJPGBvShA+xAtZ6bHiemIQZUtS0lbadWs
vnpKGljUQLBshAeNXmjLZ6/m9Bsa0a82GN++QFO/YLGkgCCQta4u2rW1cDEzWTPdMKnYC6TuoyAg
VS7Rx11FNeXMNDn1Cum0qE4iLS/aec+nSbYsmrrSOZu0qaeHLPSyw9hH577oU6N4bF6g3DEN2+vN
jcMWuVcF8z5bog9p4PYIBs/eDU4OYmJ7opmGBVhfnXByFatdB9xDyyyab9yqd97DrTN2b/+EqfpT
XeVpvBc7TVEiR9Bq4WyQw4kD5Hb7aqrxJJQGup3Xhzr5QCyCUBE8OrruarWI7I7gFHwyZOgEYHfC
SV4nveacKRerj2T9+XKKp7ZDN44a62qXbtA2cq5lBkxxGV+EDQpOAEjlfrCW5XKskat6WnXdYFb2
59I9WyE5MTqnN44H7FusH6tnxHM1h72OfA0Ojv4xq1rkB700bwtpBW++QgiOPWhz1VLvvbi06Ekf
xnPrcFwcIKu0Wjw8oiDG1AM65syO+XJJZCja7wZVOLX+rnaUEU0RCfcLFWttwBI0Wk7h93XtfMMa
4nVIGCmWi2KjWob71+fMiZG5t3AgZgFhkhqr77mpl8XVRGshTHSCA97q5DEtHfGBO6iIUMpYQFdi
L94us0kX5/WxX+6jRzsA0gAWS3rOq6eWRZbgLKLYAgWL1BUuZhddmoSXM0zLM0O9/DRIMuMwYnEj
9Fz+5fmyBeWowcpHScvTerBYxdhdBh02wtcf6MQonMbBzVDQ5ZtfL1sUWauEbHiLO1MIWnF2NALa
obb9i1HoYqpDgXJGrD4BAXiMhZnjuInM8sIFCbexulx/87olmfqsIrRNubavmygYvnNUV+hngeXr
O6sb8K2jA/Xb1l4uX38gtSE+X1EYiqgM2jWeKkisVpQ5Msccrg0PBDTwKex78TBHXf8thKl7zxod
YaM1jTdvZAxKU5LNjEYNi/NqRoQITRHIU+QkmenrpMy9xQAt+/VHOzEjOGYgSQGzIAwO5c9HMWbN
jj0kYhuba/S+XWYb4m8+v31GMApLMtcn7nzrUarSJZoPi8WmKZJgx8+GhAHx6JlRTnyuLFDqaqY6
q/Rmnj9Ly+uJ0s60wHxBfKVsufgW2Hjc/tZ4Zuk9UbZjNeQi6HGk4YQtVye1ka7ZjG4b9a5X1qje
Sr3YEbHQtwhrpXE5sQN8iUfb3bUYTbYjkU4/uapKuaknGzyOFmU7t3HGh6QtTEwFs/3mOrFaraXL
/qdyZcR62QSHYE+cl4HK9/mFXXo6fxMs6a/PnpcnSUbhe6DgQ7uUl/n8jYdNEMQy5Rsk2Mv9ZHle
cZW2S1MCpYiIooKIdeYnPjFd8VxRKVWDsi2sfuJZYFusan7iCsjxzZgBrI+cZD7TUDk1CochVVDg
1matGyq4OyChxy75s15ufeCv8bnH73/myztRjFYLMfAvetvUsIzVMXxiysxOp7oYZWXf5IlwL92l
qB7bpivSjReHxac8TSu/yYvyJgUOCxAiAsQ7Dkl7gz49P7PKnfh8qDQopRi1J0q8qykzw0xIbXZC
XL66/WDnXnwo3bp7tLvlHG3mxFBsPtTu1HIgOUY/nzewmzF2mWg7sChFt3nSZtfunLX7cQmaMx/C
qaEoQyFFQSXIlWo1lFV6xe8WXF2K+jsmkfYANQTz2JDFyds/B0ed0ykGciijzPH8sfpRw7Xd0lTU
YWBd1MuUvI80T27xUWj7do7PNWhPzFN6phRaWfPUtXD1i0nw8JSOcpuqPDyqpIzjC/wCzZm1bv0G
eWcOF248IRQvqLOunmrsnLrzGkaZexpBdYcFGx5W/JRk2ls1hICY8AYqNY7NT2Wup6A70/Zr04yG
N107UhD1ZDe1ZB+/vmop1+az/VwNQykYeBK9BfhPq8W76NoFzxTDCNhBTu4c0j7ZWASGLJPl9wpT
JgmnS6tk45DhTNTiB1TpWNSgn5rlm98ufxe2eKryDt/VuoJiZvOwkP2n5ARZCebfNtnmO0GKK0my
rz/3y8emGMTENPktKQqJ9Q/pFh1YCBQZIq+SK+lG7bvWzM618k+NQq+BRuuxw26bzz8CAiLqPObT
B53hTl8NZ24/1Xbx+c2PwpR0baSmnDGZmc8HmaFMVX2rw3uVJB9Gqdn6NkEAb31han4wPaBvUSVl
sOejuNXYFeA1cZdZgghZzrXvnEKm50ax19soJUEDEYLFzYrFl/7u83HMdshHmtp4LhA7/yhRNMIB
97KviwteE8OtV/3dVXL6kJLx/U0xN75ZcQmeHNFeH2NBSTBQBkZO/k5devMdC55TX+hj5kG4mnTv
iWA0kI0uhIbmEJMjc4lpk9wUL666u94YvMmPW/pBl5yBi2vCuXLa84Qv/JgzOEc7wP4aqWOlhRB/
AUZPtE+c4Tg2dbPdTXnj9dvGHOvryBnralO7UffFIswx2OXZ1IcX1ThURIssprgAGKx9a3uZpZsB
u4ENYsElVqbQszSMNuQMzOGFgFrvwn71zPB2kn36nhzN+eNgG2XvY1R0biM+3HafpaBfwSkrvJSh
z0tzqQPSCiBl5/mnsuujRzHH1exLd4lv8qa2nnRsoN+qETDhxsP9MGKzMvL8AEkrDHbCmbobDgTp
1xHmxbQPSVoz9o2cDHlTg+UuYLyYZXKZQKowgUrDCz0EIrGrvSUm0FipbWLZ1YyqyLfdhE0WqLcT
DQcTuVX4IaqVA6hxKyJNSI7N3uUTjfwtwGsMd0Hdl8B+NK2pfNeFjFrplfHRmsd68NMoANm0wCl6
sp3JbS8j/Ng/Igv+BKbICWsOy1tz70RZemcPDWaZNpjyzxxb8KqMEIUDf24cgDpdWnm178TNCHZL
ZPWNqVn2R7MssNBMZCN91Pn3zPNucC9aDecRWnFR9/ulS4DKDBKXEWbUjtAVTDQpB4MFGfamKMcR
l6Be1doG77f7PUgK8yMxWPCkwr7gv0GUzzRzRnbqnwVRyIqfT5aHn1ua9RTqqT7tYCEFn7x6HoIL
z6iiB1zr4q4iAPAymXsJo9ZurvR5aHwL2dwGh6/1ddYC9yMl/NbdIEFNyZ6zurHxg8VKaAHF9Vj7
VjJoJSAd8jwOLZWNnwCJU8K883FisgsR44/JG+07e1v6OdUDWeFpq7OenAxZTD7muPGhcYal2taE
xlagpOo6v6J6FpJVgLczAXKPr3Uzh4P3EfdwYmwW/vyPYZiy/ICpdboupGjaTd1Jkkz0ShE9cB3x
cyeNQUgPENif3UQu3Nih7Nklkx40e6tKok8TxYZiCx+S6F6ENmKb6WVjQU+bBADerKhsbTMnIKN2
tCuW60bE+XSLjsL9FjWxk21HSaLavgNjjeGuc1E42HUBWSkxBQwjp20s6wkzLmmkrphDPoY660If
CgnwqsyVYwPcK/WKe3QS7ZdItagOWCdisows8sG/ALnU8xsoliM+dK1JPze2EMBip9pZ/IIA7E9Z
O4OD3xRpmYiv9aIRTCTjqbwm/zgdLyqUhwXdunb40hD4AiLXA1Ttd10xEKDhVBHcrmloPvcAux9C
aIcTdj8X2qiVCLBdbSviq8rpzWXbGaHnbvIqs8eNbnN8Rq+TTRy+8JeAEYFlKAgDbDpEFMsQDNdO
pOfGRRL3xXVZN1h1BzDYH4cFv3QOG/uR9b/9WnXgjbbCApuMvq9S8qWq+kKoYSv3luYSLIRZSxdc
qxrSB0M5drcJKXSOP+ltAYgQVKsgjjCbPkZYC+8gZ8eYUTFh9ZuQFnVG3ZskpI02Ns7fmYQIbHvZ
NyO2w7sUCo+iBurlfCAllncS6gmpYDPXgwxeX6RoA4sAJpNLlYdwzDLq8trEO5aBrvblbBYEGccz
UJ4OsW94kXttNoe7qat685K6aBYm/iKL8WluguE+NHpcpF7UCKJ87WFWWcSd8TUwbONr07MUXMGJ
naxvrguTXL8csKmNh0rIAKKTBThlLBrzi2Yo029jxiaE4aMZuJ2d9I56GnOzPtqFU0dzedmGwEZc
y6y9j4/mYl2kvTiQY1IwBzIp4cUrL3KDlZAAuKNFuTzalXGq2e+1WHmYF1zjG4RwWJvdqB9+IeHC
8EyW0fiYznAtyk/90RRdK390nm+rqnGvemWbJgYCB3UQOctVevRVF0ePtWo0YaOHC9H7Pff5Auqa
8mTLoz97UFZt6+jargtTXEL8wctdKFs3uVQ4vBNl9sbUpyYTqS6/qqMbHLiFCdWcYvfCKmOj7I2V
eVyTZfQhOzrKR0sQGhXyQVELz7K48Rd8nUzgPIN8gPTYe1hiuube0a2OJD+4sjQwM36tk4BGGr3y
tjvK5h4fHe8CLU6xdY9OeNK34su4E2O0t45e+eHom+e94qGfNABxm3EK0kM9pvF9d/Tbs4Xhve+U
DX+QtXwUR29+CxkJ5y79J4eoBuXft5WVvzq6+qOjw59DAW7/8Oj8B5iqvcMHDQ+gOrIBSNmSRLkO
k+3rCh7QZ1Pzvu88iAK2ggvo6OClX5ete8dEhz5Q/CYRWNC6fPtIKJiPtIL2N7kgMJSXv+sD72/7
CDbop0rot6RymMkOqiTf8XRkIDCt4SHopNCydpBKaN5gooeWgNkych9iu2Xti123n/fREalALMQ0
7+xe62vs3BmaKnjccBe0zJyNBylHxzxoqcIycOUB0RAdcQ3GEd0QJG1IipXMxm9N1Y397Zz01kP1
m/QwkbEI6pMgK2MXwJhjX6LIXXwhq876+/UD8YtLGgxrj5IIoj3+zwtbFEjpluV8xscAVHgXmSTn
pXaY3nruGN69PpS6Hf1ZDeW0qpor6tKC8J/Ow/PTqgYY0iOx2954qEzZl1x36zYWc90GbrQHCdpf
xWFrXrZEmuxaaP2718c/+aiIFijwKSHkWkMA7i1Ko7zlGhMvcl93jvWB7JhpC6irPtP2eHGX4VHp
xnOlJ00UkNPqmhGlRWnOAllyGdAA1kBTHuqqm95YouCFEl5HlC2VLekgdlu9UFcvAm9k54Iei5Xf
4/TV94QEV51en7n6nvjt0HOqegEyJroNq2rIoots6Rbku1lq65SzLcSxTgxRR4A0eM9CFu+TpYpu
+sSrrkYnED9e/+1OvdBjMwfJg0kBaDU+9B6v4AiHpFwE9YFM2Go3Qvo985SnZgi2F6oWWIeQIK3u
91WfL9ykRvIGm7La2ZPW7mx4Dpt5DOSbZwjFeZoZdCCQUr24IjYdKdpNIZB2xEQjLHQFbtzWEb/e
+trUKPga2NmoLh29en8otgzP4ARDxWkDfwAgwyCm7Tgl/7iW/3fL38tfR1lCEMPzv1hgvVU9KY5J
hvFChiFdcbzl/u3tEicffBTQlbZt2kq8n9qp56QxTO/dnLSwksBOeE6ITcizHwYKzSGEKU0WZ5oh
6hN4vubQyVdcbY7YSg66+kTyuW7tkgP0xl5c/Vs4ONpeZwPe9wFHdIFHTSFhCOt7+2s3kAcpqRCV
Wnt1/w/k3JfAZdRKZxR+m5cKyxdZZ9azU2+dFoRBS45ev7tuZEGaGDtWTpvIt1zs23z8pOvTuYbF
yxID3lSMYHiocR3xOM/XGDa0WIQu+wP6fbmBw9F/Lkq4rqAZvPsyBx59fHX/B5z/T1plf8yi7bfu
23/84qbezaDmf/3Xfz6WfRf9x2P/81uB8f34HyiH+fFP/fbBW85fkiK7amjjOhQ0AP7HB29afyFv
4n889Olq4bL+vw/e/MtENiGpW9KP0Dnb/T8fPH+IH5WNSoksWdvtNxnhX3xpkv3uWOzCcskysPrS
wgicpddkX6h86k9OGlq7gsvIVVnM3da0A4xAsHvsM0VQpDPrD5xXgoJBsg2q1vRasubI3LZmcL9l
U5Lj06eCFAWk38Fnu4orEkX0YeSsQdPwnlS3sfPJHfWezCrpvlvuMh+QylrQFSGMZxewqRPjUPUd
kuoJfGsIQ6mdfhKZG1+B+m6JHUxs/hGJUSfOru27KdxXfW9WB5LR3RuIJ8PnoEPiA1+c6slNirmF
Pp5I59sw5DX4ZuI6xG96/QjmN0vFj4JfG1yaCXSQ4gKnVR96n6H3fqlVlaNB7wcv8HcXk2P9xesD
Czx2EnOLxGvA20Z9WEOQB/YCCtiLLxd+4ja7JN5Hcz9HMqXEZ4RcSGCDTxHZtdtKmL38gR4uGLfl
Anvz3qT/+H3k/vSljOKqOEwRwSIPIi6tG3sUY/iR/2hyY5g1ctH2TR1beLZ7g4KKbSTOI8Tx6aMm
cEf449wuQGujwar28jdBpO4HD55ImId9eMijZnqojsiRUm8FCSme3m4jxSSpqaC2W++IKoFuArak
n7TKOMSKZhIfwSa9qSAnWeGE5lZviRQrRzzPe2NpKuNiOuJRRKn11sYYaKPu8t8MFUdlztLX7+3x
vopFFz1FXv7dJOVppDbgcNmHQ9tuMO+6X6u0RPydJCEM9hCYNKAoh43Bj45UF+NIeEm1iXwcZAOQ
X1LLgAJjVnn6ObLd4Ut3pMT0szGLrS6DtKBKp0gy+pEqM5sWPdRuSqDNQOsu9Hd6l+l7qnbVh7gB
ShMc+TTDkVVTHrk1Wt+RvVwGWYSeULZ5fTHxz8DMZ4fviAtk7MhLfvWkp/wC5LR4G0neXuhHrYMa
j8KXvQ2VtNILC6JJCKzLfGq35kVVYnb3ccUC3AlMO+x9p8nDxjeDfLxWMUwYII+onkwobI8VB/FP
+NXEhNZWQHXliPixFO0nbBX4x1UMoIJ99oNdwdEmO8djt8WT60AJPMKDRsURyo9IoWm2goN3BA0t
R+hQNFd6uMuOMCK7Dx3w2xCKcinjh/GILdKpE7+PFcvI1ge33i1aO16rNJzOF4p7VDoKgZSloCm8
Ixhp6Kp0n0R6O/plNXnkGnXweBAnL9cyTxeQrEuRwUg7IpeEh74LBhHjcXO3aKkGiB+pDR1xTekR
3UTtqQU+Mw4taTZHvNMCEAyoTtk3T0Lxn5IjCopcmuWmVnyoyWmdr5gJlk/WER9FQlZ/R1szfkwU
XWrJNUBTs2JODUspsbsdUVQGNEWu/YpQZcP+ISuZlM33hiJYzSA+ATQprpWdufNHUuuyb/YRexUc
EVjZEYclhowqx6woWaWdm7MvpNZ2OwLnOGplR6iWmFo79VsCQI0t8THA06WBBGUXJNzQ99RVFJ0L
6Cyoruw3t6vWzbj6m/4vlRIn9JpfsTVD1gq9pbuR7gy4wRKwSbYWVCg4bElRDcB1Q6p+Tc9094n0
bPSNoFyjpPZ2Ee8XMjGMCg9x4/T7tOBRb6ixOM7PXEmFr9qwrknYdKrRIn9oWQAW73RC/sh3MBuY
9o2vT6Edh3tB6WP0hfPf7J3JcuRGFmV/pa32kGEezNp6ASAQAyM4zxtYksnEPMMdw9f3gaTqUqq6
VF29Lu1kohiMCIf78/fuvadjDhFJuCDPfMlwIdZeumZQgMuwdySFO+R3NeMGtsstrXCAwy/1MEZK
6/C5RNgZXPvDFgoAbBs6gFNEcZsVEzCJFltPtieAULHCNV2nIb80/ZrV4dBP4xroDZaLQ1rrKcAp
YfTg3UyItLXOrzaMUb8uTLfIgnmR9uJBLKpcMLjg4uyC6GQ9BfGkNypYSM8plkNM7l3TB17aoKLc
jiiNeFT4Tg4ic9GQme9WHhFQaZfnan92xmydLnQWmZn5aj4M9iMOEG5tgQFNWN121drZt/bWjg2W
Uq/kYyyLVH/r1baad8QHYITUxq6PX2jjDD8Wq4ufJx3dly8UqX41+tzqRxhdU8fIQ8VDS4q9tZe0
EjnraIe+stvFP9ZhSmF/qtUPbLDuMR9HgHuJopg1XRX48mQo0XPw5zYWFxdobR5SQwLHSghVvifG
LH0Bh4WCX03Hb6IabbqbTtF9mMtITlQOmdsLJLT1ZEetTjc6yae8JVVqo7Mq0gIm0fWt+sTm0afB
Anjkmh1Loc1XbOi1hU7xsXe0fNpxCG3RIrKDqeC6hnFVayktrXJmrkbsVO186+aYRrzFNJVnfwbi
HlkYtz4Hgj6J3DOFkCRTVup3wyXpTdSqnQcGB11BD65w7pO5KYlQXfSxJIe95Y9fvVL97A0TBLLX
lskD9lOdbEfWtL/YE29ULO0MqrRTZM+ha7t1GrWgBWHF1QVd3oo4rztrct3ntehox6tdSbR1m9XS
2VEsLP1+bgzuV/3QVWlY5ujJdmVNZ3wyHNLmmnwBpVAOpsZGx/whDgA+Ok+wmQsZeb+mI25omTHc
Ug4nXzZOWUaJ25D3u0y0pA0v0b/DPtEJp1lF+i2xeX78yqy36XZStDPNPUECluflje63BMuXkQns
79qcSe8NVX2l2ay7BVeTWYGs5bMF083ujEa98tLZi5mVE7AZsiFLcq+9rLUvlezpXFOYCaTrCtsX
Jc5qU68p22v3ttraxxzP70sxIeEPLGSbaDd7rK6MHE2YJOZcNd3BTcjY82GusaPb/VKOgBD0tPWN
0oYp6E6AKPZrxsYULQ31D+o4pw/NAe3AcZgaae5olDliv6yWWIPRAM3jVLVjnzI16w4WKfYylHrs
wbWIhc2+RMfT7ydbZkGax/G55oc9pmEAh3CjxtIIbCVlpUoU+dYBYLc3BHhy8peJmDM2Xz2rAI1U
2vBdjIqjETu0ElU6T+myBFVdjnS4sdXc5pp07xgRKdAMVQ2p2GyxfyQd2fiqrVjXgMTrd4/4sgtK
6S1mEWzLNUtzfsdYkeqRSTt0ps1WKidXSudGnW0VYAWk1q92XOfbaYU7GwEdUF5457bju3kiHxU6
x8AnFgecHwmnCVdlEMPfGqepOaI844sReMvTacZaHuTzWLHbpRXT1zpX3t3c7T+XPmdygLaYxP0O
IMfrTLVwG8dTepmGpXjh2xLHVlokvjtupwkftRhZ8dm65qGuZPojKl7NCEyC2kFA0Aae9hiM1z24
WWGFwgICGsjGzd8mUZK3Wgruo3s5uUnM86/IFTJF00AqViVZ1MjtYLWpyug8lOQ2J/smteM6oMQH
lDQWc/niUqqgzC/YYvw0ySGhbKU+OxgAKXYAFU4PsURzHgcJuG7Ac4CkyJOySM1EizXb50kk671V
pnCUmIbICgqxpw9gu7PiNnMH5YelJ8pplRSMONg157Vmwd8OZW7eeePoHqUDRJcPHzlVkKYJiYHQ
5obh2HkO2SV9nBiuv/R0MgLTiNNrqxi9L+IhjfeKvUaCJFXQCwEGYFOwCPFDDKYsJsjmouq0I3e2
4pzP83b0MKuuo6qB3uF72erKAJIfb2KUtQouRtGqjmbMQnpiBwgAgk9l9/daVlZE+sdJ7e3Q9mw/
DrE0CzwKunEvNCFu606pkFUn3G2CzGv6m8Eu8iFo7YyohBUSPeHXVn3jTJr3WrWjNIM1W9FCJkvd
HZtxys0oTwa7iTp6RF9kdCVV4GaJqM55XAxpOPB6WOXdMp9Cnr/UZuIQG4CJKRNnMhCr9QbJLyqE
OMso8iDeJCoQTjlY58zuUwjKeecepz7vbkvECT1hKckYk8yPfTwo9AKuirFa3nctLrPXiofgaTY6
D/LnMsye3zqLC6FBiauPBAfMWyYHPm5Xa4wPd9WXFRchRPuQ51t9r1OPurUlBchnBzCfel2LY2gJ
cXMrV/6goGga/p4iz/IPOqr8EbqMvXtiuGOFv7h1H8uOHKBw6ktnT/SkRY7sOiksi1ZlbjZoiOjD
QV+xEzlWTWosTCHCl0HUMLYcO2U9M+oZq50HkKLaKWyrIJ2UwbPh5wjjwBQfIEmldDLzJyMVRK5R
dDwRmmjDaZu3bQpO+gbUMRUV6KjgOEaguuhVyGHsVaCDEuVVVO5yl8dUITueqELuRjKf+JCJ8UYI
gkGDaxZhuUuUl5AkgroyWrBwYDlGLld6szc0yYk4O8wFMA1m0ONWVa5MlpV0fh24itS/9Xf/21z6
m7Zpg/51vuIZzOqYNn9sLP36f/zWWNK9X4hssFW6FGiWPE9nXPFbwKLukKK42VGQWm4dp63H+HvA
ogKx0EKYvQUR0XlxUU7/n86SYqi/YEYj2g4dOp1XyAj/QcQiP/5zF9LdJJ86fjpmHGgW6TD/qf2P
+dPtUGLETPGkDDvgGIGAB+Ynkws2T6jXhHHea2a/MxdZnktVH3djI06q0b13lTzGtjx0w4BmT03F
fquC9J4asdG5/nbOnAZl5oXC8+6yEQyx9xJ33+CfBMlc+V2Snxb0MQQRvciRWN/WHK+lmj0uTjbe
KAP4tdEgjsv57nbGp6x0WDFTGcVwBEG+HZEKvCemtxKDrBPua9IvqUeG8xj5UKYY/TN6jTB1CJ7N
Yo/wUjndGHV61Y2GGaYm2oeSEFdluKWUnwI71SRSifVY83w1UjdhChZpGOO48lMxfFnG+k6HfVfk
OFyGbIqoL390sz1FJWo9ssc/8qK8sQveltLSmzOp1y0nf7dtT4S20UeA7X8oa94ETSNe+74CcVTV
gacOfmx5n1Z2JqMEZc0z9Ff5Di6vC5zR7XxhrQiRpkQP0FxNgRyXvAwIllEea8LuaknKxNiBRNCc
e9LwsqAdcloQSJYDq1tfSWhBiDCbexVFXkl2S2jM6RUB5INviOGmzqY7U+o3hIAEqz4Gg4ao2QOu
VzX129qDJPDa+eQViROMan2BhU06dQ8rblaY4biFrnLJi/M9oMa7NG9pNpR76fazn6x3ZlxejL66
VjayZJ8Kdp72oRf5fYLZOFASpYnssQgmU3E+lTm+VagEZ8clkrbjh93S6DGoLN1eKU28naQA1GBi
iLTnWfEFPVfiyZsDvcfrMgdvZ7SckL3xAG1SeSh6aDB1zPmkIbzZ62J9VujsmEXz0PVrR1Ry95GV
M6ZH7iM/lLgFd8Td4SCxFQaDscTPGaKisDbSJEK/axz1ZTqJPF93JSd8UJVdhoRrsILcmruQdBmu
t8Nt38c/Os242KJ9qYu6D3u8Qwi5ihtCjPSzQSaVLh0ngoG4REpszUHeeRcSHQ8LMYOhNTpEjva4
dhdxrSEJihR4IOCwNPPWc6dvZjauUVc6iq81OX9Xl77SVvMN3UX+VGQk7BATfi4E+dCl96Qq5cXB
oRilncpRnOnztVlXx5LaO1zEVtRpRRj3ndypRkvTA8FWpzfXdO+cQDHjakd074eRi4vW0KvNSVbc
ZYZ68PJLaUrSYDJzOo409IJKdGB+zImIPnNurpS8I3B8sJe9SWAy8UNAnjG0UvO55eekZRWxP2DM
y5GL/5iLK63PnmwvkeE4VYeKplyPBxvKETwVJ58/vbo4y1EMfhpbhJoPhGv1SL5m0IDK3AUooD5q
qSNYyZBhiLIOqwxkCPncB9RNZFURZzYm5S4tbzJUfzuKpSAd7+pYiTzvnQJ0Zinkn8l0lsLwiEzq
b/FDiqDMuReZZl+fhVxQ2TF5TR4MXYIFL7TubCuc5JbXVrue1kWkq0l61NLyiIBHvpcoVCPif7TX
yesfLLGcl2RBOzELYEp1Yl23o2cFy2zVn3AFMwZMAoZkZeRHU5nXYMFmMBPYRF3o0ed0mhtjnS/F
mpzw1s0HE4znSWr1joXQ3k6ecrW08gpm2/fVkY95Pj1zm8WdkDYhhNivzJbwFioVYUcS3yR2G5ir
fjLlcjVQNyNtXQT6xjxoFtfghRrlAFcMBZ01TfuBa/BFB8bqKC7x5wlEvGY6NIq8TV1xTU3CXoAB
4iAmyHtJMl0Jyz0NhaKHrVfbh9VTzwKWdMcF19c7Wh+5S4ntuuxfLbK3j6LWq5NK0q6vzQgF1n4+
q2Vd70XFbWhw6gkE5ww1vnOiRdYPxDm9bU3JxTjUk0LEDs0bNv1yN8oE3HdRLo9xeVybnv0b/ez4
vNj6cFES/VRDr1hFfUoXrGG+Y7iDT6Q7sAjLnCKRcRNHf+sEk7a2n2rB9rlQs14KO71R2pkgyHIE
/yfSdNeW4wyjLLmZqm96UauhRZVPRvyCHta0v0nRfs+Scdj3WsrFarQOvacd0kaJplENm5iORTtM
Plr905SsgaNlKKiy59VCXpTK6kTM/jGz2Hytvg0lOFZy41Ni2MevxWG43CXllR278RH2XOfPCUTL
jYlYyHpXq5wxnbhko/vU25wGIr6yi+k749iAwEkkfChdYze9tIn61Q/lk4bwZdeYvRWlIBt3jVVW
Ednymp+ltcAaERfRMsaRVwMsGQZDwyHViUOaellEN04Go5juTam+zdkaYeYga77pvxXc/4JaYwOY
yPKKQMEUF8/jBJLr9JY5Mf15Z9C0PS1I21dHl4VOWH3EpcuKckUsu3qw1YNe432f1/XFtUWJpA/a
sdVWnFeKPsOZt9rDbHEfo+sOK7hJ84+M+3RkrgpKPww4GIlnYtk7+KzEgWXiQ02N6rguU3HgriBe
MlNfni0ssW8g1Ks7FVIGk3Mn7K0bK4kWy+pQCs5BK9UHQzFfqroYgNdKAAGA1VtrPHJnM6N0RN2d
TGXNac4mqxCruLPgjfobiZw8DZf7K/aBRCU82uzSaPCa06yqhJ51X9NgG2cwcdDoFQvPy2J9y3Oi
3mvHOnI1Ux+6ZHzRF5uzzLmPaZiMkzRezKTJGCcoFyOBJpHoXX2atLEOMIpLMlg5LcuiHY+IWiIu
X/5ccE1ukpuxzk+ppx7FrPtMlINGhz1i1d1hZI/XVdg9WRoUTkOS08T8K/FRcT3T7T/HcIRqvQyq
jiz6CaHlEmsovGVmBFAlDpAmHyvPbHxRTYQMbz37eJ5uRkPfQ57gebQThL0wOBakgJ29y4lIw9l9
VoWym5M0qG0eBi++cVPxkOjIhxsNp+jM2dofp0yNMtN8Gso5oF8ogjVXQm8BLp0zHNpalKjVd2Wq
wb8RnPNTYJVKCBwuqEz9Sx/KfaOfa9VlAsXAhf4iE9ODad0mdfZZ6u3VOthha4sqkDP1UsKD4JAD
qDBHi8UhZuTSdPq+ZBBI2RUJ2z5hPXP3mtfzlddKEWVL4sArXO8J7L42GsQfRTV1pJGtTw2WAv4S
Ggpc/MShE9MzabB6aC4caMCfb0TN+7bUD1SyV5rKeTYs6w8pp0sGDYrO6OrH9XAgzPEIvumGRU3J
l0HCXhlYdl400a8mwO4gh/iSif6jH+4VdXqgtxoWQxy2xgOZS2+yTV7qhnHr6EbS64+rUp65Ux6d
Tr3u6NPMSt6HTV7q4Txtd281i+aBiVvVLz+awn21YDJve0Nhd28NYwnyRK6sCRBQ3JyHjOwGXeyV
zNxj8UCo1O4La/ouuQpn9nSSpnxbu4On0gPqEqp5FNSVdzaKa2+d3uWin4fkjJUtsde7ZvauRGkF
Jt4BN819GMdnm2lMR0edWGU2smbur3qT2gb//kUU2TemenBd6Dj1wGEYZNQfeqcf7EEJiYAaiTAI
1ARwpucWvK+aX7Oo9o+6YGFTTZvnxd4Ao9gHuuamMfo7qQB6ypOLvWVpFu6tNVe7tb83BoU+bAW+
Ri9vymzTBnf6RcXLMva6QcYth0mnNthbnPToLW+zVKPYLl/ojFxMClVr0K5QyT1nZvrU1iAf1ySD
BcJApwTTWmbiFhXtG3nDZYhaE5VnKg6LMG6c5VMaaejmOdF7wxLWrsJ82TuK2nsebYqXbhSnpVej
WTf6vTCUO9SwT1376tAgm23vk5UEAWYs7nWAVL6009jnMpLspnT6qNMV6AUTPL00zQtR8Ma+hoO7
zvo1k4/byV531bCkfg+Ey48FY5rK+bIzK2PatDxnCt70DpGmyzGWbMtSem8ztVLOUabWyhl2a7DO
T4Zj71uFLEnLy+C6mfK+hhC2qMNNN0Oz1cVVwRkIddn1TckRIGbrGK+xj2LxTcobr2yvkQVfDMV9
8ERM2qhBP5QQMbY9zoy+D9AEPIn1o7C/5ZbytRpXmWLdquTodHA42fbusAAfhlVcGvAed32Tf5+b
7NKo1jPAHSuwzGVXmGMAKQrysnJtTZCv3fGkm3KHOeUHHN07mpa7pn0FgP2VGsOhyuurJFPna5Tv
sN9jQt6dwh+kceLQ5rYGD2rM0hBCa1jMcZRpxLllELFX+3vdNQVj4+aogBcPptLRA6Zil7JV9pm+
7pIuPUAKfC9c5aVvaZMt+RxZ6gjOCvU2UgfrW1lNR7DI11ZPSboqbDYG13TEsJMW5Cm9wLiedoqK
x76Y4DhbaftDQYTW6nHP16TeF4rr7hyN3Txz5Bg6eFsJm3MBOTOdhef9GLfpG5N2ii0pzommX7dd
twnwq4D4wunUVja9tcV6NhnNB6JAB24Y+cfYmg9AmJs99rVvqU4tyaiy21OZPkm5OL4ed0elgmAE
lP5Vxt1bVYD/oIAnCyCFSeRM+We1Ed96OnonOslOtApXQAKxP5KpuUe4j8AZ10mf57CG4gJUSDPc
6Kq4rInN/A/oZ56DzKEPyROFNHgXx4aNH8Yb/KJL3rAFgPcczOqAnGPaAwIgx3mY173qLmWEYg9t
Qlt1GLWQdXl2Xp9KyEp85BmDOy15TDuHrl5Ga5/fJm4KduItmkQ56D34bmbYfq9Ysa/qceu7gAZ9
wxRXG0Y1ANpzV+bMxSf9vsaFkdreLiaL24eFu4Mu+2U42m3Zr1FcNmCfnZhBY8nkJ+qnuL44mc5l
osuNkK69Es5yGaOUwRzw58x5yNCN7/hI4SbORzqG3CETqpW5mW/HGN5qYsv4jLZjoD3eKvqVKeo6
aqsWbYs31RBvW+2ok5bhW11XvuOIqY62ktEVnD8RegSumkeLydoonFeCyc+EeUfeoJ9sq/qBM8A3
luo9RYV/aJYGvUyXI7aBsfdeZdMzNqOjYtpc3RPYTwNH2+ohaQUDrZNOAhxHv6I0BQHDXhX2zDMK
ptmtYp5tix3O0ZpHobWqt3HmWOOTkh45WiqFFO5Eo9G7+TDcpXEj4sCzb4zutd2MXXQPJVbfJyM9
mBm4UZDKNo2PWV469FFXWQa9u46+ytPH7hFf5QlGiYGuOMMPO0hK2tRoKp5FnH4IPITarF1Jp742
WYkggb8lLLXaUR6ZLzih1hbM8tug7OsoZeDiYzfYWWDNeqZRdGE4lvNqo97FmFCsGJK9ydAFs52t
TVcJkGOkJkuElQFQfIO7oLHqK00zrrGvBZVen/op+zJxXGSmPHmZcZBVegXwq7Tjp3kgdxxvD0at
SLj6ycEZIEUZoL4BQSiH99jLgqGsPvpiuu7K9Kpc3hIHqVO93BkmU6OleFXq9twW26ANvlpjYVjJ
TugD7hhNMtpmFNsraVgr05lp461RFXSSBHzHF2Ca9/TMG1Se685y21e6CubRoSSmYGwGjljFpEVg
G0lUJqMWEc+SnZWU8jTGXhDrfrWWYJFneQMc+o7HMkzt4dFMYniXypdJ3bca4mVKOyBYQ3OV1dl9
MevetZxz+7kTvboTzUrjH6xaVhqhofRvJXM8NSbYF3D6WcnhfsecU/5ke1f5kD/JIaGdhb3vNKTZ
XWy06c5SIXUXdXc9Sh3lllgf1tLxkFsVAUSZl7HWbpI5dhAe6FSXq1kHgOVekwLzo69r94o3oMrq
S8x5nT+um+usbCnfhRcVUic0ScMLlqQ/hqJvjrE6eZfaaxdaObkhyLF2Dz1DKlunoei7XHZFNDTu
M1jyJ91j52SAtlzFq3OE+nyhMeQFSpXaHAyGmnBLzBFKqBQ5jLMKsbOgq2LR4oJoOg9JPT/kWfnK
KD/9Tf3333b+36zNLP+v2/l+1v+Px29TVv6xof/r//O7UtT8RXW21FZszvqvUtG/N/QNWErQQujz
I24gUXFr9f/e0Nf1X1T+0cgTopdKl51e/+/EJF37hd/Df9zy3FGd6M5/1M/f5OB/EGWTAsV4h7rT
IwhtCxT6k1SUXNtCd3EE+6UnB+0j5meQ4a2F1/+IWyPtBljlMFCTQMuLUaNLnJhzgo9e5nSqg0GR
BSR42pDW/X+uPb5pv+oHWFRf4+Vb+z+3pfjZtEufJen4v37+VyhRv6/UTcv7079wx0fXeye++uX+
a2D2/Pfpx/aT/6//8XcR8OPSog6mz1aP229LsuYnfTCXtb9aKZdvSCnGTAx/XCm//j+/rRTb+IXv
Fd0wl27OdPUfmmLL/oWJj45RB52RhsnkHytF0dRfDLT0hKURHwFNaUuC/X2pKLr6i8Wa01l+DI5Y
Tv/Z7OfntbJJe5k8bSMkLAykEFh/smSsOai4AiVDADFUo5J15ie7y3uOAUGJtuKcioahg1+PTobr
a7Pm3yZ1cn50Xboc//DJ3f62QP9INtpU+/9Ytr/+Kbj6t3elGST5brjvP8bf1jTFaXdkCztwMhyI
Ely5kWfi4LTEknCvp2uL/Dj+JKnnP8vLIab21+S7LfmULBISijYV9B98HNwbKMnpfYaekj7jR9+u
4PNXTrhrn3Ap/uv3+bOv4NcXIy6AL27T/WMs+9OL8TTYllK4TJwVcwmXVHyjTiv2/z8vQgLvtkX9
c1QORN4+wYzXhjrJElw9chmupMs8/PWr/Gxb4q04/H6+KbJyGFQS7Pjz59YOcmyA9Y1hIZs7SyEK
a066R2yHX4m2vhVre3RlRaHr/TtrBg/HT2uFFyYmhD0UuTf+k22b/eMX1sC7UJLRFiGVIrdSBhD1
EhWT273ELle7KNa5UwSor78ZwBYuzKq8x9TEve53somrkIF7HpLGkNFe7Cb3aVmYUSHb9eaXbEON
+qaObs5XaMZBae105L4kFiCKHWbjcRxcflufMtsXSEyDnl5xfOzqZb2mpw9wm2lTScNbH/TGb3qF
ekKKxPWOlBAOmWu9KYhjrTLluc6N556PDAJpL9CTaKNwKCjzTQBrtMPmMratcf5PFyBftKaTjbXl
ihFr8Sc7UWO1jVKQ4buRMouLolKn9pn37zLt/jRTZm2QoUQoIWxA3Hr/lAM+ZvNQaSMquEkdu9Cj
a4L8IJ6ZgtApkateB3+9FrdT7Y/bB69n81CRDAJ1gwjWP516tlJhP0/7MWSYzjcnasCeNl7gpEVi
1JFNGGpL5/6bj/L/8iYhleAyIw7agHT2p8E5eQQOSDygo0SM3Q59WxzGFDnzZHi39ZKV/+Yt/tPO
sR0jTPwhFLFj6392WK4sDtlrrggxasMn6ieNqTpmgb/+IH/NNPzpkyRdl6RMBAHsT2yHf9qgKAl0
ELqmR/4ZxEDA07pFG6qlnYZ82X10JQn1oqe7uyY6bbilc6oIkgcXEghOzqO9wBvJBohAv739/9aj
f9McPuN/XY9eZ8lX/1OFsf38bxWGhmvJo+LE9UdS4FZi/L0WVSlFidqlhuAYICQUZ+k/ilHqEs0h
QgfD08bT2tKAfq8wNO0XIBWsALKBbR4lwuP+Xl79foj/Fb8T59RPz6VD2B2FMqapzcCIWU/907Ge
9d2SJV2zi5NSl1dVvjZG0EOcLYOp663vMI7ynFtsTNC50i6yg9IIp/dk4OpTkDDR/Q/SQi7FbawQ
0XKK8T6Y37FzZN3t5BrKNSzstdhzK6/X0Jy6+KVsXZehuz3Xn6THpB/DnLsXj/udi5KibMnXoNFN
+kDfJB+TrrXJWdG19eTqY8Mty46jso6lc7Wo5N9ExPdg+kNKy87NmIjZoHdcerPtL8vYS8qUbBif
ehRiSIH7uK98PUdBsluHlCfDSmi4/ljWdnHOtlw0Xy+KvD24ue3kuxYvMBkQdq5Ma5iXqanumfGR
yNBZpCx81WQvICJkzCFNJPaicR1I2lPtmYdqQROzG/N4jt/dUWcgUlqLYVzbjTC0IJYix1JU2WlB
a0wSK4Lswoq/C9GIl65YJnJflpjx4eLWakQjEbXcZLvyfnGSCdhyt5hJqIopvSU1kfQCQ5DK2zRm
1oczDpTeb0UWx+GoqsjaSELWwj5v9fu2X6poTBLzKrZVIuTHpXxdNMVwfA7o/HoE46EGBjOQT2TA
xRSMc50+eEPLyGEuEPxONDdDbCw5Yku2bOwZHmx2rclIp1Dbvj/GncJYsfD0FMgPLX0g80C+rosy
HVrGPBx5oZmLN22axiGQ7noz6Om0Q+4943QCOUq8PSEDrdl+kjvDYLXvpkzz4VC/Lsi3DyvPF9qB
2VmfaXxa32ur8LSgTsk42WUuWoqILoomuDPFtGa1VH+o6MKiPVaaZo0PE0YGkh6meCxojlpJ81jK
0WjR/+iOeE86rD/MX5rJPdfm6M4tS9He3Dp0MgfjG9ErxJv4VPvDet2ukOijfhzbhEQjmy/2V9Le
9lwUTaRiuH1cFyunMdR7oVXYZ9nMl9Ubfwgk16h1mIkvEHN8MC3HRJZLUCsxDfwM2YfaeeNudsW5
HCaEVGlZf+RWT+xI3+/cJFFDQfst8dHgfE5926EU0hPf64jHIU7EOhTTSkVszftEb6Fhp6U85Iy8
gjZVnvFbPRdmbOwbcxyidfOTlAi79monzjNOQW3KimjkPR+WskWt4TzHqrFr6uwwkOJOsQSculhQ
WtHIRmK1qt+HuX5dF/ujs8urbDNpzHYSmZPpfhEN810pVzBAaIaWVX+oe9UJzAltY9YUPPsMNlH0
6KGxeIAD8rQMwd1/T1TanDZDTJ/g2CS0ZzUk2Kbbu0K7WelxbcOAIWhmhGxcfLIPyfd9NWNNt6vk
7A0di2aydMZqycvYJCfo5e9m5zwgq8Wfl5XvnjXGIQBsl8m9uG6dPHlr0+oOw/0RTapxyLUcHY7o
T1tORTC2yk2Sxoc8Ll/SRGHmn6x1SPtgwkCkxk+FVtn3Q9s+We30plTjzURAUzGMV2qO4gLZwWWO
m+qJXb0LXDE2P+xcU6Jm2rwBmcVmMTvzcgIUe59PpNyUkGF3aTLjdksYoJWQAIK+NPWdvlYzHcQa
ZbRUqeBbG2E3vTritNoyi1wbhXeti/aQl+M78hgZ5Zb93c374tKtanldez1jVTmFmjQQJsW2dx56
ySfi6CUqksG9Vmvmsq2w7vtBeyknNcobQ/VxMRZ3ozce8lwffaOxjgOt33yO31Lb/KhhmGN38tSw
NOeXcWb+U819DPRLtXa2MaSXetP7FGNM3oqaHxIJZUyxjFD0XX+y2sHkUzAuRub1V0mn5yfh4F1x
UkyddiGv3GJ4cMRw2yo5W0jL6Aak/CfdlHsmRN3JlmW/n5zplcFZ9dA32DLLCZ3XpJZdmI26ftDi
8aBr2O3dno5kQiooM1Q1zIzuDF1xN+pVs0MIkxM2a+x7M/moJmE+ysm8KcEfEoTWkBfAMs07zTtU
aeaG6Yi2yJr6p2EW3ysbFV6RXdUtM+9uEc9VY7wNruIGbDbK9Twujs+SK4NRae/KzJp95F1Pozoj
TjG1kzqtl2bb6Kdyj7FVD7RhwamB8yDlifJLJ94zXSdeUWsOxA1GYyPpLDPKaSwvLBeF1dkpt1LI
741anZakuza07jisqnKUtXnH/lZdOyvveXTHbPPM2r5ltd+Xen6y1PqHPiwnmynF0rVJODfNGZ+P
hySGqctaK3f4BRi1ej3P+qwcq848tXIYP1IJeCBmnoHGiN6UbuU4E0onSNfus2mW26p0myBpx0+i
EPCapFl9ZfZbYBjZ8f74v9k7k+64jTRr/5fah08EZmxzTiaTMyWSGxyRkjCPgSGAX99PWv7alrra
ffyta1OuY9FKJjKBeId7n6utHSzWh2UIWZuw3S/H8Ctiqtse/sw9UL4rb/LPCzlES7cKoqCsDhzt
OX62yMLD9lFJt2+/y17mT33NlxFhalHDMcxGyScQUg7vbIYfOEaxO9UfRpne4UjxbY2rDIHeJycp
510U+3Q87K0tvlNMePvWfPh2t+gUuZulumq7qJLu0o59e2g24RKkl3NsCorAf2KFlE/XkKOyI4OK
Urjrqh8QBt1bQVmH7U4KTpz6u6UGvy6PjCwy1odDESb4FSJU+IqsvXjKNhm/rKZysvREeKJCZ/Tm
yLY3/jbqKhOovZF5WFh7m0m/m+0jG89Ftdd9b8Q+iXV1CDsEoc98eHjw2MQKCegtCe/M3Jp7rVP5
3uJ8bYA4UUOyAx7dxDx2vkuLdUBajmOoLEd717JfiV38RFWBfD7ODZ6wCsaPvC8s7kMYFcKmNTwC
X4t1y93tu2LrLTTmzUZIp4nLl2gG8LEJ6vpZqnIqxG0qu1Sr4xDk6I6qYmKbmWQ9k34OPteqlr5G
2eg4rblGBheUazvCBuc8gLCINmnqIrIHixG32b4pcFsmfA6T3lthBsAXV5YqmCdEdjefkRkPLYJi
VbhYNYqy8QMur71ULhbWpKFHD2q7KlGVlLaLGKaAXLjJFw6amyTqOn2nI9nxkO2oru9B1c/+2sZL
tjd9fJHuhoFOXyvVvfUcBOmzinXtPxpF0vORmUtTv6cOX9QtJdRdJ4aM82SxIr/bRZhtz4lm57op
kaKg05xwKiYEUWVJk1TjnnlMu/AoYAuDdKdjA/VtnOSc3hFfYvqXvi7Z9kWjNNEmaSnL1sZw0R0n
TfONgIe0PAUxMJXdqMWU3S6BXczBNoVQ5u/6CdcOe/wo2ecT63AEoWNmPleAYR/ITIshKGpPdVuv
bZh9pPCqnJtkNIDk0mJOpz0OadmsoO71+souhHeIwqL196wSM8nt7ShslcSob0UZcoCSOloiXohC
1MEQResNd/qFG2aHomfbRLZVDMMPo2lbAoOtVTLfdnNc+btIlnjN4D1azqdkAkq1qqauzhEiLTrc
Akiqay7aRXUQ2/hsp5oJUDsvPeI4aGgv8ECIrTcIUeAKFFdlj71ocOd+35lm+WyxSHodiozgHg4s
xlqooIl73E95BgIwErHeNKYkdzMx/THMUAfTHYhrE/r1Ebeoc40fbzosjmGfD7nwAZO4gfYviBLR
Gjgcl/vKWxb/ejGBdfALN7mCK+afeZdiGyY62Pidh9KyjnQOvz/iHFvi/BQUCJnYIeudnXr1k4bu
v9YQhdBpALAWY1N8gag3XGWJyD5lxpe073H3vZpZACPHc6tvRYREpmsWk68YGYn3YBjKAge81dwY
r8i2qkQhiW932bR5Rdeg6mCg7kmtHY7/bJfDHnyf3bQQq5LHyCGbJQ1I29+EUdJdzpX3Bq7Gikl+
tBZ1G9y1ysvf6VnRU3YC52KdZwdj6sRZa87KY4fSYucm87uo3enYsRs7uF2YpesUa/daYHwGfsqD
UcS5d4xBV+zmdgyQhVQvHDvF2plN84JVId6GOUC8EkjfpwYtDyiq/hQOGjt1IbMLfJP2xB88WMID
zxuk9Pb4OdQk3HZz6rOkTPJ1QGbCwbT9Nx208Q53bn0/Te1dWY3lNYoen57M9td5wFmeL0W2VqUP
u6koQ2tjTa3zbNLhOZqc5JhJR1ycXjsnRohfx6O3jRuprmBIzCs4kekH0FQaWb+sz2WFRE8NKkNR
ogvUgB2944QGanLG5jPvhBJ1DodxXxPHSSeZeUesQcvNVOrmOESQksN8NHvbms2Gd9Lnu9/HD/+Z
xPyL6eHfTWLOX4r0p0HM5cd/DGKc3yz2foQ5XsYcDix8pi0/XD5CWb9ZjmRizX4DD5AK/rT5WO7v
W0GoMmQf/W7m+XMQwwDHweXDAIdbgb/3H216Au+XYT0zGH6zkOQUm3+yg7zMMv+y5AiU6Mlr1jtH
G+ke6oyIgw0OiLR/sSd+MyQfogsqpOKUJdgLjZo2Io/b9hSGbLn3Lk/28cHGuu4Dxe/97IievB+/
J5gG9MmfonEblj45lrqwcn0EymBXu5jmzRydIG6SFd5avJGNW1TDJz/H2oO6aJkUPPauJgjNDEn4
0vppjeA5mtNqesSy6uZfg8mwn1nZPLsBnFdlqb8iekpvS5t56yapiyn9arTVZ4B8uy4ET0uPeJuk
WFRopPHLDTJz/Ps0WQycxYp7dMNdrKIn6aPO3zMVMZt0Fk8ccB91OJ2BVmGR6fL7yBHXHRHK0doW
RYbEx6Vz35dDr+CxSNpzfQ7qMPgkZfc2hA16TUP/K9eWx45/kf6zkyaf8QCFV0sb6mrbIDjnkmZL
UO7JLSAaaGlsCIRV7KNGTwBQfXJqHj5AMoRxdkXT9PFpCvMWvm2a6E+OyMSy93SisXWaccK83i1F
vOIddNUxx7J+Wws/uh7YKepdDU3lCLgCRVxFyPVRW16B3K3t1JPWDoKhhB0Rj7fhIidH9R/Wa1TN
6sEuHZRGCjBswMOsTsx7FpjU7OooMnJvZseO7xYB2G9dxKF+t7SKbuyIsML7bloSDKVxh5ipzGfr
1WqH+Uuug+5+Ir1qxYzrPEVosEAviACZV+s9hGJ8XqreOs6psr8VWiXLnnkeMIhVY7wk2VXIHJ0P
nBOkNzuJzrM96j0znMnLybBZ9eH4khLU1awkEKI9FOiueMtSQBGYmOnRNlnfNc527hkMPiRkOdya
XkmUVeTu5f63lIGg+gbdxTOPTIraidmexllamFLCbOXktK14LVXel/3eZoHGMpCJ15LbB8gmGZW8
b2W5PDbSpNaH50d+y/k0E+S5lYTPQ2Do3cV/9SUH4h0bdeqxlARAirPATjocrd1YX8o24K11DWa0
DZx6Y+GaPQ8/Kj7qXdFtoV4Asctrrev3MMIFfXRHw+ShMT3eGTvWmjlUigqkRVyy1BeDgdX2VKEy
TIub/kd5mkhZKJqeLlBb9gxUsm46qPBS1zKpCMR6RCXP8spjhHDKMy9A0zt2e2vS1U3QQl1otX1O
YC9XK7D882O/xD5YnzY+AXewdrHvjm+ooemHQG7Q7s70pC0L21V/GRSqZYEYo6dwR61dHUSel/ss
jKpiLaXvgQDMh7paZ6Kx8Lea5WSNQWFWPlaYJxactb+COs3XNx+GT/MwdCeecdnB6xfvqsKGsonC
6XuWOfENNIyngh3JQ33xy8jC57rXMZKHfAjpTMaJ+6Ejuui2bNjkgVYC5J5WHe44noRXE9KJCo1z
hn1HjPMuVsZ7lm633KPl0VcUVv11N3fjetadt6GOF/u+oNoDBUPl4JROM27H1qZSTkMepuRmdHLf
WlNKf2oHJ0ldBXsbiskeRdB4YDBcv1oVDHgkSbARRrjlRL/iK3BSC1yrHQUbBTiUWZEs0RlqcbSK
VJyHUd+pHn9zBmt/hxIXdXi7uGs8G563Mp0XrC3LMU++Swg8FTdTLCTE22JiNkYDKtcMownLFebd
HcV0wPDQPfSaFC0h0wAptgKxNYLKRa1EweYIdXLAO13NyZS8xHOOPYyQ+Q01I5ZGM6C1K9vH3Gc6
g4+IGVngxfvFZS8VF0N2k5ZufZ2JrntIRZMex9SbX8tOMtDxbCGe2qR5Z/bX7VIzDS8Yv4d7KMFm
NcQ1uKmWkYGPdpNMkuQkQctTQckQozeuUy8rvsQL0ngqJT5VvvLqHC8lPxJYy8r1oNygs7J2ZcPw
w6EJ2LLjDQ+MgSe8EL51NolwUPha3slhp3UcgQ1d9VFxGq1Ob4BjIDm+TJvqbqgODqLSTeui0h88
xI1mdCOIZEm0J3bWOpgG7ws8im6rtN0evSaLNtoqh0O49O8+H+HWTS3roZ3GXVkWyXUeZ9VBMQw9
OTDJXwvpATuRZCbsnFwArkDuDDeJWeBdQ9bZ04Ru7NVKU1IhC6rQfZ+61bFmCXBH40MeRxwF8ojm
clBI0KbqEwaO+1qwVumEtB4E5BpksEm7g/IBLdUC1jb68nHsXP9gl5n31mFSXiPgtHep1NBoiFW4
mpzK/hwCp9hkVjfD7DIfohh4tKT2Rf8uepIE1l4oENzifBoBYWf2o8w96KWBmTv+Vw4PPXfuNpm6
jv6mDtYdWoFtGwHIwjsqzn2MxrJlFwShoKv7G8YmnOKOdDETCcai3a5abP++jb322spN9n1aYltf
DzLJUhdQmLCHFHCEXw/E7WEimhqV9MN+SrLCxnnjBRw78csQUD3HdyD2B0aErdaRJxiE4lIsgHq5
ad5NGQavjiTYGNyq70cDA5ogSxg98IF3iXyUFsMUaY7TAER3PQK6HYDhCF1+I5fHi75YMIuxzNE7
9289Btpju7QYT9sq3Jmi7td52b+RvjGv/XDKDvSF6R20ChZRXlI85QSMBHgpFltiLLO9fBuOXbyr
qikr1wOjn4de8ClUeaTOWej18IXcxls1pZl3RDgvh3wZoMuTLcjIlWSF2c8LdPV6SNZ9YHfo0Ifx
KBA1X8MWKz9ddD2M5hu//phQaCMDrpNkTSRjvYkqGmi7LZ4r1wtXqSP8K/Is8Fm4OdBlP86+NC25
S2JoJgHkHrwUWtP+qmAwHa6bZgm49cP5s8bpdCjrvNyZaXG/ZdCP156Vin28+F+mqKGKi311D04r
vKIf6h/gFfPY4C/ka5MN/kDrnCZiRUIwTsAa3BkAicdGB8HGzTLi5OiYgw/LMMwP+8l/xs7yEkVz
/1hR16AQTTL/XluXCdTloXWBE03srKJiV/ST25+aWrM3MXFnPU64XFsOnaLCv2xX9nnA3fBmTPio
yiS4a6h+scQN4UrNSXYHJBd8icF302zKqMEgY1dQemDKlW9mdIDvZ551WJBXnG28KmvCFdJ9kfjF
oU5GgF1+FwxPDPzMNW0j5Dux0FQr4Y7HAB/jpnRbjwNjeRdhgmx0xE3rVgS09P5MIHM0wsmACmwA
k1s1KRlVqtz50OsUsQOrQvveWwL5MtgXL4JWDZangRbzM5IY52MppX7mZBwr1m5LwQUkvyOpEp7h
uJ+PGZuDp2QOrLOLzYBRc4Qzk3GK2cRDbZ5HpKcH35SXoxyn17aahXWe40KfE1Yo51KV0VXOXxGu
HdHI6wXc31MF/uoERY/pCrs2x9mohTqmcefkGURCfHZ0apbdYov+cVSTte9d4kBX0BZNsKbWiPQb
MvaUmZqFgfqbKavggd/0cwfgA8VxNOXskJtUWe9BC2j63LW6m2/nSJqYFSf92G02qDEI2AIHC2QN
aU/DkyrrtDkLUSNIdoB5gkeMB13xRKODccJVwRQC2XXZcp4PnRHuWbEQ0du4tCXRGEVj1JUTT361
80fC1VYjCCZyUdyRyLhIX1JGmMcbnUaHTpXHwG45kOkL1pluP/O+GsBcrFq7hjsqERyADMba5lja
RLQIEqpO0+C+Ixw3ZxhB4b0mzOJUQmVhmsq4qZ+mZuUNro8jx2EboQpqCiVi/E/ZKXHnid1G0aA+
SZHz450+um75OubF/YD0nh0Kh74/j6+RRYXecFdvTF6IPbyB8OgNVvKVG9TGhRegz+kn67WHp/us
2jC/CifFssBvvTMPUxxswgXfBaAi/aK9tmA9NtpfZOP4/Q05eubDaM9fDk4n5oRWyUzqiN8r1xtV
eF12QxXvwUxScrmaRkbca4elUnuL7CkrPpfpbNCNORx9qWF8dSiVN7bHhJEsKufGtw4tI883DNNl
tbUhJEU7p0wHeZQ2nvzNHDrucWrYHZ9EWtPCLqVquq2c5jGDYJgJSWHnwbBCLdfYW9bpKfp8AmXk
2S+pzI5DRpVxZRl30rdzwLD7ixOTG7DFxRd9wLex+5VpL1sVbXP0rILGL4ProZr95AtwSkecgUwC
QRD+yKVjm9qvw3yweZy72GqvgCDWGPiUBIdRN2nkbxzT2DhN7SH274soUsU6m3QT3yuX/cz5Ehvj
bjTz1mVdLunkbgVv6tvouRUkNlo/D0KjwDaLBE1HhzwrAgc5OjGwG+EnzjXWe6wxyMB8mlVttd2h
VRcXWznMw0FkwyeUC6gpHIfkjHnAssSu7bZJ6nTXLpFzsMhD+ZBLn7wN2NFW/lJ4n0UP/qBZVLUH
tNPsswq7LcV5wATV8rG8JcTnvM9jFGcrkimKgyML6xQYeEat9F6Kzh355ku/vEo6La7iCTMvA3SA
Q3hnN1nFfxZjlnofrRJTTkFZ8FGS0Ib1xypgjs5lgcuSqetBuF3/dS6Wmj2XG72zhgh5BroMhze5
XByc902FzzhAysAKBbbgNnZoAjMwB3shlxm01wCyUcb4I63Y6u/LSEWnWcXjHkS2dYfyY9kCqFM7
P+4/ATScd37hqa3E1XHCNcSdt1TWNcw96xznGawM3XTBS5iWertYEvQtrNRTIXEJGcvn0ZEH1lfR
9N0pYUYD/MIiukq2wbSLZp9JuuK0QQ/AYBkDCyk3qLLo37nhd27pcVEWoktaK7q3547O2tjRaXLI
A6W9zo8Q/2FQRrkTXvdwQdA0RnBj5zh/RouRHyvNBdmU1DRHN2rnVT1Y6jjPbbYpBhOdkqmeNhZ+
4EOvgG+5cd9smzHtz7IIgugQRW3zmqU9qhUagmoIb6Uuqv6qF8LFWWW5sbli59r42OGSkLg21cFi
gWlYh/2P8Oj/TBz/BTjy7yaO1+n7/OWnkePl53+MHBke4hdAXanAU8Ot9v575Bj+xr/Eo0COo8cf
oU78b+nXD4sCY0UZIAxmjfrnwBFO0UVyHriu++NP/4ny62dppI/7IbjouImgIZ/L4//9PG7Us11q
Zhw4/Edu55D+ctgGlUjvfBV3jywyzN1frssf0rO/6sd/EZpZnlSWJHfxonhDA2b/IjRzsQvm3phg
uTfM+DrlCHow8Y4SOvox/v5fgfy/ApMQtZFxgdaUepw3h7TuF7EpgdFFFvTsvmnhrVhtiwZOg3xs
QltgkMORP1bVOvG5tdQWd57MFiy9pcy7Qu3KzsOVllKo9nmKXktl8WH2ejvA6DPpr7bmfAfNvOAa
q2rpXxee3dz4gi1+RHmWbnTt5o9DH8DaLwJj9xsxeIV9HRrqCU7LcCrWCQVgyIK1VJdVNVvfnUvH
Hu85mz0+EUsazsEq1eAOqkyRHkagKcOywgmAgeiScJwbqAOlvqtxHFtbRAZzfs6a2HxAiNOnLl0a
/0uZmdo5s4Hy72I3jc6o3DDXA3oBReayr2UjS9SI2USgpx2MraDneqrXMC/q2yKT0blm3wT0PvWZ
EYK+x7o9b7yoc8G3TAqf37Vb+p29FtouUJcA30sYX1yGwQfCr8KPOB5V8VqJpKcYnESZtSczDyxi
DSNw8iDDaC7VKUhaQ8KQyzwT8oeTqwXsX2x52p03MsPCb7OTDyrH7Iu6RJ1Hpjhc2WwDe6+eXtok
m9qzG4uqegqmep5Yq9bo80I2NnKUn/zJ5EwXGss2ulj76YVvvA0mTPz9LpRo07sV0FTCrpBkCTux
0QS0U2hvc6m7xbnKSsE2GY1C65XkL4my9YtNw55gYOo4RSWIo9Jx5qZf14nrL3d+3yoIoCmmMr+8
RQ88yIdIV235Oc7YYuvt3CQW1IUFO8OXomLXRvg2+UHzPW8AUQHpd3ogIj4vHd2RO8d5T7Ya63z2
BivcIXP7gDBBl3eI053bqHeF3mmVjvACnKX7DC2WL1E7aqR+TWfVAjYqQjygOUMIyzTtknHj4dDL
N0vvZeVhpIsI1gbSSLyb/LL7WLJGL9u+GbJxv0jwjp+Grqw7dosdIIpxNQP6iW8FoziYK8hjCCTj
WjMSrbKKI95HIoFxMvShNZPEjh9RIKvfR3TxB3vSC/jJNkZbQl6DfevnI4Zb4GFcsAoKiP11UoSG
XU2agdSN8orAviaGkRo2nRl9YkSVM1ZT6SzIGTK71/oQte3lRyHZZmSyBKV1412yTxHIIQt0txit
ImuD+D+XrDwbfNk0dl7zTdaFk18UWnN8ohwmh0ij/XjXA9PmVe6mhhioxpFXjWCdfvEEQw9arjrg
Rf2w1V2u2fYFUbgM4y4yvfDKXe0SBrju87Ec94iU/HjTI0NQewa/QPz6oanMygb2fbBmzaR9ZpwE
STCFQIrULQEVPjSCOC/pomHblSPUdiCNbnWADOcxQCRNs2S9O4VyS0eWh3d52IT60AD2eMpVbMXn
iBs52LutNajH2Dh8fbeiKJzsU11HxjvYvWmoa22HiLsMZYYQhVg3sK/7M/DdKFtJs4j0MGv8+pvB
sRA/SS8lTxLkJ+rSCvhAcoSIV7R7HNDJ14rtFbLfxS3BzxY5rC12xfGFCoDYytRyeUxVMSY712sE
nOKgak/0jgH70WVyGcGWgztuLA6EcpMz/zCPfCuZWM6JmzjPkINgXqxUX8Q4Lx0T8rB+tfwAB/y+
a0InW+DCkNjxECVqCfDDMs+q35BXzJb1qmDMXKQJU8bdrONNCTUYZwMjUwuJYt0vwTB9jduq0m2w
Hp0Igez72LpRaseoX0fhTF+NlYCbf/7PRrafLwkdsFH+UgdcHH5/OPd+5Hr8cOB9qdKfi6TLf/Sj
SBLOb0CnbSv0fB/bxIWk+OdiFv4iZ4VPDoTjo1C/nOP/z67p/8Ypz0AYXxPpHrbHH6Gl7BN+Iwe7
JotebEe+dbE+Wf+kTvrZ1MEiFoN3SLqIG1Ik4er4ZS1reX1Yj0P6lqJjQ5lnotVg8C795Zr8n7XR
Hy8Cui6wHSkvmVk/F2NOWZLsbeK3KciTA1kZIfxCIa5kw4H296/0b98OrgOOWAKlsJb+/EqxC5w7
nMNXxH4AGxSqoQdAo6xo/unL0CTZ7qW0tC7egl9ehrREk3mt+0KlVQbAr8rhqZ6TMfo/rtvluvxp
hblcN17mYq1wFEUxXpif342VBmkAePJlYXe4ytzI/hwTrAAaxVKbMAHqHPl+c8iruTz//fv7dy8M
lJPIOFZHmNx+KWZzvoBD58gX5vPRxlYlpabUFwpQ3sJCz0sIa7OX3cwibX90Wv9rcfuzTODHW8an
QdcQcMdwu/z8luu0FlanlpfWivvs2cD1i9aTB11jR/Mo5KG3K8dCPB35BeeS1fvbOmgYTv39+/+5
mP/xW1yCdhTm14uH7JffwoPDUiyN9TJkiYOmLH5qG7ghbA3VP36h0IN7qiQCDNqUX1UR4C0SJjj2
C+deu4sGt92O+RyvQxzRx79/S7b/Pz5UEnwC/rXLBt7DmPmLW6zyhJhkm9zgzY5JHEUf0G9Yq3Of
BHVTPrKiyBWq/DxEvMwc5coPYyY2EJdJWCX1kT1J5o0W7NF+SsymusxpiS+Ez4Yby/5STj3DhFhB
UV0vVVtFG48Cu96O3COsmtHJk7vaEfaxhjlceCe7rcAmBL9PlrulhGIxRVp9BFbgmG02Lkm4cljq
kC+rcnB84DMhblet7Yu9wJWgTxHenHPgLsM1RPHZ7EBcB+luonL+QgdhO2ct2PDeE5ORfGavsfjw
oI2sDxbAEuhSv8/yc2WPTA+8od053cQJvnghEBOBUf7RGyv0cWwyL1OJmSiOdfn7qkEWZf0VIQ8p
Qci4CvizjoWJAaVjuPIQlLEly6GGHBriDo9N1CRyTS5Ebdb4jdicuEudHmKcKkioh2g229ElReKJ
CFNIQksFURn5Qjq+JaJKvnaSBI1V1KUWCx4sVWx72KDL+B0oWPSwjIDdb8bf10LGQMtP1op6nwu7
lyJL2qu2t2z6QufHOokOFl5TPXiasY6KTKWZliDsbBfcTX9sokrqqpDNlB31zHcp6JuOtZXTTJUW
N8z7WKS+Nk2dZva9tThNUBIo7pb6geAKBSSzIAoz8h4ngk8wvoSI4ed1b5Mam55K1eUt2j0nGy1W
XTmcIDcYVzYSETbOmIqWPngqC9yo5PIIvJqK0tBP+fDXAsw9LE2hmL9BzvWs2MdpO4724LAn8hHP
rYq2Zlp6HBs8aUyzLNftnwhXWXIqU1l235fOhn6ZWRKGGdQ1ZBnR9WjH1TDfuRabE7nO7cbusj2E
N3dCWltKepZnRghZ3W7c6GJjW9Vtg6cGQSEJJQT9xE17DFtiSNeE+ciSnESiq0/jiANpr7EqfJ/m
Gpyaa3cYwBIvbo61KoPPdjfGKNwdr/iWFUCKvzemG5wbzUgR9FUb0ZFZ8Shu+6BIoz0rZEzhoMkt
YKNYpqy935lyuYtqd7znWHDjW9PE2ITZ91H71kgt92MnA+jcvYOONUG5Z+rPCU6zYZ8sHm1Hz7DA
O1Bvd3Dq3Yudnemnyk6qStoXL7ckcuhFV6DeF08J0iXCiqTTyfjNe5zkpmeAaZtlY0AE8KOOQfYP
Ey8e4hdIvGO360Pwps/z1I/2E4kHUXSb9oMqdsFMgtlLNueu/YQTSyZfw5LW80OnrQ04qihnpfTK
HUqr/tzWKsSUYrjdw3MmWxDuq6jPwv48hsTh2utR9lPEYBKzR/acL2lHJ0kH6E9Ps10zilnVdQy4
j2Rey70WOl74LJPYgQ6ZeXdz0BRw5T0x4G2bxuJeu8AqVyqVPHVG12JUqcToyG2aaQ/u09BY11OB
M2rdqK64V0zU7wa4UIzkOx2HAI6b1Gwchp8Jx3Sqvg8tF3Sn0ywJ1iR3kCHDmNKj5VcKtQlxQwki
b8vR65m05XTPVIMTNkUene8t40X3MTuFTxodkVyb6mLHTtkbEXVQehd8FRHWPmL2keAXdC/PtVja
auPEJc65sF66aQdKI/V2FiQXj6zrIYXa7nYJigE/fdXzhFGmI4PkTjmJawPOFCTZAO9Dq5pW8cgm
mc7lFhk/j3Y1p+6nCnvZW9APXYPkXESv0srqjwEfxRPbClLq0dNn3xIHNR2ksVS/eULKc9O6xSWH
hrzr1TD0MtlOgK9emc2WHZttkkTXtDDCXQFeCt/cEEPNpgJ4eyJDvoeMVE36s5508joHbvmeWICB
OT+q9r0va2HWXjrVx8ZUdbpH8z/dVEYt5TEXjhx2QKWCcZPZS/rukrlwj+QF4KgY7C9MPIy3HgOE
PWvE6umjygv9BnbUeR6kmD54QmXZlo1+GGw45lS6zvzOgkQ0BmxHZ4mTiSwh/7uJTbCsFl5mYCsz
2YAPUdzzDSQnnhz2nsHIYjkM00eAcRdTU+vCA3AJlMEvEmGU4k0jNCwZR/X7gpuDBthHasOdWKIL
LweLCTv2/FZhEoCoxCJwOi3UovPd7DrW9yHN+2tQKdMjSC+G6B4HK7CwfLCKM7dOdFNni9US/RxE
xK+HZJLwoMUovQmCDrb1wikZEiQTmA+b1Va+dgBRQk9Y8vhjzny0Z32Y2Cz1ZsGzkBnvRd44M4wo
dOSPBKdPzXs3uVrgNblA/mGblF+8oGvVhpEdyC57rtwR5q5fsZOQoMU2MXFO0Z6f7pgPEgqab3MS
Kq4TVF4e4g9dZfDMo/yFW6ZSezhkqBytiGHJqmNxnq99q3GhIl72tr/XRf8Z7f8LX8lfSsT/0bo+
1iVy4p/61t//ix99q6t+czjT3AAr/sWQf8kG+KEnduRvNJ9wfXxWlRfvNr3uH10r5m3m92zbbIe2
6KeuVeDr9jhewT54F+wDRej/f9t6IUj4F2rNZfmAv9y59Nt/VRODo5s04yNkDcncEXduQxUaJIus
v1yRf9O4XhqsPxuwP14GRA7N5CXH99ekZyoDHUWLcxkDZfpaBBp3wNSrzSjjZpv4s//496+HLvun
VwyUYmvi01rSihPJihDg5zcW5f0yRYDQVm1YZ5ICHTyrkSuUx1hDMHmJXqx82Q4x7pGyAdMZ6IZK
L0X9GXAf0823sG3Rtdx34NaDK0cZJ9w5ALdrJJVBwjhhzQGdLx3PJhGJcZ2mGYEvmzQIyXHaCAfl
UbQxpM1X9jqPi24K4RSKATFmn6rMwVW5DA5RBVRUvp+CGXZTfzp19C3Th1IN9c/KSDskSrOUjh+O
HNW2Ga1NEdYUeWtEOqVnv3akCqbTpk0lhoS1kVJglnHBiLNxBWrhd4qhWwqCHG5fEfP8InXbjl6Q
GvTLJ79VBaN5oxVEeESo/Ny66zXEV+m0HuPSflx8uO9VbteYj8epmnHbumTCBc1aRplHhBDAxxwE
t+uawl0FQIVy2PR0aRvZ2V7F3t0UPokxFgJCVC/8LrjNAkEyT7ZyEgq2TZ63Fp0RuxjR3RMVKJOr
chgFSg7CxJyIArHuylPpqgJpZtFiFcnoLbbIdlWNhId2P37TsSz1ka3SbHGMdlQ+32c0w4hF+so6
Co7xdNWaxerIJLATtWKzMYWERJSB9eQoTVZXXFHEbjOfdNOvNalG3dr7L/bOpDtqJd2i/+XNVSvU
S9PMVLZ22sY2GCZatgH1UoSaUPPr307urXpg7oPFvCY1oS4iMyVFxPnO2UcYPgcAezLMFQtb0G45
hITp6wiWy/5SN4vTZCtuM5PDTV7b1alXtmlsFjQsGrg5XuvgpXDIEG4lE/t061jVXAB3thYvxaa7
IAecM2f0eTP7RRyfJpAqFd32WFuOnl8bFG1WQssaZHei4P7aUz0M91T7CQ/s6FCrd5TGcMECOrc4
E8gd7VNjmmStcKYZAJFLunqoWlho2ouqoKPJdTVbo3bI6rsia7ZZF8beyetx999AcpYDdXpVLS/o
/yYk9Zux+e8PJp64Fg8MpzUnwtzJ0SxyEoYJhJFzS5KxKrHgNduknbrlY6hty5CrtnBYuvG9eMW6
bwOHkHHFz3ZrA2QOzy0DaoPEfVBU90bG2OHsBp5tPjgAa8EVWswXD0a8VMzTmJmjDtPpZ/ZFEtWa
SkOgh2Nc1mfiX1V2TSY18fjSZ1ce1ORXibrWiXPBAZatCFW79oFQl7sgYCx1UJVre8ccw/F8nheH
+rfBl565GbtBD2zKkmUhZL4oNVJxm7VdxunTlF77keNJN96xp4tRrpewrfV9S3Fbma6EAe55WKVD
WXxq3LzqT4DXiuARLzaeDXja2NfjzWALAnUo+phThnU6OJVa3o16crsFn9cwJY2+x3dstPJ+Dnvi
zmfeWU0bMxGzsN/exXR+T8NJUa7UBi9Lj1uKfhP6ESnak41jzPeqmRy5AuptT7T/gaBlD6Qx+0XK
I7AhNw2HyC7yMYmNq87PNVLPSDKKTZwpR0Z1FPya4Q3KawYGEe54EZLrxcpKExuB3GlVGbZMtgvn
qnbnd70vKDDPjfy4GIwJItwLQbxpmaQYe9KRTO/a3ABFKQxc4wePF4f5aBSGcndUtfjlagj82DkW
vWxPdSKQFQuHnwPCBVyGNVBji37YOV563JULqVBoGY0NHD5c2S1FZKS1ODq2+UdqaOc2POmZY1N5
F9YBY4dr9I04NYB6ln46/EZI/FEWZVVB90EztgkIuSZnvDfSD/aqgQkvSCkbD1QbVdXQzKvSW7IP
v16//vE6gQkdjbWSTp83uiHrPs23DlHbppCYO2Up9X3etOEfLct/L5K0UYN4YrX0xZtF0s9Jb5A4
g7NEjNQ7gBA4KUFCvHXbKyclPvzXHvH/FSV/VM4uX5/gnHiBI9oQMy5Mmh92G3Hjw5nwkL5owmD3
nNVDtVpcPKu1b3YbKpDFqnFm8VzEdJb++hv9UYn8dmn2BLxFmCHw0114gN9vdBq6fj38Nemqd+My
ysei3PaqwavLeeOPRO2/LkWcxbcYB7BAW/aPl2Kxdivtcik0vPhmTq3iipxQ8psP9PN3efkgFqoy
ejZi5JtbZJjnsvNtpI4LMAOC7yT5MER4nxyHMoGgaVnlYGbstU0jxLfv8r9b/f/5Rk78/wlO1/Sj
v77+WBB2YS3+PaIyLyFAj2eJXTs7XeTof+/1DdP/F7NDROPAcXkA6Mf8z2b/Ulhv/u38ubxa+CH/
nlABieShBBWGEQW99mLy+QOGk/PNq/N/u3CeuNBjs88Sh8IJ4enCmPr+GQiWEAfEnDyz6zKWE7sR
qzpLByGJFs1BqUOS1TmKXIINUm76CSwpI/3JCzsD6FuQu7Rs0T9UI/INf0l+4/RNAETqusiBbPgu
zTgXmRBX+0UyHOok6B8gGWCGpgrabpAWGZ4htK0qu/aRHT3VheoDALJvimT8l0CprGxCrswbQ0yk
pWnmTYbgAZfAReFMw1T09XXoTFavt8PilsM9KsxQ3uLWHhglOW5pRbKZ7ObWw8pRkSDglf5MILLK
j5R2+/Oa7OLkkXOcGjK/fsK7IOPdI44J2Rx23boXKiIjB2g1NTrChY6l23v0x1C+CwdoBzfSq8qP
rPyGf/BHq2v3otKC1xiZGbSREZZLPFos+JVX52STk4Cjh7vELXEHCEkbpzdUt8HqpLaBQRsYYl1Q
621tWUFz4+sGObDQMqdhypkLg515ZZfQL+y6XQda0TIEIM+Vu8xV7r5zAitc9yQUAZQng6dXRVkA
gJ4IQT0Rf5+vbSRgUgXEcb7ib+qGV/rMi/pMzYcwT2bWJQ94c7xmXQR2/GoKu8t39pTJ8VGyTQzp
HaAksYNmLYIle0ZutJ2jXbVl8EVJDPVP4cVUckPHadidhOZvioYO3ZoiHF/bRzrPnTuN6Bds2UJP
LxW20CTqaw5oq5wx5zvC4X4acRDidGiA14gjmt+RUiSeXvBOF9ftOlNmG0OXDtxPbp3V99SHJfYG
5KJ+oAvCwQyR6yBfFS0mJt+KJ2fFGtTN0RwUk73hj9CFkqaxvmL2hhFQYFK5z2wKwVYLVZto1qlo
b1qfsSoK4YAnJY+IX3SS3EBdpvCxCpvwTErXRL2rsznYmgKF6khWiaxDITKri8Crlst1T89Di1LD
w7wimWW6EXyTsDjjY6euAaPT/CgHIa/J28f5sXIlJycW4Sy58bsMy08SYOda9exJP5XBoCB/CXP5
yikgsHeic3hghCKrQ3WXTa/d3IvyXSVHMziMI17OnS7xoKxF4syYxEB9bbMyyzmS4g96xykMaqVm
J0njUtZeSts8QOB462kQQmorwHgLPG7kCjrENhgyS6CwgNEAvhtIuAX7IZbmx6wVUvNDNaFDuzdu
VJvtgo8i5lqF5mezwnjqNgNdmDRVjRrnFLMM1GB+FJUdxsZNW0ZEy/ioHCutdtBPirs0JUdEb9Sk
1BoD8ERwbvCY1Ka+V+PNoI4G8EpV0kxh2clM8ZQilaaKzCfaivUbN04wdziUgDtMUAh8ThJkle+d
evCnVRwMbRBZ1Ok6D3jWxLgjLjqW54ytabpJ4ot1GalgsNZWZYqO/iLsJU9aT2R6xSg5aWYLnNfN
MlXmM9/yON5Ojefc5T2cntU4WoZxj/dE7/ngRgSlP3g2QdnIgzNWjscXXikqGTgCwb9va1lHCYwf
e6trvApMrpBrV7k0i4W5XTfV7Z7Iru62pP1R+q2eoxWypyWEtUElteQniET1STjs6W4tOXYNxq4Z
cc+ZLn2JajKy56V13btK+7zJ0cAHf9cgGdoM6hL11e8ca695y8sP1TCaKQi0TAW7TEHzvSr6ugbh
NFKasBsGK3xiWNfAd+/4tvLRkNMVWxHQ8Z5PO/K60nWQb1uUa274ChPrOtPUyEHZIUaVnkctHeua
MRbaJ8Zqz3o/SN9/DpyuGD50RKH6rc1XI8mupEVx78ZTCMvfEHa2Hz1CMQdn8ia9dRPXaBClG0E0
0SYA6tYcYY6p0wuqhbCtv2D6InMSFqPfRIzGCvsG+WrktzNk12xau6Dm15l9w+K1tCzWhkQvtdFA
2Cbni5pTp2oQgBivoOMwI5vwGBIIxWoo0kLNt2nuUBm3jqsu40jJRj9mOsfx0aeFycpiZumMAKiD
P5LOTaD8M0HJLm3aXu9fcRo02hciBDQSY2NscY2uZnQgvJBulcjPVj8BMJlF1zivXtGIRzLWM5C2
2dVAAdehUdGGGWkf+femTYaZQ9DIcGdL/TstZPDKdIphrca+xMpHh1uu82q41SiG8y5DqbH6jdOC
EWSqZ1oxkw3XyjVcZruw3lUesDEMj0xio2maTJNK+sldznmXmiT988ykcMl3Brp/sI+RgmJbfecE
KFTAdypbJWADjMXcuSD0Loi4nPJgm+L3ARReEhQUGgK7wWuR5Jwn10hWgNY5JKNYy3WYM6X+kiXG
3Jw4XLo+3oNYTmW9jV0j6J+DpQJwRC1c30NS05mDJN+p2arf5zRE2tamWhjRIrHw48pDmSNelSCn
5jGeorDv0/m6xtYAUSxNK31yuqELjp2B6XOHBJPxwy1pKxxifNU0TJHDKtfFaORx4ES2Rw1It2oo
2MajmIVioOsEe8mE+W4aalPvZsuY8OMVjG2WA7duwrvJmkM/vS4r2/A+cTKfu2ttCjncjHU7IsPZ
Rha3HzCXSveqR2u1rq0BTM0Jjktf3AZ90dSbUI0+52KvbRZ9K73amB84aQv9sW8IQ8DKYbrcw0Kb
5oy2kIQRBC/xqm3fuTFexW5V+4n9tWmdPD4BBTTqyHHbMv6Ip7JRESk4/4FzWXjNF+cvIKSd+kVC
FFNUS0PM05+YQZThqk7jZD6FsvCcY8ZuoHiY4SPr50L31Yuq+1juy0aXmoIiHmPqEXIqd+rQc8bb
opIakQh7u7e/ZMDT05zYTnWMDerC934B1OmJ+Bqf1MEV2n6YmLjet9VQf/Qu7pFHrzJBKtUBUM6d
xFPKaL9wZ70ep1pjO/esUmwsPbYU8pAHNR7KsmzGd2PYuJXB86uydh+guJYr3acm/yggAO9SwUs/
+u/R5y+DHlLDdyfqn6Ycn7Lq5fll/PJ9huHbf/LX2Yc4AhY8Dr2h/Xck4d9HH9INnHscBJPLxMK5
8E/+PeZg//MvRiLMMizsdx60Zw65f599DIoWABebTNgF+j0JCPtPDj9Y1jjcfHf4wQRlhsg2WHcY
w7D/eqM9qICbK9TwMs3Gcynpaoa4r+8TqsVoYKOlMAeb1mY56dy487bKtJsTxP/2gdEoNrtYMfnz
QQxlYDTXVXyZmrJZak+ZHEj19nJiaClM6KvBB5jMJ7+zpl2HGXenAndF+TtKB/uWnDbxdjnVaaL3
I9yJBMf1q1ODi/Bl9+ADFt0Ow/ReIKNT8yhS4456dQqOBl+xK5LOXL/aYigPsyPMfetBZHDSpT7k
/PP3kv/LvWTjM0Sj3QQnjN3ezooddIC4sdYUlqKcJiAmSmGmm8aBrWT2L4NLi7BX3XFGEis9UCdV
BgWq/kChWODApuKit0MOW2mu78i+npVNIt3O0uHkz0mOG3emjWW3pFacfcUXhJG5StKEVq0mNndO
M4kDRt+uP7akyq9AVbjP5P+YMk1gACfh3NfKNA7jXIykR+lGTphrRHVVl9u0FHu2eGa1IlTlb1tz
rrft6HeXkDQ7UIL022nRr1XQj3fSmuWNYhkkfp+HZ95I3iYgUR2JAMc5M/lHiiPmtSflJRrQMM43
SP2vgc7eglyVh96wp4Mp0u7GVGzAp06jghuYtYepwC9ig3TLjX7YKAweDzqIcWFLXfev7UiMkgIy
82mptHOavdT+BFDM2FV5W+1B1ZMK7klgrIasFxEhDEJ4sq85XTv0eIU4njbCd6+GHjkWbhrbV4ZW
28JMIRqKcZz3MhQwd/pcOi3QXNFj9tfLw8irfx30TXdkysxmL0iNvS9bSAnokpFMJTSxmZyE6F1n
h37Md+hZE023Xem/NsHUPAV5Ve3ZNlMOISeLzZadP6AX4/5aKMYhgENgrSqaY5pY7YkxgXmwQ3ZK
ik99vpgp4ZRQ/MNAq6fmfjILYzukpnM1NsI4eXmImlexb7xABVxzF7dl8zyPI6una0DSGEAFraxl
xHGuAqGxj/dsheEVslGIkyu77ZeDlYJxAbJTnJpudsNVmuGxYsfDaqrt11QbLyYwSr9mj0pV2Gi8
D0sTHlcfTruYbMFzg3X7kSGcc8+Ns3Cn+AXAoGK6c8zGpSQRHGrq991rsjgYaNGW37XFYqzdNgOG
5/g7t2bJbwTdkYIJFo50nV6NillPF1f2VrL3icKQMnA3EfRgwq7D4Se6tFoVNr4GNSq1C8PaOfn5
fIewSflQXWd3NdRdPRk3LZSkHZmJPcaN6gzq4yixc1zhIN33o6rv/cWijNFMz77r3edh/dwAsyDh
3LI57klFYTbgC9OfZis0rhHD3znaeVnYLFNw7LS7FKMGyRm7uDcNqHUrOzMhnJpP/uR475ks51ub
olkK0Oif9CvkVuq/LXomz1OJJQg+0avdGvoFR89NEYcPTdPs5GziemCsF8TJTbosj1XY7QDY3ZFE
fWZI8TRr/zHGktLVRrUN+hpDStNGnddxXhBgp9qvDjnlE/V9T5j+Xzmmk/BQYxxNZfISW+omEKT2
Qd56q4ZKJ/LxU/ol9lBcUv/cNZU6lfQ7NZm5XToKGzmXbzoPO9yUHZinPeHh8G8tJiERHd0fNL1R
XubAXukuOd30NvXVEeuQAZBBHI2hlozjzCsv4MzcaXb0ttwa2WVaQt9O0fk+mByJdRFw4I4aLF6N
nHyyh0m57lfpqHILR+Ge8DJnB2+G3Mf3R50gtfd1eE56B+tKPdVrf3E5WfuEfpkeEzmywylahgD4
yWeHrSuQBsrDeGdck9dqAA+G5XH2GutI+ek5TFKfUrUgXmkZLvu2dK8Yuy6cPcrXPJy+cCjduYY1
r0DlXYc5k+sc2+hEdn/lu+krpl94VQmU/3rvIcytUtygWRBfM4FrNwRG+cyt/4Vu2H5V1t5dOo6Y
BsPTxJOx8uEcPA0Gz9OQ5TccJbv9BNVjjT/pbrTsSITjbUmfx9ciYZbqFr1HjW6IVaw1znnG6pl7
yHcMc+rtovB+eiBpfTbTZGB7M8JOhxPSzTQlHjQvW4t/yifAtW26PArQYytA5AOrLUxKcr/dPbCr
YT3by6ehMzW9bUH5JSi7EugUPxpWw0u3Z0NypuO8sDOtSr0GbQi1qEUGisui/bx0VB02fNJdaBlq
19CC7W8SDWDkNPqAve4G3+MGX5ZerFMm/+MWZwbWHwwDMMx05pprVY7ly9Dr7F4q/neDnxSfHMcd
Pe6Hmb5X5Xt3Qxo3EYw1iYKauushVJRMLqI+Wth91pCndVQRYqe3GIh4n/n0sMWMb0MnW3sukHh+
bPecB2pnASPfGQDo16aliq03QwI0+2l6xh3pZcCwbBGJlrMisE4FM9WbpTUduz70jY3OOj09VMgn
4TFrkkJFFiYGhu3eBAH+doL2SE0ZBaFSyfU4mtWW2fUQZTE7bhrgsqF5pn8jUm2ysYhssbKsfVl8
FFQ9r1LsGmBlnA9TPvQggNxbARzTV9CJGsFYE9c1ePAoHpJz7BSbsMzBi2esAGs0HbF2MvMkyvlF
6pmqwBBPxiTuJE3A61R6t6aZgZYSrKx9TNZq0YrPSCN9g0LzNRCzuSbqT5G2WU8bfkIBoWgJp80w
jxRql+Vz7s3Uu8dAk5yGfkqF+XnCMjbU1kNbX55NOEWXwWG5dUfjZW6m/MaDIbKrQvupaZBQhi6E
ue3W+GRt3Fpz4z1mar4GXNDvQ2XTAeMnyRqTAmKWqGQUg0UiiZhg6yjmhcj2rA84p+19lQn0EeHG
M2PNZLyGVZueOLYU+zJsi52+cGRFV38kM4CrzB+x+a1ixMhIjn181eA1O9NQV26IhubvR1UteGHD
/l777icfDXKrEBmvyNh9VVWxVYp/iuCWNKpRH9iGeZ/yzoQcmTuUnWNi7HZNGm7Nttl1/sJtFGwc
b/pQwJbfQpJKIjji6RqDwik0vCfXIfwukjl/qCoe+LbBwhKkzWUIj2FlBIXyMqg4O86VYmrg+Zzm
VdHqZ0UNce9b8Gx6Kk9Z2GQ9R15qwcRhJm1JaC+XAJ3RLzgzdYN3el8k/B5RbhgG9dXkL5Fe62Q2
1J2Jkk2QjbEVq43jyKU9YYK2vY09mxNW22xW0PCLnuoICD+wVAB0TRdss5VAnpqzeYiM1LDbDcde
o7oOjLrQMNFtyH7UUok7kZuGoIjKAzZUgUovb41kts1PnQ0bSLmhTZC2zeaqeZ/SQUjbQV8V6ZlG
S0HZ+YSU9EXWyUgFLtGxWB5xeY/9TtGF+7npE18bGw6reYhSy8j+g6Bg5etkJjbe0wnVFR5rqnMS
QgkIsKM9xF24aQcStkeARmwJsZx4p1qIVL3InhDaBoCJbe6XbEnzNfOGJXuUbG6P0humdWHwPsPb
q9Jsj8UfoCAa8REE0rwaSqBZJ0y9sQvp5dJl7nGBExr+BAAG5LJuz6ODQePUFmn60GWy2zj0tUWd
M9bDaZ51Nh2H7KJYtXbQ7q3UcJtDwgyFTzw4Gct+Q2Z3tXCJZwSnQul1NQ/Mqj08xuOVuZBRZY+M
hHWmIgG9XVpGqw94oqqHsHDdF1SgRLD6mVRoycXLBwAWCuRiucxdTdTRWeiLvyjU1i3CVpIetM65
y8ZJBqxdad19gmDjuRglg8xY55M0nf08ZIRNxgR98UiZh8f7qGZkT/ImdApqYru8lftkggrzriDU
DlN2UkH3rs4YX30w/Y4Xtg2nh0FqCaF4xzMm8BN7w0hDp8qavqSp1mNwIa0kMza1bpWxq5umrtkC
9Il37ZtVBlUMsmQZJWbWlxvLuLDc0AaT9rOt+5HVJzVGai7Lyb0qaLVi3YvD5D0zW/O5D3j9rpo6
bh8DcMvVhqWhGvdxG78TvSmwuZDNnq5Hd+kuMvFifg5sHXQ7Mc2w2DGYmxxZVnDm5xMtgM3Z6FkE
dzxi3nhs+tgnvxkY+Q7bVaDfG10v5CbPp6m+FWqE2IeTjOOxDSliVYLFpIrBABQ2d0wxBh0/NVVA
84YoqkNGswYwO9YcLDIVp1my4q2eig3TLtj/+Tzt4eRxvLOs4RBAxLr1lShuLQFyrxxDfldiA1TK
98JSH0N8vLfMkJyPcZo+cm7i/jQHJmA0j8Z4V3n41gAOq6dRe/kN9hSIWKInHTKTx9abACg4qHZ8
ac9h6UGUF8zkEZz9Ptwr9uIfOPH1xqbFG9QdJYB2sQGej5Vmqj0C5J3aotv31tqDM8kIDDZ3eNRh
UBPg9nTx4E3Jc19YYHMw0GxVDB5pCJzzYukhKvkB6mS4tnIfs02a33X44tMgl0x2/GGCED6aJcpt
/hVSR7fxk6YIt0S7mcURIYyUggSsNR7wFWrG8Gw4zt92lf8O6v/H9NBvfjWoX56rl0wNP+hV3/6j
v/QqzLcXKw+VX8TSfDCTJNP+suXa4l8WWijRRxwcKFYhf/K3LffS6OjgkoFEwwzdsr+5Sv+jV3n/
Cjxm9MLE3hcw0P+jYT2i2HdqFX8NMArh0kYGAx17zk8eElJRRuKSpWBGa6wShqRX1RDkd8rrUMO/
+2p+a87961omizP9fxgNhPkmpMfYjoLREvt5EOpYr2PeDib0DTt9RcPRJ5up6O9ygW/9TXy8AEMZ
pVIOYBHrrTuXhFlFXwhEN15N/UbbsxHVNPH9Jqr3o+v42wdDPQSbYhPxtS3zjeen9G1HsS2jpD4J
6/Tg4wvC1RlAvGNngiw3ujV8j19/mf/wwxE0Ru1EvGQcZr25ZlrC5HN7XgjxMIcrJrHVRWaiOGbV
+0xTfn2xf/qAIblni8o8vsTLTfy9oSOPCTZYBTVZuqvl2a5D97PTjGqvoMWzerfgIH59wR9FVEgw
rk9LGUYSl9uE5+eNg4QbUuiGLdeK09NJdPPLlMbyhO3iPUyA8KqqmWpgM/z1Rd/eLJeL8l7mipQD
ku9+46dK+5iB65RPqylnKsURCBGmbMrf3Cw/XwVzmvBpj6dD1TLflmBqRUU5RTgMkPFen+lXz65V
57/8+qO8vTuIOuPV8khVE1cnmPRGhJ7mGh9qy3RRumb7GHJwuGVxaQ6dOVT7P74U+QAe6NDysRy9
/Tydk7AkjS5Q+oQJ0hr77uiuMnsen+wxHZbf/EaXO+3/1PXLjRFQDkfLuEWSgZfImxtjzBpVNV0N
Po82p30ezvGHVOrhQ6vyBLbgnIK9y3+bh397/3+7Kl5C0Op8qc7b1C/5JqVkkC4MOL3+LouX6ZQH
YX1lE7dczzNtML+5///hJgEyYLn8fCZDdvfy59/B16mgQ7CsGso5YhVEdLvHeza/028e63++yoUk
wPuRnO6bxzpzHezb3wpmLEmEKDep3wkBmP/6BvmHL+9CRDBZxdyLW9H68bMASvVRJyAe4khCFSlc
4xyrzD9ama++pvjLb399vZ/fHaRdIOBTcsgHM4M33x1Ibo9zIWc21172fMsayDUBYkqUnmRl3uQB
pZ99ax5/fdV/eOKYLtHVxigJ69ulrvv7X+zir60gJy2rgLKlqB3cZtsACthTOj88/vpSP/1sl3eU
5XoecyzGJRcj3/eXUh7pjtJGhWDt666h3Oa7umZu9IdXCRiGEdghfM4sC/vnj1cB2g4I36yQKTnq
AnIkibfh1G3e/+lleEtxKOYuZ4UO6af+4cPkKiC71xf2hUJzcdyH4BlaunT+8CrM4xDT2HCxQKMD
X+7R754nqjB7v3C4yUOwrAx42fAzI/Y3v77KT/cATyxjRuaIvAltvr0fr4IAZemALDuBmMA4ovMv
t8EFv5l7Xb799aV+uge+XeoCAmFDZcEF+/FSwDmyecxrB+NaaiP+VoNwDrPMfCv69YUuL9QfXrgh
vgjiX5d3LeYL582i2OpgaHq0U5hAXmzyTp97f58h3xhry5/HZd1bc8HECxTVJfQ/FQOJSYKKf/x5
cbryZJku9lZW5zdfLc8rvvzMB+w+6Sk5ziRkxM6yK9n85vP+/Bt6FhNc3h5sVLnOm+fYiJELWjf0
V+XU1Ns0VGh5wzLsE1taD7/+an/+DT0uQCs7zgN2Odab16+3mK5qKxwo6Mbyxjecet+Q+PrN6/cf
ruKEeHR97CMm7/rLB/7u1p/rxBttipmoP6yTqClI3tXUdf7mawvNt18cB2DG3jQAs7NlZxO8uSNd
5gKL9qliQ0Ppp6hk/ULiG1P12Q/6uP1okK526NRT7E83fSZjbGmqjZ1kl3Qw/u+9tqMY2MKbx+sT
tQ7wvoWzcQPXqxBXGUPLz76rbWRojMQtE4Wygf4dOx0SataJ9h7Yt6bRidUYo1jOubtamYlZtEf6
q2CUrroUWHV27ELt9/FqNvUMHndsUmCYkBKGZA4ONP+F2V2eTo7ekldMPMrhLEvpO3eKZw2OAL0t
Wup6MO+I0lEtZcp8ACkuizBcq9yd/d1s5216GvJOvqf8R+zsRlPtqvh08iZ2QsP/mLbjXF6LrsIm
6dihj52FyIBYi5mp4r7IQrNmWOw282EiS1jcGbGTqa3ZGdN0xX57rsjJcex3ScLnMtzpeqymekUA
LGZNLVwQ6v1kZe67ppvidEu/dODQReYazl1RMXYEkhyru9yENUBvANCUlSs7sAcIi7DxB5rmgcS6
nVU/WRjKBIKOW9iP4BRTypRAH2TlM+2zHl1MAdjWFYz1lASCAAOwwZWq+n3rMOtjd0tgb9V6Y/Kp
oFwtwZQ4WQWNqWb2KNLMWA5BKA0syvOlD7O12gbU45x6j5ATynkPvLYcYez79lfGKoQBYbRjK0fh
alp+NeI4TACzCs/sFA/pHb40H7uEn1YmqaSirNmH8rffpYbGfGtU3sigp3JLKGGlN41IbVXZn7Hj
euGxllZ5O6jB9h5mJ+jmA4UntRvzMqtGhs7QHxhBb2ZBS9qALNilFF7lWNvtNYrT1J3b3KnaE2Yh
144oiNTt56yal0NrzwFdMJIR0qpmTILZlHc1pbxWhhVpS+S9b+9lrwaInoBGbHvNyJCJUuTasre7
fQEtH6duFzfCIipeKTTfKIHdDZnMUonQn0O7Ef2VE6iy+zKgjMsahHAfLtSeojOfRYUn4dhd/M2R
bj1T7flHdK8FVgUXCB5VF0El1FeD0am5CpusN07JGPoEZthgV80tfgmzdzjy2bYGxRfn/Kr4yUID
Q8ri6RcxVla9w1lS9oxwVIGtuoBAC/Ew76lAztucxKFYmJC2oGymQ6sz6hkXLAfJ3VTa+E1N+ljC
66lPZUeVIJSWgIdK71IIUOK16mwKvgLoKCe6Q8R8VU4xtbpjQLb/YFPVIyLscO64KVNXn/vRTpLT
NAR9+S4o8c1u2yq3SIUaSlmRaVNlusGOhwYGCDoAFxEXWkb0lgA0Vng3g12axxWeQcdjBZsGfDYr
Yw4XtiRM9G6mYjTfM+sWMH/5K53IAcgPWcenhS4KCFQ2+966QNsYmQ3N2umkitdBTmvMKu784svS
+/gKxrQkkyQJOJp7dxjr8aNbOKo7pJx4wj3VLZV9kl2VOLdDmIzeB+YXQ/YOTk1Nto3Sx2VnNeOQ
cAslpbsN6z78oNw+uxYyNJKIaUDzRZhDR+mfvMyXl94BCkLGqZHRmJB7vVdtQA+uIRrKmsJ8GJ8d
Bj4wwosmfWjGvCSq2vr0/BU8/udiogsPSTTI5j2aoo0JGlcv4EaPA/9+LFITQ1KXQvkJeRqfmJV1
l++srO46GoYwu0+lcS5Q7O958fuYM+3ASHY2qH17BfCuZ2ZXyeKBThhJdpjoQrtLptilDThA2wTP
bsGgAJrlAZXMWrdaZ7YRBFDhc0lfdA0/Z+uYkuQlI7Y2fkrY1XB0J05tXtlhb7RnorfZoeF9gaHV
pAuArgMrqz9Sa5XmUT0s4UevZOFcWxSAe18VJl1QGqZZ97iqUgZAMQ0mFmTPoDKuPCVotEauLb0j
3IzOXSWjGEKcuuZ88b/UcLYcC8vvFs+/uWzSuPdpuehsQr1mOEMwJH7YL8eUp8XctkYuOsqU6qk/
Kp0wPpw86VYRZho7PyjB8II2FGKvj33ftmQsfCcJj4KlfF5NY8XxFx2bzVDpzTR92jXCTVRY0n/h
tabEtccEcTtQzaguIAzyWgDEacBI/cbxP2kQSOF6MsDLHuchodaSX5J0IS0ViBJyXvgkIyT/ZoMj
K8vXrsahH2GawXoRm0hp8zQWVIiaGkfqIn27XBvj2FDfMlkeJVXEPKl4Dr32CzjTmAxvNpcXpGXt
sccP7XE/6Y7ic01eTa2akWLNLSRq51M2t+N9bmYOOXQglnJdlq1xI43Yp8xO5nqkhNhP5AZvcZgf
yRwbhKxDI4Nl05DRpPdFK2uj1VQQ9dZ+/tWqrLYiO2/iceuGan4JpOr0OnfsMYgK+Jm82z2ajFaj
MEn/UMnVDZEFhLwkZSMvqCJLc17VsqMUzBpLPGNChzS1xNr7gPEkrf+XvTNZjtxIs/WrtPW60YbB
MS07gBgZyXnewJJkEvPkjvnp+wNLfa/Eq1aZ7ro2ZUqVmMGIAOD/cM53SLKpNBiciVFK1ilj5Ky7
4/mGqd9cBY5qMDlIbMreriZ95qIrkB2T4qHEo7sMQDtKZdCYqhgsVWgNPfCYMo+Id3eburtB+5K7
/D6JvUofoNRs2P2v2Z1V7qMpLpYSyte4WuJ126mfMTkY3PJEoBCE2UrXZOrYWh+JKysOwNFirKWG
ikxqKECtibZ6aLVALhwG2GkzgpXSJa9+IoutsYFa9ao+85G51YXZIqmTGagqLRvJLsBotHXjQbmX
FtFW3o7ZwuRRIBV4KgjwjXxkdKaOM6p182yHXi5qr+MI0ioOxQKHNTEuZYcEPxuG8QIGEkRd4MU6
oRXs5BNijAuU0wXO6OnOROxmBzVWt+xSZGIZ9jlkk+mw6IJrp0xY6l2QoO7nFw21RHfPVgjbAoJl
werYgZSPeklLFKl5mxrhv77sSi31xLFuF1aoZ9MCloO0jlKB89Vs4aT6koMUMwU8NoE1SLNE80rZ
YiLwX3DegPEdCbMXGlk9KQei2g+kHNiHVWNOBFlRAh2LaQ7Ja696hAwOcV1EJNAJPrcaqsETbibA
aVUpDabCtTvfeH3a+iFAXIPoCy0h9FxGTj+HixeTusDgh9A6ii54s0mbmXz8LR/Blm/GPnXKUgrP
WFfc6BoyeETd9vIE+TeuqcHbvg1jKcWtZF9/sglRg4rKE+ocR5bIgniWTkfOLoRaNAGKQHc0AaSj
9bFpPc/0tlxupt8bWD27iuAbclK7HR74Dk8VrFk0OgILB1k7H8z62TzWsJShI+lWe50I3QUNwW/e
8ADkaNygg9IudUlyF5c8IlEcdzMj8oGZQrwFGJw9I0HlCaJpUclK2aJI3ICOAWSGWrv/KTnUx6Bv
NYT+g1l2OUnk0fjUYnZB2TqaUB9W9/y9ypai2FaG0SOVL1ALkdGBRgIwbCyH7Wx6cjjMpVFAEgDA
dI+qCbDSPGhYRCj73GtHj8kjsopiAr5KLsyzaaYyCzx7mMhv8AoUThXyf16d5cym7Sfv1hgzrQxF
meFEX/R49RIl7fALe5kTb+K54TbM2MnJsM96l39jud2jwrbyXueSkeniEdoU0rONn6iGmyegEM4B
Ciy1lJ4bdEv0ArUKYi1X5xlRbBXaEtwx502HM6nEF4/sAbQAskvaIVxDnQuSTkwoHUgOdpC82cn1
xJOuefBT2ToEBriKS4n8ITdsoVgC4XN1jWRqeF07iHYlYrLKHvtNVldmFwwmyrEwn7Plpq+yuNv4
HKbow4Y4PiVZpT20TuzqD41nRuNGyny4WloMQ5PqdQvVktBuyYlIyGnWB2fnk4xxBoMt+k0HOhqt
R052saji+ppda0f0qJ4j41CmgyBJIHKa+fordIIcB1G0NzHITMcMTXV5w8xj/LVicz8xrJMtUGqK
05OUJ8AbvjFVPyeBhJAjV0jUqFU0zEYEG8XuaIMJiUPAuGlkxWOay6fO1jjKbPJftHkp5U2ua4DI
2PznPRaY1NPzByRiVQfxyZxjkxrbkmZ3lVRawV1JhI3CTUYBxP/j6pH7WMppeRgB1nfbooCqtOsb
q0BM3Nn2c0zu9j30CabGHl0ouYJLheil7bMZZjc2HY8gOWO4mBaKdmR9C20Id2vKRaf3DsvnrSm6
5BdyAIXmsPaWn1Or+o+s7ZIhqH1OHa5TwOEI+lr8Q1YZo0bgkVFd2DDkkl0JDagLInAz0baQigqY
ADTrsU4t/RG1SBPzsC30cu+7RX8gsIM4kpbMz8tKoJLhe2gc2AlU6h9xH9WoYr0kfyah00pCLDTF
Lm9EagWOufjP9rSqwMwchAadl2PZzVv/pRgrSpZkr3y2s7HNtbGdAbdQem/yqXcekkb6eVgPGgof
8FfgbSKrHIZdjDxDXLDstu+FY/bTfqIUxDEzME3wbzTGGdlF9SW3c1yQYltzUBBVVomeMduCZxs0
Csg35DvjYDPyadgybKIgrzsB2k8SXW5uBzXZB0jsBcoG6k0yNo1puYdq0hMu5CuSHHPdePZm2/lR
zfwlCDU6jop0dIbHEbci8VJSb+0tVxy1A+NTmHYeILoaVT4zNIjgsunCVmZxsW/RDSAxK4bqvfSH
hScfW9pp49gZSLa+Q0FgVQSNbslRB7tGAQrHdOxrdvdjItPz+CUDzmbPlXvWnyiTKTX6W6lA2HBM
e9NlZajS35p1q/kc8u10u3SQGfdLNeRwiAZNS/eM/Qhjo7p1Gy5DNNIuAlLgPwOD5w3yaaO9RCtG
kGPqFY57Hkojfq6kVxONjry9Q/1Zmvda7UC3Rr8CZUxNzlq7Ica7SMnymUJ3QVdGyTdTgCacoShQ
bG5+HEioNiW0IyygnVHq2Cr93g2GXsh3tyZjfQNGalgjw6G97SfOarAiHpB0Thmf9AQNeVAcFnFG
zlKOdui1HXnMgDwVlNmLvhQPWustV1EWT78kABTuciRR3WmEdfTBdRlb+K9oNT+XL0uBTm2snSJk
NMamJ/+F/fQgjeLgyb6r9h5OlDRoDa+3dnS9uv5algKjVGVlaB6l3i1vU5vy3OnLxLguvgwbBO3I
F9ixkqJpSCVeB2vJZy36oc3eZJZ3ydwL7q+2n7P9CNbd6y/1BqRQmLcLpOAaOox8Z3CQla965hC5
GUtDdXsVN4ypNhhD0u4+p4xrOfhG09GeC8xOyR1LRVdkm6jBFphsElsv1G1hFbYf2M7EwqXNRxKt
vMgZP9HBaWS/VSQqBDy86ZbdnH4lBUt0zhcv+mW3Q/lJcdu/NIOfmE+Q5/viM5uovne4b2DNGSiI
CYdRTVbfQWpskJMWXpfcOx3LaqYAbfbUxd1tlc+epInooH/YXBrw6yh2M40cG99OwqghD5HP+VWV
xrmt5FVVi0/63TxMGvejKszpJfM9BVco9veOO57UWnJqwOy9csJhbYymeCfTe04u/qPhVoryao0W
kquoeABafa05laW2OBIxxjiNYGaYoUh6YSxh08q4jGD3phrtq//w6gnrJO0fDXoFiCYG5zWwKMr6
K7+3jDs6MyPljk4oT+fRU9eNDwpnQ6GVP/z1XPj/maSCUWYjAkKBaCvL1r/NhSt/sLkyHY0GJEMm
wYgyII3ND5UOR/GvX+r7cJjGkL0LOyS0BPC3v3Ox7cmauhX0tzG0NP8RcwzCDJinv7ny5lVYieis
vFmLII75NrxXjk1KV5JpiO1ceaIJqs4IW6x/8ipfMovfryp4Gd+nQac4Z9FoGt92wyrupDA7IIf+
qBURaYOcOuiqRdVuXZXPl2knvMvR1ekpiOrTHjwOvE/CPyh9/vpT/bMvEJkcA/d14Sncb78IYZ/C
QAzHL7KYPUAEPMuajk2marXf1hX/Ul79u6lzsf7vyqvb8Wf18UcY4voDv7kEUV0RZgSKHR6iATGf
rdU/VFemh3oKCcvKumWp6Ql+5v+orv4TFQMJZqiu+Ambf/qdSxAZF38bAgAHpo9hAzD8O4iUr0vg
/16rNscLix/MgehbViWXud6Yv9vK1APlLTr6uy5PbAw3PoUv+ej+sW1G+Wiandgq3ykuE8erb6pl
9n6QRjK96VXHtgA5TsikOydv0WL83A3TizlF491M231v17gV+pExts0A6XGZjXvNgKZrjDGPkUTF
N+jJlwt87TAjZg23H1GgZJy1/LnK8u5ocZMG7tABgksT71R2EYTZrmC4CbJA9nrYQGPYtkk3POde
yxY6S3hUh2mFbNwujakPqdZMJyCHSF0x1vcustaW0ICBg56QuPrMRFqHqeO0ZoDuYAu6pDoXPsg6
MSoNjznRH7rQibiFfMNgyu5EcwPGxUmOnd73j4rSjf0CmWY35Zi7e34V9aOMhI1uGYmnIFgo6AQT
znpltXHywazNq84A5UDu9oY+Juwa46QQFu8jK71kl6FfsOoOS72Zrkf32bf66y7NNnOmUZO17Wdr
vdqoaW/icTwNynuT+Xy2IKVG5QVwcLIJuwcyAQM77yk1J+SvbKMIr//Q6KhPrRyfmzoqj30zmFdS
4BtwkR9LSzHHz5w3U5+8s+qYstTeFT3THQkjzVYMiMfaEbRIlMRvGUwcDkTvnXNM4n9wp5962X0w
SmJIQd7jy2SrFwYJx9HUTqVk6pzEUXE7GhQYdjvVH5Xu3DkV1qjFeODRexfZ+mEGPJFLuVMriBIM
ILJTUwmsOJZYE6X5q5eolrus8RraZpINpSZunaa8l6XRnjNz/GlbMxZ1EizbYeYz7VmPMOrYD9Dc
zQurzwjzqlPa8hFpnGUS5rgxRiZDoGn0T1RCQUtqtXDcLA80moAV2snwqs1rDEdliAD32FodzgQR
zafJJRIqwTQ6PA/MYPsPLQXHE+OvqV6YgffohAd6IlXOsMxmT5nbtoHlPGmC8WmUSHZtti0jmk7N
4oino+pPFQsWZv1WWw5ngy79p6a71bUaYmfrMTw62kC4IcM0kAk33cQYLc0qGCeqfNTilpxB5hN2
UnZgE/tLJkn8yfWv3YwQpXFWh1GoJ9MUW2mVt2zN8Smad9lC/Az5x2FnNjd9XKQ7e+JcsH308b01
WSDp0hd9znaOiSvQq7H5rRsqVfB++qY/M25PyNlJzyDa8fl2y4y/wDvnDqx+NYxA8SsMYspWl2Uu
9dNi5V6Qm3EdrrCyDX2Vvpnchf8RLPRF3rj70lRXrcG8HyxydK70ScBmLM4YKMh+rJifKrKzt65W
+WGCA4+5QHxXJql3XLkP91ppxze67UdBk/NRUlXPO98dwRX6Xf9RpDEpnfKoFZ/dnBv3LDBgBLSO
9lg5Qh2NlnTtpn1qCIjYYcLg8YQDIS/dsAcasR8nPg+c//ZWZQ1gZgd+WqQ8MIZagpu0o+/eKK93
2MKJg5giYDnVaOzJQ3PfDDjbGEVHRO/NYr7Mk38b5xVaHL1i25kdiE18w3Z6UycjaCgE70kWZknd
3SkQf8FcYuSYdfThNvQcJmxx4KnsPeKjC9naqrCJbJyh+REfAdun5DFu1LsgJPctr9Qhk6LdyNEM
mLvA8xApyZ15wOd/lYqexsy+1TTsLDr2UgZy/WHy9GdmY4dZJwc5ZflEhHGgUtxG+YDvr5LFoapW
w5ZbNNe8HRmgyE8vSxs3VQbG8KCJfiRUwzrF3RyTLTuyrTHcg0jSR93BkNaZ5oufmpgBhJtE911F
0j3VNtOA1PRZPLD1HbBCPRRR8ZS1Yg/62wot5wXx0Zqs5iFLaNhtRVsetuIp4fy8tqzGemhgdEK9
id+MlLhihy3uXM7M3FpsJ/XiDnsYmjb94CDeR2JGefSQPWwSEnZs/CLeWOSpX1ikovU/mdWVF8Lo
u7d6cgB/TKZtv1emVokQfOPImCS1QYR5ud7C5GjdfYo8n+5U5t4PwqGMB7a/bTAJHAj7UrcvC3Zb
l3BjZMJMNGIeJY0uYJFihDy5/R3DWnkcpZ1duAbAvE1rsQSpfVVcYuBKdiPb2kDLx4IbU+lhpsWs
ZwYSyww7TQ8LuIj9hJbuqYnjLUk5l6SvHySSW4zs9TQUBwNK68FaClDjA49AR8XDcajHg1U4n5pf
txfWpOshqYPO2jN7PVZ/oR1wl2e7Ws+jnct7QaSwXNC7Gtes/QMUHHwEvIdhch67aWSWATfrdlE2
hi71c1iydBcNjfug9XO0A06qQgwlXVhjjT5kQkXbyGudx1jP65+aVSz3Md3vlize8ofV5tmjlo7J
kV6YhF8rjU9jVienHMfvpVbI+Yb+tHlJZyeGHk4pwunJYvuYi5Icq7FzbjupVWfmrNVjZ9TVW2I4
5G1NINZ1B0JTJSJ955VedO17eoFzQ49Qoc7L+1fx9686GCo40u7/vQ6++1X9in8Wf8BlrD/xj0JY
g/DNoAGdOHBPQSaRQ+/1j0p4RQXaJhUw83lsBjSaCDN/K4UN5z8dymci08FmgMRd1Yy/+Q8M8yvo
atVXmoaN/PBv4TLWVvZ3ZTATJkEck+usGnbEQ8Y3bWgdVZBmyujGSTXj2ZFW8cDqARI1ZSSTRNF5
E48EN9r/7hP6EyPCWlx/f1WHGp8Jg0nfa31rsF0P915b+TcDSt8NbIL0DqRDevH/8SJ0EqiiKPTB
Dv2xwm9R2Xhx593ksRDPDO/VPU0n2Ke/fpW1df7+VpCDgv9EdYrW+9tb6b0I17LwsMmhLdh4Zixu
oCchFPFH/aBX7utfv9wfO1tylvi+XIYSXDKo8Mzvuvw8Y5m69O6NkRvthT5Zd1iP7LPqvfGfvK8/
+4p+90LWN3uDU/lmD5zkZix4aidI3Te61PJ/Mv34s6sPbwZtIFpyAzL+H78iJ1ZDmSQOgc6ef8t/
RBbkNC7LiSgpbTf7GQHtwomT8K8/Q+NPvzOk/z53pAPF99vLFtmSsgr1blSJeXSkQLU3bUfofZTY
zBhrP7/rpR9tK7dwn2wPm7vNIP8tjQHokfPTr/6Eprxwpd+eUJQYUViwn0j/yRfwp5+NhwuVATLi
xO9DqF6yCfUz96buW7Wz8nxBi4OMA0a8l36a1uJfN1AVD3/90fzJt445YtXofkmBv38yc58kAs3F
zZR1xsmUox8uePP+/o3JeI2bH+oCj53vMy+JPZQBrH7jlwMYwYiiJJXAEv76ndhfnJ8/3plMfngJ
Hr2kolnfH23Y7zIpm/QMO8ZlK2Db47MPU6A+SU7DesX3U8IXRoYacjCNPtsa1cKuVLSWATVIR5ll
g7mOwfFVaB+UKxpvM1Z8JXtW0XAQkRlGyFIWzw/HetLw+y++c5ujLZyh31vR9ZJVZA/QHU/s7fy0
eUA+0DxIgRhuM0yt/EwG1fVg6Dx9WNsiVGAxCWCoLQC5P02DZAQP2y277xqdL78UxhHxs9VtY71n
/aGnqSLYzXSWLd0r9Hju2OkcIzW4aSaPpFOiXvKftpGlbMDdJTMC9PCMbVvLeoCRWHnQv33rVlqt
Ne2wFVm0WoYsbzKNW3Cf8y/WOSvqF1QO9vjqGA0r9oKsLMoyPDQyYIlCjEA9kyLE/RN1v0TCgI2R
cKe9x705fRL4I45e1blZaI82uw2PnIY7Pkf/aKIO9Y/GUpKdxi0WXzgt3vxjPSfdvW7lZraLwZAd
STwbSSZFvFJvlJ20MdHp9ZjgxTWGOoxpvz+92GJnHWuGGW/TtlvqszmmFiMdHmEzW0Sb6jFWUvsl
p2HOQ8kz4eA7xMCfol6AYQKfar5WkYOOpURXV4diBW9uJKu1ltFH5d9Z4FevY4Dzl2yz2y7IcrdA
6sBOalN7mvfAoRLv+duhhXuNM7542tifWVd7VoiyTV4vg7LBbfvxT7ZJbKizr8QWR075MxBQclzS
r0wXcqRJZvtKeqGzXVNf1sHwXv9KgyldPERh4o84eROd+UDzFRvjepIIGduJq5+pMeDsA0HH/JV1
UvNWfkXPwNRZ03PXQBorn7Db9z67283yFVqDujV+Z7uORFN8xdrElZzf9bEl7KZUlKjWlJtPbtM7
JeK9jFAJ9ysgh1BkC/L7V25O/hWhM44uPKivaB0Pn9odKUbdGZaCxXwXVdJ1Tg7Dhbkm80C3bSFV
9WtgT/4V3lPMCW15+RXqU30F/FSFTdjPahjWdtlXCJAvRkEKLj0E6RQlUAca0F6/bQ0EQIyVJORC
YxjNKCR+mLp//oobinUIPSMZYOy81jwiTencN5i/EbsIB7hRiFiL+KLI6qf3dCLTyAQG+zp25By5
o0tCAblQsxOYaxISm9LiQazpSPmak+RPa2RSKny0BZlf58f6K0/JL5PpEukzKUsptK9j/5W9xHtt
3ugA+YKWNZwJfVn8wm+gniq20HgVq8U9oaygnfXWcCe/sFiUzohGUXD4AINo3vr5JarYjm3Nr4So
LvbzPASPof8gFUK+pmJNkyIYOPs1f2VMRUY13NMK1SAniaCCitY2yL0IpmqUIR4nlDWkWvhZdUWY
GRNG3WcbHMBoJ9vK/Mq5Unzj155mMyTSKjd9iVBc/jCVmVSB9ZWU5Y5L4uyirwQt0HxWHNYV+vBQ
i9eQrTVuSy8iFpOT3j9Oij4umBVQOWLDGigJ3dQiuALLND4CzYlu2rkp8j1ULpz4y1fKV8mgGPXA
Gv4FLtRRxAZ4xIDXX/lgeQRzOhi+csMIaTY+YQaSJpbwWEbJ8JUyxgGGxT0xzfG6a8gNGOt5BoFh
awCBKNWZFw3IRbfIpcgvmzQ/ZodZVHhx6zXiLOe69zYEoJB8JjthX6uRbIQg7tZhbgzL7TRAlz8O
Cy6hHxNP8ua17ME6JoEAGKohD9UQHoKprUDyB05tl+nZkzJWG5PHMQDWZrTLfgH5Jkfrzi5ZU4JF
UeYlWxSc8zMygjLUUIGZJ41NnfqhihzvTAW8dZWMw9oIXP6ZsQB3xbTBWsnSjuz2dQVOZgGPTZOp
lzcCvtgOmmteGFbqfrLWRkJfTNmyX6wRwQHadhhBhVgpMbiCiwPAHv1CqzJz2ujok16kXcxn0eje
mmNFxiNMcEf7GHJNPRYD3MmdggHebdnWpa99WebXIHOGX8B1jV/U3yiEmNzx1TcyScZjH8WMerRa
FdOWJbEA6JYk1dZi5qIbj16q9PsWEz2m/JnUtkPrTXG3Xcha1ANEcYxttUSiMk2aci7CDnlNvHOL
zPqwV8toqLmEdRzYdtlZMDHWNAOAv/pE59/kiGA86RLIRazEgajAzNjOVlsPAeEhWrodmnwNyStF
+0RMnTuFJsCzp4gEtg6VQ9Z3F5HP5RNqhOiyfBbrlSVIKcN2UDY4KYSVRE7I/IH8zapyfk5yzKtt
xNQHdF+uhjZAUYwuCllKVATIb8phN4kSwcjUKYNpjJM32hbHV8JQo+8dLkUdMO7GA0vzbqE23XQM
RNisRpJ7x5AcROh0/SJCVxWRzUI1Q8CP66dVF4jMTqKNW+IB3djpWKogHxZmKn5fY/hOaStgEKfx
2AaI5v0YBHbUw6ezEEMjCSZRkhVtwjHP7Ea1P3RzGrudMkZvgANWkz5GFvucob9DVX7WAYUmp4mj
wN/WyCSnY6lq68mlMgPXpUo2uJojn1mvl8Se6XMcMaZHtxIOcQosqdIi6d+XluD8uVoM/CGbspT2
zVIa7qvZAhdGL97O1CdkhASekUc5h5DFUGtjj3nLGqLFbcgIkpZhw1hDuzKdwpiZF1pMwYTlUDhY
41DycbKIJCCzR/AQcBr1UFZgMjMpdAVyXmWNU7xxs5i1hYSj/jn1Vg84LVJMyibD9PbmHGnTdYq9
ZNrRsuNF1eqp0Q6jkZV3jmb13kHOo6shS/Fcfkj5tTmcJMz/5CGaoxyzh7345V76bIOCnkOk2hUd
Ege+YqagYUMODH5ncunSd/L26jqF3hWZKMcNHzENKuVWIGUhz9UHqQc5J9/1hu7mV3OWn+spr05D
XGvDcVoEGC3fh74ejIgJKy6HuPkF756cIQGVmzl0X9l1QHQQMigTij6Em342zhjMMEmwiPL7gBq4
N4KubGKCOzSwS0HXLc5VZnC+bsoIiUe++Gg+EoLieS6ThJDsJ2DP2wmQ1P2EAV9elM4wdMeGEKch
XOCTP/fp4P7m5v7X3In9K+vPv5g7reHm//ZfnzJ9/7aF5cd+28J65FSQpU53rnMpiNX5+4/ZE/Ml
4RCOgsXZ8Fb/6v+sYIGxGiaWKjasNMa0n3SI/wO+EA5hdaS6reMOZg/rX/c3VrAGNrs/zk6wdhBF
xxp4NW1C6PjuJWfFRYcFgo5a3SAhO6bw3Ngw1EDDCbfrWaoK9PaDVin3TMgaWdqBBd4FVltsKzAI
xuKIs1P2bRnKRk51wGNkphGz4DBcCpH13s3YWuuxbsMYim5zIeRwrjK9aLcWng15WEon2+e2QE5J
dWbA/TEqiI0orMQ43BGohPkN/gwKlgCw+MJqtWtn9bNAAzEiki7N2PBCbDHxDXLjZQptX87Oq67y
jtPZ513Hex6JZLpslpbo4ivLtyZctkhEo2E7SjS9DxwQDhRCU/hTMHnzUlyVdVlIGrDWy+50U7Pz
WxObWPmmNOXe2DGxHDd27wjv5NSE6YYW4RZVaBoTJ0o5NG19KGgdvft+dmtbscbziF0CiFsVb2Xc
sXzpPH9cBAdcRMeFmQQL0FB3pFVYhMC5xEhwxWRL2JVMCezNVCxjfGl4CNXSgLdXzy9252vLaZza
rvkFCtxvi0031CrFl1bnbegvJVx8oHeGH1FjAS43D3nCkuumMSjPXlmfpuoydTSk/5bTjNqxbKzM
+/R6iqiD0deL+oU+1kAIP1l5KvR1tWZhVSt0zygQnjldZbVBIqeUUq9zlno58OA23E9CDQBFpdVC
3xDVRs3X1pbob6ZNZzR+fFWNeOQdGIOZw2KmIyNhomfjl035INIC5Dv/vSzUVdEPtXU5+CSBPgP6
65iFTlPaTwQmF46hXsVkqOh5MZOpfWy7sa4BH1XbsfAB5Kr03oIacpGPVs5mio0+ri7Ovtx9FrPT
fBh1DvRdG4ZnNlxg8WMWN+uFewMeH+cSIKIwqUcMgTjOSFUAKcrJBLq9uIYQ7FpPFrnN/UtLqzJe
2KbsNoA00lHHjUeG9ap4FL0Xuv0AghR8hl/er0Zauk6R1Ttiwhcyxrpmx5eqoZ5NdNTMrsZ0JbR8
AhYUNQB7QIMQ2sBHDP3SRpaRHX0by1EVlD4Za/iS2G1ej4SFc5jHhAJLNg1p6qxuTLZw53ROU32f
aua0vDlijUXb2lNum5c5jdJyVZjsKp9IX+xf8mJmTyxYJSO+nUtrX/vFsOMOixCd1eY+a3oLjC9m
A9SeBF23P/wigaGqG1CaArb8Q3er/aa267AtZhsixrhxIa0L7TkdZjW8zXQR4wdxBL53JJpdsw9a
U4zpD9oNckKkzk5mR9RtGp2csaUZTPS5J7Jqsvqiu5IKJ8iBI668FeiAybibQUNx6UGcCuCXYYDt
lQTSOLjYzIU70DP2s1a/aEPSJmFGRjaK9J5HByks3DNIp1K0qT4f6mZkdjCFdHHewUURvWbAuNpW
AEB1At/tan8be7VNzkaPs0P2WnbOZx3/HMvi3LogM61cDix8iJ+KIzjsG72JPXNrjnX5TGYfIs4Z
Le8FfLzhup6JKUf0lzmMmxpRUO9bdvXcm+XyK6qFc2E46YL+MwVtZ3oMr+vRuYWq97xA1bmNlI1W
LOVNG1iV6GxGU+X7MtecbaQvUP+nlucnv4jmbRZXr49umxr7pR7Gbeqk/Gaow9XL5E8OXBIMIO9x
NGpPxCbGV906vsgdlW6L2Zpv7cor9g0Lg30LVedcmUV5H2fleKOq3DJPkas+WRZjXItornettjQv
mFLrB7hcHgpthI+fjPIKyKLMfbHCeRhgl9QdUS92xj1svgX9QTUgOuss99ktqBWDCQMHWERigmSH
jeDUO5IYiNSzHwWrULokPFdrVczww6wBenYDLlcmhlF7leAm3iKw9vKtoUPj21TKmn71cnjopAPB
2B2H6hlFQHvPE8CUZNVQhJElp+XH3vPEh4cR7DIF4AIBkvwTqzLnH6jCo9cxSRbjXNTduB36Aiec
Z47Zlduu42CRTEen9PNX1fRIOo2aBebg8aagKiK3R48RQ2mbdAvOW2sYDbtjRz6NHPYxRhbTafcu
a5fbQmOk3xlu8syMbSBLz9P2RMiLe4p2+SL1sd8ZoFh2yGnS20Yg4VyF6FCEtRPZ6iBCreZez6cW
uCBzmqtZaflBZsA7rQa/S8B2d77oUCLy5+6Qmp05bvRItkBU4fJao24/SCN9o+usTsYUn/PEx2ZV
jHb3aDQNlkC2Yz+IpbhCvVrcg2xdQgzjuCHlghuvrlnFptG5q9E52X0nb/qiry/8ZS0F4ASULymu
z5OJNPcWJVYedsD7rvQoT0ITSCfbeMJZ2xI/L6or7bNY0AAFkCl6eKJaLW4mvW7zY8OYaYMj2XEC
XDTxTtOz9Fws/WcMLBf77rFqW5IXDPPaHXN1J9pW22apFE/0k4xI0uYSJMMPabT9MUuadA3CLPVP
fK8lVo3kAhuCHhitSB41TYf+EquQoag4+vFAuaDUqfWRi5AMyoOFSX8dtJPEverT0t5P5CHsOPk+
TCtKB/icyLSast/7eVZfNGMF/VhmLQLcAgVWY8q82LQNU2bo5FcVg8YLihzvwAMVlNMKxKdZsB8p
g9ZcixrD9cfkzNjT9YLw0bzQV0ND0S7YobSq2kRZ1D1laW1ZJ0nPcm97tSrDQYv6pgF+J31aGpti
7VDGFCW3xsIe6aXwjeEt8UqnCdWczIc066uQ7bUeoiX+bOI+nXc85MpfOUf+JbKSp6LWspdSJjye
8YshjdbLAIxmzP6+GeBgYiwMBx3X3GZiOvIy9ZmJL19vf4CPzlFcp83O9TsS5+cJDG8ze8/cGWCj
M82y9/zyJLrUSRFDiekYTxVDqh0LkoGTsDdixE69QQTkzpXz/I5QAvGyPwCGvBIiavexbNp3eyL0
Fg3Earkci9cBcAVdku4MYeQMZOlKzfR3mXLVNmP8t42a5srMMo/23nMjcP51HNJYzTNTd1Geow5e
L3m02FDG5WxHYxvvyqaqznNkT5vVWbKnn6ybwNFcY6cZI4TkXCOvjcq5oNNVPE83mP1HCOgmlsjB
Gs9WxEipSacGSgmj1w8/y6u7Kk+rFy8nM2zWBvEMoqC7naAdsHxwl3Y36LP35EnVHYYhr3ZTX38s
pasfsLcXIYp/70djVOWP2hnVzvWW4qMcTWvf56yiknzEz+D3kgelVV5JBuKMprM+VLFK/5u6M9mN
W0u77KsUalxMnEPyHJJAVQ2C0SgkhXpZtieEJMvs+55PX4vK/DNt+cL+77AmF7iwLSoYbL5m77Xv
BlYOPt59uQ/GPH80lbucK1PJp8ipHjOiWymRXXEgh314M1kw+MQJv0HLACPrZa1P6oSxqSI8XEM6
3FEmtLxMwaD4de0prJ61e2OyqoIk74SnBpIKhd0U8q4VwSkt27c4U4nhc/17W5ZS9R1m+NI6bxke
bNu+z59sKzcYX5IgO5RZ9DJSSZ5Fs8sN1yJCe2xVkR1AXRRXGMDtr2NZZOjqcsCOdCJg4w2a30M3
VZSnoOqja5tp5LpcSvG7OwAcAFynqJ7p+Qpqs2lg0pqY34tY9YQory10Owlnx8zZBP8fOwyEoG3z
8kcFgye2GvWxSheKhgLE0RbZnA3eIG9wUeeubBHANYFxTvRtQoQZipZD2wUmiM0o9bg4cb2UhEWQ
dxeY9mfDbNR3SK3Zi1n34yn2AAU7zAxAzBdr9hS8A79JhCYTmqXQM9KE/FwWq5dyYfXpk6YrdiE8
3G1tNIA5csJXo+2ol5CSrr3JzNG+GnKs5FKk3i7P8u4OeJ666oTk2m6LGeM2IyN4GTg1Nr3Zw4nK
GMSc41oSyAsFWwUCfxzYQFOX9OQJJ0i4+4ohlpwwrvjw6g1GJnmqtrYJPDkAbnVpY6YRp5JrO9sW
s9nwkWbQi4SoWXSCXLHjFQ6X9GFaRkDHxrzC7CaVOGdR7Vp3tSHms7pM7eR8aGIn2HbKbh9Htm5i
gyJfMra2ZzjfjkQj2UI+mJ76dj7hOCtX4X6aATPKRHQ2R4W1o4RRN1YwGIc6tDWC0RFMaZaW/Y3L
Y/hIzl9yOeVL+OK0ZDUfQ4FfdZfikt+NtkI8mc6ah1Yak+QRewnJeGWSkSSiSsWwajVlIvDr0y84
DykCM908hFPLrcj2jDLFUeK77XY5KrQgORo85Z7CXsUvA9aJXdklw+cGtsR1b/N8YkSDhtLS4Eya
LjKugeyE12NH9DGT4zL7FABS2Qy8YDBcYs2/slOv30XEUOwYL2Ka66QlrmIrda7wf4/PkpJyN9fa
fgX7jA2qSJQIyIQLmuuMh+KxIYTo0rV18VBAbkPcFlJOV3aHX3iquuquAigE8TrLLmbRia+A5Vv0
0IE+CvRNFYvHJfhmV129lTlSa9dqxtul6L14M0M9xiYeJe5WYGc6pDp+9eAzfUoHzCbrGP3UMYkA
Z4OYcI0Fb+8kI78zjEFwvefCSS4Z2bnYecvxUBkIqkdRqPNau8u8hbv3FEkZHFF5z/eMAJM3chky
H1cVaFkEnZtedMEr0lpYxaqNrnQ+pXeShyIvnrgfySubyL0zvYwLbGqfS6/y4NeJYG9OHokJJPop
LfrLTOcheljF9tfl44Miyep7186Dr11X5yezami4mR9fRit0nL4NOwVDXhAr6iwLioAHSMxk0id8
Ha10gDBaI3K8TCzsWqzh7tuFooVBpiz3HuBfvef5jRezTub4MGKaOpch6GOMu6qhom2yT/bSkl8W
LrygnSIjtianJ+T5nctbLzRZXNVOyyS4nEcK+D5MbR/N58K/GLV3G4Ya5EVCa+YwDY9orpmeUFRj
qWahIvRZR9VUbDo0U97WYXX6XDel/bmf2vGxYimsfHtSyoS2It1PrOXtgctp8o7IjCvvAkJCnLws
peN5eLio8aHEpNaReMh62pPbmrcHSuVvGTSibSDa8WYobLxGQ+1+FyBBvrRxJlosnm6fXMOlYJ7k
UuivGvsZ7nOTvrSqmSZSUoCi4YWPi01aj+GTF8z6rJ3s9p7BR8CiatKGzz5NqKOlalL/RBPOZ+PU
KJDgOcnsSDXIUtma4YyeOZmb4txQdllsxtobL4u+EMmObaCXoiewLOjEMBCgK6pvZPfUB/bcybhD
3NqSbE415Y/OmiFgZOJNrxpAUCjmbmKfDNpBEkS+pz1dRojs1PBHttBDt51cc75ksENeKHrp/KHk
dUn0lhrIzJ6FhCwjqvpxauzY3bBVYurlkbnu5HH+ypRcnYMW6dhO6Xuy8IZt04/Gq2hzgrpnhsr5
Yk33URLblxSoRKVXueNPuSmujCRObmW2FAdzBDTiNoVz6uGS3bOsSq/4pDRiRp6C/hANSl588D6+
SbgKtrTSq9k1ol3eLNWO9yqBdi4QBPY/83yqSXHGB8+YMfDLhEwgVTbJHXAYNnptkXmYKWyTFfFQ
ZDcaM1ULmKhU4iQdqKKIEvIVyIJiyjnvF3CId00Gh4rqoZuzC6YdobtNYxP2ejyRQoRl1DKs+6Zq
y/DGwHpH38aVNYJ8MFPgS292vvTFS4/hXO1T1dQQwDsXtQn7HdgGn4jb1uRopil5tRs3SKfgc6d6
tyF5qdaBcSDpNuq9bUXfHpI74qRsF2nG7WPA1gqFAVJyaE7e6AUXkTnMy84VMUeNOkXa4FS538ek
S7yvk9sGijTPjofTrmwt3VwSQ+nc0DnYyWPqjZol1UxSx9Eu3cTdR30ZuCf8h1NwqwIrKPcZXcN4
XEYelfulY6GyjcNcQbu2Fgz1bpJsSsmbmaVRAbzIlw6dLZASgEzedlZmIHeB4/DnAzY66zbKkyo7
Y0kAlINjdzgVF0/uwn7oLuwx6uL9yMazv8OBOizIHswcfQN3kzrh6ugQ3KbpbJ+pNLCiM+ZDuXOR
lciSD9a0MJFcOXAyuGMHzMFbQxju1uWDhgcmhUQyEEubdzez0SEHAWUczYcE2KyxBzJV5GddaxrG
TRJXrGBAZgXWRs+tWZ55Nrvny0xMK8qPNko8MkvXPHaLpAeTA1tq3KQoDI0bb5k47tIRRuH/r9aZ
XdwsCMJiUiYvkcwUVMf2sxdJCP8CQoOPdzhcSNFpy0tkztPi59FAoqwmq3OG2IJ/bROCa7ppp3wk
N1wzYg7gTUU1tyfdSXa22MFBj8SIQWnXZJ+2S36wyFfzIW5Qd+S5fmFZHsKWEsEjY4x8A3jdOfZM
D495asoLPS/NMeiDdBuYdPHpoIxdZDavujNj4DeEKJRev2lisz4xf3UeVO4210NGeUGaqYPoKaN1
uyZw9FsdTI8T2BCO5X5u5nzaJAuxI1V7bnaw3Aa9amW8odxRdeEKj9aIUgFEYUHJ40cdE60oi56a
hYpjSICCJBjoUXMYzZ4FcY6ZKYwO0dQSbjU0tMI2JRhwpU1KWFhrOXrXuXXuV2oZ90EugEfhbtgx
GJc3qoXzNJhogHbgKqLgqFi1YokxBVIKuGn07wCm3ELGz+Cs3NXuwY2esilkex4NljgtDZFqUeZc
GEMbniVWme9sI5rx4mR3raueY52t0hYe8behS9LZgB7nqDGXHKO5Mh+6VFffZ/aBVy1NWQOQJ89u
ssXl3VVDOXCrsj+xS6u/sN/uSAMxsyM1vgBWwuG+Imqhb1KFtc25py7CuJ6+uwUrtkK13Ng6Ttm5
VlK/RMlwOSxTxsq9C5+GytBsvyvn1QKC8iLymJElJ/az01J3DG0U32MMgu81yeFKymzeNayIfOZl
xS7HbsakHwQRNKhmL6C77EUVPenSw6zUSThL+MNGKifTC++MXldnxC+92Wmhj8SkXFsMFDfwfR5l
EWFcTw0e1TWQD7sfho03Bd/tYUyOMsrdl1K55OAxHK/N/NtcrckeHoHjUBWeem0lGxShaEtHqnWj
q4OLwWmqG7I6nynpDXKfBkYe3HigY9LwJnZnd6sl49it4/S31GAvOTftBl8ub58puclY38CriMe9
XKLi8wLgo9hltux2VVzV92kXgymJkym7W8r5VvYLgLmpF7vFGKtj3ofG1s4IFyoDIbdzFqOlIVUr
iUidDGoP2F3ALXtIo7Z6HlKBnd+6m7v5cU5ToCSSbUdXfkZ+UF4kuT6LyeEmlIDrKrHGLwUcg1Pc
z+fBNBCqS5rUxo4q+4BCp7sYpqY85YU7nUs8/5uRuhYKokHfU0UTShklD95ShFcxO/iwduVb7XWU
c6DC1xEwznZd6/7oWM0rDnumPAy5zp0aBwPhb2dkrdc+QoZsL2rqrcQmi8zK7W2bhvMWcs7om63+
zDN0+NJX47mNnuMYp4Q34B3Tw66vEY2zFG/POq88nzPT2Kqoypgu4gZkCCvVCH10sK5dxwH6FFmd
yumg7OKczq2ItpL7ZTxkaOsuLAKortCNaCJA4unMQ7O3XYbsqRIJ79QmkI8ik0CpDMIwWC8V5/gr
qVKQAmxqVTw2of4cNlyZaQynBJcaj29HPuUmqli+rLVjSyY0f9nMNCxu3XhHB/skM/la6qjepqu5
qbV1fqAWyHdDXKhLQqONb2uU80aaZexXxArDxisfq5SvdAJH6EJyoPYD7meeE5PnMmOpw6clzaj9
pn5NbiYqaEmT2o8jnX8Z2B/i0JsnEqdy16/AmHY0jom6tdp2PHTQ5UixCQkC9/M5/EYjSq1hkrsy
pTwbeQ5WXMdlWCEpXiS2nuKyT4P6k8T+5jshg2uigrkp3ZqUVRmTM2cRE7YTodJnfdgf6GYwx0dd
Z29ZEM7jrhjjyz7X/TnDQZ7hUe9PRdbezlgZL/gOizcbpCADBlikG+AFj4hO2ksQdOkD1EyWFEY2
FXw0Inw363D4u9FRTpeYNh/NWcTb3k5dhiasjrZ5FhHjJCxyhmdpjPapIcisOEJg/zoxQz4aXlXa
PoPOtttNjkNwNDYWCsPevNcsD7d4Vl8i0/CWbQ+wDDkeYDNr26eGqAjTs4nsGh2TtJWk6Z4CJqkX
5czLMnaj6pbtduGnRuxQojNKQxM7ehsLuuUzAwyKaCM90PLIk2l12eMSJPMe2QUXbR1/AyQSbhlK
3UqMCB3B3zyOgkn7sCWWbVIv4RY+AIPs1Ea5keC23ayKHmqQGqkMTtA4Qdybs44Idi2xMuiE6e8r
bLHIkXyzAtDR4KTdwcuJfNismqo2N6+Rc40MgOwWlhM508UEwqYrtWbL3FTjfl5MnkFJZg77ap7n
fSTIxixsl00egKq3finOE2fKmLyL+SJupXHN81of5plXM8Uq8SduIB60bYEHmcfh9IPA4C9sGx/M
BxqGgE3mBXgJPCsSRv/Pcv06D0fDKrCYpeaA44/Kd+5hoxFz9Qft+88ydFzZlkAVgG98tcbYprMK
+H8wZwcj2h4nyBO/sQq7PicLzZwuZrVI8QcrwAoT/o9G/N16Iy1H2sqSQoEt+AAbBkQJwhXt/s5i
m0o69eB0BKjlXvBlKKkdwZFVcNND5UUPEs7YcPj9CZXrGftwfIw8lmmZjgJXsCbz/vhBx5pksFJ7
RM8XBrlbAWNYG8kWwgU7cqxi7xqOV31GP5EMJ+Jg5Y1YKiYNdq2CLQt1I7oMvUp4J9n1BLS9/3J/
S1nzUNIW5v97/TevZTU3cRh175qP//zfKX5lZlR+7377tw5v5dVz/tZ+/Es//eT2/77/cfhWrqnE
P/0PQc4U0rf9WzPfvbWsXv9LebL+zf/uH/6Pt/ef8jBXb//nf76icurWn8bQofjJvWX/1u/1GP7C
PVj/wb8UNwrFjQC14ZLlgh9IocX5F/fA+wfunVVeYHP3QMX/t+bGJjYZIhu6QYeJheBR9h/JjfyH
TWgKNGy1Xp+seeTfkdzgffr5ekNr43kUmuxrXZecFPMDI3pc89uBeNzBeOYJ3cQdEgz23dGanDIZ
pzls7ms9FpVvlFnQbCrgMCeABozeYa9GXwywWsjkNe8uthbs/A+d2WfKj2bpkKbneAgOEVaOqN9y
RkcbosTaEm/vMn5GJ6jm48gcxNm4oSmYH3px8DDQugLVQurC81dE+fPMIAz2CwiD+rK2RR0FBysS
3UgXJpchuPWWhTd/5jtj0cq9hRgZyh3+a+LEGYdVJi6HDI3O/TiHUXaBTsjy60G/D+pxZih/rOIc
SmSfxPcQNXVzEA38dH8YSR3bjHSE0W5K6fQOYdyRlyeGXORsrSWxVL3hWLwLkZPDGITy5EdmkHwX
PUP1Wsc1uoi8YABmgi3dDHFYzH7X9qZGrZexBxWMeOs94MTJ41kPQYWwcydkqSzAyO9yAFJn3ozV
5BDoJH3lKd/wNEcnHZMU3GVyPzBH/molZv1YQZj1IzeEDeAuAbTuMjRN9AR2lRwyYXM+yDpjTpbE
0jEPEA9l/KU3g/RVBQlhqrD3lvYpHsfR+2IKo/pCTYyUPAnRhW7naKBBmaU97qYuV09F3C3PzhRz
nRDTNQORzWPklcLGHe4jpEByPKpkGzDvTJgRFlTVaW6ll40joUulZcNAk2oUcrVr1kga6sVrr1kZ
q2bbcNVHTLTWINLcnpdLMOWmva2haadnFpLXCZiopLssIohyG92i0dw49GAGtZ8FSAI2H250ri7Z
71MQuso3Ckh1WzBEVgDLy16oBdCYkyAGnkFsCa3xXDhn5ejh9bFQdiVzG72tFgKDBdlSVBugQHXm
jwBGwQ6OYDE33ns4UzuO7lUDjpBsRM/wmu3ENiM6rQyqF1kV8mYC3pof2DxSWLQd2jC0QxGq4lYP
D3HumHdj5wQYqa00b9B0MmoS7gqgDSw65yhLWSTPJExm38O8hlK6Mdmo9McwDrk6NpE7oQxaekXm
Zckdnp6MLHWhLvV4ynuQASu9uYBg58phvs6sxdK7cAFqfTI6Hgd+VPYM/omgOnllLqsDL5Ex3BeS
9dPOyY2h8wvHbsR+RLlzbubu9G3WCZu2uu+U+Sl0CEuHSFdFGOGlLdUR4ct8QNnSvQRd5DxEC82J
v4AtuAXhwtjA0FmHGtg12vSic9DW7ObemM5M0vTEpmFmn2wWNV25E5qhfZ4iSbOJbx0PMKaWh3EE
ILChtfa+o2hJr7ygXuYTyv+6RZlr6nuGF+MXMYCYYr3j9fS2SMg/jYKKYRuZTm6Dxqx3fcsi20dv
1mV+JaLqEg1UXd+VJKavYmvKsh08/uqLUiGEuLYerC9RoZOnOicsA9P8BHQsTamdGd8JfTNqk+tO
1Y2zzaaKyrFlVv8YEuwdXJEDBwis8ZoMhAhe7QMDUixVRNCtQdeMImdfViysDrLr5u9VaRVTe6l6
p4fJ6JBraaNxhiF/h1uFFU9fpeNz0GfltZMpzVSJ/RY8lSWa4+0aMX5Kehu7/MRg2D5YBR152KVd
TgwV8sm98goLR1WAisQPaL/xpxdxA17VJuPy1haRNnZNjEoLI0rQgpOQ7A+3xtjmyRnVGD8HvGcz
fGWKjYymHdyJR/26qnvxcB8y0Oui6bXmOf/ZIqMBHk4u73TBYIUwTZHtvAlv3E2pKrto/NZqwrPS
wGOMYjz2XpUYC2IcnSUdz91uLFebDn4LLv+kGDFWDhUr01otZ5J4MjDsQcXpmCj7ww2/kta7JO2X
rx0jbyTgMNFQUbNKRPqo2VXgsDOdfjfNlhHuzRYZ/RbOTg1sDzrG4hfS6C6WPpWS3BExfsJVQ+6D
UK17bq2nYAOchLQfTaC5/Gcx+7fqqP9ekXRdvRX3XfP21p2eq/8fKiXrtwrlh+dieS7in9XJ6z/5
Z61EMh9eO8okTZHvQCijWPl3rcRaWREaRw/wLlL+d7FkCDTIKJdXRhRTBXutaH4ol+Q/sDAilVWI
k4FaYpv/rzrxX+0NJSa1LBXmX7Q7H7uQlWOGE5bvHFOSZ6sPFuiB+XRI/mSy6cMgIWWY0eMZtnVq
g993AT+3VSsvzZEUXdwvwgY163woymZP4wYJ2EXGPEngS1tj/wpvs3yiMRr/0PD8+pkcGh5TO7ju
bAd38c8NR2o2ADAgzW/EFGUgE5GKstbPLn//iT6WmesncgTpWRC7LIrdVfj9Q/8Wtey9ED/ziWbD
vGVGS86rZ8bRdeouBIS5rcj/8Ll+OYcI2T0umFXRzivoo3E5Ne3WrRuQVdA2ADxncTwxj0rslRkU
Tn9wSf/pYB9OYi3mZZwtUN6sJ8kEy5C7PJJyzFSknsJ6//tz+cs35pnY/MkZRCSPFVVzuf90Ljsh
il6R2G1VtXHL8JxXwqiaPxzlLz4STSheAMBsqLrd9c9/+MbYjrEUiBj8u7h8L9LY6g5N6ix+q4Dh
/P0PBO6IyY8DOFyv7oOfDhVnuE1A2G+irpJHxYfxuaHHP9xUf3XabImqUSND4FL/cPNmeY9tbQYc
1VQ2c9veZbsdqOQPoWMrx+7HBp5gS5MgMM/UrvcemPjh2zENB3EU2ORNGkZutW1gsEKSc6sq6g65
GnD3OAtgrFM1qPoZU14yX6YkrsnDxHw32eQAj5sHhNILgonWIxs+mHogWTFbzNNcSDx3VMAMWQYU
PKGPk1yrg9awepEr0k8gLhIlxesow+8jCgAGoRbJ5+A+E++ZxQW+xqWw0PYWKm/vvETU9TGOkcFu
i750voQ2Rqg/zG7WT/zDSOP9jHChCr5gybNTr1yDH64kngYhKq8VnT2nLnLbWQu2qWV2WzZdeqcR
kLLO6uUewRN7VmXE3vXfvr4sRxB3Jywbp9/HX6BrB9JbR+C/ExtCCmk6VmHhIv/9Uf7ihmFwJKAH
4uWnkf7wiAsRbQ0O9qsNk+LZNwdTXVgdvFJRp/r194f65WnKI00oAQSCZypptes1+MMZpVTtYqUQ
59usNL4505BCsCdbj6TFxorvicpBX/X7Q/7F3WMzw1AWxgNpkcv58yGNaoqpZDmkRMIGNXQa9jEb
mD+8Jj4excSTZDPes11lrXOJD0dhp9zEFkEw3KOGTLcIldqJJew4uNu/93FopviKGMjwQjLXy+Ln
j9OgMC8jI6Hhkzo6lwtSY8dup/u/f5R/FgzMVrj01u/xh++pZF4ekU0DF86DV9/3K2fXRYv9t49i
EgXHF8NRGFt+eLDlo7S7wkSPOo86vyhLOPcsUoyb3x9lPfU/3sVAj6CyrPpL5VKJqQ9njBQuIt5j
Fp9eu1S3McvmrdGb8zeZfzMBm0+w23e/P6J6H3b+dExqNhejmvd+WJB5P5+/YtKhGlFybsa8MdBc
C0TMKO/XhA+3knFxdHtPP9nDQAIE8vucPBDe9TQXiljLJa+gfsv39JCI11e/G8SaKlK/J4wkTU3a
SAw22d21aCfg0q2BJAzVySaRLGTxhDKr+L7UY2azGVvdUO57qom2FpI7PKvD568JgMnOFQ6ZCpU5
Io2NtEgQAAdj4jtF8lL5GPmxE9D/jfeKrPOvYcsXtCdwwKw3WRiQuzKtESxIBzEooM1BvgP5EXVJ
Nta4nuSa3WKMEBPADo8kMpBgQL4L2ukVOfae+zLhRxhZe2bR5wyVybKTXkW0jo29v4RnIBvEv8gj
2SK8p8rMJtxRyOiWTM8R+I2enxVaO1+zSerUL9/TafJhUjVJOgDq8cE04uQutvNiV7NRP3oCQPmG
QCk7tAiqKBAa+o0sEhs1cKH75Vy8h+vUSpTOE434ShEMJp65DBjjCmOFVNUBLshILEg2jQ8LL6Lc
Xxkosa+HecQ10Y6F225NLBEGOGp249vSGybnLGRjD+2/KqxXi4sg2xruoF+6KI/GT0jpg2eH0I1u
0xnc2htLuTOyYJzpEFScaYMTvX4Y+sQ2XiotlgeSQxE9dOiEocRpOd7Dnx5C3Kn4Zdb9Tr6wvMMJ
/li7xQTqzojl50630VdjrtDeV55ZfanDIg5gxnVOG24TkBfp3jbTKvLrwmkRWZn5yJ4LOwMqj4Sl
HqH2dV9b5+kwD8ne7o0BWckgqq9OmgOYRX5NPhwxEZ469EtlzXsGJ9h5CMmxDGAVZB1A4ViCmazd
MTEPdlTjLveE4Xw1SknWE/OKBbpCFK7pOall3SFCjTVSOV133+zYMOeLNg8s4+iyoR/YDZOg5hue
6EgKqNPlhvMukyeTl5x4JdEj6x5nRv3tWV+T0cEOyyhYhQez8zmcAKSw16yS+9yYYwv4ZMWJLbys
HpgWBvjGk3wIxZ4WH2NUPadsDZM2rpzvmvkpNMcWedpr6zAguxpKkTgbE/l1fO56dYf8su9DiSJe
D9VqcszRfRVNv8DxHPBZnynu+OpbLSq2sZSLjd7O/UJCwwYObXU7eyMAASIVDCalejbVZlCR6rep
RFMJZ8RuJNEtbNy29ZzXj2Bi7HrLcCMvLrxpcIMNy0on3Ckrtt0N1gdqYCYycX4CW2a2pygm+bDY
4c0iwQsxSj7iMGxpaMECInMVXOPekE3zLi6VXaA5qdP03ENfm2xDWr0WXsRSfp2H0DzmDHX7Gx45
Ubs3h0ZGM6PNSnX1xk0C1XxpHVao3VsT9zQyUIBUsmYJTtoL3fQsIkZoST8lbipDfxqn+HoYyBvD
ckcuT8mWXiZh6O3ILKqZlQ9mE0kGHu/DdByc2TPwX0bsTtWQasCY3HtAxckQPsTUiIBy7upPk7sq
Z5i+hthPSisr9uWYwQsYbd0gu85to/ExMCLLsd8RrvY7ztV7R7uyiRSj76a0C2fMHJnu9u+Q2HFp
5sy3BsIwLrpVX4dFiqyLw4yfJjjZIXXqrkpjxNVVzfR/Gy95jRxzSIR9hrxSxDjr2uTKmEpe2cpi
L7hLuhBPC5wcp/Dr0q1y3xwt7yazwwVNeif57ROqFkRq6PPvu0m5453QIW0MdOJ6OmgV1O2GoX3H
c5rss8nXVSVuEVYuwXlFhhQ7XAaPN4nO8ms6cqOgmg7ie34GyrexJ8VomzbQeS9KCD90FXOLCpzh
6uj6Y+JG8rhAbij2SFXce86UmW8sY8w/l3OI7UOWOnvrWL/AQR5NRae6BB7xBm6BBN4q3eDFcJ25
31Z0EtbGShw0ptVgVC+Qch0k+Uj6HzBkdv1+iodaHDsG1lgMlDGcjDEozEPXxiH6HMbk682SI/1w
eKp86pxOVFuRNObDNBX0kJUcIlbadUgr0ebYNHfLvOjnilcnqT/CXGN7DLP8mpd4DDdYD+qjVyNP
3ZgtnRCW0Z6ntSPl8mmNzrD2ZgfFwI91N15wcyiSmkRRnezEgS3U9GIV2gBTYFVEEBVpRRUUDX9q
8pYP2anwkbxOBauUwLvaFxMmtzcE8EODGnhQ5bHJAQdwARmJ+swgVFcXXS6cng04hAIfVESd7fqm
L2CTFGYUfLX5Z/1WtrVTHRnokYnaNO5C5J7uoVQPURcpP6mFGd73E0iEHXg3dAROg3mS2Sk8nVOb
GnBm4wF8HCN3pGFcoCRonBNCVKL0reo+3ZVmbWC5YqIi9qQqBstxTki7vixSsvouXB48MD5N9Je7
MvBm9VWZMTYZtFMqRaDHvNjCoFTP8Seig2uI3p3JfxF+quCqIluhAFqbFo249FqnxqfsMTYm5yus
q+YliErdIAIN+u6ATknlZ7iIa9RLPJhBpCJvg1WWVljrDZ4t8szz6uixScMA27ShRyxLrRuUO6AM
BvvmwDOIH4PJyCN1jOZus8zdmnOBYAZnC9F/7XmSVbyNnM70Rj/q45B8qUIXvFCpnayHGPEHooep
AIFFYJAp0SzYSPM7Y0ASnsNSNo/JKFzOLlzXYVtH43hwS4tnaFzTDe4KnfIOo0km9S6Ly5DALAIx
0WtNFGVzZChyQwtvRAzE/O+qidlk7QbKlmYzLby38B8hCfaTySm/zzxmXd+No/DRkUbDNcmTIrhg
+9oA8gtQZZG/WJUeWpbWw/eozZDkWCg4/oizwN5Kdh+PkZAsaxarVcj6szSPd9Xcr+c3q41PeQ5+
Y+NmGfZLuODGsufdABY4A3R+sJuuvrRCgrR2XjQP1q4csRL7g7LmT307GNdtXbuavM5Ggy6zoxWm
tmTlrtNE0O6GwAzigK5+6abvCG8V0CXMEw9TNE2rP5P6E1S3i2lsCNWaGUbp92Sl4JBjJariMq16
nvKLQE/ma5YQ87k1gtry7QIlDJ4tZu4o04vVTiWBjiuiOwn2qlrvEXtXVGwyD+3Mpp1i8TnpHbJr
HF6l1J84D/O9UfQOE4egtO7B7lrNMUT/02/aRoKMzhqHpt7JM4vlL0wkhX2InfemhJ3FgUhFe8h0
QtwUa7AEawzitQOqrkn4ZbqQcuoqQ5O2955l5xTMdfY6HMi4U2vc3URkULaz+jiN0AUSiIeGLALU
vMbk6a6swk20hucNHVYF3+gmTFa8iEEgpWaNnnQV7dNkko+Foq51QTUyjbG+9WxzsAzGmU0Wynt6
H+qm6jMyHzL99Hu+X/ye9RcjYsfcruEQ0WEANoLTt2YDFo7b3vYWF/nWHNb0QPJeZbLN2jVVcOCa
hNOkW/tT1YuQZM81gnCgt0GFyrYXZoI9THQva2Dh71sp6+PEgEYKdxPNodZaOGBJf+6kBDFGo1xY
5qCrnPNzQldiVtldEOAHwCqm93HUGd6BaECbsMN4rGNyh5f5ZpHdVAKAb8p0PyObmLdRkS3q4E65
HW5sXXXlTSaULO7sgd2QH9GxLXs3NBLzGA6J+aUrjWLYLRNPw1ta7TBG68YKeWMhcfqihcu2UC6O
dYSrp50trILwk20m0ydCCAPvepVdikOScl0cjCAwwMsYNliBvBn74cvvz9Gvp0iZrlagtzzGKojT
fz5F+DyrICwUeV3k1T0amNvOAi8x043KE/GYsSF7+P0BPw6MmBOaiC4YjWNwMa112/HjdGCYE0fg
7YL3xKLsdSFrFqD7Qp1cLp38w4zgL45lMzNiQ2IziAf88vOxUm0RH2FjtlGNsHfEFLl7XIbhcdEw
qX7/sX6Z4ZhkcrjrEFRJxq0fM9S9IoDikoesMN3qs8eu8zS7cfOHc/frQbQw7fc90br1cdY//2Gy
AtEfKMIwUZhEffKdXOHopsmr8fh3Pwo3C0Issd4ziNw+fEOI32ltaHI2ZMQOZ9idYl+y4Dz8/ijy
1y9n/fmMVMj8QbnlfDgMdq/UUy072fVLKncA7UkeI6ZWl9hYGwXlqhdtfRPEcjEf08kwhvuEVm4B
2iY7YsxmfC6XvJlqfUR+NzvHSIa4jwKU097297/rX513V2qXGSArNWl9OO8WoZ5ge9fz7nR3ViWN
Y2uUzh+2KX95EBMR3spq9pgJ/vzlyv/H3pksx41ze/5Vvvg2vaKD87C4m2ROsoayLHncMCwPnCcQ
HMDnum/QL9Y/KLNuWaq6VnjRixvdUVHlspRJkAAI4JzzH6ZosmWnyGYOhCGcazsA4arDj+uFzPTf
Ot4hH80spchGwS16nl8qmwBfVpn24BOgpuDkhn983odGvLpIwPzuK0iCztOlNl2CMDF+efpU2TqS
uPJW8NnOKnZrBd+hGsP3wm5fwjD+LVXH+uUGZOrADjkmCe+nLdmuADYAiAuOTjpuXAX7g92s+COH
YQ7XJ482cozM333t9aJpmz5Zdl3C8Z7l6lKN3h1Cigd53eHHmtft3naZzY/z7/+Xzv9tayjoL8S9
8u9CfPnX1fe2+f4Em6i/9qeyvPkKpS4ggy5oQlCC2sLoT2V555Wj51zkIwhMSlWvMWeFr+gVpfMI
VG2IgNdJ++us74W6lxaUJ+vLtI1gYni/Uzx/+rKBVcRNAEV02AxYp3N/z2alULJBJi68GBF++KJq
F4GKUo7yAaG49rfW7cemEJJHJxs4G2r2jr6Vn3aHgWi/7/vlAuIlpKIwgvbtyfCFxePpKvVnI4+V
c13dMp89D9gltIXz5QIyzrolkpt3RkF17adBfnPKdf+rGes3xC5y+I9//0OnaaynSa9ZbAzPdyA0
B3FoqecLOhdzIQ/sd2s78+1CePhbBR6PTY5/qY8i9OaD5Y6evb+4QMwZxnYXBaVg/IHTCr2nDp2E
7a8f6HmvnZqhKm8D1DBJgjwdGunPUYdn+EWeSOd+zEQSU82WL2wg+iJ/1Q30s1ATQzkB7ITGpQfP
NpAC2ZdFzfAG61kdxlkCqXcGH0YmHDjzQjld/0LV9+9PhXSdrsojYU4Z+7kIPxkQxNkD50jIhr95
w8HfYM/a/brr/umpeLXBBAfUQ6j+P+06BKDIE9YONHWMsG2vTzbm7M7k3oAZwDR4aaR+3ZzvPpsQ
FZzbaTWso1Gj6GoWNn5OXY3L7jq6e9aR/oUQRYOanw8a5G7b9x26EKDNM9DL6g/+SMXsWKm5+dxC
OnvoxjWljlFqnYgSkKlGkoblm8WHqES9R0TgiZdRvDNTYIJb5XoTlvdNFXzqamL2bUB2zzgSr80o
Vlat/26o+3ogC5iR0MY6dvpSVkj/3orFtml2GHrrhRF7/vZylmOxo44AbIiE2fOQAr3YhDTCiGzI
4B3Q6xbXtR26R4VEzwuF078PFqdTipngVUHyBM+PkAlKtmaFxVWTSnNnOGmALpKaviMaSnYLP8nl
N9cl/WQ0Q02fs6DnPJ/wVa+soUvFsclJikEWVocwXOYjrNny/tez/u+vFi1FAbl1j5M4gNans34p
hsJPx/7oo/iEWkhr4K0Apeu3G9ErODKG7BjsB3pu/rRhjFAZVZG0R2cJcNwJjHaDSK61/3Uj/zAb
OGv6+BVSPweA8mxVsh0cVcagPk7kJ+ISzvaGBP0M89XrX/BT+MeWaACIAKUaCAZPHwc2dEgmrT0W
IdbEhSWNfds2HRXFzPktaIVeaRkWDn38w0RnwX3aElhqe7GM+qhs0oYpdR1UmbLxhe38nx7HDi2N
HCNBBFfhaSOYiPfmEJRHqlNoJZBAOWSoN17klHJeKHL/w2TTMTlpNOJWN3z+OHOdouanqqMR5eoA
MjjfYs4QvDDZnh7PT33GYcwBIWTzuj8Pb6g9ttCxiiNyFV+8rlLXXTB213Nt+28bqP3frG7pXjCJ
+ccmoXlwgNC0++fONxmkQKS/i2O5wmAo0qzZm+Q2j75QzVEp2VGqNOqXAh6OWgzM032Ys6jjszda
uoL/uOT/9FpBy5WpK6rD4FtpuJtgiXwd2hwn5IGXDe+4kuplIZWkhjl28pNjiuIhQicc/2qnHdAd
4UR5gyTC/IeayUZtEr8Vr/3FFx/NMCyaOGQJMjVqDE1F+NfJfqosiNZZOUQqLkWUY0nReWFwO2S2
e4PKtBjfFFM75XsLVffhLVqEIVm3HnVbSBBIl22ixK4pv3nllH3xCqsxUVp18WVGDsZ3Yx8LoT9s
YRU/ci/qh9fofyBxg9JSe28sRtftJ1sDGfNyPpqr1PZ7S2Zem/aIktMAdj6NIUHMrx17JW2Kf3Wd
Euyj+2qhCZMjJDqENy3+cZ98R+HRXluTfYEfdPKjd73BPSylVB+r0Q3kFlJmiMhbX6Tf0WVvcOEj
oagTuRSg0xT1D0wRTXUVthLtJDtIpipum2WkYlsvfX+MKF1gGNFTcYjTLBgYkKAMMbXugeEh7EUV
fovnNPWXyg0U/syIVNpUPbw5Q91hdT8i5IUsNiLm9Y8MNb0b8qhdFSeOTO76XiWI+OdJt4dxjkCv
0SzWNzedMCurID98MlOrA6MA7QX9eok7NvbQ6htFdcqyST0gMDFmNdB6s6j6S6lQjYrV3OJ+kPSN
9I+pwiUUPIAsmg3xNJjVtWrU29H1x084YsBA4AUbtq2bIqfQr2K6h2DUviW5N2copi/I4Rz7hZo1
jo+zRcWrz73wCkH3vDiqAQfCFc9y53rNZvThEfppDyJcEMSGZBQeRNff+5oJdQwVe16H3i0SRWBU
wF9MwwjhaMGzu+ddewvKNxWxgzDtaxmW5XuFvNnnKq2t63BZ0g+c+pcSXYGiHHac8D1FTaxB29KX
hoM4cR98rFXYjkjtpDJHQVQSyXSBMOq9TUnJZELK4UFhqjhtl8yqcrQ8/fzLmBXeN+wSUF1Ei1Wt
sdu1GBMVUCpI2XhwAPD7XOCUdCSZkKiq7GBbyDr7Ar+ptS6mzkvyd52Bhgh8DF+XjCRFWnjworjz
5trRYIEINb8Stcw2HllShg2ElIZEd4aHH8xsc71OAxu1877GtLpLm37Zjom1oFHmCuPAeQhe/Thl
xnsnQA1wm4yBRp0sPV5ZqZCK5DHqKp+zKcp5kcxRHRBXQWsyA3pXUWLJTesWAU7D3GahLz74FDvb
o7+0ItkqVYXvq74mO9VkqJIhn7qO2c6fyug97kILEB1s4Snmp6bbxR6qDRJEcFW/6wK+BfvMGhDF
hYq7ID+R1V/LReV3Vb56ww5klePddAHVjC2ePe6PSiEthiYjtugbgEYCgZHE69stah88u4+5XhZP
TslSkntN8hU90xSVYdRxsEyQbVXtIW2iRlahUFtvAh9dna3b2stXNLzksu9y1FBioWyVxyJJyQz2
mVfN75epcz1EYuqp9XAmnWSRXCVKl1zgtsErE5ZlZde+PcjTDvz/UtoFomcD2/Pn3MljGvy/T7n8
XUn98QunZIvnvvIA9JEXgW/g8L9suedci+29YqvlBYbEqd34NBL0nGtxAn5F4ppki0WgzWHzL6qC
474CXmeSy9bZVVMzRZ9RE35FVXh+ZgKxHXAs15fDMg/k5tMzUxKUnGVziDJqUQHLfE4A1z/keG/2
cksNBV3yF441zzd7+sGCgqG/ioUhdNKnLQYp7rUTRNtZCd1ggPZT/2BMJv+N5hlOejpXg3H36zP1
3xqFSqCB1gT8JLfIKj1tlG1ncttqfhDCcfoH2U/SuPMryGV3qE6uFKtrIFu/36htEYSbqOjTKkP1
tFFf1MUo5oBGW5rLzNYvr/GEdsrrJiI2vzbJy9P0r5/0bwMKKTwECAnDxYFB8TwcL0MXlCF6QmBi
Q4YQNTDGs0WSrX9IECsRcvvr9vRD/HV2C+C0QS9AzzAgFicb5D6bQKmcSg6va2yGddA/FOhd0MRp
OBGd0l1bjTLn1BHyN4R9PMhpL86ppw+tJ3DgaNt4ups7IJh52tOAPkOophEmJDLPQjxzHoe2Eo1J
+xOrMT/7rcd2oQaQeiAM1FPKsp7nziu3KESAeHIMkazVUi6Ighn1zhPEuOhYF9ZKEShEJJ0/MnPi
CEZuJADDdPj1fTyd2KEuOxFOES2GJGURNHrW/ehGRliVfLbo+DhYA6Th9sw6hx4WOYxcH9do1HV+
q00N1IeITjWSJnmXnicRUkQvOZUVlXbVnow7BxAQS0aIJde8UZy4jDs1oQP+UuUgejLTWAipTcM7
0glOKE8IPTwdZMzPRh84DM4tuN4adzi+lDRocsBikJMGlOQdxWIf6bnTdM8HfMQDUKsmNPLf7AIo
Yiy88O5JH5I/fL6ewGlNyyLkCOZ0rHac3x77YGEBM+6wh0aAH9aXAZryhbdND+dfb5vmRWDcSpPU
AElxmOaz4dY4oKGPfHBQ9uTTrimLnIeLvPXllyp4zM783BpZcRc7Dw/lDkxK/xa11yow80D6BF+Z
adPJSwDKKt1VA3Dqfs+BazHusD6U/KzNRryab6zWFszxAu8489bBxTRJ79s0ZJakj3OF0zNYi25T
Dql+NX1VDvN0JeFd8zezWXtmDcjVhis2htnzhwlQxbNeT1MXoai4sYq5myGa469hLdc+xH2+7zWR
bvXPxjtv4TJe7nvF+AGopczbYxlGK07ONvjM8FoVClFI8AuI85ABm/1GzxNcGGVwaM3ExHje6CQW
Yhto+AmDmOGGhj5MMlghnR4htU5ziIbJEjN0ozAHg/gIj0iuUoV6jc0Gfw2QEqiKjlewZu//NivS
OsVVBtIjyO/V1BErIsw0TlhahJXZARz3QYRxDbuSJa3JaEiQRSiNflY+KPHHH9qLrae7GNPO+hj2
S9V9AN/X8fEeSLtxl3BBeq3I5oqfdZz3mB7o1Sbcd9uPutMXcwoYvtNbdH6y0/ydm0JvSEjeGDPA
+JllYNicl/Rz5wKSY5ZvpeGGVXeosrCu4SsVRlGRPPUdPT1sgsSg35fDqOil0l57ZwIGBthYvD+1
I0hPt9d2nSHNvE1clwgzNrzKLedLw++yubyy1xm5+rg8LSpDz6kVIjkeIJJo8nHqnPvDD8nAVRvP
HRue1zrtqByoeuNubQfWJQwSUroAUTRASIdiRsuNUVqGqcTCqLOQsDgCjMM7JEa2e66wi6DOnk4Y
qi1F1G1ysOzD+2iNQvXpfKlKzPoaAFr1tjJ1bctDj4nZ8phBIwBoxechSeExMYLnlQpE6Ywq1aDS
uvkeLXNH73gVL8qDGqcUmHEHQIpnOX88crqRabw4NQYph9xMalprARfRt8h7w44CBy56vAj7WhrL
vB0pDpXX4QyWNIz7Pq9Ld4+VyopS1PnzaAiwJu1Pg1B5tu7OabL0FMFIwi3UBSkfjidaOFWfkjgE
PsCVNXgGSfm7FsR1RQfbHTBnj5r28q7009oJPkQQ+UPjax8qjDD3LfjlcNi5PVaBzoOKKBd5r1EH
tkvxvqWVJPymkAK00rt5todavWOtc9LhtdN4Qo1vBwlzX27J7EyW/UVkYODzi9PpCUDdwCieJ3JN
uK+POHLUb+XQ4rindqBqIyTWa8PG2CDKCsvpdkoIgw+eX/TTxEfInA3j/BvLrbzyeups3qD+1MXK
d3OWlqmsKro/rTErEe9BJ2US6KA/oDtx22eh3miNyKr1CKXg1a6ZhYzsW7IfMzDT83HE8U2ph7Ig
q4Jp2uOJNxyiFH/ehUNRZ7+24HWk6SFEwChbEGJc83Hdw7ltE9CRTReyMGFUq6f4bBcW5yxltowa
Sij6jfOmgCLjlmJavspPLv701U0jWhfqSOTwYt3geqb3h7z3eeaCHEFWYU2M5Vt3nQScgBtk0KRW
zNO6abK8Mos58j8jNRJUN+RzFScbImqb6y2YYhdeHLqJ73+umA18V1BL5uppxjy8wwYkrG6mplv5
ktnDrU32hTTTZAGCaduI2rtkR0hvj1glmVjzBOUwuKiudUukDr3tITP4mvyc3lUXWDV8vSuZFsEN
R+3eMTduJxxupENPH6l2v00XrkJNWj+tAfOJqySInfBJ0n7kmMNogP229Yt55GeJVXr+Z08Z+uNI
D3j8kZsqL7J97Qoc6bbp4k4o/J0uAfMQbfjtMow98qcWkf24Scvaq6PjlFVWhzxlWAguX4eu5PK9
kbl044JCxNxuzchIpbVthNuRZTcF/jTuDsFTtzaOmTEzSY+JpRBFOJz6s/bQGzZw2IN1lG0jrxun
N3k+k9LY/PnwpOIMZHXhfSK9w7uhe7nBqYQuTwe9yFflXHDB1IvM3o2xhkyao+Mvi3hwCUOn+xm0
bvijMLH+exjGEKZD1FuruCx61CKO+QKdSCGUiJZnrJPcGcoNj9MAKz+HtaMoTeaTCoVLwwZoPD12
yh8Zg9Vk9jTbpodAe4NEOQsvSrRiQsd/aZeVh3XAVfufT0PAzJ70M5T1rCX3Z8RQ2OVy4oylQ6i5
yh5XU0tPCrduMha9LG11a/mQz3TS6g7mWOIUC9Sh3/Shzaw79WJpgu9tj14zN9kfsCXatMLzIVVM
WwPei+6j1SI22C51QgIYlcTCHI1jGGVd7e4iP+sYSP0i6OueerhUiZ5saSIRwNs0vQylG08B/pcu
whGIUKBjG6xqcrcKKgrXrGdDz+OSFb90LxyzQDviwazyPgluoXHoi2FgHErmqtk53Q08opY7ssyx
DZcPw5joB1YJiQXMYNJC//A8AH5T6ydp0fhFknRj11BKePc6xIUzSLGCQHpb+DJ0dm5HDeTz+clP
42Zw7KCZ028wpg65PKtLKtPryWhXPz/iACsgppFVT1JSrmrRb/updzH2RFV0I6rUC5M9jhiZQEps
sfnA0nDW+vNziCdL3trzjJ1bKjUggzsKxck+D3mmz8Fg6dtgP2ERaTKx8IGCjDUdPkqhRz7vQR+X
VwW5riW7Pz2PgVp5ZF9QsmJ+Fcs00c8JGGK+hY2PvgbKBHpEptzTQzjmuc0PNSOSHoIVZciLAo1J
ehYG22CJL3iyDXwQvUC9Orqpq/fucFoS951fr1NofR1s1Tj+m9TKc+4qs2zdjO8afiO3CJ9zQtuA
wzdM8WVYA5g2WzlbJiLpvJami5ESpS5WLh/FP9Vv6iqpOy92zgtYO+oFdVrU48h3pCTy1zMyhNkn
EyVfo991VaJ/hTTySudibGljWUyKsYNsUIaDBSnCmUw55a/r2rSw15wsuJf2sfKHnq0rjVTFrgNs
tmKPwBnI5MTcNDjO5Ac2sIbjeg6SdYr2U8Ts627PgUun4E/2aNeFSFbGg5EnuNkUWiq527cjYvHq
gvi+5dIoM8IL3FBjsbh0mwMGFPGar3rHzItBH6c9F2VOojTHttFJdvrMCtOLacIVI7uNGm+2l2s6
V3HXYYvWOIOBrPoME9FoEr7OuxE2WEJUKLgUl8AnatrLVke/xXUuZwc9qyKDmRU7M6EhLjxQvtgK
JVhv27kCR5T40Mrq2vWnDZZ8E+yOxtBCTPF59544kXBNlmv9PbPB+udw7rIqQ4/6Dqs33zTjeuaW
5AFssn6ewSdTzMk+dIdWvXUk85XTZzJJTickYPQp2ltUxg/J5OuA4HSk6quZc8lrMzAtnEl87Akt
gU3xY9OlihDweG1AoYYcHk5IA/f7kYwBxz43jzzu7nyvmYW9XIKZAvwtZ9sqR3dfOtmIbuPwQeGj
2mN26ssuFhBsYNuIvtfPWLkjmtv4C1mI9W6TAu4QDBO/EckXk0NaCcTfTaT5rT4dmS0l9APYIEbR
jbJKfYxmOUMeEmx+pMMLTPvwWL7irCm5g0Lf5EMPmY3hn043zqKklyfZLfoGcn1OeWD915fqKs/S
w37KvyFkztEkKVhW7s5DyXqqR3R2jDD1LiiD4JEcI7OsL3iK8NFx15fthrljNrI064SAyoexWPdi
EqO4TVXU6gPjY/5rSAu9EkSPKbHSHJvSvrIb8M4IbyO7yc34haGHrhW+jkDnU6B0jnA58jm8MqaA
VTNeVrw+fKH24O/YDyueCW72aQmVnp/lkum51CWBDmB7geJUdC8XtBfmqyJHlM0g8kVfKsHZi/AX
XsIuPB32z1MzVz70xq17mtLnMBVrV33xpJgED2u4LdrIV4Y996N/GYo2rLUw3mMcPaVBoJr9WkOS
hNDae1U4q2823hS8UX9mRaLV1IvDWOX0jzwlC1vysvytI6WpZ1uU4Mt10TYRjI6DRPoelDYy1ZOO
tXGjIATA0yxygTI1odHik+EOAHdYvPORUcyngYxq95jpRH8v4xqu4aUso4B5BztE/LaG7XloPd+Y
IpbwSi9aDUdd2j6nRk/j5p5ShgKgie5WZeuEQxOkJncXQpWBHWekJrhZOD0LpLI4CUe9ifRLZJXW
hV0MqeseAjeTfKEnCkflN2uZDWo321JHV+dJ6zngVPr9PHQeFjo4sqO+swGyAy0aFWd/4prYnOjh
NzCe0SN9ivaxMA5p9rw24Gzbl7itjzhfI80HJ5PF0amUzx/nKXU+MSNdpiPJxV2Dtrhw4a34/e70
zOfJPz2e9s/vfe0jHcFrHBECym0aSUjM0OeMCSXh2qwmxlM1to5G2ZX1qwPbtUPGEC9ugXT36cK+
CgqeYyT45iLDYz4cM/iK4QFEGLbZ7elz82MwZCMIxvXOy5AJA40vOSrXCS7Kbega70osp2jrnHWc
TjNpwvWL27F1NYEIzV71JyPL0t07rWJYxkO72sLHO5B1h9+d55zvCkypb8mUz8l4ZUgyCeOlrn6O
LaQwgkAEnvNgIbi9zrrZR7MYJjy6ap/WaeFgePA43dPN5/tFpM+BSBt41TrY19DzwuwKSeHMF5DN
DNxML7rRq8dsXzloLKZ3HqZIRvm1oY48JBfpYAeTeBMiZ6gcLasKL+8GeqP+w++E5M7Oj3mewnD7
dH5laCu9ZpuDbXKiHTuO/99anMxXuW3qQOcizymM8/sN1VEf3CP2GfrqPIKRstRSwwGOEu82eayO
/DqJ+zRlrlG/OOgCLQFwAdcjeBT8/AlzUftR69s1EsVIw+nwOTmlEM8roOJcwKP8uknrUdvkp4Si
zVtAtpwECjQWsOfPUZ2VaRsTrodkTU5Zh9Y0PLpxPs0WfVRlDPNT2WAZ8Ptc78ZTNgBw2Zpmx3Do
be0Sghy284N42vepEnflMgln0zllyU7rSzUwwYfEHZiBIUQ8/mZAmdBTCGo4nMh9KSiOcyakjj2Y
BxPdw/CbSCbLH2OoNrIf0al4TIXBY9D5VfLdFhdzTlvhqSrWEjHRHDo+HkgLNfmUajnSPpYcvBWH
g/wwFpk+baZWqOf9OTfklJg8sCWeZsk5Q2CmSqbdPjGCKof2u5R680/8Wb9Z+vTI305pgxUhCmZJ
jqSvf5iNTm9o68+HFnjQegs7/awMSFzQCeMkmh8u2u1krLFv1fd9Prtx5qPkRkA7Wlp101+XYXtO
Kiu3002lSpTMY7x19QJzvqdGduSGqtTRx4AGKRaWv/PRcsHZiS7LTzv/hLAEu865FISv7sLNeUw5
xNAasBeIG6oEWU8RZznMRpIkpyX8fGKo3Up/YXKzfFZIerBaO6+jYen6Ybec7o+x1wvIeUnlZG5y
02Hv6nErTjvx+ZozSrL8rqDSzu26uADrdxF9Dzidg5VWlbvLRqxMo82IMpONumHVFBkb6NLoFFmS
549Pmwo9sc47wPlp1YrkWr+3T0e/1vYqbNsHj4Ri8bFpWAhIvnD6ND6f3/LHF+v/Qtn9f5CaMhme
n5YXrdZ8VmHWctD/8e/4f/+n/P6vb//rYsIp8fvP5frHL56pDvYrXUOH6uBb5omc8F/l9/CVb1ru
ox4gPAOqs5TWzuV3y3wVkHuChoDGEHA1kzs5cx3cVw4cPJS50Cul9EfZ8beq749w+b9WRC8AQgiS
EIlAeFI+XBznWVGrcpYElGw81kkq75eEXR0Yz9r64z1qIfhzIORC6hEKZNHkn0eSuvbbIUVQR1yY
mFzVcjtHqSzCb0tvlEmyz1Bebr8BwYnG8XrBDAAnXlFgyZz1nXGVN4u466UIuiOxdPNmsqfwIR2m
6sEkzfUBlmVSxZML4vGC9wBTK/igaxYnFQZVG/y1lh+Y/iUcQqsezu8ApL7bIue/5FelW8+LpkSO
aKesBcFub40ekN96cTfR3Ja3eIEKgD6h831NTVyHMmG5zpZOsco/FFUe5761iDI+2hY6FjcYzFhH
iAj1Zy+DwpeQgI5qFgk5qx9ZY9m3Dn6qyAtw0vvs9gaxpUvW/ipEywA+WMROsknK0kZQusx8b7qa
CaFxgPPD0iSbl3vrrarbXHON09KOAxmO1nubjEF3lWMpDhoO2rqT7aw2qB+dd2Biu1U6fxjzwi0v
FdmWbmdKxwVIFPjVtoVJ58Sia9ErnpGZwBmpLufsgr3XkNfEYL18qMENBR8dwi/A5X1mdHFHhOVv
vXZEeBCaoooQJoE/yj7TwI71U8D6CMA6pVZbRZIhVrUZNtsJSYVvSZCO+X50qu4K2j+SOCsr2E3k
DyiqOJVTRbFhOfIeRaC6jp3Vxwe7k+SMb/B3Uvd4Tif1NlkW0/0a2Lhdxk6GUNwmqqw0vcyQ5sAd
F48MpLVEgZYqYVs2HIoRN2USb02hIPSjkLOByMaFTTwiMAEs5noHXL5OYmjQGNr05oivSOM2FgKs
1th8EmFlI5awdhgIB4MNsHmA0fi+IdKnsGclycWcRquxSQ1AIptxHsMEjBxjRs5JuuXBtpgUMZat
+Bz56Pp+wzadSVdRjwti7KJHBQx3RCCjymQSXGLr1qR7FyOpN0k6r1+6ZR6GWLH7Ik3S4imxafEe
D4ho3OVziOn4W0uYwRdcOQ18aP0U/QmwDUm6n0fzEWqKXEI8pVPypbAizc/DCvd93kucUkIUDBAj
TLlGD8DvY2HUzS3KE5htRO1Qfi/wBOq3bT3nD+mSu3dqpkyzmSexHPEjBRIthgjhkdBzncOQY9pB
oTLskGnAAy3OydS/M7Kifs8ngzedmYtsF6AQeFdmuXNVR1oElzpHZsd20WDjM/RV3RBVuClyIEU0
fSocH8mY1RLg+9mSxm4zZ539w+rt9m3j8HLHYnC1zzK4X3+jyll+SBEzWGNvwB5lX1llxXiovkJP
RbTtZizk8LXEsfuPakihY6seNaN4qlb/Zl4KnGRxOTfNi6HGWzYeDcpGiQiSL/W6FIgIA4oBAejK
4tLmpIJi/DKg5YSFAJrUK2VovEUIzV772KF+MudBPoBQwkXUsUb3ZnUl5A3Uu6kYmmXmIVjDgevd
ahWdy37bVOFFSrrlCoNb86GKmsnZLCNh49Y02/qWRt0iJvULcB/DhOAP21zyD3YSktRLLdlfDl3g
P7SqBzOKOl8QbCRuYO8pd2PS1CfdXR+VWb9pVdC8S8m8vQ0S17lcWg1KNOzS2rdBLsdNANn4Y17P
aIw3qWp6xGFySj31MHifqkIGxQWEk2SJtdbD7UhNbuGJa9WSHgth63Q9VsRoRqLKhauscdM7QdkS
7tXjXe3kFPpwnRF3YwNzaJN5sr7kuVuxzY1sxT2mySPKwxFV6TgselFfewGeeaMIm/e9UQsrrodp
NrcR+Aw8wlOC7p1nYU/dSVas2C9Zi2JMGB3KwK0JDYbMXfpgIOqTEd5nQbDFTVB8LcE2qasApQfA
B6Kovi/Ek4t2ek1uarNnLV1zBch/HOc3nNV9ZALw9hQb28emlzxtln21g6WY0BqZKKhlnWrG2B97
q9us6ejbyFxQa9k5TRIe7CERkrxngV4NGujlD7vzx09OAfcM/ZoBh8M0NaM+bmH4odblBtiTZ+kY
bIxusq8pNfdTXIWtAsYAQu+dxCTuLTMlyfEVz5xv+GjMYkd2JPuYppVzXy/mvMSJ2w7vq1yVF2Uw
JCPmfQsmQgVy6w/13Nv4ywxO/WmuPBUcLDiKoJE9HMCx7vTH94grLhNGZ0BAN1IFmctQI7suh6w5
ZI4PfNRNijDYpmXZLfvacL02ZlcA5k09LXL1/3sIYIagTOKhEBPzaAAP3iojyg6FkdtvvBDfAErn
eJQ+enr80TgwaWMK5RnpPp651lnt+YgWjBNtI4clHWEzExoJPiyoZXsdu+HioZUVS1ZRzX4MgTon
oTNfdghjiE24hqiZNcPK/ZAsztaNRH8g2AyYzszagcn/GAxCvK7GxPth+aCNNo1VJcWxQ5sMvyI3
aftdaMm539fmXE/b0pfrcgibCqdVif7AcD2i1oNIf9Q57yBiGt+HZi3uQdCWxGlRxZNJG4c7jhm2
xevvInUeWxIHp0uwswgMuij6ZoemGYz7usZeDr9u0nEbDFArZzt3mWKxM8zkM+pq9kSQYntfknJF
/LKWXIC8aWk/pB2qkTGkTNC49Ll9m7i99QNn1+KtJfPgu+iaRW6xNi5/YI5Xik3RajxVV63LJaAB
8SPonPFraK5huSEJWbyZFhiN7E4WfgbrWuDcNNakjACEDOsVGYXyK2A5IwX0O3hk32zeOey/RbSP
0lmNMZy34ka2o5zpTV2cm5Kw+grTyJl3o41G0s5eAPZvQivrvgzDvOCg7Mjo6+xRLZF95bxn7wuK
S+Z/MpN7XuV1lnYSpEbrRfVlNIbuiD5vs9xCd12/RZYY7ilY1fk2byr/D8dG3x8tIDE0MWFOX5A7
GdzvXSRcUMNOtvxhud2wbD1WP9KNqktrwtMGLYrMUgRoo1+YdwR3Xvt6xM8wOrSGlJe5Ca9k66kK
Q18h4OvnzCGHtSa1bkAF2dddviJvgWsjEo61j3oBmeKQeJQEeo/u0BrIT3Zih5eiLaZ3aMMhmGUE
TXHQiLMReRTUjjbDFHRvECrCDIplr6EYAirmEvzO+ElzLHtWzXS+tDlZBJy1AAyhWBShK2TlbJqH
lNr5B1igvBpjNBpXxWIboOKVar9AHyzM16KxuoulNJ0vgRTibdpgib2dJDB1DjFDeNd72jYva+1B
bFpsAH3eK6FwAFo6dz9jduVdMtbzO0u40Y9I4ca9iXQBfIfUTjkeXBcISExcOn0GtNQRv1MNYitI
pP06sML5U6oUtgXoizX3PavNnSchFW9DHJ7i2dEqchWKPsfKMHeB0WigN45pF6a0q+9Olxb3OIIZ
5rF0pPFh8WznQ9Lb0aU/UA2MsQjBJZkdHf06M4V7g27ROr9OR5T4N+2Y1pfWUgScJ9PQ+A6ciRNC
11eYvpah8JJNoOUK96mbi0Pml8qgFjhk6T6aLYR0kaEb39ZQR8oNBhvrVTiLFHOOlawL5i4TIPto
XM1pU+E6Xe/hXYq9k/USuaWh7TzcQu3yjbBHO4WO0EzBBvo0h37kxBa4BVOKxFlNEWM8YTt/K5z+
n6aoH4Ir/+8h6ocvD0+tivTHTyGyBUAd/DeQbDCFYEltwuATQD18BW/TRkHbhlcJqS6CaXsOkO1X
WAsB+qVEQBYPmuJ/xceG84pA1qW4iyI40vxO+FvGQ0+zlKCLYY/6xMaExgTHXO1peOyCsOqhoGwy
0Re3EG4ASeV+t1sgRbzAa3/aEkBa0NL0ggWaGdQ2DNmnLckuUIl2+g2tLo+DvsH0flrtHSA/sfup
69+cgvufufrPMJynlvAzQSyVjmKXetoSAmNwTzxnY2c9crR4Y2zEgvnfrxv5h8cB88yYhSgPIFzy
DCxL8VYgUhVhCRb0xzRq0z8GJeQ+tLO2eCGt64U6SfFXEoO+c8HVArD30IbQlQ4m18+02MTpshG3
m53DIo1+cQty7Drq67zcAVBE3Bz5dM4f6Tr4uyqd8D8nZ4PxeJ+vMO7HxCdaIX8v7W3XpGwB4BHw
0nHQ3xa4oMt2BaSPUNwOCks9xUVLuvMm/T/sncdyJEl2rt+F+2hz99ALbkKkBBKqIDdhQKEqtNbx
9Pxyemw4TdrltblL2rVedXWjkEBGup/zy6TP7/JZV91+EHr8s4WDQQhljrh6SJqpX10zWsHP56WS
FxSU/EcVt9bvlBkDDR6RkdNOryfzd7qlGmC9jqwJSKDlG0v8t9+GtqRxSHpAnXvaPGNxy5vCdU60
plqNPyq9my8CO/DzCAUWh7pAxkWvEASz10EN/LTdygZKQaVKeXruso/nub2+L72Y3pLesDPfpeA+
YbOdMq7zijHDG2ydFkx4GcpqbdH/qvK5jEK80usXycVXBUhZ/i7xot+2dU6sL8Pf+Lgszpbt8lgR
3qgxUGm+C7zx5pQ15qUNHzQqn9Z+jowyf44Got9AZiNJvPkoY2pPiRsd3yCOCyUCwl+Gt9KZx7vN
qflNV07efBAgUz2qLmZAUsOc3ZTaNf9tZq2GkIHif6PvJf+C7U2/+NSMn8nqmtijQLB0P6pVg5FJ
V/0ngaZb4W+Sd0ZotNWSaVyWceDobJv8xe38Tu6ONGnyWdfeJ+nLeY8Z9S6wz+5D15ERxi9TH3gR
CA9fF+Wgp9Dz5Y5CouTacDTkT9XYqdav8tJ4kRPpR55kZf1K8aG9grHNL22uXQPyrTX9aep5/9Tj
7y12ah3m2y6fl9VbFqrFvXyLlxuCuMkOkFPBBpQ0i/glkFX+nOL6Gm9rIc/2xNTFDypW7UijJTOo
15nOlO8jeIMTcZf0jILkaTc4t7A55ijtpL+4Q1QHMyqvh0GAz6FD6gjeZx1Wtoe+opqYurdyewA+
ie8pyJk+8tlOvuJuie1HPNrx22jhm/baISGx8qr9TPxVI7jCg3ma6csaVL2FE0HyscdaRQ/bksnm
Z4/KJUJVZo9vsilJ8lP2rP/M64GBurWSgsy6aCE9dbBrkkJFpuUXjVvZ8GpMMTVN9lsJTAB3Rlwv
IAM5JAa7qsNW4JEqu35MlLlzh7eSD/+im3QaEDLNp6zgOxahjLrmWya9MD2tMzPWhJGqTwZiCkG7
bNqec459FxGhlXyPxt9kBeyZ76xt1oPqSOtH9Gpjc+XF5Ez3nds9CHYOdV4joCA2dJljWV9A/zzR
EF9DT6y+sJUapfkOA53+dHqrvGeyy+pgpaoQTSRSIPIjs2sIPyJ/4sB1K0poYK6X6W1DVTp4M5+/
nwsP0CPFaW+1G/Fu5cM4X3q5rL+cKeVJGtson/0oqeqCEOXICXMEamPgNKK6UinZqAW0XxsvHUfm
B+ZfByH2qM8tm7rdlUfXiqrPlEZXxFEWrkCGr7XLdjHEdO1TM07YYJJQButFwISAG4W+3tZlS52o
MDSczrFWPutaxv8gRbaU1zNtKYM4TvTfGzWvbwtZ8jSm1oiBgiWNYH7ouk/6kKrb4kFtZlGEyqjn
RyS/hPZRTbzhk7YmROiFygMjilt711vGHHmxU2fLTjeRVfnV6uTOHv1Otvjk9lGsZpF1emZvmd9l
ZTYLoehUv7K8OjP9WQ3m2V1U1Pm9iRnTOChR56GbwoxjFsVLSuBOV56GohBEKdQAVEGaks+4tJiY
/ULnfLbJbJ/0lsQyp9PDSdqAXew9ArnN2pr33QSM60Vbl/40eFpToEpqwgKE6UUZQBvrKLnjGWlA
AojzXjRxup7A6uJfqVxNI4zNbLo3ChrqKWEH8vUdMSxPo0UiFT+C0a4h4ceWccgrfLjwcjWRu6m+
Domfy6n/GU3RmODvGfUyAIrl8O21gdDUKlaoXWZgnwAzrvEKCApY0du4cInJFL9GlmPDW8nIYsOz
rYPurAlKA1uV6Fu3QT9om2qPuVE5rt8iK7iZusT0Rj0yzivqSlpcC/dLa83uQ2I6ptYTdVsfzGSU
3VLF3l+Qojb6nkKNeqJNLW11UFPyqKEni/RZsxvxNdfp8mjImfx6bvdrxid24PuSUL6atYeqd8rE
5GuM+HrxhlmLMj+aWjzXmL7JdB4tvF7XxPyQaDK9CnBJ1F8VlgO6OoQeGOBM91wL9qUnlX0G4VM7
Ck/snzN//+rJPpmUD3s/dvgyZgfXvnV9zmOkhXwDkzq9GavUD5Knk0e3REi16+BkvnMjUhaAeGHJ
gMjdjWvX5vzyDNSEJy2Fcga5skWMD5ygJL9TA2Gmg4R2GHj4vlp+G4MPU1RDKOr2drBVCjBVxl0a
VG5v3i302tVQgL1APErnC3X0bvsUT7b9mbZtj65km+bbhlRr9MGGGsyQeIbyyN3b70vyPCpfpNn2
yrMpP2u3NRCpYvDDQTGu+bDX5cTjRCwg9WgOFXjvG719OW5knM5e2k10qlWusdzZgJTlTU1pLXeK
WjPDb1q3fTd5+PKdTUfLw+o4zu9EIBsduSh4jvj0wfBMcfqhCDIFDDZ0PPxUiYOL25Zevdo0OX5Y
WZ9wsE+mdjCa2NylOvrXQOt0sufpaWTpFO7E7QAyYD3Hc08dAQYeuhGK1RhsoLdlbHb2CmbhZdnK
zzUzTWJT2eLuZu30CXRO01NC8aFH4XCCgdSuPCRVBrOzF6N8eahwO+QPkqbj6dzLts31YxubxoOy
W+BwoXreO50zqmeQi4vV54Rvv6Y89ojK1SQ6w05yS2/0uwcEL6SLPwvl5GdQ3tk6dgnnFg9OLfVw
mNPpPqPcst6PTq9r52V1E3pdWMTpOmyv8jPSoLofAA8T2ka+BLgtb4b7YQbqCtFSdYemUjjvl9Lq
0XGaGZBwNxq88waRsl/VtWohWLH1njINdR2AOlm/ZBAhPLrToUx0LhIarFSvhnhXT9mK1GuxM3U/
KIuZqG9X7i6xKeema4RNScpAsyBVmrgNL4lN2kewLj2D3bhIxPwwYMtnlyH58kzuRQKqNN1Ogixz
pu9OIdq7FngvFI0POiEZiVFm1ziH62se19hpebDIw/djCoVOxlL33+M2ralnWiA9JH6jefPBJbhw
4r7rZ79zxQQs31uUZS8DZ7CoV3Gci0LrgnK2qSnSErNpH7Zl6fvbYdIzN0QJq7u73BQTjEaZOCBC
wK95gCqJ5GopLf3LnmVvh2pDER1GhavoRyYgOtPvUtSau9HV1EYlwJTzwQBJCIwtHaqTDi+idWE+
iqHcpRHZlhw5ajIOkRUPURP0scv+b+vxVgZwOqP1KRPGf8KGWUK4lwVdE1/A+vpSeIntcB1Mce4a
t61DHhaKzaJ5k6gOZbiKPhMvWFWW5jNNM7e9v1rtoFsUuXNMFjF3MHOdlf/626L2L4EN/ztL/v5n
/p55rZ8/q8+/MPeswn+iEsr9Q2fGx9OLb9pFK8TK+ScqIf+WQ4ggG7UfhX0oif6BSmjS/oOQXCAL
2HuQCUDw/8QlFCmF6Go5exX1dYTT/Uu2eQlt8JelF176GgFM/IjJ6WryMv+LFXN2hlh0pMh7Zrct
U9DpXZ9/aUnOUGkUchY+AcRcynbEeHun4dexXHyavTPeg9RxF5uttsorcZxRiMIvQdympQYGBxAc
k1ADAGOGSamK8SYeeWRPYuivBWHL1A/P9kKA45F80Pg1HeXSk3q1Duzcc1x8ipmcEL+aUAlzIE/O
p66XJVWw7ngfoVf+RP6XhHnU52+pXZs7a+YGRa+YvxsTqcaBGZVfrnsllLkTAscuKFGI3fQtoj7G
s+UgqMBw9VetMouPtC8qbF5jcc9cAbMr5RAaYin5DawdBFKXJfcEoESpv2LeRspgaZrPu8aqLOxV
88ZRM34oxDx3XQkXRglNHT+MtKCcSzc19xtqpItd1ZPPSQiVDP9sh0Sx6Bc5D/3EQb5Y36Lt311F
C4hNPqAXzUwefcwt4NlzVO9qY6tCQnIgLY2RDodtyFlsORrkSZis7l5j1c5db0fpFyE+BMvYxQ+z
qZJjlSwxTRcNt6LWOjEWGgqAuKud5/Qqufc6EmhCfBC/O6d5L7uc8BkuYziAbDz15Cv58woFBO9i
HjVLFnuCjvNnS59Jj6XXujbm3kPQBmOoFVqQWJW5q6ORHBv8qXveMO0aId8/Ewwi75JI3qZ1/syA
k4O5O50bKMCJl23tonMZD4by6mgqv9EZp1znBTWoeknLsdYXhHzMRN9BuyGdtpHYgtNbRukLaTV3
fT8tpx52kGDpbWPba9zkOEbAzK6hCEawpgQsQRJsb2R52FRWvXeTZNu1ydj64yrMU1TANnMHrTs9
V2ExpS7fr79YMTHoo55QPJRn+9imrK/XV1K7J/226jYtsHJ3vXFb62K2sDkioRonK4COaaalh6JQ
pM+quflBgHt5ieoh+96MzYIC7MfyWAzptF+QoIYRxQUvVlWIR/zCVFe7TvKzB0MO+k2HG6hqMxjw
fl9a2l5Yk9W549d2n7K4wkwrmz6DrT1Va57uurK82fISUUwsW89wxkwwsDSE9CvSLalvaHgTEN16
IJ6McyYSDYtILD5TSf/DMB352DIP7LMsbvcqXZ9V6hJ6zsEBOVIna1A4FYJbU543jQKoSsmPmVab
41Dq8WOUuRAnMQZEv2649uaiWe5oEqJbghrKQGgT6Uqu2G+bKO8Gzax2zOE6XjTNvevjartUWhv7
sW725y0VW+I1GIu+axL2kTr087Fvl/Tcpom9k3b/JlGth3WbO96KRPw2AwPi8rReYiLPlzM9MAX6
FTcbnN3CW3+KBRMdePvaHNfY+FFFbccBRXHLLhrj5Y2CGliulCVpbXnLcUcWH86iSHjK+LKhqzqe
nWXwUcXw2SKLP4iEeeewp3ppnswBZtnYx4LSM1F0HbR4Z7WBFcXF62yN+qmdpXEmxzr3ZZ/rp1pG
obC7bzXlXylWvPsW8y7sqZn6fbOaEDEVnO1SZtu6t5NW4FECp86Fx1t70Gb8lRVogTaPX73Mk2lv
SR7UNoCRONMJH0ko9uriIjtBuhKb8kC/fP2ZG2vsoz5hD8sM6zaiO0cQq4WYiR+3lY82pSaNx3xB
1U2YT7a8wTzB6QNuhf8Hp++SPCx9zGyGwJD+6FnC6k8F2CPyrCk54AtrDqprjkWR32nbCKXN43dQ
8Sr3stQDKm5eGlotWql8i+9xI9IpdCNKtnAtZEaya2zj6q9UfmusB1Ekl1ihwJnq4olZcPEWKoxr
tCeiZbwvkn0vxa6cI/69xieE5MRefxrpk0CBoTnme7sBU1HHJLtpX8PMOarbVQhB2KbpOkm9OnPO
DWFO6DLPU6mfo6Xe1wg0WcD3W8KWntHZ1VcXh/IEu8tooHHDMtZ3VbTd4VMJK/g61004PtgANYOa
wAGEqVmonhd9f4ImI/BMb1LY6wjoZeFwUIeci2isohv0m0TSrPeDBrA1COMHBxxaHk3i1+QWo0pq
pirWt6t8MX17tNYHSpfoHhsbPcRs/oCnrAonp7prdZ06g+yJ7vddV3R72jWxspEpcDBFYVyKwky+
NUWT7omINvkg0aUeE43k1Ao70XOr4s4NgZ2eQcKTA3ZwDsGrOxcDPFXqyGBwn8xpuTPdQguHvKED
KbbN0Bzc36pqy/1UEsy1VfIGAezPhikbF+vVQZhEmApX2tuxEH9FSzaQFiMYwcdOP+ZtEt2RX1UF
ra3jGdLr0+K4qHwSSlAUGfs7NzNOHItYYtEn4Fvv50CAp8gag3vj3tV2h8pwGBN2B6cOWlQZtMvY
bTg710/yMH1HW30rCSq2nXz8ovwz6Gr3rtQ3dYhmt+PDVD+ZInoytbL3GV4+BwI32QonYvAKsrlc
Vm7O0F1S4KDItIuk7+i2wIniZ+ACuEBPrlnp0IMcJkA/r9mEJ2GZ7BMxAac46h9ErN+0s+KQnAps
QUCWhJWWrzMAT8AUgZihzavbtlrtTwTD5qmg9XQfDRGMK+BMutPbguV1GOV7QlocZLygPAxXdmiX
LqPQ1Di/e9moG6ssCWpp0/wtGYX2PtvbLTcJvs7RqZA21q7xK+UlISRWR6TgVcgZSNkebiUSuIyP
CKNVGItRhuYsitkb7aLa4+N4p74Nh6kdPSGoQGuScfrRmEuf6Up4RVB3PR1ZRl3eWwoOE23cLtO5
mNJme41c2vxogb9DnoCDzdQ+hq3nDNQ7j/f+ZkK8eCr67jjN2jtOxJ0j2tFPnH6XkIfmZ73+QNCO
upSZflOOqeGVSmp7Lds4KZT2u29m45aV93ET+eNoEmowN5Lnly6kwtppY00ynJv/zmD6fPZsKyCf
L6ffa9tnk0tyxjTZAU0BYInTajHU0eNFFOL63KcIcvKCQYyMBLzoUn93ZPmbhh21a4HNDkTxny27
cf25bF+tLDX9eKobr8vsK+tTdjuryYnOnAzR8jMlXXPbREtx2ghxCOxt/qEUI5RVGp+RIxcC9/vt
mE9iCUjj97VJPia9c0c4CP6+qJXrTZfY/T0YW7fLh+TaSkWQc4ttZ587ef0ds3jC7YhkfZYC86wP
ihN/mj0b8OQU+ual8bVTqtJoOlmW4aG+ggSYl1oymhfxooi9ABGk2yfb2FNXDaGHN87tph1k7pbX
JGwjP0S9qQUYDewmTHlPBaD4tIpTYaHwxYSYELOVtFbtZVWtP1S9XnwY+PVuarU5dxH1JbeDaRDi
Ni/RJbaW7R678aYfyqrdZh/Yq7rtV9V+iAUzp8fMizZJjNxGy3RsE8GDpq7xh1JzbjTNNkGPNp5t
W8t1aJWm3TF42ydAiLcMSUrqKbnJfT8ZEiwmNt76FQogo3wNeYZ5bVMo+9BJ0vuNNkjMjMvXMo/y
kGe0gN3Hw7UUzEw6Z3qRi6Nl+wbFJYe2Zs2nrcPfsxdTVl/w7a/nUUrNtDyAc4HGoacJEinpUm/y
m/CD/pqhmiy3WBKFFZS180j0XzkfXGDqMjAIlXlOHFzReAYq+TnRRvVS6OBwvlYs5k1jJxqqQWMa
5n1po/z71rXcslCVabz5q1RJEVarkeknMZapdVuTb1udOauJGOQYT7VAo6gHApaQGOQmePjhqKZB
oEcVCEUpGrKMTOwUwhQTtajVuq/V0jr9Y5F0vCUJdZXa44JEqzkgFzfya78pEgU+7BZOriXuNZvu
zLRRbySQSePQEFei+cgmbDMYk6r/WIj37REMlmkHpEXi6tHm2lH3Eygwh+u29hSgGyv7GRmVVjaG
G6HYDR/YOBF+lJvml0EwyI9WYfw+WhYnzVM7lZG6sGhyTQOP5vNNRQMVQlR7zVHCib6bPulwrrSE
m9FIHxI4wOakU5VVH+GjQL6mlMgQDGjpQgElxVDnOWLc1umdqa98jLd11M57Oq7xoKs0FpmsTn+t
FaWY+iDzL+qg3CDZ1PQQaYN5dNbKuk9Kh76mcUt3vD8aQaG9A6BsYa7QatcNnEVL7hc1FT/S2CES
glBEQ1I+qdGYl2yWl2kIRnJbe8a2dQcJjNFCWsdI7+1Dm9tkWvb1HdcGDGzFNlsm3VsG7xwiKMRP
V/L05O64s4EcH5F4DyDctXuhToxuvdqh4LB3DviDX6oFKW8JOQOjV8t7kn+Sp0hYT0XJ6+waZKZj
UodlRMp41J7ckmqmDH3jkBrB3DRypxfaWeZAhJmm/+iV9DOjgZ3pi5fZIvR1TcETN7eVvqiNh7XW
37vSPbElRD4JwAK5Yr1X+fALcVS41OvLPLsXkjNfo3E1wJ5GGGKo1Rfe6vehTe6T2mTd09rPor6v
h/xoVsPPTNSH0lpvYBHNw5T171bGG7C4fjlsAQ42f7KgCeOmPWaUvhLrpL0osmvbXuySSd6NLtmq
Q1mdInf+JVyiixqkAxel9U8GJbVeIcr72JgfkQnfIh5efGrJsB81E06D/hzZoJsL2uxaDL9pPfVo
tDzl0bLe6HrCFDoxzNdLSLsog3E7PQBlv62u88F2Ph+oIjtarb6CV7Mh8TG0RLO/XoJVeijb31mE
0MyK7guHq0zXQ6rfdhy+EwgwMSTDdk7GAqOOOwXR1hs7+Ir9xroRF87XsPL7MHGKKv0dFNirpjl9
B31F4zmnx3WL3gsn+2mgKjhT2vMB/nFcO+zvHJIB7NwWqrp8Wei8DEdj2hPR+6lFpMnCkMLeW+m8
m8R8xeDrQ8ct2MTDxW7o54Ku3j4Hg8cxrTJe91T6RBoYx3Ghy7IVFhzKhnm75yUr/ibVV+9S6LW3
sriCdBffXUocN5ZHhM+a4yuZndFf3ji2FmQNogINGT0tr5KUG6E/znb2XOXmQ59NmFnN7iGdFBu/
w2/ZsY62mx4V062zjf7Gn+eNYe+doXgiwvUwpNgRbCRwmXoSjO5iiS9Zvrws7Rw9F5QfF2kU2Gq7
6G7+rFNU3gzOKZnEsW60fbp1B3uzDl3XFuhOYe7sIoQ7qPZCzedpiA5dtJ6ccWC3z58RGfiWAyVs
xEfSfJ+U0/RANsXpShfIyUhvECqdhkbuRUpqRq89R/VY+c2Y/qKIzQjzdtP3whgIVK5CKLZH8o97
UvP5gF/D1tCi0VlFwAvS/NYvVrybm+bcTVZ7B45yBLJ5o1r2O2Iw3LiiAwcp8CXVjfFGzNSVcou/
d8mqn10aCw8EfwddwomRTZTZZglRxxk9v/fzDD01ZVXsNQI9C3vUy7JI3UcqYkD5LXmgR0P5QNyV
Ai5ozmnH9dsNBS0morgrSvEEIRs6GYkXVn/rpNEPPKu7bXbdxzFOwC00MjZoDvYX2YJzuPty0n0b
lOeET+Ek7dg3JwKB80E7APAIigVVqAzzCfn2cUXywd0WB63Wnjcg7l2OVXcP7PEQ6eMJcIstHITy
sFF5u0RaSBobVFdZ7Vth7xRqE2+oza/NSN56zT3ZEOvgTXxQUpuW3by66Bm0mnBhbTiuchwU8G0n
u9hgTHBwV80xc9wwdoqDsQjtVusuXd3eoJeGl4FvyAeoHKpFgtyl1M6IvuFHQdYdQvQWh2kCa160
Ti9d3ARuG7/2tc4T2+97ruyanRE30D3nNfErXTCbWWAPzPGlrWu3yswfo8jdUVAdrsNj0dhHxBHP
Qm1oDctHxS8ch+FxVGxr+DQ0yUiq8p1ljyMcDNSzXetUBkemwW6+QVg7PFFz3n46yRbGa/yjw1AV
pEVm7WSsoZ7W8sbvRXuYavWL/uADKVu/0Wf4xYh2OesgaJSIrt8AOm1Yph/k9BJzwUvvUU/qhUXM
NISQk9EpTgbGThPXAGC7/Z7a6jTn80eeJbfFHO0GuQT0Cb52TfFO+DcVow3DSmMBzFTkKmvzvRPr
Ib7+MzaD25mZw4bqbmrjhXZLJJIyfc3K/G4iZcIY+3PVGheKO+0rSUzJ6zWFhoZ72jkj3Nyr+Y7O
4C43u0u1KvoOCd3kxC8GvxvkkUHihV7anagZxcf6HTztuFjlPhpTxA5RrB+jaL4Rbi/81gLqVRor
4TKq5xjJy1CiE3b4azwrX26zDW0+XYpPjijfndxwg3QRu36GAJWpoE9dN08DBOxOqljfZ235Wcgy
9syJ8t1lHB1KqjAOMIiQdMVA2TYYTgooLwoZWQWvCTenhqyGsCJqzwfe+xp5C4LUne39bFF9sRrv
ea8JH2I4tAo0eIykjT/17kOZFc9VNLrzG4Izg1E2NVYXj/1WFHOBjaNMa9qsFxzEvJkHp4zp/n0q
+6QsZKg5zUKerE+Yrq77JFdX+W5zStUEivyqbTdrMnrsE2fVCcEhlPBsZFue7FHMG88bPma2i4ig
pdCYLfmjbIqk9FOj0JIwjUwbRYc9cXVywvasXHP0XdOGOe3yfEDBVg32Yw01/dgKEsRBJbWFzznT
k+310LpgmSR/gHA22taHuMqad3JTJIawbtVqNimHMJuynPML0kq4BVrVnpmc0f0rypKpIl+T9W2x
r0VrMBMavcBY5tnqE84JXqOTPqslomyxj3q98QZ9ti2f3m96EXMKBOXOXbKKJ4JI6q7dYySw+2OG
LEXS0Sr0JRwJCgTQJ0JiTxRO+XFVRKJO77Y7SdgYtZ2Smff/QeH7v5N0s9Q/6UT/m2k2yNIvzAPp
P5Nu16/4k3Qz9D9wbErq4AxdSmTgUFp/km6GhFiTeGQp+aJ6ELnAP0g3qf4gf0y/1vxZSsCFwcf9
3SuLjRY9rU3CNWwb4cDS+Fe8sn+Vzdq6TiwIwlyyANmkYCD+i6LVJR4I3xm9qy21zAfLsbguQHb2
//T7+L+Kc//+XRw874aECUHa+lcpa0ucKng834WDab2J4559UwJm/s/fBc7xL+yhraOalkq5hCEQ
ekdq6FW/+0/xCwVcja5mi6lgvBI4Q9JBBjZN5Nw7HHH9fs1tIwCnB29fMCkT8DWgUXLZdO8bXJ6M
6dNY/SCpIrXCUpiyvp2iWIGZ58LgcEQyaO+q3MY2klZ1OiHGiFz49mrE348DYDwamYwofN5I4pBU
NTDRElW3jtRxLrXNS5n6pgquQrvHNClEe46x6UQ+gjN0nw3Wwoeohi48iHEi/cBOK0uGqAj1n4ZL
QzT3Py4fO9K70YP8wO8Hs5ndRbVBTgP+oeVM6Jv5aNqpk96JGnxlVSoi9cjK8ufpio+GnCD1BVPi
UOyInhyrnUZ6Yr9vh4hbH0fmNnnGgq8YrxuwDFfQZDpgM4KSbf5ANGHH9GZwreJxtQ5LlEQvFeEt
jm8Ckjj7JndqQJrCZVMYSzRvgOppNZ1hE3JMWwr9LoEGa3zs1LwNN2T1GcancTXRBBYWqOrlGup3
7rLNaA9dba+0boqy82Q3I2ku3BUEwSaWHxCGaoPPrIlcjKXu8lw5XfMb5BxrTxcPxUc8KXhUMZo/
p3TSf1N+bVbvgIhbC+CzTDKEllTOwU3QTuLG1sb0AGwzz+HgXA0fDdtg9uiS9bTwg6ElZrMiI+OM
IhBDVCmXBiEFsRbqY+g0gz4M8mOvvqrBQNxMWqra45xr5vDKz2ZX652rfJPkUzrxrIj+Ewy+gsSo
GIYhRyki5zdndLjHEzOvmkMLyHpnbviu/78mYliP3//+b1cDw//ZpgGaO1bffzmdr1/w5+msiz8c
6vsQNyBiUFg1/nE6I5YQgvwC+t6I5bbM64n+d6OGhlODP+M/c9ogf+DQ+cfxrBl/EH+AjgCVksE/
prL/lfOZSuK/nGnkUdtX74RB/Lziu1GX+tczLetGtI1684KwUjyAmIWly0aca6k4LZwJyVoYp8Qa
EEuBKLbzu+7sy3rwdbXsrkoxy3ya9Ceo3auqOBhWNPOQqf7m8gWwRY72OGxPzbrsBJLRujxzFNzU
4zR61hLLVz0+6epRap8F5S9qiMCruCFGkqheavndTDIAJWjVobIRQ/aIJ7vziOP1yOeYrg7Z4R/N
xLDr+PQnyBhsB8WjFQW0M/2KMGtVcvacsU8J3tPrjKqSDBwPNKGN77JCd0OjH4+EwrNEmr6VXRan
ezS3x5QuL5iI+CmBe4yn+dRO2slAHKXRkG5O8DQyrzUMieSxjKDPQsLDd+ynCSQ3yUsHbcCup8rA
7ot9YopzSx15NH1MBBMFrNkb4bNX+UD8XZcOsEl2C9RfQwZW3VGPmO5joa7++Njf2P/6idffj4RD
m76s4iBBdNdkVyJc281Xjq0vfKEIxRp+a3USOOVv1GwhIXP7unt23O8EQvuaJODNm/sIQHcZJIF9
/ThAKwKKoba9JX7peVssFK2SgXwRDk4w7AAk/RHRjIlzTH4lPV2EEqyXbEwvt7OXDItoCwhRVdnB
WZ0GYS9tKRqiwFtBIAMp8/FJK2+U8Qmv92YR3ehBa7xv5VfmLuTv3M5uDTWS66HeDAVnsPqKxq3a
FyIdz2Qi98gk0atX5ssoJ7qhSPbi9E1MaF6z9JPYFD/amRrAOHqRVRHI1FRhYr5aECBEYV3KkRpB
z7D7E5LMe3fYkn3qnKsa7kZzjwU1NSaJmOfFWHCp4sC81ScjhK7aGajcF7mEydaea0lubDb+QpPG
E0071WJVoaibo85DSo7Qb5lBrDvl3nBLn51qR1/N9Z5lcdPA3vHOUBIVObdWkbEgYp+nO9dGjl9Q
XwXVQ1hr+TdPiYj3clp90ibRPjgHexQh77KfaU0oizkAr0YIrQWzkwVb/jC6pcW6cNVUlj4G4L3W
OIAJ6V1kZ6GdT7tykg8KWkg4T6Qhe6KbFb5QN9BALgz9SKMPCbMmbHUL+KKd0snwMz0otHRX9VR4
/UCvkyCqAz5VxnJcoyKsjci9l25fHSmTZdXb/HXVzg2Ro2MGKDB+LJC/VvWAm/qosKJz/V1bdRpQ
36689vUcsGc/jotJSGN9Z+CqMEXn6dgPPa0aoQzF41y/Rql2khDLWWECezI3QWbsxHLJ8JrDJngm
H6U+W0J7/q1tr6l4U8CiRRO1D3OZBySEDRB0M5rl/2DvTJrkRq4t/VdkvUcZBncMbc96EUBMOc/J
zA2MSTIxz6Pj1/eHYLWazCqRpve20kJmqhIZERjcr997zncuyvnYyzuAXbEPRHLY9cOtkdI10AlY
6s9mMd0PTXpculswkrhWV/5UWmIfLQ4JyIXQuQZDvU1o8WJi9Jmup+AV3non3MQTiQ3hjKEloVZB
jhCm9tGq202daTdV9mLH5nsY0VIA6zqMkGGQYEneBncBXGu8ldiWHTxAtVUFLXN+Nb/1NbKvMNsW
MW+aNGCAIzENzceC+XTDa16jwVDNBFX5W6i9l1m1GRGd1PJutFHdpLdpGrJEXEFw884Xy/gkk5xH
u4QqGr0ZmFQ3efdY2ZLZsQNdX8sAj/QbJpOI1HzsIxQ0Kj5zxXTTohAPeVyKfmIuBgKLxlx6GIXY
kdk54vnR510csgDikR5mNE3rKT677Zdnz/3s0V+ZJq4w4XOVoW957mgp6bQ1myrkywsMIVqThb5T
jO9Ou5wtrnaxzPd6fIz7vT4I91ZYNfCcJIij9mXtdMaRdsiAc26qorSPOfKXYoPUBTsqqtcAfedV
K5P+CuxYs4mbJH/rZHyjmTA/HGSgnDFeR95ajtm3UIHQcNj6S8de06IzeGXQnxJd5hkXEQldzRjt
PasCT7KybPsqvi4KiYvF3pREAyl+WELNSA4aVsNXL9V9UAnHsOgup8UOatnauxp501VVIRE2qik9
y8xh1yy9fmiEMWwJB4a/EnV3DWhCHz8f10538mMzYaFkDjzKC6x48zNu/G6Plqd9tEoD3iebrA6h
8ts44XI29C47tCDMN6PdCV9WZvapLVEzCcZAIcVfEJVh0IfQsCA4hvtuKgYExMZOVONBNO6Xojai
c61royMJFbWfTh5O5XQYzvLRGR4prsFvtQuoSIRhPowdei+cPjbx6D7HVrlJYiZ2KAqf6Pj40mDz
95zpFlEhb2R82czGY6iFW0/qTJyr1efvGk+e4tq14q5L7GhPN+VmXNzpmC+gjnXcFbEelhvmEfVu
7hEx1e+IEF2aenr5ZjS1cxZ1ob5wuBgMH0Y2chYerAWLjh7xPsXGoylDJl3DuRLxYfaWZxzezBHm
L0mfuQG/gCBbxOZK2kfEPkejd5OgK7nBNNuCpky22CMz35Joy8kESHZQxwMmNM96OX2qpPlcm/U2
ylrUM+V4hGZ0U9TtTqu659aZ9jHnlMA25zYwDZ1AiLI5YNaEORgw49h3DpnR6IZqfeGhwhkY+0LT
DgVNNwCiXMxE6w8L6TrjMpz3s+2+A/1sz/O6BOOGweupxndEwF44B43sLIgDWocChwPK6sJPrH4v
OM7c9ppVBwUt9msEGyHk+SRmuKT34fBQiireijSJXkl5wYSilS0QkToW8Eo6m1Z7RdVQ06nD9aVY
tMkkmwJZK0J4htq8KUNBQQQMGDJ+5uxbocQth1ogd/UcD09hbYv4CMexvkUnS9R3Z6Vs/mq0kgOc
YiZtU7ln3AR5wQT6kLOEujFQoSRE206eIk1qkjpS7sQE9mTosuIswxZjMwPUnHPe6u46w371IpS2
+r6K/kJwKBpYwjr5WupIxRHnLQmKVxc5QqMNn2C3hVvgOghd8ecaEcL0etTRewrnzB37/EKQrEit
mPVH1kS5FWOkdtkSQ9zg1MgumkH/1rLlvLciDIITGwfn6vJSw6+/ycQXULCZM51LyosnCLTq2IuJ
2WCGugQwpXUBD2y617p4fhF8+ysbSGowpaEVeKnngDPs7NtqUe4lELzqlq8SHpN0vnPycAQULVml
0vYpU4ZHjw25MFw/ZGh8geXLgDhqnxvOsQ4lwnii527YjGm8xlYXpDNGxHjSz7Pa0q4GoyrfykQv
n2Knqi7k1Nu8eqmJm8Dl88pFrTTReoAshUwRdvlj5yQT5KwGz1EdoA/eZlpeIHBxtI0l3eYMonQb
aDJ7jPL2WRlauCd30OaVBIWRtlvsZMarUy/VWZSbybYtpXrQlqz6XJiefEqI7NySsjQdOp1KOcdM
SB6gCvFuuvajU3rxqqo1DzjqDIIvJo2mQEFtpVwt3nlZdOulBkGF7hBeirYZzitrTO9Ebn+hnQvY
oX+eOOkm7u2ClDiO4Css01YPx+wyi+vjlK6eIPqvh1BOxzAK42taKUxgJtr6bohhiabsqomOL8Qs
HuBdTP4CwEcjyoFZsZv4BpSEckySbw2yKL9MFCO9zLkwm/m+rWafJtSpNjwQrRkea4gcF0lEwZ4n
X6KEkXad2p+MwXlKR1367dzvxlTehAiIz+xRXKTZOzxYN1B5gpS062/0lJ04TBNiGRIt26bR8iw1
87mUM6VtGqXnfdz4kUl/Ihq9O/i1PsvgOW1uxrvWdGtL/bmkydQjPz7rCdvwkUYBRyrNvdd0jyDu
X6r13GJySImc7Az6Oo5itLu2PZGgYTPIYbK30i0EWY6xw4Nie2du56BHxOu1A55KQIhWqE0xD3LX
auZTlMztZZEI1FY9ITo3jtfVAenh3bdUxk1gxYDBWgQt24lBKJNmVaIikFVzZJOVyaZlWL3jpe8u
s3wYrjLMG/thLFLsSNikeTOKdcDQlAFuqIHAzxycAEB0JgrEKRLC6dFkKfoEWXJMu/5CLX1Fhqne
tV/HadYmP68rPSh4vvHXVfFb1zdcbSs+W4NhOgDICMcWhHzDBozQodbacNjVhCQk4DVmzHwHadXL
Jw1/+LbREJ0q4xtZF/sWUzbaBqymtWG/cCheJ7rzZwzGzLQR3B//01H53lEx11i9f91Suf+mvsTf
8vxb92PP+/SHvrdVpP2H6eE0oQtoEntMqOI/m978G92im0HXhB6JMH9oq1hr03sNxcKTbggaHj84
TWh701Ch7Q2tTazWlf8BAcOlNyx1w3AN7C64Xf7C6UW7AxHZM6mUc6HtVOWSXR8iQ+sVso4frsxv
e99/fhT9I4f2Er/oY/+mFPAF6O5wiApVHDiatwqbc+c3ve+fO9/rp4D1gExBDiRdLNf40MdvqgZl
UZMz/3Zxzdotc/0Stsy/1cc/fQoWY4PQMvia3AWcRT/21wed37BiK32u03IoQovSr++S3a+vmLHy
R34gX6w/ZuV4uPiRcBUxIfn5Y7AnyYlc4dhHR/21GS4a5IQzMMohHfwUQUC0OIwN2dpVfiEHvP4F
/pmoCioOrXozokO4MWv90lni+19/s5/dSevvZ7bAxEUXcDkAjfDs/vj7+7hjxqtz5kwLA4piX9yT
yoSAyEV2z5OkiIKGb/jrzzw9ID9fDeYynuMBkzFWsumHBiAzz6kP0xAvapm6x7nSqiPKdJiLM5I/
6RZ1wIh62rpZOh1Hb9T91rCvytie95hUOb/Z6Ro7QQT4r7+X+QGGsl4M6VgYtsBOS97XD3eJroXy
+q7kMI28UwWVp9Z9yNQCJx0qe0NbiJN0ZCjjDu3pvT2bgEUTr3pGpaF8ZLHThQusY0/CR4Q83yFM
mx2aytGKEmqiuopeh0Vq564wlzuQqnMZaCE7N6Q2nI4d/DEfIhy22V//rL++SPwqx2Vl0oVp/SX0
crKdfupmnRm3s8w+XNF836DOCn79KSv35sM9Zd5H6gUtZNuSq6nvxwdpySxly8SK6UPpyzav7DlY
ooLTaoVYzszoK/z68/7uXvFgug4WPcaG66L74+cJkXBimyVvVJw7/kTDdKMXCq+tmur/xgWk2WDZ
Fss+i4X180e1ucr0ujFQlthUP0KnOzikZvm7p2+9Qh+uoL0CkWwT5Dmz1Q9X0BjqPk4xjPiLwGCS
TPp87bg9ntbEFXu4Q/pONxJrNwxOtsYHOiiBDXO32OSQT0z1tvHoTMc6u2dGWG9i1ReoKT34FZ0m
D42ZvhJClgQVupSdMELkaq7Zncty1rc5oP/NGOGNMnNUYK4X5r9Z//66/Hm2vW5L9DxWFNSHF14f
EfQN8cwRJ7cyP3HczgcaSz/dy01/sFwbvwZNYU5yv3lK/ubZRxLBhwNORlj1ESQPF8TuAFTAXqAU
O3gN9gltBXz8+ln8m0WUbRdCvi2YOlvWh2HwhJitLckj8EfEg+xXCgPhelAiM8f2ydSIdyEL2m8+
9O+uqUPRoeu8bVCrP3xoLXt9ZHuk34iPGxdmml1onpvd56PJqDFB0jNYKt+5Tpkcf/1z/+aisi9T
YjDr53WQ6zf7YSZNWKG7oNPCLDeAItRKbQZZ0Qy/eR/+5gX32Bbd0yZBEfXhBXd7wfmQYFE/l4wW
M0T+B6fRFaRaLfrN42l8XLyo3wweEdKBkTQwn1r//Q+/COUKBUgPGjZrjdeafiYppQEm1HQ/tWa5
9i7uI6fvdoh3khvVlg9IechChOWwLxM339eNNRwxtHl+RVbOv3m5v385B/g3mC6o4h9utAdq0rUM
vtwyyPh2QrN7GXZK/82b8kFpwMp9ugb//2M+3NXKRipBB1HQPPfWeESaYPFIDJW2qOWNLIL42JGC
cKET/vLQ5FEM808WBAzEw20yKzyUbfhlJsScXhMtf8iyw05TCLdMbDCOO0W3o5eCcHJSHGITZsoi
ZUBvDN63Xz+ca0X90zJKTU0dbK5rNa8+w86f7yULMwDJhvlY77pb10uar+CavCde3EQPIA299WGZ
UO+YGYI+QEbSnzqDszYQKGy+JB6+1L2GT1jw8qKBRkm5zbLCYZZSWcZ9DsKJ1LdKGnhbvV6QPZrQ
hvYNMYJ4jJDEr51i4r7kEK3t6iX7HUbttN38uE/wA2Fc6RjbbTBpDHN//oHNEgJX6JRE6m1g6U2q
6YWflW/nJOYE7VA1co4Zsc/pLbhad7pLOP0mKN63YQEIsUO9+OtL/jdXHOiejkqFRZ7q6cP+2JlN
5KGCcah5qvkpl9Y7yBkSyBrIKxBy1G8+zkBE9PEOr5FznkBnZNnsyj9fgKLPRFfyMtMmn320DxdY
OQafCYHmD0PR7hmVUph1oc3QqclgjRewzr35N6/lSUj0833glWDRp35l9UXn+/PXAHAEUoOaaGOZ
RU0IVBY99IPNKIpH/wLXxsL8ZZGXZt5V54S65BhmoVH3eFe29dwxWqhT43NNXvK+rovsLGmbHoCJ
8B5ITGUsJ8U3Qiq/Kya+zP87+oZ8P1ego35kCn5cVDmGrjl25qpa4oU/xQz8sNAZsqLLEPZk07XK
3nml9iWPmFhnoJ1+c5f+9pMA/XGw1SXHng/VTN80dTvSY2OEXb7jpGv2NUmLvhfr2m8+ab3OP90H
A8gCR0XolCAb6OV8uA+1UIZsvYjYUkMeXo8wD3DJFxNjzASz5b/5rMN78WyXx2+tpEFO/PxhxoKp
nZgCKpluMffMDPG+52KPRsjFcf6bD/vrL3M5kxkSrTP3y1gRFj9uS17dzC4AP7zPALNBTo5VS9JA
2ODQRbqfuflybsRZ+pud4HSy/umCnnQe1DMChxN174edgJgp2qdaiS6X6QBdx4exmC+xZaBY9s4J
JjtDc7YnOfqCuu43L9VfnhpeJ9Nik+MX8+jYH05guZKD8tYoCXIGmNOHdci4Co6gY0+/u5N/ubh8
FDhK5ml8JK2TdZX54VVIkUg3jkkVk0cliN7WQxE71862rDstyFIo5VPd9LtfPz5/STYyTYcQj5WJ
ipFCio/40NFsiWFAxeInHMr2IDHSIEVjgYd9ivYVERNL6UFgsOprHCLiglTc/noNkDy2Ufb4m+/y
l3V0/S6mza+nX+TAtf75CrjJ2Cwz9xB4z6wFmNdmFBMQArFFTLWfh069r4mUuq7tXYENDMoTjC99
uPzN11if4p8eN9ciWIXjAcErPOb2h6+BK4b48LyAJER1fcNSUl/aZl3tWo5bgeVFX5Gah8y/pgQK
6mxcE+be7fvJUMTFavLLXFj70zf6D2rnfwkegX/dA/Xjz19/7H6u/+/vzU8TWi//cV3aIjTk2Dn+
X/PTQAtMHcILhH5sLb3+KSnjz/CkE6mzanC5rToF/J+CX+cPIda2KP+Mo9kpUuf//NdPe1j34X//
uKfxR396ghyAsrzFjsdfSkuJlePDqkEg7SAawz4btKyBUe0aVEiMAmKvProhE3A3Mwuqttzti+zB
8siuS0KmbIsLpwSHMdEk8Zwt3gMgPCkOGO154pMC5Oj5MnBAPq/KtLkznQUrpx2RCLZLRcOwBgO/
1ivSMIqk3nWcAPGgUtCSi6AlzKupBtPECiIYajR58FCrTDHsRNIv05aIkaOcSEFBCLO0WjDbELGg
hIfC9PMm65l7CppNsVuVN3FStzDMV3frLHSCP/DJ7QkILfH2WrSlRKlApWC1NApmNFdzq5X6FZWJ
Adqdb6VflLaWfVrGyisOGVh9+xN0/ZhU23oJNMBdCy3G0sRvLrqtp1qvaq9qRy5Bm4ePA1IanDdF
6LQdQ91FGtoz7k17dVkq624aiqW9QihRaZ9apKB4+yMvuksLWB1EWVk4djK/7Icm5+DgFLRrwqiw
rssW8tedrgGJw0scGmX9dU5k+q1pNJ2CHECqAP+tMy65j2IPYQ2BxaJ8Aa5VqZ1iiOrXsDu/Mgg3
LKyfbfUWN456xz0lmmWTD/T4tnhh7Guhcv3QhTU4UdiZRbIjW2O4dAvovtec5lnwtM40r5sO8OVh
IbMVWFpUGurRrfTpW2rCDL3NQztGXh31k4PqCdnAQ5N4DAQ1UDU6k8UDSurktlym7DApekMSJyEn
4rTDiBGasUWKS9Hp9cZxRDHvEmJbIKjlqLNxThiolTwYyDH6YrJlC3wxqzW4Y4+PSTTDbAwUXReM
Ir1pGPGiJ0A/VW82CswdHtx63HhL7SGcgsDSkxzolGHN9Y0KyZhbitwh/oyo9fM+mmIjQG4+q2PE
Qtxt62qytXPS1SlA8WW4+Fh7ezijkZDGZ6yxJIw0YT+MQRcPfYvXiTPGwWmzpjx21SSf7AmeDGmF
c1BVCK7HnhgsRmm1M27hq9YXCh/7lVYgqKKUxcuOabS4GiyCTlbYiAazAgftbgRXeq9axXC3kqo9
zEY13kbYnq5TyFqBmalZu0KpPNxOVWmQgdmZZRYUMFKeDCrLA5xqUCBxySux7VSh7cU4cFQWYZvf
mxX2nE3MIPNYN6a4nU2n/hyVkf0S8miR4OxoS+p3EPGxU+rLAkCnjDQCcHKq5KO0SkbqLgAaZtMW
qM5N0mUZyP8h659tmLIPM3k2V27GlW7puYQdk34zBiz02A9Mg+evsTmn4YIQs8dSW0Dlp6jCH+jz
Xjb9+IVVAf4itOqmAcA9pxYD9iiomXfyfG44T9Ac23ttObvG3tKbfkYkh6VheTUNs4N/AR5a7+89
rJwGfTUvtnW/jsijX7bh3C4VwEnkc0P1Xq9a8xTcdRairwo60A+UbgQXMuDHA+aS+bctPcoRvH4A
a4h/wNfWGGu2UTMXzWYy5l7sgPTouMNnKJC72ptKL/dnh4tPAoGePYQRShrj0po6OU1PRbj6l5hY
t6DZyBDBGLBPODjT2o5qETW+PZrUs50DfeyR2PUe2kNp0sj8LLyoK5+8fijtlyUXVfbgmvmE7tcY
qvbSy/qkvbTDbkm2JOy0RD9U01AON21MZi7laUogSQ8NG2KQgXoobKX9eUC9ifc1a5wDtDA6qVbE
qZnMmteYmwvYd9Y2pBFZQSxz/O1jrt1jRZ/9Ms4B2dhFij8P23mgEHplG5O/6HKRTXvmZrZ7F5P/
S6bjYm/bxAJlNrvuoO29QS8Pzjx1L5aFErJoTWIkNGsZgnFC7pAMo+du8NAa+7nw8qdYSec66hVE
Tr3SPYzEuNhhWMPSjB1xxOWsXQ92Pfk0o2BH2KW9J1HDPeo1Z4NNo2b5Oiom8EAp46AYpiXAX1cc
EAtWFx7LOYHnzaIeslbGM6cV2QOrlVYQktxJQwal/94kYbqFH2B6OwGNbZ+YqJ1kVoAC6RfUVcVw
Vg/6O4HmxoNTW87a5ERviMTHOnpxXT7lKrULmLON3IeW84a9v2lf44iV+GwA4EIOWW51FQEe1QxS
JHW44XQXoTCZY5z6WcVm+5LARgXhgq+5pLuEkSK8nNtcUP8lXfpZ0nvQPtnzkEUXKOpKdxemqRYG
vCBmYE08MpsuMh36HlFC7odIuvJ2dlS9T1odU2012OUVYOhZD0QpoHcxWSjVDsZ5goROj9zLPFm6
MoD4hD+8UP0+NTtgHC0mhjnyEGQ0XqFu0P6JZWuVg+7h78tSDzM6KAz8+sq1dloB1VQzkE0v3tjs
c6t2XyXBFUEzCRNiNm/nbQEs8gKGh33Xt4sj/S7zolWYWs5vucYEiVTM+jOCgkX3B3RlRH1Oqt5i
TM+QvLurHzyM+89EbHLvD2XMNgNEnUDrL10Mu/cqzKLJ2akC9cGeIEp1jovUvCBOXjqbNIL6oxwt
fleLiNS+WwhwWRdIuiY3/ymhv+sIBKXvvy6h777VwxuKm39U7//o42//8HlWq59qav7495racP+w
aTavXQSd/7Yk9fGf6ErjD2ON2qVNZ5k0+AQNrj99GugJMHDoHl1xBrZM88Q/i2pN/rGeKg0SNSwG
cd6/B650nJ+LapfMafwg1NYmfyXnZOvDsQxjrmEDLNlBC5kDK6pUdOmZCiIWi0lTQprWsPrgu87y
7eQt8Xw2I078FIshIbGePITGJyDHFf5C4E8aENM8pEEETlxH5FTZVTCkSpF24FXFPXlMkh1Qkdy1
zTqVPEGznDwO5gWBNZU5xVCzszh8L2WmtztFwBuKcerJzRA7w2VvVSFo/zWd90BEsbT2DkFb4xZv
Gf681FkiOkFeND81ieMVx2Gk3fvsOm2jzgwFIywYtSqygyYBvGICfSZ0Sc524jNoMFjwlzZ8Feh+
GEoDj4g2aV0wX1uWFjy0nlTg5GdZoKWKS5lceppCDgy5CYH2gppO24wcSt4K/IqvOrsedn1LoqlM
W9d7WpI0+dRg9VG7COb/VeaWNaIKwhXfK5SwqLCdtqJlJir7OM0ToBeavTlAD8Ot8DCYletbdYQO
bhFapcApQN2Ejp4QGScXt35A8Ne2/KRECQhTjbZyf7PlfiLNUMe0JkNwArKqtlPLjwkMI9fsrTUn
g7vX66Flx7b61y4h22Dj2aVzQ3WP5XuwzSQAsaSRoj60SD/yjmRuX+g1HOsE3wFBSAQfVeQiotIE
V1z5bT6NClKTY12UFgLUvb6MREkORsLSbcTuwFSaoCVj1+oO2DOzsVmfGzx+6d3cjmgKl6KZkgNA
zbGD7w6X/NgNaZPgZTAJUI/oty7kYeeowAsPWtPGrGExAPvrspaSWZMtOdKofveIKYXayqhf8ELI
RCf/L/eG/iIhzbrYxbZdzwERZUDnmS+Qx9dlbDlN7mjpm6vYD7Yx36MJBhQv6YbAycbYgpGAzhel
VpMGRJhGrl821lIBHqGC8gvL0ocLlcbY5Ti2NR4ZwTnLOb3RuT1oRAionTOmmbEZ6zHB+L/0TaQ9
VJTmkjjoOstX20OXnhE8oT0nUP1RxCeOxPxjs5qvGaSGc5cMTTc8ytxM42CuezW9rGj92o/zsU8e
GBFO6WVWht0ZXOuxOIdsY45X0Uwo5jWQrn5CF47valcv5RDzvGZW+Kk36ei/8701YJ7QTI2g4wGS
u04pIwmcyqzqWzmNpEtEujKTXUwVkmxnRb5YUMdRnxyN1AVqgxKOewNqhkxI2RaOe51D9gQBWc6a
dQbZlEhlDTG5sWfoBMRflv1EUiz69a0uyaonvBFsGcVVkVe7BhAQ1YOkzDnMVq+naOhzUj3cpUAZ
GNGqKulaDXVxZc6413dhZPTm1yotZ7LcdLpuNx6mHfZV0FTxTjZ6Gm37UJED2Oh5VYIeyfX+SBSZ
HYMxXf+taVVZcmBo2BT08acuPUx620G6MVh51rNKzlSsA8V5yPsSbpnJc8TJEL2guy+JHAHt08lG
ABk02hBGowGwVVoxJ7GqE6TW5IR7i3vBkaLc1ImYZdDNyn0SXsbX4e7zh6BgkSYzl4wEaAakL5np
tO8NxPN3lc2IaMtOEZUC/kYy2mFMGGjxiI921kMdvADnS+G7gj4q65vOvx1t5mM8Q33GnRCNt20I
jst3xNj016bsOb5ynnSu4nHRv+LEr5pDobIakEaYknxRTU7yDSmnc5UprusmB1H3HNtV+97DxwgP
nRDtOyc2+c7RGUhe1lTke5RGJ3hZ4xyljNG5OEerrvpK6AuPTy6hHrAY6RzFh7BuU3C3BEhs6kW9
eJNO1Elc2bqCkjPPNKDnlYJMKm9N28UaXPdoDvQPN2TdtMmxdd102C1lOD9NuoibCyImsocae0W2
n2Q7acexTebKZ8PQavArwvrE5CKztENkVtJywHutcZgFh6aLAc0HdutyJvkQLlivk95QjI+FQS5x
MgnSgW2P1I8R4leLFZrERD8KB/0hjqU82qEJGS2qtNCD99WFlyPShK/tAB1iowybEMjWQGe0QQQ1
o7ASZF5uSNLsL0x8MyUDJFWUO6h11RWUUWICpVSkHiOJTvzRMuHqlaagTyTKoqW0C4liIFhC3bYE
SHO+SbzBg+gVZqxFaracwJgJCj5vwhVtTwCK+dDw8RlHm1LGu2VQ5nkYzSNJgjaRQD4QaaSqulYs
D7WRdLduPtvPSJTo1Fhei0kiTAoAytYYf8pKGJzbpp2jV5O1nPtNwQ5ScWpsAE1eswBjsvr8YdEB
ktp646Y7bMhgqSw3wo03GSUsrDC7alRTPtd9MT3D7TIRwc4eqn1hFjeD3XSRb1eewXbTDKGzxb4+
NlszaYtHo29SC8BHZrHHuKQCBqTXxcc2BYBPI0BpuiZ8MaZ6zth5DYAYa1NF2xrolUHMZEpIRLPm
RZhhWem7GaMVWbzkSdSnaAkKIDA09ilaJXUn95oioG8P+imUAvsF21vtguaAfWIQ3WOYg3M1zCQr
oVhO2rt+jbrITqkXCNdcNmbLotHIuQAJL+k6JGWI1MGy1xuJ8Symsv2Sf0/VaEVygwKVrI2or7oC
RisRHCgX9Ddor8ljnnhQwUt3Teuo56QeGXIvprVHPFBdVWjNLifiPQlAMzOyF8KG8A830b23ZQ0E
MaNKMjOarafKA0ITiDmvvoIeKPQNgVGkNNQVcDM20DlpdraXc3bMWymeG9bhhhjBaL3JtmEcyO9o
GbeiISoCc904/NQg6CThUAcJ5JR/opcY2Tf5KRcFOS2hFj3TYCA6a3SKlqwpKtYpUYWo6fGmMTF+
bXmeom+S2bk6y9UYv5QRHcaNxvQVeiSVFIWgUthqZL9muKDeBOV8SnaJsa2TyjCT98IEnJO0h/kL
soo1u+kGZFSKtSnKYXHT6MXlubAZnQGm0mhGTfXiBsYaOGNglyQxIEdcXtU9iTR5wyvrk65O7Ih+
Sq0hgJJxOyDTcyRgFv1VT8Py0y4qdfft1ABW0pw1BQd8+BxixUR8tJPtmpRjyTq/1KI1RMdY83QQ
ecHAUlkW3hSnwB2vXCKxcU9BPAaVChbANZ9H0yLrvT2F9uinAB/zFOYzr7k+FH7TdXkK++myXl16
4IIQPihCXjd0WOgzwpG0Cr8ZlzLfdTWMmE18ihKiKUSqUD40xVEMFmFDY96BRwCO7bxC1xRP6SmY
SI9TQorSU2DRTMNx651ijOi/EWmEUJY+RrsmHaW0vOCKDkPo53ai7iqZd19IFwe1rta0JKfq2D6E
t4YoKS+BfU/RTJ2a4GhqNvMpdMnpyF9qO40kpjWTyXBT4pkI9XNFQKjuWmdHekqmH623bsPjL8zz
ilrzNioKAp9gh9JCRUumCwKBGvsWJIfzYkI6pOjSyYzSY0YIAbk0yyN0z+pxAf8uAlpE9Ib1U+yU
viZQZSctBUUUmxAxJ4RUzXlEYFWqBlRyyZpjlRagXGnNY3lib8O0uZXAse6igW1tE+k6k1KOJ9nV
7Fk2STh6DDCzPeVnuaqgoA+jSHypZ/LcUbFW46e+WXO3VEoE14SKpt0AwsJK3J5Sulo2OCiL2oA7
s2tOSV5zTRBeyAA/3iAK154r0YcYb2QXv7VeMb6qhVgwt1fZcivtriDTdpkmDLxA0rSAzgUZVQJM
5i1iV6BLEPlxx8Y6aR54ZEV4AeSSVDJzsPWzTn7PKmOkwKVdWlKrpBndovIj2Ww6pZzBmEi/JGv0
WWwqIoZA7JKIlq/haL2GjHnTZWtmGpl802V/SlIjhrW7T23i1ZISp8YG/fX0ZNft8DwT7/uGLlZD
9M3u/FShaW98nXHpfVflEKq9kq1iY63RbulSciDSUh4df6BQvRWlZ14ph0C4IrPnzifC0pB7s3fH
F+eUHrfmb0cBobrQxMaGwqVh/MloubbiN++UQKclA5TY6JRMN0rRfy7WuDoNvvpbt0bYYc5jbJSf
ku0GR6YXMNQ4EfKPy7tiDcHjeIMvo1yj8WQruk/e98C88pSeN6AQ6tkGOL6RR12QsKcJwvYy9AqP
YLq0N90brdp311i+xXQjjQOwyWOv5jW5LxKE+LWnPL9yjfZjqFC8L9M8PwO3Wt6cuctxQxJH9m04
JQPyYBVnzikvsPmeHXjKEYxOmYLTGi+YN171inNBEv5D5Yct2YgHdwebdw0nJPeLqnlmu90ua35h
b1pEGXqnWMP0FHE44IbpAjVRihIeEEdbfQ1EJC+rBo56ykmMT5mJZkU0DAsYOE5EMdSDEFb5ByVA
aY6eZm5czXFJBqPj9dWzkGsyY31KaexIW/zSZVDJ9qKLiXE8JToOWE5xRH9PejylPoqJ0xR5GGsa
ZG73LU+IqTqywVm2MZ6f0iNjuyZJsgZZg6+rK9BCrQ7BDTGxK+CvWTMoCxNM/SUGJwALTOCEe8eo
sVv/T3Osv8xmj00NR/sAR9wHyZIv9GPdCoDEskTmcyIJDYhqlzYxF48B3n9YJ8mfHTV6WP+6oxZ8
K6ov7eeentrvm2v8Td+ba5YBzwRZkGcxDEEku6pH/2yumX8AmmIsTUFvkyHyQ1qt/IPGGX0zNCGO
DeDKRfjy58RaW+fcjL4ttD9ocU7dug8j6l+NrA3zpH/6QfVgmLZrgVVBd2IYiOc+mmiAqY2aNkMG
SdQMZ9+LFG7zbkhUXb3jKuMk3vEilZwLirzZIIoxgPG3pvlS49DONoY9RYB/KVX6jdShorKT2fGR
KVwJdd8rcpzJxbIke4bwzo1gzftsDwOAkUwj+5no9NUnF3K6oRWVk8DRhkz4iTur9aOUq1o/YfpD
a5mUJBsQhe4yyLan5EKA+GH59IihRjE5m8/QgmA10QzLMXdGFakRZMoJ3w4jJmzWOC+YkbT/y96Z
LLetpFv3Vf64c1SgTQDDnyBIqqNaS7YmCMuS0QOJRJt4+rugU3Guj6OaqHlNzqBctigSzPyavdde
FYkh8zQMTOz4mhG/toofWZZgXvXCIbhqS1GypSAh8T1Rfol3sW2zm9HETsw+R1QZXamvLlunWOGC
a0FEqAoYnsSN5iTD8t0lX2CoND8Q+6zjCcRTTvWU0zawZqEBYWGZoERzmW2h9jSa19Fd8QosvQXY
aLDZcSxaNgdck6xBQm/AWQuIWe+GISTNA4ZC99LR/MgYdAooE4uQSv5Lxvw2QLBmHYWdpzUJBysj
C3ugntl19Ddf58beYn6AYW+RnTmpF4Ddrf1kK36OX03uT22W621t620AULrpw0KEmQtrNZQ/fSMw
KMvLfFouOrmy7DQSM18Poe5SgnBNAEs713VbgskG5dkHhP4V74hdjI9s91g44+U3aWZK7xWuJKc5
XuTg2ZuyfjrabcH1CtH4R4mMFoqFj8wB8Hnx4ah0ep5YEwc8GUByUVMI+54kGvfdH6cOGl+emvBb
Q+y8HHSTBTxHOrqI0RfQvdtQyWB4Twh97rMh6XqqvsY1kot6Dmj1N7VsPtyUTFosQAIpFVnddmZA
WxeYB1Gb0iH2ALA9ky59NtkBr8nRIminOQklU72rkoFpmJOG4Mcn2NvDDRdljsV8XEHnuBUtImks
6QStHewFG7mkYbZ1nyBQX0gALNliXhOrPGzqtg4p1pkqq8PIbbr8NyDBJIfYFSrnUE1eOV8w7Cxd
k5xSplOv2nb5PUMsQTmiUh7GqxUxyHRtEmiyEkoS0kVKG3M4r7gbya+sGihjxNfZ7aUMjKmPikk4
QUS4CL2qSKrSvDEa7dlfnQZS2uNKwe6h9RuxwvcKjT34IFanXyY2TGs0NXaWvFY2jJLnsRP2fIZR
L+TVWBqF9xV4W1hdNXBlV3snx07S8KWFLB6qbclKSgsn0INZU21H2QzA5GguyzyfpRz96UqWUAr2
Sznix9gloUEG6DTCsI/nXs/mo9tR1jDbKgpyVakibtEA5vwYyx8LMjUHx/tWGTNi37HuLMIvoC+8
1VAisj0zeRa5KZ3lFnQwA7g2WPPCw1HkDqXbYHZVtQ6utehZ3/oDw7l6rqzhwmr64cOdyjq4mf0S
yQCqEdcFYtMuxm1ooPvYJRwzw0ElmTN+15m7PmJm9oeIc7fI9ww3ZQ57miViLKau7h/MBsR5VLWB
e+/PbVAekFxM93i4CKdEB8ShBOhwLvh1PJZwiZjnn0QBDAcbh9a4g+lKT5k7fKTk9c5U7glu6UeW
P0X96BHT9ZCjBkYMTg+HCsSEZRepKZ0sIGrgSw6bP/Se1Ub/Y82D8auLY5xeuTChU3uEeJRpQG+3
G2ZFTthQ5Lj6mUxs3FyEwgXQa2H3e7T1ihgJkfNKqD98I0YSV/X3YZOzkECoVCJxGpshwcuY82YZ
dA5MoRILMZFL4XzLM9C7x3x0Wa+WnVvfZDaz3b0hYG1GtPZ+sw/Hqr0d8FuVpbOTXah/2hKywLFg
1ka3lpIMhsmlqmkmW6Igj9NkVpelLLot5Chxk3PZDORX2Ux540XYHLohZPS7qgRxS67s4uTsUQ3H
jFJiRml8Judb5Wt8dHAB5TeXbEMvnnUjWXWIqu8eaJ7ktUeoE5EMVi0WPkC72XZKaxbuK77Oz1bH
HC62JgYAu9HOZ0YGhf/IDFf1ewp3S99YMgVZKuvkZ0tp7e+aIF2Zpg39fOwsHryTcCaQfEmQQSv2
rLFGzeAT0JsvpArsFHdOyCbGWvzItSbJmIwIy6PTIfTa+bCM0y3bosojOBs5fkFSfXg4mpBHCccp
WZ9ZIquJIDWHIN2J2GpA+pX+1gEGKWLEuxtjYWiZJOQEDaaXATguAZagl7jvncXroywb/S8LEd7Y
s7RPHoOD0ieLeHKdU2v0OIxWciiYlznjXMdZgfErzozWZDJoEsfpFiGKUtIGehENLLPEiX5MEi4s
zanZ1yu8WWZkPTR1Znf+cfHMwN8PhQyeiDTn8xtnjf0fpQl6tyIv3ipu5iYiaYTjrCYK5q63rSSJ
6F6dLxORysGunCtoGrIwXwvc9iiIZa7XXc+78UZF48EQ84flW4Xa6W2zzWbcyPbMW8x6ZHuMHeMJ
ZUv2dS278J3BCcJfSoBSsEwhyXHndRpMDYs8k2szCy4KoXg9ZYUi79pUG3AarQhobN8UNWVDMK88
90uNIAtTRRPXjHi9RxJx8OmbjZXhB0slZJV+6fr6mr4+xYRZW8YHmXyiPUiizN1DOhjyYk2DGeGI
a6Wbp8sKv+JnaW9xHQAHC3CucbqjnLu1GY0EUcF1ncfofwjT85NuOC4AmHKEthRX9LZpg8ojB/Id
lSlnkxoQdcdO1o4OGDyLaLJxAoUbu3KLckvyFTtH046gvzA9UqeUy5KRWlVm1fWMaFOe+m3QuJ+Z
vKzHNV2T5kznpb9NigyEozdN609HYXzduX0eLGTazEl93S8BHk2evfVaKEe+078YL2Vip0+QrEH6
B8McvknGVS4akUp/1KafjPuVB/NbshhhfZhXw7kGY9BPTJxc5k78j/lpIo70OzzPwIPEYpANqxLH
4BkNTPYF2Jbk82iBDNtpu/fPFWKtMcoXDpOIVGBv3IG5Ka6cpRvsuMu7hPS9qXMYMU8DCrs1f59T
sEK4bvv6sVdV9xpOS/GeDktY7s0J1NNuAQnz2s0po3bCMpovGDH0RwuU+K6Y84RU19UMn5QflpdI
rsfvlK8Jn581qx/cyuqebLWFdWELR5n6RxbPmGesn7bS62PYdutpRuPBK+4M+3ViRv5AN4iVm0UQ
1CadoQxwoX5Sl/Vp+Ebfnb5ov/K++yMgIzDXffMmV0W+zFjq8HpwBPUVxNEMKlCoGFzwpNwsLIvI
Ms8KJumFMw/AugYC4NnosBXftjPB9ezret3ptCCWDHnPTFBf7cs3AdNEQbKW6HMGNcqn1FjmE6EU
sLOadAnuFFsDqFk2UAmIE2v4yNKUVDS/X/WFxZHPchu/wQtnmmlw9VTskRoO7hQPmIPpdHH6qY0L
IuhUzIDYeLHLifa4E3lVEp5EyAEcaQWnXGk5fEi7V6+uUfRNJGbG3fGcsQ3aufZgvCRLPf8QLHae
Ck4MNpXDAGk+p8j/oom3YdK14rg+hINYQc8mDsVC1eLwcEhKSaJkWARrXG+Y/F0pUceS4mqq9iQR
54Q7e9ZgUXJLlcjajHIIT0OhHApmlgXZbvWppyPYWoKzvnUl9EbtBqRrV9IgSDqBykL+OJFpykkQ
DBQGuwPqLIPZdwPJyCo3kDqTBu3eLFXSoLIKV+hGnVFhwyUcRLzASwC766Duy3FsULFH01BLe8d2
n8t9A458LMskwhhPKC5/O1AuJasOuVkM4RTfB54S1L/OwuUjh8l8BS5CBzhlshecDvi34C74QxBJ
kx8a5/PifOVzlndWmXvfVGA4KTYoZjWwI6uvyWCPRKyt4RDEjDSy56xOu4B8aCNbUZUiWNrTgblr
1JTJ/LGazN14SSTFR7LviCTm6zKeyLqCYJSwAUUcyRic2LoUvz53oylbQllcGkjEhLqJIJxDjGds
LrID2N1a7ycyl5D62TV7HMJ2bHkKAOBmUesN5gDnvQH9446cNYfeq/D123m68NHAYsv2lWfV8tjr
hbgRyyJssChcpLWeGBa6DuZ0CFBcowNdaa+jOhve0KO6Qvt24y/FZB+KNLDaqFuMBMiLt3mchlH7
7CQmGIyHsUG/HvmTVfVxKZItqYHZNTEuTlEhKTNSWlJ/XpFZtU7LNYVIdgBt3oqpONZrmSCXbNtt
perUorkYAgDGUQqpqYiLiWkniQGs5FlkJiHcH24WZ+c5S9McKWb6J5ZLbXmZCDMg/7SSZAu5pSXF
voLtjEww9bxzuNYOlJx0JjqoprQ99grr8k6LsQxvRt3qJbLSgF+tnMPwvVDkKEedv/XDlmnL5CDp
NqooYwSsiVexuvxUucP0patKJIpSyBDQXYj6+dLOzDD9AuB3MGOZl3O3E7qqKGAzhOo7XbEFZF1m
sh1aex10e39RLpuslGuIkTQAhGNX8WgdlJjAmFZTUFB2OhXPr/u56+4rpCV7WkIY+hPRBG6kxgnR
6pSRCn+sCb5JLtG+Ipvr66pkl975RXZhQ1HwTykXc3sm+0MVpzVIJXv4Gl3bifs/T/l+b7t6woH1
cCE/d/j95z5/6LY/HT73/ESa8zHbngH0iDIbOoAtws5+R6dI2I4UJK2fGcivpLIbadUxjMTgvbOq
ei2OxafWQH7qDniBZXsoVaoc5HibNmEYvc2eD/xOkgmJfKEgU3fDWXO974fWCJ1LhB/UPuRfesHt
SK9enQ0/J2NnWTvUEQjFWVuHnnbHffqpoMBsi5oCZhSr8cnm6b/vEQ3l+7IqE+8ggwLkthGaSXsk
zynxx32ISIcZEnSl4DA5Yz9fzHC551stSdE6o6wd6yuLM6K6D1up8ieS/CoZDXkyzd8mD3g2bDhr
Xf0HdDlJdo2gAnGJnst+OUyaI17LSX2iRAv8izYywgMUgSR5Gv/QqzSEUHIdj6TtHTpaXEWbzuQk
5oFC7LIwl0f+qrN1vC6HT0HMH+KYT6EMPbwsiFMUQ3ayiUCyYrsaENaEFQmRqM5zq4+FaMLirZTY
CwIfE+GlbPttW2fjNN1r3uL6EOTNMFwrp9cDNyqIqeOgUyIk1w4XE8CQmi4zcNeCadSnLMi2fFJX
czc3zXieEc2zv0Q5E7PNknmE5FnIC9jeY3/BBQ9GO/SUEg+d42bFw+g3SJMc9Af10S+dzjp4c458
afpDyvQpa4IahsTJCRfn2giWUe9ZGyOCgu7Lxnhiiv5QbCopckbxyMpeViM++k1IpT5FVQhVEVgJ
WfXnYFNdEbNT14DuqvEVoDZwkaVHXGJ/irWQeSPcanjFbQxlnZIQQbZJfpCrH3PLTNgzrMXiIl2u
Oj6ZTRMmzDZcGAFYSMUYPzY6LhgIglIr/SaI8k9pmZuv1R3jAfYrHsv/C0ZvbK0QfIg00n2Bp3tZ
CHQ1EN2ec4Tm+mDQ6H7NFZq2cCK3EfrvJnVLGK6/WrlbvulPKVxXBOizk0+JHCHA06XlWvBYS5v3
mdNyE9SVn+I6iH+sVVzAG6RiEMr4WhkoihHUQRihD9wkegapON1OsVd858uPiC/0N0Hf9CnuU59C
P71p/pC2Tkj5hEIHQwW/UIqW0zyiPy7Scixu+DJtFDI9LcN8rkgQGqtj3qqeQqo16ZzR0DQZ6kBh
wFIkhUwK+jbSTCz0W2REs/VkulWkTywzKS3uANW0zrknOWYyUig+bikPxP7J4WCK0WNWa3hpLx/R
9q/VzmOgJGJyEMv5xxis9ia5R3KTqn2mTBhgXpKDgts142I2T1Zbe+QBOYuASihKN9+zlWwwHrVa
mQlSO3fsdLXrM1vCf3JFwqgTdyrEOkQvxsgNEFbiVPkOafdT1wpJ/p6YVhKCaOCQdoxMxY9uY3mB
OhKfsBKiV+lweqhSs4bTnxF6w4ctUv+hKU29fBAImFChqmqkq7yaEaW1RwYDJi1MTSwuNw8NcsZx
Uco5GH9kYTbNN6ZUdHYKrMNkwd0kYQJRhl8TSICX24YSs2Mhrbu3pFA6eR1sUY5PZYINBgqlmdAl
ECkjGIztSPAdCr2D6ee5GI8q8pW9dIXFvYIbyN7t3JhhUCIUW8SjL0OKb1KbckK63SGExZPnyEJu
Ux6N9oELKcFCUqtCyj3X5ADJmhCXAqfKF6IBluI4gfKGHRkg8DARkzMJ8xHluAbQNlr/DumobYzE
Mqeqvkgwo3UY0YBd74dswVs1L1n1Yeqk+5Btbj2zaGPSk8+d2cRO51Ie5khTJIfrQiZuOhDpsw+t
ZjUuNhkcdD5j8K99OSjrEs/QQt6QDJI+mi2XBfXiNMFyDBykq5BqJXWyRR/OKWZI/dgbATIAxCDz
gNJuhHjNbjyjhu3INGAs2Vj1PgjD0qYts3o7kmQp9oyHzO4rdMbs3YCKHDJLKo1HmbUhlGRL1nas
mTCxiSUzCGvC0mZ3k82/REiaMdwwJkoJN8f2zX/bIY8ZaC7eXWO3NujRYQjYaqdOsuzKbK7eYWUs
z/0azgaZSQEus8nAx8G50ksiKMha/2kxBeVX8AnV5QNClRsxwWSzx/YiBVeJd+VH55BRANTVAQca
JINlxYWe1VdW2EhwA2AoD8W85fpYg7Z+0Kalh9yvyoeSwGUMFUFmoLkUHX6voqgj8Ez+loFByhqD
9G23AvKpCPamBFA+9wOodJ5muvHFsbqFRLvVf22X2cPcldrqY/LHDdONpfZeo3JJ42D1ecwmc5Un
kqTnh6QBfRNrRuwPILvLlkzOIvsYKBEfGIfw7kyDmh+HUI8MA0EElrwlvXcHRko2vLgl4dQt+CZH
VA9FfpAqGDUU7HwTdhnt/FJ7pqDHkO56E/o5jkC1rBSYhiSBfbdOBV3jnDH6g+Gam2Wcl0isoxIx
8neD3KOFI0/WPzdDzscEs2qfMCTag3FQ4hqRJnpWVFcJPTqDaK6yXDcg6dl7f3OphvW+a1Om/bOh
5yckaWTEE2uM9BrXHbBH2+qKGSatP98soYEdbCjc4oM+Kvd4d9vgugb2ZcQNwd/7YkInEKlGGsuF
TXAQGW1hlf/0GhNVNjRb1jUeMAHmI05BnVzMUHoJu8PkzE6ldIs9mUydGxtMSaxYcfpll2pMW0rk
jS/c4quiwTTLLV+Ps5GQtw5bS5pW4FvbAlXwAVAmBI+QY8ndSQPB245dGJJUJjSsgwQJXqyolcHg
g6ZXPILZM5+DLTjlUK9Odu/glOIpKlaUXkhg8veSw51xyBwMkjnORDvOGMM1L5WU3Y9w6ZYvFt8k
l2Qxqz+DS0X04IvWuEdFAXwNt4xGKdIPbL3Gyk6eFPymkYGtY+nIUQbNfBeyBDlTEgb3cmlHePII
S7fRfB9CSmPuS5SbqIUJ0q3LvoYd4qGIvDhxWgGEykMQMBkG6d91jHKErstoIIe5vqD3sx/p3PxL
JCupG/du4S17M5GgMdXCXm5nT4W1RoVoVhE5Hdahb/3aDj+LbqrLnVlX0zs5pXX5IIZ+CPe2uQ2A
GcOwCAqCdnzAgRoaV8JvnPMQeou/69yh+Ioj0bwHbllCHZauyq97Xt816sEN+TEm67PL2olgtcx2
cEtODRxn2a5jZM42gnv4LGrZYTXPHqa6b7/jbOjKvTa7/hnBQ4pTUlbtj//aXf5YznvYQv75cj5q
61a1/a8Gl+0v/LGDd92/sWMHzOEjtYGDsrEQ/h4T5fyNTCOwjuzlmU8yT/jT4GJYbO4F1hL+GHa3
S17UL0t4+28u4BsuJVAfeFVB3/wHS3h341j8uoJ3QMcg8LV81+b1Qenkz38hQKiup7UqBYuOdFQC
yaunT4MVrA/kz5oPGPA8uF2jZ8X4xaYfZoPfJaFAfcQth4euUOZ6QUzwt6pqFjYsqWKtEroEp6ND
R5WeYSfeEknq9o7o8RpOiJf5Nw3Dcswq7FyZY/Tp+DR7XkJ01Iw1a0Ir+ypVU1+3jWrHPZUltLJa
rfvUd5cbSp1wO+cSecPmcP0KtMp9HDnwwKT37T6vsy+Mv9sXY3ZaFZmVZJxqsuE4msiMwffOQVwG
c4JSpW0gNSnydX/57P8BXOZ3Ig5wKg/D0sbkYUKE9GJDbvzyhmZhbemq1t4OgaT1tCLfuoQQUxVQ
++fgvtW99Y47s4oFJjpKmE2uSSY3ax7kveWLLsP559pVjPySgSFvnTBXYU6ZPyq7XuZ927jTZZHB
F2KFsab/5sX/BjHaXjt4CVd4NhAKkAW/2Z1Yu9P8a/JHHOwCOJq85NjYeomFkQcxcV/m/l+/WZ98
tr8+fX/9gb9RjJzEzDJ/rpBDiYBbnXUGsZpbGIUzuvfaLeFfUFe4S3BJTX0gHuG6WqtzVdmXRKW+
sJaMN4v9Au36X78wNDO/fSs8F/1eQDAHMpnAcf76IdqqX2YeeA+xPeUGsKn2EjFE8m+oH//wp1hb
ShvsW1Cyvz0q0ug7ItgljwpTu2ulLBXDUJv+zYfq/AZ52T5VsKsbb0X4run9zl11nHJFSItYwC8C
o8Yc5RpAvqwkvWKYmTxnY4ZBmemJfjGFMp/xC6MIRvmIi8lZu5+ZCeQ95yc4jJ4ZQKO0WCnPEZzi
gqjQiblrQoL8uDCFGjOj228F9nQyQzxxiXMzhul4ZzlLzUiwSuUjGtvmayczcanR/5FqQNAJaFCa
4q4Z5363Unf2UWNVF4s52RXF/LJeOI2D0PPzM/4v4eR/BJypf35fxd34fWhV/r36f8cxbz6+/3pz
bX/179ZMi4BDCyqNjz5swxBzGPxxc3l/E7DltsvJdNzQsq3/u7mwZm7/7+1as4GQ+CZ/9Kd6jAQt
vLkhci8TzB7jqf/k4vq0Xv7f0cHrcajjbYE3ASaL2Jyefzlnc8Q3sm+I75FNGcT04ZOgCVxZ2mV1
3nw1RqN4ZRmJBZMpILXawnxuOdaNNaibSqYEL9SCy3W3QYmpoHwuppiU9fIrNnAcIN5sLtAjQmOE
fG8a373OM6srF5E0kx3HbPs95awxxkjugyez0YDWQlw4wwHhgrpN3DLE9G8HI3mxzTrGRkU3eUjc
bLlgoWk316Nv4DEwKO3Gf4OP+uuNzhvjgt8Ek7ghZRxu9d9udKa4C50BkR5hMl9izhy/WuzzLxYm
itcVds5jEcKK33GmpS+/PEf/4O7763n2x09GHigCDgOoWZ+EyV+vPjypDr8XSznWw5j1h7PGnfVv
Ds1gu4R+/eAZiPDQeTyZ1EzApH/7/fTcaTWSIYL90WIb5rPC3OUred6mQfKOc+GxbZuu0NEQk2Ng
l7wvIE7kxPAZI3qknvQYArSXUWK432klid3p11Rdu0af4+soNIYRo0qJqKDPmOSh1i4KAqvxR3eX
zT3LXNfr/C8Mt7a8YoXeFmE6vqwI59pU7dniDN5hSJ1x70/afWRs676z8u/avZmBDZwJhPerhxGg
xDcFlPVcZoQXIekR+Z6Vo14vXb5336koW4g8tkbEZVsa5xqDAkZ0upNv4dpXH7JBaBABZ3O6S0QB
NHwGnrMiVhX7q5tFOJRJ6OzmNurVhESPKUv3jfbS7eKVO/MjEJMeuDnXwI7LlSEbbR/BA/TwqMsi
mi1hntyu6jVp2GZ7F6YVMbYVMuYidqVtfbX7CcVDYozMzfJ0aj/q0V6X0zST1IAq3XSPtQzp4YjC
yPD7FVYe7lNTJuVVmQjcIpDAp3bvB8rCQuS24Ci2ZBZ8Dd0b8hEihOww6/v4Xz+gv2MjNz5ewKn2
SWiEySd+qzeMtaXd7xm6ZO0l/ArjnpEnBUYWkB09VyDGO9kh8jfbb4wI2JEFzrluKnOPGQGTr5Wl
f9QZ/72D/sfja/vP76DooxkUF9D//6nyH9+bP1XNv15F27/wx1Vk+1wdoBqx+/PRUVVz8PxdyEws
I5ECfCUCiwOHO+HPJooeCqgAcH7XprRysfH/eRXZdF4IXZA/g36jrw/Ef3IT2e5vZSx8AEw7Nhw5
mjXk1J7g1vu15h/7wu8GtQ3N6xqzwjATH2ScBoKFYsMQ7slV5qvoHYmnPBxfQQv20DDEcCuDsH1B
ZbHckuOOvQr1RbOJ1cJnZttvTtfifV3lhE5yysXRFyy+6mTOG2ZQpvfhO4W+9Go4VJ//4tLlJPyN
1ZsubWuvexDYDBADvKkwlHLy7omcN0e5PKeeHK47zykfMA1414JTk8Fui+/bKLB+rp0qblu5ii9J
lunnZSqgqoz9u6sJAUfCZG8Q3MI/sZd3iFGHQ5Vb/F3m4Q25sFVzAx523yfVcJvl5Knn3vheMEw/
Ey4CT7hy7AvGVObJ4XtYE5H9kjf1cNsOtY97zqdzWxgxZ17aHCkmp4ta51gKB9n/zI38barxNm5/
05j5F03Sz58wBb1DCNRXkwyr6zTgJc8zP3zZHLidkfunPC/9E/aRNz/lDcSBX94yUl2d6PPXIHJN
nCS24pfPVxmw97tlCuSfQY68E1j25pdrD8DMsfZ5v2WiLJ44NWZo7VODQHG3oNsMR1etnNbzcIvb
2DzhQipvvRBcMGuFZc8mgSBh3/vJp4rTy4LKdmEa7GLZHFvWEWBX+cUxeZuLOkMAPJCHmLPsPqfb
C8dzUt7qRCUxu43ydnZZvuxanrjzKmx+E4OX7/nSvBpH5nmRFlWJ+QLJ7InV8hI3Fn+BcTf1Dqo6
+70e+TfJfwQ9JDxEs2w++fA6zSqMaN7yuL25RQbQa11qJLByM1kXfvXWNRU/0Znf2RG8YVCzI7vz
2ovtbWX76p9Cl1+5QSK4d7oa2S029IlB596XqfgZBFr99BDgXyAA808VXfupcPp38pvE2fVKfdaw
zV6ZkPMuBtO5RH9612hzjiaM5SiA+mes3HdWlbRTxOLGvvCD3EB8P3fVo+oGn5jO2b818q68soYk
P/rTjKsgGK3g2SwthSdWmbcwyaDO9g5zVojicSrCFqe3M7cHAhqMvcHX9tyxvAHdtSRXTE0ciAFk
GPv2qL7l5QL4zl1YVYPhiDzPmUjsGRhjGkj+31cm88SlNkuy9+w2Oflo0d65R9jtDLpF+aLGoSXi
SHl7p137myGVuJzaYPgoZq9CgBGS4JYuIUZrhdyGJIP+duaBD4AzY3ygjNoxVvWgepTivjNn50Ui
Tn4oXL+NVWpnHYFEGpzdxBdhpcK5CtCNnKgn5ged+sWZp358UZlhxc3idlNUjkxnEZ2n5x7R6aW/
zubBqskhFH1LS5fCdYiBjthn0jGThxDpB4/WEN6NDIvwD5bklJmdfYOCaz2nEpXDnNgO0IIJrRtL
ZVIspiKLlJpabELhdMpMdLhIQskuyZ2VwMy5EGdQa86t2ZDhZbZJxu58NCOWDylLnpq1GptjcTOD
Ynir+bEHvVTexYhRZvRFT3itjwSYlaV3WUFOiRF4nkXuGGhFNiNy1z/hvSfRe0btHjtm8glS7XiF
jTo4E18JUI6g1XLbvTAY5bPhrOfLyXCfWwakd9loWedCtPkXoN/q0m4MF/cb2K5tUcsCEyEIs5lu
KC/r3hYyDtlDXljS+tIznn8JK997GaVg44SQYB3m7MknWZwxyhDwwNEir1atT/kKFGY3N9lw6TZ9
8uzZ8EVzLKynBPkctu9sPKmavRu1usfSwimHaCbx7Yr1mXEjWA49YJwII2bRUxcpkwLVEzO7+b4w
1oNkgMfSN8ird+Q0H8grW0rg5eRklr/HPZI/ktAbnka2ZGYU8N0fuH4KVNrL0O/sTImXvmhsAvya
Go/XssUg0iH1o6nOvP8jxMUe1Dve5dtM580h6ILuSzpDHhSL5V1mQBjv0nQxkP4OwR779PJtcfz8
KlsTj2/1GMZ9maJxWrCSLCX688zuEHariZF5ayvGeX76fR1tfieVMbSwu2FvrsZXatXV2S2qNfiq
LMiHVrZjwMhwNdo4gy6QgIu9ypF7q6bBIzRbE3yHegljb4RR4kq+3gnguYmsBVUEyw7KDP4Ow7uq
KOL3YV9NF6bQ4Yl10YJSsvXaq6quwW+MWt3AcuDjwJGMPEtOjnWVMUO8gniHx9NSNg+U5XUPmSmz
E0XJHNXmovH6JpA4TWRxajLr2JiD+Yeh04AaQD71E9EEqpX1l16G6zPmq+BKY/LdvhLOGfkPa2EJ
lOxysBrmUSIVEJbFbHj3ed7rk7ca3gVCruY60e16cljdxaTDV3uatAZIC7AAe7WqMyq9lPhGpGE1
LyQmJIGz1Wz5QoBfulCTf9mvnUNKWhKCwAiHeIHBsu13sgvuu+LCztzi3kjTB2LD9Dn15vAKCU/5
Th8DtgHZGxiP5ilh2YEOxJ4jetz6I7V0cyPI32C5il4uKVyAtuQL39VV/1jj4w9RuCf+od5kd3hu
6nAXAEBCROz0/SlMavsqANt5b9aiINPJIJ1S8AOZ9E7dbUhw2Du+ev+q3yR9tli+Gbp3r0yNaQVw
wtiQppzX9xUS5mudcqiJtmNLlGApUR47bweSdkqqDqwiG1P47dB29wuU8yNq/xuTAMf73G+Jykyw
O+5wyJw8/v2DZwBkMEityadmemxmrP9lYczHJKtvZeYRJ+gvdwaJeHtF3BnogXSKMnY2Lheuuzr1
Dd9VHaUdD3EfuJezzwislrK+Rbpx19O1RXltP+E434t6faOChY0B1P7Qht5rmFg8pkPgxBJtBF9a
tt8WAoWI5KlHJ/eBB4EAhyG5mJe1NoiRLnwjMonzeU7mzL/ipGlia3asA+uxfNfIcnpbp6V9pS9E
VkD+nroFbrpcAHBxb/vGcCJm7uFDjnjgiH0M5W2YrT+xBl2q2ZweLa9Pbjt0BmevCWBNdXZ6mJAd
7euOe07MgXMsOjBNXo7yxm4NFU9G5RCy7OhDoYVzkPPo/nDyoImrzNddrBH776qh/yK43G5qpL3I
WrWFDMAeUdTgD7ZnvjU2dNSaLBGtG/NLsNTih7aW6tBQ+EYe7IUYQ4Dca1TZx1EPHXGF/nJwWuIA
gynw8VIj+JzKBWGaB1x05Ct96XjDTbbOTjSNlYh7ZsOXRdHUx7atbypQNLtOieEYTn2DpJRzIsBK
8MUZ6pdC2XO8goOJB981LkQ9gFjyFgaqma7joBKkPFeOYtMILFcY8z1SvuKAfgz0Loci6kW/3Btb
IjBUivXUNoY+rORuRrTnUGvwYV3lCFiuUICzqnXn8URIR3CUusiPhtuZ7zorxbHoQ2AwPYovfqdk
n+bjeuXZ1Xq3UBQ0Zdf9SEWNQjpXr32IQsLFxHW/Uq8c0Wi5160mtxpJ1Vl62S3UPfArKAN2/8ve
eSxJbqRd9l16D5pDOxazCYQWGalFbWCZlZXQ2iGffg6K3f+Q1f1zjPu27hWLxYiMRLh/4t5zGaSI
h0noVwSGgA5JrvZLUi13XAxkQ0+u0W96T2vZ3s7WW8bt9j2IJu9QVD1PVylm/VBgcNa3SHPAkdqp
Zl4UdgoEGrYtUZf23XDykEMdXCszb/nGkhc7W/ZFVg3SUaRy8atw2/Rsgyq4CfoAV8802eNjr7T6
PcYNuK6MkkQbYBa3XavrPtzU5JJnw3ySMicwualiwpdi1rHEQuv1vW01xV2Ot+tNN5EX+cJ2gt1g
LopubhXU3RZgoFtSgLT7jq8oPLPSDD5sPCB7asL22Q4IOKBEQiquxa31BCTAvsaeo+Aw2vUOL26S
sdTP2GthHpG3g1eJvasJEJNEZ9Z3fQTvYmU6wZisGFJ1h3mRrJtO7n5yUcwHO+57Y62cMLpFPDbv
VMmTF+my22X14D5D6Bw2AA4ZWQnU+ZfQy/JDQUjvbWwWSCmNvhUYlKSZXKLUvujakpaLsJ3U6TqK
aHfQxLuJsQCyvOxew7WIAi7e4rWTq6jK39OkCtd52/YnOaIscCPFbsXxcFr1pBZPof06tvFE5KL+
xOwUso7bfzb8o02YC2rGcuKQ5p4+d4Stb0aN7iSfq3ZTu/IdTeO8OBi6fQgZCgetyM59qN7TLtf5
TXfaduypxkONYj3gof3sFfJaxEn37lztJMBdrKbieYIG5xtDegw7Z9j0Xe4RfVVriBUWLnRvX8ak
jS+WMWMnQ4R5w9DK+tK9Sr/DKRyfPQNbXFe4FGUT2tjRFPme8ucOCua3SUfna8Z9iKbdbNZo7wfC
1APn6Op2eCxqpW1Sxq2EvdTncRGgC5rSdRNa5a5CR34DuyHd403Sn3HFNSvHnRyi5JnZ2YY69+n0
ydmJfK+I5D53rW3ZROC9kG5mmvccNPljOk4PubLzLVSX1E/i6REGKG7ndmEFDk8jDJBlmGa9VcOi
Ws8T99acguJJG4EUG675PHf9G3bn4razEWpPDlF27HfmS1UBfKm7z7iyIQvm+seYIzIcO69fdxKa
q2gIDhnyJCOCdm6ehFbm54Sf7VBS7xKonTwwYji4UbeYeIf0NSPEu2cpc2WCYK7HuPmYYvFBiN3I
Hst8bEZuSS9I15iWomOSp7U/2uk3LS0SX+k2QhHtC/QY6t/yWorxrRzKHrjscJvbJdZKt53OQeBo
R0dJ2HyOuc5M9OUzNF2/LZDcdMC3ESRxwGjzeegg26R96nLc1NhSgdVdCEXuN2TflMc0pJpUorJZ
3kkGFlaV7WSYgH3T9BVh2AV+zDHYiEhMG6Sp2JuMxcOmujPOhfI7GuIpXaUdYvLE1mdkxhJFizeO
j1roypOce+8bW/p23Us73PQZAQbCoNv3zO+Cm+s4kCmM630rs/KCQcq+enXR7xJqYWRm3dek3O4w
4PhC5YSMD9GcsQ0CJGZjV5wSx/tWWv3D3FgYBDzjEhM0j1z0C3/QdzN0tkWdHtksonOnpoiV7bEv
D05xyb3JJOcGI+IuYwykYdBNaggfliBpCBdwuYVI8Axi6qR5yVMbV8PFIp31vgoSCb+p/HLSZAty
5NPW5kNIBOI61enklJ3edF01EApVYa+B/7RRuv5SC+8lpr7FVVfv+8LGRcs1J9n5rUrZHgHRrdoM
T388aM5DzyWZ8kCsKC3fUgnigrwJaxeOeMQFNjyQIquethCPPVgQpKks/stdYLlXIg4AGkrUjGaS
d+tMZaj2DLRatYwVLf38xQOOiy2ZKu4AsQvy8RnifH5nokXYaV5xlII0CW77J6GHuzxjUE6ILhLq
+llT3rnqsvFoiO4H8zm27dWEM89qtVXUmo+GFrzkpjbfYeZ7K1tcGPXQvupafVfa+g8svi+1530M
U/iVWPLcs2li9k837n2FmX6QS6ClkRkG5l38m7hE7udOvUdlPZxIseJpq8xui83zEOLWfAXGhKFS
19OrIsuNWlEEZzcvk42twd0gcCql0GwzpPCOsdKa2ttz41VLWPe0szK2slgPRc0KObO1XV/lx7E1
d01pHfMipKvTnH0dzp8FZkmft9PigJ1PSVATUIXiroj2SF1uChmNG7CJ287MuFa7Qxw2aA7Z7GL4
brL9okzf4up2rkW34FlcNsKD/kBIasicqd+KuCoY5gtUubHnh251n1Kbh1DxmXnSNmXurcqCHSD+
o+ydA6SdlUNXsfJQqgLZbI5jFD9nMA60CcZR3oXvToL7jexYqr5hx7ApeHIVSCoLIX4wwNPue7fa
U8ffabN24fsA76G5d6DbQ0hrNzDNb6wgOaixQcAts5ckbO/7iosyIIVAUEiT97Euk/mpmjHXT1Gs
rcOUaQYGzLuce2sVp9OzMUZHkQVXtC2wi0yxyxAzogD1DlGYBr6Muz3ozPARiCeULad7g9B9oh/G
tFTkoCBKPdpXHGW70QgDJO8uT28UMRIuK4HCYM7c96Yx6MHhKfsK7EHra6lR3bcVbhWdKWELcucI
TVr4CgnrLi3aOtsERdI+Y7NsTKASJQMMD7cXhXwCxMzlVIxIUr+UiI8OXYmmr4871GMFacoGU2QE
YoyGNuiW9KODR+wH+y55CFybIiBqxw9VQi9UMdoHy2v7C5Vq8TmlVvYyQ2s+tPocH5XLZJgZAeli
iOHy4sFtouh70Ob6GyM2a58VnXGLG719atqkw0yINs1QiaAtV8Exw9V+DEtr3Xntz7dUPlOZQOIB
q7jWa9o9WIoTFgf1Y9a17MTX1t5Cp+MDngiSD/Bu3iJILpZzor1vtWgZGimHVi7Sm62EsLrR3Wa+
pnMVXNCZW5grvOgWC968x2rhvaZd5/ixcMBj9VH97BLK+kj4WfoOiKTejbJU2yjjVsKBaBwF8MQ7
zD28e1aJMfYD4K0rs0rat6SJgjVqJkmYOq4MSmkj23oWbRjcpmGXNW5/pltn4NDiUq/5whUEhK9k
1YM4wboByy22gwfXqLy1N9S67+ZjvYeamW37yCW5MsmtOznNP7A7Bhd+pOCQlG2/DUo8244IaXj1
UMQHDL3qyI3SnopM1rvS7Yx05Tam/uokQ3+h6Sg20cL9nNiXr+EQMCYxw/Qe7uj0EJVleHCxxnx2
nXLvI7t9NfErt2u30y5k35hrlPbWCprbfKwK484BO+AXeLDWjh7y5a6ZaDS8ofcgltNDZbeAIBS2
DUZd444ypnubmRucnFJOWLHzhvXiQs9TksLV1dtTE2rZU1239MM6J3ZVONE5KjNx7rj/zq2jWWvL
c81jmE4HVthMbjq7PYAL7g5p00if1GHtGonk22A1VKtODEuCtiWv6qvKRHiuRMUiQxaPsaWMe4zL
BrPmoiT8ROWo1vA6MfwStloHxoDpw0qKA3HobGXTOT03TolneVCkP8B3WGNRAMaYR0V/4D9bfp/T
vjsFZTnRMXTahtg7frFNkTTHEJsXexU+B57MTRg4OmhCNreeNTzAc1CbLhE1tzmgPFbP9qFwc7S7
uKo3YTuxTkZRt4KEzYo774q1BefqGCeZ/j7q9IjKaJJNuJwqhnKqy0i+KG+cQbUuQ0Kc+DC2QdGp
XewZsPpNrptwtO0rVEG8S9N0j1WICMNQjIdyKnBKRWXiu1lwpyZbbkmiSPEtpfOxxs67RkuRb4Be
0IWWEOXlMlxNmLb5sBGIa02i+J4nV32CIDZWjkNMApGq7Ku0yF3HBmBjN+seANP2D6pcWPEsb/ws
GoqX1Es6PE6jCyWf3wYj65JglaZaN26ETcM06h2zFtYmjmbf6PiJcVMn9Z2Was4lGDH88H4uJbEU
zBEd85IUZn42ZPrNaoZoiyk7O3QBIHqk0QxQ6LlIBUk5HT3ryPfXuO11QGU9FkzfIAxrFdlEmCg9
yrZ22L0hYkCjR8jBOSisYh+nXbqDVfTRYzdZk1ONayY25vCktFHcKDLrPsMEgTCK8Fk/Tv1Q7CJL
wOzBlH9hFZVsKVC3zLg2fU+slmF1OvU2IXmwIvS1nuPu1CCCbArSOKAHBWJHEElxYmgpNnpkxdvE
Tn/0pPKcVIKSxByrYQMPUP+AdSM3DdbKdRS2ll/YOs5FEh/xx0bQzOZ6PPboZDAhYxxTnA3bEdLx
qtFqznWAZxdmMO5Tb1oZCOHKgPLN7r1iFwSlCGt+laV+jVjrMR0StfFUrfkFJjEkA7I5TpPpofHO
u+wAyOGdZSPZypkgjpd/2zdFpmGvcg38+cJ+BCEuiQHKgi2U13OUW5T2M/EAfpjWCP1Da1wFTs43
3dVafsjesVZwUoTP/eTckQTpwAuuWsDZFXyPh55lPsAhe1hlrhfvIgcfJTHhVXHnphabKNN0nvSe
rZneevNewwD8XaiuuqntefihdWwyda1fckcylmIBG8PLVM31rh0JqFDMVG7nGHwkaXgak9+Y74Be
mAennM1XfV7Gq22WP0u7z5m7WtmzQ+ezzgTzZ96mdzvFCx4ZaswxJwV8TRpC/9TX/Wcc5+FN3lLL
MNd3hueq18abKk5Qc8ztpxf93OLyH+mcgkCyjvTXNXZb6xWLRnUrJjfguNObVwsG6q0JPc/w8Qt0
AZ6yJKc0N1PxgvXfWI+107/lA3oZvyKrxvY7awh5IJISf3jHewsj+YXBemDeGvPOZV6M61av1BHj
5fiMUaBdJxSE38Yo0V4qnCt7qCHq2DnQBKHT5ne6gv+3Ci3LuSHl4WsATd+vNHbxbznQuIvr9dbV
rXRx1NMuxB3d8GEanuB8cxlzNGwhL00I764XfHos5768ho1vM00B7SYLTmvkEwhVNLMCA/vkQ/rT
Py2Um6xmsFWu7DD5qKU33NVmMRyKaWL8pREOVeOGu4LgAhdDjMBt2gzBgdiHmGoybrqvMFItoPKp
x7Q0epRXrgHfk7jzAmQjE42IR8eQbN1t0n4Cv9JprJuJf+BPPR/RGIHyF3nL306KEE+Lqm9R9hjX
3rOCg+4yT+04kw+maKzX2mjSDd88PtnZrEZaH35er2fPPetd81oELEURGi3vrczI3BuxFZI2w0D4
Mhs5bfJkz3m26pvsowfDsWYnFKwsN8p9gCqfNlRclJgZbz/ty+rAmr06loMm/MTqwn3oEjPFoerd
FpAYmaUFee8bDUlRk12Z6rNz8rrS7ngZdTJsQnb8MBbyGbGmsy5ZWncr05zxXC+fSsHPioabs2tN
Oo/D+NtkskvY1HxrDZKdnPlBzisCgRJ1YLeDHN0SKos/as+sDzucieRzPZOPsymXXbkwsw9DIOqY
1/WSYhUw2oVsmWGh9XKsX2+s2Rv7PhZVOF6arHArynVIYXnfYfyZiDPCTKvglwRZxIsGOn6nG2+s
kh+Ij0iYQgRWZVcgDdp6kKWrn5Ipnq3NTCcZ3RuZa1wr2OAtomOh62uECiVSYkAQLbcJufapz7lg
zdsZWeszaM45eGiGpO/WmiTYK5b4sldsT0lwyAeNG8mYmk90khUbWb5BIy38EgkGkjPVV0bbNq8C
f1+9TL6z55muh9sUo+tLHs6D+1I4VpJvU3QJA7Vun57g+1BtTHnl8CDCf4CV7Cbe62CnRnNhTfPU
GfwJ1Jqges/JCppvrB7P4m4sZXeUcQnXulKw7J4BfUO2gasm6gN6zXBC5IQH2ObX8jSXHLsrUgPs
jQs/9FXYrf3e27260YZeM/d5HBoV61icUmB0w8yFNQaPLo7r4k6GofDZNS3hahNh6sbe5Yk6hch0
yDJo2cVJydpzvcz0tjiN9m2tnWbhBKshw+O6jTr6IlaQeIOisIx3U5bLW4bbnBH2RCpsFw2kQ07U
GfJoWdWYvQxtMKY762dYnNdGCSQN1h9Zt2P0UbAQLVV9xrrTMKzEWUwsQjqC3mBzp1sEWf/MoJOo
FoZVSUwFpL+i6y9AhWpF/Qv95MysRCrfjhznR4BCmfH9UNLIZcx+Q1+ABPvIbBzFfmkY9WeEkcK8
GmkJgs4xourLnkP9qtWAY1cuL3bvgaWtt+bPsLxqyc0TFErilJDwk57YnhKtFwRVfK0gnlmbbtC8
/ljwrmm3liC+QigKV2KzGNQvQX1Wb7jryOJxXwFhIF4hD00t27QGBzNs2QZobe/OLvKeEIDMISel
hwTAIp07/luVRlZfO7Lq+IJInfhFw77axbK95vvnewGmNS3Q84M5T5i+NOFcmYi0O61UxVmHt7PF
wBr6DAd2c1SpR6pkkw9NJT9oT8Asjm3QgVydNpR2DnbPLHumRrvMzA0aCIvBKnamg6WPzVqzJdHg
uKL9sh6LOz5NiCbt9Epsh1y7wXTnlr3wgYyxNasMBbrL/M4+kvK3VC81N/EZ+us+AnO2TRztW1fO
S+6WfqcYYHw2HYdFxdGpPCvf6UOLcIGIe8Kxh9PIEITQKSc4V475kDdN7mOoO1hhYKxTmw7JBr0P
FhU8iTthWWHqEZW4x0g1pjReR7XyJ0ZpDTSwLmwjULf1dq46721yCyJCdeH5s0V3ze/PfJxtLlnc
DI9wrGu0KkzUy1AyGeUYYz+1ccdebURYyBdcBwAOap2OMBkFKQkd8I1yMjZtk8JLKHNOxAJg+qUp
5+Imjpv4pWIFsiR7tNm5qov60e5tAGZT+JTXFIfuVD17TGiHAJvNoIHqgt+EujJBaH8DLkWCkDRs
vJGiDiDdsq+uVmkLUWZOS3tjlfp4y9CgP84lq0jKn3inlL2J4J2tbD07ud1wZ+f5GjL8rYWZk4nx
QROiRFqaWH4rtFuGY40/lNQXed7cBYHJOZC6gugUReJA3BH7ljW4PDO2uYC2t8qcgbBN7llIzMla
pF87wTyXlG4M4xbulgI/OEuv9GNGm7otQFk84CutV1U1Gv4QTMaOdZ/wmQSf8IenuwL/6soSNP4r
R1E61u3CqYpmKnJaILEOp8jgdxgmtwDY7quoUTs0qcldDso8rPXID40lGTDbYHS3DmWcvFhWvh7I
I9kzBmSiBcYsO3qJZMJHGNszu9Lh3YhLhmgKp60h4xetitJTYabfTGlEkCyNtxEjk69aW9uQmcza
bBDtzmnCjen126qejcMkbWdllNxOIrhv9GHcCLxC+9bq512VmN0Pzw0+yeRiIlUAk6lzFoPEaj2n
LJAPA3jqG1SJDOFmUFhZQQA4C0eiHdrwQJjWuLUEWwvDZsOIrHr+5GQipATN0rtTl/oZMoTYZoxf
GoY8q7COnY0Tja+Q2p67MSqRRWdMOsJ3+qjXAL85cRrIUGxreLJt4t8jBaRgnnosh4JgEytm4ays
6V2ONM1m4dAAJEuGd4732SyLq9RnFtfIb7f8WgEQtwhL+nEEnyGTdzfHFc46lp2X0aHQsSfFZ+oN
PvjzB9ZGn5nWUFSMo2TImJDzOM3g+wp5qCb3SbPckQsfGSEaHFYRAgg2WcLuzjLZYkz2numH5pej
9Q1qW7SLG4324QvoI0lq3nfydzTOclJZYDtQroRF85h0LJV0HfqFrm2gXG87oZh6a8cpd24Nj996
a8jsMJUmzO0ouMuN/iNJHkonuaYaxVHtWWvGbCeohjeWqfr1lGi3Rlhp+1xhZiWu4sNtsjUxdpe2
LYPXqi9fYCZvphjvZj2wbq+Fu26bIPiOE3VLCNH02NgG+8jpnpgPxlrSPepNcwO4sdwUXQZ2P/1G
IwxtLvoSKtFXHi4DpiYejGnGbzLVtnEwHKfMtCm2TG+HL4kK3SmvyWgnW9QpxEHlpGtKKIebNpGv
o1W9Js3iejZTy1qJxCIEwBrPYyN4j723dQZUMq1rhJBcDPti05Tk3ThcDSe+Onb2JMnoixJIDVqF
l5aBFG1IT6/Vf3hJxbw3j7xNqSU3cI8YULvNU6mio2rSNS7Dd5PiL601XO5t8b219V2PLXuVhZBk
S/yFV8BOaNKT59Ctd2ZYoSJUd54oT61eXN142BNuu2ZasjdjdZNANTu1ogXlhsSEyqcHb5jo2Zok
0qOVI9TDLg+OZ0Tw1zDCKMryKZJqB5Y0uGsysILlpG3n1jqqLv0BWekmLesTLY6+UK1IsNacnnwE
nvosYv4vBbqYZPzQRwJvS8bZm8As7W8mFH9mjVHsE+2BrCSRmU9UB4TUnCQO9nXGtgFkxTjPHe69
LjQP/aAzG9cVckdQnoiGegKC1kR5np1O6TctyabItYw58ENCtcHw6sq2o3g9NJPKty4aUsDpXa2X
5QkHIY9EZKGFEZNnbaDGHPQouDaIbK5DltLxIBDxUt5YNrDXqrhi5t6+z+z0WVLu+xFa3b2kA9Hg
T3IroUTi9LTm+twQ8IOkivfYGJnm65DbfGJYmaFG3YH9ZX+1GtPCreFqt10H7qktBjZ7aeW7nV2f
i1xKzCk1pMd0uCOQcDezCqeXSJu1SDtrxwhHHjv857uhHU/KbG5i3X7majsRSeGujIVJH2eCTKhS
d/ZpqXgIBiu/U+Zg3mLEBilroh2VaXBOQhKrYNrQnLCaZDKUBtUuqsGKjtUHw2l2DYnSfUGymDVL
sAx2c1DucNZUwxQovIjZPJQqe+YmQq9GLFxePlXkIuEpwW3hwFsOwfkH8hPTPkE20BCMboNUxv4x
WGZ8AUWZnNlOepeQdegxIsIkWfXUhGRR2tanA5HpALXgK/W4LlGe5Ou8iKncXQi+OtWxP0yArtHl
emsuHXkzsDI757LMf7cN/tea8A/dwoT9v3sTzvHHD9xxf7Qi/Pwbv3sRNPc3E3cTtjhhUbBiEMV/
9bsZYbFt40QgXYN/n27P0/Ep/DOzUP6GMRljnLtY38hfwPz2L2Oc9RtjdOEIXHG2bVuA2f+OG8G0
/mz3pPWgHeG/hzTMwvrJtOXPZgQ5ZYwV1ew3remWW1cj0Ag0qMTpHOAQUBzTCKBWxlBADtRcWJer
OjHSWxx2OFEtql1nK82h2eYMIPNt0M3svxWgBbSUc9CKNdsUNO3unJKpTTAzGUrsGe4jI3foWYs2
CrecW9zymhk3uz4oEa8BlaL3y7S09FiW9/jMg1BqP/DWuowouzA/lVFDbdRlM5a1gVpuZdYubWyX
6XQybtuzdM4NzTsNAIpfMhN8Iumekc4aJ0weZZDlPxw40wep4dNa5dDd86FKmL5lzFq9wpK+o9Qc
c9cGyUMjquJxiCsWvBjMhjeV4ifuUzSAKyfp4OOUgdt/C2OOMySmU9oRIupYgpDihZJUtaX3FbRm
/zS6mm2f2ORa247TlpJ9Bp0HP4rOEyr4xGRHiVY+uDB7wiXtjX5Dy83mnuGI+V60JLMjVEvEEWx6
+U7DiqQ1TzPtXGA9gDDC2uNlzLBw7uI24/SdYl0iUXFDzO5dYvaUrA0kOtUZ3Ru47+GU1pzkPtmr
cl4rdqK38/CTng/gtvO5e2G5Ve4ANLFlNgrW7T6Y4c6HjHjeat2satDckjjhVsbggQKpJHJJcEdU
YpVtXOw01G9qL8YHbE8ecjyL+ffVoYa31wPpYCcz1dNXZmnUNHam3PLY88M9KIsAy1WtTLa7iPio
Exius+k3rKol35zj/MpGmQpY2q31wxm992ICWUyXBeXEJ76AZQz5O851qECrAidiDD1Kb/7scZzc
QXhiw5+XNonNAGIQ3xlDHm4ciVYN+A22PwtmlXkf2Dhhl5i4T1aijAN7Rzi7KuhJ1VRkkV2hsYSY
OScDKmObWKOxz9LM3Af0KhHPX+BcsJZ2xWGqtMbYQOaCmEDQ3/TixT0GsgXvCztPz4uXSRKk5hvA
URnwR0b4tBhxGoIMDfcxZ0UIT9cemyW2CjitDh+AYViYVtqKWM/qhsxQunymrvy+QfOWVxKCgPoQ
tZW3SL9m+W0SLQ0nz3k6EANoO/2FvHUzo1V0G5qbVJ/aJdmllmsEUFkE5XIojgXVZL+Vyzh349Zw
t9AdOMmIyU6XqR8bCNOoigChrETnxtm6TlFnr0TuBo+LSOoLFqZhMtAwp5oE3057JRQg1yjFS4aT
rIegzqgO4wMxB4P3WhppjllyIidzJfRB5zms2/uymfQLtbb7FhiqH1eFh1vIF2mjdcs0ZPxqwpqR
bT5nM3EORk4/CcEQjrQOHQ6+kd36VVGwNi017vi1mnU6ROoi7T2JKC2K2oBbKlLQGUytMueCIn2M
1nShNmJuQssLHzYtht/a6vZzNMw5LY9TVluo7eUjExvT3kxWW7VHs9GTL4e6+5pIiX6TUKWAdANv
zMS9Z4TRuwwMTp+VPduQCiL2zC4rUB3zZNUT03zfq7SLt6qUVXerIsO6qSfO6TvppHHje0ySyYXj
XIH3b7XBVlELoGFC/ssohw02IwHJwBAjWXMEzD3x3SHK6zp1tbiB5ds0G6lFaJZnT8YfDF3UWz9C
sFwFiHbIGQrLYY3eAoMvCjnxXfbTEnIxTl59HwMXa9ZJJObnDM7PKw08h2sfdF75QIRnHSu+aDCr
r8OgzOmaa0x3txkWGzBrhovuRiWuPm/bbM4lFOfMuzaB5ia2b5YhMj+8HUV8Z5IjW668qY0Z97bo
If2s7ZPpPNsBYqqR/fcF27YjfVY9xreWWSVDVZXY5RGdZPVcTaSJI4+2q34L47vlkylriebC7NVS
V80NmC2M12RIguRBDqa3oysOboiSGE1dhvPMnVR6qEiPfGu8SNwFGfK0UxGPbNiiNmbaIgNpPE7s
lvJ9wrl1maY2nG+LWQ7NDksQkXMj8xkUnLTxfAegXW6bMh3vnZFJ0qqASjAux/kQyJOOX3G8uiCV
xEG4Y+z1PkUqSiOicQe0A4UFbggw9q3GLzLznZ4jbaqSJGDk3HZIk1Cs/tdS+s+MHIlb938v2x5J
mt695x9/rtyWv/PPwo30GlABAD0sE3AOdBb+6F+Fm/MbgTYO/9zy+LOfNd0/Czf+ljQsIsSENH7G
UP8/ogF/JKi2DM+lHkTEYv8tEo9u/Nk+j/iWktIQFiIG3WTkI6lS/+gi5TrU8Thld8YYA2hlfim/
EW5p35lErcWr2k4Cnixokcp7xC/WBv7Y1t6jADb9OVcZx37I9OzIgpXNIgVD9mKSwYCpsyKhPWtL
86UPYkPsTObUa9aM833pzCmi8MoaoiNaDFc718sIhuyGLn7qlKi/MY2S/W42xkGR4Ael5gJITAjE
bBkXbANARS1fiDsnDbpl41jLb14scU0Q88XeMXYrhsWyKyEdkjnn5L4VDznR2AzCB+TKQ4uhKgqs
jeOhgsHQoHExTmSEsfAjAjogprJomErHcmY2WpuClXUtl3xAEXxv0UyNq8FIWeDOiUX2VsiFGayZ
mHkcQJLjAm07sRkE7xK71TqK6ybgoIiRouMg8TETsFZSfZ8UG+gu/WMllHWjOndmclhjRENh0lvL
cNeLFAUd8+xVDvJuQjZda8kBGuq0IYaDKZXJdfhCweJiI8+t+mUgt9YkwxT/6YZjoyC4sUliKCkV
m3720j3yCLzv7k0MVRyCWFBJxrJDIEYkxAk2hgl0Y+KHEpDsXsvKaPKDHoxsb80oM5ECUGQvexGU
/g0w6JqIXtBJ6KZw3lWDRqmQpcawkvDqQ8BDHVe6HLX5UU0Jev5nNgcxw2z8H/wtVjxqrzeIplfA
MKm8Btae52xI8EuwMWT/0Qm3yjdZXo/3fUw+Q24L5iZoapjDML+Z5YZz3IiA6KElYIA30FP8/Cr/
txn9B13fX51q/05o+fkX/qcXdUxpCQ+cuu2ANpBwiv51pNk/DycwIDSjdJ0cJv860YzfHJBDhqBP
FJaA9fQ/raj7eywYvnn8y2i7XPPvtKIL2+wPpA5M92j8aGylSfQX0oyFIPPHAy1RY8iQM7pozdC8
jxkYCswJsicoE0zLWsS5dWsD3UTug5ym27S525enmCH+hy27fDqkxJMU6z98fP+BUUKf/W/vibaY
Bt3l/86vBIg8LxaRNguqaaoeEALb6OmnzFs7VpCi5g6HJ2/IvFfiV/GT/PVLL3CJMpvIBT18/p9/
/P5xMBTAwQejRbcBt/3p42C2pwW9m1yKKtG2oVfY5wGM90ozYnELmDP6+PsvZ0A1hJLDVsc1f4ES
mPloSjdLLtLKEpSgUZN/Jy+++BZIbH+9i+fkr19vefu//nh/fL3lafgD/cVkANp0vB5LhmgjU1Ed
AEaKnWQvsfnrV/r1olyeK34m10boatim/gsBJqKIK6c5vWhZAW6VQNxDEk399a9f5D89KAb7QWY2
hmSV/cuLEDjvdeTrop5FhD5xLn41ddyQY99mByNQ9Qf5UzgJEWL/f366BVz0b5+jpLAggY+t/a9l
QJviv2KwcgmZNNEmFhaNVzqE93K25T1Z3P2JYKeeSYGj3QekPLurv/7B/+On6+nLI4qWxjCWx/gP
v0cY0lOK4+oSpqXY0EIPO67y5u9/F3TL4oiRLq8ineXT/8OLpLZUCZnk6M5i+3snAJbDL03uxjSN
LkbVqNu//pkWJNWvH6puuaaAjr0wP/RfXs9AmmsbdnhJcA6fmrHSXsvYiG9LYQZ30tDGN+LG2x1N
YEIHjHZly8opwyo4IEj567fyH74mfB2X//EIm//268U1ytMdhBfFbMtXVUb8Li0DpCnG03/7lUz8
ryQ/Ll52zpw/f8Zdg+cmD9xzb6jw1Rzj5LDkdGwHwrf3f/1KP78MvzyzJjgVYegmPBZkHn9+qbzm
JHMT8xyLWKfIyNv/y96ZJEeObFl2Kyl/jhAAqlAAIvVrYA17mrPzdgJx0unoeyi6HdU6amN1YBEl
SRpZtPIcZ44yfoQ7DIBCm/fuPfeHW6XeI6ewWeNxDdUXN4iSak3yYfoTaBD49Smphh8f/4x3vhzJ
esOdkvHOyncwA42IqAs0M1d2paGAO5wEEadqeV3NabXNzXmmVBLmX2bkJud5JtvLjy//zvwuTaZb
KjmKmEy5vPkXYzqf0az1QlyVYeqd2QQLn1B/cTdJOjUngVWERzhf7z10UDSC/EwEwJxPWPxfXk+D
3GDhta+kpWpvlTd4jNak18HQTWtXfxsIMLxqIk9/jQ3PIjexEF+bpNNHpov3HvrLX3EwypjoA1dX
dFHHrvpkT1NIPm4gYNPb6hZNkXlbJFN/OpV+ddoJPzoy8t6ZrOQCAYNnZTOLHMLOVJFGMXkTV92Y
zxcpHcgzqw/t+Mg9vvPNcjKjhMNRjwVVHiyl3UAyaFVZAKDpAAdOb592OP7XtBm7i4/HkPXepQRF
bAXaDizrPjL1xSByw7k3IPteEYSeKNqRGB7RFEXdiSHwLhOUFDbXlACH89iebOioiz02QXq0KkDj
P5DqV+4cWYvdyAZ+kXs03nTkYSzf8sG3jqLTFhZBsULQz3g97DxK/IZ0xiuraqaroWkJrC/87MaO
B3U6hdF4R1RC+ByU9LGOPJvlb359ZQvfPcRaKNasjXu614tnwynM6GtDXRpTnH4K8CFy/JFox+me
nZpONqwxkVN3TNAgJEUMuax08ccqypKuagpcN6Y3HNklvPMRWsgUeU9UDQRbyoOZTyxNP89zLnuS
G04ocenrMI/9+zhHRa3AN9w1rqtREEz9ZqYUehJrp/9y5Lm8XdwsC0yDdNnPwp5l1/5qIkiievbL
wr2k49Jel9bsXuExCnZOi/qxcdzizpCVXKTk9sUoezophShuVMkB/cgPeTt490+CfGAeBiDZgz1T
opE7AwG8DPI2+RUoh0gYZzy3iM4mzG0ic2UidRS+f1OfUYWIf1dgiL7Jxtc0jMV8HgFsw+wqm503
TPLYl/XO6LFZoJaTks228fDLQuuf8wDFpUO6Ep4vTdtCT5M8t/Wor+v8Z2DOpGDONNdxWQTbiRl3
HWo8YgGShHpFpMn088jzWhakgwENQxO6EIsmjTv34HmFshuNdDIvBZEbAZ2dnJZN3DabimTLNYSg
7G7y24Ykq/ZnZBN7AC/cPw/6kvxEQMviyM7kvbHMz3E4GfIa2X8edA6roQVe6YpL3E/hKXgZZa2a
0ZIrPTYd0tmuepByKu/GnqgRWUFCEKw1Hz+St5OLxbTneBYJ1MyAe1z1i09cd45028G+NPvOPYlj
1B6epU0yq2qRfteTas4Hq/2eulIeWUj2k8ebd8E1PcT41PQOV9O4kNrMFqEwxrozaXQxYpPSPXEd
OOyo1qwf1gg2Eb0KE3JqxsH56GfnEHVRx/J4Nnnud0fmlrfPAvY3z8F3nAXMfDi1IEgfg2ZOMPWW
80+zsRiqM6fNlUpD2a4FfStaU2zxzlTQ6M3H7+HtuupYbJaZTXgU2AsPhoIRDTLF1nHpWcTndkM0
nRbEUD5+fJGlH34w/rkK1VaLOZTnfrhjcuKusus5upzdqdxNqkX8nxvpum+IqxHwNE4IYnJPkyyg
75eOcpUjW19PboTPJdNi/l52Emlf4dXh9uNf9s6jZ6kxQaz7Dou+fzCjZuj8VMMP4+nYZ2Np5btc
+vFJgHkTJgdlx6kMoPDp4MhUvjzW14OQpi77V5uLQ8rdo5xfDP+0E15U5MYFvSIvQ4LqNd26GvBj
bCNdVvEGXnPIgBtCYgI+vuP9se7w0t6yw2EPzwJ7eMvdonWYx+gS4nZ5JWqExfkQo/RLKBeWab/u
lFVv83m8DftaXQ5D48DCwepvcJxY0RUl96fOYxTTQXfvSvg85LfczpbTXOd1TyhbHz41pn7QtIov
poQoxIJo3XWDKHsL3Sc5sld4uxcHeC2gRi67BTZsy8h78SDdRRuO2fXCrpfvI8MfuJmjAC+0A95r
K/Bs3X78/N4O5eWCHkOGA4gHAPf1BRkuZLpLdTESrLUNNQ6rFGjFkQX2nbviqzRt9CKoO2hHvL4I
okegJ4lzgVU+uMGgACy9Jup3PVlggJBnRMb9x3f1dkF32ej5QvGBLvPx8u9fPMYiHRp2Hc1FN9Ux
bKyxB9RjqRPDKewjt8ZWhb/r5QCkRsWWl3Ih740bPGSuAxjUYwJ8x55TMMrEJ9FGb+EIfjULRXPd
2zfaFYSLr3bFzLWa9614dxB9ca6WDr09QCpYkXEnzsyBCPCzdt/On8c60lu9dPnRhcf5Jik8dYph
bCSQfVEEoCTPnzHwtfX9JO0UrpgmX2CNv1p8GZosvSKTwH+C1T5FGxI1qp/WKKGlkczUDVvYUw6U
ucDLnppKu4RWBpEeVjCak13F69KcebvWP7G1TaQIHmlQdXI2iCJos+ypI177ip4C6rHCEw1W87LF
Dq5HH+Ez4o30xjVnXMUKSsATH3/zm2iA8TItXdRxcTmki2ZGZ7/bqiANMhKTegYYmNxxQjV/t8Vo
34p4QKEbVQ00shDR0mPRWfgzjHSeEdZQvvqZlMruydgxgx9wh+gmlEWWiU0wmMllkcr0VmcZRhkX
vNEDRQA7Og0yEhpXSVwgxaPzUg5rugd4oVt7pPUUkvW4Im4y4eGRwLLqKl2eJ9ovyIyqjWcUrOJz
BxgxWEWj8hnBFQKGrVtknYUZfkrUSRY1X22ti54QqI747iQK6xqZeUBSsS0SMhsnWtHx2obkjMFX
g6gUETZLs8/Ut6ZIcZ4IFkqMhlibkOUQryRhH8EOWlmAF4FLIHC6LMmuggZDtbddd2bWz+uMnM4N
ginEN7ZTAEAiNheMJKpD4W/gRqLJbnPA0CiPYBqXAtfQ2qmd4FPe9NCZQK7F9SY1MJXKAN/raZP0
wwXBqwRgWZCbQwTGMTkHadXwe9A6ZOE2UKGDrjJNKzxLIDjwygpF11u3Ed5RsCVPTkL8z7ooOsZW
K2JaLuSv919QnRigQkwHhKDvNG23FY2czkUr8u9sqxZpf1oHj9qJlhdTYNLB/Dal5xqN7RemRggQ
4TSKB4Do0Te4cOMS4jiKX6pgtSV6tJZ3DaxWdwOLMNaoMiZUPAzOealXYfRjjE7O/WBK47sXkdK+
1WlUE5iqsuESf2nmnPYxp+YVFLQ6PQv7xo8v4sgHM0beN0xLoGqIrQNIB+7KhAPwVKm4RW+Emc1G
/Vpap/GAFgrn0wxBI2vChR9dzhVsR2IgnBWWZKkvZRJjHyLsnA26b5d1cTqUI4S+iaYozb4GLTPL
mE+qVQW4Hi1Cnmui46YuKHgNpZ+RCQwETSW9a65MfHU/3NmhZWlNIjNPfNLrr+Rgzqf+qAg+Ia41
+B74eYoxpAizTxVbQoiNJXycFeBZifQX9/4GH2RYn1ulI87GZiLmKXBM8jPmycAFjlO3uSzxlC8s
rQWjEntm8ChVmFRbrJteugmbtkRRVaO/AJqGviPwvKRDZBAOd4DF7Iy4kLin58iDDCkLeMEXSG7x
QJ+vrOWqG8zKIxYe9i55ZJrYn6YWbKCy2RvxoVSeieQp7nXKXsssxapvlZtvWTD9J1BIltxmc+C5
W79yc+8qRe+E0KkuCb3Fdc6Wn8zzHphd5T2GNTR7iOR98kTqn32Rm7X3gNo/9VcWI5IcKUQ3eHGC
2W62DWZUZIgpQpK1pav2Xin0SpsM7mS16iwvERTLCubprCZrcOVWyzYbGZr+HOvUSdfWUMIPIh+L
fYm2imk358b8WXhQ6dZhb+dnYVLO2JnwUv12Y+lAqZIK9ZdyRuM2CUaOV0AdMcEmCJ9nKJ4ALfRk
2PD9qrK8VaJt4pU7+sNXE7jQd8du7GuelIOVPfKSz7yA/i4MXPOexHKweHhl+wkbVoH9BU2VTLae
SoiZCsTYYif2rag4scPYvUeBolwsyfQS1q1I7CtkRvN3n44qXi863Fgse4JfVimAIXPlNZWJXyge
agXUxEOiBKgBhfhAkMYvxxti4EYFgpuJO6zgEc7RvS1F9bWNZ/sRnOP4NKLTWRwcRv7Z1QETUdL4
X0BQDzsi5/BhhoAc1LbAIgGNQ4aLajrv4aplE5KbExxm5i2YejSQyHt4M747OmrdVNLnbYQgP+h0
o+CGKNKxAHbZcIbnKflq4z98piAb3JCOzE5EYYK+gwoZkHpDrirdNXba6Lt5cxvcn7F7yuZ+ybob
ZtZKlBVBuIEYU/8eTPaIZ8y9PRl/tqWTbQVCT2/iroUi1DMoy02lCY27aB1n+OYPrXK2YJHc7Nyk
HvStTvwUrFUb6e58ciw4uBPpdg9ooJytUWsRnSLkD7EQzD6IFLsoss+p1cNciupAfTKNOiNeLF9E
iliyEIFDZvP0OvfyhEGvJ+uKrQtl+8QYEaQOIBZZAJyocUA4BQ18rHEg2JrGTbF2Stbd9TTLRq/d
xvEBRYxpcTEnbCcsJrxP8UBr5Rn9nj6zWHE0Ogqz0BdjJ2zA/7EguEJapfepkWWcrUwRMqWjlxc/
pAFTa8OWaCbAsMBRCIBS9d9TosfPBxusHHKAxVk29paB14ogSnLm7fSXR7dsWo8QSzVIKom7rSF/
L1jDS9B3nLnnZMPFEe9X2smfWtWPw4l0m769HiZnEudh5gO+rrPWWtFflQQAT5nzBM813HWzqp6G
uMGahasivZW5azyWwg97CioFFqrWqJoGiaBPDQhHJiEKUwSUsJr85F4ATtnlzPL0tNi1syjoroGe
EYQIdIlCAqLCmWS+QCw8IPuFbpmS5hT5+jwYcCisigJhympwAkMC/0kkO8OJY8UN8mj8hBglsXCu
TGDc+FEZUT36zgIKZVp1po3tiqG5GrOkJCBCUz0HoDjrL6oM2Fn0dVxRSqMptc2U03xrawvlVui6
YUIwkYq+xrDTfqk9kb3o2fysxjG2f0nt4pSjWQhVz86QoUinUbd9AORkneZoPVfNlJveShQ8wXUA
exZIHG5e6jvzVGEPcUOLbZEnnG+REUfAS5V3P8Mmup8ovD4I5B/OuVFUUBc4fMEWzSEAx1uvA4C3
DqO+uuzMhIwLV1Dxl1M6PTvN0FVIgsGlj200PvgEuGPFtz3mv9lG7bxyiWYAnhJbw8LS64K72mnC
gWnJ6ZZ9lhPU60HM7eLY9IjYLvAjWyfL9voaQ3VdrcekWNaesulv3WGKfuQGvN7On+W1ZzugJKys
i07Z0TOnDEOLyW8Rae0Mf+jnk6D2U3Od8r/8sMsSR0U0olvaJky/147uezyVZl6fJybqzLN6mGC6
OqV7yiSDNBrkl5wXrgqFgABKLfiuUgbPQWTmd6Cmom0li5qgjtDDXU00NeukYPocYOkZuVrLhGjH
FXyKyj+Z886ITmQ2kJ9pm2k6s9HV/m+rrSv0jkCN0g02cV7f5OeddQ27DN5p5Us8hoXXSRQNeoan
N0E4vi+yPvuMTj5oT1KWfMwx4N6/9xh2CQRv3Tq/9IJwQqTfxZO1pjjq/EoIF/7ZxSMiZ+XyTtCU
eu0j213svX47hMVJBxK0XfdoqjhnT2QHbvxOut9KojElTOo5fzDrHBRv2bNj3zqwwEEMqiD8WsWD
BSPZm3/AF0i/yK4QF16mo2Zd2cN05+eNhyu3b/WpGlMX9xEUDLY/Uz+dKsqmwZno24e+TDCMGQ3c
mZh0m/JUNDZhlWy9xPXIw7nVbhInZ1XseFestzLihGK6bLGjFm2wOEv6fIxWNDfKu2pu+ocCCKQC
+AX1YuMNafeYy7L/PoEAuMsZVNkGklYC22nUcBBB53XqjOk1YOs3WYDu5ySrL2nDBAYmspYaBJBR
4GxEPY+/mqxjOGB0Gq9xZlfztmrb/rsIe5jGhMbYv8YJEy/yZUH4eT2BlvBFF9wTylxmazyz6Y6O
dPbbnRNzIFR5lkianT7aGrEFNSi0wH5C4RnJY4OePQ5njZt6FserGndwWcPHXXtVvbAwMiRxZ9If
O5ggUNIlpmZHgRWFOHiFL1MzovrASaH0BCjc5izIN06dhM+UtFwCVsn16qDdGeM3hX9PnrqDGfzO
rN4+d2A/UvliPvq+NCV2ETHq8TlvYdgyv5P3Etn2+MVv+LTbrM0/eWGGm6GZZTRcCc/I7hdHv3/m
7jXSOFHVNX6ORTkdeC1k6HqSHEp0+Bg1rYkLAnO0QjOIoGPV7pXY/iLK9oYCV6FapNqAulFt13sF
N4ccMuz2um4k3wZZwcitEakt0u9iEYGDJGnv2j6zbrKARwNZdtGL1yrwv7WaSeKkahdFOWRi1OW4
ylGaz4voHL0S+vOopuF9MiyydPK6jQcStROe3V63PmHC4W9yYKOwCV207T6QkHEtBLlxazdZ9O/5
Xgtv5E5x4ewV8o2j2TETjYyEktgFZNQqkmyz2yJy+uumcqCuqnKc4bLpyP8h7YZcD2ov6PJN3yg/
gWjyyzXCRJT7ySLin/d6/lHHnCnLRebfNaKGdrRX/w9Acx6avSfAWuwB+4LNfwvl/kVH4kXtavOz
+/kfhMggDd79zJ///a+/hXLGKm7bn/qVd2v5c/8pAV4Kggob1r7LseRq/l+9nPqL1q5N8Q7/FESf
pYn2QjDn0ZKg4eNTChcvvFuW+ZePjMz20TwQd/ZHAuDD2i+SZBOCEW08Otm0sg9KlmBcp94KiEo2
DTWtVdsJY9XYBTRL/tAWuwhs1qyxjCOF3zddn+W6JIXBZ/TUUvQ/qPFxkinrHhgFAlo2nNe9066i
vENpO1ypOH+WGUSCgC0ouRffXryhm79re/9R6PymRL3b/hut40HJj0sjYqKuiDIHFaM6uPQUQJtD
W/Spj0VzmSdV3W+xR84nPlpZcraIxwqvvTkuT/j8TWNFe3AYcCI3rLtHfglv91XxkV+CFJICLpoc
QVlj+fcvCp00lUIlp+hTjPKKXSGy/mzTZsS9UVUNMeB67QyZOFOF9YiJv3VXCa6QGoVvhoU1pGp/
aScGZyKl2qo+8obeGRiUz8AWWBgFaQosCowXv63wU0Mx++wizk9UFjOg4BvauPnnaeywtxGMhOUZ
kU9RbT5+KofSjuWhIB6hBOxZtJUPRVPO5Mk8KsNP4JnsR3Ax5SMEEQUfb4wvMvhzX/HVujeGX5df
TJUcCyNdXv7LevD+6u4SgsvJEYX9QXM0Z7unnNbfJWETfYnV2D3SrIpOws4OTz++z8Pa/f5K3tKB
YiiSC3VQVocSONazEeyCSMCTZ793ZuXaOnKR927HQarjeByt6LIefN596YRlSKRDGMA8I4J9/EzK
g7nt6q77/Oe3gwd1EdchiCHY9/V4Ie6dTTuhQdpS+qFuVf3J9ZP6SIPlvdvxfMl0ZSEmxhH7+iJL
UcZus/hTYfmsyTV4iXNTUjRMym46oqt67/X4ixgZiwRT8OG3WVL9sAIUH1QO9LbvUMBQedF6PNKB
ePcyNOEXRSLDbUnCfPmZdf4wYTmNeVjp/JBQBLhqY/DdH7+bN0JExhp1B5sWG1I55pulC/LiYwbs
F1bUJD6VsWkbm9qt++KkCFqfY7ELD0zk3T1HccfcUNC3mXkTD7NVU9kWB57AGsWR3/POTTuLcMWl
84Ka9vCm50yVTp55u7YrmvM0nEmNwgqx/fiml3s6+JKZWlGpwcWS0j2UTxHmI5qgtna23dM20BS9
2NJ/hbP6SHrKEZnHOzekOLcucgoEDNJcOrsvnq/bOTlCxXE3BCk0Uw3diNKJc2y5OOwP8xaRBjNM
UEIpi/Ts11dJQGv6ZmbvOCJR+GyxyOYNfDMGFzUZabaUaG1os+UUJZg7Euebo2Zj20gkkjOhLOdU
EYOHuu6SezsJMWE0ZsMm1aBz49AoOTLzLD/m4PEzhzOgWWzpKtsH6jWp7aq2bXun7Mb4NJd99UjT
YSlCSEA9U2jSLTOdu49f+TtLx6trHsxBXWSOOsFNk9j8pnWMmWQdjWN+WXk0QyJRYQen4cMZx3Ky
6UpBd/3DfuzyhlyBSBwFPN6DQxUzJWY/ZlLZuUE3bhGstNcj1I0jg+2NaGS5Crsni6x2k56aWkbj
i9HWllaNBtDcsa8QYqvH0tYbO7Ik/np4j9+cvI2+Gxw+77U/saOZBQh5XDYEnpAbZ8BZFsRmkGyD
6uHIh/1GW7H8ND46jGRq6akeLt6zZSeVX8vdInHfBE0Z3ZGnkT2WUWJvOZzFX2qBucJqW9olrOPj
txFq6DaK+5j/z/dv4mC0fmc5ntqPR8YbheP+h7GRMVkI+YAO9e34jSjb+uZOx4l14UalnayztO8v
2r6VZ1T34ntNB+S7KkaU2s0Qf6W7BGM8pv9qkcHp2lsVNvb5CFXxAq1E9fDx73tvAkH9Ixb90SIj
Phi5lGJbk2PCDtRQcdoWFL6T1NNHQmzfmRE5ltNQ8qTiHR2uniE65Jh0gl1eWT15ap2MPmO8U+TY
Bp08KZIxP7Jcv7fuYFIkqZINHVbGfarui5Fazf1gSavdjRCpycjDYtamifzRqMG+GZpipAhqkSSz
InTPupaxNZ5Jx+zviUWx/gtrDp+kzWfjIZbG9fj6o0nLpBSR1+yykFbEHOvfJoacI3uGd+8XJQG7
OZSInB2X/cuL++0KWwRp1O7yhrSgwcOHTCmjOdVlJO7iqSFGyKXryUYCQMVKI9amxgBWcovB2jzy
7N9ZLNxl26LQ4FOaOFz+mq6hu2Y0uyHirJDb1ndUAc+DZz4Gpb9W83zaukelfO+MYiggWFn59JET
7R/Pi9tPK0+1TglPYKAQRvGd1lQiHToKfrcqpXUui4q0tcm+Ihb6q7HMk0LfwtuCb1X+CJc9xx9/
VS4HvOWbx0zDCff165iFByyqK3Y+UcvnDG8qepPjHlmW3940yBXJurPfAchDg5VRhBjNynqXj3b0
GStC+2BFpfrjO8FLYdkMKU96cL7F6zspLdwDtTPsci2bJzEoEuictDpyJ29311wEES1fLAUrJojX
FykMH1CpGnadOdj3VTd358E8Y59LAP7lx1aKt5MRhxJi1KlvYMVB4f76YpMyiYWOGgJa42Ja4a0I
byO8FF9EO44z7AAPTgQcus9mkOvzkZPLz8myowv8F9dhmyHyNbAj00Ls8COvhm6iXdKKtho2Hw+h
N9UCHjcaIdNf6iPM0G/mDQeEgAjsHVgtwtS6QZPJYvpkY0HBIBPXa4l7W6NQgd+mhpa+taIoehbS
Tc/+cAwsv4RzAl+YT83GPzQ2pmLMiB2adip1oXc4JHjNZmweeS+HY4CLLMJIB/8m8xj3ffBaPI+A
2VDvhgIOO/TZ4ZqOB9CVItkdebDLkvZyg7i/0nLuXfyQnAMOrqSbXAwUJPluuuZ2NhQdZqol7kU8
+OIkJnQIXJhyT+Gp3zZFH0ETHoznzq/9i8qt54cjv2b5gD74Nf7B8hC7pMfbZbeLZdtes4gUN7U9
6BsCRK9rQ6ptDcXxc6ZogWjS0qsQxOzkjdaZq0KKtqWNovrI617u/6NfdPCBkMwVJ03Q7OjRmTXF
IetXkLXZ7TCodhWkiFk65N1brGtL56T+01lteTu2AxKASiPWIv9gQ6KL2NOx0+7c3BrWXg3yLm6J
ifr4qR+eEfYXYarBRbOAqsxljnixXgS9UaN0YwhUZCOUZGhgE5uu7WbEWIFOYxqK8erjK75ZoZdL
CovSAfVTigjewXvOjCKZQcnv2tYjUnUcbPsKOd58TyZ2CeTU6jSKMbMM2R548R3GvZgEZggOhABZ
peUf+drempX5OQ6yc0jdSDLYlrx+AggrOiinLSeW0L+c+5xiXtxLVa2DxPjG/IaWhKPGOTApcz36
Kt9olDsnHAyKm5KMiZ9Hns7hpLw8HfYtwncWexP/9/rndD1INyU6QgUmAwx8GbXfrbglA2xmVwmF
s/AJeqqntt7CjnUIb3Qr9VyFU1dfGFVMP2KWXu+sjADKCHh3MdKMQtpyIfM6fT7yW5fxf/h9MDEz
JTIZss05mD9YNZCelPmOaJZwRsUkVbSGiuPxvgYEx6ss7QyKGLBzazqZZnejndB9FvPAyZc3masj
K8XhPmB5dsuxzFsC2T0m6tfPrkFIGqq+2hHSROQF4QnDqaJf1f9XhgzicMwKYNZQrx58NJknCsR5
y32LghMfs3myTn2RsalKC28dpHl5XpAYO696pRF8zeDA4efWItvFxKjk66AY6Mp9/DbeWTZ8kABs
URaw65sf5XXEQcO9vG69yb8KC5nd9lYU/SB4Ybj/+ErvPGZfcnzHUIPqmWXw9WN2AXekQWZcl5M7
nss8V9sRWOeRaeKd74AqI0ENOJHpvchltXgxMblsykGLeNdVo+VZgJBrA7dU3CKYRCPi90V29vFN
vbPLwPLt0+hhA2azWT24YDEHfd4M/XUb2+03unnAdudiKNAteBp1QRvNo3mCohSCsp/QaGc2GqZf
BemU8ZE3ybxz+GGxJ6Pf5FPKkBxmFlTEy5vn9BSNpK5di0jO4DUGsCFbfPbdt7GZYRSIbviMe4Ru
RJSy+3qSsh/MtUFdqb0ZKV0h9wpl5FwneYBCJvdd1DIE6aGcyf1wTuH6lkDoTaN154tpEdqA3EZz
4+/1N5q26IxQatHloHQed9Zcpfd14tRP9ANQ8AAByVFJzx7KHnev8pGjgaARBK/xqBcZEApQFEER
a+JTRxt5V8KhenIU8R3bcq8jGuKMiIy/1UV5OrbX3V51VC8CpGmvRer2uqRyL1Haq5X8vXLJ0nag
T4Cb6Gk9L+Imt7DROQ2L5Kme+5Lw+b0SymTzcp4m5fAdmBNKqRjGXrlGmJgh9MWr+8Pa66qwXNLg
CufZ+xTvlVdcHBVW+bciCxAABNZR6LOuoFuFUCiJkO9NNUElSHAtprRTv/Ktajt4U1nGm67B1v7U
pSaJCm3IKrKJiPGDZQwEqsDM7xkgYf3Gy0/zvkQuiaSSvM4Vf8pFq11wajbWgHu1dwahDKguQVfI
mEmBj0d4jIY/3vhF752KAAXxypdNp89aEVi/iyRGr9CJAT5VP6fFDE4e7/4KSPdiHquQvoH1a+Yd
aQwpi2unyFzpSgtqP2ExgG9lmpUOwDVm/89dMmQAcqVMH+zewWDk922sYCMiD0cczsFzVc/Kqbei
C9Eg9y1ass2SDHYL45Bl01YZGVEDYP0dOgyXOTCAuLXOnRa+9gz8qjmzeLnf06SFaA8+BtWzEeVF
sE4QF6L7QJ/Srlw/tp5bg1puMBvjj1ITanuB6hJgQCiD5okooXbe1dD38jXGRyL2UhI27qFSly3i
SS9BlARNECUfvNibqbPTu3AmkJQdbYaYQSPtKVaBj2tjXTZ+GW5ohTKq/aCCKy5aj6jVwRHJeEJA
EkquvBG9jZqeUuq6HyfU7eRRT/42JKy62SJUkOLKznSiN1WZhD9lF3XmSSgKFyr0ND6IyVb5iYyT
qMdYZiKHGZMxfTDJZWR9NNM4Qqbe9jd9MPS3VkljbqVZ+vNtjCHgl0rHiohnOED4cOL+0nWIjxNL
Plk29O1ZGYpInKM1TuN17QdqNYDA/KzcCXkpcLjogeQG68oV0risSZgtVi56TuTzYOrUeWkU3QP6
vPjT2AXgCEhLqYngpVj0pTM9wMjk3/nZVs+DZA4JAatvKtmP/5jJ/1u+gHyBksf/m15297//Fxv5
snitXOCP/K1ccBwoZFgT4c5ygMXOxBbsb+EC/4beD9tolgoFDHbZhPyjWzBs8y8PLQPLmbBth4Mz
G6G21F30738ZtvUXJwqFz0Zyoqf//0eon/3u+D+3gPRbLKloH7FhlRTC6Qq+Xqls4j5U0gbNBi5l
ZOxcUgigiI8FkTb9yH77REzGooTM8yRYy95Hvx7YwCIvrYYMjNVYqJmZhCjj+dToy5HY77nw23Nr
tI1FjkSm8oULCnYgICSC8uzV0JtXAHczAOk0PaqV00T2TdG4hPgg0iEQR1pLfKSVu82vUCa+AOOo
xV1HxjHdc0Q96HtwfhBkM+j2TIaD0OteVAiQVPkUktX1KIum/LV/p380vD9Vz8V91zw/d9c/q/+x
/NEnXC1NTOrQ/3z9j+3f/xw+l4va5dU/bPfKl1v93Ex3z63O+KP8Rf/8l/+///If/czDVKGfeSo1
od38beHBKKTS9dHAvde/fr4atfv//u9RK6Ae0xtZ2nDU/qj/8Tf9PWoZfYvFl9HHeYGeq8NI/2fU
2vZf+LM5hHEsZANmLRbgfwat/9eys2fUsu3kPMzJ8U/wVNBJXm2vGKVsJxdUh2Sv7KOAOdhewedO
Ka2pby2NZfUQ1T0LA+zJBBHXlVfknFFCE3A+qSbF3FbND9kRmTghNiWG4WwSsWWiqCuDE+oyfloR
zEDsVbQmLj6a/dNWzoQJB5UQnb0TYz0VxPtylCfYBbSbzFgJld2epQxLVGJ0yApyWDq8P9e6RFK6
IfCGXIFkjBV/tTbiYkBaWpqlm56w8bAiKJWtpx5DuCpTeuKxPrXdyYBomCgzN2Wd2tRtxkKXKRGp
rRGSRrAuxjmuicKogOSfcr7EPAHYdYyJNnCmjL76TBgvQXoGFp0L+EKhzrYdMRsNOdd13WIiWd7l
hVFXDnrVAj7TdemwTzwheiu2+GjR35JDYrc5Tis2huaqxtNXrUnAsGxw+CTDr2apsU25ZUP8eMUI
6aDcVd11XbIurzxnmIj6Rs+ZVr9FiVxvI2YHEcoigHfrx0QTPrtTYVhCYubQjMwdsTd7pxq8mG4Q
RBJKvcprr5pXMFY975yoLy/9PZWyQOscc7bXl2ab63RrDEhbUMbTe1pRpyi/BlbHggyDsD+PggI1
I/oMJqImy+obXfeeWo2+1Pe8Lkd/bt24E5fUo9IUZ0yhkcDmlGkA585ssm3iHC/Jc2nVGjuLAQiG
oCd+HpsXoNuLi6o5zYoClF9HtNC6YgudbYEu2ShDdATKj1N/V+CoacNyG1n8hyhHSCisg5LYdXfC
9US8jwj1BUVi86tn9uzGJBRv0kQdq+qo2pEsf1tGwQIuHEgII86A7UO/NjuyN1YFG/GCVBb8viur
nrhLty9m/6uV5dLdoFR2KwhegvpBNhu2M26KELJfuQ6wUkKayTi8QqWVWc/uvrK190lhQIJXaHsE
jmw49sa/cKxEw6mrCpQQ56RTjeJnOKS1+GaigChdtPUG6O41CnHUrAUWPZGcEhgYINLvGiINFhR4
uR7DStgbwuPEp8JHIbdtZq+E+puE/CiEYRUFP+kQU2vHQUb4Xe5X0yn7a3w7pNZFN9pyWvT4zRJS
kniAGkm0hgI5icrUq4GMUKxeqIJv+GLHL4xaHuNg4pZbxVOCWcjwhu4TQe381aCc+ZdJHzTkVfQT
jk5fi+q7L9CybtmWBqeD0RNcGCZNB7ZTmfduMMsfszm4X6q6yRvkrKK4wshWWmfLPn+40gRQuau2
smNv1bJ8L+HaaiSbXiYMtgw01MCyxhEfgTNROZuaXk984bIfi1feoMpzvCjlCGN87O+83G++UYtn
yQOhO1j43aBzr4sgZai4Ef4Q4rVQU7vse4ezyoTjcNXMxnziDk7m/RgjsyMUvpUiGImetsnCsqvw
/3B3LsuJJFkafhV23W02qIjgvmmzBKE7yiyhzKyuDRZAJBEiiIC4cBsbs9nMQ8x6Vr2Y3SxnV28y
TzKfB0QWHpCSUu7diRVt3ZYS6uPux4+7n+t/HAHSuZzOaY66akT+TQy8OX1Ilk/rMp0BzWrcC4yG
6XV9VO51awKO8pSGzzO/Wly0zNpTheTgCY3qaTBIRKW++RxPmkXngfZS8Yp2P/NlfwXOp7neoEaG
K5KHuuMyx9SgjpR0kXNc/fTxWmxm1fGlSc8vMoLri0mptDinJM8IrykSaNKcZ0EdZselhhZcmHGx
El/TzGgeddeJ0yjecm6d+s2yEpBQfb5sUuVIj5SgBEi6WQobG9rBLnwqN73aIhgPcXU4i19XTYLl
reqyn2DcNgOj+JmY/ZNJ7a8HGNqCTj3F1XpJjmSF1oYDkVW5mVz7T8UxAPi0/g7BT20un2rjj5tS
VH3vjqch7UvG9crHZYkypbsx1m/50qwtwvByhqOqVJv+YpIE5LebiyI26rTtGJu1U+pREeiQS3Zr
Jm5/06bxaPz5id4uxbsF+RzJg+/WjNm140RgINc4ME5v6izKdP3ceP70fEWh6LxVpuyMqjYHvf7C
G5M81zFjApQP4ynNetqNZj/+mWy3qtsOyckBhXRafFpdguze79PacDm9p20qpiEOT9NqlCjKvZj2
k5XfMkvO9D6qAp4N4zYTOkAS63dbJbca0MOvHs3n7WhJHWm3Ol8+kXBPCk1MpUoZrNkJST/3i7Kx
4TGNyFIje5wo5vs48vrry3nRo783Vdb9DwRlqQ+m5exyfR1UwhJg6LV4bke12uyXmr/Z0CWw+VTv
kqc+65J+PReiUSrdTMc0d20t3VLz6Woz6W/ClrOMNqVrtxbxega8uyYA8lwqtEUIamP60Hk1qrSe
Zou1c4GnaWEV8eWOxk3g4kCtNOe1C1rcktDZf2rWIrzRFYO0dJJQEZlxRBDK7FdKN0sKN8JzykBB
CmxNplF/TqFukUqQ+TxoUoSMg5O6mWWj6p43KO25dctzWp8169XlryJXjG6BAFUDHuTPwibQtPWY
W3Xh0WHPAVaeNnhmf3JTAfWfYsvNZj5tVRHXqwlN2pYXVI1Wf13NnHGRDqyT+mzewSCIKccJiuHm
igrjePNQoyqhRoFDuXy5SNxacINA4UabU9NK/Um4rPUapTn1Q1S8ORQzefMGVQrx+sb0+n7jfBbS
0PqiPJst6Gfo92loXO4/ePMNcdXmdOndN5sLEKbwaPjWNIlmj4DP1hqd1aJGI7sW9c5+uTuvjpEx
F3Te9Uca4xWd81nk9otX/cg031dqlRVFBfMn4+m950w2lIrHdABuo3w4P3OTlP9WDpKJewWYoGtX
2WVR1f1UNn9ZxGYl+ein3SYJWeHyCYtNx6SnfGVRuvTrCyovKJrecAcB2oInoTInvyXetrxcVSmi
Gbk+mXrLdi2uk4OyLDU33X7omgNnvhr35uUKhjU9yUrD/srp0zKOHvW8NsF8mnTW8PrBxFyg1/oy
xB1vNpzwsbY0SqOwkuBoDp0xICGrUnkz9FaIO9Y+lg8hSo8W707dr9PuAfdjCz3OwI1JOsptKa5O
2OGIRswUyYD42DHrJQo9pjCiVfOp56XivkLXwrEROezbrPQxpJZ/2aoH9BNtjZ9i9MTiZoZdtCRE
Nu74+Gu4jmOKStpPxmY+mIZjYAv6JSe2mjRMvKmFZedzceEHD4ZTo+9cnebuT9xywaLrBiRWtRBF
1KxKc1zzO25Mpuq5zwt7HVGZ9WVB3eNdVI/7X0CFKP2SoPrNgMksVy9rHgiK7dDd4HkKGiJVB9iu
kr1MFuAJrarz/qeSu4y+ONVm0P88D5/KJMCUZtNVp7mYOLRL88zp4jGoEVv1qWZL/Pql6YZG6bzo
YSuUX/Cxyh5WYQLQjIUcY4L5ae5vLrjWXMyrbpFFUVViBnRIa9DgrRMYpehnt04vLgRzEX4fDqww
jskuJcyEYxckU9ywOVsZi2nRiNx6q25MprfU7zYuN5PiqrPuE26feIuos2eQfdha4ftp9nL4cjte
vUIEkWQC7Jz8eNXi6olHgRr1YD3+ucZ724bHtCQi/NYhxIzHcGUszum41iR2s3oJR1WOEqSjk1pA
WTNSjB6d+tv3HPibiejWapBZtApqpU6zFsftlelvDeutTXtkiXLQQwxCfg3BUZLkBQ57IxehpRGS
j6fcq7WKhOzas3WNYkT8AmaH6v7ghdDc8bFqoHYRXyEwL0Rqb0G0TozGoRvUWglK13k8Lk7pt0x5
c0KJVvRSiOlAPlmY8KyQ8UA2CCUK8mBFY76kHe2shk3D7VOj4yR6K1CWVyFe/jattpedGVr3+Xz1
NL+h3W9jUARatuOU5yicszH3wrJR+UxP4diiFcz6ZkMu0EuAgIc7zBzT3AHKBPBJ5sJti/EY+PEl
zH+ia0kH9HYP/Kyn/sX3+0667jAMouBLLDtKUufH716Uf5SHZefmEc6YAxcLvprfHTBpvcsjLfdE
edKek+ZVf/Q8odf5bPIem3RC6USe+/97VJfGyQhnkOhkJZyN9RpQ1emHA+UF/nj3vVE/I50YrwnO
nu1nfy8Fg77FgudXd+jLOqTz3ArslOMCbRvXzt4l+XVG38GDMo0fKjSLKIl6g72144QSQTmRLrX9
IO74dfeE43DOr1nXa/7mdWtXXbnZOBMrE+DXX3d3jwHmmfgt7ujd+kvIxmkxgBwQxc03TNDzSdck
/ittftE4qzWo3iHN8OQWnY8vfO+hb55Vyd6gPAP8x/TDWyRtu4m5yXEg2J9+tuOdkNwbAkVcCrF8
LwuKRvMMrQDNTGgS4iPfe+XKmcgwRdc4vcULtE6lxRu1M3IqqUwD4fjI2ov45bnzqAXcfss/T+0I
qLOAphmYXZRnwcw92S+a5TOAONH3RKpL+jm1tRNNUdz/snFG8UTDNAjKZGvc5wGNL6mjwcTafSvK
JE/r3q+osqByBng7dZOi6DT9cMz3WEDDJ+IHRDVqJ7f03YxyOuh3qDtm7Yz4Ao+6CYRl+pGWbjZR
CCu0ssfpkH5O7vBThqp4AJpnQqUBt3q3RGFs7e1+PdV7qILOvj45FYA8REUWFBFxkWdAKtpRxR+l
mDQ0o0nKwFcpOa07wKyhriu9g0WjckbSLeaNqP3aEwATq0e0/CX3/9RuPjzPyqs+wzUEXq6o19tb
dLl0BuY+vgeev/Rzctq+qFdR2nCjekacuYR7TLb0ytsTT6eWU73zuK4V114U97541ckYlved/CCy
YInLnZywC4NcbcNL5EyJlClRS7Ev642zGo+/IZLHT1PWRWmO0tIx7bnYgZnJtDjujT0OYN+WWDuP
/O56F10SGPCErDzi3Yo8qJ/hTcWdKiBV0o8sBag6lEEJ/87JXXW081FcOx3qqfHErSevmUwt+EHN
c4UWqeJzcoee/ELFpRfFxmLbIECyVY+/ixphFF/AEbafU5N5WmqpLt5ogFRF9AcVXjrxlZqQCKor
CGekn5MTegwS1cWzw1SoUHJOxuD+dWdi7xMQp8Dy9HR5DU87zxwJwzS8+X1r9+76KupsHXMHMIAT
3Xmi74o7Twa0SdSMTlWyM7PYPCN0R3IO6crbz3akU3rnBEKU0lsvvFbAjlDPKboypR9J+oniEP8W
JcY7ATg9HogOUko8MM4EnptooLPbZ/nqL+PURBEkExkDQHy2quUpiYF4qZVY0DijLpNoDr777UdW
9NH4kA7SoHffnp7Wg0dSkQVY9ORc0FtEKBF7V6Aw9StEPej0c6pPP+KpuHi0G5FiT7b87hKQDfxK
kzcQUBLyM75eEiem8QtYJaUjUET7oadMReBcSAKASkh6RYPqle84+K+4Hb5G+kFq90ZpIoBrR8dS
Ab71B1mg/PD7XRB4G+UWqS7Sn4pqju3o22C4+Pmvw/3ijtSY2/tSJC7s/Sj9bXTwx7vFp9PajbX/
K2mp0sSyb7JfXrl2aIVDZ51+sd6tagvm2rZ8a2Tt10IJ0MvfJ3lQrvJVOp6jeknRje9ZIrdoS0qw
ULg9VAl37ZU7DDI6gipvSvbj0fKaV823ZwGbWvgAn0K7wLQLXXee2FxfGelUBETRsOoCPvpubI8K
vdiK7Sgjl1IXcW5V6m0IhJZXeDe1Q3cobSuOBoH/9c0RmMyrWNW2QncwsOVKJAB76bUucCVeoH9M
gL/6PA4PoJyp8f3f76Yj+Eu9HrgY2ZHYP1TPHMofcyZblhMikBkzUynHS/BN1r5250BlTySZE4FM
VaqX1sZCnEN3ltFK5ytC1qqkr8OclIkHWploFFq2l9FJ5yowJZXJhtY8o5ISFdiPqkRvgjBX8mcI
dEVVsrfJ0nLjjE4627IGsnf2wPLlKxM/VzbM2y/n99OcGAglRZUHP5M5F2ZkUhYIR5wq1Z6VjNzC
u9AauPLlKwKcysQpXZWpmhoO2e5BEnMudKZuePAuiQJj1al/tqO40LL8SUZKcJzwf/bj24Xjb/bU
lm5KU7gcVed7HxQQuj9FhbwOk1a2qlK/DCBb6CWDkRtxcQ6lo0hOmI5r+THxB4XrSMxfuvLptSqa
q2vg0btBUujSDjnjdnqIttQ1iOW/PnR6nYdPnfN/KwjhsUMYlpd/kHbp2kvHTFJpgKmrkC6WTeZb
AvXj9I9aGQhDHIAVQKAF1g2dEZS1kWc0lx9kTuwUTzbLmops/+1R2YpG9tO39mabUfOcWdGywylF
8Bmh9BJ5Tud8pWLUCzzKm/1jx6WsgXw7GAZR4c+3tg2q4/gvx4YRlfeqt8p9QCsTcU66aOhYdcfG
qWo4mRReTY7S1rCGC/fJzTghdreug6Y9wvz93egqBF8w76hu8O1Ifk+ftV9eKUsXoe0PnYIopDmk
r4H7O/o9gS0iNlsYq+98dJlh7A4Ld/nrXiRVqwrWZWJNMypiU3QoSle2FY52UrQ1uIfngW952e9y
b5aGVdy62K2UXeyvxBCdj1XZA5oxz/jUinbLySiml15Zw8zv7WWhbXn2KPBleSV7OBvs7XfqvZvY
GZV0yiLJR5Unnyw/seIkI7Slq0GPvLeSUKaq48wKBv9qW3ldzxAeTFVOfHDjoeVyUI/pYiJUpjyA
NUusgljCti9TRjHluQi2qg/g5ds8aRBqHqnIsTzvKF9EKozqtLcuvSvbs33rXwrvoqHtR+DtpJfN
ozixqOAjqwB8pyMrFAI9VXXwx2Bi57gGpIEOuv5Ynm1Zx2yTheVJx8rU4Q/4zPa6UcrwiwQIWXni
IoFWlc0HSqapw3Rqe+5sZofxV40wm6g4UqJkAzRqwH1I2SNdE4T17Ou338GSUxjlBHymwvsk9tbo
i8cOCIMycgnjR2A0YVAIuKfnmfnjDB+QlJt/REvny9ix/PQeyXgv5EPDk/FuY4cDy32SvV4a7tx3
Ib4SWYXQILy4dcaeNbIjZ58PIsH3eYl82dzrri1/KnvpTB0TpiW1zFtRwao62VaY+LakXYrKJlWq
bWs6CEbynolMDVW6vdAVxsJEupNF+zJVwgRW5IteFIiqEr2iHrpwK/6n9+4hI5cqOCIZX5X6tY9m
nbcF6T6phbK8dcAqq1O9sWay+Bo6/MC365AuyEItymaYMliH1pJ6Jti/0JbEjYz3bKi3P52pIXyM
tgbBuCW0ReOaA5ZoONd3VhBli9/yWYOno2sNreDgiFQ1cLnL2Qu8nCyLrDnVs9fF5HcXciQcUBYt
hK11zr9Df011wvf2zJLDhzqcVB+s0Brax62hhgbR+GBNDlQVQ6Bwqm7gB7JuUJddLtCMmJBnU+S2
qdLuof5aM66NjFRKWVRNqVJ+dCw3b+7TXFgDYevJPeQ0zcB0kHaX8uWc1k4rsyIJJ0ItzF9zVJ+r
z/njZmAfYUdFA6c/uXYM0Fk2x1Q0dFx17wnJBYvCdYynaVb4qdCJgzCIk2POPRpba1jIbsBbDOTI
cUOGzP7pHhuUJDoNOkRvhkvcWx8zLmkUo0P36bqjkWcXOlYU7+/RNg3n2weYW+RVaUg7rvUcdxII
V85Pha//3Hra9gcl45Qu4y/ayK+wSHASri02KHS9//v3/4wm4qfLcE0KHTO4sgbB1Mp2TboPSb4i
AV6Dy+PRnQZh8U6ERPdXKDJOyyKlWvU66NkYBZNM3KOfzl0rWGMvuYWfE39kSal34CbSUUjDoOfB
ZBTAwEdrghnpTiU1kYRpEko1bN6tlRADkFIQ6MEOwoAeL2nRc4tDx7WKUZRk+5CqdtsxNOx9D0v7
CGUNd9CdNYvxxh4h/uIj8OMcS6Ldtmo+3wlG0L0xuZvSCdCgZ78T+rtEVMOBagVxhEoikRUQ9qp3
UAt1RLJCdahPLd5zf+RmsxMnU4eG03as0T5N0S5Cdf0P9iwZeIRziVQT5S0A2j6WLl6RQq86yLk9
DYYoAQzz8ngaJBBPlh0Gcnrgy/k6Lz/JbVI3QCrMGCL2tarBrvmaSf1FJFL7X3kkjaPBEmlbM7vw
yQ5H0nMuYC+UN/jJHZAlIEm8qPJTpdsZr2eSSqfDqu7MiRcH3HvekTDmy9GNl8WkE7p0ApGuKh2B
7k7sAH0vX9c6NKJHjv0lvl+Zso548SVKqnS5ip59qjJxSShE4q1AT1AmmuBVkKhSZqBOtv3b/8R2
YfSn60Xgyq4FajfVyd/a/lqetEASUOXFnTvIawXUUmuga0dB7EiPS1r+r2G+OS7oSHHrYmeNrWgo
x4TSkn3VCXetdRDLNhUAZOoMxsFpLaU7OIWOUp+ulyOq4RR3eUiHueoqHYZXl6wdlw4D0iNtiKp7
dTYIyoRh5ROn45nrBhtx/1IGlk0zNeYE8KXqrO9dVPyMTEpVx5ORUs0xQgC1qc52m1ZUbLlRlM8D
0mDTfrsbWwow/PbA0AOWST5VWIMa27PXQ8f2PFsSZhrSqDN6G8p6lyqcGTUhHSkqh+ou4texx7KF
nxZ7K9MVNZNW4c4mhCpNWkeks4c7LRd1Sou0lSd9vJOaosQ90k1JYoHAE1Ce6m//FRQeg+lvf08T
qT6Ev/23P3RnMq91pLFSMEJ/eekeTZG9VRfwaPmb/AUNIIg6Zz6ODw64jswI/AQTUhgKF1Yk76aO
RAZqrt2cTg9oijovOvhhYteXVIIUsU519349sEFS1Edlsu50YA2WshTrKOvb3qGHnRIFkpnqpFsE
Zx5R5iQ3KYU86pTfDdZy6lCdiKFRLgH+SStHg4v6ZXvqx/lhQbXB6/VH9MRSzyrfiDr2mmwjXsxM
aMQDr0F3eJeISkKJqqHhXmnZ3thN5CCrkU397boZfRdhbPqgXdnhxh4Hi1zWmKlBcWXyVq7gXYcp
Tj/EsaiwytggdlBHmce5LZIdpfCUjlLW6xA2yEAcOmyYTkR+tMwEHdUo7Y0tYmj7vNVhw1y4B2gk
OvK2L6wwsI/F0EVXJNXn5iK0/KH0QjY0nOhLdwBASK72XUci0CUdkv3IXmcLF8dCgL6qsuGSmk/L
l8nq4AMINTJ3Rddw1cm2wwA9TBJf3m51ulcJmVChxIQUXVJ1vtfknOUuh7RtmDLd2PLk2RoauHBj
hzkBAzhcnbk3hHdw/8kwAjQnUKd8Z8WLnDToMFHu3NhJ8qpJ2qhedd96XrAgU1AWYB3RxjuXez2m
BCu25dCuocOsuktWNnnySTjO9kzcPoaONLNu4I3giURXRxU1GbVW3tWq4Yjgbo7lyerIFru3RbGx
uCkkrxd9+TK+vF0XJDl8acl3hY6nmQLs/MWmA/TiA0X2Sc6PZugANnvA1ZXTp0BJVmevONH5oh8q
sjQQTm/NkFq1jJY4c6YOq6M3y6FfmToQmnoUOQ6oOpema+pg8RKEASmkauoAf+ot3ZhKsLwYp60T
VO/5jxMBMCYpl6aOzJWPW3S7WxK3R4FsNuqIVn4S6SrIXZtmj9I2aonUBT4PlD0OZYHWYdX0KOiT
H1VTR/IBia52imYhp4UbVS0oYduqHWpKjgAP4JTS8Fjd0mB0IXGbmlowQpvZ3r79VfntP8S5OWaa
1UHfF4218K81QHMqV14e7se51srNEvL3GtcasQufW+EAsFBOcAyGADe+8DfDfQTTHwUjdBAEE8me
OfNst+RXJox/BUnJqUeHWAPfSTcfNEk7R8gX9PdR7CRhIAd4th5WpeVvT/MxXFBg6Q1F1grn40Gg
jpT3g4P8fYzYBUQPsUzT/hlqc34vToJ8Jx9D6FLi+QcwBsd5L1lNZLPTzZr/0v0LNIFnc/3Qt19V
DoHMWDlBpPMIndYbtKIggECjnfKzGISvHaiFgUHKaO8Av5b+BvTyo5dXmfXR/gKc9/wOJYDTrh/s
MTAcrx2uS37SjAKPqbxVIL8BJN8wq7USXZPoI3cowm8ZzBo7oT3Ipi302XqZrvX8h07ezXqzbjxf
1/baVX3F0AW35ahlJdoh0zim0iyj+pZo/fysgrMd9se9Ulto4de8UnubcvAK7c9fPPxAa+//qsPd
EWfI3tJY2TfZL59HkPPcTU7vzfb77dpGO6B6rvCQQ1zWEtj1QNLzFhYxo2yaqVgePIZ7nH3llQGs
V2yTXyG9h4ev4fcTplp/JK6j/QlTZpP9+HY238Pg0Bon0oyNZ1GtX8mLD6SvylVHxsu+62PS+YzM
asSyFk1TX6UV7m3ewXmTNcOT0PoyHDtpg2km8ZLo/MCdyIDPs8unLboQ7K6vZzh8sBv7S/iH3X7v
wmQg8dZ4ibMvJ9ajV7scyTSY27LCQR6fU8cI48T15HtKRxG4mC0Xq3xPaTBrRe4+EO5cKBJpHSAd
bWuNm/CYWavD193OSYcOiK7zYEpektyKQIdLOqN7vDJHB4IEPSzyrTF0eJB5dkd0lkhkC6/54h33
8km8AtTdzY5bGgDRURB8gxzn9s/QAQkOAKDIWMvnV+uo3SK2EkciLTWWuPGsQfJaRYEodxwIVU/y
W5k62h1sEQtv3Tjegubd2wtXvkF0wA1sR7lLhrJFZepw6IGr6Lsja5Q+Bo/BAOt3fwdMHTHVR/Iz
t/xpI5cAKx8B1jR15PlsGfXJJQmD3jDCm4ipRrG/uBUO4E50VLe0RJFE5BQ+ueHYPXrJg3ee8fPt
WvTH3rMjaLAsWsQ2c6VVpmgHCR9x3L995m2sChCOMkJpvElH5UTPkrUis64hwQTwmrjQwTNGzEKu
fKFTZLaEt/NiK52oMLHz2989eyrFQ6qijZsqt9MFdC1GkINbpKXqqPjcLmD7ChT+vE12+ks2a7G1
9MM+Zc1fOD3+kEbYMWeujoAxHugvgZdBx+/vdI2AFd2jmrQJNyoNoFVfLkndN5c6O8/QP8f23vqe
Vc29Z0zDHxVyCcfixpDLeHUAAbUAjstlQeloYtQKrY2ciq+j3EaY75J7UAdmT1v0l8gFgHVAVXWG
2BKyY1BHM7xdiwHq/nJF3TrSfS4sb/LN0OxBvCj5PWLwSgX9MgE0VvZxaIGio84UF6EkGsazQYdX
zlcA/+E+kZ5vQ0fXhg92HilfQ4XwxzDJT9bUcUI+kXixoeGitHGEP7JX4lt60o97Bo6F8VQfhf3V
iBU/HwHZ/+vsCdxreypN5ru+32mOQgc7FkOUCO+m+cxz9mM8nZd2gBEliZMOGM2HJMpFWU0dPpbH
3/6XosO1dLsQIT5d6T8W7P3nysU/Q/qPRZn/gKs8EuL+463yWET9xFb5gkjvXoOhR+ukv/4/AAAA
//8=</cx:binary>
              </cx:geoCache>
            </cx:geography>
          </cx:layoutPr>
          <cx:valueColors>
            <cx:minColor>
              <a:schemeClr val="accent6">
                <a:lumMod val="20000"/>
                <a:lumOff val="80000"/>
              </a:schemeClr>
            </cx:minColor>
            <cx:midColor>
              <a:schemeClr val="accent6">
                <a:lumMod val="60000"/>
                <a:lumOff val="40000"/>
              </a:schemeClr>
            </cx:midColor>
            <cx:maxColor>
              <a:schemeClr val="accent6">
                <a:lumMod val="50000"/>
              </a:schemeClr>
            </cx:maxColor>
          </cx:valueColors>
          <cx:valueColorPositions count="3"/>
        </cx:series>
      </cx:plotAreaRegion>
    </cx:plotArea>
    <cx:legend pos="t" align="ctr" overlay="0">
      <cx:spPr>
        <a:noFill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bg1">
                  <a:lumMod val="95000"/>
                </a:schemeClr>
              </a:solidFill>
            </a:defRPr>
          </a:pPr>
          <a:endParaRPr lang="en-US" sz="900" b="1" i="0" u="none" strike="noStrike" baseline="0">
            <a:solidFill>
              <a:schemeClr val="bg1">
                <a:lumMod val="95000"/>
              </a:schemeClr>
            </a:solidFill>
            <a:latin typeface="Aptos Narrow" panose="02110004020202020204"/>
          </a:endParaRPr>
        </a:p>
      </cx:txPr>
    </cx:legend>
  </cx:chart>
  <cx:spPr>
    <a:gradFill flip="none" rotWithShape="1">
      <a:gsLst>
        <a:gs pos="0">
          <a:schemeClr val="tx2">
            <a:lumMod val="75000"/>
            <a:lumOff val="25000"/>
          </a:schemeClr>
        </a:gs>
        <a:gs pos="22000">
          <a:schemeClr val="tx2">
            <a:lumMod val="75000"/>
            <a:lumOff val="2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tx2">
            <a:lumMod val="50000"/>
            <a:lumOff val="50000"/>
          </a:schemeClr>
        </a:gs>
      </a:gsLst>
      <a:lin ang="2700000" scaled="1"/>
      <a:tileRect/>
    </a:gra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92528</xdr:rowOff>
    </xdr:from>
    <xdr:to>
      <xdr:col>8</xdr:col>
      <xdr:colOff>460828</xdr:colOff>
      <xdr:row>19</xdr:row>
      <xdr:rowOff>63499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F9C399-02DC-4DEA-BD03-11EAEEEE9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36287</xdr:colOff>
      <xdr:row>2</xdr:row>
      <xdr:rowOff>78015</xdr:rowOff>
    </xdr:from>
    <xdr:to>
      <xdr:col>17</xdr:col>
      <xdr:colOff>208644</xdr:colOff>
      <xdr:row>19</xdr:row>
      <xdr:rowOff>54429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4E3EF8-9FCF-47FA-8E8B-BAA175D12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299359</xdr:colOff>
      <xdr:row>23</xdr:row>
      <xdr:rowOff>174172</xdr:rowOff>
    </xdr:from>
    <xdr:to>
      <xdr:col>12</xdr:col>
      <xdr:colOff>217714</xdr:colOff>
      <xdr:row>41</xdr:row>
      <xdr:rowOff>45356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68B244-A372-4ACA-AE0C-54B4CDE1C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18</xdr:col>
      <xdr:colOff>315686</xdr:colOff>
      <xdr:row>4</xdr:row>
      <xdr:rowOff>94340</xdr:rowOff>
    </xdr:from>
    <xdr:to>
      <xdr:col>26</xdr:col>
      <xdr:colOff>76201</xdr:colOff>
      <xdr:row>39</xdr:row>
      <xdr:rowOff>83454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4278B5B-A023-45A9-8FB4-1FB3836689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8486" y="1059540"/>
              <a:ext cx="5558065" cy="65423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692C8D6-CB3B-487D-B275-34B570FDDE2E}" autoFormatId="16" applyNumberFormats="0" applyBorderFormats="0" applyFontFormats="0" applyPatternFormats="0" applyAlignmentFormats="0" applyWidthHeightFormats="0">
  <queryTableRefresh nextId="8">
    <queryTableFields count="6">
      <queryTableField id="1" name="Countries" tableColumnId="1"/>
      <queryTableField id="2" name="Technology" tableColumnId="2"/>
      <queryTableField id="6" name="Tech Category" tableColumnId="6"/>
      <queryTableField id="3" name="Data Type" tableColumnId="3"/>
      <queryTableField id="4" name="Grid Connection" tableColumnId="4"/>
      <queryTableField id="5" name="Column6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9D1B3A9-BD43-409B-8314-AA05003EAAE5}" autoFormatId="16" applyNumberFormats="0" applyBorderFormats="0" applyFontFormats="0" applyPatternFormats="0" applyAlignmentFormats="0" applyWidthHeightFormats="0">
  <queryTableRefresh nextId="8" unboundColumnsRight="2">
    <queryTableFields count="6">
      <queryTableField id="1" name="Country" tableColumnId="1"/>
      <queryTableField id="2" name="Indicator" tableColumnId="2"/>
      <queryTableField id="3" name="Year" tableColumnId="3"/>
      <queryTableField id="4" name="Share (%)" tableColumnId="4"/>
      <queryTableField id="5" dataBound="0" tableColumnId="5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5DFBE90-9A5D-40A4-83F2-8219D556FC0E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Tech Category" tableColumnId="2"/>
      <queryTableField id="3" name="Total Capacity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911A83-8CC4-4029-9E54-77C3205559AE}" name="RE_Share" displayName="RE_Share" ref="A1:D2251" totalsRowShown="0">
  <autoFilter ref="A1:D2251" xr:uid="{30BC46D2-5A54-4BB0-AFC8-85AC2265FDEC}"/>
  <tableColumns count="4">
    <tableColumn id="1" xr3:uid="{1275FE43-F86E-4846-82C6-6030CE29D365}" name="Country" dataDxfId="22" dataCellStyle="Normal 2"/>
    <tableColumn id="2" xr3:uid="{7D2885F4-3132-4644-9D28-5C4A9EA70A18}" name="Indicator" dataDxfId="21"/>
    <tableColumn id="3" xr3:uid="{A6506971-DC15-41F0-A185-2184621D5D8F}" name="Year"/>
    <tableColumn id="4" xr3:uid="{E5C4E958-4EC3-4F39-A6A4-4BECAE246089}" name="Share (%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64ACB9-7B39-4BBD-94FD-85C3AC9F7E22}" name="electricity_access" displayName="electricity_access" ref="A1:AB49" totalsRowShown="0">
  <autoFilter ref="A1:AB49" xr:uid="{2EF5E5EA-636F-4CD9-957C-FD19B7D715A5}"/>
  <tableColumns count="28">
    <tableColumn id="1" xr3:uid="{351E2616-E3B9-48EF-ABA0-3940CFF1949B}" name="Country Name" dataDxfId="20"/>
    <tableColumn id="2" xr3:uid="{2DC220D8-6D59-4700-9821-3D965807B513}" name="Country Code" dataDxfId="19"/>
    <tableColumn id="29" xr3:uid="{D9AE1933-121D-4DBA-8571-3F4073653827}" name="Region" dataDxfId="18"/>
    <tableColumn id="30" xr3:uid="{8065925A-A3B5-44EB-983A-F2726CEDD95B}" name="IncomeGroup" dataDxfId="17"/>
    <tableColumn id="5" xr3:uid="{F67DF174-A0CF-4FD4-988D-AC1A441FD66C}" name="2000"/>
    <tableColumn id="6" xr3:uid="{7EC90FDC-559F-40E8-9415-1F75A6D35AB3}" name="2001"/>
    <tableColumn id="7" xr3:uid="{096F9EF6-1C51-4F0F-ADF9-68BF019133CC}" name="2002"/>
    <tableColumn id="8" xr3:uid="{3364E050-3575-4658-BD94-C0277147BE5E}" name="2003"/>
    <tableColumn id="9" xr3:uid="{1B4F1773-A807-4A93-AEC5-951DA922381E}" name="2004"/>
    <tableColumn id="10" xr3:uid="{6B4ACE2E-3CF9-4916-A3BF-837162D4EBC7}" name="2005"/>
    <tableColumn id="11" xr3:uid="{ED1E8EE0-D6EC-4FDA-9228-D756B42D332D}" name="2006"/>
    <tableColumn id="12" xr3:uid="{BBA0473C-89FA-428D-BC22-B42C81FB7A63}" name="2007"/>
    <tableColumn id="13" xr3:uid="{77B0A3F1-2F47-4A56-9FDC-B3ED9B985895}" name="2008"/>
    <tableColumn id="14" xr3:uid="{58C3135F-94A7-40AF-AF94-6042D34A042D}" name="2009"/>
    <tableColumn id="15" xr3:uid="{8961BE29-0046-44E5-9336-1527076FDC9D}" name="2010"/>
    <tableColumn id="16" xr3:uid="{CB581C49-DDFB-4E2D-BB5C-07CE52EAD105}" name="2011"/>
    <tableColumn id="17" xr3:uid="{AE4AD10B-A20B-445A-ABFB-CE03A6417159}" name="2012"/>
    <tableColumn id="18" xr3:uid="{38D023B5-0F8D-4D3E-A7E6-5782A564A0A8}" name="2013"/>
    <tableColumn id="19" xr3:uid="{7D065D85-57FB-4D70-96A9-EB8885DF13E8}" name="2014"/>
    <tableColumn id="20" xr3:uid="{6A043988-6005-4972-95ED-EB9CD24C32D1}" name="2015"/>
    <tableColumn id="21" xr3:uid="{C8F0DA2E-DAEA-46CE-BB83-99DEC7588A7E}" name="2016"/>
    <tableColumn id="22" xr3:uid="{8C520A44-2E0D-4884-A04D-6ABB530D1963}" name="2017"/>
    <tableColumn id="23" xr3:uid="{2992C506-C1C6-43BD-B2B4-F7A68883D080}" name="2018"/>
    <tableColumn id="24" xr3:uid="{25A5B599-1F49-4823-BEEB-1915DE2A7100}" name="2019"/>
    <tableColumn id="25" xr3:uid="{99DB94FA-A1F7-4E70-ADCB-AC7F08ECD4B7}" name="2020"/>
    <tableColumn id="26" xr3:uid="{AA9E0452-7D0A-4581-A113-97D4439B6F69}" name="2021"/>
    <tableColumn id="27" xr3:uid="{69980985-1BAD-4EB5-AA51-F27ED7A2D34C}" name="2022"/>
    <tableColumn id="28" xr3:uid="{C3FE9809-E642-4AFF-AD00-8A6F321E14AB}" name="202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50BCD1-CAEA-4636-968C-7C0177A71EE0}" name="Electric_Stat_2" displayName="Electric_Stat_2" ref="A1:F271" tableType="queryTable" totalsRowShown="0">
  <autoFilter ref="A1:F271" xr:uid="{8650BCD1-CAEA-4636-968C-7C0177A71EE0}"/>
  <tableColumns count="6">
    <tableColumn id="1" xr3:uid="{268B2B80-299B-41D6-B5F8-41F9D5FA2D2A}" uniqueName="1" name="Countries" queryTableFieldId="1" dataDxfId="16"/>
    <tableColumn id="2" xr3:uid="{92D39AB3-B985-4C24-ABB9-884E68524473}" uniqueName="2" name="Technology" queryTableFieldId="2" dataDxfId="15"/>
    <tableColumn id="6" xr3:uid="{2AEB1D9E-C211-4837-9DE7-FED71FD22D35}" uniqueName="6" name="Tech Category" queryTableFieldId="6"/>
    <tableColumn id="3" xr3:uid="{95C125AA-E24A-4A04-A79E-4FF8FB487FF7}" uniqueName="3" name="Data Type" queryTableFieldId="3" dataDxfId="14"/>
    <tableColumn id="4" xr3:uid="{5F9BDB87-B84E-484F-AF3F-BFC8FA51D622}" uniqueName="4" name="Grid Connection" queryTableFieldId="4" dataDxfId="13"/>
    <tableColumn id="5" xr3:uid="{B45B261B-F2A8-40EA-B326-8BC5304BDBB3}" uniqueName="5" name="Column6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628B2C-91A4-48A1-AEFD-DABE0295C032}" name="_2" displayName="_2" ref="A1:F1126" tableType="queryTable" totalsRowShown="0">
  <autoFilter ref="A1:F1126" xr:uid="{9D628B2C-91A4-48A1-AEFD-DABE0295C032}">
    <filterColumn colId="5">
      <filters>
        <filter val="0"/>
        <filter val="0.01"/>
        <filter val="0.02"/>
        <filter val="0.03"/>
        <filter val="-0.04"/>
        <filter val="0.05"/>
        <filter val="-0.05"/>
        <filter val="0.06"/>
        <filter val="-0.06"/>
        <filter val="0.07"/>
        <filter val="-0.07"/>
        <filter val="-0.08"/>
        <filter val="-0.09"/>
        <filter val="0.1"/>
        <filter val="-0.1"/>
        <filter val="-0.11"/>
        <filter val="-0.12"/>
        <filter val="0.13"/>
        <filter val="-0.14"/>
        <filter val="0.15"/>
        <filter val="-0.15"/>
        <filter val="0.17"/>
        <filter val="0.19"/>
        <filter val="-0.21"/>
        <filter val="0.22"/>
        <filter val="-0.22"/>
        <filter val="0.23"/>
        <filter val="0.24"/>
        <filter val="-0.24"/>
        <filter val="-0.25"/>
        <filter val="0.28"/>
        <filter val="0.29"/>
        <filter val="0.3"/>
        <filter val="-0.31"/>
        <filter val="0.34"/>
        <filter val="-0.34"/>
        <filter val="-0.36"/>
        <filter val="-0.37"/>
        <filter val="0.38"/>
        <filter val="-0.38"/>
        <filter val="0.41"/>
        <filter val="-0.42"/>
        <filter val="-0.43"/>
        <filter val="0.44"/>
        <filter val="-0.44"/>
        <filter val="0.45"/>
        <filter val="-0.5"/>
        <filter val="0.51"/>
        <filter val="-0.52"/>
        <filter val="0.53"/>
        <filter val="-0.53"/>
        <filter val="0.57"/>
        <filter val="-0.59"/>
        <filter val="-0.62"/>
        <filter val="0.64"/>
        <filter val="-0.64"/>
        <filter val="0.66"/>
        <filter val="-0.67"/>
        <filter val="-0.68"/>
        <filter val="0.76"/>
        <filter val="0.77"/>
        <filter val="-0.8"/>
        <filter val="-0.82"/>
        <filter val="0.86"/>
        <filter val="0.87"/>
        <filter val="0.88"/>
        <filter val="0.89"/>
        <filter val="-0.89"/>
        <filter val="0.9"/>
        <filter val="0.91"/>
        <filter val="-0.96"/>
        <filter val="0.98"/>
        <filter val="-1"/>
        <filter val="-1.01"/>
        <filter val="1.02"/>
        <filter val="1.07"/>
        <filter val="1.12"/>
        <filter val="-1.14"/>
        <filter val="-1.16"/>
        <filter val="-1.17"/>
        <filter val="-1.19"/>
        <filter val="-1.21"/>
        <filter val="1.24"/>
        <filter val="-1.24"/>
        <filter val="-1.26"/>
        <filter val="1.29"/>
        <filter val="-1.33"/>
        <filter val="-1.35"/>
        <filter val="-1.4"/>
        <filter val="1.47"/>
        <filter val="-1.5"/>
        <filter val="-1.52"/>
        <filter val="1.53"/>
        <filter val="-1.56"/>
        <filter val="1.6"/>
        <filter val="-1.64"/>
        <filter val="-1.7"/>
        <filter val="-1.71"/>
        <filter val="-1.77"/>
        <filter val="-1.79"/>
        <filter val="-1.83"/>
        <filter val="1.87"/>
        <filter val="1.9"/>
        <filter val="1.93"/>
        <filter val="-1.95"/>
        <filter val="10.02"/>
        <filter val="-10.03"/>
        <filter val="10.13"/>
        <filter val="-10.48"/>
        <filter val="-10.57"/>
        <filter val="10.6"/>
        <filter val="10.66"/>
        <filter val="10.74"/>
        <filter val="-10.79"/>
        <filter val="10.82"/>
        <filter val="-10.82"/>
        <filter val="-10.91"/>
        <filter val="-11"/>
        <filter val="-11.21"/>
        <filter val="-11.22"/>
        <filter val="-11.26"/>
        <filter val="-11.34"/>
        <filter val="-11.36"/>
        <filter val="11.41"/>
        <filter val="-11.43"/>
        <filter val="-11.48"/>
        <filter val="-11.5"/>
        <filter val="-11.58"/>
        <filter val="-11.6"/>
        <filter val="-11.61"/>
        <filter val="11.77"/>
        <filter val="11.83"/>
        <filter val="-11.86"/>
        <filter val="11.88"/>
        <filter val="12.16"/>
        <filter val="-12.18"/>
        <filter val="-12.29"/>
        <filter val="12.38"/>
        <filter val="12.47"/>
        <filter val="-12.5"/>
        <filter val="-12.53"/>
        <filter val="12.54"/>
        <filter val="-12.54"/>
        <filter val="-12.56"/>
        <filter val="12.6"/>
        <filter val="12.7"/>
        <filter val="-12.74"/>
        <filter val="-12.86"/>
        <filter val="-12.87"/>
        <filter val="12.9"/>
        <filter val="-12.97"/>
        <filter val="-12.99"/>
        <filter val="-13.06"/>
        <filter val="-13.1"/>
        <filter val="-13.13"/>
        <filter val="-13.22"/>
        <filter val="13.27"/>
        <filter val="-13.32"/>
        <filter val="-13.38"/>
        <filter val="-13.53"/>
        <filter val="-13.76"/>
        <filter val="-13.92"/>
        <filter val="-13.96"/>
        <filter val="-14.03"/>
        <filter val="-14.24"/>
        <filter val="-14.48"/>
        <filter val="-14.57"/>
        <filter val="-14.73"/>
        <filter val="-15.37"/>
        <filter val="15.4"/>
        <filter val="-15.41"/>
        <filter val="15.46"/>
        <filter val="-15.54"/>
        <filter val="15.8"/>
        <filter val="15.95"/>
        <filter val="-15.98"/>
        <filter val="-16.01"/>
        <filter val="16.03"/>
        <filter val="-16.04"/>
        <filter val="16.06"/>
        <filter val="16.09"/>
        <filter val="16.11"/>
        <filter val="-16.11"/>
        <filter val="16.12"/>
        <filter val="16.15"/>
        <filter val="-16.16"/>
        <filter val="-16.17"/>
        <filter val="-16.36"/>
        <filter val="-16.39"/>
        <filter val="-16.45"/>
        <filter val="16.76"/>
        <filter val="-16.79"/>
        <filter val="16.83"/>
        <filter val="-16.95"/>
        <filter val="-16.98"/>
        <filter val="-17.18"/>
        <filter val="17.25"/>
        <filter val="-17.27"/>
        <filter val="-17.5"/>
        <filter val="-17.56"/>
        <filter val="-17.7"/>
        <filter val="-17.78"/>
        <filter val="-17.89"/>
        <filter val="-18.01"/>
        <filter val="-18.16"/>
        <filter val="18.17"/>
        <filter val="-18.54"/>
        <filter val="-18.59"/>
        <filter val="-18.77"/>
        <filter val="-18.86"/>
        <filter val="-18.97"/>
        <filter val="-19.05"/>
        <filter val="-19.38"/>
        <filter val="-2.01"/>
        <filter val="2.03"/>
        <filter val="-2.03"/>
        <filter val="-2.05"/>
        <filter val="2.12"/>
        <filter val="-2.12"/>
        <filter val="2.14"/>
        <filter val="-2.15"/>
        <filter val="-2.21"/>
        <filter val="2.28"/>
        <filter val="2.3"/>
        <filter val="-2.3"/>
        <filter val="2.35"/>
        <filter val="-2.35"/>
        <filter val="-2.36"/>
        <filter val="-2.42"/>
        <filter val="-2.43"/>
        <filter val="-2.45"/>
        <filter val="2.5"/>
        <filter val="-2.55"/>
        <filter val="2.57"/>
        <filter val="-2.57"/>
        <filter val="-2.58"/>
        <filter val="-2.59"/>
        <filter val="2.62"/>
        <filter val="-2.66"/>
        <filter val="2.67"/>
        <filter val="2.69"/>
        <filter val="-2.75"/>
        <filter val="2.82"/>
        <filter val="-2.86"/>
        <filter val="-2.93"/>
        <filter val="-2.97"/>
        <filter val="2.99"/>
        <filter val="20.05"/>
        <filter val="-20.22"/>
        <filter val="-20.25"/>
        <filter val="-20.26"/>
        <filter val="-20.4"/>
        <filter val="-20.46"/>
        <filter val="20.47"/>
        <filter val="-20.47"/>
        <filter val="20.51"/>
        <filter val="20.53"/>
        <filter val="-20.65"/>
        <filter val="-20.76"/>
        <filter val="-20.83"/>
        <filter val="-20.85"/>
        <filter val="-20.88"/>
        <filter val="-20.98"/>
        <filter val="-21"/>
        <filter val="-21.12"/>
        <filter val="-21.25"/>
        <filter val="-21.29"/>
        <filter val="-21.44"/>
        <filter val="21.45"/>
        <filter val="-21.45"/>
        <filter val="21.71"/>
        <filter val="21.92"/>
        <filter val="22.03"/>
        <filter val="-22.06"/>
        <filter val="-22.15"/>
        <filter val="22.2"/>
        <filter val="22.22"/>
        <filter val="-22.26"/>
        <filter val="-22.34"/>
        <filter val="-22.42"/>
        <filter val="22.6"/>
        <filter val="22.87"/>
        <filter val="22.91"/>
        <filter val="22.96"/>
        <filter val="-22.96"/>
        <filter val="-23.06"/>
        <filter val="-23.12"/>
        <filter val="-23.14"/>
        <filter val="23.2"/>
        <filter val="-23.23"/>
        <filter val="-23.35"/>
        <filter val="23.39"/>
        <filter val="23.44"/>
        <filter val="23.49"/>
        <filter val="23.91"/>
        <filter val="-23.96"/>
        <filter val="24.11"/>
        <filter val="24.28"/>
        <filter val="24.38"/>
        <filter val="24.77"/>
        <filter val="-24.93"/>
        <filter val="-24.99"/>
        <filter val="25.28"/>
        <filter val="25.29"/>
        <filter val="25.35"/>
        <filter val="25.48"/>
        <filter val="25.97"/>
        <filter val="26.1"/>
        <filter val="26.16"/>
        <filter val="26.22"/>
        <filter val="26.24"/>
        <filter val="-26.32"/>
        <filter val="-26.35"/>
        <filter val="-26.4"/>
        <filter val="26.46"/>
        <filter val="26.55"/>
        <filter val="26.63"/>
        <filter val="-26.68"/>
        <filter val="-26.7"/>
        <filter val="26.75"/>
        <filter val="26.89"/>
        <filter val="27.03"/>
        <filter val="27.1"/>
        <filter val="-27.41"/>
        <filter val="-27.46"/>
        <filter val="-27.56"/>
        <filter val="27.57"/>
        <filter val="27.82"/>
        <filter val="27.85"/>
        <filter val="27.87"/>
        <filter val="-28.28"/>
        <filter val="28.36"/>
        <filter val="28.38"/>
        <filter val="28.4"/>
        <filter val="-28.52"/>
        <filter val="28.68"/>
        <filter val="28.73"/>
        <filter val="-29.04"/>
        <filter val="-29.25"/>
        <filter val="-29.4"/>
        <filter val="-29.68"/>
        <filter val="3.05"/>
        <filter val="3.14"/>
        <filter val="3.15"/>
        <filter val="3.19"/>
        <filter val="3.2"/>
        <filter val="-3.2"/>
        <filter val="-3.22"/>
        <filter val="3.23"/>
        <filter val="3.27"/>
        <filter val="3.3"/>
        <filter val="-3.33"/>
        <filter val="-3.34"/>
        <filter val="-3.38"/>
        <filter val="3.41"/>
        <filter val="3.44"/>
        <filter val="-3.47"/>
        <filter val="3.49"/>
        <filter val="3.55"/>
        <filter val="3.58"/>
        <filter val="3.63"/>
        <filter val="3.66"/>
        <filter val="3.71"/>
        <filter val="-3.73"/>
        <filter val="3.75"/>
        <filter val="3.77"/>
        <filter val="3.84"/>
        <filter val="3.85"/>
        <filter val="3.92"/>
        <filter val="3.93"/>
        <filter val="-3.93"/>
        <filter val="3.95"/>
        <filter val="-3.95"/>
        <filter val="30.09"/>
        <filter val="-30.17"/>
        <filter val="-30.47"/>
        <filter val="-30.67"/>
        <filter val="-30.93"/>
        <filter val="31.05"/>
        <filter val="-31.39"/>
        <filter val="-31.59"/>
        <filter val="31.84"/>
        <filter val="-32.08"/>
        <filter val="-32.47"/>
        <filter val="32.85"/>
        <filter val="-33.13"/>
        <filter val="-33.16"/>
        <filter val="-33.17"/>
        <filter val="33.28"/>
        <filter val="-33.5"/>
        <filter val="-33.53"/>
        <filter val="-33.65"/>
        <filter val="-33.74"/>
        <filter val="-33.97"/>
        <filter val="-34.05"/>
        <filter val="34.18"/>
        <filter val="34.21"/>
        <filter val="34.22"/>
        <filter val="34.4"/>
        <filter val="-34.8"/>
        <filter val="-35.19"/>
        <filter val="35.38"/>
        <filter val="35.49"/>
        <filter val="-35.9"/>
        <filter val="-35.97"/>
        <filter val="-36.11"/>
        <filter val="-36.28"/>
        <filter val="36.32"/>
        <filter val="-36.43"/>
        <filter val="36.93"/>
        <filter val="-38.15"/>
        <filter val="-38.39"/>
        <filter val="-38.97"/>
        <filter val="-39.03"/>
        <filter val="-39.05"/>
        <filter val="-39.06"/>
        <filter val="-39.28"/>
        <filter val="-39.41"/>
        <filter val="39.65"/>
        <filter val="-39.75"/>
        <filter val="39.77"/>
        <filter val="39.78"/>
        <filter val="-4.03"/>
        <filter val="-4.04"/>
        <filter val="4.05"/>
        <filter val="-4.06"/>
        <filter val="4.07"/>
        <filter val="-4.07"/>
        <filter val="-4.13"/>
        <filter val="-4.18"/>
        <filter val="4.19"/>
        <filter val="-4.23"/>
        <filter val="-4.27"/>
        <filter val="4.3"/>
        <filter val="4.45"/>
        <filter val="-4.52"/>
        <filter val="4.59"/>
        <filter val="4.71"/>
        <filter val="-4.75"/>
        <filter val="-4.76"/>
        <filter val="4.79"/>
        <filter val="-4.79"/>
        <filter val="-4.8"/>
        <filter val="-4.81"/>
        <filter val="-4.83"/>
        <filter val="-4.9"/>
        <filter val="-4.97"/>
        <filter val="-4.98"/>
        <filter val="-40.46"/>
        <filter val="-40.76"/>
        <filter val="-42.46"/>
        <filter val="-42.47"/>
        <filter val="42.48"/>
        <filter val="42.57"/>
        <filter val="42.68"/>
        <filter val="42.84"/>
        <filter val="42.92"/>
        <filter val="-42.93"/>
        <filter val="43"/>
        <filter val="43.06"/>
        <filter val="-43.36"/>
        <filter val="-43.49"/>
        <filter val="-43.67"/>
        <filter val="-43.73"/>
        <filter val="44.48"/>
        <filter val="44.5"/>
        <filter val="-44.78"/>
        <filter val="-45.48"/>
        <filter val="-46.13"/>
        <filter val="-46.48"/>
        <filter val="46.6"/>
        <filter val="-47.11"/>
        <filter val="-47.94"/>
        <filter val="-48"/>
        <filter val="-48.44"/>
        <filter val="-49.07"/>
        <filter val="-49.22"/>
        <filter val="-49.24"/>
        <filter val="-49.25"/>
        <filter val="-49.73"/>
        <filter val="5.01"/>
        <filter val="-5.08"/>
        <filter val="-5.09"/>
        <filter val="5.11"/>
        <filter val="5.14"/>
        <filter val="-5.14"/>
        <filter val="-5.16"/>
        <filter val="-5.17"/>
        <filter val="5.18"/>
        <filter val="-5.18"/>
        <filter val="5.24"/>
        <filter val="-5.3"/>
        <filter val="-5.31"/>
        <filter val="-5.33"/>
        <filter val="-5.69"/>
        <filter val="-5.72"/>
        <filter val="-5.73"/>
        <filter val="-5.74"/>
        <filter val="-5.78"/>
        <filter val="5.79"/>
        <filter val="-5.95"/>
        <filter val="5.96"/>
        <filter val="-50.63"/>
        <filter val="51.77"/>
        <filter val="-51.84"/>
        <filter val="-51.96"/>
        <filter val="-52.41"/>
        <filter val="-52.58"/>
        <filter val="-52.61"/>
        <filter val="-53.01"/>
        <filter val="-53.02"/>
        <filter val="-53.61"/>
        <filter val="-6.06"/>
        <filter val="-6.11"/>
        <filter val="-6.28"/>
        <filter val="6.3"/>
        <filter val="6.36"/>
        <filter val="-6.36"/>
        <filter val="-6.44"/>
        <filter val="6.46"/>
        <filter val="-6.55"/>
        <filter val="-6.58"/>
        <filter val="-6.6"/>
        <filter val="6.69"/>
        <filter val="-6.7"/>
        <filter val="-6.71"/>
        <filter val="-6.72"/>
        <filter val="-6.78"/>
        <filter val="-6.91"/>
        <filter val="6.93"/>
        <filter val="6.94"/>
        <filter val="-6.94"/>
        <filter val="6.98"/>
        <filter val="6.99"/>
        <filter val="-7.02"/>
        <filter val="-7.03"/>
        <filter val="-7.12"/>
        <filter val="-7.16"/>
        <filter val="-7.2"/>
        <filter val="7.26"/>
        <filter val="7.29"/>
        <filter val="7.44"/>
        <filter val="-7.48"/>
        <filter val="-7.49"/>
        <filter val="-7.66"/>
        <filter val="7.94"/>
        <filter val="-8.01"/>
        <filter val="-8.28"/>
        <filter val="-8.34"/>
        <filter val="-8.45"/>
        <filter val="-8.53"/>
        <filter val="-8.57"/>
        <filter val="-8.62"/>
        <filter val="-8.66"/>
        <filter val="8.69"/>
        <filter val="-8.79"/>
        <filter val="-8.82"/>
        <filter val="-8.84"/>
        <filter val="8.87"/>
        <filter val="8.89"/>
        <filter val="8.95"/>
        <filter val="-9"/>
        <filter val="9.04"/>
        <filter val="9.09"/>
        <filter val="-9.13"/>
        <filter val="-9.15"/>
        <filter val="9.24"/>
        <filter val="9.26"/>
        <filter val="9.31"/>
        <filter val="-9.31"/>
        <filter val="9.35"/>
        <filter val="-9.37"/>
        <filter val="9.42"/>
        <filter val="9.43"/>
        <filter val="9.51"/>
        <filter val="9.53"/>
        <filter val="-9.65"/>
        <filter val="9.74"/>
        <filter val="-9.78"/>
        <filter val="-9.81"/>
        <filter val="-9.85"/>
        <filter val="9.93"/>
        <filter val="9.94"/>
        <filter val="-9.94"/>
      </filters>
    </filterColumn>
  </autoFilter>
  <tableColumns count="6">
    <tableColumn id="1" xr3:uid="{B9521433-7FA5-4E3D-8CAB-A045B33B27CF}" uniqueName="1" name="Country" queryTableFieldId="1" dataDxfId="12"/>
    <tableColumn id="2" xr3:uid="{516F6F76-0328-4CEB-9463-8395A6A2D432}" uniqueName="2" name="Indicator" queryTableFieldId="2" dataDxfId="11"/>
    <tableColumn id="3" xr3:uid="{790A248E-210F-4932-981A-0ECDB368EA22}" uniqueName="3" name="Year" queryTableFieldId="3"/>
    <tableColumn id="4" xr3:uid="{50560CBA-578C-4382-8353-E3AFFB910FAA}" uniqueName="4" name="Share (%)" queryTableFieldId="4"/>
    <tableColumn id="5" xr3:uid="{CCDBE3BB-8739-4690-A2DD-DC996ED9E9F9}" uniqueName="5" name="2000_Share(%)" queryTableFieldId="5" dataDxfId="10">
      <calculatedColumnFormula>IF(_2[[#This Row],[Year]]=2000,_2[[#This Row],[Share (%)]],"")</calculatedColumnFormula>
    </tableColumn>
    <tableColumn id="7" xr3:uid="{43F31DBE-700E-44F5-A0C2-FAB4E14F3558}" uniqueName="7" name="Growth_Calculation" queryTableFieldId="7" dataDxfId="9">
      <calculatedColumnFormula array="1">D2 - _xlfn.XLOOKUP(A2&amp;2000, A:A&amp;C:C, D:D, "No 2000 data")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2DE3B2-2CD3-40B3-89BF-609638841C4F}" name="Table7" displayName="Table7" ref="A1:E47" totalsRowShown="0" headerRowDxfId="8" headerRowBorderDxfId="7">
  <autoFilter ref="A1:E47" xr:uid="{892DE3B2-2CD3-40B3-89BF-609638841C4F}"/>
  <tableColumns count="5">
    <tableColumn id="1" xr3:uid="{C3F48B9D-FA33-4FE0-9B43-DE844B7B62AD}" name="Country" dataDxfId="6"/>
    <tableColumn id="2" xr3:uid="{27EFCAAB-7404-4489-8F52-65277ED8A409}" name="Hydro" dataDxfId="5"/>
    <tableColumn id="3" xr3:uid="{A973FE69-F916-4216-8FD6-37FF3483E3AE}" name="Solar" dataDxfId="4"/>
    <tableColumn id="4" xr3:uid="{9AB224E0-596B-4BEA-B57C-C8E22CA64C20}" name="Wind" dataDxfId="3"/>
    <tableColumn id="5" xr3:uid="{0F1314E8-E091-405E-B4C7-6DC664663353}" name="Grand Total" dataDxfId="2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FAAA6BF-6869-4C39-B145-98D0A37B476F}" name="_1_8" displayName="_1_8" ref="A1:C98" tableType="queryTable" totalsRowShown="0">
  <autoFilter ref="A1:C98" xr:uid="{8FAAA6BF-6869-4C39-B145-98D0A37B476F}"/>
  <tableColumns count="3">
    <tableColumn id="1" xr3:uid="{9AF844BB-CD8E-475B-9B04-86AEBA7B6BAB}" uniqueName="1" name="Country" queryTableFieldId="1" dataDxfId="1"/>
    <tableColumn id="2" xr3:uid="{3DEE20F5-7893-4EBF-B639-2801A9B11AE8}" uniqueName="2" name="Tech Category" queryTableFieldId="2" dataDxfId="0"/>
    <tableColumn id="3" xr3:uid="{5199D390-7302-45CE-85A9-87E26794A57D}" uniqueName="3" name="Total Capaci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E8DA-5C2A-45E6-94C7-FCA1AECE9071}">
  <sheetPr codeName="Sheet1"/>
  <dimension ref="A1:E5673"/>
  <sheetViews>
    <sheetView workbookViewId="0">
      <selection activeCell="E1766" sqref="E1766"/>
    </sheetView>
  </sheetViews>
  <sheetFormatPr defaultRowHeight="14.5" x14ac:dyDescent="0.35"/>
  <cols>
    <col min="1" max="1" width="11.6328125" style="1" customWidth="1"/>
    <col min="2" max="2" width="25.81640625" style="1" customWidth="1"/>
    <col min="3" max="3" width="30.81640625" style="1" customWidth="1"/>
    <col min="4" max="4" width="9.81640625" style="1" customWidth="1"/>
    <col min="5" max="5" width="9.08984375" style="1" customWidth="1"/>
    <col min="6" max="16384" width="8.7265625" style="1"/>
  </cols>
  <sheetData>
    <row r="1" spans="1:5" ht="15" thickBot="1" x14ac:dyDescent="0.4">
      <c r="A1" s="3" t="s">
        <v>140</v>
      </c>
      <c r="B1" s="4" t="s">
        <v>141</v>
      </c>
      <c r="C1" s="4" t="s">
        <v>142</v>
      </c>
      <c r="D1" s="4" t="s">
        <v>143</v>
      </c>
      <c r="E1" s="5" t="s">
        <v>144</v>
      </c>
    </row>
    <row r="2" spans="1:5" ht="15" thickTop="1" x14ac:dyDescent="0.35">
      <c r="A2" s="6" t="s">
        <v>53</v>
      </c>
      <c r="B2" s="7" t="s">
        <v>145</v>
      </c>
      <c r="C2" s="7" t="s">
        <v>146</v>
      </c>
      <c r="D2" s="7" t="s">
        <v>147</v>
      </c>
      <c r="E2" s="8">
        <v>600.70000000000005</v>
      </c>
    </row>
    <row r="3" spans="1:5" x14ac:dyDescent="0.35">
      <c r="A3" s="9" t="s">
        <v>135</v>
      </c>
      <c r="B3" s="10"/>
      <c r="C3" s="10"/>
      <c r="D3" s="10" t="s">
        <v>148</v>
      </c>
      <c r="E3" s="11">
        <v>542.85</v>
      </c>
    </row>
    <row r="4" spans="1:5" x14ac:dyDescent="0.35">
      <c r="A4" s="6" t="s">
        <v>135</v>
      </c>
      <c r="B4" s="7"/>
      <c r="C4" s="7"/>
      <c r="D4" s="7" t="s">
        <v>149</v>
      </c>
      <c r="E4" s="8">
        <v>57.85</v>
      </c>
    </row>
    <row r="5" spans="1:5" x14ac:dyDescent="0.35">
      <c r="A5" s="9" t="s">
        <v>135</v>
      </c>
      <c r="B5" s="10"/>
      <c r="C5" s="10" t="s">
        <v>150</v>
      </c>
      <c r="D5" s="10" t="s">
        <v>147</v>
      </c>
      <c r="E5" s="11" t="s">
        <v>137</v>
      </c>
    </row>
    <row r="6" spans="1:5" x14ac:dyDescent="0.35">
      <c r="A6" s="6" t="s">
        <v>135</v>
      </c>
      <c r="B6" s="7"/>
      <c r="C6" s="7"/>
      <c r="D6" s="7" t="s">
        <v>148</v>
      </c>
      <c r="E6" s="8" t="s">
        <v>137</v>
      </c>
    </row>
    <row r="7" spans="1:5" x14ac:dyDescent="0.35">
      <c r="A7" s="9" t="s">
        <v>135</v>
      </c>
      <c r="B7" s="10"/>
      <c r="C7" s="10"/>
      <c r="D7" s="10" t="s">
        <v>149</v>
      </c>
      <c r="E7" s="11" t="s">
        <v>137</v>
      </c>
    </row>
    <row r="8" spans="1:5" x14ac:dyDescent="0.35">
      <c r="A8" s="6" t="s">
        <v>135</v>
      </c>
      <c r="B8" s="7" t="s">
        <v>151</v>
      </c>
      <c r="C8" s="7" t="s">
        <v>146</v>
      </c>
      <c r="D8" s="7" t="s">
        <v>147</v>
      </c>
      <c r="E8" s="8">
        <v>436.8</v>
      </c>
    </row>
    <row r="9" spans="1:5" x14ac:dyDescent="0.35">
      <c r="A9" s="9" t="s">
        <v>135</v>
      </c>
      <c r="B9" s="10"/>
      <c r="C9" s="10"/>
      <c r="D9" s="10" t="s">
        <v>148</v>
      </c>
      <c r="E9" s="11">
        <v>388.95</v>
      </c>
    </row>
    <row r="10" spans="1:5" x14ac:dyDescent="0.35">
      <c r="A10" s="6" t="s">
        <v>135</v>
      </c>
      <c r="B10" s="7"/>
      <c r="C10" s="7"/>
      <c r="D10" s="7" t="s">
        <v>149</v>
      </c>
      <c r="E10" s="8">
        <v>47.85</v>
      </c>
    </row>
    <row r="11" spans="1:5" x14ac:dyDescent="0.35">
      <c r="A11" s="9" t="s">
        <v>135</v>
      </c>
      <c r="B11" s="10"/>
      <c r="C11" s="10" t="s">
        <v>150</v>
      </c>
      <c r="D11" s="10" t="s">
        <v>147</v>
      </c>
      <c r="E11" s="11" t="s">
        <v>137</v>
      </c>
    </row>
    <row r="12" spans="1:5" x14ac:dyDescent="0.35">
      <c r="A12" s="6" t="s">
        <v>135</v>
      </c>
      <c r="B12" s="7"/>
      <c r="C12" s="7"/>
      <c r="D12" s="7" t="s">
        <v>148</v>
      </c>
      <c r="E12" s="8" t="s">
        <v>137</v>
      </c>
    </row>
    <row r="13" spans="1:5" x14ac:dyDescent="0.35">
      <c r="A13" s="9" t="s">
        <v>135</v>
      </c>
      <c r="B13" s="10"/>
      <c r="C13" s="10"/>
      <c r="D13" s="10" t="s">
        <v>149</v>
      </c>
      <c r="E13" s="11" t="s">
        <v>137</v>
      </c>
    </row>
    <row r="14" spans="1:5" x14ac:dyDescent="0.35">
      <c r="A14" s="6" t="s">
        <v>135</v>
      </c>
      <c r="B14" s="7" t="s">
        <v>152</v>
      </c>
      <c r="C14" s="7" t="s">
        <v>146</v>
      </c>
      <c r="D14" s="7" t="s">
        <v>147</v>
      </c>
      <c r="E14" s="8">
        <v>25</v>
      </c>
    </row>
    <row r="15" spans="1:5" x14ac:dyDescent="0.35">
      <c r="A15" s="9" t="s">
        <v>135</v>
      </c>
      <c r="B15" s="10"/>
      <c r="C15" s="10"/>
      <c r="D15" s="10" t="s">
        <v>148</v>
      </c>
      <c r="E15" s="11">
        <v>25</v>
      </c>
    </row>
    <row r="16" spans="1:5" x14ac:dyDescent="0.35">
      <c r="A16" s="6" t="s">
        <v>135</v>
      </c>
      <c r="B16" s="7"/>
      <c r="C16" s="7"/>
      <c r="D16" s="7" t="s">
        <v>149</v>
      </c>
      <c r="E16" s="8" t="s">
        <v>137</v>
      </c>
    </row>
    <row r="17" spans="1:5" x14ac:dyDescent="0.35">
      <c r="A17" s="9" t="s">
        <v>135</v>
      </c>
      <c r="B17" s="10"/>
      <c r="C17" s="10" t="s">
        <v>150</v>
      </c>
      <c r="D17" s="10" t="s">
        <v>147</v>
      </c>
      <c r="E17" s="11" t="s">
        <v>137</v>
      </c>
    </row>
    <row r="18" spans="1:5" x14ac:dyDescent="0.35">
      <c r="A18" s="6" t="s">
        <v>135</v>
      </c>
      <c r="B18" s="7"/>
      <c r="C18" s="7"/>
      <c r="D18" s="7" t="s">
        <v>148</v>
      </c>
      <c r="E18" s="8" t="s">
        <v>137</v>
      </c>
    </row>
    <row r="19" spans="1:5" x14ac:dyDescent="0.35">
      <c r="A19" s="9" t="s">
        <v>135</v>
      </c>
      <c r="B19" s="10"/>
      <c r="C19" s="10"/>
      <c r="D19" s="10" t="s">
        <v>149</v>
      </c>
      <c r="E19" s="11" t="s">
        <v>137</v>
      </c>
    </row>
    <row r="20" spans="1:5" x14ac:dyDescent="0.35">
      <c r="A20" s="6" t="s">
        <v>135</v>
      </c>
      <c r="B20" s="7" t="s">
        <v>153</v>
      </c>
      <c r="C20" s="7" t="s">
        <v>146</v>
      </c>
      <c r="D20" s="7" t="s">
        <v>147</v>
      </c>
      <c r="E20" s="8">
        <v>10</v>
      </c>
    </row>
    <row r="21" spans="1:5" x14ac:dyDescent="0.35">
      <c r="A21" s="9" t="s">
        <v>135</v>
      </c>
      <c r="B21" s="10"/>
      <c r="C21" s="10"/>
      <c r="D21" s="10" t="s">
        <v>148</v>
      </c>
      <c r="E21" s="11" t="s">
        <v>137</v>
      </c>
    </row>
    <row r="22" spans="1:5" x14ac:dyDescent="0.35">
      <c r="A22" s="6" t="s">
        <v>135</v>
      </c>
      <c r="B22" s="7"/>
      <c r="C22" s="7"/>
      <c r="D22" s="7" t="s">
        <v>149</v>
      </c>
      <c r="E22" s="8">
        <v>10</v>
      </c>
    </row>
    <row r="23" spans="1:5" x14ac:dyDescent="0.35">
      <c r="A23" s="9" t="s">
        <v>135</v>
      </c>
      <c r="B23" s="10"/>
      <c r="C23" s="10" t="s">
        <v>150</v>
      </c>
      <c r="D23" s="10" t="s">
        <v>147</v>
      </c>
      <c r="E23" s="11" t="s">
        <v>137</v>
      </c>
    </row>
    <row r="24" spans="1:5" x14ac:dyDescent="0.35">
      <c r="A24" s="6" t="s">
        <v>135</v>
      </c>
      <c r="B24" s="7"/>
      <c r="C24" s="7"/>
      <c r="D24" s="7" t="s">
        <v>148</v>
      </c>
      <c r="E24" s="8" t="s">
        <v>137</v>
      </c>
    </row>
    <row r="25" spans="1:5" x14ac:dyDescent="0.35">
      <c r="A25" s="9" t="s">
        <v>135</v>
      </c>
      <c r="B25" s="10"/>
      <c r="C25" s="10"/>
      <c r="D25" s="10" t="s">
        <v>149</v>
      </c>
      <c r="E25" s="11" t="s">
        <v>137</v>
      </c>
    </row>
    <row r="26" spans="1:5" x14ac:dyDescent="0.35">
      <c r="A26" s="6" t="s">
        <v>135</v>
      </c>
      <c r="B26" s="7" t="s">
        <v>154</v>
      </c>
      <c r="C26" s="7" t="s">
        <v>146</v>
      </c>
      <c r="D26" s="7" t="s">
        <v>147</v>
      </c>
      <c r="E26" s="8" t="s">
        <v>137</v>
      </c>
    </row>
    <row r="27" spans="1:5" x14ac:dyDescent="0.35">
      <c r="A27" s="9" t="s">
        <v>135</v>
      </c>
      <c r="B27" s="10"/>
      <c r="C27" s="10"/>
      <c r="D27" s="10" t="s">
        <v>148</v>
      </c>
      <c r="E27" s="11" t="s">
        <v>137</v>
      </c>
    </row>
    <row r="28" spans="1:5" x14ac:dyDescent="0.35">
      <c r="A28" s="6" t="s">
        <v>135</v>
      </c>
      <c r="B28" s="7"/>
      <c r="C28" s="7"/>
      <c r="D28" s="7" t="s">
        <v>149</v>
      </c>
      <c r="E28" s="8" t="s">
        <v>137</v>
      </c>
    </row>
    <row r="29" spans="1:5" x14ac:dyDescent="0.35">
      <c r="A29" s="9" t="s">
        <v>135</v>
      </c>
      <c r="B29" s="10"/>
      <c r="C29" s="10" t="s">
        <v>150</v>
      </c>
      <c r="D29" s="10" t="s">
        <v>147</v>
      </c>
      <c r="E29" s="11" t="s">
        <v>137</v>
      </c>
    </row>
    <row r="30" spans="1:5" x14ac:dyDescent="0.35">
      <c r="A30" s="6" t="s">
        <v>135</v>
      </c>
      <c r="B30" s="7"/>
      <c r="C30" s="7"/>
      <c r="D30" s="7" t="s">
        <v>148</v>
      </c>
      <c r="E30" s="8" t="s">
        <v>137</v>
      </c>
    </row>
    <row r="31" spans="1:5" x14ac:dyDescent="0.35">
      <c r="A31" s="9" t="s">
        <v>135</v>
      </c>
      <c r="B31" s="10"/>
      <c r="C31" s="10"/>
      <c r="D31" s="10" t="s">
        <v>149</v>
      </c>
      <c r="E31" s="11" t="s">
        <v>137</v>
      </c>
    </row>
    <row r="32" spans="1:5" x14ac:dyDescent="0.35">
      <c r="A32" s="6" t="s">
        <v>135</v>
      </c>
      <c r="B32" s="7" t="s">
        <v>155</v>
      </c>
      <c r="C32" s="7" t="s">
        <v>146</v>
      </c>
      <c r="D32" s="7" t="s">
        <v>147</v>
      </c>
      <c r="E32" s="8">
        <v>128.9</v>
      </c>
    </row>
    <row r="33" spans="1:5" x14ac:dyDescent="0.35">
      <c r="A33" s="9" t="s">
        <v>135</v>
      </c>
      <c r="B33" s="10"/>
      <c r="C33" s="10"/>
      <c r="D33" s="10" t="s">
        <v>148</v>
      </c>
      <c r="E33" s="11">
        <v>128.9</v>
      </c>
    </row>
    <row r="34" spans="1:5" x14ac:dyDescent="0.35">
      <c r="A34" s="6" t="s">
        <v>135</v>
      </c>
      <c r="B34" s="7"/>
      <c r="C34" s="7"/>
      <c r="D34" s="7" t="s">
        <v>149</v>
      </c>
      <c r="E34" s="8" t="s">
        <v>137</v>
      </c>
    </row>
    <row r="35" spans="1:5" x14ac:dyDescent="0.35">
      <c r="A35" s="9" t="s">
        <v>135</v>
      </c>
      <c r="B35" s="10"/>
      <c r="C35" s="10" t="s">
        <v>150</v>
      </c>
      <c r="D35" s="10" t="s">
        <v>147</v>
      </c>
      <c r="E35" s="11" t="s">
        <v>137</v>
      </c>
    </row>
    <row r="36" spans="1:5" x14ac:dyDescent="0.35">
      <c r="A36" s="6" t="s">
        <v>135</v>
      </c>
      <c r="B36" s="7"/>
      <c r="C36" s="7"/>
      <c r="D36" s="7" t="s">
        <v>148</v>
      </c>
      <c r="E36" s="8" t="s">
        <v>137</v>
      </c>
    </row>
    <row r="37" spans="1:5" x14ac:dyDescent="0.35">
      <c r="A37" s="9" t="s">
        <v>135</v>
      </c>
      <c r="B37" s="10"/>
      <c r="C37" s="10"/>
      <c r="D37" s="10" t="s">
        <v>149</v>
      </c>
      <c r="E37" s="11" t="s">
        <v>137</v>
      </c>
    </row>
    <row r="38" spans="1:5" x14ac:dyDescent="0.35">
      <c r="A38" s="6" t="s">
        <v>135</v>
      </c>
      <c r="B38" s="7" t="s">
        <v>156</v>
      </c>
      <c r="C38" s="7" t="s">
        <v>146</v>
      </c>
      <c r="D38" s="7" t="s">
        <v>147</v>
      </c>
      <c r="E38" s="8" t="s">
        <v>137</v>
      </c>
    </row>
    <row r="39" spans="1:5" x14ac:dyDescent="0.35">
      <c r="A39" s="9" t="s">
        <v>135</v>
      </c>
      <c r="B39" s="10"/>
      <c r="C39" s="10"/>
      <c r="D39" s="10" t="s">
        <v>148</v>
      </c>
      <c r="E39" s="11" t="s">
        <v>137</v>
      </c>
    </row>
    <row r="40" spans="1:5" x14ac:dyDescent="0.35">
      <c r="A40" s="6" t="s">
        <v>135</v>
      </c>
      <c r="B40" s="7"/>
      <c r="C40" s="7"/>
      <c r="D40" s="7" t="s">
        <v>149</v>
      </c>
      <c r="E40" s="8" t="s">
        <v>137</v>
      </c>
    </row>
    <row r="41" spans="1:5" x14ac:dyDescent="0.35">
      <c r="A41" s="9" t="s">
        <v>135</v>
      </c>
      <c r="B41" s="10"/>
      <c r="C41" s="10" t="s">
        <v>150</v>
      </c>
      <c r="D41" s="10" t="s">
        <v>147</v>
      </c>
      <c r="E41" s="11" t="s">
        <v>137</v>
      </c>
    </row>
    <row r="42" spans="1:5" x14ac:dyDescent="0.35">
      <c r="A42" s="6" t="s">
        <v>135</v>
      </c>
      <c r="B42" s="7"/>
      <c r="C42" s="7"/>
      <c r="D42" s="7" t="s">
        <v>148</v>
      </c>
      <c r="E42" s="8" t="s">
        <v>137</v>
      </c>
    </row>
    <row r="43" spans="1:5" x14ac:dyDescent="0.35">
      <c r="A43" s="9" t="s">
        <v>135</v>
      </c>
      <c r="B43" s="10"/>
      <c r="C43" s="10"/>
      <c r="D43" s="10" t="s">
        <v>149</v>
      </c>
      <c r="E43" s="11" t="s">
        <v>137</v>
      </c>
    </row>
    <row r="44" spans="1:5" x14ac:dyDescent="0.35">
      <c r="A44" s="6" t="s">
        <v>135</v>
      </c>
      <c r="B44" s="7" t="s">
        <v>157</v>
      </c>
      <c r="C44" s="7" t="s">
        <v>146</v>
      </c>
      <c r="D44" s="7" t="s">
        <v>147</v>
      </c>
      <c r="E44" s="8" t="s">
        <v>137</v>
      </c>
    </row>
    <row r="45" spans="1:5" x14ac:dyDescent="0.35">
      <c r="A45" s="9" t="s">
        <v>135</v>
      </c>
      <c r="B45" s="10"/>
      <c r="C45" s="10"/>
      <c r="D45" s="10" t="s">
        <v>148</v>
      </c>
      <c r="E45" s="11" t="s">
        <v>137</v>
      </c>
    </row>
    <row r="46" spans="1:5" x14ac:dyDescent="0.35">
      <c r="A46" s="6" t="s">
        <v>135</v>
      </c>
      <c r="B46" s="7"/>
      <c r="C46" s="7"/>
      <c r="D46" s="7" t="s">
        <v>149</v>
      </c>
      <c r="E46" s="8" t="s">
        <v>137</v>
      </c>
    </row>
    <row r="47" spans="1:5" x14ac:dyDescent="0.35">
      <c r="A47" s="9" t="s">
        <v>135</v>
      </c>
      <c r="B47" s="10"/>
      <c r="C47" s="10" t="s">
        <v>150</v>
      </c>
      <c r="D47" s="10" t="s">
        <v>147</v>
      </c>
      <c r="E47" s="11" t="s">
        <v>137</v>
      </c>
    </row>
    <row r="48" spans="1:5" x14ac:dyDescent="0.35">
      <c r="A48" s="6" t="s">
        <v>135</v>
      </c>
      <c r="B48" s="7"/>
      <c r="C48" s="7"/>
      <c r="D48" s="7" t="s">
        <v>148</v>
      </c>
      <c r="E48" s="8" t="s">
        <v>137</v>
      </c>
    </row>
    <row r="49" spans="1:5" x14ac:dyDescent="0.35">
      <c r="A49" s="9" t="s">
        <v>135</v>
      </c>
      <c r="B49" s="10"/>
      <c r="C49" s="10"/>
      <c r="D49" s="10" t="s">
        <v>149</v>
      </c>
      <c r="E49" s="11" t="s">
        <v>137</v>
      </c>
    </row>
    <row r="50" spans="1:5" x14ac:dyDescent="0.35">
      <c r="A50" s="6" t="s">
        <v>135</v>
      </c>
      <c r="B50" s="7" t="s">
        <v>158</v>
      </c>
      <c r="C50" s="7" t="s">
        <v>146</v>
      </c>
      <c r="D50" s="7" t="s">
        <v>147</v>
      </c>
      <c r="E50" s="8" t="s">
        <v>137</v>
      </c>
    </row>
    <row r="51" spans="1:5" x14ac:dyDescent="0.35">
      <c r="A51" s="9" t="s">
        <v>135</v>
      </c>
      <c r="B51" s="10"/>
      <c r="C51" s="10"/>
      <c r="D51" s="10" t="s">
        <v>148</v>
      </c>
      <c r="E51" s="11" t="s">
        <v>137</v>
      </c>
    </row>
    <row r="52" spans="1:5" x14ac:dyDescent="0.35">
      <c r="A52" s="6" t="s">
        <v>135</v>
      </c>
      <c r="B52" s="7"/>
      <c r="C52" s="7"/>
      <c r="D52" s="7" t="s">
        <v>149</v>
      </c>
      <c r="E52" s="8" t="s">
        <v>137</v>
      </c>
    </row>
    <row r="53" spans="1:5" x14ac:dyDescent="0.35">
      <c r="A53" s="9" t="s">
        <v>135</v>
      </c>
      <c r="B53" s="10"/>
      <c r="C53" s="10" t="s">
        <v>150</v>
      </c>
      <c r="D53" s="10" t="s">
        <v>147</v>
      </c>
      <c r="E53" s="11" t="s">
        <v>137</v>
      </c>
    </row>
    <row r="54" spans="1:5" x14ac:dyDescent="0.35">
      <c r="A54" s="6" t="s">
        <v>135</v>
      </c>
      <c r="B54" s="7"/>
      <c r="C54" s="7"/>
      <c r="D54" s="7" t="s">
        <v>148</v>
      </c>
      <c r="E54" s="8" t="s">
        <v>137</v>
      </c>
    </row>
    <row r="55" spans="1:5" x14ac:dyDescent="0.35">
      <c r="A55" s="9" t="s">
        <v>135</v>
      </c>
      <c r="B55" s="10"/>
      <c r="C55" s="10"/>
      <c r="D55" s="10" t="s">
        <v>149</v>
      </c>
      <c r="E55" s="11" t="s">
        <v>137</v>
      </c>
    </row>
    <row r="56" spans="1:5" x14ac:dyDescent="0.35">
      <c r="A56" s="6" t="s">
        <v>135</v>
      </c>
      <c r="B56" s="7" t="s">
        <v>159</v>
      </c>
      <c r="C56" s="7" t="s">
        <v>146</v>
      </c>
      <c r="D56" s="7" t="s">
        <v>147</v>
      </c>
      <c r="E56" s="8" t="s">
        <v>137</v>
      </c>
    </row>
    <row r="57" spans="1:5" x14ac:dyDescent="0.35">
      <c r="A57" s="9" t="s">
        <v>135</v>
      </c>
      <c r="B57" s="10"/>
      <c r="C57" s="10"/>
      <c r="D57" s="10" t="s">
        <v>148</v>
      </c>
      <c r="E57" s="11" t="s">
        <v>137</v>
      </c>
    </row>
    <row r="58" spans="1:5" x14ac:dyDescent="0.35">
      <c r="A58" s="6" t="s">
        <v>135</v>
      </c>
      <c r="B58" s="7"/>
      <c r="C58" s="7"/>
      <c r="D58" s="7" t="s">
        <v>149</v>
      </c>
      <c r="E58" s="8" t="s">
        <v>137</v>
      </c>
    </row>
    <row r="59" spans="1:5" x14ac:dyDescent="0.35">
      <c r="A59" s="9" t="s">
        <v>135</v>
      </c>
      <c r="B59" s="10"/>
      <c r="C59" s="10" t="s">
        <v>150</v>
      </c>
      <c r="D59" s="10" t="s">
        <v>147</v>
      </c>
      <c r="E59" s="11" t="s">
        <v>137</v>
      </c>
    </row>
    <row r="60" spans="1:5" x14ac:dyDescent="0.35">
      <c r="A60" s="6" t="s">
        <v>135</v>
      </c>
      <c r="B60" s="7"/>
      <c r="C60" s="7"/>
      <c r="D60" s="7" t="s">
        <v>148</v>
      </c>
      <c r="E60" s="8" t="s">
        <v>137</v>
      </c>
    </row>
    <row r="61" spans="1:5" x14ac:dyDescent="0.35">
      <c r="A61" s="9" t="s">
        <v>135</v>
      </c>
      <c r="B61" s="10"/>
      <c r="C61" s="10"/>
      <c r="D61" s="10" t="s">
        <v>149</v>
      </c>
      <c r="E61" s="11" t="s">
        <v>137</v>
      </c>
    </row>
    <row r="62" spans="1:5" x14ac:dyDescent="0.35">
      <c r="A62" s="6" t="s">
        <v>135</v>
      </c>
      <c r="B62" s="7" t="s">
        <v>160</v>
      </c>
      <c r="C62" s="7" t="s">
        <v>146</v>
      </c>
      <c r="D62" s="7" t="s">
        <v>147</v>
      </c>
      <c r="E62" s="8" t="s">
        <v>137</v>
      </c>
    </row>
    <row r="63" spans="1:5" x14ac:dyDescent="0.35">
      <c r="A63" s="9" t="s">
        <v>135</v>
      </c>
      <c r="B63" s="10"/>
      <c r="C63" s="10"/>
      <c r="D63" s="10" t="s">
        <v>148</v>
      </c>
      <c r="E63" s="11" t="s">
        <v>137</v>
      </c>
    </row>
    <row r="64" spans="1:5" x14ac:dyDescent="0.35">
      <c r="A64" s="6" t="s">
        <v>135</v>
      </c>
      <c r="B64" s="7"/>
      <c r="C64" s="7"/>
      <c r="D64" s="7" t="s">
        <v>149</v>
      </c>
      <c r="E64" s="8" t="s">
        <v>137</v>
      </c>
    </row>
    <row r="65" spans="1:5" x14ac:dyDescent="0.35">
      <c r="A65" s="9" t="s">
        <v>135</v>
      </c>
      <c r="B65" s="10"/>
      <c r="C65" s="10" t="s">
        <v>150</v>
      </c>
      <c r="D65" s="10" t="s">
        <v>147</v>
      </c>
      <c r="E65" s="11" t="s">
        <v>137</v>
      </c>
    </row>
    <row r="66" spans="1:5" x14ac:dyDescent="0.35">
      <c r="A66" s="6" t="s">
        <v>135</v>
      </c>
      <c r="B66" s="7"/>
      <c r="C66" s="7"/>
      <c r="D66" s="7" t="s">
        <v>148</v>
      </c>
      <c r="E66" s="8" t="s">
        <v>137</v>
      </c>
    </row>
    <row r="67" spans="1:5" x14ac:dyDescent="0.35">
      <c r="A67" s="9" t="s">
        <v>135</v>
      </c>
      <c r="B67" s="10"/>
      <c r="C67" s="10"/>
      <c r="D67" s="10" t="s">
        <v>149</v>
      </c>
      <c r="E67" s="11" t="s">
        <v>137</v>
      </c>
    </row>
    <row r="68" spans="1:5" x14ac:dyDescent="0.35">
      <c r="A68" s="6" t="s">
        <v>135</v>
      </c>
      <c r="B68" s="7" t="s">
        <v>161</v>
      </c>
      <c r="C68" s="7" t="s">
        <v>146</v>
      </c>
      <c r="D68" s="7" t="s">
        <v>147</v>
      </c>
      <c r="E68" s="8" t="s">
        <v>137</v>
      </c>
    </row>
    <row r="69" spans="1:5" x14ac:dyDescent="0.35">
      <c r="A69" s="9" t="s">
        <v>135</v>
      </c>
      <c r="B69" s="10"/>
      <c r="C69" s="10"/>
      <c r="D69" s="10" t="s">
        <v>148</v>
      </c>
      <c r="E69" s="11" t="s">
        <v>137</v>
      </c>
    </row>
    <row r="70" spans="1:5" x14ac:dyDescent="0.35">
      <c r="A70" s="6" t="s">
        <v>135</v>
      </c>
      <c r="B70" s="7"/>
      <c r="C70" s="7"/>
      <c r="D70" s="7" t="s">
        <v>149</v>
      </c>
      <c r="E70" s="8" t="s">
        <v>137</v>
      </c>
    </row>
    <row r="71" spans="1:5" x14ac:dyDescent="0.35">
      <c r="A71" s="9" t="s">
        <v>135</v>
      </c>
      <c r="B71" s="10"/>
      <c r="C71" s="10" t="s">
        <v>150</v>
      </c>
      <c r="D71" s="10" t="s">
        <v>147</v>
      </c>
      <c r="E71" s="11" t="s">
        <v>137</v>
      </c>
    </row>
    <row r="72" spans="1:5" x14ac:dyDescent="0.35">
      <c r="A72" s="6" t="s">
        <v>135</v>
      </c>
      <c r="B72" s="7"/>
      <c r="C72" s="7"/>
      <c r="D72" s="7" t="s">
        <v>148</v>
      </c>
      <c r="E72" s="8" t="s">
        <v>137</v>
      </c>
    </row>
    <row r="73" spans="1:5" x14ac:dyDescent="0.35">
      <c r="A73" s="9" t="s">
        <v>135</v>
      </c>
      <c r="B73" s="10"/>
      <c r="C73" s="10"/>
      <c r="D73" s="10" t="s">
        <v>149</v>
      </c>
      <c r="E73" s="11" t="s">
        <v>137</v>
      </c>
    </row>
    <row r="74" spans="1:5" x14ac:dyDescent="0.35">
      <c r="A74" s="6" t="s">
        <v>135</v>
      </c>
      <c r="B74" s="7" t="s">
        <v>162</v>
      </c>
      <c r="C74" s="7" t="s">
        <v>146</v>
      </c>
      <c r="D74" s="7" t="s">
        <v>147</v>
      </c>
      <c r="E74" s="8" t="s">
        <v>137</v>
      </c>
    </row>
    <row r="75" spans="1:5" x14ac:dyDescent="0.35">
      <c r="A75" s="9" t="s">
        <v>135</v>
      </c>
      <c r="B75" s="10"/>
      <c r="C75" s="10"/>
      <c r="D75" s="10" t="s">
        <v>148</v>
      </c>
      <c r="E75" s="11" t="s">
        <v>137</v>
      </c>
    </row>
    <row r="76" spans="1:5" x14ac:dyDescent="0.35">
      <c r="A76" s="6" t="s">
        <v>135</v>
      </c>
      <c r="B76" s="7"/>
      <c r="C76" s="7"/>
      <c r="D76" s="7" t="s">
        <v>149</v>
      </c>
      <c r="E76" s="8" t="s">
        <v>137</v>
      </c>
    </row>
    <row r="77" spans="1:5" x14ac:dyDescent="0.35">
      <c r="A77" s="9" t="s">
        <v>135</v>
      </c>
      <c r="B77" s="10"/>
      <c r="C77" s="10" t="s">
        <v>150</v>
      </c>
      <c r="D77" s="10" t="s">
        <v>147</v>
      </c>
      <c r="E77" s="11" t="s">
        <v>137</v>
      </c>
    </row>
    <row r="78" spans="1:5" x14ac:dyDescent="0.35">
      <c r="A78" s="6" t="s">
        <v>135</v>
      </c>
      <c r="B78" s="7"/>
      <c r="C78" s="7"/>
      <c r="D78" s="7" t="s">
        <v>148</v>
      </c>
      <c r="E78" s="8" t="s">
        <v>137</v>
      </c>
    </row>
    <row r="79" spans="1:5" x14ac:dyDescent="0.35">
      <c r="A79" s="9" t="s">
        <v>135</v>
      </c>
      <c r="B79" s="10"/>
      <c r="C79" s="10"/>
      <c r="D79" s="10" t="s">
        <v>149</v>
      </c>
      <c r="E79" s="11" t="s">
        <v>137</v>
      </c>
    </row>
    <row r="80" spans="1:5" x14ac:dyDescent="0.35">
      <c r="A80" s="6" t="s">
        <v>135</v>
      </c>
      <c r="B80" s="7" t="s">
        <v>163</v>
      </c>
      <c r="C80" s="7" t="s">
        <v>146</v>
      </c>
      <c r="D80" s="7" t="s">
        <v>147</v>
      </c>
      <c r="E80" s="8">
        <v>28132.86</v>
      </c>
    </row>
    <row r="81" spans="1:5" x14ac:dyDescent="0.35">
      <c r="A81" s="9" t="s">
        <v>135</v>
      </c>
      <c r="B81" s="10"/>
      <c r="C81" s="10"/>
      <c r="D81" s="10" t="s">
        <v>148</v>
      </c>
      <c r="E81" s="11">
        <v>26944.6</v>
      </c>
    </row>
    <row r="82" spans="1:5" x14ac:dyDescent="0.35">
      <c r="A82" s="6" t="s">
        <v>135</v>
      </c>
      <c r="B82" s="7"/>
      <c r="C82" s="7"/>
      <c r="D82" s="7" t="s">
        <v>149</v>
      </c>
      <c r="E82" s="8">
        <v>1188.26</v>
      </c>
    </row>
    <row r="83" spans="1:5" x14ac:dyDescent="0.35">
      <c r="A83" s="9" t="s">
        <v>135</v>
      </c>
      <c r="B83" s="10"/>
      <c r="C83" s="10" t="s">
        <v>150</v>
      </c>
      <c r="D83" s="10" t="s">
        <v>147</v>
      </c>
      <c r="E83" s="11" t="s">
        <v>137</v>
      </c>
    </row>
    <row r="84" spans="1:5" x14ac:dyDescent="0.35">
      <c r="A84" s="6" t="s">
        <v>135</v>
      </c>
      <c r="B84" s="7"/>
      <c r="C84" s="7"/>
      <c r="D84" s="7" t="s">
        <v>148</v>
      </c>
      <c r="E84" s="8" t="s">
        <v>137</v>
      </c>
    </row>
    <row r="85" spans="1:5" x14ac:dyDescent="0.35">
      <c r="A85" s="9" t="s">
        <v>135</v>
      </c>
      <c r="B85" s="10"/>
      <c r="C85" s="10"/>
      <c r="D85" s="10" t="s">
        <v>149</v>
      </c>
      <c r="E85" s="11" t="s">
        <v>137</v>
      </c>
    </row>
    <row r="86" spans="1:5" x14ac:dyDescent="0.35">
      <c r="A86" s="6" t="s">
        <v>135</v>
      </c>
      <c r="B86" s="7" t="s">
        <v>164</v>
      </c>
      <c r="C86" s="7" t="s">
        <v>146</v>
      </c>
      <c r="D86" s="7" t="s">
        <v>147</v>
      </c>
      <c r="E86" s="8" t="s">
        <v>137</v>
      </c>
    </row>
    <row r="87" spans="1:5" x14ac:dyDescent="0.35">
      <c r="A87" s="9" t="s">
        <v>135</v>
      </c>
      <c r="B87" s="10"/>
      <c r="C87" s="10"/>
      <c r="D87" s="10" t="s">
        <v>148</v>
      </c>
      <c r="E87" s="11" t="s">
        <v>137</v>
      </c>
    </row>
    <row r="88" spans="1:5" x14ac:dyDescent="0.35">
      <c r="A88" s="6" t="s">
        <v>135</v>
      </c>
      <c r="B88" s="7"/>
      <c r="C88" s="7"/>
      <c r="D88" s="7" t="s">
        <v>149</v>
      </c>
      <c r="E88" s="8" t="s">
        <v>137</v>
      </c>
    </row>
    <row r="89" spans="1:5" x14ac:dyDescent="0.35">
      <c r="A89" s="9" t="s">
        <v>135</v>
      </c>
      <c r="B89" s="10"/>
      <c r="C89" s="10" t="s">
        <v>150</v>
      </c>
      <c r="D89" s="10" t="s">
        <v>147</v>
      </c>
      <c r="E89" s="11" t="s">
        <v>137</v>
      </c>
    </row>
    <row r="90" spans="1:5" x14ac:dyDescent="0.35">
      <c r="A90" s="6" t="s">
        <v>135</v>
      </c>
      <c r="B90" s="7"/>
      <c r="C90" s="7"/>
      <c r="D90" s="7" t="s">
        <v>148</v>
      </c>
      <c r="E90" s="8" t="s">
        <v>137</v>
      </c>
    </row>
    <row r="91" spans="1:5" x14ac:dyDescent="0.35">
      <c r="A91" s="9" t="s">
        <v>135</v>
      </c>
      <c r="B91" s="10"/>
      <c r="C91" s="10"/>
      <c r="D91" s="10" t="s">
        <v>149</v>
      </c>
      <c r="E91" s="11" t="s">
        <v>137</v>
      </c>
    </row>
    <row r="92" spans="1:5" x14ac:dyDescent="0.35">
      <c r="A92" s="6" t="s">
        <v>135</v>
      </c>
      <c r="B92" s="7" t="s">
        <v>165</v>
      </c>
      <c r="C92" s="7" t="s">
        <v>146</v>
      </c>
      <c r="D92" s="7" t="s">
        <v>147</v>
      </c>
      <c r="E92" s="8" t="s">
        <v>137</v>
      </c>
    </row>
    <row r="93" spans="1:5" x14ac:dyDescent="0.35">
      <c r="A93" s="9" t="s">
        <v>135</v>
      </c>
      <c r="B93" s="10"/>
      <c r="C93" s="10"/>
      <c r="D93" s="10" t="s">
        <v>148</v>
      </c>
      <c r="E93" s="11" t="s">
        <v>137</v>
      </c>
    </row>
    <row r="94" spans="1:5" x14ac:dyDescent="0.35">
      <c r="A94" s="6" t="s">
        <v>135</v>
      </c>
      <c r="B94" s="7"/>
      <c r="C94" s="7"/>
      <c r="D94" s="7" t="s">
        <v>149</v>
      </c>
      <c r="E94" s="8" t="s">
        <v>137</v>
      </c>
    </row>
    <row r="95" spans="1:5" x14ac:dyDescent="0.35">
      <c r="A95" s="9" t="s">
        <v>135</v>
      </c>
      <c r="B95" s="10"/>
      <c r="C95" s="10" t="s">
        <v>150</v>
      </c>
      <c r="D95" s="10" t="s">
        <v>147</v>
      </c>
      <c r="E95" s="11" t="s">
        <v>137</v>
      </c>
    </row>
    <row r="96" spans="1:5" x14ac:dyDescent="0.35">
      <c r="A96" s="6" t="s">
        <v>135</v>
      </c>
      <c r="B96" s="7"/>
      <c r="C96" s="7"/>
      <c r="D96" s="7" t="s">
        <v>148</v>
      </c>
      <c r="E96" s="8" t="s">
        <v>137</v>
      </c>
    </row>
    <row r="97" spans="1:5" x14ac:dyDescent="0.35">
      <c r="A97" s="9" t="s">
        <v>135</v>
      </c>
      <c r="B97" s="10"/>
      <c r="C97" s="10"/>
      <c r="D97" s="10" t="s">
        <v>149</v>
      </c>
      <c r="E97" s="11" t="s">
        <v>137</v>
      </c>
    </row>
    <row r="98" spans="1:5" x14ac:dyDescent="0.35">
      <c r="A98" s="6" t="s">
        <v>135</v>
      </c>
      <c r="B98" s="7" t="s">
        <v>166</v>
      </c>
      <c r="C98" s="7" t="s">
        <v>146</v>
      </c>
      <c r="D98" s="7" t="s">
        <v>147</v>
      </c>
      <c r="E98" s="8">
        <v>1561.26</v>
      </c>
    </row>
    <row r="99" spans="1:5" x14ac:dyDescent="0.35">
      <c r="A99" s="9" t="s">
        <v>135</v>
      </c>
      <c r="B99" s="10"/>
      <c r="C99" s="10"/>
      <c r="D99" s="10" t="s">
        <v>148</v>
      </c>
      <c r="E99" s="11">
        <v>373</v>
      </c>
    </row>
    <row r="100" spans="1:5" x14ac:dyDescent="0.35">
      <c r="A100" s="6" t="s">
        <v>135</v>
      </c>
      <c r="B100" s="7"/>
      <c r="C100" s="7"/>
      <c r="D100" s="7" t="s">
        <v>149</v>
      </c>
      <c r="E100" s="8">
        <v>1188.26</v>
      </c>
    </row>
    <row r="101" spans="1:5" x14ac:dyDescent="0.35">
      <c r="A101" s="9" t="s">
        <v>135</v>
      </c>
      <c r="B101" s="10"/>
      <c r="C101" s="10" t="s">
        <v>150</v>
      </c>
      <c r="D101" s="10" t="s">
        <v>147</v>
      </c>
      <c r="E101" s="11" t="s">
        <v>137</v>
      </c>
    </row>
    <row r="102" spans="1:5" x14ac:dyDescent="0.35">
      <c r="A102" s="6" t="s">
        <v>135</v>
      </c>
      <c r="B102" s="7"/>
      <c r="C102" s="7"/>
      <c r="D102" s="7" t="s">
        <v>148</v>
      </c>
      <c r="E102" s="8" t="s">
        <v>137</v>
      </c>
    </row>
    <row r="103" spans="1:5" x14ac:dyDescent="0.35">
      <c r="A103" s="9" t="s">
        <v>135</v>
      </c>
      <c r="B103" s="10"/>
      <c r="C103" s="10"/>
      <c r="D103" s="10" t="s">
        <v>149</v>
      </c>
      <c r="E103" s="11" t="s">
        <v>137</v>
      </c>
    </row>
    <row r="104" spans="1:5" x14ac:dyDescent="0.35">
      <c r="A104" s="6" t="s">
        <v>135</v>
      </c>
      <c r="B104" s="7" t="s">
        <v>167</v>
      </c>
      <c r="C104" s="7" t="s">
        <v>146</v>
      </c>
      <c r="D104" s="7" t="s">
        <v>147</v>
      </c>
      <c r="E104" s="8">
        <v>26571.599999999999</v>
      </c>
    </row>
    <row r="105" spans="1:5" x14ac:dyDescent="0.35">
      <c r="A105" s="9" t="s">
        <v>135</v>
      </c>
      <c r="B105" s="10"/>
      <c r="C105" s="10"/>
      <c r="D105" s="10" t="s">
        <v>148</v>
      </c>
      <c r="E105" s="11">
        <v>26571.599999999999</v>
      </c>
    </row>
    <row r="106" spans="1:5" x14ac:dyDescent="0.35">
      <c r="A106" s="6" t="s">
        <v>135</v>
      </c>
      <c r="B106" s="7"/>
      <c r="C106" s="7"/>
      <c r="D106" s="7" t="s">
        <v>149</v>
      </c>
      <c r="E106" s="8" t="s">
        <v>137</v>
      </c>
    </row>
    <row r="107" spans="1:5" x14ac:dyDescent="0.35">
      <c r="A107" s="9" t="s">
        <v>135</v>
      </c>
      <c r="B107" s="10"/>
      <c r="C107" s="10" t="s">
        <v>150</v>
      </c>
      <c r="D107" s="10" t="s">
        <v>147</v>
      </c>
      <c r="E107" s="11" t="s">
        <v>137</v>
      </c>
    </row>
    <row r="108" spans="1:5" x14ac:dyDescent="0.35">
      <c r="A108" s="6" t="s">
        <v>135</v>
      </c>
      <c r="B108" s="7"/>
      <c r="C108" s="7"/>
      <c r="D108" s="7" t="s">
        <v>148</v>
      </c>
      <c r="E108" s="8" t="s">
        <v>137</v>
      </c>
    </row>
    <row r="109" spans="1:5" x14ac:dyDescent="0.35">
      <c r="A109" s="9" t="s">
        <v>135</v>
      </c>
      <c r="B109" s="10"/>
      <c r="C109" s="10"/>
      <c r="D109" s="10" t="s">
        <v>149</v>
      </c>
      <c r="E109" s="11" t="s">
        <v>137</v>
      </c>
    </row>
    <row r="110" spans="1:5" x14ac:dyDescent="0.35">
      <c r="A110" s="6" t="s">
        <v>135</v>
      </c>
      <c r="B110" s="7" t="s">
        <v>168</v>
      </c>
      <c r="C110" s="7" t="s">
        <v>146</v>
      </c>
      <c r="D110" s="7" t="s">
        <v>147</v>
      </c>
      <c r="E110" s="8" t="s">
        <v>137</v>
      </c>
    </row>
    <row r="111" spans="1:5" x14ac:dyDescent="0.35">
      <c r="A111" s="9" t="s">
        <v>135</v>
      </c>
      <c r="B111" s="10"/>
      <c r="C111" s="10"/>
      <c r="D111" s="10" t="s">
        <v>148</v>
      </c>
      <c r="E111" s="11" t="s">
        <v>137</v>
      </c>
    </row>
    <row r="112" spans="1:5" x14ac:dyDescent="0.35">
      <c r="A112" s="6" t="s">
        <v>135</v>
      </c>
      <c r="B112" s="7"/>
      <c r="C112" s="7"/>
      <c r="D112" s="7" t="s">
        <v>149</v>
      </c>
      <c r="E112" s="8" t="s">
        <v>137</v>
      </c>
    </row>
    <row r="113" spans="1:5" x14ac:dyDescent="0.35">
      <c r="A113" s="9" t="s">
        <v>135</v>
      </c>
      <c r="B113" s="10"/>
      <c r="C113" s="10" t="s">
        <v>150</v>
      </c>
      <c r="D113" s="10" t="s">
        <v>147</v>
      </c>
      <c r="E113" s="11" t="s">
        <v>137</v>
      </c>
    </row>
    <row r="114" spans="1:5" x14ac:dyDescent="0.35">
      <c r="A114" s="6" t="s">
        <v>135</v>
      </c>
      <c r="B114" s="7"/>
      <c r="C114" s="7"/>
      <c r="D114" s="7" t="s">
        <v>148</v>
      </c>
      <c r="E114" s="8" t="s">
        <v>137</v>
      </c>
    </row>
    <row r="115" spans="1:5" x14ac:dyDescent="0.35">
      <c r="A115" s="9" t="s">
        <v>135</v>
      </c>
      <c r="B115" s="10"/>
      <c r="C115" s="10"/>
      <c r="D115" s="10" t="s">
        <v>149</v>
      </c>
      <c r="E115" s="11" t="s">
        <v>137</v>
      </c>
    </row>
    <row r="116" spans="1:5" x14ac:dyDescent="0.35">
      <c r="A116" s="6" t="s">
        <v>135</v>
      </c>
      <c r="B116" s="7" t="s">
        <v>169</v>
      </c>
      <c r="C116" s="7" t="s">
        <v>146</v>
      </c>
      <c r="D116" s="7" t="s">
        <v>147</v>
      </c>
      <c r="E116" s="8" t="s">
        <v>137</v>
      </c>
    </row>
    <row r="117" spans="1:5" x14ac:dyDescent="0.35">
      <c r="A117" s="9" t="s">
        <v>135</v>
      </c>
      <c r="B117" s="10"/>
      <c r="C117" s="10"/>
      <c r="D117" s="10" t="s">
        <v>148</v>
      </c>
      <c r="E117" s="11" t="s">
        <v>137</v>
      </c>
    </row>
    <row r="118" spans="1:5" x14ac:dyDescent="0.35">
      <c r="A118" s="6" t="s">
        <v>135</v>
      </c>
      <c r="B118" s="7"/>
      <c r="C118" s="7"/>
      <c r="D118" s="7" t="s">
        <v>149</v>
      </c>
      <c r="E118" s="8" t="s">
        <v>137</v>
      </c>
    </row>
    <row r="119" spans="1:5" x14ac:dyDescent="0.35">
      <c r="A119" s="9" t="s">
        <v>135</v>
      </c>
      <c r="B119" s="10"/>
      <c r="C119" s="10" t="s">
        <v>150</v>
      </c>
      <c r="D119" s="10" t="s">
        <v>147</v>
      </c>
      <c r="E119" s="11" t="s">
        <v>137</v>
      </c>
    </row>
    <row r="120" spans="1:5" x14ac:dyDescent="0.35">
      <c r="A120" s="6" t="s">
        <v>135</v>
      </c>
      <c r="B120" s="7"/>
      <c r="C120" s="7"/>
      <c r="D120" s="7" t="s">
        <v>148</v>
      </c>
      <c r="E120" s="8" t="s">
        <v>137</v>
      </c>
    </row>
    <row r="121" spans="1:5" x14ac:dyDescent="0.35">
      <c r="A121" s="9" t="s">
        <v>135</v>
      </c>
      <c r="B121" s="10"/>
      <c r="C121" s="10"/>
      <c r="D121" s="10" t="s">
        <v>149</v>
      </c>
      <c r="E121" s="11" t="s">
        <v>137</v>
      </c>
    </row>
    <row r="122" spans="1:5" x14ac:dyDescent="0.35">
      <c r="A122" s="6" t="s">
        <v>135</v>
      </c>
      <c r="B122" s="7" t="s">
        <v>170</v>
      </c>
      <c r="C122" s="7" t="s">
        <v>146</v>
      </c>
      <c r="D122" s="7" t="s">
        <v>147</v>
      </c>
      <c r="E122" s="8" t="s">
        <v>137</v>
      </c>
    </row>
    <row r="123" spans="1:5" x14ac:dyDescent="0.35">
      <c r="A123" s="9" t="s">
        <v>135</v>
      </c>
      <c r="B123" s="10"/>
      <c r="C123" s="10"/>
      <c r="D123" s="10" t="s">
        <v>148</v>
      </c>
      <c r="E123" s="11" t="s">
        <v>137</v>
      </c>
    </row>
    <row r="124" spans="1:5" x14ac:dyDescent="0.35">
      <c r="A124" s="6" t="s">
        <v>135</v>
      </c>
      <c r="B124" s="7"/>
      <c r="C124" s="7"/>
      <c r="D124" s="7" t="s">
        <v>149</v>
      </c>
      <c r="E124" s="8" t="s">
        <v>137</v>
      </c>
    </row>
    <row r="125" spans="1:5" x14ac:dyDescent="0.35">
      <c r="A125" s="9" t="s">
        <v>135</v>
      </c>
      <c r="B125" s="10"/>
      <c r="C125" s="10" t="s">
        <v>150</v>
      </c>
      <c r="D125" s="10" t="s">
        <v>147</v>
      </c>
      <c r="E125" s="11" t="s">
        <v>137</v>
      </c>
    </row>
    <row r="126" spans="1:5" x14ac:dyDescent="0.35">
      <c r="A126" s="6" t="s">
        <v>135</v>
      </c>
      <c r="B126" s="7"/>
      <c r="C126" s="7"/>
      <c r="D126" s="7" t="s">
        <v>148</v>
      </c>
      <c r="E126" s="8" t="s">
        <v>137</v>
      </c>
    </row>
    <row r="127" spans="1:5" x14ac:dyDescent="0.35">
      <c r="A127" s="9" t="s">
        <v>135</v>
      </c>
      <c r="B127" s="10"/>
      <c r="C127" s="10"/>
      <c r="D127" s="10" t="s">
        <v>149</v>
      </c>
      <c r="E127" s="11" t="s">
        <v>137</v>
      </c>
    </row>
    <row r="128" spans="1:5" x14ac:dyDescent="0.35">
      <c r="A128" s="6" t="s">
        <v>28</v>
      </c>
      <c r="B128" s="7" t="s">
        <v>145</v>
      </c>
      <c r="C128" s="7" t="s">
        <v>146</v>
      </c>
      <c r="D128" s="7" t="s">
        <v>147</v>
      </c>
      <c r="E128" s="8">
        <v>4142.17</v>
      </c>
    </row>
    <row r="129" spans="1:5" x14ac:dyDescent="0.35">
      <c r="A129" s="9" t="s">
        <v>135</v>
      </c>
      <c r="B129" s="10"/>
      <c r="C129" s="10"/>
      <c r="D129" s="10" t="s">
        <v>148</v>
      </c>
      <c r="E129" s="11">
        <v>4105.43</v>
      </c>
    </row>
    <row r="130" spans="1:5" x14ac:dyDescent="0.35">
      <c r="A130" s="6" t="s">
        <v>135</v>
      </c>
      <c r="B130" s="7"/>
      <c r="C130" s="7"/>
      <c r="D130" s="7" t="s">
        <v>149</v>
      </c>
      <c r="E130" s="8">
        <v>36.74</v>
      </c>
    </row>
    <row r="131" spans="1:5" x14ac:dyDescent="0.35">
      <c r="A131" s="9" t="s">
        <v>135</v>
      </c>
      <c r="B131" s="10"/>
      <c r="C131" s="10" t="s">
        <v>150</v>
      </c>
      <c r="D131" s="10" t="s">
        <v>147</v>
      </c>
      <c r="E131" s="11" t="s">
        <v>137</v>
      </c>
    </row>
    <row r="132" spans="1:5" x14ac:dyDescent="0.35">
      <c r="A132" s="6" t="s">
        <v>135</v>
      </c>
      <c r="B132" s="7"/>
      <c r="C132" s="7"/>
      <c r="D132" s="7" t="s">
        <v>148</v>
      </c>
      <c r="E132" s="8" t="s">
        <v>137</v>
      </c>
    </row>
    <row r="133" spans="1:5" x14ac:dyDescent="0.35">
      <c r="A133" s="9" t="s">
        <v>135</v>
      </c>
      <c r="B133" s="10"/>
      <c r="C133" s="10"/>
      <c r="D133" s="10" t="s">
        <v>149</v>
      </c>
      <c r="E133" s="11" t="s">
        <v>137</v>
      </c>
    </row>
    <row r="134" spans="1:5" x14ac:dyDescent="0.35">
      <c r="A134" s="6" t="s">
        <v>135</v>
      </c>
      <c r="B134" s="7" t="s">
        <v>151</v>
      </c>
      <c r="C134" s="7" t="s">
        <v>146</v>
      </c>
      <c r="D134" s="7" t="s">
        <v>147</v>
      </c>
      <c r="E134" s="8">
        <v>361.89</v>
      </c>
    </row>
    <row r="135" spans="1:5" x14ac:dyDescent="0.35">
      <c r="A135" s="9" t="s">
        <v>135</v>
      </c>
      <c r="B135" s="10"/>
      <c r="C135" s="10"/>
      <c r="D135" s="10" t="s">
        <v>148</v>
      </c>
      <c r="E135" s="11">
        <v>360.43</v>
      </c>
    </row>
    <row r="136" spans="1:5" x14ac:dyDescent="0.35">
      <c r="A136" s="6" t="s">
        <v>135</v>
      </c>
      <c r="B136" s="7"/>
      <c r="C136" s="7"/>
      <c r="D136" s="7" t="s">
        <v>149</v>
      </c>
      <c r="E136" s="8">
        <v>1.46</v>
      </c>
    </row>
    <row r="137" spans="1:5" x14ac:dyDescent="0.35">
      <c r="A137" s="9" t="s">
        <v>135</v>
      </c>
      <c r="B137" s="10"/>
      <c r="C137" s="10" t="s">
        <v>150</v>
      </c>
      <c r="D137" s="10" t="s">
        <v>147</v>
      </c>
      <c r="E137" s="11" t="s">
        <v>137</v>
      </c>
    </row>
    <row r="138" spans="1:5" x14ac:dyDescent="0.35">
      <c r="A138" s="6" t="s">
        <v>135</v>
      </c>
      <c r="B138" s="7"/>
      <c r="C138" s="7"/>
      <c r="D138" s="7" t="s">
        <v>148</v>
      </c>
      <c r="E138" s="8" t="s">
        <v>137</v>
      </c>
    </row>
    <row r="139" spans="1:5" x14ac:dyDescent="0.35">
      <c r="A139" s="9" t="s">
        <v>135</v>
      </c>
      <c r="B139" s="10"/>
      <c r="C139" s="10"/>
      <c r="D139" s="10" t="s">
        <v>149</v>
      </c>
      <c r="E139" s="11" t="s">
        <v>137</v>
      </c>
    </row>
    <row r="140" spans="1:5" x14ac:dyDescent="0.35">
      <c r="A140" s="6" t="s">
        <v>135</v>
      </c>
      <c r="B140" s="7" t="s">
        <v>152</v>
      </c>
      <c r="C140" s="7" t="s">
        <v>146</v>
      </c>
      <c r="D140" s="7" t="s">
        <v>147</v>
      </c>
      <c r="E140" s="8" t="s">
        <v>137</v>
      </c>
    </row>
    <row r="141" spans="1:5" x14ac:dyDescent="0.35">
      <c r="A141" s="9" t="s">
        <v>135</v>
      </c>
      <c r="B141" s="10"/>
      <c r="C141" s="10"/>
      <c r="D141" s="10" t="s">
        <v>148</v>
      </c>
      <c r="E141" s="11" t="s">
        <v>137</v>
      </c>
    </row>
    <row r="142" spans="1:5" x14ac:dyDescent="0.35">
      <c r="A142" s="6" t="s">
        <v>135</v>
      </c>
      <c r="B142" s="7"/>
      <c r="C142" s="7"/>
      <c r="D142" s="7" t="s">
        <v>149</v>
      </c>
      <c r="E142" s="8" t="s">
        <v>137</v>
      </c>
    </row>
    <row r="143" spans="1:5" x14ac:dyDescent="0.35">
      <c r="A143" s="9" t="s">
        <v>135</v>
      </c>
      <c r="B143" s="10"/>
      <c r="C143" s="10" t="s">
        <v>150</v>
      </c>
      <c r="D143" s="10" t="s">
        <v>147</v>
      </c>
      <c r="E143" s="11" t="s">
        <v>137</v>
      </c>
    </row>
    <row r="144" spans="1:5" x14ac:dyDescent="0.35">
      <c r="A144" s="6" t="s">
        <v>135</v>
      </c>
      <c r="B144" s="7"/>
      <c r="C144" s="7"/>
      <c r="D144" s="7" t="s">
        <v>148</v>
      </c>
      <c r="E144" s="8" t="s">
        <v>137</v>
      </c>
    </row>
    <row r="145" spans="1:5" x14ac:dyDescent="0.35">
      <c r="A145" s="9" t="s">
        <v>135</v>
      </c>
      <c r="B145" s="10"/>
      <c r="C145" s="10"/>
      <c r="D145" s="10" t="s">
        <v>149</v>
      </c>
      <c r="E145" s="11" t="s">
        <v>137</v>
      </c>
    </row>
    <row r="146" spans="1:5" x14ac:dyDescent="0.35">
      <c r="A146" s="6" t="s">
        <v>135</v>
      </c>
      <c r="B146" s="7" t="s">
        <v>153</v>
      </c>
      <c r="C146" s="7" t="s">
        <v>146</v>
      </c>
      <c r="D146" s="7" t="s">
        <v>147</v>
      </c>
      <c r="E146" s="8" t="s">
        <v>137</v>
      </c>
    </row>
    <row r="147" spans="1:5" x14ac:dyDescent="0.35">
      <c r="A147" s="9" t="s">
        <v>135</v>
      </c>
      <c r="B147" s="10"/>
      <c r="C147" s="10"/>
      <c r="D147" s="10" t="s">
        <v>148</v>
      </c>
      <c r="E147" s="11" t="s">
        <v>137</v>
      </c>
    </row>
    <row r="148" spans="1:5" x14ac:dyDescent="0.35">
      <c r="A148" s="6" t="s">
        <v>135</v>
      </c>
      <c r="B148" s="7"/>
      <c r="C148" s="7"/>
      <c r="D148" s="7" t="s">
        <v>149</v>
      </c>
      <c r="E148" s="8" t="s">
        <v>137</v>
      </c>
    </row>
    <row r="149" spans="1:5" x14ac:dyDescent="0.35">
      <c r="A149" s="9" t="s">
        <v>135</v>
      </c>
      <c r="B149" s="10"/>
      <c r="C149" s="10" t="s">
        <v>150</v>
      </c>
      <c r="D149" s="10" t="s">
        <v>147</v>
      </c>
      <c r="E149" s="11" t="s">
        <v>137</v>
      </c>
    </row>
    <row r="150" spans="1:5" x14ac:dyDescent="0.35">
      <c r="A150" s="6" t="s">
        <v>135</v>
      </c>
      <c r="B150" s="7"/>
      <c r="C150" s="7"/>
      <c r="D150" s="7" t="s">
        <v>148</v>
      </c>
      <c r="E150" s="8" t="s">
        <v>137</v>
      </c>
    </row>
    <row r="151" spans="1:5" x14ac:dyDescent="0.35">
      <c r="A151" s="9" t="s">
        <v>135</v>
      </c>
      <c r="B151" s="10"/>
      <c r="C151" s="10"/>
      <c r="D151" s="10" t="s">
        <v>149</v>
      </c>
      <c r="E151" s="11" t="s">
        <v>137</v>
      </c>
    </row>
    <row r="152" spans="1:5" x14ac:dyDescent="0.35">
      <c r="A152" s="6" t="s">
        <v>135</v>
      </c>
      <c r="B152" s="7" t="s">
        <v>154</v>
      </c>
      <c r="C152" s="7" t="s">
        <v>146</v>
      </c>
      <c r="D152" s="7" t="s">
        <v>147</v>
      </c>
      <c r="E152" s="8" t="s">
        <v>137</v>
      </c>
    </row>
    <row r="153" spans="1:5" x14ac:dyDescent="0.35">
      <c r="A153" s="9" t="s">
        <v>135</v>
      </c>
      <c r="B153" s="10"/>
      <c r="C153" s="10"/>
      <c r="D153" s="10" t="s">
        <v>148</v>
      </c>
      <c r="E153" s="11" t="s">
        <v>137</v>
      </c>
    </row>
    <row r="154" spans="1:5" x14ac:dyDescent="0.35">
      <c r="A154" s="6" t="s">
        <v>135</v>
      </c>
      <c r="B154" s="7"/>
      <c r="C154" s="7"/>
      <c r="D154" s="7" t="s">
        <v>149</v>
      </c>
      <c r="E154" s="8" t="s">
        <v>137</v>
      </c>
    </row>
    <row r="155" spans="1:5" x14ac:dyDescent="0.35">
      <c r="A155" s="9" t="s">
        <v>135</v>
      </c>
      <c r="B155" s="10"/>
      <c r="C155" s="10" t="s">
        <v>150</v>
      </c>
      <c r="D155" s="10" t="s">
        <v>147</v>
      </c>
      <c r="E155" s="11" t="s">
        <v>137</v>
      </c>
    </row>
    <row r="156" spans="1:5" x14ac:dyDescent="0.35">
      <c r="A156" s="6" t="s">
        <v>135</v>
      </c>
      <c r="B156" s="7"/>
      <c r="C156" s="7"/>
      <c r="D156" s="7" t="s">
        <v>148</v>
      </c>
      <c r="E156" s="8" t="s">
        <v>137</v>
      </c>
    </row>
    <row r="157" spans="1:5" x14ac:dyDescent="0.35">
      <c r="A157" s="9" t="s">
        <v>135</v>
      </c>
      <c r="B157" s="10"/>
      <c r="C157" s="10"/>
      <c r="D157" s="10" t="s">
        <v>149</v>
      </c>
      <c r="E157" s="11" t="s">
        <v>137</v>
      </c>
    </row>
    <row r="158" spans="1:5" x14ac:dyDescent="0.35">
      <c r="A158" s="6" t="s">
        <v>135</v>
      </c>
      <c r="B158" s="7" t="s">
        <v>155</v>
      </c>
      <c r="C158" s="7" t="s">
        <v>146</v>
      </c>
      <c r="D158" s="7" t="s">
        <v>147</v>
      </c>
      <c r="E158" s="8">
        <v>3729.28</v>
      </c>
    </row>
    <row r="159" spans="1:5" x14ac:dyDescent="0.35">
      <c r="A159" s="9" t="s">
        <v>135</v>
      </c>
      <c r="B159" s="10"/>
      <c r="C159" s="10"/>
      <c r="D159" s="10" t="s">
        <v>148</v>
      </c>
      <c r="E159" s="11">
        <v>3694</v>
      </c>
    </row>
    <row r="160" spans="1:5" x14ac:dyDescent="0.35">
      <c r="A160" s="6" t="s">
        <v>135</v>
      </c>
      <c r="B160" s="7"/>
      <c r="C160" s="7"/>
      <c r="D160" s="7" t="s">
        <v>149</v>
      </c>
      <c r="E160" s="8">
        <v>35.28</v>
      </c>
    </row>
    <row r="161" spans="1:5" x14ac:dyDescent="0.35">
      <c r="A161" s="9" t="s">
        <v>135</v>
      </c>
      <c r="B161" s="10"/>
      <c r="C161" s="10" t="s">
        <v>150</v>
      </c>
      <c r="D161" s="10" t="s">
        <v>147</v>
      </c>
      <c r="E161" s="11" t="s">
        <v>137</v>
      </c>
    </row>
    <row r="162" spans="1:5" x14ac:dyDescent="0.35">
      <c r="A162" s="6" t="s">
        <v>135</v>
      </c>
      <c r="B162" s="7"/>
      <c r="C162" s="7"/>
      <c r="D162" s="7" t="s">
        <v>148</v>
      </c>
      <c r="E162" s="8" t="s">
        <v>137</v>
      </c>
    </row>
    <row r="163" spans="1:5" x14ac:dyDescent="0.35">
      <c r="A163" s="9" t="s">
        <v>135</v>
      </c>
      <c r="B163" s="10"/>
      <c r="C163" s="10"/>
      <c r="D163" s="10" t="s">
        <v>149</v>
      </c>
      <c r="E163" s="11" t="s">
        <v>137</v>
      </c>
    </row>
    <row r="164" spans="1:5" x14ac:dyDescent="0.35">
      <c r="A164" s="6" t="s">
        <v>135</v>
      </c>
      <c r="B164" s="7" t="s">
        <v>156</v>
      </c>
      <c r="C164" s="7" t="s">
        <v>146</v>
      </c>
      <c r="D164" s="7" t="s">
        <v>147</v>
      </c>
      <c r="E164" s="8" t="s">
        <v>137</v>
      </c>
    </row>
    <row r="165" spans="1:5" x14ac:dyDescent="0.35">
      <c r="A165" s="9" t="s">
        <v>135</v>
      </c>
      <c r="B165" s="10"/>
      <c r="C165" s="10"/>
      <c r="D165" s="10" t="s">
        <v>148</v>
      </c>
      <c r="E165" s="11" t="s">
        <v>137</v>
      </c>
    </row>
    <row r="166" spans="1:5" x14ac:dyDescent="0.35">
      <c r="A166" s="6" t="s">
        <v>135</v>
      </c>
      <c r="B166" s="7"/>
      <c r="C166" s="7"/>
      <c r="D166" s="7" t="s">
        <v>149</v>
      </c>
      <c r="E166" s="8" t="s">
        <v>137</v>
      </c>
    </row>
    <row r="167" spans="1:5" x14ac:dyDescent="0.35">
      <c r="A167" s="9" t="s">
        <v>135</v>
      </c>
      <c r="B167" s="10"/>
      <c r="C167" s="10" t="s">
        <v>150</v>
      </c>
      <c r="D167" s="10" t="s">
        <v>147</v>
      </c>
      <c r="E167" s="11" t="s">
        <v>137</v>
      </c>
    </row>
    <row r="168" spans="1:5" x14ac:dyDescent="0.35">
      <c r="A168" s="6" t="s">
        <v>135</v>
      </c>
      <c r="B168" s="7"/>
      <c r="C168" s="7"/>
      <c r="D168" s="7" t="s">
        <v>148</v>
      </c>
      <c r="E168" s="8" t="s">
        <v>137</v>
      </c>
    </row>
    <row r="169" spans="1:5" x14ac:dyDescent="0.35">
      <c r="A169" s="9" t="s">
        <v>135</v>
      </c>
      <c r="B169" s="10"/>
      <c r="C169" s="10"/>
      <c r="D169" s="10" t="s">
        <v>149</v>
      </c>
      <c r="E169" s="11" t="s">
        <v>137</v>
      </c>
    </row>
    <row r="170" spans="1:5" x14ac:dyDescent="0.35">
      <c r="A170" s="6" t="s">
        <v>135</v>
      </c>
      <c r="B170" s="7" t="s">
        <v>157</v>
      </c>
      <c r="C170" s="7" t="s">
        <v>146</v>
      </c>
      <c r="D170" s="7" t="s">
        <v>147</v>
      </c>
      <c r="E170" s="8" t="s">
        <v>137</v>
      </c>
    </row>
    <row r="171" spans="1:5" x14ac:dyDescent="0.35">
      <c r="A171" s="9" t="s">
        <v>135</v>
      </c>
      <c r="B171" s="10"/>
      <c r="C171" s="10"/>
      <c r="D171" s="10" t="s">
        <v>148</v>
      </c>
      <c r="E171" s="11" t="s">
        <v>137</v>
      </c>
    </row>
    <row r="172" spans="1:5" x14ac:dyDescent="0.35">
      <c r="A172" s="6" t="s">
        <v>135</v>
      </c>
      <c r="B172" s="7"/>
      <c r="C172" s="7"/>
      <c r="D172" s="7" t="s">
        <v>149</v>
      </c>
      <c r="E172" s="8" t="s">
        <v>137</v>
      </c>
    </row>
    <row r="173" spans="1:5" x14ac:dyDescent="0.35">
      <c r="A173" s="9" t="s">
        <v>135</v>
      </c>
      <c r="B173" s="10"/>
      <c r="C173" s="10" t="s">
        <v>150</v>
      </c>
      <c r="D173" s="10" t="s">
        <v>147</v>
      </c>
      <c r="E173" s="11" t="s">
        <v>137</v>
      </c>
    </row>
    <row r="174" spans="1:5" x14ac:dyDescent="0.35">
      <c r="A174" s="6" t="s">
        <v>135</v>
      </c>
      <c r="B174" s="7"/>
      <c r="C174" s="7"/>
      <c r="D174" s="7" t="s">
        <v>148</v>
      </c>
      <c r="E174" s="8" t="s">
        <v>137</v>
      </c>
    </row>
    <row r="175" spans="1:5" x14ac:dyDescent="0.35">
      <c r="A175" s="9" t="s">
        <v>135</v>
      </c>
      <c r="B175" s="10"/>
      <c r="C175" s="10"/>
      <c r="D175" s="10" t="s">
        <v>149</v>
      </c>
      <c r="E175" s="11" t="s">
        <v>137</v>
      </c>
    </row>
    <row r="176" spans="1:5" x14ac:dyDescent="0.35">
      <c r="A176" s="6" t="s">
        <v>135</v>
      </c>
      <c r="B176" s="7" t="s">
        <v>158</v>
      </c>
      <c r="C176" s="7" t="s">
        <v>146</v>
      </c>
      <c r="D176" s="7" t="s">
        <v>147</v>
      </c>
      <c r="E176" s="8">
        <v>51</v>
      </c>
    </row>
    <row r="177" spans="1:5" x14ac:dyDescent="0.35">
      <c r="A177" s="9" t="s">
        <v>135</v>
      </c>
      <c r="B177" s="10"/>
      <c r="C177" s="10"/>
      <c r="D177" s="10" t="s">
        <v>148</v>
      </c>
      <c r="E177" s="11">
        <v>51</v>
      </c>
    </row>
    <row r="178" spans="1:5" x14ac:dyDescent="0.35">
      <c r="A178" s="6" t="s">
        <v>135</v>
      </c>
      <c r="B178" s="7"/>
      <c r="C178" s="7"/>
      <c r="D178" s="7" t="s">
        <v>149</v>
      </c>
      <c r="E178" s="8" t="s">
        <v>137</v>
      </c>
    </row>
    <row r="179" spans="1:5" x14ac:dyDescent="0.35">
      <c r="A179" s="9" t="s">
        <v>135</v>
      </c>
      <c r="B179" s="10"/>
      <c r="C179" s="10" t="s">
        <v>150</v>
      </c>
      <c r="D179" s="10" t="s">
        <v>147</v>
      </c>
      <c r="E179" s="11" t="s">
        <v>137</v>
      </c>
    </row>
    <row r="180" spans="1:5" x14ac:dyDescent="0.35">
      <c r="A180" s="6" t="s">
        <v>135</v>
      </c>
      <c r="B180" s="7"/>
      <c r="C180" s="7"/>
      <c r="D180" s="7" t="s">
        <v>148</v>
      </c>
      <c r="E180" s="8" t="s">
        <v>137</v>
      </c>
    </row>
    <row r="181" spans="1:5" x14ac:dyDescent="0.35">
      <c r="A181" s="9" t="s">
        <v>135</v>
      </c>
      <c r="B181" s="10"/>
      <c r="C181" s="10"/>
      <c r="D181" s="10" t="s">
        <v>149</v>
      </c>
      <c r="E181" s="11" t="s">
        <v>137</v>
      </c>
    </row>
    <row r="182" spans="1:5" x14ac:dyDescent="0.35">
      <c r="A182" s="6" t="s">
        <v>135</v>
      </c>
      <c r="B182" s="7" t="s">
        <v>159</v>
      </c>
      <c r="C182" s="7" t="s">
        <v>146</v>
      </c>
      <c r="D182" s="7" t="s">
        <v>147</v>
      </c>
      <c r="E182" s="8" t="s">
        <v>137</v>
      </c>
    </row>
    <row r="183" spans="1:5" x14ac:dyDescent="0.35">
      <c r="A183" s="9" t="s">
        <v>135</v>
      </c>
      <c r="B183" s="10"/>
      <c r="C183" s="10"/>
      <c r="D183" s="10" t="s">
        <v>148</v>
      </c>
      <c r="E183" s="11" t="s">
        <v>137</v>
      </c>
    </row>
    <row r="184" spans="1:5" x14ac:dyDescent="0.35">
      <c r="A184" s="6" t="s">
        <v>135</v>
      </c>
      <c r="B184" s="7"/>
      <c r="C184" s="7"/>
      <c r="D184" s="7" t="s">
        <v>149</v>
      </c>
      <c r="E184" s="8" t="s">
        <v>137</v>
      </c>
    </row>
    <row r="185" spans="1:5" x14ac:dyDescent="0.35">
      <c r="A185" s="9" t="s">
        <v>135</v>
      </c>
      <c r="B185" s="10"/>
      <c r="C185" s="10" t="s">
        <v>150</v>
      </c>
      <c r="D185" s="10" t="s">
        <v>147</v>
      </c>
      <c r="E185" s="11" t="s">
        <v>137</v>
      </c>
    </row>
    <row r="186" spans="1:5" x14ac:dyDescent="0.35">
      <c r="A186" s="6" t="s">
        <v>135</v>
      </c>
      <c r="B186" s="7"/>
      <c r="C186" s="7"/>
      <c r="D186" s="7" t="s">
        <v>148</v>
      </c>
      <c r="E186" s="8" t="s">
        <v>137</v>
      </c>
    </row>
    <row r="187" spans="1:5" x14ac:dyDescent="0.35">
      <c r="A187" s="9" t="s">
        <v>135</v>
      </c>
      <c r="B187" s="10"/>
      <c r="C187" s="10"/>
      <c r="D187" s="10" t="s">
        <v>149</v>
      </c>
      <c r="E187" s="11" t="s">
        <v>137</v>
      </c>
    </row>
    <row r="188" spans="1:5" x14ac:dyDescent="0.35">
      <c r="A188" s="6" t="s">
        <v>135</v>
      </c>
      <c r="B188" s="7" t="s">
        <v>160</v>
      </c>
      <c r="C188" s="7" t="s">
        <v>146</v>
      </c>
      <c r="D188" s="7" t="s">
        <v>147</v>
      </c>
      <c r="E188" s="8" t="s">
        <v>137</v>
      </c>
    </row>
    <row r="189" spans="1:5" x14ac:dyDescent="0.35">
      <c r="A189" s="9" t="s">
        <v>135</v>
      </c>
      <c r="B189" s="10"/>
      <c r="C189" s="10"/>
      <c r="D189" s="10" t="s">
        <v>148</v>
      </c>
      <c r="E189" s="11" t="s">
        <v>137</v>
      </c>
    </row>
    <row r="190" spans="1:5" x14ac:dyDescent="0.35">
      <c r="A190" s="6" t="s">
        <v>135</v>
      </c>
      <c r="B190" s="7"/>
      <c r="C190" s="7"/>
      <c r="D190" s="7" t="s">
        <v>149</v>
      </c>
      <c r="E190" s="8" t="s">
        <v>137</v>
      </c>
    </row>
    <row r="191" spans="1:5" x14ac:dyDescent="0.35">
      <c r="A191" s="9" t="s">
        <v>135</v>
      </c>
      <c r="B191" s="10"/>
      <c r="C191" s="10" t="s">
        <v>150</v>
      </c>
      <c r="D191" s="10" t="s">
        <v>147</v>
      </c>
      <c r="E191" s="11" t="s">
        <v>137</v>
      </c>
    </row>
    <row r="192" spans="1:5" x14ac:dyDescent="0.35">
      <c r="A192" s="6" t="s">
        <v>135</v>
      </c>
      <c r="B192" s="7"/>
      <c r="C192" s="7"/>
      <c r="D192" s="7" t="s">
        <v>148</v>
      </c>
      <c r="E192" s="8" t="s">
        <v>137</v>
      </c>
    </row>
    <row r="193" spans="1:5" x14ac:dyDescent="0.35">
      <c r="A193" s="9" t="s">
        <v>135</v>
      </c>
      <c r="B193" s="10"/>
      <c r="C193" s="10"/>
      <c r="D193" s="10" t="s">
        <v>149</v>
      </c>
      <c r="E193" s="11" t="s">
        <v>137</v>
      </c>
    </row>
    <row r="194" spans="1:5" x14ac:dyDescent="0.35">
      <c r="A194" s="6" t="s">
        <v>135</v>
      </c>
      <c r="B194" s="7" t="s">
        <v>161</v>
      </c>
      <c r="C194" s="7" t="s">
        <v>146</v>
      </c>
      <c r="D194" s="7" t="s">
        <v>147</v>
      </c>
      <c r="E194" s="8" t="s">
        <v>137</v>
      </c>
    </row>
    <row r="195" spans="1:5" x14ac:dyDescent="0.35">
      <c r="A195" s="9" t="s">
        <v>135</v>
      </c>
      <c r="B195" s="10"/>
      <c r="C195" s="10"/>
      <c r="D195" s="10" t="s">
        <v>148</v>
      </c>
      <c r="E195" s="11" t="s">
        <v>137</v>
      </c>
    </row>
    <row r="196" spans="1:5" x14ac:dyDescent="0.35">
      <c r="A196" s="6" t="s">
        <v>135</v>
      </c>
      <c r="B196" s="7"/>
      <c r="C196" s="7"/>
      <c r="D196" s="7" t="s">
        <v>149</v>
      </c>
      <c r="E196" s="8" t="s">
        <v>137</v>
      </c>
    </row>
    <row r="197" spans="1:5" x14ac:dyDescent="0.35">
      <c r="A197" s="9" t="s">
        <v>135</v>
      </c>
      <c r="B197" s="10"/>
      <c r="C197" s="10" t="s">
        <v>150</v>
      </c>
      <c r="D197" s="10" t="s">
        <v>147</v>
      </c>
      <c r="E197" s="11" t="s">
        <v>137</v>
      </c>
    </row>
    <row r="198" spans="1:5" x14ac:dyDescent="0.35">
      <c r="A198" s="6" t="s">
        <v>135</v>
      </c>
      <c r="B198" s="7"/>
      <c r="C198" s="7"/>
      <c r="D198" s="7" t="s">
        <v>148</v>
      </c>
      <c r="E198" s="8" t="s">
        <v>137</v>
      </c>
    </row>
    <row r="199" spans="1:5" x14ac:dyDescent="0.35">
      <c r="A199" s="9" t="s">
        <v>135</v>
      </c>
      <c r="B199" s="10"/>
      <c r="C199" s="10"/>
      <c r="D199" s="10" t="s">
        <v>149</v>
      </c>
      <c r="E199" s="11" t="s">
        <v>137</v>
      </c>
    </row>
    <row r="200" spans="1:5" x14ac:dyDescent="0.35">
      <c r="A200" s="6" t="s">
        <v>135</v>
      </c>
      <c r="B200" s="7" t="s">
        <v>162</v>
      </c>
      <c r="C200" s="7" t="s">
        <v>146</v>
      </c>
      <c r="D200" s="7" t="s">
        <v>147</v>
      </c>
      <c r="E200" s="8" t="s">
        <v>137</v>
      </c>
    </row>
    <row r="201" spans="1:5" x14ac:dyDescent="0.35">
      <c r="A201" s="9" t="s">
        <v>135</v>
      </c>
      <c r="B201" s="10"/>
      <c r="C201" s="10"/>
      <c r="D201" s="10" t="s">
        <v>148</v>
      </c>
      <c r="E201" s="11" t="s">
        <v>137</v>
      </c>
    </row>
    <row r="202" spans="1:5" x14ac:dyDescent="0.35">
      <c r="A202" s="6" t="s">
        <v>135</v>
      </c>
      <c r="B202" s="7"/>
      <c r="C202" s="7"/>
      <c r="D202" s="7" t="s">
        <v>149</v>
      </c>
      <c r="E202" s="8" t="s">
        <v>137</v>
      </c>
    </row>
    <row r="203" spans="1:5" x14ac:dyDescent="0.35">
      <c r="A203" s="9" t="s">
        <v>135</v>
      </c>
      <c r="B203" s="10"/>
      <c r="C203" s="10" t="s">
        <v>150</v>
      </c>
      <c r="D203" s="10" t="s">
        <v>147</v>
      </c>
      <c r="E203" s="11" t="s">
        <v>137</v>
      </c>
    </row>
    <row r="204" spans="1:5" x14ac:dyDescent="0.35">
      <c r="A204" s="6" t="s">
        <v>135</v>
      </c>
      <c r="B204" s="7"/>
      <c r="C204" s="7"/>
      <c r="D204" s="7" t="s">
        <v>148</v>
      </c>
      <c r="E204" s="8" t="s">
        <v>137</v>
      </c>
    </row>
    <row r="205" spans="1:5" x14ac:dyDescent="0.35">
      <c r="A205" s="9" t="s">
        <v>135</v>
      </c>
      <c r="B205" s="10"/>
      <c r="C205" s="10"/>
      <c r="D205" s="10" t="s">
        <v>149</v>
      </c>
      <c r="E205" s="11" t="s">
        <v>137</v>
      </c>
    </row>
    <row r="206" spans="1:5" x14ac:dyDescent="0.35">
      <c r="A206" s="6" t="s">
        <v>135</v>
      </c>
      <c r="B206" s="7" t="s">
        <v>163</v>
      </c>
      <c r="C206" s="7" t="s">
        <v>146</v>
      </c>
      <c r="D206" s="7" t="s">
        <v>147</v>
      </c>
      <c r="E206" s="8">
        <v>2357.06</v>
      </c>
    </row>
    <row r="207" spans="1:5" x14ac:dyDescent="0.35">
      <c r="A207" s="9" t="s">
        <v>135</v>
      </c>
      <c r="B207" s="10"/>
      <c r="C207" s="10"/>
      <c r="D207" s="10" t="s">
        <v>148</v>
      </c>
      <c r="E207" s="11">
        <v>1830.34</v>
      </c>
    </row>
    <row r="208" spans="1:5" x14ac:dyDescent="0.35">
      <c r="A208" s="6" t="s">
        <v>135</v>
      </c>
      <c r="B208" s="7"/>
      <c r="C208" s="7"/>
      <c r="D208" s="7" t="s">
        <v>149</v>
      </c>
      <c r="E208" s="8">
        <v>526.72</v>
      </c>
    </row>
    <row r="209" spans="1:5" x14ac:dyDescent="0.35">
      <c r="A209" s="9" t="s">
        <v>135</v>
      </c>
      <c r="B209" s="10"/>
      <c r="C209" s="10" t="s">
        <v>150</v>
      </c>
      <c r="D209" s="10" t="s">
        <v>147</v>
      </c>
      <c r="E209" s="11" t="s">
        <v>137</v>
      </c>
    </row>
    <row r="210" spans="1:5" x14ac:dyDescent="0.35">
      <c r="A210" s="6" t="s">
        <v>135</v>
      </c>
      <c r="B210" s="7"/>
      <c r="C210" s="7"/>
      <c r="D210" s="7" t="s">
        <v>148</v>
      </c>
      <c r="E210" s="8" t="s">
        <v>137</v>
      </c>
    </row>
    <row r="211" spans="1:5" x14ac:dyDescent="0.35">
      <c r="A211" s="9" t="s">
        <v>135</v>
      </c>
      <c r="B211" s="10"/>
      <c r="C211" s="10"/>
      <c r="D211" s="10" t="s">
        <v>149</v>
      </c>
      <c r="E211" s="11" t="s">
        <v>137</v>
      </c>
    </row>
    <row r="212" spans="1:5" x14ac:dyDescent="0.35">
      <c r="A212" s="6" t="s">
        <v>135</v>
      </c>
      <c r="B212" s="7" t="s">
        <v>164</v>
      </c>
      <c r="C212" s="7" t="s">
        <v>146</v>
      </c>
      <c r="D212" s="7" t="s">
        <v>147</v>
      </c>
      <c r="E212" s="8" t="s">
        <v>137</v>
      </c>
    </row>
    <row r="213" spans="1:5" x14ac:dyDescent="0.35">
      <c r="A213" s="9" t="s">
        <v>135</v>
      </c>
      <c r="B213" s="10"/>
      <c r="C213" s="10"/>
      <c r="D213" s="10" t="s">
        <v>148</v>
      </c>
      <c r="E213" s="11" t="s">
        <v>137</v>
      </c>
    </row>
    <row r="214" spans="1:5" x14ac:dyDescent="0.35">
      <c r="A214" s="6" t="s">
        <v>135</v>
      </c>
      <c r="B214" s="7"/>
      <c r="C214" s="7"/>
      <c r="D214" s="7" t="s">
        <v>149</v>
      </c>
      <c r="E214" s="8" t="s">
        <v>137</v>
      </c>
    </row>
    <row r="215" spans="1:5" x14ac:dyDescent="0.35">
      <c r="A215" s="9" t="s">
        <v>135</v>
      </c>
      <c r="B215" s="10"/>
      <c r="C215" s="10" t="s">
        <v>150</v>
      </c>
      <c r="D215" s="10" t="s">
        <v>147</v>
      </c>
      <c r="E215" s="11" t="s">
        <v>137</v>
      </c>
    </row>
    <row r="216" spans="1:5" x14ac:dyDescent="0.35">
      <c r="A216" s="6" t="s">
        <v>135</v>
      </c>
      <c r="B216" s="7"/>
      <c r="C216" s="7"/>
      <c r="D216" s="7" t="s">
        <v>148</v>
      </c>
      <c r="E216" s="8" t="s">
        <v>137</v>
      </c>
    </row>
    <row r="217" spans="1:5" x14ac:dyDescent="0.35">
      <c r="A217" s="9" t="s">
        <v>135</v>
      </c>
      <c r="B217" s="10"/>
      <c r="C217" s="10"/>
      <c r="D217" s="10" t="s">
        <v>149</v>
      </c>
      <c r="E217" s="11" t="s">
        <v>137</v>
      </c>
    </row>
    <row r="218" spans="1:5" x14ac:dyDescent="0.35">
      <c r="A218" s="6" t="s">
        <v>135</v>
      </c>
      <c r="B218" s="7" t="s">
        <v>165</v>
      </c>
      <c r="C218" s="7" t="s">
        <v>146</v>
      </c>
      <c r="D218" s="7" t="s">
        <v>147</v>
      </c>
      <c r="E218" s="8" t="s">
        <v>137</v>
      </c>
    </row>
    <row r="219" spans="1:5" x14ac:dyDescent="0.35">
      <c r="A219" s="9" t="s">
        <v>135</v>
      </c>
      <c r="B219" s="10"/>
      <c r="C219" s="10"/>
      <c r="D219" s="10" t="s">
        <v>148</v>
      </c>
      <c r="E219" s="11" t="s">
        <v>137</v>
      </c>
    </row>
    <row r="220" spans="1:5" x14ac:dyDescent="0.35">
      <c r="A220" s="6" t="s">
        <v>135</v>
      </c>
      <c r="B220" s="7"/>
      <c r="C220" s="7"/>
      <c r="D220" s="7" t="s">
        <v>149</v>
      </c>
      <c r="E220" s="8" t="s">
        <v>137</v>
      </c>
    </row>
    <row r="221" spans="1:5" x14ac:dyDescent="0.35">
      <c r="A221" s="9" t="s">
        <v>135</v>
      </c>
      <c r="B221" s="10"/>
      <c r="C221" s="10" t="s">
        <v>150</v>
      </c>
      <c r="D221" s="10" t="s">
        <v>147</v>
      </c>
      <c r="E221" s="11" t="s">
        <v>137</v>
      </c>
    </row>
    <row r="222" spans="1:5" x14ac:dyDescent="0.35">
      <c r="A222" s="6" t="s">
        <v>135</v>
      </c>
      <c r="B222" s="7"/>
      <c r="C222" s="7"/>
      <c r="D222" s="7" t="s">
        <v>148</v>
      </c>
      <c r="E222" s="8" t="s">
        <v>137</v>
      </c>
    </row>
    <row r="223" spans="1:5" x14ac:dyDescent="0.35">
      <c r="A223" s="9" t="s">
        <v>135</v>
      </c>
      <c r="B223" s="10"/>
      <c r="C223" s="10"/>
      <c r="D223" s="10" t="s">
        <v>149</v>
      </c>
      <c r="E223" s="11" t="s">
        <v>137</v>
      </c>
    </row>
    <row r="224" spans="1:5" x14ac:dyDescent="0.35">
      <c r="A224" s="6" t="s">
        <v>135</v>
      </c>
      <c r="B224" s="7" t="s">
        <v>166</v>
      </c>
      <c r="C224" s="7" t="s">
        <v>146</v>
      </c>
      <c r="D224" s="7" t="s">
        <v>147</v>
      </c>
      <c r="E224" s="8">
        <v>1637.06</v>
      </c>
    </row>
    <row r="225" spans="1:5" x14ac:dyDescent="0.35">
      <c r="A225" s="9" t="s">
        <v>135</v>
      </c>
      <c r="B225" s="10"/>
      <c r="C225" s="10"/>
      <c r="D225" s="10" t="s">
        <v>148</v>
      </c>
      <c r="E225" s="11">
        <v>1110.3399999999999</v>
      </c>
    </row>
    <row r="226" spans="1:5" x14ac:dyDescent="0.35">
      <c r="A226" s="6" t="s">
        <v>135</v>
      </c>
      <c r="B226" s="7"/>
      <c r="C226" s="7"/>
      <c r="D226" s="7" t="s">
        <v>149</v>
      </c>
      <c r="E226" s="8">
        <v>526.72</v>
      </c>
    </row>
    <row r="227" spans="1:5" x14ac:dyDescent="0.35">
      <c r="A227" s="9" t="s">
        <v>135</v>
      </c>
      <c r="B227" s="10"/>
      <c r="C227" s="10" t="s">
        <v>150</v>
      </c>
      <c r="D227" s="10" t="s">
        <v>147</v>
      </c>
      <c r="E227" s="11" t="s">
        <v>137</v>
      </c>
    </row>
    <row r="228" spans="1:5" x14ac:dyDescent="0.35">
      <c r="A228" s="6" t="s">
        <v>135</v>
      </c>
      <c r="B228" s="7"/>
      <c r="C228" s="7"/>
      <c r="D228" s="7" t="s">
        <v>148</v>
      </c>
      <c r="E228" s="8" t="s">
        <v>137</v>
      </c>
    </row>
    <row r="229" spans="1:5" x14ac:dyDescent="0.35">
      <c r="A229" s="9" t="s">
        <v>135</v>
      </c>
      <c r="B229" s="10"/>
      <c r="C229" s="10"/>
      <c r="D229" s="10" t="s">
        <v>149</v>
      </c>
      <c r="E229" s="11" t="s">
        <v>137</v>
      </c>
    </row>
    <row r="230" spans="1:5" x14ac:dyDescent="0.35">
      <c r="A230" s="6" t="s">
        <v>135</v>
      </c>
      <c r="B230" s="7" t="s">
        <v>167</v>
      </c>
      <c r="C230" s="7" t="s">
        <v>146</v>
      </c>
      <c r="D230" s="7" t="s">
        <v>147</v>
      </c>
      <c r="E230" s="8">
        <v>720</v>
      </c>
    </row>
    <row r="231" spans="1:5" x14ac:dyDescent="0.35">
      <c r="A231" s="9" t="s">
        <v>135</v>
      </c>
      <c r="B231" s="10"/>
      <c r="C231" s="10"/>
      <c r="D231" s="10" t="s">
        <v>148</v>
      </c>
      <c r="E231" s="11">
        <v>720</v>
      </c>
    </row>
    <row r="232" spans="1:5" x14ac:dyDescent="0.35">
      <c r="A232" s="6" t="s">
        <v>135</v>
      </c>
      <c r="B232" s="7"/>
      <c r="C232" s="7"/>
      <c r="D232" s="7" t="s">
        <v>149</v>
      </c>
      <c r="E232" s="8" t="s">
        <v>137</v>
      </c>
    </row>
    <row r="233" spans="1:5" x14ac:dyDescent="0.35">
      <c r="A233" s="9" t="s">
        <v>135</v>
      </c>
      <c r="B233" s="10"/>
      <c r="C233" s="10" t="s">
        <v>150</v>
      </c>
      <c r="D233" s="10" t="s">
        <v>147</v>
      </c>
      <c r="E233" s="11" t="s">
        <v>137</v>
      </c>
    </row>
    <row r="234" spans="1:5" x14ac:dyDescent="0.35">
      <c r="A234" s="6" t="s">
        <v>135</v>
      </c>
      <c r="B234" s="7"/>
      <c r="C234" s="7"/>
      <c r="D234" s="7" t="s">
        <v>148</v>
      </c>
      <c r="E234" s="8" t="s">
        <v>137</v>
      </c>
    </row>
    <row r="235" spans="1:5" x14ac:dyDescent="0.35">
      <c r="A235" s="9" t="s">
        <v>135</v>
      </c>
      <c r="B235" s="10"/>
      <c r="C235" s="10"/>
      <c r="D235" s="10" t="s">
        <v>149</v>
      </c>
      <c r="E235" s="11" t="s">
        <v>137</v>
      </c>
    </row>
    <row r="236" spans="1:5" x14ac:dyDescent="0.35">
      <c r="A236" s="6" t="s">
        <v>135</v>
      </c>
      <c r="B236" s="7" t="s">
        <v>168</v>
      </c>
      <c r="C236" s="7" t="s">
        <v>146</v>
      </c>
      <c r="D236" s="7" t="s">
        <v>147</v>
      </c>
      <c r="E236" s="8" t="s">
        <v>137</v>
      </c>
    </row>
    <row r="237" spans="1:5" x14ac:dyDescent="0.35">
      <c r="A237" s="9" t="s">
        <v>135</v>
      </c>
      <c r="B237" s="10"/>
      <c r="C237" s="10"/>
      <c r="D237" s="10" t="s">
        <v>148</v>
      </c>
      <c r="E237" s="11" t="s">
        <v>137</v>
      </c>
    </row>
    <row r="238" spans="1:5" x14ac:dyDescent="0.35">
      <c r="A238" s="6" t="s">
        <v>135</v>
      </c>
      <c r="B238" s="7"/>
      <c r="C238" s="7"/>
      <c r="D238" s="7" t="s">
        <v>149</v>
      </c>
      <c r="E238" s="8" t="s">
        <v>137</v>
      </c>
    </row>
    <row r="239" spans="1:5" x14ac:dyDescent="0.35">
      <c r="A239" s="9" t="s">
        <v>135</v>
      </c>
      <c r="B239" s="10"/>
      <c r="C239" s="10" t="s">
        <v>150</v>
      </c>
      <c r="D239" s="10" t="s">
        <v>147</v>
      </c>
      <c r="E239" s="11" t="s">
        <v>137</v>
      </c>
    </row>
    <row r="240" spans="1:5" x14ac:dyDescent="0.35">
      <c r="A240" s="6" t="s">
        <v>135</v>
      </c>
      <c r="B240" s="7"/>
      <c r="C240" s="7"/>
      <c r="D240" s="7" t="s">
        <v>148</v>
      </c>
      <c r="E240" s="8" t="s">
        <v>137</v>
      </c>
    </row>
    <row r="241" spans="1:5" x14ac:dyDescent="0.35">
      <c r="A241" s="9" t="s">
        <v>135</v>
      </c>
      <c r="B241" s="10"/>
      <c r="C241" s="10"/>
      <c r="D241" s="10" t="s">
        <v>149</v>
      </c>
      <c r="E241" s="11" t="s">
        <v>137</v>
      </c>
    </row>
    <row r="242" spans="1:5" x14ac:dyDescent="0.35">
      <c r="A242" s="6" t="s">
        <v>135</v>
      </c>
      <c r="B242" s="7" t="s">
        <v>169</v>
      </c>
      <c r="C242" s="7" t="s">
        <v>146</v>
      </c>
      <c r="D242" s="7" t="s">
        <v>147</v>
      </c>
      <c r="E242" s="8" t="s">
        <v>137</v>
      </c>
    </row>
    <row r="243" spans="1:5" x14ac:dyDescent="0.35">
      <c r="A243" s="9" t="s">
        <v>135</v>
      </c>
      <c r="B243" s="10"/>
      <c r="C243" s="10"/>
      <c r="D243" s="10" t="s">
        <v>148</v>
      </c>
      <c r="E243" s="11" t="s">
        <v>137</v>
      </c>
    </row>
    <row r="244" spans="1:5" x14ac:dyDescent="0.35">
      <c r="A244" s="6" t="s">
        <v>135</v>
      </c>
      <c r="B244" s="7"/>
      <c r="C244" s="7"/>
      <c r="D244" s="7" t="s">
        <v>149</v>
      </c>
      <c r="E244" s="8" t="s">
        <v>137</v>
      </c>
    </row>
    <row r="245" spans="1:5" x14ac:dyDescent="0.35">
      <c r="A245" s="9" t="s">
        <v>135</v>
      </c>
      <c r="B245" s="10"/>
      <c r="C245" s="10" t="s">
        <v>150</v>
      </c>
      <c r="D245" s="10" t="s">
        <v>147</v>
      </c>
      <c r="E245" s="11" t="s">
        <v>137</v>
      </c>
    </row>
    <row r="246" spans="1:5" x14ac:dyDescent="0.35">
      <c r="A246" s="6" t="s">
        <v>135</v>
      </c>
      <c r="B246" s="7"/>
      <c r="C246" s="7"/>
      <c r="D246" s="7" t="s">
        <v>148</v>
      </c>
      <c r="E246" s="8" t="s">
        <v>137</v>
      </c>
    </row>
    <row r="247" spans="1:5" x14ac:dyDescent="0.35">
      <c r="A247" s="9" t="s">
        <v>135</v>
      </c>
      <c r="B247" s="10"/>
      <c r="C247" s="10"/>
      <c r="D247" s="10" t="s">
        <v>149</v>
      </c>
      <c r="E247" s="11" t="s">
        <v>137</v>
      </c>
    </row>
    <row r="248" spans="1:5" x14ac:dyDescent="0.35">
      <c r="A248" s="6" t="s">
        <v>135</v>
      </c>
      <c r="B248" s="7" t="s">
        <v>170</v>
      </c>
      <c r="C248" s="7" t="s">
        <v>146</v>
      </c>
      <c r="D248" s="7" t="s">
        <v>147</v>
      </c>
      <c r="E248" s="8" t="s">
        <v>137</v>
      </c>
    </row>
    <row r="249" spans="1:5" x14ac:dyDescent="0.35">
      <c r="A249" s="9" t="s">
        <v>135</v>
      </c>
      <c r="B249" s="10"/>
      <c r="C249" s="10"/>
      <c r="D249" s="10" t="s">
        <v>148</v>
      </c>
      <c r="E249" s="11" t="s">
        <v>137</v>
      </c>
    </row>
    <row r="250" spans="1:5" x14ac:dyDescent="0.35">
      <c r="A250" s="6" t="s">
        <v>135</v>
      </c>
      <c r="B250" s="7"/>
      <c r="C250" s="7"/>
      <c r="D250" s="7" t="s">
        <v>149</v>
      </c>
      <c r="E250" s="8" t="s">
        <v>137</v>
      </c>
    </row>
    <row r="251" spans="1:5" x14ac:dyDescent="0.35">
      <c r="A251" s="9" t="s">
        <v>135</v>
      </c>
      <c r="B251" s="10"/>
      <c r="C251" s="10" t="s">
        <v>150</v>
      </c>
      <c r="D251" s="10" t="s">
        <v>147</v>
      </c>
      <c r="E251" s="11" t="s">
        <v>137</v>
      </c>
    </row>
    <row r="252" spans="1:5" x14ac:dyDescent="0.35">
      <c r="A252" s="6" t="s">
        <v>135</v>
      </c>
      <c r="B252" s="7"/>
      <c r="C252" s="7"/>
      <c r="D252" s="7" t="s">
        <v>148</v>
      </c>
      <c r="E252" s="8" t="s">
        <v>137</v>
      </c>
    </row>
    <row r="253" spans="1:5" x14ac:dyDescent="0.35">
      <c r="A253" s="9" t="s">
        <v>135</v>
      </c>
      <c r="B253" s="10"/>
      <c r="C253" s="10"/>
      <c r="D253" s="10" t="s">
        <v>149</v>
      </c>
      <c r="E253" s="11" t="s">
        <v>137</v>
      </c>
    </row>
    <row r="254" spans="1:5" x14ac:dyDescent="0.35">
      <c r="A254" s="6" t="s">
        <v>35</v>
      </c>
      <c r="B254" s="7" t="s">
        <v>145</v>
      </c>
      <c r="C254" s="7" t="s">
        <v>146</v>
      </c>
      <c r="D254" s="7" t="s">
        <v>147</v>
      </c>
      <c r="E254" s="8">
        <v>35.76</v>
      </c>
    </row>
    <row r="255" spans="1:5" x14ac:dyDescent="0.35">
      <c r="A255" s="9" t="s">
        <v>135</v>
      </c>
      <c r="B255" s="10"/>
      <c r="C255" s="10"/>
      <c r="D255" s="10" t="s">
        <v>148</v>
      </c>
      <c r="E255" s="11">
        <v>26.9</v>
      </c>
    </row>
    <row r="256" spans="1:5" x14ac:dyDescent="0.35">
      <c r="A256" s="6" t="s">
        <v>135</v>
      </c>
      <c r="B256" s="7"/>
      <c r="C256" s="7"/>
      <c r="D256" s="7" t="s">
        <v>149</v>
      </c>
      <c r="E256" s="8">
        <v>8.86</v>
      </c>
    </row>
    <row r="257" spans="1:5" x14ac:dyDescent="0.35">
      <c r="A257" s="9" t="s">
        <v>135</v>
      </c>
      <c r="B257" s="10"/>
      <c r="C257" s="10" t="s">
        <v>150</v>
      </c>
      <c r="D257" s="10" t="s">
        <v>147</v>
      </c>
      <c r="E257" s="11" t="s">
        <v>137</v>
      </c>
    </row>
    <row r="258" spans="1:5" x14ac:dyDescent="0.35">
      <c r="A258" s="6" t="s">
        <v>135</v>
      </c>
      <c r="B258" s="7"/>
      <c r="C258" s="7"/>
      <c r="D258" s="7" t="s">
        <v>148</v>
      </c>
      <c r="E258" s="8" t="s">
        <v>137</v>
      </c>
    </row>
    <row r="259" spans="1:5" x14ac:dyDescent="0.35">
      <c r="A259" s="9" t="s">
        <v>135</v>
      </c>
      <c r="B259" s="10"/>
      <c r="C259" s="10"/>
      <c r="D259" s="10" t="s">
        <v>149</v>
      </c>
      <c r="E259" s="11" t="s">
        <v>137</v>
      </c>
    </row>
    <row r="260" spans="1:5" x14ac:dyDescent="0.35">
      <c r="A260" s="6" t="s">
        <v>135</v>
      </c>
      <c r="B260" s="7" t="s">
        <v>151</v>
      </c>
      <c r="C260" s="7" t="s">
        <v>146</v>
      </c>
      <c r="D260" s="7" t="s">
        <v>147</v>
      </c>
      <c r="E260" s="8">
        <v>35.26</v>
      </c>
    </row>
    <row r="261" spans="1:5" x14ac:dyDescent="0.35">
      <c r="A261" s="9" t="s">
        <v>135</v>
      </c>
      <c r="B261" s="10"/>
      <c r="C261" s="10"/>
      <c r="D261" s="10" t="s">
        <v>148</v>
      </c>
      <c r="E261" s="11">
        <v>26.4</v>
      </c>
    </row>
    <row r="262" spans="1:5" x14ac:dyDescent="0.35">
      <c r="A262" s="6" t="s">
        <v>135</v>
      </c>
      <c r="B262" s="7"/>
      <c r="C262" s="7"/>
      <c r="D262" s="7" t="s">
        <v>149</v>
      </c>
      <c r="E262" s="8">
        <v>8.86</v>
      </c>
    </row>
    <row r="263" spans="1:5" x14ac:dyDescent="0.35">
      <c r="A263" s="9" t="s">
        <v>135</v>
      </c>
      <c r="B263" s="10"/>
      <c r="C263" s="10" t="s">
        <v>150</v>
      </c>
      <c r="D263" s="10" t="s">
        <v>147</v>
      </c>
      <c r="E263" s="11" t="s">
        <v>137</v>
      </c>
    </row>
    <row r="264" spans="1:5" x14ac:dyDescent="0.35">
      <c r="A264" s="6" t="s">
        <v>135</v>
      </c>
      <c r="B264" s="7"/>
      <c r="C264" s="7"/>
      <c r="D264" s="7" t="s">
        <v>148</v>
      </c>
      <c r="E264" s="8" t="s">
        <v>137</v>
      </c>
    </row>
    <row r="265" spans="1:5" x14ac:dyDescent="0.35">
      <c r="A265" s="9" t="s">
        <v>135</v>
      </c>
      <c r="B265" s="10"/>
      <c r="C265" s="10"/>
      <c r="D265" s="10" t="s">
        <v>149</v>
      </c>
      <c r="E265" s="11" t="s">
        <v>137</v>
      </c>
    </row>
    <row r="266" spans="1:5" x14ac:dyDescent="0.35">
      <c r="A266" s="6" t="s">
        <v>135</v>
      </c>
      <c r="B266" s="7" t="s">
        <v>152</v>
      </c>
      <c r="C266" s="7" t="s">
        <v>146</v>
      </c>
      <c r="D266" s="7" t="s">
        <v>147</v>
      </c>
      <c r="E266" s="8" t="s">
        <v>137</v>
      </c>
    </row>
    <row r="267" spans="1:5" x14ac:dyDescent="0.35">
      <c r="A267" s="9" t="s">
        <v>135</v>
      </c>
      <c r="B267" s="10"/>
      <c r="C267" s="10"/>
      <c r="D267" s="10" t="s">
        <v>148</v>
      </c>
      <c r="E267" s="11" t="s">
        <v>137</v>
      </c>
    </row>
    <row r="268" spans="1:5" x14ac:dyDescent="0.35">
      <c r="A268" s="6" t="s">
        <v>135</v>
      </c>
      <c r="B268" s="7"/>
      <c r="C268" s="7"/>
      <c r="D268" s="7" t="s">
        <v>149</v>
      </c>
      <c r="E268" s="8" t="s">
        <v>137</v>
      </c>
    </row>
    <row r="269" spans="1:5" x14ac:dyDescent="0.35">
      <c r="A269" s="9" t="s">
        <v>135</v>
      </c>
      <c r="B269" s="10"/>
      <c r="C269" s="10" t="s">
        <v>150</v>
      </c>
      <c r="D269" s="10" t="s">
        <v>147</v>
      </c>
      <c r="E269" s="11" t="s">
        <v>137</v>
      </c>
    </row>
    <row r="270" spans="1:5" x14ac:dyDescent="0.35">
      <c r="A270" s="6" t="s">
        <v>135</v>
      </c>
      <c r="B270" s="7"/>
      <c r="C270" s="7"/>
      <c r="D270" s="7" t="s">
        <v>148</v>
      </c>
      <c r="E270" s="8" t="s">
        <v>137</v>
      </c>
    </row>
    <row r="271" spans="1:5" x14ac:dyDescent="0.35">
      <c r="A271" s="9" t="s">
        <v>135</v>
      </c>
      <c r="B271" s="10"/>
      <c r="C271" s="10"/>
      <c r="D271" s="10" t="s">
        <v>149</v>
      </c>
      <c r="E271" s="11" t="s">
        <v>137</v>
      </c>
    </row>
    <row r="272" spans="1:5" x14ac:dyDescent="0.35">
      <c r="A272" s="6" t="s">
        <v>135</v>
      </c>
      <c r="B272" s="7" t="s">
        <v>153</v>
      </c>
      <c r="C272" s="7" t="s">
        <v>146</v>
      </c>
      <c r="D272" s="7" t="s">
        <v>147</v>
      </c>
      <c r="E272" s="8" t="s">
        <v>137</v>
      </c>
    </row>
    <row r="273" spans="1:5" x14ac:dyDescent="0.35">
      <c r="A273" s="9" t="s">
        <v>135</v>
      </c>
      <c r="B273" s="10"/>
      <c r="C273" s="10"/>
      <c r="D273" s="10" t="s">
        <v>148</v>
      </c>
      <c r="E273" s="11" t="s">
        <v>137</v>
      </c>
    </row>
    <row r="274" spans="1:5" x14ac:dyDescent="0.35">
      <c r="A274" s="6" t="s">
        <v>135</v>
      </c>
      <c r="B274" s="7"/>
      <c r="C274" s="7"/>
      <c r="D274" s="7" t="s">
        <v>149</v>
      </c>
      <c r="E274" s="8" t="s">
        <v>137</v>
      </c>
    </row>
    <row r="275" spans="1:5" x14ac:dyDescent="0.35">
      <c r="A275" s="9" t="s">
        <v>135</v>
      </c>
      <c r="B275" s="10"/>
      <c r="C275" s="10" t="s">
        <v>150</v>
      </c>
      <c r="D275" s="10" t="s">
        <v>147</v>
      </c>
      <c r="E275" s="11" t="s">
        <v>137</v>
      </c>
    </row>
    <row r="276" spans="1:5" x14ac:dyDescent="0.35">
      <c r="A276" s="6" t="s">
        <v>135</v>
      </c>
      <c r="B276" s="7"/>
      <c r="C276" s="7"/>
      <c r="D276" s="7" t="s">
        <v>148</v>
      </c>
      <c r="E276" s="8" t="s">
        <v>137</v>
      </c>
    </row>
    <row r="277" spans="1:5" x14ac:dyDescent="0.35">
      <c r="A277" s="9" t="s">
        <v>135</v>
      </c>
      <c r="B277" s="10"/>
      <c r="C277" s="10"/>
      <c r="D277" s="10" t="s">
        <v>149</v>
      </c>
      <c r="E277" s="11" t="s">
        <v>137</v>
      </c>
    </row>
    <row r="278" spans="1:5" x14ac:dyDescent="0.35">
      <c r="A278" s="6" t="s">
        <v>135</v>
      </c>
      <c r="B278" s="7" t="s">
        <v>154</v>
      </c>
      <c r="C278" s="7" t="s">
        <v>146</v>
      </c>
      <c r="D278" s="7" t="s">
        <v>147</v>
      </c>
      <c r="E278" s="8" t="s">
        <v>137</v>
      </c>
    </row>
    <row r="279" spans="1:5" x14ac:dyDescent="0.35">
      <c r="A279" s="9" t="s">
        <v>135</v>
      </c>
      <c r="B279" s="10"/>
      <c r="C279" s="10"/>
      <c r="D279" s="10" t="s">
        <v>148</v>
      </c>
      <c r="E279" s="11" t="s">
        <v>137</v>
      </c>
    </row>
    <row r="280" spans="1:5" x14ac:dyDescent="0.35">
      <c r="A280" s="6" t="s">
        <v>135</v>
      </c>
      <c r="B280" s="7"/>
      <c r="C280" s="7"/>
      <c r="D280" s="7" t="s">
        <v>149</v>
      </c>
      <c r="E280" s="8" t="s">
        <v>137</v>
      </c>
    </row>
    <row r="281" spans="1:5" x14ac:dyDescent="0.35">
      <c r="A281" s="9" t="s">
        <v>135</v>
      </c>
      <c r="B281" s="10"/>
      <c r="C281" s="10" t="s">
        <v>150</v>
      </c>
      <c r="D281" s="10" t="s">
        <v>147</v>
      </c>
      <c r="E281" s="11" t="s">
        <v>137</v>
      </c>
    </row>
    <row r="282" spans="1:5" x14ac:dyDescent="0.35">
      <c r="A282" s="6" t="s">
        <v>135</v>
      </c>
      <c r="B282" s="7"/>
      <c r="C282" s="7"/>
      <c r="D282" s="7" t="s">
        <v>148</v>
      </c>
      <c r="E282" s="8" t="s">
        <v>137</v>
      </c>
    </row>
    <row r="283" spans="1:5" x14ac:dyDescent="0.35">
      <c r="A283" s="9" t="s">
        <v>135</v>
      </c>
      <c r="B283" s="10"/>
      <c r="C283" s="10"/>
      <c r="D283" s="10" t="s">
        <v>149</v>
      </c>
      <c r="E283" s="11" t="s">
        <v>137</v>
      </c>
    </row>
    <row r="284" spans="1:5" x14ac:dyDescent="0.35">
      <c r="A284" s="6" t="s">
        <v>135</v>
      </c>
      <c r="B284" s="7" t="s">
        <v>155</v>
      </c>
      <c r="C284" s="7" t="s">
        <v>146</v>
      </c>
      <c r="D284" s="7" t="s">
        <v>147</v>
      </c>
      <c r="E284" s="8">
        <v>0.5</v>
      </c>
    </row>
    <row r="285" spans="1:5" x14ac:dyDescent="0.35">
      <c r="A285" s="9" t="s">
        <v>135</v>
      </c>
      <c r="B285" s="10"/>
      <c r="C285" s="10"/>
      <c r="D285" s="10" t="s">
        <v>148</v>
      </c>
      <c r="E285" s="11">
        <v>0.5</v>
      </c>
    </row>
    <row r="286" spans="1:5" x14ac:dyDescent="0.35">
      <c r="A286" s="6" t="s">
        <v>135</v>
      </c>
      <c r="B286" s="7"/>
      <c r="C286" s="7"/>
      <c r="D286" s="7" t="s">
        <v>149</v>
      </c>
      <c r="E286" s="8" t="s">
        <v>137</v>
      </c>
    </row>
    <row r="287" spans="1:5" x14ac:dyDescent="0.35">
      <c r="A287" s="9" t="s">
        <v>135</v>
      </c>
      <c r="B287" s="10"/>
      <c r="C287" s="10" t="s">
        <v>150</v>
      </c>
      <c r="D287" s="10" t="s">
        <v>147</v>
      </c>
      <c r="E287" s="11" t="s">
        <v>137</v>
      </c>
    </row>
    <row r="288" spans="1:5" x14ac:dyDescent="0.35">
      <c r="A288" s="6" t="s">
        <v>135</v>
      </c>
      <c r="B288" s="7"/>
      <c r="C288" s="7"/>
      <c r="D288" s="7" t="s">
        <v>148</v>
      </c>
      <c r="E288" s="8" t="s">
        <v>137</v>
      </c>
    </row>
    <row r="289" spans="1:5" x14ac:dyDescent="0.35">
      <c r="A289" s="9" t="s">
        <v>135</v>
      </c>
      <c r="B289" s="10"/>
      <c r="C289" s="10"/>
      <c r="D289" s="10" t="s">
        <v>149</v>
      </c>
      <c r="E289" s="11" t="s">
        <v>137</v>
      </c>
    </row>
    <row r="290" spans="1:5" x14ac:dyDescent="0.35">
      <c r="A290" s="6" t="s">
        <v>135</v>
      </c>
      <c r="B290" s="7" t="s">
        <v>156</v>
      </c>
      <c r="C290" s="7" t="s">
        <v>146</v>
      </c>
      <c r="D290" s="7" t="s">
        <v>147</v>
      </c>
      <c r="E290" s="8" t="s">
        <v>137</v>
      </c>
    </row>
    <row r="291" spans="1:5" x14ac:dyDescent="0.35">
      <c r="A291" s="9" t="s">
        <v>135</v>
      </c>
      <c r="B291" s="10"/>
      <c r="C291" s="10"/>
      <c r="D291" s="10" t="s">
        <v>148</v>
      </c>
      <c r="E291" s="11" t="s">
        <v>137</v>
      </c>
    </row>
    <row r="292" spans="1:5" x14ac:dyDescent="0.35">
      <c r="A292" s="6" t="s">
        <v>135</v>
      </c>
      <c r="B292" s="7"/>
      <c r="C292" s="7"/>
      <c r="D292" s="7" t="s">
        <v>149</v>
      </c>
      <c r="E292" s="8" t="s">
        <v>137</v>
      </c>
    </row>
    <row r="293" spans="1:5" x14ac:dyDescent="0.35">
      <c r="A293" s="9" t="s">
        <v>135</v>
      </c>
      <c r="B293" s="10"/>
      <c r="C293" s="10" t="s">
        <v>150</v>
      </c>
      <c r="D293" s="10" t="s">
        <v>147</v>
      </c>
      <c r="E293" s="11" t="s">
        <v>137</v>
      </c>
    </row>
    <row r="294" spans="1:5" x14ac:dyDescent="0.35">
      <c r="A294" s="6" t="s">
        <v>135</v>
      </c>
      <c r="B294" s="7"/>
      <c r="C294" s="7"/>
      <c r="D294" s="7" t="s">
        <v>148</v>
      </c>
      <c r="E294" s="8" t="s">
        <v>137</v>
      </c>
    </row>
    <row r="295" spans="1:5" x14ac:dyDescent="0.35">
      <c r="A295" s="9" t="s">
        <v>135</v>
      </c>
      <c r="B295" s="10"/>
      <c r="C295" s="10"/>
      <c r="D295" s="10" t="s">
        <v>149</v>
      </c>
      <c r="E295" s="11" t="s">
        <v>137</v>
      </c>
    </row>
    <row r="296" spans="1:5" x14ac:dyDescent="0.35">
      <c r="A296" s="6" t="s">
        <v>135</v>
      </c>
      <c r="B296" s="7" t="s">
        <v>157</v>
      </c>
      <c r="C296" s="7" t="s">
        <v>146</v>
      </c>
      <c r="D296" s="7" t="s">
        <v>147</v>
      </c>
      <c r="E296" s="8" t="s">
        <v>137</v>
      </c>
    </row>
    <row r="297" spans="1:5" x14ac:dyDescent="0.35">
      <c r="A297" s="9" t="s">
        <v>135</v>
      </c>
      <c r="B297" s="10"/>
      <c r="C297" s="10"/>
      <c r="D297" s="10" t="s">
        <v>148</v>
      </c>
      <c r="E297" s="11" t="s">
        <v>137</v>
      </c>
    </row>
    <row r="298" spans="1:5" x14ac:dyDescent="0.35">
      <c r="A298" s="6" t="s">
        <v>135</v>
      </c>
      <c r="B298" s="7"/>
      <c r="C298" s="7"/>
      <c r="D298" s="7" t="s">
        <v>149</v>
      </c>
      <c r="E298" s="8" t="s">
        <v>137</v>
      </c>
    </row>
    <row r="299" spans="1:5" x14ac:dyDescent="0.35">
      <c r="A299" s="9" t="s">
        <v>135</v>
      </c>
      <c r="B299" s="10"/>
      <c r="C299" s="10" t="s">
        <v>150</v>
      </c>
      <c r="D299" s="10" t="s">
        <v>147</v>
      </c>
      <c r="E299" s="11" t="s">
        <v>137</v>
      </c>
    </row>
    <row r="300" spans="1:5" x14ac:dyDescent="0.35">
      <c r="A300" s="6" t="s">
        <v>135</v>
      </c>
      <c r="B300" s="7"/>
      <c r="C300" s="7"/>
      <c r="D300" s="7" t="s">
        <v>148</v>
      </c>
      <c r="E300" s="8" t="s">
        <v>137</v>
      </c>
    </row>
    <row r="301" spans="1:5" x14ac:dyDescent="0.35">
      <c r="A301" s="9" t="s">
        <v>135</v>
      </c>
      <c r="B301" s="10"/>
      <c r="C301" s="10"/>
      <c r="D301" s="10" t="s">
        <v>149</v>
      </c>
      <c r="E301" s="11" t="s">
        <v>137</v>
      </c>
    </row>
    <row r="302" spans="1:5" x14ac:dyDescent="0.35">
      <c r="A302" s="6" t="s">
        <v>135</v>
      </c>
      <c r="B302" s="7" t="s">
        <v>158</v>
      </c>
      <c r="C302" s="7" t="s">
        <v>146</v>
      </c>
      <c r="D302" s="7" t="s">
        <v>147</v>
      </c>
      <c r="E302" s="8" t="s">
        <v>137</v>
      </c>
    </row>
    <row r="303" spans="1:5" x14ac:dyDescent="0.35">
      <c r="A303" s="9" t="s">
        <v>135</v>
      </c>
      <c r="B303" s="10"/>
      <c r="C303" s="10"/>
      <c r="D303" s="10" t="s">
        <v>148</v>
      </c>
      <c r="E303" s="11" t="s">
        <v>137</v>
      </c>
    </row>
    <row r="304" spans="1:5" x14ac:dyDescent="0.35">
      <c r="A304" s="6" t="s">
        <v>135</v>
      </c>
      <c r="B304" s="7"/>
      <c r="C304" s="7"/>
      <c r="D304" s="7" t="s">
        <v>149</v>
      </c>
      <c r="E304" s="8" t="s">
        <v>137</v>
      </c>
    </row>
    <row r="305" spans="1:5" x14ac:dyDescent="0.35">
      <c r="A305" s="9" t="s">
        <v>135</v>
      </c>
      <c r="B305" s="10"/>
      <c r="C305" s="10" t="s">
        <v>150</v>
      </c>
      <c r="D305" s="10" t="s">
        <v>147</v>
      </c>
      <c r="E305" s="11" t="s">
        <v>137</v>
      </c>
    </row>
    <row r="306" spans="1:5" x14ac:dyDescent="0.35">
      <c r="A306" s="6" t="s">
        <v>135</v>
      </c>
      <c r="B306" s="7"/>
      <c r="C306" s="7"/>
      <c r="D306" s="7" t="s">
        <v>148</v>
      </c>
      <c r="E306" s="8" t="s">
        <v>137</v>
      </c>
    </row>
    <row r="307" spans="1:5" x14ac:dyDescent="0.35">
      <c r="A307" s="9" t="s">
        <v>135</v>
      </c>
      <c r="B307" s="10"/>
      <c r="C307" s="10"/>
      <c r="D307" s="10" t="s">
        <v>149</v>
      </c>
      <c r="E307" s="11" t="s">
        <v>137</v>
      </c>
    </row>
    <row r="308" spans="1:5" x14ac:dyDescent="0.35">
      <c r="A308" s="6" t="s">
        <v>135</v>
      </c>
      <c r="B308" s="7" t="s">
        <v>159</v>
      </c>
      <c r="C308" s="7" t="s">
        <v>146</v>
      </c>
      <c r="D308" s="7" t="s">
        <v>147</v>
      </c>
      <c r="E308" s="8" t="s">
        <v>137</v>
      </c>
    </row>
    <row r="309" spans="1:5" x14ac:dyDescent="0.35">
      <c r="A309" s="9" t="s">
        <v>135</v>
      </c>
      <c r="B309" s="10"/>
      <c r="C309" s="10"/>
      <c r="D309" s="10" t="s">
        <v>148</v>
      </c>
      <c r="E309" s="11" t="s">
        <v>137</v>
      </c>
    </row>
    <row r="310" spans="1:5" x14ac:dyDescent="0.35">
      <c r="A310" s="6" t="s">
        <v>135</v>
      </c>
      <c r="B310" s="7"/>
      <c r="C310" s="7"/>
      <c r="D310" s="7" t="s">
        <v>149</v>
      </c>
      <c r="E310" s="8" t="s">
        <v>137</v>
      </c>
    </row>
    <row r="311" spans="1:5" x14ac:dyDescent="0.35">
      <c r="A311" s="9" t="s">
        <v>135</v>
      </c>
      <c r="B311" s="10"/>
      <c r="C311" s="10" t="s">
        <v>150</v>
      </c>
      <c r="D311" s="10" t="s">
        <v>147</v>
      </c>
      <c r="E311" s="11" t="s">
        <v>137</v>
      </c>
    </row>
    <row r="312" spans="1:5" x14ac:dyDescent="0.35">
      <c r="A312" s="6" t="s">
        <v>135</v>
      </c>
      <c r="B312" s="7"/>
      <c r="C312" s="7"/>
      <c r="D312" s="7" t="s">
        <v>148</v>
      </c>
      <c r="E312" s="8" t="s">
        <v>137</v>
      </c>
    </row>
    <row r="313" spans="1:5" x14ac:dyDescent="0.35">
      <c r="A313" s="9" t="s">
        <v>135</v>
      </c>
      <c r="B313" s="10"/>
      <c r="C313" s="10"/>
      <c r="D313" s="10" t="s">
        <v>149</v>
      </c>
      <c r="E313" s="11" t="s">
        <v>137</v>
      </c>
    </row>
    <row r="314" spans="1:5" x14ac:dyDescent="0.35">
      <c r="A314" s="6" t="s">
        <v>135</v>
      </c>
      <c r="B314" s="7" t="s">
        <v>160</v>
      </c>
      <c r="C314" s="7" t="s">
        <v>146</v>
      </c>
      <c r="D314" s="7" t="s">
        <v>147</v>
      </c>
      <c r="E314" s="8" t="s">
        <v>137</v>
      </c>
    </row>
    <row r="315" spans="1:5" x14ac:dyDescent="0.35">
      <c r="A315" s="9" t="s">
        <v>135</v>
      </c>
      <c r="B315" s="10"/>
      <c r="C315" s="10"/>
      <c r="D315" s="10" t="s">
        <v>148</v>
      </c>
      <c r="E315" s="11" t="s">
        <v>137</v>
      </c>
    </row>
    <row r="316" spans="1:5" x14ac:dyDescent="0.35">
      <c r="A316" s="6" t="s">
        <v>135</v>
      </c>
      <c r="B316" s="7"/>
      <c r="C316" s="7"/>
      <c r="D316" s="7" t="s">
        <v>149</v>
      </c>
      <c r="E316" s="8" t="s">
        <v>137</v>
      </c>
    </row>
    <row r="317" spans="1:5" x14ac:dyDescent="0.35">
      <c r="A317" s="9" t="s">
        <v>135</v>
      </c>
      <c r="B317" s="10"/>
      <c r="C317" s="10" t="s">
        <v>150</v>
      </c>
      <c r="D317" s="10" t="s">
        <v>147</v>
      </c>
      <c r="E317" s="11" t="s">
        <v>137</v>
      </c>
    </row>
    <row r="318" spans="1:5" x14ac:dyDescent="0.35">
      <c r="A318" s="6" t="s">
        <v>135</v>
      </c>
      <c r="B318" s="7"/>
      <c r="C318" s="7"/>
      <c r="D318" s="7" t="s">
        <v>148</v>
      </c>
      <c r="E318" s="8" t="s">
        <v>137</v>
      </c>
    </row>
    <row r="319" spans="1:5" x14ac:dyDescent="0.35">
      <c r="A319" s="9" t="s">
        <v>135</v>
      </c>
      <c r="B319" s="10"/>
      <c r="C319" s="10"/>
      <c r="D319" s="10" t="s">
        <v>149</v>
      </c>
      <c r="E319" s="11" t="s">
        <v>137</v>
      </c>
    </row>
    <row r="320" spans="1:5" x14ac:dyDescent="0.35">
      <c r="A320" s="6" t="s">
        <v>135</v>
      </c>
      <c r="B320" s="7" t="s">
        <v>161</v>
      </c>
      <c r="C320" s="7" t="s">
        <v>146</v>
      </c>
      <c r="D320" s="7" t="s">
        <v>147</v>
      </c>
      <c r="E320" s="8" t="s">
        <v>137</v>
      </c>
    </row>
    <row r="321" spans="1:5" x14ac:dyDescent="0.35">
      <c r="A321" s="9" t="s">
        <v>135</v>
      </c>
      <c r="B321" s="10"/>
      <c r="C321" s="10"/>
      <c r="D321" s="10" t="s">
        <v>148</v>
      </c>
      <c r="E321" s="11" t="s">
        <v>137</v>
      </c>
    </row>
    <row r="322" spans="1:5" x14ac:dyDescent="0.35">
      <c r="A322" s="6" t="s">
        <v>135</v>
      </c>
      <c r="B322" s="7"/>
      <c r="C322" s="7"/>
      <c r="D322" s="7" t="s">
        <v>149</v>
      </c>
      <c r="E322" s="8" t="s">
        <v>137</v>
      </c>
    </row>
    <row r="323" spans="1:5" x14ac:dyDescent="0.35">
      <c r="A323" s="9" t="s">
        <v>135</v>
      </c>
      <c r="B323" s="10"/>
      <c r="C323" s="10" t="s">
        <v>150</v>
      </c>
      <c r="D323" s="10" t="s">
        <v>147</v>
      </c>
      <c r="E323" s="11" t="s">
        <v>137</v>
      </c>
    </row>
    <row r="324" spans="1:5" x14ac:dyDescent="0.35">
      <c r="A324" s="6" t="s">
        <v>135</v>
      </c>
      <c r="B324" s="7"/>
      <c r="C324" s="7"/>
      <c r="D324" s="7" t="s">
        <v>148</v>
      </c>
      <c r="E324" s="8" t="s">
        <v>137</v>
      </c>
    </row>
    <row r="325" spans="1:5" x14ac:dyDescent="0.35">
      <c r="A325" s="9" t="s">
        <v>135</v>
      </c>
      <c r="B325" s="10"/>
      <c r="C325" s="10"/>
      <c r="D325" s="10" t="s">
        <v>149</v>
      </c>
      <c r="E325" s="11" t="s">
        <v>137</v>
      </c>
    </row>
    <row r="326" spans="1:5" x14ac:dyDescent="0.35">
      <c r="A326" s="6" t="s">
        <v>135</v>
      </c>
      <c r="B326" s="7" t="s">
        <v>162</v>
      </c>
      <c r="C326" s="7" t="s">
        <v>146</v>
      </c>
      <c r="D326" s="7" t="s">
        <v>147</v>
      </c>
      <c r="E326" s="8" t="s">
        <v>137</v>
      </c>
    </row>
    <row r="327" spans="1:5" x14ac:dyDescent="0.35">
      <c r="A327" s="9" t="s">
        <v>135</v>
      </c>
      <c r="B327" s="10"/>
      <c r="C327" s="10"/>
      <c r="D327" s="10" t="s">
        <v>148</v>
      </c>
      <c r="E327" s="11" t="s">
        <v>137</v>
      </c>
    </row>
    <row r="328" spans="1:5" x14ac:dyDescent="0.35">
      <c r="A328" s="6" t="s">
        <v>135</v>
      </c>
      <c r="B328" s="7"/>
      <c r="C328" s="7"/>
      <c r="D328" s="7" t="s">
        <v>149</v>
      </c>
      <c r="E328" s="8" t="s">
        <v>137</v>
      </c>
    </row>
    <row r="329" spans="1:5" x14ac:dyDescent="0.35">
      <c r="A329" s="9" t="s">
        <v>135</v>
      </c>
      <c r="B329" s="10"/>
      <c r="C329" s="10" t="s">
        <v>150</v>
      </c>
      <c r="D329" s="10" t="s">
        <v>147</v>
      </c>
      <c r="E329" s="11" t="s">
        <v>137</v>
      </c>
    </row>
    <row r="330" spans="1:5" x14ac:dyDescent="0.35">
      <c r="A330" s="6" t="s">
        <v>135</v>
      </c>
      <c r="B330" s="7"/>
      <c r="C330" s="7"/>
      <c r="D330" s="7" t="s">
        <v>148</v>
      </c>
      <c r="E330" s="8" t="s">
        <v>137</v>
      </c>
    </row>
    <row r="331" spans="1:5" x14ac:dyDescent="0.35">
      <c r="A331" s="9" t="s">
        <v>135</v>
      </c>
      <c r="B331" s="10"/>
      <c r="C331" s="10"/>
      <c r="D331" s="10" t="s">
        <v>149</v>
      </c>
      <c r="E331" s="11" t="s">
        <v>137</v>
      </c>
    </row>
    <row r="332" spans="1:5" x14ac:dyDescent="0.35">
      <c r="A332" s="6" t="s">
        <v>135</v>
      </c>
      <c r="B332" s="7" t="s">
        <v>163</v>
      </c>
      <c r="C332" s="7" t="s">
        <v>146</v>
      </c>
      <c r="D332" s="7" t="s">
        <v>147</v>
      </c>
      <c r="E332" s="8">
        <v>301</v>
      </c>
    </row>
    <row r="333" spans="1:5" x14ac:dyDescent="0.35">
      <c r="A333" s="9" t="s">
        <v>135</v>
      </c>
      <c r="B333" s="10"/>
      <c r="C333" s="10"/>
      <c r="D333" s="10" t="s">
        <v>148</v>
      </c>
      <c r="E333" s="11">
        <v>301</v>
      </c>
    </row>
    <row r="334" spans="1:5" x14ac:dyDescent="0.35">
      <c r="A334" s="6" t="s">
        <v>135</v>
      </c>
      <c r="B334" s="7"/>
      <c r="C334" s="7"/>
      <c r="D334" s="7" t="s">
        <v>149</v>
      </c>
      <c r="E334" s="8" t="s">
        <v>137</v>
      </c>
    </row>
    <row r="335" spans="1:5" x14ac:dyDescent="0.35">
      <c r="A335" s="9" t="s">
        <v>135</v>
      </c>
      <c r="B335" s="10"/>
      <c r="C335" s="10" t="s">
        <v>150</v>
      </c>
      <c r="D335" s="10" t="s">
        <v>147</v>
      </c>
      <c r="E335" s="11" t="s">
        <v>137</v>
      </c>
    </row>
    <row r="336" spans="1:5" x14ac:dyDescent="0.35">
      <c r="A336" s="6" t="s">
        <v>135</v>
      </c>
      <c r="B336" s="7"/>
      <c r="C336" s="7"/>
      <c r="D336" s="7" t="s">
        <v>148</v>
      </c>
      <c r="E336" s="8" t="s">
        <v>137</v>
      </c>
    </row>
    <row r="337" spans="1:5" x14ac:dyDescent="0.35">
      <c r="A337" s="9" t="s">
        <v>135</v>
      </c>
      <c r="B337" s="10"/>
      <c r="C337" s="10"/>
      <c r="D337" s="10" t="s">
        <v>149</v>
      </c>
      <c r="E337" s="11" t="s">
        <v>137</v>
      </c>
    </row>
    <row r="338" spans="1:5" x14ac:dyDescent="0.35">
      <c r="A338" s="6" t="s">
        <v>135</v>
      </c>
      <c r="B338" s="7" t="s">
        <v>164</v>
      </c>
      <c r="C338" s="7" t="s">
        <v>146</v>
      </c>
      <c r="D338" s="7" t="s">
        <v>147</v>
      </c>
      <c r="E338" s="8" t="s">
        <v>137</v>
      </c>
    </row>
    <row r="339" spans="1:5" x14ac:dyDescent="0.35">
      <c r="A339" s="9" t="s">
        <v>135</v>
      </c>
      <c r="B339" s="10"/>
      <c r="C339" s="10"/>
      <c r="D339" s="10" t="s">
        <v>148</v>
      </c>
      <c r="E339" s="11" t="s">
        <v>137</v>
      </c>
    </row>
    <row r="340" spans="1:5" x14ac:dyDescent="0.35">
      <c r="A340" s="6" t="s">
        <v>135</v>
      </c>
      <c r="B340" s="7"/>
      <c r="C340" s="7"/>
      <c r="D340" s="7" t="s">
        <v>149</v>
      </c>
      <c r="E340" s="8" t="s">
        <v>137</v>
      </c>
    </row>
    <row r="341" spans="1:5" x14ac:dyDescent="0.35">
      <c r="A341" s="9" t="s">
        <v>135</v>
      </c>
      <c r="B341" s="10"/>
      <c r="C341" s="10" t="s">
        <v>150</v>
      </c>
      <c r="D341" s="10" t="s">
        <v>147</v>
      </c>
      <c r="E341" s="11" t="s">
        <v>137</v>
      </c>
    </row>
    <row r="342" spans="1:5" x14ac:dyDescent="0.35">
      <c r="A342" s="6" t="s">
        <v>135</v>
      </c>
      <c r="B342" s="7"/>
      <c r="C342" s="7"/>
      <c r="D342" s="7" t="s">
        <v>148</v>
      </c>
      <c r="E342" s="8" t="s">
        <v>137</v>
      </c>
    </row>
    <row r="343" spans="1:5" x14ac:dyDescent="0.35">
      <c r="A343" s="9" t="s">
        <v>135</v>
      </c>
      <c r="B343" s="10"/>
      <c r="C343" s="10"/>
      <c r="D343" s="10" t="s">
        <v>149</v>
      </c>
      <c r="E343" s="11" t="s">
        <v>137</v>
      </c>
    </row>
    <row r="344" spans="1:5" x14ac:dyDescent="0.35">
      <c r="A344" s="6" t="s">
        <v>135</v>
      </c>
      <c r="B344" s="7" t="s">
        <v>165</v>
      </c>
      <c r="C344" s="7" t="s">
        <v>146</v>
      </c>
      <c r="D344" s="7" t="s">
        <v>147</v>
      </c>
      <c r="E344" s="8" t="s">
        <v>137</v>
      </c>
    </row>
    <row r="345" spans="1:5" x14ac:dyDescent="0.35">
      <c r="A345" s="9" t="s">
        <v>135</v>
      </c>
      <c r="B345" s="10"/>
      <c r="C345" s="10"/>
      <c r="D345" s="10" t="s">
        <v>148</v>
      </c>
      <c r="E345" s="11" t="s">
        <v>137</v>
      </c>
    </row>
    <row r="346" spans="1:5" x14ac:dyDescent="0.35">
      <c r="A346" s="6" t="s">
        <v>135</v>
      </c>
      <c r="B346" s="7"/>
      <c r="C346" s="7"/>
      <c r="D346" s="7" t="s">
        <v>149</v>
      </c>
      <c r="E346" s="8" t="s">
        <v>137</v>
      </c>
    </row>
    <row r="347" spans="1:5" x14ac:dyDescent="0.35">
      <c r="A347" s="9" t="s">
        <v>135</v>
      </c>
      <c r="B347" s="10"/>
      <c r="C347" s="10" t="s">
        <v>150</v>
      </c>
      <c r="D347" s="10" t="s">
        <v>147</v>
      </c>
      <c r="E347" s="11" t="s">
        <v>137</v>
      </c>
    </row>
    <row r="348" spans="1:5" x14ac:dyDescent="0.35">
      <c r="A348" s="6" t="s">
        <v>135</v>
      </c>
      <c r="B348" s="7"/>
      <c r="C348" s="7"/>
      <c r="D348" s="7" t="s">
        <v>148</v>
      </c>
      <c r="E348" s="8" t="s">
        <v>137</v>
      </c>
    </row>
    <row r="349" spans="1:5" x14ac:dyDescent="0.35">
      <c r="A349" s="9" t="s">
        <v>135</v>
      </c>
      <c r="B349" s="10"/>
      <c r="C349" s="10"/>
      <c r="D349" s="10" t="s">
        <v>149</v>
      </c>
      <c r="E349" s="11" t="s">
        <v>137</v>
      </c>
    </row>
    <row r="350" spans="1:5" x14ac:dyDescent="0.35">
      <c r="A350" s="6" t="s">
        <v>135</v>
      </c>
      <c r="B350" s="7" t="s">
        <v>166</v>
      </c>
      <c r="C350" s="7" t="s">
        <v>146</v>
      </c>
      <c r="D350" s="7" t="s">
        <v>147</v>
      </c>
      <c r="E350" s="8">
        <v>174</v>
      </c>
    </row>
    <row r="351" spans="1:5" x14ac:dyDescent="0.35">
      <c r="A351" s="9" t="s">
        <v>135</v>
      </c>
      <c r="B351" s="10"/>
      <c r="C351" s="10"/>
      <c r="D351" s="10" t="s">
        <v>148</v>
      </c>
      <c r="E351" s="11">
        <v>174</v>
      </c>
    </row>
    <row r="352" spans="1:5" x14ac:dyDescent="0.35">
      <c r="A352" s="6" t="s">
        <v>135</v>
      </c>
      <c r="B352" s="7"/>
      <c r="C352" s="7"/>
      <c r="D352" s="7" t="s">
        <v>149</v>
      </c>
      <c r="E352" s="8" t="s">
        <v>137</v>
      </c>
    </row>
    <row r="353" spans="1:5" x14ac:dyDescent="0.35">
      <c r="A353" s="9" t="s">
        <v>135</v>
      </c>
      <c r="B353" s="10"/>
      <c r="C353" s="10" t="s">
        <v>150</v>
      </c>
      <c r="D353" s="10" t="s">
        <v>147</v>
      </c>
      <c r="E353" s="11" t="s">
        <v>137</v>
      </c>
    </row>
    <row r="354" spans="1:5" x14ac:dyDescent="0.35">
      <c r="A354" s="6" t="s">
        <v>135</v>
      </c>
      <c r="B354" s="7"/>
      <c r="C354" s="7"/>
      <c r="D354" s="7" t="s">
        <v>148</v>
      </c>
      <c r="E354" s="8" t="s">
        <v>137</v>
      </c>
    </row>
    <row r="355" spans="1:5" x14ac:dyDescent="0.35">
      <c r="A355" s="9" t="s">
        <v>135</v>
      </c>
      <c r="B355" s="10"/>
      <c r="C355" s="10"/>
      <c r="D355" s="10" t="s">
        <v>149</v>
      </c>
      <c r="E355" s="11" t="s">
        <v>137</v>
      </c>
    </row>
    <row r="356" spans="1:5" x14ac:dyDescent="0.35">
      <c r="A356" s="6" t="s">
        <v>135</v>
      </c>
      <c r="B356" s="7" t="s">
        <v>167</v>
      </c>
      <c r="C356" s="7" t="s">
        <v>146</v>
      </c>
      <c r="D356" s="7" t="s">
        <v>147</v>
      </c>
      <c r="E356" s="8">
        <v>127</v>
      </c>
    </row>
    <row r="357" spans="1:5" x14ac:dyDescent="0.35">
      <c r="A357" s="9" t="s">
        <v>135</v>
      </c>
      <c r="B357" s="10"/>
      <c r="C357" s="10"/>
      <c r="D357" s="10" t="s">
        <v>148</v>
      </c>
      <c r="E357" s="11">
        <v>127</v>
      </c>
    </row>
    <row r="358" spans="1:5" x14ac:dyDescent="0.35">
      <c r="A358" s="6" t="s">
        <v>135</v>
      </c>
      <c r="B358" s="7"/>
      <c r="C358" s="7"/>
      <c r="D358" s="7" t="s">
        <v>149</v>
      </c>
      <c r="E358" s="8" t="s">
        <v>137</v>
      </c>
    </row>
    <row r="359" spans="1:5" x14ac:dyDescent="0.35">
      <c r="A359" s="9" t="s">
        <v>135</v>
      </c>
      <c r="B359" s="10"/>
      <c r="C359" s="10" t="s">
        <v>150</v>
      </c>
      <c r="D359" s="10" t="s">
        <v>147</v>
      </c>
      <c r="E359" s="11" t="s">
        <v>137</v>
      </c>
    </row>
    <row r="360" spans="1:5" x14ac:dyDescent="0.35">
      <c r="A360" s="6" t="s">
        <v>135</v>
      </c>
      <c r="B360" s="7"/>
      <c r="C360" s="7"/>
      <c r="D360" s="7" t="s">
        <v>148</v>
      </c>
      <c r="E360" s="8" t="s">
        <v>137</v>
      </c>
    </row>
    <row r="361" spans="1:5" x14ac:dyDescent="0.35">
      <c r="A361" s="9" t="s">
        <v>135</v>
      </c>
      <c r="B361" s="10"/>
      <c r="C361" s="10"/>
      <c r="D361" s="10" t="s">
        <v>149</v>
      </c>
      <c r="E361" s="11" t="s">
        <v>137</v>
      </c>
    </row>
    <row r="362" spans="1:5" x14ac:dyDescent="0.35">
      <c r="A362" s="6" t="s">
        <v>135</v>
      </c>
      <c r="B362" s="7" t="s">
        <v>168</v>
      </c>
      <c r="C362" s="7" t="s">
        <v>146</v>
      </c>
      <c r="D362" s="7" t="s">
        <v>147</v>
      </c>
      <c r="E362" s="8" t="s">
        <v>137</v>
      </c>
    </row>
    <row r="363" spans="1:5" x14ac:dyDescent="0.35">
      <c r="A363" s="9" t="s">
        <v>135</v>
      </c>
      <c r="B363" s="10"/>
      <c r="C363" s="10"/>
      <c r="D363" s="10" t="s">
        <v>148</v>
      </c>
      <c r="E363" s="11" t="s">
        <v>137</v>
      </c>
    </row>
    <row r="364" spans="1:5" x14ac:dyDescent="0.35">
      <c r="A364" s="6" t="s">
        <v>135</v>
      </c>
      <c r="B364" s="7"/>
      <c r="C364" s="7"/>
      <c r="D364" s="7" t="s">
        <v>149</v>
      </c>
      <c r="E364" s="8" t="s">
        <v>137</v>
      </c>
    </row>
    <row r="365" spans="1:5" x14ac:dyDescent="0.35">
      <c r="A365" s="9" t="s">
        <v>135</v>
      </c>
      <c r="B365" s="10"/>
      <c r="C365" s="10" t="s">
        <v>150</v>
      </c>
      <c r="D365" s="10" t="s">
        <v>147</v>
      </c>
      <c r="E365" s="11" t="s">
        <v>137</v>
      </c>
    </row>
    <row r="366" spans="1:5" x14ac:dyDescent="0.35">
      <c r="A366" s="6" t="s">
        <v>135</v>
      </c>
      <c r="B366" s="7"/>
      <c r="C366" s="7"/>
      <c r="D366" s="7" t="s">
        <v>148</v>
      </c>
      <c r="E366" s="8" t="s">
        <v>137</v>
      </c>
    </row>
    <row r="367" spans="1:5" x14ac:dyDescent="0.35">
      <c r="A367" s="9" t="s">
        <v>135</v>
      </c>
      <c r="B367" s="10"/>
      <c r="C367" s="10"/>
      <c r="D367" s="10" t="s">
        <v>149</v>
      </c>
      <c r="E367" s="11" t="s">
        <v>137</v>
      </c>
    </row>
    <row r="368" spans="1:5" x14ac:dyDescent="0.35">
      <c r="A368" s="6" t="s">
        <v>135</v>
      </c>
      <c r="B368" s="7" t="s">
        <v>169</v>
      </c>
      <c r="C368" s="7" t="s">
        <v>146</v>
      </c>
      <c r="D368" s="7" t="s">
        <v>147</v>
      </c>
      <c r="E368" s="8" t="s">
        <v>137</v>
      </c>
    </row>
    <row r="369" spans="1:5" x14ac:dyDescent="0.35">
      <c r="A369" s="9" t="s">
        <v>135</v>
      </c>
      <c r="B369" s="10"/>
      <c r="C369" s="10"/>
      <c r="D369" s="10" t="s">
        <v>148</v>
      </c>
      <c r="E369" s="11" t="s">
        <v>137</v>
      </c>
    </row>
    <row r="370" spans="1:5" x14ac:dyDescent="0.35">
      <c r="A370" s="6" t="s">
        <v>135</v>
      </c>
      <c r="B370" s="7"/>
      <c r="C370" s="7"/>
      <c r="D370" s="7" t="s">
        <v>149</v>
      </c>
      <c r="E370" s="8" t="s">
        <v>137</v>
      </c>
    </row>
    <row r="371" spans="1:5" x14ac:dyDescent="0.35">
      <c r="A371" s="9" t="s">
        <v>135</v>
      </c>
      <c r="B371" s="10"/>
      <c r="C371" s="10" t="s">
        <v>150</v>
      </c>
      <c r="D371" s="10" t="s">
        <v>147</v>
      </c>
      <c r="E371" s="11" t="s">
        <v>137</v>
      </c>
    </row>
    <row r="372" spans="1:5" x14ac:dyDescent="0.35">
      <c r="A372" s="6" t="s">
        <v>135</v>
      </c>
      <c r="B372" s="7"/>
      <c r="C372" s="7"/>
      <c r="D372" s="7" t="s">
        <v>148</v>
      </c>
      <c r="E372" s="8" t="s">
        <v>137</v>
      </c>
    </row>
    <row r="373" spans="1:5" x14ac:dyDescent="0.35">
      <c r="A373" s="9" t="s">
        <v>135</v>
      </c>
      <c r="B373" s="10"/>
      <c r="C373" s="10"/>
      <c r="D373" s="10" t="s">
        <v>149</v>
      </c>
      <c r="E373" s="11" t="s">
        <v>137</v>
      </c>
    </row>
    <row r="374" spans="1:5" x14ac:dyDescent="0.35">
      <c r="A374" s="6" t="s">
        <v>135</v>
      </c>
      <c r="B374" s="7" t="s">
        <v>170</v>
      </c>
      <c r="C374" s="7" t="s">
        <v>146</v>
      </c>
      <c r="D374" s="7" t="s">
        <v>147</v>
      </c>
      <c r="E374" s="8" t="s">
        <v>137</v>
      </c>
    </row>
    <row r="375" spans="1:5" x14ac:dyDescent="0.35">
      <c r="A375" s="9" t="s">
        <v>135</v>
      </c>
      <c r="B375" s="10"/>
      <c r="C375" s="10"/>
      <c r="D375" s="10" t="s">
        <v>148</v>
      </c>
      <c r="E375" s="11" t="s">
        <v>137</v>
      </c>
    </row>
    <row r="376" spans="1:5" x14ac:dyDescent="0.35">
      <c r="A376" s="6" t="s">
        <v>135</v>
      </c>
      <c r="B376" s="7"/>
      <c r="C376" s="7"/>
      <c r="D376" s="7" t="s">
        <v>149</v>
      </c>
      <c r="E376" s="8" t="s">
        <v>137</v>
      </c>
    </row>
    <row r="377" spans="1:5" x14ac:dyDescent="0.35">
      <c r="A377" s="9" t="s">
        <v>135</v>
      </c>
      <c r="B377" s="10"/>
      <c r="C377" s="10" t="s">
        <v>150</v>
      </c>
      <c r="D377" s="10" t="s">
        <v>147</v>
      </c>
      <c r="E377" s="11" t="s">
        <v>137</v>
      </c>
    </row>
    <row r="378" spans="1:5" x14ac:dyDescent="0.35">
      <c r="A378" s="6" t="s">
        <v>135</v>
      </c>
      <c r="B378" s="7"/>
      <c r="C378" s="7"/>
      <c r="D378" s="7" t="s">
        <v>148</v>
      </c>
      <c r="E378" s="8" t="s">
        <v>137</v>
      </c>
    </row>
    <row r="379" spans="1:5" x14ac:dyDescent="0.35">
      <c r="A379" s="9" t="s">
        <v>135</v>
      </c>
      <c r="B379" s="10"/>
      <c r="C379" s="10"/>
      <c r="D379" s="10" t="s">
        <v>149</v>
      </c>
      <c r="E379" s="11" t="s">
        <v>137</v>
      </c>
    </row>
    <row r="380" spans="1:5" x14ac:dyDescent="0.35">
      <c r="A380" s="6" t="s">
        <v>39</v>
      </c>
      <c r="B380" s="7" t="s">
        <v>145</v>
      </c>
      <c r="C380" s="7" t="s">
        <v>146</v>
      </c>
      <c r="D380" s="7" t="s">
        <v>147</v>
      </c>
      <c r="E380" s="8">
        <v>10.3</v>
      </c>
    </row>
    <row r="381" spans="1:5" x14ac:dyDescent="0.35">
      <c r="A381" s="9" t="s">
        <v>135</v>
      </c>
      <c r="B381" s="10"/>
      <c r="C381" s="10"/>
      <c r="D381" s="10" t="s">
        <v>148</v>
      </c>
      <c r="E381" s="11">
        <v>7.9</v>
      </c>
    </row>
    <row r="382" spans="1:5" x14ac:dyDescent="0.35">
      <c r="A382" s="6" t="s">
        <v>135</v>
      </c>
      <c r="B382" s="7"/>
      <c r="C382" s="7"/>
      <c r="D382" s="7" t="s">
        <v>149</v>
      </c>
      <c r="E382" s="8">
        <v>2.4</v>
      </c>
    </row>
    <row r="383" spans="1:5" x14ac:dyDescent="0.35">
      <c r="A383" s="9" t="s">
        <v>135</v>
      </c>
      <c r="B383" s="10"/>
      <c r="C383" s="10" t="s">
        <v>150</v>
      </c>
      <c r="D383" s="10" t="s">
        <v>147</v>
      </c>
      <c r="E383" s="11" t="s">
        <v>137</v>
      </c>
    </row>
    <row r="384" spans="1:5" x14ac:dyDescent="0.35">
      <c r="A384" s="6" t="s">
        <v>135</v>
      </c>
      <c r="B384" s="7"/>
      <c r="C384" s="7"/>
      <c r="D384" s="7" t="s">
        <v>148</v>
      </c>
      <c r="E384" s="8" t="s">
        <v>137</v>
      </c>
    </row>
    <row r="385" spans="1:5" x14ac:dyDescent="0.35">
      <c r="A385" s="9" t="s">
        <v>135</v>
      </c>
      <c r="B385" s="10"/>
      <c r="C385" s="10"/>
      <c r="D385" s="10" t="s">
        <v>149</v>
      </c>
      <c r="E385" s="11" t="s">
        <v>137</v>
      </c>
    </row>
    <row r="386" spans="1:5" x14ac:dyDescent="0.35">
      <c r="A386" s="6" t="s">
        <v>135</v>
      </c>
      <c r="B386" s="7" t="s">
        <v>151</v>
      </c>
      <c r="C386" s="7" t="s">
        <v>146</v>
      </c>
      <c r="D386" s="7" t="s">
        <v>147</v>
      </c>
      <c r="E386" s="8">
        <v>10.3</v>
      </c>
    </row>
    <row r="387" spans="1:5" x14ac:dyDescent="0.35">
      <c r="A387" s="9" t="s">
        <v>135</v>
      </c>
      <c r="B387" s="10"/>
      <c r="C387" s="10"/>
      <c r="D387" s="10" t="s">
        <v>148</v>
      </c>
      <c r="E387" s="11">
        <v>7.9</v>
      </c>
    </row>
    <row r="388" spans="1:5" x14ac:dyDescent="0.35">
      <c r="A388" s="6" t="s">
        <v>135</v>
      </c>
      <c r="B388" s="7"/>
      <c r="C388" s="7"/>
      <c r="D388" s="7" t="s">
        <v>149</v>
      </c>
      <c r="E388" s="8">
        <v>2.4</v>
      </c>
    </row>
    <row r="389" spans="1:5" x14ac:dyDescent="0.35">
      <c r="A389" s="9" t="s">
        <v>135</v>
      </c>
      <c r="B389" s="10"/>
      <c r="C389" s="10" t="s">
        <v>150</v>
      </c>
      <c r="D389" s="10" t="s">
        <v>147</v>
      </c>
      <c r="E389" s="11" t="s">
        <v>137</v>
      </c>
    </row>
    <row r="390" spans="1:5" x14ac:dyDescent="0.35">
      <c r="A390" s="6" t="s">
        <v>135</v>
      </c>
      <c r="B390" s="7"/>
      <c r="C390" s="7"/>
      <c r="D390" s="7" t="s">
        <v>148</v>
      </c>
      <c r="E390" s="8" t="s">
        <v>137</v>
      </c>
    </row>
    <row r="391" spans="1:5" x14ac:dyDescent="0.35">
      <c r="A391" s="9" t="s">
        <v>135</v>
      </c>
      <c r="B391" s="10"/>
      <c r="C391" s="10"/>
      <c r="D391" s="10" t="s">
        <v>149</v>
      </c>
      <c r="E391" s="11" t="s">
        <v>137</v>
      </c>
    </row>
    <row r="392" spans="1:5" x14ac:dyDescent="0.35">
      <c r="A392" s="6" t="s">
        <v>135</v>
      </c>
      <c r="B392" s="7" t="s">
        <v>152</v>
      </c>
      <c r="C392" s="7" t="s">
        <v>146</v>
      </c>
      <c r="D392" s="7" t="s">
        <v>147</v>
      </c>
      <c r="E392" s="8" t="s">
        <v>137</v>
      </c>
    </row>
    <row r="393" spans="1:5" x14ac:dyDescent="0.35">
      <c r="A393" s="9" t="s">
        <v>135</v>
      </c>
      <c r="B393" s="10"/>
      <c r="C393" s="10"/>
      <c r="D393" s="10" t="s">
        <v>148</v>
      </c>
      <c r="E393" s="11" t="s">
        <v>137</v>
      </c>
    </row>
    <row r="394" spans="1:5" x14ac:dyDescent="0.35">
      <c r="A394" s="6" t="s">
        <v>135</v>
      </c>
      <c r="B394" s="7"/>
      <c r="C394" s="7"/>
      <c r="D394" s="7" t="s">
        <v>149</v>
      </c>
      <c r="E394" s="8" t="s">
        <v>137</v>
      </c>
    </row>
    <row r="395" spans="1:5" x14ac:dyDescent="0.35">
      <c r="A395" s="9" t="s">
        <v>135</v>
      </c>
      <c r="B395" s="10"/>
      <c r="C395" s="10" t="s">
        <v>150</v>
      </c>
      <c r="D395" s="10" t="s">
        <v>147</v>
      </c>
      <c r="E395" s="11" t="s">
        <v>137</v>
      </c>
    </row>
    <row r="396" spans="1:5" x14ac:dyDescent="0.35">
      <c r="A396" s="6" t="s">
        <v>135</v>
      </c>
      <c r="B396" s="7"/>
      <c r="C396" s="7"/>
      <c r="D396" s="7" t="s">
        <v>148</v>
      </c>
      <c r="E396" s="8" t="s">
        <v>137</v>
      </c>
    </row>
    <row r="397" spans="1:5" x14ac:dyDescent="0.35">
      <c r="A397" s="9" t="s">
        <v>135</v>
      </c>
      <c r="B397" s="10"/>
      <c r="C397" s="10"/>
      <c r="D397" s="10" t="s">
        <v>149</v>
      </c>
      <c r="E397" s="11" t="s">
        <v>137</v>
      </c>
    </row>
    <row r="398" spans="1:5" x14ac:dyDescent="0.35">
      <c r="A398" s="6" t="s">
        <v>135</v>
      </c>
      <c r="B398" s="7" t="s">
        <v>153</v>
      </c>
      <c r="C398" s="7" t="s">
        <v>146</v>
      </c>
      <c r="D398" s="7" t="s">
        <v>147</v>
      </c>
      <c r="E398" s="8" t="s">
        <v>137</v>
      </c>
    </row>
    <row r="399" spans="1:5" x14ac:dyDescent="0.35">
      <c r="A399" s="9" t="s">
        <v>135</v>
      </c>
      <c r="B399" s="10"/>
      <c r="C399" s="10"/>
      <c r="D399" s="10" t="s">
        <v>148</v>
      </c>
      <c r="E399" s="11" t="s">
        <v>137</v>
      </c>
    </row>
    <row r="400" spans="1:5" x14ac:dyDescent="0.35">
      <c r="A400" s="6" t="s">
        <v>135</v>
      </c>
      <c r="B400" s="7"/>
      <c r="C400" s="7"/>
      <c r="D400" s="7" t="s">
        <v>149</v>
      </c>
      <c r="E400" s="8" t="s">
        <v>137</v>
      </c>
    </row>
    <row r="401" spans="1:5" x14ac:dyDescent="0.35">
      <c r="A401" s="9" t="s">
        <v>135</v>
      </c>
      <c r="B401" s="10"/>
      <c r="C401" s="10" t="s">
        <v>150</v>
      </c>
      <c r="D401" s="10" t="s">
        <v>147</v>
      </c>
      <c r="E401" s="11" t="s">
        <v>137</v>
      </c>
    </row>
    <row r="402" spans="1:5" x14ac:dyDescent="0.35">
      <c r="A402" s="6" t="s">
        <v>135</v>
      </c>
      <c r="B402" s="7"/>
      <c r="C402" s="7"/>
      <c r="D402" s="7" t="s">
        <v>148</v>
      </c>
      <c r="E402" s="8" t="s">
        <v>137</v>
      </c>
    </row>
    <row r="403" spans="1:5" x14ac:dyDescent="0.35">
      <c r="A403" s="9" t="s">
        <v>135</v>
      </c>
      <c r="B403" s="10"/>
      <c r="C403" s="10"/>
      <c r="D403" s="10" t="s">
        <v>149</v>
      </c>
      <c r="E403" s="11" t="s">
        <v>137</v>
      </c>
    </row>
    <row r="404" spans="1:5" x14ac:dyDescent="0.35">
      <c r="A404" s="6" t="s">
        <v>135</v>
      </c>
      <c r="B404" s="7" t="s">
        <v>154</v>
      </c>
      <c r="C404" s="7" t="s">
        <v>146</v>
      </c>
      <c r="D404" s="7" t="s">
        <v>147</v>
      </c>
      <c r="E404" s="8" t="s">
        <v>137</v>
      </c>
    </row>
    <row r="405" spans="1:5" x14ac:dyDescent="0.35">
      <c r="A405" s="9" t="s">
        <v>135</v>
      </c>
      <c r="B405" s="10"/>
      <c r="C405" s="10"/>
      <c r="D405" s="10" t="s">
        <v>148</v>
      </c>
      <c r="E405" s="11" t="s">
        <v>137</v>
      </c>
    </row>
    <row r="406" spans="1:5" x14ac:dyDescent="0.35">
      <c r="A406" s="6" t="s">
        <v>135</v>
      </c>
      <c r="B406" s="7"/>
      <c r="C406" s="7"/>
      <c r="D406" s="7" t="s">
        <v>149</v>
      </c>
      <c r="E406" s="8" t="s">
        <v>137</v>
      </c>
    </row>
    <row r="407" spans="1:5" x14ac:dyDescent="0.35">
      <c r="A407" s="9" t="s">
        <v>135</v>
      </c>
      <c r="B407" s="10"/>
      <c r="C407" s="10" t="s">
        <v>150</v>
      </c>
      <c r="D407" s="10" t="s">
        <v>147</v>
      </c>
      <c r="E407" s="11" t="s">
        <v>137</v>
      </c>
    </row>
    <row r="408" spans="1:5" x14ac:dyDescent="0.35">
      <c r="A408" s="6" t="s">
        <v>135</v>
      </c>
      <c r="B408" s="7"/>
      <c r="C408" s="7"/>
      <c r="D408" s="7" t="s">
        <v>148</v>
      </c>
      <c r="E408" s="8" t="s">
        <v>137</v>
      </c>
    </row>
    <row r="409" spans="1:5" x14ac:dyDescent="0.35">
      <c r="A409" s="9" t="s">
        <v>135</v>
      </c>
      <c r="B409" s="10"/>
      <c r="C409" s="10"/>
      <c r="D409" s="10" t="s">
        <v>149</v>
      </c>
      <c r="E409" s="11" t="s">
        <v>137</v>
      </c>
    </row>
    <row r="410" spans="1:5" x14ac:dyDescent="0.35">
      <c r="A410" s="6" t="s">
        <v>135</v>
      </c>
      <c r="B410" s="7" t="s">
        <v>155</v>
      </c>
      <c r="C410" s="7" t="s">
        <v>146</v>
      </c>
      <c r="D410" s="7" t="s">
        <v>147</v>
      </c>
      <c r="E410" s="8" t="s">
        <v>137</v>
      </c>
    </row>
    <row r="411" spans="1:5" x14ac:dyDescent="0.35">
      <c r="A411" s="9" t="s">
        <v>135</v>
      </c>
      <c r="B411" s="10"/>
      <c r="C411" s="10"/>
      <c r="D411" s="10" t="s">
        <v>148</v>
      </c>
      <c r="E411" s="11" t="s">
        <v>137</v>
      </c>
    </row>
    <row r="412" spans="1:5" x14ac:dyDescent="0.35">
      <c r="A412" s="6" t="s">
        <v>135</v>
      </c>
      <c r="B412" s="7"/>
      <c r="C412" s="7"/>
      <c r="D412" s="7" t="s">
        <v>149</v>
      </c>
      <c r="E412" s="8" t="s">
        <v>137</v>
      </c>
    </row>
    <row r="413" spans="1:5" x14ac:dyDescent="0.35">
      <c r="A413" s="9" t="s">
        <v>135</v>
      </c>
      <c r="B413" s="10"/>
      <c r="C413" s="10" t="s">
        <v>150</v>
      </c>
      <c r="D413" s="10" t="s">
        <v>147</v>
      </c>
      <c r="E413" s="11" t="s">
        <v>137</v>
      </c>
    </row>
    <row r="414" spans="1:5" x14ac:dyDescent="0.35">
      <c r="A414" s="6" t="s">
        <v>135</v>
      </c>
      <c r="B414" s="7"/>
      <c r="C414" s="7"/>
      <c r="D414" s="7" t="s">
        <v>148</v>
      </c>
      <c r="E414" s="8" t="s">
        <v>137</v>
      </c>
    </row>
    <row r="415" spans="1:5" x14ac:dyDescent="0.35">
      <c r="A415" s="9" t="s">
        <v>135</v>
      </c>
      <c r="B415" s="10"/>
      <c r="C415" s="10"/>
      <c r="D415" s="10" t="s">
        <v>149</v>
      </c>
      <c r="E415" s="11" t="s">
        <v>137</v>
      </c>
    </row>
    <row r="416" spans="1:5" x14ac:dyDescent="0.35">
      <c r="A416" s="6" t="s">
        <v>135</v>
      </c>
      <c r="B416" s="7" t="s">
        <v>156</v>
      </c>
      <c r="C416" s="7" t="s">
        <v>146</v>
      </c>
      <c r="D416" s="7" t="s">
        <v>147</v>
      </c>
      <c r="E416" s="8" t="s">
        <v>137</v>
      </c>
    </row>
    <row r="417" spans="1:5" x14ac:dyDescent="0.35">
      <c r="A417" s="9" t="s">
        <v>135</v>
      </c>
      <c r="B417" s="10"/>
      <c r="C417" s="10"/>
      <c r="D417" s="10" t="s">
        <v>148</v>
      </c>
      <c r="E417" s="11" t="s">
        <v>137</v>
      </c>
    </row>
    <row r="418" spans="1:5" x14ac:dyDescent="0.35">
      <c r="A418" s="6" t="s">
        <v>135</v>
      </c>
      <c r="B418" s="7"/>
      <c r="C418" s="7"/>
      <c r="D418" s="7" t="s">
        <v>149</v>
      </c>
      <c r="E418" s="8" t="s">
        <v>137</v>
      </c>
    </row>
    <row r="419" spans="1:5" x14ac:dyDescent="0.35">
      <c r="A419" s="9" t="s">
        <v>135</v>
      </c>
      <c r="B419" s="10"/>
      <c r="C419" s="10" t="s">
        <v>150</v>
      </c>
      <c r="D419" s="10" t="s">
        <v>147</v>
      </c>
      <c r="E419" s="11" t="s">
        <v>137</v>
      </c>
    </row>
    <row r="420" spans="1:5" x14ac:dyDescent="0.35">
      <c r="A420" s="6" t="s">
        <v>135</v>
      </c>
      <c r="B420" s="7"/>
      <c r="C420" s="7"/>
      <c r="D420" s="7" t="s">
        <v>148</v>
      </c>
      <c r="E420" s="8" t="s">
        <v>137</v>
      </c>
    </row>
    <row r="421" spans="1:5" x14ac:dyDescent="0.35">
      <c r="A421" s="9" t="s">
        <v>135</v>
      </c>
      <c r="B421" s="10"/>
      <c r="C421" s="10"/>
      <c r="D421" s="10" t="s">
        <v>149</v>
      </c>
      <c r="E421" s="11" t="s">
        <v>137</v>
      </c>
    </row>
    <row r="422" spans="1:5" x14ac:dyDescent="0.35">
      <c r="A422" s="6" t="s">
        <v>135</v>
      </c>
      <c r="B422" s="7" t="s">
        <v>157</v>
      </c>
      <c r="C422" s="7" t="s">
        <v>146</v>
      </c>
      <c r="D422" s="7" t="s">
        <v>147</v>
      </c>
      <c r="E422" s="8" t="s">
        <v>137</v>
      </c>
    </row>
    <row r="423" spans="1:5" x14ac:dyDescent="0.35">
      <c r="A423" s="9" t="s">
        <v>135</v>
      </c>
      <c r="B423" s="10"/>
      <c r="C423" s="10"/>
      <c r="D423" s="10" t="s">
        <v>148</v>
      </c>
      <c r="E423" s="11" t="s">
        <v>137</v>
      </c>
    </row>
    <row r="424" spans="1:5" x14ac:dyDescent="0.35">
      <c r="A424" s="6" t="s">
        <v>135</v>
      </c>
      <c r="B424" s="7"/>
      <c r="C424" s="7"/>
      <c r="D424" s="7" t="s">
        <v>149</v>
      </c>
      <c r="E424" s="8" t="s">
        <v>137</v>
      </c>
    </row>
    <row r="425" spans="1:5" x14ac:dyDescent="0.35">
      <c r="A425" s="9" t="s">
        <v>135</v>
      </c>
      <c r="B425" s="10"/>
      <c r="C425" s="10" t="s">
        <v>150</v>
      </c>
      <c r="D425" s="10" t="s">
        <v>147</v>
      </c>
      <c r="E425" s="11" t="s">
        <v>137</v>
      </c>
    </row>
    <row r="426" spans="1:5" x14ac:dyDescent="0.35">
      <c r="A426" s="6" t="s">
        <v>135</v>
      </c>
      <c r="B426" s="7"/>
      <c r="C426" s="7"/>
      <c r="D426" s="7" t="s">
        <v>148</v>
      </c>
      <c r="E426" s="8" t="s">
        <v>137</v>
      </c>
    </row>
    <row r="427" spans="1:5" x14ac:dyDescent="0.35">
      <c r="A427" s="9" t="s">
        <v>135</v>
      </c>
      <c r="B427" s="10"/>
      <c r="C427" s="10"/>
      <c r="D427" s="10" t="s">
        <v>149</v>
      </c>
      <c r="E427" s="11" t="s">
        <v>137</v>
      </c>
    </row>
    <row r="428" spans="1:5" x14ac:dyDescent="0.35">
      <c r="A428" s="6" t="s">
        <v>135</v>
      </c>
      <c r="B428" s="7" t="s">
        <v>158</v>
      </c>
      <c r="C428" s="7" t="s">
        <v>146</v>
      </c>
      <c r="D428" s="7" t="s">
        <v>147</v>
      </c>
      <c r="E428" s="8" t="s">
        <v>137</v>
      </c>
    </row>
    <row r="429" spans="1:5" x14ac:dyDescent="0.35">
      <c r="A429" s="9" t="s">
        <v>135</v>
      </c>
      <c r="B429" s="10"/>
      <c r="C429" s="10"/>
      <c r="D429" s="10" t="s">
        <v>148</v>
      </c>
      <c r="E429" s="11" t="s">
        <v>137</v>
      </c>
    </row>
    <row r="430" spans="1:5" x14ac:dyDescent="0.35">
      <c r="A430" s="6" t="s">
        <v>135</v>
      </c>
      <c r="B430" s="7"/>
      <c r="C430" s="7"/>
      <c r="D430" s="7" t="s">
        <v>149</v>
      </c>
      <c r="E430" s="8" t="s">
        <v>137</v>
      </c>
    </row>
    <row r="431" spans="1:5" x14ac:dyDescent="0.35">
      <c r="A431" s="9" t="s">
        <v>135</v>
      </c>
      <c r="B431" s="10"/>
      <c r="C431" s="10" t="s">
        <v>150</v>
      </c>
      <c r="D431" s="10" t="s">
        <v>147</v>
      </c>
      <c r="E431" s="11" t="s">
        <v>137</v>
      </c>
    </row>
    <row r="432" spans="1:5" x14ac:dyDescent="0.35">
      <c r="A432" s="6" t="s">
        <v>135</v>
      </c>
      <c r="B432" s="7"/>
      <c r="C432" s="7"/>
      <c r="D432" s="7" t="s">
        <v>148</v>
      </c>
      <c r="E432" s="8" t="s">
        <v>137</v>
      </c>
    </row>
    <row r="433" spans="1:5" x14ac:dyDescent="0.35">
      <c r="A433" s="9" t="s">
        <v>135</v>
      </c>
      <c r="B433" s="10"/>
      <c r="C433" s="10"/>
      <c r="D433" s="10" t="s">
        <v>149</v>
      </c>
      <c r="E433" s="11" t="s">
        <v>137</v>
      </c>
    </row>
    <row r="434" spans="1:5" x14ac:dyDescent="0.35">
      <c r="A434" s="6" t="s">
        <v>135</v>
      </c>
      <c r="B434" s="7" t="s">
        <v>159</v>
      </c>
      <c r="C434" s="7" t="s">
        <v>146</v>
      </c>
      <c r="D434" s="7" t="s">
        <v>147</v>
      </c>
      <c r="E434" s="8" t="s">
        <v>137</v>
      </c>
    </row>
    <row r="435" spans="1:5" x14ac:dyDescent="0.35">
      <c r="A435" s="9" t="s">
        <v>135</v>
      </c>
      <c r="B435" s="10"/>
      <c r="C435" s="10"/>
      <c r="D435" s="10" t="s">
        <v>148</v>
      </c>
      <c r="E435" s="11" t="s">
        <v>137</v>
      </c>
    </row>
    <row r="436" spans="1:5" x14ac:dyDescent="0.35">
      <c r="A436" s="6" t="s">
        <v>135</v>
      </c>
      <c r="B436" s="7"/>
      <c r="C436" s="7"/>
      <c r="D436" s="7" t="s">
        <v>149</v>
      </c>
      <c r="E436" s="8" t="s">
        <v>137</v>
      </c>
    </row>
    <row r="437" spans="1:5" x14ac:dyDescent="0.35">
      <c r="A437" s="9" t="s">
        <v>135</v>
      </c>
      <c r="B437" s="10"/>
      <c r="C437" s="10" t="s">
        <v>150</v>
      </c>
      <c r="D437" s="10" t="s">
        <v>147</v>
      </c>
      <c r="E437" s="11" t="s">
        <v>137</v>
      </c>
    </row>
    <row r="438" spans="1:5" x14ac:dyDescent="0.35">
      <c r="A438" s="6" t="s">
        <v>135</v>
      </c>
      <c r="B438" s="7"/>
      <c r="C438" s="7"/>
      <c r="D438" s="7" t="s">
        <v>148</v>
      </c>
      <c r="E438" s="8" t="s">
        <v>137</v>
      </c>
    </row>
    <row r="439" spans="1:5" x14ac:dyDescent="0.35">
      <c r="A439" s="9" t="s">
        <v>135</v>
      </c>
      <c r="B439" s="10"/>
      <c r="C439" s="10"/>
      <c r="D439" s="10" t="s">
        <v>149</v>
      </c>
      <c r="E439" s="11" t="s">
        <v>137</v>
      </c>
    </row>
    <row r="440" spans="1:5" x14ac:dyDescent="0.35">
      <c r="A440" s="6" t="s">
        <v>135</v>
      </c>
      <c r="B440" s="7" t="s">
        <v>160</v>
      </c>
      <c r="C440" s="7" t="s">
        <v>146</v>
      </c>
      <c r="D440" s="7" t="s">
        <v>147</v>
      </c>
      <c r="E440" s="8" t="s">
        <v>137</v>
      </c>
    </row>
    <row r="441" spans="1:5" x14ac:dyDescent="0.35">
      <c r="A441" s="9" t="s">
        <v>135</v>
      </c>
      <c r="B441" s="10"/>
      <c r="C441" s="10"/>
      <c r="D441" s="10" t="s">
        <v>148</v>
      </c>
      <c r="E441" s="11" t="s">
        <v>137</v>
      </c>
    </row>
    <row r="442" spans="1:5" x14ac:dyDescent="0.35">
      <c r="A442" s="6" t="s">
        <v>135</v>
      </c>
      <c r="B442" s="7"/>
      <c r="C442" s="7"/>
      <c r="D442" s="7" t="s">
        <v>149</v>
      </c>
      <c r="E442" s="8" t="s">
        <v>137</v>
      </c>
    </row>
    <row r="443" spans="1:5" x14ac:dyDescent="0.35">
      <c r="A443" s="9" t="s">
        <v>135</v>
      </c>
      <c r="B443" s="10"/>
      <c r="C443" s="10" t="s">
        <v>150</v>
      </c>
      <c r="D443" s="10" t="s">
        <v>147</v>
      </c>
      <c r="E443" s="11" t="s">
        <v>137</v>
      </c>
    </row>
    <row r="444" spans="1:5" x14ac:dyDescent="0.35">
      <c r="A444" s="6" t="s">
        <v>135</v>
      </c>
      <c r="B444" s="7"/>
      <c r="C444" s="7"/>
      <c r="D444" s="7" t="s">
        <v>148</v>
      </c>
      <c r="E444" s="8" t="s">
        <v>137</v>
      </c>
    </row>
    <row r="445" spans="1:5" x14ac:dyDescent="0.35">
      <c r="A445" s="9" t="s">
        <v>135</v>
      </c>
      <c r="B445" s="10"/>
      <c r="C445" s="10"/>
      <c r="D445" s="10" t="s">
        <v>149</v>
      </c>
      <c r="E445" s="11" t="s">
        <v>137</v>
      </c>
    </row>
    <row r="446" spans="1:5" x14ac:dyDescent="0.35">
      <c r="A446" s="6" t="s">
        <v>135</v>
      </c>
      <c r="B446" s="7" t="s">
        <v>161</v>
      </c>
      <c r="C446" s="7" t="s">
        <v>146</v>
      </c>
      <c r="D446" s="7" t="s">
        <v>147</v>
      </c>
      <c r="E446" s="8" t="s">
        <v>137</v>
      </c>
    </row>
    <row r="447" spans="1:5" x14ac:dyDescent="0.35">
      <c r="A447" s="9" t="s">
        <v>135</v>
      </c>
      <c r="B447" s="10"/>
      <c r="C447" s="10"/>
      <c r="D447" s="10" t="s">
        <v>148</v>
      </c>
      <c r="E447" s="11" t="s">
        <v>137</v>
      </c>
    </row>
    <row r="448" spans="1:5" x14ac:dyDescent="0.35">
      <c r="A448" s="6" t="s">
        <v>135</v>
      </c>
      <c r="B448" s="7"/>
      <c r="C448" s="7"/>
      <c r="D448" s="7" t="s">
        <v>149</v>
      </c>
      <c r="E448" s="8" t="s">
        <v>137</v>
      </c>
    </row>
    <row r="449" spans="1:5" x14ac:dyDescent="0.35">
      <c r="A449" s="9" t="s">
        <v>135</v>
      </c>
      <c r="B449" s="10"/>
      <c r="C449" s="10" t="s">
        <v>150</v>
      </c>
      <c r="D449" s="10" t="s">
        <v>147</v>
      </c>
      <c r="E449" s="11" t="s">
        <v>137</v>
      </c>
    </row>
    <row r="450" spans="1:5" x14ac:dyDescent="0.35">
      <c r="A450" s="6" t="s">
        <v>135</v>
      </c>
      <c r="B450" s="7"/>
      <c r="C450" s="7"/>
      <c r="D450" s="7" t="s">
        <v>148</v>
      </c>
      <c r="E450" s="8" t="s">
        <v>137</v>
      </c>
    </row>
    <row r="451" spans="1:5" x14ac:dyDescent="0.35">
      <c r="A451" s="9" t="s">
        <v>135</v>
      </c>
      <c r="B451" s="10"/>
      <c r="C451" s="10"/>
      <c r="D451" s="10" t="s">
        <v>149</v>
      </c>
      <c r="E451" s="11" t="s">
        <v>137</v>
      </c>
    </row>
    <row r="452" spans="1:5" x14ac:dyDescent="0.35">
      <c r="A452" s="6" t="s">
        <v>135</v>
      </c>
      <c r="B452" s="7" t="s">
        <v>162</v>
      </c>
      <c r="C452" s="7" t="s">
        <v>146</v>
      </c>
      <c r="D452" s="7" t="s">
        <v>147</v>
      </c>
      <c r="E452" s="8" t="s">
        <v>137</v>
      </c>
    </row>
    <row r="453" spans="1:5" x14ac:dyDescent="0.35">
      <c r="A453" s="9" t="s">
        <v>135</v>
      </c>
      <c r="B453" s="10"/>
      <c r="C453" s="10"/>
      <c r="D453" s="10" t="s">
        <v>148</v>
      </c>
      <c r="E453" s="11" t="s">
        <v>137</v>
      </c>
    </row>
    <row r="454" spans="1:5" x14ac:dyDescent="0.35">
      <c r="A454" s="6" t="s">
        <v>135</v>
      </c>
      <c r="B454" s="7"/>
      <c r="C454" s="7"/>
      <c r="D454" s="7" t="s">
        <v>149</v>
      </c>
      <c r="E454" s="8" t="s">
        <v>137</v>
      </c>
    </row>
    <row r="455" spans="1:5" x14ac:dyDescent="0.35">
      <c r="A455" s="9" t="s">
        <v>135</v>
      </c>
      <c r="B455" s="10"/>
      <c r="C455" s="10" t="s">
        <v>150</v>
      </c>
      <c r="D455" s="10" t="s">
        <v>147</v>
      </c>
      <c r="E455" s="11" t="s">
        <v>137</v>
      </c>
    </row>
    <row r="456" spans="1:5" x14ac:dyDescent="0.35">
      <c r="A456" s="6" t="s">
        <v>135</v>
      </c>
      <c r="B456" s="7"/>
      <c r="C456" s="7"/>
      <c r="D456" s="7" t="s">
        <v>148</v>
      </c>
      <c r="E456" s="8" t="s">
        <v>137</v>
      </c>
    </row>
    <row r="457" spans="1:5" x14ac:dyDescent="0.35">
      <c r="A457" s="9" t="s">
        <v>135</v>
      </c>
      <c r="B457" s="10"/>
      <c r="C457" s="10"/>
      <c r="D457" s="10" t="s">
        <v>149</v>
      </c>
      <c r="E457" s="11" t="s">
        <v>137</v>
      </c>
    </row>
    <row r="458" spans="1:5" x14ac:dyDescent="0.35">
      <c r="A458" s="6" t="s">
        <v>135</v>
      </c>
      <c r="B458" s="7" t="s">
        <v>163</v>
      </c>
      <c r="C458" s="7" t="s">
        <v>146</v>
      </c>
      <c r="D458" s="7" t="s">
        <v>147</v>
      </c>
      <c r="E458" s="8">
        <v>917</v>
      </c>
    </row>
    <row r="459" spans="1:5" x14ac:dyDescent="0.35">
      <c r="A459" s="9" t="s">
        <v>135</v>
      </c>
      <c r="B459" s="10"/>
      <c r="C459" s="10"/>
      <c r="D459" s="10" t="s">
        <v>148</v>
      </c>
      <c r="E459" s="11">
        <v>892</v>
      </c>
    </row>
    <row r="460" spans="1:5" x14ac:dyDescent="0.35">
      <c r="A460" s="6" t="s">
        <v>135</v>
      </c>
      <c r="B460" s="7"/>
      <c r="C460" s="7"/>
      <c r="D460" s="7" t="s">
        <v>149</v>
      </c>
      <c r="E460" s="8">
        <v>25</v>
      </c>
    </row>
    <row r="461" spans="1:5" x14ac:dyDescent="0.35">
      <c r="A461" s="9" t="s">
        <v>135</v>
      </c>
      <c r="B461" s="10"/>
      <c r="C461" s="10" t="s">
        <v>150</v>
      </c>
      <c r="D461" s="10" t="s">
        <v>147</v>
      </c>
      <c r="E461" s="11" t="s">
        <v>137</v>
      </c>
    </row>
    <row r="462" spans="1:5" x14ac:dyDescent="0.35">
      <c r="A462" s="6" t="s">
        <v>135</v>
      </c>
      <c r="B462" s="7"/>
      <c r="C462" s="7"/>
      <c r="D462" s="7" t="s">
        <v>148</v>
      </c>
      <c r="E462" s="8" t="s">
        <v>137</v>
      </c>
    </row>
    <row r="463" spans="1:5" x14ac:dyDescent="0.35">
      <c r="A463" s="9" t="s">
        <v>135</v>
      </c>
      <c r="B463" s="10"/>
      <c r="C463" s="10"/>
      <c r="D463" s="10" t="s">
        <v>149</v>
      </c>
      <c r="E463" s="11" t="s">
        <v>137</v>
      </c>
    </row>
    <row r="464" spans="1:5" x14ac:dyDescent="0.35">
      <c r="A464" s="6" t="s">
        <v>135</v>
      </c>
      <c r="B464" s="7" t="s">
        <v>164</v>
      </c>
      <c r="C464" s="7" t="s">
        <v>146</v>
      </c>
      <c r="D464" s="7" t="s">
        <v>147</v>
      </c>
      <c r="E464" s="8" t="s">
        <v>137</v>
      </c>
    </row>
    <row r="465" spans="1:5" x14ac:dyDescent="0.35">
      <c r="A465" s="9" t="s">
        <v>135</v>
      </c>
      <c r="B465" s="10"/>
      <c r="C465" s="10"/>
      <c r="D465" s="10" t="s">
        <v>148</v>
      </c>
      <c r="E465" s="11" t="s">
        <v>137</v>
      </c>
    </row>
    <row r="466" spans="1:5" x14ac:dyDescent="0.35">
      <c r="A466" s="6" t="s">
        <v>135</v>
      </c>
      <c r="B466" s="7"/>
      <c r="C466" s="7"/>
      <c r="D466" s="7" t="s">
        <v>149</v>
      </c>
      <c r="E466" s="8" t="s">
        <v>137</v>
      </c>
    </row>
    <row r="467" spans="1:5" x14ac:dyDescent="0.35">
      <c r="A467" s="9" t="s">
        <v>135</v>
      </c>
      <c r="B467" s="10"/>
      <c r="C467" s="10" t="s">
        <v>150</v>
      </c>
      <c r="D467" s="10" t="s">
        <v>147</v>
      </c>
      <c r="E467" s="11" t="s">
        <v>137</v>
      </c>
    </row>
    <row r="468" spans="1:5" x14ac:dyDescent="0.35">
      <c r="A468" s="6" t="s">
        <v>135</v>
      </c>
      <c r="B468" s="7"/>
      <c r="C468" s="7"/>
      <c r="D468" s="7" t="s">
        <v>148</v>
      </c>
      <c r="E468" s="8" t="s">
        <v>137</v>
      </c>
    </row>
    <row r="469" spans="1:5" x14ac:dyDescent="0.35">
      <c r="A469" s="9" t="s">
        <v>135</v>
      </c>
      <c r="B469" s="10"/>
      <c r="C469" s="10"/>
      <c r="D469" s="10" t="s">
        <v>149</v>
      </c>
      <c r="E469" s="11" t="s">
        <v>137</v>
      </c>
    </row>
    <row r="470" spans="1:5" x14ac:dyDescent="0.35">
      <c r="A470" s="6" t="s">
        <v>135</v>
      </c>
      <c r="B470" s="7" t="s">
        <v>165</v>
      </c>
      <c r="C470" s="7" t="s">
        <v>146</v>
      </c>
      <c r="D470" s="7" t="s">
        <v>147</v>
      </c>
      <c r="E470" s="8">
        <v>757</v>
      </c>
    </row>
    <row r="471" spans="1:5" x14ac:dyDescent="0.35">
      <c r="A471" s="9" t="s">
        <v>135</v>
      </c>
      <c r="B471" s="10"/>
      <c r="C471" s="10"/>
      <c r="D471" s="10" t="s">
        <v>148</v>
      </c>
      <c r="E471" s="11">
        <v>732</v>
      </c>
    </row>
    <row r="472" spans="1:5" x14ac:dyDescent="0.35">
      <c r="A472" s="6" t="s">
        <v>135</v>
      </c>
      <c r="B472" s="7"/>
      <c r="C472" s="7"/>
      <c r="D472" s="7" t="s">
        <v>149</v>
      </c>
      <c r="E472" s="8">
        <v>25</v>
      </c>
    </row>
    <row r="473" spans="1:5" x14ac:dyDescent="0.35">
      <c r="A473" s="9" t="s">
        <v>135</v>
      </c>
      <c r="B473" s="10"/>
      <c r="C473" s="10" t="s">
        <v>150</v>
      </c>
      <c r="D473" s="10" t="s">
        <v>147</v>
      </c>
      <c r="E473" s="11" t="s">
        <v>137</v>
      </c>
    </row>
    <row r="474" spans="1:5" x14ac:dyDescent="0.35">
      <c r="A474" s="6" t="s">
        <v>135</v>
      </c>
      <c r="B474" s="7"/>
      <c r="C474" s="7"/>
      <c r="D474" s="7" t="s">
        <v>148</v>
      </c>
      <c r="E474" s="8" t="s">
        <v>137</v>
      </c>
    </row>
    <row r="475" spans="1:5" x14ac:dyDescent="0.35">
      <c r="A475" s="9" t="s">
        <v>135</v>
      </c>
      <c r="B475" s="10"/>
      <c r="C475" s="10"/>
      <c r="D475" s="10" t="s">
        <v>149</v>
      </c>
      <c r="E475" s="11" t="s">
        <v>137</v>
      </c>
    </row>
    <row r="476" spans="1:5" x14ac:dyDescent="0.35">
      <c r="A476" s="6" t="s">
        <v>135</v>
      </c>
      <c r="B476" s="7" t="s">
        <v>166</v>
      </c>
      <c r="C476" s="7" t="s">
        <v>146</v>
      </c>
      <c r="D476" s="7" t="s">
        <v>147</v>
      </c>
      <c r="E476" s="8">
        <v>160</v>
      </c>
    </row>
    <row r="477" spans="1:5" x14ac:dyDescent="0.35">
      <c r="A477" s="9" t="s">
        <v>135</v>
      </c>
      <c r="B477" s="10"/>
      <c r="C477" s="10"/>
      <c r="D477" s="10" t="s">
        <v>148</v>
      </c>
      <c r="E477" s="11">
        <v>160</v>
      </c>
    </row>
    <row r="478" spans="1:5" x14ac:dyDescent="0.35">
      <c r="A478" s="6" t="s">
        <v>135</v>
      </c>
      <c r="B478" s="7"/>
      <c r="C478" s="7"/>
      <c r="D478" s="7" t="s">
        <v>149</v>
      </c>
      <c r="E478" s="8" t="s">
        <v>137</v>
      </c>
    </row>
    <row r="479" spans="1:5" x14ac:dyDescent="0.35">
      <c r="A479" s="9" t="s">
        <v>135</v>
      </c>
      <c r="B479" s="10"/>
      <c r="C479" s="10" t="s">
        <v>150</v>
      </c>
      <c r="D479" s="10" t="s">
        <v>147</v>
      </c>
      <c r="E479" s="11" t="s">
        <v>137</v>
      </c>
    </row>
    <row r="480" spans="1:5" x14ac:dyDescent="0.35">
      <c r="A480" s="6" t="s">
        <v>135</v>
      </c>
      <c r="B480" s="7"/>
      <c r="C480" s="7"/>
      <c r="D480" s="7" t="s">
        <v>148</v>
      </c>
      <c r="E480" s="8" t="s">
        <v>137</v>
      </c>
    </row>
    <row r="481" spans="1:5" x14ac:dyDescent="0.35">
      <c r="A481" s="9" t="s">
        <v>135</v>
      </c>
      <c r="B481" s="10"/>
      <c r="C481" s="10"/>
      <c r="D481" s="10" t="s">
        <v>149</v>
      </c>
      <c r="E481" s="11" t="s">
        <v>137</v>
      </c>
    </row>
    <row r="482" spans="1:5" x14ac:dyDescent="0.35">
      <c r="A482" s="6" t="s">
        <v>135</v>
      </c>
      <c r="B482" s="7" t="s">
        <v>167</v>
      </c>
      <c r="C482" s="7" t="s">
        <v>146</v>
      </c>
      <c r="D482" s="7" t="s">
        <v>147</v>
      </c>
      <c r="E482" s="8" t="s">
        <v>137</v>
      </c>
    </row>
    <row r="483" spans="1:5" x14ac:dyDescent="0.35">
      <c r="A483" s="9" t="s">
        <v>135</v>
      </c>
      <c r="B483" s="10"/>
      <c r="C483" s="10"/>
      <c r="D483" s="10" t="s">
        <v>148</v>
      </c>
      <c r="E483" s="11" t="s">
        <v>137</v>
      </c>
    </row>
    <row r="484" spans="1:5" x14ac:dyDescent="0.35">
      <c r="A484" s="6" t="s">
        <v>135</v>
      </c>
      <c r="B484" s="7"/>
      <c r="C484" s="7"/>
      <c r="D484" s="7" t="s">
        <v>149</v>
      </c>
      <c r="E484" s="8" t="s">
        <v>137</v>
      </c>
    </row>
    <row r="485" spans="1:5" x14ac:dyDescent="0.35">
      <c r="A485" s="9" t="s">
        <v>135</v>
      </c>
      <c r="B485" s="10"/>
      <c r="C485" s="10" t="s">
        <v>150</v>
      </c>
      <c r="D485" s="10" t="s">
        <v>147</v>
      </c>
      <c r="E485" s="11" t="s">
        <v>137</v>
      </c>
    </row>
    <row r="486" spans="1:5" x14ac:dyDescent="0.35">
      <c r="A486" s="6" t="s">
        <v>135</v>
      </c>
      <c r="B486" s="7"/>
      <c r="C486" s="7"/>
      <c r="D486" s="7" t="s">
        <v>148</v>
      </c>
      <c r="E486" s="8" t="s">
        <v>137</v>
      </c>
    </row>
    <row r="487" spans="1:5" x14ac:dyDescent="0.35">
      <c r="A487" s="9" t="s">
        <v>135</v>
      </c>
      <c r="B487" s="10"/>
      <c r="C487" s="10"/>
      <c r="D487" s="10" t="s">
        <v>149</v>
      </c>
      <c r="E487" s="11" t="s">
        <v>137</v>
      </c>
    </row>
    <row r="488" spans="1:5" x14ac:dyDescent="0.35">
      <c r="A488" s="6" t="s">
        <v>135</v>
      </c>
      <c r="B488" s="7" t="s">
        <v>168</v>
      </c>
      <c r="C488" s="7" t="s">
        <v>146</v>
      </c>
      <c r="D488" s="7" t="s">
        <v>147</v>
      </c>
      <c r="E488" s="8" t="s">
        <v>137</v>
      </c>
    </row>
    <row r="489" spans="1:5" x14ac:dyDescent="0.35">
      <c r="A489" s="9" t="s">
        <v>135</v>
      </c>
      <c r="B489" s="10"/>
      <c r="C489" s="10"/>
      <c r="D489" s="10" t="s">
        <v>148</v>
      </c>
      <c r="E489" s="11" t="s">
        <v>137</v>
      </c>
    </row>
    <row r="490" spans="1:5" x14ac:dyDescent="0.35">
      <c r="A490" s="6" t="s">
        <v>135</v>
      </c>
      <c r="B490" s="7"/>
      <c r="C490" s="7"/>
      <c r="D490" s="7" t="s">
        <v>149</v>
      </c>
      <c r="E490" s="8" t="s">
        <v>137</v>
      </c>
    </row>
    <row r="491" spans="1:5" x14ac:dyDescent="0.35">
      <c r="A491" s="9" t="s">
        <v>135</v>
      </c>
      <c r="B491" s="10"/>
      <c r="C491" s="10" t="s">
        <v>150</v>
      </c>
      <c r="D491" s="10" t="s">
        <v>147</v>
      </c>
      <c r="E491" s="11" t="s">
        <v>137</v>
      </c>
    </row>
    <row r="492" spans="1:5" x14ac:dyDescent="0.35">
      <c r="A492" s="6" t="s">
        <v>135</v>
      </c>
      <c r="B492" s="7"/>
      <c r="C492" s="7"/>
      <c r="D492" s="7" t="s">
        <v>148</v>
      </c>
      <c r="E492" s="8" t="s">
        <v>137</v>
      </c>
    </row>
    <row r="493" spans="1:5" x14ac:dyDescent="0.35">
      <c r="A493" s="9" t="s">
        <v>135</v>
      </c>
      <c r="B493" s="10"/>
      <c r="C493" s="10"/>
      <c r="D493" s="10" t="s">
        <v>149</v>
      </c>
      <c r="E493" s="11" t="s">
        <v>137</v>
      </c>
    </row>
    <row r="494" spans="1:5" x14ac:dyDescent="0.35">
      <c r="A494" s="6" t="s">
        <v>135</v>
      </c>
      <c r="B494" s="7" t="s">
        <v>169</v>
      </c>
      <c r="C494" s="7" t="s">
        <v>146</v>
      </c>
      <c r="D494" s="7" t="s">
        <v>147</v>
      </c>
      <c r="E494" s="8" t="s">
        <v>137</v>
      </c>
    </row>
    <row r="495" spans="1:5" x14ac:dyDescent="0.35">
      <c r="A495" s="9" t="s">
        <v>135</v>
      </c>
      <c r="B495" s="10"/>
      <c r="C495" s="10"/>
      <c r="D495" s="10" t="s">
        <v>148</v>
      </c>
      <c r="E495" s="11" t="s">
        <v>137</v>
      </c>
    </row>
    <row r="496" spans="1:5" x14ac:dyDescent="0.35">
      <c r="A496" s="6" t="s">
        <v>135</v>
      </c>
      <c r="B496" s="7"/>
      <c r="C496" s="7"/>
      <c r="D496" s="7" t="s">
        <v>149</v>
      </c>
      <c r="E496" s="8" t="s">
        <v>137</v>
      </c>
    </row>
    <row r="497" spans="1:5" x14ac:dyDescent="0.35">
      <c r="A497" s="9" t="s">
        <v>135</v>
      </c>
      <c r="B497" s="10"/>
      <c r="C497" s="10" t="s">
        <v>150</v>
      </c>
      <c r="D497" s="10" t="s">
        <v>147</v>
      </c>
      <c r="E497" s="11" t="s">
        <v>137</v>
      </c>
    </row>
    <row r="498" spans="1:5" x14ac:dyDescent="0.35">
      <c r="A498" s="6" t="s">
        <v>135</v>
      </c>
      <c r="B498" s="7"/>
      <c r="C498" s="7"/>
      <c r="D498" s="7" t="s">
        <v>148</v>
      </c>
      <c r="E498" s="8" t="s">
        <v>137</v>
      </c>
    </row>
    <row r="499" spans="1:5" x14ac:dyDescent="0.35">
      <c r="A499" s="9" t="s">
        <v>135</v>
      </c>
      <c r="B499" s="10"/>
      <c r="C499" s="10"/>
      <c r="D499" s="10" t="s">
        <v>149</v>
      </c>
      <c r="E499" s="11" t="s">
        <v>137</v>
      </c>
    </row>
    <row r="500" spans="1:5" x14ac:dyDescent="0.35">
      <c r="A500" s="6" t="s">
        <v>135</v>
      </c>
      <c r="B500" s="7" t="s">
        <v>170</v>
      </c>
      <c r="C500" s="7" t="s">
        <v>146</v>
      </c>
      <c r="D500" s="7" t="s">
        <v>147</v>
      </c>
      <c r="E500" s="8" t="s">
        <v>137</v>
      </c>
    </row>
    <row r="501" spans="1:5" x14ac:dyDescent="0.35">
      <c r="A501" s="9" t="s">
        <v>135</v>
      </c>
      <c r="B501" s="10"/>
      <c r="C501" s="10"/>
      <c r="D501" s="10" t="s">
        <v>148</v>
      </c>
      <c r="E501" s="11" t="s">
        <v>137</v>
      </c>
    </row>
    <row r="502" spans="1:5" x14ac:dyDescent="0.35">
      <c r="A502" s="6" t="s">
        <v>135</v>
      </c>
      <c r="B502" s="7"/>
      <c r="C502" s="7"/>
      <c r="D502" s="7" t="s">
        <v>149</v>
      </c>
      <c r="E502" s="8" t="s">
        <v>137</v>
      </c>
    </row>
    <row r="503" spans="1:5" x14ac:dyDescent="0.35">
      <c r="A503" s="9" t="s">
        <v>135</v>
      </c>
      <c r="B503" s="10"/>
      <c r="C503" s="10" t="s">
        <v>150</v>
      </c>
      <c r="D503" s="10" t="s">
        <v>147</v>
      </c>
      <c r="E503" s="11" t="s">
        <v>137</v>
      </c>
    </row>
    <row r="504" spans="1:5" x14ac:dyDescent="0.35">
      <c r="A504" s="6" t="s">
        <v>135</v>
      </c>
      <c r="B504" s="7"/>
      <c r="C504" s="7"/>
      <c r="D504" s="7" t="s">
        <v>148</v>
      </c>
      <c r="E504" s="8" t="s">
        <v>137</v>
      </c>
    </row>
    <row r="505" spans="1:5" x14ac:dyDescent="0.35">
      <c r="A505" s="9" t="s">
        <v>135</v>
      </c>
      <c r="B505" s="10"/>
      <c r="C505" s="10"/>
      <c r="D505" s="10" t="s">
        <v>149</v>
      </c>
      <c r="E505" s="11" t="s">
        <v>137</v>
      </c>
    </row>
    <row r="506" spans="1:5" x14ac:dyDescent="0.35">
      <c r="A506" s="6" t="s">
        <v>37</v>
      </c>
      <c r="B506" s="7" t="s">
        <v>145</v>
      </c>
      <c r="C506" s="7" t="s">
        <v>146</v>
      </c>
      <c r="D506" s="7" t="s">
        <v>147</v>
      </c>
      <c r="E506" s="8">
        <v>240.54</v>
      </c>
    </row>
    <row r="507" spans="1:5" x14ac:dyDescent="0.35">
      <c r="A507" s="9" t="s">
        <v>135</v>
      </c>
      <c r="B507" s="10"/>
      <c r="C507" s="10"/>
      <c r="D507" s="10" t="s">
        <v>148</v>
      </c>
      <c r="E507" s="11">
        <v>218.35</v>
      </c>
    </row>
    <row r="508" spans="1:5" x14ac:dyDescent="0.35">
      <c r="A508" s="6" t="s">
        <v>135</v>
      </c>
      <c r="B508" s="7"/>
      <c r="C508" s="7"/>
      <c r="D508" s="7" t="s">
        <v>149</v>
      </c>
      <c r="E508" s="8">
        <v>22.19</v>
      </c>
    </row>
    <row r="509" spans="1:5" x14ac:dyDescent="0.35">
      <c r="A509" s="9" t="s">
        <v>135</v>
      </c>
      <c r="B509" s="10"/>
      <c r="C509" s="10" t="s">
        <v>150</v>
      </c>
      <c r="D509" s="10" t="s">
        <v>147</v>
      </c>
      <c r="E509" s="11" t="s">
        <v>137</v>
      </c>
    </row>
    <row r="510" spans="1:5" x14ac:dyDescent="0.35">
      <c r="A510" s="6" t="s">
        <v>135</v>
      </c>
      <c r="B510" s="7"/>
      <c r="C510" s="7"/>
      <c r="D510" s="7" t="s">
        <v>148</v>
      </c>
      <c r="E510" s="8" t="s">
        <v>137</v>
      </c>
    </row>
    <row r="511" spans="1:5" x14ac:dyDescent="0.35">
      <c r="A511" s="9" t="s">
        <v>135</v>
      </c>
      <c r="B511" s="10"/>
      <c r="C511" s="10"/>
      <c r="D511" s="10" t="s">
        <v>149</v>
      </c>
      <c r="E511" s="11" t="s">
        <v>137</v>
      </c>
    </row>
    <row r="512" spans="1:5" x14ac:dyDescent="0.35">
      <c r="A512" s="6" t="s">
        <v>135</v>
      </c>
      <c r="B512" s="7" t="s">
        <v>151</v>
      </c>
      <c r="C512" s="7" t="s">
        <v>146</v>
      </c>
      <c r="D512" s="7" t="s">
        <v>147</v>
      </c>
      <c r="E512" s="8">
        <v>205.64</v>
      </c>
    </row>
    <row r="513" spans="1:5" x14ac:dyDescent="0.35">
      <c r="A513" s="9" t="s">
        <v>135</v>
      </c>
      <c r="B513" s="10"/>
      <c r="C513" s="10"/>
      <c r="D513" s="10" t="s">
        <v>148</v>
      </c>
      <c r="E513" s="11">
        <v>183.6</v>
      </c>
    </row>
    <row r="514" spans="1:5" x14ac:dyDescent="0.35">
      <c r="A514" s="6" t="s">
        <v>135</v>
      </c>
      <c r="B514" s="7"/>
      <c r="C514" s="7"/>
      <c r="D514" s="7" t="s">
        <v>149</v>
      </c>
      <c r="E514" s="8">
        <v>22.04</v>
      </c>
    </row>
    <row r="515" spans="1:5" x14ac:dyDescent="0.35">
      <c r="A515" s="9" t="s">
        <v>135</v>
      </c>
      <c r="B515" s="10"/>
      <c r="C515" s="10" t="s">
        <v>150</v>
      </c>
      <c r="D515" s="10" t="s">
        <v>147</v>
      </c>
      <c r="E515" s="11" t="s">
        <v>137</v>
      </c>
    </row>
    <row r="516" spans="1:5" x14ac:dyDescent="0.35">
      <c r="A516" s="6" t="s">
        <v>135</v>
      </c>
      <c r="B516" s="7"/>
      <c r="C516" s="7"/>
      <c r="D516" s="7" t="s">
        <v>148</v>
      </c>
      <c r="E516" s="8" t="s">
        <v>137</v>
      </c>
    </row>
    <row r="517" spans="1:5" x14ac:dyDescent="0.35">
      <c r="A517" s="9" t="s">
        <v>135</v>
      </c>
      <c r="B517" s="10"/>
      <c r="C517" s="10"/>
      <c r="D517" s="10" t="s">
        <v>149</v>
      </c>
      <c r="E517" s="11" t="s">
        <v>137</v>
      </c>
    </row>
    <row r="518" spans="1:5" x14ac:dyDescent="0.35">
      <c r="A518" s="6" t="s">
        <v>135</v>
      </c>
      <c r="B518" s="7" t="s">
        <v>152</v>
      </c>
      <c r="C518" s="7" t="s">
        <v>146</v>
      </c>
      <c r="D518" s="7" t="s">
        <v>147</v>
      </c>
      <c r="E518" s="8" t="s">
        <v>137</v>
      </c>
    </row>
    <row r="519" spans="1:5" x14ac:dyDescent="0.35">
      <c r="A519" s="9" t="s">
        <v>135</v>
      </c>
      <c r="B519" s="10"/>
      <c r="C519" s="10"/>
      <c r="D519" s="10" t="s">
        <v>148</v>
      </c>
      <c r="E519" s="11" t="s">
        <v>137</v>
      </c>
    </row>
    <row r="520" spans="1:5" x14ac:dyDescent="0.35">
      <c r="A520" s="6" t="s">
        <v>135</v>
      </c>
      <c r="B520" s="7"/>
      <c r="C520" s="7"/>
      <c r="D520" s="7" t="s">
        <v>149</v>
      </c>
      <c r="E520" s="8" t="s">
        <v>137</v>
      </c>
    </row>
    <row r="521" spans="1:5" x14ac:dyDescent="0.35">
      <c r="A521" s="9" t="s">
        <v>135</v>
      </c>
      <c r="B521" s="10"/>
      <c r="C521" s="10" t="s">
        <v>150</v>
      </c>
      <c r="D521" s="10" t="s">
        <v>147</v>
      </c>
      <c r="E521" s="11" t="s">
        <v>137</v>
      </c>
    </row>
    <row r="522" spans="1:5" x14ac:dyDescent="0.35">
      <c r="A522" s="6" t="s">
        <v>135</v>
      </c>
      <c r="B522" s="7"/>
      <c r="C522" s="7"/>
      <c r="D522" s="7" t="s">
        <v>148</v>
      </c>
      <c r="E522" s="8" t="s">
        <v>137</v>
      </c>
    </row>
    <row r="523" spans="1:5" x14ac:dyDescent="0.35">
      <c r="A523" s="9" t="s">
        <v>135</v>
      </c>
      <c r="B523" s="10"/>
      <c r="C523" s="10"/>
      <c r="D523" s="10" t="s">
        <v>149</v>
      </c>
      <c r="E523" s="11" t="s">
        <v>137</v>
      </c>
    </row>
    <row r="524" spans="1:5" x14ac:dyDescent="0.35">
      <c r="A524" s="6" t="s">
        <v>135</v>
      </c>
      <c r="B524" s="7" t="s">
        <v>153</v>
      </c>
      <c r="C524" s="7" t="s">
        <v>146</v>
      </c>
      <c r="D524" s="7" t="s">
        <v>147</v>
      </c>
      <c r="E524" s="8" t="s">
        <v>137</v>
      </c>
    </row>
    <row r="525" spans="1:5" x14ac:dyDescent="0.35">
      <c r="A525" s="9" t="s">
        <v>135</v>
      </c>
      <c r="B525" s="10"/>
      <c r="C525" s="10"/>
      <c r="D525" s="10" t="s">
        <v>148</v>
      </c>
      <c r="E525" s="11" t="s">
        <v>137</v>
      </c>
    </row>
    <row r="526" spans="1:5" x14ac:dyDescent="0.35">
      <c r="A526" s="6" t="s">
        <v>135</v>
      </c>
      <c r="B526" s="7"/>
      <c r="C526" s="7"/>
      <c r="D526" s="7" t="s">
        <v>149</v>
      </c>
      <c r="E526" s="8" t="s">
        <v>137</v>
      </c>
    </row>
    <row r="527" spans="1:5" x14ac:dyDescent="0.35">
      <c r="A527" s="9" t="s">
        <v>135</v>
      </c>
      <c r="B527" s="10"/>
      <c r="C527" s="10" t="s">
        <v>150</v>
      </c>
      <c r="D527" s="10" t="s">
        <v>147</v>
      </c>
      <c r="E527" s="11" t="s">
        <v>137</v>
      </c>
    </row>
    <row r="528" spans="1:5" x14ac:dyDescent="0.35">
      <c r="A528" s="6" t="s">
        <v>135</v>
      </c>
      <c r="B528" s="7"/>
      <c r="C528" s="7"/>
      <c r="D528" s="7" t="s">
        <v>148</v>
      </c>
      <c r="E528" s="8" t="s">
        <v>137</v>
      </c>
    </row>
    <row r="529" spans="1:5" x14ac:dyDescent="0.35">
      <c r="A529" s="9" t="s">
        <v>135</v>
      </c>
      <c r="B529" s="10"/>
      <c r="C529" s="10"/>
      <c r="D529" s="10" t="s">
        <v>149</v>
      </c>
      <c r="E529" s="11" t="s">
        <v>137</v>
      </c>
    </row>
    <row r="530" spans="1:5" x14ac:dyDescent="0.35">
      <c r="A530" s="6" t="s">
        <v>135</v>
      </c>
      <c r="B530" s="7" t="s">
        <v>154</v>
      </c>
      <c r="C530" s="7" t="s">
        <v>146</v>
      </c>
      <c r="D530" s="7" t="s">
        <v>147</v>
      </c>
      <c r="E530" s="8" t="s">
        <v>137</v>
      </c>
    </row>
    <row r="531" spans="1:5" x14ac:dyDescent="0.35">
      <c r="A531" s="9" t="s">
        <v>135</v>
      </c>
      <c r="B531" s="10"/>
      <c r="C531" s="10"/>
      <c r="D531" s="10" t="s">
        <v>148</v>
      </c>
      <c r="E531" s="11" t="s">
        <v>137</v>
      </c>
    </row>
    <row r="532" spans="1:5" x14ac:dyDescent="0.35">
      <c r="A532" s="6" t="s">
        <v>135</v>
      </c>
      <c r="B532" s="7"/>
      <c r="C532" s="7"/>
      <c r="D532" s="7" t="s">
        <v>149</v>
      </c>
      <c r="E532" s="8" t="s">
        <v>137</v>
      </c>
    </row>
    <row r="533" spans="1:5" x14ac:dyDescent="0.35">
      <c r="A533" s="9" t="s">
        <v>135</v>
      </c>
      <c r="B533" s="10"/>
      <c r="C533" s="10" t="s">
        <v>150</v>
      </c>
      <c r="D533" s="10" t="s">
        <v>147</v>
      </c>
      <c r="E533" s="11" t="s">
        <v>137</v>
      </c>
    </row>
    <row r="534" spans="1:5" x14ac:dyDescent="0.35">
      <c r="A534" s="6" t="s">
        <v>135</v>
      </c>
      <c r="B534" s="7"/>
      <c r="C534" s="7"/>
      <c r="D534" s="7" t="s">
        <v>148</v>
      </c>
      <c r="E534" s="8" t="s">
        <v>137</v>
      </c>
    </row>
    <row r="535" spans="1:5" x14ac:dyDescent="0.35">
      <c r="A535" s="9" t="s">
        <v>135</v>
      </c>
      <c r="B535" s="10"/>
      <c r="C535" s="10"/>
      <c r="D535" s="10" t="s">
        <v>149</v>
      </c>
      <c r="E535" s="11" t="s">
        <v>137</v>
      </c>
    </row>
    <row r="536" spans="1:5" x14ac:dyDescent="0.35">
      <c r="A536" s="6" t="s">
        <v>135</v>
      </c>
      <c r="B536" s="7" t="s">
        <v>155</v>
      </c>
      <c r="C536" s="7" t="s">
        <v>146</v>
      </c>
      <c r="D536" s="7" t="s">
        <v>147</v>
      </c>
      <c r="E536" s="8">
        <v>34</v>
      </c>
    </row>
    <row r="537" spans="1:5" x14ac:dyDescent="0.35">
      <c r="A537" s="9" t="s">
        <v>135</v>
      </c>
      <c r="B537" s="10"/>
      <c r="C537" s="10"/>
      <c r="D537" s="10" t="s">
        <v>148</v>
      </c>
      <c r="E537" s="11">
        <v>34</v>
      </c>
    </row>
    <row r="538" spans="1:5" x14ac:dyDescent="0.35">
      <c r="A538" s="6" t="s">
        <v>135</v>
      </c>
      <c r="B538" s="7"/>
      <c r="C538" s="7"/>
      <c r="D538" s="7" t="s">
        <v>149</v>
      </c>
      <c r="E538" s="8" t="s">
        <v>137</v>
      </c>
    </row>
    <row r="539" spans="1:5" x14ac:dyDescent="0.35">
      <c r="A539" s="9" t="s">
        <v>135</v>
      </c>
      <c r="B539" s="10"/>
      <c r="C539" s="10" t="s">
        <v>150</v>
      </c>
      <c r="D539" s="10" t="s">
        <v>147</v>
      </c>
      <c r="E539" s="11" t="s">
        <v>137</v>
      </c>
    </row>
    <row r="540" spans="1:5" x14ac:dyDescent="0.35">
      <c r="A540" s="6" t="s">
        <v>135</v>
      </c>
      <c r="B540" s="7"/>
      <c r="C540" s="7"/>
      <c r="D540" s="7" t="s">
        <v>148</v>
      </c>
      <c r="E540" s="8" t="s">
        <v>137</v>
      </c>
    </row>
    <row r="541" spans="1:5" x14ac:dyDescent="0.35">
      <c r="A541" s="9" t="s">
        <v>135</v>
      </c>
      <c r="B541" s="10"/>
      <c r="C541" s="10"/>
      <c r="D541" s="10" t="s">
        <v>149</v>
      </c>
      <c r="E541" s="11" t="s">
        <v>137</v>
      </c>
    </row>
    <row r="542" spans="1:5" x14ac:dyDescent="0.35">
      <c r="A542" s="6" t="s">
        <v>135</v>
      </c>
      <c r="B542" s="7" t="s">
        <v>156</v>
      </c>
      <c r="C542" s="7" t="s">
        <v>146</v>
      </c>
      <c r="D542" s="7" t="s">
        <v>147</v>
      </c>
      <c r="E542" s="8" t="s">
        <v>137</v>
      </c>
    </row>
    <row r="543" spans="1:5" x14ac:dyDescent="0.35">
      <c r="A543" s="9" t="s">
        <v>135</v>
      </c>
      <c r="B543" s="10"/>
      <c r="C543" s="10"/>
      <c r="D543" s="10" t="s">
        <v>148</v>
      </c>
      <c r="E543" s="11" t="s">
        <v>137</v>
      </c>
    </row>
    <row r="544" spans="1:5" x14ac:dyDescent="0.35">
      <c r="A544" s="6" t="s">
        <v>135</v>
      </c>
      <c r="B544" s="7"/>
      <c r="C544" s="7"/>
      <c r="D544" s="7" t="s">
        <v>149</v>
      </c>
      <c r="E544" s="8" t="s">
        <v>137</v>
      </c>
    </row>
    <row r="545" spans="1:5" x14ac:dyDescent="0.35">
      <c r="A545" s="9" t="s">
        <v>135</v>
      </c>
      <c r="B545" s="10"/>
      <c r="C545" s="10" t="s">
        <v>150</v>
      </c>
      <c r="D545" s="10" t="s">
        <v>147</v>
      </c>
      <c r="E545" s="11" t="s">
        <v>137</v>
      </c>
    </row>
    <row r="546" spans="1:5" x14ac:dyDescent="0.35">
      <c r="A546" s="6" t="s">
        <v>135</v>
      </c>
      <c r="B546" s="7"/>
      <c r="C546" s="7"/>
      <c r="D546" s="7" t="s">
        <v>148</v>
      </c>
      <c r="E546" s="8" t="s">
        <v>137</v>
      </c>
    </row>
    <row r="547" spans="1:5" x14ac:dyDescent="0.35">
      <c r="A547" s="9" t="s">
        <v>135</v>
      </c>
      <c r="B547" s="10"/>
      <c r="C547" s="10"/>
      <c r="D547" s="10" t="s">
        <v>149</v>
      </c>
      <c r="E547" s="11" t="s">
        <v>137</v>
      </c>
    </row>
    <row r="548" spans="1:5" x14ac:dyDescent="0.35">
      <c r="A548" s="6" t="s">
        <v>135</v>
      </c>
      <c r="B548" s="7" t="s">
        <v>157</v>
      </c>
      <c r="C548" s="7" t="s">
        <v>146</v>
      </c>
      <c r="D548" s="7" t="s">
        <v>147</v>
      </c>
      <c r="E548" s="8" t="s">
        <v>137</v>
      </c>
    </row>
    <row r="549" spans="1:5" x14ac:dyDescent="0.35">
      <c r="A549" s="9" t="s">
        <v>135</v>
      </c>
      <c r="B549" s="10"/>
      <c r="C549" s="10"/>
      <c r="D549" s="10" t="s">
        <v>148</v>
      </c>
      <c r="E549" s="11" t="s">
        <v>137</v>
      </c>
    </row>
    <row r="550" spans="1:5" x14ac:dyDescent="0.35">
      <c r="A550" s="6" t="s">
        <v>135</v>
      </c>
      <c r="B550" s="7"/>
      <c r="C550" s="7"/>
      <c r="D550" s="7" t="s">
        <v>149</v>
      </c>
      <c r="E550" s="8" t="s">
        <v>137</v>
      </c>
    </row>
    <row r="551" spans="1:5" x14ac:dyDescent="0.35">
      <c r="A551" s="9" t="s">
        <v>135</v>
      </c>
      <c r="B551" s="10"/>
      <c r="C551" s="10" t="s">
        <v>150</v>
      </c>
      <c r="D551" s="10" t="s">
        <v>147</v>
      </c>
      <c r="E551" s="11" t="s">
        <v>137</v>
      </c>
    </row>
    <row r="552" spans="1:5" x14ac:dyDescent="0.35">
      <c r="A552" s="6" t="s">
        <v>135</v>
      </c>
      <c r="B552" s="7"/>
      <c r="C552" s="7"/>
      <c r="D552" s="7" t="s">
        <v>148</v>
      </c>
      <c r="E552" s="8" t="s">
        <v>137</v>
      </c>
    </row>
    <row r="553" spans="1:5" x14ac:dyDescent="0.35">
      <c r="A553" s="9" t="s">
        <v>135</v>
      </c>
      <c r="B553" s="10"/>
      <c r="C553" s="10"/>
      <c r="D553" s="10" t="s">
        <v>149</v>
      </c>
      <c r="E553" s="11" t="s">
        <v>137</v>
      </c>
    </row>
    <row r="554" spans="1:5" x14ac:dyDescent="0.35">
      <c r="A554" s="6" t="s">
        <v>135</v>
      </c>
      <c r="B554" s="7" t="s">
        <v>158</v>
      </c>
      <c r="C554" s="7" t="s">
        <v>146</v>
      </c>
      <c r="D554" s="7" t="s">
        <v>147</v>
      </c>
      <c r="E554" s="8" t="s">
        <v>137</v>
      </c>
    </row>
    <row r="555" spans="1:5" x14ac:dyDescent="0.35">
      <c r="A555" s="9" t="s">
        <v>135</v>
      </c>
      <c r="B555" s="10"/>
      <c r="C555" s="10"/>
      <c r="D555" s="10" t="s">
        <v>148</v>
      </c>
      <c r="E555" s="11" t="s">
        <v>137</v>
      </c>
    </row>
    <row r="556" spans="1:5" x14ac:dyDescent="0.35">
      <c r="A556" s="6" t="s">
        <v>135</v>
      </c>
      <c r="B556" s="7"/>
      <c r="C556" s="7"/>
      <c r="D556" s="7" t="s">
        <v>149</v>
      </c>
      <c r="E556" s="8" t="s">
        <v>137</v>
      </c>
    </row>
    <row r="557" spans="1:5" x14ac:dyDescent="0.35">
      <c r="A557" s="9" t="s">
        <v>135</v>
      </c>
      <c r="B557" s="10"/>
      <c r="C557" s="10" t="s">
        <v>150</v>
      </c>
      <c r="D557" s="10" t="s">
        <v>147</v>
      </c>
      <c r="E557" s="11" t="s">
        <v>137</v>
      </c>
    </row>
    <row r="558" spans="1:5" x14ac:dyDescent="0.35">
      <c r="A558" s="6" t="s">
        <v>135</v>
      </c>
      <c r="B558" s="7"/>
      <c r="C558" s="7"/>
      <c r="D558" s="7" t="s">
        <v>148</v>
      </c>
      <c r="E558" s="8" t="s">
        <v>137</v>
      </c>
    </row>
    <row r="559" spans="1:5" x14ac:dyDescent="0.35">
      <c r="A559" s="9" t="s">
        <v>135</v>
      </c>
      <c r="B559" s="10"/>
      <c r="C559" s="10"/>
      <c r="D559" s="10" t="s">
        <v>149</v>
      </c>
      <c r="E559" s="11" t="s">
        <v>137</v>
      </c>
    </row>
    <row r="560" spans="1:5" x14ac:dyDescent="0.35">
      <c r="A560" s="6" t="s">
        <v>135</v>
      </c>
      <c r="B560" s="7" t="s">
        <v>159</v>
      </c>
      <c r="C560" s="7" t="s">
        <v>146</v>
      </c>
      <c r="D560" s="7" t="s">
        <v>147</v>
      </c>
      <c r="E560" s="8" t="s">
        <v>137</v>
      </c>
    </row>
    <row r="561" spans="1:5" x14ac:dyDescent="0.35">
      <c r="A561" s="9" t="s">
        <v>135</v>
      </c>
      <c r="B561" s="10"/>
      <c r="C561" s="10"/>
      <c r="D561" s="10" t="s">
        <v>148</v>
      </c>
      <c r="E561" s="11" t="s">
        <v>137</v>
      </c>
    </row>
    <row r="562" spans="1:5" x14ac:dyDescent="0.35">
      <c r="A562" s="6" t="s">
        <v>135</v>
      </c>
      <c r="B562" s="7"/>
      <c r="C562" s="7"/>
      <c r="D562" s="7" t="s">
        <v>149</v>
      </c>
      <c r="E562" s="8" t="s">
        <v>137</v>
      </c>
    </row>
    <row r="563" spans="1:5" x14ac:dyDescent="0.35">
      <c r="A563" s="9" t="s">
        <v>135</v>
      </c>
      <c r="B563" s="10"/>
      <c r="C563" s="10" t="s">
        <v>150</v>
      </c>
      <c r="D563" s="10" t="s">
        <v>147</v>
      </c>
      <c r="E563" s="11" t="s">
        <v>137</v>
      </c>
    </row>
    <row r="564" spans="1:5" x14ac:dyDescent="0.35">
      <c r="A564" s="6" t="s">
        <v>135</v>
      </c>
      <c r="B564" s="7"/>
      <c r="C564" s="7"/>
      <c r="D564" s="7" t="s">
        <v>148</v>
      </c>
      <c r="E564" s="8" t="s">
        <v>137</v>
      </c>
    </row>
    <row r="565" spans="1:5" x14ac:dyDescent="0.35">
      <c r="A565" s="9" t="s">
        <v>135</v>
      </c>
      <c r="B565" s="10"/>
      <c r="C565" s="10"/>
      <c r="D565" s="10" t="s">
        <v>149</v>
      </c>
      <c r="E565" s="11" t="s">
        <v>137</v>
      </c>
    </row>
    <row r="566" spans="1:5" x14ac:dyDescent="0.35">
      <c r="A566" s="6" t="s">
        <v>135</v>
      </c>
      <c r="B566" s="7" t="s">
        <v>160</v>
      </c>
      <c r="C566" s="7" t="s">
        <v>146</v>
      </c>
      <c r="D566" s="7" t="s">
        <v>147</v>
      </c>
      <c r="E566" s="8">
        <v>0.15</v>
      </c>
    </row>
    <row r="567" spans="1:5" x14ac:dyDescent="0.35">
      <c r="A567" s="9" t="s">
        <v>135</v>
      </c>
      <c r="B567" s="10"/>
      <c r="C567" s="10"/>
      <c r="D567" s="10" t="s">
        <v>148</v>
      </c>
      <c r="E567" s="11" t="s">
        <v>137</v>
      </c>
    </row>
    <row r="568" spans="1:5" x14ac:dyDescent="0.35">
      <c r="A568" s="6" t="s">
        <v>135</v>
      </c>
      <c r="B568" s="7"/>
      <c r="C568" s="7"/>
      <c r="D568" s="7" t="s">
        <v>149</v>
      </c>
      <c r="E568" s="8">
        <v>0.15</v>
      </c>
    </row>
    <row r="569" spans="1:5" x14ac:dyDescent="0.35">
      <c r="A569" s="9" t="s">
        <v>135</v>
      </c>
      <c r="B569" s="10"/>
      <c r="C569" s="10" t="s">
        <v>150</v>
      </c>
      <c r="D569" s="10" t="s">
        <v>147</v>
      </c>
      <c r="E569" s="11" t="s">
        <v>137</v>
      </c>
    </row>
    <row r="570" spans="1:5" x14ac:dyDescent="0.35">
      <c r="A570" s="6" t="s">
        <v>135</v>
      </c>
      <c r="B570" s="7"/>
      <c r="C570" s="7"/>
      <c r="D570" s="7" t="s">
        <v>148</v>
      </c>
      <c r="E570" s="8" t="s">
        <v>137</v>
      </c>
    </row>
    <row r="571" spans="1:5" x14ac:dyDescent="0.35">
      <c r="A571" s="9" t="s">
        <v>135</v>
      </c>
      <c r="B571" s="10"/>
      <c r="C571" s="10"/>
      <c r="D571" s="10" t="s">
        <v>149</v>
      </c>
      <c r="E571" s="11" t="s">
        <v>137</v>
      </c>
    </row>
    <row r="572" spans="1:5" x14ac:dyDescent="0.35">
      <c r="A572" s="6" t="s">
        <v>135</v>
      </c>
      <c r="B572" s="7" t="s">
        <v>161</v>
      </c>
      <c r="C572" s="7" t="s">
        <v>146</v>
      </c>
      <c r="D572" s="7" t="s">
        <v>147</v>
      </c>
      <c r="E572" s="8">
        <v>0.75</v>
      </c>
    </row>
    <row r="573" spans="1:5" x14ac:dyDescent="0.35">
      <c r="A573" s="9" t="s">
        <v>135</v>
      </c>
      <c r="B573" s="10"/>
      <c r="C573" s="10"/>
      <c r="D573" s="10" t="s">
        <v>148</v>
      </c>
      <c r="E573" s="11">
        <v>0.75</v>
      </c>
    </row>
    <row r="574" spans="1:5" x14ac:dyDescent="0.35">
      <c r="A574" s="6" t="s">
        <v>135</v>
      </c>
      <c r="B574" s="7"/>
      <c r="C574" s="7"/>
      <c r="D574" s="7" t="s">
        <v>149</v>
      </c>
      <c r="E574" s="8" t="s">
        <v>137</v>
      </c>
    </row>
    <row r="575" spans="1:5" x14ac:dyDescent="0.35">
      <c r="A575" s="9" t="s">
        <v>135</v>
      </c>
      <c r="B575" s="10"/>
      <c r="C575" s="10" t="s">
        <v>150</v>
      </c>
      <c r="D575" s="10" t="s">
        <v>147</v>
      </c>
      <c r="E575" s="11" t="s">
        <v>137</v>
      </c>
    </row>
    <row r="576" spans="1:5" x14ac:dyDescent="0.35">
      <c r="A576" s="6" t="s">
        <v>135</v>
      </c>
      <c r="B576" s="7"/>
      <c r="C576" s="7"/>
      <c r="D576" s="7" t="s">
        <v>148</v>
      </c>
      <c r="E576" s="8" t="s">
        <v>137</v>
      </c>
    </row>
    <row r="577" spans="1:5" x14ac:dyDescent="0.35">
      <c r="A577" s="9" t="s">
        <v>135</v>
      </c>
      <c r="B577" s="10"/>
      <c r="C577" s="10"/>
      <c r="D577" s="10" t="s">
        <v>149</v>
      </c>
      <c r="E577" s="11" t="s">
        <v>137</v>
      </c>
    </row>
    <row r="578" spans="1:5" x14ac:dyDescent="0.35">
      <c r="A578" s="6" t="s">
        <v>135</v>
      </c>
      <c r="B578" s="7" t="s">
        <v>162</v>
      </c>
      <c r="C578" s="7" t="s">
        <v>146</v>
      </c>
      <c r="D578" s="7" t="s">
        <v>147</v>
      </c>
      <c r="E578" s="8" t="s">
        <v>137</v>
      </c>
    </row>
    <row r="579" spans="1:5" x14ac:dyDescent="0.35">
      <c r="A579" s="9" t="s">
        <v>135</v>
      </c>
      <c r="B579" s="10"/>
      <c r="C579" s="10"/>
      <c r="D579" s="10" t="s">
        <v>148</v>
      </c>
      <c r="E579" s="11" t="s">
        <v>137</v>
      </c>
    </row>
    <row r="580" spans="1:5" x14ac:dyDescent="0.35">
      <c r="A580" s="6" t="s">
        <v>135</v>
      </c>
      <c r="B580" s="7"/>
      <c r="C580" s="7"/>
      <c r="D580" s="7" t="s">
        <v>149</v>
      </c>
      <c r="E580" s="8" t="s">
        <v>137</v>
      </c>
    </row>
    <row r="581" spans="1:5" x14ac:dyDescent="0.35">
      <c r="A581" s="9" t="s">
        <v>135</v>
      </c>
      <c r="B581" s="10"/>
      <c r="C581" s="10" t="s">
        <v>150</v>
      </c>
      <c r="D581" s="10" t="s">
        <v>147</v>
      </c>
      <c r="E581" s="11" t="s">
        <v>137</v>
      </c>
    </row>
    <row r="582" spans="1:5" x14ac:dyDescent="0.35">
      <c r="A582" s="6" t="s">
        <v>135</v>
      </c>
      <c r="B582" s="7"/>
      <c r="C582" s="7"/>
      <c r="D582" s="7" t="s">
        <v>148</v>
      </c>
      <c r="E582" s="8" t="s">
        <v>137</v>
      </c>
    </row>
    <row r="583" spans="1:5" x14ac:dyDescent="0.35">
      <c r="A583" s="9" t="s">
        <v>135</v>
      </c>
      <c r="B583" s="10"/>
      <c r="C583" s="10"/>
      <c r="D583" s="10" t="s">
        <v>149</v>
      </c>
      <c r="E583" s="11" t="s">
        <v>137</v>
      </c>
    </row>
    <row r="584" spans="1:5" x14ac:dyDescent="0.35">
      <c r="A584" s="6" t="s">
        <v>135</v>
      </c>
      <c r="B584" s="7" t="s">
        <v>163</v>
      </c>
      <c r="C584" s="7" t="s">
        <v>146</v>
      </c>
      <c r="D584" s="7" t="s">
        <v>147</v>
      </c>
      <c r="E584" s="8">
        <v>395</v>
      </c>
    </row>
    <row r="585" spans="1:5" x14ac:dyDescent="0.35">
      <c r="A585" s="9" t="s">
        <v>135</v>
      </c>
      <c r="B585" s="10"/>
      <c r="C585" s="10"/>
      <c r="D585" s="10" t="s">
        <v>148</v>
      </c>
      <c r="E585" s="11">
        <v>395</v>
      </c>
    </row>
    <row r="586" spans="1:5" x14ac:dyDescent="0.35">
      <c r="A586" s="6" t="s">
        <v>135</v>
      </c>
      <c r="B586" s="7"/>
      <c r="C586" s="7"/>
      <c r="D586" s="7" t="s">
        <v>149</v>
      </c>
      <c r="E586" s="8" t="s">
        <v>137</v>
      </c>
    </row>
    <row r="587" spans="1:5" x14ac:dyDescent="0.35">
      <c r="A587" s="9" t="s">
        <v>135</v>
      </c>
      <c r="B587" s="10"/>
      <c r="C587" s="10" t="s">
        <v>150</v>
      </c>
      <c r="D587" s="10" t="s">
        <v>147</v>
      </c>
      <c r="E587" s="11" t="s">
        <v>137</v>
      </c>
    </row>
    <row r="588" spans="1:5" x14ac:dyDescent="0.35">
      <c r="A588" s="6" t="s">
        <v>135</v>
      </c>
      <c r="B588" s="7"/>
      <c r="C588" s="7"/>
      <c r="D588" s="7" t="s">
        <v>148</v>
      </c>
      <c r="E588" s="8" t="s">
        <v>137</v>
      </c>
    </row>
    <row r="589" spans="1:5" x14ac:dyDescent="0.35">
      <c r="A589" s="9" t="s">
        <v>135</v>
      </c>
      <c r="B589" s="10"/>
      <c r="C589" s="10"/>
      <c r="D589" s="10" t="s">
        <v>149</v>
      </c>
      <c r="E589" s="11" t="s">
        <v>137</v>
      </c>
    </row>
    <row r="590" spans="1:5" x14ac:dyDescent="0.35">
      <c r="A590" s="6" t="s">
        <v>135</v>
      </c>
      <c r="B590" s="7" t="s">
        <v>164</v>
      </c>
      <c r="C590" s="7" t="s">
        <v>146</v>
      </c>
      <c r="D590" s="7" t="s">
        <v>147</v>
      </c>
      <c r="E590" s="8" t="s">
        <v>137</v>
      </c>
    </row>
    <row r="591" spans="1:5" x14ac:dyDescent="0.35">
      <c r="A591" s="9" t="s">
        <v>135</v>
      </c>
      <c r="B591" s="10"/>
      <c r="C591" s="10"/>
      <c r="D591" s="10" t="s">
        <v>148</v>
      </c>
      <c r="E591" s="11" t="s">
        <v>137</v>
      </c>
    </row>
    <row r="592" spans="1:5" x14ac:dyDescent="0.35">
      <c r="A592" s="6" t="s">
        <v>135</v>
      </c>
      <c r="B592" s="7"/>
      <c r="C592" s="7"/>
      <c r="D592" s="7" t="s">
        <v>149</v>
      </c>
      <c r="E592" s="8" t="s">
        <v>137</v>
      </c>
    </row>
    <row r="593" spans="1:5" x14ac:dyDescent="0.35">
      <c r="A593" s="9" t="s">
        <v>135</v>
      </c>
      <c r="B593" s="10"/>
      <c r="C593" s="10" t="s">
        <v>150</v>
      </c>
      <c r="D593" s="10" t="s">
        <v>147</v>
      </c>
      <c r="E593" s="11" t="s">
        <v>137</v>
      </c>
    </row>
    <row r="594" spans="1:5" x14ac:dyDescent="0.35">
      <c r="A594" s="6" t="s">
        <v>135</v>
      </c>
      <c r="B594" s="7"/>
      <c r="C594" s="7"/>
      <c r="D594" s="7" t="s">
        <v>148</v>
      </c>
      <c r="E594" s="8" t="s">
        <v>137</v>
      </c>
    </row>
    <row r="595" spans="1:5" x14ac:dyDescent="0.35">
      <c r="A595" s="9" t="s">
        <v>135</v>
      </c>
      <c r="B595" s="10"/>
      <c r="C595" s="10"/>
      <c r="D595" s="10" t="s">
        <v>149</v>
      </c>
      <c r="E595" s="11" t="s">
        <v>137</v>
      </c>
    </row>
    <row r="596" spans="1:5" x14ac:dyDescent="0.35">
      <c r="A596" s="6" t="s">
        <v>135</v>
      </c>
      <c r="B596" s="7" t="s">
        <v>165</v>
      </c>
      <c r="C596" s="7" t="s">
        <v>146</v>
      </c>
      <c r="D596" s="7" t="s">
        <v>147</v>
      </c>
      <c r="E596" s="8" t="s">
        <v>137</v>
      </c>
    </row>
    <row r="597" spans="1:5" x14ac:dyDescent="0.35">
      <c r="A597" s="9" t="s">
        <v>135</v>
      </c>
      <c r="B597" s="10"/>
      <c r="C597" s="10"/>
      <c r="D597" s="10" t="s">
        <v>148</v>
      </c>
      <c r="E597" s="11" t="s">
        <v>137</v>
      </c>
    </row>
    <row r="598" spans="1:5" x14ac:dyDescent="0.35">
      <c r="A598" s="6" t="s">
        <v>135</v>
      </c>
      <c r="B598" s="7"/>
      <c r="C598" s="7"/>
      <c r="D598" s="7" t="s">
        <v>149</v>
      </c>
      <c r="E598" s="8" t="s">
        <v>137</v>
      </c>
    </row>
    <row r="599" spans="1:5" x14ac:dyDescent="0.35">
      <c r="A599" s="9" t="s">
        <v>135</v>
      </c>
      <c r="B599" s="10"/>
      <c r="C599" s="10" t="s">
        <v>150</v>
      </c>
      <c r="D599" s="10" t="s">
        <v>147</v>
      </c>
      <c r="E599" s="11" t="s">
        <v>137</v>
      </c>
    </row>
    <row r="600" spans="1:5" x14ac:dyDescent="0.35">
      <c r="A600" s="6" t="s">
        <v>135</v>
      </c>
      <c r="B600" s="7"/>
      <c r="C600" s="7"/>
      <c r="D600" s="7" t="s">
        <v>148</v>
      </c>
      <c r="E600" s="8" t="s">
        <v>137</v>
      </c>
    </row>
    <row r="601" spans="1:5" x14ac:dyDescent="0.35">
      <c r="A601" s="9" t="s">
        <v>135</v>
      </c>
      <c r="B601" s="10"/>
      <c r="C601" s="10"/>
      <c r="D601" s="10" t="s">
        <v>149</v>
      </c>
      <c r="E601" s="11" t="s">
        <v>137</v>
      </c>
    </row>
    <row r="602" spans="1:5" x14ac:dyDescent="0.35">
      <c r="A602" s="6" t="s">
        <v>135</v>
      </c>
      <c r="B602" s="7" t="s">
        <v>166</v>
      </c>
      <c r="C602" s="7" t="s">
        <v>146</v>
      </c>
      <c r="D602" s="7" t="s">
        <v>147</v>
      </c>
      <c r="E602" s="8">
        <v>395</v>
      </c>
    </row>
    <row r="603" spans="1:5" x14ac:dyDescent="0.35">
      <c r="A603" s="9" t="s">
        <v>135</v>
      </c>
      <c r="B603" s="10"/>
      <c r="C603" s="10"/>
      <c r="D603" s="10" t="s">
        <v>148</v>
      </c>
      <c r="E603" s="11">
        <v>395</v>
      </c>
    </row>
    <row r="604" spans="1:5" x14ac:dyDescent="0.35">
      <c r="A604" s="6" t="s">
        <v>135</v>
      </c>
      <c r="B604" s="7"/>
      <c r="C604" s="7"/>
      <c r="D604" s="7" t="s">
        <v>149</v>
      </c>
      <c r="E604" s="8" t="s">
        <v>137</v>
      </c>
    </row>
    <row r="605" spans="1:5" x14ac:dyDescent="0.35">
      <c r="A605" s="9" t="s">
        <v>135</v>
      </c>
      <c r="B605" s="10"/>
      <c r="C605" s="10" t="s">
        <v>150</v>
      </c>
      <c r="D605" s="10" t="s">
        <v>147</v>
      </c>
      <c r="E605" s="11" t="s">
        <v>137</v>
      </c>
    </row>
    <row r="606" spans="1:5" x14ac:dyDescent="0.35">
      <c r="A606" s="6" t="s">
        <v>135</v>
      </c>
      <c r="B606" s="7"/>
      <c r="C606" s="7"/>
      <c r="D606" s="7" t="s">
        <v>148</v>
      </c>
      <c r="E606" s="8" t="s">
        <v>137</v>
      </c>
    </row>
    <row r="607" spans="1:5" x14ac:dyDescent="0.35">
      <c r="A607" s="9" t="s">
        <v>135</v>
      </c>
      <c r="B607" s="10"/>
      <c r="C607" s="10"/>
      <c r="D607" s="10" t="s">
        <v>149</v>
      </c>
      <c r="E607" s="11" t="s">
        <v>137</v>
      </c>
    </row>
    <row r="608" spans="1:5" x14ac:dyDescent="0.35">
      <c r="A608" s="6" t="s">
        <v>135</v>
      </c>
      <c r="B608" s="7" t="s">
        <v>167</v>
      </c>
      <c r="C608" s="7" t="s">
        <v>146</v>
      </c>
      <c r="D608" s="7" t="s">
        <v>147</v>
      </c>
      <c r="E608" s="8" t="s">
        <v>137</v>
      </c>
    </row>
    <row r="609" spans="1:5" x14ac:dyDescent="0.35">
      <c r="A609" s="9" t="s">
        <v>135</v>
      </c>
      <c r="B609" s="10"/>
      <c r="C609" s="10"/>
      <c r="D609" s="10" t="s">
        <v>148</v>
      </c>
      <c r="E609" s="11" t="s">
        <v>137</v>
      </c>
    </row>
    <row r="610" spans="1:5" x14ac:dyDescent="0.35">
      <c r="A610" s="6" t="s">
        <v>135</v>
      </c>
      <c r="B610" s="7"/>
      <c r="C610" s="7"/>
      <c r="D610" s="7" t="s">
        <v>149</v>
      </c>
      <c r="E610" s="8" t="s">
        <v>137</v>
      </c>
    </row>
    <row r="611" spans="1:5" x14ac:dyDescent="0.35">
      <c r="A611" s="9" t="s">
        <v>135</v>
      </c>
      <c r="B611" s="10"/>
      <c r="C611" s="10" t="s">
        <v>150</v>
      </c>
      <c r="D611" s="10" t="s">
        <v>147</v>
      </c>
      <c r="E611" s="11" t="s">
        <v>137</v>
      </c>
    </row>
    <row r="612" spans="1:5" x14ac:dyDescent="0.35">
      <c r="A612" s="6" t="s">
        <v>135</v>
      </c>
      <c r="B612" s="7"/>
      <c r="C612" s="7"/>
      <c r="D612" s="7" t="s">
        <v>148</v>
      </c>
      <c r="E612" s="8" t="s">
        <v>137</v>
      </c>
    </row>
    <row r="613" spans="1:5" x14ac:dyDescent="0.35">
      <c r="A613" s="9" t="s">
        <v>135</v>
      </c>
      <c r="B613" s="10"/>
      <c r="C613" s="10"/>
      <c r="D613" s="10" t="s">
        <v>149</v>
      </c>
      <c r="E613" s="11" t="s">
        <v>137</v>
      </c>
    </row>
    <row r="614" spans="1:5" x14ac:dyDescent="0.35">
      <c r="A614" s="6" t="s">
        <v>135</v>
      </c>
      <c r="B614" s="7" t="s">
        <v>168</v>
      </c>
      <c r="C614" s="7" t="s">
        <v>146</v>
      </c>
      <c r="D614" s="7" t="s">
        <v>147</v>
      </c>
      <c r="E614" s="8" t="s">
        <v>137</v>
      </c>
    </row>
    <row r="615" spans="1:5" x14ac:dyDescent="0.35">
      <c r="A615" s="9" t="s">
        <v>135</v>
      </c>
      <c r="B615" s="10"/>
      <c r="C615" s="10"/>
      <c r="D615" s="10" t="s">
        <v>148</v>
      </c>
      <c r="E615" s="11" t="s">
        <v>137</v>
      </c>
    </row>
    <row r="616" spans="1:5" x14ac:dyDescent="0.35">
      <c r="A616" s="6" t="s">
        <v>135</v>
      </c>
      <c r="B616" s="7"/>
      <c r="C616" s="7"/>
      <c r="D616" s="7" t="s">
        <v>149</v>
      </c>
      <c r="E616" s="8" t="s">
        <v>137</v>
      </c>
    </row>
    <row r="617" spans="1:5" x14ac:dyDescent="0.35">
      <c r="A617" s="9" t="s">
        <v>135</v>
      </c>
      <c r="B617" s="10"/>
      <c r="C617" s="10" t="s">
        <v>150</v>
      </c>
      <c r="D617" s="10" t="s">
        <v>147</v>
      </c>
      <c r="E617" s="11" t="s">
        <v>137</v>
      </c>
    </row>
    <row r="618" spans="1:5" x14ac:dyDescent="0.35">
      <c r="A618" s="6" t="s">
        <v>135</v>
      </c>
      <c r="B618" s="7"/>
      <c r="C618" s="7"/>
      <c r="D618" s="7" t="s">
        <v>148</v>
      </c>
      <c r="E618" s="8" t="s">
        <v>137</v>
      </c>
    </row>
    <row r="619" spans="1:5" x14ac:dyDescent="0.35">
      <c r="A619" s="9" t="s">
        <v>135</v>
      </c>
      <c r="B619" s="10"/>
      <c r="C619" s="10"/>
      <c r="D619" s="10" t="s">
        <v>149</v>
      </c>
      <c r="E619" s="11" t="s">
        <v>137</v>
      </c>
    </row>
    <row r="620" spans="1:5" x14ac:dyDescent="0.35">
      <c r="A620" s="6" t="s">
        <v>135</v>
      </c>
      <c r="B620" s="7" t="s">
        <v>169</v>
      </c>
      <c r="C620" s="7" t="s">
        <v>146</v>
      </c>
      <c r="D620" s="7" t="s">
        <v>147</v>
      </c>
      <c r="E620" s="8" t="s">
        <v>137</v>
      </c>
    </row>
    <row r="621" spans="1:5" x14ac:dyDescent="0.35">
      <c r="A621" s="9" t="s">
        <v>135</v>
      </c>
      <c r="B621" s="10"/>
      <c r="C621" s="10"/>
      <c r="D621" s="10" t="s">
        <v>148</v>
      </c>
      <c r="E621" s="11" t="s">
        <v>137</v>
      </c>
    </row>
    <row r="622" spans="1:5" x14ac:dyDescent="0.35">
      <c r="A622" s="6" t="s">
        <v>135</v>
      </c>
      <c r="B622" s="7"/>
      <c r="C622" s="7"/>
      <c r="D622" s="7" t="s">
        <v>149</v>
      </c>
      <c r="E622" s="8" t="s">
        <v>137</v>
      </c>
    </row>
    <row r="623" spans="1:5" x14ac:dyDescent="0.35">
      <c r="A623" s="9" t="s">
        <v>135</v>
      </c>
      <c r="B623" s="10"/>
      <c r="C623" s="10" t="s">
        <v>150</v>
      </c>
      <c r="D623" s="10" t="s">
        <v>147</v>
      </c>
      <c r="E623" s="11" t="s">
        <v>137</v>
      </c>
    </row>
    <row r="624" spans="1:5" x14ac:dyDescent="0.35">
      <c r="A624" s="6" t="s">
        <v>135</v>
      </c>
      <c r="B624" s="7"/>
      <c r="C624" s="7"/>
      <c r="D624" s="7" t="s">
        <v>148</v>
      </c>
      <c r="E624" s="8" t="s">
        <v>137</v>
      </c>
    </row>
    <row r="625" spans="1:5" x14ac:dyDescent="0.35">
      <c r="A625" s="9" t="s">
        <v>135</v>
      </c>
      <c r="B625" s="10"/>
      <c r="C625" s="10"/>
      <c r="D625" s="10" t="s">
        <v>149</v>
      </c>
      <c r="E625" s="11" t="s">
        <v>137</v>
      </c>
    </row>
    <row r="626" spans="1:5" x14ac:dyDescent="0.35">
      <c r="A626" s="6" t="s">
        <v>135</v>
      </c>
      <c r="B626" s="7" t="s">
        <v>170</v>
      </c>
      <c r="C626" s="7" t="s">
        <v>146</v>
      </c>
      <c r="D626" s="7" t="s">
        <v>147</v>
      </c>
      <c r="E626" s="8" t="s">
        <v>137</v>
      </c>
    </row>
    <row r="627" spans="1:5" x14ac:dyDescent="0.35">
      <c r="A627" s="9" t="s">
        <v>135</v>
      </c>
      <c r="B627" s="10"/>
      <c r="C627" s="10"/>
      <c r="D627" s="10" t="s">
        <v>148</v>
      </c>
      <c r="E627" s="11" t="s">
        <v>137</v>
      </c>
    </row>
    <row r="628" spans="1:5" x14ac:dyDescent="0.35">
      <c r="A628" s="6" t="s">
        <v>135</v>
      </c>
      <c r="B628" s="7"/>
      <c r="C628" s="7"/>
      <c r="D628" s="7" t="s">
        <v>149</v>
      </c>
      <c r="E628" s="8" t="s">
        <v>137</v>
      </c>
    </row>
    <row r="629" spans="1:5" x14ac:dyDescent="0.35">
      <c r="A629" s="9" t="s">
        <v>135</v>
      </c>
      <c r="B629" s="10"/>
      <c r="C629" s="10" t="s">
        <v>150</v>
      </c>
      <c r="D629" s="10" t="s">
        <v>147</v>
      </c>
      <c r="E629" s="11" t="s">
        <v>137</v>
      </c>
    </row>
    <row r="630" spans="1:5" x14ac:dyDescent="0.35">
      <c r="A630" s="6" t="s">
        <v>135</v>
      </c>
      <c r="B630" s="7"/>
      <c r="C630" s="7"/>
      <c r="D630" s="7" t="s">
        <v>148</v>
      </c>
      <c r="E630" s="8" t="s">
        <v>137</v>
      </c>
    </row>
    <row r="631" spans="1:5" x14ac:dyDescent="0.35">
      <c r="A631" s="9" t="s">
        <v>135</v>
      </c>
      <c r="B631" s="10"/>
      <c r="C631" s="10"/>
      <c r="D631" s="10" t="s">
        <v>149</v>
      </c>
      <c r="E631" s="11" t="s">
        <v>137</v>
      </c>
    </row>
    <row r="632" spans="1:5" x14ac:dyDescent="0.35">
      <c r="A632" s="6" t="s">
        <v>32</v>
      </c>
      <c r="B632" s="7" t="s">
        <v>145</v>
      </c>
      <c r="C632" s="7" t="s">
        <v>146</v>
      </c>
      <c r="D632" s="7" t="s">
        <v>147</v>
      </c>
      <c r="E632" s="8">
        <v>76.81</v>
      </c>
    </row>
    <row r="633" spans="1:5" x14ac:dyDescent="0.35">
      <c r="A633" s="9" t="s">
        <v>135</v>
      </c>
      <c r="B633" s="10"/>
      <c r="C633" s="10"/>
      <c r="D633" s="10" t="s">
        <v>148</v>
      </c>
      <c r="E633" s="11">
        <v>69.58</v>
      </c>
    </row>
    <row r="634" spans="1:5" x14ac:dyDescent="0.35">
      <c r="A634" s="6" t="s">
        <v>135</v>
      </c>
      <c r="B634" s="7"/>
      <c r="C634" s="7"/>
      <c r="D634" s="7" t="s">
        <v>149</v>
      </c>
      <c r="E634" s="8">
        <v>7.23</v>
      </c>
    </row>
    <row r="635" spans="1:5" x14ac:dyDescent="0.35">
      <c r="A635" s="9" t="s">
        <v>135</v>
      </c>
      <c r="B635" s="10"/>
      <c r="C635" s="10" t="s">
        <v>150</v>
      </c>
      <c r="D635" s="10" t="s">
        <v>147</v>
      </c>
      <c r="E635" s="11" t="s">
        <v>137</v>
      </c>
    </row>
    <row r="636" spans="1:5" x14ac:dyDescent="0.35">
      <c r="A636" s="6" t="s">
        <v>135</v>
      </c>
      <c r="B636" s="7"/>
      <c r="C636" s="7"/>
      <c r="D636" s="7" t="s">
        <v>148</v>
      </c>
      <c r="E636" s="8" t="s">
        <v>137</v>
      </c>
    </row>
    <row r="637" spans="1:5" x14ac:dyDescent="0.35">
      <c r="A637" s="9" t="s">
        <v>135</v>
      </c>
      <c r="B637" s="10"/>
      <c r="C637" s="10"/>
      <c r="D637" s="10" t="s">
        <v>149</v>
      </c>
      <c r="E637" s="11" t="s">
        <v>137</v>
      </c>
    </row>
    <row r="638" spans="1:5" x14ac:dyDescent="0.35">
      <c r="A638" s="6" t="s">
        <v>135</v>
      </c>
      <c r="B638" s="7" t="s">
        <v>151</v>
      </c>
      <c r="C638" s="7" t="s">
        <v>146</v>
      </c>
      <c r="D638" s="7" t="s">
        <v>147</v>
      </c>
      <c r="E638" s="8">
        <v>9.5299999999999994</v>
      </c>
    </row>
    <row r="639" spans="1:5" x14ac:dyDescent="0.35">
      <c r="A639" s="9" t="s">
        <v>135</v>
      </c>
      <c r="B639" s="10"/>
      <c r="C639" s="10"/>
      <c r="D639" s="10" t="s">
        <v>148</v>
      </c>
      <c r="E639" s="11">
        <v>7.9</v>
      </c>
    </row>
    <row r="640" spans="1:5" x14ac:dyDescent="0.35">
      <c r="A640" s="6" t="s">
        <v>135</v>
      </c>
      <c r="B640" s="7"/>
      <c r="C640" s="7"/>
      <c r="D640" s="7" t="s">
        <v>149</v>
      </c>
      <c r="E640" s="8">
        <v>1.63</v>
      </c>
    </row>
    <row r="641" spans="1:5" x14ac:dyDescent="0.35">
      <c r="A641" s="9" t="s">
        <v>135</v>
      </c>
      <c r="B641" s="10"/>
      <c r="C641" s="10" t="s">
        <v>150</v>
      </c>
      <c r="D641" s="10" t="s">
        <v>147</v>
      </c>
      <c r="E641" s="11" t="s">
        <v>137</v>
      </c>
    </row>
    <row r="642" spans="1:5" x14ac:dyDescent="0.35">
      <c r="A642" s="6" t="s">
        <v>135</v>
      </c>
      <c r="B642" s="7"/>
      <c r="C642" s="7"/>
      <c r="D642" s="7" t="s">
        <v>148</v>
      </c>
      <c r="E642" s="8" t="s">
        <v>137</v>
      </c>
    </row>
    <row r="643" spans="1:5" x14ac:dyDescent="0.35">
      <c r="A643" s="9" t="s">
        <v>135</v>
      </c>
      <c r="B643" s="10"/>
      <c r="C643" s="10"/>
      <c r="D643" s="10" t="s">
        <v>149</v>
      </c>
      <c r="E643" s="11" t="s">
        <v>137</v>
      </c>
    </row>
    <row r="644" spans="1:5" x14ac:dyDescent="0.35">
      <c r="A644" s="6" t="s">
        <v>135</v>
      </c>
      <c r="B644" s="7" t="s">
        <v>152</v>
      </c>
      <c r="C644" s="7" t="s">
        <v>146</v>
      </c>
      <c r="D644" s="7" t="s">
        <v>147</v>
      </c>
      <c r="E644" s="8" t="s">
        <v>137</v>
      </c>
    </row>
    <row r="645" spans="1:5" x14ac:dyDescent="0.35">
      <c r="A645" s="9" t="s">
        <v>135</v>
      </c>
      <c r="B645" s="10"/>
      <c r="C645" s="10"/>
      <c r="D645" s="10" t="s">
        <v>148</v>
      </c>
      <c r="E645" s="11" t="s">
        <v>137</v>
      </c>
    </row>
    <row r="646" spans="1:5" x14ac:dyDescent="0.35">
      <c r="A646" s="6" t="s">
        <v>135</v>
      </c>
      <c r="B646" s="7"/>
      <c r="C646" s="7"/>
      <c r="D646" s="7" t="s">
        <v>149</v>
      </c>
      <c r="E646" s="8" t="s">
        <v>137</v>
      </c>
    </row>
    <row r="647" spans="1:5" x14ac:dyDescent="0.35">
      <c r="A647" s="9" t="s">
        <v>135</v>
      </c>
      <c r="B647" s="10"/>
      <c r="C647" s="10" t="s">
        <v>150</v>
      </c>
      <c r="D647" s="10" t="s">
        <v>147</v>
      </c>
      <c r="E647" s="11" t="s">
        <v>137</v>
      </c>
    </row>
    <row r="648" spans="1:5" x14ac:dyDescent="0.35">
      <c r="A648" s="6" t="s">
        <v>135</v>
      </c>
      <c r="B648" s="7"/>
      <c r="C648" s="7"/>
      <c r="D648" s="7" t="s">
        <v>148</v>
      </c>
      <c r="E648" s="8" t="s">
        <v>137</v>
      </c>
    </row>
    <row r="649" spans="1:5" x14ac:dyDescent="0.35">
      <c r="A649" s="9" t="s">
        <v>135</v>
      </c>
      <c r="B649" s="10"/>
      <c r="C649" s="10"/>
      <c r="D649" s="10" t="s">
        <v>149</v>
      </c>
      <c r="E649" s="11" t="s">
        <v>137</v>
      </c>
    </row>
    <row r="650" spans="1:5" x14ac:dyDescent="0.35">
      <c r="A650" s="6" t="s">
        <v>135</v>
      </c>
      <c r="B650" s="7" t="s">
        <v>153</v>
      </c>
      <c r="C650" s="7" t="s">
        <v>146</v>
      </c>
      <c r="D650" s="7" t="s">
        <v>147</v>
      </c>
      <c r="E650" s="8" t="s">
        <v>137</v>
      </c>
    </row>
    <row r="651" spans="1:5" x14ac:dyDescent="0.35">
      <c r="A651" s="9" t="s">
        <v>135</v>
      </c>
      <c r="B651" s="10"/>
      <c r="C651" s="10"/>
      <c r="D651" s="10" t="s">
        <v>148</v>
      </c>
      <c r="E651" s="11" t="s">
        <v>137</v>
      </c>
    </row>
    <row r="652" spans="1:5" x14ac:dyDescent="0.35">
      <c r="A652" s="6" t="s">
        <v>135</v>
      </c>
      <c r="B652" s="7"/>
      <c r="C652" s="7"/>
      <c r="D652" s="7" t="s">
        <v>149</v>
      </c>
      <c r="E652" s="8" t="s">
        <v>137</v>
      </c>
    </row>
    <row r="653" spans="1:5" x14ac:dyDescent="0.35">
      <c r="A653" s="9" t="s">
        <v>135</v>
      </c>
      <c r="B653" s="10"/>
      <c r="C653" s="10" t="s">
        <v>150</v>
      </c>
      <c r="D653" s="10" t="s">
        <v>147</v>
      </c>
      <c r="E653" s="11" t="s">
        <v>137</v>
      </c>
    </row>
    <row r="654" spans="1:5" x14ac:dyDescent="0.35">
      <c r="A654" s="6" t="s">
        <v>135</v>
      </c>
      <c r="B654" s="7"/>
      <c r="C654" s="7"/>
      <c r="D654" s="7" t="s">
        <v>148</v>
      </c>
      <c r="E654" s="8" t="s">
        <v>137</v>
      </c>
    </row>
    <row r="655" spans="1:5" x14ac:dyDescent="0.35">
      <c r="A655" s="9" t="s">
        <v>135</v>
      </c>
      <c r="B655" s="10"/>
      <c r="C655" s="10"/>
      <c r="D655" s="10" t="s">
        <v>149</v>
      </c>
      <c r="E655" s="11" t="s">
        <v>137</v>
      </c>
    </row>
    <row r="656" spans="1:5" x14ac:dyDescent="0.35">
      <c r="A656" s="6" t="s">
        <v>135</v>
      </c>
      <c r="B656" s="7" t="s">
        <v>154</v>
      </c>
      <c r="C656" s="7" t="s">
        <v>146</v>
      </c>
      <c r="D656" s="7" t="s">
        <v>147</v>
      </c>
      <c r="E656" s="8" t="s">
        <v>137</v>
      </c>
    </row>
    <row r="657" spans="1:5" x14ac:dyDescent="0.35">
      <c r="A657" s="9" t="s">
        <v>135</v>
      </c>
      <c r="B657" s="10"/>
      <c r="C657" s="10"/>
      <c r="D657" s="10" t="s">
        <v>148</v>
      </c>
      <c r="E657" s="11" t="s">
        <v>137</v>
      </c>
    </row>
    <row r="658" spans="1:5" x14ac:dyDescent="0.35">
      <c r="A658" s="6" t="s">
        <v>135</v>
      </c>
      <c r="B658" s="7"/>
      <c r="C658" s="7"/>
      <c r="D658" s="7" t="s">
        <v>149</v>
      </c>
      <c r="E658" s="8" t="s">
        <v>137</v>
      </c>
    </row>
    <row r="659" spans="1:5" x14ac:dyDescent="0.35">
      <c r="A659" s="9" t="s">
        <v>135</v>
      </c>
      <c r="B659" s="10"/>
      <c r="C659" s="10" t="s">
        <v>150</v>
      </c>
      <c r="D659" s="10" t="s">
        <v>147</v>
      </c>
      <c r="E659" s="11" t="s">
        <v>137</v>
      </c>
    </row>
    <row r="660" spans="1:5" x14ac:dyDescent="0.35">
      <c r="A660" s="6" t="s">
        <v>135</v>
      </c>
      <c r="B660" s="7"/>
      <c r="C660" s="7"/>
      <c r="D660" s="7" t="s">
        <v>148</v>
      </c>
      <c r="E660" s="8" t="s">
        <v>137</v>
      </c>
    </row>
    <row r="661" spans="1:5" x14ac:dyDescent="0.35">
      <c r="A661" s="9" t="s">
        <v>135</v>
      </c>
      <c r="B661" s="10"/>
      <c r="C661" s="10"/>
      <c r="D661" s="10" t="s">
        <v>149</v>
      </c>
      <c r="E661" s="11" t="s">
        <v>137</v>
      </c>
    </row>
    <row r="662" spans="1:5" x14ac:dyDescent="0.35">
      <c r="A662" s="6" t="s">
        <v>135</v>
      </c>
      <c r="B662" s="7" t="s">
        <v>155</v>
      </c>
      <c r="C662" s="7" t="s">
        <v>146</v>
      </c>
      <c r="D662" s="7" t="s">
        <v>147</v>
      </c>
      <c r="E662" s="8">
        <v>63.28</v>
      </c>
    </row>
    <row r="663" spans="1:5" x14ac:dyDescent="0.35">
      <c r="A663" s="9" t="s">
        <v>135</v>
      </c>
      <c r="B663" s="10"/>
      <c r="C663" s="10"/>
      <c r="D663" s="10" t="s">
        <v>148</v>
      </c>
      <c r="E663" s="11">
        <v>61.68</v>
      </c>
    </row>
    <row r="664" spans="1:5" x14ac:dyDescent="0.35">
      <c r="A664" s="6" t="s">
        <v>135</v>
      </c>
      <c r="B664" s="7"/>
      <c r="C664" s="7"/>
      <c r="D664" s="7" t="s">
        <v>149</v>
      </c>
      <c r="E664" s="8">
        <v>1.6</v>
      </c>
    </row>
    <row r="665" spans="1:5" x14ac:dyDescent="0.35">
      <c r="A665" s="9" t="s">
        <v>135</v>
      </c>
      <c r="B665" s="10"/>
      <c r="C665" s="10" t="s">
        <v>150</v>
      </c>
      <c r="D665" s="10" t="s">
        <v>147</v>
      </c>
      <c r="E665" s="11" t="s">
        <v>137</v>
      </c>
    </row>
    <row r="666" spans="1:5" x14ac:dyDescent="0.35">
      <c r="A666" s="6" t="s">
        <v>135</v>
      </c>
      <c r="B666" s="7"/>
      <c r="C666" s="7"/>
      <c r="D666" s="7" t="s">
        <v>148</v>
      </c>
      <c r="E666" s="8" t="s">
        <v>137</v>
      </c>
    </row>
    <row r="667" spans="1:5" x14ac:dyDescent="0.35">
      <c r="A667" s="9" t="s">
        <v>135</v>
      </c>
      <c r="B667" s="10"/>
      <c r="C667" s="10"/>
      <c r="D667" s="10" t="s">
        <v>149</v>
      </c>
      <c r="E667" s="11" t="s">
        <v>137</v>
      </c>
    </row>
    <row r="668" spans="1:5" x14ac:dyDescent="0.35">
      <c r="A668" s="6" t="s">
        <v>135</v>
      </c>
      <c r="B668" s="7" t="s">
        <v>156</v>
      </c>
      <c r="C668" s="7" t="s">
        <v>146</v>
      </c>
      <c r="D668" s="7" t="s">
        <v>147</v>
      </c>
      <c r="E668" s="8" t="s">
        <v>137</v>
      </c>
    </row>
    <row r="669" spans="1:5" x14ac:dyDescent="0.35">
      <c r="A669" s="9" t="s">
        <v>135</v>
      </c>
      <c r="B669" s="10"/>
      <c r="C669" s="10"/>
      <c r="D669" s="10" t="s">
        <v>148</v>
      </c>
      <c r="E669" s="11" t="s">
        <v>137</v>
      </c>
    </row>
    <row r="670" spans="1:5" x14ac:dyDescent="0.35">
      <c r="A670" s="6" t="s">
        <v>135</v>
      </c>
      <c r="B670" s="7"/>
      <c r="C670" s="7"/>
      <c r="D670" s="7" t="s">
        <v>149</v>
      </c>
      <c r="E670" s="8" t="s">
        <v>137</v>
      </c>
    </row>
    <row r="671" spans="1:5" x14ac:dyDescent="0.35">
      <c r="A671" s="9" t="s">
        <v>135</v>
      </c>
      <c r="B671" s="10"/>
      <c r="C671" s="10" t="s">
        <v>150</v>
      </c>
      <c r="D671" s="10" t="s">
        <v>147</v>
      </c>
      <c r="E671" s="11" t="s">
        <v>137</v>
      </c>
    </row>
    <row r="672" spans="1:5" x14ac:dyDescent="0.35">
      <c r="A672" s="6" t="s">
        <v>135</v>
      </c>
      <c r="B672" s="7"/>
      <c r="C672" s="7"/>
      <c r="D672" s="7" t="s">
        <v>148</v>
      </c>
      <c r="E672" s="8" t="s">
        <v>137</v>
      </c>
    </row>
    <row r="673" spans="1:5" x14ac:dyDescent="0.35">
      <c r="A673" s="9" t="s">
        <v>135</v>
      </c>
      <c r="B673" s="10"/>
      <c r="C673" s="10"/>
      <c r="D673" s="10" t="s">
        <v>149</v>
      </c>
      <c r="E673" s="11" t="s">
        <v>137</v>
      </c>
    </row>
    <row r="674" spans="1:5" x14ac:dyDescent="0.35">
      <c r="A674" s="6" t="s">
        <v>135</v>
      </c>
      <c r="B674" s="7" t="s">
        <v>157</v>
      </c>
      <c r="C674" s="7" t="s">
        <v>146</v>
      </c>
      <c r="D674" s="7" t="s">
        <v>147</v>
      </c>
      <c r="E674" s="8" t="s">
        <v>137</v>
      </c>
    </row>
    <row r="675" spans="1:5" x14ac:dyDescent="0.35">
      <c r="A675" s="9" t="s">
        <v>135</v>
      </c>
      <c r="B675" s="10"/>
      <c r="C675" s="10"/>
      <c r="D675" s="10" t="s">
        <v>148</v>
      </c>
      <c r="E675" s="11" t="s">
        <v>137</v>
      </c>
    </row>
    <row r="676" spans="1:5" x14ac:dyDescent="0.35">
      <c r="A676" s="6" t="s">
        <v>135</v>
      </c>
      <c r="B676" s="7"/>
      <c r="C676" s="7"/>
      <c r="D676" s="7" t="s">
        <v>149</v>
      </c>
      <c r="E676" s="8" t="s">
        <v>137</v>
      </c>
    </row>
    <row r="677" spans="1:5" x14ac:dyDescent="0.35">
      <c r="A677" s="9" t="s">
        <v>135</v>
      </c>
      <c r="B677" s="10"/>
      <c r="C677" s="10" t="s">
        <v>150</v>
      </c>
      <c r="D677" s="10" t="s">
        <v>147</v>
      </c>
      <c r="E677" s="11" t="s">
        <v>137</v>
      </c>
    </row>
    <row r="678" spans="1:5" x14ac:dyDescent="0.35">
      <c r="A678" s="6" t="s">
        <v>135</v>
      </c>
      <c r="B678" s="7"/>
      <c r="C678" s="7"/>
      <c r="D678" s="7" t="s">
        <v>148</v>
      </c>
      <c r="E678" s="8" t="s">
        <v>137</v>
      </c>
    </row>
    <row r="679" spans="1:5" x14ac:dyDescent="0.35">
      <c r="A679" s="9" t="s">
        <v>135</v>
      </c>
      <c r="B679" s="10"/>
      <c r="C679" s="10"/>
      <c r="D679" s="10" t="s">
        <v>149</v>
      </c>
      <c r="E679" s="11" t="s">
        <v>137</v>
      </c>
    </row>
    <row r="680" spans="1:5" x14ac:dyDescent="0.35">
      <c r="A680" s="6" t="s">
        <v>135</v>
      </c>
      <c r="B680" s="7" t="s">
        <v>158</v>
      </c>
      <c r="C680" s="7" t="s">
        <v>146</v>
      </c>
      <c r="D680" s="7" t="s">
        <v>147</v>
      </c>
      <c r="E680" s="8">
        <v>4</v>
      </c>
    </row>
    <row r="681" spans="1:5" x14ac:dyDescent="0.35">
      <c r="A681" s="9" t="s">
        <v>135</v>
      </c>
      <c r="B681" s="10"/>
      <c r="C681" s="10"/>
      <c r="D681" s="10" t="s">
        <v>148</v>
      </c>
      <c r="E681" s="11" t="s">
        <v>137</v>
      </c>
    </row>
    <row r="682" spans="1:5" x14ac:dyDescent="0.35">
      <c r="A682" s="6" t="s">
        <v>135</v>
      </c>
      <c r="B682" s="7"/>
      <c r="C682" s="7"/>
      <c r="D682" s="7" t="s">
        <v>149</v>
      </c>
      <c r="E682" s="8">
        <v>4</v>
      </c>
    </row>
    <row r="683" spans="1:5" x14ac:dyDescent="0.35">
      <c r="A683" s="9" t="s">
        <v>135</v>
      </c>
      <c r="B683" s="10"/>
      <c r="C683" s="10" t="s">
        <v>150</v>
      </c>
      <c r="D683" s="10" t="s">
        <v>147</v>
      </c>
      <c r="E683" s="11" t="s">
        <v>137</v>
      </c>
    </row>
    <row r="684" spans="1:5" x14ac:dyDescent="0.35">
      <c r="A684" s="6" t="s">
        <v>135</v>
      </c>
      <c r="B684" s="7"/>
      <c r="C684" s="7"/>
      <c r="D684" s="7" t="s">
        <v>148</v>
      </c>
      <c r="E684" s="8" t="s">
        <v>137</v>
      </c>
    </row>
    <row r="685" spans="1:5" x14ac:dyDescent="0.35">
      <c r="A685" s="9" t="s">
        <v>135</v>
      </c>
      <c r="B685" s="10"/>
      <c r="C685" s="10"/>
      <c r="D685" s="10" t="s">
        <v>149</v>
      </c>
      <c r="E685" s="11" t="s">
        <v>137</v>
      </c>
    </row>
    <row r="686" spans="1:5" x14ac:dyDescent="0.35">
      <c r="A686" s="6" t="s">
        <v>135</v>
      </c>
      <c r="B686" s="7" t="s">
        <v>159</v>
      </c>
      <c r="C686" s="7" t="s">
        <v>146</v>
      </c>
      <c r="D686" s="7" t="s">
        <v>147</v>
      </c>
      <c r="E686" s="8" t="s">
        <v>137</v>
      </c>
    </row>
    <row r="687" spans="1:5" x14ac:dyDescent="0.35">
      <c r="A687" s="9" t="s">
        <v>135</v>
      </c>
      <c r="B687" s="10"/>
      <c r="C687" s="10"/>
      <c r="D687" s="10" t="s">
        <v>148</v>
      </c>
      <c r="E687" s="11" t="s">
        <v>137</v>
      </c>
    </row>
    <row r="688" spans="1:5" x14ac:dyDescent="0.35">
      <c r="A688" s="6" t="s">
        <v>135</v>
      </c>
      <c r="B688" s="7"/>
      <c r="C688" s="7"/>
      <c r="D688" s="7" t="s">
        <v>149</v>
      </c>
      <c r="E688" s="8" t="s">
        <v>137</v>
      </c>
    </row>
    <row r="689" spans="1:5" x14ac:dyDescent="0.35">
      <c r="A689" s="9" t="s">
        <v>135</v>
      </c>
      <c r="B689" s="10"/>
      <c r="C689" s="10" t="s">
        <v>150</v>
      </c>
      <c r="D689" s="10" t="s">
        <v>147</v>
      </c>
      <c r="E689" s="11" t="s">
        <v>137</v>
      </c>
    </row>
    <row r="690" spans="1:5" x14ac:dyDescent="0.35">
      <c r="A690" s="6" t="s">
        <v>135</v>
      </c>
      <c r="B690" s="7"/>
      <c r="C690" s="7"/>
      <c r="D690" s="7" t="s">
        <v>148</v>
      </c>
      <c r="E690" s="8" t="s">
        <v>137</v>
      </c>
    </row>
    <row r="691" spans="1:5" x14ac:dyDescent="0.35">
      <c r="A691" s="9" t="s">
        <v>135</v>
      </c>
      <c r="B691" s="10"/>
      <c r="C691" s="10"/>
      <c r="D691" s="10" t="s">
        <v>149</v>
      </c>
      <c r="E691" s="11" t="s">
        <v>137</v>
      </c>
    </row>
    <row r="692" spans="1:5" x14ac:dyDescent="0.35">
      <c r="A692" s="6" t="s">
        <v>135</v>
      </c>
      <c r="B692" s="7" t="s">
        <v>160</v>
      </c>
      <c r="C692" s="7" t="s">
        <v>146</v>
      </c>
      <c r="D692" s="7" t="s">
        <v>147</v>
      </c>
      <c r="E692" s="8" t="s">
        <v>137</v>
      </c>
    </row>
    <row r="693" spans="1:5" x14ac:dyDescent="0.35">
      <c r="A693" s="9" t="s">
        <v>135</v>
      </c>
      <c r="B693" s="10"/>
      <c r="C693" s="10"/>
      <c r="D693" s="10" t="s">
        <v>148</v>
      </c>
      <c r="E693" s="11" t="s">
        <v>137</v>
      </c>
    </row>
    <row r="694" spans="1:5" x14ac:dyDescent="0.35">
      <c r="A694" s="6" t="s">
        <v>135</v>
      </c>
      <c r="B694" s="7"/>
      <c r="C694" s="7"/>
      <c r="D694" s="7" t="s">
        <v>149</v>
      </c>
      <c r="E694" s="8" t="s">
        <v>137</v>
      </c>
    </row>
    <row r="695" spans="1:5" x14ac:dyDescent="0.35">
      <c r="A695" s="9" t="s">
        <v>135</v>
      </c>
      <c r="B695" s="10"/>
      <c r="C695" s="10" t="s">
        <v>150</v>
      </c>
      <c r="D695" s="10" t="s">
        <v>147</v>
      </c>
      <c r="E695" s="11" t="s">
        <v>137</v>
      </c>
    </row>
    <row r="696" spans="1:5" x14ac:dyDescent="0.35">
      <c r="A696" s="6" t="s">
        <v>135</v>
      </c>
      <c r="B696" s="7"/>
      <c r="C696" s="7"/>
      <c r="D696" s="7" t="s">
        <v>148</v>
      </c>
      <c r="E696" s="8" t="s">
        <v>137</v>
      </c>
    </row>
    <row r="697" spans="1:5" x14ac:dyDescent="0.35">
      <c r="A697" s="9" t="s">
        <v>135</v>
      </c>
      <c r="B697" s="10"/>
      <c r="C697" s="10"/>
      <c r="D697" s="10" t="s">
        <v>149</v>
      </c>
      <c r="E697" s="11" t="s">
        <v>137</v>
      </c>
    </row>
    <row r="698" spans="1:5" x14ac:dyDescent="0.35">
      <c r="A698" s="6" t="s">
        <v>135</v>
      </c>
      <c r="B698" s="7" t="s">
        <v>161</v>
      </c>
      <c r="C698" s="7" t="s">
        <v>146</v>
      </c>
      <c r="D698" s="7" t="s">
        <v>147</v>
      </c>
      <c r="E698" s="8" t="s">
        <v>137</v>
      </c>
    </row>
    <row r="699" spans="1:5" x14ac:dyDescent="0.35">
      <c r="A699" s="9" t="s">
        <v>135</v>
      </c>
      <c r="B699" s="10"/>
      <c r="C699" s="10"/>
      <c r="D699" s="10" t="s">
        <v>148</v>
      </c>
      <c r="E699" s="11" t="s">
        <v>137</v>
      </c>
    </row>
    <row r="700" spans="1:5" x14ac:dyDescent="0.35">
      <c r="A700" s="6" t="s">
        <v>135</v>
      </c>
      <c r="B700" s="7"/>
      <c r="C700" s="7"/>
      <c r="D700" s="7" t="s">
        <v>149</v>
      </c>
      <c r="E700" s="8" t="s">
        <v>137</v>
      </c>
    </row>
    <row r="701" spans="1:5" x14ac:dyDescent="0.35">
      <c r="A701" s="9" t="s">
        <v>135</v>
      </c>
      <c r="B701" s="10"/>
      <c r="C701" s="10" t="s">
        <v>150</v>
      </c>
      <c r="D701" s="10" t="s">
        <v>147</v>
      </c>
      <c r="E701" s="11" t="s">
        <v>137</v>
      </c>
    </row>
    <row r="702" spans="1:5" x14ac:dyDescent="0.35">
      <c r="A702" s="6" t="s">
        <v>135</v>
      </c>
      <c r="B702" s="7"/>
      <c r="C702" s="7"/>
      <c r="D702" s="7" t="s">
        <v>148</v>
      </c>
      <c r="E702" s="8" t="s">
        <v>137</v>
      </c>
    </row>
    <row r="703" spans="1:5" x14ac:dyDescent="0.35">
      <c r="A703" s="9" t="s">
        <v>135</v>
      </c>
      <c r="B703" s="10"/>
      <c r="C703" s="10"/>
      <c r="D703" s="10" t="s">
        <v>149</v>
      </c>
      <c r="E703" s="11" t="s">
        <v>137</v>
      </c>
    </row>
    <row r="704" spans="1:5" x14ac:dyDescent="0.35">
      <c r="A704" s="6" t="s">
        <v>135</v>
      </c>
      <c r="B704" s="7" t="s">
        <v>162</v>
      </c>
      <c r="C704" s="7" t="s">
        <v>146</v>
      </c>
      <c r="D704" s="7" t="s">
        <v>147</v>
      </c>
      <c r="E704" s="8" t="s">
        <v>137</v>
      </c>
    </row>
    <row r="705" spans="1:5" x14ac:dyDescent="0.35">
      <c r="A705" s="9" t="s">
        <v>135</v>
      </c>
      <c r="B705" s="10"/>
      <c r="C705" s="10"/>
      <c r="D705" s="10" t="s">
        <v>148</v>
      </c>
      <c r="E705" s="11" t="s">
        <v>137</v>
      </c>
    </row>
    <row r="706" spans="1:5" x14ac:dyDescent="0.35">
      <c r="A706" s="6" t="s">
        <v>135</v>
      </c>
      <c r="B706" s="7"/>
      <c r="C706" s="7"/>
      <c r="D706" s="7" t="s">
        <v>149</v>
      </c>
      <c r="E706" s="8" t="s">
        <v>137</v>
      </c>
    </row>
    <row r="707" spans="1:5" x14ac:dyDescent="0.35">
      <c r="A707" s="9" t="s">
        <v>135</v>
      </c>
      <c r="B707" s="10"/>
      <c r="C707" s="10" t="s">
        <v>150</v>
      </c>
      <c r="D707" s="10" t="s">
        <v>147</v>
      </c>
      <c r="E707" s="11" t="s">
        <v>137</v>
      </c>
    </row>
    <row r="708" spans="1:5" x14ac:dyDescent="0.35">
      <c r="A708" s="6" t="s">
        <v>135</v>
      </c>
      <c r="B708" s="7"/>
      <c r="C708" s="7"/>
      <c r="D708" s="7" t="s">
        <v>148</v>
      </c>
      <c r="E708" s="8" t="s">
        <v>137</v>
      </c>
    </row>
    <row r="709" spans="1:5" x14ac:dyDescent="0.35">
      <c r="A709" s="9" t="s">
        <v>135</v>
      </c>
      <c r="B709" s="10"/>
      <c r="C709" s="10"/>
      <c r="D709" s="10" t="s">
        <v>149</v>
      </c>
      <c r="E709" s="11" t="s">
        <v>137</v>
      </c>
    </row>
    <row r="710" spans="1:5" x14ac:dyDescent="0.35">
      <c r="A710" s="6" t="s">
        <v>135</v>
      </c>
      <c r="B710" s="7" t="s">
        <v>163</v>
      </c>
      <c r="C710" s="7" t="s">
        <v>146</v>
      </c>
      <c r="D710" s="7" t="s">
        <v>147</v>
      </c>
      <c r="E710" s="8">
        <v>50.5</v>
      </c>
    </row>
    <row r="711" spans="1:5" x14ac:dyDescent="0.35">
      <c r="A711" s="9" t="s">
        <v>135</v>
      </c>
      <c r="B711" s="10"/>
      <c r="C711" s="10"/>
      <c r="D711" s="10" t="s">
        <v>148</v>
      </c>
      <c r="E711" s="11">
        <v>50.5</v>
      </c>
    </row>
    <row r="712" spans="1:5" x14ac:dyDescent="0.35">
      <c r="A712" s="6" t="s">
        <v>135</v>
      </c>
      <c r="B712" s="7"/>
      <c r="C712" s="7"/>
      <c r="D712" s="7" t="s">
        <v>149</v>
      </c>
      <c r="E712" s="8" t="s">
        <v>137</v>
      </c>
    </row>
    <row r="713" spans="1:5" x14ac:dyDescent="0.35">
      <c r="A713" s="9" t="s">
        <v>135</v>
      </c>
      <c r="B713" s="10"/>
      <c r="C713" s="10" t="s">
        <v>150</v>
      </c>
      <c r="D713" s="10" t="s">
        <v>147</v>
      </c>
      <c r="E713" s="11" t="s">
        <v>137</v>
      </c>
    </row>
    <row r="714" spans="1:5" x14ac:dyDescent="0.35">
      <c r="A714" s="6" t="s">
        <v>135</v>
      </c>
      <c r="B714" s="7"/>
      <c r="C714" s="7"/>
      <c r="D714" s="7" t="s">
        <v>148</v>
      </c>
      <c r="E714" s="8" t="s">
        <v>137</v>
      </c>
    </row>
    <row r="715" spans="1:5" x14ac:dyDescent="0.35">
      <c r="A715" s="9" t="s">
        <v>135</v>
      </c>
      <c r="B715" s="10"/>
      <c r="C715" s="10"/>
      <c r="D715" s="10" t="s">
        <v>149</v>
      </c>
      <c r="E715" s="11" t="s">
        <v>137</v>
      </c>
    </row>
    <row r="716" spans="1:5" x14ac:dyDescent="0.35">
      <c r="A716" s="6" t="s">
        <v>135</v>
      </c>
      <c r="B716" s="7" t="s">
        <v>164</v>
      </c>
      <c r="C716" s="7" t="s">
        <v>146</v>
      </c>
      <c r="D716" s="7" t="s">
        <v>147</v>
      </c>
      <c r="E716" s="8" t="s">
        <v>137</v>
      </c>
    </row>
    <row r="717" spans="1:5" x14ac:dyDescent="0.35">
      <c r="A717" s="9" t="s">
        <v>135</v>
      </c>
      <c r="B717" s="10"/>
      <c r="C717" s="10"/>
      <c r="D717" s="10" t="s">
        <v>148</v>
      </c>
      <c r="E717" s="11" t="s">
        <v>137</v>
      </c>
    </row>
    <row r="718" spans="1:5" x14ac:dyDescent="0.35">
      <c r="A718" s="6" t="s">
        <v>135</v>
      </c>
      <c r="B718" s="7"/>
      <c r="C718" s="7"/>
      <c r="D718" s="7" t="s">
        <v>149</v>
      </c>
      <c r="E718" s="8" t="s">
        <v>137</v>
      </c>
    </row>
    <row r="719" spans="1:5" x14ac:dyDescent="0.35">
      <c r="A719" s="9" t="s">
        <v>135</v>
      </c>
      <c r="B719" s="10"/>
      <c r="C719" s="10" t="s">
        <v>150</v>
      </c>
      <c r="D719" s="10" t="s">
        <v>147</v>
      </c>
      <c r="E719" s="11" t="s">
        <v>137</v>
      </c>
    </row>
    <row r="720" spans="1:5" x14ac:dyDescent="0.35">
      <c r="A720" s="6" t="s">
        <v>135</v>
      </c>
      <c r="B720" s="7"/>
      <c r="C720" s="7"/>
      <c r="D720" s="7" t="s">
        <v>148</v>
      </c>
      <c r="E720" s="8" t="s">
        <v>137</v>
      </c>
    </row>
    <row r="721" spans="1:5" x14ac:dyDescent="0.35">
      <c r="A721" s="9" t="s">
        <v>135</v>
      </c>
      <c r="B721" s="10"/>
      <c r="C721" s="10"/>
      <c r="D721" s="10" t="s">
        <v>149</v>
      </c>
      <c r="E721" s="11" t="s">
        <v>137</v>
      </c>
    </row>
    <row r="722" spans="1:5" x14ac:dyDescent="0.35">
      <c r="A722" s="6" t="s">
        <v>135</v>
      </c>
      <c r="B722" s="7" t="s">
        <v>165</v>
      </c>
      <c r="C722" s="7" t="s">
        <v>146</v>
      </c>
      <c r="D722" s="7" t="s">
        <v>147</v>
      </c>
      <c r="E722" s="8" t="s">
        <v>137</v>
      </c>
    </row>
    <row r="723" spans="1:5" x14ac:dyDescent="0.35">
      <c r="A723" s="9" t="s">
        <v>135</v>
      </c>
      <c r="B723" s="10"/>
      <c r="C723" s="10"/>
      <c r="D723" s="10" t="s">
        <v>148</v>
      </c>
      <c r="E723" s="11" t="s">
        <v>137</v>
      </c>
    </row>
    <row r="724" spans="1:5" x14ac:dyDescent="0.35">
      <c r="A724" s="6" t="s">
        <v>135</v>
      </c>
      <c r="B724" s="7"/>
      <c r="C724" s="7"/>
      <c r="D724" s="7" t="s">
        <v>149</v>
      </c>
      <c r="E724" s="8" t="s">
        <v>137</v>
      </c>
    </row>
    <row r="725" spans="1:5" x14ac:dyDescent="0.35">
      <c r="A725" s="9" t="s">
        <v>135</v>
      </c>
      <c r="B725" s="10"/>
      <c r="C725" s="10" t="s">
        <v>150</v>
      </c>
      <c r="D725" s="10" t="s">
        <v>147</v>
      </c>
      <c r="E725" s="11" t="s">
        <v>137</v>
      </c>
    </row>
    <row r="726" spans="1:5" x14ac:dyDescent="0.35">
      <c r="A726" s="6" t="s">
        <v>135</v>
      </c>
      <c r="B726" s="7"/>
      <c r="C726" s="7"/>
      <c r="D726" s="7" t="s">
        <v>148</v>
      </c>
      <c r="E726" s="8" t="s">
        <v>137</v>
      </c>
    </row>
    <row r="727" spans="1:5" x14ac:dyDescent="0.35">
      <c r="A727" s="9" t="s">
        <v>135</v>
      </c>
      <c r="B727" s="10"/>
      <c r="C727" s="10"/>
      <c r="D727" s="10" t="s">
        <v>149</v>
      </c>
      <c r="E727" s="11" t="s">
        <v>137</v>
      </c>
    </row>
    <row r="728" spans="1:5" x14ac:dyDescent="0.35">
      <c r="A728" s="6" t="s">
        <v>135</v>
      </c>
      <c r="B728" s="7" t="s">
        <v>166</v>
      </c>
      <c r="C728" s="7" t="s">
        <v>146</v>
      </c>
      <c r="D728" s="7" t="s">
        <v>147</v>
      </c>
      <c r="E728" s="8">
        <v>50.5</v>
      </c>
    </row>
    <row r="729" spans="1:5" x14ac:dyDescent="0.35">
      <c r="A729" s="9" t="s">
        <v>135</v>
      </c>
      <c r="B729" s="10"/>
      <c r="C729" s="10"/>
      <c r="D729" s="10" t="s">
        <v>148</v>
      </c>
      <c r="E729" s="11">
        <v>50.5</v>
      </c>
    </row>
    <row r="730" spans="1:5" x14ac:dyDescent="0.35">
      <c r="A730" s="6" t="s">
        <v>135</v>
      </c>
      <c r="B730" s="7"/>
      <c r="C730" s="7"/>
      <c r="D730" s="7" t="s">
        <v>149</v>
      </c>
      <c r="E730" s="8" t="s">
        <v>137</v>
      </c>
    </row>
    <row r="731" spans="1:5" x14ac:dyDescent="0.35">
      <c r="A731" s="9" t="s">
        <v>135</v>
      </c>
      <c r="B731" s="10"/>
      <c r="C731" s="10" t="s">
        <v>150</v>
      </c>
      <c r="D731" s="10" t="s">
        <v>147</v>
      </c>
      <c r="E731" s="11" t="s">
        <v>137</v>
      </c>
    </row>
    <row r="732" spans="1:5" x14ac:dyDescent="0.35">
      <c r="A732" s="6" t="s">
        <v>135</v>
      </c>
      <c r="B732" s="7"/>
      <c r="C732" s="7"/>
      <c r="D732" s="7" t="s">
        <v>148</v>
      </c>
      <c r="E732" s="8" t="s">
        <v>137</v>
      </c>
    </row>
    <row r="733" spans="1:5" x14ac:dyDescent="0.35">
      <c r="A733" s="9" t="s">
        <v>135</v>
      </c>
      <c r="B733" s="10"/>
      <c r="C733" s="10"/>
      <c r="D733" s="10" t="s">
        <v>149</v>
      </c>
      <c r="E733" s="11" t="s">
        <v>137</v>
      </c>
    </row>
    <row r="734" spans="1:5" x14ac:dyDescent="0.35">
      <c r="A734" s="6" t="s">
        <v>135</v>
      </c>
      <c r="B734" s="7" t="s">
        <v>167</v>
      </c>
      <c r="C734" s="7" t="s">
        <v>146</v>
      </c>
      <c r="D734" s="7" t="s">
        <v>147</v>
      </c>
      <c r="E734" s="8" t="s">
        <v>137</v>
      </c>
    </row>
    <row r="735" spans="1:5" x14ac:dyDescent="0.35">
      <c r="A735" s="9" t="s">
        <v>135</v>
      </c>
      <c r="B735" s="10"/>
      <c r="C735" s="10"/>
      <c r="D735" s="10" t="s">
        <v>148</v>
      </c>
      <c r="E735" s="11" t="s">
        <v>137</v>
      </c>
    </row>
    <row r="736" spans="1:5" x14ac:dyDescent="0.35">
      <c r="A736" s="6" t="s">
        <v>135</v>
      </c>
      <c r="B736" s="7"/>
      <c r="C736" s="7"/>
      <c r="D736" s="7" t="s">
        <v>149</v>
      </c>
      <c r="E736" s="8" t="s">
        <v>137</v>
      </c>
    </row>
    <row r="737" spans="1:5" x14ac:dyDescent="0.35">
      <c r="A737" s="9" t="s">
        <v>135</v>
      </c>
      <c r="B737" s="10"/>
      <c r="C737" s="10" t="s">
        <v>150</v>
      </c>
      <c r="D737" s="10" t="s">
        <v>147</v>
      </c>
      <c r="E737" s="11" t="s">
        <v>137</v>
      </c>
    </row>
    <row r="738" spans="1:5" x14ac:dyDescent="0.35">
      <c r="A738" s="6" t="s">
        <v>135</v>
      </c>
      <c r="B738" s="7"/>
      <c r="C738" s="7"/>
      <c r="D738" s="7" t="s">
        <v>148</v>
      </c>
      <c r="E738" s="8" t="s">
        <v>137</v>
      </c>
    </row>
    <row r="739" spans="1:5" x14ac:dyDescent="0.35">
      <c r="A739" s="9" t="s">
        <v>135</v>
      </c>
      <c r="B739" s="10"/>
      <c r="C739" s="10"/>
      <c r="D739" s="10" t="s">
        <v>149</v>
      </c>
      <c r="E739" s="11" t="s">
        <v>137</v>
      </c>
    </row>
    <row r="740" spans="1:5" x14ac:dyDescent="0.35">
      <c r="A740" s="6" t="s">
        <v>135</v>
      </c>
      <c r="B740" s="7" t="s">
        <v>168</v>
      </c>
      <c r="C740" s="7" t="s">
        <v>146</v>
      </c>
      <c r="D740" s="7" t="s">
        <v>147</v>
      </c>
      <c r="E740" s="8" t="s">
        <v>137</v>
      </c>
    </row>
    <row r="741" spans="1:5" x14ac:dyDescent="0.35">
      <c r="A741" s="9" t="s">
        <v>135</v>
      </c>
      <c r="B741" s="10"/>
      <c r="C741" s="10"/>
      <c r="D741" s="10" t="s">
        <v>148</v>
      </c>
      <c r="E741" s="11" t="s">
        <v>137</v>
      </c>
    </row>
    <row r="742" spans="1:5" x14ac:dyDescent="0.35">
      <c r="A742" s="6" t="s">
        <v>135</v>
      </c>
      <c r="B742" s="7"/>
      <c r="C742" s="7"/>
      <c r="D742" s="7" t="s">
        <v>149</v>
      </c>
      <c r="E742" s="8" t="s">
        <v>137</v>
      </c>
    </row>
    <row r="743" spans="1:5" x14ac:dyDescent="0.35">
      <c r="A743" s="9" t="s">
        <v>135</v>
      </c>
      <c r="B743" s="10"/>
      <c r="C743" s="10" t="s">
        <v>150</v>
      </c>
      <c r="D743" s="10" t="s">
        <v>147</v>
      </c>
      <c r="E743" s="11" t="s">
        <v>137</v>
      </c>
    </row>
    <row r="744" spans="1:5" x14ac:dyDescent="0.35">
      <c r="A744" s="6" t="s">
        <v>135</v>
      </c>
      <c r="B744" s="7"/>
      <c r="C744" s="7"/>
      <c r="D744" s="7" t="s">
        <v>148</v>
      </c>
      <c r="E744" s="8" t="s">
        <v>137</v>
      </c>
    </row>
    <row r="745" spans="1:5" x14ac:dyDescent="0.35">
      <c r="A745" s="9" t="s">
        <v>135</v>
      </c>
      <c r="B745" s="10"/>
      <c r="C745" s="10"/>
      <c r="D745" s="10" t="s">
        <v>149</v>
      </c>
      <c r="E745" s="11" t="s">
        <v>137</v>
      </c>
    </row>
    <row r="746" spans="1:5" x14ac:dyDescent="0.35">
      <c r="A746" s="6" t="s">
        <v>135</v>
      </c>
      <c r="B746" s="7" t="s">
        <v>169</v>
      </c>
      <c r="C746" s="7" t="s">
        <v>146</v>
      </c>
      <c r="D746" s="7" t="s">
        <v>147</v>
      </c>
      <c r="E746" s="8" t="s">
        <v>137</v>
      </c>
    </row>
    <row r="747" spans="1:5" x14ac:dyDescent="0.35">
      <c r="A747" s="9" t="s">
        <v>135</v>
      </c>
      <c r="B747" s="10"/>
      <c r="C747" s="10"/>
      <c r="D747" s="10" t="s">
        <v>148</v>
      </c>
      <c r="E747" s="11" t="s">
        <v>137</v>
      </c>
    </row>
    <row r="748" spans="1:5" x14ac:dyDescent="0.35">
      <c r="A748" s="6" t="s">
        <v>135</v>
      </c>
      <c r="B748" s="7"/>
      <c r="C748" s="7"/>
      <c r="D748" s="7" t="s">
        <v>149</v>
      </c>
      <c r="E748" s="8" t="s">
        <v>137</v>
      </c>
    </row>
    <row r="749" spans="1:5" x14ac:dyDescent="0.35">
      <c r="A749" s="9" t="s">
        <v>135</v>
      </c>
      <c r="B749" s="10"/>
      <c r="C749" s="10" t="s">
        <v>150</v>
      </c>
      <c r="D749" s="10" t="s">
        <v>147</v>
      </c>
      <c r="E749" s="11" t="s">
        <v>137</v>
      </c>
    </row>
    <row r="750" spans="1:5" x14ac:dyDescent="0.35">
      <c r="A750" s="6" t="s">
        <v>135</v>
      </c>
      <c r="B750" s="7"/>
      <c r="C750" s="7"/>
      <c r="D750" s="7" t="s">
        <v>148</v>
      </c>
      <c r="E750" s="8" t="s">
        <v>137</v>
      </c>
    </row>
    <row r="751" spans="1:5" x14ac:dyDescent="0.35">
      <c r="A751" s="9" t="s">
        <v>135</v>
      </c>
      <c r="B751" s="10"/>
      <c r="C751" s="10"/>
      <c r="D751" s="10" t="s">
        <v>149</v>
      </c>
      <c r="E751" s="11" t="s">
        <v>137</v>
      </c>
    </row>
    <row r="752" spans="1:5" x14ac:dyDescent="0.35">
      <c r="A752" s="6" t="s">
        <v>135</v>
      </c>
      <c r="B752" s="7" t="s">
        <v>170</v>
      </c>
      <c r="C752" s="7" t="s">
        <v>146</v>
      </c>
      <c r="D752" s="7" t="s">
        <v>147</v>
      </c>
      <c r="E752" s="8" t="s">
        <v>137</v>
      </c>
    </row>
    <row r="753" spans="1:5" x14ac:dyDescent="0.35">
      <c r="A753" s="9" t="s">
        <v>135</v>
      </c>
      <c r="B753" s="10"/>
      <c r="C753" s="10"/>
      <c r="D753" s="10" t="s">
        <v>148</v>
      </c>
      <c r="E753" s="11" t="s">
        <v>137</v>
      </c>
    </row>
    <row r="754" spans="1:5" x14ac:dyDescent="0.35">
      <c r="A754" s="6" t="s">
        <v>135</v>
      </c>
      <c r="B754" s="7"/>
      <c r="C754" s="7"/>
      <c r="D754" s="7" t="s">
        <v>149</v>
      </c>
      <c r="E754" s="8" t="s">
        <v>137</v>
      </c>
    </row>
    <row r="755" spans="1:5" x14ac:dyDescent="0.35">
      <c r="A755" s="9" t="s">
        <v>135</v>
      </c>
      <c r="B755" s="10"/>
      <c r="C755" s="10" t="s">
        <v>150</v>
      </c>
      <c r="D755" s="10" t="s">
        <v>147</v>
      </c>
      <c r="E755" s="11" t="s">
        <v>137</v>
      </c>
    </row>
    <row r="756" spans="1:5" x14ac:dyDescent="0.35">
      <c r="A756" s="6" t="s">
        <v>135</v>
      </c>
      <c r="B756" s="7"/>
      <c r="C756" s="7"/>
      <c r="D756" s="7" t="s">
        <v>148</v>
      </c>
      <c r="E756" s="8" t="s">
        <v>137</v>
      </c>
    </row>
    <row r="757" spans="1:5" x14ac:dyDescent="0.35">
      <c r="A757" s="9" t="s">
        <v>135</v>
      </c>
      <c r="B757" s="10"/>
      <c r="C757" s="10"/>
      <c r="D757" s="10" t="s">
        <v>149</v>
      </c>
      <c r="E757" s="11" t="s">
        <v>137</v>
      </c>
    </row>
    <row r="758" spans="1:5" x14ac:dyDescent="0.35">
      <c r="A758" s="6" t="s">
        <v>48</v>
      </c>
      <c r="B758" s="7" t="s">
        <v>145</v>
      </c>
      <c r="C758" s="7" t="s">
        <v>146</v>
      </c>
      <c r="D758" s="7" t="s">
        <v>147</v>
      </c>
      <c r="E758" s="8">
        <v>57.84</v>
      </c>
    </row>
    <row r="759" spans="1:5" x14ac:dyDescent="0.35">
      <c r="A759" s="9" t="s">
        <v>135</v>
      </c>
      <c r="B759" s="10"/>
      <c r="C759" s="10"/>
      <c r="D759" s="10" t="s">
        <v>148</v>
      </c>
      <c r="E759" s="11">
        <v>56.05</v>
      </c>
    </row>
    <row r="760" spans="1:5" x14ac:dyDescent="0.35">
      <c r="A760" s="6" t="s">
        <v>135</v>
      </c>
      <c r="B760" s="7"/>
      <c r="C760" s="7"/>
      <c r="D760" s="7" t="s">
        <v>149</v>
      </c>
      <c r="E760" s="8">
        <v>1.8</v>
      </c>
    </row>
    <row r="761" spans="1:5" x14ac:dyDescent="0.35">
      <c r="A761" s="9" t="s">
        <v>135</v>
      </c>
      <c r="B761" s="10"/>
      <c r="C761" s="10" t="s">
        <v>150</v>
      </c>
      <c r="D761" s="10" t="s">
        <v>147</v>
      </c>
      <c r="E761" s="11" t="s">
        <v>137</v>
      </c>
    </row>
    <row r="762" spans="1:5" x14ac:dyDescent="0.35">
      <c r="A762" s="6" t="s">
        <v>135</v>
      </c>
      <c r="B762" s="7"/>
      <c r="C762" s="7"/>
      <c r="D762" s="7" t="s">
        <v>148</v>
      </c>
      <c r="E762" s="8" t="s">
        <v>137</v>
      </c>
    </row>
    <row r="763" spans="1:5" x14ac:dyDescent="0.35">
      <c r="A763" s="9" t="s">
        <v>135</v>
      </c>
      <c r="B763" s="10"/>
      <c r="C763" s="10"/>
      <c r="D763" s="10" t="s">
        <v>149</v>
      </c>
      <c r="E763" s="11" t="s">
        <v>137</v>
      </c>
    </row>
    <row r="764" spans="1:5" x14ac:dyDescent="0.35">
      <c r="A764" s="6" t="s">
        <v>135</v>
      </c>
      <c r="B764" s="7" t="s">
        <v>151</v>
      </c>
      <c r="C764" s="7" t="s">
        <v>146</v>
      </c>
      <c r="D764" s="7" t="s">
        <v>147</v>
      </c>
      <c r="E764" s="8">
        <v>31.04</v>
      </c>
    </row>
    <row r="765" spans="1:5" x14ac:dyDescent="0.35">
      <c r="A765" s="9" t="s">
        <v>135</v>
      </c>
      <c r="B765" s="10"/>
      <c r="C765" s="10"/>
      <c r="D765" s="10" t="s">
        <v>148</v>
      </c>
      <c r="E765" s="11">
        <v>29.25</v>
      </c>
    </row>
    <row r="766" spans="1:5" x14ac:dyDescent="0.35">
      <c r="A766" s="6" t="s">
        <v>135</v>
      </c>
      <c r="B766" s="7"/>
      <c r="C766" s="7"/>
      <c r="D766" s="7" t="s">
        <v>149</v>
      </c>
      <c r="E766" s="8">
        <v>1.8</v>
      </c>
    </row>
    <row r="767" spans="1:5" x14ac:dyDescent="0.35">
      <c r="A767" s="9" t="s">
        <v>135</v>
      </c>
      <c r="B767" s="10"/>
      <c r="C767" s="10" t="s">
        <v>150</v>
      </c>
      <c r="D767" s="10" t="s">
        <v>147</v>
      </c>
      <c r="E767" s="11" t="s">
        <v>137</v>
      </c>
    </row>
    <row r="768" spans="1:5" x14ac:dyDescent="0.35">
      <c r="A768" s="6" t="s">
        <v>135</v>
      </c>
      <c r="B768" s="7"/>
      <c r="C768" s="7"/>
      <c r="D768" s="7" t="s">
        <v>148</v>
      </c>
      <c r="E768" s="8" t="s">
        <v>137</v>
      </c>
    </row>
    <row r="769" spans="1:5" x14ac:dyDescent="0.35">
      <c r="A769" s="9" t="s">
        <v>135</v>
      </c>
      <c r="B769" s="10"/>
      <c r="C769" s="10"/>
      <c r="D769" s="10" t="s">
        <v>149</v>
      </c>
      <c r="E769" s="11" t="s">
        <v>137</v>
      </c>
    </row>
    <row r="770" spans="1:5" x14ac:dyDescent="0.35">
      <c r="A770" s="6" t="s">
        <v>135</v>
      </c>
      <c r="B770" s="7" t="s">
        <v>152</v>
      </c>
      <c r="C770" s="7" t="s">
        <v>146</v>
      </c>
      <c r="D770" s="7" t="s">
        <v>147</v>
      </c>
      <c r="E770" s="8" t="s">
        <v>137</v>
      </c>
    </row>
    <row r="771" spans="1:5" x14ac:dyDescent="0.35">
      <c r="A771" s="9" t="s">
        <v>135</v>
      </c>
      <c r="B771" s="10"/>
      <c r="C771" s="10"/>
      <c r="D771" s="10" t="s">
        <v>148</v>
      </c>
      <c r="E771" s="11" t="s">
        <v>137</v>
      </c>
    </row>
    <row r="772" spans="1:5" x14ac:dyDescent="0.35">
      <c r="A772" s="6" t="s">
        <v>135</v>
      </c>
      <c r="B772" s="7"/>
      <c r="C772" s="7"/>
      <c r="D772" s="7" t="s">
        <v>149</v>
      </c>
      <c r="E772" s="8" t="s">
        <v>137</v>
      </c>
    </row>
    <row r="773" spans="1:5" x14ac:dyDescent="0.35">
      <c r="A773" s="9" t="s">
        <v>135</v>
      </c>
      <c r="B773" s="10"/>
      <c r="C773" s="10" t="s">
        <v>150</v>
      </c>
      <c r="D773" s="10" t="s">
        <v>147</v>
      </c>
      <c r="E773" s="11" t="s">
        <v>137</v>
      </c>
    </row>
    <row r="774" spans="1:5" x14ac:dyDescent="0.35">
      <c r="A774" s="6" t="s">
        <v>135</v>
      </c>
      <c r="B774" s="7"/>
      <c r="C774" s="7"/>
      <c r="D774" s="7" t="s">
        <v>148</v>
      </c>
      <c r="E774" s="8" t="s">
        <v>137</v>
      </c>
    </row>
    <row r="775" spans="1:5" x14ac:dyDescent="0.35">
      <c r="A775" s="9" t="s">
        <v>135</v>
      </c>
      <c r="B775" s="10"/>
      <c r="C775" s="10"/>
      <c r="D775" s="10" t="s">
        <v>149</v>
      </c>
      <c r="E775" s="11" t="s">
        <v>137</v>
      </c>
    </row>
    <row r="776" spans="1:5" x14ac:dyDescent="0.35">
      <c r="A776" s="6" t="s">
        <v>135</v>
      </c>
      <c r="B776" s="7" t="s">
        <v>153</v>
      </c>
      <c r="C776" s="7" t="s">
        <v>146</v>
      </c>
      <c r="D776" s="7" t="s">
        <v>147</v>
      </c>
      <c r="E776" s="8">
        <v>26.8</v>
      </c>
    </row>
    <row r="777" spans="1:5" x14ac:dyDescent="0.35">
      <c r="A777" s="9" t="s">
        <v>135</v>
      </c>
      <c r="B777" s="10"/>
      <c r="C777" s="10"/>
      <c r="D777" s="10" t="s">
        <v>148</v>
      </c>
      <c r="E777" s="11">
        <v>26.8</v>
      </c>
    </row>
    <row r="778" spans="1:5" x14ac:dyDescent="0.35">
      <c r="A778" s="6" t="s">
        <v>135</v>
      </c>
      <c r="B778" s="7"/>
      <c r="C778" s="7"/>
      <c r="D778" s="7" t="s">
        <v>149</v>
      </c>
      <c r="E778" s="8" t="s">
        <v>137</v>
      </c>
    </row>
    <row r="779" spans="1:5" x14ac:dyDescent="0.35">
      <c r="A779" s="9" t="s">
        <v>135</v>
      </c>
      <c r="B779" s="10"/>
      <c r="C779" s="10" t="s">
        <v>150</v>
      </c>
      <c r="D779" s="10" t="s">
        <v>147</v>
      </c>
      <c r="E779" s="11" t="s">
        <v>137</v>
      </c>
    </row>
    <row r="780" spans="1:5" x14ac:dyDescent="0.35">
      <c r="A780" s="6" t="s">
        <v>135</v>
      </c>
      <c r="B780" s="7"/>
      <c r="C780" s="7"/>
      <c r="D780" s="7" t="s">
        <v>148</v>
      </c>
      <c r="E780" s="8" t="s">
        <v>137</v>
      </c>
    </row>
    <row r="781" spans="1:5" x14ac:dyDescent="0.35">
      <c r="A781" s="9" t="s">
        <v>135</v>
      </c>
      <c r="B781" s="10"/>
      <c r="C781" s="10"/>
      <c r="D781" s="10" t="s">
        <v>149</v>
      </c>
      <c r="E781" s="11" t="s">
        <v>137</v>
      </c>
    </row>
    <row r="782" spans="1:5" x14ac:dyDescent="0.35">
      <c r="A782" s="6" t="s">
        <v>135</v>
      </c>
      <c r="B782" s="7" t="s">
        <v>154</v>
      </c>
      <c r="C782" s="7" t="s">
        <v>146</v>
      </c>
      <c r="D782" s="7" t="s">
        <v>147</v>
      </c>
      <c r="E782" s="8" t="s">
        <v>137</v>
      </c>
    </row>
    <row r="783" spans="1:5" x14ac:dyDescent="0.35">
      <c r="A783" s="9" t="s">
        <v>135</v>
      </c>
      <c r="B783" s="10"/>
      <c r="C783" s="10"/>
      <c r="D783" s="10" t="s">
        <v>148</v>
      </c>
      <c r="E783" s="11" t="s">
        <v>137</v>
      </c>
    </row>
    <row r="784" spans="1:5" x14ac:dyDescent="0.35">
      <c r="A784" s="6" t="s">
        <v>135</v>
      </c>
      <c r="B784" s="7"/>
      <c r="C784" s="7"/>
      <c r="D784" s="7" t="s">
        <v>149</v>
      </c>
      <c r="E784" s="8" t="s">
        <v>137</v>
      </c>
    </row>
    <row r="785" spans="1:5" x14ac:dyDescent="0.35">
      <c r="A785" s="9" t="s">
        <v>135</v>
      </c>
      <c r="B785" s="10"/>
      <c r="C785" s="10" t="s">
        <v>150</v>
      </c>
      <c r="D785" s="10" t="s">
        <v>147</v>
      </c>
      <c r="E785" s="11" t="s">
        <v>137</v>
      </c>
    </row>
    <row r="786" spans="1:5" x14ac:dyDescent="0.35">
      <c r="A786" s="6" t="s">
        <v>135</v>
      </c>
      <c r="B786" s="7"/>
      <c r="C786" s="7"/>
      <c r="D786" s="7" t="s">
        <v>148</v>
      </c>
      <c r="E786" s="8" t="s">
        <v>137</v>
      </c>
    </row>
    <row r="787" spans="1:5" x14ac:dyDescent="0.35">
      <c r="A787" s="9" t="s">
        <v>135</v>
      </c>
      <c r="B787" s="10"/>
      <c r="C787" s="10"/>
      <c r="D787" s="10" t="s">
        <v>149</v>
      </c>
      <c r="E787" s="11" t="s">
        <v>137</v>
      </c>
    </row>
    <row r="788" spans="1:5" x14ac:dyDescent="0.35">
      <c r="A788" s="6" t="s">
        <v>135</v>
      </c>
      <c r="B788" s="7" t="s">
        <v>155</v>
      </c>
      <c r="C788" s="7" t="s">
        <v>146</v>
      </c>
      <c r="D788" s="7" t="s">
        <v>147</v>
      </c>
      <c r="E788" s="8" t="s">
        <v>137</v>
      </c>
    </row>
    <row r="789" spans="1:5" x14ac:dyDescent="0.35">
      <c r="A789" s="9" t="s">
        <v>135</v>
      </c>
      <c r="B789" s="10"/>
      <c r="C789" s="10"/>
      <c r="D789" s="10" t="s">
        <v>148</v>
      </c>
      <c r="E789" s="11" t="s">
        <v>137</v>
      </c>
    </row>
    <row r="790" spans="1:5" x14ac:dyDescent="0.35">
      <c r="A790" s="6" t="s">
        <v>135</v>
      </c>
      <c r="B790" s="7"/>
      <c r="C790" s="7"/>
      <c r="D790" s="7" t="s">
        <v>149</v>
      </c>
      <c r="E790" s="8" t="s">
        <v>137</v>
      </c>
    </row>
    <row r="791" spans="1:5" x14ac:dyDescent="0.35">
      <c r="A791" s="9" t="s">
        <v>135</v>
      </c>
      <c r="B791" s="10"/>
      <c r="C791" s="10" t="s">
        <v>150</v>
      </c>
      <c r="D791" s="10" t="s">
        <v>147</v>
      </c>
      <c r="E791" s="11" t="s">
        <v>137</v>
      </c>
    </row>
    <row r="792" spans="1:5" x14ac:dyDescent="0.35">
      <c r="A792" s="6" t="s">
        <v>135</v>
      </c>
      <c r="B792" s="7"/>
      <c r="C792" s="7"/>
      <c r="D792" s="7" t="s">
        <v>148</v>
      </c>
      <c r="E792" s="8" t="s">
        <v>137</v>
      </c>
    </row>
    <row r="793" spans="1:5" x14ac:dyDescent="0.35">
      <c r="A793" s="9" t="s">
        <v>135</v>
      </c>
      <c r="B793" s="10"/>
      <c r="C793" s="10"/>
      <c r="D793" s="10" t="s">
        <v>149</v>
      </c>
      <c r="E793" s="11" t="s">
        <v>137</v>
      </c>
    </row>
    <row r="794" spans="1:5" x14ac:dyDescent="0.35">
      <c r="A794" s="6" t="s">
        <v>135</v>
      </c>
      <c r="B794" s="7" t="s">
        <v>156</v>
      </c>
      <c r="C794" s="7" t="s">
        <v>146</v>
      </c>
      <c r="D794" s="7" t="s">
        <v>147</v>
      </c>
      <c r="E794" s="8" t="s">
        <v>137</v>
      </c>
    </row>
    <row r="795" spans="1:5" x14ac:dyDescent="0.35">
      <c r="A795" s="9" t="s">
        <v>135</v>
      </c>
      <c r="B795" s="10"/>
      <c r="C795" s="10"/>
      <c r="D795" s="10" t="s">
        <v>148</v>
      </c>
      <c r="E795" s="11" t="s">
        <v>137</v>
      </c>
    </row>
    <row r="796" spans="1:5" x14ac:dyDescent="0.35">
      <c r="A796" s="6" t="s">
        <v>135</v>
      </c>
      <c r="B796" s="7"/>
      <c r="C796" s="7"/>
      <c r="D796" s="7" t="s">
        <v>149</v>
      </c>
      <c r="E796" s="8" t="s">
        <v>137</v>
      </c>
    </row>
    <row r="797" spans="1:5" x14ac:dyDescent="0.35">
      <c r="A797" s="9" t="s">
        <v>135</v>
      </c>
      <c r="B797" s="10"/>
      <c r="C797" s="10" t="s">
        <v>150</v>
      </c>
      <c r="D797" s="10" t="s">
        <v>147</v>
      </c>
      <c r="E797" s="11" t="s">
        <v>137</v>
      </c>
    </row>
    <row r="798" spans="1:5" x14ac:dyDescent="0.35">
      <c r="A798" s="6" t="s">
        <v>135</v>
      </c>
      <c r="B798" s="7"/>
      <c r="C798" s="7"/>
      <c r="D798" s="7" t="s">
        <v>148</v>
      </c>
      <c r="E798" s="8" t="s">
        <v>137</v>
      </c>
    </row>
    <row r="799" spans="1:5" x14ac:dyDescent="0.35">
      <c r="A799" s="9" t="s">
        <v>135</v>
      </c>
      <c r="B799" s="10"/>
      <c r="C799" s="10"/>
      <c r="D799" s="10" t="s">
        <v>149</v>
      </c>
      <c r="E799" s="11" t="s">
        <v>137</v>
      </c>
    </row>
    <row r="800" spans="1:5" x14ac:dyDescent="0.35">
      <c r="A800" s="6" t="s">
        <v>135</v>
      </c>
      <c r="B800" s="7" t="s">
        <v>157</v>
      </c>
      <c r="C800" s="7" t="s">
        <v>146</v>
      </c>
      <c r="D800" s="7" t="s">
        <v>147</v>
      </c>
      <c r="E800" s="8" t="s">
        <v>137</v>
      </c>
    </row>
    <row r="801" spans="1:5" x14ac:dyDescent="0.35">
      <c r="A801" s="9" t="s">
        <v>135</v>
      </c>
      <c r="B801" s="10"/>
      <c r="C801" s="10"/>
      <c r="D801" s="10" t="s">
        <v>148</v>
      </c>
      <c r="E801" s="11" t="s">
        <v>137</v>
      </c>
    </row>
    <row r="802" spans="1:5" x14ac:dyDescent="0.35">
      <c r="A802" s="6" t="s">
        <v>135</v>
      </c>
      <c r="B802" s="7"/>
      <c r="C802" s="7"/>
      <c r="D802" s="7" t="s">
        <v>149</v>
      </c>
      <c r="E802" s="8" t="s">
        <v>137</v>
      </c>
    </row>
    <row r="803" spans="1:5" x14ac:dyDescent="0.35">
      <c r="A803" s="9" t="s">
        <v>135</v>
      </c>
      <c r="B803" s="10"/>
      <c r="C803" s="10" t="s">
        <v>150</v>
      </c>
      <c r="D803" s="10" t="s">
        <v>147</v>
      </c>
      <c r="E803" s="11" t="s">
        <v>137</v>
      </c>
    </row>
    <row r="804" spans="1:5" x14ac:dyDescent="0.35">
      <c r="A804" s="6" t="s">
        <v>135</v>
      </c>
      <c r="B804" s="7"/>
      <c r="C804" s="7"/>
      <c r="D804" s="7" t="s">
        <v>148</v>
      </c>
      <c r="E804" s="8" t="s">
        <v>137</v>
      </c>
    </row>
    <row r="805" spans="1:5" x14ac:dyDescent="0.35">
      <c r="A805" s="9" t="s">
        <v>135</v>
      </c>
      <c r="B805" s="10"/>
      <c r="C805" s="10"/>
      <c r="D805" s="10" t="s">
        <v>149</v>
      </c>
      <c r="E805" s="11" t="s">
        <v>137</v>
      </c>
    </row>
    <row r="806" spans="1:5" x14ac:dyDescent="0.35">
      <c r="A806" s="6" t="s">
        <v>135</v>
      </c>
      <c r="B806" s="7" t="s">
        <v>158</v>
      </c>
      <c r="C806" s="7" t="s">
        <v>146</v>
      </c>
      <c r="D806" s="7" t="s">
        <v>147</v>
      </c>
      <c r="E806" s="8" t="s">
        <v>137</v>
      </c>
    </row>
    <row r="807" spans="1:5" x14ac:dyDescent="0.35">
      <c r="A807" s="9" t="s">
        <v>135</v>
      </c>
      <c r="B807" s="10"/>
      <c r="C807" s="10"/>
      <c r="D807" s="10" t="s">
        <v>148</v>
      </c>
      <c r="E807" s="11" t="s">
        <v>137</v>
      </c>
    </row>
    <row r="808" spans="1:5" x14ac:dyDescent="0.35">
      <c r="A808" s="6" t="s">
        <v>135</v>
      </c>
      <c r="B808" s="7"/>
      <c r="C808" s="7"/>
      <c r="D808" s="7" t="s">
        <v>149</v>
      </c>
      <c r="E808" s="8" t="s">
        <v>137</v>
      </c>
    </row>
    <row r="809" spans="1:5" x14ac:dyDescent="0.35">
      <c r="A809" s="9" t="s">
        <v>135</v>
      </c>
      <c r="B809" s="10"/>
      <c r="C809" s="10" t="s">
        <v>150</v>
      </c>
      <c r="D809" s="10" t="s">
        <v>147</v>
      </c>
      <c r="E809" s="11" t="s">
        <v>137</v>
      </c>
    </row>
    <row r="810" spans="1:5" x14ac:dyDescent="0.35">
      <c r="A810" s="6" t="s">
        <v>135</v>
      </c>
      <c r="B810" s="7"/>
      <c r="C810" s="7"/>
      <c r="D810" s="7" t="s">
        <v>148</v>
      </c>
      <c r="E810" s="8" t="s">
        <v>137</v>
      </c>
    </row>
    <row r="811" spans="1:5" x14ac:dyDescent="0.35">
      <c r="A811" s="9" t="s">
        <v>135</v>
      </c>
      <c r="B811" s="10"/>
      <c r="C811" s="10"/>
      <c r="D811" s="10" t="s">
        <v>149</v>
      </c>
      <c r="E811" s="11" t="s">
        <v>137</v>
      </c>
    </row>
    <row r="812" spans="1:5" x14ac:dyDescent="0.35">
      <c r="A812" s="6" t="s">
        <v>135</v>
      </c>
      <c r="B812" s="7" t="s">
        <v>159</v>
      </c>
      <c r="C812" s="7" t="s">
        <v>146</v>
      </c>
      <c r="D812" s="7" t="s">
        <v>147</v>
      </c>
      <c r="E812" s="8" t="s">
        <v>137</v>
      </c>
    </row>
    <row r="813" spans="1:5" x14ac:dyDescent="0.35">
      <c r="A813" s="9" t="s">
        <v>135</v>
      </c>
      <c r="B813" s="10"/>
      <c r="C813" s="10"/>
      <c r="D813" s="10" t="s">
        <v>148</v>
      </c>
      <c r="E813" s="11" t="s">
        <v>137</v>
      </c>
    </row>
    <row r="814" spans="1:5" x14ac:dyDescent="0.35">
      <c r="A814" s="6" t="s">
        <v>135</v>
      </c>
      <c r="B814" s="7"/>
      <c r="C814" s="7"/>
      <c r="D814" s="7" t="s">
        <v>149</v>
      </c>
      <c r="E814" s="8" t="s">
        <v>137</v>
      </c>
    </row>
    <row r="815" spans="1:5" x14ac:dyDescent="0.35">
      <c r="A815" s="9" t="s">
        <v>135</v>
      </c>
      <c r="B815" s="10"/>
      <c r="C815" s="10" t="s">
        <v>150</v>
      </c>
      <c r="D815" s="10" t="s">
        <v>147</v>
      </c>
      <c r="E815" s="11" t="s">
        <v>137</v>
      </c>
    </row>
    <row r="816" spans="1:5" x14ac:dyDescent="0.35">
      <c r="A816" s="6" t="s">
        <v>135</v>
      </c>
      <c r="B816" s="7"/>
      <c r="C816" s="7"/>
      <c r="D816" s="7" t="s">
        <v>148</v>
      </c>
      <c r="E816" s="8" t="s">
        <v>137</v>
      </c>
    </row>
    <row r="817" spans="1:5" x14ac:dyDescent="0.35">
      <c r="A817" s="9" t="s">
        <v>135</v>
      </c>
      <c r="B817" s="10"/>
      <c r="C817" s="10"/>
      <c r="D817" s="10" t="s">
        <v>149</v>
      </c>
      <c r="E817" s="11" t="s">
        <v>137</v>
      </c>
    </row>
    <row r="818" spans="1:5" x14ac:dyDescent="0.35">
      <c r="A818" s="6" t="s">
        <v>135</v>
      </c>
      <c r="B818" s="7" t="s">
        <v>160</v>
      </c>
      <c r="C818" s="7" t="s">
        <v>146</v>
      </c>
      <c r="D818" s="7" t="s">
        <v>147</v>
      </c>
      <c r="E818" s="8" t="s">
        <v>137</v>
      </c>
    </row>
    <row r="819" spans="1:5" x14ac:dyDescent="0.35">
      <c r="A819" s="9" t="s">
        <v>135</v>
      </c>
      <c r="B819" s="10"/>
      <c r="C819" s="10"/>
      <c r="D819" s="10" t="s">
        <v>148</v>
      </c>
      <c r="E819" s="11" t="s">
        <v>137</v>
      </c>
    </row>
    <row r="820" spans="1:5" x14ac:dyDescent="0.35">
      <c r="A820" s="6" t="s">
        <v>135</v>
      </c>
      <c r="B820" s="7"/>
      <c r="C820" s="7"/>
      <c r="D820" s="7" t="s">
        <v>149</v>
      </c>
      <c r="E820" s="8" t="s">
        <v>137</v>
      </c>
    </row>
    <row r="821" spans="1:5" x14ac:dyDescent="0.35">
      <c r="A821" s="9" t="s">
        <v>135</v>
      </c>
      <c r="B821" s="10"/>
      <c r="C821" s="10" t="s">
        <v>150</v>
      </c>
      <c r="D821" s="10" t="s">
        <v>147</v>
      </c>
      <c r="E821" s="11" t="s">
        <v>137</v>
      </c>
    </row>
    <row r="822" spans="1:5" x14ac:dyDescent="0.35">
      <c r="A822" s="6" t="s">
        <v>135</v>
      </c>
      <c r="B822" s="7"/>
      <c r="C822" s="7"/>
      <c r="D822" s="7" t="s">
        <v>148</v>
      </c>
      <c r="E822" s="8" t="s">
        <v>137</v>
      </c>
    </row>
    <row r="823" spans="1:5" x14ac:dyDescent="0.35">
      <c r="A823" s="9" t="s">
        <v>135</v>
      </c>
      <c r="B823" s="10"/>
      <c r="C823" s="10"/>
      <c r="D823" s="10" t="s">
        <v>149</v>
      </c>
      <c r="E823" s="11" t="s">
        <v>137</v>
      </c>
    </row>
    <row r="824" spans="1:5" x14ac:dyDescent="0.35">
      <c r="A824" s="6" t="s">
        <v>135</v>
      </c>
      <c r="B824" s="7" t="s">
        <v>161</v>
      </c>
      <c r="C824" s="7" t="s">
        <v>146</v>
      </c>
      <c r="D824" s="7" t="s">
        <v>147</v>
      </c>
      <c r="E824" s="8" t="s">
        <v>137</v>
      </c>
    </row>
    <row r="825" spans="1:5" x14ac:dyDescent="0.35">
      <c r="A825" s="9" t="s">
        <v>135</v>
      </c>
      <c r="B825" s="10"/>
      <c r="C825" s="10"/>
      <c r="D825" s="10" t="s">
        <v>148</v>
      </c>
      <c r="E825" s="11" t="s">
        <v>137</v>
      </c>
    </row>
    <row r="826" spans="1:5" x14ac:dyDescent="0.35">
      <c r="A826" s="6" t="s">
        <v>135</v>
      </c>
      <c r="B826" s="7"/>
      <c r="C826" s="7"/>
      <c r="D826" s="7" t="s">
        <v>149</v>
      </c>
      <c r="E826" s="8" t="s">
        <v>137</v>
      </c>
    </row>
    <row r="827" spans="1:5" x14ac:dyDescent="0.35">
      <c r="A827" s="9" t="s">
        <v>135</v>
      </c>
      <c r="B827" s="10"/>
      <c r="C827" s="10" t="s">
        <v>150</v>
      </c>
      <c r="D827" s="10" t="s">
        <v>147</v>
      </c>
      <c r="E827" s="11" t="s">
        <v>137</v>
      </c>
    </row>
    <row r="828" spans="1:5" x14ac:dyDescent="0.35">
      <c r="A828" s="6" t="s">
        <v>135</v>
      </c>
      <c r="B828" s="7"/>
      <c r="C828" s="7"/>
      <c r="D828" s="7" t="s">
        <v>148</v>
      </c>
      <c r="E828" s="8" t="s">
        <v>137</v>
      </c>
    </row>
    <row r="829" spans="1:5" x14ac:dyDescent="0.35">
      <c r="A829" s="9" t="s">
        <v>135</v>
      </c>
      <c r="B829" s="10"/>
      <c r="C829" s="10"/>
      <c r="D829" s="10" t="s">
        <v>149</v>
      </c>
      <c r="E829" s="11" t="s">
        <v>137</v>
      </c>
    </row>
    <row r="830" spans="1:5" x14ac:dyDescent="0.35">
      <c r="A830" s="6" t="s">
        <v>135</v>
      </c>
      <c r="B830" s="7" t="s">
        <v>162</v>
      </c>
      <c r="C830" s="7" t="s">
        <v>146</v>
      </c>
      <c r="D830" s="7" t="s">
        <v>147</v>
      </c>
      <c r="E830" s="8" t="s">
        <v>137</v>
      </c>
    </row>
    <row r="831" spans="1:5" x14ac:dyDescent="0.35">
      <c r="A831" s="9" t="s">
        <v>135</v>
      </c>
      <c r="B831" s="10"/>
      <c r="C831" s="10"/>
      <c r="D831" s="10" t="s">
        <v>148</v>
      </c>
      <c r="E831" s="11" t="s">
        <v>137</v>
      </c>
    </row>
    <row r="832" spans="1:5" x14ac:dyDescent="0.35">
      <c r="A832" s="6" t="s">
        <v>135</v>
      </c>
      <c r="B832" s="7"/>
      <c r="C832" s="7"/>
      <c r="D832" s="7" t="s">
        <v>149</v>
      </c>
      <c r="E832" s="8" t="s">
        <v>137</v>
      </c>
    </row>
    <row r="833" spans="1:5" x14ac:dyDescent="0.35">
      <c r="A833" s="9" t="s">
        <v>135</v>
      </c>
      <c r="B833" s="10"/>
      <c r="C833" s="10" t="s">
        <v>150</v>
      </c>
      <c r="D833" s="10" t="s">
        <v>147</v>
      </c>
      <c r="E833" s="11" t="s">
        <v>137</v>
      </c>
    </row>
    <row r="834" spans="1:5" x14ac:dyDescent="0.35">
      <c r="A834" s="6" t="s">
        <v>135</v>
      </c>
      <c r="B834" s="7"/>
      <c r="C834" s="7"/>
      <c r="D834" s="7" t="s">
        <v>148</v>
      </c>
      <c r="E834" s="8" t="s">
        <v>137</v>
      </c>
    </row>
    <row r="835" spans="1:5" x14ac:dyDescent="0.35">
      <c r="A835" s="9" t="s">
        <v>135</v>
      </c>
      <c r="B835" s="10"/>
      <c r="C835" s="10"/>
      <c r="D835" s="10" t="s">
        <v>149</v>
      </c>
      <c r="E835" s="11" t="s">
        <v>137</v>
      </c>
    </row>
    <row r="836" spans="1:5" x14ac:dyDescent="0.35">
      <c r="A836" s="6" t="s">
        <v>135</v>
      </c>
      <c r="B836" s="7" t="s">
        <v>163</v>
      </c>
      <c r="C836" s="7" t="s">
        <v>146</v>
      </c>
      <c r="D836" s="7" t="s">
        <v>147</v>
      </c>
      <c r="E836" s="8">
        <v>157.69</v>
      </c>
    </row>
    <row r="837" spans="1:5" x14ac:dyDescent="0.35">
      <c r="A837" s="9" t="s">
        <v>135</v>
      </c>
      <c r="B837" s="10"/>
      <c r="C837" s="10"/>
      <c r="D837" s="10" t="s">
        <v>148</v>
      </c>
      <c r="E837" s="11">
        <v>157.69</v>
      </c>
    </row>
    <row r="838" spans="1:5" x14ac:dyDescent="0.35">
      <c r="A838" s="6" t="s">
        <v>135</v>
      </c>
      <c r="B838" s="7"/>
      <c r="C838" s="7"/>
      <c r="D838" s="7" t="s">
        <v>149</v>
      </c>
      <c r="E838" s="8" t="s">
        <v>137</v>
      </c>
    </row>
    <row r="839" spans="1:5" x14ac:dyDescent="0.35">
      <c r="A839" s="9" t="s">
        <v>135</v>
      </c>
      <c r="B839" s="10"/>
      <c r="C839" s="10" t="s">
        <v>150</v>
      </c>
      <c r="D839" s="10" t="s">
        <v>147</v>
      </c>
      <c r="E839" s="11" t="s">
        <v>137</v>
      </c>
    </row>
    <row r="840" spans="1:5" x14ac:dyDescent="0.35">
      <c r="A840" s="6" t="s">
        <v>135</v>
      </c>
      <c r="B840" s="7"/>
      <c r="C840" s="7"/>
      <c r="D840" s="7" t="s">
        <v>148</v>
      </c>
      <c r="E840" s="8" t="s">
        <v>137</v>
      </c>
    </row>
    <row r="841" spans="1:5" x14ac:dyDescent="0.35">
      <c r="A841" s="9" t="s">
        <v>135</v>
      </c>
      <c r="B841" s="10"/>
      <c r="C841" s="10"/>
      <c r="D841" s="10" t="s">
        <v>149</v>
      </c>
      <c r="E841" s="11" t="s">
        <v>137</v>
      </c>
    </row>
    <row r="842" spans="1:5" x14ac:dyDescent="0.35">
      <c r="A842" s="6" t="s">
        <v>135</v>
      </c>
      <c r="B842" s="7" t="s">
        <v>164</v>
      </c>
      <c r="C842" s="7" t="s">
        <v>146</v>
      </c>
      <c r="D842" s="7" t="s">
        <v>147</v>
      </c>
      <c r="E842" s="8" t="s">
        <v>137</v>
      </c>
    </row>
    <row r="843" spans="1:5" x14ac:dyDescent="0.35">
      <c r="A843" s="9" t="s">
        <v>135</v>
      </c>
      <c r="B843" s="10"/>
      <c r="C843" s="10"/>
      <c r="D843" s="10" t="s">
        <v>148</v>
      </c>
      <c r="E843" s="11" t="s">
        <v>137</v>
      </c>
    </row>
    <row r="844" spans="1:5" x14ac:dyDescent="0.35">
      <c r="A844" s="6" t="s">
        <v>135</v>
      </c>
      <c r="B844" s="7"/>
      <c r="C844" s="7"/>
      <c r="D844" s="7" t="s">
        <v>149</v>
      </c>
      <c r="E844" s="8" t="s">
        <v>137</v>
      </c>
    </row>
    <row r="845" spans="1:5" x14ac:dyDescent="0.35">
      <c r="A845" s="9" t="s">
        <v>135</v>
      </c>
      <c r="B845" s="10"/>
      <c r="C845" s="10" t="s">
        <v>150</v>
      </c>
      <c r="D845" s="10" t="s">
        <v>147</v>
      </c>
      <c r="E845" s="11" t="s">
        <v>137</v>
      </c>
    </row>
    <row r="846" spans="1:5" x14ac:dyDescent="0.35">
      <c r="A846" s="6" t="s">
        <v>135</v>
      </c>
      <c r="B846" s="7"/>
      <c r="C846" s="7"/>
      <c r="D846" s="7" t="s">
        <v>148</v>
      </c>
      <c r="E846" s="8" t="s">
        <v>137</v>
      </c>
    </row>
    <row r="847" spans="1:5" x14ac:dyDescent="0.35">
      <c r="A847" s="9" t="s">
        <v>135</v>
      </c>
      <c r="B847" s="10"/>
      <c r="C847" s="10"/>
      <c r="D847" s="10" t="s">
        <v>149</v>
      </c>
      <c r="E847" s="11" t="s">
        <v>137</v>
      </c>
    </row>
    <row r="848" spans="1:5" x14ac:dyDescent="0.35">
      <c r="A848" s="6" t="s">
        <v>135</v>
      </c>
      <c r="B848" s="7" t="s">
        <v>165</v>
      </c>
      <c r="C848" s="7" t="s">
        <v>146</v>
      </c>
      <c r="D848" s="7" t="s">
        <v>147</v>
      </c>
      <c r="E848" s="8" t="s">
        <v>137</v>
      </c>
    </row>
    <row r="849" spans="1:5" x14ac:dyDescent="0.35">
      <c r="A849" s="9" t="s">
        <v>135</v>
      </c>
      <c r="B849" s="10"/>
      <c r="C849" s="10"/>
      <c r="D849" s="10" t="s">
        <v>148</v>
      </c>
      <c r="E849" s="11" t="s">
        <v>137</v>
      </c>
    </row>
    <row r="850" spans="1:5" x14ac:dyDescent="0.35">
      <c r="A850" s="6" t="s">
        <v>135</v>
      </c>
      <c r="B850" s="7"/>
      <c r="C850" s="7"/>
      <c r="D850" s="7" t="s">
        <v>149</v>
      </c>
      <c r="E850" s="8" t="s">
        <v>137</v>
      </c>
    </row>
    <row r="851" spans="1:5" x14ac:dyDescent="0.35">
      <c r="A851" s="9" t="s">
        <v>135</v>
      </c>
      <c r="B851" s="10"/>
      <c r="C851" s="10" t="s">
        <v>150</v>
      </c>
      <c r="D851" s="10" t="s">
        <v>147</v>
      </c>
      <c r="E851" s="11" t="s">
        <v>137</v>
      </c>
    </row>
    <row r="852" spans="1:5" x14ac:dyDescent="0.35">
      <c r="A852" s="6" t="s">
        <v>135</v>
      </c>
      <c r="B852" s="7"/>
      <c r="C852" s="7"/>
      <c r="D852" s="7" t="s">
        <v>148</v>
      </c>
      <c r="E852" s="8" t="s">
        <v>137</v>
      </c>
    </row>
    <row r="853" spans="1:5" x14ac:dyDescent="0.35">
      <c r="A853" s="9" t="s">
        <v>135</v>
      </c>
      <c r="B853" s="10"/>
      <c r="C853" s="10"/>
      <c r="D853" s="10" t="s">
        <v>149</v>
      </c>
      <c r="E853" s="11" t="s">
        <v>137</v>
      </c>
    </row>
    <row r="854" spans="1:5" x14ac:dyDescent="0.35">
      <c r="A854" s="6" t="s">
        <v>135</v>
      </c>
      <c r="B854" s="7" t="s">
        <v>166</v>
      </c>
      <c r="C854" s="7" t="s">
        <v>146</v>
      </c>
      <c r="D854" s="7" t="s">
        <v>147</v>
      </c>
      <c r="E854" s="8">
        <v>157.69</v>
      </c>
    </row>
    <row r="855" spans="1:5" x14ac:dyDescent="0.35">
      <c r="A855" s="9" t="s">
        <v>135</v>
      </c>
      <c r="B855" s="10"/>
      <c r="C855" s="10"/>
      <c r="D855" s="10" t="s">
        <v>148</v>
      </c>
      <c r="E855" s="11">
        <v>157.69</v>
      </c>
    </row>
    <row r="856" spans="1:5" x14ac:dyDescent="0.35">
      <c r="A856" s="6" t="s">
        <v>135</v>
      </c>
      <c r="B856" s="7"/>
      <c r="C856" s="7"/>
      <c r="D856" s="7" t="s">
        <v>149</v>
      </c>
      <c r="E856" s="8" t="s">
        <v>137</v>
      </c>
    </row>
    <row r="857" spans="1:5" x14ac:dyDescent="0.35">
      <c r="A857" s="9" t="s">
        <v>135</v>
      </c>
      <c r="B857" s="10"/>
      <c r="C857" s="10" t="s">
        <v>150</v>
      </c>
      <c r="D857" s="10" t="s">
        <v>147</v>
      </c>
      <c r="E857" s="11" t="s">
        <v>137</v>
      </c>
    </row>
    <row r="858" spans="1:5" x14ac:dyDescent="0.35">
      <c r="A858" s="6" t="s">
        <v>135</v>
      </c>
      <c r="B858" s="7"/>
      <c r="C858" s="7"/>
      <c r="D858" s="7" t="s">
        <v>148</v>
      </c>
      <c r="E858" s="8" t="s">
        <v>137</v>
      </c>
    </row>
    <row r="859" spans="1:5" x14ac:dyDescent="0.35">
      <c r="A859" s="9" t="s">
        <v>135</v>
      </c>
      <c r="B859" s="10"/>
      <c r="C859" s="10"/>
      <c r="D859" s="10" t="s">
        <v>149</v>
      </c>
      <c r="E859" s="11" t="s">
        <v>137</v>
      </c>
    </row>
    <row r="860" spans="1:5" x14ac:dyDescent="0.35">
      <c r="A860" s="6" t="s">
        <v>135</v>
      </c>
      <c r="B860" s="7" t="s">
        <v>167</v>
      </c>
      <c r="C860" s="7" t="s">
        <v>146</v>
      </c>
      <c r="D860" s="7" t="s">
        <v>147</v>
      </c>
      <c r="E860" s="8" t="s">
        <v>137</v>
      </c>
    </row>
    <row r="861" spans="1:5" x14ac:dyDescent="0.35">
      <c r="A861" s="9" t="s">
        <v>135</v>
      </c>
      <c r="B861" s="10"/>
      <c r="C861" s="10"/>
      <c r="D861" s="10" t="s">
        <v>148</v>
      </c>
      <c r="E861" s="11" t="s">
        <v>137</v>
      </c>
    </row>
    <row r="862" spans="1:5" x14ac:dyDescent="0.35">
      <c r="A862" s="6" t="s">
        <v>135</v>
      </c>
      <c r="B862" s="7"/>
      <c r="C862" s="7"/>
      <c r="D862" s="7" t="s">
        <v>149</v>
      </c>
      <c r="E862" s="8" t="s">
        <v>137</v>
      </c>
    </row>
    <row r="863" spans="1:5" x14ac:dyDescent="0.35">
      <c r="A863" s="9" t="s">
        <v>135</v>
      </c>
      <c r="B863" s="10"/>
      <c r="C863" s="10" t="s">
        <v>150</v>
      </c>
      <c r="D863" s="10" t="s">
        <v>147</v>
      </c>
      <c r="E863" s="11" t="s">
        <v>137</v>
      </c>
    </row>
    <row r="864" spans="1:5" x14ac:dyDescent="0.35">
      <c r="A864" s="6" t="s">
        <v>135</v>
      </c>
      <c r="B864" s="7"/>
      <c r="C864" s="7"/>
      <c r="D864" s="7" t="s">
        <v>148</v>
      </c>
      <c r="E864" s="8" t="s">
        <v>137</v>
      </c>
    </row>
    <row r="865" spans="1:5" x14ac:dyDescent="0.35">
      <c r="A865" s="9" t="s">
        <v>135</v>
      </c>
      <c r="B865" s="10"/>
      <c r="C865" s="10"/>
      <c r="D865" s="10" t="s">
        <v>149</v>
      </c>
      <c r="E865" s="11" t="s">
        <v>137</v>
      </c>
    </row>
    <row r="866" spans="1:5" x14ac:dyDescent="0.35">
      <c r="A866" s="6" t="s">
        <v>135</v>
      </c>
      <c r="B866" s="7" t="s">
        <v>168</v>
      </c>
      <c r="C866" s="7" t="s">
        <v>146</v>
      </c>
      <c r="D866" s="7" t="s">
        <v>147</v>
      </c>
      <c r="E866" s="8" t="s">
        <v>137</v>
      </c>
    </row>
    <row r="867" spans="1:5" x14ac:dyDescent="0.35">
      <c r="A867" s="9" t="s">
        <v>135</v>
      </c>
      <c r="B867" s="10"/>
      <c r="C867" s="10"/>
      <c r="D867" s="10" t="s">
        <v>148</v>
      </c>
      <c r="E867" s="11" t="s">
        <v>137</v>
      </c>
    </row>
    <row r="868" spans="1:5" x14ac:dyDescent="0.35">
      <c r="A868" s="6" t="s">
        <v>135</v>
      </c>
      <c r="B868" s="7"/>
      <c r="C868" s="7"/>
      <c r="D868" s="7" t="s">
        <v>149</v>
      </c>
      <c r="E868" s="8" t="s">
        <v>137</v>
      </c>
    </row>
    <row r="869" spans="1:5" x14ac:dyDescent="0.35">
      <c r="A869" s="9" t="s">
        <v>135</v>
      </c>
      <c r="B869" s="10"/>
      <c r="C869" s="10" t="s">
        <v>150</v>
      </c>
      <c r="D869" s="10" t="s">
        <v>147</v>
      </c>
      <c r="E869" s="11" t="s">
        <v>137</v>
      </c>
    </row>
    <row r="870" spans="1:5" x14ac:dyDescent="0.35">
      <c r="A870" s="6" t="s">
        <v>135</v>
      </c>
      <c r="B870" s="7"/>
      <c r="C870" s="7"/>
      <c r="D870" s="7" t="s">
        <v>148</v>
      </c>
      <c r="E870" s="8" t="s">
        <v>137</v>
      </c>
    </row>
    <row r="871" spans="1:5" x14ac:dyDescent="0.35">
      <c r="A871" s="9" t="s">
        <v>135</v>
      </c>
      <c r="B871" s="10"/>
      <c r="C871" s="10"/>
      <c r="D871" s="10" t="s">
        <v>149</v>
      </c>
      <c r="E871" s="11" t="s">
        <v>137</v>
      </c>
    </row>
    <row r="872" spans="1:5" x14ac:dyDescent="0.35">
      <c r="A872" s="6" t="s">
        <v>135</v>
      </c>
      <c r="B872" s="7" t="s">
        <v>169</v>
      </c>
      <c r="C872" s="7" t="s">
        <v>146</v>
      </c>
      <c r="D872" s="7" t="s">
        <v>147</v>
      </c>
      <c r="E872" s="8" t="s">
        <v>137</v>
      </c>
    </row>
    <row r="873" spans="1:5" x14ac:dyDescent="0.35">
      <c r="A873" s="9" t="s">
        <v>135</v>
      </c>
      <c r="B873" s="10"/>
      <c r="C873" s="10"/>
      <c r="D873" s="10" t="s">
        <v>148</v>
      </c>
      <c r="E873" s="11" t="s">
        <v>137</v>
      </c>
    </row>
    <row r="874" spans="1:5" x14ac:dyDescent="0.35">
      <c r="A874" s="6" t="s">
        <v>135</v>
      </c>
      <c r="B874" s="7"/>
      <c r="C874" s="7"/>
      <c r="D874" s="7" t="s">
        <v>149</v>
      </c>
      <c r="E874" s="8" t="s">
        <v>137</v>
      </c>
    </row>
    <row r="875" spans="1:5" x14ac:dyDescent="0.35">
      <c r="A875" s="9" t="s">
        <v>135</v>
      </c>
      <c r="B875" s="10"/>
      <c r="C875" s="10" t="s">
        <v>150</v>
      </c>
      <c r="D875" s="10" t="s">
        <v>147</v>
      </c>
      <c r="E875" s="11" t="s">
        <v>137</v>
      </c>
    </row>
    <row r="876" spans="1:5" x14ac:dyDescent="0.35">
      <c r="A876" s="6" t="s">
        <v>135</v>
      </c>
      <c r="B876" s="7"/>
      <c r="C876" s="7"/>
      <c r="D876" s="7" t="s">
        <v>148</v>
      </c>
      <c r="E876" s="8" t="s">
        <v>137</v>
      </c>
    </row>
    <row r="877" spans="1:5" x14ac:dyDescent="0.35">
      <c r="A877" s="9" t="s">
        <v>135</v>
      </c>
      <c r="B877" s="10"/>
      <c r="C877" s="10"/>
      <c r="D877" s="10" t="s">
        <v>149</v>
      </c>
      <c r="E877" s="11" t="s">
        <v>137</v>
      </c>
    </row>
    <row r="878" spans="1:5" x14ac:dyDescent="0.35">
      <c r="A878" s="6" t="s">
        <v>135</v>
      </c>
      <c r="B878" s="7" t="s">
        <v>170</v>
      </c>
      <c r="C878" s="7" t="s">
        <v>146</v>
      </c>
      <c r="D878" s="7" t="s">
        <v>147</v>
      </c>
      <c r="E878" s="8" t="s">
        <v>137</v>
      </c>
    </row>
    <row r="879" spans="1:5" x14ac:dyDescent="0.35">
      <c r="A879" s="9" t="s">
        <v>135</v>
      </c>
      <c r="B879" s="10"/>
      <c r="C879" s="10"/>
      <c r="D879" s="10" t="s">
        <v>148</v>
      </c>
      <c r="E879" s="11" t="s">
        <v>137</v>
      </c>
    </row>
    <row r="880" spans="1:5" x14ac:dyDescent="0.35">
      <c r="A880" s="6" t="s">
        <v>135</v>
      </c>
      <c r="B880" s="7"/>
      <c r="C880" s="7"/>
      <c r="D880" s="7" t="s">
        <v>149</v>
      </c>
      <c r="E880" s="8" t="s">
        <v>137</v>
      </c>
    </row>
    <row r="881" spans="1:5" x14ac:dyDescent="0.35">
      <c r="A881" s="9" t="s">
        <v>135</v>
      </c>
      <c r="B881" s="10"/>
      <c r="C881" s="10" t="s">
        <v>150</v>
      </c>
      <c r="D881" s="10" t="s">
        <v>147</v>
      </c>
      <c r="E881" s="11" t="s">
        <v>137</v>
      </c>
    </row>
    <row r="882" spans="1:5" x14ac:dyDescent="0.35">
      <c r="A882" s="6" t="s">
        <v>135</v>
      </c>
      <c r="B882" s="7"/>
      <c r="C882" s="7"/>
      <c r="D882" s="7" t="s">
        <v>148</v>
      </c>
      <c r="E882" s="8" t="s">
        <v>137</v>
      </c>
    </row>
    <row r="883" spans="1:5" x14ac:dyDescent="0.35">
      <c r="A883" s="9" t="s">
        <v>135</v>
      </c>
      <c r="B883" s="10"/>
      <c r="C883" s="10"/>
      <c r="D883" s="10" t="s">
        <v>149</v>
      </c>
      <c r="E883" s="11" t="s">
        <v>137</v>
      </c>
    </row>
    <row r="884" spans="1:5" x14ac:dyDescent="0.35">
      <c r="A884" s="6" t="s">
        <v>44</v>
      </c>
      <c r="B884" s="7" t="s">
        <v>145</v>
      </c>
      <c r="C884" s="7" t="s">
        <v>146</v>
      </c>
      <c r="D884" s="7" t="s">
        <v>147</v>
      </c>
      <c r="E884" s="8">
        <v>876.65</v>
      </c>
    </row>
    <row r="885" spans="1:5" x14ac:dyDescent="0.35">
      <c r="A885" s="9" t="s">
        <v>135</v>
      </c>
      <c r="B885" s="10"/>
      <c r="C885" s="10"/>
      <c r="D885" s="10" t="s">
        <v>148</v>
      </c>
      <c r="E885" s="11">
        <v>849.48</v>
      </c>
    </row>
    <row r="886" spans="1:5" x14ac:dyDescent="0.35">
      <c r="A886" s="6" t="s">
        <v>135</v>
      </c>
      <c r="B886" s="7"/>
      <c r="C886" s="7"/>
      <c r="D886" s="7" t="s">
        <v>149</v>
      </c>
      <c r="E886" s="8">
        <v>27.17</v>
      </c>
    </row>
    <row r="887" spans="1:5" x14ac:dyDescent="0.35">
      <c r="A887" s="9" t="s">
        <v>135</v>
      </c>
      <c r="B887" s="10"/>
      <c r="C887" s="10" t="s">
        <v>150</v>
      </c>
      <c r="D887" s="10" t="s">
        <v>147</v>
      </c>
      <c r="E887" s="11" t="s">
        <v>137</v>
      </c>
    </row>
    <row r="888" spans="1:5" x14ac:dyDescent="0.35">
      <c r="A888" s="6" t="s">
        <v>135</v>
      </c>
      <c r="B888" s="7"/>
      <c r="C888" s="7"/>
      <c r="D888" s="7" t="s">
        <v>148</v>
      </c>
      <c r="E888" s="8" t="s">
        <v>137</v>
      </c>
    </row>
    <row r="889" spans="1:5" x14ac:dyDescent="0.35">
      <c r="A889" s="9" t="s">
        <v>135</v>
      </c>
      <c r="B889" s="10"/>
      <c r="C889" s="10"/>
      <c r="D889" s="10" t="s">
        <v>149</v>
      </c>
      <c r="E889" s="11" t="s">
        <v>137</v>
      </c>
    </row>
    <row r="890" spans="1:5" x14ac:dyDescent="0.35">
      <c r="A890" s="6" t="s">
        <v>135</v>
      </c>
      <c r="B890" s="7" t="s">
        <v>151</v>
      </c>
      <c r="C890" s="7" t="s">
        <v>146</v>
      </c>
      <c r="D890" s="7" t="s">
        <v>147</v>
      </c>
      <c r="E890" s="8">
        <v>62.65</v>
      </c>
    </row>
    <row r="891" spans="1:5" x14ac:dyDescent="0.35">
      <c r="A891" s="9" t="s">
        <v>135</v>
      </c>
      <c r="B891" s="10"/>
      <c r="C891" s="10"/>
      <c r="D891" s="10" t="s">
        <v>148</v>
      </c>
      <c r="E891" s="11">
        <v>36</v>
      </c>
    </row>
    <row r="892" spans="1:5" x14ac:dyDescent="0.35">
      <c r="A892" s="6" t="s">
        <v>135</v>
      </c>
      <c r="B892" s="7"/>
      <c r="C892" s="7"/>
      <c r="D892" s="7" t="s">
        <v>149</v>
      </c>
      <c r="E892" s="8">
        <v>26.65</v>
      </c>
    </row>
    <row r="893" spans="1:5" x14ac:dyDescent="0.35">
      <c r="A893" s="9" t="s">
        <v>135</v>
      </c>
      <c r="B893" s="10"/>
      <c r="C893" s="10" t="s">
        <v>150</v>
      </c>
      <c r="D893" s="10" t="s">
        <v>147</v>
      </c>
      <c r="E893" s="11" t="s">
        <v>137</v>
      </c>
    </row>
    <row r="894" spans="1:5" x14ac:dyDescent="0.35">
      <c r="A894" s="6" t="s">
        <v>135</v>
      </c>
      <c r="B894" s="7"/>
      <c r="C894" s="7"/>
      <c r="D894" s="7" t="s">
        <v>148</v>
      </c>
      <c r="E894" s="8" t="s">
        <v>137</v>
      </c>
    </row>
    <row r="895" spans="1:5" x14ac:dyDescent="0.35">
      <c r="A895" s="9" t="s">
        <v>135</v>
      </c>
      <c r="B895" s="10"/>
      <c r="C895" s="10"/>
      <c r="D895" s="10" t="s">
        <v>149</v>
      </c>
      <c r="E895" s="11" t="s">
        <v>137</v>
      </c>
    </row>
    <row r="896" spans="1:5" x14ac:dyDescent="0.35">
      <c r="A896" s="6" t="s">
        <v>135</v>
      </c>
      <c r="B896" s="7" t="s">
        <v>152</v>
      </c>
      <c r="C896" s="7" t="s">
        <v>146</v>
      </c>
      <c r="D896" s="7" t="s">
        <v>147</v>
      </c>
      <c r="E896" s="8" t="s">
        <v>137</v>
      </c>
    </row>
    <row r="897" spans="1:5" x14ac:dyDescent="0.35">
      <c r="A897" s="9" t="s">
        <v>135</v>
      </c>
      <c r="B897" s="10"/>
      <c r="C897" s="10"/>
      <c r="D897" s="10" t="s">
        <v>148</v>
      </c>
      <c r="E897" s="11" t="s">
        <v>137</v>
      </c>
    </row>
    <row r="898" spans="1:5" x14ac:dyDescent="0.35">
      <c r="A898" s="6" t="s">
        <v>135</v>
      </c>
      <c r="B898" s="7"/>
      <c r="C898" s="7"/>
      <c r="D898" s="7" t="s">
        <v>149</v>
      </c>
      <c r="E898" s="8" t="s">
        <v>137</v>
      </c>
    </row>
    <row r="899" spans="1:5" x14ac:dyDescent="0.35">
      <c r="A899" s="9" t="s">
        <v>135</v>
      </c>
      <c r="B899" s="10"/>
      <c r="C899" s="10" t="s">
        <v>150</v>
      </c>
      <c r="D899" s="10" t="s">
        <v>147</v>
      </c>
      <c r="E899" s="11" t="s">
        <v>137</v>
      </c>
    </row>
    <row r="900" spans="1:5" x14ac:dyDescent="0.35">
      <c r="A900" s="6" t="s">
        <v>135</v>
      </c>
      <c r="B900" s="7"/>
      <c r="C900" s="7"/>
      <c r="D900" s="7" t="s">
        <v>148</v>
      </c>
      <c r="E900" s="8" t="s">
        <v>137</v>
      </c>
    </row>
    <row r="901" spans="1:5" x14ac:dyDescent="0.35">
      <c r="A901" s="9" t="s">
        <v>135</v>
      </c>
      <c r="B901" s="10"/>
      <c r="C901" s="10"/>
      <c r="D901" s="10" t="s">
        <v>149</v>
      </c>
      <c r="E901" s="11" t="s">
        <v>137</v>
      </c>
    </row>
    <row r="902" spans="1:5" x14ac:dyDescent="0.35">
      <c r="A902" s="6" t="s">
        <v>135</v>
      </c>
      <c r="B902" s="7" t="s">
        <v>153</v>
      </c>
      <c r="C902" s="7" t="s">
        <v>146</v>
      </c>
      <c r="D902" s="7" t="s">
        <v>147</v>
      </c>
      <c r="E902" s="8" t="s">
        <v>137</v>
      </c>
    </row>
    <row r="903" spans="1:5" x14ac:dyDescent="0.35">
      <c r="A903" s="9" t="s">
        <v>135</v>
      </c>
      <c r="B903" s="10"/>
      <c r="C903" s="10"/>
      <c r="D903" s="10" t="s">
        <v>148</v>
      </c>
      <c r="E903" s="11" t="s">
        <v>137</v>
      </c>
    </row>
    <row r="904" spans="1:5" x14ac:dyDescent="0.35">
      <c r="A904" s="6" t="s">
        <v>135</v>
      </c>
      <c r="B904" s="7"/>
      <c r="C904" s="7"/>
      <c r="D904" s="7" t="s">
        <v>149</v>
      </c>
      <c r="E904" s="8" t="s">
        <v>137</v>
      </c>
    </row>
    <row r="905" spans="1:5" x14ac:dyDescent="0.35">
      <c r="A905" s="9" t="s">
        <v>135</v>
      </c>
      <c r="B905" s="10"/>
      <c r="C905" s="10" t="s">
        <v>150</v>
      </c>
      <c r="D905" s="10" t="s">
        <v>147</v>
      </c>
      <c r="E905" s="11" t="s">
        <v>137</v>
      </c>
    </row>
    <row r="906" spans="1:5" x14ac:dyDescent="0.35">
      <c r="A906" s="6" t="s">
        <v>135</v>
      </c>
      <c r="B906" s="7"/>
      <c r="C906" s="7"/>
      <c r="D906" s="7" t="s">
        <v>148</v>
      </c>
      <c r="E906" s="8" t="s">
        <v>137</v>
      </c>
    </row>
    <row r="907" spans="1:5" x14ac:dyDescent="0.35">
      <c r="A907" s="9" t="s">
        <v>135</v>
      </c>
      <c r="B907" s="10"/>
      <c r="C907" s="10"/>
      <c r="D907" s="10" t="s">
        <v>149</v>
      </c>
      <c r="E907" s="11" t="s">
        <v>137</v>
      </c>
    </row>
    <row r="908" spans="1:5" x14ac:dyDescent="0.35">
      <c r="A908" s="6" t="s">
        <v>135</v>
      </c>
      <c r="B908" s="7" t="s">
        <v>154</v>
      </c>
      <c r="C908" s="7" t="s">
        <v>146</v>
      </c>
      <c r="D908" s="7" t="s">
        <v>147</v>
      </c>
      <c r="E908" s="8" t="s">
        <v>137</v>
      </c>
    </row>
    <row r="909" spans="1:5" x14ac:dyDescent="0.35">
      <c r="A909" s="9" t="s">
        <v>135</v>
      </c>
      <c r="B909" s="10"/>
      <c r="C909" s="10"/>
      <c r="D909" s="10" t="s">
        <v>148</v>
      </c>
      <c r="E909" s="11" t="s">
        <v>137</v>
      </c>
    </row>
    <row r="910" spans="1:5" x14ac:dyDescent="0.35">
      <c r="A910" s="6" t="s">
        <v>135</v>
      </c>
      <c r="B910" s="7"/>
      <c r="C910" s="7"/>
      <c r="D910" s="7" t="s">
        <v>149</v>
      </c>
      <c r="E910" s="8" t="s">
        <v>137</v>
      </c>
    </row>
    <row r="911" spans="1:5" x14ac:dyDescent="0.35">
      <c r="A911" s="9" t="s">
        <v>135</v>
      </c>
      <c r="B911" s="10"/>
      <c r="C911" s="10" t="s">
        <v>150</v>
      </c>
      <c r="D911" s="10" t="s">
        <v>147</v>
      </c>
      <c r="E911" s="11" t="s">
        <v>137</v>
      </c>
    </row>
    <row r="912" spans="1:5" x14ac:dyDescent="0.35">
      <c r="A912" s="6" t="s">
        <v>135</v>
      </c>
      <c r="B912" s="7"/>
      <c r="C912" s="7"/>
      <c r="D912" s="7" t="s">
        <v>148</v>
      </c>
      <c r="E912" s="8" t="s">
        <v>137</v>
      </c>
    </row>
    <row r="913" spans="1:5" x14ac:dyDescent="0.35">
      <c r="A913" s="9" t="s">
        <v>135</v>
      </c>
      <c r="B913" s="10"/>
      <c r="C913" s="10"/>
      <c r="D913" s="10" t="s">
        <v>149</v>
      </c>
      <c r="E913" s="11" t="s">
        <v>137</v>
      </c>
    </row>
    <row r="914" spans="1:5" x14ac:dyDescent="0.35">
      <c r="A914" s="6" t="s">
        <v>135</v>
      </c>
      <c r="B914" s="7" t="s">
        <v>155</v>
      </c>
      <c r="C914" s="7" t="s">
        <v>146</v>
      </c>
      <c r="D914" s="7" t="s">
        <v>147</v>
      </c>
      <c r="E914" s="8">
        <v>814</v>
      </c>
    </row>
    <row r="915" spans="1:5" x14ac:dyDescent="0.35">
      <c r="A915" s="9" t="s">
        <v>135</v>
      </c>
      <c r="B915" s="10"/>
      <c r="C915" s="10"/>
      <c r="D915" s="10" t="s">
        <v>148</v>
      </c>
      <c r="E915" s="11">
        <v>813.48</v>
      </c>
    </row>
    <row r="916" spans="1:5" x14ac:dyDescent="0.35">
      <c r="A916" s="6" t="s">
        <v>135</v>
      </c>
      <c r="B916" s="7"/>
      <c r="C916" s="7"/>
      <c r="D916" s="7" t="s">
        <v>149</v>
      </c>
      <c r="E916" s="8">
        <v>0.52</v>
      </c>
    </row>
    <row r="917" spans="1:5" x14ac:dyDescent="0.35">
      <c r="A917" s="9" t="s">
        <v>135</v>
      </c>
      <c r="B917" s="10"/>
      <c r="C917" s="10" t="s">
        <v>150</v>
      </c>
      <c r="D917" s="10" t="s">
        <v>147</v>
      </c>
      <c r="E917" s="11" t="s">
        <v>137</v>
      </c>
    </row>
    <row r="918" spans="1:5" x14ac:dyDescent="0.35">
      <c r="A918" s="6" t="s">
        <v>135</v>
      </c>
      <c r="B918" s="7"/>
      <c r="C918" s="7"/>
      <c r="D918" s="7" t="s">
        <v>148</v>
      </c>
      <c r="E918" s="8" t="s">
        <v>137</v>
      </c>
    </row>
    <row r="919" spans="1:5" x14ac:dyDescent="0.35">
      <c r="A919" s="9" t="s">
        <v>135</v>
      </c>
      <c r="B919" s="10"/>
      <c r="C919" s="10"/>
      <c r="D919" s="10" t="s">
        <v>149</v>
      </c>
      <c r="E919" s="11" t="s">
        <v>137</v>
      </c>
    </row>
    <row r="920" spans="1:5" x14ac:dyDescent="0.35">
      <c r="A920" s="6" t="s">
        <v>135</v>
      </c>
      <c r="B920" s="7" t="s">
        <v>156</v>
      </c>
      <c r="C920" s="7" t="s">
        <v>146</v>
      </c>
      <c r="D920" s="7" t="s">
        <v>147</v>
      </c>
      <c r="E920" s="8" t="s">
        <v>137</v>
      </c>
    </row>
    <row r="921" spans="1:5" x14ac:dyDescent="0.35">
      <c r="A921" s="9" t="s">
        <v>135</v>
      </c>
      <c r="B921" s="10"/>
      <c r="C921" s="10"/>
      <c r="D921" s="10" t="s">
        <v>148</v>
      </c>
      <c r="E921" s="11" t="s">
        <v>137</v>
      </c>
    </row>
    <row r="922" spans="1:5" x14ac:dyDescent="0.35">
      <c r="A922" s="6" t="s">
        <v>135</v>
      </c>
      <c r="B922" s="7"/>
      <c r="C922" s="7"/>
      <c r="D922" s="7" t="s">
        <v>149</v>
      </c>
      <c r="E922" s="8" t="s">
        <v>137</v>
      </c>
    </row>
    <row r="923" spans="1:5" x14ac:dyDescent="0.35">
      <c r="A923" s="9" t="s">
        <v>135</v>
      </c>
      <c r="B923" s="10"/>
      <c r="C923" s="10" t="s">
        <v>150</v>
      </c>
      <c r="D923" s="10" t="s">
        <v>147</v>
      </c>
      <c r="E923" s="11" t="s">
        <v>137</v>
      </c>
    </row>
    <row r="924" spans="1:5" x14ac:dyDescent="0.35">
      <c r="A924" s="6" t="s">
        <v>135</v>
      </c>
      <c r="B924" s="7"/>
      <c r="C924" s="7"/>
      <c r="D924" s="7" t="s">
        <v>148</v>
      </c>
      <c r="E924" s="8" t="s">
        <v>137</v>
      </c>
    </row>
    <row r="925" spans="1:5" x14ac:dyDescent="0.35">
      <c r="A925" s="9" t="s">
        <v>135</v>
      </c>
      <c r="B925" s="10"/>
      <c r="C925" s="10"/>
      <c r="D925" s="10" t="s">
        <v>149</v>
      </c>
      <c r="E925" s="11" t="s">
        <v>137</v>
      </c>
    </row>
    <row r="926" spans="1:5" x14ac:dyDescent="0.35">
      <c r="A926" s="6" t="s">
        <v>135</v>
      </c>
      <c r="B926" s="7" t="s">
        <v>157</v>
      </c>
      <c r="C926" s="7" t="s">
        <v>146</v>
      </c>
      <c r="D926" s="7" t="s">
        <v>147</v>
      </c>
      <c r="E926" s="8" t="s">
        <v>137</v>
      </c>
    </row>
    <row r="927" spans="1:5" x14ac:dyDescent="0.35">
      <c r="A927" s="9" t="s">
        <v>135</v>
      </c>
      <c r="B927" s="10"/>
      <c r="C927" s="10"/>
      <c r="D927" s="10" t="s">
        <v>148</v>
      </c>
      <c r="E927" s="11" t="s">
        <v>137</v>
      </c>
    </row>
    <row r="928" spans="1:5" x14ac:dyDescent="0.35">
      <c r="A928" s="6" t="s">
        <v>135</v>
      </c>
      <c r="B928" s="7"/>
      <c r="C928" s="7"/>
      <c r="D928" s="7" t="s">
        <v>149</v>
      </c>
      <c r="E928" s="8" t="s">
        <v>137</v>
      </c>
    </row>
    <row r="929" spans="1:5" x14ac:dyDescent="0.35">
      <c r="A929" s="9" t="s">
        <v>135</v>
      </c>
      <c r="B929" s="10"/>
      <c r="C929" s="10" t="s">
        <v>150</v>
      </c>
      <c r="D929" s="10" t="s">
        <v>147</v>
      </c>
      <c r="E929" s="11" t="s">
        <v>137</v>
      </c>
    </row>
    <row r="930" spans="1:5" x14ac:dyDescent="0.35">
      <c r="A930" s="6" t="s">
        <v>135</v>
      </c>
      <c r="B930" s="7"/>
      <c r="C930" s="7"/>
      <c r="D930" s="7" t="s">
        <v>148</v>
      </c>
      <c r="E930" s="8" t="s">
        <v>137</v>
      </c>
    </row>
    <row r="931" spans="1:5" x14ac:dyDescent="0.35">
      <c r="A931" s="9" t="s">
        <v>135</v>
      </c>
      <c r="B931" s="10"/>
      <c r="C931" s="10"/>
      <c r="D931" s="10" t="s">
        <v>149</v>
      </c>
      <c r="E931" s="11" t="s">
        <v>137</v>
      </c>
    </row>
    <row r="932" spans="1:5" x14ac:dyDescent="0.35">
      <c r="A932" s="6" t="s">
        <v>135</v>
      </c>
      <c r="B932" s="7" t="s">
        <v>158</v>
      </c>
      <c r="C932" s="7" t="s">
        <v>146</v>
      </c>
      <c r="D932" s="7" t="s">
        <v>147</v>
      </c>
      <c r="E932" s="8" t="s">
        <v>137</v>
      </c>
    </row>
    <row r="933" spans="1:5" x14ac:dyDescent="0.35">
      <c r="A933" s="9" t="s">
        <v>135</v>
      </c>
      <c r="B933" s="10"/>
      <c r="C933" s="10"/>
      <c r="D933" s="10" t="s">
        <v>148</v>
      </c>
      <c r="E933" s="11" t="s">
        <v>137</v>
      </c>
    </row>
    <row r="934" spans="1:5" x14ac:dyDescent="0.35">
      <c r="A934" s="6" t="s">
        <v>135</v>
      </c>
      <c r="B934" s="7"/>
      <c r="C934" s="7"/>
      <c r="D934" s="7" t="s">
        <v>149</v>
      </c>
      <c r="E934" s="8" t="s">
        <v>137</v>
      </c>
    </row>
    <row r="935" spans="1:5" x14ac:dyDescent="0.35">
      <c r="A935" s="9" t="s">
        <v>135</v>
      </c>
      <c r="B935" s="10"/>
      <c r="C935" s="10" t="s">
        <v>150</v>
      </c>
      <c r="D935" s="10" t="s">
        <v>147</v>
      </c>
      <c r="E935" s="11" t="s">
        <v>137</v>
      </c>
    </row>
    <row r="936" spans="1:5" x14ac:dyDescent="0.35">
      <c r="A936" s="6" t="s">
        <v>135</v>
      </c>
      <c r="B936" s="7"/>
      <c r="C936" s="7"/>
      <c r="D936" s="7" t="s">
        <v>148</v>
      </c>
      <c r="E936" s="8" t="s">
        <v>137</v>
      </c>
    </row>
    <row r="937" spans="1:5" x14ac:dyDescent="0.35">
      <c r="A937" s="9" t="s">
        <v>135</v>
      </c>
      <c r="B937" s="10"/>
      <c r="C937" s="10"/>
      <c r="D937" s="10" t="s">
        <v>149</v>
      </c>
      <c r="E937" s="11" t="s">
        <v>137</v>
      </c>
    </row>
    <row r="938" spans="1:5" x14ac:dyDescent="0.35">
      <c r="A938" s="6" t="s">
        <v>135</v>
      </c>
      <c r="B938" s="7" t="s">
        <v>159</v>
      </c>
      <c r="C938" s="7" t="s">
        <v>146</v>
      </c>
      <c r="D938" s="7" t="s">
        <v>147</v>
      </c>
      <c r="E938" s="8" t="s">
        <v>137</v>
      </c>
    </row>
    <row r="939" spans="1:5" x14ac:dyDescent="0.35">
      <c r="A939" s="9" t="s">
        <v>135</v>
      </c>
      <c r="B939" s="10"/>
      <c r="C939" s="10"/>
      <c r="D939" s="10" t="s">
        <v>148</v>
      </c>
      <c r="E939" s="11" t="s">
        <v>137</v>
      </c>
    </row>
    <row r="940" spans="1:5" x14ac:dyDescent="0.35">
      <c r="A940" s="6" t="s">
        <v>135</v>
      </c>
      <c r="B940" s="7"/>
      <c r="C940" s="7"/>
      <c r="D940" s="7" t="s">
        <v>149</v>
      </c>
      <c r="E940" s="8" t="s">
        <v>137</v>
      </c>
    </row>
    <row r="941" spans="1:5" x14ac:dyDescent="0.35">
      <c r="A941" s="9" t="s">
        <v>135</v>
      </c>
      <c r="B941" s="10"/>
      <c r="C941" s="10" t="s">
        <v>150</v>
      </c>
      <c r="D941" s="10" t="s">
        <v>147</v>
      </c>
      <c r="E941" s="11" t="s">
        <v>137</v>
      </c>
    </row>
    <row r="942" spans="1:5" x14ac:dyDescent="0.35">
      <c r="A942" s="6" t="s">
        <v>135</v>
      </c>
      <c r="B942" s="7"/>
      <c r="C942" s="7"/>
      <c r="D942" s="7" t="s">
        <v>148</v>
      </c>
      <c r="E942" s="8" t="s">
        <v>137</v>
      </c>
    </row>
    <row r="943" spans="1:5" x14ac:dyDescent="0.35">
      <c r="A943" s="9" t="s">
        <v>135</v>
      </c>
      <c r="B943" s="10"/>
      <c r="C943" s="10"/>
      <c r="D943" s="10" t="s">
        <v>149</v>
      </c>
      <c r="E943" s="11" t="s">
        <v>137</v>
      </c>
    </row>
    <row r="944" spans="1:5" x14ac:dyDescent="0.35">
      <c r="A944" s="6" t="s">
        <v>135</v>
      </c>
      <c r="B944" s="7" t="s">
        <v>160</v>
      </c>
      <c r="C944" s="7" t="s">
        <v>146</v>
      </c>
      <c r="D944" s="7" t="s">
        <v>147</v>
      </c>
      <c r="E944" s="8" t="s">
        <v>137</v>
      </c>
    </row>
    <row r="945" spans="1:5" x14ac:dyDescent="0.35">
      <c r="A945" s="9" t="s">
        <v>135</v>
      </c>
      <c r="B945" s="10"/>
      <c r="C945" s="10"/>
      <c r="D945" s="10" t="s">
        <v>148</v>
      </c>
      <c r="E945" s="11" t="s">
        <v>137</v>
      </c>
    </row>
    <row r="946" spans="1:5" x14ac:dyDescent="0.35">
      <c r="A946" s="6" t="s">
        <v>135</v>
      </c>
      <c r="B946" s="7"/>
      <c r="C946" s="7"/>
      <c r="D946" s="7" t="s">
        <v>149</v>
      </c>
      <c r="E946" s="8" t="s">
        <v>137</v>
      </c>
    </row>
    <row r="947" spans="1:5" x14ac:dyDescent="0.35">
      <c r="A947" s="9" t="s">
        <v>135</v>
      </c>
      <c r="B947" s="10"/>
      <c r="C947" s="10" t="s">
        <v>150</v>
      </c>
      <c r="D947" s="10" t="s">
        <v>147</v>
      </c>
      <c r="E947" s="11" t="s">
        <v>137</v>
      </c>
    </row>
    <row r="948" spans="1:5" x14ac:dyDescent="0.35">
      <c r="A948" s="6" t="s">
        <v>135</v>
      </c>
      <c r="B948" s="7"/>
      <c r="C948" s="7"/>
      <c r="D948" s="7" t="s">
        <v>148</v>
      </c>
      <c r="E948" s="8" t="s">
        <v>137</v>
      </c>
    </row>
    <row r="949" spans="1:5" x14ac:dyDescent="0.35">
      <c r="A949" s="9" t="s">
        <v>135</v>
      </c>
      <c r="B949" s="10"/>
      <c r="C949" s="10"/>
      <c r="D949" s="10" t="s">
        <v>149</v>
      </c>
      <c r="E949" s="11" t="s">
        <v>137</v>
      </c>
    </row>
    <row r="950" spans="1:5" x14ac:dyDescent="0.35">
      <c r="A950" s="6" t="s">
        <v>135</v>
      </c>
      <c r="B950" s="7" t="s">
        <v>161</v>
      </c>
      <c r="C950" s="7" t="s">
        <v>146</v>
      </c>
      <c r="D950" s="7" t="s">
        <v>147</v>
      </c>
      <c r="E950" s="8" t="s">
        <v>137</v>
      </c>
    </row>
    <row r="951" spans="1:5" x14ac:dyDescent="0.35">
      <c r="A951" s="9" t="s">
        <v>135</v>
      </c>
      <c r="B951" s="10"/>
      <c r="C951" s="10"/>
      <c r="D951" s="10" t="s">
        <v>148</v>
      </c>
      <c r="E951" s="11" t="s">
        <v>137</v>
      </c>
    </row>
    <row r="952" spans="1:5" x14ac:dyDescent="0.35">
      <c r="A952" s="6" t="s">
        <v>135</v>
      </c>
      <c r="B952" s="7"/>
      <c r="C952" s="7"/>
      <c r="D952" s="7" t="s">
        <v>149</v>
      </c>
      <c r="E952" s="8" t="s">
        <v>137</v>
      </c>
    </row>
    <row r="953" spans="1:5" x14ac:dyDescent="0.35">
      <c r="A953" s="9" t="s">
        <v>135</v>
      </c>
      <c r="B953" s="10"/>
      <c r="C953" s="10" t="s">
        <v>150</v>
      </c>
      <c r="D953" s="10" t="s">
        <v>147</v>
      </c>
      <c r="E953" s="11" t="s">
        <v>137</v>
      </c>
    </row>
    <row r="954" spans="1:5" x14ac:dyDescent="0.35">
      <c r="A954" s="6" t="s">
        <v>135</v>
      </c>
      <c r="B954" s="7"/>
      <c r="C954" s="7"/>
      <c r="D954" s="7" t="s">
        <v>148</v>
      </c>
      <c r="E954" s="8" t="s">
        <v>137</v>
      </c>
    </row>
    <row r="955" spans="1:5" x14ac:dyDescent="0.35">
      <c r="A955" s="9" t="s">
        <v>135</v>
      </c>
      <c r="B955" s="10"/>
      <c r="C955" s="10"/>
      <c r="D955" s="10" t="s">
        <v>149</v>
      </c>
      <c r="E955" s="11" t="s">
        <v>137</v>
      </c>
    </row>
    <row r="956" spans="1:5" x14ac:dyDescent="0.35">
      <c r="A956" s="6" t="s">
        <v>135</v>
      </c>
      <c r="B956" s="7" t="s">
        <v>162</v>
      </c>
      <c r="C956" s="7" t="s">
        <v>146</v>
      </c>
      <c r="D956" s="7" t="s">
        <v>147</v>
      </c>
      <c r="E956" s="8" t="s">
        <v>137</v>
      </c>
    </row>
    <row r="957" spans="1:5" x14ac:dyDescent="0.35">
      <c r="A957" s="9" t="s">
        <v>135</v>
      </c>
      <c r="B957" s="10"/>
      <c r="C957" s="10"/>
      <c r="D957" s="10" t="s">
        <v>148</v>
      </c>
      <c r="E957" s="11" t="s">
        <v>137</v>
      </c>
    </row>
    <row r="958" spans="1:5" x14ac:dyDescent="0.35">
      <c r="A958" s="6" t="s">
        <v>135</v>
      </c>
      <c r="B958" s="7"/>
      <c r="C958" s="7"/>
      <c r="D958" s="7" t="s">
        <v>149</v>
      </c>
      <c r="E958" s="8" t="s">
        <v>137</v>
      </c>
    </row>
    <row r="959" spans="1:5" x14ac:dyDescent="0.35">
      <c r="A959" s="9" t="s">
        <v>135</v>
      </c>
      <c r="B959" s="10"/>
      <c r="C959" s="10" t="s">
        <v>150</v>
      </c>
      <c r="D959" s="10" t="s">
        <v>147</v>
      </c>
      <c r="E959" s="11" t="s">
        <v>137</v>
      </c>
    </row>
    <row r="960" spans="1:5" x14ac:dyDescent="0.35">
      <c r="A960" s="6" t="s">
        <v>135</v>
      </c>
      <c r="B960" s="7"/>
      <c r="C960" s="7"/>
      <c r="D960" s="7" t="s">
        <v>148</v>
      </c>
      <c r="E960" s="8" t="s">
        <v>137</v>
      </c>
    </row>
    <row r="961" spans="1:5" x14ac:dyDescent="0.35">
      <c r="A961" s="9" t="s">
        <v>135</v>
      </c>
      <c r="B961" s="10"/>
      <c r="C961" s="10"/>
      <c r="D961" s="10" t="s">
        <v>149</v>
      </c>
      <c r="E961" s="11" t="s">
        <v>137</v>
      </c>
    </row>
    <row r="962" spans="1:5" x14ac:dyDescent="0.35">
      <c r="A962" s="6" t="s">
        <v>135</v>
      </c>
      <c r="B962" s="7" t="s">
        <v>163</v>
      </c>
      <c r="C962" s="7" t="s">
        <v>146</v>
      </c>
      <c r="D962" s="7" t="s">
        <v>147</v>
      </c>
      <c r="E962" s="8">
        <v>702.58</v>
      </c>
    </row>
    <row r="963" spans="1:5" x14ac:dyDescent="0.35">
      <c r="A963" s="9" t="s">
        <v>135</v>
      </c>
      <c r="B963" s="10"/>
      <c r="C963" s="10"/>
      <c r="D963" s="10" t="s">
        <v>148</v>
      </c>
      <c r="E963" s="11">
        <v>663.36</v>
      </c>
    </row>
    <row r="964" spans="1:5" x14ac:dyDescent="0.35">
      <c r="A964" s="6" t="s">
        <v>135</v>
      </c>
      <c r="B964" s="7"/>
      <c r="C964" s="7"/>
      <c r="D964" s="7" t="s">
        <v>149</v>
      </c>
      <c r="E964" s="8">
        <v>39.22</v>
      </c>
    </row>
    <row r="965" spans="1:5" x14ac:dyDescent="0.35">
      <c r="A965" s="9" t="s">
        <v>135</v>
      </c>
      <c r="B965" s="10"/>
      <c r="C965" s="10" t="s">
        <v>150</v>
      </c>
      <c r="D965" s="10" t="s">
        <v>147</v>
      </c>
      <c r="E965" s="11" t="s">
        <v>137</v>
      </c>
    </row>
    <row r="966" spans="1:5" x14ac:dyDescent="0.35">
      <c r="A966" s="6" t="s">
        <v>135</v>
      </c>
      <c r="B966" s="7"/>
      <c r="C966" s="7"/>
      <c r="D966" s="7" t="s">
        <v>148</v>
      </c>
      <c r="E966" s="8" t="s">
        <v>137</v>
      </c>
    </row>
    <row r="967" spans="1:5" x14ac:dyDescent="0.35">
      <c r="A967" s="9" t="s">
        <v>135</v>
      </c>
      <c r="B967" s="10"/>
      <c r="C967" s="10"/>
      <c r="D967" s="10" t="s">
        <v>149</v>
      </c>
      <c r="E967" s="11" t="s">
        <v>137</v>
      </c>
    </row>
    <row r="968" spans="1:5" x14ac:dyDescent="0.35">
      <c r="A968" s="6" t="s">
        <v>135</v>
      </c>
      <c r="B968" s="7" t="s">
        <v>164</v>
      </c>
      <c r="C968" s="7" t="s">
        <v>146</v>
      </c>
      <c r="D968" s="7" t="s">
        <v>147</v>
      </c>
      <c r="E968" s="8" t="s">
        <v>137</v>
      </c>
    </row>
    <row r="969" spans="1:5" x14ac:dyDescent="0.35">
      <c r="A969" s="9" t="s">
        <v>135</v>
      </c>
      <c r="B969" s="10"/>
      <c r="C969" s="10"/>
      <c r="D969" s="10" t="s">
        <v>148</v>
      </c>
      <c r="E969" s="11" t="s">
        <v>137</v>
      </c>
    </row>
    <row r="970" spans="1:5" x14ac:dyDescent="0.35">
      <c r="A970" s="6" t="s">
        <v>135</v>
      </c>
      <c r="B970" s="7"/>
      <c r="C970" s="7"/>
      <c r="D970" s="7" t="s">
        <v>149</v>
      </c>
      <c r="E970" s="8" t="s">
        <v>137</v>
      </c>
    </row>
    <row r="971" spans="1:5" x14ac:dyDescent="0.35">
      <c r="A971" s="9" t="s">
        <v>135</v>
      </c>
      <c r="B971" s="10"/>
      <c r="C971" s="10" t="s">
        <v>150</v>
      </c>
      <c r="D971" s="10" t="s">
        <v>147</v>
      </c>
      <c r="E971" s="11" t="s">
        <v>137</v>
      </c>
    </row>
    <row r="972" spans="1:5" x14ac:dyDescent="0.35">
      <c r="A972" s="6" t="s">
        <v>135</v>
      </c>
      <c r="B972" s="7"/>
      <c r="C972" s="7"/>
      <c r="D972" s="7" t="s">
        <v>148</v>
      </c>
      <c r="E972" s="8" t="s">
        <v>137</v>
      </c>
    </row>
    <row r="973" spans="1:5" x14ac:dyDescent="0.35">
      <c r="A973" s="9" t="s">
        <v>135</v>
      </c>
      <c r="B973" s="10"/>
      <c r="C973" s="10"/>
      <c r="D973" s="10" t="s">
        <v>149</v>
      </c>
      <c r="E973" s="11" t="s">
        <v>137</v>
      </c>
    </row>
    <row r="974" spans="1:5" x14ac:dyDescent="0.35">
      <c r="A974" s="6" t="s">
        <v>135</v>
      </c>
      <c r="B974" s="7" t="s">
        <v>165</v>
      </c>
      <c r="C974" s="7" t="s">
        <v>146</v>
      </c>
      <c r="D974" s="7" t="s">
        <v>147</v>
      </c>
      <c r="E974" s="8" t="s">
        <v>137</v>
      </c>
    </row>
    <row r="975" spans="1:5" x14ac:dyDescent="0.35">
      <c r="A975" s="9" t="s">
        <v>135</v>
      </c>
      <c r="B975" s="10"/>
      <c r="C975" s="10"/>
      <c r="D975" s="10" t="s">
        <v>148</v>
      </c>
      <c r="E975" s="11" t="s">
        <v>137</v>
      </c>
    </row>
    <row r="976" spans="1:5" x14ac:dyDescent="0.35">
      <c r="A976" s="6" t="s">
        <v>135</v>
      </c>
      <c r="B976" s="7"/>
      <c r="C976" s="7"/>
      <c r="D976" s="7" t="s">
        <v>149</v>
      </c>
      <c r="E976" s="8" t="s">
        <v>137</v>
      </c>
    </row>
    <row r="977" spans="1:5" x14ac:dyDescent="0.35">
      <c r="A977" s="9" t="s">
        <v>135</v>
      </c>
      <c r="B977" s="10"/>
      <c r="C977" s="10" t="s">
        <v>150</v>
      </c>
      <c r="D977" s="10" t="s">
        <v>147</v>
      </c>
      <c r="E977" s="11" t="s">
        <v>137</v>
      </c>
    </row>
    <row r="978" spans="1:5" x14ac:dyDescent="0.35">
      <c r="A978" s="6" t="s">
        <v>135</v>
      </c>
      <c r="B978" s="7"/>
      <c r="C978" s="7"/>
      <c r="D978" s="7" t="s">
        <v>148</v>
      </c>
      <c r="E978" s="8" t="s">
        <v>137</v>
      </c>
    </row>
    <row r="979" spans="1:5" x14ac:dyDescent="0.35">
      <c r="A979" s="9" t="s">
        <v>135</v>
      </c>
      <c r="B979" s="10"/>
      <c r="C979" s="10"/>
      <c r="D979" s="10" t="s">
        <v>149</v>
      </c>
      <c r="E979" s="11" t="s">
        <v>137</v>
      </c>
    </row>
    <row r="980" spans="1:5" x14ac:dyDescent="0.35">
      <c r="A980" s="6" t="s">
        <v>135</v>
      </c>
      <c r="B980" s="7" t="s">
        <v>166</v>
      </c>
      <c r="C980" s="7" t="s">
        <v>146</v>
      </c>
      <c r="D980" s="7" t="s">
        <v>147</v>
      </c>
      <c r="E980" s="8">
        <v>434.37</v>
      </c>
    </row>
    <row r="981" spans="1:5" x14ac:dyDescent="0.35">
      <c r="A981" s="9" t="s">
        <v>135</v>
      </c>
      <c r="B981" s="10"/>
      <c r="C981" s="10"/>
      <c r="D981" s="10" t="s">
        <v>148</v>
      </c>
      <c r="E981" s="11">
        <v>395.15</v>
      </c>
    </row>
    <row r="982" spans="1:5" x14ac:dyDescent="0.35">
      <c r="A982" s="6" t="s">
        <v>135</v>
      </c>
      <c r="B982" s="7"/>
      <c r="C982" s="7"/>
      <c r="D982" s="7" t="s">
        <v>149</v>
      </c>
      <c r="E982" s="8">
        <v>39.22</v>
      </c>
    </row>
    <row r="983" spans="1:5" x14ac:dyDescent="0.35">
      <c r="A983" s="9" t="s">
        <v>135</v>
      </c>
      <c r="B983" s="10"/>
      <c r="C983" s="10" t="s">
        <v>150</v>
      </c>
      <c r="D983" s="10" t="s">
        <v>147</v>
      </c>
      <c r="E983" s="11" t="s">
        <v>137</v>
      </c>
    </row>
    <row r="984" spans="1:5" x14ac:dyDescent="0.35">
      <c r="A984" s="6" t="s">
        <v>135</v>
      </c>
      <c r="B984" s="7"/>
      <c r="C984" s="7"/>
      <c r="D984" s="7" t="s">
        <v>148</v>
      </c>
      <c r="E984" s="8" t="s">
        <v>137</v>
      </c>
    </row>
    <row r="985" spans="1:5" x14ac:dyDescent="0.35">
      <c r="A985" s="9" t="s">
        <v>135</v>
      </c>
      <c r="B985" s="10"/>
      <c r="C985" s="10"/>
      <c r="D985" s="10" t="s">
        <v>149</v>
      </c>
      <c r="E985" s="11" t="s">
        <v>137</v>
      </c>
    </row>
    <row r="986" spans="1:5" x14ac:dyDescent="0.35">
      <c r="A986" s="6" t="s">
        <v>135</v>
      </c>
      <c r="B986" s="7" t="s">
        <v>167</v>
      </c>
      <c r="C986" s="7" t="s">
        <v>146</v>
      </c>
      <c r="D986" s="7" t="s">
        <v>147</v>
      </c>
      <c r="E986" s="8">
        <v>268.20999999999998</v>
      </c>
    </row>
    <row r="987" spans="1:5" x14ac:dyDescent="0.35">
      <c r="A987" s="9" t="s">
        <v>135</v>
      </c>
      <c r="B987" s="10"/>
      <c r="C987" s="10"/>
      <c r="D987" s="10" t="s">
        <v>148</v>
      </c>
      <c r="E987" s="11">
        <v>268.20999999999998</v>
      </c>
    </row>
    <row r="988" spans="1:5" x14ac:dyDescent="0.35">
      <c r="A988" s="6" t="s">
        <v>135</v>
      </c>
      <c r="B988" s="7"/>
      <c r="C988" s="7"/>
      <c r="D988" s="7" t="s">
        <v>149</v>
      </c>
      <c r="E988" s="8" t="s">
        <v>137</v>
      </c>
    </row>
    <row r="989" spans="1:5" x14ac:dyDescent="0.35">
      <c r="A989" s="9" t="s">
        <v>135</v>
      </c>
      <c r="B989" s="10"/>
      <c r="C989" s="10" t="s">
        <v>150</v>
      </c>
      <c r="D989" s="10" t="s">
        <v>147</v>
      </c>
      <c r="E989" s="11" t="s">
        <v>137</v>
      </c>
    </row>
    <row r="990" spans="1:5" x14ac:dyDescent="0.35">
      <c r="A990" s="6" t="s">
        <v>135</v>
      </c>
      <c r="B990" s="7"/>
      <c r="C990" s="7"/>
      <c r="D990" s="7" t="s">
        <v>148</v>
      </c>
      <c r="E990" s="8" t="s">
        <v>137</v>
      </c>
    </row>
    <row r="991" spans="1:5" x14ac:dyDescent="0.35">
      <c r="A991" s="9" t="s">
        <v>135</v>
      </c>
      <c r="B991" s="10"/>
      <c r="C991" s="10"/>
      <c r="D991" s="10" t="s">
        <v>149</v>
      </c>
      <c r="E991" s="11" t="s">
        <v>137</v>
      </c>
    </row>
    <row r="992" spans="1:5" x14ac:dyDescent="0.35">
      <c r="A992" s="6" t="s">
        <v>135</v>
      </c>
      <c r="B992" s="7" t="s">
        <v>168</v>
      </c>
      <c r="C992" s="7" t="s">
        <v>146</v>
      </c>
      <c r="D992" s="7" t="s">
        <v>147</v>
      </c>
      <c r="E992" s="8" t="s">
        <v>137</v>
      </c>
    </row>
    <row r="993" spans="1:5" x14ac:dyDescent="0.35">
      <c r="A993" s="9" t="s">
        <v>135</v>
      </c>
      <c r="B993" s="10"/>
      <c r="C993" s="10"/>
      <c r="D993" s="10" t="s">
        <v>148</v>
      </c>
      <c r="E993" s="11" t="s">
        <v>137</v>
      </c>
    </row>
    <row r="994" spans="1:5" x14ac:dyDescent="0.35">
      <c r="A994" s="6" t="s">
        <v>135</v>
      </c>
      <c r="B994" s="7"/>
      <c r="C994" s="7"/>
      <c r="D994" s="7" t="s">
        <v>149</v>
      </c>
      <c r="E994" s="8" t="s">
        <v>137</v>
      </c>
    </row>
    <row r="995" spans="1:5" x14ac:dyDescent="0.35">
      <c r="A995" s="9" t="s">
        <v>135</v>
      </c>
      <c r="B995" s="10"/>
      <c r="C995" s="10" t="s">
        <v>150</v>
      </c>
      <c r="D995" s="10" t="s">
        <v>147</v>
      </c>
      <c r="E995" s="11" t="s">
        <v>137</v>
      </c>
    </row>
    <row r="996" spans="1:5" x14ac:dyDescent="0.35">
      <c r="A996" s="6" t="s">
        <v>135</v>
      </c>
      <c r="B996" s="7"/>
      <c r="C996" s="7"/>
      <c r="D996" s="7" t="s">
        <v>148</v>
      </c>
      <c r="E996" s="8" t="s">
        <v>137</v>
      </c>
    </row>
    <row r="997" spans="1:5" x14ac:dyDescent="0.35">
      <c r="A997" s="9" t="s">
        <v>135</v>
      </c>
      <c r="B997" s="10"/>
      <c r="C997" s="10"/>
      <c r="D997" s="10" t="s">
        <v>149</v>
      </c>
      <c r="E997" s="11" t="s">
        <v>137</v>
      </c>
    </row>
    <row r="998" spans="1:5" x14ac:dyDescent="0.35">
      <c r="A998" s="6" t="s">
        <v>135</v>
      </c>
      <c r="B998" s="7" t="s">
        <v>169</v>
      </c>
      <c r="C998" s="7" t="s">
        <v>146</v>
      </c>
      <c r="D998" s="7" t="s">
        <v>147</v>
      </c>
      <c r="E998" s="8" t="s">
        <v>137</v>
      </c>
    </row>
    <row r="999" spans="1:5" x14ac:dyDescent="0.35">
      <c r="A999" s="9" t="s">
        <v>135</v>
      </c>
      <c r="B999" s="10"/>
      <c r="C999" s="10"/>
      <c r="D999" s="10" t="s">
        <v>148</v>
      </c>
      <c r="E999" s="11" t="s">
        <v>137</v>
      </c>
    </row>
    <row r="1000" spans="1:5" x14ac:dyDescent="0.35">
      <c r="A1000" s="6" t="s">
        <v>135</v>
      </c>
      <c r="B1000" s="7"/>
      <c r="C1000" s="7"/>
      <c r="D1000" s="7" t="s">
        <v>149</v>
      </c>
      <c r="E1000" s="8" t="s">
        <v>137</v>
      </c>
    </row>
    <row r="1001" spans="1:5" x14ac:dyDescent="0.35">
      <c r="A1001" s="9" t="s">
        <v>135</v>
      </c>
      <c r="B1001" s="10"/>
      <c r="C1001" s="10" t="s">
        <v>150</v>
      </c>
      <c r="D1001" s="10" t="s">
        <v>147</v>
      </c>
      <c r="E1001" s="11" t="s">
        <v>137</v>
      </c>
    </row>
    <row r="1002" spans="1:5" x14ac:dyDescent="0.35">
      <c r="A1002" s="6" t="s">
        <v>135</v>
      </c>
      <c r="B1002" s="7"/>
      <c r="C1002" s="7"/>
      <c r="D1002" s="7" t="s">
        <v>148</v>
      </c>
      <c r="E1002" s="8" t="s">
        <v>137</v>
      </c>
    </row>
    <row r="1003" spans="1:5" x14ac:dyDescent="0.35">
      <c r="A1003" s="9" t="s">
        <v>135</v>
      </c>
      <c r="B1003" s="10"/>
      <c r="C1003" s="10"/>
      <c r="D1003" s="10" t="s">
        <v>149</v>
      </c>
      <c r="E1003" s="11" t="s">
        <v>137</v>
      </c>
    </row>
    <row r="1004" spans="1:5" x14ac:dyDescent="0.35">
      <c r="A1004" s="6" t="s">
        <v>135</v>
      </c>
      <c r="B1004" s="7" t="s">
        <v>170</v>
      </c>
      <c r="C1004" s="7" t="s">
        <v>146</v>
      </c>
      <c r="D1004" s="7" t="s">
        <v>147</v>
      </c>
      <c r="E1004" s="8" t="s">
        <v>137</v>
      </c>
    </row>
    <row r="1005" spans="1:5" x14ac:dyDescent="0.35">
      <c r="A1005" s="9" t="s">
        <v>135</v>
      </c>
      <c r="B1005" s="10"/>
      <c r="C1005" s="10"/>
      <c r="D1005" s="10" t="s">
        <v>148</v>
      </c>
      <c r="E1005" s="11" t="s">
        <v>137</v>
      </c>
    </row>
    <row r="1006" spans="1:5" x14ac:dyDescent="0.35">
      <c r="A1006" s="6" t="s">
        <v>135</v>
      </c>
      <c r="B1006" s="7"/>
      <c r="C1006" s="7"/>
      <c r="D1006" s="7" t="s">
        <v>149</v>
      </c>
      <c r="E1006" s="8" t="s">
        <v>137</v>
      </c>
    </row>
    <row r="1007" spans="1:5" x14ac:dyDescent="0.35">
      <c r="A1007" s="9" t="s">
        <v>135</v>
      </c>
      <c r="B1007" s="10"/>
      <c r="C1007" s="10" t="s">
        <v>150</v>
      </c>
      <c r="D1007" s="10" t="s">
        <v>147</v>
      </c>
      <c r="E1007" s="11" t="s">
        <v>137</v>
      </c>
    </row>
    <row r="1008" spans="1:5" x14ac:dyDescent="0.35">
      <c r="A1008" s="6" t="s">
        <v>135</v>
      </c>
      <c r="B1008" s="7"/>
      <c r="C1008" s="7"/>
      <c r="D1008" s="7" t="s">
        <v>148</v>
      </c>
      <c r="E1008" s="8" t="s">
        <v>137</v>
      </c>
    </row>
    <row r="1009" spans="1:5" x14ac:dyDescent="0.35">
      <c r="A1009" s="9" t="s">
        <v>135</v>
      </c>
      <c r="B1009" s="10"/>
      <c r="C1009" s="10"/>
      <c r="D1009" s="10" t="s">
        <v>149</v>
      </c>
      <c r="E1009" s="11" t="s">
        <v>137</v>
      </c>
    </row>
    <row r="1010" spans="1:5" x14ac:dyDescent="0.35">
      <c r="A1010" s="6" t="s">
        <v>114</v>
      </c>
      <c r="B1010" s="7" t="s">
        <v>145</v>
      </c>
      <c r="C1010" s="7" t="s">
        <v>146</v>
      </c>
      <c r="D1010" s="7" t="s">
        <v>147</v>
      </c>
      <c r="E1010" s="8">
        <v>4.84</v>
      </c>
    </row>
    <row r="1011" spans="1:5" x14ac:dyDescent="0.35">
      <c r="A1011" s="9" t="s">
        <v>135</v>
      </c>
      <c r="B1011" s="10"/>
      <c r="C1011" s="10"/>
      <c r="D1011" s="10" t="s">
        <v>148</v>
      </c>
      <c r="E1011" s="11">
        <v>2.5</v>
      </c>
    </row>
    <row r="1012" spans="1:5" x14ac:dyDescent="0.35">
      <c r="A1012" s="6" t="s">
        <v>135</v>
      </c>
      <c r="B1012" s="7"/>
      <c r="C1012" s="7"/>
      <c r="D1012" s="7" t="s">
        <v>149</v>
      </c>
      <c r="E1012" s="8">
        <v>2.34</v>
      </c>
    </row>
    <row r="1013" spans="1:5" x14ac:dyDescent="0.35">
      <c r="A1013" s="9" t="s">
        <v>135</v>
      </c>
      <c r="B1013" s="10"/>
      <c r="C1013" s="10" t="s">
        <v>150</v>
      </c>
      <c r="D1013" s="10" t="s">
        <v>147</v>
      </c>
      <c r="E1013" s="11" t="s">
        <v>137</v>
      </c>
    </row>
    <row r="1014" spans="1:5" x14ac:dyDescent="0.35">
      <c r="A1014" s="6" t="s">
        <v>135</v>
      </c>
      <c r="B1014" s="7"/>
      <c r="C1014" s="7"/>
      <c r="D1014" s="7" t="s">
        <v>148</v>
      </c>
      <c r="E1014" s="8" t="s">
        <v>137</v>
      </c>
    </row>
    <row r="1015" spans="1:5" x14ac:dyDescent="0.35">
      <c r="A1015" s="9" t="s">
        <v>135</v>
      </c>
      <c r="B1015" s="10"/>
      <c r="C1015" s="10"/>
      <c r="D1015" s="10" t="s">
        <v>149</v>
      </c>
      <c r="E1015" s="11" t="s">
        <v>137</v>
      </c>
    </row>
    <row r="1016" spans="1:5" x14ac:dyDescent="0.35">
      <c r="A1016" s="6" t="s">
        <v>135</v>
      </c>
      <c r="B1016" s="7" t="s">
        <v>151</v>
      </c>
      <c r="C1016" s="7" t="s">
        <v>146</v>
      </c>
      <c r="D1016" s="7" t="s">
        <v>147</v>
      </c>
      <c r="E1016" s="8">
        <v>1.74</v>
      </c>
    </row>
    <row r="1017" spans="1:5" x14ac:dyDescent="0.35">
      <c r="A1017" s="9" t="s">
        <v>135</v>
      </c>
      <c r="B1017" s="10"/>
      <c r="C1017" s="10"/>
      <c r="D1017" s="10" t="s">
        <v>148</v>
      </c>
      <c r="E1017" s="11">
        <v>0.5</v>
      </c>
    </row>
    <row r="1018" spans="1:5" x14ac:dyDescent="0.35">
      <c r="A1018" s="6" t="s">
        <v>135</v>
      </c>
      <c r="B1018" s="7"/>
      <c r="C1018" s="7"/>
      <c r="D1018" s="7" t="s">
        <v>149</v>
      </c>
      <c r="E1018" s="8">
        <v>1.24</v>
      </c>
    </row>
    <row r="1019" spans="1:5" x14ac:dyDescent="0.35">
      <c r="A1019" s="9" t="s">
        <v>135</v>
      </c>
      <c r="B1019" s="10"/>
      <c r="C1019" s="10" t="s">
        <v>150</v>
      </c>
      <c r="D1019" s="10" t="s">
        <v>147</v>
      </c>
      <c r="E1019" s="11" t="s">
        <v>137</v>
      </c>
    </row>
    <row r="1020" spans="1:5" x14ac:dyDescent="0.35">
      <c r="A1020" s="6" t="s">
        <v>135</v>
      </c>
      <c r="B1020" s="7"/>
      <c r="C1020" s="7"/>
      <c r="D1020" s="7" t="s">
        <v>148</v>
      </c>
      <c r="E1020" s="8" t="s">
        <v>137</v>
      </c>
    </row>
    <row r="1021" spans="1:5" x14ac:dyDescent="0.35">
      <c r="A1021" s="9" t="s">
        <v>135</v>
      </c>
      <c r="B1021" s="10"/>
      <c r="C1021" s="10"/>
      <c r="D1021" s="10" t="s">
        <v>149</v>
      </c>
      <c r="E1021" s="11" t="s">
        <v>137</v>
      </c>
    </row>
    <row r="1022" spans="1:5" x14ac:dyDescent="0.35">
      <c r="A1022" s="6" t="s">
        <v>135</v>
      </c>
      <c r="B1022" s="7" t="s">
        <v>152</v>
      </c>
      <c r="C1022" s="7" t="s">
        <v>146</v>
      </c>
      <c r="D1022" s="7" t="s">
        <v>147</v>
      </c>
      <c r="E1022" s="8" t="s">
        <v>137</v>
      </c>
    </row>
    <row r="1023" spans="1:5" x14ac:dyDescent="0.35">
      <c r="A1023" s="9" t="s">
        <v>135</v>
      </c>
      <c r="B1023" s="10"/>
      <c r="C1023" s="10"/>
      <c r="D1023" s="10" t="s">
        <v>148</v>
      </c>
      <c r="E1023" s="11" t="s">
        <v>137</v>
      </c>
    </row>
    <row r="1024" spans="1:5" x14ac:dyDescent="0.35">
      <c r="A1024" s="6" t="s">
        <v>135</v>
      </c>
      <c r="B1024" s="7"/>
      <c r="C1024" s="7"/>
      <c r="D1024" s="7" t="s">
        <v>149</v>
      </c>
      <c r="E1024" s="8" t="s">
        <v>137</v>
      </c>
    </row>
    <row r="1025" spans="1:5" x14ac:dyDescent="0.35">
      <c r="A1025" s="9" t="s">
        <v>135</v>
      </c>
      <c r="B1025" s="10"/>
      <c r="C1025" s="10" t="s">
        <v>150</v>
      </c>
      <c r="D1025" s="10" t="s">
        <v>147</v>
      </c>
      <c r="E1025" s="11" t="s">
        <v>137</v>
      </c>
    </row>
    <row r="1026" spans="1:5" x14ac:dyDescent="0.35">
      <c r="A1026" s="6" t="s">
        <v>135</v>
      </c>
      <c r="B1026" s="7"/>
      <c r="C1026" s="7"/>
      <c r="D1026" s="7" t="s">
        <v>148</v>
      </c>
      <c r="E1026" s="8" t="s">
        <v>137</v>
      </c>
    </row>
    <row r="1027" spans="1:5" x14ac:dyDescent="0.35">
      <c r="A1027" s="9" t="s">
        <v>135</v>
      </c>
      <c r="B1027" s="10"/>
      <c r="C1027" s="10"/>
      <c r="D1027" s="10" t="s">
        <v>149</v>
      </c>
      <c r="E1027" s="11" t="s">
        <v>137</v>
      </c>
    </row>
    <row r="1028" spans="1:5" x14ac:dyDescent="0.35">
      <c r="A1028" s="6" t="s">
        <v>135</v>
      </c>
      <c r="B1028" s="7" t="s">
        <v>153</v>
      </c>
      <c r="C1028" s="7" t="s">
        <v>146</v>
      </c>
      <c r="D1028" s="7" t="s">
        <v>147</v>
      </c>
      <c r="E1028" s="8">
        <v>1.1000000000000001</v>
      </c>
    </row>
    <row r="1029" spans="1:5" x14ac:dyDescent="0.35">
      <c r="A1029" s="9" t="s">
        <v>135</v>
      </c>
      <c r="B1029" s="10"/>
      <c r="C1029" s="10"/>
      <c r="D1029" s="10" t="s">
        <v>148</v>
      </c>
      <c r="E1029" s="11" t="s">
        <v>137</v>
      </c>
    </row>
    <row r="1030" spans="1:5" x14ac:dyDescent="0.35">
      <c r="A1030" s="6" t="s">
        <v>135</v>
      </c>
      <c r="B1030" s="7"/>
      <c r="C1030" s="7"/>
      <c r="D1030" s="7" t="s">
        <v>149</v>
      </c>
      <c r="E1030" s="8">
        <v>1.1000000000000001</v>
      </c>
    </row>
    <row r="1031" spans="1:5" x14ac:dyDescent="0.35">
      <c r="A1031" s="9" t="s">
        <v>135</v>
      </c>
      <c r="B1031" s="10"/>
      <c r="C1031" s="10" t="s">
        <v>150</v>
      </c>
      <c r="D1031" s="10" t="s">
        <v>147</v>
      </c>
      <c r="E1031" s="11" t="s">
        <v>137</v>
      </c>
    </row>
    <row r="1032" spans="1:5" x14ac:dyDescent="0.35">
      <c r="A1032" s="6" t="s">
        <v>135</v>
      </c>
      <c r="B1032" s="7"/>
      <c r="C1032" s="7"/>
      <c r="D1032" s="7" t="s">
        <v>148</v>
      </c>
      <c r="E1032" s="8" t="s">
        <v>137</v>
      </c>
    </row>
    <row r="1033" spans="1:5" x14ac:dyDescent="0.35">
      <c r="A1033" s="9" t="s">
        <v>135</v>
      </c>
      <c r="B1033" s="10"/>
      <c r="C1033" s="10"/>
      <c r="D1033" s="10" t="s">
        <v>149</v>
      </c>
      <c r="E1033" s="11" t="s">
        <v>137</v>
      </c>
    </row>
    <row r="1034" spans="1:5" x14ac:dyDescent="0.35">
      <c r="A1034" s="6" t="s">
        <v>135</v>
      </c>
      <c r="B1034" s="7" t="s">
        <v>154</v>
      </c>
      <c r="C1034" s="7" t="s">
        <v>146</v>
      </c>
      <c r="D1034" s="7" t="s">
        <v>147</v>
      </c>
      <c r="E1034" s="8" t="s">
        <v>137</v>
      </c>
    </row>
    <row r="1035" spans="1:5" x14ac:dyDescent="0.35">
      <c r="A1035" s="9" t="s">
        <v>135</v>
      </c>
      <c r="B1035" s="10"/>
      <c r="C1035" s="10"/>
      <c r="D1035" s="10" t="s">
        <v>148</v>
      </c>
      <c r="E1035" s="11" t="s">
        <v>137</v>
      </c>
    </row>
    <row r="1036" spans="1:5" x14ac:dyDescent="0.35">
      <c r="A1036" s="6" t="s">
        <v>135</v>
      </c>
      <c r="B1036" s="7"/>
      <c r="C1036" s="7"/>
      <c r="D1036" s="7" t="s">
        <v>149</v>
      </c>
      <c r="E1036" s="8" t="s">
        <v>137</v>
      </c>
    </row>
    <row r="1037" spans="1:5" x14ac:dyDescent="0.35">
      <c r="A1037" s="9" t="s">
        <v>135</v>
      </c>
      <c r="B1037" s="10"/>
      <c r="C1037" s="10" t="s">
        <v>150</v>
      </c>
      <c r="D1037" s="10" t="s">
        <v>147</v>
      </c>
      <c r="E1037" s="11" t="s">
        <v>137</v>
      </c>
    </row>
    <row r="1038" spans="1:5" x14ac:dyDescent="0.35">
      <c r="A1038" s="6" t="s">
        <v>135</v>
      </c>
      <c r="B1038" s="7"/>
      <c r="C1038" s="7"/>
      <c r="D1038" s="7" t="s">
        <v>148</v>
      </c>
      <c r="E1038" s="8" t="s">
        <v>137</v>
      </c>
    </row>
    <row r="1039" spans="1:5" x14ac:dyDescent="0.35">
      <c r="A1039" s="9" t="s">
        <v>135</v>
      </c>
      <c r="B1039" s="10"/>
      <c r="C1039" s="10"/>
      <c r="D1039" s="10" t="s">
        <v>149</v>
      </c>
      <c r="E1039" s="11" t="s">
        <v>137</v>
      </c>
    </row>
    <row r="1040" spans="1:5" x14ac:dyDescent="0.35">
      <c r="A1040" s="6" t="s">
        <v>135</v>
      </c>
      <c r="B1040" s="7" t="s">
        <v>155</v>
      </c>
      <c r="C1040" s="7" t="s">
        <v>146</v>
      </c>
      <c r="D1040" s="7" t="s">
        <v>147</v>
      </c>
      <c r="E1040" s="8" t="s">
        <v>137</v>
      </c>
    </row>
    <row r="1041" spans="1:5" x14ac:dyDescent="0.35">
      <c r="A1041" s="9" t="s">
        <v>135</v>
      </c>
      <c r="B1041" s="10"/>
      <c r="C1041" s="10"/>
      <c r="D1041" s="10" t="s">
        <v>148</v>
      </c>
      <c r="E1041" s="11" t="s">
        <v>137</v>
      </c>
    </row>
    <row r="1042" spans="1:5" x14ac:dyDescent="0.35">
      <c r="A1042" s="6" t="s">
        <v>135</v>
      </c>
      <c r="B1042" s="7"/>
      <c r="C1042" s="7"/>
      <c r="D1042" s="7" t="s">
        <v>149</v>
      </c>
      <c r="E1042" s="8" t="s">
        <v>137</v>
      </c>
    </row>
    <row r="1043" spans="1:5" x14ac:dyDescent="0.35">
      <c r="A1043" s="9" t="s">
        <v>135</v>
      </c>
      <c r="B1043" s="10"/>
      <c r="C1043" s="10" t="s">
        <v>150</v>
      </c>
      <c r="D1043" s="10" t="s">
        <v>147</v>
      </c>
      <c r="E1043" s="11" t="s">
        <v>137</v>
      </c>
    </row>
    <row r="1044" spans="1:5" x14ac:dyDescent="0.35">
      <c r="A1044" s="6" t="s">
        <v>135</v>
      </c>
      <c r="B1044" s="7"/>
      <c r="C1044" s="7"/>
      <c r="D1044" s="7" t="s">
        <v>148</v>
      </c>
      <c r="E1044" s="8" t="s">
        <v>137</v>
      </c>
    </row>
    <row r="1045" spans="1:5" x14ac:dyDescent="0.35">
      <c r="A1045" s="9" t="s">
        <v>135</v>
      </c>
      <c r="B1045" s="10"/>
      <c r="C1045" s="10"/>
      <c r="D1045" s="10" t="s">
        <v>149</v>
      </c>
      <c r="E1045" s="11" t="s">
        <v>137</v>
      </c>
    </row>
    <row r="1046" spans="1:5" x14ac:dyDescent="0.35">
      <c r="A1046" s="6" t="s">
        <v>135</v>
      </c>
      <c r="B1046" s="7" t="s">
        <v>156</v>
      </c>
      <c r="C1046" s="7" t="s">
        <v>146</v>
      </c>
      <c r="D1046" s="7" t="s">
        <v>147</v>
      </c>
      <c r="E1046" s="8" t="s">
        <v>137</v>
      </c>
    </row>
    <row r="1047" spans="1:5" x14ac:dyDescent="0.35">
      <c r="A1047" s="9" t="s">
        <v>135</v>
      </c>
      <c r="B1047" s="10"/>
      <c r="C1047" s="10"/>
      <c r="D1047" s="10" t="s">
        <v>148</v>
      </c>
      <c r="E1047" s="11" t="s">
        <v>137</v>
      </c>
    </row>
    <row r="1048" spans="1:5" x14ac:dyDescent="0.35">
      <c r="A1048" s="6" t="s">
        <v>135</v>
      </c>
      <c r="B1048" s="7"/>
      <c r="C1048" s="7"/>
      <c r="D1048" s="7" t="s">
        <v>149</v>
      </c>
      <c r="E1048" s="8" t="s">
        <v>137</v>
      </c>
    </row>
    <row r="1049" spans="1:5" x14ac:dyDescent="0.35">
      <c r="A1049" s="9" t="s">
        <v>135</v>
      </c>
      <c r="B1049" s="10"/>
      <c r="C1049" s="10" t="s">
        <v>150</v>
      </c>
      <c r="D1049" s="10" t="s">
        <v>147</v>
      </c>
      <c r="E1049" s="11" t="s">
        <v>137</v>
      </c>
    </row>
    <row r="1050" spans="1:5" x14ac:dyDescent="0.35">
      <c r="A1050" s="6" t="s">
        <v>135</v>
      </c>
      <c r="B1050" s="7"/>
      <c r="C1050" s="7"/>
      <c r="D1050" s="7" t="s">
        <v>148</v>
      </c>
      <c r="E1050" s="8" t="s">
        <v>137</v>
      </c>
    </row>
    <row r="1051" spans="1:5" x14ac:dyDescent="0.35">
      <c r="A1051" s="9" t="s">
        <v>135</v>
      </c>
      <c r="B1051" s="10"/>
      <c r="C1051" s="10"/>
      <c r="D1051" s="10" t="s">
        <v>149</v>
      </c>
      <c r="E1051" s="11" t="s">
        <v>137</v>
      </c>
    </row>
    <row r="1052" spans="1:5" x14ac:dyDescent="0.35">
      <c r="A1052" s="6" t="s">
        <v>135</v>
      </c>
      <c r="B1052" s="7" t="s">
        <v>157</v>
      </c>
      <c r="C1052" s="7" t="s">
        <v>146</v>
      </c>
      <c r="D1052" s="7" t="s">
        <v>147</v>
      </c>
      <c r="E1052" s="8" t="s">
        <v>137</v>
      </c>
    </row>
    <row r="1053" spans="1:5" x14ac:dyDescent="0.35">
      <c r="A1053" s="9" t="s">
        <v>135</v>
      </c>
      <c r="B1053" s="10"/>
      <c r="C1053" s="10"/>
      <c r="D1053" s="10" t="s">
        <v>148</v>
      </c>
      <c r="E1053" s="11" t="s">
        <v>137</v>
      </c>
    </row>
    <row r="1054" spans="1:5" x14ac:dyDescent="0.35">
      <c r="A1054" s="6" t="s">
        <v>135</v>
      </c>
      <c r="B1054" s="7"/>
      <c r="C1054" s="7"/>
      <c r="D1054" s="7" t="s">
        <v>149</v>
      </c>
      <c r="E1054" s="8" t="s">
        <v>137</v>
      </c>
    </row>
    <row r="1055" spans="1:5" x14ac:dyDescent="0.35">
      <c r="A1055" s="9" t="s">
        <v>135</v>
      </c>
      <c r="B1055" s="10"/>
      <c r="C1055" s="10" t="s">
        <v>150</v>
      </c>
      <c r="D1055" s="10" t="s">
        <v>147</v>
      </c>
      <c r="E1055" s="11" t="s">
        <v>137</v>
      </c>
    </row>
    <row r="1056" spans="1:5" x14ac:dyDescent="0.35">
      <c r="A1056" s="6" t="s">
        <v>135</v>
      </c>
      <c r="B1056" s="7"/>
      <c r="C1056" s="7"/>
      <c r="D1056" s="7" t="s">
        <v>148</v>
      </c>
      <c r="E1056" s="8" t="s">
        <v>137</v>
      </c>
    </row>
    <row r="1057" spans="1:5" x14ac:dyDescent="0.35">
      <c r="A1057" s="9" t="s">
        <v>135</v>
      </c>
      <c r="B1057" s="10"/>
      <c r="C1057" s="10"/>
      <c r="D1057" s="10" t="s">
        <v>149</v>
      </c>
      <c r="E1057" s="11" t="s">
        <v>137</v>
      </c>
    </row>
    <row r="1058" spans="1:5" x14ac:dyDescent="0.35">
      <c r="A1058" s="6" t="s">
        <v>135</v>
      </c>
      <c r="B1058" s="7" t="s">
        <v>158</v>
      </c>
      <c r="C1058" s="7" t="s">
        <v>146</v>
      </c>
      <c r="D1058" s="7" t="s">
        <v>147</v>
      </c>
      <c r="E1058" s="8">
        <v>2</v>
      </c>
    </row>
    <row r="1059" spans="1:5" x14ac:dyDescent="0.35">
      <c r="A1059" s="9" t="s">
        <v>135</v>
      </c>
      <c r="B1059" s="10"/>
      <c r="C1059" s="10"/>
      <c r="D1059" s="10" t="s">
        <v>148</v>
      </c>
      <c r="E1059" s="11">
        <v>2</v>
      </c>
    </row>
    <row r="1060" spans="1:5" x14ac:dyDescent="0.35">
      <c r="A1060" s="6" t="s">
        <v>135</v>
      </c>
      <c r="B1060" s="7"/>
      <c r="C1060" s="7"/>
      <c r="D1060" s="7" t="s">
        <v>149</v>
      </c>
      <c r="E1060" s="8" t="s">
        <v>137</v>
      </c>
    </row>
    <row r="1061" spans="1:5" x14ac:dyDescent="0.35">
      <c r="A1061" s="9" t="s">
        <v>135</v>
      </c>
      <c r="B1061" s="10"/>
      <c r="C1061" s="10" t="s">
        <v>150</v>
      </c>
      <c r="D1061" s="10" t="s">
        <v>147</v>
      </c>
      <c r="E1061" s="11" t="s">
        <v>137</v>
      </c>
    </row>
    <row r="1062" spans="1:5" x14ac:dyDescent="0.35">
      <c r="A1062" s="6" t="s">
        <v>135</v>
      </c>
      <c r="B1062" s="7"/>
      <c r="C1062" s="7"/>
      <c r="D1062" s="7" t="s">
        <v>148</v>
      </c>
      <c r="E1062" s="8" t="s">
        <v>137</v>
      </c>
    </row>
    <row r="1063" spans="1:5" x14ac:dyDescent="0.35">
      <c r="A1063" s="9" t="s">
        <v>135</v>
      </c>
      <c r="B1063" s="10"/>
      <c r="C1063" s="10"/>
      <c r="D1063" s="10" t="s">
        <v>149</v>
      </c>
      <c r="E1063" s="11" t="s">
        <v>137</v>
      </c>
    </row>
    <row r="1064" spans="1:5" x14ac:dyDescent="0.35">
      <c r="A1064" s="6" t="s">
        <v>135</v>
      </c>
      <c r="B1064" s="7" t="s">
        <v>159</v>
      </c>
      <c r="C1064" s="7" t="s">
        <v>146</v>
      </c>
      <c r="D1064" s="7" t="s">
        <v>147</v>
      </c>
      <c r="E1064" s="8" t="s">
        <v>137</v>
      </c>
    </row>
    <row r="1065" spans="1:5" x14ac:dyDescent="0.35">
      <c r="A1065" s="9" t="s">
        <v>135</v>
      </c>
      <c r="B1065" s="10"/>
      <c r="C1065" s="10"/>
      <c r="D1065" s="10" t="s">
        <v>148</v>
      </c>
      <c r="E1065" s="11" t="s">
        <v>137</v>
      </c>
    </row>
    <row r="1066" spans="1:5" x14ac:dyDescent="0.35">
      <c r="A1066" s="6" t="s">
        <v>135</v>
      </c>
      <c r="B1066" s="7"/>
      <c r="C1066" s="7"/>
      <c r="D1066" s="7" t="s">
        <v>149</v>
      </c>
      <c r="E1066" s="8" t="s">
        <v>137</v>
      </c>
    </row>
    <row r="1067" spans="1:5" x14ac:dyDescent="0.35">
      <c r="A1067" s="9" t="s">
        <v>135</v>
      </c>
      <c r="B1067" s="10"/>
      <c r="C1067" s="10" t="s">
        <v>150</v>
      </c>
      <c r="D1067" s="10" t="s">
        <v>147</v>
      </c>
      <c r="E1067" s="11" t="s">
        <v>137</v>
      </c>
    </row>
    <row r="1068" spans="1:5" x14ac:dyDescent="0.35">
      <c r="A1068" s="6" t="s">
        <v>135</v>
      </c>
      <c r="B1068" s="7"/>
      <c r="C1068" s="7"/>
      <c r="D1068" s="7" t="s">
        <v>148</v>
      </c>
      <c r="E1068" s="8" t="s">
        <v>137</v>
      </c>
    </row>
    <row r="1069" spans="1:5" x14ac:dyDescent="0.35">
      <c r="A1069" s="9" t="s">
        <v>135</v>
      </c>
      <c r="B1069" s="10"/>
      <c r="C1069" s="10"/>
      <c r="D1069" s="10" t="s">
        <v>149</v>
      </c>
      <c r="E1069" s="11" t="s">
        <v>137</v>
      </c>
    </row>
    <row r="1070" spans="1:5" x14ac:dyDescent="0.35">
      <c r="A1070" s="6" t="s">
        <v>135</v>
      </c>
      <c r="B1070" s="7" t="s">
        <v>160</v>
      </c>
      <c r="C1070" s="7" t="s">
        <v>146</v>
      </c>
      <c r="D1070" s="7" t="s">
        <v>147</v>
      </c>
      <c r="E1070" s="8" t="s">
        <v>137</v>
      </c>
    </row>
    <row r="1071" spans="1:5" x14ac:dyDescent="0.35">
      <c r="A1071" s="9" t="s">
        <v>135</v>
      </c>
      <c r="B1071" s="10"/>
      <c r="C1071" s="10"/>
      <c r="D1071" s="10" t="s">
        <v>148</v>
      </c>
      <c r="E1071" s="11" t="s">
        <v>137</v>
      </c>
    </row>
    <row r="1072" spans="1:5" x14ac:dyDescent="0.35">
      <c r="A1072" s="6" t="s">
        <v>135</v>
      </c>
      <c r="B1072" s="7"/>
      <c r="C1072" s="7"/>
      <c r="D1072" s="7" t="s">
        <v>149</v>
      </c>
      <c r="E1072" s="8" t="s">
        <v>137</v>
      </c>
    </row>
    <row r="1073" spans="1:5" x14ac:dyDescent="0.35">
      <c r="A1073" s="9" t="s">
        <v>135</v>
      </c>
      <c r="B1073" s="10"/>
      <c r="C1073" s="10" t="s">
        <v>150</v>
      </c>
      <c r="D1073" s="10" t="s">
        <v>147</v>
      </c>
      <c r="E1073" s="11" t="s">
        <v>137</v>
      </c>
    </row>
    <row r="1074" spans="1:5" x14ac:dyDescent="0.35">
      <c r="A1074" s="6" t="s">
        <v>135</v>
      </c>
      <c r="B1074" s="7"/>
      <c r="C1074" s="7"/>
      <c r="D1074" s="7" t="s">
        <v>148</v>
      </c>
      <c r="E1074" s="8" t="s">
        <v>137</v>
      </c>
    </row>
    <row r="1075" spans="1:5" x14ac:dyDescent="0.35">
      <c r="A1075" s="9" t="s">
        <v>135</v>
      </c>
      <c r="B1075" s="10"/>
      <c r="C1075" s="10"/>
      <c r="D1075" s="10" t="s">
        <v>149</v>
      </c>
      <c r="E1075" s="11" t="s">
        <v>137</v>
      </c>
    </row>
    <row r="1076" spans="1:5" x14ac:dyDescent="0.35">
      <c r="A1076" s="6" t="s">
        <v>135</v>
      </c>
      <c r="B1076" s="7" t="s">
        <v>161</v>
      </c>
      <c r="C1076" s="7" t="s">
        <v>146</v>
      </c>
      <c r="D1076" s="7" t="s">
        <v>147</v>
      </c>
      <c r="E1076" s="8" t="s">
        <v>137</v>
      </c>
    </row>
    <row r="1077" spans="1:5" x14ac:dyDescent="0.35">
      <c r="A1077" s="9" t="s">
        <v>135</v>
      </c>
      <c r="B1077" s="10"/>
      <c r="C1077" s="10"/>
      <c r="D1077" s="10" t="s">
        <v>148</v>
      </c>
      <c r="E1077" s="11" t="s">
        <v>137</v>
      </c>
    </row>
    <row r="1078" spans="1:5" x14ac:dyDescent="0.35">
      <c r="A1078" s="6" t="s">
        <v>135</v>
      </c>
      <c r="B1078" s="7"/>
      <c r="C1078" s="7"/>
      <c r="D1078" s="7" t="s">
        <v>149</v>
      </c>
      <c r="E1078" s="8" t="s">
        <v>137</v>
      </c>
    </row>
    <row r="1079" spans="1:5" x14ac:dyDescent="0.35">
      <c r="A1079" s="9" t="s">
        <v>135</v>
      </c>
      <c r="B1079" s="10"/>
      <c r="C1079" s="10" t="s">
        <v>150</v>
      </c>
      <c r="D1079" s="10" t="s">
        <v>147</v>
      </c>
      <c r="E1079" s="11" t="s">
        <v>137</v>
      </c>
    </row>
    <row r="1080" spans="1:5" x14ac:dyDescent="0.35">
      <c r="A1080" s="6" t="s">
        <v>135</v>
      </c>
      <c r="B1080" s="7"/>
      <c r="C1080" s="7"/>
      <c r="D1080" s="7" t="s">
        <v>148</v>
      </c>
      <c r="E1080" s="8" t="s">
        <v>137</v>
      </c>
    </row>
    <row r="1081" spans="1:5" x14ac:dyDescent="0.35">
      <c r="A1081" s="9" t="s">
        <v>135</v>
      </c>
      <c r="B1081" s="10"/>
      <c r="C1081" s="10"/>
      <c r="D1081" s="10" t="s">
        <v>149</v>
      </c>
      <c r="E1081" s="11" t="s">
        <v>137</v>
      </c>
    </row>
    <row r="1082" spans="1:5" x14ac:dyDescent="0.35">
      <c r="A1082" s="6" t="s">
        <v>135</v>
      </c>
      <c r="B1082" s="7" t="s">
        <v>162</v>
      </c>
      <c r="C1082" s="7" t="s">
        <v>146</v>
      </c>
      <c r="D1082" s="7" t="s">
        <v>147</v>
      </c>
      <c r="E1082" s="8" t="s">
        <v>137</v>
      </c>
    </row>
    <row r="1083" spans="1:5" x14ac:dyDescent="0.35">
      <c r="A1083" s="9" t="s">
        <v>135</v>
      </c>
      <c r="B1083" s="10"/>
      <c r="C1083" s="10"/>
      <c r="D1083" s="10" t="s">
        <v>148</v>
      </c>
      <c r="E1083" s="11" t="s">
        <v>137</v>
      </c>
    </row>
    <row r="1084" spans="1:5" x14ac:dyDescent="0.35">
      <c r="A1084" s="6" t="s">
        <v>135</v>
      </c>
      <c r="B1084" s="7"/>
      <c r="C1084" s="7"/>
      <c r="D1084" s="7" t="s">
        <v>149</v>
      </c>
      <c r="E1084" s="8" t="s">
        <v>137</v>
      </c>
    </row>
    <row r="1085" spans="1:5" x14ac:dyDescent="0.35">
      <c r="A1085" s="9" t="s">
        <v>135</v>
      </c>
      <c r="B1085" s="10"/>
      <c r="C1085" s="10" t="s">
        <v>150</v>
      </c>
      <c r="D1085" s="10" t="s">
        <v>147</v>
      </c>
      <c r="E1085" s="11" t="s">
        <v>137</v>
      </c>
    </row>
    <row r="1086" spans="1:5" x14ac:dyDescent="0.35">
      <c r="A1086" s="6" t="s">
        <v>135</v>
      </c>
      <c r="B1086" s="7"/>
      <c r="C1086" s="7"/>
      <c r="D1086" s="7" t="s">
        <v>148</v>
      </c>
      <c r="E1086" s="8" t="s">
        <v>137</v>
      </c>
    </row>
    <row r="1087" spans="1:5" x14ac:dyDescent="0.35">
      <c r="A1087" s="9" t="s">
        <v>135</v>
      </c>
      <c r="B1087" s="10"/>
      <c r="C1087" s="10"/>
      <c r="D1087" s="10" t="s">
        <v>149</v>
      </c>
      <c r="E1087" s="11" t="s">
        <v>137</v>
      </c>
    </row>
    <row r="1088" spans="1:5" x14ac:dyDescent="0.35">
      <c r="A1088" s="6" t="s">
        <v>135</v>
      </c>
      <c r="B1088" s="7" t="s">
        <v>163</v>
      </c>
      <c r="C1088" s="7" t="s">
        <v>146</v>
      </c>
      <c r="D1088" s="7" t="s">
        <v>147</v>
      </c>
      <c r="E1088" s="8">
        <v>282</v>
      </c>
    </row>
    <row r="1089" spans="1:5" x14ac:dyDescent="0.35">
      <c r="A1089" s="9" t="s">
        <v>135</v>
      </c>
      <c r="B1089" s="10"/>
      <c r="C1089" s="10"/>
      <c r="D1089" s="10" t="s">
        <v>148</v>
      </c>
      <c r="E1089" s="11">
        <v>282</v>
      </c>
    </row>
    <row r="1090" spans="1:5" x14ac:dyDescent="0.35">
      <c r="A1090" s="6" t="s">
        <v>135</v>
      </c>
      <c r="B1090" s="7"/>
      <c r="C1090" s="7"/>
      <c r="D1090" s="7" t="s">
        <v>149</v>
      </c>
      <c r="E1090" s="8" t="s">
        <v>137</v>
      </c>
    </row>
    <row r="1091" spans="1:5" x14ac:dyDescent="0.35">
      <c r="A1091" s="9" t="s">
        <v>135</v>
      </c>
      <c r="B1091" s="10"/>
      <c r="C1091" s="10" t="s">
        <v>150</v>
      </c>
      <c r="D1091" s="10" t="s">
        <v>147</v>
      </c>
      <c r="E1091" s="11" t="s">
        <v>137</v>
      </c>
    </row>
    <row r="1092" spans="1:5" x14ac:dyDescent="0.35">
      <c r="A1092" s="6" t="s">
        <v>135</v>
      </c>
      <c r="B1092" s="7"/>
      <c r="C1092" s="7"/>
      <c r="D1092" s="7" t="s">
        <v>148</v>
      </c>
      <c r="E1092" s="8" t="s">
        <v>137</v>
      </c>
    </row>
    <row r="1093" spans="1:5" x14ac:dyDescent="0.35">
      <c r="A1093" s="9" t="s">
        <v>135</v>
      </c>
      <c r="B1093" s="10"/>
      <c r="C1093" s="10"/>
      <c r="D1093" s="10" t="s">
        <v>149</v>
      </c>
      <c r="E1093" s="11" t="s">
        <v>137</v>
      </c>
    </row>
    <row r="1094" spans="1:5" x14ac:dyDescent="0.35">
      <c r="A1094" s="6" t="s">
        <v>135</v>
      </c>
      <c r="B1094" s="7" t="s">
        <v>164</v>
      </c>
      <c r="C1094" s="7" t="s">
        <v>146</v>
      </c>
      <c r="D1094" s="7" t="s">
        <v>147</v>
      </c>
      <c r="E1094" s="8" t="s">
        <v>137</v>
      </c>
    </row>
    <row r="1095" spans="1:5" x14ac:dyDescent="0.35">
      <c r="A1095" s="9" t="s">
        <v>135</v>
      </c>
      <c r="B1095" s="10"/>
      <c r="C1095" s="10"/>
      <c r="D1095" s="10" t="s">
        <v>148</v>
      </c>
      <c r="E1095" s="11" t="s">
        <v>137</v>
      </c>
    </row>
    <row r="1096" spans="1:5" x14ac:dyDescent="0.35">
      <c r="A1096" s="6" t="s">
        <v>135</v>
      </c>
      <c r="B1096" s="7"/>
      <c r="C1096" s="7"/>
      <c r="D1096" s="7" t="s">
        <v>149</v>
      </c>
      <c r="E1096" s="8" t="s">
        <v>137</v>
      </c>
    </row>
    <row r="1097" spans="1:5" x14ac:dyDescent="0.35">
      <c r="A1097" s="9" t="s">
        <v>135</v>
      </c>
      <c r="B1097" s="10"/>
      <c r="C1097" s="10" t="s">
        <v>150</v>
      </c>
      <c r="D1097" s="10" t="s">
        <v>147</v>
      </c>
      <c r="E1097" s="11" t="s">
        <v>137</v>
      </c>
    </row>
    <row r="1098" spans="1:5" x14ac:dyDescent="0.35">
      <c r="A1098" s="6" t="s">
        <v>135</v>
      </c>
      <c r="B1098" s="7"/>
      <c r="C1098" s="7"/>
      <c r="D1098" s="7" t="s">
        <v>148</v>
      </c>
      <c r="E1098" s="8" t="s">
        <v>137</v>
      </c>
    </row>
    <row r="1099" spans="1:5" x14ac:dyDescent="0.35">
      <c r="A1099" s="9" t="s">
        <v>135</v>
      </c>
      <c r="B1099" s="10"/>
      <c r="C1099" s="10"/>
      <c r="D1099" s="10" t="s">
        <v>149</v>
      </c>
      <c r="E1099" s="11" t="s">
        <v>137</v>
      </c>
    </row>
    <row r="1100" spans="1:5" x14ac:dyDescent="0.35">
      <c r="A1100" s="6" t="s">
        <v>135</v>
      </c>
      <c r="B1100" s="7" t="s">
        <v>165</v>
      </c>
      <c r="C1100" s="7" t="s">
        <v>146</v>
      </c>
      <c r="D1100" s="7" t="s">
        <v>147</v>
      </c>
      <c r="E1100" s="8" t="s">
        <v>137</v>
      </c>
    </row>
    <row r="1101" spans="1:5" x14ac:dyDescent="0.35">
      <c r="A1101" s="9" t="s">
        <v>135</v>
      </c>
      <c r="B1101" s="10"/>
      <c r="C1101" s="10"/>
      <c r="D1101" s="10" t="s">
        <v>148</v>
      </c>
      <c r="E1101" s="11" t="s">
        <v>137</v>
      </c>
    </row>
    <row r="1102" spans="1:5" x14ac:dyDescent="0.35">
      <c r="A1102" s="6" t="s">
        <v>135</v>
      </c>
      <c r="B1102" s="7"/>
      <c r="C1102" s="7"/>
      <c r="D1102" s="7" t="s">
        <v>149</v>
      </c>
      <c r="E1102" s="8" t="s">
        <v>137</v>
      </c>
    </row>
    <row r="1103" spans="1:5" x14ac:dyDescent="0.35">
      <c r="A1103" s="9" t="s">
        <v>135</v>
      </c>
      <c r="B1103" s="10"/>
      <c r="C1103" s="10" t="s">
        <v>150</v>
      </c>
      <c r="D1103" s="10" t="s">
        <v>147</v>
      </c>
      <c r="E1103" s="11" t="s">
        <v>137</v>
      </c>
    </row>
    <row r="1104" spans="1:5" x14ac:dyDescent="0.35">
      <c r="A1104" s="6" t="s">
        <v>135</v>
      </c>
      <c r="B1104" s="7"/>
      <c r="C1104" s="7"/>
      <c r="D1104" s="7" t="s">
        <v>148</v>
      </c>
      <c r="E1104" s="8" t="s">
        <v>137</v>
      </c>
    </row>
    <row r="1105" spans="1:5" x14ac:dyDescent="0.35">
      <c r="A1105" s="9" t="s">
        <v>135</v>
      </c>
      <c r="B1105" s="10"/>
      <c r="C1105" s="10"/>
      <c r="D1105" s="10" t="s">
        <v>149</v>
      </c>
      <c r="E1105" s="11" t="s">
        <v>137</v>
      </c>
    </row>
    <row r="1106" spans="1:5" x14ac:dyDescent="0.35">
      <c r="A1106" s="6" t="s">
        <v>135</v>
      </c>
      <c r="B1106" s="7" t="s">
        <v>166</v>
      </c>
      <c r="C1106" s="7" t="s">
        <v>146</v>
      </c>
      <c r="D1106" s="7" t="s">
        <v>147</v>
      </c>
      <c r="E1106" s="8">
        <v>162</v>
      </c>
    </row>
    <row r="1107" spans="1:5" x14ac:dyDescent="0.35">
      <c r="A1107" s="9" t="s">
        <v>135</v>
      </c>
      <c r="B1107" s="10"/>
      <c r="C1107" s="10"/>
      <c r="D1107" s="10" t="s">
        <v>148</v>
      </c>
      <c r="E1107" s="11">
        <v>162</v>
      </c>
    </row>
    <row r="1108" spans="1:5" x14ac:dyDescent="0.35">
      <c r="A1108" s="6" t="s">
        <v>135</v>
      </c>
      <c r="B1108" s="7"/>
      <c r="C1108" s="7"/>
      <c r="D1108" s="7" t="s">
        <v>149</v>
      </c>
      <c r="E1108" s="8" t="s">
        <v>137</v>
      </c>
    </row>
    <row r="1109" spans="1:5" x14ac:dyDescent="0.35">
      <c r="A1109" s="9" t="s">
        <v>135</v>
      </c>
      <c r="B1109" s="10"/>
      <c r="C1109" s="10" t="s">
        <v>150</v>
      </c>
      <c r="D1109" s="10" t="s">
        <v>147</v>
      </c>
      <c r="E1109" s="11" t="s">
        <v>137</v>
      </c>
    </row>
    <row r="1110" spans="1:5" x14ac:dyDescent="0.35">
      <c r="A1110" s="6" t="s">
        <v>135</v>
      </c>
      <c r="B1110" s="7"/>
      <c r="C1110" s="7"/>
      <c r="D1110" s="7" t="s">
        <v>148</v>
      </c>
      <c r="E1110" s="8" t="s">
        <v>137</v>
      </c>
    </row>
    <row r="1111" spans="1:5" x14ac:dyDescent="0.35">
      <c r="A1111" s="9" t="s">
        <v>135</v>
      </c>
      <c r="B1111" s="10"/>
      <c r="C1111" s="10"/>
      <c r="D1111" s="10" t="s">
        <v>149</v>
      </c>
      <c r="E1111" s="11" t="s">
        <v>137</v>
      </c>
    </row>
    <row r="1112" spans="1:5" x14ac:dyDescent="0.35">
      <c r="A1112" s="6" t="s">
        <v>135</v>
      </c>
      <c r="B1112" s="7" t="s">
        <v>167</v>
      </c>
      <c r="C1112" s="7" t="s">
        <v>146</v>
      </c>
      <c r="D1112" s="7" t="s">
        <v>147</v>
      </c>
      <c r="E1112" s="8">
        <v>120</v>
      </c>
    </row>
    <row r="1113" spans="1:5" x14ac:dyDescent="0.35">
      <c r="A1113" s="9" t="s">
        <v>135</v>
      </c>
      <c r="B1113" s="10"/>
      <c r="C1113" s="10"/>
      <c r="D1113" s="10" t="s">
        <v>148</v>
      </c>
      <c r="E1113" s="11">
        <v>120</v>
      </c>
    </row>
    <row r="1114" spans="1:5" x14ac:dyDescent="0.35">
      <c r="A1114" s="6" t="s">
        <v>135</v>
      </c>
      <c r="B1114" s="7"/>
      <c r="C1114" s="7"/>
      <c r="D1114" s="7" t="s">
        <v>149</v>
      </c>
      <c r="E1114" s="8" t="s">
        <v>137</v>
      </c>
    </row>
    <row r="1115" spans="1:5" x14ac:dyDescent="0.35">
      <c r="A1115" s="9" t="s">
        <v>135</v>
      </c>
      <c r="B1115" s="10"/>
      <c r="C1115" s="10" t="s">
        <v>150</v>
      </c>
      <c r="D1115" s="10" t="s">
        <v>147</v>
      </c>
      <c r="E1115" s="11" t="s">
        <v>137</v>
      </c>
    </row>
    <row r="1116" spans="1:5" x14ac:dyDescent="0.35">
      <c r="A1116" s="6" t="s">
        <v>135</v>
      </c>
      <c r="B1116" s="7"/>
      <c r="C1116" s="7"/>
      <c r="D1116" s="7" t="s">
        <v>148</v>
      </c>
      <c r="E1116" s="8" t="s">
        <v>137</v>
      </c>
    </row>
    <row r="1117" spans="1:5" x14ac:dyDescent="0.35">
      <c r="A1117" s="9" t="s">
        <v>135</v>
      </c>
      <c r="B1117" s="10"/>
      <c r="C1117" s="10"/>
      <c r="D1117" s="10" t="s">
        <v>149</v>
      </c>
      <c r="E1117" s="11" t="s">
        <v>137</v>
      </c>
    </row>
    <row r="1118" spans="1:5" x14ac:dyDescent="0.35">
      <c r="A1118" s="6" t="s">
        <v>135</v>
      </c>
      <c r="B1118" s="7" t="s">
        <v>168</v>
      </c>
      <c r="C1118" s="7" t="s">
        <v>146</v>
      </c>
      <c r="D1118" s="7" t="s">
        <v>147</v>
      </c>
      <c r="E1118" s="8" t="s">
        <v>137</v>
      </c>
    </row>
    <row r="1119" spans="1:5" x14ac:dyDescent="0.35">
      <c r="A1119" s="9" t="s">
        <v>135</v>
      </c>
      <c r="B1119" s="10"/>
      <c r="C1119" s="10"/>
      <c r="D1119" s="10" t="s">
        <v>148</v>
      </c>
      <c r="E1119" s="11" t="s">
        <v>137</v>
      </c>
    </row>
    <row r="1120" spans="1:5" x14ac:dyDescent="0.35">
      <c r="A1120" s="6" t="s">
        <v>135</v>
      </c>
      <c r="B1120" s="7"/>
      <c r="C1120" s="7"/>
      <c r="D1120" s="7" t="s">
        <v>149</v>
      </c>
      <c r="E1120" s="8" t="s">
        <v>137</v>
      </c>
    </row>
    <row r="1121" spans="1:5" x14ac:dyDescent="0.35">
      <c r="A1121" s="9" t="s">
        <v>135</v>
      </c>
      <c r="B1121" s="10"/>
      <c r="C1121" s="10" t="s">
        <v>150</v>
      </c>
      <c r="D1121" s="10" t="s">
        <v>147</v>
      </c>
      <c r="E1121" s="11" t="s">
        <v>137</v>
      </c>
    </row>
    <row r="1122" spans="1:5" x14ac:dyDescent="0.35">
      <c r="A1122" s="6" t="s">
        <v>135</v>
      </c>
      <c r="B1122" s="7"/>
      <c r="C1122" s="7"/>
      <c r="D1122" s="7" t="s">
        <v>148</v>
      </c>
      <c r="E1122" s="8" t="s">
        <v>137</v>
      </c>
    </row>
    <row r="1123" spans="1:5" x14ac:dyDescent="0.35">
      <c r="A1123" s="9" t="s">
        <v>135</v>
      </c>
      <c r="B1123" s="10"/>
      <c r="C1123" s="10"/>
      <c r="D1123" s="10" t="s">
        <v>149</v>
      </c>
      <c r="E1123" s="11" t="s">
        <v>137</v>
      </c>
    </row>
    <row r="1124" spans="1:5" x14ac:dyDescent="0.35">
      <c r="A1124" s="6" t="s">
        <v>135</v>
      </c>
      <c r="B1124" s="7" t="s">
        <v>169</v>
      </c>
      <c r="C1124" s="7" t="s">
        <v>146</v>
      </c>
      <c r="D1124" s="7" t="s">
        <v>147</v>
      </c>
      <c r="E1124" s="8" t="s">
        <v>137</v>
      </c>
    </row>
    <row r="1125" spans="1:5" x14ac:dyDescent="0.35">
      <c r="A1125" s="9" t="s">
        <v>135</v>
      </c>
      <c r="B1125" s="10"/>
      <c r="C1125" s="10"/>
      <c r="D1125" s="10" t="s">
        <v>148</v>
      </c>
      <c r="E1125" s="11" t="s">
        <v>137</v>
      </c>
    </row>
    <row r="1126" spans="1:5" x14ac:dyDescent="0.35">
      <c r="A1126" s="6" t="s">
        <v>135</v>
      </c>
      <c r="B1126" s="7"/>
      <c r="C1126" s="7"/>
      <c r="D1126" s="7" t="s">
        <v>149</v>
      </c>
      <c r="E1126" s="8" t="s">
        <v>137</v>
      </c>
    </row>
    <row r="1127" spans="1:5" x14ac:dyDescent="0.35">
      <c r="A1127" s="9" t="s">
        <v>135</v>
      </c>
      <c r="B1127" s="10"/>
      <c r="C1127" s="10" t="s">
        <v>150</v>
      </c>
      <c r="D1127" s="10" t="s">
        <v>147</v>
      </c>
      <c r="E1127" s="11" t="s">
        <v>137</v>
      </c>
    </row>
    <row r="1128" spans="1:5" x14ac:dyDescent="0.35">
      <c r="A1128" s="6" t="s">
        <v>135</v>
      </c>
      <c r="B1128" s="7"/>
      <c r="C1128" s="7"/>
      <c r="D1128" s="7" t="s">
        <v>148</v>
      </c>
      <c r="E1128" s="8" t="s">
        <v>137</v>
      </c>
    </row>
    <row r="1129" spans="1:5" x14ac:dyDescent="0.35">
      <c r="A1129" s="9" t="s">
        <v>135</v>
      </c>
      <c r="B1129" s="10"/>
      <c r="C1129" s="10"/>
      <c r="D1129" s="10" t="s">
        <v>149</v>
      </c>
      <c r="E1129" s="11" t="s">
        <v>137</v>
      </c>
    </row>
    <row r="1130" spans="1:5" x14ac:dyDescent="0.35">
      <c r="A1130" s="6" t="s">
        <v>135</v>
      </c>
      <c r="B1130" s="7" t="s">
        <v>170</v>
      </c>
      <c r="C1130" s="7" t="s">
        <v>146</v>
      </c>
      <c r="D1130" s="7" t="s">
        <v>147</v>
      </c>
      <c r="E1130" s="8" t="s">
        <v>137</v>
      </c>
    </row>
    <row r="1131" spans="1:5" x14ac:dyDescent="0.35">
      <c r="A1131" s="9" t="s">
        <v>135</v>
      </c>
      <c r="B1131" s="10"/>
      <c r="C1131" s="10"/>
      <c r="D1131" s="10" t="s">
        <v>148</v>
      </c>
      <c r="E1131" s="11" t="s">
        <v>137</v>
      </c>
    </row>
    <row r="1132" spans="1:5" x14ac:dyDescent="0.35">
      <c r="A1132" s="6" t="s">
        <v>135</v>
      </c>
      <c r="B1132" s="7"/>
      <c r="C1132" s="7"/>
      <c r="D1132" s="7" t="s">
        <v>149</v>
      </c>
      <c r="E1132" s="8" t="s">
        <v>137</v>
      </c>
    </row>
    <row r="1133" spans="1:5" x14ac:dyDescent="0.35">
      <c r="A1133" s="9" t="s">
        <v>135</v>
      </c>
      <c r="B1133" s="10"/>
      <c r="C1133" s="10" t="s">
        <v>150</v>
      </c>
      <c r="D1133" s="10" t="s">
        <v>147</v>
      </c>
      <c r="E1133" s="11" t="s">
        <v>137</v>
      </c>
    </row>
    <row r="1134" spans="1:5" x14ac:dyDescent="0.35">
      <c r="A1134" s="6" t="s">
        <v>135</v>
      </c>
      <c r="B1134" s="7"/>
      <c r="C1134" s="7"/>
      <c r="D1134" s="7" t="s">
        <v>148</v>
      </c>
      <c r="E1134" s="8" t="s">
        <v>137</v>
      </c>
    </row>
    <row r="1135" spans="1:5" x14ac:dyDescent="0.35">
      <c r="A1135" s="9" t="s">
        <v>135</v>
      </c>
      <c r="B1135" s="10"/>
      <c r="C1135" s="10"/>
      <c r="D1135" s="10" t="s">
        <v>149</v>
      </c>
      <c r="E1135" s="11" t="s">
        <v>137</v>
      </c>
    </row>
    <row r="1136" spans="1:5" x14ac:dyDescent="0.35">
      <c r="A1136" s="6" t="s">
        <v>50</v>
      </c>
      <c r="B1136" s="7" t="s">
        <v>145</v>
      </c>
      <c r="C1136" s="7" t="s">
        <v>146</v>
      </c>
      <c r="D1136" s="7" t="s">
        <v>147</v>
      </c>
      <c r="E1136" s="8">
        <v>80.430000000000007</v>
      </c>
    </row>
    <row r="1137" spans="1:5" x14ac:dyDescent="0.35">
      <c r="A1137" s="9" t="s">
        <v>135</v>
      </c>
      <c r="B1137" s="10"/>
      <c r="C1137" s="10"/>
      <c r="D1137" s="10" t="s">
        <v>148</v>
      </c>
      <c r="E1137" s="11">
        <v>60</v>
      </c>
    </row>
    <row r="1138" spans="1:5" x14ac:dyDescent="0.35">
      <c r="A1138" s="6" t="s">
        <v>135</v>
      </c>
      <c r="B1138" s="7"/>
      <c r="C1138" s="7"/>
      <c r="D1138" s="7" t="s">
        <v>149</v>
      </c>
      <c r="E1138" s="8">
        <v>20.43</v>
      </c>
    </row>
    <row r="1139" spans="1:5" x14ac:dyDescent="0.35">
      <c r="A1139" s="9" t="s">
        <v>135</v>
      </c>
      <c r="B1139" s="10"/>
      <c r="C1139" s="10" t="s">
        <v>150</v>
      </c>
      <c r="D1139" s="10" t="s">
        <v>147</v>
      </c>
      <c r="E1139" s="11" t="s">
        <v>137</v>
      </c>
    </row>
    <row r="1140" spans="1:5" x14ac:dyDescent="0.35">
      <c r="A1140" s="6" t="s">
        <v>135</v>
      </c>
      <c r="B1140" s="7"/>
      <c r="C1140" s="7"/>
      <c r="D1140" s="7" t="s">
        <v>148</v>
      </c>
      <c r="E1140" s="8" t="s">
        <v>137</v>
      </c>
    </row>
    <row r="1141" spans="1:5" x14ac:dyDescent="0.35">
      <c r="A1141" s="9" t="s">
        <v>135</v>
      </c>
      <c r="B1141" s="10"/>
      <c r="C1141" s="10"/>
      <c r="D1141" s="10" t="s">
        <v>149</v>
      </c>
      <c r="E1141" s="11" t="s">
        <v>137</v>
      </c>
    </row>
    <row r="1142" spans="1:5" x14ac:dyDescent="0.35">
      <c r="A1142" s="6" t="s">
        <v>135</v>
      </c>
      <c r="B1142" s="7" t="s">
        <v>151</v>
      </c>
      <c r="C1142" s="7" t="s">
        <v>146</v>
      </c>
      <c r="D1142" s="7" t="s">
        <v>147</v>
      </c>
      <c r="E1142" s="8">
        <v>0.43</v>
      </c>
    </row>
    <row r="1143" spans="1:5" x14ac:dyDescent="0.35">
      <c r="A1143" s="9" t="s">
        <v>135</v>
      </c>
      <c r="B1143" s="10"/>
      <c r="C1143" s="10"/>
      <c r="D1143" s="10" t="s">
        <v>148</v>
      </c>
      <c r="E1143" s="11" t="s">
        <v>137</v>
      </c>
    </row>
    <row r="1144" spans="1:5" x14ac:dyDescent="0.35">
      <c r="A1144" s="6" t="s">
        <v>135</v>
      </c>
      <c r="B1144" s="7"/>
      <c r="C1144" s="7"/>
      <c r="D1144" s="7" t="s">
        <v>149</v>
      </c>
      <c r="E1144" s="8">
        <v>0.43</v>
      </c>
    </row>
    <row r="1145" spans="1:5" x14ac:dyDescent="0.35">
      <c r="A1145" s="9" t="s">
        <v>135</v>
      </c>
      <c r="B1145" s="10"/>
      <c r="C1145" s="10" t="s">
        <v>150</v>
      </c>
      <c r="D1145" s="10" t="s">
        <v>147</v>
      </c>
      <c r="E1145" s="11" t="s">
        <v>137</v>
      </c>
    </row>
    <row r="1146" spans="1:5" x14ac:dyDescent="0.35">
      <c r="A1146" s="6" t="s">
        <v>135</v>
      </c>
      <c r="B1146" s="7"/>
      <c r="C1146" s="7"/>
      <c r="D1146" s="7" t="s">
        <v>148</v>
      </c>
      <c r="E1146" s="8" t="s">
        <v>137</v>
      </c>
    </row>
    <row r="1147" spans="1:5" x14ac:dyDescent="0.35">
      <c r="A1147" s="9" t="s">
        <v>135</v>
      </c>
      <c r="B1147" s="10"/>
      <c r="C1147" s="10"/>
      <c r="D1147" s="10" t="s">
        <v>149</v>
      </c>
      <c r="E1147" s="11" t="s">
        <v>137</v>
      </c>
    </row>
    <row r="1148" spans="1:5" x14ac:dyDescent="0.35">
      <c r="A1148" s="6" t="s">
        <v>135</v>
      </c>
      <c r="B1148" s="7" t="s">
        <v>152</v>
      </c>
      <c r="C1148" s="7" t="s">
        <v>146</v>
      </c>
      <c r="D1148" s="7" t="s">
        <v>147</v>
      </c>
      <c r="E1148" s="8" t="s">
        <v>137</v>
      </c>
    </row>
    <row r="1149" spans="1:5" x14ac:dyDescent="0.35">
      <c r="A1149" s="9" t="s">
        <v>135</v>
      </c>
      <c r="B1149" s="10"/>
      <c r="C1149" s="10"/>
      <c r="D1149" s="10" t="s">
        <v>148</v>
      </c>
      <c r="E1149" s="11" t="s">
        <v>137</v>
      </c>
    </row>
    <row r="1150" spans="1:5" x14ac:dyDescent="0.35">
      <c r="A1150" s="6" t="s">
        <v>135</v>
      </c>
      <c r="B1150" s="7"/>
      <c r="C1150" s="7"/>
      <c r="D1150" s="7" t="s">
        <v>149</v>
      </c>
      <c r="E1150" s="8" t="s">
        <v>137</v>
      </c>
    </row>
    <row r="1151" spans="1:5" x14ac:dyDescent="0.35">
      <c r="A1151" s="9" t="s">
        <v>135</v>
      </c>
      <c r="B1151" s="10"/>
      <c r="C1151" s="10" t="s">
        <v>150</v>
      </c>
      <c r="D1151" s="10" t="s">
        <v>147</v>
      </c>
      <c r="E1151" s="11" t="s">
        <v>137</v>
      </c>
    </row>
    <row r="1152" spans="1:5" x14ac:dyDescent="0.35">
      <c r="A1152" s="6" t="s">
        <v>135</v>
      </c>
      <c r="B1152" s="7"/>
      <c r="C1152" s="7"/>
      <c r="D1152" s="7" t="s">
        <v>148</v>
      </c>
      <c r="E1152" s="8" t="s">
        <v>137</v>
      </c>
    </row>
    <row r="1153" spans="1:5" x14ac:dyDescent="0.35">
      <c r="A1153" s="9" t="s">
        <v>135</v>
      </c>
      <c r="B1153" s="10"/>
      <c r="C1153" s="10"/>
      <c r="D1153" s="10" t="s">
        <v>149</v>
      </c>
      <c r="E1153" s="11" t="s">
        <v>137</v>
      </c>
    </row>
    <row r="1154" spans="1:5" x14ac:dyDescent="0.35">
      <c r="A1154" s="6" t="s">
        <v>135</v>
      </c>
      <c r="B1154" s="7" t="s">
        <v>153</v>
      </c>
      <c r="C1154" s="7" t="s">
        <v>146</v>
      </c>
      <c r="D1154" s="7" t="s">
        <v>147</v>
      </c>
      <c r="E1154" s="8">
        <v>80</v>
      </c>
    </row>
    <row r="1155" spans="1:5" x14ac:dyDescent="0.35">
      <c r="A1155" s="9" t="s">
        <v>135</v>
      </c>
      <c r="B1155" s="10"/>
      <c r="C1155" s="10"/>
      <c r="D1155" s="10" t="s">
        <v>148</v>
      </c>
      <c r="E1155" s="11">
        <v>60</v>
      </c>
    </row>
    <row r="1156" spans="1:5" x14ac:dyDescent="0.35">
      <c r="A1156" s="6" t="s">
        <v>135</v>
      </c>
      <c r="B1156" s="7"/>
      <c r="C1156" s="7"/>
      <c r="D1156" s="7" t="s">
        <v>149</v>
      </c>
      <c r="E1156" s="8">
        <v>20</v>
      </c>
    </row>
    <row r="1157" spans="1:5" x14ac:dyDescent="0.35">
      <c r="A1157" s="9" t="s">
        <v>135</v>
      </c>
      <c r="B1157" s="10"/>
      <c r="C1157" s="10" t="s">
        <v>150</v>
      </c>
      <c r="D1157" s="10" t="s">
        <v>147</v>
      </c>
      <c r="E1157" s="11" t="s">
        <v>137</v>
      </c>
    </row>
    <row r="1158" spans="1:5" x14ac:dyDescent="0.35">
      <c r="A1158" s="6" t="s">
        <v>135</v>
      </c>
      <c r="B1158" s="7"/>
      <c r="C1158" s="7"/>
      <c r="D1158" s="7" t="s">
        <v>148</v>
      </c>
      <c r="E1158" s="8" t="s">
        <v>137</v>
      </c>
    </row>
    <row r="1159" spans="1:5" x14ac:dyDescent="0.35">
      <c r="A1159" s="9" t="s">
        <v>135</v>
      </c>
      <c r="B1159" s="10"/>
      <c r="C1159" s="10"/>
      <c r="D1159" s="10" t="s">
        <v>149</v>
      </c>
      <c r="E1159" s="11" t="s">
        <v>137</v>
      </c>
    </row>
    <row r="1160" spans="1:5" x14ac:dyDescent="0.35">
      <c r="A1160" s="6" t="s">
        <v>135</v>
      </c>
      <c r="B1160" s="7" t="s">
        <v>154</v>
      </c>
      <c r="C1160" s="7" t="s">
        <v>146</v>
      </c>
      <c r="D1160" s="7" t="s">
        <v>147</v>
      </c>
      <c r="E1160" s="8" t="s">
        <v>137</v>
      </c>
    </row>
    <row r="1161" spans="1:5" x14ac:dyDescent="0.35">
      <c r="A1161" s="9" t="s">
        <v>135</v>
      </c>
      <c r="B1161" s="10"/>
      <c r="C1161" s="10"/>
      <c r="D1161" s="10" t="s">
        <v>148</v>
      </c>
      <c r="E1161" s="11" t="s">
        <v>137</v>
      </c>
    </row>
    <row r="1162" spans="1:5" x14ac:dyDescent="0.35">
      <c r="A1162" s="6" t="s">
        <v>135</v>
      </c>
      <c r="B1162" s="7"/>
      <c r="C1162" s="7"/>
      <c r="D1162" s="7" t="s">
        <v>149</v>
      </c>
      <c r="E1162" s="8" t="s">
        <v>137</v>
      </c>
    </row>
    <row r="1163" spans="1:5" x14ac:dyDescent="0.35">
      <c r="A1163" s="9" t="s">
        <v>135</v>
      </c>
      <c r="B1163" s="10"/>
      <c r="C1163" s="10" t="s">
        <v>150</v>
      </c>
      <c r="D1163" s="10" t="s">
        <v>147</v>
      </c>
      <c r="E1163" s="11" t="s">
        <v>137</v>
      </c>
    </row>
    <row r="1164" spans="1:5" x14ac:dyDescent="0.35">
      <c r="A1164" s="6" t="s">
        <v>135</v>
      </c>
      <c r="B1164" s="7"/>
      <c r="C1164" s="7"/>
      <c r="D1164" s="7" t="s">
        <v>148</v>
      </c>
      <c r="E1164" s="8" t="s">
        <v>137</v>
      </c>
    </row>
    <row r="1165" spans="1:5" x14ac:dyDescent="0.35">
      <c r="A1165" s="9" t="s">
        <v>135</v>
      </c>
      <c r="B1165" s="10"/>
      <c r="C1165" s="10"/>
      <c r="D1165" s="10" t="s">
        <v>149</v>
      </c>
      <c r="E1165" s="11" t="s">
        <v>137</v>
      </c>
    </row>
    <row r="1166" spans="1:5" x14ac:dyDescent="0.35">
      <c r="A1166" s="6" t="s">
        <v>135</v>
      </c>
      <c r="B1166" s="7" t="s">
        <v>155</v>
      </c>
      <c r="C1166" s="7" t="s">
        <v>146</v>
      </c>
      <c r="D1166" s="7" t="s">
        <v>147</v>
      </c>
      <c r="E1166" s="8" t="s">
        <v>137</v>
      </c>
    </row>
    <row r="1167" spans="1:5" x14ac:dyDescent="0.35">
      <c r="A1167" s="9" t="s">
        <v>135</v>
      </c>
      <c r="B1167" s="10"/>
      <c r="C1167" s="10"/>
      <c r="D1167" s="10" t="s">
        <v>148</v>
      </c>
      <c r="E1167" s="11" t="s">
        <v>137</v>
      </c>
    </row>
    <row r="1168" spans="1:5" x14ac:dyDescent="0.35">
      <c r="A1168" s="6" t="s">
        <v>135</v>
      </c>
      <c r="B1168" s="7"/>
      <c r="C1168" s="7"/>
      <c r="D1168" s="7" t="s">
        <v>149</v>
      </c>
      <c r="E1168" s="8" t="s">
        <v>137</v>
      </c>
    </row>
    <row r="1169" spans="1:5" x14ac:dyDescent="0.35">
      <c r="A1169" s="9" t="s">
        <v>135</v>
      </c>
      <c r="B1169" s="10"/>
      <c r="C1169" s="10" t="s">
        <v>150</v>
      </c>
      <c r="D1169" s="10" t="s">
        <v>147</v>
      </c>
      <c r="E1169" s="11" t="s">
        <v>137</v>
      </c>
    </row>
    <row r="1170" spans="1:5" x14ac:dyDescent="0.35">
      <c r="A1170" s="6" t="s">
        <v>135</v>
      </c>
      <c r="B1170" s="7"/>
      <c r="C1170" s="7"/>
      <c r="D1170" s="7" t="s">
        <v>148</v>
      </c>
      <c r="E1170" s="8" t="s">
        <v>137</v>
      </c>
    </row>
    <row r="1171" spans="1:5" x14ac:dyDescent="0.35">
      <c r="A1171" s="9" t="s">
        <v>135</v>
      </c>
      <c r="B1171" s="10"/>
      <c r="C1171" s="10"/>
      <c r="D1171" s="10" t="s">
        <v>149</v>
      </c>
      <c r="E1171" s="11" t="s">
        <v>137</v>
      </c>
    </row>
    <row r="1172" spans="1:5" x14ac:dyDescent="0.35">
      <c r="A1172" s="6" t="s">
        <v>135</v>
      </c>
      <c r="B1172" s="7" t="s">
        <v>156</v>
      </c>
      <c r="C1172" s="7" t="s">
        <v>146</v>
      </c>
      <c r="D1172" s="7" t="s">
        <v>147</v>
      </c>
      <c r="E1172" s="8" t="s">
        <v>137</v>
      </c>
    </row>
    <row r="1173" spans="1:5" x14ac:dyDescent="0.35">
      <c r="A1173" s="9" t="s">
        <v>135</v>
      </c>
      <c r="B1173" s="10"/>
      <c r="C1173" s="10"/>
      <c r="D1173" s="10" t="s">
        <v>148</v>
      </c>
      <c r="E1173" s="11" t="s">
        <v>137</v>
      </c>
    </row>
    <row r="1174" spans="1:5" x14ac:dyDescent="0.35">
      <c r="A1174" s="6" t="s">
        <v>135</v>
      </c>
      <c r="B1174" s="7"/>
      <c r="C1174" s="7"/>
      <c r="D1174" s="7" t="s">
        <v>149</v>
      </c>
      <c r="E1174" s="8" t="s">
        <v>137</v>
      </c>
    </row>
    <row r="1175" spans="1:5" x14ac:dyDescent="0.35">
      <c r="A1175" s="9" t="s">
        <v>135</v>
      </c>
      <c r="B1175" s="10"/>
      <c r="C1175" s="10" t="s">
        <v>150</v>
      </c>
      <c r="D1175" s="10" t="s">
        <v>147</v>
      </c>
      <c r="E1175" s="11" t="s">
        <v>137</v>
      </c>
    </row>
    <row r="1176" spans="1:5" x14ac:dyDescent="0.35">
      <c r="A1176" s="6" t="s">
        <v>135</v>
      </c>
      <c r="B1176" s="7"/>
      <c r="C1176" s="7"/>
      <c r="D1176" s="7" t="s">
        <v>148</v>
      </c>
      <c r="E1176" s="8" t="s">
        <v>137</v>
      </c>
    </row>
    <row r="1177" spans="1:5" x14ac:dyDescent="0.35">
      <c r="A1177" s="9" t="s">
        <v>135</v>
      </c>
      <c r="B1177" s="10"/>
      <c r="C1177" s="10"/>
      <c r="D1177" s="10" t="s">
        <v>149</v>
      </c>
      <c r="E1177" s="11" t="s">
        <v>137</v>
      </c>
    </row>
    <row r="1178" spans="1:5" x14ac:dyDescent="0.35">
      <c r="A1178" s="6" t="s">
        <v>135</v>
      </c>
      <c r="B1178" s="7" t="s">
        <v>157</v>
      </c>
      <c r="C1178" s="7" t="s">
        <v>146</v>
      </c>
      <c r="D1178" s="7" t="s">
        <v>147</v>
      </c>
      <c r="E1178" s="8" t="s">
        <v>137</v>
      </c>
    </row>
    <row r="1179" spans="1:5" x14ac:dyDescent="0.35">
      <c r="A1179" s="9" t="s">
        <v>135</v>
      </c>
      <c r="B1179" s="10"/>
      <c r="C1179" s="10"/>
      <c r="D1179" s="10" t="s">
        <v>148</v>
      </c>
      <c r="E1179" s="11" t="s">
        <v>137</v>
      </c>
    </row>
    <row r="1180" spans="1:5" x14ac:dyDescent="0.35">
      <c r="A1180" s="6" t="s">
        <v>135</v>
      </c>
      <c r="B1180" s="7"/>
      <c r="C1180" s="7"/>
      <c r="D1180" s="7" t="s">
        <v>149</v>
      </c>
      <c r="E1180" s="8" t="s">
        <v>137</v>
      </c>
    </row>
    <row r="1181" spans="1:5" x14ac:dyDescent="0.35">
      <c r="A1181" s="9" t="s">
        <v>135</v>
      </c>
      <c r="B1181" s="10"/>
      <c r="C1181" s="10" t="s">
        <v>150</v>
      </c>
      <c r="D1181" s="10" t="s">
        <v>147</v>
      </c>
      <c r="E1181" s="11" t="s">
        <v>137</v>
      </c>
    </row>
    <row r="1182" spans="1:5" x14ac:dyDescent="0.35">
      <c r="A1182" s="6" t="s">
        <v>135</v>
      </c>
      <c r="B1182" s="7"/>
      <c r="C1182" s="7"/>
      <c r="D1182" s="7" t="s">
        <v>148</v>
      </c>
      <c r="E1182" s="8" t="s">
        <v>137</v>
      </c>
    </row>
    <row r="1183" spans="1:5" x14ac:dyDescent="0.35">
      <c r="A1183" s="9" t="s">
        <v>135</v>
      </c>
      <c r="B1183" s="10"/>
      <c r="C1183" s="10"/>
      <c r="D1183" s="10" t="s">
        <v>149</v>
      </c>
      <c r="E1183" s="11" t="s">
        <v>137</v>
      </c>
    </row>
    <row r="1184" spans="1:5" x14ac:dyDescent="0.35">
      <c r="A1184" s="6" t="s">
        <v>135</v>
      </c>
      <c r="B1184" s="7" t="s">
        <v>158</v>
      </c>
      <c r="C1184" s="7" t="s">
        <v>146</v>
      </c>
      <c r="D1184" s="7" t="s">
        <v>147</v>
      </c>
      <c r="E1184" s="8" t="s">
        <v>137</v>
      </c>
    </row>
    <row r="1185" spans="1:5" x14ac:dyDescent="0.35">
      <c r="A1185" s="9" t="s">
        <v>135</v>
      </c>
      <c r="B1185" s="10"/>
      <c r="C1185" s="10"/>
      <c r="D1185" s="10" t="s">
        <v>148</v>
      </c>
      <c r="E1185" s="11" t="s">
        <v>137</v>
      </c>
    </row>
    <row r="1186" spans="1:5" x14ac:dyDescent="0.35">
      <c r="A1186" s="6" t="s">
        <v>135</v>
      </c>
      <c r="B1186" s="7"/>
      <c r="C1186" s="7"/>
      <c r="D1186" s="7" t="s">
        <v>149</v>
      </c>
      <c r="E1186" s="8" t="s">
        <v>137</v>
      </c>
    </row>
    <row r="1187" spans="1:5" x14ac:dyDescent="0.35">
      <c r="A1187" s="9" t="s">
        <v>135</v>
      </c>
      <c r="B1187" s="10"/>
      <c r="C1187" s="10" t="s">
        <v>150</v>
      </c>
      <c r="D1187" s="10" t="s">
        <v>147</v>
      </c>
      <c r="E1187" s="11" t="s">
        <v>137</v>
      </c>
    </row>
    <row r="1188" spans="1:5" x14ac:dyDescent="0.35">
      <c r="A1188" s="6" t="s">
        <v>135</v>
      </c>
      <c r="B1188" s="7"/>
      <c r="C1188" s="7"/>
      <c r="D1188" s="7" t="s">
        <v>148</v>
      </c>
      <c r="E1188" s="8" t="s">
        <v>137</v>
      </c>
    </row>
    <row r="1189" spans="1:5" x14ac:dyDescent="0.35">
      <c r="A1189" s="9" t="s">
        <v>135</v>
      </c>
      <c r="B1189" s="10"/>
      <c r="C1189" s="10"/>
      <c r="D1189" s="10" t="s">
        <v>149</v>
      </c>
      <c r="E1189" s="11" t="s">
        <v>137</v>
      </c>
    </row>
    <row r="1190" spans="1:5" x14ac:dyDescent="0.35">
      <c r="A1190" s="6" t="s">
        <v>135</v>
      </c>
      <c r="B1190" s="7" t="s">
        <v>159</v>
      </c>
      <c r="C1190" s="7" t="s">
        <v>146</v>
      </c>
      <c r="D1190" s="7" t="s">
        <v>147</v>
      </c>
      <c r="E1190" s="8" t="s">
        <v>137</v>
      </c>
    </row>
    <row r="1191" spans="1:5" x14ac:dyDescent="0.35">
      <c r="A1191" s="9" t="s">
        <v>135</v>
      </c>
      <c r="B1191" s="10"/>
      <c r="C1191" s="10"/>
      <c r="D1191" s="10" t="s">
        <v>148</v>
      </c>
      <c r="E1191" s="11" t="s">
        <v>137</v>
      </c>
    </row>
    <row r="1192" spans="1:5" x14ac:dyDescent="0.35">
      <c r="A1192" s="6" t="s">
        <v>135</v>
      </c>
      <c r="B1192" s="7"/>
      <c r="C1192" s="7"/>
      <c r="D1192" s="7" t="s">
        <v>149</v>
      </c>
      <c r="E1192" s="8" t="s">
        <v>137</v>
      </c>
    </row>
    <row r="1193" spans="1:5" x14ac:dyDescent="0.35">
      <c r="A1193" s="9" t="s">
        <v>135</v>
      </c>
      <c r="B1193" s="10"/>
      <c r="C1193" s="10" t="s">
        <v>150</v>
      </c>
      <c r="D1193" s="10" t="s">
        <v>147</v>
      </c>
      <c r="E1193" s="11" t="s">
        <v>137</v>
      </c>
    </row>
    <row r="1194" spans="1:5" x14ac:dyDescent="0.35">
      <c r="A1194" s="6" t="s">
        <v>135</v>
      </c>
      <c r="B1194" s="7"/>
      <c r="C1194" s="7"/>
      <c r="D1194" s="7" t="s">
        <v>148</v>
      </c>
      <c r="E1194" s="8" t="s">
        <v>137</v>
      </c>
    </row>
    <row r="1195" spans="1:5" x14ac:dyDescent="0.35">
      <c r="A1195" s="9" t="s">
        <v>135</v>
      </c>
      <c r="B1195" s="10"/>
      <c r="C1195" s="10"/>
      <c r="D1195" s="10" t="s">
        <v>149</v>
      </c>
      <c r="E1195" s="11" t="s">
        <v>137</v>
      </c>
    </row>
    <row r="1196" spans="1:5" x14ac:dyDescent="0.35">
      <c r="A1196" s="6" t="s">
        <v>135</v>
      </c>
      <c r="B1196" s="7" t="s">
        <v>160</v>
      </c>
      <c r="C1196" s="7" t="s">
        <v>146</v>
      </c>
      <c r="D1196" s="7" t="s">
        <v>147</v>
      </c>
      <c r="E1196" s="8" t="s">
        <v>137</v>
      </c>
    </row>
    <row r="1197" spans="1:5" x14ac:dyDescent="0.35">
      <c r="A1197" s="9" t="s">
        <v>135</v>
      </c>
      <c r="B1197" s="10"/>
      <c r="C1197" s="10"/>
      <c r="D1197" s="10" t="s">
        <v>148</v>
      </c>
      <c r="E1197" s="11" t="s">
        <v>137</v>
      </c>
    </row>
    <row r="1198" spans="1:5" x14ac:dyDescent="0.35">
      <c r="A1198" s="6" t="s">
        <v>135</v>
      </c>
      <c r="B1198" s="7"/>
      <c r="C1198" s="7"/>
      <c r="D1198" s="7" t="s">
        <v>149</v>
      </c>
      <c r="E1198" s="8" t="s">
        <v>137</v>
      </c>
    </row>
    <row r="1199" spans="1:5" x14ac:dyDescent="0.35">
      <c r="A1199" s="9" t="s">
        <v>135</v>
      </c>
      <c r="B1199" s="10"/>
      <c r="C1199" s="10" t="s">
        <v>150</v>
      </c>
      <c r="D1199" s="10" t="s">
        <v>147</v>
      </c>
      <c r="E1199" s="11" t="s">
        <v>137</v>
      </c>
    </row>
    <row r="1200" spans="1:5" x14ac:dyDescent="0.35">
      <c r="A1200" s="6" t="s">
        <v>135</v>
      </c>
      <c r="B1200" s="7"/>
      <c r="C1200" s="7"/>
      <c r="D1200" s="7" t="s">
        <v>148</v>
      </c>
      <c r="E1200" s="8" t="s">
        <v>137</v>
      </c>
    </row>
    <row r="1201" spans="1:5" x14ac:dyDescent="0.35">
      <c r="A1201" s="9" t="s">
        <v>135</v>
      </c>
      <c r="B1201" s="10"/>
      <c r="C1201" s="10"/>
      <c r="D1201" s="10" t="s">
        <v>149</v>
      </c>
      <c r="E1201" s="11" t="s">
        <v>137</v>
      </c>
    </row>
    <row r="1202" spans="1:5" x14ac:dyDescent="0.35">
      <c r="A1202" s="6" t="s">
        <v>135</v>
      </c>
      <c r="B1202" s="7" t="s">
        <v>161</v>
      </c>
      <c r="C1202" s="7" t="s">
        <v>146</v>
      </c>
      <c r="D1202" s="7" t="s">
        <v>147</v>
      </c>
      <c r="E1202" s="8" t="s">
        <v>137</v>
      </c>
    </row>
    <row r="1203" spans="1:5" x14ac:dyDescent="0.35">
      <c r="A1203" s="9" t="s">
        <v>135</v>
      </c>
      <c r="B1203" s="10"/>
      <c r="C1203" s="10"/>
      <c r="D1203" s="10" t="s">
        <v>148</v>
      </c>
      <c r="E1203" s="11" t="s">
        <v>137</v>
      </c>
    </row>
    <row r="1204" spans="1:5" x14ac:dyDescent="0.35">
      <c r="A1204" s="6" t="s">
        <v>135</v>
      </c>
      <c r="B1204" s="7"/>
      <c r="C1204" s="7"/>
      <c r="D1204" s="7" t="s">
        <v>149</v>
      </c>
      <c r="E1204" s="8" t="s">
        <v>137</v>
      </c>
    </row>
    <row r="1205" spans="1:5" x14ac:dyDescent="0.35">
      <c r="A1205" s="9" t="s">
        <v>135</v>
      </c>
      <c r="B1205" s="10"/>
      <c r="C1205" s="10" t="s">
        <v>150</v>
      </c>
      <c r="D1205" s="10" t="s">
        <v>147</v>
      </c>
      <c r="E1205" s="11" t="s">
        <v>137</v>
      </c>
    </row>
    <row r="1206" spans="1:5" x14ac:dyDescent="0.35">
      <c r="A1206" s="6" t="s">
        <v>135</v>
      </c>
      <c r="B1206" s="7"/>
      <c r="C1206" s="7"/>
      <c r="D1206" s="7" t="s">
        <v>148</v>
      </c>
      <c r="E1206" s="8" t="s">
        <v>137</v>
      </c>
    </row>
    <row r="1207" spans="1:5" x14ac:dyDescent="0.35">
      <c r="A1207" s="9" t="s">
        <v>135</v>
      </c>
      <c r="B1207" s="10"/>
      <c r="C1207" s="10"/>
      <c r="D1207" s="10" t="s">
        <v>149</v>
      </c>
      <c r="E1207" s="11" t="s">
        <v>137</v>
      </c>
    </row>
    <row r="1208" spans="1:5" x14ac:dyDescent="0.35">
      <c r="A1208" s="6" t="s">
        <v>135</v>
      </c>
      <c r="B1208" s="7" t="s">
        <v>162</v>
      </c>
      <c r="C1208" s="7" t="s">
        <v>146</v>
      </c>
      <c r="D1208" s="7" t="s">
        <v>147</v>
      </c>
      <c r="E1208" s="8" t="s">
        <v>137</v>
      </c>
    </row>
    <row r="1209" spans="1:5" x14ac:dyDescent="0.35">
      <c r="A1209" s="9" t="s">
        <v>135</v>
      </c>
      <c r="B1209" s="10"/>
      <c r="C1209" s="10"/>
      <c r="D1209" s="10" t="s">
        <v>148</v>
      </c>
      <c r="E1209" s="11" t="s">
        <v>137</v>
      </c>
    </row>
    <row r="1210" spans="1:5" x14ac:dyDescent="0.35">
      <c r="A1210" s="6" t="s">
        <v>135</v>
      </c>
      <c r="B1210" s="7"/>
      <c r="C1210" s="7"/>
      <c r="D1210" s="7" t="s">
        <v>149</v>
      </c>
      <c r="E1210" s="8" t="s">
        <v>137</v>
      </c>
    </row>
    <row r="1211" spans="1:5" x14ac:dyDescent="0.35">
      <c r="A1211" s="9" t="s">
        <v>135</v>
      </c>
      <c r="B1211" s="10"/>
      <c r="C1211" s="10" t="s">
        <v>150</v>
      </c>
      <c r="D1211" s="10" t="s">
        <v>147</v>
      </c>
      <c r="E1211" s="11" t="s">
        <v>137</v>
      </c>
    </row>
    <row r="1212" spans="1:5" x14ac:dyDescent="0.35">
      <c r="A1212" s="6" t="s">
        <v>135</v>
      </c>
      <c r="B1212" s="7"/>
      <c r="C1212" s="7"/>
      <c r="D1212" s="7" t="s">
        <v>148</v>
      </c>
      <c r="E1212" s="8" t="s">
        <v>137</v>
      </c>
    </row>
    <row r="1213" spans="1:5" x14ac:dyDescent="0.35">
      <c r="A1213" s="9" t="s">
        <v>135</v>
      </c>
      <c r="B1213" s="10"/>
      <c r="C1213" s="10"/>
      <c r="D1213" s="10" t="s">
        <v>149</v>
      </c>
      <c r="E1213" s="11" t="s">
        <v>137</v>
      </c>
    </row>
    <row r="1214" spans="1:5" x14ac:dyDescent="0.35">
      <c r="A1214" s="6" t="s">
        <v>135</v>
      </c>
      <c r="B1214" s="7" t="s">
        <v>163</v>
      </c>
      <c r="C1214" s="7" t="s">
        <v>146</v>
      </c>
      <c r="D1214" s="7" t="s">
        <v>147</v>
      </c>
      <c r="E1214" s="8">
        <v>123</v>
      </c>
    </row>
    <row r="1215" spans="1:5" x14ac:dyDescent="0.35">
      <c r="A1215" s="9" t="s">
        <v>135</v>
      </c>
      <c r="B1215" s="10"/>
      <c r="C1215" s="10"/>
      <c r="D1215" s="10" t="s">
        <v>148</v>
      </c>
      <c r="E1215" s="11">
        <v>123</v>
      </c>
    </row>
    <row r="1216" spans="1:5" x14ac:dyDescent="0.35">
      <c r="A1216" s="6" t="s">
        <v>135</v>
      </c>
      <c r="B1216" s="7"/>
      <c r="C1216" s="7"/>
      <c r="D1216" s="7" t="s">
        <v>149</v>
      </c>
      <c r="E1216" s="8" t="s">
        <v>137</v>
      </c>
    </row>
    <row r="1217" spans="1:5" x14ac:dyDescent="0.35">
      <c r="A1217" s="9" t="s">
        <v>135</v>
      </c>
      <c r="B1217" s="10"/>
      <c r="C1217" s="10" t="s">
        <v>150</v>
      </c>
      <c r="D1217" s="10" t="s">
        <v>147</v>
      </c>
      <c r="E1217" s="11" t="s">
        <v>137</v>
      </c>
    </row>
    <row r="1218" spans="1:5" x14ac:dyDescent="0.35">
      <c r="A1218" s="6" t="s">
        <v>135</v>
      </c>
      <c r="B1218" s="7"/>
      <c r="C1218" s="7"/>
      <c r="D1218" s="7" t="s">
        <v>148</v>
      </c>
      <c r="E1218" s="8" t="s">
        <v>137</v>
      </c>
    </row>
    <row r="1219" spans="1:5" x14ac:dyDescent="0.35">
      <c r="A1219" s="9" t="s">
        <v>135</v>
      </c>
      <c r="B1219" s="10"/>
      <c r="C1219" s="10"/>
      <c r="D1219" s="10" t="s">
        <v>149</v>
      </c>
      <c r="E1219" s="11" t="s">
        <v>137</v>
      </c>
    </row>
    <row r="1220" spans="1:5" x14ac:dyDescent="0.35">
      <c r="A1220" s="6" t="s">
        <v>135</v>
      </c>
      <c r="B1220" s="7" t="s">
        <v>164</v>
      </c>
      <c r="C1220" s="7" t="s">
        <v>146</v>
      </c>
      <c r="D1220" s="7" t="s">
        <v>147</v>
      </c>
      <c r="E1220" s="8" t="s">
        <v>137</v>
      </c>
    </row>
    <row r="1221" spans="1:5" x14ac:dyDescent="0.35">
      <c r="A1221" s="9" t="s">
        <v>135</v>
      </c>
      <c r="B1221" s="10"/>
      <c r="C1221" s="10"/>
      <c r="D1221" s="10" t="s">
        <v>148</v>
      </c>
      <c r="E1221" s="11" t="s">
        <v>137</v>
      </c>
    </row>
    <row r="1222" spans="1:5" x14ac:dyDescent="0.35">
      <c r="A1222" s="6" t="s">
        <v>135</v>
      </c>
      <c r="B1222" s="7"/>
      <c r="C1222" s="7"/>
      <c r="D1222" s="7" t="s">
        <v>149</v>
      </c>
      <c r="E1222" s="8" t="s">
        <v>137</v>
      </c>
    </row>
    <row r="1223" spans="1:5" x14ac:dyDescent="0.35">
      <c r="A1223" s="9" t="s">
        <v>135</v>
      </c>
      <c r="B1223" s="10"/>
      <c r="C1223" s="10" t="s">
        <v>150</v>
      </c>
      <c r="D1223" s="10" t="s">
        <v>147</v>
      </c>
      <c r="E1223" s="11" t="s">
        <v>137</v>
      </c>
    </row>
    <row r="1224" spans="1:5" x14ac:dyDescent="0.35">
      <c r="A1224" s="6" t="s">
        <v>135</v>
      </c>
      <c r="B1224" s="7"/>
      <c r="C1224" s="7"/>
      <c r="D1224" s="7" t="s">
        <v>148</v>
      </c>
      <c r="E1224" s="8" t="s">
        <v>137</v>
      </c>
    </row>
    <row r="1225" spans="1:5" x14ac:dyDescent="0.35">
      <c r="A1225" s="9" t="s">
        <v>135</v>
      </c>
      <c r="B1225" s="10"/>
      <c r="C1225" s="10"/>
      <c r="D1225" s="10" t="s">
        <v>149</v>
      </c>
      <c r="E1225" s="11" t="s">
        <v>137</v>
      </c>
    </row>
    <row r="1226" spans="1:5" x14ac:dyDescent="0.35">
      <c r="A1226" s="6" t="s">
        <v>135</v>
      </c>
      <c r="B1226" s="7" t="s">
        <v>165</v>
      </c>
      <c r="C1226" s="7" t="s">
        <v>146</v>
      </c>
      <c r="D1226" s="7" t="s">
        <v>147</v>
      </c>
      <c r="E1226" s="8" t="s">
        <v>137</v>
      </c>
    </row>
    <row r="1227" spans="1:5" x14ac:dyDescent="0.35">
      <c r="A1227" s="9" t="s">
        <v>135</v>
      </c>
      <c r="B1227" s="10"/>
      <c r="C1227" s="10"/>
      <c r="D1227" s="10" t="s">
        <v>148</v>
      </c>
      <c r="E1227" s="11" t="s">
        <v>137</v>
      </c>
    </row>
    <row r="1228" spans="1:5" x14ac:dyDescent="0.35">
      <c r="A1228" s="6" t="s">
        <v>135</v>
      </c>
      <c r="B1228" s="7"/>
      <c r="C1228" s="7"/>
      <c r="D1228" s="7" t="s">
        <v>149</v>
      </c>
      <c r="E1228" s="8" t="s">
        <v>137</v>
      </c>
    </row>
    <row r="1229" spans="1:5" x14ac:dyDescent="0.35">
      <c r="A1229" s="9" t="s">
        <v>135</v>
      </c>
      <c r="B1229" s="10"/>
      <c r="C1229" s="10" t="s">
        <v>150</v>
      </c>
      <c r="D1229" s="10" t="s">
        <v>147</v>
      </c>
      <c r="E1229" s="11" t="s">
        <v>137</v>
      </c>
    </row>
    <row r="1230" spans="1:5" x14ac:dyDescent="0.35">
      <c r="A1230" s="6" t="s">
        <v>135</v>
      </c>
      <c r="B1230" s="7"/>
      <c r="C1230" s="7"/>
      <c r="D1230" s="7" t="s">
        <v>148</v>
      </c>
      <c r="E1230" s="8" t="s">
        <v>137</v>
      </c>
    </row>
    <row r="1231" spans="1:5" x14ac:dyDescent="0.35">
      <c r="A1231" s="9" t="s">
        <v>135</v>
      </c>
      <c r="B1231" s="10"/>
      <c r="C1231" s="10"/>
      <c r="D1231" s="10" t="s">
        <v>149</v>
      </c>
      <c r="E1231" s="11" t="s">
        <v>137</v>
      </c>
    </row>
    <row r="1232" spans="1:5" x14ac:dyDescent="0.35">
      <c r="A1232" s="6" t="s">
        <v>135</v>
      </c>
      <c r="B1232" s="7" t="s">
        <v>166</v>
      </c>
      <c r="C1232" s="7" t="s">
        <v>146</v>
      </c>
      <c r="D1232" s="7" t="s">
        <v>147</v>
      </c>
      <c r="E1232" s="8">
        <v>123</v>
      </c>
    </row>
    <row r="1233" spans="1:5" x14ac:dyDescent="0.35">
      <c r="A1233" s="9" t="s">
        <v>135</v>
      </c>
      <c r="B1233" s="10"/>
      <c r="C1233" s="10"/>
      <c r="D1233" s="10" t="s">
        <v>148</v>
      </c>
      <c r="E1233" s="11">
        <v>123</v>
      </c>
    </row>
    <row r="1234" spans="1:5" x14ac:dyDescent="0.35">
      <c r="A1234" s="6" t="s">
        <v>135</v>
      </c>
      <c r="B1234" s="7"/>
      <c r="C1234" s="7"/>
      <c r="D1234" s="7" t="s">
        <v>149</v>
      </c>
      <c r="E1234" s="8" t="s">
        <v>137</v>
      </c>
    </row>
    <row r="1235" spans="1:5" x14ac:dyDescent="0.35">
      <c r="A1235" s="9" t="s">
        <v>135</v>
      </c>
      <c r="B1235" s="10"/>
      <c r="C1235" s="10" t="s">
        <v>150</v>
      </c>
      <c r="D1235" s="10" t="s">
        <v>147</v>
      </c>
      <c r="E1235" s="11" t="s">
        <v>137</v>
      </c>
    </row>
    <row r="1236" spans="1:5" x14ac:dyDescent="0.35">
      <c r="A1236" s="6" t="s">
        <v>135</v>
      </c>
      <c r="B1236" s="7"/>
      <c r="C1236" s="7"/>
      <c r="D1236" s="7" t="s">
        <v>148</v>
      </c>
      <c r="E1236" s="8" t="s">
        <v>137</v>
      </c>
    </row>
    <row r="1237" spans="1:5" x14ac:dyDescent="0.35">
      <c r="A1237" s="9" t="s">
        <v>135</v>
      </c>
      <c r="B1237" s="10"/>
      <c r="C1237" s="10"/>
      <c r="D1237" s="10" t="s">
        <v>149</v>
      </c>
      <c r="E1237" s="11" t="s">
        <v>137</v>
      </c>
    </row>
    <row r="1238" spans="1:5" x14ac:dyDescent="0.35">
      <c r="A1238" s="6" t="s">
        <v>135</v>
      </c>
      <c r="B1238" s="7" t="s">
        <v>167</v>
      </c>
      <c r="C1238" s="7" t="s">
        <v>146</v>
      </c>
      <c r="D1238" s="7" t="s">
        <v>147</v>
      </c>
      <c r="E1238" s="8" t="s">
        <v>137</v>
      </c>
    </row>
    <row r="1239" spans="1:5" x14ac:dyDescent="0.35">
      <c r="A1239" s="9" t="s">
        <v>135</v>
      </c>
      <c r="B1239" s="10"/>
      <c r="C1239" s="10"/>
      <c r="D1239" s="10" t="s">
        <v>148</v>
      </c>
      <c r="E1239" s="11" t="s">
        <v>137</v>
      </c>
    </row>
    <row r="1240" spans="1:5" x14ac:dyDescent="0.35">
      <c r="A1240" s="6" t="s">
        <v>135</v>
      </c>
      <c r="B1240" s="7"/>
      <c r="C1240" s="7"/>
      <c r="D1240" s="7" t="s">
        <v>149</v>
      </c>
      <c r="E1240" s="8" t="s">
        <v>137</v>
      </c>
    </row>
    <row r="1241" spans="1:5" x14ac:dyDescent="0.35">
      <c r="A1241" s="9" t="s">
        <v>135</v>
      </c>
      <c r="B1241" s="10"/>
      <c r="C1241" s="10" t="s">
        <v>150</v>
      </c>
      <c r="D1241" s="10" t="s">
        <v>147</v>
      </c>
      <c r="E1241" s="11" t="s">
        <v>137</v>
      </c>
    </row>
    <row r="1242" spans="1:5" x14ac:dyDescent="0.35">
      <c r="A1242" s="6" t="s">
        <v>135</v>
      </c>
      <c r="B1242" s="7"/>
      <c r="C1242" s="7"/>
      <c r="D1242" s="7" t="s">
        <v>148</v>
      </c>
      <c r="E1242" s="8" t="s">
        <v>137</v>
      </c>
    </row>
    <row r="1243" spans="1:5" x14ac:dyDescent="0.35">
      <c r="A1243" s="9" t="s">
        <v>135</v>
      </c>
      <c r="B1243" s="10"/>
      <c r="C1243" s="10"/>
      <c r="D1243" s="10" t="s">
        <v>149</v>
      </c>
      <c r="E1243" s="11" t="s">
        <v>137</v>
      </c>
    </row>
    <row r="1244" spans="1:5" x14ac:dyDescent="0.35">
      <c r="A1244" s="6" t="s">
        <v>135</v>
      </c>
      <c r="B1244" s="7" t="s">
        <v>168</v>
      </c>
      <c r="C1244" s="7" t="s">
        <v>146</v>
      </c>
      <c r="D1244" s="7" t="s">
        <v>147</v>
      </c>
      <c r="E1244" s="8" t="s">
        <v>137</v>
      </c>
    </row>
    <row r="1245" spans="1:5" x14ac:dyDescent="0.35">
      <c r="A1245" s="9" t="s">
        <v>135</v>
      </c>
      <c r="B1245" s="10"/>
      <c r="C1245" s="10"/>
      <c r="D1245" s="10" t="s">
        <v>148</v>
      </c>
      <c r="E1245" s="11" t="s">
        <v>137</v>
      </c>
    </row>
    <row r="1246" spans="1:5" x14ac:dyDescent="0.35">
      <c r="A1246" s="6" t="s">
        <v>135</v>
      </c>
      <c r="B1246" s="7"/>
      <c r="C1246" s="7"/>
      <c r="D1246" s="7" t="s">
        <v>149</v>
      </c>
      <c r="E1246" s="8" t="s">
        <v>137</v>
      </c>
    </row>
    <row r="1247" spans="1:5" x14ac:dyDescent="0.35">
      <c r="A1247" s="9" t="s">
        <v>135</v>
      </c>
      <c r="B1247" s="10"/>
      <c r="C1247" s="10" t="s">
        <v>150</v>
      </c>
      <c r="D1247" s="10" t="s">
        <v>147</v>
      </c>
      <c r="E1247" s="11" t="s">
        <v>137</v>
      </c>
    </row>
    <row r="1248" spans="1:5" x14ac:dyDescent="0.35">
      <c r="A1248" s="6" t="s">
        <v>135</v>
      </c>
      <c r="B1248" s="7"/>
      <c r="C1248" s="7"/>
      <c r="D1248" s="7" t="s">
        <v>148</v>
      </c>
      <c r="E1248" s="8" t="s">
        <v>137</v>
      </c>
    </row>
    <row r="1249" spans="1:5" x14ac:dyDescent="0.35">
      <c r="A1249" s="9" t="s">
        <v>135</v>
      </c>
      <c r="B1249" s="10"/>
      <c r="C1249" s="10"/>
      <c r="D1249" s="10" t="s">
        <v>149</v>
      </c>
      <c r="E1249" s="11" t="s">
        <v>137</v>
      </c>
    </row>
    <row r="1250" spans="1:5" x14ac:dyDescent="0.35">
      <c r="A1250" s="6" t="s">
        <v>135</v>
      </c>
      <c r="B1250" s="7" t="s">
        <v>169</v>
      </c>
      <c r="C1250" s="7" t="s">
        <v>146</v>
      </c>
      <c r="D1250" s="7" t="s">
        <v>147</v>
      </c>
      <c r="E1250" s="8" t="s">
        <v>137</v>
      </c>
    </row>
    <row r="1251" spans="1:5" x14ac:dyDescent="0.35">
      <c r="A1251" s="9" t="s">
        <v>135</v>
      </c>
      <c r="B1251" s="10"/>
      <c r="C1251" s="10"/>
      <c r="D1251" s="10" t="s">
        <v>148</v>
      </c>
      <c r="E1251" s="11" t="s">
        <v>137</v>
      </c>
    </row>
    <row r="1252" spans="1:5" x14ac:dyDescent="0.35">
      <c r="A1252" s="6" t="s">
        <v>135</v>
      </c>
      <c r="B1252" s="7"/>
      <c r="C1252" s="7"/>
      <c r="D1252" s="7" t="s">
        <v>149</v>
      </c>
      <c r="E1252" s="8" t="s">
        <v>137</v>
      </c>
    </row>
    <row r="1253" spans="1:5" x14ac:dyDescent="0.35">
      <c r="A1253" s="9" t="s">
        <v>135</v>
      </c>
      <c r="B1253" s="10"/>
      <c r="C1253" s="10" t="s">
        <v>150</v>
      </c>
      <c r="D1253" s="10" t="s">
        <v>147</v>
      </c>
      <c r="E1253" s="11" t="s">
        <v>137</v>
      </c>
    </row>
    <row r="1254" spans="1:5" x14ac:dyDescent="0.35">
      <c r="A1254" s="6" t="s">
        <v>135</v>
      </c>
      <c r="B1254" s="7"/>
      <c r="C1254" s="7"/>
      <c r="D1254" s="7" t="s">
        <v>148</v>
      </c>
      <c r="E1254" s="8" t="s">
        <v>137</v>
      </c>
    </row>
    <row r="1255" spans="1:5" x14ac:dyDescent="0.35">
      <c r="A1255" s="9" t="s">
        <v>135</v>
      </c>
      <c r="B1255" s="10"/>
      <c r="C1255" s="10"/>
      <c r="D1255" s="10" t="s">
        <v>149</v>
      </c>
      <c r="E1255" s="11" t="s">
        <v>137</v>
      </c>
    </row>
    <row r="1256" spans="1:5" x14ac:dyDescent="0.35">
      <c r="A1256" s="6" t="s">
        <v>135</v>
      </c>
      <c r="B1256" s="7" t="s">
        <v>170</v>
      </c>
      <c r="C1256" s="7" t="s">
        <v>146</v>
      </c>
      <c r="D1256" s="7" t="s">
        <v>147</v>
      </c>
      <c r="E1256" s="8" t="s">
        <v>137</v>
      </c>
    </row>
    <row r="1257" spans="1:5" x14ac:dyDescent="0.35">
      <c r="A1257" s="9" t="s">
        <v>135</v>
      </c>
      <c r="B1257" s="10"/>
      <c r="C1257" s="10"/>
      <c r="D1257" s="10" t="s">
        <v>148</v>
      </c>
      <c r="E1257" s="11" t="s">
        <v>137</v>
      </c>
    </row>
    <row r="1258" spans="1:5" x14ac:dyDescent="0.35">
      <c r="A1258" s="6" t="s">
        <v>135</v>
      </c>
      <c r="B1258" s="7"/>
      <c r="C1258" s="7"/>
      <c r="D1258" s="7" t="s">
        <v>149</v>
      </c>
      <c r="E1258" s="8" t="s">
        <v>137</v>
      </c>
    </row>
    <row r="1259" spans="1:5" x14ac:dyDescent="0.35">
      <c r="A1259" s="9" t="s">
        <v>135</v>
      </c>
      <c r="B1259" s="10"/>
      <c r="C1259" s="10" t="s">
        <v>150</v>
      </c>
      <c r="D1259" s="10" t="s">
        <v>147</v>
      </c>
      <c r="E1259" s="11" t="s">
        <v>137</v>
      </c>
    </row>
    <row r="1260" spans="1:5" x14ac:dyDescent="0.35">
      <c r="A1260" s="6" t="s">
        <v>135</v>
      </c>
      <c r="B1260" s="7"/>
      <c r="C1260" s="7"/>
      <c r="D1260" s="7" t="s">
        <v>148</v>
      </c>
      <c r="E1260" s="8" t="s">
        <v>137</v>
      </c>
    </row>
    <row r="1261" spans="1:5" x14ac:dyDescent="0.35">
      <c r="A1261" s="9" t="s">
        <v>135</v>
      </c>
      <c r="B1261" s="10"/>
      <c r="C1261" s="10"/>
      <c r="D1261" s="10" t="s">
        <v>149</v>
      </c>
      <c r="E1261" s="11" t="s">
        <v>137</v>
      </c>
    </row>
    <row r="1262" spans="1:5" x14ac:dyDescent="0.35">
      <c r="A1262" s="6" t="s">
        <v>138</v>
      </c>
      <c r="B1262" s="7" t="s">
        <v>145</v>
      </c>
      <c r="C1262" s="7" t="s">
        <v>146</v>
      </c>
      <c r="D1262" s="7" t="s">
        <v>147</v>
      </c>
      <c r="E1262" s="8">
        <v>7752.28</v>
      </c>
    </row>
    <row r="1263" spans="1:5" x14ac:dyDescent="0.35">
      <c r="A1263" s="9" t="s">
        <v>135</v>
      </c>
      <c r="B1263" s="10"/>
      <c r="C1263" s="10"/>
      <c r="D1263" s="10" t="s">
        <v>148</v>
      </c>
      <c r="E1263" s="11">
        <v>7681</v>
      </c>
    </row>
    <row r="1264" spans="1:5" x14ac:dyDescent="0.35">
      <c r="A1264" s="6" t="s">
        <v>135</v>
      </c>
      <c r="B1264" s="7"/>
      <c r="C1264" s="7"/>
      <c r="D1264" s="7" t="s">
        <v>149</v>
      </c>
      <c r="E1264" s="8">
        <v>71.28</v>
      </c>
    </row>
    <row r="1265" spans="1:5" x14ac:dyDescent="0.35">
      <c r="A1265" s="9" t="s">
        <v>135</v>
      </c>
      <c r="B1265" s="10"/>
      <c r="C1265" s="10" t="s">
        <v>150</v>
      </c>
      <c r="D1265" s="10" t="s">
        <v>147</v>
      </c>
      <c r="E1265" s="11" t="s">
        <v>137</v>
      </c>
    </row>
    <row r="1266" spans="1:5" x14ac:dyDescent="0.35">
      <c r="A1266" s="6" t="s">
        <v>135</v>
      </c>
      <c r="B1266" s="7"/>
      <c r="C1266" s="7"/>
      <c r="D1266" s="7" t="s">
        <v>148</v>
      </c>
      <c r="E1266" s="8" t="s">
        <v>137</v>
      </c>
    </row>
    <row r="1267" spans="1:5" x14ac:dyDescent="0.35">
      <c r="A1267" s="9" t="s">
        <v>135</v>
      </c>
      <c r="B1267" s="10"/>
      <c r="C1267" s="10"/>
      <c r="D1267" s="10" t="s">
        <v>149</v>
      </c>
      <c r="E1267" s="11" t="s">
        <v>137</v>
      </c>
    </row>
    <row r="1268" spans="1:5" x14ac:dyDescent="0.35">
      <c r="A1268" s="6" t="s">
        <v>135</v>
      </c>
      <c r="B1268" s="7" t="s">
        <v>151</v>
      </c>
      <c r="C1268" s="7" t="s">
        <v>146</v>
      </c>
      <c r="D1268" s="7" t="s">
        <v>147</v>
      </c>
      <c r="E1268" s="8">
        <v>2570.2800000000002</v>
      </c>
    </row>
    <row r="1269" spans="1:5" x14ac:dyDescent="0.35">
      <c r="A1269" s="9" t="s">
        <v>135</v>
      </c>
      <c r="B1269" s="10"/>
      <c r="C1269" s="10"/>
      <c r="D1269" s="10" t="s">
        <v>148</v>
      </c>
      <c r="E1269" s="11">
        <v>2504</v>
      </c>
    </row>
    <row r="1270" spans="1:5" x14ac:dyDescent="0.35">
      <c r="A1270" s="6" t="s">
        <v>135</v>
      </c>
      <c r="B1270" s="7"/>
      <c r="C1270" s="7"/>
      <c r="D1270" s="7" t="s">
        <v>149</v>
      </c>
      <c r="E1270" s="8">
        <v>66.28</v>
      </c>
    </row>
    <row r="1271" spans="1:5" x14ac:dyDescent="0.35">
      <c r="A1271" s="9" t="s">
        <v>135</v>
      </c>
      <c r="B1271" s="10"/>
      <c r="C1271" s="10" t="s">
        <v>150</v>
      </c>
      <c r="D1271" s="10" t="s">
        <v>147</v>
      </c>
      <c r="E1271" s="11" t="s">
        <v>137</v>
      </c>
    </row>
    <row r="1272" spans="1:5" x14ac:dyDescent="0.35">
      <c r="A1272" s="6" t="s">
        <v>135</v>
      </c>
      <c r="B1272" s="7"/>
      <c r="C1272" s="7"/>
      <c r="D1272" s="7" t="s">
        <v>148</v>
      </c>
      <c r="E1272" s="8" t="s">
        <v>137</v>
      </c>
    </row>
    <row r="1273" spans="1:5" x14ac:dyDescent="0.35">
      <c r="A1273" s="9" t="s">
        <v>135</v>
      </c>
      <c r="B1273" s="10"/>
      <c r="C1273" s="10"/>
      <c r="D1273" s="10" t="s">
        <v>149</v>
      </c>
      <c r="E1273" s="11" t="s">
        <v>137</v>
      </c>
    </row>
    <row r="1274" spans="1:5" x14ac:dyDescent="0.35">
      <c r="A1274" s="6" t="s">
        <v>135</v>
      </c>
      <c r="B1274" s="7" t="s">
        <v>152</v>
      </c>
      <c r="C1274" s="7" t="s">
        <v>146</v>
      </c>
      <c r="D1274" s="7" t="s">
        <v>147</v>
      </c>
      <c r="E1274" s="8">
        <v>20</v>
      </c>
    </row>
    <row r="1275" spans="1:5" x14ac:dyDescent="0.35">
      <c r="A1275" s="9" t="s">
        <v>135</v>
      </c>
      <c r="B1275" s="10"/>
      <c r="C1275" s="10"/>
      <c r="D1275" s="10" t="s">
        <v>148</v>
      </c>
      <c r="E1275" s="11">
        <v>20</v>
      </c>
    </row>
    <row r="1276" spans="1:5" x14ac:dyDescent="0.35">
      <c r="A1276" s="6" t="s">
        <v>135</v>
      </c>
      <c r="B1276" s="7"/>
      <c r="C1276" s="7"/>
      <c r="D1276" s="7" t="s">
        <v>149</v>
      </c>
      <c r="E1276" s="8" t="s">
        <v>137</v>
      </c>
    </row>
    <row r="1277" spans="1:5" x14ac:dyDescent="0.35">
      <c r="A1277" s="9" t="s">
        <v>135</v>
      </c>
      <c r="B1277" s="10"/>
      <c r="C1277" s="10" t="s">
        <v>150</v>
      </c>
      <c r="D1277" s="10" t="s">
        <v>147</v>
      </c>
      <c r="E1277" s="11" t="s">
        <v>137</v>
      </c>
    </row>
    <row r="1278" spans="1:5" x14ac:dyDescent="0.35">
      <c r="A1278" s="6" t="s">
        <v>135</v>
      </c>
      <c r="B1278" s="7"/>
      <c r="C1278" s="7"/>
      <c r="D1278" s="7" t="s">
        <v>148</v>
      </c>
      <c r="E1278" s="8" t="s">
        <v>137</v>
      </c>
    </row>
    <row r="1279" spans="1:5" x14ac:dyDescent="0.35">
      <c r="A1279" s="9" t="s">
        <v>135</v>
      </c>
      <c r="B1279" s="10"/>
      <c r="C1279" s="10"/>
      <c r="D1279" s="10" t="s">
        <v>149</v>
      </c>
      <c r="E1279" s="11" t="s">
        <v>137</v>
      </c>
    </row>
    <row r="1280" spans="1:5" x14ac:dyDescent="0.35">
      <c r="A1280" s="6" t="s">
        <v>135</v>
      </c>
      <c r="B1280" s="7" t="s">
        <v>153</v>
      </c>
      <c r="C1280" s="7" t="s">
        <v>146</v>
      </c>
      <c r="D1280" s="7" t="s">
        <v>147</v>
      </c>
      <c r="E1280" s="8">
        <v>2199</v>
      </c>
    </row>
    <row r="1281" spans="1:5" x14ac:dyDescent="0.35">
      <c r="A1281" s="9" t="s">
        <v>135</v>
      </c>
      <c r="B1281" s="10"/>
      <c r="C1281" s="10"/>
      <c r="D1281" s="10" t="s">
        <v>148</v>
      </c>
      <c r="E1281" s="11">
        <v>2194</v>
      </c>
    </row>
    <row r="1282" spans="1:5" x14ac:dyDescent="0.35">
      <c r="A1282" s="6" t="s">
        <v>135</v>
      </c>
      <c r="B1282" s="7"/>
      <c r="C1282" s="7"/>
      <c r="D1282" s="7" t="s">
        <v>149</v>
      </c>
      <c r="E1282" s="8">
        <v>5</v>
      </c>
    </row>
    <row r="1283" spans="1:5" x14ac:dyDescent="0.35">
      <c r="A1283" s="9" t="s">
        <v>135</v>
      </c>
      <c r="B1283" s="10"/>
      <c r="C1283" s="10" t="s">
        <v>150</v>
      </c>
      <c r="D1283" s="10" t="s">
        <v>147</v>
      </c>
      <c r="E1283" s="11" t="s">
        <v>137</v>
      </c>
    </row>
    <row r="1284" spans="1:5" x14ac:dyDescent="0.35">
      <c r="A1284" s="6" t="s">
        <v>135</v>
      </c>
      <c r="B1284" s="7"/>
      <c r="C1284" s="7"/>
      <c r="D1284" s="7" t="s">
        <v>148</v>
      </c>
      <c r="E1284" s="8" t="s">
        <v>137</v>
      </c>
    </row>
    <row r="1285" spans="1:5" x14ac:dyDescent="0.35">
      <c r="A1285" s="9" t="s">
        <v>135</v>
      </c>
      <c r="B1285" s="10"/>
      <c r="C1285" s="10"/>
      <c r="D1285" s="10" t="s">
        <v>149</v>
      </c>
      <c r="E1285" s="11" t="s">
        <v>137</v>
      </c>
    </row>
    <row r="1286" spans="1:5" x14ac:dyDescent="0.35">
      <c r="A1286" s="6" t="s">
        <v>135</v>
      </c>
      <c r="B1286" s="7" t="s">
        <v>154</v>
      </c>
      <c r="C1286" s="7" t="s">
        <v>146</v>
      </c>
      <c r="D1286" s="7" t="s">
        <v>147</v>
      </c>
      <c r="E1286" s="8" t="s">
        <v>137</v>
      </c>
    </row>
    <row r="1287" spans="1:5" x14ac:dyDescent="0.35">
      <c r="A1287" s="9" t="s">
        <v>135</v>
      </c>
      <c r="B1287" s="10"/>
      <c r="C1287" s="10"/>
      <c r="D1287" s="10" t="s">
        <v>148</v>
      </c>
      <c r="E1287" s="11" t="s">
        <v>137</v>
      </c>
    </row>
    <row r="1288" spans="1:5" x14ac:dyDescent="0.35">
      <c r="A1288" s="6" t="s">
        <v>135</v>
      </c>
      <c r="B1288" s="7"/>
      <c r="C1288" s="7"/>
      <c r="D1288" s="7" t="s">
        <v>149</v>
      </c>
      <c r="E1288" s="8" t="s">
        <v>137</v>
      </c>
    </row>
    <row r="1289" spans="1:5" x14ac:dyDescent="0.35">
      <c r="A1289" s="9" t="s">
        <v>135</v>
      </c>
      <c r="B1289" s="10"/>
      <c r="C1289" s="10" t="s">
        <v>150</v>
      </c>
      <c r="D1289" s="10" t="s">
        <v>147</v>
      </c>
      <c r="E1289" s="11" t="s">
        <v>137</v>
      </c>
    </row>
    <row r="1290" spans="1:5" x14ac:dyDescent="0.35">
      <c r="A1290" s="6" t="s">
        <v>135</v>
      </c>
      <c r="B1290" s="7"/>
      <c r="C1290" s="7"/>
      <c r="D1290" s="7" t="s">
        <v>148</v>
      </c>
      <c r="E1290" s="8" t="s">
        <v>137</v>
      </c>
    </row>
    <row r="1291" spans="1:5" x14ac:dyDescent="0.35">
      <c r="A1291" s="9" t="s">
        <v>135</v>
      </c>
      <c r="B1291" s="10"/>
      <c r="C1291" s="10"/>
      <c r="D1291" s="10" t="s">
        <v>149</v>
      </c>
      <c r="E1291" s="11" t="s">
        <v>137</v>
      </c>
    </row>
    <row r="1292" spans="1:5" x14ac:dyDescent="0.35">
      <c r="A1292" s="6" t="s">
        <v>135</v>
      </c>
      <c r="B1292" s="7" t="s">
        <v>155</v>
      </c>
      <c r="C1292" s="7" t="s">
        <v>146</v>
      </c>
      <c r="D1292" s="7" t="s">
        <v>147</v>
      </c>
      <c r="E1292" s="8">
        <v>2832</v>
      </c>
    </row>
    <row r="1293" spans="1:5" x14ac:dyDescent="0.35">
      <c r="A1293" s="9" t="s">
        <v>135</v>
      </c>
      <c r="B1293" s="10"/>
      <c r="C1293" s="10"/>
      <c r="D1293" s="10" t="s">
        <v>148</v>
      </c>
      <c r="E1293" s="11">
        <v>2832</v>
      </c>
    </row>
    <row r="1294" spans="1:5" x14ac:dyDescent="0.35">
      <c r="A1294" s="6" t="s">
        <v>135</v>
      </c>
      <c r="B1294" s="7"/>
      <c r="C1294" s="7"/>
      <c r="D1294" s="7" t="s">
        <v>149</v>
      </c>
      <c r="E1294" s="8" t="s">
        <v>137</v>
      </c>
    </row>
    <row r="1295" spans="1:5" x14ac:dyDescent="0.35">
      <c r="A1295" s="9" t="s">
        <v>135</v>
      </c>
      <c r="B1295" s="10"/>
      <c r="C1295" s="10" t="s">
        <v>150</v>
      </c>
      <c r="D1295" s="10" t="s">
        <v>147</v>
      </c>
      <c r="E1295" s="11" t="s">
        <v>137</v>
      </c>
    </row>
    <row r="1296" spans="1:5" x14ac:dyDescent="0.35">
      <c r="A1296" s="6" t="s">
        <v>135</v>
      </c>
      <c r="B1296" s="7"/>
      <c r="C1296" s="7"/>
      <c r="D1296" s="7" t="s">
        <v>148</v>
      </c>
      <c r="E1296" s="8" t="s">
        <v>137</v>
      </c>
    </row>
    <row r="1297" spans="1:5" x14ac:dyDescent="0.35">
      <c r="A1297" s="9" t="s">
        <v>135</v>
      </c>
      <c r="B1297" s="10"/>
      <c r="C1297" s="10"/>
      <c r="D1297" s="10" t="s">
        <v>149</v>
      </c>
      <c r="E1297" s="11" t="s">
        <v>137</v>
      </c>
    </row>
    <row r="1298" spans="1:5" x14ac:dyDescent="0.35">
      <c r="A1298" s="6" t="s">
        <v>135</v>
      </c>
      <c r="B1298" s="7" t="s">
        <v>156</v>
      </c>
      <c r="C1298" s="7" t="s">
        <v>146</v>
      </c>
      <c r="D1298" s="7" t="s">
        <v>147</v>
      </c>
      <c r="E1298" s="8" t="s">
        <v>137</v>
      </c>
    </row>
    <row r="1299" spans="1:5" x14ac:dyDescent="0.35">
      <c r="A1299" s="9" t="s">
        <v>135</v>
      </c>
      <c r="B1299" s="10"/>
      <c r="C1299" s="10"/>
      <c r="D1299" s="10" t="s">
        <v>148</v>
      </c>
      <c r="E1299" s="11" t="s">
        <v>137</v>
      </c>
    </row>
    <row r="1300" spans="1:5" x14ac:dyDescent="0.35">
      <c r="A1300" s="6" t="s">
        <v>135</v>
      </c>
      <c r="B1300" s="7"/>
      <c r="C1300" s="7"/>
      <c r="D1300" s="7" t="s">
        <v>149</v>
      </c>
      <c r="E1300" s="8" t="s">
        <v>137</v>
      </c>
    </row>
    <row r="1301" spans="1:5" x14ac:dyDescent="0.35">
      <c r="A1301" s="9" t="s">
        <v>135</v>
      </c>
      <c r="B1301" s="10"/>
      <c r="C1301" s="10" t="s">
        <v>150</v>
      </c>
      <c r="D1301" s="10" t="s">
        <v>147</v>
      </c>
      <c r="E1301" s="11" t="s">
        <v>137</v>
      </c>
    </row>
    <row r="1302" spans="1:5" x14ac:dyDescent="0.35">
      <c r="A1302" s="6" t="s">
        <v>135</v>
      </c>
      <c r="B1302" s="7"/>
      <c r="C1302" s="7"/>
      <c r="D1302" s="7" t="s">
        <v>148</v>
      </c>
      <c r="E1302" s="8" t="s">
        <v>137</v>
      </c>
    </row>
    <row r="1303" spans="1:5" x14ac:dyDescent="0.35">
      <c r="A1303" s="9" t="s">
        <v>135</v>
      </c>
      <c r="B1303" s="10"/>
      <c r="C1303" s="10"/>
      <c r="D1303" s="10" t="s">
        <v>149</v>
      </c>
      <c r="E1303" s="11" t="s">
        <v>137</v>
      </c>
    </row>
    <row r="1304" spans="1:5" x14ac:dyDescent="0.35">
      <c r="A1304" s="6" t="s">
        <v>135</v>
      </c>
      <c r="B1304" s="7" t="s">
        <v>157</v>
      </c>
      <c r="C1304" s="7" t="s">
        <v>146</v>
      </c>
      <c r="D1304" s="7" t="s">
        <v>147</v>
      </c>
      <c r="E1304" s="8" t="s">
        <v>137</v>
      </c>
    </row>
    <row r="1305" spans="1:5" x14ac:dyDescent="0.35">
      <c r="A1305" s="9" t="s">
        <v>135</v>
      </c>
      <c r="B1305" s="10"/>
      <c r="C1305" s="10"/>
      <c r="D1305" s="10" t="s">
        <v>148</v>
      </c>
      <c r="E1305" s="11" t="s">
        <v>137</v>
      </c>
    </row>
    <row r="1306" spans="1:5" x14ac:dyDescent="0.35">
      <c r="A1306" s="6" t="s">
        <v>135</v>
      </c>
      <c r="B1306" s="7"/>
      <c r="C1306" s="7"/>
      <c r="D1306" s="7" t="s">
        <v>149</v>
      </c>
      <c r="E1306" s="8" t="s">
        <v>137</v>
      </c>
    </row>
    <row r="1307" spans="1:5" x14ac:dyDescent="0.35">
      <c r="A1307" s="9" t="s">
        <v>135</v>
      </c>
      <c r="B1307" s="10"/>
      <c r="C1307" s="10" t="s">
        <v>150</v>
      </c>
      <c r="D1307" s="10" t="s">
        <v>147</v>
      </c>
      <c r="E1307" s="11" t="s">
        <v>137</v>
      </c>
    </row>
    <row r="1308" spans="1:5" x14ac:dyDescent="0.35">
      <c r="A1308" s="6" t="s">
        <v>135</v>
      </c>
      <c r="B1308" s="7"/>
      <c r="C1308" s="7"/>
      <c r="D1308" s="7" t="s">
        <v>148</v>
      </c>
      <c r="E1308" s="8" t="s">
        <v>137</v>
      </c>
    </row>
    <row r="1309" spans="1:5" x14ac:dyDescent="0.35">
      <c r="A1309" s="9" t="s">
        <v>135</v>
      </c>
      <c r="B1309" s="10"/>
      <c r="C1309" s="10"/>
      <c r="D1309" s="10" t="s">
        <v>149</v>
      </c>
      <c r="E1309" s="11" t="s">
        <v>137</v>
      </c>
    </row>
    <row r="1310" spans="1:5" x14ac:dyDescent="0.35">
      <c r="A1310" s="6" t="s">
        <v>135</v>
      </c>
      <c r="B1310" s="7" t="s">
        <v>158</v>
      </c>
      <c r="C1310" s="7" t="s">
        <v>146</v>
      </c>
      <c r="D1310" s="7" t="s">
        <v>147</v>
      </c>
      <c r="E1310" s="8">
        <v>67</v>
      </c>
    </row>
    <row r="1311" spans="1:5" x14ac:dyDescent="0.35">
      <c r="A1311" s="9" t="s">
        <v>135</v>
      </c>
      <c r="B1311" s="10"/>
      <c r="C1311" s="10"/>
      <c r="D1311" s="10" t="s">
        <v>148</v>
      </c>
      <c r="E1311" s="11">
        <v>67</v>
      </c>
    </row>
    <row r="1312" spans="1:5" x14ac:dyDescent="0.35">
      <c r="A1312" s="6" t="s">
        <v>135</v>
      </c>
      <c r="B1312" s="7"/>
      <c r="C1312" s="7"/>
      <c r="D1312" s="7" t="s">
        <v>149</v>
      </c>
      <c r="E1312" s="8" t="s">
        <v>137</v>
      </c>
    </row>
    <row r="1313" spans="1:5" x14ac:dyDescent="0.35">
      <c r="A1313" s="9" t="s">
        <v>135</v>
      </c>
      <c r="B1313" s="10"/>
      <c r="C1313" s="10" t="s">
        <v>150</v>
      </c>
      <c r="D1313" s="10" t="s">
        <v>147</v>
      </c>
      <c r="E1313" s="11" t="s">
        <v>137</v>
      </c>
    </row>
    <row r="1314" spans="1:5" x14ac:dyDescent="0.35">
      <c r="A1314" s="6" t="s">
        <v>135</v>
      </c>
      <c r="B1314" s="7"/>
      <c r="C1314" s="7"/>
      <c r="D1314" s="7" t="s">
        <v>148</v>
      </c>
      <c r="E1314" s="8" t="s">
        <v>137</v>
      </c>
    </row>
    <row r="1315" spans="1:5" x14ac:dyDescent="0.35">
      <c r="A1315" s="9" t="s">
        <v>135</v>
      </c>
      <c r="B1315" s="10"/>
      <c r="C1315" s="10"/>
      <c r="D1315" s="10" t="s">
        <v>149</v>
      </c>
      <c r="E1315" s="11" t="s">
        <v>137</v>
      </c>
    </row>
    <row r="1316" spans="1:5" x14ac:dyDescent="0.35">
      <c r="A1316" s="6" t="s">
        <v>135</v>
      </c>
      <c r="B1316" s="7" t="s">
        <v>159</v>
      </c>
      <c r="C1316" s="7" t="s">
        <v>146</v>
      </c>
      <c r="D1316" s="7" t="s">
        <v>147</v>
      </c>
      <c r="E1316" s="8" t="s">
        <v>137</v>
      </c>
    </row>
    <row r="1317" spans="1:5" x14ac:dyDescent="0.35">
      <c r="A1317" s="9" t="s">
        <v>135</v>
      </c>
      <c r="B1317" s="10"/>
      <c r="C1317" s="10"/>
      <c r="D1317" s="10" t="s">
        <v>148</v>
      </c>
      <c r="E1317" s="11" t="s">
        <v>137</v>
      </c>
    </row>
    <row r="1318" spans="1:5" x14ac:dyDescent="0.35">
      <c r="A1318" s="6" t="s">
        <v>135</v>
      </c>
      <c r="B1318" s="7"/>
      <c r="C1318" s="7"/>
      <c r="D1318" s="7" t="s">
        <v>149</v>
      </c>
      <c r="E1318" s="8" t="s">
        <v>137</v>
      </c>
    </row>
    <row r="1319" spans="1:5" x14ac:dyDescent="0.35">
      <c r="A1319" s="9" t="s">
        <v>135</v>
      </c>
      <c r="B1319" s="10"/>
      <c r="C1319" s="10" t="s">
        <v>150</v>
      </c>
      <c r="D1319" s="10" t="s">
        <v>147</v>
      </c>
      <c r="E1319" s="11" t="s">
        <v>137</v>
      </c>
    </row>
    <row r="1320" spans="1:5" x14ac:dyDescent="0.35">
      <c r="A1320" s="6" t="s">
        <v>135</v>
      </c>
      <c r="B1320" s="7"/>
      <c r="C1320" s="7"/>
      <c r="D1320" s="7" t="s">
        <v>148</v>
      </c>
      <c r="E1320" s="8" t="s">
        <v>137</v>
      </c>
    </row>
    <row r="1321" spans="1:5" x14ac:dyDescent="0.35">
      <c r="A1321" s="9" t="s">
        <v>135</v>
      </c>
      <c r="B1321" s="10"/>
      <c r="C1321" s="10"/>
      <c r="D1321" s="10" t="s">
        <v>149</v>
      </c>
      <c r="E1321" s="11" t="s">
        <v>137</v>
      </c>
    </row>
    <row r="1322" spans="1:5" x14ac:dyDescent="0.35">
      <c r="A1322" s="6" t="s">
        <v>135</v>
      </c>
      <c r="B1322" s="7" t="s">
        <v>160</v>
      </c>
      <c r="C1322" s="7" t="s">
        <v>146</v>
      </c>
      <c r="D1322" s="7" t="s">
        <v>147</v>
      </c>
      <c r="E1322" s="8" t="s">
        <v>137</v>
      </c>
    </row>
    <row r="1323" spans="1:5" x14ac:dyDescent="0.35">
      <c r="A1323" s="9" t="s">
        <v>135</v>
      </c>
      <c r="B1323" s="10"/>
      <c r="C1323" s="10"/>
      <c r="D1323" s="10" t="s">
        <v>148</v>
      </c>
      <c r="E1323" s="11" t="s">
        <v>137</v>
      </c>
    </row>
    <row r="1324" spans="1:5" x14ac:dyDescent="0.35">
      <c r="A1324" s="6" t="s">
        <v>135</v>
      </c>
      <c r="B1324" s="7"/>
      <c r="C1324" s="7"/>
      <c r="D1324" s="7" t="s">
        <v>149</v>
      </c>
      <c r="E1324" s="8" t="s">
        <v>137</v>
      </c>
    </row>
    <row r="1325" spans="1:5" x14ac:dyDescent="0.35">
      <c r="A1325" s="9" t="s">
        <v>135</v>
      </c>
      <c r="B1325" s="10"/>
      <c r="C1325" s="10" t="s">
        <v>150</v>
      </c>
      <c r="D1325" s="10" t="s">
        <v>147</v>
      </c>
      <c r="E1325" s="11" t="s">
        <v>137</v>
      </c>
    </row>
    <row r="1326" spans="1:5" x14ac:dyDescent="0.35">
      <c r="A1326" s="6" t="s">
        <v>135</v>
      </c>
      <c r="B1326" s="7"/>
      <c r="C1326" s="7"/>
      <c r="D1326" s="7" t="s">
        <v>148</v>
      </c>
      <c r="E1326" s="8" t="s">
        <v>137</v>
      </c>
    </row>
    <row r="1327" spans="1:5" x14ac:dyDescent="0.35">
      <c r="A1327" s="9" t="s">
        <v>135</v>
      </c>
      <c r="B1327" s="10"/>
      <c r="C1327" s="10"/>
      <c r="D1327" s="10" t="s">
        <v>149</v>
      </c>
      <c r="E1327" s="11" t="s">
        <v>137</v>
      </c>
    </row>
    <row r="1328" spans="1:5" x14ac:dyDescent="0.35">
      <c r="A1328" s="6" t="s">
        <v>135</v>
      </c>
      <c r="B1328" s="7" t="s">
        <v>161</v>
      </c>
      <c r="C1328" s="7" t="s">
        <v>146</v>
      </c>
      <c r="D1328" s="7" t="s">
        <v>147</v>
      </c>
      <c r="E1328" s="8">
        <v>64</v>
      </c>
    </row>
    <row r="1329" spans="1:5" x14ac:dyDescent="0.35">
      <c r="A1329" s="9" t="s">
        <v>135</v>
      </c>
      <c r="B1329" s="10"/>
      <c r="C1329" s="10"/>
      <c r="D1329" s="10" t="s">
        <v>148</v>
      </c>
      <c r="E1329" s="11">
        <v>64</v>
      </c>
    </row>
    <row r="1330" spans="1:5" x14ac:dyDescent="0.35">
      <c r="A1330" s="6" t="s">
        <v>135</v>
      </c>
      <c r="B1330" s="7"/>
      <c r="C1330" s="7"/>
      <c r="D1330" s="7" t="s">
        <v>149</v>
      </c>
      <c r="E1330" s="8" t="s">
        <v>137</v>
      </c>
    </row>
    <row r="1331" spans="1:5" x14ac:dyDescent="0.35">
      <c r="A1331" s="9" t="s">
        <v>135</v>
      </c>
      <c r="B1331" s="10"/>
      <c r="C1331" s="10" t="s">
        <v>150</v>
      </c>
      <c r="D1331" s="10" t="s">
        <v>147</v>
      </c>
      <c r="E1331" s="11" t="s">
        <v>137</v>
      </c>
    </row>
    <row r="1332" spans="1:5" x14ac:dyDescent="0.35">
      <c r="A1332" s="6" t="s">
        <v>135</v>
      </c>
      <c r="B1332" s="7"/>
      <c r="C1332" s="7"/>
      <c r="D1332" s="7" t="s">
        <v>148</v>
      </c>
      <c r="E1332" s="8" t="s">
        <v>137</v>
      </c>
    </row>
    <row r="1333" spans="1:5" x14ac:dyDescent="0.35">
      <c r="A1333" s="9" t="s">
        <v>135</v>
      </c>
      <c r="B1333" s="10"/>
      <c r="C1333" s="10"/>
      <c r="D1333" s="10" t="s">
        <v>149</v>
      </c>
      <c r="E1333" s="11" t="s">
        <v>137</v>
      </c>
    </row>
    <row r="1334" spans="1:5" x14ac:dyDescent="0.35">
      <c r="A1334" s="6" t="s">
        <v>135</v>
      </c>
      <c r="B1334" s="7" t="s">
        <v>162</v>
      </c>
      <c r="C1334" s="7" t="s">
        <v>146</v>
      </c>
      <c r="D1334" s="7" t="s">
        <v>147</v>
      </c>
      <c r="E1334" s="8" t="s">
        <v>137</v>
      </c>
    </row>
    <row r="1335" spans="1:5" x14ac:dyDescent="0.35">
      <c r="A1335" s="9" t="s">
        <v>135</v>
      </c>
      <c r="B1335" s="10"/>
      <c r="C1335" s="10"/>
      <c r="D1335" s="10" t="s">
        <v>148</v>
      </c>
      <c r="E1335" s="11" t="s">
        <v>137</v>
      </c>
    </row>
    <row r="1336" spans="1:5" x14ac:dyDescent="0.35">
      <c r="A1336" s="6" t="s">
        <v>135</v>
      </c>
      <c r="B1336" s="7"/>
      <c r="C1336" s="7"/>
      <c r="D1336" s="7" t="s">
        <v>149</v>
      </c>
      <c r="E1336" s="8" t="s">
        <v>137</v>
      </c>
    </row>
    <row r="1337" spans="1:5" x14ac:dyDescent="0.35">
      <c r="A1337" s="9" t="s">
        <v>135</v>
      </c>
      <c r="B1337" s="10"/>
      <c r="C1337" s="10" t="s">
        <v>150</v>
      </c>
      <c r="D1337" s="10" t="s">
        <v>147</v>
      </c>
      <c r="E1337" s="11" t="s">
        <v>137</v>
      </c>
    </row>
    <row r="1338" spans="1:5" x14ac:dyDescent="0.35">
      <c r="A1338" s="6" t="s">
        <v>135</v>
      </c>
      <c r="B1338" s="7"/>
      <c r="C1338" s="7"/>
      <c r="D1338" s="7" t="s">
        <v>148</v>
      </c>
      <c r="E1338" s="8" t="s">
        <v>137</v>
      </c>
    </row>
    <row r="1339" spans="1:5" x14ac:dyDescent="0.35">
      <c r="A1339" s="9" t="s">
        <v>135</v>
      </c>
      <c r="B1339" s="10"/>
      <c r="C1339" s="10"/>
      <c r="D1339" s="10" t="s">
        <v>149</v>
      </c>
      <c r="E1339" s="11" t="s">
        <v>137</v>
      </c>
    </row>
    <row r="1340" spans="1:5" x14ac:dyDescent="0.35">
      <c r="A1340" s="6" t="s">
        <v>135</v>
      </c>
      <c r="B1340" s="7" t="s">
        <v>163</v>
      </c>
      <c r="C1340" s="7" t="s">
        <v>146</v>
      </c>
      <c r="D1340" s="7" t="s">
        <v>147</v>
      </c>
      <c r="E1340" s="8">
        <v>53425</v>
      </c>
    </row>
    <row r="1341" spans="1:5" x14ac:dyDescent="0.35">
      <c r="A1341" s="9" t="s">
        <v>135</v>
      </c>
      <c r="B1341" s="10"/>
      <c r="C1341" s="10"/>
      <c r="D1341" s="10" t="s">
        <v>148</v>
      </c>
      <c r="E1341" s="11">
        <v>53239.05</v>
      </c>
    </row>
    <row r="1342" spans="1:5" x14ac:dyDescent="0.35">
      <c r="A1342" s="6" t="s">
        <v>135</v>
      </c>
      <c r="B1342" s="7"/>
      <c r="C1342" s="7"/>
      <c r="D1342" s="7" t="s">
        <v>149</v>
      </c>
      <c r="E1342" s="8">
        <v>185.95</v>
      </c>
    </row>
    <row r="1343" spans="1:5" x14ac:dyDescent="0.35">
      <c r="A1343" s="9" t="s">
        <v>135</v>
      </c>
      <c r="B1343" s="10"/>
      <c r="C1343" s="10" t="s">
        <v>150</v>
      </c>
      <c r="D1343" s="10" t="s">
        <v>147</v>
      </c>
      <c r="E1343" s="11" t="s">
        <v>137</v>
      </c>
    </row>
    <row r="1344" spans="1:5" x14ac:dyDescent="0.35">
      <c r="A1344" s="6" t="s">
        <v>135</v>
      </c>
      <c r="B1344" s="7"/>
      <c r="C1344" s="7"/>
      <c r="D1344" s="7" t="s">
        <v>148</v>
      </c>
      <c r="E1344" s="8" t="s">
        <v>137</v>
      </c>
    </row>
    <row r="1345" spans="1:5" x14ac:dyDescent="0.35">
      <c r="A1345" s="9" t="s">
        <v>135</v>
      </c>
      <c r="B1345" s="10"/>
      <c r="C1345" s="10"/>
      <c r="D1345" s="10" t="s">
        <v>149</v>
      </c>
      <c r="E1345" s="11" t="s">
        <v>137</v>
      </c>
    </row>
    <row r="1346" spans="1:5" x14ac:dyDescent="0.35">
      <c r="A1346" s="6" t="s">
        <v>135</v>
      </c>
      <c r="B1346" s="7" t="s">
        <v>164</v>
      </c>
      <c r="C1346" s="7" t="s">
        <v>146</v>
      </c>
      <c r="D1346" s="7" t="s">
        <v>147</v>
      </c>
      <c r="E1346" s="8" t="s">
        <v>137</v>
      </c>
    </row>
    <row r="1347" spans="1:5" x14ac:dyDescent="0.35">
      <c r="A1347" s="9" t="s">
        <v>135</v>
      </c>
      <c r="B1347" s="10"/>
      <c r="C1347" s="10"/>
      <c r="D1347" s="10" t="s">
        <v>148</v>
      </c>
      <c r="E1347" s="11" t="s">
        <v>137</v>
      </c>
    </row>
    <row r="1348" spans="1:5" x14ac:dyDescent="0.35">
      <c r="A1348" s="6" t="s">
        <v>135</v>
      </c>
      <c r="B1348" s="7"/>
      <c r="C1348" s="7"/>
      <c r="D1348" s="7" t="s">
        <v>149</v>
      </c>
      <c r="E1348" s="8" t="s">
        <v>137</v>
      </c>
    </row>
    <row r="1349" spans="1:5" x14ac:dyDescent="0.35">
      <c r="A1349" s="9" t="s">
        <v>135</v>
      </c>
      <c r="B1349" s="10"/>
      <c r="C1349" s="10" t="s">
        <v>150</v>
      </c>
      <c r="D1349" s="10" t="s">
        <v>147</v>
      </c>
      <c r="E1349" s="11" t="s">
        <v>137</v>
      </c>
    </row>
    <row r="1350" spans="1:5" x14ac:dyDescent="0.35">
      <c r="A1350" s="6" t="s">
        <v>135</v>
      </c>
      <c r="B1350" s="7"/>
      <c r="C1350" s="7"/>
      <c r="D1350" s="7" t="s">
        <v>148</v>
      </c>
      <c r="E1350" s="8" t="s">
        <v>137</v>
      </c>
    </row>
    <row r="1351" spans="1:5" x14ac:dyDescent="0.35">
      <c r="A1351" s="9" t="s">
        <v>135</v>
      </c>
      <c r="B1351" s="10"/>
      <c r="C1351" s="10"/>
      <c r="D1351" s="10" t="s">
        <v>149</v>
      </c>
      <c r="E1351" s="11" t="s">
        <v>137</v>
      </c>
    </row>
    <row r="1352" spans="1:5" x14ac:dyDescent="0.35">
      <c r="A1352" s="6" t="s">
        <v>135</v>
      </c>
      <c r="B1352" s="7" t="s">
        <v>165</v>
      </c>
      <c r="C1352" s="7" t="s">
        <v>146</v>
      </c>
      <c r="D1352" s="7" t="s">
        <v>147</v>
      </c>
      <c r="E1352" s="8" t="s">
        <v>137</v>
      </c>
    </row>
    <row r="1353" spans="1:5" x14ac:dyDescent="0.35">
      <c r="A1353" s="9" t="s">
        <v>135</v>
      </c>
      <c r="B1353" s="10"/>
      <c r="C1353" s="10"/>
      <c r="D1353" s="10" t="s">
        <v>148</v>
      </c>
      <c r="E1353" s="11" t="s">
        <v>137</v>
      </c>
    </row>
    <row r="1354" spans="1:5" x14ac:dyDescent="0.35">
      <c r="A1354" s="6" t="s">
        <v>135</v>
      </c>
      <c r="B1354" s="7"/>
      <c r="C1354" s="7"/>
      <c r="D1354" s="7" t="s">
        <v>149</v>
      </c>
      <c r="E1354" s="8" t="s">
        <v>137</v>
      </c>
    </row>
    <row r="1355" spans="1:5" x14ac:dyDescent="0.35">
      <c r="A1355" s="9" t="s">
        <v>135</v>
      </c>
      <c r="B1355" s="10"/>
      <c r="C1355" s="10" t="s">
        <v>150</v>
      </c>
      <c r="D1355" s="10" t="s">
        <v>147</v>
      </c>
      <c r="E1355" s="11" t="s">
        <v>137</v>
      </c>
    </row>
    <row r="1356" spans="1:5" x14ac:dyDescent="0.35">
      <c r="A1356" s="6" t="s">
        <v>135</v>
      </c>
      <c r="B1356" s="7"/>
      <c r="C1356" s="7"/>
      <c r="D1356" s="7" t="s">
        <v>148</v>
      </c>
      <c r="E1356" s="8" t="s">
        <v>137</v>
      </c>
    </row>
    <row r="1357" spans="1:5" x14ac:dyDescent="0.35">
      <c r="A1357" s="9" t="s">
        <v>135</v>
      </c>
      <c r="B1357" s="10"/>
      <c r="C1357" s="10"/>
      <c r="D1357" s="10" t="s">
        <v>149</v>
      </c>
      <c r="E1357" s="11" t="s">
        <v>137</v>
      </c>
    </row>
    <row r="1358" spans="1:5" x14ac:dyDescent="0.35">
      <c r="A1358" s="6" t="s">
        <v>135</v>
      </c>
      <c r="B1358" s="7" t="s">
        <v>166</v>
      </c>
      <c r="C1358" s="7" t="s">
        <v>146</v>
      </c>
      <c r="D1358" s="7" t="s">
        <v>147</v>
      </c>
      <c r="E1358" s="8">
        <v>1338.95</v>
      </c>
    </row>
    <row r="1359" spans="1:5" x14ac:dyDescent="0.35">
      <c r="A1359" s="9" t="s">
        <v>135</v>
      </c>
      <c r="B1359" s="10"/>
      <c r="C1359" s="10"/>
      <c r="D1359" s="10" t="s">
        <v>148</v>
      </c>
      <c r="E1359" s="11">
        <v>1153</v>
      </c>
    </row>
    <row r="1360" spans="1:5" x14ac:dyDescent="0.35">
      <c r="A1360" s="6" t="s">
        <v>135</v>
      </c>
      <c r="B1360" s="7"/>
      <c r="C1360" s="7"/>
      <c r="D1360" s="7" t="s">
        <v>149</v>
      </c>
      <c r="E1360" s="8">
        <v>185.95</v>
      </c>
    </row>
    <row r="1361" spans="1:5" x14ac:dyDescent="0.35">
      <c r="A1361" s="9" t="s">
        <v>135</v>
      </c>
      <c r="B1361" s="10"/>
      <c r="C1361" s="10" t="s">
        <v>150</v>
      </c>
      <c r="D1361" s="10" t="s">
        <v>147</v>
      </c>
      <c r="E1361" s="11" t="s">
        <v>137</v>
      </c>
    </row>
    <row r="1362" spans="1:5" x14ac:dyDescent="0.35">
      <c r="A1362" s="6" t="s">
        <v>135</v>
      </c>
      <c r="B1362" s="7"/>
      <c r="C1362" s="7"/>
      <c r="D1362" s="7" t="s">
        <v>148</v>
      </c>
      <c r="E1362" s="8" t="s">
        <v>137</v>
      </c>
    </row>
    <row r="1363" spans="1:5" x14ac:dyDescent="0.35">
      <c r="A1363" s="9" t="s">
        <v>135</v>
      </c>
      <c r="B1363" s="10"/>
      <c r="C1363" s="10"/>
      <c r="D1363" s="10" t="s">
        <v>149</v>
      </c>
      <c r="E1363" s="11" t="s">
        <v>137</v>
      </c>
    </row>
    <row r="1364" spans="1:5" x14ac:dyDescent="0.35">
      <c r="A1364" s="6" t="s">
        <v>135</v>
      </c>
      <c r="B1364" s="7" t="s">
        <v>167</v>
      </c>
      <c r="C1364" s="7" t="s">
        <v>146</v>
      </c>
      <c r="D1364" s="7" t="s">
        <v>147</v>
      </c>
      <c r="E1364" s="8">
        <v>52076.05</v>
      </c>
    </row>
    <row r="1365" spans="1:5" x14ac:dyDescent="0.35">
      <c r="A1365" s="9" t="s">
        <v>135</v>
      </c>
      <c r="B1365" s="10"/>
      <c r="C1365" s="10"/>
      <c r="D1365" s="10" t="s">
        <v>148</v>
      </c>
      <c r="E1365" s="11">
        <v>52076.05</v>
      </c>
    </row>
    <row r="1366" spans="1:5" x14ac:dyDescent="0.35">
      <c r="A1366" s="6" t="s">
        <v>135</v>
      </c>
      <c r="B1366" s="7"/>
      <c r="C1366" s="7"/>
      <c r="D1366" s="7" t="s">
        <v>149</v>
      </c>
      <c r="E1366" s="8" t="s">
        <v>137</v>
      </c>
    </row>
    <row r="1367" spans="1:5" x14ac:dyDescent="0.35">
      <c r="A1367" s="9" t="s">
        <v>135</v>
      </c>
      <c r="B1367" s="10"/>
      <c r="C1367" s="10" t="s">
        <v>150</v>
      </c>
      <c r="D1367" s="10" t="s">
        <v>147</v>
      </c>
      <c r="E1367" s="11" t="s">
        <v>137</v>
      </c>
    </row>
    <row r="1368" spans="1:5" x14ac:dyDescent="0.35">
      <c r="A1368" s="6" t="s">
        <v>135</v>
      </c>
      <c r="B1368" s="7"/>
      <c r="C1368" s="7"/>
      <c r="D1368" s="7" t="s">
        <v>148</v>
      </c>
      <c r="E1368" s="8" t="s">
        <v>137</v>
      </c>
    </row>
    <row r="1369" spans="1:5" x14ac:dyDescent="0.35">
      <c r="A1369" s="9" t="s">
        <v>135</v>
      </c>
      <c r="B1369" s="10"/>
      <c r="C1369" s="10"/>
      <c r="D1369" s="10" t="s">
        <v>149</v>
      </c>
      <c r="E1369" s="11" t="s">
        <v>137</v>
      </c>
    </row>
    <row r="1370" spans="1:5" x14ac:dyDescent="0.35">
      <c r="A1370" s="6" t="s">
        <v>135</v>
      </c>
      <c r="B1370" s="7" t="s">
        <v>168</v>
      </c>
      <c r="C1370" s="7" t="s">
        <v>146</v>
      </c>
      <c r="D1370" s="7" t="s">
        <v>147</v>
      </c>
      <c r="E1370" s="8">
        <v>10</v>
      </c>
    </row>
    <row r="1371" spans="1:5" x14ac:dyDescent="0.35">
      <c r="A1371" s="9" t="s">
        <v>135</v>
      </c>
      <c r="B1371" s="10"/>
      <c r="C1371" s="10"/>
      <c r="D1371" s="10" t="s">
        <v>148</v>
      </c>
      <c r="E1371" s="11">
        <v>10</v>
      </c>
    </row>
    <row r="1372" spans="1:5" x14ac:dyDescent="0.35">
      <c r="A1372" s="6" t="s">
        <v>135</v>
      </c>
      <c r="B1372" s="7"/>
      <c r="C1372" s="7"/>
      <c r="D1372" s="7" t="s">
        <v>149</v>
      </c>
      <c r="E1372" s="8" t="s">
        <v>137</v>
      </c>
    </row>
    <row r="1373" spans="1:5" x14ac:dyDescent="0.35">
      <c r="A1373" s="9" t="s">
        <v>135</v>
      </c>
      <c r="B1373" s="10"/>
      <c r="C1373" s="10" t="s">
        <v>150</v>
      </c>
      <c r="D1373" s="10" t="s">
        <v>147</v>
      </c>
      <c r="E1373" s="11" t="s">
        <v>137</v>
      </c>
    </row>
    <row r="1374" spans="1:5" x14ac:dyDescent="0.35">
      <c r="A1374" s="6" t="s">
        <v>135</v>
      </c>
      <c r="B1374" s="7"/>
      <c r="C1374" s="7"/>
      <c r="D1374" s="7" t="s">
        <v>148</v>
      </c>
      <c r="E1374" s="8" t="s">
        <v>137</v>
      </c>
    </row>
    <row r="1375" spans="1:5" x14ac:dyDescent="0.35">
      <c r="A1375" s="9" t="s">
        <v>135</v>
      </c>
      <c r="B1375" s="10"/>
      <c r="C1375" s="10"/>
      <c r="D1375" s="10" t="s">
        <v>149</v>
      </c>
      <c r="E1375" s="11" t="s">
        <v>137</v>
      </c>
    </row>
    <row r="1376" spans="1:5" x14ac:dyDescent="0.35">
      <c r="A1376" s="6" t="s">
        <v>135</v>
      </c>
      <c r="B1376" s="7" t="s">
        <v>169</v>
      </c>
      <c r="C1376" s="7" t="s">
        <v>146</v>
      </c>
      <c r="D1376" s="7" t="s">
        <v>147</v>
      </c>
      <c r="E1376" s="8" t="s">
        <v>137</v>
      </c>
    </row>
    <row r="1377" spans="1:5" x14ac:dyDescent="0.35">
      <c r="A1377" s="9" t="s">
        <v>135</v>
      </c>
      <c r="B1377" s="10"/>
      <c r="C1377" s="10"/>
      <c r="D1377" s="10" t="s">
        <v>148</v>
      </c>
      <c r="E1377" s="11" t="s">
        <v>137</v>
      </c>
    </row>
    <row r="1378" spans="1:5" x14ac:dyDescent="0.35">
      <c r="A1378" s="6" t="s">
        <v>135</v>
      </c>
      <c r="B1378" s="7"/>
      <c r="C1378" s="7"/>
      <c r="D1378" s="7" t="s">
        <v>149</v>
      </c>
      <c r="E1378" s="8" t="s">
        <v>137</v>
      </c>
    </row>
    <row r="1379" spans="1:5" x14ac:dyDescent="0.35">
      <c r="A1379" s="9" t="s">
        <v>135</v>
      </c>
      <c r="B1379" s="10"/>
      <c r="C1379" s="10" t="s">
        <v>150</v>
      </c>
      <c r="D1379" s="10" t="s">
        <v>147</v>
      </c>
      <c r="E1379" s="11" t="s">
        <v>137</v>
      </c>
    </row>
    <row r="1380" spans="1:5" x14ac:dyDescent="0.35">
      <c r="A1380" s="6" t="s">
        <v>135</v>
      </c>
      <c r="B1380" s="7"/>
      <c r="C1380" s="7"/>
      <c r="D1380" s="7" t="s">
        <v>148</v>
      </c>
      <c r="E1380" s="8" t="s">
        <v>137</v>
      </c>
    </row>
    <row r="1381" spans="1:5" x14ac:dyDescent="0.35">
      <c r="A1381" s="9" t="s">
        <v>135</v>
      </c>
      <c r="B1381" s="10"/>
      <c r="C1381" s="10"/>
      <c r="D1381" s="10" t="s">
        <v>149</v>
      </c>
      <c r="E1381" s="11" t="s">
        <v>137</v>
      </c>
    </row>
    <row r="1382" spans="1:5" x14ac:dyDescent="0.35">
      <c r="A1382" s="6" t="s">
        <v>135</v>
      </c>
      <c r="B1382" s="7" t="s">
        <v>170</v>
      </c>
      <c r="C1382" s="7" t="s">
        <v>146</v>
      </c>
      <c r="D1382" s="7" t="s">
        <v>147</v>
      </c>
      <c r="E1382" s="8" t="s">
        <v>137</v>
      </c>
    </row>
    <row r="1383" spans="1:5" x14ac:dyDescent="0.35">
      <c r="A1383" s="9" t="s">
        <v>135</v>
      </c>
      <c r="B1383" s="10"/>
      <c r="C1383" s="10"/>
      <c r="D1383" s="10" t="s">
        <v>148</v>
      </c>
      <c r="E1383" s="11" t="s">
        <v>137</v>
      </c>
    </row>
    <row r="1384" spans="1:5" x14ac:dyDescent="0.35">
      <c r="A1384" s="6" t="s">
        <v>135</v>
      </c>
      <c r="B1384" s="7"/>
      <c r="C1384" s="7"/>
      <c r="D1384" s="7" t="s">
        <v>149</v>
      </c>
      <c r="E1384" s="8" t="s">
        <v>137</v>
      </c>
    </row>
    <row r="1385" spans="1:5" x14ac:dyDescent="0.35">
      <c r="A1385" s="9" t="s">
        <v>135</v>
      </c>
      <c r="B1385" s="10"/>
      <c r="C1385" s="10" t="s">
        <v>150</v>
      </c>
      <c r="D1385" s="10" t="s">
        <v>147</v>
      </c>
      <c r="E1385" s="11" t="s">
        <v>137</v>
      </c>
    </row>
    <row r="1386" spans="1:5" x14ac:dyDescent="0.35">
      <c r="A1386" s="6" t="s">
        <v>135</v>
      </c>
      <c r="B1386" s="7"/>
      <c r="C1386" s="7"/>
      <c r="D1386" s="7" t="s">
        <v>148</v>
      </c>
      <c r="E1386" s="8" t="s">
        <v>137</v>
      </c>
    </row>
    <row r="1387" spans="1:5" x14ac:dyDescent="0.35">
      <c r="A1387" s="9" t="s">
        <v>135</v>
      </c>
      <c r="B1387" s="10"/>
      <c r="C1387" s="10"/>
      <c r="D1387" s="10" t="s">
        <v>149</v>
      </c>
      <c r="E1387" s="11" t="s">
        <v>137</v>
      </c>
    </row>
    <row r="1388" spans="1:5" x14ac:dyDescent="0.35">
      <c r="A1388" s="6" t="s">
        <v>67</v>
      </c>
      <c r="B1388" s="7" t="s">
        <v>145</v>
      </c>
      <c r="C1388" s="7" t="s">
        <v>146</v>
      </c>
      <c r="D1388" s="7" t="s">
        <v>147</v>
      </c>
      <c r="E1388" s="8">
        <v>127.15</v>
      </c>
    </row>
    <row r="1389" spans="1:5" x14ac:dyDescent="0.35">
      <c r="A1389" s="9" t="s">
        <v>135</v>
      </c>
      <c r="B1389" s="10"/>
      <c r="C1389" s="10"/>
      <c r="D1389" s="10" t="s">
        <v>148</v>
      </c>
      <c r="E1389" s="11">
        <v>127.14</v>
      </c>
    </row>
    <row r="1390" spans="1:5" x14ac:dyDescent="0.35">
      <c r="A1390" s="6" t="s">
        <v>135</v>
      </c>
      <c r="B1390" s="7"/>
      <c r="C1390" s="7"/>
      <c r="D1390" s="7" t="s">
        <v>149</v>
      </c>
      <c r="E1390" s="8">
        <v>0.01</v>
      </c>
    </row>
    <row r="1391" spans="1:5" x14ac:dyDescent="0.35">
      <c r="A1391" s="9" t="s">
        <v>135</v>
      </c>
      <c r="B1391" s="10"/>
      <c r="C1391" s="10" t="s">
        <v>150</v>
      </c>
      <c r="D1391" s="10" t="s">
        <v>147</v>
      </c>
      <c r="E1391" s="11" t="s">
        <v>137</v>
      </c>
    </row>
    <row r="1392" spans="1:5" x14ac:dyDescent="0.35">
      <c r="A1392" s="6" t="s">
        <v>135</v>
      </c>
      <c r="B1392" s="7"/>
      <c r="C1392" s="7"/>
      <c r="D1392" s="7" t="s">
        <v>148</v>
      </c>
      <c r="E1392" s="8" t="s">
        <v>137</v>
      </c>
    </row>
    <row r="1393" spans="1:5" x14ac:dyDescent="0.35">
      <c r="A1393" s="9" t="s">
        <v>135</v>
      </c>
      <c r="B1393" s="10"/>
      <c r="C1393" s="10"/>
      <c r="D1393" s="10" t="s">
        <v>149</v>
      </c>
      <c r="E1393" s="11" t="s">
        <v>137</v>
      </c>
    </row>
    <row r="1394" spans="1:5" x14ac:dyDescent="0.35">
      <c r="A1394" s="6" t="s">
        <v>135</v>
      </c>
      <c r="B1394" s="7" t="s">
        <v>151</v>
      </c>
      <c r="C1394" s="7" t="s">
        <v>146</v>
      </c>
      <c r="D1394" s="7" t="s">
        <v>147</v>
      </c>
      <c r="E1394" s="8">
        <v>0.01</v>
      </c>
    </row>
    <row r="1395" spans="1:5" x14ac:dyDescent="0.35">
      <c r="A1395" s="9" t="s">
        <v>135</v>
      </c>
      <c r="B1395" s="10"/>
      <c r="C1395" s="10"/>
      <c r="D1395" s="10" t="s">
        <v>148</v>
      </c>
      <c r="E1395" s="11" t="s">
        <v>137</v>
      </c>
    </row>
    <row r="1396" spans="1:5" x14ac:dyDescent="0.35">
      <c r="A1396" s="6" t="s">
        <v>135</v>
      </c>
      <c r="B1396" s="7"/>
      <c r="C1396" s="7"/>
      <c r="D1396" s="7" t="s">
        <v>149</v>
      </c>
      <c r="E1396" s="8">
        <v>0.01</v>
      </c>
    </row>
    <row r="1397" spans="1:5" x14ac:dyDescent="0.35">
      <c r="A1397" s="9" t="s">
        <v>135</v>
      </c>
      <c r="B1397" s="10"/>
      <c r="C1397" s="10" t="s">
        <v>150</v>
      </c>
      <c r="D1397" s="10" t="s">
        <v>147</v>
      </c>
      <c r="E1397" s="11" t="s">
        <v>137</v>
      </c>
    </row>
    <row r="1398" spans="1:5" x14ac:dyDescent="0.35">
      <c r="A1398" s="6" t="s">
        <v>135</v>
      </c>
      <c r="B1398" s="7"/>
      <c r="C1398" s="7"/>
      <c r="D1398" s="7" t="s">
        <v>148</v>
      </c>
      <c r="E1398" s="8" t="s">
        <v>137</v>
      </c>
    </row>
    <row r="1399" spans="1:5" x14ac:dyDescent="0.35">
      <c r="A1399" s="9" t="s">
        <v>135</v>
      </c>
      <c r="B1399" s="10"/>
      <c r="C1399" s="10"/>
      <c r="D1399" s="10" t="s">
        <v>149</v>
      </c>
      <c r="E1399" s="11" t="s">
        <v>137</v>
      </c>
    </row>
    <row r="1400" spans="1:5" x14ac:dyDescent="0.35">
      <c r="A1400" s="6" t="s">
        <v>135</v>
      </c>
      <c r="B1400" s="7" t="s">
        <v>152</v>
      </c>
      <c r="C1400" s="7" t="s">
        <v>146</v>
      </c>
      <c r="D1400" s="7" t="s">
        <v>147</v>
      </c>
      <c r="E1400" s="8" t="s">
        <v>137</v>
      </c>
    </row>
    <row r="1401" spans="1:5" x14ac:dyDescent="0.35">
      <c r="A1401" s="9" t="s">
        <v>135</v>
      </c>
      <c r="B1401" s="10"/>
      <c r="C1401" s="10"/>
      <c r="D1401" s="10" t="s">
        <v>148</v>
      </c>
      <c r="E1401" s="11" t="s">
        <v>137</v>
      </c>
    </row>
    <row r="1402" spans="1:5" x14ac:dyDescent="0.35">
      <c r="A1402" s="6" t="s">
        <v>135</v>
      </c>
      <c r="B1402" s="7"/>
      <c r="C1402" s="7"/>
      <c r="D1402" s="7" t="s">
        <v>149</v>
      </c>
      <c r="E1402" s="8" t="s">
        <v>137</v>
      </c>
    </row>
    <row r="1403" spans="1:5" x14ac:dyDescent="0.35">
      <c r="A1403" s="9" t="s">
        <v>135</v>
      </c>
      <c r="B1403" s="10"/>
      <c r="C1403" s="10" t="s">
        <v>150</v>
      </c>
      <c r="D1403" s="10" t="s">
        <v>147</v>
      </c>
      <c r="E1403" s="11" t="s">
        <v>137</v>
      </c>
    </row>
    <row r="1404" spans="1:5" x14ac:dyDescent="0.35">
      <c r="A1404" s="6" t="s">
        <v>135</v>
      </c>
      <c r="B1404" s="7"/>
      <c r="C1404" s="7"/>
      <c r="D1404" s="7" t="s">
        <v>148</v>
      </c>
      <c r="E1404" s="8" t="s">
        <v>137</v>
      </c>
    </row>
    <row r="1405" spans="1:5" x14ac:dyDescent="0.35">
      <c r="A1405" s="9" t="s">
        <v>135</v>
      </c>
      <c r="B1405" s="10"/>
      <c r="C1405" s="10"/>
      <c r="D1405" s="10" t="s">
        <v>149</v>
      </c>
      <c r="E1405" s="11" t="s">
        <v>137</v>
      </c>
    </row>
    <row r="1406" spans="1:5" x14ac:dyDescent="0.35">
      <c r="A1406" s="6" t="s">
        <v>135</v>
      </c>
      <c r="B1406" s="7" t="s">
        <v>153</v>
      </c>
      <c r="C1406" s="7" t="s">
        <v>146</v>
      </c>
      <c r="D1406" s="7" t="s">
        <v>147</v>
      </c>
      <c r="E1406" s="8" t="s">
        <v>137</v>
      </c>
    </row>
    <row r="1407" spans="1:5" x14ac:dyDescent="0.35">
      <c r="A1407" s="9" t="s">
        <v>135</v>
      </c>
      <c r="B1407" s="10"/>
      <c r="C1407" s="10"/>
      <c r="D1407" s="10" t="s">
        <v>148</v>
      </c>
      <c r="E1407" s="11" t="s">
        <v>137</v>
      </c>
    </row>
    <row r="1408" spans="1:5" x14ac:dyDescent="0.35">
      <c r="A1408" s="6" t="s">
        <v>135</v>
      </c>
      <c r="B1408" s="7"/>
      <c r="C1408" s="7"/>
      <c r="D1408" s="7" t="s">
        <v>149</v>
      </c>
      <c r="E1408" s="8" t="s">
        <v>137</v>
      </c>
    </row>
    <row r="1409" spans="1:5" x14ac:dyDescent="0.35">
      <c r="A1409" s="9" t="s">
        <v>135</v>
      </c>
      <c r="B1409" s="10"/>
      <c r="C1409" s="10" t="s">
        <v>150</v>
      </c>
      <c r="D1409" s="10" t="s">
        <v>147</v>
      </c>
      <c r="E1409" s="11" t="s">
        <v>137</v>
      </c>
    </row>
    <row r="1410" spans="1:5" x14ac:dyDescent="0.35">
      <c r="A1410" s="6" t="s">
        <v>135</v>
      </c>
      <c r="B1410" s="7"/>
      <c r="C1410" s="7"/>
      <c r="D1410" s="7" t="s">
        <v>148</v>
      </c>
      <c r="E1410" s="8" t="s">
        <v>137</v>
      </c>
    </row>
    <row r="1411" spans="1:5" x14ac:dyDescent="0.35">
      <c r="A1411" s="9" t="s">
        <v>135</v>
      </c>
      <c r="B1411" s="10"/>
      <c r="C1411" s="10"/>
      <c r="D1411" s="10" t="s">
        <v>149</v>
      </c>
      <c r="E1411" s="11" t="s">
        <v>137</v>
      </c>
    </row>
    <row r="1412" spans="1:5" x14ac:dyDescent="0.35">
      <c r="A1412" s="6" t="s">
        <v>135</v>
      </c>
      <c r="B1412" s="7" t="s">
        <v>154</v>
      </c>
      <c r="C1412" s="7" t="s">
        <v>146</v>
      </c>
      <c r="D1412" s="7" t="s">
        <v>147</v>
      </c>
      <c r="E1412" s="8" t="s">
        <v>137</v>
      </c>
    </row>
    <row r="1413" spans="1:5" x14ac:dyDescent="0.35">
      <c r="A1413" s="9" t="s">
        <v>135</v>
      </c>
      <c r="B1413" s="10"/>
      <c r="C1413" s="10"/>
      <c r="D1413" s="10" t="s">
        <v>148</v>
      </c>
      <c r="E1413" s="11" t="s">
        <v>137</v>
      </c>
    </row>
    <row r="1414" spans="1:5" x14ac:dyDescent="0.35">
      <c r="A1414" s="6" t="s">
        <v>135</v>
      </c>
      <c r="B1414" s="7"/>
      <c r="C1414" s="7"/>
      <c r="D1414" s="7" t="s">
        <v>149</v>
      </c>
      <c r="E1414" s="8" t="s">
        <v>137</v>
      </c>
    </row>
    <row r="1415" spans="1:5" x14ac:dyDescent="0.35">
      <c r="A1415" s="9" t="s">
        <v>135</v>
      </c>
      <c r="B1415" s="10"/>
      <c r="C1415" s="10" t="s">
        <v>150</v>
      </c>
      <c r="D1415" s="10" t="s">
        <v>147</v>
      </c>
      <c r="E1415" s="11" t="s">
        <v>137</v>
      </c>
    </row>
    <row r="1416" spans="1:5" x14ac:dyDescent="0.35">
      <c r="A1416" s="6" t="s">
        <v>135</v>
      </c>
      <c r="B1416" s="7"/>
      <c r="C1416" s="7"/>
      <c r="D1416" s="7" t="s">
        <v>148</v>
      </c>
      <c r="E1416" s="8" t="s">
        <v>137</v>
      </c>
    </row>
    <row r="1417" spans="1:5" x14ac:dyDescent="0.35">
      <c r="A1417" s="9" t="s">
        <v>135</v>
      </c>
      <c r="B1417" s="10"/>
      <c r="C1417" s="10"/>
      <c r="D1417" s="10" t="s">
        <v>149</v>
      </c>
      <c r="E1417" s="11" t="s">
        <v>137</v>
      </c>
    </row>
    <row r="1418" spans="1:5" x14ac:dyDescent="0.35">
      <c r="A1418" s="6" t="s">
        <v>135</v>
      </c>
      <c r="B1418" s="7" t="s">
        <v>155</v>
      </c>
      <c r="C1418" s="7" t="s">
        <v>146</v>
      </c>
      <c r="D1418" s="7" t="s">
        <v>147</v>
      </c>
      <c r="E1418" s="8">
        <v>127.14</v>
      </c>
    </row>
    <row r="1419" spans="1:5" x14ac:dyDescent="0.35">
      <c r="A1419" s="9" t="s">
        <v>135</v>
      </c>
      <c r="B1419" s="10"/>
      <c r="C1419" s="10"/>
      <c r="D1419" s="10" t="s">
        <v>148</v>
      </c>
      <c r="E1419" s="11">
        <v>127.14</v>
      </c>
    </row>
    <row r="1420" spans="1:5" x14ac:dyDescent="0.35">
      <c r="A1420" s="6" t="s">
        <v>135</v>
      </c>
      <c r="B1420" s="7"/>
      <c r="C1420" s="7"/>
      <c r="D1420" s="7" t="s">
        <v>149</v>
      </c>
      <c r="E1420" s="8" t="s">
        <v>137</v>
      </c>
    </row>
    <row r="1421" spans="1:5" x14ac:dyDescent="0.35">
      <c r="A1421" s="9" t="s">
        <v>135</v>
      </c>
      <c r="B1421" s="10"/>
      <c r="C1421" s="10" t="s">
        <v>150</v>
      </c>
      <c r="D1421" s="10" t="s">
        <v>147</v>
      </c>
      <c r="E1421" s="11" t="s">
        <v>137</v>
      </c>
    </row>
    <row r="1422" spans="1:5" x14ac:dyDescent="0.35">
      <c r="A1422" s="6" t="s">
        <v>135</v>
      </c>
      <c r="B1422" s="7"/>
      <c r="C1422" s="7"/>
      <c r="D1422" s="7" t="s">
        <v>148</v>
      </c>
      <c r="E1422" s="8" t="s">
        <v>137</v>
      </c>
    </row>
    <row r="1423" spans="1:5" x14ac:dyDescent="0.35">
      <c r="A1423" s="9" t="s">
        <v>135</v>
      </c>
      <c r="B1423" s="10"/>
      <c r="C1423" s="10"/>
      <c r="D1423" s="10" t="s">
        <v>149</v>
      </c>
      <c r="E1423" s="11" t="s">
        <v>137</v>
      </c>
    </row>
    <row r="1424" spans="1:5" x14ac:dyDescent="0.35">
      <c r="A1424" s="6" t="s">
        <v>135</v>
      </c>
      <c r="B1424" s="7" t="s">
        <v>156</v>
      </c>
      <c r="C1424" s="7" t="s">
        <v>146</v>
      </c>
      <c r="D1424" s="7" t="s">
        <v>147</v>
      </c>
      <c r="E1424" s="8" t="s">
        <v>137</v>
      </c>
    </row>
    <row r="1425" spans="1:5" x14ac:dyDescent="0.35">
      <c r="A1425" s="9" t="s">
        <v>135</v>
      </c>
      <c r="B1425" s="10"/>
      <c r="C1425" s="10"/>
      <c r="D1425" s="10" t="s">
        <v>148</v>
      </c>
      <c r="E1425" s="11" t="s">
        <v>137</v>
      </c>
    </row>
    <row r="1426" spans="1:5" x14ac:dyDescent="0.35">
      <c r="A1426" s="6" t="s">
        <v>135</v>
      </c>
      <c r="B1426" s="7"/>
      <c r="C1426" s="7"/>
      <c r="D1426" s="7" t="s">
        <v>149</v>
      </c>
      <c r="E1426" s="8" t="s">
        <v>137</v>
      </c>
    </row>
    <row r="1427" spans="1:5" x14ac:dyDescent="0.35">
      <c r="A1427" s="9" t="s">
        <v>135</v>
      </c>
      <c r="B1427" s="10"/>
      <c r="C1427" s="10" t="s">
        <v>150</v>
      </c>
      <c r="D1427" s="10" t="s">
        <v>147</v>
      </c>
      <c r="E1427" s="11" t="s">
        <v>137</v>
      </c>
    </row>
    <row r="1428" spans="1:5" x14ac:dyDescent="0.35">
      <c r="A1428" s="6" t="s">
        <v>135</v>
      </c>
      <c r="B1428" s="7"/>
      <c r="C1428" s="7"/>
      <c r="D1428" s="7" t="s">
        <v>148</v>
      </c>
      <c r="E1428" s="8" t="s">
        <v>137</v>
      </c>
    </row>
    <row r="1429" spans="1:5" x14ac:dyDescent="0.35">
      <c r="A1429" s="9" t="s">
        <v>135</v>
      </c>
      <c r="B1429" s="10"/>
      <c r="C1429" s="10"/>
      <c r="D1429" s="10" t="s">
        <v>149</v>
      </c>
      <c r="E1429" s="11" t="s">
        <v>137</v>
      </c>
    </row>
    <row r="1430" spans="1:5" x14ac:dyDescent="0.35">
      <c r="A1430" s="6" t="s">
        <v>135</v>
      </c>
      <c r="B1430" s="7" t="s">
        <v>157</v>
      </c>
      <c r="C1430" s="7" t="s">
        <v>146</v>
      </c>
      <c r="D1430" s="7" t="s">
        <v>147</v>
      </c>
      <c r="E1430" s="8" t="s">
        <v>137</v>
      </c>
    </row>
    <row r="1431" spans="1:5" x14ac:dyDescent="0.35">
      <c r="A1431" s="9" t="s">
        <v>135</v>
      </c>
      <c r="B1431" s="10"/>
      <c r="C1431" s="10"/>
      <c r="D1431" s="10" t="s">
        <v>148</v>
      </c>
      <c r="E1431" s="11" t="s">
        <v>137</v>
      </c>
    </row>
    <row r="1432" spans="1:5" x14ac:dyDescent="0.35">
      <c r="A1432" s="6" t="s">
        <v>135</v>
      </c>
      <c r="B1432" s="7"/>
      <c r="C1432" s="7"/>
      <c r="D1432" s="7" t="s">
        <v>149</v>
      </c>
      <c r="E1432" s="8" t="s">
        <v>137</v>
      </c>
    </row>
    <row r="1433" spans="1:5" x14ac:dyDescent="0.35">
      <c r="A1433" s="9" t="s">
        <v>135</v>
      </c>
      <c r="B1433" s="10"/>
      <c r="C1433" s="10" t="s">
        <v>150</v>
      </c>
      <c r="D1433" s="10" t="s">
        <v>147</v>
      </c>
      <c r="E1433" s="11" t="s">
        <v>137</v>
      </c>
    </row>
    <row r="1434" spans="1:5" x14ac:dyDescent="0.35">
      <c r="A1434" s="6" t="s">
        <v>135</v>
      </c>
      <c r="B1434" s="7"/>
      <c r="C1434" s="7"/>
      <c r="D1434" s="7" t="s">
        <v>148</v>
      </c>
      <c r="E1434" s="8" t="s">
        <v>137</v>
      </c>
    </row>
    <row r="1435" spans="1:5" x14ac:dyDescent="0.35">
      <c r="A1435" s="9" t="s">
        <v>135</v>
      </c>
      <c r="B1435" s="10"/>
      <c r="C1435" s="10"/>
      <c r="D1435" s="10" t="s">
        <v>149</v>
      </c>
      <c r="E1435" s="11" t="s">
        <v>137</v>
      </c>
    </row>
    <row r="1436" spans="1:5" x14ac:dyDescent="0.35">
      <c r="A1436" s="6" t="s">
        <v>135</v>
      </c>
      <c r="B1436" s="7" t="s">
        <v>158</v>
      </c>
      <c r="C1436" s="7" t="s">
        <v>146</v>
      </c>
      <c r="D1436" s="7" t="s">
        <v>147</v>
      </c>
      <c r="E1436" s="8" t="s">
        <v>137</v>
      </c>
    </row>
    <row r="1437" spans="1:5" x14ac:dyDescent="0.35">
      <c r="A1437" s="9" t="s">
        <v>135</v>
      </c>
      <c r="B1437" s="10"/>
      <c r="C1437" s="10"/>
      <c r="D1437" s="10" t="s">
        <v>148</v>
      </c>
      <c r="E1437" s="11" t="s">
        <v>137</v>
      </c>
    </row>
    <row r="1438" spans="1:5" x14ac:dyDescent="0.35">
      <c r="A1438" s="6" t="s">
        <v>135</v>
      </c>
      <c r="B1438" s="7"/>
      <c r="C1438" s="7"/>
      <c r="D1438" s="7" t="s">
        <v>149</v>
      </c>
      <c r="E1438" s="8" t="s">
        <v>137</v>
      </c>
    </row>
    <row r="1439" spans="1:5" x14ac:dyDescent="0.35">
      <c r="A1439" s="9" t="s">
        <v>135</v>
      </c>
      <c r="B1439" s="10"/>
      <c r="C1439" s="10" t="s">
        <v>150</v>
      </c>
      <c r="D1439" s="10" t="s">
        <v>147</v>
      </c>
      <c r="E1439" s="11" t="s">
        <v>137</v>
      </c>
    </row>
    <row r="1440" spans="1:5" x14ac:dyDescent="0.35">
      <c r="A1440" s="6" t="s">
        <v>135</v>
      </c>
      <c r="B1440" s="7"/>
      <c r="C1440" s="7"/>
      <c r="D1440" s="7" t="s">
        <v>148</v>
      </c>
      <c r="E1440" s="8" t="s">
        <v>137</v>
      </c>
    </row>
    <row r="1441" spans="1:5" x14ac:dyDescent="0.35">
      <c r="A1441" s="9" t="s">
        <v>135</v>
      </c>
      <c r="B1441" s="10"/>
      <c r="C1441" s="10"/>
      <c r="D1441" s="10" t="s">
        <v>149</v>
      </c>
      <c r="E1441" s="11" t="s">
        <v>137</v>
      </c>
    </row>
    <row r="1442" spans="1:5" x14ac:dyDescent="0.35">
      <c r="A1442" s="6" t="s">
        <v>135</v>
      </c>
      <c r="B1442" s="7" t="s">
        <v>159</v>
      </c>
      <c r="C1442" s="7" t="s">
        <v>146</v>
      </c>
      <c r="D1442" s="7" t="s">
        <v>147</v>
      </c>
      <c r="E1442" s="8" t="s">
        <v>137</v>
      </c>
    </row>
    <row r="1443" spans="1:5" x14ac:dyDescent="0.35">
      <c r="A1443" s="9" t="s">
        <v>135</v>
      </c>
      <c r="B1443" s="10"/>
      <c r="C1443" s="10"/>
      <c r="D1443" s="10" t="s">
        <v>148</v>
      </c>
      <c r="E1443" s="11" t="s">
        <v>137</v>
      </c>
    </row>
    <row r="1444" spans="1:5" x14ac:dyDescent="0.35">
      <c r="A1444" s="6" t="s">
        <v>135</v>
      </c>
      <c r="B1444" s="7"/>
      <c r="C1444" s="7"/>
      <c r="D1444" s="7" t="s">
        <v>149</v>
      </c>
      <c r="E1444" s="8" t="s">
        <v>137</v>
      </c>
    </row>
    <row r="1445" spans="1:5" x14ac:dyDescent="0.35">
      <c r="A1445" s="9" t="s">
        <v>135</v>
      </c>
      <c r="B1445" s="10"/>
      <c r="C1445" s="10" t="s">
        <v>150</v>
      </c>
      <c r="D1445" s="10" t="s">
        <v>147</v>
      </c>
      <c r="E1445" s="11" t="s">
        <v>137</v>
      </c>
    </row>
    <row r="1446" spans="1:5" x14ac:dyDescent="0.35">
      <c r="A1446" s="6" t="s">
        <v>135</v>
      </c>
      <c r="B1446" s="7"/>
      <c r="C1446" s="7"/>
      <c r="D1446" s="7" t="s">
        <v>148</v>
      </c>
      <c r="E1446" s="8" t="s">
        <v>137</v>
      </c>
    </row>
    <row r="1447" spans="1:5" x14ac:dyDescent="0.35">
      <c r="A1447" s="9" t="s">
        <v>135</v>
      </c>
      <c r="B1447" s="10"/>
      <c r="C1447" s="10"/>
      <c r="D1447" s="10" t="s">
        <v>149</v>
      </c>
      <c r="E1447" s="11" t="s">
        <v>137</v>
      </c>
    </row>
    <row r="1448" spans="1:5" x14ac:dyDescent="0.35">
      <c r="A1448" s="6" t="s">
        <v>135</v>
      </c>
      <c r="B1448" s="7" t="s">
        <v>160</v>
      </c>
      <c r="C1448" s="7" t="s">
        <v>146</v>
      </c>
      <c r="D1448" s="7" t="s">
        <v>147</v>
      </c>
      <c r="E1448" s="8" t="s">
        <v>137</v>
      </c>
    </row>
    <row r="1449" spans="1:5" x14ac:dyDescent="0.35">
      <c r="A1449" s="9" t="s">
        <v>135</v>
      </c>
      <c r="B1449" s="10"/>
      <c r="C1449" s="10"/>
      <c r="D1449" s="10" t="s">
        <v>148</v>
      </c>
      <c r="E1449" s="11" t="s">
        <v>137</v>
      </c>
    </row>
    <row r="1450" spans="1:5" x14ac:dyDescent="0.35">
      <c r="A1450" s="6" t="s">
        <v>135</v>
      </c>
      <c r="B1450" s="7"/>
      <c r="C1450" s="7"/>
      <c r="D1450" s="7" t="s">
        <v>149</v>
      </c>
      <c r="E1450" s="8" t="s">
        <v>137</v>
      </c>
    </row>
    <row r="1451" spans="1:5" x14ac:dyDescent="0.35">
      <c r="A1451" s="9" t="s">
        <v>135</v>
      </c>
      <c r="B1451" s="10"/>
      <c r="C1451" s="10" t="s">
        <v>150</v>
      </c>
      <c r="D1451" s="10" t="s">
        <v>147</v>
      </c>
      <c r="E1451" s="11" t="s">
        <v>137</v>
      </c>
    </row>
    <row r="1452" spans="1:5" x14ac:dyDescent="0.35">
      <c r="A1452" s="6" t="s">
        <v>135</v>
      </c>
      <c r="B1452" s="7"/>
      <c r="C1452" s="7"/>
      <c r="D1452" s="7" t="s">
        <v>148</v>
      </c>
      <c r="E1452" s="8" t="s">
        <v>137</v>
      </c>
    </row>
    <row r="1453" spans="1:5" x14ac:dyDescent="0.35">
      <c r="A1453" s="9" t="s">
        <v>135</v>
      </c>
      <c r="B1453" s="10"/>
      <c r="C1453" s="10"/>
      <c r="D1453" s="10" t="s">
        <v>149</v>
      </c>
      <c r="E1453" s="11" t="s">
        <v>137</v>
      </c>
    </row>
    <row r="1454" spans="1:5" x14ac:dyDescent="0.35">
      <c r="A1454" s="6" t="s">
        <v>135</v>
      </c>
      <c r="B1454" s="7" t="s">
        <v>161</v>
      </c>
      <c r="C1454" s="7" t="s">
        <v>146</v>
      </c>
      <c r="D1454" s="7" t="s">
        <v>147</v>
      </c>
      <c r="E1454" s="8" t="s">
        <v>137</v>
      </c>
    </row>
    <row r="1455" spans="1:5" x14ac:dyDescent="0.35">
      <c r="A1455" s="9" t="s">
        <v>135</v>
      </c>
      <c r="B1455" s="10"/>
      <c r="C1455" s="10"/>
      <c r="D1455" s="10" t="s">
        <v>148</v>
      </c>
      <c r="E1455" s="11" t="s">
        <v>137</v>
      </c>
    </row>
    <row r="1456" spans="1:5" x14ac:dyDescent="0.35">
      <c r="A1456" s="6" t="s">
        <v>135</v>
      </c>
      <c r="B1456" s="7"/>
      <c r="C1456" s="7"/>
      <c r="D1456" s="7" t="s">
        <v>149</v>
      </c>
      <c r="E1456" s="8" t="s">
        <v>137</v>
      </c>
    </row>
    <row r="1457" spans="1:5" x14ac:dyDescent="0.35">
      <c r="A1457" s="9" t="s">
        <v>135</v>
      </c>
      <c r="B1457" s="10"/>
      <c r="C1457" s="10" t="s">
        <v>150</v>
      </c>
      <c r="D1457" s="10" t="s">
        <v>147</v>
      </c>
      <c r="E1457" s="11" t="s">
        <v>137</v>
      </c>
    </row>
    <row r="1458" spans="1:5" x14ac:dyDescent="0.35">
      <c r="A1458" s="6" t="s">
        <v>135</v>
      </c>
      <c r="B1458" s="7"/>
      <c r="C1458" s="7"/>
      <c r="D1458" s="7" t="s">
        <v>148</v>
      </c>
      <c r="E1458" s="8" t="s">
        <v>137</v>
      </c>
    </row>
    <row r="1459" spans="1:5" x14ac:dyDescent="0.35">
      <c r="A1459" s="9" t="s">
        <v>135</v>
      </c>
      <c r="B1459" s="10"/>
      <c r="C1459" s="10"/>
      <c r="D1459" s="10" t="s">
        <v>149</v>
      </c>
      <c r="E1459" s="11" t="s">
        <v>137</v>
      </c>
    </row>
    <row r="1460" spans="1:5" x14ac:dyDescent="0.35">
      <c r="A1460" s="6" t="s">
        <v>135</v>
      </c>
      <c r="B1460" s="7" t="s">
        <v>162</v>
      </c>
      <c r="C1460" s="7" t="s">
        <v>146</v>
      </c>
      <c r="D1460" s="7" t="s">
        <v>147</v>
      </c>
      <c r="E1460" s="8" t="s">
        <v>137</v>
      </c>
    </row>
    <row r="1461" spans="1:5" x14ac:dyDescent="0.35">
      <c r="A1461" s="9" t="s">
        <v>135</v>
      </c>
      <c r="B1461" s="10"/>
      <c r="C1461" s="10"/>
      <c r="D1461" s="10" t="s">
        <v>148</v>
      </c>
      <c r="E1461" s="11" t="s">
        <v>137</v>
      </c>
    </row>
    <row r="1462" spans="1:5" x14ac:dyDescent="0.35">
      <c r="A1462" s="6" t="s">
        <v>135</v>
      </c>
      <c r="B1462" s="7"/>
      <c r="C1462" s="7"/>
      <c r="D1462" s="7" t="s">
        <v>149</v>
      </c>
      <c r="E1462" s="8" t="s">
        <v>137</v>
      </c>
    </row>
    <row r="1463" spans="1:5" x14ac:dyDescent="0.35">
      <c r="A1463" s="9" t="s">
        <v>135</v>
      </c>
      <c r="B1463" s="10"/>
      <c r="C1463" s="10" t="s">
        <v>150</v>
      </c>
      <c r="D1463" s="10" t="s">
        <v>147</v>
      </c>
      <c r="E1463" s="11" t="s">
        <v>137</v>
      </c>
    </row>
    <row r="1464" spans="1:5" x14ac:dyDescent="0.35">
      <c r="A1464" s="6" t="s">
        <v>135</v>
      </c>
      <c r="B1464" s="7"/>
      <c r="C1464" s="7"/>
      <c r="D1464" s="7" t="s">
        <v>148</v>
      </c>
      <c r="E1464" s="8" t="s">
        <v>137</v>
      </c>
    </row>
    <row r="1465" spans="1:5" x14ac:dyDescent="0.35">
      <c r="A1465" s="9" t="s">
        <v>135</v>
      </c>
      <c r="B1465" s="10"/>
      <c r="C1465" s="10"/>
      <c r="D1465" s="10" t="s">
        <v>149</v>
      </c>
      <c r="E1465" s="11" t="s">
        <v>137</v>
      </c>
    </row>
    <row r="1466" spans="1:5" x14ac:dyDescent="0.35">
      <c r="A1466" s="6" t="s">
        <v>135</v>
      </c>
      <c r="B1466" s="7" t="s">
        <v>163</v>
      </c>
      <c r="C1466" s="7" t="s">
        <v>146</v>
      </c>
      <c r="D1466" s="7" t="s">
        <v>147</v>
      </c>
      <c r="E1466" s="8">
        <v>273.97000000000003</v>
      </c>
    </row>
    <row r="1467" spans="1:5" x14ac:dyDescent="0.35">
      <c r="A1467" s="9" t="s">
        <v>135</v>
      </c>
      <c r="B1467" s="10"/>
      <c r="C1467" s="10"/>
      <c r="D1467" s="10" t="s">
        <v>148</v>
      </c>
      <c r="E1467" s="11">
        <v>273.97000000000003</v>
      </c>
    </row>
    <row r="1468" spans="1:5" x14ac:dyDescent="0.35">
      <c r="A1468" s="6" t="s">
        <v>135</v>
      </c>
      <c r="B1468" s="7"/>
      <c r="C1468" s="7"/>
      <c r="D1468" s="7" t="s">
        <v>149</v>
      </c>
      <c r="E1468" s="8" t="s">
        <v>137</v>
      </c>
    </row>
    <row r="1469" spans="1:5" x14ac:dyDescent="0.35">
      <c r="A1469" s="9" t="s">
        <v>135</v>
      </c>
      <c r="B1469" s="10"/>
      <c r="C1469" s="10" t="s">
        <v>150</v>
      </c>
      <c r="D1469" s="10" t="s">
        <v>147</v>
      </c>
      <c r="E1469" s="11" t="s">
        <v>137</v>
      </c>
    </row>
    <row r="1470" spans="1:5" x14ac:dyDescent="0.35">
      <c r="A1470" s="6" t="s">
        <v>135</v>
      </c>
      <c r="B1470" s="7"/>
      <c r="C1470" s="7"/>
      <c r="D1470" s="7" t="s">
        <v>148</v>
      </c>
      <c r="E1470" s="8" t="s">
        <v>137</v>
      </c>
    </row>
    <row r="1471" spans="1:5" x14ac:dyDescent="0.35">
      <c r="A1471" s="9" t="s">
        <v>135</v>
      </c>
      <c r="B1471" s="10"/>
      <c r="C1471" s="10"/>
      <c r="D1471" s="10" t="s">
        <v>149</v>
      </c>
      <c r="E1471" s="11" t="s">
        <v>137</v>
      </c>
    </row>
    <row r="1472" spans="1:5" x14ac:dyDescent="0.35">
      <c r="A1472" s="6" t="s">
        <v>135</v>
      </c>
      <c r="B1472" s="7" t="s">
        <v>164</v>
      </c>
      <c r="C1472" s="7" t="s">
        <v>146</v>
      </c>
      <c r="D1472" s="7" t="s">
        <v>147</v>
      </c>
      <c r="E1472" s="8" t="s">
        <v>137</v>
      </c>
    </row>
    <row r="1473" spans="1:5" x14ac:dyDescent="0.35">
      <c r="A1473" s="9" t="s">
        <v>135</v>
      </c>
      <c r="B1473" s="10"/>
      <c r="C1473" s="10"/>
      <c r="D1473" s="10" t="s">
        <v>148</v>
      </c>
      <c r="E1473" s="11" t="s">
        <v>137</v>
      </c>
    </row>
    <row r="1474" spans="1:5" x14ac:dyDescent="0.35">
      <c r="A1474" s="6" t="s">
        <v>135</v>
      </c>
      <c r="B1474" s="7"/>
      <c r="C1474" s="7"/>
      <c r="D1474" s="7" t="s">
        <v>149</v>
      </c>
      <c r="E1474" s="8" t="s">
        <v>137</v>
      </c>
    </row>
    <row r="1475" spans="1:5" x14ac:dyDescent="0.35">
      <c r="A1475" s="9" t="s">
        <v>135</v>
      </c>
      <c r="B1475" s="10"/>
      <c r="C1475" s="10" t="s">
        <v>150</v>
      </c>
      <c r="D1475" s="10" t="s">
        <v>147</v>
      </c>
      <c r="E1475" s="11" t="s">
        <v>137</v>
      </c>
    </row>
    <row r="1476" spans="1:5" x14ac:dyDescent="0.35">
      <c r="A1476" s="6" t="s">
        <v>135</v>
      </c>
      <c r="B1476" s="7"/>
      <c r="C1476" s="7"/>
      <c r="D1476" s="7" t="s">
        <v>148</v>
      </c>
      <c r="E1476" s="8" t="s">
        <v>137</v>
      </c>
    </row>
    <row r="1477" spans="1:5" x14ac:dyDescent="0.35">
      <c r="A1477" s="9" t="s">
        <v>135</v>
      </c>
      <c r="B1477" s="10"/>
      <c r="C1477" s="10"/>
      <c r="D1477" s="10" t="s">
        <v>149</v>
      </c>
      <c r="E1477" s="11" t="s">
        <v>137</v>
      </c>
    </row>
    <row r="1478" spans="1:5" x14ac:dyDescent="0.35">
      <c r="A1478" s="6" t="s">
        <v>135</v>
      </c>
      <c r="B1478" s="7" t="s">
        <v>165</v>
      </c>
      <c r="C1478" s="7" t="s">
        <v>146</v>
      </c>
      <c r="D1478" s="7" t="s">
        <v>147</v>
      </c>
      <c r="E1478" s="8" t="s">
        <v>137</v>
      </c>
    </row>
    <row r="1479" spans="1:5" x14ac:dyDescent="0.35">
      <c r="A1479" s="9" t="s">
        <v>135</v>
      </c>
      <c r="B1479" s="10"/>
      <c r="C1479" s="10"/>
      <c r="D1479" s="10" t="s">
        <v>148</v>
      </c>
      <c r="E1479" s="11" t="s">
        <v>137</v>
      </c>
    </row>
    <row r="1480" spans="1:5" x14ac:dyDescent="0.35">
      <c r="A1480" s="6" t="s">
        <v>135</v>
      </c>
      <c r="B1480" s="7"/>
      <c r="C1480" s="7"/>
      <c r="D1480" s="7" t="s">
        <v>149</v>
      </c>
      <c r="E1480" s="8" t="s">
        <v>137</v>
      </c>
    </row>
    <row r="1481" spans="1:5" x14ac:dyDescent="0.35">
      <c r="A1481" s="9" t="s">
        <v>135</v>
      </c>
      <c r="B1481" s="10"/>
      <c r="C1481" s="10" t="s">
        <v>150</v>
      </c>
      <c r="D1481" s="10" t="s">
        <v>147</v>
      </c>
      <c r="E1481" s="11" t="s">
        <v>137</v>
      </c>
    </row>
    <row r="1482" spans="1:5" x14ac:dyDescent="0.35">
      <c r="A1482" s="6" t="s">
        <v>135</v>
      </c>
      <c r="B1482" s="7"/>
      <c r="C1482" s="7"/>
      <c r="D1482" s="7" t="s">
        <v>148</v>
      </c>
      <c r="E1482" s="8" t="s">
        <v>137</v>
      </c>
    </row>
    <row r="1483" spans="1:5" x14ac:dyDescent="0.35">
      <c r="A1483" s="9" t="s">
        <v>135</v>
      </c>
      <c r="B1483" s="10"/>
      <c r="C1483" s="10"/>
      <c r="D1483" s="10" t="s">
        <v>149</v>
      </c>
      <c r="E1483" s="11" t="s">
        <v>137</v>
      </c>
    </row>
    <row r="1484" spans="1:5" x14ac:dyDescent="0.35">
      <c r="A1484" s="6" t="s">
        <v>135</v>
      </c>
      <c r="B1484" s="7" t="s">
        <v>166</v>
      </c>
      <c r="C1484" s="7" t="s">
        <v>146</v>
      </c>
      <c r="D1484" s="7" t="s">
        <v>147</v>
      </c>
      <c r="E1484" s="8">
        <v>117.97</v>
      </c>
    </row>
    <row r="1485" spans="1:5" x14ac:dyDescent="0.35">
      <c r="A1485" s="9" t="s">
        <v>135</v>
      </c>
      <c r="B1485" s="10"/>
      <c r="C1485" s="10"/>
      <c r="D1485" s="10" t="s">
        <v>148</v>
      </c>
      <c r="E1485" s="11">
        <v>117.97</v>
      </c>
    </row>
    <row r="1486" spans="1:5" x14ac:dyDescent="0.35">
      <c r="A1486" s="6" t="s">
        <v>135</v>
      </c>
      <c r="B1486" s="7"/>
      <c r="C1486" s="7"/>
      <c r="D1486" s="7" t="s">
        <v>149</v>
      </c>
      <c r="E1486" s="8" t="s">
        <v>137</v>
      </c>
    </row>
    <row r="1487" spans="1:5" x14ac:dyDescent="0.35">
      <c r="A1487" s="9" t="s">
        <v>135</v>
      </c>
      <c r="B1487" s="10"/>
      <c r="C1487" s="10" t="s">
        <v>150</v>
      </c>
      <c r="D1487" s="10" t="s">
        <v>147</v>
      </c>
      <c r="E1487" s="11" t="s">
        <v>137</v>
      </c>
    </row>
    <row r="1488" spans="1:5" x14ac:dyDescent="0.35">
      <c r="A1488" s="6" t="s">
        <v>135</v>
      </c>
      <c r="B1488" s="7"/>
      <c r="C1488" s="7"/>
      <c r="D1488" s="7" t="s">
        <v>148</v>
      </c>
      <c r="E1488" s="8" t="s">
        <v>137</v>
      </c>
    </row>
    <row r="1489" spans="1:5" x14ac:dyDescent="0.35">
      <c r="A1489" s="9" t="s">
        <v>135</v>
      </c>
      <c r="B1489" s="10"/>
      <c r="C1489" s="10"/>
      <c r="D1489" s="10" t="s">
        <v>149</v>
      </c>
      <c r="E1489" s="11" t="s">
        <v>137</v>
      </c>
    </row>
    <row r="1490" spans="1:5" x14ac:dyDescent="0.35">
      <c r="A1490" s="6" t="s">
        <v>135</v>
      </c>
      <c r="B1490" s="7" t="s">
        <v>167</v>
      </c>
      <c r="C1490" s="7" t="s">
        <v>146</v>
      </c>
      <c r="D1490" s="7" t="s">
        <v>147</v>
      </c>
      <c r="E1490" s="8">
        <v>156</v>
      </c>
    </row>
    <row r="1491" spans="1:5" x14ac:dyDescent="0.35">
      <c r="A1491" s="9" t="s">
        <v>135</v>
      </c>
      <c r="B1491" s="10"/>
      <c r="C1491" s="10"/>
      <c r="D1491" s="10" t="s">
        <v>148</v>
      </c>
      <c r="E1491" s="11">
        <v>156</v>
      </c>
    </row>
    <row r="1492" spans="1:5" x14ac:dyDescent="0.35">
      <c r="A1492" s="6" t="s">
        <v>135</v>
      </c>
      <c r="B1492" s="7"/>
      <c r="C1492" s="7"/>
      <c r="D1492" s="7" t="s">
        <v>149</v>
      </c>
      <c r="E1492" s="8" t="s">
        <v>137</v>
      </c>
    </row>
    <row r="1493" spans="1:5" x14ac:dyDescent="0.35">
      <c r="A1493" s="9" t="s">
        <v>135</v>
      </c>
      <c r="B1493" s="10"/>
      <c r="C1493" s="10" t="s">
        <v>150</v>
      </c>
      <c r="D1493" s="10" t="s">
        <v>147</v>
      </c>
      <c r="E1493" s="11" t="s">
        <v>137</v>
      </c>
    </row>
    <row r="1494" spans="1:5" x14ac:dyDescent="0.35">
      <c r="A1494" s="6" t="s">
        <v>135</v>
      </c>
      <c r="B1494" s="7"/>
      <c r="C1494" s="7"/>
      <c r="D1494" s="7" t="s">
        <v>148</v>
      </c>
      <c r="E1494" s="8" t="s">
        <v>137</v>
      </c>
    </row>
    <row r="1495" spans="1:5" x14ac:dyDescent="0.35">
      <c r="A1495" s="9" t="s">
        <v>135</v>
      </c>
      <c r="B1495" s="10"/>
      <c r="C1495" s="10"/>
      <c r="D1495" s="10" t="s">
        <v>149</v>
      </c>
      <c r="E1495" s="11" t="s">
        <v>137</v>
      </c>
    </row>
    <row r="1496" spans="1:5" x14ac:dyDescent="0.35">
      <c r="A1496" s="6" t="s">
        <v>135</v>
      </c>
      <c r="B1496" s="7" t="s">
        <v>168</v>
      </c>
      <c r="C1496" s="7" t="s">
        <v>146</v>
      </c>
      <c r="D1496" s="7" t="s">
        <v>147</v>
      </c>
      <c r="E1496" s="8" t="s">
        <v>137</v>
      </c>
    </row>
    <row r="1497" spans="1:5" x14ac:dyDescent="0.35">
      <c r="A1497" s="9" t="s">
        <v>135</v>
      </c>
      <c r="B1497" s="10"/>
      <c r="C1497" s="10"/>
      <c r="D1497" s="10" t="s">
        <v>148</v>
      </c>
      <c r="E1497" s="11" t="s">
        <v>137</v>
      </c>
    </row>
    <row r="1498" spans="1:5" x14ac:dyDescent="0.35">
      <c r="A1498" s="6" t="s">
        <v>135</v>
      </c>
      <c r="B1498" s="7"/>
      <c r="C1498" s="7"/>
      <c r="D1498" s="7" t="s">
        <v>149</v>
      </c>
      <c r="E1498" s="8" t="s">
        <v>137</v>
      </c>
    </row>
    <row r="1499" spans="1:5" x14ac:dyDescent="0.35">
      <c r="A1499" s="9" t="s">
        <v>135</v>
      </c>
      <c r="B1499" s="10"/>
      <c r="C1499" s="10" t="s">
        <v>150</v>
      </c>
      <c r="D1499" s="10" t="s">
        <v>147</v>
      </c>
      <c r="E1499" s="11" t="s">
        <v>137</v>
      </c>
    </row>
    <row r="1500" spans="1:5" x14ac:dyDescent="0.35">
      <c r="A1500" s="6" t="s">
        <v>135</v>
      </c>
      <c r="B1500" s="7"/>
      <c r="C1500" s="7"/>
      <c r="D1500" s="7" t="s">
        <v>148</v>
      </c>
      <c r="E1500" s="8" t="s">
        <v>137</v>
      </c>
    </row>
    <row r="1501" spans="1:5" x14ac:dyDescent="0.35">
      <c r="A1501" s="9" t="s">
        <v>135</v>
      </c>
      <c r="B1501" s="10"/>
      <c r="C1501" s="10"/>
      <c r="D1501" s="10" t="s">
        <v>149</v>
      </c>
      <c r="E1501" s="11" t="s">
        <v>137</v>
      </c>
    </row>
    <row r="1502" spans="1:5" x14ac:dyDescent="0.35">
      <c r="A1502" s="6" t="s">
        <v>135</v>
      </c>
      <c r="B1502" s="7" t="s">
        <v>169</v>
      </c>
      <c r="C1502" s="7" t="s">
        <v>146</v>
      </c>
      <c r="D1502" s="7" t="s">
        <v>147</v>
      </c>
      <c r="E1502" s="8" t="s">
        <v>137</v>
      </c>
    </row>
    <row r="1503" spans="1:5" x14ac:dyDescent="0.35">
      <c r="A1503" s="9" t="s">
        <v>135</v>
      </c>
      <c r="B1503" s="10"/>
      <c r="C1503" s="10"/>
      <c r="D1503" s="10" t="s">
        <v>148</v>
      </c>
      <c r="E1503" s="11" t="s">
        <v>137</v>
      </c>
    </row>
    <row r="1504" spans="1:5" x14ac:dyDescent="0.35">
      <c r="A1504" s="6" t="s">
        <v>135</v>
      </c>
      <c r="B1504" s="7"/>
      <c r="C1504" s="7"/>
      <c r="D1504" s="7" t="s">
        <v>149</v>
      </c>
      <c r="E1504" s="8" t="s">
        <v>137</v>
      </c>
    </row>
    <row r="1505" spans="1:5" x14ac:dyDescent="0.35">
      <c r="A1505" s="9" t="s">
        <v>135</v>
      </c>
      <c r="B1505" s="10"/>
      <c r="C1505" s="10" t="s">
        <v>150</v>
      </c>
      <c r="D1505" s="10" t="s">
        <v>147</v>
      </c>
      <c r="E1505" s="11" t="s">
        <v>137</v>
      </c>
    </row>
    <row r="1506" spans="1:5" x14ac:dyDescent="0.35">
      <c r="A1506" s="6" t="s">
        <v>135</v>
      </c>
      <c r="B1506" s="7"/>
      <c r="C1506" s="7"/>
      <c r="D1506" s="7" t="s">
        <v>148</v>
      </c>
      <c r="E1506" s="8" t="s">
        <v>137</v>
      </c>
    </row>
    <row r="1507" spans="1:5" x14ac:dyDescent="0.35">
      <c r="A1507" s="9" t="s">
        <v>135</v>
      </c>
      <c r="B1507" s="10"/>
      <c r="C1507" s="10"/>
      <c r="D1507" s="10" t="s">
        <v>149</v>
      </c>
      <c r="E1507" s="11" t="s">
        <v>137</v>
      </c>
    </row>
    <row r="1508" spans="1:5" x14ac:dyDescent="0.35">
      <c r="A1508" s="6" t="s">
        <v>135</v>
      </c>
      <c r="B1508" s="7" t="s">
        <v>170</v>
      </c>
      <c r="C1508" s="7" t="s">
        <v>146</v>
      </c>
      <c r="D1508" s="7" t="s">
        <v>147</v>
      </c>
      <c r="E1508" s="8" t="s">
        <v>137</v>
      </c>
    </row>
    <row r="1509" spans="1:5" x14ac:dyDescent="0.35">
      <c r="A1509" s="9" t="s">
        <v>135</v>
      </c>
      <c r="B1509" s="10"/>
      <c r="C1509" s="10"/>
      <c r="D1509" s="10" t="s">
        <v>148</v>
      </c>
      <c r="E1509" s="11" t="s">
        <v>137</v>
      </c>
    </row>
    <row r="1510" spans="1:5" x14ac:dyDescent="0.35">
      <c r="A1510" s="6" t="s">
        <v>135</v>
      </c>
      <c r="B1510" s="7"/>
      <c r="C1510" s="7"/>
      <c r="D1510" s="7" t="s">
        <v>149</v>
      </c>
      <c r="E1510" s="8" t="s">
        <v>137</v>
      </c>
    </row>
    <row r="1511" spans="1:5" x14ac:dyDescent="0.35">
      <c r="A1511" s="9" t="s">
        <v>135</v>
      </c>
      <c r="B1511" s="10"/>
      <c r="C1511" s="10" t="s">
        <v>150</v>
      </c>
      <c r="D1511" s="10" t="s">
        <v>147</v>
      </c>
      <c r="E1511" s="11" t="s">
        <v>137</v>
      </c>
    </row>
    <row r="1512" spans="1:5" x14ac:dyDescent="0.35">
      <c r="A1512" s="6" t="s">
        <v>135</v>
      </c>
      <c r="B1512" s="7"/>
      <c r="C1512" s="7"/>
      <c r="D1512" s="7" t="s">
        <v>148</v>
      </c>
      <c r="E1512" s="8" t="s">
        <v>137</v>
      </c>
    </row>
    <row r="1513" spans="1:5" x14ac:dyDescent="0.35">
      <c r="A1513" s="9" t="s">
        <v>135</v>
      </c>
      <c r="B1513" s="10"/>
      <c r="C1513" s="10"/>
      <c r="D1513" s="10" t="s">
        <v>149</v>
      </c>
      <c r="E1513" s="11" t="s">
        <v>137</v>
      </c>
    </row>
    <row r="1514" spans="1:5" x14ac:dyDescent="0.35">
      <c r="A1514" s="6" t="s">
        <v>55</v>
      </c>
      <c r="B1514" s="7" t="s">
        <v>145</v>
      </c>
      <c r="C1514" s="7" t="s">
        <v>146</v>
      </c>
      <c r="D1514" s="7" t="s">
        <v>147</v>
      </c>
      <c r="E1514" s="8">
        <v>25.61</v>
      </c>
    </row>
    <row r="1515" spans="1:5" x14ac:dyDescent="0.35">
      <c r="A1515" s="9" t="s">
        <v>135</v>
      </c>
      <c r="B1515" s="10"/>
      <c r="C1515" s="10"/>
      <c r="D1515" s="10" t="s">
        <v>148</v>
      </c>
      <c r="E1515" s="11" t="s">
        <v>137</v>
      </c>
    </row>
    <row r="1516" spans="1:5" x14ac:dyDescent="0.35">
      <c r="A1516" s="6" t="s">
        <v>135</v>
      </c>
      <c r="B1516" s="7"/>
      <c r="C1516" s="7"/>
      <c r="D1516" s="7" t="s">
        <v>149</v>
      </c>
      <c r="E1516" s="8">
        <v>25.61</v>
      </c>
    </row>
    <row r="1517" spans="1:5" x14ac:dyDescent="0.35">
      <c r="A1517" s="9" t="s">
        <v>135</v>
      </c>
      <c r="B1517" s="10"/>
      <c r="C1517" s="10" t="s">
        <v>150</v>
      </c>
      <c r="D1517" s="10" t="s">
        <v>147</v>
      </c>
      <c r="E1517" s="11" t="s">
        <v>137</v>
      </c>
    </row>
    <row r="1518" spans="1:5" x14ac:dyDescent="0.35">
      <c r="A1518" s="6" t="s">
        <v>135</v>
      </c>
      <c r="B1518" s="7"/>
      <c r="C1518" s="7"/>
      <c r="D1518" s="7" t="s">
        <v>148</v>
      </c>
      <c r="E1518" s="8" t="s">
        <v>137</v>
      </c>
    </row>
    <row r="1519" spans="1:5" x14ac:dyDescent="0.35">
      <c r="A1519" s="9" t="s">
        <v>135</v>
      </c>
      <c r="B1519" s="10"/>
      <c r="C1519" s="10"/>
      <c r="D1519" s="10" t="s">
        <v>149</v>
      </c>
      <c r="E1519" s="11" t="s">
        <v>137</v>
      </c>
    </row>
    <row r="1520" spans="1:5" x14ac:dyDescent="0.35">
      <c r="A1520" s="6" t="s">
        <v>135</v>
      </c>
      <c r="B1520" s="7" t="s">
        <v>151</v>
      </c>
      <c r="C1520" s="7" t="s">
        <v>146</v>
      </c>
      <c r="D1520" s="7" t="s">
        <v>147</v>
      </c>
      <c r="E1520" s="8">
        <v>24.79</v>
      </c>
    </row>
    <row r="1521" spans="1:5" x14ac:dyDescent="0.35">
      <c r="A1521" s="9" t="s">
        <v>135</v>
      </c>
      <c r="B1521" s="10"/>
      <c r="C1521" s="10"/>
      <c r="D1521" s="10" t="s">
        <v>148</v>
      </c>
      <c r="E1521" s="11" t="s">
        <v>137</v>
      </c>
    </row>
    <row r="1522" spans="1:5" x14ac:dyDescent="0.35">
      <c r="A1522" s="6" t="s">
        <v>135</v>
      </c>
      <c r="B1522" s="7"/>
      <c r="C1522" s="7"/>
      <c r="D1522" s="7" t="s">
        <v>149</v>
      </c>
      <c r="E1522" s="8">
        <v>24.79</v>
      </c>
    </row>
    <row r="1523" spans="1:5" x14ac:dyDescent="0.35">
      <c r="A1523" s="9" t="s">
        <v>135</v>
      </c>
      <c r="B1523" s="10"/>
      <c r="C1523" s="10" t="s">
        <v>150</v>
      </c>
      <c r="D1523" s="10" t="s">
        <v>147</v>
      </c>
      <c r="E1523" s="11" t="s">
        <v>137</v>
      </c>
    </row>
    <row r="1524" spans="1:5" x14ac:dyDescent="0.35">
      <c r="A1524" s="6" t="s">
        <v>135</v>
      </c>
      <c r="B1524" s="7"/>
      <c r="C1524" s="7"/>
      <c r="D1524" s="7" t="s">
        <v>148</v>
      </c>
      <c r="E1524" s="8" t="s">
        <v>137</v>
      </c>
    </row>
    <row r="1525" spans="1:5" x14ac:dyDescent="0.35">
      <c r="A1525" s="9" t="s">
        <v>135</v>
      </c>
      <c r="B1525" s="10"/>
      <c r="C1525" s="10"/>
      <c r="D1525" s="10" t="s">
        <v>149</v>
      </c>
      <c r="E1525" s="11" t="s">
        <v>137</v>
      </c>
    </row>
    <row r="1526" spans="1:5" x14ac:dyDescent="0.35">
      <c r="A1526" s="6" t="s">
        <v>135</v>
      </c>
      <c r="B1526" s="7" t="s">
        <v>152</v>
      </c>
      <c r="C1526" s="7" t="s">
        <v>146</v>
      </c>
      <c r="D1526" s="7" t="s">
        <v>147</v>
      </c>
      <c r="E1526" s="8" t="s">
        <v>137</v>
      </c>
    </row>
    <row r="1527" spans="1:5" x14ac:dyDescent="0.35">
      <c r="A1527" s="9" t="s">
        <v>135</v>
      </c>
      <c r="B1527" s="10"/>
      <c r="C1527" s="10"/>
      <c r="D1527" s="10" t="s">
        <v>148</v>
      </c>
      <c r="E1527" s="11" t="s">
        <v>137</v>
      </c>
    </row>
    <row r="1528" spans="1:5" x14ac:dyDescent="0.35">
      <c r="A1528" s="6" t="s">
        <v>135</v>
      </c>
      <c r="B1528" s="7"/>
      <c r="C1528" s="7"/>
      <c r="D1528" s="7" t="s">
        <v>149</v>
      </c>
      <c r="E1528" s="8" t="s">
        <v>137</v>
      </c>
    </row>
    <row r="1529" spans="1:5" x14ac:dyDescent="0.35">
      <c r="A1529" s="9" t="s">
        <v>135</v>
      </c>
      <c r="B1529" s="10"/>
      <c r="C1529" s="10" t="s">
        <v>150</v>
      </c>
      <c r="D1529" s="10" t="s">
        <v>147</v>
      </c>
      <c r="E1529" s="11" t="s">
        <v>137</v>
      </c>
    </row>
    <row r="1530" spans="1:5" x14ac:dyDescent="0.35">
      <c r="A1530" s="6" t="s">
        <v>135</v>
      </c>
      <c r="B1530" s="7"/>
      <c r="C1530" s="7"/>
      <c r="D1530" s="7" t="s">
        <v>148</v>
      </c>
      <c r="E1530" s="8" t="s">
        <v>137</v>
      </c>
    </row>
    <row r="1531" spans="1:5" x14ac:dyDescent="0.35">
      <c r="A1531" s="9" t="s">
        <v>135</v>
      </c>
      <c r="B1531" s="10"/>
      <c r="C1531" s="10"/>
      <c r="D1531" s="10" t="s">
        <v>149</v>
      </c>
      <c r="E1531" s="11" t="s">
        <v>137</v>
      </c>
    </row>
    <row r="1532" spans="1:5" x14ac:dyDescent="0.35">
      <c r="A1532" s="6" t="s">
        <v>135</v>
      </c>
      <c r="B1532" s="7" t="s">
        <v>153</v>
      </c>
      <c r="C1532" s="7" t="s">
        <v>146</v>
      </c>
      <c r="D1532" s="7" t="s">
        <v>147</v>
      </c>
      <c r="E1532" s="8">
        <v>0.83</v>
      </c>
    </row>
    <row r="1533" spans="1:5" x14ac:dyDescent="0.35">
      <c r="A1533" s="9" t="s">
        <v>135</v>
      </c>
      <c r="B1533" s="10"/>
      <c r="C1533" s="10"/>
      <c r="D1533" s="10" t="s">
        <v>148</v>
      </c>
      <c r="E1533" s="11" t="s">
        <v>137</v>
      </c>
    </row>
    <row r="1534" spans="1:5" x14ac:dyDescent="0.35">
      <c r="A1534" s="6" t="s">
        <v>135</v>
      </c>
      <c r="B1534" s="7"/>
      <c r="C1534" s="7"/>
      <c r="D1534" s="7" t="s">
        <v>149</v>
      </c>
      <c r="E1534" s="8">
        <v>0.83</v>
      </c>
    </row>
    <row r="1535" spans="1:5" x14ac:dyDescent="0.35">
      <c r="A1535" s="9" t="s">
        <v>135</v>
      </c>
      <c r="B1535" s="10"/>
      <c r="C1535" s="10" t="s">
        <v>150</v>
      </c>
      <c r="D1535" s="10" t="s">
        <v>147</v>
      </c>
      <c r="E1535" s="11" t="s">
        <v>137</v>
      </c>
    </row>
    <row r="1536" spans="1:5" x14ac:dyDescent="0.35">
      <c r="A1536" s="6" t="s">
        <v>135</v>
      </c>
      <c r="B1536" s="7"/>
      <c r="C1536" s="7"/>
      <c r="D1536" s="7" t="s">
        <v>148</v>
      </c>
      <c r="E1536" s="8" t="s">
        <v>137</v>
      </c>
    </row>
    <row r="1537" spans="1:5" x14ac:dyDescent="0.35">
      <c r="A1537" s="9" t="s">
        <v>135</v>
      </c>
      <c r="B1537" s="10"/>
      <c r="C1537" s="10"/>
      <c r="D1537" s="10" t="s">
        <v>149</v>
      </c>
      <c r="E1537" s="11" t="s">
        <v>137</v>
      </c>
    </row>
    <row r="1538" spans="1:5" x14ac:dyDescent="0.35">
      <c r="A1538" s="6" t="s">
        <v>135</v>
      </c>
      <c r="B1538" s="7" t="s">
        <v>154</v>
      </c>
      <c r="C1538" s="7" t="s">
        <v>146</v>
      </c>
      <c r="D1538" s="7" t="s">
        <v>147</v>
      </c>
      <c r="E1538" s="8" t="s">
        <v>137</v>
      </c>
    </row>
    <row r="1539" spans="1:5" x14ac:dyDescent="0.35">
      <c r="A1539" s="9" t="s">
        <v>135</v>
      </c>
      <c r="B1539" s="10"/>
      <c r="C1539" s="10"/>
      <c r="D1539" s="10" t="s">
        <v>148</v>
      </c>
      <c r="E1539" s="11" t="s">
        <v>137</v>
      </c>
    </row>
    <row r="1540" spans="1:5" x14ac:dyDescent="0.35">
      <c r="A1540" s="6" t="s">
        <v>135</v>
      </c>
      <c r="B1540" s="7"/>
      <c r="C1540" s="7"/>
      <c r="D1540" s="7" t="s">
        <v>149</v>
      </c>
      <c r="E1540" s="8" t="s">
        <v>137</v>
      </c>
    </row>
    <row r="1541" spans="1:5" x14ac:dyDescent="0.35">
      <c r="A1541" s="9" t="s">
        <v>135</v>
      </c>
      <c r="B1541" s="10"/>
      <c r="C1541" s="10" t="s">
        <v>150</v>
      </c>
      <c r="D1541" s="10" t="s">
        <v>147</v>
      </c>
      <c r="E1541" s="11" t="s">
        <v>137</v>
      </c>
    </row>
    <row r="1542" spans="1:5" x14ac:dyDescent="0.35">
      <c r="A1542" s="6" t="s">
        <v>135</v>
      </c>
      <c r="B1542" s="7"/>
      <c r="C1542" s="7"/>
      <c r="D1542" s="7" t="s">
        <v>148</v>
      </c>
      <c r="E1542" s="8" t="s">
        <v>137</v>
      </c>
    </row>
    <row r="1543" spans="1:5" x14ac:dyDescent="0.35">
      <c r="A1543" s="9" t="s">
        <v>135</v>
      </c>
      <c r="B1543" s="10"/>
      <c r="C1543" s="10"/>
      <c r="D1543" s="10" t="s">
        <v>149</v>
      </c>
      <c r="E1543" s="11" t="s">
        <v>137</v>
      </c>
    </row>
    <row r="1544" spans="1:5" x14ac:dyDescent="0.35">
      <c r="A1544" s="6" t="s">
        <v>135</v>
      </c>
      <c r="B1544" s="7" t="s">
        <v>155</v>
      </c>
      <c r="C1544" s="7" t="s">
        <v>146</v>
      </c>
      <c r="D1544" s="7" t="s">
        <v>147</v>
      </c>
      <c r="E1544" s="8" t="s">
        <v>137</v>
      </c>
    </row>
    <row r="1545" spans="1:5" x14ac:dyDescent="0.35">
      <c r="A1545" s="9" t="s">
        <v>135</v>
      </c>
      <c r="B1545" s="10"/>
      <c r="C1545" s="10"/>
      <c r="D1545" s="10" t="s">
        <v>148</v>
      </c>
      <c r="E1545" s="11" t="s">
        <v>137</v>
      </c>
    </row>
    <row r="1546" spans="1:5" x14ac:dyDescent="0.35">
      <c r="A1546" s="6" t="s">
        <v>135</v>
      </c>
      <c r="B1546" s="7"/>
      <c r="C1546" s="7"/>
      <c r="D1546" s="7" t="s">
        <v>149</v>
      </c>
      <c r="E1546" s="8" t="s">
        <v>137</v>
      </c>
    </row>
    <row r="1547" spans="1:5" x14ac:dyDescent="0.35">
      <c r="A1547" s="9" t="s">
        <v>135</v>
      </c>
      <c r="B1547" s="10"/>
      <c r="C1547" s="10" t="s">
        <v>150</v>
      </c>
      <c r="D1547" s="10" t="s">
        <v>147</v>
      </c>
      <c r="E1547" s="11" t="s">
        <v>137</v>
      </c>
    </row>
    <row r="1548" spans="1:5" x14ac:dyDescent="0.35">
      <c r="A1548" s="6" t="s">
        <v>135</v>
      </c>
      <c r="B1548" s="7"/>
      <c r="C1548" s="7"/>
      <c r="D1548" s="7" t="s">
        <v>148</v>
      </c>
      <c r="E1548" s="8" t="s">
        <v>137</v>
      </c>
    </row>
    <row r="1549" spans="1:5" x14ac:dyDescent="0.35">
      <c r="A1549" s="9" t="s">
        <v>135</v>
      </c>
      <c r="B1549" s="10"/>
      <c r="C1549" s="10"/>
      <c r="D1549" s="10" t="s">
        <v>149</v>
      </c>
      <c r="E1549" s="11" t="s">
        <v>137</v>
      </c>
    </row>
    <row r="1550" spans="1:5" x14ac:dyDescent="0.35">
      <c r="A1550" s="6" t="s">
        <v>135</v>
      </c>
      <c r="B1550" s="7" t="s">
        <v>156</v>
      </c>
      <c r="C1550" s="7" t="s">
        <v>146</v>
      </c>
      <c r="D1550" s="7" t="s">
        <v>147</v>
      </c>
      <c r="E1550" s="8" t="s">
        <v>137</v>
      </c>
    </row>
    <row r="1551" spans="1:5" x14ac:dyDescent="0.35">
      <c r="A1551" s="9" t="s">
        <v>135</v>
      </c>
      <c r="B1551" s="10"/>
      <c r="C1551" s="10"/>
      <c r="D1551" s="10" t="s">
        <v>148</v>
      </c>
      <c r="E1551" s="11" t="s">
        <v>137</v>
      </c>
    </row>
    <row r="1552" spans="1:5" x14ac:dyDescent="0.35">
      <c r="A1552" s="6" t="s">
        <v>135</v>
      </c>
      <c r="B1552" s="7"/>
      <c r="C1552" s="7"/>
      <c r="D1552" s="7" t="s">
        <v>149</v>
      </c>
      <c r="E1552" s="8" t="s">
        <v>137</v>
      </c>
    </row>
    <row r="1553" spans="1:5" x14ac:dyDescent="0.35">
      <c r="A1553" s="9" t="s">
        <v>135</v>
      </c>
      <c r="B1553" s="10"/>
      <c r="C1553" s="10" t="s">
        <v>150</v>
      </c>
      <c r="D1553" s="10" t="s">
        <v>147</v>
      </c>
      <c r="E1553" s="11" t="s">
        <v>137</v>
      </c>
    </row>
    <row r="1554" spans="1:5" x14ac:dyDescent="0.35">
      <c r="A1554" s="6" t="s">
        <v>135</v>
      </c>
      <c r="B1554" s="7"/>
      <c r="C1554" s="7"/>
      <c r="D1554" s="7" t="s">
        <v>148</v>
      </c>
      <c r="E1554" s="8" t="s">
        <v>137</v>
      </c>
    </row>
    <row r="1555" spans="1:5" x14ac:dyDescent="0.35">
      <c r="A1555" s="9" t="s">
        <v>135</v>
      </c>
      <c r="B1555" s="10"/>
      <c r="C1555" s="10"/>
      <c r="D1555" s="10" t="s">
        <v>149</v>
      </c>
      <c r="E1555" s="11" t="s">
        <v>137</v>
      </c>
    </row>
    <row r="1556" spans="1:5" x14ac:dyDescent="0.35">
      <c r="A1556" s="6" t="s">
        <v>135</v>
      </c>
      <c r="B1556" s="7" t="s">
        <v>157</v>
      </c>
      <c r="C1556" s="7" t="s">
        <v>146</v>
      </c>
      <c r="D1556" s="7" t="s">
        <v>147</v>
      </c>
      <c r="E1556" s="8" t="s">
        <v>137</v>
      </c>
    </row>
    <row r="1557" spans="1:5" x14ac:dyDescent="0.35">
      <c r="A1557" s="9" t="s">
        <v>135</v>
      </c>
      <c r="B1557" s="10"/>
      <c r="C1557" s="10"/>
      <c r="D1557" s="10" t="s">
        <v>148</v>
      </c>
      <c r="E1557" s="11" t="s">
        <v>137</v>
      </c>
    </row>
    <row r="1558" spans="1:5" x14ac:dyDescent="0.35">
      <c r="A1558" s="6" t="s">
        <v>135</v>
      </c>
      <c r="B1558" s="7"/>
      <c r="C1558" s="7"/>
      <c r="D1558" s="7" t="s">
        <v>149</v>
      </c>
      <c r="E1558" s="8" t="s">
        <v>137</v>
      </c>
    </row>
    <row r="1559" spans="1:5" x14ac:dyDescent="0.35">
      <c r="A1559" s="9" t="s">
        <v>135</v>
      </c>
      <c r="B1559" s="10"/>
      <c r="C1559" s="10" t="s">
        <v>150</v>
      </c>
      <c r="D1559" s="10" t="s">
        <v>147</v>
      </c>
      <c r="E1559" s="11" t="s">
        <v>137</v>
      </c>
    </row>
    <row r="1560" spans="1:5" x14ac:dyDescent="0.35">
      <c r="A1560" s="6" t="s">
        <v>135</v>
      </c>
      <c r="B1560" s="7"/>
      <c r="C1560" s="7"/>
      <c r="D1560" s="7" t="s">
        <v>148</v>
      </c>
      <c r="E1560" s="8" t="s">
        <v>137</v>
      </c>
    </row>
    <row r="1561" spans="1:5" x14ac:dyDescent="0.35">
      <c r="A1561" s="9" t="s">
        <v>135</v>
      </c>
      <c r="B1561" s="10"/>
      <c r="C1561" s="10"/>
      <c r="D1561" s="10" t="s">
        <v>149</v>
      </c>
      <c r="E1561" s="11" t="s">
        <v>137</v>
      </c>
    </row>
    <row r="1562" spans="1:5" x14ac:dyDescent="0.35">
      <c r="A1562" s="6" t="s">
        <v>135</v>
      </c>
      <c r="B1562" s="7" t="s">
        <v>158</v>
      </c>
      <c r="C1562" s="7" t="s">
        <v>146</v>
      </c>
      <c r="D1562" s="7" t="s">
        <v>147</v>
      </c>
      <c r="E1562" s="8" t="s">
        <v>137</v>
      </c>
    </row>
    <row r="1563" spans="1:5" x14ac:dyDescent="0.35">
      <c r="A1563" s="9" t="s">
        <v>135</v>
      </c>
      <c r="B1563" s="10"/>
      <c r="C1563" s="10"/>
      <c r="D1563" s="10" t="s">
        <v>148</v>
      </c>
      <c r="E1563" s="11" t="s">
        <v>137</v>
      </c>
    </row>
    <row r="1564" spans="1:5" x14ac:dyDescent="0.35">
      <c r="A1564" s="6" t="s">
        <v>135</v>
      </c>
      <c r="B1564" s="7"/>
      <c r="C1564" s="7"/>
      <c r="D1564" s="7" t="s">
        <v>149</v>
      </c>
      <c r="E1564" s="8" t="s">
        <v>137</v>
      </c>
    </row>
    <row r="1565" spans="1:5" x14ac:dyDescent="0.35">
      <c r="A1565" s="9" t="s">
        <v>135</v>
      </c>
      <c r="B1565" s="10"/>
      <c r="C1565" s="10" t="s">
        <v>150</v>
      </c>
      <c r="D1565" s="10" t="s">
        <v>147</v>
      </c>
      <c r="E1565" s="11" t="s">
        <v>137</v>
      </c>
    </row>
    <row r="1566" spans="1:5" x14ac:dyDescent="0.35">
      <c r="A1566" s="6" t="s">
        <v>135</v>
      </c>
      <c r="B1566" s="7"/>
      <c r="C1566" s="7"/>
      <c r="D1566" s="7" t="s">
        <v>148</v>
      </c>
      <c r="E1566" s="8" t="s">
        <v>137</v>
      </c>
    </row>
    <row r="1567" spans="1:5" x14ac:dyDescent="0.35">
      <c r="A1567" s="9" t="s">
        <v>135</v>
      </c>
      <c r="B1567" s="10"/>
      <c r="C1567" s="10"/>
      <c r="D1567" s="10" t="s">
        <v>149</v>
      </c>
      <c r="E1567" s="11" t="s">
        <v>137</v>
      </c>
    </row>
    <row r="1568" spans="1:5" x14ac:dyDescent="0.35">
      <c r="A1568" s="6" t="s">
        <v>135</v>
      </c>
      <c r="B1568" s="7" t="s">
        <v>159</v>
      </c>
      <c r="C1568" s="7" t="s">
        <v>146</v>
      </c>
      <c r="D1568" s="7" t="s">
        <v>147</v>
      </c>
      <c r="E1568" s="8" t="s">
        <v>137</v>
      </c>
    </row>
    <row r="1569" spans="1:5" x14ac:dyDescent="0.35">
      <c r="A1569" s="9" t="s">
        <v>135</v>
      </c>
      <c r="B1569" s="10"/>
      <c r="C1569" s="10"/>
      <c r="D1569" s="10" t="s">
        <v>148</v>
      </c>
      <c r="E1569" s="11" t="s">
        <v>137</v>
      </c>
    </row>
    <row r="1570" spans="1:5" x14ac:dyDescent="0.35">
      <c r="A1570" s="6" t="s">
        <v>135</v>
      </c>
      <c r="B1570" s="7"/>
      <c r="C1570" s="7"/>
      <c r="D1570" s="7" t="s">
        <v>149</v>
      </c>
      <c r="E1570" s="8" t="s">
        <v>137</v>
      </c>
    </row>
    <row r="1571" spans="1:5" x14ac:dyDescent="0.35">
      <c r="A1571" s="9" t="s">
        <v>135</v>
      </c>
      <c r="B1571" s="10"/>
      <c r="C1571" s="10" t="s">
        <v>150</v>
      </c>
      <c r="D1571" s="10" t="s">
        <v>147</v>
      </c>
      <c r="E1571" s="11" t="s">
        <v>137</v>
      </c>
    </row>
    <row r="1572" spans="1:5" x14ac:dyDescent="0.35">
      <c r="A1572" s="6" t="s">
        <v>135</v>
      </c>
      <c r="B1572" s="7"/>
      <c r="C1572" s="7"/>
      <c r="D1572" s="7" t="s">
        <v>148</v>
      </c>
      <c r="E1572" s="8" t="s">
        <v>137</v>
      </c>
    </row>
    <row r="1573" spans="1:5" x14ac:dyDescent="0.35">
      <c r="A1573" s="9" t="s">
        <v>135</v>
      </c>
      <c r="B1573" s="10"/>
      <c r="C1573" s="10"/>
      <c r="D1573" s="10" t="s">
        <v>149</v>
      </c>
      <c r="E1573" s="11" t="s">
        <v>137</v>
      </c>
    </row>
    <row r="1574" spans="1:5" x14ac:dyDescent="0.35">
      <c r="A1574" s="6" t="s">
        <v>135</v>
      </c>
      <c r="B1574" s="7" t="s">
        <v>160</v>
      </c>
      <c r="C1574" s="7" t="s">
        <v>146</v>
      </c>
      <c r="D1574" s="7" t="s">
        <v>147</v>
      </c>
      <c r="E1574" s="8" t="s">
        <v>137</v>
      </c>
    </row>
    <row r="1575" spans="1:5" x14ac:dyDescent="0.35">
      <c r="A1575" s="9" t="s">
        <v>135</v>
      </c>
      <c r="B1575" s="10"/>
      <c r="C1575" s="10"/>
      <c r="D1575" s="10" t="s">
        <v>148</v>
      </c>
      <c r="E1575" s="11" t="s">
        <v>137</v>
      </c>
    </row>
    <row r="1576" spans="1:5" x14ac:dyDescent="0.35">
      <c r="A1576" s="6" t="s">
        <v>135</v>
      </c>
      <c r="B1576" s="7"/>
      <c r="C1576" s="7"/>
      <c r="D1576" s="7" t="s">
        <v>149</v>
      </c>
      <c r="E1576" s="8" t="s">
        <v>137</v>
      </c>
    </row>
    <row r="1577" spans="1:5" x14ac:dyDescent="0.35">
      <c r="A1577" s="9" t="s">
        <v>135</v>
      </c>
      <c r="B1577" s="10"/>
      <c r="C1577" s="10" t="s">
        <v>150</v>
      </c>
      <c r="D1577" s="10" t="s">
        <v>147</v>
      </c>
      <c r="E1577" s="11" t="s">
        <v>137</v>
      </c>
    </row>
    <row r="1578" spans="1:5" x14ac:dyDescent="0.35">
      <c r="A1578" s="6" t="s">
        <v>135</v>
      </c>
      <c r="B1578" s="7"/>
      <c r="C1578" s="7"/>
      <c r="D1578" s="7" t="s">
        <v>148</v>
      </c>
      <c r="E1578" s="8" t="s">
        <v>137</v>
      </c>
    </row>
    <row r="1579" spans="1:5" x14ac:dyDescent="0.35">
      <c r="A1579" s="9" t="s">
        <v>135</v>
      </c>
      <c r="B1579" s="10"/>
      <c r="C1579" s="10"/>
      <c r="D1579" s="10" t="s">
        <v>149</v>
      </c>
      <c r="E1579" s="11" t="s">
        <v>137</v>
      </c>
    </row>
    <row r="1580" spans="1:5" x14ac:dyDescent="0.35">
      <c r="A1580" s="6" t="s">
        <v>135</v>
      </c>
      <c r="B1580" s="7" t="s">
        <v>161</v>
      </c>
      <c r="C1580" s="7" t="s">
        <v>146</v>
      </c>
      <c r="D1580" s="7" t="s">
        <v>147</v>
      </c>
      <c r="E1580" s="8" t="s">
        <v>137</v>
      </c>
    </row>
    <row r="1581" spans="1:5" x14ac:dyDescent="0.35">
      <c r="A1581" s="9" t="s">
        <v>135</v>
      </c>
      <c r="B1581" s="10"/>
      <c r="C1581" s="10"/>
      <c r="D1581" s="10" t="s">
        <v>148</v>
      </c>
      <c r="E1581" s="11" t="s">
        <v>137</v>
      </c>
    </row>
    <row r="1582" spans="1:5" x14ac:dyDescent="0.35">
      <c r="A1582" s="6" t="s">
        <v>135</v>
      </c>
      <c r="B1582" s="7"/>
      <c r="C1582" s="7"/>
      <c r="D1582" s="7" t="s">
        <v>149</v>
      </c>
      <c r="E1582" s="8" t="s">
        <v>137</v>
      </c>
    </row>
    <row r="1583" spans="1:5" x14ac:dyDescent="0.35">
      <c r="A1583" s="9" t="s">
        <v>135</v>
      </c>
      <c r="B1583" s="10"/>
      <c r="C1583" s="10" t="s">
        <v>150</v>
      </c>
      <c r="D1583" s="10" t="s">
        <v>147</v>
      </c>
      <c r="E1583" s="11" t="s">
        <v>137</v>
      </c>
    </row>
    <row r="1584" spans="1:5" x14ac:dyDescent="0.35">
      <c r="A1584" s="6" t="s">
        <v>135</v>
      </c>
      <c r="B1584" s="7"/>
      <c r="C1584" s="7"/>
      <c r="D1584" s="7" t="s">
        <v>148</v>
      </c>
      <c r="E1584" s="8" t="s">
        <v>137</v>
      </c>
    </row>
    <row r="1585" spans="1:5" x14ac:dyDescent="0.35">
      <c r="A1585" s="9" t="s">
        <v>135</v>
      </c>
      <c r="B1585" s="10"/>
      <c r="C1585" s="10"/>
      <c r="D1585" s="10" t="s">
        <v>149</v>
      </c>
      <c r="E1585" s="11" t="s">
        <v>137</v>
      </c>
    </row>
    <row r="1586" spans="1:5" x14ac:dyDescent="0.35">
      <c r="A1586" s="6" t="s">
        <v>135</v>
      </c>
      <c r="B1586" s="7" t="s">
        <v>162</v>
      </c>
      <c r="C1586" s="7" t="s">
        <v>146</v>
      </c>
      <c r="D1586" s="7" t="s">
        <v>147</v>
      </c>
      <c r="E1586" s="8" t="s">
        <v>137</v>
      </c>
    </row>
    <row r="1587" spans="1:5" x14ac:dyDescent="0.35">
      <c r="A1587" s="9" t="s">
        <v>135</v>
      </c>
      <c r="B1587" s="10"/>
      <c r="C1587" s="10"/>
      <c r="D1587" s="10" t="s">
        <v>148</v>
      </c>
      <c r="E1587" s="11" t="s">
        <v>137</v>
      </c>
    </row>
    <row r="1588" spans="1:5" x14ac:dyDescent="0.35">
      <c r="A1588" s="6" t="s">
        <v>135</v>
      </c>
      <c r="B1588" s="7"/>
      <c r="C1588" s="7"/>
      <c r="D1588" s="7" t="s">
        <v>149</v>
      </c>
      <c r="E1588" s="8" t="s">
        <v>137</v>
      </c>
    </row>
    <row r="1589" spans="1:5" x14ac:dyDescent="0.35">
      <c r="A1589" s="9" t="s">
        <v>135</v>
      </c>
      <c r="B1589" s="10"/>
      <c r="C1589" s="10" t="s">
        <v>150</v>
      </c>
      <c r="D1589" s="10" t="s">
        <v>147</v>
      </c>
      <c r="E1589" s="11" t="s">
        <v>137</v>
      </c>
    </row>
    <row r="1590" spans="1:5" x14ac:dyDescent="0.35">
      <c r="A1590" s="6" t="s">
        <v>135</v>
      </c>
      <c r="B1590" s="7"/>
      <c r="C1590" s="7"/>
      <c r="D1590" s="7" t="s">
        <v>148</v>
      </c>
      <c r="E1590" s="8" t="s">
        <v>137</v>
      </c>
    </row>
    <row r="1591" spans="1:5" x14ac:dyDescent="0.35">
      <c r="A1591" s="9" t="s">
        <v>135</v>
      </c>
      <c r="B1591" s="10"/>
      <c r="C1591" s="10"/>
      <c r="D1591" s="10" t="s">
        <v>149</v>
      </c>
      <c r="E1591" s="11" t="s">
        <v>137</v>
      </c>
    </row>
    <row r="1592" spans="1:5" x14ac:dyDescent="0.35">
      <c r="A1592" s="6" t="s">
        <v>135</v>
      </c>
      <c r="B1592" s="7" t="s">
        <v>163</v>
      </c>
      <c r="C1592" s="7" t="s">
        <v>146</v>
      </c>
      <c r="D1592" s="7" t="s">
        <v>147</v>
      </c>
      <c r="E1592" s="8">
        <v>206</v>
      </c>
    </row>
    <row r="1593" spans="1:5" x14ac:dyDescent="0.35">
      <c r="A1593" s="9" t="s">
        <v>135</v>
      </c>
      <c r="B1593" s="10"/>
      <c r="C1593" s="10"/>
      <c r="D1593" s="10" t="s">
        <v>148</v>
      </c>
      <c r="E1593" s="11">
        <v>205</v>
      </c>
    </row>
    <row r="1594" spans="1:5" x14ac:dyDescent="0.35">
      <c r="A1594" s="6" t="s">
        <v>135</v>
      </c>
      <c r="B1594" s="7"/>
      <c r="C1594" s="7"/>
      <c r="D1594" s="7" t="s">
        <v>149</v>
      </c>
      <c r="E1594" s="8">
        <v>1</v>
      </c>
    </row>
    <row r="1595" spans="1:5" x14ac:dyDescent="0.35">
      <c r="A1595" s="9" t="s">
        <v>135</v>
      </c>
      <c r="B1595" s="10"/>
      <c r="C1595" s="10" t="s">
        <v>150</v>
      </c>
      <c r="D1595" s="10" t="s">
        <v>147</v>
      </c>
      <c r="E1595" s="11" t="s">
        <v>137</v>
      </c>
    </row>
    <row r="1596" spans="1:5" x14ac:dyDescent="0.35">
      <c r="A1596" s="6" t="s">
        <v>135</v>
      </c>
      <c r="B1596" s="7"/>
      <c r="C1596" s="7"/>
      <c r="D1596" s="7" t="s">
        <v>148</v>
      </c>
      <c r="E1596" s="8" t="s">
        <v>137</v>
      </c>
    </row>
    <row r="1597" spans="1:5" x14ac:dyDescent="0.35">
      <c r="A1597" s="9" t="s">
        <v>135</v>
      </c>
      <c r="B1597" s="10"/>
      <c r="C1597" s="10"/>
      <c r="D1597" s="10" t="s">
        <v>149</v>
      </c>
      <c r="E1597" s="11" t="s">
        <v>137</v>
      </c>
    </row>
    <row r="1598" spans="1:5" x14ac:dyDescent="0.35">
      <c r="A1598" s="6" t="s">
        <v>135</v>
      </c>
      <c r="B1598" s="7" t="s">
        <v>164</v>
      </c>
      <c r="C1598" s="7" t="s">
        <v>146</v>
      </c>
      <c r="D1598" s="7" t="s">
        <v>147</v>
      </c>
      <c r="E1598" s="8" t="s">
        <v>137</v>
      </c>
    </row>
    <row r="1599" spans="1:5" x14ac:dyDescent="0.35">
      <c r="A1599" s="9" t="s">
        <v>135</v>
      </c>
      <c r="B1599" s="10"/>
      <c r="C1599" s="10"/>
      <c r="D1599" s="10" t="s">
        <v>148</v>
      </c>
      <c r="E1599" s="11" t="s">
        <v>137</v>
      </c>
    </row>
    <row r="1600" spans="1:5" x14ac:dyDescent="0.35">
      <c r="A1600" s="6" t="s">
        <v>135</v>
      </c>
      <c r="B1600" s="7"/>
      <c r="C1600" s="7"/>
      <c r="D1600" s="7" t="s">
        <v>149</v>
      </c>
      <c r="E1600" s="8" t="s">
        <v>137</v>
      </c>
    </row>
    <row r="1601" spans="1:5" x14ac:dyDescent="0.35">
      <c r="A1601" s="9" t="s">
        <v>135</v>
      </c>
      <c r="B1601" s="10"/>
      <c r="C1601" s="10" t="s">
        <v>150</v>
      </c>
      <c r="D1601" s="10" t="s">
        <v>147</v>
      </c>
      <c r="E1601" s="11" t="s">
        <v>137</v>
      </c>
    </row>
    <row r="1602" spans="1:5" x14ac:dyDescent="0.35">
      <c r="A1602" s="6" t="s">
        <v>135</v>
      </c>
      <c r="B1602" s="7"/>
      <c r="C1602" s="7"/>
      <c r="D1602" s="7" t="s">
        <v>148</v>
      </c>
      <c r="E1602" s="8" t="s">
        <v>137</v>
      </c>
    </row>
    <row r="1603" spans="1:5" x14ac:dyDescent="0.35">
      <c r="A1603" s="9" t="s">
        <v>135</v>
      </c>
      <c r="B1603" s="10"/>
      <c r="C1603" s="10"/>
      <c r="D1603" s="10" t="s">
        <v>149</v>
      </c>
      <c r="E1603" s="11" t="s">
        <v>137</v>
      </c>
    </row>
    <row r="1604" spans="1:5" x14ac:dyDescent="0.35">
      <c r="A1604" s="6" t="s">
        <v>135</v>
      </c>
      <c r="B1604" s="7" t="s">
        <v>165</v>
      </c>
      <c r="C1604" s="7" t="s">
        <v>146</v>
      </c>
      <c r="D1604" s="7" t="s">
        <v>147</v>
      </c>
      <c r="E1604" s="8" t="s">
        <v>137</v>
      </c>
    </row>
    <row r="1605" spans="1:5" x14ac:dyDescent="0.35">
      <c r="A1605" s="9" t="s">
        <v>135</v>
      </c>
      <c r="B1605" s="10"/>
      <c r="C1605" s="10"/>
      <c r="D1605" s="10" t="s">
        <v>148</v>
      </c>
      <c r="E1605" s="11" t="s">
        <v>137</v>
      </c>
    </row>
    <row r="1606" spans="1:5" x14ac:dyDescent="0.35">
      <c r="A1606" s="6" t="s">
        <v>135</v>
      </c>
      <c r="B1606" s="7"/>
      <c r="C1606" s="7"/>
      <c r="D1606" s="7" t="s">
        <v>149</v>
      </c>
      <c r="E1606" s="8" t="s">
        <v>137</v>
      </c>
    </row>
    <row r="1607" spans="1:5" x14ac:dyDescent="0.35">
      <c r="A1607" s="9" t="s">
        <v>135</v>
      </c>
      <c r="B1607" s="10"/>
      <c r="C1607" s="10" t="s">
        <v>150</v>
      </c>
      <c r="D1607" s="10" t="s">
        <v>147</v>
      </c>
      <c r="E1607" s="11" t="s">
        <v>137</v>
      </c>
    </row>
    <row r="1608" spans="1:5" x14ac:dyDescent="0.35">
      <c r="A1608" s="6" t="s">
        <v>135</v>
      </c>
      <c r="B1608" s="7"/>
      <c r="C1608" s="7"/>
      <c r="D1608" s="7" t="s">
        <v>148</v>
      </c>
      <c r="E1608" s="8" t="s">
        <v>137</v>
      </c>
    </row>
    <row r="1609" spans="1:5" x14ac:dyDescent="0.35">
      <c r="A1609" s="9" t="s">
        <v>135</v>
      </c>
      <c r="B1609" s="10"/>
      <c r="C1609" s="10"/>
      <c r="D1609" s="10" t="s">
        <v>149</v>
      </c>
      <c r="E1609" s="11" t="s">
        <v>137</v>
      </c>
    </row>
    <row r="1610" spans="1:5" x14ac:dyDescent="0.35">
      <c r="A1610" s="6" t="s">
        <v>135</v>
      </c>
      <c r="B1610" s="7" t="s">
        <v>166</v>
      </c>
      <c r="C1610" s="7" t="s">
        <v>146</v>
      </c>
      <c r="D1610" s="7" t="s">
        <v>147</v>
      </c>
      <c r="E1610" s="8">
        <v>206</v>
      </c>
    </row>
    <row r="1611" spans="1:5" x14ac:dyDescent="0.35">
      <c r="A1611" s="9" t="s">
        <v>135</v>
      </c>
      <c r="B1611" s="10"/>
      <c r="C1611" s="10"/>
      <c r="D1611" s="10" t="s">
        <v>148</v>
      </c>
      <c r="E1611" s="11">
        <v>205</v>
      </c>
    </row>
    <row r="1612" spans="1:5" x14ac:dyDescent="0.35">
      <c r="A1612" s="6" t="s">
        <v>135</v>
      </c>
      <c r="B1612" s="7"/>
      <c r="C1612" s="7"/>
      <c r="D1612" s="7" t="s">
        <v>149</v>
      </c>
      <c r="E1612" s="8">
        <v>1</v>
      </c>
    </row>
    <row r="1613" spans="1:5" x14ac:dyDescent="0.35">
      <c r="A1613" s="9" t="s">
        <v>135</v>
      </c>
      <c r="B1613" s="10"/>
      <c r="C1613" s="10" t="s">
        <v>150</v>
      </c>
      <c r="D1613" s="10" t="s">
        <v>147</v>
      </c>
      <c r="E1613" s="11" t="s">
        <v>137</v>
      </c>
    </row>
    <row r="1614" spans="1:5" x14ac:dyDescent="0.35">
      <c r="A1614" s="6" t="s">
        <v>135</v>
      </c>
      <c r="B1614" s="7"/>
      <c r="C1614" s="7"/>
      <c r="D1614" s="7" t="s">
        <v>148</v>
      </c>
      <c r="E1614" s="8" t="s">
        <v>137</v>
      </c>
    </row>
    <row r="1615" spans="1:5" x14ac:dyDescent="0.35">
      <c r="A1615" s="9" t="s">
        <v>135</v>
      </c>
      <c r="B1615" s="10"/>
      <c r="C1615" s="10"/>
      <c r="D1615" s="10" t="s">
        <v>149</v>
      </c>
      <c r="E1615" s="11" t="s">
        <v>137</v>
      </c>
    </row>
    <row r="1616" spans="1:5" x14ac:dyDescent="0.35">
      <c r="A1616" s="6" t="s">
        <v>135</v>
      </c>
      <c r="B1616" s="7" t="s">
        <v>167</v>
      </c>
      <c r="C1616" s="7" t="s">
        <v>146</v>
      </c>
      <c r="D1616" s="7" t="s">
        <v>147</v>
      </c>
      <c r="E1616" s="8" t="s">
        <v>137</v>
      </c>
    </row>
    <row r="1617" spans="1:5" x14ac:dyDescent="0.35">
      <c r="A1617" s="9" t="s">
        <v>135</v>
      </c>
      <c r="B1617" s="10"/>
      <c r="C1617" s="10"/>
      <c r="D1617" s="10" t="s">
        <v>148</v>
      </c>
      <c r="E1617" s="11" t="s">
        <v>137</v>
      </c>
    </row>
    <row r="1618" spans="1:5" x14ac:dyDescent="0.35">
      <c r="A1618" s="6" t="s">
        <v>135</v>
      </c>
      <c r="B1618" s="7"/>
      <c r="C1618" s="7"/>
      <c r="D1618" s="7" t="s">
        <v>149</v>
      </c>
      <c r="E1618" s="8" t="s">
        <v>137</v>
      </c>
    </row>
    <row r="1619" spans="1:5" x14ac:dyDescent="0.35">
      <c r="A1619" s="9" t="s">
        <v>135</v>
      </c>
      <c r="B1619" s="10"/>
      <c r="C1619" s="10" t="s">
        <v>150</v>
      </c>
      <c r="D1619" s="10" t="s">
        <v>147</v>
      </c>
      <c r="E1619" s="11" t="s">
        <v>137</v>
      </c>
    </row>
    <row r="1620" spans="1:5" x14ac:dyDescent="0.35">
      <c r="A1620" s="6" t="s">
        <v>135</v>
      </c>
      <c r="B1620" s="7"/>
      <c r="C1620" s="7"/>
      <c r="D1620" s="7" t="s">
        <v>148</v>
      </c>
      <c r="E1620" s="8" t="s">
        <v>137</v>
      </c>
    </row>
    <row r="1621" spans="1:5" x14ac:dyDescent="0.35">
      <c r="A1621" s="9" t="s">
        <v>135</v>
      </c>
      <c r="B1621" s="10"/>
      <c r="C1621" s="10"/>
      <c r="D1621" s="10" t="s">
        <v>149</v>
      </c>
      <c r="E1621" s="11" t="s">
        <v>137</v>
      </c>
    </row>
    <row r="1622" spans="1:5" x14ac:dyDescent="0.35">
      <c r="A1622" s="6" t="s">
        <v>135</v>
      </c>
      <c r="B1622" s="7" t="s">
        <v>168</v>
      </c>
      <c r="C1622" s="7" t="s">
        <v>146</v>
      </c>
      <c r="D1622" s="7" t="s">
        <v>147</v>
      </c>
      <c r="E1622" s="8" t="s">
        <v>137</v>
      </c>
    </row>
    <row r="1623" spans="1:5" x14ac:dyDescent="0.35">
      <c r="A1623" s="9" t="s">
        <v>135</v>
      </c>
      <c r="B1623" s="10"/>
      <c r="C1623" s="10"/>
      <c r="D1623" s="10" t="s">
        <v>148</v>
      </c>
      <c r="E1623" s="11" t="s">
        <v>137</v>
      </c>
    </row>
    <row r="1624" spans="1:5" x14ac:dyDescent="0.35">
      <c r="A1624" s="6" t="s">
        <v>135</v>
      </c>
      <c r="B1624" s="7"/>
      <c r="C1624" s="7"/>
      <c r="D1624" s="7" t="s">
        <v>149</v>
      </c>
      <c r="E1624" s="8" t="s">
        <v>137</v>
      </c>
    </row>
    <row r="1625" spans="1:5" x14ac:dyDescent="0.35">
      <c r="A1625" s="9" t="s">
        <v>135</v>
      </c>
      <c r="B1625" s="10"/>
      <c r="C1625" s="10" t="s">
        <v>150</v>
      </c>
      <c r="D1625" s="10" t="s">
        <v>147</v>
      </c>
      <c r="E1625" s="11" t="s">
        <v>137</v>
      </c>
    </row>
    <row r="1626" spans="1:5" x14ac:dyDescent="0.35">
      <c r="A1626" s="6" t="s">
        <v>135</v>
      </c>
      <c r="B1626" s="7"/>
      <c r="C1626" s="7"/>
      <c r="D1626" s="7" t="s">
        <v>148</v>
      </c>
      <c r="E1626" s="8" t="s">
        <v>137</v>
      </c>
    </row>
    <row r="1627" spans="1:5" x14ac:dyDescent="0.35">
      <c r="A1627" s="9" t="s">
        <v>135</v>
      </c>
      <c r="B1627" s="10"/>
      <c r="C1627" s="10"/>
      <c r="D1627" s="10" t="s">
        <v>149</v>
      </c>
      <c r="E1627" s="11" t="s">
        <v>137</v>
      </c>
    </row>
    <row r="1628" spans="1:5" x14ac:dyDescent="0.35">
      <c r="A1628" s="6" t="s">
        <v>135</v>
      </c>
      <c r="B1628" s="7" t="s">
        <v>169</v>
      </c>
      <c r="C1628" s="7" t="s">
        <v>146</v>
      </c>
      <c r="D1628" s="7" t="s">
        <v>147</v>
      </c>
      <c r="E1628" s="8" t="s">
        <v>137</v>
      </c>
    </row>
    <row r="1629" spans="1:5" x14ac:dyDescent="0.35">
      <c r="A1629" s="9" t="s">
        <v>135</v>
      </c>
      <c r="B1629" s="10"/>
      <c r="C1629" s="10"/>
      <c r="D1629" s="10" t="s">
        <v>148</v>
      </c>
      <c r="E1629" s="11" t="s">
        <v>137</v>
      </c>
    </row>
    <row r="1630" spans="1:5" x14ac:dyDescent="0.35">
      <c r="A1630" s="6" t="s">
        <v>135</v>
      </c>
      <c r="B1630" s="7"/>
      <c r="C1630" s="7"/>
      <c r="D1630" s="7" t="s">
        <v>149</v>
      </c>
      <c r="E1630" s="8" t="s">
        <v>137</v>
      </c>
    </row>
    <row r="1631" spans="1:5" x14ac:dyDescent="0.35">
      <c r="A1631" s="9" t="s">
        <v>135</v>
      </c>
      <c r="B1631" s="10"/>
      <c r="C1631" s="10" t="s">
        <v>150</v>
      </c>
      <c r="D1631" s="10" t="s">
        <v>147</v>
      </c>
      <c r="E1631" s="11" t="s">
        <v>137</v>
      </c>
    </row>
    <row r="1632" spans="1:5" x14ac:dyDescent="0.35">
      <c r="A1632" s="6" t="s">
        <v>135</v>
      </c>
      <c r="B1632" s="7"/>
      <c r="C1632" s="7"/>
      <c r="D1632" s="7" t="s">
        <v>148</v>
      </c>
      <c r="E1632" s="8" t="s">
        <v>137</v>
      </c>
    </row>
    <row r="1633" spans="1:5" x14ac:dyDescent="0.35">
      <c r="A1633" s="9" t="s">
        <v>135</v>
      </c>
      <c r="B1633" s="10"/>
      <c r="C1633" s="10"/>
      <c r="D1633" s="10" t="s">
        <v>149</v>
      </c>
      <c r="E1633" s="11" t="s">
        <v>137</v>
      </c>
    </row>
    <row r="1634" spans="1:5" x14ac:dyDescent="0.35">
      <c r="A1634" s="6" t="s">
        <v>135</v>
      </c>
      <c r="B1634" s="7" t="s">
        <v>170</v>
      </c>
      <c r="C1634" s="7" t="s">
        <v>146</v>
      </c>
      <c r="D1634" s="7" t="s">
        <v>147</v>
      </c>
      <c r="E1634" s="8" t="s">
        <v>137</v>
      </c>
    </row>
    <row r="1635" spans="1:5" x14ac:dyDescent="0.35">
      <c r="A1635" s="9" t="s">
        <v>135</v>
      </c>
      <c r="B1635" s="10"/>
      <c r="C1635" s="10"/>
      <c r="D1635" s="10" t="s">
        <v>148</v>
      </c>
      <c r="E1635" s="11" t="s">
        <v>137</v>
      </c>
    </row>
    <row r="1636" spans="1:5" x14ac:dyDescent="0.35">
      <c r="A1636" s="6" t="s">
        <v>135</v>
      </c>
      <c r="B1636" s="7"/>
      <c r="C1636" s="7"/>
      <c r="D1636" s="7" t="s">
        <v>149</v>
      </c>
      <c r="E1636" s="8" t="s">
        <v>137</v>
      </c>
    </row>
    <row r="1637" spans="1:5" x14ac:dyDescent="0.35">
      <c r="A1637" s="9" t="s">
        <v>135</v>
      </c>
      <c r="B1637" s="10"/>
      <c r="C1637" s="10" t="s">
        <v>150</v>
      </c>
      <c r="D1637" s="10" t="s">
        <v>147</v>
      </c>
      <c r="E1637" s="11" t="s">
        <v>137</v>
      </c>
    </row>
    <row r="1638" spans="1:5" x14ac:dyDescent="0.35">
      <c r="A1638" s="6" t="s">
        <v>135</v>
      </c>
      <c r="B1638" s="7"/>
      <c r="C1638" s="7"/>
      <c r="D1638" s="7" t="s">
        <v>148</v>
      </c>
      <c r="E1638" s="8" t="s">
        <v>137</v>
      </c>
    </row>
    <row r="1639" spans="1:5" x14ac:dyDescent="0.35">
      <c r="A1639" s="9" t="s">
        <v>135</v>
      </c>
      <c r="B1639" s="10"/>
      <c r="C1639" s="10"/>
      <c r="D1639" s="10" t="s">
        <v>149</v>
      </c>
      <c r="E1639" s="11" t="s">
        <v>137</v>
      </c>
    </row>
    <row r="1640" spans="1:5" x14ac:dyDescent="0.35">
      <c r="A1640" s="6" t="s">
        <v>109</v>
      </c>
      <c r="B1640" s="7" t="s">
        <v>145</v>
      </c>
      <c r="C1640" s="7" t="s">
        <v>146</v>
      </c>
      <c r="D1640" s="7" t="s">
        <v>147</v>
      </c>
      <c r="E1640" s="8">
        <v>197.48</v>
      </c>
    </row>
    <row r="1641" spans="1:5" x14ac:dyDescent="0.35">
      <c r="A1641" s="9" t="s">
        <v>135</v>
      </c>
      <c r="B1641" s="10"/>
      <c r="C1641" s="10"/>
      <c r="D1641" s="10" t="s">
        <v>148</v>
      </c>
      <c r="E1641" s="11">
        <v>195.63</v>
      </c>
    </row>
    <row r="1642" spans="1:5" x14ac:dyDescent="0.35">
      <c r="A1642" s="6" t="s">
        <v>135</v>
      </c>
      <c r="B1642" s="7"/>
      <c r="C1642" s="7"/>
      <c r="D1642" s="7" t="s">
        <v>149</v>
      </c>
      <c r="E1642" s="8">
        <v>1.85</v>
      </c>
    </row>
    <row r="1643" spans="1:5" x14ac:dyDescent="0.35">
      <c r="A1643" s="9" t="s">
        <v>135</v>
      </c>
      <c r="B1643" s="10"/>
      <c r="C1643" s="10" t="s">
        <v>150</v>
      </c>
      <c r="D1643" s="10" t="s">
        <v>147</v>
      </c>
      <c r="E1643" s="11" t="s">
        <v>137</v>
      </c>
    </row>
    <row r="1644" spans="1:5" x14ac:dyDescent="0.35">
      <c r="A1644" s="6" t="s">
        <v>135</v>
      </c>
      <c r="B1644" s="7"/>
      <c r="C1644" s="7"/>
      <c r="D1644" s="7" t="s">
        <v>148</v>
      </c>
      <c r="E1644" s="8" t="s">
        <v>137</v>
      </c>
    </row>
    <row r="1645" spans="1:5" x14ac:dyDescent="0.35">
      <c r="A1645" s="9" t="s">
        <v>135</v>
      </c>
      <c r="B1645" s="10"/>
      <c r="C1645" s="10"/>
      <c r="D1645" s="10" t="s">
        <v>149</v>
      </c>
      <c r="E1645" s="11" t="s">
        <v>137</v>
      </c>
    </row>
    <row r="1646" spans="1:5" x14ac:dyDescent="0.35">
      <c r="A1646" s="6" t="s">
        <v>135</v>
      </c>
      <c r="B1646" s="7" t="s">
        <v>151</v>
      </c>
      <c r="C1646" s="7" t="s">
        <v>146</v>
      </c>
      <c r="D1646" s="7" t="s">
        <v>147</v>
      </c>
      <c r="E1646" s="8">
        <v>27.95</v>
      </c>
    </row>
    <row r="1647" spans="1:5" x14ac:dyDescent="0.35">
      <c r="A1647" s="9" t="s">
        <v>135</v>
      </c>
      <c r="B1647" s="10"/>
      <c r="C1647" s="10"/>
      <c r="D1647" s="10" t="s">
        <v>148</v>
      </c>
      <c r="E1647" s="11">
        <v>27.9</v>
      </c>
    </row>
    <row r="1648" spans="1:5" x14ac:dyDescent="0.35">
      <c r="A1648" s="6" t="s">
        <v>135</v>
      </c>
      <c r="B1648" s="7"/>
      <c r="C1648" s="7"/>
      <c r="D1648" s="7" t="s">
        <v>149</v>
      </c>
      <c r="E1648" s="8">
        <v>0.05</v>
      </c>
    </row>
    <row r="1649" spans="1:5" x14ac:dyDescent="0.35">
      <c r="A1649" s="9" t="s">
        <v>135</v>
      </c>
      <c r="B1649" s="10"/>
      <c r="C1649" s="10" t="s">
        <v>150</v>
      </c>
      <c r="D1649" s="10" t="s">
        <v>147</v>
      </c>
      <c r="E1649" s="11" t="s">
        <v>137</v>
      </c>
    </row>
    <row r="1650" spans="1:5" x14ac:dyDescent="0.35">
      <c r="A1650" s="6" t="s">
        <v>135</v>
      </c>
      <c r="B1650" s="7"/>
      <c r="C1650" s="7"/>
      <c r="D1650" s="7" t="s">
        <v>148</v>
      </c>
      <c r="E1650" s="8" t="s">
        <v>137</v>
      </c>
    </row>
    <row r="1651" spans="1:5" x14ac:dyDescent="0.35">
      <c r="A1651" s="9" t="s">
        <v>135</v>
      </c>
      <c r="B1651" s="10"/>
      <c r="C1651" s="10"/>
      <c r="D1651" s="10" t="s">
        <v>149</v>
      </c>
      <c r="E1651" s="11" t="s">
        <v>137</v>
      </c>
    </row>
    <row r="1652" spans="1:5" x14ac:dyDescent="0.35">
      <c r="A1652" s="6" t="s">
        <v>135</v>
      </c>
      <c r="B1652" s="7" t="s">
        <v>152</v>
      </c>
      <c r="C1652" s="7" t="s">
        <v>146</v>
      </c>
      <c r="D1652" s="7" t="s">
        <v>147</v>
      </c>
      <c r="E1652" s="8" t="s">
        <v>137</v>
      </c>
    </row>
    <row r="1653" spans="1:5" x14ac:dyDescent="0.35">
      <c r="A1653" s="9" t="s">
        <v>135</v>
      </c>
      <c r="B1653" s="10"/>
      <c r="C1653" s="10"/>
      <c r="D1653" s="10" t="s">
        <v>148</v>
      </c>
      <c r="E1653" s="11" t="s">
        <v>137</v>
      </c>
    </row>
    <row r="1654" spans="1:5" x14ac:dyDescent="0.35">
      <c r="A1654" s="6" t="s">
        <v>135</v>
      </c>
      <c r="B1654" s="7"/>
      <c r="C1654" s="7"/>
      <c r="D1654" s="7" t="s">
        <v>149</v>
      </c>
      <c r="E1654" s="8" t="s">
        <v>137</v>
      </c>
    </row>
    <row r="1655" spans="1:5" x14ac:dyDescent="0.35">
      <c r="A1655" s="9" t="s">
        <v>135</v>
      </c>
      <c r="B1655" s="10"/>
      <c r="C1655" s="10" t="s">
        <v>150</v>
      </c>
      <c r="D1655" s="10" t="s">
        <v>147</v>
      </c>
      <c r="E1655" s="11" t="s">
        <v>137</v>
      </c>
    </row>
    <row r="1656" spans="1:5" x14ac:dyDescent="0.35">
      <c r="A1656" s="6" t="s">
        <v>135</v>
      </c>
      <c r="B1656" s="7"/>
      <c r="C1656" s="7"/>
      <c r="D1656" s="7" t="s">
        <v>148</v>
      </c>
      <c r="E1656" s="8" t="s">
        <v>137</v>
      </c>
    </row>
    <row r="1657" spans="1:5" x14ac:dyDescent="0.35">
      <c r="A1657" s="9" t="s">
        <v>135</v>
      </c>
      <c r="B1657" s="10"/>
      <c r="C1657" s="10"/>
      <c r="D1657" s="10" t="s">
        <v>149</v>
      </c>
      <c r="E1657" s="11" t="s">
        <v>137</v>
      </c>
    </row>
    <row r="1658" spans="1:5" x14ac:dyDescent="0.35">
      <c r="A1658" s="6" t="s">
        <v>135</v>
      </c>
      <c r="B1658" s="7" t="s">
        <v>153</v>
      </c>
      <c r="C1658" s="7" t="s">
        <v>146</v>
      </c>
      <c r="D1658" s="7" t="s">
        <v>147</v>
      </c>
      <c r="E1658" s="8" t="s">
        <v>137</v>
      </c>
    </row>
    <row r="1659" spans="1:5" x14ac:dyDescent="0.35">
      <c r="A1659" s="9" t="s">
        <v>135</v>
      </c>
      <c r="B1659" s="10"/>
      <c r="C1659" s="10"/>
      <c r="D1659" s="10" t="s">
        <v>148</v>
      </c>
      <c r="E1659" s="11" t="s">
        <v>137</v>
      </c>
    </row>
    <row r="1660" spans="1:5" x14ac:dyDescent="0.35">
      <c r="A1660" s="6" t="s">
        <v>135</v>
      </c>
      <c r="B1660" s="7"/>
      <c r="C1660" s="7"/>
      <c r="D1660" s="7" t="s">
        <v>149</v>
      </c>
      <c r="E1660" s="8" t="s">
        <v>137</v>
      </c>
    </row>
    <row r="1661" spans="1:5" x14ac:dyDescent="0.35">
      <c r="A1661" s="9" t="s">
        <v>135</v>
      </c>
      <c r="B1661" s="10"/>
      <c r="C1661" s="10" t="s">
        <v>150</v>
      </c>
      <c r="D1661" s="10" t="s">
        <v>147</v>
      </c>
      <c r="E1661" s="11" t="s">
        <v>137</v>
      </c>
    </row>
    <row r="1662" spans="1:5" x14ac:dyDescent="0.35">
      <c r="A1662" s="6" t="s">
        <v>135</v>
      </c>
      <c r="B1662" s="7"/>
      <c r="C1662" s="7"/>
      <c r="D1662" s="7" t="s">
        <v>148</v>
      </c>
      <c r="E1662" s="8" t="s">
        <v>137</v>
      </c>
    </row>
    <row r="1663" spans="1:5" x14ac:dyDescent="0.35">
      <c r="A1663" s="9" t="s">
        <v>135</v>
      </c>
      <c r="B1663" s="10"/>
      <c r="C1663" s="10"/>
      <c r="D1663" s="10" t="s">
        <v>149</v>
      </c>
      <c r="E1663" s="11" t="s">
        <v>137</v>
      </c>
    </row>
    <row r="1664" spans="1:5" x14ac:dyDescent="0.35">
      <c r="A1664" s="6" t="s">
        <v>135</v>
      </c>
      <c r="B1664" s="7" t="s">
        <v>154</v>
      </c>
      <c r="C1664" s="7" t="s">
        <v>146</v>
      </c>
      <c r="D1664" s="7" t="s">
        <v>147</v>
      </c>
      <c r="E1664" s="8" t="s">
        <v>137</v>
      </c>
    </row>
    <row r="1665" spans="1:5" x14ac:dyDescent="0.35">
      <c r="A1665" s="9" t="s">
        <v>135</v>
      </c>
      <c r="B1665" s="10"/>
      <c r="C1665" s="10"/>
      <c r="D1665" s="10" t="s">
        <v>148</v>
      </c>
      <c r="E1665" s="11" t="s">
        <v>137</v>
      </c>
    </row>
    <row r="1666" spans="1:5" x14ac:dyDescent="0.35">
      <c r="A1666" s="6" t="s">
        <v>135</v>
      </c>
      <c r="B1666" s="7"/>
      <c r="C1666" s="7"/>
      <c r="D1666" s="7" t="s">
        <v>149</v>
      </c>
      <c r="E1666" s="8" t="s">
        <v>137</v>
      </c>
    </row>
    <row r="1667" spans="1:5" x14ac:dyDescent="0.35">
      <c r="A1667" s="9" t="s">
        <v>135</v>
      </c>
      <c r="B1667" s="10"/>
      <c r="C1667" s="10" t="s">
        <v>150</v>
      </c>
      <c r="D1667" s="10" t="s">
        <v>147</v>
      </c>
      <c r="E1667" s="11" t="s">
        <v>137</v>
      </c>
    </row>
    <row r="1668" spans="1:5" x14ac:dyDescent="0.35">
      <c r="A1668" s="6" t="s">
        <v>135</v>
      </c>
      <c r="B1668" s="7"/>
      <c r="C1668" s="7"/>
      <c r="D1668" s="7" t="s">
        <v>148</v>
      </c>
      <c r="E1668" s="8" t="s">
        <v>137</v>
      </c>
    </row>
    <row r="1669" spans="1:5" x14ac:dyDescent="0.35">
      <c r="A1669" s="9" t="s">
        <v>135</v>
      </c>
      <c r="B1669" s="10"/>
      <c r="C1669" s="10"/>
      <c r="D1669" s="10" t="s">
        <v>149</v>
      </c>
      <c r="E1669" s="11" t="s">
        <v>137</v>
      </c>
    </row>
    <row r="1670" spans="1:5" x14ac:dyDescent="0.35">
      <c r="A1670" s="6" t="s">
        <v>135</v>
      </c>
      <c r="B1670" s="7" t="s">
        <v>155</v>
      </c>
      <c r="C1670" s="7" t="s">
        <v>146</v>
      </c>
      <c r="D1670" s="7" t="s">
        <v>147</v>
      </c>
      <c r="E1670" s="8">
        <v>63.53</v>
      </c>
    </row>
    <row r="1671" spans="1:5" x14ac:dyDescent="0.35">
      <c r="A1671" s="9" t="s">
        <v>135</v>
      </c>
      <c r="B1671" s="10"/>
      <c r="C1671" s="10"/>
      <c r="D1671" s="10" t="s">
        <v>148</v>
      </c>
      <c r="E1671" s="11">
        <v>61.73</v>
      </c>
    </row>
    <row r="1672" spans="1:5" x14ac:dyDescent="0.35">
      <c r="A1672" s="6" t="s">
        <v>135</v>
      </c>
      <c r="B1672" s="7"/>
      <c r="C1672" s="7"/>
      <c r="D1672" s="7" t="s">
        <v>149</v>
      </c>
      <c r="E1672" s="8">
        <v>1.8</v>
      </c>
    </row>
    <row r="1673" spans="1:5" x14ac:dyDescent="0.35">
      <c r="A1673" s="9" t="s">
        <v>135</v>
      </c>
      <c r="B1673" s="10"/>
      <c r="C1673" s="10" t="s">
        <v>150</v>
      </c>
      <c r="D1673" s="10" t="s">
        <v>147</v>
      </c>
      <c r="E1673" s="11" t="s">
        <v>137</v>
      </c>
    </row>
    <row r="1674" spans="1:5" x14ac:dyDescent="0.35">
      <c r="A1674" s="6" t="s">
        <v>135</v>
      </c>
      <c r="B1674" s="7"/>
      <c r="C1674" s="7"/>
      <c r="D1674" s="7" t="s">
        <v>148</v>
      </c>
      <c r="E1674" s="8" t="s">
        <v>137</v>
      </c>
    </row>
    <row r="1675" spans="1:5" x14ac:dyDescent="0.35">
      <c r="A1675" s="9" t="s">
        <v>135</v>
      </c>
      <c r="B1675" s="10"/>
      <c r="C1675" s="10"/>
      <c r="D1675" s="10" t="s">
        <v>149</v>
      </c>
      <c r="E1675" s="11" t="s">
        <v>137</v>
      </c>
    </row>
    <row r="1676" spans="1:5" x14ac:dyDescent="0.35">
      <c r="A1676" s="6" t="s">
        <v>135</v>
      </c>
      <c r="B1676" s="7" t="s">
        <v>156</v>
      </c>
      <c r="C1676" s="7" t="s">
        <v>146</v>
      </c>
      <c r="D1676" s="7" t="s">
        <v>147</v>
      </c>
      <c r="E1676" s="8" t="s">
        <v>137</v>
      </c>
    </row>
    <row r="1677" spans="1:5" x14ac:dyDescent="0.35">
      <c r="A1677" s="9" t="s">
        <v>135</v>
      </c>
      <c r="B1677" s="10"/>
      <c r="C1677" s="10"/>
      <c r="D1677" s="10" t="s">
        <v>148</v>
      </c>
      <c r="E1677" s="11" t="s">
        <v>137</v>
      </c>
    </row>
    <row r="1678" spans="1:5" x14ac:dyDescent="0.35">
      <c r="A1678" s="6" t="s">
        <v>135</v>
      </c>
      <c r="B1678" s="7"/>
      <c r="C1678" s="7"/>
      <c r="D1678" s="7" t="s">
        <v>149</v>
      </c>
      <c r="E1678" s="8" t="s">
        <v>137</v>
      </c>
    </row>
    <row r="1679" spans="1:5" x14ac:dyDescent="0.35">
      <c r="A1679" s="9" t="s">
        <v>135</v>
      </c>
      <c r="B1679" s="10"/>
      <c r="C1679" s="10" t="s">
        <v>150</v>
      </c>
      <c r="D1679" s="10" t="s">
        <v>147</v>
      </c>
      <c r="E1679" s="11" t="s">
        <v>137</v>
      </c>
    </row>
    <row r="1680" spans="1:5" x14ac:dyDescent="0.35">
      <c r="A1680" s="6" t="s">
        <v>135</v>
      </c>
      <c r="B1680" s="7"/>
      <c r="C1680" s="7"/>
      <c r="D1680" s="7" t="s">
        <v>148</v>
      </c>
      <c r="E1680" s="8" t="s">
        <v>137</v>
      </c>
    </row>
    <row r="1681" spans="1:5" x14ac:dyDescent="0.35">
      <c r="A1681" s="9" t="s">
        <v>135</v>
      </c>
      <c r="B1681" s="10"/>
      <c r="C1681" s="10"/>
      <c r="D1681" s="10" t="s">
        <v>149</v>
      </c>
      <c r="E1681" s="11" t="s">
        <v>137</v>
      </c>
    </row>
    <row r="1682" spans="1:5" x14ac:dyDescent="0.35">
      <c r="A1682" s="6" t="s">
        <v>135</v>
      </c>
      <c r="B1682" s="7" t="s">
        <v>157</v>
      </c>
      <c r="C1682" s="7" t="s">
        <v>146</v>
      </c>
      <c r="D1682" s="7" t="s">
        <v>147</v>
      </c>
      <c r="E1682" s="8" t="s">
        <v>137</v>
      </c>
    </row>
    <row r="1683" spans="1:5" x14ac:dyDescent="0.35">
      <c r="A1683" s="9" t="s">
        <v>135</v>
      </c>
      <c r="B1683" s="10"/>
      <c r="C1683" s="10"/>
      <c r="D1683" s="10" t="s">
        <v>148</v>
      </c>
      <c r="E1683" s="11" t="s">
        <v>137</v>
      </c>
    </row>
    <row r="1684" spans="1:5" x14ac:dyDescent="0.35">
      <c r="A1684" s="6" t="s">
        <v>135</v>
      </c>
      <c r="B1684" s="7"/>
      <c r="C1684" s="7"/>
      <c r="D1684" s="7" t="s">
        <v>149</v>
      </c>
      <c r="E1684" s="8" t="s">
        <v>137</v>
      </c>
    </row>
    <row r="1685" spans="1:5" x14ac:dyDescent="0.35">
      <c r="A1685" s="9" t="s">
        <v>135</v>
      </c>
      <c r="B1685" s="10"/>
      <c r="C1685" s="10" t="s">
        <v>150</v>
      </c>
      <c r="D1685" s="10" t="s">
        <v>147</v>
      </c>
      <c r="E1685" s="11" t="s">
        <v>137</v>
      </c>
    </row>
    <row r="1686" spans="1:5" x14ac:dyDescent="0.35">
      <c r="A1686" s="6" t="s">
        <v>135</v>
      </c>
      <c r="B1686" s="7"/>
      <c r="C1686" s="7"/>
      <c r="D1686" s="7" t="s">
        <v>148</v>
      </c>
      <c r="E1686" s="8" t="s">
        <v>137</v>
      </c>
    </row>
    <row r="1687" spans="1:5" x14ac:dyDescent="0.35">
      <c r="A1687" s="9" t="s">
        <v>135</v>
      </c>
      <c r="B1687" s="10"/>
      <c r="C1687" s="10"/>
      <c r="D1687" s="10" t="s">
        <v>149</v>
      </c>
      <c r="E1687" s="11" t="s">
        <v>137</v>
      </c>
    </row>
    <row r="1688" spans="1:5" x14ac:dyDescent="0.35">
      <c r="A1688" s="6" t="s">
        <v>135</v>
      </c>
      <c r="B1688" s="7" t="s">
        <v>158</v>
      </c>
      <c r="C1688" s="7" t="s">
        <v>146</v>
      </c>
      <c r="D1688" s="7" t="s">
        <v>147</v>
      </c>
      <c r="E1688" s="8">
        <v>106</v>
      </c>
    </row>
    <row r="1689" spans="1:5" x14ac:dyDescent="0.35">
      <c r="A1689" s="9" t="s">
        <v>135</v>
      </c>
      <c r="B1689" s="10"/>
      <c r="C1689" s="10"/>
      <c r="D1689" s="10" t="s">
        <v>148</v>
      </c>
      <c r="E1689" s="11">
        <v>106</v>
      </c>
    </row>
    <row r="1690" spans="1:5" x14ac:dyDescent="0.35">
      <c r="A1690" s="6" t="s">
        <v>135</v>
      </c>
      <c r="B1690" s="7"/>
      <c r="C1690" s="7"/>
      <c r="D1690" s="7" t="s">
        <v>149</v>
      </c>
      <c r="E1690" s="8" t="s">
        <v>137</v>
      </c>
    </row>
    <row r="1691" spans="1:5" x14ac:dyDescent="0.35">
      <c r="A1691" s="9" t="s">
        <v>135</v>
      </c>
      <c r="B1691" s="10"/>
      <c r="C1691" s="10" t="s">
        <v>150</v>
      </c>
      <c r="D1691" s="10" t="s">
        <v>147</v>
      </c>
      <c r="E1691" s="11" t="s">
        <v>137</v>
      </c>
    </row>
    <row r="1692" spans="1:5" x14ac:dyDescent="0.35">
      <c r="A1692" s="6" t="s">
        <v>135</v>
      </c>
      <c r="B1692" s="7"/>
      <c r="C1692" s="7"/>
      <c r="D1692" s="7" t="s">
        <v>148</v>
      </c>
      <c r="E1692" s="8" t="s">
        <v>137</v>
      </c>
    </row>
    <row r="1693" spans="1:5" x14ac:dyDescent="0.35">
      <c r="A1693" s="9" t="s">
        <v>135</v>
      </c>
      <c r="B1693" s="10"/>
      <c r="C1693" s="10"/>
      <c r="D1693" s="10" t="s">
        <v>149</v>
      </c>
      <c r="E1693" s="11" t="s">
        <v>137</v>
      </c>
    </row>
    <row r="1694" spans="1:5" x14ac:dyDescent="0.35">
      <c r="A1694" s="6" t="s">
        <v>135</v>
      </c>
      <c r="B1694" s="7" t="s">
        <v>159</v>
      </c>
      <c r="C1694" s="7" t="s">
        <v>146</v>
      </c>
      <c r="D1694" s="7" t="s">
        <v>147</v>
      </c>
      <c r="E1694" s="8" t="s">
        <v>137</v>
      </c>
    </row>
    <row r="1695" spans="1:5" x14ac:dyDescent="0.35">
      <c r="A1695" s="9" t="s">
        <v>135</v>
      </c>
      <c r="B1695" s="10"/>
      <c r="C1695" s="10"/>
      <c r="D1695" s="10" t="s">
        <v>148</v>
      </c>
      <c r="E1695" s="11" t="s">
        <v>137</v>
      </c>
    </row>
    <row r="1696" spans="1:5" x14ac:dyDescent="0.35">
      <c r="A1696" s="6" t="s">
        <v>135</v>
      </c>
      <c r="B1696" s="7"/>
      <c r="C1696" s="7"/>
      <c r="D1696" s="7" t="s">
        <v>149</v>
      </c>
      <c r="E1696" s="8" t="s">
        <v>137</v>
      </c>
    </row>
    <row r="1697" spans="1:5" x14ac:dyDescent="0.35">
      <c r="A1697" s="9" t="s">
        <v>135</v>
      </c>
      <c r="B1697" s="10"/>
      <c r="C1697" s="10" t="s">
        <v>150</v>
      </c>
      <c r="D1697" s="10" t="s">
        <v>147</v>
      </c>
      <c r="E1697" s="11" t="s">
        <v>137</v>
      </c>
    </row>
    <row r="1698" spans="1:5" x14ac:dyDescent="0.35">
      <c r="A1698" s="6" t="s">
        <v>135</v>
      </c>
      <c r="B1698" s="7"/>
      <c r="C1698" s="7"/>
      <c r="D1698" s="7" t="s">
        <v>148</v>
      </c>
      <c r="E1698" s="8" t="s">
        <v>137</v>
      </c>
    </row>
    <row r="1699" spans="1:5" x14ac:dyDescent="0.35">
      <c r="A1699" s="9" t="s">
        <v>135</v>
      </c>
      <c r="B1699" s="10"/>
      <c r="C1699" s="10"/>
      <c r="D1699" s="10" t="s">
        <v>149</v>
      </c>
      <c r="E1699" s="11" t="s">
        <v>137</v>
      </c>
    </row>
    <row r="1700" spans="1:5" x14ac:dyDescent="0.35">
      <c r="A1700" s="6" t="s">
        <v>135</v>
      </c>
      <c r="B1700" s="7" t="s">
        <v>160</v>
      </c>
      <c r="C1700" s="7" t="s">
        <v>146</v>
      </c>
      <c r="D1700" s="7" t="s">
        <v>147</v>
      </c>
      <c r="E1700" s="8" t="s">
        <v>137</v>
      </c>
    </row>
    <row r="1701" spans="1:5" x14ac:dyDescent="0.35">
      <c r="A1701" s="9" t="s">
        <v>135</v>
      </c>
      <c r="B1701" s="10"/>
      <c r="C1701" s="10"/>
      <c r="D1701" s="10" t="s">
        <v>148</v>
      </c>
      <c r="E1701" s="11" t="s">
        <v>137</v>
      </c>
    </row>
    <row r="1702" spans="1:5" x14ac:dyDescent="0.35">
      <c r="A1702" s="6" t="s">
        <v>135</v>
      </c>
      <c r="B1702" s="7"/>
      <c r="C1702" s="7"/>
      <c r="D1702" s="7" t="s">
        <v>149</v>
      </c>
      <c r="E1702" s="8" t="s">
        <v>137</v>
      </c>
    </row>
    <row r="1703" spans="1:5" x14ac:dyDescent="0.35">
      <c r="A1703" s="9" t="s">
        <v>135</v>
      </c>
      <c r="B1703" s="10"/>
      <c r="C1703" s="10" t="s">
        <v>150</v>
      </c>
      <c r="D1703" s="10" t="s">
        <v>147</v>
      </c>
      <c r="E1703" s="11" t="s">
        <v>137</v>
      </c>
    </row>
    <row r="1704" spans="1:5" x14ac:dyDescent="0.35">
      <c r="A1704" s="6" t="s">
        <v>135</v>
      </c>
      <c r="B1704" s="7"/>
      <c r="C1704" s="7"/>
      <c r="D1704" s="7" t="s">
        <v>148</v>
      </c>
      <c r="E1704" s="8" t="s">
        <v>137</v>
      </c>
    </row>
    <row r="1705" spans="1:5" x14ac:dyDescent="0.35">
      <c r="A1705" s="9" t="s">
        <v>135</v>
      </c>
      <c r="B1705" s="10"/>
      <c r="C1705" s="10"/>
      <c r="D1705" s="10" t="s">
        <v>149</v>
      </c>
      <c r="E1705" s="11" t="s">
        <v>137</v>
      </c>
    </row>
    <row r="1706" spans="1:5" x14ac:dyDescent="0.35">
      <c r="A1706" s="6" t="s">
        <v>135</v>
      </c>
      <c r="B1706" s="7" t="s">
        <v>161</v>
      </c>
      <c r="C1706" s="7" t="s">
        <v>146</v>
      </c>
      <c r="D1706" s="7" t="s">
        <v>147</v>
      </c>
      <c r="E1706" s="8" t="s">
        <v>137</v>
      </c>
    </row>
    <row r="1707" spans="1:5" x14ac:dyDescent="0.35">
      <c r="A1707" s="9" t="s">
        <v>135</v>
      </c>
      <c r="B1707" s="10"/>
      <c r="C1707" s="10"/>
      <c r="D1707" s="10" t="s">
        <v>148</v>
      </c>
      <c r="E1707" s="11" t="s">
        <v>137</v>
      </c>
    </row>
    <row r="1708" spans="1:5" x14ac:dyDescent="0.35">
      <c r="A1708" s="6" t="s">
        <v>135</v>
      </c>
      <c r="B1708" s="7"/>
      <c r="C1708" s="7"/>
      <c r="D1708" s="7" t="s">
        <v>149</v>
      </c>
      <c r="E1708" s="8" t="s">
        <v>137</v>
      </c>
    </row>
    <row r="1709" spans="1:5" x14ac:dyDescent="0.35">
      <c r="A1709" s="9" t="s">
        <v>135</v>
      </c>
      <c r="B1709" s="10"/>
      <c r="C1709" s="10" t="s">
        <v>150</v>
      </c>
      <c r="D1709" s="10" t="s">
        <v>147</v>
      </c>
      <c r="E1709" s="11" t="s">
        <v>137</v>
      </c>
    </row>
    <row r="1710" spans="1:5" x14ac:dyDescent="0.35">
      <c r="A1710" s="6" t="s">
        <v>135</v>
      </c>
      <c r="B1710" s="7"/>
      <c r="C1710" s="7"/>
      <c r="D1710" s="7" t="s">
        <v>148</v>
      </c>
      <c r="E1710" s="8" t="s">
        <v>137</v>
      </c>
    </row>
    <row r="1711" spans="1:5" x14ac:dyDescent="0.35">
      <c r="A1711" s="9" t="s">
        <v>135</v>
      </c>
      <c r="B1711" s="10"/>
      <c r="C1711" s="10"/>
      <c r="D1711" s="10" t="s">
        <v>149</v>
      </c>
      <c r="E1711" s="11" t="s">
        <v>137</v>
      </c>
    </row>
    <row r="1712" spans="1:5" x14ac:dyDescent="0.35">
      <c r="A1712" s="6" t="s">
        <v>135</v>
      </c>
      <c r="B1712" s="7" t="s">
        <v>162</v>
      </c>
      <c r="C1712" s="7" t="s">
        <v>146</v>
      </c>
      <c r="D1712" s="7" t="s">
        <v>147</v>
      </c>
      <c r="E1712" s="8" t="s">
        <v>137</v>
      </c>
    </row>
    <row r="1713" spans="1:5" x14ac:dyDescent="0.35">
      <c r="A1713" s="9" t="s">
        <v>135</v>
      </c>
      <c r="B1713" s="10"/>
      <c r="C1713" s="10"/>
      <c r="D1713" s="10" t="s">
        <v>148</v>
      </c>
      <c r="E1713" s="11" t="s">
        <v>137</v>
      </c>
    </row>
    <row r="1714" spans="1:5" x14ac:dyDescent="0.35">
      <c r="A1714" s="6" t="s">
        <v>135</v>
      </c>
      <c r="B1714" s="7"/>
      <c r="C1714" s="7"/>
      <c r="D1714" s="7" t="s">
        <v>149</v>
      </c>
      <c r="E1714" s="8" t="s">
        <v>137</v>
      </c>
    </row>
    <row r="1715" spans="1:5" x14ac:dyDescent="0.35">
      <c r="A1715" s="9" t="s">
        <v>135</v>
      </c>
      <c r="B1715" s="10"/>
      <c r="C1715" s="10" t="s">
        <v>150</v>
      </c>
      <c r="D1715" s="10" t="s">
        <v>147</v>
      </c>
      <c r="E1715" s="11" t="s">
        <v>137</v>
      </c>
    </row>
    <row r="1716" spans="1:5" x14ac:dyDescent="0.35">
      <c r="A1716" s="6" t="s">
        <v>135</v>
      </c>
      <c r="B1716" s="7"/>
      <c r="C1716" s="7"/>
      <c r="D1716" s="7" t="s">
        <v>148</v>
      </c>
      <c r="E1716" s="8" t="s">
        <v>137</v>
      </c>
    </row>
    <row r="1717" spans="1:5" x14ac:dyDescent="0.35">
      <c r="A1717" s="9" t="s">
        <v>135</v>
      </c>
      <c r="B1717" s="10"/>
      <c r="C1717" s="10"/>
      <c r="D1717" s="10" t="s">
        <v>149</v>
      </c>
      <c r="E1717" s="11" t="s">
        <v>137</v>
      </c>
    </row>
    <row r="1718" spans="1:5" x14ac:dyDescent="0.35">
      <c r="A1718" s="6" t="s">
        <v>135</v>
      </c>
      <c r="B1718" s="7" t="s">
        <v>163</v>
      </c>
      <c r="C1718" s="7" t="s">
        <v>146</v>
      </c>
      <c r="D1718" s="7" t="s">
        <v>147</v>
      </c>
      <c r="E1718" s="8">
        <v>9.9</v>
      </c>
    </row>
    <row r="1719" spans="1:5" x14ac:dyDescent="0.35">
      <c r="A1719" s="9" t="s">
        <v>135</v>
      </c>
      <c r="B1719" s="10"/>
      <c r="C1719" s="10"/>
      <c r="D1719" s="10" t="s">
        <v>148</v>
      </c>
      <c r="E1719" s="11">
        <v>9</v>
      </c>
    </row>
    <row r="1720" spans="1:5" x14ac:dyDescent="0.35">
      <c r="A1720" s="6" t="s">
        <v>135</v>
      </c>
      <c r="B1720" s="7"/>
      <c r="C1720" s="7"/>
      <c r="D1720" s="7" t="s">
        <v>149</v>
      </c>
      <c r="E1720" s="8">
        <v>0.9</v>
      </c>
    </row>
    <row r="1721" spans="1:5" x14ac:dyDescent="0.35">
      <c r="A1721" s="9" t="s">
        <v>135</v>
      </c>
      <c r="B1721" s="10"/>
      <c r="C1721" s="10" t="s">
        <v>150</v>
      </c>
      <c r="D1721" s="10" t="s">
        <v>147</v>
      </c>
      <c r="E1721" s="11" t="s">
        <v>137</v>
      </c>
    </row>
    <row r="1722" spans="1:5" x14ac:dyDescent="0.35">
      <c r="A1722" s="6" t="s">
        <v>135</v>
      </c>
      <c r="B1722" s="7"/>
      <c r="C1722" s="7"/>
      <c r="D1722" s="7" t="s">
        <v>148</v>
      </c>
      <c r="E1722" s="8" t="s">
        <v>137</v>
      </c>
    </row>
    <row r="1723" spans="1:5" x14ac:dyDescent="0.35">
      <c r="A1723" s="9" t="s">
        <v>135</v>
      </c>
      <c r="B1723" s="10"/>
      <c r="C1723" s="10"/>
      <c r="D1723" s="10" t="s">
        <v>149</v>
      </c>
      <c r="E1723" s="11" t="s">
        <v>137</v>
      </c>
    </row>
    <row r="1724" spans="1:5" x14ac:dyDescent="0.35">
      <c r="A1724" s="6" t="s">
        <v>135</v>
      </c>
      <c r="B1724" s="7" t="s">
        <v>164</v>
      </c>
      <c r="C1724" s="7" t="s">
        <v>146</v>
      </c>
      <c r="D1724" s="7" t="s">
        <v>147</v>
      </c>
      <c r="E1724" s="8" t="s">
        <v>137</v>
      </c>
    </row>
    <row r="1725" spans="1:5" x14ac:dyDescent="0.35">
      <c r="A1725" s="9" t="s">
        <v>135</v>
      </c>
      <c r="B1725" s="10"/>
      <c r="C1725" s="10"/>
      <c r="D1725" s="10" t="s">
        <v>148</v>
      </c>
      <c r="E1725" s="11" t="s">
        <v>137</v>
      </c>
    </row>
    <row r="1726" spans="1:5" x14ac:dyDescent="0.35">
      <c r="A1726" s="6" t="s">
        <v>135</v>
      </c>
      <c r="B1726" s="7"/>
      <c r="C1726" s="7"/>
      <c r="D1726" s="7" t="s">
        <v>149</v>
      </c>
      <c r="E1726" s="8" t="s">
        <v>137</v>
      </c>
    </row>
    <row r="1727" spans="1:5" x14ac:dyDescent="0.35">
      <c r="A1727" s="9" t="s">
        <v>135</v>
      </c>
      <c r="B1727" s="10"/>
      <c r="C1727" s="10" t="s">
        <v>150</v>
      </c>
      <c r="D1727" s="10" t="s">
        <v>147</v>
      </c>
      <c r="E1727" s="11" t="s">
        <v>137</v>
      </c>
    </row>
    <row r="1728" spans="1:5" x14ac:dyDescent="0.35">
      <c r="A1728" s="6" t="s">
        <v>135</v>
      </c>
      <c r="B1728" s="7"/>
      <c r="C1728" s="7"/>
      <c r="D1728" s="7" t="s">
        <v>148</v>
      </c>
      <c r="E1728" s="8" t="s">
        <v>137</v>
      </c>
    </row>
    <row r="1729" spans="1:5" x14ac:dyDescent="0.35">
      <c r="A1729" s="9" t="s">
        <v>135</v>
      </c>
      <c r="B1729" s="10"/>
      <c r="C1729" s="10"/>
      <c r="D1729" s="10" t="s">
        <v>149</v>
      </c>
      <c r="E1729" s="11" t="s">
        <v>137</v>
      </c>
    </row>
    <row r="1730" spans="1:5" x14ac:dyDescent="0.35">
      <c r="A1730" s="6" t="s">
        <v>135</v>
      </c>
      <c r="B1730" s="7" t="s">
        <v>165</v>
      </c>
      <c r="C1730" s="7" t="s">
        <v>146</v>
      </c>
      <c r="D1730" s="7" t="s">
        <v>147</v>
      </c>
      <c r="E1730" s="8" t="s">
        <v>137</v>
      </c>
    </row>
    <row r="1731" spans="1:5" x14ac:dyDescent="0.35">
      <c r="A1731" s="9" t="s">
        <v>135</v>
      </c>
      <c r="B1731" s="10"/>
      <c r="C1731" s="10"/>
      <c r="D1731" s="10" t="s">
        <v>148</v>
      </c>
      <c r="E1731" s="11" t="s">
        <v>137</v>
      </c>
    </row>
    <row r="1732" spans="1:5" x14ac:dyDescent="0.35">
      <c r="A1732" s="6" t="s">
        <v>135</v>
      </c>
      <c r="B1732" s="7"/>
      <c r="C1732" s="7"/>
      <c r="D1732" s="7" t="s">
        <v>149</v>
      </c>
      <c r="E1732" s="8" t="s">
        <v>137</v>
      </c>
    </row>
    <row r="1733" spans="1:5" x14ac:dyDescent="0.35">
      <c r="A1733" s="9" t="s">
        <v>135</v>
      </c>
      <c r="B1733" s="10"/>
      <c r="C1733" s="10" t="s">
        <v>150</v>
      </c>
      <c r="D1733" s="10" t="s">
        <v>147</v>
      </c>
      <c r="E1733" s="11" t="s">
        <v>137</v>
      </c>
    </row>
    <row r="1734" spans="1:5" x14ac:dyDescent="0.35">
      <c r="A1734" s="6" t="s">
        <v>135</v>
      </c>
      <c r="B1734" s="7"/>
      <c r="C1734" s="7"/>
      <c r="D1734" s="7" t="s">
        <v>148</v>
      </c>
      <c r="E1734" s="8" t="s">
        <v>137</v>
      </c>
    </row>
    <row r="1735" spans="1:5" x14ac:dyDescent="0.35">
      <c r="A1735" s="9" t="s">
        <v>135</v>
      </c>
      <c r="B1735" s="10"/>
      <c r="C1735" s="10"/>
      <c r="D1735" s="10" t="s">
        <v>149</v>
      </c>
      <c r="E1735" s="11" t="s">
        <v>137</v>
      </c>
    </row>
    <row r="1736" spans="1:5" x14ac:dyDescent="0.35">
      <c r="A1736" s="6" t="s">
        <v>135</v>
      </c>
      <c r="B1736" s="7" t="s">
        <v>166</v>
      </c>
      <c r="C1736" s="7" t="s">
        <v>146</v>
      </c>
      <c r="D1736" s="7" t="s">
        <v>147</v>
      </c>
      <c r="E1736" s="8">
        <v>9.9</v>
      </c>
    </row>
    <row r="1737" spans="1:5" x14ac:dyDescent="0.35">
      <c r="A1737" s="9" t="s">
        <v>135</v>
      </c>
      <c r="B1737" s="10"/>
      <c r="C1737" s="10"/>
      <c r="D1737" s="10" t="s">
        <v>148</v>
      </c>
      <c r="E1737" s="11">
        <v>9</v>
      </c>
    </row>
    <row r="1738" spans="1:5" x14ac:dyDescent="0.35">
      <c r="A1738" s="6" t="s">
        <v>135</v>
      </c>
      <c r="B1738" s="7"/>
      <c r="C1738" s="7"/>
      <c r="D1738" s="7" t="s">
        <v>149</v>
      </c>
      <c r="E1738" s="8">
        <v>0.9</v>
      </c>
    </row>
    <row r="1739" spans="1:5" x14ac:dyDescent="0.35">
      <c r="A1739" s="9" t="s">
        <v>135</v>
      </c>
      <c r="B1739" s="10"/>
      <c r="C1739" s="10" t="s">
        <v>150</v>
      </c>
      <c r="D1739" s="10" t="s">
        <v>147</v>
      </c>
      <c r="E1739" s="11" t="s">
        <v>137</v>
      </c>
    </row>
    <row r="1740" spans="1:5" x14ac:dyDescent="0.35">
      <c r="A1740" s="6" t="s">
        <v>135</v>
      </c>
      <c r="B1740" s="7"/>
      <c r="C1740" s="7"/>
      <c r="D1740" s="7" t="s">
        <v>148</v>
      </c>
      <c r="E1740" s="8" t="s">
        <v>137</v>
      </c>
    </row>
    <row r="1741" spans="1:5" x14ac:dyDescent="0.35">
      <c r="A1741" s="9" t="s">
        <v>135</v>
      </c>
      <c r="B1741" s="10"/>
      <c r="C1741" s="10"/>
      <c r="D1741" s="10" t="s">
        <v>149</v>
      </c>
      <c r="E1741" s="11" t="s">
        <v>137</v>
      </c>
    </row>
    <row r="1742" spans="1:5" x14ac:dyDescent="0.35">
      <c r="A1742" s="6" t="s">
        <v>135</v>
      </c>
      <c r="B1742" s="7" t="s">
        <v>167</v>
      </c>
      <c r="C1742" s="7" t="s">
        <v>146</v>
      </c>
      <c r="D1742" s="7" t="s">
        <v>147</v>
      </c>
      <c r="E1742" s="8" t="s">
        <v>137</v>
      </c>
    </row>
    <row r="1743" spans="1:5" x14ac:dyDescent="0.35">
      <c r="A1743" s="9" t="s">
        <v>135</v>
      </c>
      <c r="B1743" s="10"/>
      <c r="C1743" s="10"/>
      <c r="D1743" s="10" t="s">
        <v>148</v>
      </c>
      <c r="E1743" s="11" t="s">
        <v>137</v>
      </c>
    </row>
    <row r="1744" spans="1:5" x14ac:dyDescent="0.35">
      <c r="A1744" s="6" t="s">
        <v>135</v>
      </c>
      <c r="B1744" s="7"/>
      <c r="C1744" s="7"/>
      <c r="D1744" s="7" t="s">
        <v>149</v>
      </c>
      <c r="E1744" s="8" t="s">
        <v>137</v>
      </c>
    </row>
    <row r="1745" spans="1:5" x14ac:dyDescent="0.35">
      <c r="A1745" s="9" t="s">
        <v>135</v>
      </c>
      <c r="B1745" s="10"/>
      <c r="C1745" s="10" t="s">
        <v>150</v>
      </c>
      <c r="D1745" s="10" t="s">
        <v>147</v>
      </c>
      <c r="E1745" s="11" t="s">
        <v>137</v>
      </c>
    </row>
    <row r="1746" spans="1:5" x14ac:dyDescent="0.35">
      <c r="A1746" s="6" t="s">
        <v>135</v>
      </c>
      <c r="B1746" s="7"/>
      <c r="C1746" s="7"/>
      <c r="D1746" s="7" t="s">
        <v>148</v>
      </c>
      <c r="E1746" s="8" t="s">
        <v>137</v>
      </c>
    </row>
    <row r="1747" spans="1:5" x14ac:dyDescent="0.35">
      <c r="A1747" s="9" t="s">
        <v>135</v>
      </c>
      <c r="B1747" s="10"/>
      <c r="C1747" s="10"/>
      <c r="D1747" s="10" t="s">
        <v>149</v>
      </c>
      <c r="E1747" s="11" t="s">
        <v>137</v>
      </c>
    </row>
    <row r="1748" spans="1:5" x14ac:dyDescent="0.35">
      <c r="A1748" s="6" t="s">
        <v>135</v>
      </c>
      <c r="B1748" s="7" t="s">
        <v>168</v>
      </c>
      <c r="C1748" s="7" t="s">
        <v>146</v>
      </c>
      <c r="D1748" s="7" t="s">
        <v>147</v>
      </c>
      <c r="E1748" s="8" t="s">
        <v>137</v>
      </c>
    </row>
    <row r="1749" spans="1:5" x14ac:dyDescent="0.35">
      <c r="A1749" s="9" t="s">
        <v>135</v>
      </c>
      <c r="B1749" s="10"/>
      <c r="C1749" s="10"/>
      <c r="D1749" s="10" t="s">
        <v>148</v>
      </c>
      <c r="E1749" s="11" t="s">
        <v>137</v>
      </c>
    </row>
    <row r="1750" spans="1:5" x14ac:dyDescent="0.35">
      <c r="A1750" s="6" t="s">
        <v>135</v>
      </c>
      <c r="B1750" s="7"/>
      <c r="C1750" s="7"/>
      <c r="D1750" s="7" t="s">
        <v>149</v>
      </c>
      <c r="E1750" s="8" t="s">
        <v>137</v>
      </c>
    </row>
    <row r="1751" spans="1:5" x14ac:dyDescent="0.35">
      <c r="A1751" s="9" t="s">
        <v>135</v>
      </c>
      <c r="B1751" s="10"/>
      <c r="C1751" s="10" t="s">
        <v>150</v>
      </c>
      <c r="D1751" s="10" t="s">
        <v>147</v>
      </c>
      <c r="E1751" s="11" t="s">
        <v>137</v>
      </c>
    </row>
    <row r="1752" spans="1:5" x14ac:dyDescent="0.35">
      <c r="A1752" s="6" t="s">
        <v>135</v>
      </c>
      <c r="B1752" s="7"/>
      <c r="C1752" s="7"/>
      <c r="D1752" s="7" t="s">
        <v>148</v>
      </c>
      <c r="E1752" s="8" t="s">
        <v>137</v>
      </c>
    </row>
    <row r="1753" spans="1:5" x14ac:dyDescent="0.35">
      <c r="A1753" s="9" t="s">
        <v>135</v>
      </c>
      <c r="B1753" s="10"/>
      <c r="C1753" s="10"/>
      <c r="D1753" s="10" t="s">
        <v>149</v>
      </c>
      <c r="E1753" s="11" t="s">
        <v>137</v>
      </c>
    </row>
    <row r="1754" spans="1:5" x14ac:dyDescent="0.35">
      <c r="A1754" s="6" t="s">
        <v>135</v>
      </c>
      <c r="B1754" s="7" t="s">
        <v>169</v>
      </c>
      <c r="C1754" s="7" t="s">
        <v>146</v>
      </c>
      <c r="D1754" s="7" t="s">
        <v>147</v>
      </c>
      <c r="E1754" s="8" t="s">
        <v>137</v>
      </c>
    </row>
    <row r="1755" spans="1:5" x14ac:dyDescent="0.35">
      <c r="A1755" s="9" t="s">
        <v>135</v>
      </c>
      <c r="B1755" s="10"/>
      <c r="C1755" s="10"/>
      <c r="D1755" s="10" t="s">
        <v>148</v>
      </c>
      <c r="E1755" s="11" t="s">
        <v>137</v>
      </c>
    </row>
    <row r="1756" spans="1:5" x14ac:dyDescent="0.35">
      <c r="A1756" s="6" t="s">
        <v>135</v>
      </c>
      <c r="B1756" s="7"/>
      <c r="C1756" s="7"/>
      <c r="D1756" s="7" t="s">
        <v>149</v>
      </c>
      <c r="E1756" s="8" t="s">
        <v>137</v>
      </c>
    </row>
    <row r="1757" spans="1:5" x14ac:dyDescent="0.35">
      <c r="A1757" s="9" t="s">
        <v>135</v>
      </c>
      <c r="B1757" s="10"/>
      <c r="C1757" s="10" t="s">
        <v>150</v>
      </c>
      <c r="D1757" s="10" t="s">
        <v>147</v>
      </c>
      <c r="E1757" s="11" t="s">
        <v>137</v>
      </c>
    </row>
    <row r="1758" spans="1:5" x14ac:dyDescent="0.35">
      <c r="A1758" s="6" t="s">
        <v>135</v>
      </c>
      <c r="B1758" s="7"/>
      <c r="C1758" s="7"/>
      <c r="D1758" s="7" t="s">
        <v>148</v>
      </c>
      <c r="E1758" s="8" t="s">
        <v>137</v>
      </c>
    </row>
    <row r="1759" spans="1:5" x14ac:dyDescent="0.35">
      <c r="A1759" s="9" t="s">
        <v>135</v>
      </c>
      <c r="B1759" s="10"/>
      <c r="C1759" s="10"/>
      <c r="D1759" s="10" t="s">
        <v>149</v>
      </c>
      <c r="E1759" s="11" t="s">
        <v>137</v>
      </c>
    </row>
    <row r="1760" spans="1:5" x14ac:dyDescent="0.35">
      <c r="A1760" s="6" t="s">
        <v>135</v>
      </c>
      <c r="B1760" s="7" t="s">
        <v>170</v>
      </c>
      <c r="C1760" s="7" t="s">
        <v>146</v>
      </c>
      <c r="D1760" s="7" t="s">
        <v>147</v>
      </c>
      <c r="E1760" s="8" t="s">
        <v>137</v>
      </c>
    </row>
    <row r="1761" spans="1:5" x14ac:dyDescent="0.35">
      <c r="A1761" s="9" t="s">
        <v>135</v>
      </c>
      <c r="B1761" s="10"/>
      <c r="C1761" s="10"/>
      <c r="D1761" s="10" t="s">
        <v>148</v>
      </c>
      <c r="E1761" s="11" t="s">
        <v>137</v>
      </c>
    </row>
    <row r="1762" spans="1:5" x14ac:dyDescent="0.35">
      <c r="A1762" s="6" t="s">
        <v>135</v>
      </c>
      <c r="B1762" s="7"/>
      <c r="C1762" s="7"/>
      <c r="D1762" s="7" t="s">
        <v>149</v>
      </c>
      <c r="E1762" s="8" t="s">
        <v>137</v>
      </c>
    </row>
    <row r="1763" spans="1:5" x14ac:dyDescent="0.35">
      <c r="A1763" s="9" t="s">
        <v>135</v>
      </c>
      <c r="B1763" s="10"/>
      <c r="C1763" s="10" t="s">
        <v>150</v>
      </c>
      <c r="D1763" s="10" t="s">
        <v>147</v>
      </c>
      <c r="E1763" s="11" t="s">
        <v>137</v>
      </c>
    </row>
    <row r="1764" spans="1:5" x14ac:dyDescent="0.35">
      <c r="A1764" s="6" t="s">
        <v>135</v>
      </c>
      <c r="B1764" s="7"/>
      <c r="C1764" s="7"/>
      <c r="D1764" s="7" t="s">
        <v>148</v>
      </c>
      <c r="E1764" s="8" t="s">
        <v>137</v>
      </c>
    </row>
    <row r="1765" spans="1:5" x14ac:dyDescent="0.35">
      <c r="A1765" s="9" t="s">
        <v>135</v>
      </c>
      <c r="B1765" s="10"/>
      <c r="C1765" s="10"/>
      <c r="D1765" s="10" t="s">
        <v>149</v>
      </c>
      <c r="E1765" s="11" t="s">
        <v>137</v>
      </c>
    </row>
    <row r="1766" spans="1:5" x14ac:dyDescent="0.35">
      <c r="A1766" s="6" t="s">
        <v>57</v>
      </c>
      <c r="B1766" s="7" t="s">
        <v>145</v>
      </c>
      <c r="C1766" s="7" t="s">
        <v>146</v>
      </c>
      <c r="D1766" s="7" t="s">
        <v>147</v>
      </c>
      <c r="E1766" s="8">
        <v>5989.14</v>
      </c>
    </row>
    <row r="1767" spans="1:5" x14ac:dyDescent="0.35">
      <c r="A1767" s="9" t="s">
        <v>135</v>
      </c>
      <c r="B1767" s="10"/>
      <c r="C1767" s="10"/>
      <c r="D1767" s="10" t="s">
        <v>148</v>
      </c>
      <c r="E1767" s="11">
        <v>5966.3</v>
      </c>
    </row>
    <row r="1768" spans="1:5" x14ac:dyDescent="0.35">
      <c r="A1768" s="6" t="s">
        <v>135</v>
      </c>
      <c r="B1768" s="7"/>
      <c r="C1768" s="7"/>
      <c r="D1768" s="7" t="s">
        <v>149</v>
      </c>
      <c r="E1768" s="8">
        <v>22.84</v>
      </c>
    </row>
    <row r="1769" spans="1:5" x14ac:dyDescent="0.35">
      <c r="A1769" s="9" t="s">
        <v>135</v>
      </c>
      <c r="B1769" s="10"/>
      <c r="C1769" s="10" t="s">
        <v>150</v>
      </c>
      <c r="D1769" s="10" t="s">
        <v>147</v>
      </c>
      <c r="E1769" s="11" t="s">
        <v>137</v>
      </c>
    </row>
    <row r="1770" spans="1:5" x14ac:dyDescent="0.35">
      <c r="A1770" s="6" t="s">
        <v>135</v>
      </c>
      <c r="B1770" s="7"/>
      <c r="C1770" s="7"/>
      <c r="D1770" s="7" t="s">
        <v>148</v>
      </c>
      <c r="E1770" s="8" t="s">
        <v>137</v>
      </c>
    </row>
    <row r="1771" spans="1:5" x14ac:dyDescent="0.35">
      <c r="A1771" s="9" t="s">
        <v>135</v>
      </c>
      <c r="B1771" s="10"/>
      <c r="C1771" s="10"/>
      <c r="D1771" s="10" t="s">
        <v>149</v>
      </c>
      <c r="E1771" s="11" t="s">
        <v>137</v>
      </c>
    </row>
    <row r="1772" spans="1:5" x14ac:dyDescent="0.35">
      <c r="A1772" s="6" t="s">
        <v>135</v>
      </c>
      <c r="B1772" s="7" t="s">
        <v>151</v>
      </c>
      <c r="C1772" s="7" t="s">
        <v>146</v>
      </c>
      <c r="D1772" s="7" t="s">
        <v>147</v>
      </c>
      <c r="E1772" s="8">
        <v>21.55</v>
      </c>
    </row>
    <row r="1773" spans="1:5" x14ac:dyDescent="0.35">
      <c r="A1773" s="9" t="s">
        <v>135</v>
      </c>
      <c r="B1773" s="10"/>
      <c r="C1773" s="10"/>
      <c r="D1773" s="10" t="s">
        <v>148</v>
      </c>
      <c r="E1773" s="11" t="s">
        <v>137</v>
      </c>
    </row>
    <row r="1774" spans="1:5" x14ac:dyDescent="0.35">
      <c r="A1774" s="6" t="s">
        <v>135</v>
      </c>
      <c r="B1774" s="7"/>
      <c r="C1774" s="7"/>
      <c r="D1774" s="7" t="s">
        <v>149</v>
      </c>
      <c r="E1774" s="8">
        <v>21.55</v>
      </c>
    </row>
    <row r="1775" spans="1:5" x14ac:dyDescent="0.35">
      <c r="A1775" s="9" t="s">
        <v>135</v>
      </c>
      <c r="B1775" s="10"/>
      <c r="C1775" s="10" t="s">
        <v>150</v>
      </c>
      <c r="D1775" s="10" t="s">
        <v>147</v>
      </c>
      <c r="E1775" s="11" t="s">
        <v>137</v>
      </c>
    </row>
    <row r="1776" spans="1:5" x14ac:dyDescent="0.35">
      <c r="A1776" s="6" t="s">
        <v>135</v>
      </c>
      <c r="B1776" s="7"/>
      <c r="C1776" s="7"/>
      <c r="D1776" s="7" t="s">
        <v>148</v>
      </c>
      <c r="E1776" s="8" t="s">
        <v>137</v>
      </c>
    </row>
    <row r="1777" spans="1:5" x14ac:dyDescent="0.35">
      <c r="A1777" s="9" t="s">
        <v>135</v>
      </c>
      <c r="B1777" s="10"/>
      <c r="C1777" s="10"/>
      <c r="D1777" s="10" t="s">
        <v>149</v>
      </c>
      <c r="E1777" s="11" t="s">
        <v>137</v>
      </c>
    </row>
    <row r="1778" spans="1:5" x14ac:dyDescent="0.35">
      <c r="A1778" s="6" t="s">
        <v>135</v>
      </c>
      <c r="B1778" s="7" t="s">
        <v>152</v>
      </c>
      <c r="C1778" s="7" t="s">
        <v>146</v>
      </c>
      <c r="D1778" s="7" t="s">
        <v>147</v>
      </c>
      <c r="E1778" s="8" t="s">
        <v>137</v>
      </c>
    </row>
    <row r="1779" spans="1:5" x14ac:dyDescent="0.35">
      <c r="A1779" s="9" t="s">
        <v>135</v>
      </c>
      <c r="B1779" s="10"/>
      <c r="C1779" s="10"/>
      <c r="D1779" s="10" t="s">
        <v>148</v>
      </c>
      <c r="E1779" s="11" t="s">
        <v>137</v>
      </c>
    </row>
    <row r="1780" spans="1:5" x14ac:dyDescent="0.35">
      <c r="A1780" s="6" t="s">
        <v>135</v>
      </c>
      <c r="B1780" s="7"/>
      <c r="C1780" s="7"/>
      <c r="D1780" s="7" t="s">
        <v>149</v>
      </c>
      <c r="E1780" s="8" t="s">
        <v>137</v>
      </c>
    </row>
    <row r="1781" spans="1:5" x14ac:dyDescent="0.35">
      <c r="A1781" s="9" t="s">
        <v>135</v>
      </c>
      <c r="B1781" s="10"/>
      <c r="C1781" s="10" t="s">
        <v>150</v>
      </c>
      <c r="D1781" s="10" t="s">
        <v>147</v>
      </c>
      <c r="E1781" s="11" t="s">
        <v>137</v>
      </c>
    </row>
    <row r="1782" spans="1:5" x14ac:dyDescent="0.35">
      <c r="A1782" s="6" t="s">
        <v>135</v>
      </c>
      <c r="B1782" s="7"/>
      <c r="C1782" s="7"/>
      <c r="D1782" s="7" t="s">
        <v>148</v>
      </c>
      <c r="E1782" s="8" t="s">
        <v>137</v>
      </c>
    </row>
    <row r="1783" spans="1:5" x14ac:dyDescent="0.35">
      <c r="A1783" s="9" t="s">
        <v>135</v>
      </c>
      <c r="B1783" s="10"/>
      <c r="C1783" s="10"/>
      <c r="D1783" s="10" t="s">
        <v>149</v>
      </c>
      <c r="E1783" s="11" t="s">
        <v>137</v>
      </c>
    </row>
    <row r="1784" spans="1:5" x14ac:dyDescent="0.35">
      <c r="A1784" s="6" t="s">
        <v>135</v>
      </c>
      <c r="B1784" s="7" t="s">
        <v>153</v>
      </c>
      <c r="C1784" s="7" t="s">
        <v>146</v>
      </c>
      <c r="D1784" s="7" t="s">
        <v>147</v>
      </c>
      <c r="E1784" s="8">
        <v>404.01</v>
      </c>
    </row>
    <row r="1785" spans="1:5" x14ac:dyDescent="0.35">
      <c r="A1785" s="9" t="s">
        <v>135</v>
      </c>
      <c r="B1785" s="10"/>
      <c r="C1785" s="10"/>
      <c r="D1785" s="10" t="s">
        <v>148</v>
      </c>
      <c r="E1785" s="11">
        <v>404</v>
      </c>
    </row>
    <row r="1786" spans="1:5" x14ac:dyDescent="0.35">
      <c r="A1786" s="6" t="s">
        <v>135</v>
      </c>
      <c r="B1786" s="7"/>
      <c r="C1786" s="7"/>
      <c r="D1786" s="7" t="s">
        <v>149</v>
      </c>
      <c r="E1786" s="8">
        <v>0.01</v>
      </c>
    </row>
    <row r="1787" spans="1:5" x14ac:dyDescent="0.35">
      <c r="A1787" s="9" t="s">
        <v>135</v>
      </c>
      <c r="B1787" s="10"/>
      <c r="C1787" s="10" t="s">
        <v>150</v>
      </c>
      <c r="D1787" s="10" t="s">
        <v>147</v>
      </c>
      <c r="E1787" s="11" t="s">
        <v>137</v>
      </c>
    </row>
    <row r="1788" spans="1:5" x14ac:dyDescent="0.35">
      <c r="A1788" s="6" t="s">
        <v>135</v>
      </c>
      <c r="B1788" s="7"/>
      <c r="C1788" s="7"/>
      <c r="D1788" s="7" t="s">
        <v>148</v>
      </c>
      <c r="E1788" s="8" t="s">
        <v>137</v>
      </c>
    </row>
    <row r="1789" spans="1:5" x14ac:dyDescent="0.35">
      <c r="A1789" s="9" t="s">
        <v>135</v>
      </c>
      <c r="B1789" s="10"/>
      <c r="C1789" s="10"/>
      <c r="D1789" s="10" t="s">
        <v>149</v>
      </c>
      <c r="E1789" s="11" t="s">
        <v>137</v>
      </c>
    </row>
    <row r="1790" spans="1:5" x14ac:dyDescent="0.35">
      <c r="A1790" s="6" t="s">
        <v>135</v>
      </c>
      <c r="B1790" s="7" t="s">
        <v>154</v>
      </c>
      <c r="C1790" s="7" t="s">
        <v>146</v>
      </c>
      <c r="D1790" s="7" t="s">
        <v>147</v>
      </c>
      <c r="E1790" s="8" t="s">
        <v>137</v>
      </c>
    </row>
    <row r="1791" spans="1:5" x14ac:dyDescent="0.35">
      <c r="A1791" s="9" t="s">
        <v>135</v>
      </c>
      <c r="B1791" s="10"/>
      <c r="C1791" s="10"/>
      <c r="D1791" s="10" t="s">
        <v>148</v>
      </c>
      <c r="E1791" s="11" t="s">
        <v>137</v>
      </c>
    </row>
    <row r="1792" spans="1:5" x14ac:dyDescent="0.35">
      <c r="A1792" s="6" t="s">
        <v>135</v>
      </c>
      <c r="B1792" s="7"/>
      <c r="C1792" s="7"/>
      <c r="D1792" s="7" t="s">
        <v>149</v>
      </c>
      <c r="E1792" s="8" t="s">
        <v>137</v>
      </c>
    </row>
    <row r="1793" spans="1:5" x14ac:dyDescent="0.35">
      <c r="A1793" s="9" t="s">
        <v>135</v>
      </c>
      <c r="B1793" s="10"/>
      <c r="C1793" s="10" t="s">
        <v>150</v>
      </c>
      <c r="D1793" s="10" t="s">
        <v>147</v>
      </c>
      <c r="E1793" s="11" t="s">
        <v>137</v>
      </c>
    </row>
    <row r="1794" spans="1:5" x14ac:dyDescent="0.35">
      <c r="A1794" s="6" t="s">
        <v>135</v>
      </c>
      <c r="B1794" s="7"/>
      <c r="C1794" s="7"/>
      <c r="D1794" s="7" t="s">
        <v>148</v>
      </c>
      <c r="E1794" s="8" t="s">
        <v>137</v>
      </c>
    </row>
    <row r="1795" spans="1:5" x14ac:dyDescent="0.35">
      <c r="A1795" s="9" t="s">
        <v>135</v>
      </c>
      <c r="B1795" s="10"/>
      <c r="C1795" s="10"/>
      <c r="D1795" s="10" t="s">
        <v>149</v>
      </c>
      <c r="E1795" s="11" t="s">
        <v>137</v>
      </c>
    </row>
    <row r="1796" spans="1:5" x14ac:dyDescent="0.35">
      <c r="A1796" s="6" t="s">
        <v>135</v>
      </c>
      <c r="B1796" s="7" t="s">
        <v>155</v>
      </c>
      <c r="C1796" s="7" t="s">
        <v>146</v>
      </c>
      <c r="D1796" s="7" t="s">
        <v>147</v>
      </c>
      <c r="E1796" s="8">
        <v>5221.28</v>
      </c>
    </row>
    <row r="1797" spans="1:5" x14ac:dyDescent="0.35">
      <c r="A1797" s="9" t="s">
        <v>135</v>
      </c>
      <c r="B1797" s="10"/>
      <c r="C1797" s="10"/>
      <c r="D1797" s="10" t="s">
        <v>148</v>
      </c>
      <c r="E1797" s="11">
        <v>5220</v>
      </c>
    </row>
    <row r="1798" spans="1:5" x14ac:dyDescent="0.35">
      <c r="A1798" s="6" t="s">
        <v>135</v>
      </c>
      <c r="B1798" s="7"/>
      <c r="C1798" s="7"/>
      <c r="D1798" s="7" t="s">
        <v>149</v>
      </c>
      <c r="E1798" s="8">
        <v>1.28</v>
      </c>
    </row>
    <row r="1799" spans="1:5" x14ac:dyDescent="0.35">
      <c r="A1799" s="9" t="s">
        <v>135</v>
      </c>
      <c r="B1799" s="10"/>
      <c r="C1799" s="10" t="s">
        <v>150</v>
      </c>
      <c r="D1799" s="10" t="s">
        <v>147</v>
      </c>
      <c r="E1799" s="11" t="s">
        <v>137</v>
      </c>
    </row>
    <row r="1800" spans="1:5" x14ac:dyDescent="0.35">
      <c r="A1800" s="6" t="s">
        <v>135</v>
      </c>
      <c r="B1800" s="7"/>
      <c r="C1800" s="7"/>
      <c r="D1800" s="7" t="s">
        <v>148</v>
      </c>
      <c r="E1800" s="8" t="s">
        <v>137</v>
      </c>
    </row>
    <row r="1801" spans="1:5" x14ac:dyDescent="0.35">
      <c r="A1801" s="9" t="s">
        <v>135</v>
      </c>
      <c r="B1801" s="10"/>
      <c r="C1801" s="10"/>
      <c r="D1801" s="10" t="s">
        <v>149</v>
      </c>
      <c r="E1801" s="11" t="s">
        <v>137</v>
      </c>
    </row>
    <row r="1802" spans="1:5" x14ac:dyDescent="0.35">
      <c r="A1802" s="6" t="s">
        <v>135</v>
      </c>
      <c r="B1802" s="7" t="s">
        <v>156</v>
      </c>
      <c r="C1802" s="7" t="s">
        <v>146</v>
      </c>
      <c r="D1802" s="7" t="s">
        <v>147</v>
      </c>
      <c r="E1802" s="8" t="s">
        <v>137</v>
      </c>
    </row>
    <row r="1803" spans="1:5" x14ac:dyDescent="0.35">
      <c r="A1803" s="9" t="s">
        <v>135</v>
      </c>
      <c r="B1803" s="10"/>
      <c r="C1803" s="10"/>
      <c r="D1803" s="10" t="s">
        <v>148</v>
      </c>
      <c r="E1803" s="11" t="s">
        <v>137</v>
      </c>
    </row>
    <row r="1804" spans="1:5" x14ac:dyDescent="0.35">
      <c r="A1804" s="6" t="s">
        <v>135</v>
      </c>
      <c r="B1804" s="7"/>
      <c r="C1804" s="7"/>
      <c r="D1804" s="7" t="s">
        <v>149</v>
      </c>
      <c r="E1804" s="8" t="s">
        <v>137</v>
      </c>
    </row>
    <row r="1805" spans="1:5" x14ac:dyDescent="0.35">
      <c r="A1805" s="9" t="s">
        <v>135</v>
      </c>
      <c r="B1805" s="10"/>
      <c r="C1805" s="10" t="s">
        <v>150</v>
      </c>
      <c r="D1805" s="10" t="s">
        <v>147</v>
      </c>
      <c r="E1805" s="11" t="s">
        <v>137</v>
      </c>
    </row>
    <row r="1806" spans="1:5" x14ac:dyDescent="0.35">
      <c r="A1806" s="6" t="s">
        <v>135</v>
      </c>
      <c r="B1806" s="7"/>
      <c r="C1806" s="7"/>
      <c r="D1806" s="7" t="s">
        <v>148</v>
      </c>
      <c r="E1806" s="8" t="s">
        <v>137</v>
      </c>
    </row>
    <row r="1807" spans="1:5" x14ac:dyDescent="0.35">
      <c r="A1807" s="9" t="s">
        <v>135</v>
      </c>
      <c r="B1807" s="10"/>
      <c r="C1807" s="10"/>
      <c r="D1807" s="10" t="s">
        <v>149</v>
      </c>
      <c r="E1807" s="11" t="s">
        <v>137</v>
      </c>
    </row>
    <row r="1808" spans="1:5" x14ac:dyDescent="0.35">
      <c r="A1808" s="6" t="s">
        <v>135</v>
      </c>
      <c r="B1808" s="7" t="s">
        <v>157</v>
      </c>
      <c r="C1808" s="7" t="s">
        <v>146</v>
      </c>
      <c r="D1808" s="7" t="s">
        <v>147</v>
      </c>
      <c r="E1808" s="8" t="s">
        <v>137</v>
      </c>
    </row>
    <row r="1809" spans="1:5" x14ac:dyDescent="0.35">
      <c r="A1809" s="9" t="s">
        <v>135</v>
      </c>
      <c r="B1809" s="10"/>
      <c r="C1809" s="10"/>
      <c r="D1809" s="10" t="s">
        <v>148</v>
      </c>
      <c r="E1809" s="11" t="s">
        <v>137</v>
      </c>
    </row>
    <row r="1810" spans="1:5" x14ac:dyDescent="0.35">
      <c r="A1810" s="6" t="s">
        <v>135</v>
      </c>
      <c r="B1810" s="7"/>
      <c r="C1810" s="7"/>
      <c r="D1810" s="7" t="s">
        <v>149</v>
      </c>
      <c r="E1810" s="8" t="s">
        <v>137</v>
      </c>
    </row>
    <row r="1811" spans="1:5" x14ac:dyDescent="0.35">
      <c r="A1811" s="9" t="s">
        <v>135</v>
      </c>
      <c r="B1811" s="10"/>
      <c r="C1811" s="10" t="s">
        <v>150</v>
      </c>
      <c r="D1811" s="10" t="s">
        <v>147</v>
      </c>
      <c r="E1811" s="11" t="s">
        <v>137</v>
      </c>
    </row>
    <row r="1812" spans="1:5" x14ac:dyDescent="0.35">
      <c r="A1812" s="6" t="s">
        <v>135</v>
      </c>
      <c r="B1812" s="7"/>
      <c r="C1812" s="7"/>
      <c r="D1812" s="7" t="s">
        <v>148</v>
      </c>
      <c r="E1812" s="8" t="s">
        <v>137</v>
      </c>
    </row>
    <row r="1813" spans="1:5" x14ac:dyDescent="0.35">
      <c r="A1813" s="9" t="s">
        <v>135</v>
      </c>
      <c r="B1813" s="10"/>
      <c r="C1813" s="10"/>
      <c r="D1813" s="10" t="s">
        <v>149</v>
      </c>
      <c r="E1813" s="11" t="s">
        <v>137</v>
      </c>
    </row>
    <row r="1814" spans="1:5" x14ac:dyDescent="0.35">
      <c r="A1814" s="6" t="s">
        <v>135</v>
      </c>
      <c r="B1814" s="7" t="s">
        <v>158</v>
      </c>
      <c r="C1814" s="7" t="s">
        <v>146</v>
      </c>
      <c r="D1814" s="7" t="s">
        <v>147</v>
      </c>
      <c r="E1814" s="8">
        <v>310</v>
      </c>
    </row>
    <row r="1815" spans="1:5" x14ac:dyDescent="0.35">
      <c r="A1815" s="9" t="s">
        <v>135</v>
      </c>
      <c r="B1815" s="10"/>
      <c r="C1815" s="10"/>
      <c r="D1815" s="10" t="s">
        <v>148</v>
      </c>
      <c r="E1815" s="11">
        <v>310</v>
      </c>
    </row>
    <row r="1816" spans="1:5" x14ac:dyDescent="0.35">
      <c r="A1816" s="6" t="s">
        <v>135</v>
      </c>
      <c r="B1816" s="7"/>
      <c r="C1816" s="7"/>
      <c r="D1816" s="7" t="s">
        <v>149</v>
      </c>
      <c r="E1816" s="8" t="s">
        <v>137</v>
      </c>
    </row>
    <row r="1817" spans="1:5" x14ac:dyDescent="0.35">
      <c r="A1817" s="9" t="s">
        <v>135</v>
      </c>
      <c r="B1817" s="10"/>
      <c r="C1817" s="10" t="s">
        <v>150</v>
      </c>
      <c r="D1817" s="10" t="s">
        <v>147</v>
      </c>
      <c r="E1817" s="11" t="s">
        <v>137</v>
      </c>
    </row>
    <row r="1818" spans="1:5" x14ac:dyDescent="0.35">
      <c r="A1818" s="6" t="s">
        <v>135</v>
      </c>
      <c r="B1818" s="7"/>
      <c r="C1818" s="7"/>
      <c r="D1818" s="7" t="s">
        <v>148</v>
      </c>
      <c r="E1818" s="8" t="s">
        <v>137</v>
      </c>
    </row>
    <row r="1819" spans="1:5" x14ac:dyDescent="0.35">
      <c r="A1819" s="9" t="s">
        <v>135</v>
      </c>
      <c r="B1819" s="10"/>
      <c r="C1819" s="10"/>
      <c r="D1819" s="10" t="s">
        <v>149</v>
      </c>
      <c r="E1819" s="11" t="s">
        <v>137</v>
      </c>
    </row>
    <row r="1820" spans="1:5" x14ac:dyDescent="0.35">
      <c r="A1820" s="6" t="s">
        <v>135</v>
      </c>
      <c r="B1820" s="7" t="s">
        <v>159</v>
      </c>
      <c r="C1820" s="7" t="s">
        <v>146</v>
      </c>
      <c r="D1820" s="7" t="s">
        <v>147</v>
      </c>
      <c r="E1820" s="8">
        <v>25</v>
      </c>
    </row>
    <row r="1821" spans="1:5" x14ac:dyDescent="0.35">
      <c r="A1821" s="9" t="s">
        <v>135</v>
      </c>
      <c r="B1821" s="10"/>
      <c r="C1821" s="10"/>
      <c r="D1821" s="10" t="s">
        <v>148</v>
      </c>
      <c r="E1821" s="11">
        <v>25</v>
      </c>
    </row>
    <row r="1822" spans="1:5" x14ac:dyDescent="0.35">
      <c r="A1822" s="6" t="s">
        <v>135</v>
      </c>
      <c r="B1822" s="7"/>
      <c r="C1822" s="7"/>
      <c r="D1822" s="7" t="s">
        <v>149</v>
      </c>
      <c r="E1822" s="8" t="s">
        <v>137</v>
      </c>
    </row>
    <row r="1823" spans="1:5" x14ac:dyDescent="0.35">
      <c r="A1823" s="9" t="s">
        <v>135</v>
      </c>
      <c r="B1823" s="10"/>
      <c r="C1823" s="10" t="s">
        <v>150</v>
      </c>
      <c r="D1823" s="10" t="s">
        <v>147</v>
      </c>
      <c r="E1823" s="11" t="s">
        <v>137</v>
      </c>
    </row>
    <row r="1824" spans="1:5" x14ac:dyDescent="0.35">
      <c r="A1824" s="6" t="s">
        <v>135</v>
      </c>
      <c r="B1824" s="7"/>
      <c r="C1824" s="7"/>
      <c r="D1824" s="7" t="s">
        <v>148</v>
      </c>
      <c r="E1824" s="8" t="s">
        <v>137</v>
      </c>
    </row>
    <row r="1825" spans="1:5" x14ac:dyDescent="0.35">
      <c r="A1825" s="9" t="s">
        <v>135</v>
      </c>
      <c r="B1825" s="10"/>
      <c r="C1825" s="10"/>
      <c r="D1825" s="10" t="s">
        <v>149</v>
      </c>
      <c r="E1825" s="11" t="s">
        <v>137</v>
      </c>
    </row>
    <row r="1826" spans="1:5" x14ac:dyDescent="0.35">
      <c r="A1826" s="6" t="s">
        <v>135</v>
      </c>
      <c r="B1826" s="7" t="s">
        <v>160</v>
      </c>
      <c r="C1826" s="7" t="s">
        <v>146</v>
      </c>
      <c r="D1826" s="7" t="s">
        <v>147</v>
      </c>
      <c r="E1826" s="8" t="s">
        <v>137</v>
      </c>
    </row>
    <row r="1827" spans="1:5" x14ac:dyDescent="0.35">
      <c r="A1827" s="9" t="s">
        <v>135</v>
      </c>
      <c r="B1827" s="10"/>
      <c r="C1827" s="10"/>
      <c r="D1827" s="10" t="s">
        <v>148</v>
      </c>
      <c r="E1827" s="11" t="s">
        <v>137</v>
      </c>
    </row>
    <row r="1828" spans="1:5" x14ac:dyDescent="0.35">
      <c r="A1828" s="6" t="s">
        <v>135</v>
      </c>
      <c r="B1828" s="7"/>
      <c r="C1828" s="7"/>
      <c r="D1828" s="7" t="s">
        <v>149</v>
      </c>
      <c r="E1828" s="8" t="s">
        <v>137</v>
      </c>
    </row>
    <row r="1829" spans="1:5" x14ac:dyDescent="0.35">
      <c r="A1829" s="9" t="s">
        <v>135</v>
      </c>
      <c r="B1829" s="10"/>
      <c r="C1829" s="10" t="s">
        <v>150</v>
      </c>
      <c r="D1829" s="10" t="s">
        <v>147</v>
      </c>
      <c r="E1829" s="11" t="s">
        <v>137</v>
      </c>
    </row>
    <row r="1830" spans="1:5" x14ac:dyDescent="0.35">
      <c r="A1830" s="6" t="s">
        <v>135</v>
      </c>
      <c r="B1830" s="7"/>
      <c r="C1830" s="7"/>
      <c r="D1830" s="7" t="s">
        <v>148</v>
      </c>
      <c r="E1830" s="8" t="s">
        <v>137</v>
      </c>
    </row>
    <row r="1831" spans="1:5" x14ac:dyDescent="0.35">
      <c r="A1831" s="9" t="s">
        <v>135</v>
      </c>
      <c r="B1831" s="10"/>
      <c r="C1831" s="10"/>
      <c r="D1831" s="10" t="s">
        <v>149</v>
      </c>
      <c r="E1831" s="11" t="s">
        <v>137</v>
      </c>
    </row>
    <row r="1832" spans="1:5" x14ac:dyDescent="0.35">
      <c r="A1832" s="6" t="s">
        <v>135</v>
      </c>
      <c r="B1832" s="7" t="s">
        <v>161</v>
      </c>
      <c r="C1832" s="7" t="s">
        <v>146</v>
      </c>
      <c r="D1832" s="7" t="s">
        <v>147</v>
      </c>
      <c r="E1832" s="8" t="s">
        <v>137</v>
      </c>
    </row>
    <row r="1833" spans="1:5" x14ac:dyDescent="0.35">
      <c r="A1833" s="9" t="s">
        <v>135</v>
      </c>
      <c r="B1833" s="10"/>
      <c r="C1833" s="10"/>
      <c r="D1833" s="10" t="s">
        <v>148</v>
      </c>
      <c r="E1833" s="11" t="s">
        <v>137</v>
      </c>
    </row>
    <row r="1834" spans="1:5" x14ac:dyDescent="0.35">
      <c r="A1834" s="6" t="s">
        <v>135</v>
      </c>
      <c r="B1834" s="7"/>
      <c r="C1834" s="7"/>
      <c r="D1834" s="7" t="s">
        <v>149</v>
      </c>
      <c r="E1834" s="8" t="s">
        <v>137</v>
      </c>
    </row>
    <row r="1835" spans="1:5" x14ac:dyDescent="0.35">
      <c r="A1835" s="9" t="s">
        <v>135</v>
      </c>
      <c r="B1835" s="10"/>
      <c r="C1835" s="10" t="s">
        <v>150</v>
      </c>
      <c r="D1835" s="10" t="s">
        <v>147</v>
      </c>
      <c r="E1835" s="11" t="s">
        <v>137</v>
      </c>
    </row>
    <row r="1836" spans="1:5" x14ac:dyDescent="0.35">
      <c r="A1836" s="6" t="s">
        <v>135</v>
      </c>
      <c r="B1836" s="7"/>
      <c r="C1836" s="7"/>
      <c r="D1836" s="7" t="s">
        <v>148</v>
      </c>
      <c r="E1836" s="8" t="s">
        <v>137</v>
      </c>
    </row>
    <row r="1837" spans="1:5" x14ac:dyDescent="0.35">
      <c r="A1837" s="9" t="s">
        <v>135</v>
      </c>
      <c r="B1837" s="10"/>
      <c r="C1837" s="10"/>
      <c r="D1837" s="10" t="s">
        <v>149</v>
      </c>
      <c r="E1837" s="11" t="s">
        <v>137</v>
      </c>
    </row>
    <row r="1838" spans="1:5" x14ac:dyDescent="0.35">
      <c r="A1838" s="6" t="s">
        <v>135</v>
      </c>
      <c r="B1838" s="7" t="s">
        <v>162</v>
      </c>
      <c r="C1838" s="7" t="s">
        <v>146</v>
      </c>
      <c r="D1838" s="7" t="s">
        <v>147</v>
      </c>
      <c r="E1838" s="8">
        <v>7.3</v>
      </c>
    </row>
    <row r="1839" spans="1:5" x14ac:dyDescent="0.35">
      <c r="A1839" s="9" t="s">
        <v>135</v>
      </c>
      <c r="B1839" s="10"/>
      <c r="C1839" s="10"/>
      <c r="D1839" s="10" t="s">
        <v>148</v>
      </c>
      <c r="E1839" s="11">
        <v>7.3</v>
      </c>
    </row>
    <row r="1840" spans="1:5" x14ac:dyDescent="0.35">
      <c r="A1840" s="6" t="s">
        <v>135</v>
      </c>
      <c r="B1840" s="7"/>
      <c r="C1840" s="7"/>
      <c r="D1840" s="7" t="s">
        <v>149</v>
      </c>
      <c r="E1840" s="8" t="s">
        <v>137</v>
      </c>
    </row>
    <row r="1841" spans="1:5" x14ac:dyDescent="0.35">
      <c r="A1841" s="9" t="s">
        <v>135</v>
      </c>
      <c r="B1841" s="10"/>
      <c r="C1841" s="10" t="s">
        <v>150</v>
      </c>
      <c r="D1841" s="10" t="s">
        <v>147</v>
      </c>
      <c r="E1841" s="11" t="s">
        <v>137</v>
      </c>
    </row>
    <row r="1842" spans="1:5" x14ac:dyDescent="0.35">
      <c r="A1842" s="6" t="s">
        <v>135</v>
      </c>
      <c r="B1842" s="7"/>
      <c r="C1842" s="7"/>
      <c r="D1842" s="7" t="s">
        <v>148</v>
      </c>
      <c r="E1842" s="8" t="s">
        <v>137</v>
      </c>
    </row>
    <row r="1843" spans="1:5" x14ac:dyDescent="0.35">
      <c r="A1843" s="9" t="s">
        <v>135</v>
      </c>
      <c r="B1843" s="10"/>
      <c r="C1843" s="10"/>
      <c r="D1843" s="10" t="s">
        <v>149</v>
      </c>
      <c r="E1843" s="11" t="s">
        <v>137</v>
      </c>
    </row>
    <row r="1844" spans="1:5" x14ac:dyDescent="0.35">
      <c r="A1844" s="6" t="s">
        <v>135</v>
      </c>
      <c r="B1844" s="7" t="s">
        <v>163</v>
      </c>
      <c r="C1844" s="7" t="s">
        <v>146</v>
      </c>
      <c r="D1844" s="7" t="s">
        <v>147</v>
      </c>
      <c r="E1844" s="8">
        <v>99.14</v>
      </c>
    </row>
    <row r="1845" spans="1:5" x14ac:dyDescent="0.35">
      <c r="A1845" s="9" t="s">
        <v>135</v>
      </c>
      <c r="B1845" s="10"/>
      <c r="C1845" s="10"/>
      <c r="D1845" s="10" t="s">
        <v>148</v>
      </c>
      <c r="E1845" s="11">
        <v>99.14</v>
      </c>
    </row>
    <row r="1846" spans="1:5" x14ac:dyDescent="0.35">
      <c r="A1846" s="6" t="s">
        <v>135</v>
      </c>
      <c r="B1846" s="7"/>
      <c r="C1846" s="7"/>
      <c r="D1846" s="7" t="s">
        <v>149</v>
      </c>
      <c r="E1846" s="8" t="s">
        <v>137</v>
      </c>
    </row>
    <row r="1847" spans="1:5" x14ac:dyDescent="0.35">
      <c r="A1847" s="9" t="s">
        <v>135</v>
      </c>
      <c r="B1847" s="10"/>
      <c r="C1847" s="10" t="s">
        <v>150</v>
      </c>
      <c r="D1847" s="10" t="s">
        <v>147</v>
      </c>
      <c r="E1847" s="11" t="s">
        <v>137</v>
      </c>
    </row>
    <row r="1848" spans="1:5" x14ac:dyDescent="0.35">
      <c r="A1848" s="6" t="s">
        <v>135</v>
      </c>
      <c r="B1848" s="7"/>
      <c r="C1848" s="7"/>
      <c r="D1848" s="7" t="s">
        <v>148</v>
      </c>
      <c r="E1848" s="8" t="s">
        <v>137</v>
      </c>
    </row>
    <row r="1849" spans="1:5" x14ac:dyDescent="0.35">
      <c r="A1849" s="9" t="s">
        <v>135</v>
      </c>
      <c r="B1849" s="10"/>
      <c r="C1849" s="10"/>
      <c r="D1849" s="10" t="s">
        <v>149</v>
      </c>
      <c r="E1849" s="11" t="s">
        <v>137</v>
      </c>
    </row>
    <row r="1850" spans="1:5" x14ac:dyDescent="0.35">
      <c r="A1850" s="6" t="s">
        <v>135</v>
      </c>
      <c r="B1850" s="7" t="s">
        <v>164</v>
      </c>
      <c r="C1850" s="7" t="s">
        <v>146</v>
      </c>
      <c r="D1850" s="7" t="s">
        <v>147</v>
      </c>
      <c r="E1850" s="8" t="s">
        <v>137</v>
      </c>
    </row>
    <row r="1851" spans="1:5" x14ac:dyDescent="0.35">
      <c r="A1851" s="9" t="s">
        <v>135</v>
      </c>
      <c r="B1851" s="10"/>
      <c r="C1851" s="10"/>
      <c r="D1851" s="10" t="s">
        <v>148</v>
      </c>
      <c r="E1851" s="11" t="s">
        <v>137</v>
      </c>
    </row>
    <row r="1852" spans="1:5" x14ac:dyDescent="0.35">
      <c r="A1852" s="6" t="s">
        <v>135</v>
      </c>
      <c r="B1852" s="7"/>
      <c r="C1852" s="7"/>
      <c r="D1852" s="7" t="s">
        <v>149</v>
      </c>
      <c r="E1852" s="8" t="s">
        <v>137</v>
      </c>
    </row>
    <row r="1853" spans="1:5" x14ac:dyDescent="0.35">
      <c r="A1853" s="9" t="s">
        <v>135</v>
      </c>
      <c r="B1853" s="10"/>
      <c r="C1853" s="10" t="s">
        <v>150</v>
      </c>
      <c r="D1853" s="10" t="s">
        <v>147</v>
      </c>
      <c r="E1853" s="11" t="s">
        <v>137</v>
      </c>
    </row>
    <row r="1854" spans="1:5" x14ac:dyDescent="0.35">
      <c r="A1854" s="6" t="s">
        <v>135</v>
      </c>
      <c r="B1854" s="7"/>
      <c r="C1854" s="7"/>
      <c r="D1854" s="7" t="s">
        <v>148</v>
      </c>
      <c r="E1854" s="8" t="s">
        <v>137</v>
      </c>
    </row>
    <row r="1855" spans="1:5" x14ac:dyDescent="0.35">
      <c r="A1855" s="9" t="s">
        <v>135</v>
      </c>
      <c r="B1855" s="10"/>
      <c r="C1855" s="10"/>
      <c r="D1855" s="10" t="s">
        <v>149</v>
      </c>
      <c r="E1855" s="11" t="s">
        <v>137</v>
      </c>
    </row>
    <row r="1856" spans="1:5" x14ac:dyDescent="0.35">
      <c r="A1856" s="6" t="s">
        <v>135</v>
      </c>
      <c r="B1856" s="7" t="s">
        <v>165</v>
      </c>
      <c r="C1856" s="7" t="s">
        <v>146</v>
      </c>
      <c r="D1856" s="7" t="s">
        <v>147</v>
      </c>
      <c r="E1856" s="8" t="s">
        <v>137</v>
      </c>
    </row>
    <row r="1857" spans="1:5" x14ac:dyDescent="0.35">
      <c r="A1857" s="9" t="s">
        <v>135</v>
      </c>
      <c r="B1857" s="10"/>
      <c r="C1857" s="10"/>
      <c r="D1857" s="10" t="s">
        <v>148</v>
      </c>
      <c r="E1857" s="11" t="s">
        <v>137</v>
      </c>
    </row>
    <row r="1858" spans="1:5" x14ac:dyDescent="0.35">
      <c r="A1858" s="6" t="s">
        <v>135</v>
      </c>
      <c r="B1858" s="7"/>
      <c r="C1858" s="7"/>
      <c r="D1858" s="7" t="s">
        <v>149</v>
      </c>
      <c r="E1858" s="8" t="s">
        <v>137</v>
      </c>
    </row>
    <row r="1859" spans="1:5" x14ac:dyDescent="0.35">
      <c r="A1859" s="9" t="s">
        <v>135</v>
      </c>
      <c r="B1859" s="10"/>
      <c r="C1859" s="10" t="s">
        <v>150</v>
      </c>
      <c r="D1859" s="10" t="s">
        <v>147</v>
      </c>
      <c r="E1859" s="11" t="s">
        <v>137</v>
      </c>
    </row>
    <row r="1860" spans="1:5" x14ac:dyDescent="0.35">
      <c r="A1860" s="6" t="s">
        <v>135</v>
      </c>
      <c r="B1860" s="7"/>
      <c r="C1860" s="7"/>
      <c r="D1860" s="7" t="s">
        <v>148</v>
      </c>
      <c r="E1860" s="8" t="s">
        <v>137</v>
      </c>
    </row>
    <row r="1861" spans="1:5" x14ac:dyDescent="0.35">
      <c r="A1861" s="9" t="s">
        <v>135</v>
      </c>
      <c r="B1861" s="10"/>
      <c r="C1861" s="10"/>
      <c r="D1861" s="10" t="s">
        <v>149</v>
      </c>
      <c r="E1861" s="11" t="s">
        <v>137</v>
      </c>
    </row>
    <row r="1862" spans="1:5" x14ac:dyDescent="0.35">
      <c r="A1862" s="6" t="s">
        <v>135</v>
      </c>
      <c r="B1862" s="7" t="s">
        <v>166</v>
      </c>
      <c r="C1862" s="7" t="s">
        <v>146</v>
      </c>
      <c r="D1862" s="7" t="s">
        <v>147</v>
      </c>
      <c r="E1862" s="8">
        <v>99.14</v>
      </c>
    </row>
    <row r="1863" spans="1:5" x14ac:dyDescent="0.35">
      <c r="A1863" s="9" t="s">
        <v>135</v>
      </c>
      <c r="B1863" s="10"/>
      <c r="C1863" s="10"/>
      <c r="D1863" s="10" t="s">
        <v>148</v>
      </c>
      <c r="E1863" s="11">
        <v>99.14</v>
      </c>
    </row>
    <row r="1864" spans="1:5" x14ac:dyDescent="0.35">
      <c r="A1864" s="6" t="s">
        <v>135</v>
      </c>
      <c r="B1864" s="7"/>
      <c r="C1864" s="7"/>
      <c r="D1864" s="7" t="s">
        <v>149</v>
      </c>
      <c r="E1864" s="8" t="s">
        <v>137</v>
      </c>
    </row>
    <row r="1865" spans="1:5" x14ac:dyDescent="0.35">
      <c r="A1865" s="9" t="s">
        <v>135</v>
      </c>
      <c r="B1865" s="10"/>
      <c r="C1865" s="10" t="s">
        <v>150</v>
      </c>
      <c r="D1865" s="10" t="s">
        <v>147</v>
      </c>
      <c r="E1865" s="11" t="s">
        <v>137</v>
      </c>
    </row>
    <row r="1866" spans="1:5" x14ac:dyDescent="0.35">
      <c r="A1866" s="6" t="s">
        <v>135</v>
      </c>
      <c r="B1866" s="7"/>
      <c r="C1866" s="7"/>
      <c r="D1866" s="7" t="s">
        <v>148</v>
      </c>
      <c r="E1866" s="8" t="s">
        <v>137</v>
      </c>
    </row>
    <row r="1867" spans="1:5" x14ac:dyDescent="0.35">
      <c r="A1867" s="9" t="s">
        <v>135</v>
      </c>
      <c r="B1867" s="10"/>
      <c r="C1867" s="10"/>
      <c r="D1867" s="10" t="s">
        <v>149</v>
      </c>
      <c r="E1867" s="11" t="s">
        <v>137</v>
      </c>
    </row>
    <row r="1868" spans="1:5" x14ac:dyDescent="0.35">
      <c r="A1868" s="6" t="s">
        <v>135</v>
      </c>
      <c r="B1868" s="7" t="s">
        <v>167</v>
      </c>
      <c r="C1868" s="7" t="s">
        <v>146</v>
      </c>
      <c r="D1868" s="7" t="s">
        <v>147</v>
      </c>
      <c r="E1868" s="8" t="s">
        <v>137</v>
      </c>
    </row>
    <row r="1869" spans="1:5" x14ac:dyDescent="0.35">
      <c r="A1869" s="9" t="s">
        <v>135</v>
      </c>
      <c r="B1869" s="10"/>
      <c r="C1869" s="10"/>
      <c r="D1869" s="10" t="s">
        <v>148</v>
      </c>
      <c r="E1869" s="11" t="s">
        <v>137</v>
      </c>
    </row>
    <row r="1870" spans="1:5" x14ac:dyDescent="0.35">
      <c r="A1870" s="6" t="s">
        <v>135</v>
      </c>
      <c r="B1870" s="7"/>
      <c r="C1870" s="7"/>
      <c r="D1870" s="7" t="s">
        <v>149</v>
      </c>
      <c r="E1870" s="8" t="s">
        <v>137</v>
      </c>
    </row>
    <row r="1871" spans="1:5" x14ac:dyDescent="0.35">
      <c r="A1871" s="9" t="s">
        <v>135</v>
      </c>
      <c r="B1871" s="10"/>
      <c r="C1871" s="10" t="s">
        <v>150</v>
      </c>
      <c r="D1871" s="10" t="s">
        <v>147</v>
      </c>
      <c r="E1871" s="11" t="s">
        <v>137</v>
      </c>
    </row>
    <row r="1872" spans="1:5" x14ac:dyDescent="0.35">
      <c r="A1872" s="6" t="s">
        <v>135</v>
      </c>
      <c r="B1872" s="7"/>
      <c r="C1872" s="7"/>
      <c r="D1872" s="7" t="s">
        <v>148</v>
      </c>
      <c r="E1872" s="8" t="s">
        <v>137</v>
      </c>
    </row>
    <row r="1873" spans="1:5" x14ac:dyDescent="0.35">
      <c r="A1873" s="9" t="s">
        <v>135</v>
      </c>
      <c r="B1873" s="10"/>
      <c r="C1873" s="10"/>
      <c r="D1873" s="10" t="s">
        <v>149</v>
      </c>
      <c r="E1873" s="11" t="s">
        <v>137</v>
      </c>
    </row>
    <row r="1874" spans="1:5" x14ac:dyDescent="0.35">
      <c r="A1874" s="6" t="s">
        <v>135</v>
      </c>
      <c r="B1874" s="7" t="s">
        <v>168</v>
      </c>
      <c r="C1874" s="7" t="s">
        <v>146</v>
      </c>
      <c r="D1874" s="7" t="s">
        <v>147</v>
      </c>
      <c r="E1874" s="8" t="s">
        <v>137</v>
      </c>
    </row>
    <row r="1875" spans="1:5" x14ac:dyDescent="0.35">
      <c r="A1875" s="9" t="s">
        <v>135</v>
      </c>
      <c r="B1875" s="10"/>
      <c r="C1875" s="10"/>
      <c r="D1875" s="10" t="s">
        <v>148</v>
      </c>
      <c r="E1875" s="11" t="s">
        <v>137</v>
      </c>
    </row>
    <row r="1876" spans="1:5" x14ac:dyDescent="0.35">
      <c r="A1876" s="6" t="s">
        <v>135</v>
      </c>
      <c r="B1876" s="7"/>
      <c r="C1876" s="7"/>
      <c r="D1876" s="7" t="s">
        <v>149</v>
      </c>
      <c r="E1876" s="8" t="s">
        <v>137</v>
      </c>
    </row>
    <row r="1877" spans="1:5" x14ac:dyDescent="0.35">
      <c r="A1877" s="9" t="s">
        <v>135</v>
      </c>
      <c r="B1877" s="10"/>
      <c r="C1877" s="10" t="s">
        <v>150</v>
      </c>
      <c r="D1877" s="10" t="s">
        <v>147</v>
      </c>
      <c r="E1877" s="11" t="s">
        <v>137</v>
      </c>
    </row>
    <row r="1878" spans="1:5" x14ac:dyDescent="0.35">
      <c r="A1878" s="6" t="s">
        <v>135</v>
      </c>
      <c r="B1878" s="7"/>
      <c r="C1878" s="7"/>
      <c r="D1878" s="7" t="s">
        <v>148</v>
      </c>
      <c r="E1878" s="8" t="s">
        <v>137</v>
      </c>
    </row>
    <row r="1879" spans="1:5" x14ac:dyDescent="0.35">
      <c r="A1879" s="9" t="s">
        <v>135</v>
      </c>
      <c r="B1879" s="10"/>
      <c r="C1879" s="10"/>
      <c r="D1879" s="10" t="s">
        <v>149</v>
      </c>
      <c r="E1879" s="11" t="s">
        <v>137</v>
      </c>
    </row>
    <row r="1880" spans="1:5" x14ac:dyDescent="0.35">
      <c r="A1880" s="6" t="s">
        <v>135</v>
      </c>
      <c r="B1880" s="7" t="s">
        <v>169</v>
      </c>
      <c r="C1880" s="7" t="s">
        <v>146</v>
      </c>
      <c r="D1880" s="7" t="s">
        <v>147</v>
      </c>
      <c r="E1880" s="8" t="s">
        <v>137</v>
      </c>
    </row>
    <row r="1881" spans="1:5" x14ac:dyDescent="0.35">
      <c r="A1881" s="9" t="s">
        <v>135</v>
      </c>
      <c r="B1881" s="10"/>
      <c r="C1881" s="10"/>
      <c r="D1881" s="10" t="s">
        <v>148</v>
      </c>
      <c r="E1881" s="11" t="s">
        <v>137</v>
      </c>
    </row>
    <row r="1882" spans="1:5" x14ac:dyDescent="0.35">
      <c r="A1882" s="6" t="s">
        <v>135</v>
      </c>
      <c r="B1882" s="7"/>
      <c r="C1882" s="7"/>
      <c r="D1882" s="7" t="s">
        <v>149</v>
      </c>
      <c r="E1882" s="8" t="s">
        <v>137</v>
      </c>
    </row>
    <row r="1883" spans="1:5" x14ac:dyDescent="0.35">
      <c r="A1883" s="9" t="s">
        <v>135</v>
      </c>
      <c r="B1883" s="10"/>
      <c r="C1883" s="10" t="s">
        <v>150</v>
      </c>
      <c r="D1883" s="10" t="s">
        <v>147</v>
      </c>
      <c r="E1883" s="11" t="s">
        <v>137</v>
      </c>
    </row>
    <row r="1884" spans="1:5" x14ac:dyDescent="0.35">
      <c r="A1884" s="6" t="s">
        <v>135</v>
      </c>
      <c r="B1884" s="7"/>
      <c r="C1884" s="7"/>
      <c r="D1884" s="7" t="s">
        <v>148</v>
      </c>
      <c r="E1884" s="8" t="s">
        <v>137</v>
      </c>
    </row>
    <row r="1885" spans="1:5" x14ac:dyDescent="0.35">
      <c r="A1885" s="9" t="s">
        <v>135</v>
      </c>
      <c r="B1885" s="10"/>
      <c r="C1885" s="10"/>
      <c r="D1885" s="10" t="s">
        <v>149</v>
      </c>
      <c r="E1885" s="11" t="s">
        <v>137</v>
      </c>
    </row>
    <row r="1886" spans="1:5" x14ac:dyDescent="0.35">
      <c r="A1886" s="6" t="s">
        <v>135</v>
      </c>
      <c r="B1886" s="7" t="s">
        <v>170</v>
      </c>
      <c r="C1886" s="7" t="s">
        <v>146</v>
      </c>
      <c r="D1886" s="7" t="s">
        <v>147</v>
      </c>
      <c r="E1886" s="8" t="s">
        <v>137</v>
      </c>
    </row>
    <row r="1887" spans="1:5" x14ac:dyDescent="0.35">
      <c r="A1887" s="9" t="s">
        <v>135</v>
      </c>
      <c r="B1887" s="10"/>
      <c r="C1887" s="10"/>
      <c r="D1887" s="10" t="s">
        <v>148</v>
      </c>
      <c r="E1887" s="11" t="s">
        <v>137</v>
      </c>
    </row>
    <row r="1888" spans="1:5" x14ac:dyDescent="0.35">
      <c r="A1888" s="6" t="s">
        <v>135</v>
      </c>
      <c r="B1888" s="7"/>
      <c r="C1888" s="7"/>
      <c r="D1888" s="7" t="s">
        <v>149</v>
      </c>
      <c r="E1888" s="8" t="s">
        <v>137</v>
      </c>
    </row>
    <row r="1889" spans="1:5" x14ac:dyDescent="0.35">
      <c r="A1889" s="9" t="s">
        <v>135</v>
      </c>
      <c r="B1889" s="10"/>
      <c r="C1889" s="10" t="s">
        <v>150</v>
      </c>
      <c r="D1889" s="10" t="s">
        <v>147</v>
      </c>
      <c r="E1889" s="11" t="s">
        <v>137</v>
      </c>
    </row>
    <row r="1890" spans="1:5" x14ac:dyDescent="0.35">
      <c r="A1890" s="6" t="s">
        <v>135</v>
      </c>
      <c r="B1890" s="7"/>
      <c r="C1890" s="7"/>
      <c r="D1890" s="7" t="s">
        <v>148</v>
      </c>
      <c r="E1890" s="8" t="s">
        <v>137</v>
      </c>
    </row>
    <row r="1891" spans="1:5" x14ac:dyDescent="0.35">
      <c r="A1891" s="9" t="s">
        <v>135</v>
      </c>
      <c r="B1891" s="10"/>
      <c r="C1891" s="10"/>
      <c r="D1891" s="10" t="s">
        <v>149</v>
      </c>
      <c r="E1891" s="11" t="s">
        <v>137</v>
      </c>
    </row>
    <row r="1892" spans="1:5" x14ac:dyDescent="0.35">
      <c r="A1892" s="6" t="s">
        <v>59</v>
      </c>
      <c r="B1892" s="7" t="s">
        <v>145</v>
      </c>
      <c r="C1892" s="7" t="s">
        <v>146</v>
      </c>
      <c r="D1892" s="7" t="s">
        <v>147</v>
      </c>
      <c r="E1892" s="8">
        <v>332.32</v>
      </c>
    </row>
    <row r="1893" spans="1:5" x14ac:dyDescent="0.35">
      <c r="A1893" s="9" t="s">
        <v>135</v>
      </c>
      <c r="B1893" s="10"/>
      <c r="C1893" s="10"/>
      <c r="D1893" s="10" t="s">
        <v>148</v>
      </c>
      <c r="E1893" s="11">
        <v>330</v>
      </c>
    </row>
    <row r="1894" spans="1:5" x14ac:dyDescent="0.35">
      <c r="A1894" s="6" t="s">
        <v>135</v>
      </c>
      <c r="B1894" s="7"/>
      <c r="C1894" s="7"/>
      <c r="D1894" s="7" t="s">
        <v>149</v>
      </c>
      <c r="E1894" s="8">
        <v>2.3199999999999998</v>
      </c>
    </row>
    <row r="1895" spans="1:5" x14ac:dyDescent="0.35">
      <c r="A1895" s="9" t="s">
        <v>135</v>
      </c>
      <c r="B1895" s="10"/>
      <c r="C1895" s="10" t="s">
        <v>150</v>
      </c>
      <c r="D1895" s="10" t="s">
        <v>147</v>
      </c>
      <c r="E1895" s="11" t="s">
        <v>137</v>
      </c>
    </row>
    <row r="1896" spans="1:5" x14ac:dyDescent="0.35">
      <c r="A1896" s="6" t="s">
        <v>135</v>
      </c>
      <c r="B1896" s="7"/>
      <c r="C1896" s="7"/>
      <c r="D1896" s="7" t="s">
        <v>148</v>
      </c>
      <c r="E1896" s="8" t="s">
        <v>137</v>
      </c>
    </row>
    <row r="1897" spans="1:5" x14ac:dyDescent="0.35">
      <c r="A1897" s="9" t="s">
        <v>135</v>
      </c>
      <c r="B1897" s="10"/>
      <c r="C1897" s="10"/>
      <c r="D1897" s="10" t="s">
        <v>149</v>
      </c>
      <c r="E1897" s="11" t="s">
        <v>137</v>
      </c>
    </row>
    <row r="1898" spans="1:5" x14ac:dyDescent="0.35">
      <c r="A1898" s="6" t="s">
        <v>135</v>
      </c>
      <c r="B1898" s="7" t="s">
        <v>151</v>
      </c>
      <c r="C1898" s="7" t="s">
        <v>146</v>
      </c>
      <c r="D1898" s="7" t="s">
        <v>147</v>
      </c>
      <c r="E1898" s="8">
        <v>11.54</v>
      </c>
    </row>
    <row r="1899" spans="1:5" x14ac:dyDescent="0.35">
      <c r="A1899" s="9" t="s">
        <v>135</v>
      </c>
      <c r="B1899" s="10"/>
      <c r="C1899" s="10"/>
      <c r="D1899" s="10" t="s">
        <v>148</v>
      </c>
      <c r="E1899" s="11">
        <v>11</v>
      </c>
    </row>
    <row r="1900" spans="1:5" x14ac:dyDescent="0.35">
      <c r="A1900" s="6" t="s">
        <v>135</v>
      </c>
      <c r="B1900" s="7"/>
      <c r="C1900" s="7"/>
      <c r="D1900" s="7" t="s">
        <v>149</v>
      </c>
      <c r="E1900" s="8">
        <v>0.54</v>
      </c>
    </row>
    <row r="1901" spans="1:5" x14ac:dyDescent="0.35">
      <c r="A1901" s="9" t="s">
        <v>135</v>
      </c>
      <c r="B1901" s="10"/>
      <c r="C1901" s="10" t="s">
        <v>150</v>
      </c>
      <c r="D1901" s="10" t="s">
        <v>147</v>
      </c>
      <c r="E1901" s="11" t="s">
        <v>137</v>
      </c>
    </row>
    <row r="1902" spans="1:5" x14ac:dyDescent="0.35">
      <c r="A1902" s="6" t="s">
        <v>135</v>
      </c>
      <c r="B1902" s="7"/>
      <c r="C1902" s="7"/>
      <c r="D1902" s="7" t="s">
        <v>148</v>
      </c>
      <c r="E1902" s="8" t="s">
        <v>137</v>
      </c>
    </row>
    <row r="1903" spans="1:5" x14ac:dyDescent="0.35">
      <c r="A1903" s="9" t="s">
        <v>135</v>
      </c>
      <c r="B1903" s="10"/>
      <c r="C1903" s="10"/>
      <c r="D1903" s="10" t="s">
        <v>149</v>
      </c>
      <c r="E1903" s="11" t="s">
        <v>137</v>
      </c>
    </row>
    <row r="1904" spans="1:5" x14ac:dyDescent="0.35">
      <c r="A1904" s="6" t="s">
        <v>135</v>
      </c>
      <c r="B1904" s="7" t="s">
        <v>152</v>
      </c>
      <c r="C1904" s="7" t="s">
        <v>146</v>
      </c>
      <c r="D1904" s="7" t="s">
        <v>147</v>
      </c>
      <c r="E1904" s="8" t="s">
        <v>137</v>
      </c>
    </row>
    <row r="1905" spans="1:5" x14ac:dyDescent="0.35">
      <c r="A1905" s="9" t="s">
        <v>135</v>
      </c>
      <c r="B1905" s="10"/>
      <c r="C1905" s="10"/>
      <c r="D1905" s="10" t="s">
        <v>148</v>
      </c>
      <c r="E1905" s="11" t="s">
        <v>137</v>
      </c>
    </row>
    <row r="1906" spans="1:5" x14ac:dyDescent="0.35">
      <c r="A1906" s="6" t="s">
        <v>135</v>
      </c>
      <c r="B1906" s="7"/>
      <c r="C1906" s="7"/>
      <c r="D1906" s="7" t="s">
        <v>149</v>
      </c>
      <c r="E1906" s="8" t="s">
        <v>137</v>
      </c>
    </row>
    <row r="1907" spans="1:5" x14ac:dyDescent="0.35">
      <c r="A1907" s="9" t="s">
        <v>135</v>
      </c>
      <c r="B1907" s="10"/>
      <c r="C1907" s="10" t="s">
        <v>150</v>
      </c>
      <c r="D1907" s="10" t="s">
        <v>147</v>
      </c>
      <c r="E1907" s="11" t="s">
        <v>137</v>
      </c>
    </row>
    <row r="1908" spans="1:5" x14ac:dyDescent="0.35">
      <c r="A1908" s="6" t="s">
        <v>135</v>
      </c>
      <c r="B1908" s="7"/>
      <c r="C1908" s="7"/>
      <c r="D1908" s="7" t="s">
        <v>148</v>
      </c>
      <c r="E1908" s="8" t="s">
        <v>137</v>
      </c>
    </row>
    <row r="1909" spans="1:5" x14ac:dyDescent="0.35">
      <c r="A1909" s="9" t="s">
        <v>135</v>
      </c>
      <c r="B1909" s="10"/>
      <c r="C1909" s="10"/>
      <c r="D1909" s="10" t="s">
        <v>149</v>
      </c>
      <c r="E1909" s="11" t="s">
        <v>137</v>
      </c>
    </row>
    <row r="1910" spans="1:5" x14ac:dyDescent="0.35">
      <c r="A1910" s="6" t="s">
        <v>135</v>
      </c>
      <c r="B1910" s="7" t="s">
        <v>153</v>
      </c>
      <c r="C1910" s="7" t="s">
        <v>146</v>
      </c>
      <c r="D1910" s="7" t="s">
        <v>147</v>
      </c>
      <c r="E1910" s="8" t="s">
        <v>137</v>
      </c>
    </row>
    <row r="1911" spans="1:5" x14ac:dyDescent="0.35">
      <c r="A1911" s="9" t="s">
        <v>135</v>
      </c>
      <c r="B1911" s="10"/>
      <c r="C1911" s="10"/>
      <c r="D1911" s="10" t="s">
        <v>148</v>
      </c>
      <c r="E1911" s="11" t="s">
        <v>137</v>
      </c>
    </row>
    <row r="1912" spans="1:5" x14ac:dyDescent="0.35">
      <c r="A1912" s="6" t="s">
        <v>135</v>
      </c>
      <c r="B1912" s="7"/>
      <c r="C1912" s="7"/>
      <c r="D1912" s="7" t="s">
        <v>149</v>
      </c>
      <c r="E1912" s="8" t="s">
        <v>137</v>
      </c>
    </row>
    <row r="1913" spans="1:5" x14ac:dyDescent="0.35">
      <c r="A1913" s="9" t="s">
        <v>135</v>
      </c>
      <c r="B1913" s="10"/>
      <c r="C1913" s="10" t="s">
        <v>150</v>
      </c>
      <c r="D1913" s="10" t="s">
        <v>147</v>
      </c>
      <c r="E1913" s="11" t="s">
        <v>137</v>
      </c>
    </row>
    <row r="1914" spans="1:5" x14ac:dyDescent="0.35">
      <c r="A1914" s="6" t="s">
        <v>135</v>
      </c>
      <c r="B1914" s="7"/>
      <c r="C1914" s="7"/>
      <c r="D1914" s="7" t="s">
        <v>148</v>
      </c>
      <c r="E1914" s="8" t="s">
        <v>137</v>
      </c>
    </row>
    <row r="1915" spans="1:5" x14ac:dyDescent="0.35">
      <c r="A1915" s="9" t="s">
        <v>135</v>
      </c>
      <c r="B1915" s="10"/>
      <c r="C1915" s="10"/>
      <c r="D1915" s="10" t="s">
        <v>149</v>
      </c>
      <c r="E1915" s="11" t="s">
        <v>137</v>
      </c>
    </row>
    <row r="1916" spans="1:5" x14ac:dyDescent="0.35">
      <c r="A1916" s="6" t="s">
        <v>135</v>
      </c>
      <c r="B1916" s="7" t="s">
        <v>154</v>
      </c>
      <c r="C1916" s="7" t="s">
        <v>146</v>
      </c>
      <c r="D1916" s="7" t="s">
        <v>147</v>
      </c>
      <c r="E1916" s="8" t="s">
        <v>137</v>
      </c>
    </row>
    <row r="1917" spans="1:5" x14ac:dyDescent="0.35">
      <c r="A1917" s="9" t="s">
        <v>135</v>
      </c>
      <c r="B1917" s="10"/>
      <c r="C1917" s="10"/>
      <c r="D1917" s="10" t="s">
        <v>148</v>
      </c>
      <c r="E1917" s="11" t="s">
        <v>137</v>
      </c>
    </row>
    <row r="1918" spans="1:5" x14ac:dyDescent="0.35">
      <c r="A1918" s="6" t="s">
        <v>135</v>
      </c>
      <c r="B1918" s="7"/>
      <c r="C1918" s="7"/>
      <c r="D1918" s="7" t="s">
        <v>149</v>
      </c>
      <c r="E1918" s="8" t="s">
        <v>137</v>
      </c>
    </row>
    <row r="1919" spans="1:5" x14ac:dyDescent="0.35">
      <c r="A1919" s="9" t="s">
        <v>135</v>
      </c>
      <c r="B1919" s="10"/>
      <c r="C1919" s="10" t="s">
        <v>150</v>
      </c>
      <c r="D1919" s="10" t="s">
        <v>147</v>
      </c>
      <c r="E1919" s="11" t="s">
        <v>137</v>
      </c>
    </row>
    <row r="1920" spans="1:5" x14ac:dyDescent="0.35">
      <c r="A1920" s="6" t="s">
        <v>135</v>
      </c>
      <c r="B1920" s="7"/>
      <c r="C1920" s="7"/>
      <c r="D1920" s="7" t="s">
        <v>148</v>
      </c>
      <c r="E1920" s="8" t="s">
        <v>137</v>
      </c>
    </row>
    <row r="1921" spans="1:5" x14ac:dyDescent="0.35">
      <c r="A1921" s="9" t="s">
        <v>135</v>
      </c>
      <c r="B1921" s="10"/>
      <c r="C1921" s="10"/>
      <c r="D1921" s="10" t="s">
        <v>149</v>
      </c>
      <c r="E1921" s="11" t="s">
        <v>137</v>
      </c>
    </row>
    <row r="1922" spans="1:5" x14ac:dyDescent="0.35">
      <c r="A1922" s="6" t="s">
        <v>135</v>
      </c>
      <c r="B1922" s="7" t="s">
        <v>155</v>
      </c>
      <c r="C1922" s="7" t="s">
        <v>146</v>
      </c>
      <c r="D1922" s="7" t="s">
        <v>147</v>
      </c>
      <c r="E1922" s="8">
        <v>319.58</v>
      </c>
    </row>
    <row r="1923" spans="1:5" x14ac:dyDescent="0.35">
      <c r="A1923" s="9" t="s">
        <v>135</v>
      </c>
      <c r="B1923" s="10"/>
      <c r="C1923" s="10"/>
      <c r="D1923" s="10" t="s">
        <v>148</v>
      </c>
      <c r="E1923" s="11">
        <v>319</v>
      </c>
    </row>
    <row r="1924" spans="1:5" x14ac:dyDescent="0.35">
      <c r="A1924" s="6" t="s">
        <v>135</v>
      </c>
      <c r="B1924" s="7"/>
      <c r="C1924" s="7"/>
      <c r="D1924" s="7" t="s">
        <v>149</v>
      </c>
      <c r="E1924" s="8">
        <v>0.57999999999999996</v>
      </c>
    </row>
    <row r="1925" spans="1:5" x14ac:dyDescent="0.35">
      <c r="A1925" s="9" t="s">
        <v>135</v>
      </c>
      <c r="B1925" s="10"/>
      <c r="C1925" s="10" t="s">
        <v>150</v>
      </c>
      <c r="D1925" s="10" t="s">
        <v>147</v>
      </c>
      <c r="E1925" s="11" t="s">
        <v>137</v>
      </c>
    </row>
    <row r="1926" spans="1:5" x14ac:dyDescent="0.35">
      <c r="A1926" s="6" t="s">
        <v>135</v>
      </c>
      <c r="B1926" s="7"/>
      <c r="C1926" s="7"/>
      <c r="D1926" s="7" t="s">
        <v>148</v>
      </c>
      <c r="E1926" s="8" t="s">
        <v>137</v>
      </c>
    </row>
    <row r="1927" spans="1:5" x14ac:dyDescent="0.35">
      <c r="A1927" s="9" t="s">
        <v>135</v>
      </c>
      <c r="B1927" s="10"/>
      <c r="C1927" s="10"/>
      <c r="D1927" s="10" t="s">
        <v>149</v>
      </c>
      <c r="E1927" s="11" t="s">
        <v>137</v>
      </c>
    </row>
    <row r="1928" spans="1:5" x14ac:dyDescent="0.35">
      <c r="A1928" s="6" t="s">
        <v>135</v>
      </c>
      <c r="B1928" s="7" t="s">
        <v>156</v>
      </c>
      <c r="C1928" s="7" t="s">
        <v>146</v>
      </c>
      <c r="D1928" s="7" t="s">
        <v>147</v>
      </c>
      <c r="E1928" s="8" t="s">
        <v>137</v>
      </c>
    </row>
    <row r="1929" spans="1:5" x14ac:dyDescent="0.35">
      <c r="A1929" s="9" t="s">
        <v>135</v>
      </c>
      <c r="B1929" s="10"/>
      <c r="C1929" s="10"/>
      <c r="D1929" s="10" t="s">
        <v>148</v>
      </c>
      <c r="E1929" s="11" t="s">
        <v>137</v>
      </c>
    </row>
    <row r="1930" spans="1:5" x14ac:dyDescent="0.35">
      <c r="A1930" s="6" t="s">
        <v>135</v>
      </c>
      <c r="B1930" s="7"/>
      <c r="C1930" s="7"/>
      <c r="D1930" s="7" t="s">
        <v>149</v>
      </c>
      <c r="E1930" s="8" t="s">
        <v>137</v>
      </c>
    </row>
    <row r="1931" spans="1:5" x14ac:dyDescent="0.35">
      <c r="A1931" s="9" t="s">
        <v>135</v>
      </c>
      <c r="B1931" s="10"/>
      <c r="C1931" s="10" t="s">
        <v>150</v>
      </c>
      <c r="D1931" s="10" t="s">
        <v>147</v>
      </c>
      <c r="E1931" s="11" t="s">
        <v>137</v>
      </c>
    </row>
    <row r="1932" spans="1:5" x14ac:dyDescent="0.35">
      <c r="A1932" s="6" t="s">
        <v>135</v>
      </c>
      <c r="B1932" s="7"/>
      <c r="C1932" s="7"/>
      <c r="D1932" s="7" t="s">
        <v>148</v>
      </c>
      <c r="E1932" s="8" t="s">
        <v>137</v>
      </c>
    </row>
    <row r="1933" spans="1:5" x14ac:dyDescent="0.35">
      <c r="A1933" s="9" t="s">
        <v>135</v>
      </c>
      <c r="B1933" s="10"/>
      <c r="C1933" s="10"/>
      <c r="D1933" s="10" t="s">
        <v>149</v>
      </c>
      <c r="E1933" s="11" t="s">
        <v>137</v>
      </c>
    </row>
    <row r="1934" spans="1:5" x14ac:dyDescent="0.35">
      <c r="A1934" s="6" t="s">
        <v>135</v>
      </c>
      <c r="B1934" s="7" t="s">
        <v>157</v>
      </c>
      <c r="C1934" s="7" t="s">
        <v>146</v>
      </c>
      <c r="D1934" s="7" t="s">
        <v>147</v>
      </c>
      <c r="E1934" s="8" t="s">
        <v>137</v>
      </c>
    </row>
    <row r="1935" spans="1:5" x14ac:dyDescent="0.35">
      <c r="A1935" s="9" t="s">
        <v>135</v>
      </c>
      <c r="B1935" s="10"/>
      <c r="C1935" s="10"/>
      <c r="D1935" s="10" t="s">
        <v>148</v>
      </c>
      <c r="E1935" s="11" t="s">
        <v>137</v>
      </c>
    </row>
    <row r="1936" spans="1:5" x14ac:dyDescent="0.35">
      <c r="A1936" s="6" t="s">
        <v>135</v>
      </c>
      <c r="B1936" s="7"/>
      <c r="C1936" s="7"/>
      <c r="D1936" s="7" t="s">
        <v>149</v>
      </c>
      <c r="E1936" s="8" t="s">
        <v>137</v>
      </c>
    </row>
    <row r="1937" spans="1:5" x14ac:dyDescent="0.35">
      <c r="A1937" s="9" t="s">
        <v>135</v>
      </c>
      <c r="B1937" s="10"/>
      <c r="C1937" s="10" t="s">
        <v>150</v>
      </c>
      <c r="D1937" s="10" t="s">
        <v>147</v>
      </c>
      <c r="E1937" s="11" t="s">
        <v>137</v>
      </c>
    </row>
    <row r="1938" spans="1:5" x14ac:dyDescent="0.35">
      <c r="A1938" s="6" t="s">
        <v>135</v>
      </c>
      <c r="B1938" s="7"/>
      <c r="C1938" s="7"/>
      <c r="D1938" s="7" t="s">
        <v>148</v>
      </c>
      <c r="E1938" s="8" t="s">
        <v>137</v>
      </c>
    </row>
    <row r="1939" spans="1:5" x14ac:dyDescent="0.35">
      <c r="A1939" s="9" t="s">
        <v>135</v>
      </c>
      <c r="B1939" s="10"/>
      <c r="C1939" s="10"/>
      <c r="D1939" s="10" t="s">
        <v>149</v>
      </c>
      <c r="E1939" s="11" t="s">
        <v>137</v>
      </c>
    </row>
    <row r="1940" spans="1:5" x14ac:dyDescent="0.35">
      <c r="A1940" s="6" t="s">
        <v>135</v>
      </c>
      <c r="B1940" s="7" t="s">
        <v>158</v>
      </c>
      <c r="C1940" s="7" t="s">
        <v>146</v>
      </c>
      <c r="D1940" s="7" t="s">
        <v>147</v>
      </c>
      <c r="E1940" s="8" t="s">
        <v>137</v>
      </c>
    </row>
    <row r="1941" spans="1:5" x14ac:dyDescent="0.35">
      <c r="A1941" s="9" t="s">
        <v>135</v>
      </c>
      <c r="B1941" s="10"/>
      <c r="C1941" s="10"/>
      <c r="D1941" s="10" t="s">
        <v>148</v>
      </c>
      <c r="E1941" s="11" t="s">
        <v>137</v>
      </c>
    </row>
    <row r="1942" spans="1:5" x14ac:dyDescent="0.35">
      <c r="A1942" s="6" t="s">
        <v>135</v>
      </c>
      <c r="B1942" s="7"/>
      <c r="C1942" s="7"/>
      <c r="D1942" s="7" t="s">
        <v>149</v>
      </c>
      <c r="E1942" s="8" t="s">
        <v>137</v>
      </c>
    </row>
    <row r="1943" spans="1:5" x14ac:dyDescent="0.35">
      <c r="A1943" s="9" t="s">
        <v>135</v>
      </c>
      <c r="B1943" s="10"/>
      <c r="C1943" s="10" t="s">
        <v>150</v>
      </c>
      <c r="D1943" s="10" t="s">
        <v>147</v>
      </c>
      <c r="E1943" s="11" t="s">
        <v>137</v>
      </c>
    </row>
    <row r="1944" spans="1:5" x14ac:dyDescent="0.35">
      <c r="A1944" s="6" t="s">
        <v>135</v>
      </c>
      <c r="B1944" s="7"/>
      <c r="C1944" s="7"/>
      <c r="D1944" s="7" t="s">
        <v>148</v>
      </c>
      <c r="E1944" s="8" t="s">
        <v>137</v>
      </c>
    </row>
    <row r="1945" spans="1:5" x14ac:dyDescent="0.35">
      <c r="A1945" s="9" t="s">
        <v>135</v>
      </c>
      <c r="B1945" s="10"/>
      <c r="C1945" s="10"/>
      <c r="D1945" s="10" t="s">
        <v>149</v>
      </c>
      <c r="E1945" s="11" t="s">
        <v>137</v>
      </c>
    </row>
    <row r="1946" spans="1:5" x14ac:dyDescent="0.35">
      <c r="A1946" s="6" t="s">
        <v>135</v>
      </c>
      <c r="B1946" s="7" t="s">
        <v>159</v>
      </c>
      <c r="C1946" s="7" t="s">
        <v>146</v>
      </c>
      <c r="D1946" s="7" t="s">
        <v>147</v>
      </c>
      <c r="E1946" s="8" t="s">
        <v>137</v>
      </c>
    </row>
    <row r="1947" spans="1:5" x14ac:dyDescent="0.35">
      <c r="A1947" s="9" t="s">
        <v>135</v>
      </c>
      <c r="B1947" s="10"/>
      <c r="C1947" s="10"/>
      <c r="D1947" s="10" t="s">
        <v>148</v>
      </c>
      <c r="E1947" s="11" t="s">
        <v>137</v>
      </c>
    </row>
    <row r="1948" spans="1:5" x14ac:dyDescent="0.35">
      <c r="A1948" s="6" t="s">
        <v>135</v>
      </c>
      <c r="B1948" s="7"/>
      <c r="C1948" s="7"/>
      <c r="D1948" s="7" t="s">
        <v>149</v>
      </c>
      <c r="E1948" s="8" t="s">
        <v>137</v>
      </c>
    </row>
    <row r="1949" spans="1:5" x14ac:dyDescent="0.35">
      <c r="A1949" s="9" t="s">
        <v>135</v>
      </c>
      <c r="B1949" s="10"/>
      <c r="C1949" s="10" t="s">
        <v>150</v>
      </c>
      <c r="D1949" s="10" t="s">
        <v>147</v>
      </c>
      <c r="E1949" s="11" t="s">
        <v>137</v>
      </c>
    </row>
    <row r="1950" spans="1:5" x14ac:dyDescent="0.35">
      <c r="A1950" s="6" t="s">
        <v>135</v>
      </c>
      <c r="B1950" s="7"/>
      <c r="C1950" s="7"/>
      <c r="D1950" s="7" t="s">
        <v>148</v>
      </c>
      <c r="E1950" s="8" t="s">
        <v>137</v>
      </c>
    </row>
    <row r="1951" spans="1:5" x14ac:dyDescent="0.35">
      <c r="A1951" s="9" t="s">
        <v>135</v>
      </c>
      <c r="B1951" s="10"/>
      <c r="C1951" s="10"/>
      <c r="D1951" s="10" t="s">
        <v>149</v>
      </c>
      <c r="E1951" s="11" t="s">
        <v>137</v>
      </c>
    </row>
    <row r="1952" spans="1:5" x14ac:dyDescent="0.35">
      <c r="A1952" s="6" t="s">
        <v>135</v>
      </c>
      <c r="B1952" s="7" t="s">
        <v>160</v>
      </c>
      <c r="C1952" s="7" t="s">
        <v>146</v>
      </c>
      <c r="D1952" s="7" t="s">
        <v>147</v>
      </c>
      <c r="E1952" s="8" t="s">
        <v>137</v>
      </c>
    </row>
    <row r="1953" spans="1:5" x14ac:dyDescent="0.35">
      <c r="A1953" s="9" t="s">
        <v>135</v>
      </c>
      <c r="B1953" s="10"/>
      <c r="C1953" s="10"/>
      <c r="D1953" s="10" t="s">
        <v>148</v>
      </c>
      <c r="E1953" s="11" t="s">
        <v>137</v>
      </c>
    </row>
    <row r="1954" spans="1:5" x14ac:dyDescent="0.35">
      <c r="A1954" s="6" t="s">
        <v>135</v>
      </c>
      <c r="B1954" s="7"/>
      <c r="C1954" s="7"/>
      <c r="D1954" s="7" t="s">
        <v>149</v>
      </c>
      <c r="E1954" s="8" t="s">
        <v>137</v>
      </c>
    </row>
    <row r="1955" spans="1:5" x14ac:dyDescent="0.35">
      <c r="A1955" s="9" t="s">
        <v>135</v>
      </c>
      <c r="B1955" s="10"/>
      <c r="C1955" s="10" t="s">
        <v>150</v>
      </c>
      <c r="D1955" s="10" t="s">
        <v>147</v>
      </c>
      <c r="E1955" s="11" t="s">
        <v>137</v>
      </c>
    </row>
    <row r="1956" spans="1:5" x14ac:dyDescent="0.35">
      <c r="A1956" s="6" t="s">
        <v>135</v>
      </c>
      <c r="B1956" s="7"/>
      <c r="C1956" s="7"/>
      <c r="D1956" s="7" t="s">
        <v>148</v>
      </c>
      <c r="E1956" s="8" t="s">
        <v>137</v>
      </c>
    </row>
    <row r="1957" spans="1:5" x14ac:dyDescent="0.35">
      <c r="A1957" s="9" t="s">
        <v>135</v>
      </c>
      <c r="B1957" s="10"/>
      <c r="C1957" s="10"/>
      <c r="D1957" s="10" t="s">
        <v>149</v>
      </c>
      <c r="E1957" s="11" t="s">
        <v>137</v>
      </c>
    </row>
    <row r="1958" spans="1:5" x14ac:dyDescent="0.35">
      <c r="A1958" s="6" t="s">
        <v>135</v>
      </c>
      <c r="B1958" s="7" t="s">
        <v>161</v>
      </c>
      <c r="C1958" s="7" t="s">
        <v>146</v>
      </c>
      <c r="D1958" s="7" t="s">
        <v>147</v>
      </c>
      <c r="E1958" s="8">
        <v>1.2</v>
      </c>
    </row>
    <row r="1959" spans="1:5" x14ac:dyDescent="0.35">
      <c r="A1959" s="9" t="s">
        <v>135</v>
      </c>
      <c r="B1959" s="10"/>
      <c r="C1959" s="10"/>
      <c r="D1959" s="10" t="s">
        <v>148</v>
      </c>
      <c r="E1959" s="11" t="s">
        <v>137</v>
      </c>
    </row>
    <row r="1960" spans="1:5" x14ac:dyDescent="0.35">
      <c r="A1960" s="6" t="s">
        <v>135</v>
      </c>
      <c r="B1960" s="7"/>
      <c r="C1960" s="7"/>
      <c r="D1960" s="7" t="s">
        <v>149</v>
      </c>
      <c r="E1960" s="8">
        <v>1.2</v>
      </c>
    </row>
    <row r="1961" spans="1:5" x14ac:dyDescent="0.35">
      <c r="A1961" s="9" t="s">
        <v>135</v>
      </c>
      <c r="B1961" s="10"/>
      <c r="C1961" s="10" t="s">
        <v>150</v>
      </c>
      <c r="D1961" s="10" t="s">
        <v>147</v>
      </c>
      <c r="E1961" s="11" t="s">
        <v>137</v>
      </c>
    </row>
    <row r="1962" spans="1:5" x14ac:dyDescent="0.35">
      <c r="A1962" s="6" t="s">
        <v>135</v>
      </c>
      <c r="B1962" s="7"/>
      <c r="C1962" s="7"/>
      <c r="D1962" s="7" t="s">
        <v>148</v>
      </c>
      <c r="E1962" s="8" t="s">
        <v>137</v>
      </c>
    </row>
    <row r="1963" spans="1:5" x14ac:dyDescent="0.35">
      <c r="A1963" s="9" t="s">
        <v>135</v>
      </c>
      <c r="B1963" s="10"/>
      <c r="C1963" s="10"/>
      <c r="D1963" s="10" t="s">
        <v>149</v>
      </c>
      <c r="E1963" s="11" t="s">
        <v>137</v>
      </c>
    </row>
    <row r="1964" spans="1:5" x14ac:dyDescent="0.35">
      <c r="A1964" s="6" t="s">
        <v>135</v>
      </c>
      <c r="B1964" s="7" t="s">
        <v>162</v>
      </c>
      <c r="C1964" s="7" t="s">
        <v>146</v>
      </c>
      <c r="D1964" s="7" t="s">
        <v>147</v>
      </c>
      <c r="E1964" s="8" t="s">
        <v>137</v>
      </c>
    </row>
    <row r="1965" spans="1:5" x14ac:dyDescent="0.35">
      <c r="A1965" s="9" t="s">
        <v>135</v>
      </c>
      <c r="B1965" s="10"/>
      <c r="C1965" s="10"/>
      <c r="D1965" s="10" t="s">
        <v>148</v>
      </c>
      <c r="E1965" s="11" t="s">
        <v>137</v>
      </c>
    </row>
    <row r="1966" spans="1:5" x14ac:dyDescent="0.35">
      <c r="A1966" s="6" t="s">
        <v>135</v>
      </c>
      <c r="B1966" s="7"/>
      <c r="C1966" s="7"/>
      <c r="D1966" s="7" t="s">
        <v>149</v>
      </c>
      <c r="E1966" s="8" t="s">
        <v>137</v>
      </c>
    </row>
    <row r="1967" spans="1:5" x14ac:dyDescent="0.35">
      <c r="A1967" s="9" t="s">
        <v>135</v>
      </c>
      <c r="B1967" s="10"/>
      <c r="C1967" s="10" t="s">
        <v>150</v>
      </c>
      <c r="D1967" s="10" t="s">
        <v>147</v>
      </c>
      <c r="E1967" s="11" t="s">
        <v>137</v>
      </c>
    </row>
    <row r="1968" spans="1:5" x14ac:dyDescent="0.35">
      <c r="A1968" s="6" t="s">
        <v>135</v>
      </c>
      <c r="B1968" s="7"/>
      <c r="C1968" s="7"/>
      <c r="D1968" s="7" t="s">
        <v>148</v>
      </c>
      <c r="E1968" s="8" t="s">
        <v>137</v>
      </c>
    </row>
    <row r="1969" spans="1:5" x14ac:dyDescent="0.35">
      <c r="A1969" s="9" t="s">
        <v>135</v>
      </c>
      <c r="B1969" s="10"/>
      <c r="C1969" s="10"/>
      <c r="D1969" s="10" t="s">
        <v>149</v>
      </c>
      <c r="E1969" s="11" t="s">
        <v>137</v>
      </c>
    </row>
    <row r="1970" spans="1:5" x14ac:dyDescent="0.35">
      <c r="A1970" s="6" t="s">
        <v>135</v>
      </c>
      <c r="B1970" s="7" t="s">
        <v>163</v>
      </c>
      <c r="C1970" s="7" t="s">
        <v>146</v>
      </c>
      <c r="D1970" s="7" t="s">
        <v>147</v>
      </c>
      <c r="E1970" s="8">
        <v>382</v>
      </c>
    </row>
    <row r="1971" spans="1:5" x14ac:dyDescent="0.35">
      <c r="A1971" s="9" t="s">
        <v>135</v>
      </c>
      <c r="B1971" s="10"/>
      <c r="C1971" s="10"/>
      <c r="D1971" s="10" t="s">
        <v>148</v>
      </c>
      <c r="E1971" s="11">
        <v>382</v>
      </c>
    </row>
    <row r="1972" spans="1:5" x14ac:dyDescent="0.35">
      <c r="A1972" s="6" t="s">
        <v>135</v>
      </c>
      <c r="B1972" s="7"/>
      <c r="C1972" s="7"/>
      <c r="D1972" s="7" t="s">
        <v>149</v>
      </c>
      <c r="E1972" s="8" t="s">
        <v>137</v>
      </c>
    </row>
    <row r="1973" spans="1:5" x14ac:dyDescent="0.35">
      <c r="A1973" s="9" t="s">
        <v>135</v>
      </c>
      <c r="B1973" s="10"/>
      <c r="C1973" s="10" t="s">
        <v>150</v>
      </c>
      <c r="D1973" s="10" t="s">
        <v>147</v>
      </c>
      <c r="E1973" s="11" t="s">
        <v>137</v>
      </c>
    </row>
    <row r="1974" spans="1:5" x14ac:dyDescent="0.35">
      <c r="A1974" s="6" t="s">
        <v>135</v>
      </c>
      <c r="B1974" s="7"/>
      <c r="C1974" s="7"/>
      <c r="D1974" s="7" t="s">
        <v>148</v>
      </c>
      <c r="E1974" s="8" t="s">
        <v>137</v>
      </c>
    </row>
    <row r="1975" spans="1:5" x14ac:dyDescent="0.35">
      <c r="A1975" s="9" t="s">
        <v>135</v>
      </c>
      <c r="B1975" s="10"/>
      <c r="C1975" s="10"/>
      <c r="D1975" s="10" t="s">
        <v>149</v>
      </c>
      <c r="E1975" s="11" t="s">
        <v>137</v>
      </c>
    </row>
    <row r="1976" spans="1:5" x14ac:dyDescent="0.35">
      <c r="A1976" s="6" t="s">
        <v>135</v>
      </c>
      <c r="B1976" s="7" t="s">
        <v>164</v>
      </c>
      <c r="C1976" s="7" t="s">
        <v>146</v>
      </c>
      <c r="D1976" s="7" t="s">
        <v>147</v>
      </c>
      <c r="E1976" s="8" t="s">
        <v>137</v>
      </c>
    </row>
    <row r="1977" spans="1:5" x14ac:dyDescent="0.35">
      <c r="A1977" s="9" t="s">
        <v>135</v>
      </c>
      <c r="B1977" s="10"/>
      <c r="C1977" s="10"/>
      <c r="D1977" s="10" t="s">
        <v>148</v>
      </c>
      <c r="E1977" s="11" t="s">
        <v>137</v>
      </c>
    </row>
    <row r="1978" spans="1:5" x14ac:dyDescent="0.35">
      <c r="A1978" s="6" t="s">
        <v>135</v>
      </c>
      <c r="B1978" s="7"/>
      <c r="C1978" s="7"/>
      <c r="D1978" s="7" t="s">
        <v>149</v>
      </c>
      <c r="E1978" s="8" t="s">
        <v>137</v>
      </c>
    </row>
    <row r="1979" spans="1:5" x14ac:dyDescent="0.35">
      <c r="A1979" s="9" t="s">
        <v>135</v>
      </c>
      <c r="B1979" s="10"/>
      <c r="C1979" s="10" t="s">
        <v>150</v>
      </c>
      <c r="D1979" s="10" t="s">
        <v>147</v>
      </c>
      <c r="E1979" s="11" t="s">
        <v>137</v>
      </c>
    </row>
    <row r="1980" spans="1:5" x14ac:dyDescent="0.35">
      <c r="A1980" s="6" t="s">
        <v>135</v>
      </c>
      <c r="B1980" s="7"/>
      <c r="C1980" s="7"/>
      <c r="D1980" s="7" t="s">
        <v>148</v>
      </c>
      <c r="E1980" s="8" t="s">
        <v>137</v>
      </c>
    </row>
    <row r="1981" spans="1:5" x14ac:dyDescent="0.35">
      <c r="A1981" s="9" t="s">
        <v>135</v>
      </c>
      <c r="B1981" s="10"/>
      <c r="C1981" s="10"/>
      <c r="D1981" s="10" t="s">
        <v>149</v>
      </c>
      <c r="E1981" s="11" t="s">
        <v>137</v>
      </c>
    </row>
    <row r="1982" spans="1:5" x14ac:dyDescent="0.35">
      <c r="A1982" s="6" t="s">
        <v>135</v>
      </c>
      <c r="B1982" s="7" t="s">
        <v>165</v>
      </c>
      <c r="C1982" s="7" t="s">
        <v>146</v>
      </c>
      <c r="D1982" s="7" t="s">
        <v>147</v>
      </c>
      <c r="E1982" s="8" t="s">
        <v>137</v>
      </c>
    </row>
    <row r="1983" spans="1:5" x14ac:dyDescent="0.35">
      <c r="A1983" s="9" t="s">
        <v>135</v>
      </c>
      <c r="B1983" s="10"/>
      <c r="C1983" s="10"/>
      <c r="D1983" s="10" t="s">
        <v>148</v>
      </c>
      <c r="E1983" s="11" t="s">
        <v>137</v>
      </c>
    </row>
    <row r="1984" spans="1:5" x14ac:dyDescent="0.35">
      <c r="A1984" s="6" t="s">
        <v>135</v>
      </c>
      <c r="B1984" s="7"/>
      <c r="C1984" s="7"/>
      <c r="D1984" s="7" t="s">
        <v>149</v>
      </c>
      <c r="E1984" s="8" t="s">
        <v>137</v>
      </c>
    </row>
    <row r="1985" spans="1:5" x14ac:dyDescent="0.35">
      <c r="A1985" s="9" t="s">
        <v>135</v>
      </c>
      <c r="B1985" s="10"/>
      <c r="C1985" s="10" t="s">
        <v>150</v>
      </c>
      <c r="D1985" s="10" t="s">
        <v>147</v>
      </c>
      <c r="E1985" s="11" t="s">
        <v>137</v>
      </c>
    </row>
    <row r="1986" spans="1:5" x14ac:dyDescent="0.35">
      <c r="A1986" s="6" t="s">
        <v>135</v>
      </c>
      <c r="B1986" s="7"/>
      <c r="C1986" s="7"/>
      <c r="D1986" s="7" t="s">
        <v>148</v>
      </c>
      <c r="E1986" s="8" t="s">
        <v>137</v>
      </c>
    </row>
    <row r="1987" spans="1:5" x14ac:dyDescent="0.35">
      <c r="A1987" s="9" t="s">
        <v>135</v>
      </c>
      <c r="B1987" s="10"/>
      <c r="C1987" s="10"/>
      <c r="D1987" s="10" t="s">
        <v>149</v>
      </c>
      <c r="E1987" s="11" t="s">
        <v>137</v>
      </c>
    </row>
    <row r="1988" spans="1:5" x14ac:dyDescent="0.35">
      <c r="A1988" s="6" t="s">
        <v>135</v>
      </c>
      <c r="B1988" s="7" t="s">
        <v>166</v>
      </c>
      <c r="C1988" s="7" t="s">
        <v>146</v>
      </c>
      <c r="D1988" s="7" t="s">
        <v>147</v>
      </c>
      <c r="E1988" s="8">
        <v>189.67</v>
      </c>
    </row>
    <row r="1989" spans="1:5" x14ac:dyDescent="0.35">
      <c r="A1989" s="9" t="s">
        <v>135</v>
      </c>
      <c r="B1989" s="10"/>
      <c r="C1989" s="10"/>
      <c r="D1989" s="10" t="s">
        <v>148</v>
      </c>
      <c r="E1989" s="11">
        <v>189.67</v>
      </c>
    </row>
    <row r="1990" spans="1:5" x14ac:dyDescent="0.35">
      <c r="A1990" s="6" t="s">
        <v>135</v>
      </c>
      <c r="B1990" s="7"/>
      <c r="C1990" s="7"/>
      <c r="D1990" s="7" t="s">
        <v>149</v>
      </c>
      <c r="E1990" s="8" t="s">
        <v>137</v>
      </c>
    </row>
    <row r="1991" spans="1:5" x14ac:dyDescent="0.35">
      <c r="A1991" s="9" t="s">
        <v>135</v>
      </c>
      <c r="B1991" s="10"/>
      <c r="C1991" s="10" t="s">
        <v>150</v>
      </c>
      <c r="D1991" s="10" t="s">
        <v>147</v>
      </c>
      <c r="E1991" s="11" t="s">
        <v>137</v>
      </c>
    </row>
    <row r="1992" spans="1:5" x14ac:dyDescent="0.35">
      <c r="A1992" s="6" t="s">
        <v>135</v>
      </c>
      <c r="B1992" s="7"/>
      <c r="C1992" s="7"/>
      <c r="D1992" s="7" t="s">
        <v>148</v>
      </c>
      <c r="E1992" s="8" t="s">
        <v>137</v>
      </c>
    </row>
    <row r="1993" spans="1:5" x14ac:dyDescent="0.35">
      <c r="A1993" s="9" t="s">
        <v>135</v>
      </c>
      <c r="B1993" s="10"/>
      <c r="C1993" s="10"/>
      <c r="D1993" s="10" t="s">
        <v>149</v>
      </c>
      <c r="E1993" s="11" t="s">
        <v>137</v>
      </c>
    </row>
    <row r="1994" spans="1:5" x14ac:dyDescent="0.35">
      <c r="A1994" s="6" t="s">
        <v>135</v>
      </c>
      <c r="B1994" s="7" t="s">
        <v>167</v>
      </c>
      <c r="C1994" s="7" t="s">
        <v>146</v>
      </c>
      <c r="D1994" s="7" t="s">
        <v>147</v>
      </c>
      <c r="E1994" s="8">
        <v>192.33</v>
      </c>
    </row>
    <row r="1995" spans="1:5" x14ac:dyDescent="0.35">
      <c r="A1995" s="9" t="s">
        <v>135</v>
      </c>
      <c r="B1995" s="10"/>
      <c r="C1995" s="10"/>
      <c r="D1995" s="10" t="s">
        <v>148</v>
      </c>
      <c r="E1995" s="11">
        <v>192.33</v>
      </c>
    </row>
    <row r="1996" spans="1:5" x14ac:dyDescent="0.35">
      <c r="A1996" s="6" t="s">
        <v>135</v>
      </c>
      <c r="B1996" s="7"/>
      <c r="C1996" s="7"/>
      <c r="D1996" s="7" t="s">
        <v>149</v>
      </c>
      <c r="E1996" s="8" t="s">
        <v>137</v>
      </c>
    </row>
    <row r="1997" spans="1:5" x14ac:dyDescent="0.35">
      <c r="A1997" s="9" t="s">
        <v>135</v>
      </c>
      <c r="B1997" s="10"/>
      <c r="C1997" s="10" t="s">
        <v>150</v>
      </c>
      <c r="D1997" s="10" t="s">
        <v>147</v>
      </c>
      <c r="E1997" s="11" t="s">
        <v>137</v>
      </c>
    </row>
    <row r="1998" spans="1:5" x14ac:dyDescent="0.35">
      <c r="A1998" s="6" t="s">
        <v>135</v>
      </c>
      <c r="B1998" s="7"/>
      <c r="C1998" s="7"/>
      <c r="D1998" s="7" t="s">
        <v>148</v>
      </c>
      <c r="E1998" s="8" t="s">
        <v>137</v>
      </c>
    </row>
    <row r="1999" spans="1:5" x14ac:dyDescent="0.35">
      <c r="A1999" s="9" t="s">
        <v>135</v>
      </c>
      <c r="B1999" s="10"/>
      <c r="C1999" s="10"/>
      <c r="D1999" s="10" t="s">
        <v>149</v>
      </c>
      <c r="E1999" s="11" t="s">
        <v>137</v>
      </c>
    </row>
    <row r="2000" spans="1:5" x14ac:dyDescent="0.35">
      <c r="A2000" s="6" t="s">
        <v>135</v>
      </c>
      <c r="B2000" s="7" t="s">
        <v>168</v>
      </c>
      <c r="C2000" s="7" t="s">
        <v>146</v>
      </c>
      <c r="D2000" s="7" t="s">
        <v>147</v>
      </c>
      <c r="E2000" s="8" t="s">
        <v>137</v>
      </c>
    </row>
    <row r="2001" spans="1:5" x14ac:dyDescent="0.35">
      <c r="A2001" s="9" t="s">
        <v>135</v>
      </c>
      <c r="B2001" s="10"/>
      <c r="C2001" s="10"/>
      <c r="D2001" s="10" t="s">
        <v>148</v>
      </c>
      <c r="E2001" s="11" t="s">
        <v>137</v>
      </c>
    </row>
    <row r="2002" spans="1:5" x14ac:dyDescent="0.35">
      <c r="A2002" s="6" t="s">
        <v>135</v>
      </c>
      <c r="B2002" s="7"/>
      <c r="C2002" s="7"/>
      <c r="D2002" s="7" t="s">
        <v>149</v>
      </c>
      <c r="E2002" s="8" t="s">
        <v>137</v>
      </c>
    </row>
    <row r="2003" spans="1:5" x14ac:dyDescent="0.35">
      <c r="A2003" s="9" t="s">
        <v>135</v>
      </c>
      <c r="B2003" s="10"/>
      <c r="C2003" s="10" t="s">
        <v>150</v>
      </c>
      <c r="D2003" s="10" t="s">
        <v>147</v>
      </c>
      <c r="E2003" s="11" t="s">
        <v>137</v>
      </c>
    </row>
    <row r="2004" spans="1:5" x14ac:dyDescent="0.35">
      <c r="A2004" s="6" t="s">
        <v>135</v>
      </c>
      <c r="B2004" s="7"/>
      <c r="C2004" s="7"/>
      <c r="D2004" s="7" t="s">
        <v>148</v>
      </c>
      <c r="E2004" s="8" t="s">
        <v>137</v>
      </c>
    </row>
    <row r="2005" spans="1:5" x14ac:dyDescent="0.35">
      <c r="A2005" s="9" t="s">
        <v>135</v>
      </c>
      <c r="B2005" s="10"/>
      <c r="C2005" s="10"/>
      <c r="D2005" s="10" t="s">
        <v>149</v>
      </c>
      <c r="E2005" s="11" t="s">
        <v>137</v>
      </c>
    </row>
    <row r="2006" spans="1:5" x14ac:dyDescent="0.35">
      <c r="A2006" s="6" t="s">
        <v>135</v>
      </c>
      <c r="B2006" s="7" t="s">
        <v>169</v>
      </c>
      <c r="C2006" s="7" t="s">
        <v>146</v>
      </c>
      <c r="D2006" s="7" t="s">
        <v>147</v>
      </c>
      <c r="E2006" s="8" t="s">
        <v>137</v>
      </c>
    </row>
    <row r="2007" spans="1:5" x14ac:dyDescent="0.35">
      <c r="A2007" s="9" t="s">
        <v>135</v>
      </c>
      <c r="B2007" s="10"/>
      <c r="C2007" s="10"/>
      <c r="D2007" s="10" t="s">
        <v>148</v>
      </c>
      <c r="E2007" s="11" t="s">
        <v>137</v>
      </c>
    </row>
    <row r="2008" spans="1:5" x14ac:dyDescent="0.35">
      <c r="A2008" s="6" t="s">
        <v>135</v>
      </c>
      <c r="B2008" s="7"/>
      <c r="C2008" s="7"/>
      <c r="D2008" s="7" t="s">
        <v>149</v>
      </c>
      <c r="E2008" s="8" t="s">
        <v>137</v>
      </c>
    </row>
    <row r="2009" spans="1:5" x14ac:dyDescent="0.35">
      <c r="A2009" s="9" t="s">
        <v>135</v>
      </c>
      <c r="B2009" s="10"/>
      <c r="C2009" s="10" t="s">
        <v>150</v>
      </c>
      <c r="D2009" s="10" t="s">
        <v>147</v>
      </c>
      <c r="E2009" s="11" t="s">
        <v>137</v>
      </c>
    </row>
    <row r="2010" spans="1:5" x14ac:dyDescent="0.35">
      <c r="A2010" s="6" t="s">
        <v>135</v>
      </c>
      <c r="B2010" s="7"/>
      <c r="C2010" s="7"/>
      <c r="D2010" s="7" t="s">
        <v>148</v>
      </c>
      <c r="E2010" s="8" t="s">
        <v>137</v>
      </c>
    </row>
    <row r="2011" spans="1:5" x14ac:dyDescent="0.35">
      <c r="A2011" s="9" t="s">
        <v>135</v>
      </c>
      <c r="B2011" s="10"/>
      <c r="C2011" s="10"/>
      <c r="D2011" s="10" t="s">
        <v>149</v>
      </c>
      <c r="E2011" s="11" t="s">
        <v>137</v>
      </c>
    </row>
    <row r="2012" spans="1:5" x14ac:dyDescent="0.35">
      <c r="A2012" s="6" t="s">
        <v>135</v>
      </c>
      <c r="B2012" s="7" t="s">
        <v>170</v>
      </c>
      <c r="C2012" s="7" t="s">
        <v>146</v>
      </c>
      <c r="D2012" s="7" t="s">
        <v>147</v>
      </c>
      <c r="E2012" s="8" t="s">
        <v>137</v>
      </c>
    </row>
    <row r="2013" spans="1:5" x14ac:dyDescent="0.35">
      <c r="A2013" s="9" t="s">
        <v>135</v>
      </c>
      <c r="B2013" s="10"/>
      <c r="C2013" s="10"/>
      <c r="D2013" s="10" t="s">
        <v>148</v>
      </c>
      <c r="E2013" s="11" t="s">
        <v>137</v>
      </c>
    </row>
    <row r="2014" spans="1:5" x14ac:dyDescent="0.35">
      <c r="A2014" s="6" t="s">
        <v>135</v>
      </c>
      <c r="B2014" s="7"/>
      <c r="C2014" s="7"/>
      <c r="D2014" s="7" t="s">
        <v>149</v>
      </c>
      <c r="E2014" s="8" t="s">
        <v>137</v>
      </c>
    </row>
    <row r="2015" spans="1:5" x14ac:dyDescent="0.35">
      <c r="A2015" s="9" t="s">
        <v>135</v>
      </c>
      <c r="B2015" s="10"/>
      <c r="C2015" s="10" t="s">
        <v>150</v>
      </c>
      <c r="D2015" s="10" t="s">
        <v>147</v>
      </c>
      <c r="E2015" s="11" t="s">
        <v>137</v>
      </c>
    </row>
    <row r="2016" spans="1:5" x14ac:dyDescent="0.35">
      <c r="A2016" s="6" t="s">
        <v>135</v>
      </c>
      <c r="B2016" s="7"/>
      <c r="C2016" s="7"/>
      <c r="D2016" s="7" t="s">
        <v>148</v>
      </c>
      <c r="E2016" s="8" t="s">
        <v>137</v>
      </c>
    </row>
    <row r="2017" spans="1:5" x14ac:dyDescent="0.35">
      <c r="A2017" s="9" t="s">
        <v>135</v>
      </c>
      <c r="B2017" s="10"/>
      <c r="C2017" s="10"/>
      <c r="D2017" s="10" t="s">
        <v>149</v>
      </c>
      <c r="E2017" s="11" t="s">
        <v>137</v>
      </c>
    </row>
    <row r="2018" spans="1:5" x14ac:dyDescent="0.35">
      <c r="A2018" s="6" t="s">
        <v>61</v>
      </c>
      <c r="B2018" s="7" t="s">
        <v>145</v>
      </c>
      <c r="C2018" s="7" t="s">
        <v>146</v>
      </c>
      <c r="D2018" s="7" t="s">
        <v>147</v>
      </c>
      <c r="E2018" s="8">
        <v>1780.47</v>
      </c>
    </row>
    <row r="2019" spans="1:5" x14ac:dyDescent="0.35">
      <c r="A2019" s="9" t="s">
        <v>135</v>
      </c>
      <c r="B2019" s="10"/>
      <c r="C2019" s="10"/>
      <c r="D2019" s="10" t="s">
        <v>148</v>
      </c>
      <c r="E2019" s="11">
        <v>1757.51</v>
      </c>
    </row>
    <row r="2020" spans="1:5" x14ac:dyDescent="0.35">
      <c r="A2020" s="6" t="s">
        <v>135</v>
      </c>
      <c r="B2020" s="7"/>
      <c r="C2020" s="7"/>
      <c r="D2020" s="7" t="s">
        <v>149</v>
      </c>
      <c r="E2020" s="8">
        <v>22.96</v>
      </c>
    </row>
    <row r="2021" spans="1:5" x14ac:dyDescent="0.35">
      <c r="A2021" s="9" t="s">
        <v>135</v>
      </c>
      <c r="B2021" s="10"/>
      <c r="C2021" s="10" t="s">
        <v>150</v>
      </c>
      <c r="D2021" s="10" t="s">
        <v>147</v>
      </c>
      <c r="E2021" s="11" t="s">
        <v>137</v>
      </c>
    </row>
    <row r="2022" spans="1:5" x14ac:dyDescent="0.35">
      <c r="A2022" s="6" t="s">
        <v>135</v>
      </c>
      <c r="B2022" s="7"/>
      <c r="C2022" s="7"/>
      <c r="D2022" s="7" t="s">
        <v>148</v>
      </c>
      <c r="E2022" s="8" t="s">
        <v>137</v>
      </c>
    </row>
    <row r="2023" spans="1:5" x14ac:dyDescent="0.35">
      <c r="A2023" s="9" t="s">
        <v>135</v>
      </c>
      <c r="B2023" s="10"/>
      <c r="C2023" s="10"/>
      <c r="D2023" s="10" t="s">
        <v>149</v>
      </c>
      <c r="E2023" s="11" t="s">
        <v>137</v>
      </c>
    </row>
    <row r="2024" spans="1:5" x14ac:dyDescent="0.35">
      <c r="A2024" s="6" t="s">
        <v>135</v>
      </c>
      <c r="B2024" s="7" t="s">
        <v>151</v>
      </c>
      <c r="C2024" s="7" t="s">
        <v>146</v>
      </c>
      <c r="D2024" s="7" t="s">
        <v>147</v>
      </c>
      <c r="E2024" s="8">
        <v>187.98</v>
      </c>
    </row>
    <row r="2025" spans="1:5" x14ac:dyDescent="0.35">
      <c r="A2025" s="9" t="s">
        <v>135</v>
      </c>
      <c r="B2025" s="10"/>
      <c r="C2025" s="10"/>
      <c r="D2025" s="10" t="s">
        <v>148</v>
      </c>
      <c r="E2025" s="11">
        <v>173.36</v>
      </c>
    </row>
    <row r="2026" spans="1:5" x14ac:dyDescent="0.35">
      <c r="A2026" s="6" t="s">
        <v>135</v>
      </c>
      <c r="B2026" s="7"/>
      <c r="C2026" s="7"/>
      <c r="D2026" s="7" t="s">
        <v>149</v>
      </c>
      <c r="E2026" s="8">
        <v>14.62</v>
      </c>
    </row>
    <row r="2027" spans="1:5" x14ac:dyDescent="0.35">
      <c r="A2027" s="9" t="s">
        <v>135</v>
      </c>
      <c r="B2027" s="10"/>
      <c r="C2027" s="10" t="s">
        <v>150</v>
      </c>
      <c r="D2027" s="10" t="s">
        <v>147</v>
      </c>
      <c r="E2027" s="11" t="s">
        <v>137</v>
      </c>
    </row>
    <row r="2028" spans="1:5" x14ac:dyDescent="0.35">
      <c r="A2028" s="6" t="s">
        <v>135</v>
      </c>
      <c r="B2028" s="7"/>
      <c r="C2028" s="7"/>
      <c r="D2028" s="7" t="s">
        <v>148</v>
      </c>
      <c r="E2028" s="8" t="s">
        <v>137</v>
      </c>
    </row>
    <row r="2029" spans="1:5" x14ac:dyDescent="0.35">
      <c r="A2029" s="9" t="s">
        <v>135</v>
      </c>
      <c r="B2029" s="10"/>
      <c r="C2029" s="10"/>
      <c r="D2029" s="10" t="s">
        <v>149</v>
      </c>
      <c r="E2029" s="11" t="s">
        <v>137</v>
      </c>
    </row>
    <row r="2030" spans="1:5" x14ac:dyDescent="0.35">
      <c r="A2030" s="6" t="s">
        <v>135</v>
      </c>
      <c r="B2030" s="7" t="s">
        <v>152</v>
      </c>
      <c r="C2030" s="7" t="s">
        <v>146</v>
      </c>
      <c r="D2030" s="7" t="s">
        <v>147</v>
      </c>
      <c r="E2030" s="8" t="s">
        <v>137</v>
      </c>
    </row>
    <row r="2031" spans="1:5" x14ac:dyDescent="0.35">
      <c r="A2031" s="9" t="s">
        <v>135</v>
      </c>
      <c r="B2031" s="10"/>
      <c r="C2031" s="10"/>
      <c r="D2031" s="10" t="s">
        <v>148</v>
      </c>
      <c r="E2031" s="11" t="s">
        <v>137</v>
      </c>
    </row>
    <row r="2032" spans="1:5" x14ac:dyDescent="0.35">
      <c r="A2032" s="6" t="s">
        <v>135</v>
      </c>
      <c r="B2032" s="7"/>
      <c r="C2032" s="7"/>
      <c r="D2032" s="7" t="s">
        <v>149</v>
      </c>
      <c r="E2032" s="8" t="s">
        <v>137</v>
      </c>
    </row>
    <row r="2033" spans="1:5" x14ac:dyDescent="0.35">
      <c r="A2033" s="9" t="s">
        <v>135</v>
      </c>
      <c r="B2033" s="10"/>
      <c r="C2033" s="10" t="s">
        <v>150</v>
      </c>
      <c r="D2033" s="10" t="s">
        <v>147</v>
      </c>
      <c r="E2033" s="11" t="s">
        <v>137</v>
      </c>
    </row>
    <row r="2034" spans="1:5" x14ac:dyDescent="0.35">
      <c r="A2034" s="6" t="s">
        <v>135</v>
      </c>
      <c r="B2034" s="7"/>
      <c r="C2034" s="7"/>
      <c r="D2034" s="7" t="s">
        <v>148</v>
      </c>
      <c r="E2034" s="8" t="s">
        <v>137</v>
      </c>
    </row>
    <row r="2035" spans="1:5" x14ac:dyDescent="0.35">
      <c r="A2035" s="9" t="s">
        <v>135</v>
      </c>
      <c r="B2035" s="10"/>
      <c r="C2035" s="10"/>
      <c r="D2035" s="10" t="s">
        <v>149</v>
      </c>
      <c r="E2035" s="11" t="s">
        <v>137</v>
      </c>
    </row>
    <row r="2036" spans="1:5" x14ac:dyDescent="0.35">
      <c r="A2036" s="6" t="s">
        <v>135</v>
      </c>
      <c r="B2036" s="7" t="s">
        <v>153</v>
      </c>
      <c r="C2036" s="7" t="s">
        <v>146</v>
      </c>
      <c r="D2036" s="7" t="s">
        <v>147</v>
      </c>
      <c r="E2036" s="8">
        <v>0.02</v>
      </c>
    </row>
    <row r="2037" spans="1:5" x14ac:dyDescent="0.35">
      <c r="A2037" s="9" t="s">
        <v>135</v>
      </c>
      <c r="B2037" s="10"/>
      <c r="C2037" s="10"/>
      <c r="D2037" s="10" t="s">
        <v>148</v>
      </c>
      <c r="E2037" s="11" t="s">
        <v>137</v>
      </c>
    </row>
    <row r="2038" spans="1:5" x14ac:dyDescent="0.35">
      <c r="A2038" s="6" t="s">
        <v>135</v>
      </c>
      <c r="B2038" s="7"/>
      <c r="C2038" s="7"/>
      <c r="D2038" s="7" t="s">
        <v>149</v>
      </c>
      <c r="E2038" s="8">
        <v>0.02</v>
      </c>
    </row>
    <row r="2039" spans="1:5" x14ac:dyDescent="0.35">
      <c r="A2039" s="9" t="s">
        <v>135</v>
      </c>
      <c r="B2039" s="10"/>
      <c r="C2039" s="10" t="s">
        <v>150</v>
      </c>
      <c r="D2039" s="10" t="s">
        <v>147</v>
      </c>
      <c r="E2039" s="11" t="s">
        <v>137</v>
      </c>
    </row>
    <row r="2040" spans="1:5" x14ac:dyDescent="0.35">
      <c r="A2040" s="6" t="s">
        <v>135</v>
      </c>
      <c r="B2040" s="7"/>
      <c r="C2040" s="7"/>
      <c r="D2040" s="7" t="s">
        <v>148</v>
      </c>
      <c r="E2040" s="8" t="s">
        <v>137</v>
      </c>
    </row>
    <row r="2041" spans="1:5" x14ac:dyDescent="0.35">
      <c r="A2041" s="9" t="s">
        <v>135</v>
      </c>
      <c r="B2041" s="10"/>
      <c r="C2041" s="10"/>
      <c r="D2041" s="10" t="s">
        <v>149</v>
      </c>
      <c r="E2041" s="11" t="s">
        <v>137</v>
      </c>
    </row>
    <row r="2042" spans="1:5" x14ac:dyDescent="0.35">
      <c r="A2042" s="6" t="s">
        <v>135</v>
      </c>
      <c r="B2042" s="7" t="s">
        <v>154</v>
      </c>
      <c r="C2042" s="7" t="s">
        <v>146</v>
      </c>
      <c r="D2042" s="7" t="s">
        <v>147</v>
      </c>
      <c r="E2042" s="8" t="s">
        <v>137</v>
      </c>
    </row>
    <row r="2043" spans="1:5" x14ac:dyDescent="0.35">
      <c r="A2043" s="9" t="s">
        <v>135</v>
      </c>
      <c r="B2043" s="10"/>
      <c r="C2043" s="10"/>
      <c r="D2043" s="10" t="s">
        <v>148</v>
      </c>
      <c r="E2043" s="11" t="s">
        <v>137</v>
      </c>
    </row>
    <row r="2044" spans="1:5" x14ac:dyDescent="0.35">
      <c r="A2044" s="6" t="s">
        <v>135</v>
      </c>
      <c r="B2044" s="7"/>
      <c r="C2044" s="7"/>
      <c r="D2044" s="7" t="s">
        <v>149</v>
      </c>
      <c r="E2044" s="8" t="s">
        <v>137</v>
      </c>
    </row>
    <row r="2045" spans="1:5" x14ac:dyDescent="0.35">
      <c r="A2045" s="9" t="s">
        <v>135</v>
      </c>
      <c r="B2045" s="10"/>
      <c r="C2045" s="10" t="s">
        <v>150</v>
      </c>
      <c r="D2045" s="10" t="s">
        <v>147</v>
      </c>
      <c r="E2045" s="11" t="s">
        <v>137</v>
      </c>
    </row>
    <row r="2046" spans="1:5" x14ac:dyDescent="0.35">
      <c r="A2046" s="6" t="s">
        <v>135</v>
      </c>
      <c r="B2046" s="7"/>
      <c r="C2046" s="7"/>
      <c r="D2046" s="7" t="s">
        <v>148</v>
      </c>
      <c r="E2046" s="8" t="s">
        <v>137</v>
      </c>
    </row>
    <row r="2047" spans="1:5" x14ac:dyDescent="0.35">
      <c r="A2047" s="9" t="s">
        <v>135</v>
      </c>
      <c r="B2047" s="10"/>
      <c r="C2047" s="10"/>
      <c r="D2047" s="10" t="s">
        <v>149</v>
      </c>
      <c r="E2047" s="11" t="s">
        <v>137</v>
      </c>
    </row>
    <row r="2048" spans="1:5" x14ac:dyDescent="0.35">
      <c r="A2048" s="6" t="s">
        <v>135</v>
      </c>
      <c r="B2048" s="7" t="s">
        <v>155</v>
      </c>
      <c r="C2048" s="7" t="s">
        <v>146</v>
      </c>
      <c r="D2048" s="7" t="s">
        <v>147</v>
      </c>
      <c r="E2048" s="8">
        <v>1584.09</v>
      </c>
    </row>
    <row r="2049" spans="1:5" x14ac:dyDescent="0.35">
      <c r="A2049" s="9" t="s">
        <v>135</v>
      </c>
      <c r="B2049" s="10"/>
      <c r="C2049" s="10"/>
      <c r="D2049" s="10" t="s">
        <v>148</v>
      </c>
      <c r="E2049" s="11">
        <v>1584.05</v>
      </c>
    </row>
    <row r="2050" spans="1:5" x14ac:dyDescent="0.35">
      <c r="A2050" s="6" t="s">
        <v>135</v>
      </c>
      <c r="B2050" s="7"/>
      <c r="C2050" s="7"/>
      <c r="D2050" s="7" t="s">
        <v>149</v>
      </c>
      <c r="E2050" s="8">
        <v>0.05</v>
      </c>
    </row>
    <row r="2051" spans="1:5" x14ac:dyDescent="0.35">
      <c r="A2051" s="9" t="s">
        <v>135</v>
      </c>
      <c r="B2051" s="10"/>
      <c r="C2051" s="10" t="s">
        <v>150</v>
      </c>
      <c r="D2051" s="10" t="s">
        <v>147</v>
      </c>
      <c r="E2051" s="11" t="s">
        <v>137</v>
      </c>
    </row>
    <row r="2052" spans="1:5" x14ac:dyDescent="0.35">
      <c r="A2052" s="6" t="s">
        <v>135</v>
      </c>
      <c r="B2052" s="7"/>
      <c r="C2052" s="7"/>
      <c r="D2052" s="7" t="s">
        <v>148</v>
      </c>
      <c r="E2052" s="8" t="s">
        <v>137</v>
      </c>
    </row>
    <row r="2053" spans="1:5" x14ac:dyDescent="0.35">
      <c r="A2053" s="9" t="s">
        <v>135</v>
      </c>
      <c r="B2053" s="10"/>
      <c r="C2053" s="10"/>
      <c r="D2053" s="10" t="s">
        <v>149</v>
      </c>
      <c r="E2053" s="11" t="s">
        <v>137</v>
      </c>
    </row>
    <row r="2054" spans="1:5" x14ac:dyDescent="0.35">
      <c r="A2054" s="6" t="s">
        <v>135</v>
      </c>
      <c r="B2054" s="7" t="s">
        <v>156</v>
      </c>
      <c r="C2054" s="7" t="s">
        <v>146</v>
      </c>
      <c r="D2054" s="7" t="s">
        <v>147</v>
      </c>
      <c r="E2054" s="8" t="s">
        <v>137</v>
      </c>
    </row>
    <row r="2055" spans="1:5" x14ac:dyDescent="0.35">
      <c r="A2055" s="9" t="s">
        <v>135</v>
      </c>
      <c r="B2055" s="10"/>
      <c r="C2055" s="10"/>
      <c r="D2055" s="10" t="s">
        <v>148</v>
      </c>
      <c r="E2055" s="11" t="s">
        <v>137</v>
      </c>
    </row>
    <row r="2056" spans="1:5" x14ac:dyDescent="0.35">
      <c r="A2056" s="6" t="s">
        <v>135</v>
      </c>
      <c r="B2056" s="7"/>
      <c r="C2056" s="7"/>
      <c r="D2056" s="7" t="s">
        <v>149</v>
      </c>
      <c r="E2056" s="8" t="s">
        <v>137</v>
      </c>
    </row>
    <row r="2057" spans="1:5" x14ac:dyDescent="0.35">
      <c r="A2057" s="9" t="s">
        <v>135</v>
      </c>
      <c r="B2057" s="10"/>
      <c r="C2057" s="10" t="s">
        <v>150</v>
      </c>
      <c r="D2057" s="10" t="s">
        <v>147</v>
      </c>
      <c r="E2057" s="11" t="s">
        <v>137</v>
      </c>
    </row>
    <row r="2058" spans="1:5" x14ac:dyDescent="0.35">
      <c r="A2058" s="6" t="s">
        <v>135</v>
      </c>
      <c r="B2058" s="7"/>
      <c r="C2058" s="7"/>
      <c r="D2058" s="7" t="s">
        <v>148</v>
      </c>
      <c r="E2058" s="8" t="s">
        <v>137</v>
      </c>
    </row>
    <row r="2059" spans="1:5" x14ac:dyDescent="0.35">
      <c r="A2059" s="9" t="s">
        <v>135</v>
      </c>
      <c r="B2059" s="10"/>
      <c r="C2059" s="10"/>
      <c r="D2059" s="10" t="s">
        <v>149</v>
      </c>
      <c r="E2059" s="11" t="s">
        <v>137</v>
      </c>
    </row>
    <row r="2060" spans="1:5" x14ac:dyDescent="0.35">
      <c r="A2060" s="6" t="s">
        <v>135</v>
      </c>
      <c r="B2060" s="7" t="s">
        <v>157</v>
      </c>
      <c r="C2060" s="7" t="s">
        <v>146</v>
      </c>
      <c r="D2060" s="7" t="s">
        <v>147</v>
      </c>
      <c r="E2060" s="8" t="s">
        <v>137</v>
      </c>
    </row>
    <row r="2061" spans="1:5" x14ac:dyDescent="0.35">
      <c r="A2061" s="9" t="s">
        <v>135</v>
      </c>
      <c r="B2061" s="10"/>
      <c r="C2061" s="10"/>
      <c r="D2061" s="10" t="s">
        <v>148</v>
      </c>
      <c r="E2061" s="11" t="s">
        <v>137</v>
      </c>
    </row>
    <row r="2062" spans="1:5" x14ac:dyDescent="0.35">
      <c r="A2062" s="6" t="s">
        <v>135</v>
      </c>
      <c r="B2062" s="7"/>
      <c r="C2062" s="7"/>
      <c r="D2062" s="7" t="s">
        <v>149</v>
      </c>
      <c r="E2062" s="8" t="s">
        <v>137</v>
      </c>
    </row>
    <row r="2063" spans="1:5" x14ac:dyDescent="0.35">
      <c r="A2063" s="9" t="s">
        <v>135</v>
      </c>
      <c r="B2063" s="10"/>
      <c r="C2063" s="10" t="s">
        <v>150</v>
      </c>
      <c r="D2063" s="10" t="s">
        <v>147</v>
      </c>
      <c r="E2063" s="11" t="s">
        <v>137</v>
      </c>
    </row>
    <row r="2064" spans="1:5" x14ac:dyDescent="0.35">
      <c r="A2064" s="6" t="s">
        <v>135</v>
      </c>
      <c r="B2064" s="7"/>
      <c r="C2064" s="7"/>
      <c r="D2064" s="7" t="s">
        <v>148</v>
      </c>
      <c r="E2064" s="8" t="s">
        <v>137</v>
      </c>
    </row>
    <row r="2065" spans="1:5" x14ac:dyDescent="0.35">
      <c r="A2065" s="9" t="s">
        <v>135</v>
      </c>
      <c r="B2065" s="10"/>
      <c r="C2065" s="10"/>
      <c r="D2065" s="10" t="s">
        <v>149</v>
      </c>
      <c r="E2065" s="11" t="s">
        <v>137</v>
      </c>
    </row>
    <row r="2066" spans="1:5" x14ac:dyDescent="0.35">
      <c r="A2066" s="6" t="s">
        <v>135</v>
      </c>
      <c r="B2066" s="7" t="s">
        <v>158</v>
      </c>
      <c r="C2066" s="7" t="s">
        <v>146</v>
      </c>
      <c r="D2066" s="7" t="s">
        <v>147</v>
      </c>
      <c r="E2066" s="8">
        <v>8.27</v>
      </c>
    </row>
    <row r="2067" spans="1:5" x14ac:dyDescent="0.35">
      <c r="A2067" s="9" t="s">
        <v>135</v>
      </c>
      <c r="B2067" s="10"/>
      <c r="C2067" s="10"/>
      <c r="D2067" s="10" t="s">
        <v>148</v>
      </c>
      <c r="E2067" s="11" t="s">
        <v>137</v>
      </c>
    </row>
    <row r="2068" spans="1:5" x14ac:dyDescent="0.35">
      <c r="A2068" s="6" t="s">
        <v>135</v>
      </c>
      <c r="B2068" s="7"/>
      <c r="C2068" s="7"/>
      <c r="D2068" s="7" t="s">
        <v>149</v>
      </c>
      <c r="E2068" s="8">
        <v>8.27</v>
      </c>
    </row>
    <row r="2069" spans="1:5" x14ac:dyDescent="0.35">
      <c r="A2069" s="9" t="s">
        <v>135</v>
      </c>
      <c r="B2069" s="10"/>
      <c r="C2069" s="10" t="s">
        <v>150</v>
      </c>
      <c r="D2069" s="10" t="s">
        <v>147</v>
      </c>
      <c r="E2069" s="11" t="s">
        <v>137</v>
      </c>
    </row>
    <row r="2070" spans="1:5" x14ac:dyDescent="0.35">
      <c r="A2070" s="6" t="s">
        <v>135</v>
      </c>
      <c r="B2070" s="7"/>
      <c r="C2070" s="7"/>
      <c r="D2070" s="7" t="s">
        <v>148</v>
      </c>
      <c r="E2070" s="8" t="s">
        <v>137</v>
      </c>
    </row>
    <row r="2071" spans="1:5" x14ac:dyDescent="0.35">
      <c r="A2071" s="9" t="s">
        <v>135</v>
      </c>
      <c r="B2071" s="10"/>
      <c r="C2071" s="10"/>
      <c r="D2071" s="10" t="s">
        <v>149</v>
      </c>
      <c r="E2071" s="11" t="s">
        <v>137</v>
      </c>
    </row>
    <row r="2072" spans="1:5" x14ac:dyDescent="0.35">
      <c r="A2072" s="6" t="s">
        <v>135</v>
      </c>
      <c r="B2072" s="7" t="s">
        <v>159</v>
      </c>
      <c r="C2072" s="7" t="s">
        <v>146</v>
      </c>
      <c r="D2072" s="7" t="s">
        <v>147</v>
      </c>
      <c r="E2072" s="8" t="s">
        <v>137</v>
      </c>
    </row>
    <row r="2073" spans="1:5" x14ac:dyDescent="0.35">
      <c r="A2073" s="9" t="s">
        <v>135</v>
      </c>
      <c r="B2073" s="10"/>
      <c r="C2073" s="10"/>
      <c r="D2073" s="10" t="s">
        <v>148</v>
      </c>
      <c r="E2073" s="11" t="s">
        <v>137</v>
      </c>
    </row>
    <row r="2074" spans="1:5" x14ac:dyDescent="0.35">
      <c r="A2074" s="6" t="s">
        <v>135</v>
      </c>
      <c r="B2074" s="7"/>
      <c r="C2074" s="7"/>
      <c r="D2074" s="7" t="s">
        <v>149</v>
      </c>
      <c r="E2074" s="8" t="s">
        <v>137</v>
      </c>
    </row>
    <row r="2075" spans="1:5" x14ac:dyDescent="0.35">
      <c r="A2075" s="9" t="s">
        <v>135</v>
      </c>
      <c r="B2075" s="10"/>
      <c r="C2075" s="10" t="s">
        <v>150</v>
      </c>
      <c r="D2075" s="10" t="s">
        <v>147</v>
      </c>
      <c r="E2075" s="11" t="s">
        <v>137</v>
      </c>
    </row>
    <row r="2076" spans="1:5" x14ac:dyDescent="0.35">
      <c r="A2076" s="6" t="s">
        <v>135</v>
      </c>
      <c r="B2076" s="7"/>
      <c r="C2076" s="7"/>
      <c r="D2076" s="7" t="s">
        <v>148</v>
      </c>
      <c r="E2076" s="8" t="s">
        <v>137</v>
      </c>
    </row>
    <row r="2077" spans="1:5" x14ac:dyDescent="0.35">
      <c r="A2077" s="9" t="s">
        <v>135</v>
      </c>
      <c r="B2077" s="10"/>
      <c r="C2077" s="10"/>
      <c r="D2077" s="10" t="s">
        <v>149</v>
      </c>
      <c r="E2077" s="11" t="s">
        <v>137</v>
      </c>
    </row>
    <row r="2078" spans="1:5" x14ac:dyDescent="0.35">
      <c r="A2078" s="6" t="s">
        <v>135</v>
      </c>
      <c r="B2078" s="7" t="s">
        <v>160</v>
      </c>
      <c r="C2078" s="7" t="s">
        <v>146</v>
      </c>
      <c r="D2078" s="7" t="s">
        <v>147</v>
      </c>
      <c r="E2078" s="8" t="s">
        <v>137</v>
      </c>
    </row>
    <row r="2079" spans="1:5" x14ac:dyDescent="0.35">
      <c r="A2079" s="9" t="s">
        <v>135</v>
      </c>
      <c r="B2079" s="10"/>
      <c r="C2079" s="10"/>
      <c r="D2079" s="10" t="s">
        <v>148</v>
      </c>
      <c r="E2079" s="11" t="s">
        <v>137</v>
      </c>
    </row>
    <row r="2080" spans="1:5" x14ac:dyDescent="0.35">
      <c r="A2080" s="6" t="s">
        <v>135</v>
      </c>
      <c r="B2080" s="7"/>
      <c r="C2080" s="7"/>
      <c r="D2080" s="7" t="s">
        <v>149</v>
      </c>
      <c r="E2080" s="8" t="s">
        <v>137</v>
      </c>
    </row>
    <row r="2081" spans="1:5" x14ac:dyDescent="0.35">
      <c r="A2081" s="9" t="s">
        <v>135</v>
      </c>
      <c r="B2081" s="10"/>
      <c r="C2081" s="10" t="s">
        <v>150</v>
      </c>
      <c r="D2081" s="10" t="s">
        <v>147</v>
      </c>
      <c r="E2081" s="11" t="s">
        <v>137</v>
      </c>
    </row>
    <row r="2082" spans="1:5" x14ac:dyDescent="0.35">
      <c r="A2082" s="6" t="s">
        <v>135</v>
      </c>
      <c r="B2082" s="7"/>
      <c r="C2082" s="7"/>
      <c r="D2082" s="7" t="s">
        <v>148</v>
      </c>
      <c r="E2082" s="8" t="s">
        <v>137</v>
      </c>
    </row>
    <row r="2083" spans="1:5" x14ac:dyDescent="0.35">
      <c r="A2083" s="9" t="s">
        <v>135</v>
      </c>
      <c r="B2083" s="10"/>
      <c r="C2083" s="10"/>
      <c r="D2083" s="10" t="s">
        <v>149</v>
      </c>
      <c r="E2083" s="11" t="s">
        <v>137</v>
      </c>
    </row>
    <row r="2084" spans="1:5" x14ac:dyDescent="0.35">
      <c r="A2084" s="6" t="s">
        <v>135</v>
      </c>
      <c r="B2084" s="7" t="s">
        <v>161</v>
      </c>
      <c r="C2084" s="7" t="s">
        <v>146</v>
      </c>
      <c r="D2084" s="7" t="s">
        <v>147</v>
      </c>
      <c r="E2084" s="8">
        <v>0.1</v>
      </c>
    </row>
    <row r="2085" spans="1:5" x14ac:dyDescent="0.35">
      <c r="A2085" s="9" t="s">
        <v>135</v>
      </c>
      <c r="B2085" s="10"/>
      <c r="C2085" s="10"/>
      <c r="D2085" s="10" t="s">
        <v>148</v>
      </c>
      <c r="E2085" s="11">
        <v>0.1</v>
      </c>
    </row>
    <row r="2086" spans="1:5" x14ac:dyDescent="0.35">
      <c r="A2086" s="6" t="s">
        <v>135</v>
      </c>
      <c r="B2086" s="7"/>
      <c r="C2086" s="7"/>
      <c r="D2086" s="7" t="s">
        <v>149</v>
      </c>
      <c r="E2086" s="8" t="s">
        <v>137</v>
      </c>
    </row>
    <row r="2087" spans="1:5" x14ac:dyDescent="0.35">
      <c r="A2087" s="9" t="s">
        <v>135</v>
      </c>
      <c r="B2087" s="10"/>
      <c r="C2087" s="10" t="s">
        <v>150</v>
      </c>
      <c r="D2087" s="10" t="s">
        <v>147</v>
      </c>
      <c r="E2087" s="11" t="s">
        <v>137</v>
      </c>
    </row>
    <row r="2088" spans="1:5" x14ac:dyDescent="0.35">
      <c r="A2088" s="6" t="s">
        <v>135</v>
      </c>
      <c r="B2088" s="7"/>
      <c r="C2088" s="7"/>
      <c r="D2088" s="7" t="s">
        <v>148</v>
      </c>
      <c r="E2088" s="8" t="s">
        <v>137</v>
      </c>
    </row>
    <row r="2089" spans="1:5" x14ac:dyDescent="0.35">
      <c r="A2089" s="9" t="s">
        <v>135</v>
      </c>
      <c r="B2089" s="10"/>
      <c r="C2089" s="10"/>
      <c r="D2089" s="10" t="s">
        <v>149</v>
      </c>
      <c r="E2089" s="11" t="s">
        <v>137</v>
      </c>
    </row>
    <row r="2090" spans="1:5" x14ac:dyDescent="0.35">
      <c r="A2090" s="6" t="s">
        <v>135</v>
      </c>
      <c r="B2090" s="7" t="s">
        <v>162</v>
      </c>
      <c r="C2090" s="7" t="s">
        <v>146</v>
      </c>
      <c r="D2090" s="7" t="s">
        <v>147</v>
      </c>
      <c r="E2090" s="8" t="s">
        <v>137</v>
      </c>
    </row>
    <row r="2091" spans="1:5" x14ac:dyDescent="0.35">
      <c r="A2091" s="9" t="s">
        <v>135</v>
      </c>
      <c r="B2091" s="10"/>
      <c r="C2091" s="10"/>
      <c r="D2091" s="10" t="s">
        <v>148</v>
      </c>
      <c r="E2091" s="11" t="s">
        <v>137</v>
      </c>
    </row>
    <row r="2092" spans="1:5" x14ac:dyDescent="0.35">
      <c r="A2092" s="6" t="s">
        <v>135</v>
      </c>
      <c r="B2092" s="7"/>
      <c r="C2092" s="7"/>
      <c r="D2092" s="7" t="s">
        <v>149</v>
      </c>
      <c r="E2092" s="8" t="s">
        <v>137</v>
      </c>
    </row>
    <row r="2093" spans="1:5" x14ac:dyDescent="0.35">
      <c r="A2093" s="9" t="s">
        <v>135</v>
      </c>
      <c r="B2093" s="10"/>
      <c r="C2093" s="10" t="s">
        <v>150</v>
      </c>
      <c r="D2093" s="10" t="s">
        <v>147</v>
      </c>
      <c r="E2093" s="11" t="s">
        <v>137</v>
      </c>
    </row>
    <row r="2094" spans="1:5" x14ac:dyDescent="0.35">
      <c r="A2094" s="6" t="s">
        <v>135</v>
      </c>
      <c r="B2094" s="7"/>
      <c r="C2094" s="7"/>
      <c r="D2094" s="7" t="s">
        <v>148</v>
      </c>
      <c r="E2094" s="8" t="s">
        <v>137</v>
      </c>
    </row>
    <row r="2095" spans="1:5" x14ac:dyDescent="0.35">
      <c r="A2095" s="9" t="s">
        <v>135</v>
      </c>
      <c r="B2095" s="10"/>
      <c r="C2095" s="10"/>
      <c r="D2095" s="10" t="s">
        <v>149</v>
      </c>
      <c r="E2095" s="11" t="s">
        <v>137</v>
      </c>
    </row>
    <row r="2096" spans="1:5" x14ac:dyDescent="0.35">
      <c r="A2096" s="6" t="s">
        <v>135</v>
      </c>
      <c r="B2096" s="7" t="s">
        <v>163</v>
      </c>
      <c r="C2096" s="7" t="s">
        <v>146</v>
      </c>
      <c r="D2096" s="7" t="s">
        <v>147</v>
      </c>
      <c r="E2096" s="8">
        <v>4113.5</v>
      </c>
    </row>
    <row r="2097" spans="1:5" x14ac:dyDescent="0.35">
      <c r="A2097" s="9" t="s">
        <v>135</v>
      </c>
      <c r="B2097" s="10"/>
      <c r="C2097" s="10"/>
      <c r="D2097" s="10" t="s">
        <v>148</v>
      </c>
      <c r="E2097" s="11">
        <v>4113.5</v>
      </c>
    </row>
    <row r="2098" spans="1:5" x14ac:dyDescent="0.35">
      <c r="A2098" s="6" t="s">
        <v>135</v>
      </c>
      <c r="B2098" s="7"/>
      <c r="C2098" s="7"/>
      <c r="D2098" s="7" t="s">
        <v>149</v>
      </c>
      <c r="E2098" s="8" t="s">
        <v>137</v>
      </c>
    </row>
    <row r="2099" spans="1:5" x14ac:dyDescent="0.35">
      <c r="A2099" s="9" t="s">
        <v>135</v>
      </c>
      <c r="B2099" s="10"/>
      <c r="C2099" s="10" t="s">
        <v>150</v>
      </c>
      <c r="D2099" s="10" t="s">
        <v>147</v>
      </c>
      <c r="E2099" s="11" t="s">
        <v>137</v>
      </c>
    </row>
    <row r="2100" spans="1:5" x14ac:dyDescent="0.35">
      <c r="A2100" s="6" t="s">
        <v>135</v>
      </c>
      <c r="B2100" s="7"/>
      <c r="C2100" s="7"/>
      <c r="D2100" s="7" t="s">
        <v>148</v>
      </c>
      <c r="E2100" s="8" t="s">
        <v>137</v>
      </c>
    </row>
    <row r="2101" spans="1:5" x14ac:dyDescent="0.35">
      <c r="A2101" s="9" t="s">
        <v>135</v>
      </c>
      <c r="B2101" s="10"/>
      <c r="C2101" s="10"/>
      <c r="D2101" s="10" t="s">
        <v>149</v>
      </c>
      <c r="E2101" s="11" t="s">
        <v>137</v>
      </c>
    </row>
    <row r="2102" spans="1:5" x14ac:dyDescent="0.35">
      <c r="A2102" s="6" t="s">
        <v>135</v>
      </c>
      <c r="B2102" s="7" t="s">
        <v>164</v>
      </c>
      <c r="C2102" s="7" t="s">
        <v>146</v>
      </c>
      <c r="D2102" s="7" t="s">
        <v>147</v>
      </c>
      <c r="E2102" s="8" t="s">
        <v>137</v>
      </c>
    </row>
    <row r="2103" spans="1:5" x14ac:dyDescent="0.35">
      <c r="A2103" s="9" t="s">
        <v>135</v>
      </c>
      <c r="B2103" s="10"/>
      <c r="C2103" s="10"/>
      <c r="D2103" s="10" t="s">
        <v>148</v>
      </c>
      <c r="E2103" s="11" t="s">
        <v>137</v>
      </c>
    </row>
    <row r="2104" spans="1:5" x14ac:dyDescent="0.35">
      <c r="A2104" s="6" t="s">
        <v>135</v>
      </c>
      <c r="B2104" s="7"/>
      <c r="C2104" s="7"/>
      <c r="D2104" s="7" t="s">
        <v>149</v>
      </c>
      <c r="E2104" s="8" t="s">
        <v>137</v>
      </c>
    </row>
    <row r="2105" spans="1:5" x14ac:dyDescent="0.35">
      <c r="A2105" s="9" t="s">
        <v>135</v>
      </c>
      <c r="B2105" s="10"/>
      <c r="C2105" s="10" t="s">
        <v>150</v>
      </c>
      <c r="D2105" s="10" t="s">
        <v>147</v>
      </c>
      <c r="E2105" s="11" t="s">
        <v>137</v>
      </c>
    </row>
    <row r="2106" spans="1:5" x14ac:dyDescent="0.35">
      <c r="A2106" s="6" t="s">
        <v>135</v>
      </c>
      <c r="B2106" s="7"/>
      <c r="C2106" s="7"/>
      <c r="D2106" s="7" t="s">
        <v>148</v>
      </c>
      <c r="E2106" s="8" t="s">
        <v>137</v>
      </c>
    </row>
    <row r="2107" spans="1:5" x14ac:dyDescent="0.35">
      <c r="A2107" s="9" t="s">
        <v>135</v>
      </c>
      <c r="B2107" s="10"/>
      <c r="C2107" s="10"/>
      <c r="D2107" s="10" t="s">
        <v>149</v>
      </c>
      <c r="E2107" s="11" t="s">
        <v>137</v>
      </c>
    </row>
    <row r="2108" spans="1:5" x14ac:dyDescent="0.35">
      <c r="A2108" s="6" t="s">
        <v>135</v>
      </c>
      <c r="B2108" s="7" t="s">
        <v>165</v>
      </c>
      <c r="C2108" s="7" t="s">
        <v>146</v>
      </c>
      <c r="D2108" s="7" t="s">
        <v>147</v>
      </c>
      <c r="E2108" s="8" t="s">
        <v>137</v>
      </c>
    </row>
    <row r="2109" spans="1:5" x14ac:dyDescent="0.35">
      <c r="A2109" s="9" t="s">
        <v>135</v>
      </c>
      <c r="B2109" s="10"/>
      <c r="C2109" s="10"/>
      <c r="D2109" s="10" t="s">
        <v>148</v>
      </c>
      <c r="E2109" s="11" t="s">
        <v>137</v>
      </c>
    </row>
    <row r="2110" spans="1:5" x14ac:dyDescent="0.35">
      <c r="A2110" s="6" t="s">
        <v>135</v>
      </c>
      <c r="B2110" s="7"/>
      <c r="C2110" s="7"/>
      <c r="D2110" s="7" t="s">
        <v>149</v>
      </c>
      <c r="E2110" s="8" t="s">
        <v>137</v>
      </c>
    </row>
    <row r="2111" spans="1:5" x14ac:dyDescent="0.35">
      <c r="A2111" s="9" t="s">
        <v>135</v>
      </c>
      <c r="B2111" s="10"/>
      <c r="C2111" s="10" t="s">
        <v>150</v>
      </c>
      <c r="D2111" s="10" t="s">
        <v>147</v>
      </c>
      <c r="E2111" s="11" t="s">
        <v>137</v>
      </c>
    </row>
    <row r="2112" spans="1:5" x14ac:dyDescent="0.35">
      <c r="A2112" s="6" t="s">
        <v>135</v>
      </c>
      <c r="B2112" s="7"/>
      <c r="C2112" s="7"/>
      <c r="D2112" s="7" t="s">
        <v>148</v>
      </c>
      <c r="E2112" s="8" t="s">
        <v>137</v>
      </c>
    </row>
    <row r="2113" spans="1:5" x14ac:dyDescent="0.35">
      <c r="A2113" s="9" t="s">
        <v>135</v>
      </c>
      <c r="B2113" s="10"/>
      <c r="C2113" s="10"/>
      <c r="D2113" s="10" t="s">
        <v>149</v>
      </c>
      <c r="E2113" s="11" t="s">
        <v>137</v>
      </c>
    </row>
    <row r="2114" spans="1:5" x14ac:dyDescent="0.35">
      <c r="A2114" s="6" t="s">
        <v>135</v>
      </c>
      <c r="B2114" s="7" t="s">
        <v>166</v>
      </c>
      <c r="C2114" s="7" t="s">
        <v>146</v>
      </c>
      <c r="D2114" s="7" t="s">
        <v>147</v>
      </c>
      <c r="E2114" s="8">
        <v>370</v>
      </c>
    </row>
    <row r="2115" spans="1:5" x14ac:dyDescent="0.35">
      <c r="A2115" s="9" t="s">
        <v>135</v>
      </c>
      <c r="B2115" s="10"/>
      <c r="C2115" s="10"/>
      <c r="D2115" s="10" t="s">
        <v>148</v>
      </c>
      <c r="E2115" s="11">
        <v>370</v>
      </c>
    </row>
    <row r="2116" spans="1:5" x14ac:dyDescent="0.35">
      <c r="A2116" s="6" t="s">
        <v>135</v>
      </c>
      <c r="B2116" s="7"/>
      <c r="C2116" s="7"/>
      <c r="D2116" s="7" t="s">
        <v>149</v>
      </c>
      <c r="E2116" s="8" t="s">
        <v>137</v>
      </c>
    </row>
    <row r="2117" spans="1:5" x14ac:dyDescent="0.35">
      <c r="A2117" s="9" t="s">
        <v>135</v>
      </c>
      <c r="B2117" s="10"/>
      <c r="C2117" s="10" t="s">
        <v>150</v>
      </c>
      <c r="D2117" s="10" t="s">
        <v>147</v>
      </c>
      <c r="E2117" s="11" t="s">
        <v>137</v>
      </c>
    </row>
    <row r="2118" spans="1:5" x14ac:dyDescent="0.35">
      <c r="A2118" s="6" t="s">
        <v>135</v>
      </c>
      <c r="B2118" s="7"/>
      <c r="C2118" s="7"/>
      <c r="D2118" s="7" t="s">
        <v>148</v>
      </c>
      <c r="E2118" s="8" t="s">
        <v>137</v>
      </c>
    </row>
    <row r="2119" spans="1:5" x14ac:dyDescent="0.35">
      <c r="A2119" s="9" t="s">
        <v>135</v>
      </c>
      <c r="B2119" s="10"/>
      <c r="C2119" s="10"/>
      <c r="D2119" s="10" t="s">
        <v>149</v>
      </c>
      <c r="E2119" s="11" t="s">
        <v>137</v>
      </c>
    </row>
    <row r="2120" spans="1:5" x14ac:dyDescent="0.35">
      <c r="A2120" s="6" t="s">
        <v>135</v>
      </c>
      <c r="B2120" s="7" t="s">
        <v>167</v>
      </c>
      <c r="C2120" s="7" t="s">
        <v>146</v>
      </c>
      <c r="D2120" s="7" t="s">
        <v>147</v>
      </c>
      <c r="E2120" s="8">
        <v>3743.5</v>
      </c>
    </row>
    <row r="2121" spans="1:5" x14ac:dyDescent="0.35">
      <c r="A2121" s="9" t="s">
        <v>135</v>
      </c>
      <c r="B2121" s="10"/>
      <c r="C2121" s="10"/>
      <c r="D2121" s="10" t="s">
        <v>148</v>
      </c>
      <c r="E2121" s="11">
        <v>3743.5</v>
      </c>
    </row>
    <row r="2122" spans="1:5" x14ac:dyDescent="0.35">
      <c r="A2122" s="6" t="s">
        <v>135</v>
      </c>
      <c r="B2122" s="7"/>
      <c r="C2122" s="7"/>
      <c r="D2122" s="7" t="s">
        <v>149</v>
      </c>
      <c r="E2122" s="8" t="s">
        <v>137</v>
      </c>
    </row>
    <row r="2123" spans="1:5" x14ac:dyDescent="0.35">
      <c r="A2123" s="9" t="s">
        <v>135</v>
      </c>
      <c r="B2123" s="10"/>
      <c r="C2123" s="10" t="s">
        <v>150</v>
      </c>
      <c r="D2123" s="10" t="s">
        <v>147</v>
      </c>
      <c r="E2123" s="11" t="s">
        <v>137</v>
      </c>
    </row>
    <row r="2124" spans="1:5" x14ac:dyDescent="0.35">
      <c r="A2124" s="6" t="s">
        <v>135</v>
      </c>
      <c r="B2124" s="7"/>
      <c r="C2124" s="7"/>
      <c r="D2124" s="7" t="s">
        <v>148</v>
      </c>
      <c r="E2124" s="8" t="s">
        <v>137</v>
      </c>
    </row>
    <row r="2125" spans="1:5" x14ac:dyDescent="0.35">
      <c r="A2125" s="9" t="s">
        <v>135</v>
      </c>
      <c r="B2125" s="10"/>
      <c r="C2125" s="10"/>
      <c r="D2125" s="10" t="s">
        <v>149</v>
      </c>
      <c r="E2125" s="11" t="s">
        <v>137</v>
      </c>
    </row>
    <row r="2126" spans="1:5" x14ac:dyDescent="0.35">
      <c r="A2126" s="6" t="s">
        <v>135</v>
      </c>
      <c r="B2126" s="7" t="s">
        <v>168</v>
      </c>
      <c r="C2126" s="7" t="s">
        <v>146</v>
      </c>
      <c r="D2126" s="7" t="s">
        <v>147</v>
      </c>
      <c r="E2126" s="8" t="s">
        <v>137</v>
      </c>
    </row>
    <row r="2127" spans="1:5" x14ac:dyDescent="0.35">
      <c r="A2127" s="9" t="s">
        <v>135</v>
      </c>
      <c r="B2127" s="10"/>
      <c r="C2127" s="10"/>
      <c r="D2127" s="10" t="s">
        <v>148</v>
      </c>
      <c r="E2127" s="11" t="s">
        <v>137</v>
      </c>
    </row>
    <row r="2128" spans="1:5" x14ac:dyDescent="0.35">
      <c r="A2128" s="6" t="s">
        <v>135</v>
      </c>
      <c r="B2128" s="7"/>
      <c r="C2128" s="7"/>
      <c r="D2128" s="7" t="s">
        <v>149</v>
      </c>
      <c r="E2128" s="8" t="s">
        <v>137</v>
      </c>
    </row>
    <row r="2129" spans="1:5" x14ac:dyDescent="0.35">
      <c r="A2129" s="9" t="s">
        <v>135</v>
      </c>
      <c r="B2129" s="10"/>
      <c r="C2129" s="10" t="s">
        <v>150</v>
      </c>
      <c r="D2129" s="10" t="s">
        <v>147</v>
      </c>
      <c r="E2129" s="11" t="s">
        <v>137</v>
      </c>
    </row>
    <row r="2130" spans="1:5" x14ac:dyDescent="0.35">
      <c r="A2130" s="6" t="s">
        <v>135</v>
      </c>
      <c r="B2130" s="7"/>
      <c r="C2130" s="7"/>
      <c r="D2130" s="7" t="s">
        <v>148</v>
      </c>
      <c r="E2130" s="8" t="s">
        <v>137</v>
      </c>
    </row>
    <row r="2131" spans="1:5" x14ac:dyDescent="0.35">
      <c r="A2131" s="9" t="s">
        <v>135</v>
      </c>
      <c r="B2131" s="10"/>
      <c r="C2131" s="10"/>
      <c r="D2131" s="10" t="s">
        <v>149</v>
      </c>
      <c r="E2131" s="11" t="s">
        <v>137</v>
      </c>
    </row>
    <row r="2132" spans="1:5" x14ac:dyDescent="0.35">
      <c r="A2132" s="6" t="s">
        <v>135</v>
      </c>
      <c r="B2132" s="7" t="s">
        <v>169</v>
      </c>
      <c r="C2132" s="7" t="s">
        <v>146</v>
      </c>
      <c r="D2132" s="7" t="s">
        <v>147</v>
      </c>
      <c r="E2132" s="8" t="s">
        <v>137</v>
      </c>
    </row>
    <row r="2133" spans="1:5" x14ac:dyDescent="0.35">
      <c r="A2133" s="9" t="s">
        <v>135</v>
      </c>
      <c r="B2133" s="10"/>
      <c r="C2133" s="10"/>
      <c r="D2133" s="10" t="s">
        <v>148</v>
      </c>
      <c r="E2133" s="11" t="s">
        <v>137</v>
      </c>
    </row>
    <row r="2134" spans="1:5" x14ac:dyDescent="0.35">
      <c r="A2134" s="6" t="s">
        <v>135</v>
      </c>
      <c r="B2134" s="7"/>
      <c r="C2134" s="7"/>
      <c r="D2134" s="7" t="s">
        <v>149</v>
      </c>
      <c r="E2134" s="8" t="s">
        <v>137</v>
      </c>
    </row>
    <row r="2135" spans="1:5" x14ac:dyDescent="0.35">
      <c r="A2135" s="9" t="s">
        <v>135</v>
      </c>
      <c r="B2135" s="10"/>
      <c r="C2135" s="10" t="s">
        <v>150</v>
      </c>
      <c r="D2135" s="10" t="s">
        <v>147</v>
      </c>
      <c r="E2135" s="11" t="s">
        <v>137</v>
      </c>
    </row>
    <row r="2136" spans="1:5" x14ac:dyDescent="0.35">
      <c r="A2136" s="6" t="s">
        <v>135</v>
      </c>
      <c r="B2136" s="7"/>
      <c r="C2136" s="7"/>
      <c r="D2136" s="7" t="s">
        <v>148</v>
      </c>
      <c r="E2136" s="8" t="s">
        <v>137</v>
      </c>
    </row>
    <row r="2137" spans="1:5" x14ac:dyDescent="0.35">
      <c r="A2137" s="9" t="s">
        <v>135</v>
      </c>
      <c r="B2137" s="10"/>
      <c r="C2137" s="10"/>
      <c r="D2137" s="10" t="s">
        <v>149</v>
      </c>
      <c r="E2137" s="11" t="s">
        <v>137</v>
      </c>
    </row>
    <row r="2138" spans="1:5" x14ac:dyDescent="0.35">
      <c r="A2138" s="6" t="s">
        <v>135</v>
      </c>
      <c r="B2138" s="7" t="s">
        <v>170</v>
      </c>
      <c r="C2138" s="7" t="s">
        <v>146</v>
      </c>
      <c r="D2138" s="7" t="s">
        <v>147</v>
      </c>
      <c r="E2138" s="8" t="s">
        <v>137</v>
      </c>
    </row>
    <row r="2139" spans="1:5" x14ac:dyDescent="0.35">
      <c r="A2139" s="9" t="s">
        <v>135</v>
      </c>
      <c r="B2139" s="10"/>
      <c r="C2139" s="10"/>
      <c r="D2139" s="10" t="s">
        <v>148</v>
      </c>
      <c r="E2139" s="11" t="s">
        <v>137</v>
      </c>
    </row>
    <row r="2140" spans="1:5" x14ac:dyDescent="0.35">
      <c r="A2140" s="6" t="s">
        <v>135</v>
      </c>
      <c r="B2140" s="7"/>
      <c r="C2140" s="7"/>
      <c r="D2140" s="7" t="s">
        <v>149</v>
      </c>
      <c r="E2140" s="8" t="s">
        <v>137</v>
      </c>
    </row>
    <row r="2141" spans="1:5" x14ac:dyDescent="0.35">
      <c r="A2141" s="9" t="s">
        <v>135</v>
      </c>
      <c r="B2141" s="10"/>
      <c r="C2141" s="10" t="s">
        <v>150</v>
      </c>
      <c r="D2141" s="10" t="s">
        <v>147</v>
      </c>
      <c r="E2141" s="11" t="s">
        <v>137</v>
      </c>
    </row>
    <row r="2142" spans="1:5" x14ac:dyDescent="0.35">
      <c r="A2142" s="6" t="s">
        <v>135</v>
      </c>
      <c r="B2142" s="7"/>
      <c r="C2142" s="7"/>
      <c r="D2142" s="7" t="s">
        <v>148</v>
      </c>
      <c r="E2142" s="8" t="s">
        <v>137</v>
      </c>
    </row>
    <row r="2143" spans="1:5" x14ac:dyDescent="0.35">
      <c r="A2143" s="9" t="s">
        <v>135</v>
      </c>
      <c r="B2143" s="10"/>
      <c r="C2143" s="10"/>
      <c r="D2143" s="10" t="s">
        <v>149</v>
      </c>
      <c r="E2143" s="11" t="s">
        <v>137</v>
      </c>
    </row>
    <row r="2144" spans="1:5" x14ac:dyDescent="0.35">
      <c r="A2144" s="6" t="s">
        <v>63</v>
      </c>
      <c r="B2144" s="7" t="s">
        <v>145</v>
      </c>
      <c r="C2144" s="7" t="s">
        <v>146</v>
      </c>
      <c r="D2144" s="7" t="s">
        <v>147</v>
      </c>
      <c r="E2144" s="8">
        <v>831.1</v>
      </c>
    </row>
    <row r="2145" spans="1:5" x14ac:dyDescent="0.35">
      <c r="A2145" s="9" t="s">
        <v>135</v>
      </c>
      <c r="B2145" s="10"/>
      <c r="C2145" s="10"/>
      <c r="D2145" s="10" t="s">
        <v>148</v>
      </c>
      <c r="E2145" s="11">
        <v>812.08</v>
      </c>
    </row>
    <row r="2146" spans="1:5" x14ac:dyDescent="0.35">
      <c r="A2146" s="6" t="s">
        <v>135</v>
      </c>
      <c r="B2146" s="7"/>
      <c r="C2146" s="7"/>
      <c r="D2146" s="7" t="s">
        <v>149</v>
      </c>
      <c r="E2146" s="8">
        <v>19.02</v>
      </c>
    </row>
    <row r="2147" spans="1:5" x14ac:dyDescent="0.35">
      <c r="A2147" s="9" t="s">
        <v>135</v>
      </c>
      <c r="B2147" s="10"/>
      <c r="C2147" s="10" t="s">
        <v>150</v>
      </c>
      <c r="D2147" s="10" t="s">
        <v>147</v>
      </c>
      <c r="E2147" s="11" t="s">
        <v>137</v>
      </c>
    </row>
    <row r="2148" spans="1:5" x14ac:dyDescent="0.35">
      <c r="A2148" s="6" t="s">
        <v>135</v>
      </c>
      <c r="B2148" s="7"/>
      <c r="C2148" s="7"/>
      <c r="D2148" s="7" t="s">
        <v>148</v>
      </c>
      <c r="E2148" s="8" t="s">
        <v>137</v>
      </c>
    </row>
    <row r="2149" spans="1:5" x14ac:dyDescent="0.35">
      <c r="A2149" s="9" t="s">
        <v>135</v>
      </c>
      <c r="B2149" s="10"/>
      <c r="C2149" s="10"/>
      <c r="D2149" s="10" t="s">
        <v>149</v>
      </c>
      <c r="E2149" s="11" t="s">
        <v>137</v>
      </c>
    </row>
    <row r="2150" spans="1:5" x14ac:dyDescent="0.35">
      <c r="A2150" s="6" t="s">
        <v>135</v>
      </c>
      <c r="B2150" s="7" t="s">
        <v>151</v>
      </c>
      <c r="C2150" s="7" t="s">
        <v>146</v>
      </c>
      <c r="D2150" s="7" t="s">
        <v>147</v>
      </c>
      <c r="E2150" s="8">
        <v>16.88</v>
      </c>
    </row>
    <row r="2151" spans="1:5" x14ac:dyDescent="0.35">
      <c r="A2151" s="9" t="s">
        <v>135</v>
      </c>
      <c r="B2151" s="10"/>
      <c r="C2151" s="10"/>
      <c r="D2151" s="10" t="s">
        <v>148</v>
      </c>
      <c r="E2151" s="11">
        <v>0.08</v>
      </c>
    </row>
    <row r="2152" spans="1:5" x14ac:dyDescent="0.35">
      <c r="A2152" s="6" t="s">
        <v>135</v>
      </c>
      <c r="B2152" s="7"/>
      <c r="C2152" s="7"/>
      <c r="D2152" s="7" t="s">
        <v>149</v>
      </c>
      <c r="E2152" s="8">
        <v>16.8</v>
      </c>
    </row>
    <row r="2153" spans="1:5" x14ac:dyDescent="0.35">
      <c r="A2153" s="9" t="s">
        <v>135</v>
      </c>
      <c r="B2153" s="10"/>
      <c r="C2153" s="10" t="s">
        <v>150</v>
      </c>
      <c r="D2153" s="10" t="s">
        <v>147</v>
      </c>
      <c r="E2153" s="11" t="s">
        <v>137</v>
      </c>
    </row>
    <row r="2154" spans="1:5" x14ac:dyDescent="0.35">
      <c r="A2154" s="6" t="s">
        <v>135</v>
      </c>
      <c r="B2154" s="7"/>
      <c r="C2154" s="7"/>
      <c r="D2154" s="7" t="s">
        <v>148</v>
      </c>
      <c r="E2154" s="8" t="s">
        <v>137</v>
      </c>
    </row>
    <row r="2155" spans="1:5" x14ac:dyDescent="0.35">
      <c r="A2155" s="9" t="s">
        <v>135</v>
      </c>
      <c r="B2155" s="10"/>
      <c r="C2155" s="10"/>
      <c r="D2155" s="10" t="s">
        <v>149</v>
      </c>
      <c r="E2155" s="11" t="s">
        <v>137</v>
      </c>
    </row>
    <row r="2156" spans="1:5" x14ac:dyDescent="0.35">
      <c r="A2156" s="6" t="s">
        <v>135</v>
      </c>
      <c r="B2156" s="7" t="s">
        <v>152</v>
      </c>
      <c r="C2156" s="7" t="s">
        <v>146</v>
      </c>
      <c r="D2156" s="7" t="s">
        <v>147</v>
      </c>
      <c r="E2156" s="8" t="s">
        <v>137</v>
      </c>
    </row>
    <row r="2157" spans="1:5" x14ac:dyDescent="0.35">
      <c r="A2157" s="9" t="s">
        <v>135</v>
      </c>
      <c r="B2157" s="10"/>
      <c r="C2157" s="10"/>
      <c r="D2157" s="10" t="s">
        <v>148</v>
      </c>
      <c r="E2157" s="11" t="s">
        <v>137</v>
      </c>
    </row>
    <row r="2158" spans="1:5" x14ac:dyDescent="0.35">
      <c r="A2158" s="6" t="s">
        <v>135</v>
      </c>
      <c r="B2158" s="7"/>
      <c r="C2158" s="7"/>
      <c r="D2158" s="7" t="s">
        <v>149</v>
      </c>
      <c r="E2158" s="8" t="s">
        <v>137</v>
      </c>
    </row>
    <row r="2159" spans="1:5" x14ac:dyDescent="0.35">
      <c r="A2159" s="9" t="s">
        <v>135</v>
      </c>
      <c r="B2159" s="10"/>
      <c r="C2159" s="10" t="s">
        <v>150</v>
      </c>
      <c r="D2159" s="10" t="s">
        <v>147</v>
      </c>
      <c r="E2159" s="11" t="s">
        <v>137</v>
      </c>
    </row>
    <row r="2160" spans="1:5" x14ac:dyDescent="0.35">
      <c r="A2160" s="6" t="s">
        <v>135</v>
      </c>
      <c r="B2160" s="7"/>
      <c r="C2160" s="7"/>
      <c r="D2160" s="7" t="s">
        <v>148</v>
      </c>
      <c r="E2160" s="8" t="s">
        <v>137</v>
      </c>
    </row>
    <row r="2161" spans="1:5" x14ac:dyDescent="0.35">
      <c r="A2161" s="9" t="s">
        <v>135</v>
      </c>
      <c r="B2161" s="10"/>
      <c r="C2161" s="10"/>
      <c r="D2161" s="10" t="s">
        <v>149</v>
      </c>
      <c r="E2161" s="11" t="s">
        <v>137</v>
      </c>
    </row>
    <row r="2162" spans="1:5" x14ac:dyDescent="0.35">
      <c r="A2162" s="6" t="s">
        <v>135</v>
      </c>
      <c r="B2162" s="7" t="s">
        <v>153</v>
      </c>
      <c r="C2162" s="7" t="s">
        <v>146</v>
      </c>
      <c r="D2162" s="7" t="s">
        <v>147</v>
      </c>
      <c r="E2162" s="8" t="s">
        <v>137</v>
      </c>
    </row>
    <row r="2163" spans="1:5" x14ac:dyDescent="0.35">
      <c r="A2163" s="9" t="s">
        <v>135</v>
      </c>
      <c r="B2163" s="10"/>
      <c r="C2163" s="10"/>
      <c r="D2163" s="10" t="s">
        <v>148</v>
      </c>
      <c r="E2163" s="11" t="s">
        <v>137</v>
      </c>
    </row>
    <row r="2164" spans="1:5" x14ac:dyDescent="0.35">
      <c r="A2164" s="6" t="s">
        <v>135</v>
      </c>
      <c r="B2164" s="7"/>
      <c r="C2164" s="7"/>
      <c r="D2164" s="7" t="s">
        <v>149</v>
      </c>
      <c r="E2164" s="8" t="s">
        <v>137</v>
      </c>
    </row>
    <row r="2165" spans="1:5" x14ac:dyDescent="0.35">
      <c r="A2165" s="9" t="s">
        <v>135</v>
      </c>
      <c r="B2165" s="10"/>
      <c r="C2165" s="10" t="s">
        <v>150</v>
      </c>
      <c r="D2165" s="10" t="s">
        <v>147</v>
      </c>
      <c r="E2165" s="11" t="s">
        <v>137</v>
      </c>
    </row>
    <row r="2166" spans="1:5" x14ac:dyDescent="0.35">
      <c r="A2166" s="6" t="s">
        <v>135</v>
      </c>
      <c r="B2166" s="7"/>
      <c r="C2166" s="7"/>
      <c r="D2166" s="7" t="s">
        <v>148</v>
      </c>
      <c r="E2166" s="8" t="s">
        <v>137</v>
      </c>
    </row>
    <row r="2167" spans="1:5" x14ac:dyDescent="0.35">
      <c r="A2167" s="9" t="s">
        <v>135</v>
      </c>
      <c r="B2167" s="10"/>
      <c r="C2167" s="10"/>
      <c r="D2167" s="10" t="s">
        <v>149</v>
      </c>
      <c r="E2167" s="11" t="s">
        <v>137</v>
      </c>
    </row>
    <row r="2168" spans="1:5" x14ac:dyDescent="0.35">
      <c r="A2168" s="6" t="s">
        <v>135</v>
      </c>
      <c r="B2168" s="7" t="s">
        <v>154</v>
      </c>
      <c r="C2168" s="7" t="s">
        <v>146</v>
      </c>
      <c r="D2168" s="7" t="s">
        <v>147</v>
      </c>
      <c r="E2168" s="8" t="s">
        <v>137</v>
      </c>
    </row>
    <row r="2169" spans="1:5" x14ac:dyDescent="0.35">
      <c r="A2169" s="9" t="s">
        <v>135</v>
      </c>
      <c r="B2169" s="10"/>
      <c r="C2169" s="10"/>
      <c r="D2169" s="10" t="s">
        <v>148</v>
      </c>
      <c r="E2169" s="11" t="s">
        <v>137</v>
      </c>
    </row>
    <row r="2170" spans="1:5" x14ac:dyDescent="0.35">
      <c r="A2170" s="6" t="s">
        <v>135</v>
      </c>
      <c r="B2170" s="7"/>
      <c r="C2170" s="7"/>
      <c r="D2170" s="7" t="s">
        <v>149</v>
      </c>
      <c r="E2170" s="8" t="s">
        <v>137</v>
      </c>
    </row>
    <row r="2171" spans="1:5" x14ac:dyDescent="0.35">
      <c r="A2171" s="9" t="s">
        <v>135</v>
      </c>
      <c r="B2171" s="10"/>
      <c r="C2171" s="10" t="s">
        <v>150</v>
      </c>
      <c r="D2171" s="10" t="s">
        <v>147</v>
      </c>
      <c r="E2171" s="11" t="s">
        <v>137</v>
      </c>
    </row>
    <row r="2172" spans="1:5" x14ac:dyDescent="0.35">
      <c r="A2172" s="6" t="s">
        <v>135</v>
      </c>
      <c r="B2172" s="7"/>
      <c r="C2172" s="7"/>
      <c r="D2172" s="7" t="s">
        <v>148</v>
      </c>
      <c r="E2172" s="8" t="s">
        <v>137</v>
      </c>
    </row>
    <row r="2173" spans="1:5" x14ac:dyDescent="0.35">
      <c r="A2173" s="9" t="s">
        <v>135</v>
      </c>
      <c r="B2173" s="10"/>
      <c r="C2173" s="10"/>
      <c r="D2173" s="10" t="s">
        <v>149</v>
      </c>
      <c r="E2173" s="11" t="s">
        <v>137</v>
      </c>
    </row>
    <row r="2174" spans="1:5" x14ac:dyDescent="0.35">
      <c r="A2174" s="6" t="s">
        <v>135</v>
      </c>
      <c r="B2174" s="7" t="s">
        <v>155</v>
      </c>
      <c r="C2174" s="7" t="s">
        <v>146</v>
      </c>
      <c r="D2174" s="7" t="s">
        <v>147</v>
      </c>
      <c r="E2174" s="8">
        <v>814.22</v>
      </c>
    </row>
    <row r="2175" spans="1:5" x14ac:dyDescent="0.35">
      <c r="A2175" s="9" t="s">
        <v>135</v>
      </c>
      <c r="B2175" s="10"/>
      <c r="C2175" s="10"/>
      <c r="D2175" s="10" t="s">
        <v>148</v>
      </c>
      <c r="E2175" s="11">
        <v>812</v>
      </c>
    </row>
    <row r="2176" spans="1:5" x14ac:dyDescent="0.35">
      <c r="A2176" s="6" t="s">
        <v>135</v>
      </c>
      <c r="B2176" s="7"/>
      <c r="C2176" s="7"/>
      <c r="D2176" s="7" t="s">
        <v>149</v>
      </c>
      <c r="E2176" s="8">
        <v>2.2200000000000002</v>
      </c>
    </row>
    <row r="2177" spans="1:5" x14ac:dyDescent="0.35">
      <c r="A2177" s="9" t="s">
        <v>135</v>
      </c>
      <c r="B2177" s="10"/>
      <c r="C2177" s="10" t="s">
        <v>150</v>
      </c>
      <c r="D2177" s="10" t="s">
        <v>147</v>
      </c>
      <c r="E2177" s="11" t="s">
        <v>137</v>
      </c>
    </row>
    <row r="2178" spans="1:5" x14ac:dyDescent="0.35">
      <c r="A2178" s="6" t="s">
        <v>135</v>
      </c>
      <c r="B2178" s="7"/>
      <c r="C2178" s="7"/>
      <c r="D2178" s="7" t="s">
        <v>148</v>
      </c>
      <c r="E2178" s="8" t="s">
        <v>137</v>
      </c>
    </row>
    <row r="2179" spans="1:5" x14ac:dyDescent="0.35">
      <c r="A2179" s="9" t="s">
        <v>135</v>
      </c>
      <c r="B2179" s="10"/>
      <c r="C2179" s="10"/>
      <c r="D2179" s="10" t="s">
        <v>149</v>
      </c>
      <c r="E2179" s="11" t="s">
        <v>137</v>
      </c>
    </row>
    <row r="2180" spans="1:5" x14ac:dyDescent="0.35">
      <c r="A2180" s="6" t="s">
        <v>135</v>
      </c>
      <c r="B2180" s="7" t="s">
        <v>156</v>
      </c>
      <c r="C2180" s="7" t="s">
        <v>146</v>
      </c>
      <c r="D2180" s="7" t="s">
        <v>147</v>
      </c>
      <c r="E2180" s="8" t="s">
        <v>137</v>
      </c>
    </row>
    <row r="2181" spans="1:5" x14ac:dyDescent="0.35">
      <c r="A2181" s="9" t="s">
        <v>135</v>
      </c>
      <c r="B2181" s="10"/>
      <c r="C2181" s="10"/>
      <c r="D2181" s="10" t="s">
        <v>148</v>
      </c>
      <c r="E2181" s="11" t="s">
        <v>137</v>
      </c>
    </row>
    <row r="2182" spans="1:5" x14ac:dyDescent="0.35">
      <c r="A2182" s="6" t="s">
        <v>135</v>
      </c>
      <c r="B2182" s="7"/>
      <c r="C2182" s="7"/>
      <c r="D2182" s="7" t="s">
        <v>149</v>
      </c>
      <c r="E2182" s="8" t="s">
        <v>137</v>
      </c>
    </row>
    <row r="2183" spans="1:5" x14ac:dyDescent="0.35">
      <c r="A2183" s="9" t="s">
        <v>135</v>
      </c>
      <c r="B2183" s="10"/>
      <c r="C2183" s="10" t="s">
        <v>150</v>
      </c>
      <c r="D2183" s="10" t="s">
        <v>147</v>
      </c>
      <c r="E2183" s="11" t="s">
        <v>137</v>
      </c>
    </row>
    <row r="2184" spans="1:5" x14ac:dyDescent="0.35">
      <c r="A2184" s="6" t="s">
        <v>135</v>
      </c>
      <c r="B2184" s="7"/>
      <c r="C2184" s="7"/>
      <c r="D2184" s="7" t="s">
        <v>148</v>
      </c>
      <c r="E2184" s="8" t="s">
        <v>137</v>
      </c>
    </row>
    <row r="2185" spans="1:5" x14ac:dyDescent="0.35">
      <c r="A2185" s="9" t="s">
        <v>135</v>
      </c>
      <c r="B2185" s="10"/>
      <c r="C2185" s="10"/>
      <c r="D2185" s="10" t="s">
        <v>149</v>
      </c>
      <c r="E2185" s="11" t="s">
        <v>137</v>
      </c>
    </row>
    <row r="2186" spans="1:5" x14ac:dyDescent="0.35">
      <c r="A2186" s="6" t="s">
        <v>135</v>
      </c>
      <c r="B2186" s="7" t="s">
        <v>157</v>
      </c>
      <c r="C2186" s="7" t="s">
        <v>146</v>
      </c>
      <c r="D2186" s="7" t="s">
        <v>147</v>
      </c>
      <c r="E2186" s="8" t="s">
        <v>137</v>
      </c>
    </row>
    <row r="2187" spans="1:5" x14ac:dyDescent="0.35">
      <c r="A2187" s="9" t="s">
        <v>135</v>
      </c>
      <c r="B2187" s="10"/>
      <c r="C2187" s="10"/>
      <c r="D2187" s="10" t="s">
        <v>148</v>
      </c>
      <c r="E2187" s="11" t="s">
        <v>137</v>
      </c>
    </row>
    <row r="2188" spans="1:5" x14ac:dyDescent="0.35">
      <c r="A2188" s="6" t="s">
        <v>135</v>
      </c>
      <c r="B2188" s="7"/>
      <c r="C2188" s="7"/>
      <c r="D2188" s="7" t="s">
        <v>149</v>
      </c>
      <c r="E2188" s="8" t="s">
        <v>137</v>
      </c>
    </row>
    <row r="2189" spans="1:5" x14ac:dyDescent="0.35">
      <c r="A2189" s="9" t="s">
        <v>135</v>
      </c>
      <c r="B2189" s="10"/>
      <c r="C2189" s="10" t="s">
        <v>150</v>
      </c>
      <c r="D2189" s="10" t="s">
        <v>147</v>
      </c>
      <c r="E2189" s="11" t="s">
        <v>137</v>
      </c>
    </row>
    <row r="2190" spans="1:5" x14ac:dyDescent="0.35">
      <c r="A2190" s="6" t="s">
        <v>135</v>
      </c>
      <c r="B2190" s="7"/>
      <c r="C2190" s="7"/>
      <c r="D2190" s="7" t="s">
        <v>148</v>
      </c>
      <c r="E2190" s="8" t="s">
        <v>137</v>
      </c>
    </row>
    <row r="2191" spans="1:5" x14ac:dyDescent="0.35">
      <c r="A2191" s="9" t="s">
        <v>135</v>
      </c>
      <c r="B2191" s="10"/>
      <c r="C2191" s="10"/>
      <c r="D2191" s="10" t="s">
        <v>149</v>
      </c>
      <c r="E2191" s="11" t="s">
        <v>137</v>
      </c>
    </row>
    <row r="2192" spans="1:5" x14ac:dyDescent="0.35">
      <c r="A2192" s="6" t="s">
        <v>135</v>
      </c>
      <c r="B2192" s="7" t="s">
        <v>158</v>
      </c>
      <c r="C2192" s="7" t="s">
        <v>146</v>
      </c>
      <c r="D2192" s="7" t="s">
        <v>147</v>
      </c>
      <c r="E2192" s="8" t="s">
        <v>137</v>
      </c>
    </row>
    <row r="2193" spans="1:5" x14ac:dyDescent="0.35">
      <c r="A2193" s="9" t="s">
        <v>135</v>
      </c>
      <c r="B2193" s="10"/>
      <c r="C2193" s="10"/>
      <c r="D2193" s="10" t="s">
        <v>148</v>
      </c>
      <c r="E2193" s="11" t="s">
        <v>137</v>
      </c>
    </row>
    <row r="2194" spans="1:5" x14ac:dyDescent="0.35">
      <c r="A2194" s="6" t="s">
        <v>135</v>
      </c>
      <c r="B2194" s="7"/>
      <c r="C2194" s="7"/>
      <c r="D2194" s="7" t="s">
        <v>149</v>
      </c>
      <c r="E2194" s="8" t="s">
        <v>137</v>
      </c>
    </row>
    <row r="2195" spans="1:5" x14ac:dyDescent="0.35">
      <c r="A2195" s="9" t="s">
        <v>135</v>
      </c>
      <c r="B2195" s="10"/>
      <c r="C2195" s="10" t="s">
        <v>150</v>
      </c>
      <c r="D2195" s="10" t="s">
        <v>147</v>
      </c>
      <c r="E2195" s="11" t="s">
        <v>137</v>
      </c>
    </row>
    <row r="2196" spans="1:5" x14ac:dyDescent="0.35">
      <c r="A2196" s="6" t="s">
        <v>135</v>
      </c>
      <c r="B2196" s="7"/>
      <c r="C2196" s="7"/>
      <c r="D2196" s="7" t="s">
        <v>148</v>
      </c>
      <c r="E2196" s="8" t="s">
        <v>137</v>
      </c>
    </row>
    <row r="2197" spans="1:5" x14ac:dyDescent="0.35">
      <c r="A2197" s="9" t="s">
        <v>135</v>
      </c>
      <c r="B2197" s="10"/>
      <c r="C2197" s="10"/>
      <c r="D2197" s="10" t="s">
        <v>149</v>
      </c>
      <c r="E2197" s="11" t="s">
        <v>137</v>
      </c>
    </row>
    <row r="2198" spans="1:5" x14ac:dyDescent="0.35">
      <c r="A2198" s="6" t="s">
        <v>135</v>
      </c>
      <c r="B2198" s="7" t="s">
        <v>159</v>
      </c>
      <c r="C2198" s="7" t="s">
        <v>146</v>
      </c>
      <c r="D2198" s="7" t="s">
        <v>147</v>
      </c>
      <c r="E2198" s="8" t="s">
        <v>137</v>
      </c>
    </row>
    <row r="2199" spans="1:5" x14ac:dyDescent="0.35">
      <c r="A2199" s="9" t="s">
        <v>135</v>
      </c>
      <c r="B2199" s="10"/>
      <c r="C2199" s="10"/>
      <c r="D2199" s="10" t="s">
        <v>148</v>
      </c>
      <c r="E2199" s="11" t="s">
        <v>137</v>
      </c>
    </row>
    <row r="2200" spans="1:5" x14ac:dyDescent="0.35">
      <c r="A2200" s="6" t="s">
        <v>135</v>
      </c>
      <c r="B2200" s="7"/>
      <c r="C2200" s="7"/>
      <c r="D2200" s="7" t="s">
        <v>149</v>
      </c>
      <c r="E2200" s="8" t="s">
        <v>137</v>
      </c>
    </row>
    <row r="2201" spans="1:5" x14ac:dyDescent="0.35">
      <c r="A2201" s="9" t="s">
        <v>135</v>
      </c>
      <c r="B2201" s="10"/>
      <c r="C2201" s="10" t="s">
        <v>150</v>
      </c>
      <c r="D2201" s="10" t="s">
        <v>147</v>
      </c>
      <c r="E2201" s="11" t="s">
        <v>137</v>
      </c>
    </row>
    <row r="2202" spans="1:5" x14ac:dyDescent="0.35">
      <c r="A2202" s="6" t="s">
        <v>135</v>
      </c>
      <c r="B2202" s="7"/>
      <c r="C2202" s="7"/>
      <c r="D2202" s="7" t="s">
        <v>148</v>
      </c>
      <c r="E2202" s="8" t="s">
        <v>137</v>
      </c>
    </row>
    <row r="2203" spans="1:5" x14ac:dyDescent="0.35">
      <c r="A2203" s="9" t="s">
        <v>135</v>
      </c>
      <c r="B2203" s="10"/>
      <c r="C2203" s="10"/>
      <c r="D2203" s="10" t="s">
        <v>149</v>
      </c>
      <c r="E2203" s="11" t="s">
        <v>137</v>
      </c>
    </row>
    <row r="2204" spans="1:5" x14ac:dyDescent="0.35">
      <c r="A2204" s="6" t="s">
        <v>135</v>
      </c>
      <c r="B2204" s="7" t="s">
        <v>160</v>
      </c>
      <c r="C2204" s="7" t="s">
        <v>146</v>
      </c>
      <c r="D2204" s="7" t="s">
        <v>147</v>
      </c>
      <c r="E2204" s="8" t="s">
        <v>137</v>
      </c>
    </row>
    <row r="2205" spans="1:5" x14ac:dyDescent="0.35">
      <c r="A2205" s="9" t="s">
        <v>135</v>
      </c>
      <c r="B2205" s="10"/>
      <c r="C2205" s="10"/>
      <c r="D2205" s="10" t="s">
        <v>148</v>
      </c>
      <c r="E2205" s="11" t="s">
        <v>137</v>
      </c>
    </row>
    <row r="2206" spans="1:5" x14ac:dyDescent="0.35">
      <c r="A2206" s="6" t="s">
        <v>135</v>
      </c>
      <c r="B2206" s="7"/>
      <c r="C2206" s="7"/>
      <c r="D2206" s="7" t="s">
        <v>149</v>
      </c>
      <c r="E2206" s="8" t="s">
        <v>137</v>
      </c>
    </row>
    <row r="2207" spans="1:5" x14ac:dyDescent="0.35">
      <c r="A2207" s="9" t="s">
        <v>135</v>
      </c>
      <c r="B2207" s="10"/>
      <c r="C2207" s="10" t="s">
        <v>150</v>
      </c>
      <c r="D2207" s="10" t="s">
        <v>147</v>
      </c>
      <c r="E2207" s="11" t="s">
        <v>137</v>
      </c>
    </row>
    <row r="2208" spans="1:5" x14ac:dyDescent="0.35">
      <c r="A2208" s="6" t="s">
        <v>135</v>
      </c>
      <c r="B2208" s="7"/>
      <c r="C2208" s="7"/>
      <c r="D2208" s="7" t="s">
        <v>148</v>
      </c>
      <c r="E2208" s="8" t="s">
        <v>137</v>
      </c>
    </row>
    <row r="2209" spans="1:5" x14ac:dyDescent="0.35">
      <c r="A2209" s="9" t="s">
        <v>135</v>
      </c>
      <c r="B2209" s="10"/>
      <c r="C2209" s="10"/>
      <c r="D2209" s="10" t="s">
        <v>149</v>
      </c>
      <c r="E2209" s="11" t="s">
        <v>137</v>
      </c>
    </row>
    <row r="2210" spans="1:5" x14ac:dyDescent="0.35">
      <c r="A2210" s="6" t="s">
        <v>135</v>
      </c>
      <c r="B2210" s="7" t="s">
        <v>161</v>
      </c>
      <c r="C2210" s="7" t="s">
        <v>146</v>
      </c>
      <c r="D2210" s="7" t="s">
        <v>147</v>
      </c>
      <c r="E2210" s="8" t="s">
        <v>137</v>
      </c>
    </row>
    <row r="2211" spans="1:5" x14ac:dyDescent="0.35">
      <c r="A2211" s="9" t="s">
        <v>135</v>
      </c>
      <c r="B2211" s="10"/>
      <c r="C2211" s="10"/>
      <c r="D2211" s="10" t="s">
        <v>148</v>
      </c>
      <c r="E2211" s="11" t="s">
        <v>137</v>
      </c>
    </row>
    <row r="2212" spans="1:5" x14ac:dyDescent="0.35">
      <c r="A2212" s="6" t="s">
        <v>135</v>
      </c>
      <c r="B2212" s="7"/>
      <c r="C2212" s="7"/>
      <c r="D2212" s="7" t="s">
        <v>149</v>
      </c>
      <c r="E2212" s="8" t="s">
        <v>137</v>
      </c>
    </row>
    <row r="2213" spans="1:5" x14ac:dyDescent="0.35">
      <c r="A2213" s="9" t="s">
        <v>135</v>
      </c>
      <c r="B2213" s="10"/>
      <c r="C2213" s="10" t="s">
        <v>150</v>
      </c>
      <c r="D2213" s="10" t="s">
        <v>147</v>
      </c>
      <c r="E2213" s="11" t="s">
        <v>137</v>
      </c>
    </row>
    <row r="2214" spans="1:5" x14ac:dyDescent="0.35">
      <c r="A2214" s="6" t="s">
        <v>135</v>
      </c>
      <c r="B2214" s="7"/>
      <c r="C2214" s="7"/>
      <c r="D2214" s="7" t="s">
        <v>148</v>
      </c>
      <c r="E2214" s="8" t="s">
        <v>137</v>
      </c>
    </row>
    <row r="2215" spans="1:5" x14ac:dyDescent="0.35">
      <c r="A2215" s="9" t="s">
        <v>135</v>
      </c>
      <c r="B2215" s="10"/>
      <c r="C2215" s="10"/>
      <c r="D2215" s="10" t="s">
        <v>149</v>
      </c>
      <c r="E2215" s="11" t="s">
        <v>137</v>
      </c>
    </row>
    <row r="2216" spans="1:5" x14ac:dyDescent="0.35">
      <c r="A2216" s="6" t="s">
        <v>135</v>
      </c>
      <c r="B2216" s="7" t="s">
        <v>162</v>
      </c>
      <c r="C2216" s="7" t="s">
        <v>146</v>
      </c>
      <c r="D2216" s="7" t="s">
        <v>147</v>
      </c>
      <c r="E2216" s="8" t="s">
        <v>137</v>
      </c>
    </row>
    <row r="2217" spans="1:5" x14ac:dyDescent="0.35">
      <c r="A2217" s="9" t="s">
        <v>135</v>
      </c>
      <c r="B2217" s="10"/>
      <c r="C2217" s="10"/>
      <c r="D2217" s="10" t="s">
        <v>148</v>
      </c>
      <c r="E2217" s="11" t="s">
        <v>137</v>
      </c>
    </row>
    <row r="2218" spans="1:5" x14ac:dyDescent="0.35">
      <c r="A2218" s="6" t="s">
        <v>135</v>
      </c>
      <c r="B2218" s="7"/>
      <c r="C2218" s="7"/>
      <c r="D2218" s="7" t="s">
        <v>149</v>
      </c>
      <c r="E2218" s="8" t="s">
        <v>137</v>
      </c>
    </row>
    <row r="2219" spans="1:5" x14ac:dyDescent="0.35">
      <c r="A2219" s="9" t="s">
        <v>135</v>
      </c>
      <c r="B2219" s="10"/>
      <c r="C2219" s="10" t="s">
        <v>150</v>
      </c>
      <c r="D2219" s="10" t="s">
        <v>147</v>
      </c>
      <c r="E2219" s="11" t="s">
        <v>137</v>
      </c>
    </row>
    <row r="2220" spans="1:5" x14ac:dyDescent="0.35">
      <c r="A2220" s="6" t="s">
        <v>135</v>
      </c>
      <c r="B2220" s="7"/>
      <c r="C2220" s="7"/>
      <c r="D2220" s="7" t="s">
        <v>148</v>
      </c>
      <c r="E2220" s="8" t="s">
        <v>137</v>
      </c>
    </row>
    <row r="2221" spans="1:5" x14ac:dyDescent="0.35">
      <c r="A2221" s="9" t="s">
        <v>135</v>
      </c>
      <c r="B2221" s="10"/>
      <c r="C2221" s="10"/>
      <c r="D2221" s="10" t="s">
        <v>149</v>
      </c>
      <c r="E2221" s="11" t="s">
        <v>137</v>
      </c>
    </row>
    <row r="2222" spans="1:5" x14ac:dyDescent="0.35">
      <c r="A2222" s="6" t="s">
        <v>135</v>
      </c>
      <c r="B2222" s="7" t="s">
        <v>163</v>
      </c>
      <c r="C2222" s="7" t="s">
        <v>146</v>
      </c>
      <c r="D2222" s="7" t="s">
        <v>147</v>
      </c>
      <c r="E2222" s="8">
        <v>428</v>
      </c>
    </row>
    <row r="2223" spans="1:5" x14ac:dyDescent="0.35">
      <c r="A2223" s="9" t="s">
        <v>135</v>
      </c>
      <c r="B2223" s="10"/>
      <c r="C2223" s="10"/>
      <c r="D2223" s="10" t="s">
        <v>148</v>
      </c>
      <c r="E2223" s="11">
        <v>428</v>
      </c>
    </row>
    <row r="2224" spans="1:5" x14ac:dyDescent="0.35">
      <c r="A2224" s="6" t="s">
        <v>135</v>
      </c>
      <c r="B2224" s="7"/>
      <c r="C2224" s="7"/>
      <c r="D2224" s="7" t="s">
        <v>149</v>
      </c>
      <c r="E2224" s="8" t="s">
        <v>137</v>
      </c>
    </row>
    <row r="2225" spans="1:5" x14ac:dyDescent="0.35">
      <c r="A2225" s="9" t="s">
        <v>135</v>
      </c>
      <c r="B2225" s="10"/>
      <c r="C2225" s="10" t="s">
        <v>150</v>
      </c>
      <c r="D2225" s="10" t="s">
        <v>147</v>
      </c>
      <c r="E2225" s="11" t="s">
        <v>137</v>
      </c>
    </row>
    <row r="2226" spans="1:5" x14ac:dyDescent="0.35">
      <c r="A2226" s="6" t="s">
        <v>135</v>
      </c>
      <c r="B2226" s="7"/>
      <c r="C2226" s="7"/>
      <c r="D2226" s="7" t="s">
        <v>148</v>
      </c>
      <c r="E2226" s="8" t="s">
        <v>137</v>
      </c>
    </row>
    <row r="2227" spans="1:5" x14ac:dyDescent="0.35">
      <c r="A2227" s="9" t="s">
        <v>135</v>
      </c>
      <c r="B2227" s="10"/>
      <c r="C2227" s="10"/>
      <c r="D2227" s="10" t="s">
        <v>149</v>
      </c>
      <c r="E2227" s="11" t="s">
        <v>137</v>
      </c>
    </row>
    <row r="2228" spans="1:5" x14ac:dyDescent="0.35">
      <c r="A2228" s="6" t="s">
        <v>135</v>
      </c>
      <c r="B2228" s="7" t="s">
        <v>164</v>
      </c>
      <c r="C2228" s="7" t="s">
        <v>146</v>
      </c>
      <c r="D2228" s="7" t="s">
        <v>147</v>
      </c>
      <c r="E2228" s="8" t="s">
        <v>137</v>
      </c>
    </row>
    <row r="2229" spans="1:5" x14ac:dyDescent="0.35">
      <c r="A2229" s="9" t="s">
        <v>135</v>
      </c>
      <c r="B2229" s="10"/>
      <c r="C2229" s="10"/>
      <c r="D2229" s="10" t="s">
        <v>148</v>
      </c>
      <c r="E2229" s="11" t="s">
        <v>137</v>
      </c>
    </row>
    <row r="2230" spans="1:5" x14ac:dyDescent="0.35">
      <c r="A2230" s="6" t="s">
        <v>135</v>
      </c>
      <c r="B2230" s="7"/>
      <c r="C2230" s="7"/>
      <c r="D2230" s="7" t="s">
        <v>149</v>
      </c>
      <c r="E2230" s="8" t="s">
        <v>137</v>
      </c>
    </row>
    <row r="2231" spans="1:5" x14ac:dyDescent="0.35">
      <c r="A2231" s="9" t="s">
        <v>135</v>
      </c>
      <c r="B2231" s="10"/>
      <c r="C2231" s="10" t="s">
        <v>150</v>
      </c>
      <c r="D2231" s="10" t="s">
        <v>147</v>
      </c>
      <c r="E2231" s="11" t="s">
        <v>137</v>
      </c>
    </row>
    <row r="2232" spans="1:5" x14ac:dyDescent="0.35">
      <c r="A2232" s="6" t="s">
        <v>135</v>
      </c>
      <c r="B2232" s="7"/>
      <c r="C2232" s="7"/>
      <c r="D2232" s="7" t="s">
        <v>148</v>
      </c>
      <c r="E2232" s="8" t="s">
        <v>137</v>
      </c>
    </row>
    <row r="2233" spans="1:5" x14ac:dyDescent="0.35">
      <c r="A2233" s="9" t="s">
        <v>135</v>
      </c>
      <c r="B2233" s="10"/>
      <c r="C2233" s="10"/>
      <c r="D2233" s="10" t="s">
        <v>149</v>
      </c>
      <c r="E2233" s="11" t="s">
        <v>137</v>
      </c>
    </row>
    <row r="2234" spans="1:5" x14ac:dyDescent="0.35">
      <c r="A2234" s="6" t="s">
        <v>135</v>
      </c>
      <c r="B2234" s="7" t="s">
        <v>165</v>
      </c>
      <c r="C2234" s="7" t="s">
        <v>146</v>
      </c>
      <c r="D2234" s="7" t="s">
        <v>147</v>
      </c>
      <c r="E2234" s="8" t="s">
        <v>137</v>
      </c>
    </row>
    <row r="2235" spans="1:5" x14ac:dyDescent="0.35">
      <c r="A2235" s="9" t="s">
        <v>135</v>
      </c>
      <c r="B2235" s="10"/>
      <c r="C2235" s="10"/>
      <c r="D2235" s="10" t="s">
        <v>148</v>
      </c>
      <c r="E2235" s="11" t="s">
        <v>137</v>
      </c>
    </row>
    <row r="2236" spans="1:5" x14ac:dyDescent="0.35">
      <c r="A2236" s="6" t="s">
        <v>135</v>
      </c>
      <c r="B2236" s="7"/>
      <c r="C2236" s="7"/>
      <c r="D2236" s="7" t="s">
        <v>149</v>
      </c>
      <c r="E2236" s="8" t="s">
        <v>137</v>
      </c>
    </row>
    <row r="2237" spans="1:5" x14ac:dyDescent="0.35">
      <c r="A2237" s="9" t="s">
        <v>135</v>
      </c>
      <c r="B2237" s="10"/>
      <c r="C2237" s="10" t="s">
        <v>150</v>
      </c>
      <c r="D2237" s="10" t="s">
        <v>147</v>
      </c>
      <c r="E2237" s="11" t="s">
        <v>137</v>
      </c>
    </row>
    <row r="2238" spans="1:5" x14ac:dyDescent="0.35">
      <c r="A2238" s="6" t="s">
        <v>135</v>
      </c>
      <c r="B2238" s="7"/>
      <c r="C2238" s="7"/>
      <c r="D2238" s="7" t="s">
        <v>148</v>
      </c>
      <c r="E2238" s="8" t="s">
        <v>137</v>
      </c>
    </row>
    <row r="2239" spans="1:5" x14ac:dyDescent="0.35">
      <c r="A2239" s="9" t="s">
        <v>135</v>
      </c>
      <c r="B2239" s="10"/>
      <c r="C2239" s="10"/>
      <c r="D2239" s="10" t="s">
        <v>149</v>
      </c>
      <c r="E2239" s="11" t="s">
        <v>137</v>
      </c>
    </row>
    <row r="2240" spans="1:5" x14ac:dyDescent="0.35">
      <c r="A2240" s="6" t="s">
        <v>135</v>
      </c>
      <c r="B2240" s="7" t="s">
        <v>166</v>
      </c>
      <c r="C2240" s="7" t="s">
        <v>146</v>
      </c>
      <c r="D2240" s="7" t="s">
        <v>147</v>
      </c>
      <c r="E2240" s="8">
        <v>428</v>
      </c>
    </row>
    <row r="2241" spans="1:5" x14ac:dyDescent="0.35">
      <c r="A2241" s="9" t="s">
        <v>135</v>
      </c>
      <c r="B2241" s="10"/>
      <c r="C2241" s="10"/>
      <c r="D2241" s="10" t="s">
        <v>148</v>
      </c>
      <c r="E2241" s="11">
        <v>428</v>
      </c>
    </row>
    <row r="2242" spans="1:5" x14ac:dyDescent="0.35">
      <c r="A2242" s="6" t="s">
        <v>135</v>
      </c>
      <c r="B2242" s="7"/>
      <c r="C2242" s="7"/>
      <c r="D2242" s="7" t="s">
        <v>149</v>
      </c>
      <c r="E2242" s="8" t="s">
        <v>137</v>
      </c>
    </row>
    <row r="2243" spans="1:5" x14ac:dyDescent="0.35">
      <c r="A2243" s="9" t="s">
        <v>135</v>
      </c>
      <c r="B2243" s="10"/>
      <c r="C2243" s="10" t="s">
        <v>150</v>
      </c>
      <c r="D2243" s="10" t="s">
        <v>147</v>
      </c>
      <c r="E2243" s="11" t="s">
        <v>137</v>
      </c>
    </row>
    <row r="2244" spans="1:5" x14ac:dyDescent="0.35">
      <c r="A2244" s="6" t="s">
        <v>135</v>
      </c>
      <c r="B2244" s="7"/>
      <c r="C2244" s="7"/>
      <c r="D2244" s="7" t="s">
        <v>148</v>
      </c>
      <c r="E2244" s="8" t="s">
        <v>137</v>
      </c>
    </row>
    <row r="2245" spans="1:5" x14ac:dyDescent="0.35">
      <c r="A2245" s="9" t="s">
        <v>135</v>
      </c>
      <c r="B2245" s="10"/>
      <c r="C2245" s="10"/>
      <c r="D2245" s="10" t="s">
        <v>149</v>
      </c>
      <c r="E2245" s="11" t="s">
        <v>137</v>
      </c>
    </row>
    <row r="2246" spans="1:5" x14ac:dyDescent="0.35">
      <c r="A2246" s="6" t="s">
        <v>135</v>
      </c>
      <c r="B2246" s="7" t="s">
        <v>167</v>
      </c>
      <c r="C2246" s="7" t="s">
        <v>146</v>
      </c>
      <c r="D2246" s="7" t="s">
        <v>147</v>
      </c>
      <c r="E2246" s="8" t="s">
        <v>137</v>
      </c>
    </row>
    <row r="2247" spans="1:5" x14ac:dyDescent="0.35">
      <c r="A2247" s="9" t="s">
        <v>135</v>
      </c>
      <c r="B2247" s="10"/>
      <c r="C2247" s="10"/>
      <c r="D2247" s="10" t="s">
        <v>148</v>
      </c>
      <c r="E2247" s="11" t="s">
        <v>137</v>
      </c>
    </row>
    <row r="2248" spans="1:5" x14ac:dyDescent="0.35">
      <c r="A2248" s="6" t="s">
        <v>135</v>
      </c>
      <c r="B2248" s="7"/>
      <c r="C2248" s="7"/>
      <c r="D2248" s="7" t="s">
        <v>149</v>
      </c>
      <c r="E2248" s="8" t="s">
        <v>137</v>
      </c>
    </row>
    <row r="2249" spans="1:5" x14ac:dyDescent="0.35">
      <c r="A2249" s="9" t="s">
        <v>135</v>
      </c>
      <c r="B2249" s="10"/>
      <c r="C2249" s="10" t="s">
        <v>150</v>
      </c>
      <c r="D2249" s="10" t="s">
        <v>147</v>
      </c>
      <c r="E2249" s="11" t="s">
        <v>137</v>
      </c>
    </row>
    <row r="2250" spans="1:5" x14ac:dyDescent="0.35">
      <c r="A2250" s="6" t="s">
        <v>135</v>
      </c>
      <c r="B2250" s="7"/>
      <c r="C2250" s="7"/>
      <c r="D2250" s="7" t="s">
        <v>148</v>
      </c>
      <c r="E2250" s="8" t="s">
        <v>137</v>
      </c>
    </row>
    <row r="2251" spans="1:5" x14ac:dyDescent="0.35">
      <c r="A2251" s="9" t="s">
        <v>135</v>
      </c>
      <c r="B2251" s="10"/>
      <c r="C2251" s="10"/>
      <c r="D2251" s="10" t="s">
        <v>149</v>
      </c>
      <c r="E2251" s="11" t="s">
        <v>137</v>
      </c>
    </row>
    <row r="2252" spans="1:5" x14ac:dyDescent="0.35">
      <c r="A2252" s="6" t="s">
        <v>135</v>
      </c>
      <c r="B2252" s="7" t="s">
        <v>168</v>
      </c>
      <c r="C2252" s="7" t="s">
        <v>146</v>
      </c>
      <c r="D2252" s="7" t="s">
        <v>147</v>
      </c>
      <c r="E2252" s="8" t="s">
        <v>137</v>
      </c>
    </row>
    <row r="2253" spans="1:5" x14ac:dyDescent="0.35">
      <c r="A2253" s="9" t="s">
        <v>135</v>
      </c>
      <c r="B2253" s="10"/>
      <c r="C2253" s="10"/>
      <c r="D2253" s="10" t="s">
        <v>148</v>
      </c>
      <c r="E2253" s="11" t="s">
        <v>137</v>
      </c>
    </row>
    <row r="2254" spans="1:5" x14ac:dyDescent="0.35">
      <c r="A2254" s="6" t="s">
        <v>135</v>
      </c>
      <c r="B2254" s="7"/>
      <c r="C2254" s="7"/>
      <c r="D2254" s="7" t="s">
        <v>149</v>
      </c>
      <c r="E2254" s="8" t="s">
        <v>137</v>
      </c>
    </row>
    <row r="2255" spans="1:5" x14ac:dyDescent="0.35">
      <c r="A2255" s="9" t="s">
        <v>135</v>
      </c>
      <c r="B2255" s="10"/>
      <c r="C2255" s="10" t="s">
        <v>150</v>
      </c>
      <c r="D2255" s="10" t="s">
        <v>147</v>
      </c>
      <c r="E2255" s="11" t="s">
        <v>137</v>
      </c>
    </row>
    <row r="2256" spans="1:5" x14ac:dyDescent="0.35">
      <c r="A2256" s="6" t="s">
        <v>135</v>
      </c>
      <c r="B2256" s="7"/>
      <c r="C2256" s="7"/>
      <c r="D2256" s="7" t="s">
        <v>148</v>
      </c>
      <c r="E2256" s="8" t="s">
        <v>137</v>
      </c>
    </row>
    <row r="2257" spans="1:5" x14ac:dyDescent="0.35">
      <c r="A2257" s="9" t="s">
        <v>135</v>
      </c>
      <c r="B2257" s="10"/>
      <c r="C2257" s="10"/>
      <c r="D2257" s="10" t="s">
        <v>149</v>
      </c>
      <c r="E2257" s="11" t="s">
        <v>137</v>
      </c>
    </row>
    <row r="2258" spans="1:5" x14ac:dyDescent="0.35">
      <c r="A2258" s="6" t="s">
        <v>135</v>
      </c>
      <c r="B2258" s="7" t="s">
        <v>169</v>
      </c>
      <c r="C2258" s="7" t="s">
        <v>146</v>
      </c>
      <c r="D2258" s="7" t="s">
        <v>147</v>
      </c>
      <c r="E2258" s="8" t="s">
        <v>137</v>
      </c>
    </row>
    <row r="2259" spans="1:5" x14ac:dyDescent="0.35">
      <c r="A2259" s="9" t="s">
        <v>135</v>
      </c>
      <c r="B2259" s="10"/>
      <c r="C2259" s="10"/>
      <c r="D2259" s="10" t="s">
        <v>148</v>
      </c>
      <c r="E2259" s="11" t="s">
        <v>137</v>
      </c>
    </row>
    <row r="2260" spans="1:5" x14ac:dyDescent="0.35">
      <c r="A2260" s="6" t="s">
        <v>135</v>
      </c>
      <c r="B2260" s="7"/>
      <c r="C2260" s="7"/>
      <c r="D2260" s="7" t="s">
        <v>149</v>
      </c>
      <c r="E2260" s="8" t="s">
        <v>137</v>
      </c>
    </row>
    <row r="2261" spans="1:5" x14ac:dyDescent="0.35">
      <c r="A2261" s="9" t="s">
        <v>135</v>
      </c>
      <c r="B2261" s="10"/>
      <c r="C2261" s="10" t="s">
        <v>150</v>
      </c>
      <c r="D2261" s="10" t="s">
        <v>147</v>
      </c>
      <c r="E2261" s="11" t="s">
        <v>137</v>
      </c>
    </row>
    <row r="2262" spans="1:5" x14ac:dyDescent="0.35">
      <c r="A2262" s="6" t="s">
        <v>135</v>
      </c>
      <c r="B2262" s="7"/>
      <c r="C2262" s="7"/>
      <c r="D2262" s="7" t="s">
        <v>148</v>
      </c>
      <c r="E2262" s="8" t="s">
        <v>137</v>
      </c>
    </row>
    <row r="2263" spans="1:5" x14ac:dyDescent="0.35">
      <c r="A2263" s="9" t="s">
        <v>135</v>
      </c>
      <c r="B2263" s="10"/>
      <c r="C2263" s="10"/>
      <c r="D2263" s="10" t="s">
        <v>149</v>
      </c>
      <c r="E2263" s="11" t="s">
        <v>137</v>
      </c>
    </row>
    <row r="2264" spans="1:5" x14ac:dyDescent="0.35">
      <c r="A2264" s="6" t="s">
        <v>135</v>
      </c>
      <c r="B2264" s="7" t="s">
        <v>170</v>
      </c>
      <c r="C2264" s="7" t="s">
        <v>146</v>
      </c>
      <c r="D2264" s="7" t="s">
        <v>147</v>
      </c>
      <c r="E2264" s="8" t="s">
        <v>137</v>
      </c>
    </row>
    <row r="2265" spans="1:5" x14ac:dyDescent="0.35">
      <c r="A2265" s="9" t="s">
        <v>135</v>
      </c>
      <c r="B2265" s="10"/>
      <c r="C2265" s="10"/>
      <c r="D2265" s="10" t="s">
        <v>148</v>
      </c>
      <c r="E2265" s="11" t="s">
        <v>137</v>
      </c>
    </row>
    <row r="2266" spans="1:5" x14ac:dyDescent="0.35">
      <c r="A2266" s="6" t="s">
        <v>135</v>
      </c>
      <c r="B2266" s="7"/>
      <c r="C2266" s="7"/>
      <c r="D2266" s="7" t="s">
        <v>149</v>
      </c>
      <c r="E2266" s="8" t="s">
        <v>137</v>
      </c>
    </row>
    <row r="2267" spans="1:5" x14ac:dyDescent="0.35">
      <c r="A2267" s="9" t="s">
        <v>135</v>
      </c>
      <c r="B2267" s="10"/>
      <c r="C2267" s="10" t="s">
        <v>150</v>
      </c>
      <c r="D2267" s="10" t="s">
        <v>147</v>
      </c>
      <c r="E2267" s="11" t="s">
        <v>137</v>
      </c>
    </row>
    <row r="2268" spans="1:5" x14ac:dyDescent="0.35">
      <c r="A2268" s="6" t="s">
        <v>135</v>
      </c>
      <c r="B2268" s="7"/>
      <c r="C2268" s="7"/>
      <c r="D2268" s="7" t="s">
        <v>148</v>
      </c>
      <c r="E2268" s="8" t="s">
        <v>137</v>
      </c>
    </row>
    <row r="2269" spans="1:5" x14ac:dyDescent="0.35">
      <c r="A2269" s="9" t="s">
        <v>135</v>
      </c>
      <c r="B2269" s="10"/>
      <c r="C2269" s="10"/>
      <c r="D2269" s="10" t="s">
        <v>149</v>
      </c>
      <c r="E2269" s="11" t="s">
        <v>137</v>
      </c>
    </row>
    <row r="2270" spans="1:5" x14ac:dyDescent="0.35">
      <c r="A2270" s="6" t="s">
        <v>65</v>
      </c>
      <c r="B2270" s="7" t="s">
        <v>145</v>
      </c>
      <c r="C2270" s="7" t="s">
        <v>146</v>
      </c>
      <c r="D2270" s="7" t="s">
        <v>147</v>
      </c>
      <c r="E2270" s="8">
        <v>1.98</v>
      </c>
    </row>
    <row r="2271" spans="1:5" x14ac:dyDescent="0.35">
      <c r="A2271" s="9" t="s">
        <v>135</v>
      </c>
      <c r="B2271" s="10"/>
      <c r="C2271" s="10"/>
      <c r="D2271" s="10" t="s">
        <v>148</v>
      </c>
      <c r="E2271" s="11" t="s">
        <v>137</v>
      </c>
    </row>
    <row r="2272" spans="1:5" x14ac:dyDescent="0.35">
      <c r="A2272" s="6" t="s">
        <v>135</v>
      </c>
      <c r="B2272" s="7"/>
      <c r="C2272" s="7"/>
      <c r="D2272" s="7" t="s">
        <v>149</v>
      </c>
      <c r="E2272" s="8">
        <v>1.98</v>
      </c>
    </row>
    <row r="2273" spans="1:5" x14ac:dyDescent="0.35">
      <c r="A2273" s="9" t="s">
        <v>135</v>
      </c>
      <c r="B2273" s="10"/>
      <c r="C2273" s="10" t="s">
        <v>150</v>
      </c>
      <c r="D2273" s="10" t="s">
        <v>147</v>
      </c>
      <c r="E2273" s="11" t="s">
        <v>137</v>
      </c>
    </row>
    <row r="2274" spans="1:5" x14ac:dyDescent="0.35">
      <c r="A2274" s="6" t="s">
        <v>135</v>
      </c>
      <c r="B2274" s="7"/>
      <c r="C2274" s="7"/>
      <c r="D2274" s="7" t="s">
        <v>148</v>
      </c>
      <c r="E2274" s="8" t="s">
        <v>137</v>
      </c>
    </row>
    <row r="2275" spans="1:5" x14ac:dyDescent="0.35">
      <c r="A2275" s="9" t="s">
        <v>135</v>
      </c>
      <c r="B2275" s="10"/>
      <c r="C2275" s="10"/>
      <c r="D2275" s="10" t="s">
        <v>149</v>
      </c>
      <c r="E2275" s="11" t="s">
        <v>137</v>
      </c>
    </row>
    <row r="2276" spans="1:5" x14ac:dyDescent="0.35">
      <c r="A2276" s="6" t="s">
        <v>135</v>
      </c>
      <c r="B2276" s="7" t="s">
        <v>151</v>
      </c>
      <c r="C2276" s="7" t="s">
        <v>146</v>
      </c>
      <c r="D2276" s="7" t="s">
        <v>147</v>
      </c>
      <c r="E2276" s="8">
        <v>1.98</v>
      </c>
    </row>
    <row r="2277" spans="1:5" x14ac:dyDescent="0.35">
      <c r="A2277" s="9" t="s">
        <v>135</v>
      </c>
      <c r="B2277" s="10"/>
      <c r="C2277" s="10"/>
      <c r="D2277" s="10" t="s">
        <v>148</v>
      </c>
      <c r="E2277" s="11" t="s">
        <v>137</v>
      </c>
    </row>
    <row r="2278" spans="1:5" x14ac:dyDescent="0.35">
      <c r="A2278" s="6" t="s">
        <v>135</v>
      </c>
      <c r="B2278" s="7"/>
      <c r="C2278" s="7"/>
      <c r="D2278" s="7" t="s">
        <v>149</v>
      </c>
      <c r="E2278" s="8">
        <v>1.98</v>
      </c>
    </row>
    <row r="2279" spans="1:5" x14ac:dyDescent="0.35">
      <c r="A2279" s="9" t="s">
        <v>135</v>
      </c>
      <c r="B2279" s="10"/>
      <c r="C2279" s="10" t="s">
        <v>150</v>
      </c>
      <c r="D2279" s="10" t="s">
        <v>147</v>
      </c>
      <c r="E2279" s="11" t="s">
        <v>137</v>
      </c>
    </row>
    <row r="2280" spans="1:5" x14ac:dyDescent="0.35">
      <c r="A2280" s="6" t="s">
        <v>135</v>
      </c>
      <c r="B2280" s="7"/>
      <c r="C2280" s="7"/>
      <c r="D2280" s="7" t="s">
        <v>148</v>
      </c>
      <c r="E2280" s="8" t="s">
        <v>137</v>
      </c>
    </row>
    <row r="2281" spans="1:5" x14ac:dyDescent="0.35">
      <c r="A2281" s="9" t="s">
        <v>135</v>
      </c>
      <c r="B2281" s="10"/>
      <c r="C2281" s="10"/>
      <c r="D2281" s="10" t="s">
        <v>149</v>
      </c>
      <c r="E2281" s="11" t="s">
        <v>137</v>
      </c>
    </row>
    <row r="2282" spans="1:5" x14ac:dyDescent="0.35">
      <c r="A2282" s="6" t="s">
        <v>135</v>
      </c>
      <c r="B2282" s="7" t="s">
        <v>152</v>
      </c>
      <c r="C2282" s="7" t="s">
        <v>146</v>
      </c>
      <c r="D2282" s="7" t="s">
        <v>147</v>
      </c>
      <c r="E2282" s="8" t="s">
        <v>137</v>
      </c>
    </row>
    <row r="2283" spans="1:5" x14ac:dyDescent="0.35">
      <c r="A2283" s="9" t="s">
        <v>135</v>
      </c>
      <c r="B2283" s="10"/>
      <c r="C2283" s="10"/>
      <c r="D2283" s="10" t="s">
        <v>148</v>
      </c>
      <c r="E2283" s="11" t="s">
        <v>137</v>
      </c>
    </row>
    <row r="2284" spans="1:5" x14ac:dyDescent="0.35">
      <c r="A2284" s="6" t="s">
        <v>135</v>
      </c>
      <c r="B2284" s="7"/>
      <c r="C2284" s="7"/>
      <c r="D2284" s="7" t="s">
        <v>149</v>
      </c>
      <c r="E2284" s="8" t="s">
        <v>137</v>
      </c>
    </row>
    <row r="2285" spans="1:5" x14ac:dyDescent="0.35">
      <c r="A2285" s="9" t="s">
        <v>135</v>
      </c>
      <c r="B2285" s="10"/>
      <c r="C2285" s="10" t="s">
        <v>150</v>
      </c>
      <c r="D2285" s="10" t="s">
        <v>147</v>
      </c>
      <c r="E2285" s="11" t="s">
        <v>137</v>
      </c>
    </row>
    <row r="2286" spans="1:5" x14ac:dyDescent="0.35">
      <c r="A2286" s="6" t="s">
        <v>135</v>
      </c>
      <c r="B2286" s="7"/>
      <c r="C2286" s="7"/>
      <c r="D2286" s="7" t="s">
        <v>148</v>
      </c>
      <c r="E2286" s="8" t="s">
        <v>137</v>
      </c>
    </row>
    <row r="2287" spans="1:5" x14ac:dyDescent="0.35">
      <c r="A2287" s="9" t="s">
        <v>135</v>
      </c>
      <c r="B2287" s="10"/>
      <c r="C2287" s="10"/>
      <c r="D2287" s="10" t="s">
        <v>149</v>
      </c>
      <c r="E2287" s="11" t="s">
        <v>137</v>
      </c>
    </row>
    <row r="2288" spans="1:5" x14ac:dyDescent="0.35">
      <c r="A2288" s="6" t="s">
        <v>135</v>
      </c>
      <c r="B2288" s="7" t="s">
        <v>153</v>
      </c>
      <c r="C2288" s="7" t="s">
        <v>146</v>
      </c>
      <c r="D2288" s="7" t="s">
        <v>147</v>
      </c>
      <c r="E2288" s="8" t="s">
        <v>137</v>
      </c>
    </row>
    <row r="2289" spans="1:5" x14ac:dyDescent="0.35">
      <c r="A2289" s="9" t="s">
        <v>135</v>
      </c>
      <c r="B2289" s="10"/>
      <c r="C2289" s="10"/>
      <c r="D2289" s="10" t="s">
        <v>148</v>
      </c>
      <c r="E2289" s="11" t="s">
        <v>137</v>
      </c>
    </row>
    <row r="2290" spans="1:5" x14ac:dyDescent="0.35">
      <c r="A2290" s="6" t="s">
        <v>135</v>
      </c>
      <c r="B2290" s="7"/>
      <c r="C2290" s="7"/>
      <c r="D2290" s="7" t="s">
        <v>149</v>
      </c>
      <c r="E2290" s="8" t="s">
        <v>137</v>
      </c>
    </row>
    <row r="2291" spans="1:5" x14ac:dyDescent="0.35">
      <c r="A2291" s="9" t="s">
        <v>135</v>
      </c>
      <c r="B2291" s="10"/>
      <c r="C2291" s="10" t="s">
        <v>150</v>
      </c>
      <c r="D2291" s="10" t="s">
        <v>147</v>
      </c>
      <c r="E2291" s="11" t="s">
        <v>137</v>
      </c>
    </row>
    <row r="2292" spans="1:5" x14ac:dyDescent="0.35">
      <c r="A2292" s="6" t="s">
        <v>135</v>
      </c>
      <c r="B2292" s="7"/>
      <c r="C2292" s="7"/>
      <c r="D2292" s="7" t="s">
        <v>148</v>
      </c>
      <c r="E2292" s="8" t="s">
        <v>137</v>
      </c>
    </row>
    <row r="2293" spans="1:5" x14ac:dyDescent="0.35">
      <c r="A2293" s="9" t="s">
        <v>135</v>
      </c>
      <c r="B2293" s="10"/>
      <c r="C2293" s="10"/>
      <c r="D2293" s="10" t="s">
        <v>149</v>
      </c>
      <c r="E2293" s="11" t="s">
        <v>137</v>
      </c>
    </row>
    <row r="2294" spans="1:5" x14ac:dyDescent="0.35">
      <c r="A2294" s="6" t="s">
        <v>135</v>
      </c>
      <c r="B2294" s="7" t="s">
        <v>154</v>
      </c>
      <c r="C2294" s="7" t="s">
        <v>146</v>
      </c>
      <c r="D2294" s="7" t="s">
        <v>147</v>
      </c>
      <c r="E2294" s="8" t="s">
        <v>137</v>
      </c>
    </row>
    <row r="2295" spans="1:5" x14ac:dyDescent="0.35">
      <c r="A2295" s="9" t="s">
        <v>135</v>
      </c>
      <c r="B2295" s="10"/>
      <c r="C2295" s="10"/>
      <c r="D2295" s="10" t="s">
        <v>148</v>
      </c>
      <c r="E2295" s="11" t="s">
        <v>137</v>
      </c>
    </row>
    <row r="2296" spans="1:5" x14ac:dyDescent="0.35">
      <c r="A2296" s="6" t="s">
        <v>135</v>
      </c>
      <c r="B2296" s="7"/>
      <c r="C2296" s="7"/>
      <c r="D2296" s="7" t="s">
        <v>149</v>
      </c>
      <c r="E2296" s="8" t="s">
        <v>137</v>
      </c>
    </row>
    <row r="2297" spans="1:5" x14ac:dyDescent="0.35">
      <c r="A2297" s="9" t="s">
        <v>135</v>
      </c>
      <c r="B2297" s="10"/>
      <c r="C2297" s="10" t="s">
        <v>150</v>
      </c>
      <c r="D2297" s="10" t="s">
        <v>147</v>
      </c>
      <c r="E2297" s="11" t="s">
        <v>137</v>
      </c>
    </row>
    <row r="2298" spans="1:5" x14ac:dyDescent="0.35">
      <c r="A2298" s="6" t="s">
        <v>135</v>
      </c>
      <c r="B2298" s="7"/>
      <c r="C2298" s="7"/>
      <c r="D2298" s="7" t="s">
        <v>148</v>
      </c>
      <c r="E2298" s="8" t="s">
        <v>137</v>
      </c>
    </row>
    <row r="2299" spans="1:5" x14ac:dyDescent="0.35">
      <c r="A2299" s="9" t="s">
        <v>135</v>
      </c>
      <c r="B2299" s="10"/>
      <c r="C2299" s="10"/>
      <c r="D2299" s="10" t="s">
        <v>149</v>
      </c>
      <c r="E2299" s="11" t="s">
        <v>137</v>
      </c>
    </row>
    <row r="2300" spans="1:5" x14ac:dyDescent="0.35">
      <c r="A2300" s="6" t="s">
        <v>135</v>
      </c>
      <c r="B2300" s="7" t="s">
        <v>155</v>
      </c>
      <c r="C2300" s="7" t="s">
        <v>146</v>
      </c>
      <c r="D2300" s="7" t="s">
        <v>147</v>
      </c>
      <c r="E2300" s="8" t="s">
        <v>137</v>
      </c>
    </row>
    <row r="2301" spans="1:5" x14ac:dyDescent="0.35">
      <c r="A2301" s="9" t="s">
        <v>135</v>
      </c>
      <c r="B2301" s="10"/>
      <c r="C2301" s="10"/>
      <c r="D2301" s="10" t="s">
        <v>148</v>
      </c>
      <c r="E2301" s="11" t="s">
        <v>137</v>
      </c>
    </row>
    <row r="2302" spans="1:5" x14ac:dyDescent="0.35">
      <c r="A2302" s="6" t="s">
        <v>135</v>
      </c>
      <c r="B2302" s="7"/>
      <c r="C2302" s="7"/>
      <c r="D2302" s="7" t="s">
        <v>149</v>
      </c>
      <c r="E2302" s="8" t="s">
        <v>137</v>
      </c>
    </row>
    <row r="2303" spans="1:5" x14ac:dyDescent="0.35">
      <c r="A2303" s="9" t="s">
        <v>135</v>
      </c>
      <c r="B2303" s="10"/>
      <c r="C2303" s="10" t="s">
        <v>150</v>
      </c>
      <c r="D2303" s="10" t="s">
        <v>147</v>
      </c>
      <c r="E2303" s="11" t="s">
        <v>137</v>
      </c>
    </row>
    <row r="2304" spans="1:5" x14ac:dyDescent="0.35">
      <c r="A2304" s="6" t="s">
        <v>135</v>
      </c>
      <c r="B2304" s="7"/>
      <c r="C2304" s="7"/>
      <c r="D2304" s="7" t="s">
        <v>148</v>
      </c>
      <c r="E2304" s="8" t="s">
        <v>137</v>
      </c>
    </row>
    <row r="2305" spans="1:5" x14ac:dyDescent="0.35">
      <c r="A2305" s="9" t="s">
        <v>135</v>
      </c>
      <c r="B2305" s="10"/>
      <c r="C2305" s="10"/>
      <c r="D2305" s="10" t="s">
        <v>149</v>
      </c>
      <c r="E2305" s="11" t="s">
        <v>137</v>
      </c>
    </row>
    <row r="2306" spans="1:5" x14ac:dyDescent="0.35">
      <c r="A2306" s="6" t="s">
        <v>135</v>
      </c>
      <c r="B2306" s="7" t="s">
        <v>156</v>
      </c>
      <c r="C2306" s="7" t="s">
        <v>146</v>
      </c>
      <c r="D2306" s="7" t="s">
        <v>147</v>
      </c>
      <c r="E2306" s="8" t="s">
        <v>137</v>
      </c>
    </row>
    <row r="2307" spans="1:5" x14ac:dyDescent="0.35">
      <c r="A2307" s="9" t="s">
        <v>135</v>
      </c>
      <c r="B2307" s="10"/>
      <c r="C2307" s="10"/>
      <c r="D2307" s="10" t="s">
        <v>148</v>
      </c>
      <c r="E2307" s="11" t="s">
        <v>137</v>
      </c>
    </row>
    <row r="2308" spans="1:5" x14ac:dyDescent="0.35">
      <c r="A2308" s="6" t="s">
        <v>135</v>
      </c>
      <c r="B2308" s="7"/>
      <c r="C2308" s="7"/>
      <c r="D2308" s="7" t="s">
        <v>149</v>
      </c>
      <c r="E2308" s="8" t="s">
        <v>137</v>
      </c>
    </row>
    <row r="2309" spans="1:5" x14ac:dyDescent="0.35">
      <c r="A2309" s="9" t="s">
        <v>135</v>
      </c>
      <c r="B2309" s="10"/>
      <c r="C2309" s="10" t="s">
        <v>150</v>
      </c>
      <c r="D2309" s="10" t="s">
        <v>147</v>
      </c>
      <c r="E2309" s="11" t="s">
        <v>137</v>
      </c>
    </row>
    <row r="2310" spans="1:5" x14ac:dyDescent="0.35">
      <c r="A2310" s="6" t="s">
        <v>135</v>
      </c>
      <c r="B2310" s="7"/>
      <c r="C2310" s="7"/>
      <c r="D2310" s="7" t="s">
        <v>148</v>
      </c>
      <c r="E2310" s="8" t="s">
        <v>137</v>
      </c>
    </row>
    <row r="2311" spans="1:5" x14ac:dyDescent="0.35">
      <c r="A2311" s="9" t="s">
        <v>135</v>
      </c>
      <c r="B2311" s="10"/>
      <c r="C2311" s="10"/>
      <c r="D2311" s="10" t="s">
        <v>149</v>
      </c>
      <c r="E2311" s="11" t="s">
        <v>137</v>
      </c>
    </row>
    <row r="2312" spans="1:5" x14ac:dyDescent="0.35">
      <c r="A2312" s="6" t="s">
        <v>135</v>
      </c>
      <c r="B2312" s="7" t="s">
        <v>157</v>
      </c>
      <c r="C2312" s="7" t="s">
        <v>146</v>
      </c>
      <c r="D2312" s="7" t="s">
        <v>147</v>
      </c>
      <c r="E2312" s="8" t="s">
        <v>137</v>
      </c>
    </row>
    <row r="2313" spans="1:5" x14ac:dyDescent="0.35">
      <c r="A2313" s="9" t="s">
        <v>135</v>
      </c>
      <c r="B2313" s="10"/>
      <c r="C2313" s="10"/>
      <c r="D2313" s="10" t="s">
        <v>148</v>
      </c>
      <c r="E2313" s="11" t="s">
        <v>137</v>
      </c>
    </row>
    <row r="2314" spans="1:5" x14ac:dyDescent="0.35">
      <c r="A2314" s="6" t="s">
        <v>135</v>
      </c>
      <c r="B2314" s="7"/>
      <c r="C2314" s="7"/>
      <c r="D2314" s="7" t="s">
        <v>149</v>
      </c>
      <c r="E2314" s="8" t="s">
        <v>137</v>
      </c>
    </row>
    <row r="2315" spans="1:5" x14ac:dyDescent="0.35">
      <c r="A2315" s="9" t="s">
        <v>135</v>
      </c>
      <c r="B2315" s="10"/>
      <c r="C2315" s="10" t="s">
        <v>150</v>
      </c>
      <c r="D2315" s="10" t="s">
        <v>147</v>
      </c>
      <c r="E2315" s="11" t="s">
        <v>137</v>
      </c>
    </row>
    <row r="2316" spans="1:5" x14ac:dyDescent="0.35">
      <c r="A2316" s="6" t="s">
        <v>135</v>
      </c>
      <c r="B2316" s="7"/>
      <c r="C2316" s="7"/>
      <c r="D2316" s="7" t="s">
        <v>148</v>
      </c>
      <c r="E2316" s="8" t="s">
        <v>137</v>
      </c>
    </row>
    <row r="2317" spans="1:5" x14ac:dyDescent="0.35">
      <c r="A2317" s="9" t="s">
        <v>135</v>
      </c>
      <c r="B2317" s="10"/>
      <c r="C2317" s="10"/>
      <c r="D2317" s="10" t="s">
        <v>149</v>
      </c>
      <c r="E2317" s="11" t="s">
        <v>137</v>
      </c>
    </row>
    <row r="2318" spans="1:5" x14ac:dyDescent="0.35">
      <c r="A2318" s="6" t="s">
        <v>135</v>
      </c>
      <c r="B2318" s="7" t="s">
        <v>158</v>
      </c>
      <c r="C2318" s="7" t="s">
        <v>146</v>
      </c>
      <c r="D2318" s="7" t="s">
        <v>147</v>
      </c>
      <c r="E2318" s="8" t="s">
        <v>137</v>
      </c>
    </row>
    <row r="2319" spans="1:5" x14ac:dyDescent="0.35">
      <c r="A2319" s="9" t="s">
        <v>135</v>
      </c>
      <c r="B2319" s="10"/>
      <c r="C2319" s="10"/>
      <c r="D2319" s="10" t="s">
        <v>148</v>
      </c>
      <c r="E2319" s="11" t="s">
        <v>137</v>
      </c>
    </row>
    <row r="2320" spans="1:5" x14ac:dyDescent="0.35">
      <c r="A2320" s="6" t="s">
        <v>135</v>
      </c>
      <c r="B2320" s="7"/>
      <c r="C2320" s="7"/>
      <c r="D2320" s="7" t="s">
        <v>149</v>
      </c>
      <c r="E2320" s="8" t="s">
        <v>137</v>
      </c>
    </row>
    <row r="2321" spans="1:5" x14ac:dyDescent="0.35">
      <c r="A2321" s="9" t="s">
        <v>135</v>
      </c>
      <c r="B2321" s="10"/>
      <c r="C2321" s="10" t="s">
        <v>150</v>
      </c>
      <c r="D2321" s="10" t="s">
        <v>147</v>
      </c>
      <c r="E2321" s="11" t="s">
        <v>137</v>
      </c>
    </row>
    <row r="2322" spans="1:5" x14ac:dyDescent="0.35">
      <c r="A2322" s="6" t="s">
        <v>135</v>
      </c>
      <c r="B2322" s="7"/>
      <c r="C2322" s="7"/>
      <c r="D2322" s="7" t="s">
        <v>148</v>
      </c>
      <c r="E2322" s="8" t="s">
        <v>137</v>
      </c>
    </row>
    <row r="2323" spans="1:5" x14ac:dyDescent="0.35">
      <c r="A2323" s="9" t="s">
        <v>135</v>
      </c>
      <c r="B2323" s="10"/>
      <c r="C2323" s="10"/>
      <c r="D2323" s="10" t="s">
        <v>149</v>
      </c>
      <c r="E2323" s="11" t="s">
        <v>137</v>
      </c>
    </row>
    <row r="2324" spans="1:5" x14ac:dyDescent="0.35">
      <c r="A2324" s="6" t="s">
        <v>135</v>
      </c>
      <c r="B2324" s="7" t="s">
        <v>159</v>
      </c>
      <c r="C2324" s="7" t="s">
        <v>146</v>
      </c>
      <c r="D2324" s="7" t="s">
        <v>147</v>
      </c>
      <c r="E2324" s="8" t="s">
        <v>137</v>
      </c>
    </row>
    <row r="2325" spans="1:5" x14ac:dyDescent="0.35">
      <c r="A2325" s="9" t="s">
        <v>135</v>
      </c>
      <c r="B2325" s="10"/>
      <c r="C2325" s="10"/>
      <c r="D2325" s="10" t="s">
        <v>148</v>
      </c>
      <c r="E2325" s="11" t="s">
        <v>137</v>
      </c>
    </row>
    <row r="2326" spans="1:5" x14ac:dyDescent="0.35">
      <c r="A2326" s="6" t="s">
        <v>135</v>
      </c>
      <c r="B2326" s="7"/>
      <c r="C2326" s="7"/>
      <c r="D2326" s="7" t="s">
        <v>149</v>
      </c>
      <c r="E2326" s="8" t="s">
        <v>137</v>
      </c>
    </row>
    <row r="2327" spans="1:5" x14ac:dyDescent="0.35">
      <c r="A2327" s="9" t="s">
        <v>135</v>
      </c>
      <c r="B2327" s="10"/>
      <c r="C2327" s="10" t="s">
        <v>150</v>
      </c>
      <c r="D2327" s="10" t="s">
        <v>147</v>
      </c>
      <c r="E2327" s="11" t="s">
        <v>137</v>
      </c>
    </row>
    <row r="2328" spans="1:5" x14ac:dyDescent="0.35">
      <c r="A2328" s="6" t="s">
        <v>135</v>
      </c>
      <c r="B2328" s="7"/>
      <c r="C2328" s="7"/>
      <c r="D2328" s="7" t="s">
        <v>148</v>
      </c>
      <c r="E2328" s="8" t="s">
        <v>137</v>
      </c>
    </row>
    <row r="2329" spans="1:5" x14ac:dyDescent="0.35">
      <c r="A2329" s="9" t="s">
        <v>135</v>
      </c>
      <c r="B2329" s="10"/>
      <c r="C2329" s="10"/>
      <c r="D2329" s="10" t="s">
        <v>149</v>
      </c>
      <c r="E2329" s="11" t="s">
        <v>137</v>
      </c>
    </row>
    <row r="2330" spans="1:5" x14ac:dyDescent="0.35">
      <c r="A2330" s="6" t="s">
        <v>135</v>
      </c>
      <c r="B2330" s="7" t="s">
        <v>160</v>
      </c>
      <c r="C2330" s="7" t="s">
        <v>146</v>
      </c>
      <c r="D2330" s="7" t="s">
        <v>147</v>
      </c>
      <c r="E2330" s="8" t="s">
        <v>137</v>
      </c>
    </row>
    <row r="2331" spans="1:5" x14ac:dyDescent="0.35">
      <c r="A2331" s="9" t="s">
        <v>135</v>
      </c>
      <c r="B2331" s="10"/>
      <c r="C2331" s="10"/>
      <c r="D2331" s="10" t="s">
        <v>148</v>
      </c>
      <c r="E2331" s="11" t="s">
        <v>137</v>
      </c>
    </row>
    <row r="2332" spans="1:5" x14ac:dyDescent="0.35">
      <c r="A2332" s="6" t="s">
        <v>135</v>
      </c>
      <c r="B2332" s="7"/>
      <c r="C2332" s="7"/>
      <c r="D2332" s="7" t="s">
        <v>149</v>
      </c>
      <c r="E2332" s="8" t="s">
        <v>137</v>
      </c>
    </row>
    <row r="2333" spans="1:5" x14ac:dyDescent="0.35">
      <c r="A2333" s="9" t="s">
        <v>135</v>
      </c>
      <c r="B2333" s="10"/>
      <c r="C2333" s="10" t="s">
        <v>150</v>
      </c>
      <c r="D2333" s="10" t="s">
        <v>147</v>
      </c>
      <c r="E2333" s="11" t="s">
        <v>137</v>
      </c>
    </row>
    <row r="2334" spans="1:5" x14ac:dyDescent="0.35">
      <c r="A2334" s="6" t="s">
        <v>135</v>
      </c>
      <c r="B2334" s="7"/>
      <c r="C2334" s="7"/>
      <c r="D2334" s="7" t="s">
        <v>148</v>
      </c>
      <c r="E2334" s="8" t="s">
        <v>137</v>
      </c>
    </row>
    <row r="2335" spans="1:5" x14ac:dyDescent="0.35">
      <c r="A2335" s="9" t="s">
        <v>135</v>
      </c>
      <c r="B2335" s="10"/>
      <c r="C2335" s="10"/>
      <c r="D2335" s="10" t="s">
        <v>149</v>
      </c>
      <c r="E2335" s="11" t="s">
        <v>137</v>
      </c>
    </row>
    <row r="2336" spans="1:5" x14ac:dyDescent="0.35">
      <c r="A2336" s="6" t="s">
        <v>135</v>
      </c>
      <c r="B2336" s="7" t="s">
        <v>161</v>
      </c>
      <c r="C2336" s="7" t="s">
        <v>146</v>
      </c>
      <c r="D2336" s="7" t="s">
        <v>147</v>
      </c>
      <c r="E2336" s="8" t="s">
        <v>137</v>
      </c>
    </row>
    <row r="2337" spans="1:5" x14ac:dyDescent="0.35">
      <c r="A2337" s="9" t="s">
        <v>135</v>
      </c>
      <c r="B2337" s="10"/>
      <c r="C2337" s="10"/>
      <c r="D2337" s="10" t="s">
        <v>148</v>
      </c>
      <c r="E2337" s="11" t="s">
        <v>137</v>
      </c>
    </row>
    <row r="2338" spans="1:5" x14ac:dyDescent="0.35">
      <c r="A2338" s="6" t="s">
        <v>135</v>
      </c>
      <c r="B2338" s="7"/>
      <c r="C2338" s="7"/>
      <c r="D2338" s="7" t="s">
        <v>149</v>
      </c>
      <c r="E2338" s="8" t="s">
        <v>137</v>
      </c>
    </row>
    <row r="2339" spans="1:5" x14ac:dyDescent="0.35">
      <c r="A2339" s="9" t="s">
        <v>135</v>
      </c>
      <c r="B2339" s="10"/>
      <c r="C2339" s="10" t="s">
        <v>150</v>
      </c>
      <c r="D2339" s="10" t="s">
        <v>147</v>
      </c>
      <c r="E2339" s="11" t="s">
        <v>137</v>
      </c>
    </row>
    <row r="2340" spans="1:5" x14ac:dyDescent="0.35">
      <c r="A2340" s="6" t="s">
        <v>135</v>
      </c>
      <c r="B2340" s="7"/>
      <c r="C2340" s="7"/>
      <c r="D2340" s="7" t="s">
        <v>148</v>
      </c>
      <c r="E2340" s="8" t="s">
        <v>137</v>
      </c>
    </row>
    <row r="2341" spans="1:5" x14ac:dyDescent="0.35">
      <c r="A2341" s="9" t="s">
        <v>135</v>
      </c>
      <c r="B2341" s="10"/>
      <c r="C2341" s="10"/>
      <c r="D2341" s="10" t="s">
        <v>149</v>
      </c>
      <c r="E2341" s="11" t="s">
        <v>137</v>
      </c>
    </row>
    <row r="2342" spans="1:5" x14ac:dyDescent="0.35">
      <c r="A2342" s="6" t="s">
        <v>135</v>
      </c>
      <c r="B2342" s="7" t="s">
        <v>162</v>
      </c>
      <c r="C2342" s="7" t="s">
        <v>146</v>
      </c>
      <c r="D2342" s="7" t="s">
        <v>147</v>
      </c>
      <c r="E2342" s="8" t="s">
        <v>137</v>
      </c>
    </row>
    <row r="2343" spans="1:5" x14ac:dyDescent="0.35">
      <c r="A2343" s="9" t="s">
        <v>135</v>
      </c>
      <c r="B2343" s="10"/>
      <c r="C2343" s="10"/>
      <c r="D2343" s="10" t="s">
        <v>148</v>
      </c>
      <c r="E2343" s="11" t="s">
        <v>137</v>
      </c>
    </row>
    <row r="2344" spans="1:5" x14ac:dyDescent="0.35">
      <c r="A2344" s="6" t="s">
        <v>135</v>
      </c>
      <c r="B2344" s="7"/>
      <c r="C2344" s="7"/>
      <c r="D2344" s="7" t="s">
        <v>149</v>
      </c>
      <c r="E2344" s="8" t="s">
        <v>137</v>
      </c>
    </row>
    <row r="2345" spans="1:5" x14ac:dyDescent="0.35">
      <c r="A2345" s="9" t="s">
        <v>135</v>
      </c>
      <c r="B2345" s="10"/>
      <c r="C2345" s="10" t="s">
        <v>150</v>
      </c>
      <c r="D2345" s="10" t="s">
        <v>147</v>
      </c>
      <c r="E2345" s="11" t="s">
        <v>137</v>
      </c>
    </row>
    <row r="2346" spans="1:5" x14ac:dyDescent="0.35">
      <c r="A2346" s="6" t="s">
        <v>135</v>
      </c>
      <c r="B2346" s="7"/>
      <c r="C2346" s="7"/>
      <c r="D2346" s="7" t="s">
        <v>148</v>
      </c>
      <c r="E2346" s="8" t="s">
        <v>137</v>
      </c>
    </row>
    <row r="2347" spans="1:5" x14ac:dyDescent="0.35">
      <c r="A2347" s="9" t="s">
        <v>135</v>
      </c>
      <c r="B2347" s="10"/>
      <c r="C2347" s="10"/>
      <c r="D2347" s="10" t="s">
        <v>149</v>
      </c>
      <c r="E2347" s="11" t="s">
        <v>137</v>
      </c>
    </row>
    <row r="2348" spans="1:5" x14ac:dyDescent="0.35">
      <c r="A2348" s="6" t="s">
        <v>135</v>
      </c>
      <c r="B2348" s="7" t="s">
        <v>163</v>
      </c>
      <c r="C2348" s="7" t="s">
        <v>146</v>
      </c>
      <c r="D2348" s="7" t="s">
        <v>147</v>
      </c>
      <c r="E2348" s="8">
        <v>28</v>
      </c>
    </row>
    <row r="2349" spans="1:5" x14ac:dyDescent="0.35">
      <c r="A2349" s="9" t="s">
        <v>135</v>
      </c>
      <c r="B2349" s="10"/>
      <c r="C2349" s="10"/>
      <c r="D2349" s="10" t="s">
        <v>148</v>
      </c>
      <c r="E2349" s="11">
        <v>28</v>
      </c>
    </row>
    <row r="2350" spans="1:5" x14ac:dyDescent="0.35">
      <c r="A2350" s="6" t="s">
        <v>135</v>
      </c>
      <c r="B2350" s="7"/>
      <c r="C2350" s="7"/>
      <c r="D2350" s="7" t="s">
        <v>149</v>
      </c>
      <c r="E2350" s="8" t="s">
        <v>137</v>
      </c>
    </row>
    <row r="2351" spans="1:5" x14ac:dyDescent="0.35">
      <c r="A2351" s="9" t="s">
        <v>135</v>
      </c>
      <c r="B2351" s="10"/>
      <c r="C2351" s="10" t="s">
        <v>150</v>
      </c>
      <c r="D2351" s="10" t="s">
        <v>147</v>
      </c>
      <c r="E2351" s="11" t="s">
        <v>137</v>
      </c>
    </row>
    <row r="2352" spans="1:5" x14ac:dyDescent="0.35">
      <c r="A2352" s="6" t="s">
        <v>135</v>
      </c>
      <c r="B2352" s="7"/>
      <c r="C2352" s="7"/>
      <c r="D2352" s="7" t="s">
        <v>148</v>
      </c>
      <c r="E2352" s="8" t="s">
        <v>137</v>
      </c>
    </row>
    <row r="2353" spans="1:5" x14ac:dyDescent="0.35">
      <c r="A2353" s="9" t="s">
        <v>135</v>
      </c>
      <c r="B2353" s="10"/>
      <c r="C2353" s="10"/>
      <c r="D2353" s="10" t="s">
        <v>149</v>
      </c>
      <c r="E2353" s="11" t="s">
        <v>137</v>
      </c>
    </row>
    <row r="2354" spans="1:5" x14ac:dyDescent="0.35">
      <c r="A2354" s="6" t="s">
        <v>135</v>
      </c>
      <c r="B2354" s="7" t="s">
        <v>164</v>
      </c>
      <c r="C2354" s="7" t="s">
        <v>146</v>
      </c>
      <c r="D2354" s="7" t="s">
        <v>147</v>
      </c>
      <c r="E2354" s="8" t="s">
        <v>137</v>
      </c>
    </row>
    <row r="2355" spans="1:5" x14ac:dyDescent="0.35">
      <c r="A2355" s="9" t="s">
        <v>135</v>
      </c>
      <c r="B2355" s="10"/>
      <c r="C2355" s="10"/>
      <c r="D2355" s="10" t="s">
        <v>148</v>
      </c>
      <c r="E2355" s="11" t="s">
        <v>137</v>
      </c>
    </row>
    <row r="2356" spans="1:5" x14ac:dyDescent="0.35">
      <c r="A2356" s="6" t="s">
        <v>135</v>
      </c>
      <c r="B2356" s="7"/>
      <c r="C2356" s="7"/>
      <c r="D2356" s="7" t="s">
        <v>149</v>
      </c>
      <c r="E2356" s="8" t="s">
        <v>137</v>
      </c>
    </row>
    <row r="2357" spans="1:5" x14ac:dyDescent="0.35">
      <c r="A2357" s="9" t="s">
        <v>135</v>
      </c>
      <c r="B2357" s="10"/>
      <c r="C2357" s="10" t="s">
        <v>150</v>
      </c>
      <c r="D2357" s="10" t="s">
        <v>147</v>
      </c>
      <c r="E2357" s="11" t="s">
        <v>137</v>
      </c>
    </row>
    <row r="2358" spans="1:5" x14ac:dyDescent="0.35">
      <c r="A2358" s="6" t="s">
        <v>135</v>
      </c>
      <c r="B2358" s="7"/>
      <c r="C2358" s="7"/>
      <c r="D2358" s="7" t="s">
        <v>148</v>
      </c>
      <c r="E2358" s="8" t="s">
        <v>137</v>
      </c>
    </row>
    <row r="2359" spans="1:5" x14ac:dyDescent="0.35">
      <c r="A2359" s="9" t="s">
        <v>135</v>
      </c>
      <c r="B2359" s="10"/>
      <c r="C2359" s="10"/>
      <c r="D2359" s="10" t="s">
        <v>149</v>
      </c>
      <c r="E2359" s="11" t="s">
        <v>137</v>
      </c>
    </row>
    <row r="2360" spans="1:5" x14ac:dyDescent="0.35">
      <c r="A2360" s="6" t="s">
        <v>135</v>
      </c>
      <c r="B2360" s="7" t="s">
        <v>165</v>
      </c>
      <c r="C2360" s="7" t="s">
        <v>146</v>
      </c>
      <c r="D2360" s="7" t="s">
        <v>147</v>
      </c>
      <c r="E2360" s="8" t="s">
        <v>137</v>
      </c>
    </row>
    <row r="2361" spans="1:5" x14ac:dyDescent="0.35">
      <c r="A2361" s="9" t="s">
        <v>135</v>
      </c>
      <c r="B2361" s="10"/>
      <c r="C2361" s="10"/>
      <c r="D2361" s="10" t="s">
        <v>148</v>
      </c>
      <c r="E2361" s="11" t="s">
        <v>137</v>
      </c>
    </row>
    <row r="2362" spans="1:5" x14ac:dyDescent="0.35">
      <c r="A2362" s="6" t="s">
        <v>135</v>
      </c>
      <c r="B2362" s="7"/>
      <c r="C2362" s="7"/>
      <c r="D2362" s="7" t="s">
        <v>149</v>
      </c>
      <c r="E2362" s="8" t="s">
        <v>137</v>
      </c>
    </row>
    <row r="2363" spans="1:5" x14ac:dyDescent="0.35">
      <c r="A2363" s="9" t="s">
        <v>135</v>
      </c>
      <c r="B2363" s="10"/>
      <c r="C2363" s="10" t="s">
        <v>150</v>
      </c>
      <c r="D2363" s="10" t="s">
        <v>147</v>
      </c>
      <c r="E2363" s="11" t="s">
        <v>137</v>
      </c>
    </row>
    <row r="2364" spans="1:5" x14ac:dyDescent="0.35">
      <c r="A2364" s="6" t="s">
        <v>135</v>
      </c>
      <c r="B2364" s="7"/>
      <c r="C2364" s="7"/>
      <c r="D2364" s="7" t="s">
        <v>148</v>
      </c>
      <c r="E2364" s="8" t="s">
        <v>137</v>
      </c>
    </row>
    <row r="2365" spans="1:5" x14ac:dyDescent="0.35">
      <c r="A2365" s="9" t="s">
        <v>135</v>
      </c>
      <c r="B2365" s="10"/>
      <c r="C2365" s="10"/>
      <c r="D2365" s="10" t="s">
        <v>149</v>
      </c>
      <c r="E2365" s="11" t="s">
        <v>137</v>
      </c>
    </row>
    <row r="2366" spans="1:5" x14ac:dyDescent="0.35">
      <c r="A2366" s="6" t="s">
        <v>135</v>
      </c>
      <c r="B2366" s="7" t="s">
        <v>166</v>
      </c>
      <c r="C2366" s="7" t="s">
        <v>146</v>
      </c>
      <c r="D2366" s="7" t="s">
        <v>147</v>
      </c>
      <c r="E2366" s="8">
        <v>28</v>
      </c>
    </row>
    <row r="2367" spans="1:5" x14ac:dyDescent="0.35">
      <c r="A2367" s="9" t="s">
        <v>135</v>
      </c>
      <c r="B2367" s="10"/>
      <c r="C2367" s="10"/>
      <c r="D2367" s="10" t="s">
        <v>148</v>
      </c>
      <c r="E2367" s="11">
        <v>28</v>
      </c>
    </row>
    <row r="2368" spans="1:5" x14ac:dyDescent="0.35">
      <c r="A2368" s="6" t="s">
        <v>135</v>
      </c>
      <c r="B2368" s="7"/>
      <c r="C2368" s="7"/>
      <c r="D2368" s="7" t="s">
        <v>149</v>
      </c>
      <c r="E2368" s="8" t="s">
        <v>137</v>
      </c>
    </row>
    <row r="2369" spans="1:5" x14ac:dyDescent="0.35">
      <c r="A2369" s="9" t="s">
        <v>135</v>
      </c>
      <c r="B2369" s="10"/>
      <c r="C2369" s="10" t="s">
        <v>150</v>
      </c>
      <c r="D2369" s="10" t="s">
        <v>147</v>
      </c>
      <c r="E2369" s="11" t="s">
        <v>137</v>
      </c>
    </row>
    <row r="2370" spans="1:5" x14ac:dyDescent="0.35">
      <c r="A2370" s="6" t="s">
        <v>135</v>
      </c>
      <c r="B2370" s="7"/>
      <c r="C2370" s="7"/>
      <c r="D2370" s="7" t="s">
        <v>148</v>
      </c>
      <c r="E2370" s="8" t="s">
        <v>137</v>
      </c>
    </row>
    <row r="2371" spans="1:5" x14ac:dyDescent="0.35">
      <c r="A2371" s="9" t="s">
        <v>135</v>
      </c>
      <c r="B2371" s="10"/>
      <c r="C2371" s="10"/>
      <c r="D2371" s="10" t="s">
        <v>149</v>
      </c>
      <c r="E2371" s="11" t="s">
        <v>137</v>
      </c>
    </row>
    <row r="2372" spans="1:5" x14ac:dyDescent="0.35">
      <c r="A2372" s="6" t="s">
        <v>135</v>
      </c>
      <c r="B2372" s="7" t="s">
        <v>167</v>
      </c>
      <c r="C2372" s="7" t="s">
        <v>146</v>
      </c>
      <c r="D2372" s="7" t="s">
        <v>147</v>
      </c>
      <c r="E2372" s="8" t="s">
        <v>137</v>
      </c>
    </row>
    <row r="2373" spans="1:5" x14ac:dyDescent="0.35">
      <c r="A2373" s="9" t="s">
        <v>135</v>
      </c>
      <c r="B2373" s="10"/>
      <c r="C2373" s="10"/>
      <c r="D2373" s="10" t="s">
        <v>148</v>
      </c>
      <c r="E2373" s="11" t="s">
        <v>137</v>
      </c>
    </row>
    <row r="2374" spans="1:5" x14ac:dyDescent="0.35">
      <c r="A2374" s="6" t="s">
        <v>135</v>
      </c>
      <c r="B2374" s="7"/>
      <c r="C2374" s="7"/>
      <c r="D2374" s="7" t="s">
        <v>149</v>
      </c>
      <c r="E2374" s="8" t="s">
        <v>137</v>
      </c>
    </row>
    <row r="2375" spans="1:5" x14ac:dyDescent="0.35">
      <c r="A2375" s="9" t="s">
        <v>135</v>
      </c>
      <c r="B2375" s="10"/>
      <c r="C2375" s="10" t="s">
        <v>150</v>
      </c>
      <c r="D2375" s="10" t="s">
        <v>147</v>
      </c>
      <c r="E2375" s="11" t="s">
        <v>137</v>
      </c>
    </row>
    <row r="2376" spans="1:5" x14ac:dyDescent="0.35">
      <c r="A2376" s="6" t="s">
        <v>135</v>
      </c>
      <c r="B2376" s="7"/>
      <c r="C2376" s="7"/>
      <c r="D2376" s="7" t="s">
        <v>148</v>
      </c>
      <c r="E2376" s="8" t="s">
        <v>137</v>
      </c>
    </row>
    <row r="2377" spans="1:5" x14ac:dyDescent="0.35">
      <c r="A2377" s="9" t="s">
        <v>135</v>
      </c>
      <c r="B2377" s="10"/>
      <c r="C2377" s="10"/>
      <c r="D2377" s="10" t="s">
        <v>149</v>
      </c>
      <c r="E2377" s="11" t="s">
        <v>137</v>
      </c>
    </row>
    <row r="2378" spans="1:5" x14ac:dyDescent="0.35">
      <c r="A2378" s="6" t="s">
        <v>135</v>
      </c>
      <c r="B2378" s="7" t="s">
        <v>168</v>
      </c>
      <c r="C2378" s="7" t="s">
        <v>146</v>
      </c>
      <c r="D2378" s="7" t="s">
        <v>147</v>
      </c>
      <c r="E2378" s="8" t="s">
        <v>137</v>
      </c>
    </row>
    <row r="2379" spans="1:5" x14ac:dyDescent="0.35">
      <c r="A2379" s="9" t="s">
        <v>135</v>
      </c>
      <c r="B2379" s="10"/>
      <c r="C2379" s="10"/>
      <c r="D2379" s="10" t="s">
        <v>148</v>
      </c>
      <c r="E2379" s="11" t="s">
        <v>137</v>
      </c>
    </row>
    <row r="2380" spans="1:5" x14ac:dyDescent="0.35">
      <c r="A2380" s="6" t="s">
        <v>135</v>
      </c>
      <c r="B2380" s="7"/>
      <c r="C2380" s="7"/>
      <c r="D2380" s="7" t="s">
        <v>149</v>
      </c>
      <c r="E2380" s="8" t="s">
        <v>137</v>
      </c>
    </row>
    <row r="2381" spans="1:5" x14ac:dyDescent="0.35">
      <c r="A2381" s="9" t="s">
        <v>135</v>
      </c>
      <c r="B2381" s="10"/>
      <c r="C2381" s="10" t="s">
        <v>150</v>
      </c>
      <c r="D2381" s="10" t="s">
        <v>147</v>
      </c>
      <c r="E2381" s="11" t="s">
        <v>137</v>
      </c>
    </row>
    <row r="2382" spans="1:5" x14ac:dyDescent="0.35">
      <c r="A2382" s="6" t="s">
        <v>135</v>
      </c>
      <c r="B2382" s="7"/>
      <c r="C2382" s="7"/>
      <c r="D2382" s="7" t="s">
        <v>148</v>
      </c>
      <c r="E2382" s="8" t="s">
        <v>137</v>
      </c>
    </row>
    <row r="2383" spans="1:5" x14ac:dyDescent="0.35">
      <c r="A2383" s="9" t="s">
        <v>135</v>
      </c>
      <c r="B2383" s="10"/>
      <c r="C2383" s="10"/>
      <c r="D2383" s="10" t="s">
        <v>149</v>
      </c>
      <c r="E2383" s="11" t="s">
        <v>137</v>
      </c>
    </row>
    <row r="2384" spans="1:5" x14ac:dyDescent="0.35">
      <c r="A2384" s="6" t="s">
        <v>135</v>
      </c>
      <c r="B2384" s="7" t="s">
        <v>169</v>
      </c>
      <c r="C2384" s="7" t="s">
        <v>146</v>
      </c>
      <c r="D2384" s="7" t="s">
        <v>147</v>
      </c>
      <c r="E2384" s="8" t="s">
        <v>137</v>
      </c>
    </row>
    <row r="2385" spans="1:5" x14ac:dyDescent="0.35">
      <c r="A2385" s="9" t="s">
        <v>135</v>
      </c>
      <c r="B2385" s="10"/>
      <c r="C2385" s="10"/>
      <c r="D2385" s="10" t="s">
        <v>148</v>
      </c>
      <c r="E2385" s="11" t="s">
        <v>137</v>
      </c>
    </row>
    <row r="2386" spans="1:5" x14ac:dyDescent="0.35">
      <c r="A2386" s="6" t="s">
        <v>135</v>
      </c>
      <c r="B2386" s="7"/>
      <c r="C2386" s="7"/>
      <c r="D2386" s="7" t="s">
        <v>149</v>
      </c>
      <c r="E2386" s="8" t="s">
        <v>137</v>
      </c>
    </row>
    <row r="2387" spans="1:5" x14ac:dyDescent="0.35">
      <c r="A2387" s="9" t="s">
        <v>135</v>
      </c>
      <c r="B2387" s="10"/>
      <c r="C2387" s="10" t="s">
        <v>150</v>
      </c>
      <c r="D2387" s="10" t="s">
        <v>147</v>
      </c>
      <c r="E2387" s="11" t="s">
        <v>137</v>
      </c>
    </row>
    <row r="2388" spans="1:5" x14ac:dyDescent="0.35">
      <c r="A2388" s="6" t="s">
        <v>135</v>
      </c>
      <c r="B2388" s="7"/>
      <c r="C2388" s="7"/>
      <c r="D2388" s="7" t="s">
        <v>148</v>
      </c>
      <c r="E2388" s="8" t="s">
        <v>137</v>
      </c>
    </row>
    <row r="2389" spans="1:5" x14ac:dyDescent="0.35">
      <c r="A2389" s="9" t="s">
        <v>135</v>
      </c>
      <c r="B2389" s="10"/>
      <c r="C2389" s="10"/>
      <c r="D2389" s="10" t="s">
        <v>149</v>
      </c>
      <c r="E2389" s="11" t="s">
        <v>137</v>
      </c>
    </row>
    <row r="2390" spans="1:5" x14ac:dyDescent="0.35">
      <c r="A2390" s="6" t="s">
        <v>135</v>
      </c>
      <c r="B2390" s="7" t="s">
        <v>170</v>
      </c>
      <c r="C2390" s="7" t="s">
        <v>146</v>
      </c>
      <c r="D2390" s="7" t="s">
        <v>147</v>
      </c>
      <c r="E2390" s="8" t="s">
        <v>137</v>
      </c>
    </row>
    <row r="2391" spans="1:5" x14ac:dyDescent="0.35">
      <c r="A2391" s="9" t="s">
        <v>135</v>
      </c>
      <c r="B2391" s="10"/>
      <c r="C2391" s="10"/>
      <c r="D2391" s="10" t="s">
        <v>148</v>
      </c>
      <c r="E2391" s="11" t="s">
        <v>137</v>
      </c>
    </row>
    <row r="2392" spans="1:5" x14ac:dyDescent="0.35">
      <c r="A2392" s="6" t="s">
        <v>135</v>
      </c>
      <c r="B2392" s="7"/>
      <c r="C2392" s="7"/>
      <c r="D2392" s="7" t="s">
        <v>149</v>
      </c>
      <c r="E2392" s="8" t="s">
        <v>137</v>
      </c>
    </row>
    <row r="2393" spans="1:5" x14ac:dyDescent="0.35">
      <c r="A2393" s="9" t="s">
        <v>135</v>
      </c>
      <c r="B2393" s="10"/>
      <c r="C2393" s="10" t="s">
        <v>150</v>
      </c>
      <c r="D2393" s="10" t="s">
        <v>147</v>
      </c>
      <c r="E2393" s="11" t="s">
        <v>137</v>
      </c>
    </row>
    <row r="2394" spans="1:5" x14ac:dyDescent="0.35">
      <c r="A2394" s="6" t="s">
        <v>135</v>
      </c>
      <c r="B2394" s="7"/>
      <c r="C2394" s="7"/>
      <c r="D2394" s="7" t="s">
        <v>148</v>
      </c>
      <c r="E2394" s="8" t="s">
        <v>137</v>
      </c>
    </row>
    <row r="2395" spans="1:5" x14ac:dyDescent="0.35">
      <c r="A2395" s="9" t="s">
        <v>135</v>
      </c>
      <c r="B2395" s="10"/>
      <c r="C2395" s="10"/>
      <c r="D2395" s="10" t="s">
        <v>149</v>
      </c>
      <c r="E2395" s="11" t="s">
        <v>137</v>
      </c>
    </row>
    <row r="2396" spans="1:5" x14ac:dyDescent="0.35">
      <c r="A2396" s="6" t="s">
        <v>105</v>
      </c>
      <c r="B2396" s="7" t="s">
        <v>145</v>
      </c>
      <c r="C2396" s="7" t="s">
        <v>146</v>
      </c>
      <c r="D2396" s="7" t="s">
        <v>147</v>
      </c>
      <c r="E2396" s="8">
        <v>31.74</v>
      </c>
    </row>
    <row r="2397" spans="1:5" x14ac:dyDescent="0.35">
      <c r="A2397" s="9" t="s">
        <v>135</v>
      </c>
      <c r="B2397" s="10"/>
      <c r="C2397" s="10"/>
      <c r="D2397" s="10" t="s">
        <v>148</v>
      </c>
      <c r="E2397" s="11">
        <v>28</v>
      </c>
    </row>
    <row r="2398" spans="1:5" x14ac:dyDescent="0.35">
      <c r="A2398" s="6" t="s">
        <v>135</v>
      </c>
      <c r="B2398" s="7"/>
      <c r="C2398" s="7"/>
      <c r="D2398" s="7" t="s">
        <v>149</v>
      </c>
      <c r="E2398" s="8">
        <v>3.74</v>
      </c>
    </row>
    <row r="2399" spans="1:5" x14ac:dyDescent="0.35">
      <c r="A2399" s="9" t="s">
        <v>135</v>
      </c>
      <c r="B2399" s="10"/>
      <c r="C2399" s="10" t="s">
        <v>150</v>
      </c>
      <c r="D2399" s="10" t="s">
        <v>147</v>
      </c>
      <c r="E2399" s="11" t="s">
        <v>137</v>
      </c>
    </row>
    <row r="2400" spans="1:5" x14ac:dyDescent="0.35">
      <c r="A2400" s="6" t="s">
        <v>135</v>
      </c>
      <c r="B2400" s="7"/>
      <c r="C2400" s="7"/>
      <c r="D2400" s="7" t="s">
        <v>148</v>
      </c>
      <c r="E2400" s="8" t="s">
        <v>137</v>
      </c>
    </row>
    <row r="2401" spans="1:5" x14ac:dyDescent="0.35">
      <c r="A2401" s="9" t="s">
        <v>135</v>
      </c>
      <c r="B2401" s="10"/>
      <c r="C2401" s="10"/>
      <c r="D2401" s="10" t="s">
        <v>149</v>
      </c>
      <c r="E2401" s="11" t="s">
        <v>137</v>
      </c>
    </row>
    <row r="2402" spans="1:5" x14ac:dyDescent="0.35">
      <c r="A2402" s="6" t="s">
        <v>135</v>
      </c>
      <c r="B2402" s="7" t="s">
        <v>151</v>
      </c>
      <c r="C2402" s="7" t="s">
        <v>146</v>
      </c>
      <c r="D2402" s="7" t="s">
        <v>147</v>
      </c>
      <c r="E2402" s="8">
        <v>31.74</v>
      </c>
    </row>
    <row r="2403" spans="1:5" x14ac:dyDescent="0.35">
      <c r="A2403" s="9" t="s">
        <v>135</v>
      </c>
      <c r="B2403" s="10"/>
      <c r="C2403" s="10"/>
      <c r="D2403" s="10" t="s">
        <v>148</v>
      </c>
      <c r="E2403" s="11">
        <v>28</v>
      </c>
    </row>
    <row r="2404" spans="1:5" x14ac:dyDescent="0.35">
      <c r="A2404" s="6" t="s">
        <v>135</v>
      </c>
      <c r="B2404" s="7"/>
      <c r="C2404" s="7"/>
      <c r="D2404" s="7" t="s">
        <v>149</v>
      </c>
      <c r="E2404" s="8">
        <v>3.74</v>
      </c>
    </row>
    <row r="2405" spans="1:5" x14ac:dyDescent="0.35">
      <c r="A2405" s="9" t="s">
        <v>135</v>
      </c>
      <c r="B2405" s="10"/>
      <c r="C2405" s="10" t="s">
        <v>150</v>
      </c>
      <c r="D2405" s="10" t="s">
        <v>147</v>
      </c>
      <c r="E2405" s="11" t="s">
        <v>137</v>
      </c>
    </row>
    <row r="2406" spans="1:5" x14ac:dyDescent="0.35">
      <c r="A2406" s="6" t="s">
        <v>135</v>
      </c>
      <c r="B2406" s="7"/>
      <c r="C2406" s="7"/>
      <c r="D2406" s="7" t="s">
        <v>148</v>
      </c>
      <c r="E2406" s="8" t="s">
        <v>137</v>
      </c>
    </row>
    <row r="2407" spans="1:5" x14ac:dyDescent="0.35">
      <c r="A2407" s="9" t="s">
        <v>135</v>
      </c>
      <c r="B2407" s="10"/>
      <c r="C2407" s="10"/>
      <c r="D2407" s="10" t="s">
        <v>149</v>
      </c>
      <c r="E2407" s="11" t="s">
        <v>137</v>
      </c>
    </row>
    <row r="2408" spans="1:5" x14ac:dyDescent="0.35">
      <c r="A2408" s="6" t="s">
        <v>135</v>
      </c>
      <c r="B2408" s="7" t="s">
        <v>152</v>
      </c>
      <c r="C2408" s="7" t="s">
        <v>146</v>
      </c>
      <c r="D2408" s="7" t="s">
        <v>147</v>
      </c>
      <c r="E2408" s="8" t="s">
        <v>137</v>
      </c>
    </row>
    <row r="2409" spans="1:5" x14ac:dyDescent="0.35">
      <c r="A2409" s="9" t="s">
        <v>135</v>
      </c>
      <c r="B2409" s="10"/>
      <c r="C2409" s="10"/>
      <c r="D2409" s="10" t="s">
        <v>148</v>
      </c>
      <c r="E2409" s="11" t="s">
        <v>137</v>
      </c>
    </row>
    <row r="2410" spans="1:5" x14ac:dyDescent="0.35">
      <c r="A2410" s="6" t="s">
        <v>135</v>
      </c>
      <c r="B2410" s="7"/>
      <c r="C2410" s="7"/>
      <c r="D2410" s="7" t="s">
        <v>149</v>
      </c>
      <c r="E2410" s="8" t="s">
        <v>137</v>
      </c>
    </row>
    <row r="2411" spans="1:5" x14ac:dyDescent="0.35">
      <c r="A2411" s="9" t="s">
        <v>135</v>
      </c>
      <c r="B2411" s="10"/>
      <c r="C2411" s="10" t="s">
        <v>150</v>
      </c>
      <c r="D2411" s="10" t="s">
        <v>147</v>
      </c>
      <c r="E2411" s="11" t="s">
        <v>137</v>
      </c>
    </row>
    <row r="2412" spans="1:5" x14ac:dyDescent="0.35">
      <c r="A2412" s="6" t="s">
        <v>135</v>
      </c>
      <c r="B2412" s="7"/>
      <c r="C2412" s="7"/>
      <c r="D2412" s="7" t="s">
        <v>148</v>
      </c>
      <c r="E2412" s="8" t="s">
        <v>137</v>
      </c>
    </row>
    <row r="2413" spans="1:5" x14ac:dyDescent="0.35">
      <c r="A2413" s="9" t="s">
        <v>135</v>
      </c>
      <c r="B2413" s="10"/>
      <c r="C2413" s="10"/>
      <c r="D2413" s="10" t="s">
        <v>149</v>
      </c>
      <c r="E2413" s="11" t="s">
        <v>137</v>
      </c>
    </row>
    <row r="2414" spans="1:5" x14ac:dyDescent="0.35">
      <c r="A2414" s="6" t="s">
        <v>135</v>
      </c>
      <c r="B2414" s="7" t="s">
        <v>153</v>
      </c>
      <c r="C2414" s="7" t="s">
        <v>146</v>
      </c>
      <c r="D2414" s="7" t="s">
        <v>147</v>
      </c>
      <c r="E2414" s="8" t="s">
        <v>137</v>
      </c>
    </row>
    <row r="2415" spans="1:5" x14ac:dyDescent="0.35">
      <c r="A2415" s="9" t="s">
        <v>135</v>
      </c>
      <c r="B2415" s="10"/>
      <c r="C2415" s="10"/>
      <c r="D2415" s="10" t="s">
        <v>148</v>
      </c>
      <c r="E2415" s="11" t="s">
        <v>137</v>
      </c>
    </row>
    <row r="2416" spans="1:5" x14ac:dyDescent="0.35">
      <c r="A2416" s="6" t="s">
        <v>135</v>
      </c>
      <c r="B2416" s="7"/>
      <c r="C2416" s="7"/>
      <c r="D2416" s="7" t="s">
        <v>149</v>
      </c>
      <c r="E2416" s="8" t="s">
        <v>137</v>
      </c>
    </row>
    <row r="2417" spans="1:5" x14ac:dyDescent="0.35">
      <c r="A2417" s="9" t="s">
        <v>135</v>
      </c>
      <c r="B2417" s="10"/>
      <c r="C2417" s="10" t="s">
        <v>150</v>
      </c>
      <c r="D2417" s="10" t="s">
        <v>147</v>
      </c>
      <c r="E2417" s="11" t="s">
        <v>137</v>
      </c>
    </row>
    <row r="2418" spans="1:5" x14ac:dyDescent="0.35">
      <c r="A2418" s="6" t="s">
        <v>135</v>
      </c>
      <c r="B2418" s="7"/>
      <c r="C2418" s="7"/>
      <c r="D2418" s="7" t="s">
        <v>148</v>
      </c>
      <c r="E2418" s="8" t="s">
        <v>137</v>
      </c>
    </row>
    <row r="2419" spans="1:5" x14ac:dyDescent="0.35">
      <c r="A2419" s="9" t="s">
        <v>135</v>
      </c>
      <c r="B2419" s="10"/>
      <c r="C2419" s="10"/>
      <c r="D2419" s="10" t="s">
        <v>149</v>
      </c>
      <c r="E2419" s="11" t="s">
        <v>137</v>
      </c>
    </row>
    <row r="2420" spans="1:5" x14ac:dyDescent="0.35">
      <c r="A2420" s="6" t="s">
        <v>135</v>
      </c>
      <c r="B2420" s="7" t="s">
        <v>154</v>
      </c>
      <c r="C2420" s="7" t="s">
        <v>146</v>
      </c>
      <c r="D2420" s="7" t="s">
        <v>147</v>
      </c>
      <c r="E2420" s="8" t="s">
        <v>137</v>
      </c>
    </row>
    <row r="2421" spans="1:5" x14ac:dyDescent="0.35">
      <c r="A2421" s="9" t="s">
        <v>135</v>
      </c>
      <c r="B2421" s="10"/>
      <c r="C2421" s="10"/>
      <c r="D2421" s="10" t="s">
        <v>148</v>
      </c>
      <c r="E2421" s="11" t="s">
        <v>137</v>
      </c>
    </row>
    <row r="2422" spans="1:5" x14ac:dyDescent="0.35">
      <c r="A2422" s="6" t="s">
        <v>135</v>
      </c>
      <c r="B2422" s="7"/>
      <c r="C2422" s="7"/>
      <c r="D2422" s="7" t="s">
        <v>149</v>
      </c>
      <c r="E2422" s="8" t="s">
        <v>137</v>
      </c>
    </row>
    <row r="2423" spans="1:5" x14ac:dyDescent="0.35">
      <c r="A2423" s="9" t="s">
        <v>135</v>
      </c>
      <c r="B2423" s="10"/>
      <c r="C2423" s="10" t="s">
        <v>150</v>
      </c>
      <c r="D2423" s="10" t="s">
        <v>147</v>
      </c>
      <c r="E2423" s="11" t="s">
        <v>137</v>
      </c>
    </row>
    <row r="2424" spans="1:5" x14ac:dyDescent="0.35">
      <c r="A2424" s="6" t="s">
        <v>135</v>
      </c>
      <c r="B2424" s="7"/>
      <c r="C2424" s="7"/>
      <c r="D2424" s="7" t="s">
        <v>148</v>
      </c>
      <c r="E2424" s="8" t="s">
        <v>137</v>
      </c>
    </row>
    <row r="2425" spans="1:5" x14ac:dyDescent="0.35">
      <c r="A2425" s="9" t="s">
        <v>135</v>
      </c>
      <c r="B2425" s="10"/>
      <c r="C2425" s="10"/>
      <c r="D2425" s="10" t="s">
        <v>149</v>
      </c>
      <c r="E2425" s="11" t="s">
        <v>137</v>
      </c>
    </row>
    <row r="2426" spans="1:5" x14ac:dyDescent="0.35">
      <c r="A2426" s="6" t="s">
        <v>135</v>
      </c>
      <c r="B2426" s="7" t="s">
        <v>155</v>
      </c>
      <c r="C2426" s="7" t="s">
        <v>146</v>
      </c>
      <c r="D2426" s="7" t="s">
        <v>147</v>
      </c>
      <c r="E2426" s="8" t="s">
        <v>137</v>
      </c>
    </row>
    <row r="2427" spans="1:5" x14ac:dyDescent="0.35">
      <c r="A2427" s="9" t="s">
        <v>135</v>
      </c>
      <c r="B2427" s="10"/>
      <c r="C2427" s="10"/>
      <c r="D2427" s="10" t="s">
        <v>148</v>
      </c>
      <c r="E2427" s="11" t="s">
        <v>137</v>
      </c>
    </row>
    <row r="2428" spans="1:5" x14ac:dyDescent="0.35">
      <c r="A2428" s="6" t="s">
        <v>135</v>
      </c>
      <c r="B2428" s="7"/>
      <c r="C2428" s="7"/>
      <c r="D2428" s="7" t="s">
        <v>149</v>
      </c>
      <c r="E2428" s="8" t="s">
        <v>137</v>
      </c>
    </row>
    <row r="2429" spans="1:5" x14ac:dyDescent="0.35">
      <c r="A2429" s="9" t="s">
        <v>135</v>
      </c>
      <c r="B2429" s="10"/>
      <c r="C2429" s="10" t="s">
        <v>150</v>
      </c>
      <c r="D2429" s="10" t="s">
        <v>147</v>
      </c>
      <c r="E2429" s="11" t="s">
        <v>137</v>
      </c>
    </row>
    <row r="2430" spans="1:5" x14ac:dyDescent="0.35">
      <c r="A2430" s="6" t="s">
        <v>135</v>
      </c>
      <c r="B2430" s="7"/>
      <c r="C2430" s="7"/>
      <c r="D2430" s="7" t="s">
        <v>148</v>
      </c>
      <c r="E2430" s="8" t="s">
        <v>137</v>
      </c>
    </row>
    <row r="2431" spans="1:5" x14ac:dyDescent="0.35">
      <c r="A2431" s="9" t="s">
        <v>135</v>
      </c>
      <c r="B2431" s="10"/>
      <c r="C2431" s="10"/>
      <c r="D2431" s="10" t="s">
        <v>149</v>
      </c>
      <c r="E2431" s="11" t="s">
        <v>137</v>
      </c>
    </row>
    <row r="2432" spans="1:5" x14ac:dyDescent="0.35">
      <c r="A2432" s="6" t="s">
        <v>135</v>
      </c>
      <c r="B2432" s="7" t="s">
        <v>156</v>
      </c>
      <c r="C2432" s="7" t="s">
        <v>146</v>
      </c>
      <c r="D2432" s="7" t="s">
        <v>147</v>
      </c>
      <c r="E2432" s="8" t="s">
        <v>137</v>
      </c>
    </row>
    <row r="2433" spans="1:5" x14ac:dyDescent="0.35">
      <c r="A2433" s="9" t="s">
        <v>135</v>
      </c>
      <c r="B2433" s="10"/>
      <c r="C2433" s="10"/>
      <c r="D2433" s="10" t="s">
        <v>148</v>
      </c>
      <c r="E2433" s="11" t="s">
        <v>137</v>
      </c>
    </row>
    <row r="2434" spans="1:5" x14ac:dyDescent="0.35">
      <c r="A2434" s="6" t="s">
        <v>135</v>
      </c>
      <c r="B2434" s="7"/>
      <c r="C2434" s="7"/>
      <c r="D2434" s="7" t="s">
        <v>149</v>
      </c>
      <c r="E2434" s="8" t="s">
        <v>137</v>
      </c>
    </row>
    <row r="2435" spans="1:5" x14ac:dyDescent="0.35">
      <c r="A2435" s="9" t="s">
        <v>135</v>
      </c>
      <c r="B2435" s="10"/>
      <c r="C2435" s="10" t="s">
        <v>150</v>
      </c>
      <c r="D2435" s="10" t="s">
        <v>147</v>
      </c>
      <c r="E2435" s="11" t="s">
        <v>137</v>
      </c>
    </row>
    <row r="2436" spans="1:5" x14ac:dyDescent="0.35">
      <c r="A2436" s="6" t="s">
        <v>135</v>
      </c>
      <c r="B2436" s="7"/>
      <c r="C2436" s="7"/>
      <c r="D2436" s="7" t="s">
        <v>148</v>
      </c>
      <c r="E2436" s="8" t="s">
        <v>137</v>
      </c>
    </row>
    <row r="2437" spans="1:5" x14ac:dyDescent="0.35">
      <c r="A2437" s="9" t="s">
        <v>135</v>
      </c>
      <c r="B2437" s="10"/>
      <c r="C2437" s="10"/>
      <c r="D2437" s="10" t="s">
        <v>149</v>
      </c>
      <c r="E2437" s="11" t="s">
        <v>137</v>
      </c>
    </row>
    <row r="2438" spans="1:5" x14ac:dyDescent="0.35">
      <c r="A2438" s="6" t="s">
        <v>135</v>
      </c>
      <c r="B2438" s="7" t="s">
        <v>157</v>
      </c>
      <c r="C2438" s="7" t="s">
        <v>146</v>
      </c>
      <c r="D2438" s="7" t="s">
        <v>147</v>
      </c>
      <c r="E2438" s="8" t="s">
        <v>137</v>
      </c>
    </row>
    <row r="2439" spans="1:5" x14ac:dyDescent="0.35">
      <c r="A2439" s="9" t="s">
        <v>135</v>
      </c>
      <c r="B2439" s="10"/>
      <c r="C2439" s="10"/>
      <c r="D2439" s="10" t="s">
        <v>148</v>
      </c>
      <c r="E2439" s="11" t="s">
        <v>137</v>
      </c>
    </row>
    <row r="2440" spans="1:5" x14ac:dyDescent="0.35">
      <c r="A2440" s="6" t="s">
        <v>135</v>
      </c>
      <c r="B2440" s="7"/>
      <c r="C2440" s="7"/>
      <c r="D2440" s="7" t="s">
        <v>149</v>
      </c>
      <c r="E2440" s="8" t="s">
        <v>137</v>
      </c>
    </row>
    <row r="2441" spans="1:5" x14ac:dyDescent="0.35">
      <c r="A2441" s="9" t="s">
        <v>135</v>
      </c>
      <c r="B2441" s="10"/>
      <c r="C2441" s="10" t="s">
        <v>150</v>
      </c>
      <c r="D2441" s="10" t="s">
        <v>147</v>
      </c>
      <c r="E2441" s="11" t="s">
        <v>137</v>
      </c>
    </row>
    <row r="2442" spans="1:5" x14ac:dyDescent="0.35">
      <c r="A2442" s="6" t="s">
        <v>135</v>
      </c>
      <c r="B2442" s="7"/>
      <c r="C2442" s="7"/>
      <c r="D2442" s="7" t="s">
        <v>148</v>
      </c>
      <c r="E2442" s="8" t="s">
        <v>137</v>
      </c>
    </row>
    <row r="2443" spans="1:5" x14ac:dyDescent="0.35">
      <c r="A2443" s="9" t="s">
        <v>135</v>
      </c>
      <c r="B2443" s="10"/>
      <c r="C2443" s="10"/>
      <c r="D2443" s="10" t="s">
        <v>149</v>
      </c>
      <c r="E2443" s="11" t="s">
        <v>137</v>
      </c>
    </row>
    <row r="2444" spans="1:5" x14ac:dyDescent="0.35">
      <c r="A2444" s="6" t="s">
        <v>135</v>
      </c>
      <c r="B2444" s="7" t="s">
        <v>158</v>
      </c>
      <c r="C2444" s="7" t="s">
        <v>146</v>
      </c>
      <c r="D2444" s="7" t="s">
        <v>147</v>
      </c>
      <c r="E2444" s="8" t="s">
        <v>137</v>
      </c>
    </row>
    <row r="2445" spans="1:5" x14ac:dyDescent="0.35">
      <c r="A2445" s="9" t="s">
        <v>135</v>
      </c>
      <c r="B2445" s="10"/>
      <c r="C2445" s="10"/>
      <c r="D2445" s="10" t="s">
        <v>148</v>
      </c>
      <c r="E2445" s="11" t="s">
        <v>137</v>
      </c>
    </row>
    <row r="2446" spans="1:5" x14ac:dyDescent="0.35">
      <c r="A2446" s="6" t="s">
        <v>135</v>
      </c>
      <c r="B2446" s="7"/>
      <c r="C2446" s="7"/>
      <c r="D2446" s="7" t="s">
        <v>149</v>
      </c>
      <c r="E2446" s="8" t="s">
        <v>137</v>
      </c>
    </row>
    <row r="2447" spans="1:5" x14ac:dyDescent="0.35">
      <c r="A2447" s="9" t="s">
        <v>135</v>
      </c>
      <c r="B2447" s="10"/>
      <c r="C2447" s="10" t="s">
        <v>150</v>
      </c>
      <c r="D2447" s="10" t="s">
        <v>147</v>
      </c>
      <c r="E2447" s="11" t="s">
        <v>137</v>
      </c>
    </row>
    <row r="2448" spans="1:5" x14ac:dyDescent="0.35">
      <c r="A2448" s="6" t="s">
        <v>135</v>
      </c>
      <c r="B2448" s="7"/>
      <c r="C2448" s="7"/>
      <c r="D2448" s="7" t="s">
        <v>148</v>
      </c>
      <c r="E2448" s="8" t="s">
        <v>137</v>
      </c>
    </row>
    <row r="2449" spans="1:5" x14ac:dyDescent="0.35">
      <c r="A2449" s="9" t="s">
        <v>135</v>
      </c>
      <c r="B2449" s="10"/>
      <c r="C2449" s="10"/>
      <c r="D2449" s="10" t="s">
        <v>149</v>
      </c>
      <c r="E2449" s="11" t="s">
        <v>137</v>
      </c>
    </row>
    <row r="2450" spans="1:5" x14ac:dyDescent="0.35">
      <c r="A2450" s="6" t="s">
        <v>135</v>
      </c>
      <c r="B2450" s="7" t="s">
        <v>159</v>
      </c>
      <c r="C2450" s="7" t="s">
        <v>146</v>
      </c>
      <c r="D2450" s="7" t="s">
        <v>147</v>
      </c>
      <c r="E2450" s="8" t="s">
        <v>137</v>
      </c>
    </row>
    <row r="2451" spans="1:5" x14ac:dyDescent="0.35">
      <c r="A2451" s="9" t="s">
        <v>135</v>
      </c>
      <c r="B2451" s="10"/>
      <c r="C2451" s="10"/>
      <c r="D2451" s="10" t="s">
        <v>148</v>
      </c>
      <c r="E2451" s="11" t="s">
        <v>137</v>
      </c>
    </row>
    <row r="2452" spans="1:5" x14ac:dyDescent="0.35">
      <c r="A2452" s="6" t="s">
        <v>135</v>
      </c>
      <c r="B2452" s="7"/>
      <c r="C2452" s="7"/>
      <c r="D2452" s="7" t="s">
        <v>149</v>
      </c>
      <c r="E2452" s="8" t="s">
        <v>137</v>
      </c>
    </row>
    <row r="2453" spans="1:5" x14ac:dyDescent="0.35">
      <c r="A2453" s="9" t="s">
        <v>135</v>
      </c>
      <c r="B2453" s="10"/>
      <c r="C2453" s="10" t="s">
        <v>150</v>
      </c>
      <c r="D2453" s="10" t="s">
        <v>147</v>
      </c>
      <c r="E2453" s="11" t="s">
        <v>137</v>
      </c>
    </row>
    <row r="2454" spans="1:5" x14ac:dyDescent="0.35">
      <c r="A2454" s="6" t="s">
        <v>135</v>
      </c>
      <c r="B2454" s="7"/>
      <c r="C2454" s="7"/>
      <c r="D2454" s="7" t="s">
        <v>148</v>
      </c>
      <c r="E2454" s="8" t="s">
        <v>137</v>
      </c>
    </row>
    <row r="2455" spans="1:5" x14ac:dyDescent="0.35">
      <c r="A2455" s="9" t="s">
        <v>135</v>
      </c>
      <c r="B2455" s="10"/>
      <c r="C2455" s="10"/>
      <c r="D2455" s="10" t="s">
        <v>149</v>
      </c>
      <c r="E2455" s="11" t="s">
        <v>137</v>
      </c>
    </row>
    <row r="2456" spans="1:5" x14ac:dyDescent="0.35">
      <c r="A2456" s="6" t="s">
        <v>135</v>
      </c>
      <c r="B2456" s="7" t="s">
        <v>160</v>
      </c>
      <c r="C2456" s="7" t="s">
        <v>146</v>
      </c>
      <c r="D2456" s="7" t="s">
        <v>147</v>
      </c>
      <c r="E2456" s="8" t="s">
        <v>137</v>
      </c>
    </row>
    <row r="2457" spans="1:5" x14ac:dyDescent="0.35">
      <c r="A2457" s="9" t="s">
        <v>135</v>
      </c>
      <c r="B2457" s="10"/>
      <c r="C2457" s="10"/>
      <c r="D2457" s="10" t="s">
        <v>148</v>
      </c>
      <c r="E2457" s="11" t="s">
        <v>137</v>
      </c>
    </row>
    <row r="2458" spans="1:5" x14ac:dyDescent="0.35">
      <c r="A2458" s="6" t="s">
        <v>135</v>
      </c>
      <c r="B2458" s="7"/>
      <c r="C2458" s="7"/>
      <c r="D2458" s="7" t="s">
        <v>149</v>
      </c>
      <c r="E2458" s="8" t="s">
        <v>137</v>
      </c>
    </row>
    <row r="2459" spans="1:5" x14ac:dyDescent="0.35">
      <c r="A2459" s="9" t="s">
        <v>135</v>
      </c>
      <c r="B2459" s="10"/>
      <c r="C2459" s="10" t="s">
        <v>150</v>
      </c>
      <c r="D2459" s="10" t="s">
        <v>147</v>
      </c>
      <c r="E2459" s="11" t="s">
        <v>137</v>
      </c>
    </row>
    <row r="2460" spans="1:5" x14ac:dyDescent="0.35">
      <c r="A2460" s="6" t="s">
        <v>135</v>
      </c>
      <c r="B2460" s="7"/>
      <c r="C2460" s="7"/>
      <c r="D2460" s="7" t="s">
        <v>148</v>
      </c>
      <c r="E2460" s="8" t="s">
        <v>137</v>
      </c>
    </row>
    <row r="2461" spans="1:5" x14ac:dyDescent="0.35">
      <c r="A2461" s="9" t="s">
        <v>135</v>
      </c>
      <c r="B2461" s="10"/>
      <c r="C2461" s="10"/>
      <c r="D2461" s="10" t="s">
        <v>149</v>
      </c>
      <c r="E2461" s="11" t="s">
        <v>137</v>
      </c>
    </row>
    <row r="2462" spans="1:5" x14ac:dyDescent="0.35">
      <c r="A2462" s="6" t="s">
        <v>135</v>
      </c>
      <c r="B2462" s="7" t="s">
        <v>161</v>
      </c>
      <c r="C2462" s="7" t="s">
        <v>146</v>
      </c>
      <c r="D2462" s="7" t="s">
        <v>147</v>
      </c>
      <c r="E2462" s="8" t="s">
        <v>137</v>
      </c>
    </row>
    <row r="2463" spans="1:5" x14ac:dyDescent="0.35">
      <c r="A2463" s="9" t="s">
        <v>135</v>
      </c>
      <c r="B2463" s="10"/>
      <c r="C2463" s="10"/>
      <c r="D2463" s="10" t="s">
        <v>148</v>
      </c>
      <c r="E2463" s="11" t="s">
        <v>137</v>
      </c>
    </row>
    <row r="2464" spans="1:5" x14ac:dyDescent="0.35">
      <c r="A2464" s="6" t="s">
        <v>135</v>
      </c>
      <c r="B2464" s="7"/>
      <c r="C2464" s="7"/>
      <c r="D2464" s="7" t="s">
        <v>149</v>
      </c>
      <c r="E2464" s="8" t="s">
        <v>137</v>
      </c>
    </row>
    <row r="2465" spans="1:5" x14ac:dyDescent="0.35">
      <c r="A2465" s="9" t="s">
        <v>135</v>
      </c>
      <c r="B2465" s="10"/>
      <c r="C2465" s="10" t="s">
        <v>150</v>
      </c>
      <c r="D2465" s="10" t="s">
        <v>147</v>
      </c>
      <c r="E2465" s="11" t="s">
        <v>137</v>
      </c>
    </row>
    <row r="2466" spans="1:5" x14ac:dyDescent="0.35">
      <c r="A2466" s="6" t="s">
        <v>135</v>
      </c>
      <c r="B2466" s="7"/>
      <c r="C2466" s="7"/>
      <c r="D2466" s="7" t="s">
        <v>148</v>
      </c>
      <c r="E2466" s="8" t="s">
        <v>137</v>
      </c>
    </row>
    <row r="2467" spans="1:5" x14ac:dyDescent="0.35">
      <c r="A2467" s="9" t="s">
        <v>135</v>
      </c>
      <c r="B2467" s="10"/>
      <c r="C2467" s="10"/>
      <c r="D2467" s="10" t="s">
        <v>149</v>
      </c>
      <c r="E2467" s="11" t="s">
        <v>137</v>
      </c>
    </row>
    <row r="2468" spans="1:5" x14ac:dyDescent="0.35">
      <c r="A2468" s="6" t="s">
        <v>135</v>
      </c>
      <c r="B2468" s="7" t="s">
        <v>162</v>
      </c>
      <c r="C2468" s="7" t="s">
        <v>146</v>
      </c>
      <c r="D2468" s="7" t="s">
        <v>147</v>
      </c>
      <c r="E2468" s="8" t="s">
        <v>137</v>
      </c>
    </row>
    <row r="2469" spans="1:5" x14ac:dyDescent="0.35">
      <c r="A2469" s="9" t="s">
        <v>135</v>
      </c>
      <c r="B2469" s="10"/>
      <c r="C2469" s="10"/>
      <c r="D2469" s="10" t="s">
        <v>148</v>
      </c>
      <c r="E2469" s="11" t="s">
        <v>137</v>
      </c>
    </row>
    <row r="2470" spans="1:5" x14ac:dyDescent="0.35">
      <c r="A2470" s="6" t="s">
        <v>135</v>
      </c>
      <c r="B2470" s="7"/>
      <c r="C2470" s="7"/>
      <c r="D2470" s="7" t="s">
        <v>149</v>
      </c>
      <c r="E2470" s="8" t="s">
        <v>137</v>
      </c>
    </row>
    <row r="2471" spans="1:5" x14ac:dyDescent="0.35">
      <c r="A2471" s="9" t="s">
        <v>135</v>
      </c>
      <c r="B2471" s="10"/>
      <c r="C2471" s="10" t="s">
        <v>150</v>
      </c>
      <c r="D2471" s="10" t="s">
        <v>147</v>
      </c>
      <c r="E2471" s="11" t="s">
        <v>137</v>
      </c>
    </row>
    <row r="2472" spans="1:5" x14ac:dyDescent="0.35">
      <c r="A2472" s="6" t="s">
        <v>135</v>
      </c>
      <c r="B2472" s="7"/>
      <c r="C2472" s="7"/>
      <c r="D2472" s="7" t="s">
        <v>148</v>
      </c>
      <c r="E2472" s="8" t="s">
        <v>137</v>
      </c>
    </row>
    <row r="2473" spans="1:5" x14ac:dyDescent="0.35">
      <c r="A2473" s="9" t="s">
        <v>135</v>
      </c>
      <c r="B2473" s="10"/>
      <c r="C2473" s="10"/>
      <c r="D2473" s="10" t="s">
        <v>149</v>
      </c>
      <c r="E2473" s="11" t="s">
        <v>137</v>
      </c>
    </row>
    <row r="2474" spans="1:5" x14ac:dyDescent="0.35">
      <c r="A2474" s="6" t="s">
        <v>135</v>
      </c>
      <c r="B2474" s="7" t="s">
        <v>163</v>
      </c>
      <c r="C2474" s="7" t="s">
        <v>146</v>
      </c>
      <c r="D2474" s="7" t="s">
        <v>147</v>
      </c>
      <c r="E2474" s="8">
        <v>196.4</v>
      </c>
    </row>
    <row r="2475" spans="1:5" x14ac:dyDescent="0.35">
      <c r="A2475" s="9" t="s">
        <v>135</v>
      </c>
      <c r="B2475" s="10"/>
      <c r="C2475" s="10"/>
      <c r="D2475" s="10" t="s">
        <v>148</v>
      </c>
      <c r="E2475" s="11">
        <v>33</v>
      </c>
    </row>
    <row r="2476" spans="1:5" x14ac:dyDescent="0.35">
      <c r="A2476" s="6" t="s">
        <v>135</v>
      </c>
      <c r="B2476" s="7"/>
      <c r="C2476" s="7"/>
      <c r="D2476" s="7" t="s">
        <v>149</v>
      </c>
      <c r="E2476" s="8">
        <v>163.4</v>
      </c>
    </row>
    <row r="2477" spans="1:5" x14ac:dyDescent="0.35">
      <c r="A2477" s="9" t="s">
        <v>135</v>
      </c>
      <c r="B2477" s="10"/>
      <c r="C2477" s="10" t="s">
        <v>150</v>
      </c>
      <c r="D2477" s="10" t="s">
        <v>147</v>
      </c>
      <c r="E2477" s="11" t="s">
        <v>137</v>
      </c>
    </row>
    <row r="2478" spans="1:5" x14ac:dyDescent="0.35">
      <c r="A2478" s="6" t="s">
        <v>135</v>
      </c>
      <c r="B2478" s="7"/>
      <c r="C2478" s="7"/>
      <c r="D2478" s="7" t="s">
        <v>148</v>
      </c>
      <c r="E2478" s="8" t="s">
        <v>137</v>
      </c>
    </row>
    <row r="2479" spans="1:5" x14ac:dyDescent="0.35">
      <c r="A2479" s="9" t="s">
        <v>135</v>
      </c>
      <c r="B2479" s="10"/>
      <c r="C2479" s="10"/>
      <c r="D2479" s="10" t="s">
        <v>149</v>
      </c>
      <c r="E2479" s="11" t="s">
        <v>137</v>
      </c>
    </row>
    <row r="2480" spans="1:5" x14ac:dyDescent="0.35">
      <c r="A2480" s="6" t="s">
        <v>135</v>
      </c>
      <c r="B2480" s="7" t="s">
        <v>164</v>
      </c>
      <c r="C2480" s="7" t="s">
        <v>146</v>
      </c>
      <c r="D2480" s="7" t="s">
        <v>147</v>
      </c>
      <c r="E2480" s="8" t="s">
        <v>137</v>
      </c>
    </row>
    <row r="2481" spans="1:5" x14ac:dyDescent="0.35">
      <c r="A2481" s="9" t="s">
        <v>135</v>
      </c>
      <c r="B2481" s="10"/>
      <c r="C2481" s="10"/>
      <c r="D2481" s="10" t="s">
        <v>148</v>
      </c>
      <c r="E2481" s="11" t="s">
        <v>137</v>
      </c>
    </row>
    <row r="2482" spans="1:5" x14ac:dyDescent="0.35">
      <c r="A2482" s="6" t="s">
        <v>135</v>
      </c>
      <c r="B2482" s="7"/>
      <c r="C2482" s="7"/>
      <c r="D2482" s="7" t="s">
        <v>149</v>
      </c>
      <c r="E2482" s="8" t="s">
        <v>137</v>
      </c>
    </row>
    <row r="2483" spans="1:5" x14ac:dyDescent="0.35">
      <c r="A2483" s="9" t="s">
        <v>135</v>
      </c>
      <c r="B2483" s="10"/>
      <c r="C2483" s="10" t="s">
        <v>150</v>
      </c>
      <c r="D2483" s="10" t="s">
        <v>147</v>
      </c>
      <c r="E2483" s="11" t="s">
        <v>137</v>
      </c>
    </row>
    <row r="2484" spans="1:5" x14ac:dyDescent="0.35">
      <c r="A2484" s="6" t="s">
        <v>135</v>
      </c>
      <c r="B2484" s="7"/>
      <c r="C2484" s="7"/>
      <c r="D2484" s="7" t="s">
        <v>148</v>
      </c>
      <c r="E2484" s="8" t="s">
        <v>137</v>
      </c>
    </row>
    <row r="2485" spans="1:5" x14ac:dyDescent="0.35">
      <c r="A2485" s="9" t="s">
        <v>135</v>
      </c>
      <c r="B2485" s="10"/>
      <c r="C2485" s="10"/>
      <c r="D2485" s="10" t="s">
        <v>149</v>
      </c>
      <c r="E2485" s="11" t="s">
        <v>137</v>
      </c>
    </row>
    <row r="2486" spans="1:5" x14ac:dyDescent="0.35">
      <c r="A2486" s="6" t="s">
        <v>135</v>
      </c>
      <c r="B2486" s="7" t="s">
        <v>165</v>
      </c>
      <c r="C2486" s="7" t="s">
        <v>146</v>
      </c>
      <c r="D2486" s="7" t="s">
        <v>147</v>
      </c>
      <c r="E2486" s="8" t="s">
        <v>137</v>
      </c>
    </row>
    <row r="2487" spans="1:5" x14ac:dyDescent="0.35">
      <c r="A2487" s="9" t="s">
        <v>135</v>
      </c>
      <c r="B2487" s="10"/>
      <c r="C2487" s="10"/>
      <c r="D2487" s="10" t="s">
        <v>148</v>
      </c>
      <c r="E2487" s="11" t="s">
        <v>137</v>
      </c>
    </row>
    <row r="2488" spans="1:5" x14ac:dyDescent="0.35">
      <c r="A2488" s="6" t="s">
        <v>135</v>
      </c>
      <c r="B2488" s="7"/>
      <c r="C2488" s="7"/>
      <c r="D2488" s="7" t="s">
        <v>149</v>
      </c>
      <c r="E2488" s="8" t="s">
        <v>137</v>
      </c>
    </row>
    <row r="2489" spans="1:5" x14ac:dyDescent="0.35">
      <c r="A2489" s="9" t="s">
        <v>135</v>
      </c>
      <c r="B2489" s="10"/>
      <c r="C2489" s="10" t="s">
        <v>150</v>
      </c>
      <c r="D2489" s="10" t="s">
        <v>147</v>
      </c>
      <c r="E2489" s="11" t="s">
        <v>137</v>
      </c>
    </row>
    <row r="2490" spans="1:5" x14ac:dyDescent="0.35">
      <c r="A2490" s="6" t="s">
        <v>135</v>
      </c>
      <c r="B2490" s="7"/>
      <c r="C2490" s="7"/>
      <c r="D2490" s="7" t="s">
        <v>148</v>
      </c>
      <c r="E2490" s="8" t="s">
        <v>137</v>
      </c>
    </row>
    <row r="2491" spans="1:5" x14ac:dyDescent="0.35">
      <c r="A2491" s="9" t="s">
        <v>135</v>
      </c>
      <c r="B2491" s="10"/>
      <c r="C2491" s="10"/>
      <c r="D2491" s="10" t="s">
        <v>149</v>
      </c>
      <c r="E2491" s="11" t="s">
        <v>137</v>
      </c>
    </row>
    <row r="2492" spans="1:5" x14ac:dyDescent="0.35">
      <c r="A2492" s="6" t="s">
        <v>135</v>
      </c>
      <c r="B2492" s="7" t="s">
        <v>166</v>
      </c>
      <c r="C2492" s="7" t="s">
        <v>146</v>
      </c>
      <c r="D2492" s="7" t="s">
        <v>147</v>
      </c>
      <c r="E2492" s="8">
        <v>196.4</v>
      </c>
    </row>
    <row r="2493" spans="1:5" x14ac:dyDescent="0.35">
      <c r="A2493" s="9" t="s">
        <v>135</v>
      </c>
      <c r="B2493" s="10"/>
      <c r="C2493" s="10"/>
      <c r="D2493" s="10" t="s">
        <v>148</v>
      </c>
      <c r="E2493" s="11">
        <v>33</v>
      </c>
    </row>
    <row r="2494" spans="1:5" x14ac:dyDescent="0.35">
      <c r="A2494" s="6" t="s">
        <v>135</v>
      </c>
      <c r="B2494" s="7"/>
      <c r="C2494" s="7"/>
      <c r="D2494" s="7" t="s">
        <v>149</v>
      </c>
      <c r="E2494" s="8">
        <v>163.4</v>
      </c>
    </row>
    <row r="2495" spans="1:5" x14ac:dyDescent="0.35">
      <c r="A2495" s="9" t="s">
        <v>135</v>
      </c>
      <c r="B2495" s="10"/>
      <c r="C2495" s="10" t="s">
        <v>150</v>
      </c>
      <c r="D2495" s="10" t="s">
        <v>147</v>
      </c>
      <c r="E2495" s="11" t="s">
        <v>137</v>
      </c>
    </row>
    <row r="2496" spans="1:5" x14ac:dyDescent="0.35">
      <c r="A2496" s="6" t="s">
        <v>135</v>
      </c>
      <c r="B2496" s="7"/>
      <c r="C2496" s="7"/>
      <c r="D2496" s="7" t="s">
        <v>148</v>
      </c>
      <c r="E2496" s="8" t="s">
        <v>137</v>
      </c>
    </row>
    <row r="2497" spans="1:5" x14ac:dyDescent="0.35">
      <c r="A2497" s="9" t="s">
        <v>135</v>
      </c>
      <c r="B2497" s="10"/>
      <c r="C2497" s="10"/>
      <c r="D2497" s="10" t="s">
        <v>149</v>
      </c>
      <c r="E2497" s="11" t="s">
        <v>137</v>
      </c>
    </row>
    <row r="2498" spans="1:5" x14ac:dyDescent="0.35">
      <c r="A2498" s="6" t="s">
        <v>135</v>
      </c>
      <c r="B2498" s="7" t="s">
        <v>167</v>
      </c>
      <c r="C2498" s="7" t="s">
        <v>146</v>
      </c>
      <c r="D2498" s="7" t="s">
        <v>147</v>
      </c>
      <c r="E2498" s="8" t="s">
        <v>137</v>
      </c>
    </row>
    <row r="2499" spans="1:5" x14ac:dyDescent="0.35">
      <c r="A2499" s="9" t="s">
        <v>135</v>
      </c>
      <c r="B2499" s="10"/>
      <c r="C2499" s="10"/>
      <c r="D2499" s="10" t="s">
        <v>148</v>
      </c>
      <c r="E2499" s="11" t="s">
        <v>137</v>
      </c>
    </row>
    <row r="2500" spans="1:5" x14ac:dyDescent="0.35">
      <c r="A2500" s="6" t="s">
        <v>135</v>
      </c>
      <c r="B2500" s="7"/>
      <c r="C2500" s="7"/>
      <c r="D2500" s="7" t="s">
        <v>149</v>
      </c>
      <c r="E2500" s="8" t="s">
        <v>137</v>
      </c>
    </row>
    <row r="2501" spans="1:5" x14ac:dyDescent="0.35">
      <c r="A2501" s="9" t="s">
        <v>135</v>
      </c>
      <c r="B2501" s="10"/>
      <c r="C2501" s="10" t="s">
        <v>150</v>
      </c>
      <c r="D2501" s="10" t="s">
        <v>147</v>
      </c>
      <c r="E2501" s="11" t="s">
        <v>137</v>
      </c>
    </row>
    <row r="2502" spans="1:5" x14ac:dyDescent="0.35">
      <c r="A2502" s="6" t="s">
        <v>135</v>
      </c>
      <c r="B2502" s="7"/>
      <c r="C2502" s="7"/>
      <c r="D2502" s="7" t="s">
        <v>148</v>
      </c>
      <c r="E2502" s="8" t="s">
        <v>137</v>
      </c>
    </row>
    <row r="2503" spans="1:5" x14ac:dyDescent="0.35">
      <c r="A2503" s="9" t="s">
        <v>135</v>
      </c>
      <c r="B2503" s="10"/>
      <c r="C2503" s="10"/>
      <c r="D2503" s="10" t="s">
        <v>149</v>
      </c>
      <c r="E2503" s="11" t="s">
        <v>137</v>
      </c>
    </row>
    <row r="2504" spans="1:5" x14ac:dyDescent="0.35">
      <c r="A2504" s="6" t="s">
        <v>135</v>
      </c>
      <c r="B2504" s="7" t="s">
        <v>168</v>
      </c>
      <c r="C2504" s="7" t="s">
        <v>146</v>
      </c>
      <c r="D2504" s="7" t="s">
        <v>147</v>
      </c>
      <c r="E2504" s="8" t="s">
        <v>137</v>
      </c>
    </row>
    <row r="2505" spans="1:5" x14ac:dyDescent="0.35">
      <c r="A2505" s="9" t="s">
        <v>135</v>
      </c>
      <c r="B2505" s="10"/>
      <c r="C2505" s="10"/>
      <c r="D2505" s="10" t="s">
        <v>148</v>
      </c>
      <c r="E2505" s="11" t="s">
        <v>137</v>
      </c>
    </row>
    <row r="2506" spans="1:5" x14ac:dyDescent="0.35">
      <c r="A2506" s="6" t="s">
        <v>135</v>
      </c>
      <c r="B2506" s="7"/>
      <c r="C2506" s="7"/>
      <c r="D2506" s="7" t="s">
        <v>149</v>
      </c>
      <c r="E2506" s="8" t="s">
        <v>137</v>
      </c>
    </row>
    <row r="2507" spans="1:5" x14ac:dyDescent="0.35">
      <c r="A2507" s="9" t="s">
        <v>135</v>
      </c>
      <c r="B2507" s="10"/>
      <c r="C2507" s="10" t="s">
        <v>150</v>
      </c>
      <c r="D2507" s="10" t="s">
        <v>147</v>
      </c>
      <c r="E2507" s="11" t="s">
        <v>137</v>
      </c>
    </row>
    <row r="2508" spans="1:5" x14ac:dyDescent="0.35">
      <c r="A2508" s="6" t="s">
        <v>135</v>
      </c>
      <c r="B2508" s="7"/>
      <c r="C2508" s="7"/>
      <c r="D2508" s="7" t="s">
        <v>148</v>
      </c>
      <c r="E2508" s="8" t="s">
        <v>137</v>
      </c>
    </row>
    <row r="2509" spans="1:5" x14ac:dyDescent="0.35">
      <c r="A2509" s="9" t="s">
        <v>135</v>
      </c>
      <c r="B2509" s="10"/>
      <c r="C2509" s="10"/>
      <c r="D2509" s="10" t="s">
        <v>149</v>
      </c>
      <c r="E2509" s="11" t="s">
        <v>137</v>
      </c>
    </row>
    <row r="2510" spans="1:5" x14ac:dyDescent="0.35">
      <c r="A2510" s="6" t="s">
        <v>135</v>
      </c>
      <c r="B2510" s="7" t="s">
        <v>169</v>
      </c>
      <c r="C2510" s="7" t="s">
        <v>146</v>
      </c>
      <c r="D2510" s="7" t="s">
        <v>147</v>
      </c>
      <c r="E2510" s="8" t="s">
        <v>137</v>
      </c>
    </row>
    <row r="2511" spans="1:5" x14ac:dyDescent="0.35">
      <c r="A2511" s="9" t="s">
        <v>135</v>
      </c>
      <c r="B2511" s="10"/>
      <c r="C2511" s="10"/>
      <c r="D2511" s="10" t="s">
        <v>148</v>
      </c>
      <c r="E2511" s="11" t="s">
        <v>137</v>
      </c>
    </row>
    <row r="2512" spans="1:5" x14ac:dyDescent="0.35">
      <c r="A2512" s="6" t="s">
        <v>135</v>
      </c>
      <c r="B2512" s="7"/>
      <c r="C2512" s="7"/>
      <c r="D2512" s="7" t="s">
        <v>149</v>
      </c>
      <c r="E2512" s="8" t="s">
        <v>137</v>
      </c>
    </row>
    <row r="2513" spans="1:5" x14ac:dyDescent="0.35">
      <c r="A2513" s="9" t="s">
        <v>135</v>
      </c>
      <c r="B2513" s="10"/>
      <c r="C2513" s="10" t="s">
        <v>150</v>
      </c>
      <c r="D2513" s="10" t="s">
        <v>147</v>
      </c>
      <c r="E2513" s="11" t="s">
        <v>137</v>
      </c>
    </row>
    <row r="2514" spans="1:5" x14ac:dyDescent="0.35">
      <c r="A2514" s="6" t="s">
        <v>135</v>
      </c>
      <c r="B2514" s="7"/>
      <c r="C2514" s="7"/>
      <c r="D2514" s="7" t="s">
        <v>148</v>
      </c>
      <c r="E2514" s="8" t="s">
        <v>137</v>
      </c>
    </row>
    <row r="2515" spans="1:5" x14ac:dyDescent="0.35">
      <c r="A2515" s="9" t="s">
        <v>135</v>
      </c>
      <c r="B2515" s="10"/>
      <c r="C2515" s="10"/>
      <c r="D2515" s="10" t="s">
        <v>149</v>
      </c>
      <c r="E2515" s="11" t="s">
        <v>137</v>
      </c>
    </row>
    <row r="2516" spans="1:5" x14ac:dyDescent="0.35">
      <c r="A2516" s="6" t="s">
        <v>135</v>
      </c>
      <c r="B2516" s="7" t="s">
        <v>170</v>
      </c>
      <c r="C2516" s="7" t="s">
        <v>146</v>
      </c>
      <c r="D2516" s="7" t="s">
        <v>147</v>
      </c>
      <c r="E2516" s="8" t="s">
        <v>137</v>
      </c>
    </row>
    <row r="2517" spans="1:5" x14ac:dyDescent="0.35">
      <c r="A2517" s="9" t="s">
        <v>135</v>
      </c>
      <c r="B2517" s="10"/>
      <c r="C2517" s="10"/>
      <c r="D2517" s="10" t="s">
        <v>148</v>
      </c>
      <c r="E2517" s="11" t="s">
        <v>137</v>
      </c>
    </row>
    <row r="2518" spans="1:5" x14ac:dyDescent="0.35">
      <c r="A2518" s="6" t="s">
        <v>135</v>
      </c>
      <c r="B2518" s="7"/>
      <c r="C2518" s="7"/>
      <c r="D2518" s="7" t="s">
        <v>149</v>
      </c>
      <c r="E2518" s="8" t="s">
        <v>137</v>
      </c>
    </row>
    <row r="2519" spans="1:5" x14ac:dyDescent="0.35">
      <c r="A2519" s="9" t="s">
        <v>135</v>
      </c>
      <c r="B2519" s="10"/>
      <c r="C2519" s="10" t="s">
        <v>150</v>
      </c>
      <c r="D2519" s="10" t="s">
        <v>147</v>
      </c>
      <c r="E2519" s="11" t="s">
        <v>137</v>
      </c>
    </row>
    <row r="2520" spans="1:5" x14ac:dyDescent="0.35">
      <c r="A2520" s="6" t="s">
        <v>135</v>
      </c>
      <c r="B2520" s="7"/>
      <c r="C2520" s="7"/>
      <c r="D2520" s="7" t="s">
        <v>148</v>
      </c>
      <c r="E2520" s="8" t="s">
        <v>137</v>
      </c>
    </row>
    <row r="2521" spans="1:5" x14ac:dyDescent="0.35">
      <c r="A2521" s="9" t="s">
        <v>135</v>
      </c>
      <c r="B2521" s="10"/>
      <c r="C2521" s="10"/>
      <c r="D2521" s="10" t="s">
        <v>149</v>
      </c>
      <c r="E2521" s="11" t="s">
        <v>137</v>
      </c>
    </row>
    <row r="2522" spans="1:5" x14ac:dyDescent="0.35">
      <c r="A2522" s="6" t="s">
        <v>69</v>
      </c>
      <c r="B2522" s="7" t="s">
        <v>145</v>
      </c>
      <c r="C2522" s="7" t="s">
        <v>146</v>
      </c>
      <c r="D2522" s="7" t="s">
        <v>147</v>
      </c>
      <c r="E2522" s="8">
        <v>3050.88</v>
      </c>
    </row>
    <row r="2523" spans="1:5" x14ac:dyDescent="0.35">
      <c r="A2523" s="9" t="s">
        <v>135</v>
      </c>
      <c r="B2523" s="10"/>
      <c r="C2523" s="10"/>
      <c r="D2523" s="10" t="s">
        <v>148</v>
      </c>
      <c r="E2523" s="11">
        <v>2905.85</v>
      </c>
    </row>
    <row r="2524" spans="1:5" x14ac:dyDescent="0.35">
      <c r="A2524" s="6" t="s">
        <v>135</v>
      </c>
      <c r="B2524" s="7"/>
      <c r="C2524" s="7"/>
      <c r="D2524" s="7" t="s">
        <v>149</v>
      </c>
      <c r="E2524" s="8">
        <v>145.03</v>
      </c>
    </row>
    <row r="2525" spans="1:5" x14ac:dyDescent="0.35">
      <c r="A2525" s="9" t="s">
        <v>135</v>
      </c>
      <c r="B2525" s="10"/>
      <c r="C2525" s="10" t="s">
        <v>150</v>
      </c>
      <c r="D2525" s="10" t="s">
        <v>147</v>
      </c>
      <c r="E2525" s="11" t="s">
        <v>137</v>
      </c>
    </row>
    <row r="2526" spans="1:5" x14ac:dyDescent="0.35">
      <c r="A2526" s="6" t="s">
        <v>135</v>
      </c>
      <c r="B2526" s="7"/>
      <c r="C2526" s="7"/>
      <c r="D2526" s="7" t="s">
        <v>148</v>
      </c>
      <c r="E2526" s="8" t="s">
        <v>137</v>
      </c>
    </row>
    <row r="2527" spans="1:5" x14ac:dyDescent="0.35">
      <c r="A2527" s="9" t="s">
        <v>135</v>
      </c>
      <c r="B2527" s="10"/>
      <c r="C2527" s="10"/>
      <c r="D2527" s="10" t="s">
        <v>149</v>
      </c>
      <c r="E2527" s="11" t="s">
        <v>137</v>
      </c>
    </row>
    <row r="2528" spans="1:5" x14ac:dyDescent="0.35">
      <c r="A2528" s="6" t="s">
        <v>135</v>
      </c>
      <c r="B2528" s="7" t="s">
        <v>151</v>
      </c>
      <c r="C2528" s="7" t="s">
        <v>146</v>
      </c>
      <c r="D2528" s="7" t="s">
        <v>147</v>
      </c>
      <c r="E2528" s="8">
        <v>608.76</v>
      </c>
    </row>
    <row r="2529" spans="1:5" x14ac:dyDescent="0.35">
      <c r="A2529" s="9" t="s">
        <v>135</v>
      </c>
      <c r="B2529" s="10"/>
      <c r="C2529" s="10"/>
      <c r="D2529" s="10" t="s">
        <v>148</v>
      </c>
      <c r="E2529" s="11">
        <v>484.9</v>
      </c>
    </row>
    <row r="2530" spans="1:5" x14ac:dyDescent="0.35">
      <c r="A2530" s="6" t="s">
        <v>135</v>
      </c>
      <c r="B2530" s="7"/>
      <c r="C2530" s="7"/>
      <c r="D2530" s="7" t="s">
        <v>149</v>
      </c>
      <c r="E2530" s="8">
        <v>123.86</v>
      </c>
    </row>
    <row r="2531" spans="1:5" x14ac:dyDescent="0.35">
      <c r="A2531" s="9" t="s">
        <v>135</v>
      </c>
      <c r="B2531" s="10"/>
      <c r="C2531" s="10" t="s">
        <v>150</v>
      </c>
      <c r="D2531" s="10" t="s">
        <v>147</v>
      </c>
      <c r="E2531" s="11" t="s">
        <v>137</v>
      </c>
    </row>
    <row r="2532" spans="1:5" x14ac:dyDescent="0.35">
      <c r="A2532" s="6" t="s">
        <v>135</v>
      </c>
      <c r="B2532" s="7"/>
      <c r="C2532" s="7"/>
      <c r="D2532" s="7" t="s">
        <v>148</v>
      </c>
      <c r="E2532" s="8" t="s">
        <v>137</v>
      </c>
    </row>
    <row r="2533" spans="1:5" x14ac:dyDescent="0.35">
      <c r="A2533" s="9" t="s">
        <v>135</v>
      </c>
      <c r="B2533" s="10"/>
      <c r="C2533" s="10"/>
      <c r="D2533" s="10" t="s">
        <v>149</v>
      </c>
      <c r="E2533" s="11" t="s">
        <v>137</v>
      </c>
    </row>
    <row r="2534" spans="1:5" x14ac:dyDescent="0.35">
      <c r="A2534" s="6" t="s">
        <v>135</v>
      </c>
      <c r="B2534" s="7" t="s">
        <v>152</v>
      </c>
      <c r="C2534" s="7" t="s">
        <v>146</v>
      </c>
      <c r="D2534" s="7" t="s">
        <v>147</v>
      </c>
      <c r="E2534" s="8" t="s">
        <v>137</v>
      </c>
    </row>
    <row r="2535" spans="1:5" x14ac:dyDescent="0.35">
      <c r="A2535" s="9" t="s">
        <v>135</v>
      </c>
      <c r="B2535" s="10"/>
      <c r="C2535" s="10"/>
      <c r="D2535" s="10" t="s">
        <v>148</v>
      </c>
      <c r="E2535" s="11" t="s">
        <v>137</v>
      </c>
    </row>
    <row r="2536" spans="1:5" x14ac:dyDescent="0.35">
      <c r="A2536" s="6" t="s">
        <v>135</v>
      </c>
      <c r="B2536" s="7"/>
      <c r="C2536" s="7"/>
      <c r="D2536" s="7" t="s">
        <v>149</v>
      </c>
      <c r="E2536" s="8" t="s">
        <v>137</v>
      </c>
    </row>
    <row r="2537" spans="1:5" x14ac:dyDescent="0.35">
      <c r="A2537" s="9" t="s">
        <v>135</v>
      </c>
      <c r="B2537" s="10"/>
      <c r="C2537" s="10" t="s">
        <v>150</v>
      </c>
      <c r="D2537" s="10" t="s">
        <v>147</v>
      </c>
      <c r="E2537" s="11" t="s">
        <v>137</v>
      </c>
    </row>
    <row r="2538" spans="1:5" x14ac:dyDescent="0.35">
      <c r="A2538" s="6" t="s">
        <v>135</v>
      </c>
      <c r="B2538" s="7"/>
      <c r="C2538" s="7"/>
      <c r="D2538" s="7" t="s">
        <v>148</v>
      </c>
      <c r="E2538" s="8" t="s">
        <v>137</v>
      </c>
    </row>
    <row r="2539" spans="1:5" x14ac:dyDescent="0.35">
      <c r="A2539" s="9" t="s">
        <v>135</v>
      </c>
      <c r="B2539" s="10"/>
      <c r="C2539" s="10"/>
      <c r="D2539" s="10" t="s">
        <v>149</v>
      </c>
      <c r="E2539" s="11" t="s">
        <v>137</v>
      </c>
    </row>
    <row r="2540" spans="1:5" x14ac:dyDescent="0.35">
      <c r="A2540" s="6" t="s">
        <v>135</v>
      </c>
      <c r="B2540" s="7" t="s">
        <v>153</v>
      </c>
      <c r="C2540" s="7" t="s">
        <v>146</v>
      </c>
      <c r="D2540" s="7" t="s">
        <v>147</v>
      </c>
      <c r="E2540" s="8">
        <v>436.15</v>
      </c>
    </row>
    <row r="2541" spans="1:5" x14ac:dyDescent="0.35">
      <c r="A2541" s="9" t="s">
        <v>135</v>
      </c>
      <c r="B2541" s="10"/>
      <c r="C2541" s="10"/>
      <c r="D2541" s="10" t="s">
        <v>148</v>
      </c>
      <c r="E2541" s="11">
        <v>435.5</v>
      </c>
    </row>
    <row r="2542" spans="1:5" x14ac:dyDescent="0.35">
      <c r="A2542" s="6" t="s">
        <v>135</v>
      </c>
      <c r="B2542" s="7"/>
      <c r="C2542" s="7"/>
      <c r="D2542" s="7" t="s">
        <v>149</v>
      </c>
      <c r="E2542" s="8">
        <v>0.65</v>
      </c>
    </row>
    <row r="2543" spans="1:5" x14ac:dyDescent="0.35">
      <c r="A2543" s="9" t="s">
        <v>135</v>
      </c>
      <c r="B2543" s="10"/>
      <c r="C2543" s="10" t="s">
        <v>150</v>
      </c>
      <c r="D2543" s="10" t="s">
        <v>147</v>
      </c>
      <c r="E2543" s="11" t="s">
        <v>137</v>
      </c>
    </row>
    <row r="2544" spans="1:5" x14ac:dyDescent="0.35">
      <c r="A2544" s="6" t="s">
        <v>135</v>
      </c>
      <c r="B2544" s="7"/>
      <c r="C2544" s="7"/>
      <c r="D2544" s="7" t="s">
        <v>148</v>
      </c>
      <c r="E2544" s="8" t="s">
        <v>137</v>
      </c>
    </row>
    <row r="2545" spans="1:5" x14ac:dyDescent="0.35">
      <c r="A2545" s="9" t="s">
        <v>135</v>
      </c>
      <c r="B2545" s="10"/>
      <c r="C2545" s="10"/>
      <c r="D2545" s="10" t="s">
        <v>149</v>
      </c>
      <c r="E2545" s="11" t="s">
        <v>137</v>
      </c>
    </row>
    <row r="2546" spans="1:5" x14ac:dyDescent="0.35">
      <c r="A2546" s="6" t="s">
        <v>135</v>
      </c>
      <c r="B2546" s="7" t="s">
        <v>154</v>
      </c>
      <c r="C2546" s="7" t="s">
        <v>146</v>
      </c>
      <c r="D2546" s="7" t="s">
        <v>147</v>
      </c>
      <c r="E2546" s="8" t="s">
        <v>137</v>
      </c>
    </row>
    <row r="2547" spans="1:5" x14ac:dyDescent="0.35">
      <c r="A2547" s="9" t="s">
        <v>135</v>
      </c>
      <c r="B2547" s="10"/>
      <c r="C2547" s="10"/>
      <c r="D2547" s="10" t="s">
        <v>148</v>
      </c>
      <c r="E2547" s="11" t="s">
        <v>137</v>
      </c>
    </row>
    <row r="2548" spans="1:5" x14ac:dyDescent="0.35">
      <c r="A2548" s="6" t="s">
        <v>135</v>
      </c>
      <c r="B2548" s="7"/>
      <c r="C2548" s="7"/>
      <c r="D2548" s="7" t="s">
        <v>149</v>
      </c>
      <c r="E2548" s="8" t="s">
        <v>137</v>
      </c>
    </row>
    <row r="2549" spans="1:5" x14ac:dyDescent="0.35">
      <c r="A2549" s="9" t="s">
        <v>135</v>
      </c>
      <c r="B2549" s="10"/>
      <c r="C2549" s="10" t="s">
        <v>150</v>
      </c>
      <c r="D2549" s="10" t="s">
        <v>147</v>
      </c>
      <c r="E2549" s="11" t="s">
        <v>137</v>
      </c>
    </row>
    <row r="2550" spans="1:5" x14ac:dyDescent="0.35">
      <c r="A2550" s="6" t="s">
        <v>135</v>
      </c>
      <c r="B2550" s="7"/>
      <c r="C2550" s="7"/>
      <c r="D2550" s="7" t="s">
        <v>148</v>
      </c>
      <c r="E2550" s="8" t="s">
        <v>137</v>
      </c>
    </row>
    <row r="2551" spans="1:5" x14ac:dyDescent="0.35">
      <c r="A2551" s="9" t="s">
        <v>135</v>
      </c>
      <c r="B2551" s="10"/>
      <c r="C2551" s="10"/>
      <c r="D2551" s="10" t="s">
        <v>149</v>
      </c>
      <c r="E2551" s="11" t="s">
        <v>137</v>
      </c>
    </row>
    <row r="2552" spans="1:5" x14ac:dyDescent="0.35">
      <c r="A2552" s="6" t="s">
        <v>135</v>
      </c>
      <c r="B2552" s="7" t="s">
        <v>155</v>
      </c>
      <c r="C2552" s="7" t="s">
        <v>146</v>
      </c>
      <c r="D2552" s="7" t="s">
        <v>147</v>
      </c>
      <c r="E2552" s="8">
        <v>892.04</v>
      </c>
    </row>
    <row r="2553" spans="1:5" x14ac:dyDescent="0.35">
      <c r="A2553" s="9" t="s">
        <v>135</v>
      </c>
      <c r="B2553" s="10"/>
      <c r="C2553" s="10"/>
      <c r="D2553" s="10" t="s">
        <v>148</v>
      </c>
      <c r="E2553" s="11">
        <v>871.52</v>
      </c>
    </row>
    <row r="2554" spans="1:5" x14ac:dyDescent="0.35">
      <c r="A2554" s="6" t="s">
        <v>135</v>
      </c>
      <c r="B2554" s="7"/>
      <c r="C2554" s="7"/>
      <c r="D2554" s="7" t="s">
        <v>149</v>
      </c>
      <c r="E2554" s="8">
        <v>20.51</v>
      </c>
    </row>
    <row r="2555" spans="1:5" x14ac:dyDescent="0.35">
      <c r="A2555" s="9" t="s">
        <v>135</v>
      </c>
      <c r="B2555" s="10"/>
      <c r="C2555" s="10" t="s">
        <v>150</v>
      </c>
      <c r="D2555" s="10" t="s">
        <v>147</v>
      </c>
      <c r="E2555" s="11" t="s">
        <v>137</v>
      </c>
    </row>
    <row r="2556" spans="1:5" x14ac:dyDescent="0.35">
      <c r="A2556" s="6" t="s">
        <v>135</v>
      </c>
      <c r="B2556" s="7"/>
      <c r="C2556" s="7"/>
      <c r="D2556" s="7" t="s">
        <v>148</v>
      </c>
      <c r="E2556" s="8" t="s">
        <v>137</v>
      </c>
    </row>
    <row r="2557" spans="1:5" x14ac:dyDescent="0.35">
      <c r="A2557" s="9" t="s">
        <v>135</v>
      </c>
      <c r="B2557" s="10"/>
      <c r="C2557" s="10"/>
      <c r="D2557" s="10" t="s">
        <v>149</v>
      </c>
      <c r="E2557" s="11" t="s">
        <v>137</v>
      </c>
    </row>
    <row r="2558" spans="1:5" x14ac:dyDescent="0.35">
      <c r="A2558" s="6" t="s">
        <v>135</v>
      </c>
      <c r="B2558" s="7" t="s">
        <v>156</v>
      </c>
      <c r="C2558" s="7" t="s">
        <v>146</v>
      </c>
      <c r="D2558" s="7" t="s">
        <v>147</v>
      </c>
      <c r="E2558" s="8" t="s">
        <v>137</v>
      </c>
    </row>
    <row r="2559" spans="1:5" x14ac:dyDescent="0.35">
      <c r="A2559" s="9" t="s">
        <v>135</v>
      </c>
      <c r="B2559" s="10"/>
      <c r="C2559" s="10"/>
      <c r="D2559" s="10" t="s">
        <v>148</v>
      </c>
      <c r="E2559" s="11" t="s">
        <v>137</v>
      </c>
    </row>
    <row r="2560" spans="1:5" x14ac:dyDescent="0.35">
      <c r="A2560" s="6" t="s">
        <v>135</v>
      </c>
      <c r="B2560" s="7"/>
      <c r="C2560" s="7"/>
      <c r="D2560" s="7" t="s">
        <v>149</v>
      </c>
      <c r="E2560" s="8" t="s">
        <v>137</v>
      </c>
    </row>
    <row r="2561" spans="1:5" x14ac:dyDescent="0.35">
      <c r="A2561" s="9" t="s">
        <v>135</v>
      </c>
      <c r="B2561" s="10"/>
      <c r="C2561" s="10" t="s">
        <v>150</v>
      </c>
      <c r="D2561" s="10" t="s">
        <v>147</v>
      </c>
      <c r="E2561" s="11" t="s">
        <v>137</v>
      </c>
    </row>
    <row r="2562" spans="1:5" x14ac:dyDescent="0.35">
      <c r="A2562" s="6" t="s">
        <v>135</v>
      </c>
      <c r="B2562" s="7"/>
      <c r="C2562" s="7"/>
      <c r="D2562" s="7" t="s">
        <v>148</v>
      </c>
      <c r="E2562" s="8" t="s">
        <v>137</v>
      </c>
    </row>
    <row r="2563" spans="1:5" x14ac:dyDescent="0.35">
      <c r="A2563" s="9" t="s">
        <v>135</v>
      </c>
      <c r="B2563" s="10"/>
      <c r="C2563" s="10"/>
      <c r="D2563" s="10" t="s">
        <v>149</v>
      </c>
      <c r="E2563" s="11" t="s">
        <v>137</v>
      </c>
    </row>
    <row r="2564" spans="1:5" x14ac:dyDescent="0.35">
      <c r="A2564" s="6" t="s">
        <v>135</v>
      </c>
      <c r="B2564" s="7" t="s">
        <v>157</v>
      </c>
      <c r="C2564" s="7" t="s">
        <v>146</v>
      </c>
      <c r="D2564" s="7" t="s">
        <v>147</v>
      </c>
      <c r="E2564" s="8" t="s">
        <v>137</v>
      </c>
    </row>
    <row r="2565" spans="1:5" x14ac:dyDescent="0.35">
      <c r="A2565" s="9" t="s">
        <v>135</v>
      </c>
      <c r="B2565" s="10"/>
      <c r="C2565" s="10"/>
      <c r="D2565" s="10" t="s">
        <v>148</v>
      </c>
      <c r="E2565" s="11" t="s">
        <v>137</v>
      </c>
    </row>
    <row r="2566" spans="1:5" x14ac:dyDescent="0.35">
      <c r="A2566" s="6" t="s">
        <v>135</v>
      </c>
      <c r="B2566" s="7"/>
      <c r="C2566" s="7"/>
      <c r="D2566" s="7" t="s">
        <v>149</v>
      </c>
      <c r="E2566" s="8" t="s">
        <v>137</v>
      </c>
    </row>
    <row r="2567" spans="1:5" x14ac:dyDescent="0.35">
      <c r="A2567" s="9" t="s">
        <v>135</v>
      </c>
      <c r="B2567" s="10"/>
      <c r="C2567" s="10" t="s">
        <v>150</v>
      </c>
      <c r="D2567" s="10" t="s">
        <v>147</v>
      </c>
      <c r="E2567" s="11" t="s">
        <v>137</v>
      </c>
    </row>
    <row r="2568" spans="1:5" x14ac:dyDescent="0.35">
      <c r="A2568" s="6" t="s">
        <v>135</v>
      </c>
      <c r="B2568" s="7"/>
      <c r="C2568" s="7"/>
      <c r="D2568" s="7" t="s">
        <v>148</v>
      </c>
      <c r="E2568" s="8" t="s">
        <v>137</v>
      </c>
    </row>
    <row r="2569" spans="1:5" x14ac:dyDescent="0.35">
      <c r="A2569" s="9" t="s">
        <v>135</v>
      </c>
      <c r="B2569" s="10"/>
      <c r="C2569" s="10"/>
      <c r="D2569" s="10" t="s">
        <v>149</v>
      </c>
      <c r="E2569" s="11" t="s">
        <v>137</v>
      </c>
    </row>
    <row r="2570" spans="1:5" x14ac:dyDescent="0.35">
      <c r="A2570" s="6" t="s">
        <v>135</v>
      </c>
      <c r="B2570" s="7" t="s">
        <v>158</v>
      </c>
      <c r="C2570" s="7" t="s">
        <v>146</v>
      </c>
      <c r="D2570" s="7" t="s">
        <v>147</v>
      </c>
      <c r="E2570" s="8">
        <v>172.2</v>
      </c>
    </row>
    <row r="2571" spans="1:5" x14ac:dyDescent="0.35">
      <c r="A2571" s="9" t="s">
        <v>135</v>
      </c>
      <c r="B2571" s="10"/>
      <c r="C2571" s="10"/>
      <c r="D2571" s="10" t="s">
        <v>148</v>
      </c>
      <c r="E2571" s="11">
        <v>172.2</v>
      </c>
    </row>
    <row r="2572" spans="1:5" x14ac:dyDescent="0.35">
      <c r="A2572" s="6" t="s">
        <v>135</v>
      </c>
      <c r="B2572" s="7"/>
      <c r="C2572" s="7"/>
      <c r="D2572" s="7" t="s">
        <v>149</v>
      </c>
      <c r="E2572" s="8" t="s">
        <v>137</v>
      </c>
    </row>
    <row r="2573" spans="1:5" x14ac:dyDescent="0.35">
      <c r="A2573" s="9" t="s">
        <v>135</v>
      </c>
      <c r="B2573" s="10"/>
      <c r="C2573" s="10" t="s">
        <v>150</v>
      </c>
      <c r="D2573" s="10" t="s">
        <v>147</v>
      </c>
      <c r="E2573" s="11" t="s">
        <v>137</v>
      </c>
    </row>
    <row r="2574" spans="1:5" x14ac:dyDescent="0.35">
      <c r="A2574" s="6" t="s">
        <v>135</v>
      </c>
      <c r="B2574" s="7"/>
      <c r="C2574" s="7"/>
      <c r="D2574" s="7" t="s">
        <v>148</v>
      </c>
      <c r="E2574" s="8" t="s">
        <v>137</v>
      </c>
    </row>
    <row r="2575" spans="1:5" x14ac:dyDescent="0.35">
      <c r="A2575" s="9" t="s">
        <v>135</v>
      </c>
      <c r="B2575" s="10"/>
      <c r="C2575" s="10"/>
      <c r="D2575" s="10" t="s">
        <v>149</v>
      </c>
      <c r="E2575" s="11" t="s">
        <v>137</v>
      </c>
    </row>
    <row r="2576" spans="1:5" x14ac:dyDescent="0.35">
      <c r="A2576" s="6" t="s">
        <v>135</v>
      </c>
      <c r="B2576" s="7" t="s">
        <v>159</v>
      </c>
      <c r="C2576" s="7" t="s">
        <v>146</v>
      </c>
      <c r="D2576" s="7" t="s">
        <v>147</v>
      </c>
      <c r="E2576" s="8" t="s">
        <v>137</v>
      </c>
    </row>
    <row r="2577" spans="1:5" x14ac:dyDescent="0.35">
      <c r="A2577" s="9" t="s">
        <v>135</v>
      </c>
      <c r="B2577" s="10"/>
      <c r="C2577" s="10"/>
      <c r="D2577" s="10" t="s">
        <v>148</v>
      </c>
      <c r="E2577" s="11" t="s">
        <v>137</v>
      </c>
    </row>
    <row r="2578" spans="1:5" x14ac:dyDescent="0.35">
      <c r="A2578" s="6" t="s">
        <v>135</v>
      </c>
      <c r="B2578" s="7"/>
      <c r="C2578" s="7"/>
      <c r="D2578" s="7" t="s">
        <v>149</v>
      </c>
      <c r="E2578" s="8" t="s">
        <v>137</v>
      </c>
    </row>
    <row r="2579" spans="1:5" x14ac:dyDescent="0.35">
      <c r="A2579" s="9" t="s">
        <v>135</v>
      </c>
      <c r="B2579" s="10"/>
      <c r="C2579" s="10" t="s">
        <v>150</v>
      </c>
      <c r="D2579" s="10" t="s">
        <v>147</v>
      </c>
      <c r="E2579" s="11" t="s">
        <v>137</v>
      </c>
    </row>
    <row r="2580" spans="1:5" x14ac:dyDescent="0.35">
      <c r="A2580" s="6" t="s">
        <v>135</v>
      </c>
      <c r="B2580" s="7"/>
      <c r="C2580" s="7"/>
      <c r="D2580" s="7" t="s">
        <v>148</v>
      </c>
      <c r="E2580" s="8" t="s">
        <v>137</v>
      </c>
    </row>
    <row r="2581" spans="1:5" x14ac:dyDescent="0.35">
      <c r="A2581" s="9" t="s">
        <v>135</v>
      </c>
      <c r="B2581" s="10"/>
      <c r="C2581" s="10"/>
      <c r="D2581" s="10" t="s">
        <v>149</v>
      </c>
      <c r="E2581" s="11" t="s">
        <v>137</v>
      </c>
    </row>
    <row r="2582" spans="1:5" x14ac:dyDescent="0.35">
      <c r="A2582" s="6" t="s">
        <v>135</v>
      </c>
      <c r="B2582" s="7" t="s">
        <v>160</v>
      </c>
      <c r="C2582" s="7" t="s">
        <v>146</v>
      </c>
      <c r="D2582" s="7" t="s">
        <v>147</v>
      </c>
      <c r="E2582" s="8" t="s">
        <v>137</v>
      </c>
    </row>
    <row r="2583" spans="1:5" x14ac:dyDescent="0.35">
      <c r="A2583" s="9" t="s">
        <v>135</v>
      </c>
      <c r="B2583" s="10"/>
      <c r="C2583" s="10"/>
      <c r="D2583" s="10" t="s">
        <v>148</v>
      </c>
      <c r="E2583" s="11" t="s">
        <v>137</v>
      </c>
    </row>
    <row r="2584" spans="1:5" x14ac:dyDescent="0.35">
      <c r="A2584" s="6" t="s">
        <v>135</v>
      </c>
      <c r="B2584" s="7"/>
      <c r="C2584" s="7"/>
      <c r="D2584" s="7" t="s">
        <v>149</v>
      </c>
      <c r="E2584" s="8" t="s">
        <v>137</v>
      </c>
    </row>
    <row r="2585" spans="1:5" x14ac:dyDescent="0.35">
      <c r="A2585" s="9" t="s">
        <v>135</v>
      </c>
      <c r="B2585" s="10"/>
      <c r="C2585" s="10" t="s">
        <v>150</v>
      </c>
      <c r="D2585" s="10" t="s">
        <v>147</v>
      </c>
      <c r="E2585" s="11" t="s">
        <v>137</v>
      </c>
    </row>
    <row r="2586" spans="1:5" x14ac:dyDescent="0.35">
      <c r="A2586" s="6" t="s">
        <v>135</v>
      </c>
      <c r="B2586" s="7"/>
      <c r="C2586" s="7"/>
      <c r="D2586" s="7" t="s">
        <v>148</v>
      </c>
      <c r="E2586" s="8" t="s">
        <v>137</v>
      </c>
    </row>
    <row r="2587" spans="1:5" x14ac:dyDescent="0.35">
      <c r="A2587" s="9" t="s">
        <v>135</v>
      </c>
      <c r="B2587" s="10"/>
      <c r="C2587" s="10"/>
      <c r="D2587" s="10" t="s">
        <v>149</v>
      </c>
      <c r="E2587" s="11" t="s">
        <v>137</v>
      </c>
    </row>
    <row r="2588" spans="1:5" x14ac:dyDescent="0.35">
      <c r="A2588" s="6" t="s">
        <v>135</v>
      </c>
      <c r="B2588" s="7" t="s">
        <v>161</v>
      </c>
      <c r="C2588" s="7" t="s">
        <v>146</v>
      </c>
      <c r="D2588" s="7" t="s">
        <v>147</v>
      </c>
      <c r="E2588" s="8">
        <v>2</v>
      </c>
    </row>
    <row r="2589" spans="1:5" x14ac:dyDescent="0.35">
      <c r="A2589" s="9" t="s">
        <v>135</v>
      </c>
      <c r="B2589" s="10"/>
      <c r="C2589" s="10"/>
      <c r="D2589" s="10" t="s">
        <v>148</v>
      </c>
      <c r="E2589" s="11">
        <v>2</v>
      </c>
    </row>
    <row r="2590" spans="1:5" x14ac:dyDescent="0.35">
      <c r="A2590" s="6" t="s">
        <v>135</v>
      </c>
      <c r="B2590" s="7"/>
      <c r="C2590" s="7"/>
      <c r="D2590" s="7" t="s">
        <v>149</v>
      </c>
      <c r="E2590" s="8">
        <v>0</v>
      </c>
    </row>
    <row r="2591" spans="1:5" x14ac:dyDescent="0.35">
      <c r="A2591" s="9" t="s">
        <v>135</v>
      </c>
      <c r="B2591" s="10"/>
      <c r="C2591" s="10" t="s">
        <v>150</v>
      </c>
      <c r="D2591" s="10" t="s">
        <v>147</v>
      </c>
      <c r="E2591" s="11" t="s">
        <v>137</v>
      </c>
    </row>
    <row r="2592" spans="1:5" x14ac:dyDescent="0.35">
      <c r="A2592" s="6" t="s">
        <v>135</v>
      </c>
      <c r="B2592" s="7"/>
      <c r="C2592" s="7"/>
      <c r="D2592" s="7" t="s">
        <v>148</v>
      </c>
      <c r="E2592" s="8" t="s">
        <v>137</v>
      </c>
    </row>
    <row r="2593" spans="1:5" x14ac:dyDescent="0.35">
      <c r="A2593" s="9" t="s">
        <v>135</v>
      </c>
      <c r="B2593" s="10"/>
      <c r="C2593" s="10"/>
      <c r="D2593" s="10" t="s">
        <v>149</v>
      </c>
      <c r="E2593" s="11" t="s">
        <v>137</v>
      </c>
    </row>
    <row r="2594" spans="1:5" x14ac:dyDescent="0.35">
      <c r="A2594" s="6" t="s">
        <v>135</v>
      </c>
      <c r="B2594" s="7" t="s">
        <v>162</v>
      </c>
      <c r="C2594" s="7" t="s">
        <v>146</v>
      </c>
      <c r="D2594" s="7" t="s">
        <v>147</v>
      </c>
      <c r="E2594" s="8">
        <v>939.73</v>
      </c>
    </row>
    <row r="2595" spans="1:5" x14ac:dyDescent="0.35">
      <c r="A2595" s="9" t="s">
        <v>135</v>
      </c>
      <c r="B2595" s="10"/>
      <c r="C2595" s="10"/>
      <c r="D2595" s="10" t="s">
        <v>148</v>
      </c>
      <c r="E2595" s="11">
        <v>939.73</v>
      </c>
    </row>
    <row r="2596" spans="1:5" x14ac:dyDescent="0.35">
      <c r="A2596" s="6" t="s">
        <v>135</v>
      </c>
      <c r="B2596" s="7"/>
      <c r="C2596" s="7"/>
      <c r="D2596" s="7" t="s">
        <v>149</v>
      </c>
      <c r="E2596" s="8" t="s">
        <v>137</v>
      </c>
    </row>
    <row r="2597" spans="1:5" x14ac:dyDescent="0.35">
      <c r="A2597" s="9" t="s">
        <v>135</v>
      </c>
      <c r="B2597" s="10"/>
      <c r="C2597" s="10" t="s">
        <v>150</v>
      </c>
      <c r="D2597" s="10" t="s">
        <v>147</v>
      </c>
      <c r="E2597" s="11" t="s">
        <v>137</v>
      </c>
    </row>
    <row r="2598" spans="1:5" x14ac:dyDescent="0.35">
      <c r="A2598" s="6" t="s">
        <v>135</v>
      </c>
      <c r="B2598" s="7"/>
      <c r="C2598" s="7"/>
      <c r="D2598" s="7" t="s">
        <v>148</v>
      </c>
      <c r="E2598" s="8" t="s">
        <v>137</v>
      </c>
    </row>
    <row r="2599" spans="1:5" x14ac:dyDescent="0.35">
      <c r="A2599" s="9" t="s">
        <v>135</v>
      </c>
      <c r="B2599" s="10"/>
      <c r="C2599" s="10"/>
      <c r="D2599" s="10" t="s">
        <v>149</v>
      </c>
      <c r="E2599" s="11" t="s">
        <v>137</v>
      </c>
    </row>
    <row r="2600" spans="1:5" x14ac:dyDescent="0.35">
      <c r="A2600" s="6" t="s">
        <v>135</v>
      </c>
      <c r="B2600" s="7" t="s">
        <v>163</v>
      </c>
      <c r="C2600" s="7" t="s">
        <v>146</v>
      </c>
      <c r="D2600" s="7" t="s">
        <v>147</v>
      </c>
      <c r="E2600" s="8">
        <v>614.79999999999995</v>
      </c>
    </row>
    <row r="2601" spans="1:5" x14ac:dyDescent="0.35">
      <c r="A2601" s="9" t="s">
        <v>135</v>
      </c>
      <c r="B2601" s="10"/>
      <c r="C2601" s="10"/>
      <c r="D2601" s="10" t="s">
        <v>148</v>
      </c>
      <c r="E2601" s="11">
        <v>572.79999999999995</v>
      </c>
    </row>
    <row r="2602" spans="1:5" x14ac:dyDescent="0.35">
      <c r="A2602" s="6" t="s">
        <v>135</v>
      </c>
      <c r="B2602" s="7"/>
      <c r="C2602" s="7"/>
      <c r="D2602" s="7" t="s">
        <v>149</v>
      </c>
      <c r="E2602" s="8">
        <v>42</v>
      </c>
    </row>
    <row r="2603" spans="1:5" x14ac:dyDescent="0.35">
      <c r="A2603" s="9" t="s">
        <v>135</v>
      </c>
      <c r="B2603" s="10"/>
      <c r="C2603" s="10" t="s">
        <v>150</v>
      </c>
      <c r="D2603" s="10" t="s">
        <v>147</v>
      </c>
      <c r="E2603" s="11" t="s">
        <v>137</v>
      </c>
    </row>
    <row r="2604" spans="1:5" x14ac:dyDescent="0.35">
      <c r="A2604" s="6" t="s">
        <v>135</v>
      </c>
      <c r="B2604" s="7"/>
      <c r="C2604" s="7"/>
      <c r="D2604" s="7" t="s">
        <v>148</v>
      </c>
      <c r="E2604" s="8" t="s">
        <v>137</v>
      </c>
    </row>
    <row r="2605" spans="1:5" x14ac:dyDescent="0.35">
      <c r="A2605" s="9" t="s">
        <v>135</v>
      </c>
      <c r="B2605" s="10"/>
      <c r="C2605" s="10"/>
      <c r="D2605" s="10" t="s">
        <v>149</v>
      </c>
      <c r="E2605" s="11" t="s">
        <v>137</v>
      </c>
    </row>
    <row r="2606" spans="1:5" x14ac:dyDescent="0.35">
      <c r="A2606" s="6" t="s">
        <v>135</v>
      </c>
      <c r="B2606" s="7" t="s">
        <v>164</v>
      </c>
      <c r="C2606" s="7" t="s">
        <v>146</v>
      </c>
      <c r="D2606" s="7" t="s">
        <v>147</v>
      </c>
      <c r="E2606" s="8" t="s">
        <v>137</v>
      </c>
    </row>
    <row r="2607" spans="1:5" x14ac:dyDescent="0.35">
      <c r="A2607" s="9" t="s">
        <v>135</v>
      </c>
      <c r="B2607" s="10"/>
      <c r="C2607" s="10"/>
      <c r="D2607" s="10" t="s">
        <v>148</v>
      </c>
      <c r="E2607" s="11" t="s">
        <v>137</v>
      </c>
    </row>
    <row r="2608" spans="1:5" x14ac:dyDescent="0.35">
      <c r="A2608" s="6" t="s">
        <v>135</v>
      </c>
      <c r="B2608" s="7"/>
      <c r="C2608" s="7"/>
      <c r="D2608" s="7" t="s">
        <v>149</v>
      </c>
      <c r="E2608" s="8" t="s">
        <v>137</v>
      </c>
    </row>
    <row r="2609" spans="1:5" x14ac:dyDescent="0.35">
      <c r="A2609" s="9" t="s">
        <v>135</v>
      </c>
      <c r="B2609" s="10"/>
      <c r="C2609" s="10" t="s">
        <v>150</v>
      </c>
      <c r="D2609" s="10" t="s">
        <v>147</v>
      </c>
      <c r="E2609" s="11" t="s">
        <v>137</v>
      </c>
    </row>
    <row r="2610" spans="1:5" x14ac:dyDescent="0.35">
      <c r="A2610" s="6" t="s">
        <v>135</v>
      </c>
      <c r="B2610" s="7"/>
      <c r="C2610" s="7"/>
      <c r="D2610" s="7" t="s">
        <v>148</v>
      </c>
      <c r="E2610" s="8" t="s">
        <v>137</v>
      </c>
    </row>
    <row r="2611" spans="1:5" x14ac:dyDescent="0.35">
      <c r="A2611" s="9" t="s">
        <v>135</v>
      </c>
      <c r="B2611" s="10"/>
      <c r="C2611" s="10"/>
      <c r="D2611" s="10" t="s">
        <v>149</v>
      </c>
      <c r="E2611" s="11" t="s">
        <v>137</v>
      </c>
    </row>
    <row r="2612" spans="1:5" x14ac:dyDescent="0.35">
      <c r="A2612" s="6" t="s">
        <v>135</v>
      </c>
      <c r="B2612" s="7" t="s">
        <v>165</v>
      </c>
      <c r="C2612" s="7" t="s">
        <v>146</v>
      </c>
      <c r="D2612" s="7" t="s">
        <v>147</v>
      </c>
      <c r="E2612" s="8" t="s">
        <v>137</v>
      </c>
    </row>
    <row r="2613" spans="1:5" x14ac:dyDescent="0.35">
      <c r="A2613" s="9" t="s">
        <v>135</v>
      </c>
      <c r="B2613" s="10"/>
      <c r="C2613" s="10"/>
      <c r="D2613" s="10" t="s">
        <v>148</v>
      </c>
      <c r="E2613" s="11" t="s">
        <v>137</v>
      </c>
    </row>
    <row r="2614" spans="1:5" x14ac:dyDescent="0.35">
      <c r="A2614" s="6" t="s">
        <v>135</v>
      </c>
      <c r="B2614" s="7"/>
      <c r="C2614" s="7"/>
      <c r="D2614" s="7" t="s">
        <v>149</v>
      </c>
      <c r="E2614" s="8" t="s">
        <v>137</v>
      </c>
    </row>
    <row r="2615" spans="1:5" x14ac:dyDescent="0.35">
      <c r="A2615" s="9" t="s">
        <v>135</v>
      </c>
      <c r="B2615" s="10"/>
      <c r="C2615" s="10" t="s">
        <v>150</v>
      </c>
      <c r="D2615" s="10" t="s">
        <v>147</v>
      </c>
      <c r="E2615" s="11" t="s">
        <v>137</v>
      </c>
    </row>
    <row r="2616" spans="1:5" x14ac:dyDescent="0.35">
      <c r="A2616" s="6" t="s">
        <v>135</v>
      </c>
      <c r="B2616" s="7"/>
      <c r="C2616" s="7"/>
      <c r="D2616" s="7" t="s">
        <v>148</v>
      </c>
      <c r="E2616" s="8" t="s">
        <v>137</v>
      </c>
    </row>
    <row r="2617" spans="1:5" x14ac:dyDescent="0.35">
      <c r="A2617" s="9" t="s">
        <v>135</v>
      </c>
      <c r="B2617" s="10"/>
      <c r="C2617" s="10"/>
      <c r="D2617" s="10" t="s">
        <v>149</v>
      </c>
      <c r="E2617" s="11" t="s">
        <v>137</v>
      </c>
    </row>
    <row r="2618" spans="1:5" x14ac:dyDescent="0.35">
      <c r="A2618" s="6" t="s">
        <v>135</v>
      </c>
      <c r="B2618" s="7" t="s">
        <v>166</v>
      </c>
      <c r="C2618" s="7" t="s">
        <v>146</v>
      </c>
      <c r="D2618" s="7" t="s">
        <v>147</v>
      </c>
      <c r="E2618" s="8">
        <v>614.79999999999995</v>
      </c>
    </row>
    <row r="2619" spans="1:5" x14ac:dyDescent="0.35">
      <c r="A2619" s="9" t="s">
        <v>135</v>
      </c>
      <c r="B2619" s="10"/>
      <c r="C2619" s="10"/>
      <c r="D2619" s="10" t="s">
        <v>148</v>
      </c>
      <c r="E2619" s="11">
        <v>572.79999999999995</v>
      </c>
    </row>
    <row r="2620" spans="1:5" x14ac:dyDescent="0.35">
      <c r="A2620" s="6" t="s">
        <v>135</v>
      </c>
      <c r="B2620" s="7"/>
      <c r="C2620" s="7"/>
      <c r="D2620" s="7" t="s">
        <v>149</v>
      </c>
      <c r="E2620" s="8">
        <v>42</v>
      </c>
    </row>
    <row r="2621" spans="1:5" x14ac:dyDescent="0.35">
      <c r="A2621" s="9" t="s">
        <v>135</v>
      </c>
      <c r="B2621" s="10"/>
      <c r="C2621" s="10" t="s">
        <v>150</v>
      </c>
      <c r="D2621" s="10" t="s">
        <v>147</v>
      </c>
      <c r="E2621" s="11" t="s">
        <v>137</v>
      </c>
    </row>
    <row r="2622" spans="1:5" x14ac:dyDescent="0.35">
      <c r="A2622" s="6" t="s">
        <v>135</v>
      </c>
      <c r="B2622" s="7"/>
      <c r="C2622" s="7"/>
      <c r="D2622" s="7" t="s">
        <v>148</v>
      </c>
      <c r="E2622" s="8" t="s">
        <v>137</v>
      </c>
    </row>
    <row r="2623" spans="1:5" x14ac:dyDescent="0.35">
      <c r="A2623" s="9" t="s">
        <v>135</v>
      </c>
      <c r="B2623" s="10"/>
      <c r="C2623" s="10"/>
      <c r="D2623" s="10" t="s">
        <v>149</v>
      </c>
      <c r="E2623" s="11" t="s">
        <v>137</v>
      </c>
    </row>
    <row r="2624" spans="1:5" x14ac:dyDescent="0.35">
      <c r="A2624" s="6" t="s">
        <v>135</v>
      </c>
      <c r="B2624" s="7" t="s">
        <v>167</v>
      </c>
      <c r="C2624" s="7" t="s">
        <v>146</v>
      </c>
      <c r="D2624" s="7" t="s">
        <v>147</v>
      </c>
      <c r="E2624" s="8" t="s">
        <v>137</v>
      </c>
    </row>
    <row r="2625" spans="1:5" x14ac:dyDescent="0.35">
      <c r="A2625" s="9" t="s">
        <v>135</v>
      </c>
      <c r="B2625" s="10"/>
      <c r="C2625" s="10"/>
      <c r="D2625" s="10" t="s">
        <v>148</v>
      </c>
      <c r="E2625" s="11" t="s">
        <v>137</v>
      </c>
    </row>
    <row r="2626" spans="1:5" x14ac:dyDescent="0.35">
      <c r="A2626" s="6" t="s">
        <v>135</v>
      </c>
      <c r="B2626" s="7"/>
      <c r="C2626" s="7"/>
      <c r="D2626" s="7" t="s">
        <v>149</v>
      </c>
      <c r="E2626" s="8" t="s">
        <v>137</v>
      </c>
    </row>
    <row r="2627" spans="1:5" x14ac:dyDescent="0.35">
      <c r="A2627" s="9" t="s">
        <v>135</v>
      </c>
      <c r="B2627" s="10"/>
      <c r="C2627" s="10" t="s">
        <v>150</v>
      </c>
      <c r="D2627" s="10" t="s">
        <v>147</v>
      </c>
      <c r="E2627" s="11" t="s">
        <v>137</v>
      </c>
    </row>
    <row r="2628" spans="1:5" x14ac:dyDescent="0.35">
      <c r="A2628" s="6" t="s">
        <v>135</v>
      </c>
      <c r="B2628" s="7"/>
      <c r="C2628" s="7"/>
      <c r="D2628" s="7" t="s">
        <v>148</v>
      </c>
      <c r="E2628" s="8" t="s">
        <v>137</v>
      </c>
    </row>
    <row r="2629" spans="1:5" x14ac:dyDescent="0.35">
      <c r="A2629" s="9" t="s">
        <v>135</v>
      </c>
      <c r="B2629" s="10"/>
      <c r="C2629" s="10"/>
      <c r="D2629" s="10" t="s">
        <v>149</v>
      </c>
      <c r="E2629" s="11" t="s">
        <v>137</v>
      </c>
    </row>
    <row r="2630" spans="1:5" x14ac:dyDescent="0.35">
      <c r="A2630" s="6" t="s">
        <v>135</v>
      </c>
      <c r="B2630" s="7" t="s">
        <v>168</v>
      </c>
      <c r="C2630" s="7" t="s">
        <v>146</v>
      </c>
      <c r="D2630" s="7" t="s">
        <v>147</v>
      </c>
      <c r="E2630" s="8" t="s">
        <v>137</v>
      </c>
    </row>
    <row r="2631" spans="1:5" x14ac:dyDescent="0.35">
      <c r="A2631" s="9" t="s">
        <v>135</v>
      </c>
      <c r="B2631" s="10"/>
      <c r="C2631" s="10"/>
      <c r="D2631" s="10" t="s">
        <v>148</v>
      </c>
      <c r="E2631" s="11" t="s">
        <v>137</v>
      </c>
    </row>
    <row r="2632" spans="1:5" x14ac:dyDescent="0.35">
      <c r="A2632" s="6" t="s">
        <v>135</v>
      </c>
      <c r="B2632" s="7"/>
      <c r="C2632" s="7"/>
      <c r="D2632" s="7" t="s">
        <v>149</v>
      </c>
      <c r="E2632" s="8" t="s">
        <v>137</v>
      </c>
    </row>
    <row r="2633" spans="1:5" x14ac:dyDescent="0.35">
      <c r="A2633" s="9" t="s">
        <v>135</v>
      </c>
      <c r="B2633" s="10"/>
      <c r="C2633" s="10" t="s">
        <v>150</v>
      </c>
      <c r="D2633" s="10" t="s">
        <v>147</v>
      </c>
      <c r="E2633" s="11" t="s">
        <v>137</v>
      </c>
    </row>
    <row r="2634" spans="1:5" x14ac:dyDescent="0.35">
      <c r="A2634" s="6" t="s">
        <v>135</v>
      </c>
      <c r="B2634" s="7"/>
      <c r="C2634" s="7"/>
      <c r="D2634" s="7" t="s">
        <v>148</v>
      </c>
      <c r="E2634" s="8" t="s">
        <v>137</v>
      </c>
    </row>
    <row r="2635" spans="1:5" x14ac:dyDescent="0.35">
      <c r="A2635" s="9" t="s">
        <v>135</v>
      </c>
      <c r="B2635" s="10"/>
      <c r="C2635" s="10"/>
      <c r="D2635" s="10" t="s">
        <v>149</v>
      </c>
      <c r="E2635" s="11" t="s">
        <v>137</v>
      </c>
    </row>
    <row r="2636" spans="1:5" x14ac:dyDescent="0.35">
      <c r="A2636" s="6" t="s">
        <v>135</v>
      </c>
      <c r="B2636" s="7" t="s">
        <v>169</v>
      </c>
      <c r="C2636" s="7" t="s">
        <v>146</v>
      </c>
      <c r="D2636" s="7" t="s">
        <v>147</v>
      </c>
      <c r="E2636" s="8" t="s">
        <v>137</v>
      </c>
    </row>
    <row r="2637" spans="1:5" x14ac:dyDescent="0.35">
      <c r="A2637" s="9" t="s">
        <v>135</v>
      </c>
      <c r="B2637" s="10"/>
      <c r="C2637" s="10"/>
      <c r="D2637" s="10" t="s">
        <v>148</v>
      </c>
      <c r="E2637" s="11" t="s">
        <v>137</v>
      </c>
    </row>
    <row r="2638" spans="1:5" x14ac:dyDescent="0.35">
      <c r="A2638" s="6" t="s">
        <v>135</v>
      </c>
      <c r="B2638" s="7"/>
      <c r="C2638" s="7"/>
      <c r="D2638" s="7" t="s">
        <v>149</v>
      </c>
      <c r="E2638" s="8" t="s">
        <v>137</v>
      </c>
    </row>
    <row r="2639" spans="1:5" x14ac:dyDescent="0.35">
      <c r="A2639" s="9" t="s">
        <v>135</v>
      </c>
      <c r="B2639" s="10"/>
      <c r="C2639" s="10" t="s">
        <v>150</v>
      </c>
      <c r="D2639" s="10" t="s">
        <v>147</v>
      </c>
      <c r="E2639" s="11" t="s">
        <v>137</v>
      </c>
    </row>
    <row r="2640" spans="1:5" x14ac:dyDescent="0.35">
      <c r="A2640" s="6" t="s">
        <v>135</v>
      </c>
      <c r="B2640" s="7"/>
      <c r="C2640" s="7"/>
      <c r="D2640" s="7" t="s">
        <v>148</v>
      </c>
      <c r="E2640" s="8" t="s">
        <v>137</v>
      </c>
    </row>
    <row r="2641" spans="1:5" x14ac:dyDescent="0.35">
      <c r="A2641" s="9" t="s">
        <v>135</v>
      </c>
      <c r="B2641" s="10"/>
      <c r="C2641" s="10"/>
      <c r="D2641" s="10" t="s">
        <v>149</v>
      </c>
      <c r="E2641" s="11" t="s">
        <v>137</v>
      </c>
    </row>
    <row r="2642" spans="1:5" x14ac:dyDescent="0.35">
      <c r="A2642" s="6" t="s">
        <v>135</v>
      </c>
      <c r="B2642" s="7" t="s">
        <v>170</v>
      </c>
      <c r="C2642" s="7" t="s">
        <v>146</v>
      </c>
      <c r="D2642" s="7" t="s">
        <v>147</v>
      </c>
      <c r="E2642" s="8" t="s">
        <v>137</v>
      </c>
    </row>
    <row r="2643" spans="1:5" x14ac:dyDescent="0.35">
      <c r="A2643" s="9" t="s">
        <v>135</v>
      </c>
      <c r="B2643" s="10"/>
      <c r="C2643" s="10"/>
      <c r="D2643" s="10" t="s">
        <v>148</v>
      </c>
      <c r="E2643" s="11" t="s">
        <v>137</v>
      </c>
    </row>
    <row r="2644" spans="1:5" x14ac:dyDescent="0.35">
      <c r="A2644" s="6" t="s">
        <v>135</v>
      </c>
      <c r="B2644" s="7"/>
      <c r="C2644" s="7"/>
      <c r="D2644" s="7" t="s">
        <v>149</v>
      </c>
      <c r="E2644" s="8" t="s">
        <v>137</v>
      </c>
    </row>
    <row r="2645" spans="1:5" x14ac:dyDescent="0.35">
      <c r="A2645" s="9" t="s">
        <v>135</v>
      </c>
      <c r="B2645" s="10"/>
      <c r="C2645" s="10" t="s">
        <v>150</v>
      </c>
      <c r="D2645" s="10" t="s">
        <v>147</v>
      </c>
      <c r="E2645" s="11" t="s">
        <v>137</v>
      </c>
    </row>
    <row r="2646" spans="1:5" x14ac:dyDescent="0.35">
      <c r="A2646" s="6" t="s">
        <v>135</v>
      </c>
      <c r="B2646" s="7"/>
      <c r="C2646" s="7"/>
      <c r="D2646" s="7" t="s">
        <v>148</v>
      </c>
      <c r="E2646" s="8" t="s">
        <v>137</v>
      </c>
    </row>
    <row r="2647" spans="1:5" x14ac:dyDescent="0.35">
      <c r="A2647" s="9" t="s">
        <v>135</v>
      </c>
      <c r="B2647" s="10"/>
      <c r="C2647" s="10"/>
      <c r="D2647" s="10" t="s">
        <v>149</v>
      </c>
      <c r="E2647" s="11" t="s">
        <v>137</v>
      </c>
    </row>
    <row r="2648" spans="1:5" x14ac:dyDescent="0.35">
      <c r="A2648" s="6" t="s">
        <v>75</v>
      </c>
      <c r="B2648" s="7" t="s">
        <v>145</v>
      </c>
      <c r="C2648" s="7" t="s">
        <v>146</v>
      </c>
      <c r="D2648" s="7" t="s">
        <v>147</v>
      </c>
      <c r="E2648" s="8">
        <v>103.98</v>
      </c>
    </row>
    <row r="2649" spans="1:5" x14ac:dyDescent="0.35">
      <c r="A2649" s="9" t="s">
        <v>135</v>
      </c>
      <c r="B2649" s="10"/>
      <c r="C2649" s="10"/>
      <c r="D2649" s="10" t="s">
        <v>148</v>
      </c>
      <c r="E2649" s="11">
        <v>103.28</v>
      </c>
    </row>
    <row r="2650" spans="1:5" x14ac:dyDescent="0.35">
      <c r="A2650" s="6" t="s">
        <v>135</v>
      </c>
      <c r="B2650" s="7"/>
      <c r="C2650" s="7"/>
      <c r="D2650" s="7" t="s">
        <v>149</v>
      </c>
      <c r="E2650" s="8">
        <v>0.7</v>
      </c>
    </row>
    <row r="2651" spans="1:5" x14ac:dyDescent="0.35">
      <c r="A2651" s="9" t="s">
        <v>135</v>
      </c>
      <c r="B2651" s="10"/>
      <c r="C2651" s="10" t="s">
        <v>150</v>
      </c>
      <c r="D2651" s="10" t="s">
        <v>147</v>
      </c>
      <c r="E2651" s="11" t="s">
        <v>137</v>
      </c>
    </row>
    <row r="2652" spans="1:5" x14ac:dyDescent="0.35">
      <c r="A2652" s="6" t="s">
        <v>135</v>
      </c>
      <c r="B2652" s="7"/>
      <c r="C2652" s="7"/>
      <c r="D2652" s="7" t="s">
        <v>148</v>
      </c>
      <c r="E2652" s="8" t="s">
        <v>137</v>
      </c>
    </row>
    <row r="2653" spans="1:5" x14ac:dyDescent="0.35">
      <c r="A2653" s="9" t="s">
        <v>135</v>
      </c>
      <c r="B2653" s="10"/>
      <c r="C2653" s="10"/>
      <c r="D2653" s="10" t="s">
        <v>149</v>
      </c>
      <c r="E2653" s="11" t="s">
        <v>137</v>
      </c>
    </row>
    <row r="2654" spans="1:5" x14ac:dyDescent="0.35">
      <c r="A2654" s="6" t="s">
        <v>135</v>
      </c>
      <c r="B2654" s="7" t="s">
        <v>151</v>
      </c>
      <c r="C2654" s="7" t="s">
        <v>146</v>
      </c>
      <c r="D2654" s="7" t="s">
        <v>147</v>
      </c>
      <c r="E2654" s="8">
        <v>28.8</v>
      </c>
    </row>
    <row r="2655" spans="1:5" x14ac:dyDescent="0.35">
      <c r="A2655" s="9" t="s">
        <v>135</v>
      </c>
      <c r="B2655" s="10"/>
      <c r="C2655" s="10"/>
      <c r="D2655" s="10" t="s">
        <v>148</v>
      </c>
      <c r="E2655" s="11">
        <v>28.28</v>
      </c>
    </row>
    <row r="2656" spans="1:5" x14ac:dyDescent="0.35">
      <c r="A2656" s="6" t="s">
        <v>135</v>
      </c>
      <c r="B2656" s="7"/>
      <c r="C2656" s="7"/>
      <c r="D2656" s="7" t="s">
        <v>149</v>
      </c>
      <c r="E2656" s="8">
        <v>0.52</v>
      </c>
    </row>
    <row r="2657" spans="1:5" x14ac:dyDescent="0.35">
      <c r="A2657" s="9" t="s">
        <v>135</v>
      </c>
      <c r="B2657" s="10"/>
      <c r="C2657" s="10" t="s">
        <v>150</v>
      </c>
      <c r="D2657" s="10" t="s">
        <v>147</v>
      </c>
      <c r="E2657" s="11" t="s">
        <v>137</v>
      </c>
    </row>
    <row r="2658" spans="1:5" x14ac:dyDescent="0.35">
      <c r="A2658" s="6" t="s">
        <v>135</v>
      </c>
      <c r="B2658" s="7"/>
      <c r="C2658" s="7"/>
      <c r="D2658" s="7" t="s">
        <v>148</v>
      </c>
      <c r="E2658" s="8" t="s">
        <v>137</v>
      </c>
    </row>
    <row r="2659" spans="1:5" x14ac:dyDescent="0.35">
      <c r="A2659" s="9" t="s">
        <v>135</v>
      </c>
      <c r="B2659" s="10"/>
      <c r="C2659" s="10"/>
      <c r="D2659" s="10" t="s">
        <v>149</v>
      </c>
      <c r="E2659" s="11" t="s">
        <v>137</v>
      </c>
    </row>
    <row r="2660" spans="1:5" x14ac:dyDescent="0.35">
      <c r="A2660" s="6" t="s">
        <v>135</v>
      </c>
      <c r="B2660" s="7" t="s">
        <v>152</v>
      </c>
      <c r="C2660" s="7" t="s">
        <v>146</v>
      </c>
      <c r="D2660" s="7" t="s">
        <v>147</v>
      </c>
      <c r="E2660" s="8" t="s">
        <v>137</v>
      </c>
    </row>
    <row r="2661" spans="1:5" x14ac:dyDescent="0.35">
      <c r="A2661" s="9" t="s">
        <v>135</v>
      </c>
      <c r="B2661" s="10"/>
      <c r="C2661" s="10"/>
      <c r="D2661" s="10" t="s">
        <v>148</v>
      </c>
      <c r="E2661" s="11" t="s">
        <v>137</v>
      </c>
    </row>
    <row r="2662" spans="1:5" x14ac:dyDescent="0.35">
      <c r="A2662" s="6" t="s">
        <v>135</v>
      </c>
      <c r="B2662" s="7"/>
      <c r="C2662" s="7"/>
      <c r="D2662" s="7" t="s">
        <v>149</v>
      </c>
      <c r="E2662" s="8" t="s">
        <v>137</v>
      </c>
    </row>
    <row r="2663" spans="1:5" x14ac:dyDescent="0.35">
      <c r="A2663" s="9" t="s">
        <v>135</v>
      </c>
      <c r="B2663" s="10"/>
      <c r="C2663" s="10" t="s">
        <v>150</v>
      </c>
      <c r="D2663" s="10" t="s">
        <v>147</v>
      </c>
      <c r="E2663" s="11" t="s">
        <v>137</v>
      </c>
    </row>
    <row r="2664" spans="1:5" x14ac:dyDescent="0.35">
      <c r="A2664" s="6" t="s">
        <v>135</v>
      </c>
      <c r="B2664" s="7"/>
      <c r="C2664" s="7"/>
      <c r="D2664" s="7" t="s">
        <v>148</v>
      </c>
      <c r="E2664" s="8" t="s">
        <v>137</v>
      </c>
    </row>
    <row r="2665" spans="1:5" x14ac:dyDescent="0.35">
      <c r="A2665" s="9" t="s">
        <v>135</v>
      </c>
      <c r="B2665" s="10"/>
      <c r="C2665" s="10"/>
      <c r="D2665" s="10" t="s">
        <v>149</v>
      </c>
      <c r="E2665" s="11" t="s">
        <v>137</v>
      </c>
    </row>
    <row r="2666" spans="1:5" x14ac:dyDescent="0.35">
      <c r="A2666" s="6" t="s">
        <v>135</v>
      </c>
      <c r="B2666" s="7" t="s">
        <v>153</v>
      </c>
      <c r="C2666" s="7" t="s">
        <v>146</v>
      </c>
      <c r="D2666" s="7" t="s">
        <v>147</v>
      </c>
      <c r="E2666" s="8" t="s">
        <v>137</v>
      </c>
    </row>
    <row r="2667" spans="1:5" x14ac:dyDescent="0.35">
      <c r="A2667" s="9" t="s">
        <v>135</v>
      </c>
      <c r="B2667" s="10"/>
      <c r="C2667" s="10"/>
      <c r="D2667" s="10" t="s">
        <v>148</v>
      </c>
      <c r="E2667" s="11" t="s">
        <v>137</v>
      </c>
    </row>
    <row r="2668" spans="1:5" x14ac:dyDescent="0.35">
      <c r="A2668" s="6" t="s">
        <v>135</v>
      </c>
      <c r="B2668" s="7"/>
      <c r="C2668" s="7"/>
      <c r="D2668" s="7" t="s">
        <v>149</v>
      </c>
      <c r="E2668" s="8" t="s">
        <v>137</v>
      </c>
    </row>
    <row r="2669" spans="1:5" x14ac:dyDescent="0.35">
      <c r="A2669" s="9" t="s">
        <v>135</v>
      </c>
      <c r="B2669" s="10"/>
      <c r="C2669" s="10" t="s">
        <v>150</v>
      </c>
      <c r="D2669" s="10" t="s">
        <v>147</v>
      </c>
      <c r="E2669" s="11" t="s">
        <v>137</v>
      </c>
    </row>
    <row r="2670" spans="1:5" x14ac:dyDescent="0.35">
      <c r="A2670" s="6" t="s">
        <v>135</v>
      </c>
      <c r="B2670" s="7"/>
      <c r="C2670" s="7"/>
      <c r="D2670" s="7" t="s">
        <v>148</v>
      </c>
      <c r="E2670" s="8" t="s">
        <v>137</v>
      </c>
    </row>
    <row r="2671" spans="1:5" x14ac:dyDescent="0.35">
      <c r="A2671" s="9" t="s">
        <v>135</v>
      </c>
      <c r="B2671" s="10"/>
      <c r="C2671" s="10"/>
      <c r="D2671" s="10" t="s">
        <v>149</v>
      </c>
      <c r="E2671" s="11" t="s">
        <v>137</v>
      </c>
    </row>
    <row r="2672" spans="1:5" x14ac:dyDescent="0.35">
      <c r="A2672" s="6" t="s">
        <v>135</v>
      </c>
      <c r="B2672" s="7" t="s">
        <v>154</v>
      </c>
      <c r="C2672" s="7" t="s">
        <v>146</v>
      </c>
      <c r="D2672" s="7" t="s">
        <v>147</v>
      </c>
      <c r="E2672" s="8" t="s">
        <v>137</v>
      </c>
    </row>
    <row r="2673" spans="1:5" x14ac:dyDescent="0.35">
      <c r="A2673" s="9" t="s">
        <v>135</v>
      </c>
      <c r="B2673" s="10"/>
      <c r="C2673" s="10"/>
      <c r="D2673" s="10" t="s">
        <v>148</v>
      </c>
      <c r="E2673" s="11" t="s">
        <v>137</v>
      </c>
    </row>
    <row r="2674" spans="1:5" x14ac:dyDescent="0.35">
      <c r="A2674" s="6" t="s">
        <v>135</v>
      </c>
      <c r="B2674" s="7"/>
      <c r="C2674" s="7"/>
      <c r="D2674" s="7" t="s">
        <v>149</v>
      </c>
      <c r="E2674" s="8" t="s">
        <v>137</v>
      </c>
    </row>
    <row r="2675" spans="1:5" x14ac:dyDescent="0.35">
      <c r="A2675" s="9" t="s">
        <v>135</v>
      </c>
      <c r="B2675" s="10"/>
      <c r="C2675" s="10" t="s">
        <v>150</v>
      </c>
      <c r="D2675" s="10" t="s">
        <v>147</v>
      </c>
      <c r="E2675" s="11" t="s">
        <v>137</v>
      </c>
    </row>
    <row r="2676" spans="1:5" x14ac:dyDescent="0.35">
      <c r="A2676" s="6" t="s">
        <v>135</v>
      </c>
      <c r="B2676" s="7"/>
      <c r="C2676" s="7"/>
      <c r="D2676" s="7" t="s">
        <v>148</v>
      </c>
      <c r="E2676" s="8" t="s">
        <v>137</v>
      </c>
    </row>
    <row r="2677" spans="1:5" x14ac:dyDescent="0.35">
      <c r="A2677" s="9" t="s">
        <v>135</v>
      </c>
      <c r="B2677" s="10"/>
      <c r="C2677" s="10"/>
      <c r="D2677" s="10" t="s">
        <v>149</v>
      </c>
      <c r="E2677" s="11" t="s">
        <v>137</v>
      </c>
    </row>
    <row r="2678" spans="1:5" x14ac:dyDescent="0.35">
      <c r="A2678" s="6" t="s">
        <v>135</v>
      </c>
      <c r="B2678" s="7" t="s">
        <v>155</v>
      </c>
      <c r="C2678" s="7" t="s">
        <v>146</v>
      </c>
      <c r="D2678" s="7" t="s">
        <v>147</v>
      </c>
      <c r="E2678" s="8">
        <v>75.180000000000007</v>
      </c>
    </row>
    <row r="2679" spans="1:5" x14ac:dyDescent="0.35">
      <c r="A2679" s="9" t="s">
        <v>135</v>
      </c>
      <c r="B2679" s="10"/>
      <c r="C2679" s="10"/>
      <c r="D2679" s="10" t="s">
        <v>148</v>
      </c>
      <c r="E2679" s="11">
        <v>75</v>
      </c>
    </row>
    <row r="2680" spans="1:5" x14ac:dyDescent="0.35">
      <c r="A2680" s="6" t="s">
        <v>135</v>
      </c>
      <c r="B2680" s="7"/>
      <c r="C2680" s="7"/>
      <c r="D2680" s="7" t="s">
        <v>149</v>
      </c>
      <c r="E2680" s="8">
        <v>0.18</v>
      </c>
    </row>
    <row r="2681" spans="1:5" x14ac:dyDescent="0.35">
      <c r="A2681" s="9" t="s">
        <v>135</v>
      </c>
      <c r="B2681" s="10"/>
      <c r="C2681" s="10" t="s">
        <v>150</v>
      </c>
      <c r="D2681" s="10" t="s">
        <v>147</v>
      </c>
      <c r="E2681" s="11" t="s">
        <v>137</v>
      </c>
    </row>
    <row r="2682" spans="1:5" x14ac:dyDescent="0.35">
      <c r="A2682" s="6" t="s">
        <v>135</v>
      </c>
      <c r="B2682" s="7"/>
      <c r="C2682" s="7"/>
      <c r="D2682" s="7" t="s">
        <v>148</v>
      </c>
      <c r="E2682" s="8" t="s">
        <v>137</v>
      </c>
    </row>
    <row r="2683" spans="1:5" x14ac:dyDescent="0.35">
      <c r="A2683" s="9" t="s">
        <v>135</v>
      </c>
      <c r="B2683" s="10"/>
      <c r="C2683" s="10"/>
      <c r="D2683" s="10" t="s">
        <v>149</v>
      </c>
      <c r="E2683" s="11" t="s">
        <v>137</v>
      </c>
    </row>
    <row r="2684" spans="1:5" x14ac:dyDescent="0.35">
      <c r="A2684" s="6" t="s">
        <v>135</v>
      </c>
      <c r="B2684" s="7" t="s">
        <v>156</v>
      </c>
      <c r="C2684" s="7" t="s">
        <v>146</v>
      </c>
      <c r="D2684" s="7" t="s">
        <v>147</v>
      </c>
      <c r="E2684" s="8" t="s">
        <v>137</v>
      </c>
    </row>
    <row r="2685" spans="1:5" x14ac:dyDescent="0.35">
      <c r="A2685" s="9" t="s">
        <v>135</v>
      </c>
      <c r="B2685" s="10"/>
      <c r="C2685" s="10"/>
      <c r="D2685" s="10" t="s">
        <v>148</v>
      </c>
      <c r="E2685" s="11" t="s">
        <v>137</v>
      </c>
    </row>
    <row r="2686" spans="1:5" x14ac:dyDescent="0.35">
      <c r="A2686" s="6" t="s">
        <v>135</v>
      </c>
      <c r="B2686" s="7"/>
      <c r="C2686" s="7"/>
      <c r="D2686" s="7" t="s">
        <v>149</v>
      </c>
      <c r="E2686" s="8" t="s">
        <v>137</v>
      </c>
    </row>
    <row r="2687" spans="1:5" x14ac:dyDescent="0.35">
      <c r="A2687" s="9" t="s">
        <v>135</v>
      </c>
      <c r="B2687" s="10"/>
      <c r="C2687" s="10" t="s">
        <v>150</v>
      </c>
      <c r="D2687" s="10" t="s">
        <v>147</v>
      </c>
      <c r="E2687" s="11" t="s">
        <v>137</v>
      </c>
    </row>
    <row r="2688" spans="1:5" x14ac:dyDescent="0.35">
      <c r="A2688" s="6" t="s">
        <v>135</v>
      </c>
      <c r="B2688" s="7"/>
      <c r="C2688" s="7"/>
      <c r="D2688" s="7" t="s">
        <v>148</v>
      </c>
      <c r="E2688" s="8" t="s">
        <v>137</v>
      </c>
    </row>
    <row r="2689" spans="1:5" x14ac:dyDescent="0.35">
      <c r="A2689" s="9" t="s">
        <v>135</v>
      </c>
      <c r="B2689" s="10"/>
      <c r="C2689" s="10"/>
      <c r="D2689" s="10" t="s">
        <v>149</v>
      </c>
      <c r="E2689" s="11" t="s">
        <v>137</v>
      </c>
    </row>
    <row r="2690" spans="1:5" x14ac:dyDescent="0.35">
      <c r="A2690" s="6" t="s">
        <v>135</v>
      </c>
      <c r="B2690" s="7" t="s">
        <v>157</v>
      </c>
      <c r="C2690" s="7" t="s">
        <v>146</v>
      </c>
      <c r="D2690" s="7" t="s">
        <v>147</v>
      </c>
      <c r="E2690" s="8" t="s">
        <v>137</v>
      </c>
    </row>
    <row r="2691" spans="1:5" x14ac:dyDescent="0.35">
      <c r="A2691" s="9" t="s">
        <v>135</v>
      </c>
      <c r="B2691" s="10"/>
      <c r="C2691" s="10"/>
      <c r="D2691" s="10" t="s">
        <v>148</v>
      </c>
      <c r="E2691" s="11" t="s">
        <v>137</v>
      </c>
    </row>
    <row r="2692" spans="1:5" x14ac:dyDescent="0.35">
      <c r="A2692" s="6" t="s">
        <v>135</v>
      </c>
      <c r="B2692" s="7"/>
      <c r="C2692" s="7"/>
      <c r="D2692" s="7" t="s">
        <v>149</v>
      </c>
      <c r="E2692" s="8" t="s">
        <v>137</v>
      </c>
    </row>
    <row r="2693" spans="1:5" x14ac:dyDescent="0.35">
      <c r="A2693" s="9" t="s">
        <v>135</v>
      </c>
      <c r="B2693" s="10"/>
      <c r="C2693" s="10" t="s">
        <v>150</v>
      </c>
      <c r="D2693" s="10" t="s">
        <v>147</v>
      </c>
      <c r="E2693" s="11" t="s">
        <v>137</v>
      </c>
    </row>
    <row r="2694" spans="1:5" x14ac:dyDescent="0.35">
      <c r="A2694" s="6" t="s">
        <v>135</v>
      </c>
      <c r="B2694" s="7"/>
      <c r="C2694" s="7"/>
      <c r="D2694" s="7" t="s">
        <v>148</v>
      </c>
      <c r="E2694" s="8" t="s">
        <v>137</v>
      </c>
    </row>
    <row r="2695" spans="1:5" x14ac:dyDescent="0.35">
      <c r="A2695" s="9" t="s">
        <v>135</v>
      </c>
      <c r="B2695" s="10"/>
      <c r="C2695" s="10"/>
      <c r="D2695" s="10" t="s">
        <v>149</v>
      </c>
      <c r="E2695" s="11" t="s">
        <v>137</v>
      </c>
    </row>
    <row r="2696" spans="1:5" x14ac:dyDescent="0.35">
      <c r="A2696" s="6" t="s">
        <v>135</v>
      </c>
      <c r="B2696" s="7" t="s">
        <v>158</v>
      </c>
      <c r="C2696" s="7" t="s">
        <v>146</v>
      </c>
      <c r="D2696" s="7" t="s">
        <v>147</v>
      </c>
      <c r="E2696" s="8" t="s">
        <v>137</v>
      </c>
    </row>
    <row r="2697" spans="1:5" x14ac:dyDescent="0.35">
      <c r="A2697" s="9" t="s">
        <v>135</v>
      </c>
      <c r="B2697" s="10"/>
      <c r="C2697" s="10"/>
      <c r="D2697" s="10" t="s">
        <v>148</v>
      </c>
      <c r="E2697" s="11" t="s">
        <v>137</v>
      </c>
    </row>
    <row r="2698" spans="1:5" x14ac:dyDescent="0.35">
      <c r="A2698" s="6" t="s">
        <v>135</v>
      </c>
      <c r="B2698" s="7"/>
      <c r="C2698" s="7"/>
      <c r="D2698" s="7" t="s">
        <v>149</v>
      </c>
      <c r="E2698" s="8" t="s">
        <v>137</v>
      </c>
    </row>
    <row r="2699" spans="1:5" x14ac:dyDescent="0.35">
      <c r="A2699" s="9" t="s">
        <v>135</v>
      </c>
      <c r="B2699" s="10"/>
      <c r="C2699" s="10" t="s">
        <v>150</v>
      </c>
      <c r="D2699" s="10" t="s">
        <v>147</v>
      </c>
      <c r="E2699" s="11" t="s">
        <v>137</v>
      </c>
    </row>
    <row r="2700" spans="1:5" x14ac:dyDescent="0.35">
      <c r="A2700" s="6" t="s">
        <v>135</v>
      </c>
      <c r="B2700" s="7"/>
      <c r="C2700" s="7"/>
      <c r="D2700" s="7" t="s">
        <v>148</v>
      </c>
      <c r="E2700" s="8" t="s">
        <v>137</v>
      </c>
    </row>
    <row r="2701" spans="1:5" x14ac:dyDescent="0.35">
      <c r="A2701" s="9" t="s">
        <v>135</v>
      </c>
      <c r="B2701" s="10"/>
      <c r="C2701" s="10"/>
      <c r="D2701" s="10" t="s">
        <v>149</v>
      </c>
      <c r="E2701" s="11" t="s">
        <v>137</v>
      </c>
    </row>
    <row r="2702" spans="1:5" x14ac:dyDescent="0.35">
      <c r="A2702" s="6" t="s">
        <v>135</v>
      </c>
      <c r="B2702" s="7" t="s">
        <v>159</v>
      </c>
      <c r="C2702" s="7" t="s">
        <v>146</v>
      </c>
      <c r="D2702" s="7" t="s">
        <v>147</v>
      </c>
      <c r="E2702" s="8" t="s">
        <v>137</v>
      </c>
    </row>
    <row r="2703" spans="1:5" x14ac:dyDescent="0.35">
      <c r="A2703" s="9" t="s">
        <v>135</v>
      </c>
      <c r="B2703" s="10"/>
      <c r="C2703" s="10"/>
      <c r="D2703" s="10" t="s">
        <v>148</v>
      </c>
      <c r="E2703" s="11" t="s">
        <v>137</v>
      </c>
    </row>
    <row r="2704" spans="1:5" x14ac:dyDescent="0.35">
      <c r="A2704" s="6" t="s">
        <v>135</v>
      </c>
      <c r="B2704" s="7"/>
      <c r="C2704" s="7"/>
      <c r="D2704" s="7" t="s">
        <v>149</v>
      </c>
      <c r="E2704" s="8" t="s">
        <v>137</v>
      </c>
    </row>
    <row r="2705" spans="1:5" x14ac:dyDescent="0.35">
      <c r="A2705" s="9" t="s">
        <v>135</v>
      </c>
      <c r="B2705" s="10"/>
      <c r="C2705" s="10" t="s">
        <v>150</v>
      </c>
      <c r="D2705" s="10" t="s">
        <v>147</v>
      </c>
      <c r="E2705" s="11" t="s">
        <v>137</v>
      </c>
    </row>
    <row r="2706" spans="1:5" x14ac:dyDescent="0.35">
      <c r="A2706" s="6" t="s">
        <v>135</v>
      </c>
      <c r="B2706" s="7"/>
      <c r="C2706" s="7"/>
      <c r="D2706" s="7" t="s">
        <v>148</v>
      </c>
      <c r="E2706" s="8" t="s">
        <v>137</v>
      </c>
    </row>
    <row r="2707" spans="1:5" x14ac:dyDescent="0.35">
      <c r="A2707" s="9" t="s">
        <v>135</v>
      </c>
      <c r="B2707" s="10"/>
      <c r="C2707" s="10"/>
      <c r="D2707" s="10" t="s">
        <v>149</v>
      </c>
      <c r="E2707" s="11" t="s">
        <v>137</v>
      </c>
    </row>
    <row r="2708" spans="1:5" x14ac:dyDescent="0.35">
      <c r="A2708" s="6" t="s">
        <v>135</v>
      </c>
      <c r="B2708" s="7" t="s">
        <v>160</v>
      </c>
      <c r="C2708" s="7" t="s">
        <v>146</v>
      </c>
      <c r="D2708" s="7" t="s">
        <v>147</v>
      </c>
      <c r="E2708" s="8" t="s">
        <v>137</v>
      </c>
    </row>
    <row r="2709" spans="1:5" x14ac:dyDescent="0.35">
      <c r="A2709" s="9" t="s">
        <v>135</v>
      </c>
      <c r="B2709" s="10"/>
      <c r="C2709" s="10"/>
      <c r="D2709" s="10" t="s">
        <v>148</v>
      </c>
      <c r="E2709" s="11" t="s">
        <v>137</v>
      </c>
    </row>
    <row r="2710" spans="1:5" x14ac:dyDescent="0.35">
      <c r="A2710" s="6" t="s">
        <v>135</v>
      </c>
      <c r="B2710" s="7"/>
      <c r="C2710" s="7"/>
      <c r="D2710" s="7" t="s">
        <v>149</v>
      </c>
      <c r="E2710" s="8" t="s">
        <v>137</v>
      </c>
    </row>
    <row r="2711" spans="1:5" x14ac:dyDescent="0.35">
      <c r="A2711" s="9" t="s">
        <v>135</v>
      </c>
      <c r="B2711" s="10"/>
      <c r="C2711" s="10" t="s">
        <v>150</v>
      </c>
      <c r="D2711" s="10" t="s">
        <v>147</v>
      </c>
      <c r="E2711" s="11" t="s">
        <v>137</v>
      </c>
    </row>
    <row r="2712" spans="1:5" x14ac:dyDescent="0.35">
      <c r="A2712" s="6" t="s">
        <v>135</v>
      </c>
      <c r="B2712" s="7"/>
      <c r="C2712" s="7"/>
      <c r="D2712" s="7" t="s">
        <v>148</v>
      </c>
      <c r="E2712" s="8" t="s">
        <v>137</v>
      </c>
    </row>
    <row r="2713" spans="1:5" x14ac:dyDescent="0.35">
      <c r="A2713" s="9" t="s">
        <v>135</v>
      </c>
      <c r="B2713" s="10"/>
      <c r="C2713" s="10"/>
      <c r="D2713" s="10" t="s">
        <v>149</v>
      </c>
      <c r="E2713" s="11" t="s">
        <v>137</v>
      </c>
    </row>
    <row r="2714" spans="1:5" x14ac:dyDescent="0.35">
      <c r="A2714" s="6" t="s">
        <v>135</v>
      </c>
      <c r="B2714" s="7" t="s">
        <v>161</v>
      </c>
      <c r="C2714" s="7" t="s">
        <v>146</v>
      </c>
      <c r="D2714" s="7" t="s">
        <v>147</v>
      </c>
      <c r="E2714" s="8" t="s">
        <v>137</v>
      </c>
    </row>
    <row r="2715" spans="1:5" x14ac:dyDescent="0.35">
      <c r="A2715" s="9" t="s">
        <v>135</v>
      </c>
      <c r="B2715" s="10"/>
      <c r="C2715" s="10"/>
      <c r="D2715" s="10" t="s">
        <v>148</v>
      </c>
      <c r="E2715" s="11" t="s">
        <v>137</v>
      </c>
    </row>
    <row r="2716" spans="1:5" x14ac:dyDescent="0.35">
      <c r="A2716" s="6" t="s">
        <v>135</v>
      </c>
      <c r="B2716" s="7"/>
      <c r="C2716" s="7"/>
      <c r="D2716" s="7" t="s">
        <v>149</v>
      </c>
      <c r="E2716" s="8" t="s">
        <v>137</v>
      </c>
    </row>
    <row r="2717" spans="1:5" x14ac:dyDescent="0.35">
      <c r="A2717" s="9" t="s">
        <v>135</v>
      </c>
      <c r="B2717" s="10"/>
      <c r="C2717" s="10" t="s">
        <v>150</v>
      </c>
      <c r="D2717" s="10" t="s">
        <v>147</v>
      </c>
      <c r="E2717" s="11" t="s">
        <v>137</v>
      </c>
    </row>
    <row r="2718" spans="1:5" x14ac:dyDescent="0.35">
      <c r="A2718" s="6" t="s">
        <v>135</v>
      </c>
      <c r="B2718" s="7"/>
      <c r="C2718" s="7"/>
      <c r="D2718" s="7" t="s">
        <v>148</v>
      </c>
      <c r="E2718" s="8" t="s">
        <v>137</v>
      </c>
    </row>
    <row r="2719" spans="1:5" x14ac:dyDescent="0.35">
      <c r="A2719" s="9" t="s">
        <v>135</v>
      </c>
      <c r="B2719" s="10"/>
      <c r="C2719" s="10"/>
      <c r="D2719" s="10" t="s">
        <v>149</v>
      </c>
      <c r="E2719" s="11" t="s">
        <v>137</v>
      </c>
    </row>
    <row r="2720" spans="1:5" x14ac:dyDescent="0.35">
      <c r="A2720" s="6" t="s">
        <v>135</v>
      </c>
      <c r="B2720" s="7" t="s">
        <v>162</v>
      </c>
      <c r="C2720" s="7" t="s">
        <v>146</v>
      </c>
      <c r="D2720" s="7" t="s">
        <v>147</v>
      </c>
      <c r="E2720" s="8" t="s">
        <v>137</v>
      </c>
    </row>
    <row r="2721" spans="1:5" x14ac:dyDescent="0.35">
      <c r="A2721" s="9" t="s">
        <v>135</v>
      </c>
      <c r="B2721" s="10"/>
      <c r="C2721" s="10"/>
      <c r="D2721" s="10" t="s">
        <v>148</v>
      </c>
      <c r="E2721" s="11" t="s">
        <v>137</v>
      </c>
    </row>
    <row r="2722" spans="1:5" x14ac:dyDescent="0.35">
      <c r="A2722" s="6" t="s">
        <v>135</v>
      </c>
      <c r="B2722" s="7"/>
      <c r="C2722" s="7"/>
      <c r="D2722" s="7" t="s">
        <v>149</v>
      </c>
      <c r="E2722" s="8" t="s">
        <v>137</v>
      </c>
    </row>
    <row r="2723" spans="1:5" x14ac:dyDescent="0.35">
      <c r="A2723" s="9" t="s">
        <v>135</v>
      </c>
      <c r="B2723" s="10"/>
      <c r="C2723" s="10" t="s">
        <v>150</v>
      </c>
      <c r="D2723" s="10" t="s">
        <v>147</v>
      </c>
      <c r="E2723" s="11" t="s">
        <v>137</v>
      </c>
    </row>
    <row r="2724" spans="1:5" x14ac:dyDescent="0.35">
      <c r="A2724" s="6" t="s">
        <v>135</v>
      </c>
      <c r="B2724" s="7"/>
      <c r="C2724" s="7"/>
      <c r="D2724" s="7" t="s">
        <v>148</v>
      </c>
      <c r="E2724" s="8" t="s">
        <v>137</v>
      </c>
    </row>
    <row r="2725" spans="1:5" x14ac:dyDescent="0.35">
      <c r="A2725" s="9" t="s">
        <v>135</v>
      </c>
      <c r="B2725" s="10"/>
      <c r="C2725" s="10"/>
      <c r="D2725" s="10" t="s">
        <v>149</v>
      </c>
      <c r="E2725" s="11" t="s">
        <v>137</v>
      </c>
    </row>
    <row r="2726" spans="1:5" x14ac:dyDescent="0.35">
      <c r="A2726" s="6" t="s">
        <v>135</v>
      </c>
      <c r="B2726" s="7" t="s">
        <v>163</v>
      </c>
      <c r="C2726" s="7" t="s">
        <v>146</v>
      </c>
      <c r="D2726" s="7" t="s">
        <v>147</v>
      </c>
      <c r="E2726" s="8">
        <v>1.22</v>
      </c>
    </row>
    <row r="2727" spans="1:5" x14ac:dyDescent="0.35">
      <c r="A2727" s="9" t="s">
        <v>135</v>
      </c>
      <c r="B2727" s="10"/>
      <c r="C2727" s="10"/>
      <c r="D2727" s="10" t="s">
        <v>148</v>
      </c>
      <c r="E2727" s="11" t="s">
        <v>137</v>
      </c>
    </row>
    <row r="2728" spans="1:5" x14ac:dyDescent="0.35">
      <c r="A2728" s="6" t="s">
        <v>135</v>
      </c>
      <c r="B2728" s="7"/>
      <c r="C2728" s="7"/>
      <c r="D2728" s="7" t="s">
        <v>149</v>
      </c>
      <c r="E2728" s="8">
        <v>1.22</v>
      </c>
    </row>
    <row r="2729" spans="1:5" x14ac:dyDescent="0.35">
      <c r="A2729" s="9" t="s">
        <v>135</v>
      </c>
      <c r="B2729" s="10"/>
      <c r="C2729" s="10" t="s">
        <v>150</v>
      </c>
      <c r="D2729" s="10" t="s">
        <v>147</v>
      </c>
      <c r="E2729" s="11" t="s">
        <v>137</v>
      </c>
    </row>
    <row r="2730" spans="1:5" x14ac:dyDescent="0.35">
      <c r="A2730" s="6" t="s">
        <v>135</v>
      </c>
      <c r="B2730" s="7"/>
      <c r="C2730" s="7"/>
      <c r="D2730" s="7" t="s">
        <v>148</v>
      </c>
      <c r="E2730" s="8" t="s">
        <v>137</v>
      </c>
    </row>
    <row r="2731" spans="1:5" x14ac:dyDescent="0.35">
      <c r="A2731" s="9" t="s">
        <v>135</v>
      </c>
      <c r="B2731" s="10"/>
      <c r="C2731" s="10"/>
      <c r="D2731" s="10" t="s">
        <v>149</v>
      </c>
      <c r="E2731" s="11" t="s">
        <v>137</v>
      </c>
    </row>
    <row r="2732" spans="1:5" x14ac:dyDescent="0.35">
      <c r="A2732" s="6" t="s">
        <v>135</v>
      </c>
      <c r="B2732" s="7" t="s">
        <v>164</v>
      </c>
      <c r="C2732" s="7" t="s">
        <v>146</v>
      </c>
      <c r="D2732" s="7" t="s">
        <v>147</v>
      </c>
      <c r="E2732" s="8" t="s">
        <v>137</v>
      </c>
    </row>
    <row r="2733" spans="1:5" x14ac:dyDescent="0.35">
      <c r="A2733" s="9" t="s">
        <v>135</v>
      </c>
      <c r="B2733" s="10"/>
      <c r="C2733" s="10"/>
      <c r="D2733" s="10" t="s">
        <v>148</v>
      </c>
      <c r="E2733" s="11" t="s">
        <v>137</v>
      </c>
    </row>
    <row r="2734" spans="1:5" x14ac:dyDescent="0.35">
      <c r="A2734" s="6" t="s">
        <v>135</v>
      </c>
      <c r="B2734" s="7"/>
      <c r="C2734" s="7"/>
      <c r="D2734" s="7" t="s">
        <v>149</v>
      </c>
      <c r="E2734" s="8" t="s">
        <v>137</v>
      </c>
    </row>
    <row r="2735" spans="1:5" x14ac:dyDescent="0.35">
      <c r="A2735" s="9" t="s">
        <v>135</v>
      </c>
      <c r="B2735" s="10"/>
      <c r="C2735" s="10" t="s">
        <v>150</v>
      </c>
      <c r="D2735" s="10" t="s">
        <v>147</v>
      </c>
      <c r="E2735" s="11" t="s">
        <v>137</v>
      </c>
    </row>
    <row r="2736" spans="1:5" x14ac:dyDescent="0.35">
      <c r="A2736" s="6" t="s">
        <v>135</v>
      </c>
      <c r="B2736" s="7"/>
      <c r="C2736" s="7"/>
      <c r="D2736" s="7" t="s">
        <v>148</v>
      </c>
      <c r="E2736" s="8" t="s">
        <v>137</v>
      </c>
    </row>
    <row r="2737" spans="1:5" x14ac:dyDescent="0.35">
      <c r="A2737" s="9" t="s">
        <v>135</v>
      </c>
      <c r="B2737" s="10"/>
      <c r="C2737" s="10"/>
      <c r="D2737" s="10" t="s">
        <v>149</v>
      </c>
      <c r="E2737" s="11" t="s">
        <v>137</v>
      </c>
    </row>
    <row r="2738" spans="1:5" x14ac:dyDescent="0.35">
      <c r="A2738" s="6" t="s">
        <v>135</v>
      </c>
      <c r="B2738" s="7" t="s">
        <v>165</v>
      </c>
      <c r="C2738" s="7" t="s">
        <v>146</v>
      </c>
      <c r="D2738" s="7" t="s">
        <v>147</v>
      </c>
      <c r="E2738" s="8" t="s">
        <v>137</v>
      </c>
    </row>
    <row r="2739" spans="1:5" x14ac:dyDescent="0.35">
      <c r="A2739" s="9" t="s">
        <v>135</v>
      </c>
      <c r="B2739" s="10"/>
      <c r="C2739" s="10"/>
      <c r="D2739" s="10" t="s">
        <v>148</v>
      </c>
      <c r="E2739" s="11" t="s">
        <v>137</v>
      </c>
    </row>
    <row r="2740" spans="1:5" x14ac:dyDescent="0.35">
      <c r="A2740" s="6" t="s">
        <v>135</v>
      </c>
      <c r="B2740" s="7"/>
      <c r="C2740" s="7"/>
      <c r="D2740" s="7" t="s">
        <v>149</v>
      </c>
      <c r="E2740" s="8" t="s">
        <v>137</v>
      </c>
    </row>
    <row r="2741" spans="1:5" x14ac:dyDescent="0.35">
      <c r="A2741" s="9" t="s">
        <v>135</v>
      </c>
      <c r="B2741" s="10"/>
      <c r="C2741" s="10" t="s">
        <v>150</v>
      </c>
      <c r="D2741" s="10" t="s">
        <v>147</v>
      </c>
      <c r="E2741" s="11" t="s">
        <v>137</v>
      </c>
    </row>
    <row r="2742" spans="1:5" x14ac:dyDescent="0.35">
      <c r="A2742" s="6" t="s">
        <v>135</v>
      </c>
      <c r="B2742" s="7"/>
      <c r="C2742" s="7"/>
      <c r="D2742" s="7" t="s">
        <v>148</v>
      </c>
      <c r="E2742" s="8" t="s">
        <v>137</v>
      </c>
    </row>
    <row r="2743" spans="1:5" x14ac:dyDescent="0.35">
      <c r="A2743" s="9" t="s">
        <v>135</v>
      </c>
      <c r="B2743" s="10"/>
      <c r="C2743" s="10"/>
      <c r="D2743" s="10" t="s">
        <v>149</v>
      </c>
      <c r="E2743" s="11" t="s">
        <v>137</v>
      </c>
    </row>
    <row r="2744" spans="1:5" x14ac:dyDescent="0.35">
      <c r="A2744" s="6" t="s">
        <v>135</v>
      </c>
      <c r="B2744" s="7" t="s">
        <v>166</v>
      </c>
      <c r="C2744" s="7" t="s">
        <v>146</v>
      </c>
      <c r="D2744" s="7" t="s">
        <v>147</v>
      </c>
      <c r="E2744" s="8">
        <v>0.61</v>
      </c>
    </row>
    <row r="2745" spans="1:5" x14ac:dyDescent="0.35">
      <c r="A2745" s="9" t="s">
        <v>135</v>
      </c>
      <c r="B2745" s="10"/>
      <c r="C2745" s="10"/>
      <c r="D2745" s="10" t="s">
        <v>148</v>
      </c>
      <c r="E2745" s="11" t="s">
        <v>137</v>
      </c>
    </row>
    <row r="2746" spans="1:5" x14ac:dyDescent="0.35">
      <c r="A2746" s="6" t="s">
        <v>135</v>
      </c>
      <c r="B2746" s="7"/>
      <c r="C2746" s="7"/>
      <c r="D2746" s="7" t="s">
        <v>149</v>
      </c>
      <c r="E2746" s="8">
        <v>0.61</v>
      </c>
    </row>
    <row r="2747" spans="1:5" x14ac:dyDescent="0.35">
      <c r="A2747" s="9" t="s">
        <v>135</v>
      </c>
      <c r="B2747" s="10"/>
      <c r="C2747" s="10" t="s">
        <v>150</v>
      </c>
      <c r="D2747" s="10" t="s">
        <v>147</v>
      </c>
      <c r="E2747" s="11" t="s">
        <v>137</v>
      </c>
    </row>
    <row r="2748" spans="1:5" x14ac:dyDescent="0.35">
      <c r="A2748" s="6" t="s">
        <v>135</v>
      </c>
      <c r="B2748" s="7"/>
      <c r="C2748" s="7"/>
      <c r="D2748" s="7" t="s">
        <v>148</v>
      </c>
      <c r="E2748" s="8" t="s">
        <v>137</v>
      </c>
    </row>
    <row r="2749" spans="1:5" x14ac:dyDescent="0.35">
      <c r="A2749" s="9" t="s">
        <v>135</v>
      </c>
      <c r="B2749" s="10"/>
      <c r="C2749" s="10"/>
      <c r="D2749" s="10" t="s">
        <v>149</v>
      </c>
      <c r="E2749" s="11" t="s">
        <v>137</v>
      </c>
    </row>
    <row r="2750" spans="1:5" x14ac:dyDescent="0.35">
      <c r="A2750" s="6" t="s">
        <v>135</v>
      </c>
      <c r="B2750" s="7" t="s">
        <v>167</v>
      </c>
      <c r="C2750" s="7" t="s">
        <v>146</v>
      </c>
      <c r="D2750" s="7" t="s">
        <v>147</v>
      </c>
      <c r="E2750" s="8">
        <v>0.61</v>
      </c>
    </row>
    <row r="2751" spans="1:5" x14ac:dyDescent="0.35">
      <c r="A2751" s="9" t="s">
        <v>135</v>
      </c>
      <c r="B2751" s="10"/>
      <c r="C2751" s="10"/>
      <c r="D2751" s="10" t="s">
        <v>148</v>
      </c>
      <c r="E2751" s="11" t="s">
        <v>137</v>
      </c>
    </row>
    <row r="2752" spans="1:5" x14ac:dyDescent="0.35">
      <c r="A2752" s="6" t="s">
        <v>135</v>
      </c>
      <c r="B2752" s="7"/>
      <c r="C2752" s="7"/>
      <c r="D2752" s="7" t="s">
        <v>149</v>
      </c>
      <c r="E2752" s="8">
        <v>0.61</v>
      </c>
    </row>
    <row r="2753" spans="1:5" x14ac:dyDescent="0.35">
      <c r="A2753" s="9" t="s">
        <v>135</v>
      </c>
      <c r="B2753" s="10"/>
      <c r="C2753" s="10" t="s">
        <v>150</v>
      </c>
      <c r="D2753" s="10" t="s">
        <v>147</v>
      </c>
      <c r="E2753" s="11" t="s">
        <v>137</v>
      </c>
    </row>
    <row r="2754" spans="1:5" x14ac:dyDescent="0.35">
      <c r="A2754" s="6" t="s">
        <v>135</v>
      </c>
      <c r="B2754" s="7"/>
      <c r="C2754" s="7"/>
      <c r="D2754" s="7" t="s">
        <v>148</v>
      </c>
      <c r="E2754" s="8" t="s">
        <v>137</v>
      </c>
    </row>
    <row r="2755" spans="1:5" x14ac:dyDescent="0.35">
      <c r="A2755" s="9" t="s">
        <v>135</v>
      </c>
      <c r="B2755" s="10"/>
      <c r="C2755" s="10"/>
      <c r="D2755" s="10" t="s">
        <v>149</v>
      </c>
      <c r="E2755" s="11" t="s">
        <v>137</v>
      </c>
    </row>
    <row r="2756" spans="1:5" x14ac:dyDescent="0.35">
      <c r="A2756" s="6" t="s">
        <v>135</v>
      </c>
      <c r="B2756" s="7" t="s">
        <v>168</v>
      </c>
      <c r="C2756" s="7" t="s">
        <v>146</v>
      </c>
      <c r="D2756" s="7" t="s">
        <v>147</v>
      </c>
      <c r="E2756" s="8" t="s">
        <v>137</v>
      </c>
    </row>
    <row r="2757" spans="1:5" x14ac:dyDescent="0.35">
      <c r="A2757" s="9" t="s">
        <v>135</v>
      </c>
      <c r="B2757" s="10"/>
      <c r="C2757" s="10"/>
      <c r="D2757" s="10" t="s">
        <v>148</v>
      </c>
      <c r="E2757" s="11" t="s">
        <v>137</v>
      </c>
    </row>
    <row r="2758" spans="1:5" x14ac:dyDescent="0.35">
      <c r="A2758" s="6" t="s">
        <v>135</v>
      </c>
      <c r="B2758" s="7"/>
      <c r="C2758" s="7"/>
      <c r="D2758" s="7" t="s">
        <v>149</v>
      </c>
      <c r="E2758" s="8" t="s">
        <v>137</v>
      </c>
    </row>
    <row r="2759" spans="1:5" x14ac:dyDescent="0.35">
      <c r="A2759" s="9" t="s">
        <v>135</v>
      </c>
      <c r="B2759" s="10"/>
      <c r="C2759" s="10" t="s">
        <v>150</v>
      </c>
      <c r="D2759" s="10" t="s">
        <v>147</v>
      </c>
      <c r="E2759" s="11" t="s">
        <v>137</v>
      </c>
    </row>
    <row r="2760" spans="1:5" x14ac:dyDescent="0.35">
      <c r="A2760" s="6" t="s">
        <v>135</v>
      </c>
      <c r="B2760" s="7"/>
      <c r="C2760" s="7"/>
      <c r="D2760" s="7" t="s">
        <v>148</v>
      </c>
      <c r="E2760" s="8" t="s">
        <v>137</v>
      </c>
    </row>
    <row r="2761" spans="1:5" x14ac:dyDescent="0.35">
      <c r="A2761" s="9" t="s">
        <v>135</v>
      </c>
      <c r="B2761" s="10"/>
      <c r="C2761" s="10"/>
      <c r="D2761" s="10" t="s">
        <v>149</v>
      </c>
      <c r="E2761" s="11" t="s">
        <v>137</v>
      </c>
    </row>
    <row r="2762" spans="1:5" x14ac:dyDescent="0.35">
      <c r="A2762" s="6" t="s">
        <v>135</v>
      </c>
      <c r="B2762" s="7" t="s">
        <v>169</v>
      </c>
      <c r="C2762" s="7" t="s">
        <v>146</v>
      </c>
      <c r="D2762" s="7" t="s">
        <v>147</v>
      </c>
      <c r="E2762" s="8" t="s">
        <v>137</v>
      </c>
    </row>
    <row r="2763" spans="1:5" x14ac:dyDescent="0.35">
      <c r="A2763" s="9" t="s">
        <v>135</v>
      </c>
      <c r="B2763" s="10"/>
      <c r="C2763" s="10"/>
      <c r="D2763" s="10" t="s">
        <v>148</v>
      </c>
      <c r="E2763" s="11" t="s">
        <v>137</v>
      </c>
    </row>
    <row r="2764" spans="1:5" x14ac:dyDescent="0.35">
      <c r="A2764" s="6" t="s">
        <v>135</v>
      </c>
      <c r="B2764" s="7"/>
      <c r="C2764" s="7"/>
      <c r="D2764" s="7" t="s">
        <v>149</v>
      </c>
      <c r="E2764" s="8" t="s">
        <v>137</v>
      </c>
    </row>
    <row r="2765" spans="1:5" x14ac:dyDescent="0.35">
      <c r="A2765" s="9" t="s">
        <v>135</v>
      </c>
      <c r="B2765" s="10"/>
      <c r="C2765" s="10" t="s">
        <v>150</v>
      </c>
      <c r="D2765" s="10" t="s">
        <v>147</v>
      </c>
      <c r="E2765" s="11" t="s">
        <v>137</v>
      </c>
    </row>
    <row r="2766" spans="1:5" x14ac:dyDescent="0.35">
      <c r="A2766" s="6" t="s">
        <v>135</v>
      </c>
      <c r="B2766" s="7"/>
      <c r="C2766" s="7"/>
      <c r="D2766" s="7" t="s">
        <v>148</v>
      </c>
      <c r="E2766" s="8" t="s">
        <v>137</v>
      </c>
    </row>
    <row r="2767" spans="1:5" x14ac:dyDescent="0.35">
      <c r="A2767" s="9" t="s">
        <v>135</v>
      </c>
      <c r="B2767" s="10"/>
      <c r="C2767" s="10"/>
      <c r="D2767" s="10" t="s">
        <v>149</v>
      </c>
      <c r="E2767" s="11" t="s">
        <v>137</v>
      </c>
    </row>
    <row r="2768" spans="1:5" x14ac:dyDescent="0.35">
      <c r="A2768" s="6" t="s">
        <v>135</v>
      </c>
      <c r="B2768" s="7" t="s">
        <v>170</v>
      </c>
      <c r="C2768" s="7" t="s">
        <v>146</v>
      </c>
      <c r="D2768" s="7" t="s">
        <v>147</v>
      </c>
      <c r="E2768" s="8" t="s">
        <v>137</v>
      </c>
    </row>
    <row r="2769" spans="1:5" x14ac:dyDescent="0.35">
      <c r="A2769" s="9" t="s">
        <v>135</v>
      </c>
      <c r="B2769" s="10"/>
      <c r="C2769" s="10"/>
      <c r="D2769" s="10" t="s">
        <v>148</v>
      </c>
      <c r="E2769" s="11" t="s">
        <v>137</v>
      </c>
    </row>
    <row r="2770" spans="1:5" x14ac:dyDescent="0.35">
      <c r="A2770" s="6" t="s">
        <v>135</v>
      </c>
      <c r="B2770" s="7"/>
      <c r="C2770" s="7"/>
      <c r="D2770" s="7" t="s">
        <v>149</v>
      </c>
      <c r="E2770" s="8" t="s">
        <v>137</v>
      </c>
    </row>
    <row r="2771" spans="1:5" x14ac:dyDescent="0.35">
      <c r="A2771" s="9" t="s">
        <v>135</v>
      </c>
      <c r="B2771" s="10"/>
      <c r="C2771" s="10" t="s">
        <v>150</v>
      </c>
      <c r="D2771" s="10" t="s">
        <v>147</v>
      </c>
      <c r="E2771" s="11" t="s">
        <v>137</v>
      </c>
    </row>
    <row r="2772" spans="1:5" x14ac:dyDescent="0.35">
      <c r="A2772" s="6" t="s">
        <v>135</v>
      </c>
      <c r="B2772" s="7"/>
      <c r="C2772" s="7"/>
      <c r="D2772" s="7" t="s">
        <v>148</v>
      </c>
      <c r="E2772" s="8" t="s">
        <v>137</v>
      </c>
    </row>
    <row r="2773" spans="1:5" x14ac:dyDescent="0.35">
      <c r="A2773" s="9" t="s">
        <v>135</v>
      </c>
      <c r="B2773" s="10"/>
      <c r="C2773" s="10"/>
      <c r="D2773" s="10" t="s">
        <v>149</v>
      </c>
      <c r="E2773" s="11" t="s">
        <v>137</v>
      </c>
    </row>
    <row r="2774" spans="1:5" x14ac:dyDescent="0.35">
      <c r="A2774" s="6" t="s">
        <v>71</v>
      </c>
      <c r="B2774" s="7" t="s">
        <v>145</v>
      </c>
      <c r="C2774" s="7" t="s">
        <v>146</v>
      </c>
      <c r="D2774" s="7" t="s">
        <v>147</v>
      </c>
      <c r="E2774" s="8">
        <v>96.06</v>
      </c>
    </row>
    <row r="2775" spans="1:5" x14ac:dyDescent="0.35">
      <c r="A2775" s="9" t="s">
        <v>135</v>
      </c>
      <c r="B2775" s="10"/>
      <c r="C2775" s="10"/>
      <c r="D2775" s="10" t="s">
        <v>148</v>
      </c>
      <c r="E2775" s="11">
        <v>88.07</v>
      </c>
    </row>
    <row r="2776" spans="1:5" x14ac:dyDescent="0.35">
      <c r="A2776" s="6" t="s">
        <v>135</v>
      </c>
      <c r="B2776" s="7"/>
      <c r="C2776" s="7"/>
      <c r="D2776" s="7" t="s">
        <v>149</v>
      </c>
      <c r="E2776" s="8">
        <v>7.99</v>
      </c>
    </row>
    <row r="2777" spans="1:5" x14ac:dyDescent="0.35">
      <c r="A2777" s="9" t="s">
        <v>135</v>
      </c>
      <c r="B2777" s="10"/>
      <c r="C2777" s="10" t="s">
        <v>150</v>
      </c>
      <c r="D2777" s="10" t="s">
        <v>147</v>
      </c>
      <c r="E2777" s="11" t="s">
        <v>137</v>
      </c>
    </row>
    <row r="2778" spans="1:5" x14ac:dyDescent="0.35">
      <c r="A2778" s="6" t="s">
        <v>135</v>
      </c>
      <c r="B2778" s="7"/>
      <c r="C2778" s="7"/>
      <c r="D2778" s="7" t="s">
        <v>148</v>
      </c>
      <c r="E2778" s="8" t="s">
        <v>137</v>
      </c>
    </row>
    <row r="2779" spans="1:5" x14ac:dyDescent="0.35">
      <c r="A2779" s="9" t="s">
        <v>135</v>
      </c>
      <c r="B2779" s="10"/>
      <c r="C2779" s="10"/>
      <c r="D2779" s="10" t="s">
        <v>149</v>
      </c>
      <c r="E2779" s="11" t="s">
        <v>137</v>
      </c>
    </row>
    <row r="2780" spans="1:5" x14ac:dyDescent="0.35">
      <c r="A2780" s="6" t="s">
        <v>135</v>
      </c>
      <c r="B2780" s="7" t="s">
        <v>151</v>
      </c>
      <c r="C2780" s="7" t="s">
        <v>146</v>
      </c>
      <c r="D2780" s="7" t="s">
        <v>147</v>
      </c>
      <c r="E2780" s="8">
        <v>3</v>
      </c>
    </row>
    <row r="2781" spans="1:5" x14ac:dyDescent="0.35">
      <c r="A2781" s="9" t="s">
        <v>135</v>
      </c>
      <c r="B2781" s="10"/>
      <c r="C2781" s="10"/>
      <c r="D2781" s="10" t="s">
        <v>148</v>
      </c>
      <c r="E2781" s="11">
        <v>7.0000000000000007E-2</v>
      </c>
    </row>
    <row r="2782" spans="1:5" x14ac:dyDescent="0.35">
      <c r="A2782" s="6" t="s">
        <v>135</v>
      </c>
      <c r="B2782" s="7"/>
      <c r="C2782" s="7"/>
      <c r="D2782" s="7" t="s">
        <v>149</v>
      </c>
      <c r="E2782" s="8">
        <v>2.93</v>
      </c>
    </row>
    <row r="2783" spans="1:5" x14ac:dyDescent="0.35">
      <c r="A2783" s="9" t="s">
        <v>135</v>
      </c>
      <c r="B2783" s="10"/>
      <c r="C2783" s="10" t="s">
        <v>150</v>
      </c>
      <c r="D2783" s="10" t="s">
        <v>147</v>
      </c>
      <c r="E2783" s="11" t="s">
        <v>137</v>
      </c>
    </row>
    <row r="2784" spans="1:5" x14ac:dyDescent="0.35">
      <c r="A2784" s="6" t="s">
        <v>135</v>
      </c>
      <c r="B2784" s="7"/>
      <c r="C2784" s="7"/>
      <c r="D2784" s="7" t="s">
        <v>148</v>
      </c>
      <c r="E2784" s="8" t="s">
        <v>137</v>
      </c>
    </row>
    <row r="2785" spans="1:5" x14ac:dyDescent="0.35">
      <c r="A2785" s="9" t="s">
        <v>135</v>
      </c>
      <c r="B2785" s="10"/>
      <c r="C2785" s="10"/>
      <c r="D2785" s="10" t="s">
        <v>149</v>
      </c>
      <c r="E2785" s="11" t="s">
        <v>137</v>
      </c>
    </row>
    <row r="2786" spans="1:5" x14ac:dyDescent="0.35">
      <c r="A2786" s="6" t="s">
        <v>135</v>
      </c>
      <c r="B2786" s="7" t="s">
        <v>152</v>
      </c>
      <c r="C2786" s="7" t="s">
        <v>146</v>
      </c>
      <c r="D2786" s="7" t="s">
        <v>147</v>
      </c>
      <c r="E2786" s="8" t="s">
        <v>137</v>
      </c>
    </row>
    <row r="2787" spans="1:5" x14ac:dyDescent="0.35">
      <c r="A2787" s="9" t="s">
        <v>135</v>
      </c>
      <c r="B2787" s="10"/>
      <c r="C2787" s="10"/>
      <c r="D2787" s="10" t="s">
        <v>148</v>
      </c>
      <c r="E2787" s="11" t="s">
        <v>137</v>
      </c>
    </row>
    <row r="2788" spans="1:5" x14ac:dyDescent="0.35">
      <c r="A2788" s="6" t="s">
        <v>135</v>
      </c>
      <c r="B2788" s="7"/>
      <c r="C2788" s="7"/>
      <c r="D2788" s="7" t="s">
        <v>149</v>
      </c>
      <c r="E2788" s="8" t="s">
        <v>137</v>
      </c>
    </row>
    <row r="2789" spans="1:5" x14ac:dyDescent="0.35">
      <c r="A2789" s="9" t="s">
        <v>135</v>
      </c>
      <c r="B2789" s="10"/>
      <c r="C2789" s="10" t="s">
        <v>150</v>
      </c>
      <c r="D2789" s="10" t="s">
        <v>147</v>
      </c>
      <c r="E2789" s="11" t="s">
        <v>137</v>
      </c>
    </row>
    <row r="2790" spans="1:5" x14ac:dyDescent="0.35">
      <c r="A2790" s="6" t="s">
        <v>135</v>
      </c>
      <c r="B2790" s="7"/>
      <c r="C2790" s="7"/>
      <c r="D2790" s="7" t="s">
        <v>148</v>
      </c>
      <c r="E2790" s="8" t="s">
        <v>137</v>
      </c>
    </row>
    <row r="2791" spans="1:5" x14ac:dyDescent="0.35">
      <c r="A2791" s="9" t="s">
        <v>135</v>
      </c>
      <c r="B2791" s="10"/>
      <c r="C2791" s="10"/>
      <c r="D2791" s="10" t="s">
        <v>149</v>
      </c>
      <c r="E2791" s="11" t="s">
        <v>137</v>
      </c>
    </row>
    <row r="2792" spans="1:5" x14ac:dyDescent="0.35">
      <c r="A2792" s="6" t="s">
        <v>135</v>
      </c>
      <c r="B2792" s="7" t="s">
        <v>153</v>
      </c>
      <c r="C2792" s="7" t="s">
        <v>146</v>
      </c>
      <c r="D2792" s="7" t="s">
        <v>147</v>
      </c>
      <c r="E2792" s="8" t="s">
        <v>137</v>
      </c>
    </row>
    <row r="2793" spans="1:5" x14ac:dyDescent="0.35">
      <c r="A2793" s="9" t="s">
        <v>135</v>
      </c>
      <c r="B2793" s="10"/>
      <c r="C2793" s="10"/>
      <c r="D2793" s="10" t="s">
        <v>148</v>
      </c>
      <c r="E2793" s="11" t="s">
        <v>137</v>
      </c>
    </row>
    <row r="2794" spans="1:5" x14ac:dyDescent="0.35">
      <c r="A2794" s="6" t="s">
        <v>135</v>
      </c>
      <c r="B2794" s="7"/>
      <c r="C2794" s="7"/>
      <c r="D2794" s="7" t="s">
        <v>149</v>
      </c>
      <c r="E2794" s="8" t="s">
        <v>137</v>
      </c>
    </row>
    <row r="2795" spans="1:5" x14ac:dyDescent="0.35">
      <c r="A2795" s="9" t="s">
        <v>135</v>
      </c>
      <c r="B2795" s="10"/>
      <c r="C2795" s="10" t="s">
        <v>150</v>
      </c>
      <c r="D2795" s="10" t="s">
        <v>147</v>
      </c>
      <c r="E2795" s="11" t="s">
        <v>137</v>
      </c>
    </row>
    <row r="2796" spans="1:5" x14ac:dyDescent="0.35">
      <c r="A2796" s="6" t="s">
        <v>135</v>
      </c>
      <c r="B2796" s="7"/>
      <c r="C2796" s="7"/>
      <c r="D2796" s="7" t="s">
        <v>148</v>
      </c>
      <c r="E2796" s="8" t="s">
        <v>137</v>
      </c>
    </row>
    <row r="2797" spans="1:5" x14ac:dyDescent="0.35">
      <c r="A2797" s="9" t="s">
        <v>135</v>
      </c>
      <c r="B2797" s="10"/>
      <c r="C2797" s="10"/>
      <c r="D2797" s="10" t="s">
        <v>149</v>
      </c>
      <c r="E2797" s="11" t="s">
        <v>137</v>
      </c>
    </row>
    <row r="2798" spans="1:5" x14ac:dyDescent="0.35">
      <c r="A2798" s="6" t="s">
        <v>135</v>
      </c>
      <c r="B2798" s="7" t="s">
        <v>154</v>
      </c>
      <c r="C2798" s="7" t="s">
        <v>146</v>
      </c>
      <c r="D2798" s="7" t="s">
        <v>147</v>
      </c>
      <c r="E2798" s="8" t="s">
        <v>137</v>
      </c>
    </row>
    <row r="2799" spans="1:5" x14ac:dyDescent="0.35">
      <c r="A2799" s="9" t="s">
        <v>135</v>
      </c>
      <c r="B2799" s="10"/>
      <c r="C2799" s="10"/>
      <c r="D2799" s="10" t="s">
        <v>148</v>
      </c>
      <c r="E2799" s="11" t="s">
        <v>137</v>
      </c>
    </row>
    <row r="2800" spans="1:5" x14ac:dyDescent="0.35">
      <c r="A2800" s="6" t="s">
        <v>135</v>
      </c>
      <c r="B2800" s="7"/>
      <c r="C2800" s="7"/>
      <c r="D2800" s="7" t="s">
        <v>149</v>
      </c>
      <c r="E2800" s="8" t="s">
        <v>137</v>
      </c>
    </row>
    <row r="2801" spans="1:5" x14ac:dyDescent="0.35">
      <c r="A2801" s="9" t="s">
        <v>135</v>
      </c>
      <c r="B2801" s="10"/>
      <c r="C2801" s="10" t="s">
        <v>150</v>
      </c>
      <c r="D2801" s="10" t="s">
        <v>147</v>
      </c>
      <c r="E2801" s="11" t="s">
        <v>137</v>
      </c>
    </row>
    <row r="2802" spans="1:5" x14ac:dyDescent="0.35">
      <c r="A2802" s="6" t="s">
        <v>135</v>
      </c>
      <c r="B2802" s="7"/>
      <c r="C2802" s="7"/>
      <c r="D2802" s="7" t="s">
        <v>148</v>
      </c>
      <c r="E2802" s="8" t="s">
        <v>137</v>
      </c>
    </row>
    <row r="2803" spans="1:5" x14ac:dyDescent="0.35">
      <c r="A2803" s="9" t="s">
        <v>135</v>
      </c>
      <c r="B2803" s="10"/>
      <c r="C2803" s="10"/>
      <c r="D2803" s="10" t="s">
        <v>149</v>
      </c>
      <c r="E2803" s="11" t="s">
        <v>137</v>
      </c>
    </row>
    <row r="2804" spans="1:5" x14ac:dyDescent="0.35">
      <c r="A2804" s="6" t="s">
        <v>135</v>
      </c>
      <c r="B2804" s="7" t="s">
        <v>155</v>
      </c>
      <c r="C2804" s="7" t="s">
        <v>146</v>
      </c>
      <c r="D2804" s="7" t="s">
        <v>147</v>
      </c>
      <c r="E2804" s="8">
        <v>92.86</v>
      </c>
    </row>
    <row r="2805" spans="1:5" x14ac:dyDescent="0.35">
      <c r="A2805" s="9" t="s">
        <v>135</v>
      </c>
      <c r="B2805" s="10"/>
      <c r="C2805" s="10"/>
      <c r="D2805" s="10" t="s">
        <v>148</v>
      </c>
      <c r="E2805" s="11">
        <v>88</v>
      </c>
    </row>
    <row r="2806" spans="1:5" x14ac:dyDescent="0.35">
      <c r="A2806" s="6" t="s">
        <v>135</v>
      </c>
      <c r="B2806" s="7"/>
      <c r="C2806" s="7"/>
      <c r="D2806" s="7" t="s">
        <v>149</v>
      </c>
      <c r="E2806" s="8">
        <v>4.8600000000000003</v>
      </c>
    </row>
    <row r="2807" spans="1:5" x14ac:dyDescent="0.35">
      <c r="A2807" s="9" t="s">
        <v>135</v>
      </c>
      <c r="B2807" s="10"/>
      <c r="C2807" s="10" t="s">
        <v>150</v>
      </c>
      <c r="D2807" s="10" t="s">
        <v>147</v>
      </c>
      <c r="E2807" s="11" t="s">
        <v>137</v>
      </c>
    </row>
    <row r="2808" spans="1:5" x14ac:dyDescent="0.35">
      <c r="A2808" s="6" t="s">
        <v>135</v>
      </c>
      <c r="B2808" s="7"/>
      <c r="C2808" s="7"/>
      <c r="D2808" s="7" t="s">
        <v>148</v>
      </c>
      <c r="E2808" s="8" t="s">
        <v>137</v>
      </c>
    </row>
    <row r="2809" spans="1:5" x14ac:dyDescent="0.35">
      <c r="A2809" s="9" t="s">
        <v>135</v>
      </c>
      <c r="B2809" s="10"/>
      <c r="C2809" s="10"/>
      <c r="D2809" s="10" t="s">
        <v>149</v>
      </c>
      <c r="E2809" s="11" t="s">
        <v>137</v>
      </c>
    </row>
    <row r="2810" spans="1:5" x14ac:dyDescent="0.35">
      <c r="A2810" s="6" t="s">
        <v>135</v>
      </c>
      <c r="B2810" s="7" t="s">
        <v>156</v>
      </c>
      <c r="C2810" s="7" t="s">
        <v>146</v>
      </c>
      <c r="D2810" s="7" t="s">
        <v>147</v>
      </c>
      <c r="E2810" s="8" t="s">
        <v>137</v>
      </c>
    </row>
    <row r="2811" spans="1:5" x14ac:dyDescent="0.35">
      <c r="A2811" s="9" t="s">
        <v>135</v>
      </c>
      <c r="B2811" s="10"/>
      <c r="C2811" s="10"/>
      <c r="D2811" s="10" t="s">
        <v>148</v>
      </c>
      <c r="E2811" s="11" t="s">
        <v>137</v>
      </c>
    </row>
    <row r="2812" spans="1:5" x14ac:dyDescent="0.35">
      <c r="A2812" s="6" t="s">
        <v>135</v>
      </c>
      <c r="B2812" s="7"/>
      <c r="C2812" s="7"/>
      <c r="D2812" s="7" t="s">
        <v>149</v>
      </c>
      <c r="E2812" s="8" t="s">
        <v>137</v>
      </c>
    </row>
    <row r="2813" spans="1:5" x14ac:dyDescent="0.35">
      <c r="A2813" s="9" t="s">
        <v>135</v>
      </c>
      <c r="B2813" s="10"/>
      <c r="C2813" s="10" t="s">
        <v>150</v>
      </c>
      <c r="D2813" s="10" t="s">
        <v>147</v>
      </c>
      <c r="E2813" s="11" t="s">
        <v>137</v>
      </c>
    </row>
    <row r="2814" spans="1:5" x14ac:dyDescent="0.35">
      <c r="A2814" s="6" t="s">
        <v>135</v>
      </c>
      <c r="B2814" s="7"/>
      <c r="C2814" s="7"/>
      <c r="D2814" s="7" t="s">
        <v>148</v>
      </c>
      <c r="E2814" s="8" t="s">
        <v>137</v>
      </c>
    </row>
    <row r="2815" spans="1:5" x14ac:dyDescent="0.35">
      <c r="A2815" s="9" t="s">
        <v>135</v>
      </c>
      <c r="B2815" s="10"/>
      <c r="C2815" s="10"/>
      <c r="D2815" s="10" t="s">
        <v>149</v>
      </c>
      <c r="E2815" s="11" t="s">
        <v>137</v>
      </c>
    </row>
    <row r="2816" spans="1:5" x14ac:dyDescent="0.35">
      <c r="A2816" s="6" t="s">
        <v>135</v>
      </c>
      <c r="B2816" s="7" t="s">
        <v>157</v>
      </c>
      <c r="C2816" s="7" t="s">
        <v>146</v>
      </c>
      <c r="D2816" s="7" t="s">
        <v>147</v>
      </c>
      <c r="E2816" s="8" t="s">
        <v>137</v>
      </c>
    </row>
    <row r="2817" spans="1:5" x14ac:dyDescent="0.35">
      <c r="A2817" s="9" t="s">
        <v>135</v>
      </c>
      <c r="B2817" s="10"/>
      <c r="C2817" s="10"/>
      <c r="D2817" s="10" t="s">
        <v>148</v>
      </c>
      <c r="E2817" s="11" t="s">
        <v>137</v>
      </c>
    </row>
    <row r="2818" spans="1:5" x14ac:dyDescent="0.35">
      <c r="A2818" s="6" t="s">
        <v>135</v>
      </c>
      <c r="B2818" s="7"/>
      <c r="C2818" s="7"/>
      <c r="D2818" s="7" t="s">
        <v>149</v>
      </c>
      <c r="E2818" s="8" t="s">
        <v>137</v>
      </c>
    </row>
    <row r="2819" spans="1:5" x14ac:dyDescent="0.35">
      <c r="A2819" s="9" t="s">
        <v>135</v>
      </c>
      <c r="B2819" s="10"/>
      <c r="C2819" s="10" t="s">
        <v>150</v>
      </c>
      <c r="D2819" s="10" t="s">
        <v>147</v>
      </c>
      <c r="E2819" s="11" t="s">
        <v>137</v>
      </c>
    </row>
    <row r="2820" spans="1:5" x14ac:dyDescent="0.35">
      <c r="A2820" s="6" t="s">
        <v>135</v>
      </c>
      <c r="B2820" s="7"/>
      <c r="C2820" s="7"/>
      <c r="D2820" s="7" t="s">
        <v>148</v>
      </c>
      <c r="E2820" s="8" t="s">
        <v>137</v>
      </c>
    </row>
    <row r="2821" spans="1:5" x14ac:dyDescent="0.35">
      <c r="A2821" s="9" t="s">
        <v>135</v>
      </c>
      <c r="B2821" s="10"/>
      <c r="C2821" s="10"/>
      <c r="D2821" s="10" t="s">
        <v>149</v>
      </c>
      <c r="E2821" s="11" t="s">
        <v>137</v>
      </c>
    </row>
    <row r="2822" spans="1:5" x14ac:dyDescent="0.35">
      <c r="A2822" s="6" t="s">
        <v>135</v>
      </c>
      <c r="B2822" s="7" t="s">
        <v>158</v>
      </c>
      <c r="C2822" s="7" t="s">
        <v>146</v>
      </c>
      <c r="D2822" s="7" t="s">
        <v>147</v>
      </c>
      <c r="E2822" s="8">
        <v>0.13</v>
      </c>
    </row>
    <row r="2823" spans="1:5" x14ac:dyDescent="0.35">
      <c r="A2823" s="9" t="s">
        <v>135</v>
      </c>
      <c r="B2823" s="10"/>
      <c r="C2823" s="10"/>
      <c r="D2823" s="10" t="s">
        <v>148</v>
      </c>
      <c r="E2823" s="11" t="s">
        <v>137</v>
      </c>
    </row>
    <row r="2824" spans="1:5" x14ac:dyDescent="0.35">
      <c r="A2824" s="6" t="s">
        <v>135</v>
      </c>
      <c r="B2824" s="7"/>
      <c r="C2824" s="7"/>
      <c r="D2824" s="7" t="s">
        <v>149</v>
      </c>
      <c r="E2824" s="8">
        <v>0.13</v>
      </c>
    </row>
    <row r="2825" spans="1:5" x14ac:dyDescent="0.35">
      <c r="A2825" s="9" t="s">
        <v>135</v>
      </c>
      <c r="B2825" s="10"/>
      <c r="C2825" s="10" t="s">
        <v>150</v>
      </c>
      <c r="D2825" s="10" t="s">
        <v>147</v>
      </c>
      <c r="E2825" s="11" t="s">
        <v>137</v>
      </c>
    </row>
    <row r="2826" spans="1:5" x14ac:dyDescent="0.35">
      <c r="A2826" s="6" t="s">
        <v>135</v>
      </c>
      <c r="B2826" s="7"/>
      <c r="C2826" s="7"/>
      <c r="D2826" s="7" t="s">
        <v>148</v>
      </c>
      <c r="E2826" s="8" t="s">
        <v>137</v>
      </c>
    </row>
    <row r="2827" spans="1:5" x14ac:dyDescent="0.35">
      <c r="A2827" s="9" t="s">
        <v>135</v>
      </c>
      <c r="B2827" s="10"/>
      <c r="C2827" s="10"/>
      <c r="D2827" s="10" t="s">
        <v>149</v>
      </c>
      <c r="E2827" s="11" t="s">
        <v>137</v>
      </c>
    </row>
    <row r="2828" spans="1:5" x14ac:dyDescent="0.35">
      <c r="A2828" s="6" t="s">
        <v>135</v>
      </c>
      <c r="B2828" s="7" t="s">
        <v>159</v>
      </c>
      <c r="C2828" s="7" t="s">
        <v>146</v>
      </c>
      <c r="D2828" s="7" t="s">
        <v>147</v>
      </c>
      <c r="E2828" s="8" t="s">
        <v>137</v>
      </c>
    </row>
    <row r="2829" spans="1:5" x14ac:dyDescent="0.35">
      <c r="A2829" s="9" t="s">
        <v>135</v>
      </c>
      <c r="B2829" s="10"/>
      <c r="C2829" s="10"/>
      <c r="D2829" s="10" t="s">
        <v>148</v>
      </c>
      <c r="E2829" s="11" t="s">
        <v>137</v>
      </c>
    </row>
    <row r="2830" spans="1:5" x14ac:dyDescent="0.35">
      <c r="A2830" s="6" t="s">
        <v>135</v>
      </c>
      <c r="B2830" s="7"/>
      <c r="C2830" s="7"/>
      <c r="D2830" s="7" t="s">
        <v>149</v>
      </c>
      <c r="E2830" s="8" t="s">
        <v>137</v>
      </c>
    </row>
    <row r="2831" spans="1:5" x14ac:dyDescent="0.35">
      <c r="A2831" s="9" t="s">
        <v>135</v>
      </c>
      <c r="B2831" s="10"/>
      <c r="C2831" s="10" t="s">
        <v>150</v>
      </c>
      <c r="D2831" s="10" t="s">
        <v>147</v>
      </c>
      <c r="E2831" s="11" t="s">
        <v>137</v>
      </c>
    </row>
    <row r="2832" spans="1:5" x14ac:dyDescent="0.35">
      <c r="A2832" s="6" t="s">
        <v>135</v>
      </c>
      <c r="B2832" s="7"/>
      <c r="C2832" s="7"/>
      <c r="D2832" s="7" t="s">
        <v>148</v>
      </c>
      <c r="E2832" s="8" t="s">
        <v>137</v>
      </c>
    </row>
    <row r="2833" spans="1:5" x14ac:dyDescent="0.35">
      <c r="A2833" s="9" t="s">
        <v>135</v>
      </c>
      <c r="B2833" s="10"/>
      <c r="C2833" s="10"/>
      <c r="D2833" s="10" t="s">
        <v>149</v>
      </c>
      <c r="E2833" s="11" t="s">
        <v>137</v>
      </c>
    </row>
    <row r="2834" spans="1:5" x14ac:dyDescent="0.35">
      <c r="A2834" s="6" t="s">
        <v>135</v>
      </c>
      <c r="B2834" s="7" t="s">
        <v>160</v>
      </c>
      <c r="C2834" s="7" t="s">
        <v>146</v>
      </c>
      <c r="D2834" s="7" t="s">
        <v>147</v>
      </c>
      <c r="E2834" s="8">
        <v>0.08</v>
      </c>
    </row>
    <row r="2835" spans="1:5" x14ac:dyDescent="0.35">
      <c r="A2835" s="9" t="s">
        <v>135</v>
      </c>
      <c r="B2835" s="10"/>
      <c r="C2835" s="10"/>
      <c r="D2835" s="10" t="s">
        <v>148</v>
      </c>
      <c r="E2835" s="11" t="s">
        <v>137</v>
      </c>
    </row>
    <row r="2836" spans="1:5" x14ac:dyDescent="0.35">
      <c r="A2836" s="6" t="s">
        <v>135</v>
      </c>
      <c r="B2836" s="7"/>
      <c r="C2836" s="7"/>
      <c r="D2836" s="7" t="s">
        <v>149</v>
      </c>
      <c r="E2836" s="8">
        <v>0.08</v>
      </c>
    </row>
    <row r="2837" spans="1:5" x14ac:dyDescent="0.35">
      <c r="A2837" s="9" t="s">
        <v>135</v>
      </c>
      <c r="B2837" s="10"/>
      <c r="C2837" s="10" t="s">
        <v>150</v>
      </c>
      <c r="D2837" s="10" t="s">
        <v>147</v>
      </c>
      <c r="E2837" s="11" t="s">
        <v>137</v>
      </c>
    </row>
    <row r="2838" spans="1:5" x14ac:dyDescent="0.35">
      <c r="A2838" s="6" t="s">
        <v>135</v>
      </c>
      <c r="B2838" s="7"/>
      <c r="C2838" s="7"/>
      <c r="D2838" s="7" t="s">
        <v>148</v>
      </c>
      <c r="E2838" s="8" t="s">
        <v>137</v>
      </c>
    </row>
    <row r="2839" spans="1:5" x14ac:dyDescent="0.35">
      <c r="A2839" s="9" t="s">
        <v>135</v>
      </c>
      <c r="B2839" s="10"/>
      <c r="C2839" s="10"/>
      <c r="D2839" s="10" t="s">
        <v>149</v>
      </c>
      <c r="E2839" s="11" t="s">
        <v>137</v>
      </c>
    </row>
    <row r="2840" spans="1:5" x14ac:dyDescent="0.35">
      <c r="A2840" s="6" t="s">
        <v>135</v>
      </c>
      <c r="B2840" s="7" t="s">
        <v>161</v>
      </c>
      <c r="C2840" s="7" t="s">
        <v>146</v>
      </c>
      <c r="D2840" s="7" t="s">
        <v>147</v>
      </c>
      <c r="E2840" s="8" t="s">
        <v>137</v>
      </c>
    </row>
    <row r="2841" spans="1:5" x14ac:dyDescent="0.35">
      <c r="A2841" s="9" t="s">
        <v>135</v>
      </c>
      <c r="B2841" s="10"/>
      <c r="C2841" s="10"/>
      <c r="D2841" s="10" t="s">
        <v>148</v>
      </c>
      <c r="E2841" s="11" t="s">
        <v>137</v>
      </c>
    </row>
    <row r="2842" spans="1:5" x14ac:dyDescent="0.35">
      <c r="A2842" s="6" t="s">
        <v>135</v>
      </c>
      <c r="B2842" s="7"/>
      <c r="C2842" s="7"/>
      <c r="D2842" s="7" t="s">
        <v>149</v>
      </c>
      <c r="E2842" s="8" t="s">
        <v>137</v>
      </c>
    </row>
    <row r="2843" spans="1:5" x14ac:dyDescent="0.35">
      <c r="A2843" s="9" t="s">
        <v>135</v>
      </c>
      <c r="B2843" s="10"/>
      <c r="C2843" s="10" t="s">
        <v>150</v>
      </c>
      <c r="D2843" s="10" t="s">
        <v>147</v>
      </c>
      <c r="E2843" s="11" t="s">
        <v>137</v>
      </c>
    </row>
    <row r="2844" spans="1:5" x14ac:dyDescent="0.35">
      <c r="A2844" s="6" t="s">
        <v>135</v>
      </c>
      <c r="B2844" s="7"/>
      <c r="C2844" s="7"/>
      <c r="D2844" s="7" t="s">
        <v>148</v>
      </c>
      <c r="E2844" s="8" t="s">
        <v>137</v>
      </c>
    </row>
    <row r="2845" spans="1:5" x14ac:dyDescent="0.35">
      <c r="A2845" s="9" t="s">
        <v>135</v>
      </c>
      <c r="B2845" s="10"/>
      <c r="C2845" s="10"/>
      <c r="D2845" s="10" t="s">
        <v>149</v>
      </c>
      <c r="E2845" s="11" t="s">
        <v>137</v>
      </c>
    </row>
    <row r="2846" spans="1:5" x14ac:dyDescent="0.35">
      <c r="A2846" s="6" t="s">
        <v>135</v>
      </c>
      <c r="B2846" s="7" t="s">
        <v>162</v>
      </c>
      <c r="C2846" s="7" t="s">
        <v>146</v>
      </c>
      <c r="D2846" s="7" t="s">
        <v>147</v>
      </c>
      <c r="E2846" s="8" t="s">
        <v>137</v>
      </c>
    </row>
    <row r="2847" spans="1:5" x14ac:dyDescent="0.35">
      <c r="A2847" s="9" t="s">
        <v>135</v>
      </c>
      <c r="B2847" s="10"/>
      <c r="C2847" s="10"/>
      <c r="D2847" s="10" t="s">
        <v>148</v>
      </c>
      <c r="E2847" s="11" t="s">
        <v>137</v>
      </c>
    </row>
    <row r="2848" spans="1:5" x14ac:dyDescent="0.35">
      <c r="A2848" s="6" t="s">
        <v>135</v>
      </c>
      <c r="B2848" s="7"/>
      <c r="C2848" s="7"/>
      <c r="D2848" s="7" t="s">
        <v>149</v>
      </c>
      <c r="E2848" s="8" t="s">
        <v>137</v>
      </c>
    </row>
    <row r="2849" spans="1:5" x14ac:dyDescent="0.35">
      <c r="A2849" s="9" t="s">
        <v>135</v>
      </c>
      <c r="B2849" s="10"/>
      <c r="C2849" s="10" t="s">
        <v>150</v>
      </c>
      <c r="D2849" s="10" t="s">
        <v>147</v>
      </c>
      <c r="E2849" s="11" t="s">
        <v>137</v>
      </c>
    </row>
    <row r="2850" spans="1:5" x14ac:dyDescent="0.35">
      <c r="A2850" s="6" t="s">
        <v>135</v>
      </c>
      <c r="B2850" s="7"/>
      <c r="C2850" s="7"/>
      <c r="D2850" s="7" t="s">
        <v>148</v>
      </c>
      <c r="E2850" s="8" t="s">
        <v>137</v>
      </c>
    </row>
    <row r="2851" spans="1:5" x14ac:dyDescent="0.35">
      <c r="A2851" s="9" t="s">
        <v>135</v>
      </c>
      <c r="B2851" s="10"/>
      <c r="C2851" s="10"/>
      <c r="D2851" s="10" t="s">
        <v>149</v>
      </c>
      <c r="E2851" s="11" t="s">
        <v>137</v>
      </c>
    </row>
    <row r="2852" spans="1:5" x14ac:dyDescent="0.35">
      <c r="A2852" s="6" t="s">
        <v>135</v>
      </c>
      <c r="B2852" s="7" t="s">
        <v>163</v>
      </c>
      <c r="C2852" s="7" t="s">
        <v>146</v>
      </c>
      <c r="D2852" s="7" t="s">
        <v>147</v>
      </c>
      <c r="E2852" s="8">
        <v>98.07</v>
      </c>
    </row>
    <row r="2853" spans="1:5" x14ac:dyDescent="0.35">
      <c r="A2853" s="9" t="s">
        <v>135</v>
      </c>
      <c r="B2853" s="10"/>
      <c r="C2853" s="10"/>
      <c r="D2853" s="10" t="s">
        <v>148</v>
      </c>
      <c r="E2853" s="11">
        <v>98.07</v>
      </c>
    </row>
    <row r="2854" spans="1:5" x14ac:dyDescent="0.35">
      <c r="A2854" s="6" t="s">
        <v>135</v>
      </c>
      <c r="B2854" s="7"/>
      <c r="C2854" s="7"/>
      <c r="D2854" s="7" t="s">
        <v>149</v>
      </c>
      <c r="E2854" s="8" t="s">
        <v>137</v>
      </c>
    </row>
    <row r="2855" spans="1:5" x14ac:dyDescent="0.35">
      <c r="A2855" s="9" t="s">
        <v>135</v>
      </c>
      <c r="B2855" s="10"/>
      <c r="C2855" s="10" t="s">
        <v>150</v>
      </c>
      <c r="D2855" s="10" t="s">
        <v>147</v>
      </c>
      <c r="E2855" s="11" t="s">
        <v>137</v>
      </c>
    </row>
    <row r="2856" spans="1:5" x14ac:dyDescent="0.35">
      <c r="A2856" s="6" t="s">
        <v>135</v>
      </c>
      <c r="B2856" s="7"/>
      <c r="C2856" s="7"/>
      <c r="D2856" s="7" t="s">
        <v>148</v>
      </c>
      <c r="E2856" s="8" t="s">
        <v>137</v>
      </c>
    </row>
    <row r="2857" spans="1:5" x14ac:dyDescent="0.35">
      <c r="A2857" s="9" t="s">
        <v>135</v>
      </c>
      <c r="B2857" s="10"/>
      <c r="C2857" s="10"/>
      <c r="D2857" s="10" t="s">
        <v>149</v>
      </c>
      <c r="E2857" s="11" t="s">
        <v>137</v>
      </c>
    </row>
    <row r="2858" spans="1:5" x14ac:dyDescent="0.35">
      <c r="A2858" s="6" t="s">
        <v>135</v>
      </c>
      <c r="B2858" s="7" t="s">
        <v>164</v>
      </c>
      <c r="C2858" s="7" t="s">
        <v>146</v>
      </c>
      <c r="D2858" s="7" t="s">
        <v>147</v>
      </c>
      <c r="E2858" s="8" t="s">
        <v>137</v>
      </c>
    </row>
    <row r="2859" spans="1:5" x14ac:dyDescent="0.35">
      <c r="A2859" s="9" t="s">
        <v>135</v>
      </c>
      <c r="B2859" s="10"/>
      <c r="C2859" s="10"/>
      <c r="D2859" s="10" t="s">
        <v>148</v>
      </c>
      <c r="E2859" s="11" t="s">
        <v>137</v>
      </c>
    </row>
    <row r="2860" spans="1:5" x14ac:dyDescent="0.35">
      <c r="A2860" s="6" t="s">
        <v>135</v>
      </c>
      <c r="B2860" s="7"/>
      <c r="C2860" s="7"/>
      <c r="D2860" s="7" t="s">
        <v>149</v>
      </c>
      <c r="E2860" s="8" t="s">
        <v>137</v>
      </c>
    </row>
    <row r="2861" spans="1:5" x14ac:dyDescent="0.35">
      <c r="A2861" s="9" t="s">
        <v>135</v>
      </c>
      <c r="B2861" s="10"/>
      <c r="C2861" s="10" t="s">
        <v>150</v>
      </c>
      <c r="D2861" s="10" t="s">
        <v>147</v>
      </c>
      <c r="E2861" s="11" t="s">
        <v>137</v>
      </c>
    </row>
    <row r="2862" spans="1:5" x14ac:dyDescent="0.35">
      <c r="A2862" s="6" t="s">
        <v>135</v>
      </c>
      <c r="B2862" s="7"/>
      <c r="C2862" s="7"/>
      <c r="D2862" s="7" t="s">
        <v>148</v>
      </c>
      <c r="E2862" s="8" t="s">
        <v>137</v>
      </c>
    </row>
    <row r="2863" spans="1:5" x14ac:dyDescent="0.35">
      <c r="A2863" s="9" t="s">
        <v>135</v>
      </c>
      <c r="B2863" s="10"/>
      <c r="C2863" s="10"/>
      <c r="D2863" s="10" t="s">
        <v>149</v>
      </c>
      <c r="E2863" s="11" t="s">
        <v>137</v>
      </c>
    </row>
    <row r="2864" spans="1:5" x14ac:dyDescent="0.35">
      <c r="A2864" s="6" t="s">
        <v>135</v>
      </c>
      <c r="B2864" s="7" t="s">
        <v>165</v>
      </c>
      <c r="C2864" s="7" t="s">
        <v>146</v>
      </c>
      <c r="D2864" s="7" t="s">
        <v>147</v>
      </c>
      <c r="E2864" s="8" t="s">
        <v>137</v>
      </c>
    </row>
    <row r="2865" spans="1:5" x14ac:dyDescent="0.35">
      <c r="A2865" s="9" t="s">
        <v>135</v>
      </c>
      <c r="B2865" s="10"/>
      <c r="C2865" s="10"/>
      <c r="D2865" s="10" t="s">
        <v>148</v>
      </c>
      <c r="E2865" s="11" t="s">
        <v>137</v>
      </c>
    </row>
    <row r="2866" spans="1:5" x14ac:dyDescent="0.35">
      <c r="A2866" s="6" t="s">
        <v>135</v>
      </c>
      <c r="B2866" s="7"/>
      <c r="C2866" s="7"/>
      <c r="D2866" s="7" t="s">
        <v>149</v>
      </c>
      <c r="E2866" s="8" t="s">
        <v>137</v>
      </c>
    </row>
    <row r="2867" spans="1:5" x14ac:dyDescent="0.35">
      <c r="A2867" s="9" t="s">
        <v>135</v>
      </c>
      <c r="B2867" s="10"/>
      <c r="C2867" s="10" t="s">
        <v>150</v>
      </c>
      <c r="D2867" s="10" t="s">
        <v>147</v>
      </c>
      <c r="E2867" s="11" t="s">
        <v>137</v>
      </c>
    </row>
    <row r="2868" spans="1:5" x14ac:dyDescent="0.35">
      <c r="A2868" s="6" t="s">
        <v>135</v>
      </c>
      <c r="B2868" s="7"/>
      <c r="C2868" s="7"/>
      <c r="D2868" s="7" t="s">
        <v>148</v>
      </c>
      <c r="E2868" s="8" t="s">
        <v>137</v>
      </c>
    </row>
    <row r="2869" spans="1:5" x14ac:dyDescent="0.35">
      <c r="A2869" s="9" t="s">
        <v>135</v>
      </c>
      <c r="B2869" s="10"/>
      <c r="C2869" s="10"/>
      <c r="D2869" s="10" t="s">
        <v>149</v>
      </c>
      <c r="E2869" s="11" t="s">
        <v>137</v>
      </c>
    </row>
    <row r="2870" spans="1:5" x14ac:dyDescent="0.35">
      <c r="A2870" s="6" t="s">
        <v>135</v>
      </c>
      <c r="B2870" s="7" t="s">
        <v>166</v>
      </c>
      <c r="C2870" s="7" t="s">
        <v>146</v>
      </c>
      <c r="D2870" s="7" t="s">
        <v>147</v>
      </c>
      <c r="E2870" s="8">
        <v>98.07</v>
      </c>
    </row>
    <row r="2871" spans="1:5" x14ac:dyDescent="0.35">
      <c r="A2871" s="9" t="s">
        <v>135</v>
      </c>
      <c r="B2871" s="10"/>
      <c r="C2871" s="10"/>
      <c r="D2871" s="10" t="s">
        <v>148</v>
      </c>
      <c r="E2871" s="11">
        <v>98.07</v>
      </c>
    </row>
    <row r="2872" spans="1:5" x14ac:dyDescent="0.35">
      <c r="A2872" s="6" t="s">
        <v>135</v>
      </c>
      <c r="B2872" s="7"/>
      <c r="C2872" s="7"/>
      <c r="D2872" s="7" t="s">
        <v>149</v>
      </c>
      <c r="E2872" s="8" t="s">
        <v>137</v>
      </c>
    </row>
    <row r="2873" spans="1:5" x14ac:dyDescent="0.35">
      <c r="A2873" s="9" t="s">
        <v>135</v>
      </c>
      <c r="B2873" s="10"/>
      <c r="C2873" s="10" t="s">
        <v>150</v>
      </c>
      <c r="D2873" s="10" t="s">
        <v>147</v>
      </c>
      <c r="E2873" s="11" t="s">
        <v>137</v>
      </c>
    </row>
    <row r="2874" spans="1:5" x14ac:dyDescent="0.35">
      <c r="A2874" s="6" t="s">
        <v>135</v>
      </c>
      <c r="B2874" s="7"/>
      <c r="C2874" s="7"/>
      <c r="D2874" s="7" t="s">
        <v>148</v>
      </c>
      <c r="E2874" s="8" t="s">
        <v>137</v>
      </c>
    </row>
    <row r="2875" spans="1:5" x14ac:dyDescent="0.35">
      <c r="A2875" s="9" t="s">
        <v>135</v>
      </c>
      <c r="B2875" s="10"/>
      <c r="C2875" s="10"/>
      <c r="D2875" s="10" t="s">
        <v>149</v>
      </c>
      <c r="E2875" s="11" t="s">
        <v>137</v>
      </c>
    </row>
    <row r="2876" spans="1:5" x14ac:dyDescent="0.35">
      <c r="A2876" s="6" t="s">
        <v>135</v>
      </c>
      <c r="B2876" s="7" t="s">
        <v>167</v>
      </c>
      <c r="C2876" s="7" t="s">
        <v>146</v>
      </c>
      <c r="D2876" s="7" t="s">
        <v>147</v>
      </c>
      <c r="E2876" s="8" t="s">
        <v>137</v>
      </c>
    </row>
    <row r="2877" spans="1:5" x14ac:dyDescent="0.35">
      <c r="A2877" s="9" t="s">
        <v>135</v>
      </c>
      <c r="B2877" s="10"/>
      <c r="C2877" s="10"/>
      <c r="D2877" s="10" t="s">
        <v>148</v>
      </c>
      <c r="E2877" s="11" t="s">
        <v>137</v>
      </c>
    </row>
    <row r="2878" spans="1:5" x14ac:dyDescent="0.35">
      <c r="A2878" s="6" t="s">
        <v>135</v>
      </c>
      <c r="B2878" s="7"/>
      <c r="C2878" s="7"/>
      <c r="D2878" s="7" t="s">
        <v>149</v>
      </c>
      <c r="E2878" s="8" t="s">
        <v>137</v>
      </c>
    </row>
    <row r="2879" spans="1:5" x14ac:dyDescent="0.35">
      <c r="A2879" s="9" t="s">
        <v>135</v>
      </c>
      <c r="B2879" s="10"/>
      <c r="C2879" s="10" t="s">
        <v>150</v>
      </c>
      <c r="D2879" s="10" t="s">
        <v>147</v>
      </c>
      <c r="E2879" s="11" t="s">
        <v>137</v>
      </c>
    </row>
    <row r="2880" spans="1:5" x14ac:dyDescent="0.35">
      <c r="A2880" s="6" t="s">
        <v>135</v>
      </c>
      <c r="B2880" s="7"/>
      <c r="C2880" s="7"/>
      <c r="D2880" s="7" t="s">
        <v>148</v>
      </c>
      <c r="E2880" s="8" t="s">
        <v>137</v>
      </c>
    </row>
    <row r="2881" spans="1:5" x14ac:dyDescent="0.35">
      <c r="A2881" s="9" t="s">
        <v>135</v>
      </c>
      <c r="B2881" s="10"/>
      <c r="C2881" s="10"/>
      <c r="D2881" s="10" t="s">
        <v>149</v>
      </c>
      <c r="E2881" s="11" t="s">
        <v>137</v>
      </c>
    </row>
    <row r="2882" spans="1:5" x14ac:dyDescent="0.35">
      <c r="A2882" s="6" t="s">
        <v>135</v>
      </c>
      <c r="B2882" s="7" t="s">
        <v>168</v>
      </c>
      <c r="C2882" s="7" t="s">
        <v>146</v>
      </c>
      <c r="D2882" s="7" t="s">
        <v>147</v>
      </c>
      <c r="E2882" s="8" t="s">
        <v>137</v>
      </c>
    </row>
    <row r="2883" spans="1:5" x14ac:dyDescent="0.35">
      <c r="A2883" s="9" t="s">
        <v>135</v>
      </c>
      <c r="B2883" s="10"/>
      <c r="C2883" s="10"/>
      <c r="D2883" s="10" t="s">
        <v>148</v>
      </c>
      <c r="E2883" s="11" t="s">
        <v>137</v>
      </c>
    </row>
    <row r="2884" spans="1:5" x14ac:dyDescent="0.35">
      <c r="A2884" s="6" t="s">
        <v>135</v>
      </c>
      <c r="B2884" s="7"/>
      <c r="C2884" s="7"/>
      <c r="D2884" s="7" t="s">
        <v>149</v>
      </c>
      <c r="E2884" s="8" t="s">
        <v>137</v>
      </c>
    </row>
    <row r="2885" spans="1:5" x14ac:dyDescent="0.35">
      <c r="A2885" s="9" t="s">
        <v>135</v>
      </c>
      <c r="B2885" s="10"/>
      <c r="C2885" s="10" t="s">
        <v>150</v>
      </c>
      <c r="D2885" s="10" t="s">
        <v>147</v>
      </c>
      <c r="E2885" s="11" t="s">
        <v>137</v>
      </c>
    </row>
    <row r="2886" spans="1:5" x14ac:dyDescent="0.35">
      <c r="A2886" s="6" t="s">
        <v>135</v>
      </c>
      <c r="B2886" s="7"/>
      <c r="C2886" s="7"/>
      <c r="D2886" s="7" t="s">
        <v>148</v>
      </c>
      <c r="E2886" s="8" t="s">
        <v>137</v>
      </c>
    </row>
    <row r="2887" spans="1:5" x14ac:dyDescent="0.35">
      <c r="A2887" s="9" t="s">
        <v>135</v>
      </c>
      <c r="B2887" s="10"/>
      <c r="C2887" s="10"/>
      <c r="D2887" s="10" t="s">
        <v>149</v>
      </c>
      <c r="E2887" s="11" t="s">
        <v>137</v>
      </c>
    </row>
    <row r="2888" spans="1:5" x14ac:dyDescent="0.35">
      <c r="A2888" s="6" t="s">
        <v>135</v>
      </c>
      <c r="B2888" s="7" t="s">
        <v>169</v>
      </c>
      <c r="C2888" s="7" t="s">
        <v>146</v>
      </c>
      <c r="D2888" s="7" t="s">
        <v>147</v>
      </c>
      <c r="E2888" s="8" t="s">
        <v>137</v>
      </c>
    </row>
    <row r="2889" spans="1:5" x14ac:dyDescent="0.35">
      <c r="A2889" s="9" t="s">
        <v>135</v>
      </c>
      <c r="B2889" s="10"/>
      <c r="C2889" s="10"/>
      <c r="D2889" s="10" t="s">
        <v>148</v>
      </c>
      <c r="E2889" s="11" t="s">
        <v>137</v>
      </c>
    </row>
    <row r="2890" spans="1:5" x14ac:dyDescent="0.35">
      <c r="A2890" s="6" t="s">
        <v>135</v>
      </c>
      <c r="B2890" s="7"/>
      <c r="C2890" s="7"/>
      <c r="D2890" s="7" t="s">
        <v>149</v>
      </c>
      <c r="E2890" s="8" t="s">
        <v>137</v>
      </c>
    </row>
    <row r="2891" spans="1:5" x14ac:dyDescent="0.35">
      <c r="A2891" s="9" t="s">
        <v>135</v>
      </c>
      <c r="B2891" s="10"/>
      <c r="C2891" s="10" t="s">
        <v>150</v>
      </c>
      <c r="D2891" s="10" t="s">
        <v>147</v>
      </c>
      <c r="E2891" s="11" t="s">
        <v>137</v>
      </c>
    </row>
    <row r="2892" spans="1:5" x14ac:dyDescent="0.35">
      <c r="A2892" s="6" t="s">
        <v>135</v>
      </c>
      <c r="B2892" s="7"/>
      <c r="C2892" s="7"/>
      <c r="D2892" s="7" t="s">
        <v>148</v>
      </c>
      <c r="E2892" s="8" t="s">
        <v>137</v>
      </c>
    </row>
    <row r="2893" spans="1:5" x14ac:dyDescent="0.35">
      <c r="A2893" s="9" t="s">
        <v>135</v>
      </c>
      <c r="B2893" s="10"/>
      <c r="C2893" s="10"/>
      <c r="D2893" s="10" t="s">
        <v>149</v>
      </c>
      <c r="E2893" s="11" t="s">
        <v>137</v>
      </c>
    </row>
    <row r="2894" spans="1:5" x14ac:dyDescent="0.35">
      <c r="A2894" s="6" t="s">
        <v>135</v>
      </c>
      <c r="B2894" s="7" t="s">
        <v>170</v>
      </c>
      <c r="C2894" s="7" t="s">
        <v>146</v>
      </c>
      <c r="D2894" s="7" t="s">
        <v>147</v>
      </c>
      <c r="E2894" s="8" t="s">
        <v>137</v>
      </c>
    </row>
    <row r="2895" spans="1:5" x14ac:dyDescent="0.35">
      <c r="A2895" s="9" t="s">
        <v>135</v>
      </c>
      <c r="B2895" s="10"/>
      <c r="C2895" s="10"/>
      <c r="D2895" s="10" t="s">
        <v>148</v>
      </c>
      <c r="E2895" s="11" t="s">
        <v>137</v>
      </c>
    </row>
    <row r="2896" spans="1:5" x14ac:dyDescent="0.35">
      <c r="A2896" s="6" t="s">
        <v>135</v>
      </c>
      <c r="B2896" s="7"/>
      <c r="C2896" s="7"/>
      <c r="D2896" s="7" t="s">
        <v>149</v>
      </c>
      <c r="E2896" s="8" t="s">
        <v>137</v>
      </c>
    </row>
    <row r="2897" spans="1:5" x14ac:dyDescent="0.35">
      <c r="A2897" s="9" t="s">
        <v>135</v>
      </c>
      <c r="B2897" s="10"/>
      <c r="C2897" s="10" t="s">
        <v>150</v>
      </c>
      <c r="D2897" s="10" t="s">
        <v>147</v>
      </c>
      <c r="E2897" s="11" t="s">
        <v>137</v>
      </c>
    </row>
    <row r="2898" spans="1:5" x14ac:dyDescent="0.35">
      <c r="A2898" s="6" t="s">
        <v>135</v>
      </c>
      <c r="B2898" s="7"/>
      <c r="C2898" s="7"/>
      <c r="D2898" s="7" t="s">
        <v>148</v>
      </c>
      <c r="E2898" s="8" t="s">
        <v>137</v>
      </c>
    </row>
    <row r="2899" spans="1:5" x14ac:dyDescent="0.35">
      <c r="A2899" s="9" t="s">
        <v>135</v>
      </c>
      <c r="B2899" s="10"/>
      <c r="C2899" s="10"/>
      <c r="D2899" s="10" t="s">
        <v>149</v>
      </c>
      <c r="E2899" s="11" t="s">
        <v>137</v>
      </c>
    </row>
    <row r="2900" spans="1:5" x14ac:dyDescent="0.35">
      <c r="A2900" s="6" t="s">
        <v>73</v>
      </c>
      <c r="B2900" s="7" t="s">
        <v>145</v>
      </c>
      <c r="C2900" s="7" t="s">
        <v>146</v>
      </c>
      <c r="D2900" s="7" t="s">
        <v>147</v>
      </c>
      <c r="E2900" s="8">
        <v>8.33</v>
      </c>
    </row>
    <row r="2901" spans="1:5" x14ac:dyDescent="0.35">
      <c r="A2901" s="9" t="s">
        <v>135</v>
      </c>
      <c r="B2901" s="10"/>
      <c r="C2901" s="10"/>
      <c r="D2901" s="10" t="s">
        <v>148</v>
      </c>
      <c r="E2901" s="11">
        <v>2</v>
      </c>
    </row>
    <row r="2902" spans="1:5" x14ac:dyDescent="0.35">
      <c r="A2902" s="6" t="s">
        <v>135</v>
      </c>
      <c r="B2902" s="7"/>
      <c r="C2902" s="7"/>
      <c r="D2902" s="7" t="s">
        <v>149</v>
      </c>
      <c r="E2902" s="8">
        <v>6.33</v>
      </c>
    </row>
    <row r="2903" spans="1:5" x14ac:dyDescent="0.35">
      <c r="A2903" s="9" t="s">
        <v>135</v>
      </c>
      <c r="B2903" s="10"/>
      <c r="C2903" s="10" t="s">
        <v>150</v>
      </c>
      <c r="D2903" s="10" t="s">
        <v>147</v>
      </c>
      <c r="E2903" s="11" t="s">
        <v>137</v>
      </c>
    </row>
    <row r="2904" spans="1:5" x14ac:dyDescent="0.35">
      <c r="A2904" s="6" t="s">
        <v>135</v>
      </c>
      <c r="B2904" s="7"/>
      <c r="C2904" s="7"/>
      <c r="D2904" s="7" t="s">
        <v>148</v>
      </c>
      <c r="E2904" s="8" t="s">
        <v>137</v>
      </c>
    </row>
    <row r="2905" spans="1:5" x14ac:dyDescent="0.35">
      <c r="A2905" s="9" t="s">
        <v>135</v>
      </c>
      <c r="B2905" s="10"/>
      <c r="C2905" s="10"/>
      <c r="D2905" s="10" t="s">
        <v>149</v>
      </c>
      <c r="E2905" s="11" t="s">
        <v>137</v>
      </c>
    </row>
    <row r="2906" spans="1:5" x14ac:dyDescent="0.35">
      <c r="A2906" s="6" t="s">
        <v>135</v>
      </c>
      <c r="B2906" s="7" t="s">
        <v>151</v>
      </c>
      <c r="C2906" s="7" t="s">
        <v>146</v>
      </c>
      <c r="D2906" s="7" t="s">
        <v>147</v>
      </c>
      <c r="E2906" s="8">
        <v>8.33</v>
      </c>
    </row>
    <row r="2907" spans="1:5" x14ac:dyDescent="0.35">
      <c r="A2907" s="9" t="s">
        <v>135</v>
      </c>
      <c r="B2907" s="10"/>
      <c r="C2907" s="10"/>
      <c r="D2907" s="10" t="s">
        <v>148</v>
      </c>
      <c r="E2907" s="11">
        <v>2</v>
      </c>
    </row>
    <row r="2908" spans="1:5" x14ac:dyDescent="0.35">
      <c r="A2908" s="6" t="s">
        <v>135</v>
      </c>
      <c r="B2908" s="7"/>
      <c r="C2908" s="7"/>
      <c r="D2908" s="7" t="s">
        <v>149</v>
      </c>
      <c r="E2908" s="8">
        <v>6.33</v>
      </c>
    </row>
    <row r="2909" spans="1:5" x14ac:dyDescent="0.35">
      <c r="A2909" s="9" t="s">
        <v>135</v>
      </c>
      <c r="B2909" s="10"/>
      <c r="C2909" s="10" t="s">
        <v>150</v>
      </c>
      <c r="D2909" s="10" t="s">
        <v>147</v>
      </c>
      <c r="E2909" s="11" t="s">
        <v>137</v>
      </c>
    </row>
    <row r="2910" spans="1:5" x14ac:dyDescent="0.35">
      <c r="A2910" s="6" t="s">
        <v>135</v>
      </c>
      <c r="B2910" s="7"/>
      <c r="C2910" s="7"/>
      <c r="D2910" s="7" t="s">
        <v>148</v>
      </c>
      <c r="E2910" s="8" t="s">
        <v>137</v>
      </c>
    </row>
    <row r="2911" spans="1:5" x14ac:dyDescent="0.35">
      <c r="A2911" s="9" t="s">
        <v>135</v>
      </c>
      <c r="B2911" s="10"/>
      <c r="C2911" s="10"/>
      <c r="D2911" s="10" t="s">
        <v>149</v>
      </c>
      <c r="E2911" s="11" t="s">
        <v>137</v>
      </c>
    </row>
    <row r="2912" spans="1:5" x14ac:dyDescent="0.35">
      <c r="A2912" s="6" t="s">
        <v>135</v>
      </c>
      <c r="B2912" s="7" t="s">
        <v>152</v>
      </c>
      <c r="C2912" s="7" t="s">
        <v>146</v>
      </c>
      <c r="D2912" s="7" t="s">
        <v>147</v>
      </c>
      <c r="E2912" s="8" t="s">
        <v>137</v>
      </c>
    </row>
    <row r="2913" spans="1:5" x14ac:dyDescent="0.35">
      <c r="A2913" s="9" t="s">
        <v>135</v>
      </c>
      <c r="B2913" s="10"/>
      <c r="C2913" s="10"/>
      <c r="D2913" s="10" t="s">
        <v>148</v>
      </c>
      <c r="E2913" s="11" t="s">
        <v>137</v>
      </c>
    </row>
    <row r="2914" spans="1:5" x14ac:dyDescent="0.35">
      <c r="A2914" s="6" t="s">
        <v>135</v>
      </c>
      <c r="B2914" s="7"/>
      <c r="C2914" s="7"/>
      <c r="D2914" s="7" t="s">
        <v>149</v>
      </c>
      <c r="E2914" s="8" t="s">
        <v>137</v>
      </c>
    </row>
    <row r="2915" spans="1:5" x14ac:dyDescent="0.35">
      <c r="A2915" s="9" t="s">
        <v>135</v>
      </c>
      <c r="B2915" s="10"/>
      <c r="C2915" s="10" t="s">
        <v>150</v>
      </c>
      <c r="D2915" s="10" t="s">
        <v>147</v>
      </c>
      <c r="E2915" s="11" t="s">
        <v>137</v>
      </c>
    </row>
    <row r="2916" spans="1:5" x14ac:dyDescent="0.35">
      <c r="A2916" s="6" t="s">
        <v>135</v>
      </c>
      <c r="B2916" s="7"/>
      <c r="C2916" s="7"/>
      <c r="D2916" s="7" t="s">
        <v>148</v>
      </c>
      <c r="E2916" s="8" t="s">
        <v>137</v>
      </c>
    </row>
    <row r="2917" spans="1:5" x14ac:dyDescent="0.35">
      <c r="A2917" s="9" t="s">
        <v>135</v>
      </c>
      <c r="B2917" s="10"/>
      <c r="C2917" s="10"/>
      <c r="D2917" s="10" t="s">
        <v>149</v>
      </c>
      <c r="E2917" s="11" t="s">
        <v>137</v>
      </c>
    </row>
    <row r="2918" spans="1:5" x14ac:dyDescent="0.35">
      <c r="A2918" s="6" t="s">
        <v>135</v>
      </c>
      <c r="B2918" s="7" t="s">
        <v>153</v>
      </c>
      <c r="C2918" s="7" t="s">
        <v>146</v>
      </c>
      <c r="D2918" s="7" t="s">
        <v>147</v>
      </c>
      <c r="E2918" s="8" t="s">
        <v>137</v>
      </c>
    </row>
    <row r="2919" spans="1:5" x14ac:dyDescent="0.35">
      <c r="A2919" s="9" t="s">
        <v>135</v>
      </c>
      <c r="B2919" s="10"/>
      <c r="C2919" s="10"/>
      <c r="D2919" s="10" t="s">
        <v>148</v>
      </c>
      <c r="E2919" s="11" t="s">
        <v>137</v>
      </c>
    </row>
    <row r="2920" spans="1:5" x14ac:dyDescent="0.35">
      <c r="A2920" s="6" t="s">
        <v>135</v>
      </c>
      <c r="B2920" s="7"/>
      <c r="C2920" s="7"/>
      <c r="D2920" s="7" t="s">
        <v>149</v>
      </c>
      <c r="E2920" s="8" t="s">
        <v>137</v>
      </c>
    </row>
    <row r="2921" spans="1:5" x14ac:dyDescent="0.35">
      <c r="A2921" s="9" t="s">
        <v>135</v>
      </c>
      <c r="B2921" s="10"/>
      <c r="C2921" s="10" t="s">
        <v>150</v>
      </c>
      <c r="D2921" s="10" t="s">
        <v>147</v>
      </c>
      <c r="E2921" s="11" t="s">
        <v>137</v>
      </c>
    </row>
    <row r="2922" spans="1:5" x14ac:dyDescent="0.35">
      <c r="A2922" s="6" t="s">
        <v>135</v>
      </c>
      <c r="B2922" s="7"/>
      <c r="C2922" s="7"/>
      <c r="D2922" s="7" t="s">
        <v>148</v>
      </c>
      <c r="E2922" s="8" t="s">
        <v>137</v>
      </c>
    </row>
    <row r="2923" spans="1:5" x14ac:dyDescent="0.35">
      <c r="A2923" s="9" t="s">
        <v>135</v>
      </c>
      <c r="B2923" s="10"/>
      <c r="C2923" s="10"/>
      <c r="D2923" s="10" t="s">
        <v>149</v>
      </c>
      <c r="E2923" s="11" t="s">
        <v>137</v>
      </c>
    </row>
    <row r="2924" spans="1:5" x14ac:dyDescent="0.35">
      <c r="A2924" s="6" t="s">
        <v>135</v>
      </c>
      <c r="B2924" s="7" t="s">
        <v>154</v>
      </c>
      <c r="C2924" s="7" t="s">
        <v>146</v>
      </c>
      <c r="D2924" s="7" t="s">
        <v>147</v>
      </c>
      <c r="E2924" s="8" t="s">
        <v>137</v>
      </c>
    </row>
    <row r="2925" spans="1:5" x14ac:dyDescent="0.35">
      <c r="A2925" s="9" t="s">
        <v>135</v>
      </c>
      <c r="B2925" s="10"/>
      <c r="C2925" s="10"/>
      <c r="D2925" s="10" t="s">
        <v>148</v>
      </c>
      <c r="E2925" s="11" t="s">
        <v>137</v>
      </c>
    </row>
    <row r="2926" spans="1:5" x14ac:dyDescent="0.35">
      <c r="A2926" s="6" t="s">
        <v>135</v>
      </c>
      <c r="B2926" s="7"/>
      <c r="C2926" s="7"/>
      <c r="D2926" s="7" t="s">
        <v>149</v>
      </c>
      <c r="E2926" s="8" t="s">
        <v>137</v>
      </c>
    </row>
    <row r="2927" spans="1:5" x14ac:dyDescent="0.35">
      <c r="A2927" s="9" t="s">
        <v>135</v>
      </c>
      <c r="B2927" s="10"/>
      <c r="C2927" s="10" t="s">
        <v>150</v>
      </c>
      <c r="D2927" s="10" t="s">
        <v>147</v>
      </c>
      <c r="E2927" s="11" t="s">
        <v>137</v>
      </c>
    </row>
    <row r="2928" spans="1:5" x14ac:dyDescent="0.35">
      <c r="A2928" s="6" t="s">
        <v>135</v>
      </c>
      <c r="B2928" s="7"/>
      <c r="C2928" s="7"/>
      <c r="D2928" s="7" t="s">
        <v>148</v>
      </c>
      <c r="E2928" s="8" t="s">
        <v>137</v>
      </c>
    </row>
    <row r="2929" spans="1:5" x14ac:dyDescent="0.35">
      <c r="A2929" s="9" t="s">
        <v>135</v>
      </c>
      <c r="B2929" s="10"/>
      <c r="C2929" s="10"/>
      <c r="D2929" s="10" t="s">
        <v>149</v>
      </c>
      <c r="E2929" s="11" t="s">
        <v>137</v>
      </c>
    </row>
    <row r="2930" spans="1:5" x14ac:dyDescent="0.35">
      <c r="A2930" s="6" t="s">
        <v>135</v>
      </c>
      <c r="B2930" s="7" t="s">
        <v>155</v>
      </c>
      <c r="C2930" s="7" t="s">
        <v>146</v>
      </c>
      <c r="D2930" s="7" t="s">
        <v>147</v>
      </c>
      <c r="E2930" s="8" t="s">
        <v>137</v>
      </c>
    </row>
    <row r="2931" spans="1:5" x14ac:dyDescent="0.35">
      <c r="A2931" s="9" t="s">
        <v>135</v>
      </c>
      <c r="B2931" s="10"/>
      <c r="C2931" s="10"/>
      <c r="D2931" s="10" t="s">
        <v>148</v>
      </c>
      <c r="E2931" s="11" t="s">
        <v>137</v>
      </c>
    </row>
    <row r="2932" spans="1:5" x14ac:dyDescent="0.35">
      <c r="A2932" s="6" t="s">
        <v>135</v>
      </c>
      <c r="B2932" s="7"/>
      <c r="C2932" s="7"/>
      <c r="D2932" s="7" t="s">
        <v>149</v>
      </c>
      <c r="E2932" s="8" t="s">
        <v>137</v>
      </c>
    </row>
    <row r="2933" spans="1:5" x14ac:dyDescent="0.35">
      <c r="A2933" s="9" t="s">
        <v>135</v>
      </c>
      <c r="B2933" s="10"/>
      <c r="C2933" s="10" t="s">
        <v>150</v>
      </c>
      <c r="D2933" s="10" t="s">
        <v>147</v>
      </c>
      <c r="E2933" s="11" t="s">
        <v>137</v>
      </c>
    </row>
    <row r="2934" spans="1:5" x14ac:dyDescent="0.35">
      <c r="A2934" s="6" t="s">
        <v>135</v>
      </c>
      <c r="B2934" s="7"/>
      <c r="C2934" s="7"/>
      <c r="D2934" s="7" t="s">
        <v>148</v>
      </c>
      <c r="E2934" s="8" t="s">
        <v>137</v>
      </c>
    </row>
    <row r="2935" spans="1:5" x14ac:dyDescent="0.35">
      <c r="A2935" s="9" t="s">
        <v>135</v>
      </c>
      <c r="B2935" s="10"/>
      <c r="C2935" s="10"/>
      <c r="D2935" s="10" t="s">
        <v>149</v>
      </c>
      <c r="E2935" s="11" t="s">
        <v>137</v>
      </c>
    </row>
    <row r="2936" spans="1:5" x14ac:dyDescent="0.35">
      <c r="A2936" s="6" t="s">
        <v>135</v>
      </c>
      <c r="B2936" s="7" t="s">
        <v>156</v>
      </c>
      <c r="C2936" s="7" t="s">
        <v>146</v>
      </c>
      <c r="D2936" s="7" t="s">
        <v>147</v>
      </c>
      <c r="E2936" s="8" t="s">
        <v>137</v>
      </c>
    </row>
    <row r="2937" spans="1:5" x14ac:dyDescent="0.35">
      <c r="A2937" s="9" t="s">
        <v>135</v>
      </c>
      <c r="B2937" s="10"/>
      <c r="C2937" s="10"/>
      <c r="D2937" s="10" t="s">
        <v>148</v>
      </c>
      <c r="E2937" s="11" t="s">
        <v>137</v>
      </c>
    </row>
    <row r="2938" spans="1:5" x14ac:dyDescent="0.35">
      <c r="A2938" s="6" t="s">
        <v>135</v>
      </c>
      <c r="B2938" s="7"/>
      <c r="C2938" s="7"/>
      <c r="D2938" s="7" t="s">
        <v>149</v>
      </c>
      <c r="E2938" s="8" t="s">
        <v>137</v>
      </c>
    </row>
    <row r="2939" spans="1:5" x14ac:dyDescent="0.35">
      <c r="A2939" s="9" t="s">
        <v>135</v>
      </c>
      <c r="B2939" s="10"/>
      <c r="C2939" s="10" t="s">
        <v>150</v>
      </c>
      <c r="D2939" s="10" t="s">
        <v>147</v>
      </c>
      <c r="E2939" s="11" t="s">
        <v>137</v>
      </c>
    </row>
    <row r="2940" spans="1:5" x14ac:dyDescent="0.35">
      <c r="A2940" s="6" t="s">
        <v>135</v>
      </c>
      <c r="B2940" s="7"/>
      <c r="C2940" s="7"/>
      <c r="D2940" s="7" t="s">
        <v>148</v>
      </c>
      <c r="E2940" s="8" t="s">
        <v>137</v>
      </c>
    </row>
    <row r="2941" spans="1:5" x14ac:dyDescent="0.35">
      <c r="A2941" s="9" t="s">
        <v>135</v>
      </c>
      <c r="B2941" s="10"/>
      <c r="C2941" s="10"/>
      <c r="D2941" s="10" t="s">
        <v>149</v>
      </c>
      <c r="E2941" s="11" t="s">
        <v>137</v>
      </c>
    </row>
    <row r="2942" spans="1:5" x14ac:dyDescent="0.35">
      <c r="A2942" s="6" t="s">
        <v>135</v>
      </c>
      <c r="B2942" s="7" t="s">
        <v>157</v>
      </c>
      <c r="C2942" s="7" t="s">
        <v>146</v>
      </c>
      <c r="D2942" s="7" t="s">
        <v>147</v>
      </c>
      <c r="E2942" s="8" t="s">
        <v>137</v>
      </c>
    </row>
    <row r="2943" spans="1:5" x14ac:dyDescent="0.35">
      <c r="A2943" s="9" t="s">
        <v>135</v>
      </c>
      <c r="B2943" s="10"/>
      <c r="C2943" s="10"/>
      <c r="D2943" s="10" t="s">
        <v>148</v>
      </c>
      <c r="E2943" s="11" t="s">
        <v>137</v>
      </c>
    </row>
    <row r="2944" spans="1:5" x14ac:dyDescent="0.35">
      <c r="A2944" s="6" t="s">
        <v>135</v>
      </c>
      <c r="B2944" s="7"/>
      <c r="C2944" s="7"/>
      <c r="D2944" s="7" t="s">
        <v>149</v>
      </c>
      <c r="E2944" s="8" t="s">
        <v>137</v>
      </c>
    </row>
    <row r="2945" spans="1:5" x14ac:dyDescent="0.35">
      <c r="A2945" s="9" t="s">
        <v>135</v>
      </c>
      <c r="B2945" s="10"/>
      <c r="C2945" s="10" t="s">
        <v>150</v>
      </c>
      <c r="D2945" s="10" t="s">
        <v>147</v>
      </c>
      <c r="E2945" s="11" t="s">
        <v>137</v>
      </c>
    </row>
    <row r="2946" spans="1:5" x14ac:dyDescent="0.35">
      <c r="A2946" s="6" t="s">
        <v>135</v>
      </c>
      <c r="B2946" s="7"/>
      <c r="C2946" s="7"/>
      <c r="D2946" s="7" t="s">
        <v>148</v>
      </c>
      <c r="E2946" s="8" t="s">
        <v>137</v>
      </c>
    </row>
    <row r="2947" spans="1:5" x14ac:dyDescent="0.35">
      <c r="A2947" s="9" t="s">
        <v>135</v>
      </c>
      <c r="B2947" s="10"/>
      <c r="C2947" s="10"/>
      <c r="D2947" s="10" t="s">
        <v>149</v>
      </c>
      <c r="E2947" s="11" t="s">
        <v>137</v>
      </c>
    </row>
    <row r="2948" spans="1:5" x14ac:dyDescent="0.35">
      <c r="A2948" s="6" t="s">
        <v>135</v>
      </c>
      <c r="B2948" s="7" t="s">
        <v>158</v>
      </c>
      <c r="C2948" s="7" t="s">
        <v>146</v>
      </c>
      <c r="D2948" s="7" t="s">
        <v>147</v>
      </c>
      <c r="E2948" s="8" t="s">
        <v>137</v>
      </c>
    </row>
    <row r="2949" spans="1:5" x14ac:dyDescent="0.35">
      <c r="A2949" s="9" t="s">
        <v>135</v>
      </c>
      <c r="B2949" s="10"/>
      <c r="C2949" s="10"/>
      <c r="D2949" s="10" t="s">
        <v>148</v>
      </c>
      <c r="E2949" s="11" t="s">
        <v>137</v>
      </c>
    </row>
    <row r="2950" spans="1:5" x14ac:dyDescent="0.35">
      <c r="A2950" s="6" t="s">
        <v>135</v>
      </c>
      <c r="B2950" s="7"/>
      <c r="C2950" s="7"/>
      <c r="D2950" s="7" t="s">
        <v>149</v>
      </c>
      <c r="E2950" s="8" t="s">
        <v>137</v>
      </c>
    </row>
    <row r="2951" spans="1:5" x14ac:dyDescent="0.35">
      <c r="A2951" s="9" t="s">
        <v>135</v>
      </c>
      <c r="B2951" s="10"/>
      <c r="C2951" s="10" t="s">
        <v>150</v>
      </c>
      <c r="D2951" s="10" t="s">
        <v>147</v>
      </c>
      <c r="E2951" s="11" t="s">
        <v>137</v>
      </c>
    </row>
    <row r="2952" spans="1:5" x14ac:dyDescent="0.35">
      <c r="A2952" s="6" t="s">
        <v>135</v>
      </c>
      <c r="B2952" s="7"/>
      <c r="C2952" s="7"/>
      <c r="D2952" s="7" t="s">
        <v>148</v>
      </c>
      <c r="E2952" s="8" t="s">
        <v>137</v>
      </c>
    </row>
    <row r="2953" spans="1:5" x14ac:dyDescent="0.35">
      <c r="A2953" s="9" t="s">
        <v>135</v>
      </c>
      <c r="B2953" s="10"/>
      <c r="C2953" s="10"/>
      <c r="D2953" s="10" t="s">
        <v>149</v>
      </c>
      <c r="E2953" s="11" t="s">
        <v>137</v>
      </c>
    </row>
    <row r="2954" spans="1:5" x14ac:dyDescent="0.35">
      <c r="A2954" s="6" t="s">
        <v>135</v>
      </c>
      <c r="B2954" s="7" t="s">
        <v>159</v>
      </c>
      <c r="C2954" s="7" t="s">
        <v>146</v>
      </c>
      <c r="D2954" s="7" t="s">
        <v>147</v>
      </c>
      <c r="E2954" s="8" t="s">
        <v>137</v>
      </c>
    </row>
    <row r="2955" spans="1:5" x14ac:dyDescent="0.35">
      <c r="A2955" s="9" t="s">
        <v>135</v>
      </c>
      <c r="B2955" s="10"/>
      <c r="C2955" s="10"/>
      <c r="D2955" s="10" t="s">
        <v>148</v>
      </c>
      <c r="E2955" s="11" t="s">
        <v>137</v>
      </c>
    </row>
    <row r="2956" spans="1:5" x14ac:dyDescent="0.35">
      <c r="A2956" s="6" t="s">
        <v>135</v>
      </c>
      <c r="B2956" s="7"/>
      <c r="C2956" s="7"/>
      <c r="D2956" s="7" t="s">
        <v>149</v>
      </c>
      <c r="E2956" s="8" t="s">
        <v>137</v>
      </c>
    </row>
    <row r="2957" spans="1:5" x14ac:dyDescent="0.35">
      <c r="A2957" s="9" t="s">
        <v>135</v>
      </c>
      <c r="B2957" s="10"/>
      <c r="C2957" s="10" t="s">
        <v>150</v>
      </c>
      <c r="D2957" s="10" t="s">
        <v>147</v>
      </c>
      <c r="E2957" s="11" t="s">
        <v>137</v>
      </c>
    </row>
    <row r="2958" spans="1:5" x14ac:dyDescent="0.35">
      <c r="A2958" s="6" t="s">
        <v>135</v>
      </c>
      <c r="B2958" s="7"/>
      <c r="C2958" s="7"/>
      <c r="D2958" s="7" t="s">
        <v>148</v>
      </c>
      <c r="E2958" s="8" t="s">
        <v>137</v>
      </c>
    </row>
    <row r="2959" spans="1:5" x14ac:dyDescent="0.35">
      <c r="A2959" s="9" t="s">
        <v>135</v>
      </c>
      <c r="B2959" s="10"/>
      <c r="C2959" s="10"/>
      <c r="D2959" s="10" t="s">
        <v>149</v>
      </c>
      <c r="E2959" s="11" t="s">
        <v>137</v>
      </c>
    </row>
    <row r="2960" spans="1:5" x14ac:dyDescent="0.35">
      <c r="A2960" s="6" t="s">
        <v>135</v>
      </c>
      <c r="B2960" s="7" t="s">
        <v>160</v>
      </c>
      <c r="C2960" s="7" t="s">
        <v>146</v>
      </c>
      <c r="D2960" s="7" t="s">
        <v>147</v>
      </c>
      <c r="E2960" s="8" t="s">
        <v>137</v>
      </c>
    </row>
    <row r="2961" spans="1:5" x14ac:dyDescent="0.35">
      <c r="A2961" s="9" t="s">
        <v>135</v>
      </c>
      <c r="B2961" s="10"/>
      <c r="C2961" s="10"/>
      <c r="D2961" s="10" t="s">
        <v>148</v>
      </c>
      <c r="E2961" s="11" t="s">
        <v>137</v>
      </c>
    </row>
    <row r="2962" spans="1:5" x14ac:dyDescent="0.35">
      <c r="A2962" s="6" t="s">
        <v>135</v>
      </c>
      <c r="B2962" s="7"/>
      <c r="C2962" s="7"/>
      <c r="D2962" s="7" t="s">
        <v>149</v>
      </c>
      <c r="E2962" s="8" t="s">
        <v>137</v>
      </c>
    </row>
    <row r="2963" spans="1:5" x14ac:dyDescent="0.35">
      <c r="A2963" s="9" t="s">
        <v>135</v>
      </c>
      <c r="B2963" s="10"/>
      <c r="C2963" s="10" t="s">
        <v>150</v>
      </c>
      <c r="D2963" s="10" t="s">
        <v>147</v>
      </c>
      <c r="E2963" s="11" t="s">
        <v>137</v>
      </c>
    </row>
    <row r="2964" spans="1:5" x14ac:dyDescent="0.35">
      <c r="A2964" s="6" t="s">
        <v>135</v>
      </c>
      <c r="B2964" s="7"/>
      <c r="C2964" s="7"/>
      <c r="D2964" s="7" t="s">
        <v>148</v>
      </c>
      <c r="E2964" s="8" t="s">
        <v>137</v>
      </c>
    </row>
    <row r="2965" spans="1:5" x14ac:dyDescent="0.35">
      <c r="A2965" s="9" t="s">
        <v>135</v>
      </c>
      <c r="B2965" s="10"/>
      <c r="C2965" s="10"/>
      <c r="D2965" s="10" t="s">
        <v>149</v>
      </c>
      <c r="E2965" s="11" t="s">
        <v>137</v>
      </c>
    </row>
    <row r="2966" spans="1:5" x14ac:dyDescent="0.35">
      <c r="A2966" s="6" t="s">
        <v>135</v>
      </c>
      <c r="B2966" s="7" t="s">
        <v>161</v>
      </c>
      <c r="C2966" s="7" t="s">
        <v>146</v>
      </c>
      <c r="D2966" s="7" t="s">
        <v>147</v>
      </c>
      <c r="E2966" s="8" t="s">
        <v>137</v>
      </c>
    </row>
    <row r="2967" spans="1:5" x14ac:dyDescent="0.35">
      <c r="A2967" s="9" t="s">
        <v>135</v>
      </c>
      <c r="B2967" s="10"/>
      <c r="C2967" s="10"/>
      <c r="D2967" s="10" t="s">
        <v>148</v>
      </c>
      <c r="E2967" s="11" t="s">
        <v>137</v>
      </c>
    </row>
    <row r="2968" spans="1:5" x14ac:dyDescent="0.35">
      <c r="A2968" s="6" t="s">
        <v>135</v>
      </c>
      <c r="B2968" s="7"/>
      <c r="C2968" s="7"/>
      <c r="D2968" s="7" t="s">
        <v>149</v>
      </c>
      <c r="E2968" s="8" t="s">
        <v>137</v>
      </c>
    </row>
    <row r="2969" spans="1:5" x14ac:dyDescent="0.35">
      <c r="A2969" s="9" t="s">
        <v>135</v>
      </c>
      <c r="B2969" s="10"/>
      <c r="C2969" s="10" t="s">
        <v>150</v>
      </c>
      <c r="D2969" s="10" t="s">
        <v>147</v>
      </c>
      <c r="E2969" s="11" t="s">
        <v>137</v>
      </c>
    </row>
    <row r="2970" spans="1:5" x14ac:dyDescent="0.35">
      <c r="A2970" s="6" t="s">
        <v>135</v>
      </c>
      <c r="B2970" s="7"/>
      <c r="C2970" s="7"/>
      <c r="D2970" s="7" t="s">
        <v>148</v>
      </c>
      <c r="E2970" s="8" t="s">
        <v>137</v>
      </c>
    </row>
    <row r="2971" spans="1:5" x14ac:dyDescent="0.35">
      <c r="A2971" s="9" t="s">
        <v>135</v>
      </c>
      <c r="B2971" s="10"/>
      <c r="C2971" s="10"/>
      <c r="D2971" s="10" t="s">
        <v>149</v>
      </c>
      <c r="E2971" s="11" t="s">
        <v>137</v>
      </c>
    </row>
    <row r="2972" spans="1:5" x14ac:dyDescent="0.35">
      <c r="A2972" s="6" t="s">
        <v>135</v>
      </c>
      <c r="B2972" s="7" t="s">
        <v>162</v>
      </c>
      <c r="C2972" s="7" t="s">
        <v>146</v>
      </c>
      <c r="D2972" s="7" t="s">
        <v>147</v>
      </c>
      <c r="E2972" s="8" t="s">
        <v>137</v>
      </c>
    </row>
    <row r="2973" spans="1:5" x14ac:dyDescent="0.35">
      <c r="A2973" s="9" t="s">
        <v>135</v>
      </c>
      <c r="B2973" s="10"/>
      <c r="C2973" s="10"/>
      <c r="D2973" s="10" t="s">
        <v>148</v>
      </c>
      <c r="E2973" s="11" t="s">
        <v>137</v>
      </c>
    </row>
    <row r="2974" spans="1:5" x14ac:dyDescent="0.35">
      <c r="A2974" s="6" t="s">
        <v>135</v>
      </c>
      <c r="B2974" s="7"/>
      <c r="C2974" s="7"/>
      <c r="D2974" s="7" t="s">
        <v>149</v>
      </c>
      <c r="E2974" s="8" t="s">
        <v>137</v>
      </c>
    </row>
    <row r="2975" spans="1:5" x14ac:dyDescent="0.35">
      <c r="A2975" s="9" t="s">
        <v>135</v>
      </c>
      <c r="B2975" s="10"/>
      <c r="C2975" s="10" t="s">
        <v>150</v>
      </c>
      <c r="D2975" s="10" t="s">
        <v>147</v>
      </c>
      <c r="E2975" s="11" t="s">
        <v>137</v>
      </c>
    </row>
    <row r="2976" spans="1:5" x14ac:dyDescent="0.35">
      <c r="A2976" s="6" t="s">
        <v>135</v>
      </c>
      <c r="B2976" s="7"/>
      <c r="C2976" s="7"/>
      <c r="D2976" s="7" t="s">
        <v>148</v>
      </c>
      <c r="E2976" s="8" t="s">
        <v>137</v>
      </c>
    </row>
    <row r="2977" spans="1:5" x14ac:dyDescent="0.35">
      <c r="A2977" s="9" t="s">
        <v>135</v>
      </c>
      <c r="B2977" s="10"/>
      <c r="C2977" s="10"/>
      <c r="D2977" s="10" t="s">
        <v>149</v>
      </c>
      <c r="E2977" s="11" t="s">
        <v>137</v>
      </c>
    </row>
    <row r="2978" spans="1:5" x14ac:dyDescent="0.35">
      <c r="A2978" s="6" t="s">
        <v>135</v>
      </c>
      <c r="B2978" s="7" t="s">
        <v>163</v>
      </c>
      <c r="C2978" s="7" t="s">
        <v>146</v>
      </c>
      <c r="D2978" s="7" t="s">
        <v>147</v>
      </c>
      <c r="E2978" s="8">
        <v>11416</v>
      </c>
    </row>
    <row r="2979" spans="1:5" x14ac:dyDescent="0.35">
      <c r="A2979" s="9" t="s">
        <v>135</v>
      </c>
      <c r="B2979" s="10"/>
      <c r="C2979" s="10"/>
      <c r="D2979" s="10" t="s">
        <v>148</v>
      </c>
      <c r="E2979" s="11">
        <v>11416</v>
      </c>
    </row>
    <row r="2980" spans="1:5" x14ac:dyDescent="0.35">
      <c r="A2980" s="6" t="s">
        <v>135</v>
      </c>
      <c r="B2980" s="7"/>
      <c r="C2980" s="7"/>
      <c r="D2980" s="7" t="s">
        <v>149</v>
      </c>
      <c r="E2980" s="8" t="s">
        <v>137</v>
      </c>
    </row>
    <row r="2981" spans="1:5" x14ac:dyDescent="0.35">
      <c r="A2981" s="9" t="s">
        <v>135</v>
      </c>
      <c r="B2981" s="10"/>
      <c r="C2981" s="10" t="s">
        <v>150</v>
      </c>
      <c r="D2981" s="10" t="s">
        <v>147</v>
      </c>
      <c r="E2981" s="11" t="s">
        <v>137</v>
      </c>
    </row>
    <row r="2982" spans="1:5" x14ac:dyDescent="0.35">
      <c r="A2982" s="6" t="s">
        <v>135</v>
      </c>
      <c r="B2982" s="7"/>
      <c r="C2982" s="7"/>
      <c r="D2982" s="7" t="s">
        <v>148</v>
      </c>
      <c r="E2982" s="8" t="s">
        <v>137</v>
      </c>
    </row>
    <row r="2983" spans="1:5" x14ac:dyDescent="0.35">
      <c r="A2983" s="9" t="s">
        <v>135</v>
      </c>
      <c r="B2983" s="10"/>
      <c r="C2983" s="10"/>
      <c r="D2983" s="10" t="s">
        <v>149</v>
      </c>
      <c r="E2983" s="11" t="s">
        <v>137</v>
      </c>
    </row>
    <row r="2984" spans="1:5" x14ac:dyDescent="0.35">
      <c r="A2984" s="6" t="s">
        <v>135</v>
      </c>
      <c r="B2984" s="7" t="s">
        <v>164</v>
      </c>
      <c r="C2984" s="7" t="s">
        <v>146</v>
      </c>
      <c r="D2984" s="7" t="s">
        <v>147</v>
      </c>
      <c r="E2984" s="8" t="s">
        <v>137</v>
      </c>
    </row>
    <row r="2985" spans="1:5" x14ac:dyDescent="0.35">
      <c r="A2985" s="9" t="s">
        <v>135</v>
      </c>
      <c r="B2985" s="10"/>
      <c r="C2985" s="10"/>
      <c r="D2985" s="10" t="s">
        <v>148</v>
      </c>
      <c r="E2985" s="11" t="s">
        <v>137</v>
      </c>
    </row>
    <row r="2986" spans="1:5" x14ac:dyDescent="0.35">
      <c r="A2986" s="6" t="s">
        <v>135</v>
      </c>
      <c r="B2986" s="7"/>
      <c r="C2986" s="7"/>
      <c r="D2986" s="7" t="s">
        <v>149</v>
      </c>
      <c r="E2986" s="8" t="s">
        <v>137</v>
      </c>
    </row>
    <row r="2987" spans="1:5" x14ac:dyDescent="0.35">
      <c r="A2987" s="9" t="s">
        <v>135</v>
      </c>
      <c r="B2987" s="10"/>
      <c r="C2987" s="10" t="s">
        <v>150</v>
      </c>
      <c r="D2987" s="10" t="s">
        <v>147</v>
      </c>
      <c r="E2987" s="11" t="s">
        <v>137</v>
      </c>
    </row>
    <row r="2988" spans="1:5" x14ac:dyDescent="0.35">
      <c r="A2988" s="6" t="s">
        <v>135</v>
      </c>
      <c r="B2988" s="7"/>
      <c r="C2988" s="7"/>
      <c r="D2988" s="7" t="s">
        <v>148</v>
      </c>
      <c r="E2988" s="8" t="s">
        <v>137</v>
      </c>
    </row>
    <row r="2989" spans="1:5" x14ac:dyDescent="0.35">
      <c r="A2989" s="9" t="s">
        <v>135</v>
      </c>
      <c r="B2989" s="10"/>
      <c r="C2989" s="10"/>
      <c r="D2989" s="10" t="s">
        <v>149</v>
      </c>
      <c r="E2989" s="11" t="s">
        <v>137</v>
      </c>
    </row>
    <row r="2990" spans="1:5" x14ac:dyDescent="0.35">
      <c r="A2990" s="6" t="s">
        <v>135</v>
      </c>
      <c r="B2990" s="7" t="s">
        <v>165</v>
      </c>
      <c r="C2990" s="7" t="s">
        <v>146</v>
      </c>
      <c r="D2990" s="7" t="s">
        <v>147</v>
      </c>
      <c r="E2990" s="8" t="s">
        <v>137</v>
      </c>
    </row>
    <row r="2991" spans="1:5" x14ac:dyDescent="0.35">
      <c r="A2991" s="9" t="s">
        <v>135</v>
      </c>
      <c r="B2991" s="10"/>
      <c r="C2991" s="10"/>
      <c r="D2991" s="10" t="s">
        <v>148</v>
      </c>
      <c r="E2991" s="11" t="s">
        <v>137</v>
      </c>
    </row>
    <row r="2992" spans="1:5" x14ac:dyDescent="0.35">
      <c r="A2992" s="6" t="s">
        <v>135</v>
      </c>
      <c r="B2992" s="7"/>
      <c r="C2992" s="7"/>
      <c r="D2992" s="7" t="s">
        <v>149</v>
      </c>
      <c r="E2992" s="8" t="s">
        <v>137</v>
      </c>
    </row>
    <row r="2993" spans="1:5" x14ac:dyDescent="0.35">
      <c r="A2993" s="9" t="s">
        <v>135</v>
      </c>
      <c r="B2993" s="10"/>
      <c r="C2993" s="10" t="s">
        <v>150</v>
      </c>
      <c r="D2993" s="10" t="s">
        <v>147</v>
      </c>
      <c r="E2993" s="11" t="s">
        <v>137</v>
      </c>
    </row>
    <row r="2994" spans="1:5" x14ac:dyDescent="0.35">
      <c r="A2994" s="6" t="s">
        <v>135</v>
      </c>
      <c r="B2994" s="7"/>
      <c r="C2994" s="7"/>
      <c r="D2994" s="7" t="s">
        <v>148</v>
      </c>
      <c r="E2994" s="8" t="s">
        <v>137</v>
      </c>
    </row>
    <row r="2995" spans="1:5" x14ac:dyDescent="0.35">
      <c r="A2995" s="9" t="s">
        <v>135</v>
      </c>
      <c r="B2995" s="10"/>
      <c r="C2995" s="10"/>
      <c r="D2995" s="10" t="s">
        <v>149</v>
      </c>
      <c r="E2995" s="11" t="s">
        <v>137</v>
      </c>
    </row>
    <row r="2996" spans="1:5" x14ac:dyDescent="0.35">
      <c r="A2996" s="6" t="s">
        <v>135</v>
      </c>
      <c r="B2996" s="7" t="s">
        <v>166</v>
      </c>
      <c r="C2996" s="7" t="s">
        <v>146</v>
      </c>
      <c r="D2996" s="7" t="s">
        <v>147</v>
      </c>
      <c r="E2996" s="8">
        <v>4725</v>
      </c>
    </row>
    <row r="2997" spans="1:5" x14ac:dyDescent="0.35">
      <c r="A2997" s="9" t="s">
        <v>135</v>
      </c>
      <c r="B2997" s="10"/>
      <c r="C2997" s="10"/>
      <c r="D2997" s="10" t="s">
        <v>148</v>
      </c>
      <c r="E2997" s="11">
        <v>4725</v>
      </c>
    </row>
    <row r="2998" spans="1:5" x14ac:dyDescent="0.35">
      <c r="A2998" s="6" t="s">
        <v>135</v>
      </c>
      <c r="B2998" s="7"/>
      <c r="C2998" s="7"/>
      <c r="D2998" s="7" t="s">
        <v>149</v>
      </c>
      <c r="E2998" s="8" t="s">
        <v>137</v>
      </c>
    </row>
    <row r="2999" spans="1:5" x14ac:dyDescent="0.35">
      <c r="A2999" s="9" t="s">
        <v>135</v>
      </c>
      <c r="B2999" s="10"/>
      <c r="C2999" s="10" t="s">
        <v>150</v>
      </c>
      <c r="D2999" s="10" t="s">
        <v>147</v>
      </c>
      <c r="E2999" s="11" t="s">
        <v>137</v>
      </c>
    </row>
    <row r="3000" spans="1:5" x14ac:dyDescent="0.35">
      <c r="A3000" s="6" t="s">
        <v>135</v>
      </c>
      <c r="B3000" s="7"/>
      <c r="C3000" s="7"/>
      <c r="D3000" s="7" t="s">
        <v>148</v>
      </c>
      <c r="E3000" s="8" t="s">
        <v>137</v>
      </c>
    </row>
    <row r="3001" spans="1:5" x14ac:dyDescent="0.35">
      <c r="A3001" s="9" t="s">
        <v>135</v>
      </c>
      <c r="B3001" s="10"/>
      <c r="C3001" s="10"/>
      <c r="D3001" s="10" t="s">
        <v>149</v>
      </c>
      <c r="E3001" s="11" t="s">
        <v>137</v>
      </c>
    </row>
    <row r="3002" spans="1:5" x14ac:dyDescent="0.35">
      <c r="A3002" s="6" t="s">
        <v>135</v>
      </c>
      <c r="B3002" s="7" t="s">
        <v>167</v>
      </c>
      <c r="C3002" s="7" t="s">
        <v>146</v>
      </c>
      <c r="D3002" s="7" t="s">
        <v>147</v>
      </c>
      <c r="E3002" s="8">
        <v>6691</v>
      </c>
    </row>
    <row r="3003" spans="1:5" x14ac:dyDescent="0.35">
      <c r="A3003" s="9" t="s">
        <v>135</v>
      </c>
      <c r="B3003" s="10"/>
      <c r="C3003" s="10"/>
      <c r="D3003" s="10" t="s">
        <v>148</v>
      </c>
      <c r="E3003" s="11">
        <v>6691</v>
      </c>
    </row>
    <row r="3004" spans="1:5" x14ac:dyDescent="0.35">
      <c r="A3004" s="6" t="s">
        <v>135</v>
      </c>
      <c r="B3004" s="7"/>
      <c r="C3004" s="7"/>
      <c r="D3004" s="7" t="s">
        <v>149</v>
      </c>
      <c r="E3004" s="8" t="s">
        <v>137</v>
      </c>
    </row>
    <row r="3005" spans="1:5" x14ac:dyDescent="0.35">
      <c r="A3005" s="9" t="s">
        <v>135</v>
      </c>
      <c r="B3005" s="10"/>
      <c r="C3005" s="10" t="s">
        <v>150</v>
      </c>
      <c r="D3005" s="10" t="s">
        <v>147</v>
      </c>
      <c r="E3005" s="11" t="s">
        <v>137</v>
      </c>
    </row>
    <row r="3006" spans="1:5" x14ac:dyDescent="0.35">
      <c r="A3006" s="6" t="s">
        <v>135</v>
      </c>
      <c r="B3006" s="7"/>
      <c r="C3006" s="7"/>
      <c r="D3006" s="7" t="s">
        <v>148</v>
      </c>
      <c r="E3006" s="8" t="s">
        <v>137</v>
      </c>
    </row>
    <row r="3007" spans="1:5" x14ac:dyDescent="0.35">
      <c r="A3007" s="9" t="s">
        <v>135</v>
      </c>
      <c r="B3007" s="10"/>
      <c r="C3007" s="10"/>
      <c r="D3007" s="10" t="s">
        <v>149</v>
      </c>
      <c r="E3007" s="11" t="s">
        <v>137</v>
      </c>
    </row>
    <row r="3008" spans="1:5" x14ac:dyDescent="0.35">
      <c r="A3008" s="6" t="s">
        <v>135</v>
      </c>
      <c r="B3008" s="7" t="s">
        <v>168</v>
      </c>
      <c r="C3008" s="7" t="s">
        <v>146</v>
      </c>
      <c r="D3008" s="7" t="s">
        <v>147</v>
      </c>
      <c r="E3008" s="8" t="s">
        <v>137</v>
      </c>
    </row>
    <row r="3009" spans="1:5" x14ac:dyDescent="0.35">
      <c r="A3009" s="9" t="s">
        <v>135</v>
      </c>
      <c r="B3009" s="10"/>
      <c r="C3009" s="10"/>
      <c r="D3009" s="10" t="s">
        <v>148</v>
      </c>
      <c r="E3009" s="11" t="s">
        <v>137</v>
      </c>
    </row>
    <row r="3010" spans="1:5" x14ac:dyDescent="0.35">
      <c r="A3010" s="6" t="s">
        <v>135</v>
      </c>
      <c r="B3010" s="7"/>
      <c r="C3010" s="7"/>
      <c r="D3010" s="7" t="s">
        <v>149</v>
      </c>
      <c r="E3010" s="8" t="s">
        <v>137</v>
      </c>
    </row>
    <row r="3011" spans="1:5" x14ac:dyDescent="0.35">
      <c r="A3011" s="9" t="s">
        <v>135</v>
      </c>
      <c r="B3011" s="10"/>
      <c r="C3011" s="10" t="s">
        <v>150</v>
      </c>
      <c r="D3011" s="10" t="s">
        <v>147</v>
      </c>
      <c r="E3011" s="11" t="s">
        <v>137</v>
      </c>
    </row>
    <row r="3012" spans="1:5" x14ac:dyDescent="0.35">
      <c r="A3012" s="6" t="s">
        <v>135</v>
      </c>
      <c r="B3012" s="7"/>
      <c r="C3012" s="7"/>
      <c r="D3012" s="7" t="s">
        <v>148</v>
      </c>
      <c r="E3012" s="8" t="s">
        <v>137</v>
      </c>
    </row>
    <row r="3013" spans="1:5" x14ac:dyDescent="0.35">
      <c r="A3013" s="9" t="s">
        <v>135</v>
      </c>
      <c r="B3013" s="10"/>
      <c r="C3013" s="10"/>
      <c r="D3013" s="10" t="s">
        <v>149</v>
      </c>
      <c r="E3013" s="11" t="s">
        <v>137</v>
      </c>
    </row>
    <row r="3014" spans="1:5" x14ac:dyDescent="0.35">
      <c r="A3014" s="6" t="s">
        <v>135</v>
      </c>
      <c r="B3014" s="7" t="s">
        <v>169</v>
      </c>
      <c r="C3014" s="7" t="s">
        <v>146</v>
      </c>
      <c r="D3014" s="7" t="s">
        <v>147</v>
      </c>
      <c r="E3014" s="8" t="s">
        <v>137</v>
      </c>
    </row>
    <row r="3015" spans="1:5" x14ac:dyDescent="0.35">
      <c r="A3015" s="9" t="s">
        <v>135</v>
      </c>
      <c r="B3015" s="10"/>
      <c r="C3015" s="10"/>
      <c r="D3015" s="10" t="s">
        <v>148</v>
      </c>
      <c r="E3015" s="11" t="s">
        <v>137</v>
      </c>
    </row>
    <row r="3016" spans="1:5" x14ac:dyDescent="0.35">
      <c r="A3016" s="6" t="s">
        <v>135</v>
      </c>
      <c r="B3016" s="7"/>
      <c r="C3016" s="7"/>
      <c r="D3016" s="7" t="s">
        <v>149</v>
      </c>
      <c r="E3016" s="8" t="s">
        <v>137</v>
      </c>
    </row>
    <row r="3017" spans="1:5" x14ac:dyDescent="0.35">
      <c r="A3017" s="9" t="s">
        <v>135</v>
      </c>
      <c r="B3017" s="10"/>
      <c r="C3017" s="10" t="s">
        <v>150</v>
      </c>
      <c r="D3017" s="10" t="s">
        <v>147</v>
      </c>
      <c r="E3017" s="11" t="s">
        <v>137</v>
      </c>
    </row>
    <row r="3018" spans="1:5" x14ac:dyDescent="0.35">
      <c r="A3018" s="6" t="s">
        <v>135</v>
      </c>
      <c r="B3018" s="7"/>
      <c r="C3018" s="7"/>
      <c r="D3018" s="7" t="s">
        <v>148</v>
      </c>
      <c r="E3018" s="8" t="s">
        <v>137</v>
      </c>
    </row>
    <row r="3019" spans="1:5" x14ac:dyDescent="0.35">
      <c r="A3019" s="9" t="s">
        <v>135</v>
      </c>
      <c r="B3019" s="10"/>
      <c r="C3019" s="10"/>
      <c r="D3019" s="10" t="s">
        <v>149</v>
      </c>
      <c r="E3019" s="11" t="s">
        <v>137</v>
      </c>
    </row>
    <row r="3020" spans="1:5" x14ac:dyDescent="0.35">
      <c r="A3020" s="6" t="s">
        <v>135</v>
      </c>
      <c r="B3020" s="7" t="s">
        <v>170</v>
      </c>
      <c r="C3020" s="7" t="s">
        <v>146</v>
      </c>
      <c r="D3020" s="7" t="s">
        <v>147</v>
      </c>
      <c r="E3020" s="8" t="s">
        <v>137</v>
      </c>
    </row>
    <row r="3021" spans="1:5" x14ac:dyDescent="0.35">
      <c r="A3021" s="9" t="s">
        <v>135</v>
      </c>
      <c r="B3021" s="10"/>
      <c r="C3021" s="10"/>
      <c r="D3021" s="10" t="s">
        <v>148</v>
      </c>
      <c r="E3021" s="11" t="s">
        <v>137</v>
      </c>
    </row>
    <row r="3022" spans="1:5" x14ac:dyDescent="0.35">
      <c r="A3022" s="6" t="s">
        <v>135</v>
      </c>
      <c r="B3022" s="7"/>
      <c r="C3022" s="7"/>
      <c r="D3022" s="7" t="s">
        <v>149</v>
      </c>
      <c r="E3022" s="8" t="s">
        <v>137</v>
      </c>
    </row>
    <row r="3023" spans="1:5" x14ac:dyDescent="0.35">
      <c r="A3023" s="9" t="s">
        <v>135</v>
      </c>
      <c r="B3023" s="10"/>
      <c r="C3023" s="10" t="s">
        <v>150</v>
      </c>
      <c r="D3023" s="10" t="s">
        <v>147</v>
      </c>
      <c r="E3023" s="11" t="s">
        <v>137</v>
      </c>
    </row>
    <row r="3024" spans="1:5" x14ac:dyDescent="0.35">
      <c r="A3024" s="6" t="s">
        <v>135</v>
      </c>
      <c r="B3024" s="7"/>
      <c r="C3024" s="7"/>
      <c r="D3024" s="7" t="s">
        <v>148</v>
      </c>
      <c r="E3024" s="8" t="s">
        <v>137</v>
      </c>
    </row>
    <row r="3025" spans="1:5" x14ac:dyDescent="0.35">
      <c r="A3025" s="9" t="s">
        <v>135</v>
      </c>
      <c r="B3025" s="10"/>
      <c r="C3025" s="10"/>
      <c r="D3025" s="10" t="s">
        <v>149</v>
      </c>
      <c r="E3025" s="11" t="s">
        <v>137</v>
      </c>
    </row>
    <row r="3026" spans="1:5" x14ac:dyDescent="0.35">
      <c r="A3026" s="6" t="s">
        <v>79</v>
      </c>
      <c r="B3026" s="7" t="s">
        <v>145</v>
      </c>
      <c r="C3026" s="7" t="s">
        <v>146</v>
      </c>
      <c r="D3026" s="7" t="s">
        <v>147</v>
      </c>
      <c r="E3026" s="8">
        <v>251</v>
      </c>
    </row>
    <row r="3027" spans="1:5" x14ac:dyDescent="0.35">
      <c r="A3027" s="9" t="s">
        <v>135</v>
      </c>
      <c r="B3027" s="10"/>
      <c r="C3027" s="10"/>
      <c r="D3027" s="10" t="s">
        <v>148</v>
      </c>
      <c r="E3027" s="11">
        <v>236.31</v>
      </c>
    </row>
    <row r="3028" spans="1:5" x14ac:dyDescent="0.35">
      <c r="A3028" s="6" t="s">
        <v>135</v>
      </c>
      <c r="B3028" s="7"/>
      <c r="C3028" s="7"/>
      <c r="D3028" s="7" t="s">
        <v>149</v>
      </c>
      <c r="E3028" s="8">
        <v>14.69</v>
      </c>
    </row>
    <row r="3029" spans="1:5" x14ac:dyDescent="0.35">
      <c r="A3029" s="9" t="s">
        <v>135</v>
      </c>
      <c r="B3029" s="10"/>
      <c r="C3029" s="10" t="s">
        <v>150</v>
      </c>
      <c r="D3029" s="10" t="s">
        <v>147</v>
      </c>
      <c r="E3029" s="11" t="s">
        <v>137</v>
      </c>
    </row>
    <row r="3030" spans="1:5" x14ac:dyDescent="0.35">
      <c r="A3030" s="6" t="s">
        <v>135</v>
      </c>
      <c r="B3030" s="7"/>
      <c r="C3030" s="7"/>
      <c r="D3030" s="7" t="s">
        <v>148</v>
      </c>
      <c r="E3030" s="8" t="s">
        <v>137</v>
      </c>
    </row>
    <row r="3031" spans="1:5" x14ac:dyDescent="0.35">
      <c r="A3031" s="9" t="s">
        <v>135</v>
      </c>
      <c r="B3031" s="10"/>
      <c r="C3031" s="10"/>
      <c r="D3031" s="10" t="s">
        <v>149</v>
      </c>
      <c r="E3031" s="11" t="s">
        <v>137</v>
      </c>
    </row>
    <row r="3032" spans="1:5" x14ac:dyDescent="0.35">
      <c r="A3032" s="6" t="s">
        <v>135</v>
      </c>
      <c r="B3032" s="7" t="s">
        <v>151</v>
      </c>
      <c r="C3032" s="7" t="s">
        <v>146</v>
      </c>
      <c r="D3032" s="7" t="s">
        <v>147</v>
      </c>
      <c r="E3032" s="8">
        <v>58.02</v>
      </c>
    </row>
    <row r="3033" spans="1:5" x14ac:dyDescent="0.35">
      <c r="A3033" s="9" t="s">
        <v>135</v>
      </c>
      <c r="B3033" s="10"/>
      <c r="C3033" s="10"/>
      <c r="D3033" s="10" t="s">
        <v>148</v>
      </c>
      <c r="E3033" s="11">
        <v>49.86</v>
      </c>
    </row>
    <row r="3034" spans="1:5" x14ac:dyDescent="0.35">
      <c r="A3034" s="6" t="s">
        <v>135</v>
      </c>
      <c r="B3034" s="7"/>
      <c r="C3034" s="7"/>
      <c r="D3034" s="7" t="s">
        <v>149</v>
      </c>
      <c r="E3034" s="8">
        <v>8.17</v>
      </c>
    </row>
    <row r="3035" spans="1:5" x14ac:dyDescent="0.35">
      <c r="A3035" s="9" t="s">
        <v>135</v>
      </c>
      <c r="B3035" s="10"/>
      <c r="C3035" s="10" t="s">
        <v>150</v>
      </c>
      <c r="D3035" s="10" t="s">
        <v>147</v>
      </c>
      <c r="E3035" s="11" t="s">
        <v>137</v>
      </c>
    </row>
    <row r="3036" spans="1:5" x14ac:dyDescent="0.35">
      <c r="A3036" s="6" t="s">
        <v>135</v>
      </c>
      <c r="B3036" s="7"/>
      <c r="C3036" s="7"/>
      <c r="D3036" s="7" t="s">
        <v>148</v>
      </c>
      <c r="E3036" s="8" t="s">
        <v>137</v>
      </c>
    </row>
    <row r="3037" spans="1:5" x14ac:dyDescent="0.35">
      <c r="A3037" s="9" t="s">
        <v>135</v>
      </c>
      <c r="B3037" s="10"/>
      <c r="C3037" s="10"/>
      <c r="D3037" s="10" t="s">
        <v>149</v>
      </c>
      <c r="E3037" s="11" t="s">
        <v>137</v>
      </c>
    </row>
    <row r="3038" spans="1:5" x14ac:dyDescent="0.35">
      <c r="A3038" s="6" t="s">
        <v>135</v>
      </c>
      <c r="B3038" s="7" t="s">
        <v>152</v>
      </c>
      <c r="C3038" s="7" t="s">
        <v>146</v>
      </c>
      <c r="D3038" s="7" t="s">
        <v>147</v>
      </c>
      <c r="E3038" s="8" t="s">
        <v>137</v>
      </c>
    </row>
    <row r="3039" spans="1:5" x14ac:dyDescent="0.35">
      <c r="A3039" s="9" t="s">
        <v>135</v>
      </c>
      <c r="B3039" s="10"/>
      <c r="C3039" s="10"/>
      <c r="D3039" s="10" t="s">
        <v>148</v>
      </c>
      <c r="E3039" s="11" t="s">
        <v>137</v>
      </c>
    </row>
    <row r="3040" spans="1:5" x14ac:dyDescent="0.35">
      <c r="A3040" s="6" t="s">
        <v>135</v>
      </c>
      <c r="B3040" s="7"/>
      <c r="C3040" s="7"/>
      <c r="D3040" s="7" t="s">
        <v>149</v>
      </c>
      <c r="E3040" s="8" t="s">
        <v>137</v>
      </c>
    </row>
    <row r="3041" spans="1:5" x14ac:dyDescent="0.35">
      <c r="A3041" s="9" t="s">
        <v>135</v>
      </c>
      <c r="B3041" s="10"/>
      <c r="C3041" s="10" t="s">
        <v>150</v>
      </c>
      <c r="D3041" s="10" t="s">
        <v>147</v>
      </c>
      <c r="E3041" s="11" t="s">
        <v>137</v>
      </c>
    </row>
    <row r="3042" spans="1:5" x14ac:dyDescent="0.35">
      <c r="A3042" s="6" t="s">
        <v>135</v>
      </c>
      <c r="B3042" s="7"/>
      <c r="C3042" s="7"/>
      <c r="D3042" s="7" t="s">
        <v>148</v>
      </c>
      <c r="E3042" s="8" t="s">
        <v>137</v>
      </c>
    </row>
    <row r="3043" spans="1:5" x14ac:dyDescent="0.35">
      <c r="A3043" s="9" t="s">
        <v>135</v>
      </c>
      <c r="B3043" s="10"/>
      <c r="C3043" s="10"/>
      <c r="D3043" s="10" t="s">
        <v>149</v>
      </c>
      <c r="E3043" s="11" t="s">
        <v>137</v>
      </c>
    </row>
    <row r="3044" spans="1:5" x14ac:dyDescent="0.35">
      <c r="A3044" s="6" t="s">
        <v>135</v>
      </c>
      <c r="B3044" s="7" t="s">
        <v>153</v>
      </c>
      <c r="C3044" s="7" t="s">
        <v>146</v>
      </c>
      <c r="D3044" s="7" t="s">
        <v>147</v>
      </c>
      <c r="E3044" s="8">
        <v>0.18</v>
      </c>
    </row>
    <row r="3045" spans="1:5" x14ac:dyDescent="0.35">
      <c r="A3045" s="9" t="s">
        <v>135</v>
      </c>
      <c r="B3045" s="10"/>
      <c r="C3045" s="10"/>
      <c r="D3045" s="10" t="s">
        <v>148</v>
      </c>
      <c r="E3045" s="11" t="s">
        <v>137</v>
      </c>
    </row>
    <row r="3046" spans="1:5" x14ac:dyDescent="0.35">
      <c r="A3046" s="6" t="s">
        <v>135</v>
      </c>
      <c r="B3046" s="7"/>
      <c r="C3046" s="7"/>
      <c r="D3046" s="7" t="s">
        <v>149</v>
      </c>
      <c r="E3046" s="8">
        <v>0.18</v>
      </c>
    </row>
    <row r="3047" spans="1:5" x14ac:dyDescent="0.35">
      <c r="A3047" s="9" t="s">
        <v>135</v>
      </c>
      <c r="B3047" s="10"/>
      <c r="C3047" s="10" t="s">
        <v>150</v>
      </c>
      <c r="D3047" s="10" t="s">
        <v>147</v>
      </c>
      <c r="E3047" s="11" t="s">
        <v>137</v>
      </c>
    </row>
    <row r="3048" spans="1:5" x14ac:dyDescent="0.35">
      <c r="A3048" s="6" t="s">
        <v>135</v>
      </c>
      <c r="B3048" s="7"/>
      <c r="C3048" s="7"/>
      <c r="D3048" s="7" t="s">
        <v>148</v>
      </c>
      <c r="E3048" s="8" t="s">
        <v>137</v>
      </c>
    </row>
    <row r="3049" spans="1:5" x14ac:dyDescent="0.35">
      <c r="A3049" s="9" t="s">
        <v>135</v>
      </c>
      <c r="B3049" s="10"/>
      <c r="C3049" s="10"/>
      <c r="D3049" s="10" t="s">
        <v>149</v>
      </c>
      <c r="E3049" s="11" t="s">
        <v>137</v>
      </c>
    </row>
    <row r="3050" spans="1:5" x14ac:dyDescent="0.35">
      <c r="A3050" s="6" t="s">
        <v>135</v>
      </c>
      <c r="B3050" s="7" t="s">
        <v>154</v>
      </c>
      <c r="C3050" s="7" t="s">
        <v>146</v>
      </c>
      <c r="D3050" s="7" t="s">
        <v>147</v>
      </c>
      <c r="E3050" s="8" t="s">
        <v>137</v>
      </c>
    </row>
    <row r="3051" spans="1:5" x14ac:dyDescent="0.35">
      <c r="A3051" s="9" t="s">
        <v>135</v>
      </c>
      <c r="B3051" s="10"/>
      <c r="C3051" s="10"/>
      <c r="D3051" s="10" t="s">
        <v>148</v>
      </c>
      <c r="E3051" s="11" t="s">
        <v>137</v>
      </c>
    </row>
    <row r="3052" spans="1:5" x14ac:dyDescent="0.35">
      <c r="A3052" s="6" t="s">
        <v>135</v>
      </c>
      <c r="B3052" s="7"/>
      <c r="C3052" s="7"/>
      <c r="D3052" s="7" t="s">
        <v>149</v>
      </c>
      <c r="E3052" s="8" t="s">
        <v>137</v>
      </c>
    </row>
    <row r="3053" spans="1:5" x14ac:dyDescent="0.35">
      <c r="A3053" s="9" t="s">
        <v>135</v>
      </c>
      <c r="B3053" s="10"/>
      <c r="C3053" s="10" t="s">
        <v>150</v>
      </c>
      <c r="D3053" s="10" t="s">
        <v>147</v>
      </c>
      <c r="E3053" s="11" t="s">
        <v>137</v>
      </c>
    </row>
    <row r="3054" spans="1:5" x14ac:dyDescent="0.35">
      <c r="A3054" s="6" t="s">
        <v>135</v>
      </c>
      <c r="B3054" s="7"/>
      <c r="C3054" s="7"/>
      <c r="D3054" s="7" t="s">
        <v>148</v>
      </c>
      <c r="E3054" s="8" t="s">
        <v>137</v>
      </c>
    </row>
    <row r="3055" spans="1:5" x14ac:dyDescent="0.35">
      <c r="A3055" s="9" t="s">
        <v>135</v>
      </c>
      <c r="B3055" s="10"/>
      <c r="C3055" s="10"/>
      <c r="D3055" s="10" t="s">
        <v>149</v>
      </c>
      <c r="E3055" s="11" t="s">
        <v>137</v>
      </c>
    </row>
    <row r="3056" spans="1:5" x14ac:dyDescent="0.35">
      <c r="A3056" s="6" t="s">
        <v>135</v>
      </c>
      <c r="B3056" s="7" t="s">
        <v>155</v>
      </c>
      <c r="C3056" s="7" t="s">
        <v>146</v>
      </c>
      <c r="D3056" s="7" t="s">
        <v>147</v>
      </c>
      <c r="E3056" s="8">
        <v>192.57</v>
      </c>
    </row>
    <row r="3057" spans="1:5" x14ac:dyDescent="0.35">
      <c r="A3057" s="9" t="s">
        <v>135</v>
      </c>
      <c r="B3057" s="10"/>
      <c r="C3057" s="10"/>
      <c r="D3057" s="10" t="s">
        <v>148</v>
      </c>
      <c r="E3057" s="11">
        <v>186.45</v>
      </c>
    </row>
    <row r="3058" spans="1:5" x14ac:dyDescent="0.35">
      <c r="A3058" s="6" t="s">
        <v>135</v>
      </c>
      <c r="B3058" s="7"/>
      <c r="C3058" s="7"/>
      <c r="D3058" s="7" t="s">
        <v>149</v>
      </c>
      <c r="E3058" s="8">
        <v>6.12</v>
      </c>
    </row>
    <row r="3059" spans="1:5" x14ac:dyDescent="0.35">
      <c r="A3059" s="9" t="s">
        <v>135</v>
      </c>
      <c r="B3059" s="10"/>
      <c r="C3059" s="10" t="s">
        <v>150</v>
      </c>
      <c r="D3059" s="10" t="s">
        <v>147</v>
      </c>
      <c r="E3059" s="11" t="s">
        <v>137</v>
      </c>
    </row>
    <row r="3060" spans="1:5" x14ac:dyDescent="0.35">
      <c r="A3060" s="6" t="s">
        <v>135</v>
      </c>
      <c r="B3060" s="7"/>
      <c r="C3060" s="7"/>
      <c r="D3060" s="7" t="s">
        <v>148</v>
      </c>
      <c r="E3060" s="8" t="s">
        <v>137</v>
      </c>
    </row>
    <row r="3061" spans="1:5" x14ac:dyDescent="0.35">
      <c r="A3061" s="9" t="s">
        <v>135</v>
      </c>
      <c r="B3061" s="10"/>
      <c r="C3061" s="10"/>
      <c r="D3061" s="10" t="s">
        <v>149</v>
      </c>
      <c r="E3061" s="11" t="s">
        <v>137</v>
      </c>
    </row>
    <row r="3062" spans="1:5" x14ac:dyDescent="0.35">
      <c r="A3062" s="6" t="s">
        <v>135</v>
      </c>
      <c r="B3062" s="7" t="s">
        <v>156</v>
      </c>
      <c r="C3062" s="7" t="s">
        <v>146</v>
      </c>
      <c r="D3062" s="7" t="s">
        <v>147</v>
      </c>
      <c r="E3062" s="8" t="s">
        <v>137</v>
      </c>
    </row>
    <row r="3063" spans="1:5" x14ac:dyDescent="0.35">
      <c r="A3063" s="9" t="s">
        <v>135</v>
      </c>
      <c r="B3063" s="10"/>
      <c r="C3063" s="10"/>
      <c r="D3063" s="10" t="s">
        <v>148</v>
      </c>
      <c r="E3063" s="11" t="s">
        <v>137</v>
      </c>
    </row>
    <row r="3064" spans="1:5" x14ac:dyDescent="0.35">
      <c r="A3064" s="6" t="s">
        <v>135</v>
      </c>
      <c r="B3064" s="7"/>
      <c r="C3064" s="7"/>
      <c r="D3064" s="7" t="s">
        <v>149</v>
      </c>
      <c r="E3064" s="8" t="s">
        <v>137</v>
      </c>
    </row>
    <row r="3065" spans="1:5" x14ac:dyDescent="0.35">
      <c r="A3065" s="9" t="s">
        <v>135</v>
      </c>
      <c r="B3065" s="10"/>
      <c r="C3065" s="10" t="s">
        <v>150</v>
      </c>
      <c r="D3065" s="10" t="s">
        <v>147</v>
      </c>
      <c r="E3065" s="11" t="s">
        <v>137</v>
      </c>
    </row>
    <row r="3066" spans="1:5" x14ac:dyDescent="0.35">
      <c r="A3066" s="6" t="s">
        <v>135</v>
      </c>
      <c r="B3066" s="7"/>
      <c r="C3066" s="7"/>
      <c r="D3066" s="7" t="s">
        <v>148</v>
      </c>
      <c r="E3066" s="8" t="s">
        <v>137</v>
      </c>
    </row>
    <row r="3067" spans="1:5" x14ac:dyDescent="0.35">
      <c r="A3067" s="9" t="s">
        <v>135</v>
      </c>
      <c r="B3067" s="10"/>
      <c r="C3067" s="10"/>
      <c r="D3067" s="10" t="s">
        <v>149</v>
      </c>
      <c r="E3067" s="11" t="s">
        <v>137</v>
      </c>
    </row>
    <row r="3068" spans="1:5" x14ac:dyDescent="0.35">
      <c r="A3068" s="6" t="s">
        <v>135</v>
      </c>
      <c r="B3068" s="7" t="s">
        <v>157</v>
      </c>
      <c r="C3068" s="7" t="s">
        <v>146</v>
      </c>
      <c r="D3068" s="7" t="s">
        <v>147</v>
      </c>
      <c r="E3068" s="8" t="s">
        <v>137</v>
      </c>
    </row>
    <row r="3069" spans="1:5" x14ac:dyDescent="0.35">
      <c r="A3069" s="9" t="s">
        <v>135</v>
      </c>
      <c r="B3069" s="10"/>
      <c r="C3069" s="10"/>
      <c r="D3069" s="10" t="s">
        <v>148</v>
      </c>
      <c r="E3069" s="11" t="s">
        <v>137</v>
      </c>
    </row>
    <row r="3070" spans="1:5" x14ac:dyDescent="0.35">
      <c r="A3070" s="6" t="s">
        <v>135</v>
      </c>
      <c r="B3070" s="7"/>
      <c r="C3070" s="7"/>
      <c r="D3070" s="7" t="s">
        <v>149</v>
      </c>
      <c r="E3070" s="8" t="s">
        <v>137</v>
      </c>
    </row>
    <row r="3071" spans="1:5" x14ac:dyDescent="0.35">
      <c r="A3071" s="9" t="s">
        <v>135</v>
      </c>
      <c r="B3071" s="10"/>
      <c r="C3071" s="10" t="s">
        <v>150</v>
      </c>
      <c r="D3071" s="10" t="s">
        <v>147</v>
      </c>
      <c r="E3071" s="11" t="s">
        <v>137</v>
      </c>
    </row>
    <row r="3072" spans="1:5" x14ac:dyDescent="0.35">
      <c r="A3072" s="6" t="s">
        <v>135</v>
      </c>
      <c r="B3072" s="7"/>
      <c r="C3072" s="7"/>
      <c r="D3072" s="7" t="s">
        <v>148</v>
      </c>
      <c r="E3072" s="8" t="s">
        <v>137</v>
      </c>
    </row>
    <row r="3073" spans="1:5" x14ac:dyDescent="0.35">
      <c r="A3073" s="9" t="s">
        <v>135</v>
      </c>
      <c r="B3073" s="10"/>
      <c r="C3073" s="10"/>
      <c r="D3073" s="10" t="s">
        <v>149</v>
      </c>
      <c r="E3073" s="11" t="s">
        <v>137</v>
      </c>
    </row>
    <row r="3074" spans="1:5" x14ac:dyDescent="0.35">
      <c r="A3074" s="6" t="s">
        <v>135</v>
      </c>
      <c r="B3074" s="7" t="s">
        <v>158</v>
      </c>
      <c r="C3074" s="7" t="s">
        <v>146</v>
      </c>
      <c r="D3074" s="7" t="s">
        <v>147</v>
      </c>
      <c r="E3074" s="8">
        <v>0.23</v>
      </c>
    </row>
    <row r="3075" spans="1:5" x14ac:dyDescent="0.35">
      <c r="A3075" s="9" t="s">
        <v>135</v>
      </c>
      <c r="B3075" s="10"/>
      <c r="C3075" s="10"/>
      <c r="D3075" s="10" t="s">
        <v>148</v>
      </c>
      <c r="E3075" s="11" t="s">
        <v>137</v>
      </c>
    </row>
    <row r="3076" spans="1:5" x14ac:dyDescent="0.35">
      <c r="A3076" s="6" t="s">
        <v>135</v>
      </c>
      <c r="B3076" s="7"/>
      <c r="C3076" s="7"/>
      <c r="D3076" s="7" t="s">
        <v>149</v>
      </c>
      <c r="E3076" s="8">
        <v>0.23</v>
      </c>
    </row>
    <row r="3077" spans="1:5" x14ac:dyDescent="0.35">
      <c r="A3077" s="9" t="s">
        <v>135</v>
      </c>
      <c r="B3077" s="10"/>
      <c r="C3077" s="10" t="s">
        <v>150</v>
      </c>
      <c r="D3077" s="10" t="s">
        <v>147</v>
      </c>
      <c r="E3077" s="11" t="s">
        <v>137</v>
      </c>
    </row>
    <row r="3078" spans="1:5" x14ac:dyDescent="0.35">
      <c r="A3078" s="6" t="s">
        <v>135</v>
      </c>
      <c r="B3078" s="7"/>
      <c r="C3078" s="7"/>
      <c r="D3078" s="7" t="s">
        <v>148</v>
      </c>
      <c r="E3078" s="8" t="s">
        <v>137</v>
      </c>
    </row>
    <row r="3079" spans="1:5" x14ac:dyDescent="0.35">
      <c r="A3079" s="9" t="s">
        <v>135</v>
      </c>
      <c r="B3079" s="10"/>
      <c r="C3079" s="10"/>
      <c r="D3079" s="10" t="s">
        <v>149</v>
      </c>
      <c r="E3079" s="11" t="s">
        <v>137</v>
      </c>
    </row>
    <row r="3080" spans="1:5" x14ac:dyDescent="0.35">
      <c r="A3080" s="6" t="s">
        <v>135</v>
      </c>
      <c r="B3080" s="7" t="s">
        <v>159</v>
      </c>
      <c r="C3080" s="7" t="s">
        <v>146</v>
      </c>
      <c r="D3080" s="7" t="s">
        <v>147</v>
      </c>
      <c r="E3080" s="8" t="s">
        <v>137</v>
      </c>
    </row>
    <row r="3081" spans="1:5" x14ac:dyDescent="0.35">
      <c r="A3081" s="9" t="s">
        <v>135</v>
      </c>
      <c r="B3081" s="10"/>
      <c r="C3081" s="10"/>
      <c r="D3081" s="10" t="s">
        <v>148</v>
      </c>
      <c r="E3081" s="11" t="s">
        <v>137</v>
      </c>
    </row>
    <row r="3082" spans="1:5" x14ac:dyDescent="0.35">
      <c r="A3082" s="6" t="s">
        <v>135</v>
      </c>
      <c r="B3082" s="7"/>
      <c r="C3082" s="7"/>
      <c r="D3082" s="7" t="s">
        <v>149</v>
      </c>
      <c r="E3082" s="8" t="s">
        <v>137</v>
      </c>
    </row>
    <row r="3083" spans="1:5" x14ac:dyDescent="0.35">
      <c r="A3083" s="9" t="s">
        <v>135</v>
      </c>
      <c r="B3083" s="10"/>
      <c r="C3083" s="10" t="s">
        <v>150</v>
      </c>
      <c r="D3083" s="10" t="s">
        <v>147</v>
      </c>
      <c r="E3083" s="11" t="s">
        <v>137</v>
      </c>
    </row>
    <row r="3084" spans="1:5" x14ac:dyDescent="0.35">
      <c r="A3084" s="6" t="s">
        <v>135</v>
      </c>
      <c r="B3084" s="7"/>
      <c r="C3084" s="7"/>
      <c r="D3084" s="7" t="s">
        <v>148</v>
      </c>
      <c r="E3084" s="8" t="s">
        <v>137</v>
      </c>
    </row>
    <row r="3085" spans="1:5" x14ac:dyDescent="0.35">
      <c r="A3085" s="9" t="s">
        <v>135</v>
      </c>
      <c r="B3085" s="10"/>
      <c r="C3085" s="10"/>
      <c r="D3085" s="10" t="s">
        <v>149</v>
      </c>
      <c r="E3085" s="11" t="s">
        <v>137</v>
      </c>
    </row>
    <row r="3086" spans="1:5" x14ac:dyDescent="0.35">
      <c r="A3086" s="6" t="s">
        <v>135</v>
      </c>
      <c r="B3086" s="7" t="s">
        <v>160</v>
      </c>
      <c r="C3086" s="7" t="s">
        <v>146</v>
      </c>
      <c r="D3086" s="7" t="s">
        <v>147</v>
      </c>
      <c r="E3086" s="8" t="s">
        <v>137</v>
      </c>
    </row>
    <row r="3087" spans="1:5" x14ac:dyDescent="0.35">
      <c r="A3087" s="9" t="s">
        <v>135</v>
      </c>
      <c r="B3087" s="10"/>
      <c r="C3087" s="10"/>
      <c r="D3087" s="10" t="s">
        <v>148</v>
      </c>
      <c r="E3087" s="11" t="s">
        <v>137</v>
      </c>
    </row>
    <row r="3088" spans="1:5" x14ac:dyDescent="0.35">
      <c r="A3088" s="6" t="s">
        <v>135</v>
      </c>
      <c r="B3088" s="7"/>
      <c r="C3088" s="7"/>
      <c r="D3088" s="7" t="s">
        <v>149</v>
      </c>
      <c r="E3088" s="8" t="s">
        <v>137</v>
      </c>
    </row>
    <row r="3089" spans="1:5" x14ac:dyDescent="0.35">
      <c r="A3089" s="9" t="s">
        <v>135</v>
      </c>
      <c r="B3089" s="10"/>
      <c r="C3089" s="10" t="s">
        <v>150</v>
      </c>
      <c r="D3089" s="10" t="s">
        <v>147</v>
      </c>
      <c r="E3089" s="11" t="s">
        <v>137</v>
      </c>
    </row>
    <row r="3090" spans="1:5" x14ac:dyDescent="0.35">
      <c r="A3090" s="6" t="s">
        <v>135</v>
      </c>
      <c r="B3090" s="7"/>
      <c r="C3090" s="7"/>
      <c r="D3090" s="7" t="s">
        <v>148</v>
      </c>
      <c r="E3090" s="8" t="s">
        <v>137</v>
      </c>
    </row>
    <row r="3091" spans="1:5" x14ac:dyDescent="0.35">
      <c r="A3091" s="9" t="s">
        <v>135</v>
      </c>
      <c r="B3091" s="10"/>
      <c r="C3091" s="10"/>
      <c r="D3091" s="10" t="s">
        <v>149</v>
      </c>
      <c r="E3091" s="11" t="s">
        <v>137</v>
      </c>
    </row>
    <row r="3092" spans="1:5" x14ac:dyDescent="0.35">
      <c r="A3092" s="6" t="s">
        <v>135</v>
      </c>
      <c r="B3092" s="7" t="s">
        <v>161</v>
      </c>
      <c r="C3092" s="7" t="s">
        <v>146</v>
      </c>
      <c r="D3092" s="7" t="s">
        <v>147</v>
      </c>
      <c r="E3092" s="8" t="s">
        <v>137</v>
      </c>
    </row>
    <row r="3093" spans="1:5" x14ac:dyDescent="0.35">
      <c r="A3093" s="9" t="s">
        <v>135</v>
      </c>
      <c r="B3093" s="10"/>
      <c r="C3093" s="10"/>
      <c r="D3093" s="10" t="s">
        <v>148</v>
      </c>
      <c r="E3093" s="11" t="s">
        <v>137</v>
      </c>
    </row>
    <row r="3094" spans="1:5" x14ac:dyDescent="0.35">
      <c r="A3094" s="6" t="s">
        <v>135</v>
      </c>
      <c r="B3094" s="7"/>
      <c r="C3094" s="7"/>
      <c r="D3094" s="7" t="s">
        <v>149</v>
      </c>
      <c r="E3094" s="8" t="s">
        <v>137</v>
      </c>
    </row>
    <row r="3095" spans="1:5" x14ac:dyDescent="0.35">
      <c r="A3095" s="9" t="s">
        <v>135</v>
      </c>
      <c r="B3095" s="10"/>
      <c r="C3095" s="10" t="s">
        <v>150</v>
      </c>
      <c r="D3095" s="10" t="s">
        <v>147</v>
      </c>
      <c r="E3095" s="11" t="s">
        <v>137</v>
      </c>
    </row>
    <row r="3096" spans="1:5" x14ac:dyDescent="0.35">
      <c r="A3096" s="6" t="s">
        <v>135</v>
      </c>
      <c r="B3096" s="7"/>
      <c r="C3096" s="7"/>
      <c r="D3096" s="7" t="s">
        <v>148</v>
      </c>
      <c r="E3096" s="8" t="s">
        <v>137</v>
      </c>
    </row>
    <row r="3097" spans="1:5" x14ac:dyDescent="0.35">
      <c r="A3097" s="9" t="s">
        <v>135</v>
      </c>
      <c r="B3097" s="10"/>
      <c r="C3097" s="10"/>
      <c r="D3097" s="10" t="s">
        <v>149</v>
      </c>
      <c r="E3097" s="11" t="s">
        <v>137</v>
      </c>
    </row>
    <row r="3098" spans="1:5" x14ac:dyDescent="0.35">
      <c r="A3098" s="6" t="s">
        <v>135</v>
      </c>
      <c r="B3098" s="7" t="s">
        <v>162</v>
      </c>
      <c r="C3098" s="7" t="s">
        <v>146</v>
      </c>
      <c r="D3098" s="7" t="s">
        <v>147</v>
      </c>
      <c r="E3098" s="8" t="s">
        <v>137</v>
      </c>
    </row>
    <row r="3099" spans="1:5" x14ac:dyDescent="0.35">
      <c r="A3099" s="9" t="s">
        <v>135</v>
      </c>
      <c r="B3099" s="10"/>
      <c r="C3099" s="10"/>
      <c r="D3099" s="10" t="s">
        <v>148</v>
      </c>
      <c r="E3099" s="11" t="s">
        <v>137</v>
      </c>
    </row>
    <row r="3100" spans="1:5" x14ac:dyDescent="0.35">
      <c r="A3100" s="6" t="s">
        <v>135</v>
      </c>
      <c r="B3100" s="7"/>
      <c r="C3100" s="7"/>
      <c r="D3100" s="7" t="s">
        <v>149</v>
      </c>
      <c r="E3100" s="8" t="s">
        <v>137</v>
      </c>
    </row>
    <row r="3101" spans="1:5" x14ac:dyDescent="0.35">
      <c r="A3101" s="9" t="s">
        <v>135</v>
      </c>
      <c r="B3101" s="10"/>
      <c r="C3101" s="10" t="s">
        <v>150</v>
      </c>
      <c r="D3101" s="10" t="s">
        <v>147</v>
      </c>
      <c r="E3101" s="11" t="s">
        <v>137</v>
      </c>
    </row>
    <row r="3102" spans="1:5" x14ac:dyDescent="0.35">
      <c r="A3102" s="6" t="s">
        <v>135</v>
      </c>
      <c r="B3102" s="7"/>
      <c r="C3102" s="7"/>
      <c r="D3102" s="7" t="s">
        <v>148</v>
      </c>
      <c r="E3102" s="8" t="s">
        <v>137</v>
      </c>
    </row>
    <row r="3103" spans="1:5" x14ac:dyDescent="0.35">
      <c r="A3103" s="9" t="s">
        <v>135</v>
      </c>
      <c r="B3103" s="10"/>
      <c r="C3103" s="10"/>
      <c r="D3103" s="10" t="s">
        <v>149</v>
      </c>
      <c r="E3103" s="11" t="s">
        <v>137</v>
      </c>
    </row>
    <row r="3104" spans="1:5" x14ac:dyDescent="0.35">
      <c r="A3104" s="6" t="s">
        <v>135</v>
      </c>
      <c r="B3104" s="7" t="s">
        <v>163</v>
      </c>
      <c r="C3104" s="7" t="s">
        <v>146</v>
      </c>
      <c r="D3104" s="7" t="s">
        <v>147</v>
      </c>
      <c r="E3104" s="8">
        <v>623.6</v>
      </c>
    </row>
    <row r="3105" spans="1:5" x14ac:dyDescent="0.35">
      <c r="A3105" s="9" t="s">
        <v>135</v>
      </c>
      <c r="B3105" s="10"/>
      <c r="C3105" s="10"/>
      <c r="D3105" s="10" t="s">
        <v>148</v>
      </c>
      <c r="E3105" s="11">
        <v>623.6</v>
      </c>
    </row>
    <row r="3106" spans="1:5" x14ac:dyDescent="0.35">
      <c r="A3106" s="6" t="s">
        <v>135</v>
      </c>
      <c r="B3106" s="7"/>
      <c r="C3106" s="7"/>
      <c r="D3106" s="7" t="s">
        <v>149</v>
      </c>
      <c r="E3106" s="8" t="s">
        <v>137</v>
      </c>
    </row>
    <row r="3107" spans="1:5" x14ac:dyDescent="0.35">
      <c r="A3107" s="9" t="s">
        <v>135</v>
      </c>
      <c r="B3107" s="10"/>
      <c r="C3107" s="10" t="s">
        <v>150</v>
      </c>
      <c r="D3107" s="10" t="s">
        <v>147</v>
      </c>
      <c r="E3107" s="11" t="s">
        <v>137</v>
      </c>
    </row>
    <row r="3108" spans="1:5" x14ac:dyDescent="0.35">
      <c r="A3108" s="6" t="s">
        <v>135</v>
      </c>
      <c r="B3108" s="7"/>
      <c r="C3108" s="7"/>
      <c r="D3108" s="7" t="s">
        <v>148</v>
      </c>
      <c r="E3108" s="8" t="s">
        <v>137</v>
      </c>
    </row>
    <row r="3109" spans="1:5" x14ac:dyDescent="0.35">
      <c r="A3109" s="9" t="s">
        <v>135</v>
      </c>
      <c r="B3109" s="10"/>
      <c r="C3109" s="10"/>
      <c r="D3109" s="10" t="s">
        <v>149</v>
      </c>
      <c r="E3109" s="11" t="s">
        <v>137</v>
      </c>
    </row>
    <row r="3110" spans="1:5" x14ac:dyDescent="0.35">
      <c r="A3110" s="6" t="s">
        <v>135</v>
      </c>
      <c r="B3110" s="7" t="s">
        <v>164</v>
      </c>
      <c r="C3110" s="7" t="s">
        <v>146</v>
      </c>
      <c r="D3110" s="7" t="s">
        <v>147</v>
      </c>
      <c r="E3110" s="8" t="s">
        <v>137</v>
      </c>
    </row>
    <row r="3111" spans="1:5" x14ac:dyDescent="0.35">
      <c r="A3111" s="9" t="s">
        <v>135</v>
      </c>
      <c r="B3111" s="10"/>
      <c r="C3111" s="10"/>
      <c r="D3111" s="10" t="s">
        <v>148</v>
      </c>
      <c r="E3111" s="11" t="s">
        <v>137</v>
      </c>
    </row>
    <row r="3112" spans="1:5" x14ac:dyDescent="0.35">
      <c r="A3112" s="6" t="s">
        <v>135</v>
      </c>
      <c r="B3112" s="7"/>
      <c r="C3112" s="7"/>
      <c r="D3112" s="7" t="s">
        <v>149</v>
      </c>
      <c r="E3112" s="8" t="s">
        <v>137</v>
      </c>
    </row>
    <row r="3113" spans="1:5" x14ac:dyDescent="0.35">
      <c r="A3113" s="9" t="s">
        <v>135</v>
      </c>
      <c r="B3113" s="10"/>
      <c r="C3113" s="10" t="s">
        <v>150</v>
      </c>
      <c r="D3113" s="10" t="s">
        <v>147</v>
      </c>
      <c r="E3113" s="11" t="s">
        <v>137</v>
      </c>
    </row>
    <row r="3114" spans="1:5" x14ac:dyDescent="0.35">
      <c r="A3114" s="6" t="s">
        <v>135</v>
      </c>
      <c r="B3114" s="7"/>
      <c r="C3114" s="7"/>
      <c r="D3114" s="7" t="s">
        <v>148</v>
      </c>
      <c r="E3114" s="8" t="s">
        <v>137</v>
      </c>
    </row>
    <row r="3115" spans="1:5" x14ac:dyDescent="0.35">
      <c r="A3115" s="9" t="s">
        <v>135</v>
      </c>
      <c r="B3115" s="10"/>
      <c r="C3115" s="10"/>
      <c r="D3115" s="10" t="s">
        <v>149</v>
      </c>
      <c r="E3115" s="11" t="s">
        <v>137</v>
      </c>
    </row>
    <row r="3116" spans="1:5" x14ac:dyDescent="0.35">
      <c r="A3116" s="6" t="s">
        <v>135</v>
      </c>
      <c r="B3116" s="7" t="s">
        <v>165</v>
      </c>
      <c r="C3116" s="7" t="s">
        <v>146</v>
      </c>
      <c r="D3116" s="7" t="s">
        <v>147</v>
      </c>
      <c r="E3116" s="8">
        <v>120</v>
      </c>
    </row>
    <row r="3117" spans="1:5" x14ac:dyDescent="0.35">
      <c r="A3117" s="9" t="s">
        <v>135</v>
      </c>
      <c r="B3117" s="10"/>
      <c r="C3117" s="10"/>
      <c r="D3117" s="10" t="s">
        <v>148</v>
      </c>
      <c r="E3117" s="11">
        <v>120</v>
      </c>
    </row>
    <row r="3118" spans="1:5" x14ac:dyDescent="0.35">
      <c r="A3118" s="6" t="s">
        <v>135</v>
      </c>
      <c r="B3118" s="7"/>
      <c r="C3118" s="7"/>
      <c r="D3118" s="7" t="s">
        <v>149</v>
      </c>
      <c r="E3118" s="8" t="s">
        <v>137</v>
      </c>
    </row>
    <row r="3119" spans="1:5" x14ac:dyDescent="0.35">
      <c r="A3119" s="9" t="s">
        <v>135</v>
      </c>
      <c r="B3119" s="10"/>
      <c r="C3119" s="10" t="s">
        <v>150</v>
      </c>
      <c r="D3119" s="10" t="s">
        <v>147</v>
      </c>
      <c r="E3119" s="11" t="s">
        <v>137</v>
      </c>
    </row>
    <row r="3120" spans="1:5" x14ac:dyDescent="0.35">
      <c r="A3120" s="6" t="s">
        <v>135</v>
      </c>
      <c r="B3120" s="7"/>
      <c r="C3120" s="7"/>
      <c r="D3120" s="7" t="s">
        <v>148</v>
      </c>
      <c r="E3120" s="8" t="s">
        <v>137</v>
      </c>
    </row>
    <row r="3121" spans="1:5" x14ac:dyDescent="0.35">
      <c r="A3121" s="9" t="s">
        <v>135</v>
      </c>
      <c r="B3121" s="10"/>
      <c r="C3121" s="10"/>
      <c r="D3121" s="10" t="s">
        <v>149</v>
      </c>
      <c r="E3121" s="11" t="s">
        <v>137</v>
      </c>
    </row>
    <row r="3122" spans="1:5" x14ac:dyDescent="0.35">
      <c r="A3122" s="6" t="s">
        <v>135</v>
      </c>
      <c r="B3122" s="7" t="s">
        <v>166</v>
      </c>
      <c r="C3122" s="7" t="s">
        <v>146</v>
      </c>
      <c r="D3122" s="7" t="s">
        <v>147</v>
      </c>
      <c r="E3122" s="8">
        <v>503.6</v>
      </c>
    </row>
    <row r="3123" spans="1:5" x14ac:dyDescent="0.35">
      <c r="A3123" s="9" t="s">
        <v>135</v>
      </c>
      <c r="B3123" s="10"/>
      <c r="C3123" s="10"/>
      <c r="D3123" s="10" t="s">
        <v>148</v>
      </c>
      <c r="E3123" s="11">
        <v>503.6</v>
      </c>
    </row>
    <row r="3124" spans="1:5" x14ac:dyDescent="0.35">
      <c r="A3124" s="6" t="s">
        <v>135</v>
      </c>
      <c r="B3124" s="7"/>
      <c r="C3124" s="7"/>
      <c r="D3124" s="7" t="s">
        <v>149</v>
      </c>
      <c r="E3124" s="8" t="s">
        <v>137</v>
      </c>
    </row>
    <row r="3125" spans="1:5" x14ac:dyDescent="0.35">
      <c r="A3125" s="9" t="s">
        <v>135</v>
      </c>
      <c r="B3125" s="10"/>
      <c r="C3125" s="10" t="s">
        <v>150</v>
      </c>
      <c r="D3125" s="10" t="s">
        <v>147</v>
      </c>
      <c r="E3125" s="11" t="s">
        <v>137</v>
      </c>
    </row>
    <row r="3126" spans="1:5" x14ac:dyDescent="0.35">
      <c r="A3126" s="6" t="s">
        <v>135</v>
      </c>
      <c r="B3126" s="7"/>
      <c r="C3126" s="7"/>
      <c r="D3126" s="7" t="s">
        <v>148</v>
      </c>
      <c r="E3126" s="8" t="s">
        <v>137</v>
      </c>
    </row>
    <row r="3127" spans="1:5" x14ac:dyDescent="0.35">
      <c r="A3127" s="9" t="s">
        <v>135</v>
      </c>
      <c r="B3127" s="10"/>
      <c r="C3127" s="10"/>
      <c r="D3127" s="10" t="s">
        <v>149</v>
      </c>
      <c r="E3127" s="11" t="s">
        <v>137</v>
      </c>
    </row>
    <row r="3128" spans="1:5" x14ac:dyDescent="0.35">
      <c r="A3128" s="6" t="s">
        <v>135</v>
      </c>
      <c r="B3128" s="7" t="s">
        <v>167</v>
      </c>
      <c r="C3128" s="7" t="s">
        <v>146</v>
      </c>
      <c r="D3128" s="7" t="s">
        <v>147</v>
      </c>
      <c r="E3128" s="8" t="s">
        <v>137</v>
      </c>
    </row>
    <row r="3129" spans="1:5" x14ac:dyDescent="0.35">
      <c r="A3129" s="9" t="s">
        <v>135</v>
      </c>
      <c r="B3129" s="10"/>
      <c r="C3129" s="10"/>
      <c r="D3129" s="10" t="s">
        <v>148</v>
      </c>
      <c r="E3129" s="11" t="s">
        <v>137</v>
      </c>
    </row>
    <row r="3130" spans="1:5" x14ac:dyDescent="0.35">
      <c r="A3130" s="6" t="s">
        <v>135</v>
      </c>
      <c r="B3130" s="7"/>
      <c r="C3130" s="7"/>
      <c r="D3130" s="7" t="s">
        <v>149</v>
      </c>
      <c r="E3130" s="8" t="s">
        <v>137</v>
      </c>
    </row>
    <row r="3131" spans="1:5" x14ac:dyDescent="0.35">
      <c r="A3131" s="9" t="s">
        <v>135</v>
      </c>
      <c r="B3131" s="10"/>
      <c r="C3131" s="10" t="s">
        <v>150</v>
      </c>
      <c r="D3131" s="10" t="s">
        <v>147</v>
      </c>
      <c r="E3131" s="11" t="s">
        <v>137</v>
      </c>
    </row>
    <row r="3132" spans="1:5" x14ac:dyDescent="0.35">
      <c r="A3132" s="6" t="s">
        <v>135</v>
      </c>
      <c r="B3132" s="7"/>
      <c r="C3132" s="7"/>
      <c r="D3132" s="7" t="s">
        <v>148</v>
      </c>
      <c r="E3132" s="8" t="s">
        <v>137</v>
      </c>
    </row>
    <row r="3133" spans="1:5" x14ac:dyDescent="0.35">
      <c r="A3133" s="9" t="s">
        <v>135</v>
      </c>
      <c r="B3133" s="10"/>
      <c r="C3133" s="10"/>
      <c r="D3133" s="10" t="s">
        <v>149</v>
      </c>
      <c r="E3133" s="11" t="s">
        <v>137</v>
      </c>
    </row>
    <row r="3134" spans="1:5" x14ac:dyDescent="0.35">
      <c r="A3134" s="6" t="s">
        <v>135</v>
      </c>
      <c r="B3134" s="7" t="s">
        <v>168</v>
      </c>
      <c r="C3134" s="7" t="s">
        <v>146</v>
      </c>
      <c r="D3134" s="7" t="s">
        <v>147</v>
      </c>
      <c r="E3134" s="8" t="s">
        <v>137</v>
      </c>
    </row>
    <row r="3135" spans="1:5" x14ac:dyDescent="0.35">
      <c r="A3135" s="9" t="s">
        <v>135</v>
      </c>
      <c r="B3135" s="10"/>
      <c r="C3135" s="10"/>
      <c r="D3135" s="10" t="s">
        <v>148</v>
      </c>
      <c r="E3135" s="11" t="s">
        <v>137</v>
      </c>
    </row>
    <row r="3136" spans="1:5" x14ac:dyDescent="0.35">
      <c r="A3136" s="6" t="s">
        <v>135</v>
      </c>
      <c r="B3136" s="7"/>
      <c r="C3136" s="7"/>
      <c r="D3136" s="7" t="s">
        <v>149</v>
      </c>
      <c r="E3136" s="8" t="s">
        <v>137</v>
      </c>
    </row>
    <row r="3137" spans="1:5" x14ac:dyDescent="0.35">
      <c r="A3137" s="9" t="s">
        <v>135</v>
      </c>
      <c r="B3137" s="10"/>
      <c r="C3137" s="10" t="s">
        <v>150</v>
      </c>
      <c r="D3137" s="10" t="s">
        <v>147</v>
      </c>
      <c r="E3137" s="11" t="s">
        <v>137</v>
      </c>
    </row>
    <row r="3138" spans="1:5" x14ac:dyDescent="0.35">
      <c r="A3138" s="6" t="s">
        <v>135</v>
      </c>
      <c r="B3138" s="7"/>
      <c r="C3138" s="7"/>
      <c r="D3138" s="7" t="s">
        <v>148</v>
      </c>
      <c r="E3138" s="8" t="s">
        <v>137</v>
      </c>
    </row>
    <row r="3139" spans="1:5" x14ac:dyDescent="0.35">
      <c r="A3139" s="9" t="s">
        <v>135</v>
      </c>
      <c r="B3139" s="10"/>
      <c r="C3139" s="10"/>
      <c r="D3139" s="10" t="s">
        <v>149</v>
      </c>
      <c r="E3139" s="11" t="s">
        <v>137</v>
      </c>
    </row>
    <row r="3140" spans="1:5" x14ac:dyDescent="0.35">
      <c r="A3140" s="6" t="s">
        <v>135</v>
      </c>
      <c r="B3140" s="7" t="s">
        <v>169</v>
      </c>
      <c r="C3140" s="7" t="s">
        <v>146</v>
      </c>
      <c r="D3140" s="7" t="s">
        <v>147</v>
      </c>
      <c r="E3140" s="8" t="s">
        <v>137</v>
      </c>
    </row>
    <row r="3141" spans="1:5" x14ac:dyDescent="0.35">
      <c r="A3141" s="9" t="s">
        <v>135</v>
      </c>
      <c r="B3141" s="10"/>
      <c r="C3141" s="10"/>
      <c r="D3141" s="10" t="s">
        <v>148</v>
      </c>
      <c r="E3141" s="11" t="s">
        <v>137</v>
      </c>
    </row>
    <row r="3142" spans="1:5" x14ac:dyDescent="0.35">
      <c r="A3142" s="6" t="s">
        <v>135</v>
      </c>
      <c r="B3142" s="7"/>
      <c r="C3142" s="7"/>
      <c r="D3142" s="7" t="s">
        <v>149</v>
      </c>
      <c r="E3142" s="8" t="s">
        <v>137</v>
      </c>
    </row>
    <row r="3143" spans="1:5" x14ac:dyDescent="0.35">
      <c r="A3143" s="9" t="s">
        <v>135</v>
      </c>
      <c r="B3143" s="10"/>
      <c r="C3143" s="10" t="s">
        <v>150</v>
      </c>
      <c r="D3143" s="10" t="s">
        <v>147</v>
      </c>
      <c r="E3143" s="11" t="s">
        <v>137</v>
      </c>
    </row>
    <row r="3144" spans="1:5" x14ac:dyDescent="0.35">
      <c r="A3144" s="6" t="s">
        <v>135</v>
      </c>
      <c r="B3144" s="7"/>
      <c r="C3144" s="7"/>
      <c r="D3144" s="7" t="s">
        <v>148</v>
      </c>
      <c r="E3144" s="8" t="s">
        <v>137</v>
      </c>
    </row>
    <row r="3145" spans="1:5" x14ac:dyDescent="0.35">
      <c r="A3145" s="9" t="s">
        <v>135</v>
      </c>
      <c r="B3145" s="10"/>
      <c r="C3145" s="10"/>
      <c r="D3145" s="10" t="s">
        <v>149</v>
      </c>
      <c r="E3145" s="11" t="s">
        <v>137</v>
      </c>
    </row>
    <row r="3146" spans="1:5" x14ac:dyDescent="0.35">
      <c r="A3146" s="6" t="s">
        <v>135</v>
      </c>
      <c r="B3146" s="7" t="s">
        <v>170</v>
      </c>
      <c r="C3146" s="7" t="s">
        <v>146</v>
      </c>
      <c r="D3146" s="7" t="s">
        <v>147</v>
      </c>
      <c r="E3146" s="8" t="s">
        <v>137</v>
      </c>
    </row>
    <row r="3147" spans="1:5" x14ac:dyDescent="0.35">
      <c r="A3147" s="9" t="s">
        <v>135</v>
      </c>
      <c r="B3147" s="10"/>
      <c r="C3147" s="10"/>
      <c r="D3147" s="10" t="s">
        <v>148</v>
      </c>
      <c r="E3147" s="11" t="s">
        <v>137</v>
      </c>
    </row>
    <row r="3148" spans="1:5" x14ac:dyDescent="0.35">
      <c r="A3148" s="6" t="s">
        <v>135</v>
      </c>
      <c r="B3148" s="7"/>
      <c r="C3148" s="7"/>
      <c r="D3148" s="7" t="s">
        <v>149</v>
      </c>
      <c r="E3148" s="8" t="s">
        <v>137</v>
      </c>
    </row>
    <row r="3149" spans="1:5" x14ac:dyDescent="0.35">
      <c r="A3149" s="9" t="s">
        <v>135</v>
      </c>
      <c r="B3149" s="10"/>
      <c r="C3149" s="10" t="s">
        <v>150</v>
      </c>
      <c r="D3149" s="10" t="s">
        <v>147</v>
      </c>
      <c r="E3149" s="11" t="s">
        <v>137</v>
      </c>
    </row>
    <row r="3150" spans="1:5" x14ac:dyDescent="0.35">
      <c r="A3150" s="6" t="s">
        <v>135</v>
      </c>
      <c r="B3150" s="7"/>
      <c r="C3150" s="7"/>
      <c r="D3150" s="7" t="s">
        <v>148</v>
      </c>
      <c r="E3150" s="8" t="s">
        <v>137</v>
      </c>
    </row>
    <row r="3151" spans="1:5" x14ac:dyDescent="0.35">
      <c r="A3151" s="9" t="s">
        <v>135</v>
      </c>
      <c r="B3151" s="10"/>
      <c r="C3151" s="10"/>
      <c r="D3151" s="10" t="s">
        <v>149</v>
      </c>
      <c r="E3151" s="11" t="s">
        <v>137</v>
      </c>
    </row>
    <row r="3152" spans="1:5" x14ac:dyDescent="0.35">
      <c r="A3152" s="6" t="s">
        <v>89</v>
      </c>
      <c r="B3152" s="7" t="s">
        <v>145</v>
      </c>
      <c r="C3152" s="7" t="s">
        <v>146</v>
      </c>
      <c r="D3152" s="7" t="s">
        <v>147</v>
      </c>
      <c r="E3152" s="8">
        <v>520.44000000000005</v>
      </c>
    </row>
    <row r="3153" spans="1:5" x14ac:dyDescent="0.35">
      <c r="A3153" s="9" t="s">
        <v>135</v>
      </c>
      <c r="B3153" s="10"/>
      <c r="C3153" s="10"/>
      <c r="D3153" s="10" t="s">
        <v>148</v>
      </c>
      <c r="E3153" s="11">
        <v>510.52</v>
      </c>
    </row>
    <row r="3154" spans="1:5" x14ac:dyDescent="0.35">
      <c r="A3154" s="6" t="s">
        <v>135</v>
      </c>
      <c r="B3154" s="7"/>
      <c r="C3154" s="7"/>
      <c r="D3154" s="7" t="s">
        <v>149</v>
      </c>
      <c r="E3154" s="8">
        <v>9.92</v>
      </c>
    </row>
    <row r="3155" spans="1:5" x14ac:dyDescent="0.35">
      <c r="A3155" s="9" t="s">
        <v>135</v>
      </c>
      <c r="B3155" s="10"/>
      <c r="C3155" s="10" t="s">
        <v>150</v>
      </c>
      <c r="D3155" s="10" t="s">
        <v>147</v>
      </c>
      <c r="E3155" s="11" t="s">
        <v>137</v>
      </c>
    </row>
    <row r="3156" spans="1:5" x14ac:dyDescent="0.35">
      <c r="A3156" s="6" t="s">
        <v>135</v>
      </c>
      <c r="B3156" s="7"/>
      <c r="C3156" s="7"/>
      <c r="D3156" s="7" t="s">
        <v>148</v>
      </c>
      <c r="E3156" s="8" t="s">
        <v>137</v>
      </c>
    </row>
    <row r="3157" spans="1:5" x14ac:dyDescent="0.35">
      <c r="A3157" s="9" t="s">
        <v>135</v>
      </c>
      <c r="B3157" s="10"/>
      <c r="C3157" s="10"/>
      <c r="D3157" s="10" t="s">
        <v>149</v>
      </c>
      <c r="E3157" s="11" t="s">
        <v>137</v>
      </c>
    </row>
    <row r="3158" spans="1:5" x14ac:dyDescent="0.35">
      <c r="A3158" s="6" t="s">
        <v>135</v>
      </c>
      <c r="B3158" s="7" t="s">
        <v>151</v>
      </c>
      <c r="C3158" s="7" t="s">
        <v>146</v>
      </c>
      <c r="D3158" s="7" t="s">
        <v>147</v>
      </c>
      <c r="E3158" s="8">
        <v>109.32</v>
      </c>
    </row>
    <row r="3159" spans="1:5" x14ac:dyDescent="0.35">
      <c r="A3159" s="9" t="s">
        <v>135</v>
      </c>
      <c r="B3159" s="10"/>
      <c r="C3159" s="10"/>
      <c r="D3159" s="10" t="s">
        <v>148</v>
      </c>
      <c r="E3159" s="11">
        <v>101.87</v>
      </c>
    </row>
    <row r="3160" spans="1:5" x14ac:dyDescent="0.35">
      <c r="A3160" s="6" t="s">
        <v>135</v>
      </c>
      <c r="B3160" s="7"/>
      <c r="C3160" s="7"/>
      <c r="D3160" s="7" t="s">
        <v>149</v>
      </c>
      <c r="E3160" s="8">
        <v>7.45</v>
      </c>
    </row>
    <row r="3161" spans="1:5" x14ac:dyDescent="0.35">
      <c r="A3161" s="9" t="s">
        <v>135</v>
      </c>
      <c r="B3161" s="10"/>
      <c r="C3161" s="10" t="s">
        <v>150</v>
      </c>
      <c r="D3161" s="10" t="s">
        <v>147</v>
      </c>
      <c r="E3161" s="11" t="s">
        <v>137</v>
      </c>
    </row>
    <row r="3162" spans="1:5" x14ac:dyDescent="0.35">
      <c r="A3162" s="6" t="s">
        <v>135</v>
      </c>
      <c r="B3162" s="7"/>
      <c r="C3162" s="7"/>
      <c r="D3162" s="7" t="s">
        <v>148</v>
      </c>
      <c r="E3162" s="8" t="s">
        <v>137</v>
      </c>
    </row>
    <row r="3163" spans="1:5" x14ac:dyDescent="0.35">
      <c r="A3163" s="9" t="s">
        <v>135</v>
      </c>
      <c r="B3163" s="10"/>
      <c r="C3163" s="10"/>
      <c r="D3163" s="10" t="s">
        <v>149</v>
      </c>
      <c r="E3163" s="11" t="s">
        <v>137</v>
      </c>
    </row>
    <row r="3164" spans="1:5" x14ac:dyDescent="0.35">
      <c r="A3164" s="6" t="s">
        <v>135</v>
      </c>
      <c r="B3164" s="7" t="s">
        <v>152</v>
      </c>
      <c r="C3164" s="7" t="s">
        <v>146</v>
      </c>
      <c r="D3164" s="7" t="s">
        <v>147</v>
      </c>
      <c r="E3164" s="8" t="s">
        <v>137</v>
      </c>
    </row>
    <row r="3165" spans="1:5" x14ac:dyDescent="0.35">
      <c r="A3165" s="9" t="s">
        <v>135</v>
      </c>
      <c r="B3165" s="10"/>
      <c r="C3165" s="10"/>
      <c r="D3165" s="10" t="s">
        <v>148</v>
      </c>
      <c r="E3165" s="11" t="s">
        <v>137</v>
      </c>
    </row>
    <row r="3166" spans="1:5" x14ac:dyDescent="0.35">
      <c r="A3166" s="6" t="s">
        <v>135</v>
      </c>
      <c r="B3166" s="7"/>
      <c r="C3166" s="7"/>
      <c r="D3166" s="7" t="s">
        <v>149</v>
      </c>
      <c r="E3166" s="8" t="s">
        <v>137</v>
      </c>
    </row>
    <row r="3167" spans="1:5" x14ac:dyDescent="0.35">
      <c r="A3167" s="9" t="s">
        <v>135</v>
      </c>
      <c r="B3167" s="10"/>
      <c r="C3167" s="10" t="s">
        <v>150</v>
      </c>
      <c r="D3167" s="10" t="s">
        <v>147</v>
      </c>
      <c r="E3167" s="11" t="s">
        <v>137</v>
      </c>
    </row>
    <row r="3168" spans="1:5" x14ac:dyDescent="0.35">
      <c r="A3168" s="6" t="s">
        <v>135</v>
      </c>
      <c r="B3168" s="7"/>
      <c r="C3168" s="7"/>
      <c r="D3168" s="7" t="s">
        <v>148</v>
      </c>
      <c r="E3168" s="8" t="s">
        <v>137</v>
      </c>
    </row>
    <row r="3169" spans="1:5" x14ac:dyDescent="0.35">
      <c r="A3169" s="9" t="s">
        <v>135</v>
      </c>
      <c r="B3169" s="10"/>
      <c r="C3169" s="10"/>
      <c r="D3169" s="10" t="s">
        <v>149</v>
      </c>
      <c r="E3169" s="11" t="s">
        <v>137</v>
      </c>
    </row>
    <row r="3170" spans="1:5" x14ac:dyDescent="0.35">
      <c r="A3170" s="6" t="s">
        <v>135</v>
      </c>
      <c r="B3170" s="7" t="s">
        <v>153</v>
      </c>
      <c r="C3170" s="7" t="s">
        <v>146</v>
      </c>
      <c r="D3170" s="7" t="s">
        <v>147</v>
      </c>
      <c r="E3170" s="8" t="s">
        <v>137</v>
      </c>
    </row>
    <row r="3171" spans="1:5" x14ac:dyDescent="0.35">
      <c r="A3171" s="9" t="s">
        <v>135</v>
      </c>
      <c r="B3171" s="10"/>
      <c r="C3171" s="10"/>
      <c r="D3171" s="10" t="s">
        <v>148</v>
      </c>
      <c r="E3171" s="11" t="s">
        <v>137</v>
      </c>
    </row>
    <row r="3172" spans="1:5" x14ac:dyDescent="0.35">
      <c r="A3172" s="6" t="s">
        <v>135</v>
      </c>
      <c r="B3172" s="7"/>
      <c r="C3172" s="7"/>
      <c r="D3172" s="7" t="s">
        <v>149</v>
      </c>
      <c r="E3172" s="8" t="s">
        <v>137</v>
      </c>
    </row>
    <row r="3173" spans="1:5" x14ac:dyDescent="0.35">
      <c r="A3173" s="9" t="s">
        <v>135</v>
      </c>
      <c r="B3173" s="10"/>
      <c r="C3173" s="10" t="s">
        <v>150</v>
      </c>
      <c r="D3173" s="10" t="s">
        <v>147</v>
      </c>
      <c r="E3173" s="11" t="s">
        <v>137</v>
      </c>
    </row>
    <row r="3174" spans="1:5" x14ac:dyDescent="0.35">
      <c r="A3174" s="6" t="s">
        <v>135</v>
      </c>
      <c r="B3174" s="7"/>
      <c r="C3174" s="7"/>
      <c r="D3174" s="7" t="s">
        <v>148</v>
      </c>
      <c r="E3174" s="8" t="s">
        <v>137</v>
      </c>
    </row>
    <row r="3175" spans="1:5" x14ac:dyDescent="0.35">
      <c r="A3175" s="9" t="s">
        <v>135</v>
      </c>
      <c r="B3175" s="10"/>
      <c r="C3175" s="10"/>
      <c r="D3175" s="10" t="s">
        <v>149</v>
      </c>
      <c r="E3175" s="11" t="s">
        <v>137</v>
      </c>
    </row>
    <row r="3176" spans="1:5" x14ac:dyDescent="0.35">
      <c r="A3176" s="6" t="s">
        <v>135</v>
      </c>
      <c r="B3176" s="7" t="s">
        <v>154</v>
      </c>
      <c r="C3176" s="7" t="s">
        <v>146</v>
      </c>
      <c r="D3176" s="7" t="s">
        <v>147</v>
      </c>
      <c r="E3176" s="8" t="s">
        <v>137</v>
      </c>
    </row>
    <row r="3177" spans="1:5" x14ac:dyDescent="0.35">
      <c r="A3177" s="9" t="s">
        <v>135</v>
      </c>
      <c r="B3177" s="10"/>
      <c r="C3177" s="10"/>
      <c r="D3177" s="10" t="s">
        <v>148</v>
      </c>
      <c r="E3177" s="11" t="s">
        <v>137</v>
      </c>
    </row>
    <row r="3178" spans="1:5" x14ac:dyDescent="0.35">
      <c r="A3178" s="6" t="s">
        <v>135</v>
      </c>
      <c r="B3178" s="7"/>
      <c r="C3178" s="7"/>
      <c r="D3178" s="7" t="s">
        <v>149</v>
      </c>
      <c r="E3178" s="8" t="s">
        <v>137</v>
      </c>
    </row>
    <row r="3179" spans="1:5" x14ac:dyDescent="0.35">
      <c r="A3179" s="9" t="s">
        <v>135</v>
      </c>
      <c r="B3179" s="10"/>
      <c r="C3179" s="10" t="s">
        <v>150</v>
      </c>
      <c r="D3179" s="10" t="s">
        <v>147</v>
      </c>
      <c r="E3179" s="11" t="s">
        <v>137</v>
      </c>
    </row>
    <row r="3180" spans="1:5" x14ac:dyDescent="0.35">
      <c r="A3180" s="6" t="s">
        <v>135</v>
      </c>
      <c r="B3180" s="7"/>
      <c r="C3180" s="7"/>
      <c r="D3180" s="7" t="s">
        <v>148</v>
      </c>
      <c r="E3180" s="8" t="s">
        <v>137</v>
      </c>
    </row>
    <row r="3181" spans="1:5" x14ac:dyDescent="0.35">
      <c r="A3181" s="9" t="s">
        <v>135</v>
      </c>
      <c r="B3181" s="10"/>
      <c r="C3181" s="10"/>
      <c r="D3181" s="10" t="s">
        <v>149</v>
      </c>
      <c r="E3181" s="11" t="s">
        <v>137</v>
      </c>
    </row>
    <row r="3182" spans="1:5" x14ac:dyDescent="0.35">
      <c r="A3182" s="6" t="s">
        <v>135</v>
      </c>
      <c r="B3182" s="7" t="s">
        <v>155</v>
      </c>
      <c r="C3182" s="7" t="s">
        <v>146</v>
      </c>
      <c r="D3182" s="7" t="s">
        <v>147</v>
      </c>
      <c r="E3182" s="8">
        <v>392.62</v>
      </c>
    </row>
    <row r="3183" spans="1:5" x14ac:dyDescent="0.35">
      <c r="A3183" s="9" t="s">
        <v>135</v>
      </c>
      <c r="B3183" s="10"/>
      <c r="C3183" s="10"/>
      <c r="D3183" s="10" t="s">
        <v>148</v>
      </c>
      <c r="E3183" s="11">
        <v>390.15</v>
      </c>
    </row>
    <row r="3184" spans="1:5" x14ac:dyDescent="0.35">
      <c r="A3184" s="6" t="s">
        <v>135</v>
      </c>
      <c r="B3184" s="7"/>
      <c r="C3184" s="7"/>
      <c r="D3184" s="7" t="s">
        <v>149</v>
      </c>
      <c r="E3184" s="8">
        <v>2.4700000000000002</v>
      </c>
    </row>
    <row r="3185" spans="1:5" x14ac:dyDescent="0.35">
      <c r="A3185" s="9" t="s">
        <v>135</v>
      </c>
      <c r="B3185" s="10"/>
      <c r="C3185" s="10" t="s">
        <v>150</v>
      </c>
      <c r="D3185" s="10" t="s">
        <v>147</v>
      </c>
      <c r="E3185" s="11" t="s">
        <v>137</v>
      </c>
    </row>
    <row r="3186" spans="1:5" x14ac:dyDescent="0.35">
      <c r="A3186" s="6" t="s">
        <v>135</v>
      </c>
      <c r="B3186" s="7"/>
      <c r="C3186" s="7"/>
      <c r="D3186" s="7" t="s">
        <v>148</v>
      </c>
      <c r="E3186" s="8" t="s">
        <v>137</v>
      </c>
    </row>
    <row r="3187" spans="1:5" x14ac:dyDescent="0.35">
      <c r="A3187" s="9" t="s">
        <v>135</v>
      </c>
      <c r="B3187" s="10"/>
      <c r="C3187" s="10"/>
      <c r="D3187" s="10" t="s">
        <v>149</v>
      </c>
      <c r="E3187" s="11" t="s">
        <v>137</v>
      </c>
    </row>
    <row r="3188" spans="1:5" x14ac:dyDescent="0.35">
      <c r="A3188" s="6" t="s">
        <v>135</v>
      </c>
      <c r="B3188" s="7" t="s">
        <v>156</v>
      </c>
      <c r="C3188" s="7" t="s">
        <v>146</v>
      </c>
      <c r="D3188" s="7" t="s">
        <v>147</v>
      </c>
      <c r="E3188" s="8" t="s">
        <v>137</v>
      </c>
    </row>
    <row r="3189" spans="1:5" x14ac:dyDescent="0.35">
      <c r="A3189" s="9" t="s">
        <v>135</v>
      </c>
      <c r="B3189" s="10"/>
      <c r="C3189" s="10"/>
      <c r="D3189" s="10" t="s">
        <v>148</v>
      </c>
      <c r="E3189" s="11" t="s">
        <v>137</v>
      </c>
    </row>
    <row r="3190" spans="1:5" x14ac:dyDescent="0.35">
      <c r="A3190" s="6" t="s">
        <v>135</v>
      </c>
      <c r="B3190" s="7"/>
      <c r="C3190" s="7"/>
      <c r="D3190" s="7" t="s">
        <v>149</v>
      </c>
      <c r="E3190" s="8" t="s">
        <v>137</v>
      </c>
    </row>
    <row r="3191" spans="1:5" x14ac:dyDescent="0.35">
      <c r="A3191" s="9" t="s">
        <v>135</v>
      </c>
      <c r="B3191" s="10"/>
      <c r="C3191" s="10" t="s">
        <v>150</v>
      </c>
      <c r="D3191" s="10" t="s">
        <v>147</v>
      </c>
      <c r="E3191" s="11" t="s">
        <v>137</v>
      </c>
    </row>
    <row r="3192" spans="1:5" x14ac:dyDescent="0.35">
      <c r="A3192" s="6" t="s">
        <v>135</v>
      </c>
      <c r="B3192" s="7"/>
      <c r="C3192" s="7"/>
      <c r="D3192" s="7" t="s">
        <v>148</v>
      </c>
      <c r="E3192" s="8" t="s">
        <v>137</v>
      </c>
    </row>
    <row r="3193" spans="1:5" x14ac:dyDescent="0.35">
      <c r="A3193" s="9" t="s">
        <v>135</v>
      </c>
      <c r="B3193" s="10"/>
      <c r="C3193" s="10"/>
      <c r="D3193" s="10" t="s">
        <v>149</v>
      </c>
      <c r="E3193" s="11" t="s">
        <v>137</v>
      </c>
    </row>
    <row r="3194" spans="1:5" x14ac:dyDescent="0.35">
      <c r="A3194" s="6" t="s">
        <v>135</v>
      </c>
      <c r="B3194" s="7" t="s">
        <v>157</v>
      </c>
      <c r="C3194" s="7" t="s">
        <v>146</v>
      </c>
      <c r="D3194" s="7" t="s">
        <v>147</v>
      </c>
      <c r="E3194" s="8" t="s">
        <v>137</v>
      </c>
    </row>
    <row r="3195" spans="1:5" x14ac:dyDescent="0.35">
      <c r="A3195" s="9" t="s">
        <v>135</v>
      </c>
      <c r="B3195" s="10"/>
      <c r="C3195" s="10"/>
      <c r="D3195" s="10" t="s">
        <v>148</v>
      </c>
      <c r="E3195" s="11" t="s">
        <v>137</v>
      </c>
    </row>
    <row r="3196" spans="1:5" x14ac:dyDescent="0.35">
      <c r="A3196" s="6" t="s">
        <v>135</v>
      </c>
      <c r="B3196" s="7"/>
      <c r="C3196" s="7"/>
      <c r="D3196" s="7" t="s">
        <v>149</v>
      </c>
      <c r="E3196" s="8" t="s">
        <v>137</v>
      </c>
    </row>
    <row r="3197" spans="1:5" x14ac:dyDescent="0.35">
      <c r="A3197" s="9" t="s">
        <v>135</v>
      </c>
      <c r="B3197" s="10"/>
      <c r="C3197" s="10" t="s">
        <v>150</v>
      </c>
      <c r="D3197" s="10" t="s">
        <v>147</v>
      </c>
      <c r="E3197" s="11" t="s">
        <v>137</v>
      </c>
    </row>
    <row r="3198" spans="1:5" x14ac:dyDescent="0.35">
      <c r="A3198" s="6" t="s">
        <v>135</v>
      </c>
      <c r="B3198" s="7"/>
      <c r="C3198" s="7"/>
      <c r="D3198" s="7" t="s">
        <v>148</v>
      </c>
      <c r="E3198" s="8" t="s">
        <v>137</v>
      </c>
    </row>
    <row r="3199" spans="1:5" x14ac:dyDescent="0.35">
      <c r="A3199" s="9" t="s">
        <v>135</v>
      </c>
      <c r="B3199" s="10"/>
      <c r="C3199" s="10"/>
      <c r="D3199" s="10" t="s">
        <v>149</v>
      </c>
      <c r="E3199" s="11" t="s">
        <v>137</v>
      </c>
    </row>
    <row r="3200" spans="1:5" x14ac:dyDescent="0.35">
      <c r="A3200" s="6" t="s">
        <v>135</v>
      </c>
      <c r="B3200" s="7" t="s">
        <v>158</v>
      </c>
      <c r="C3200" s="7" t="s">
        <v>146</v>
      </c>
      <c r="D3200" s="7" t="s">
        <v>147</v>
      </c>
      <c r="E3200" s="8">
        <v>18.5</v>
      </c>
    </row>
    <row r="3201" spans="1:5" x14ac:dyDescent="0.35">
      <c r="A3201" s="9" t="s">
        <v>135</v>
      </c>
      <c r="B3201" s="10"/>
      <c r="C3201" s="10"/>
      <c r="D3201" s="10" t="s">
        <v>148</v>
      </c>
      <c r="E3201" s="11">
        <v>18.5</v>
      </c>
    </row>
    <row r="3202" spans="1:5" x14ac:dyDescent="0.35">
      <c r="A3202" s="6" t="s">
        <v>135</v>
      </c>
      <c r="B3202" s="7"/>
      <c r="C3202" s="7"/>
      <c r="D3202" s="7" t="s">
        <v>149</v>
      </c>
      <c r="E3202" s="8" t="s">
        <v>137</v>
      </c>
    </row>
    <row r="3203" spans="1:5" x14ac:dyDescent="0.35">
      <c r="A3203" s="9" t="s">
        <v>135</v>
      </c>
      <c r="B3203" s="10"/>
      <c r="C3203" s="10" t="s">
        <v>150</v>
      </c>
      <c r="D3203" s="10" t="s">
        <v>147</v>
      </c>
      <c r="E3203" s="11" t="s">
        <v>137</v>
      </c>
    </row>
    <row r="3204" spans="1:5" x14ac:dyDescent="0.35">
      <c r="A3204" s="6" t="s">
        <v>135</v>
      </c>
      <c r="B3204" s="7"/>
      <c r="C3204" s="7"/>
      <c r="D3204" s="7" t="s">
        <v>148</v>
      </c>
      <c r="E3204" s="8" t="s">
        <v>137</v>
      </c>
    </row>
    <row r="3205" spans="1:5" x14ac:dyDescent="0.35">
      <c r="A3205" s="9" t="s">
        <v>135</v>
      </c>
      <c r="B3205" s="10"/>
      <c r="C3205" s="10"/>
      <c r="D3205" s="10" t="s">
        <v>149</v>
      </c>
      <c r="E3205" s="11" t="s">
        <v>137</v>
      </c>
    </row>
    <row r="3206" spans="1:5" x14ac:dyDescent="0.35">
      <c r="A3206" s="6" t="s">
        <v>135</v>
      </c>
      <c r="B3206" s="7" t="s">
        <v>159</v>
      </c>
      <c r="C3206" s="7" t="s">
        <v>146</v>
      </c>
      <c r="D3206" s="7" t="s">
        <v>147</v>
      </c>
      <c r="E3206" s="8" t="s">
        <v>137</v>
      </c>
    </row>
    <row r="3207" spans="1:5" x14ac:dyDescent="0.35">
      <c r="A3207" s="9" t="s">
        <v>135</v>
      </c>
      <c r="B3207" s="10"/>
      <c r="C3207" s="10"/>
      <c r="D3207" s="10" t="s">
        <v>148</v>
      </c>
      <c r="E3207" s="11" t="s">
        <v>137</v>
      </c>
    </row>
    <row r="3208" spans="1:5" x14ac:dyDescent="0.35">
      <c r="A3208" s="6" t="s">
        <v>135</v>
      </c>
      <c r="B3208" s="7"/>
      <c r="C3208" s="7"/>
      <c r="D3208" s="7" t="s">
        <v>149</v>
      </c>
      <c r="E3208" s="8" t="s">
        <v>137</v>
      </c>
    </row>
    <row r="3209" spans="1:5" x14ac:dyDescent="0.35">
      <c r="A3209" s="9" t="s">
        <v>135</v>
      </c>
      <c r="B3209" s="10"/>
      <c r="C3209" s="10" t="s">
        <v>150</v>
      </c>
      <c r="D3209" s="10" t="s">
        <v>147</v>
      </c>
      <c r="E3209" s="11" t="s">
        <v>137</v>
      </c>
    </row>
    <row r="3210" spans="1:5" x14ac:dyDescent="0.35">
      <c r="A3210" s="6" t="s">
        <v>135</v>
      </c>
      <c r="B3210" s="7"/>
      <c r="C3210" s="7"/>
      <c r="D3210" s="7" t="s">
        <v>148</v>
      </c>
      <c r="E3210" s="8" t="s">
        <v>137</v>
      </c>
    </row>
    <row r="3211" spans="1:5" x14ac:dyDescent="0.35">
      <c r="A3211" s="9" t="s">
        <v>135</v>
      </c>
      <c r="B3211" s="10"/>
      <c r="C3211" s="10"/>
      <c r="D3211" s="10" t="s">
        <v>149</v>
      </c>
      <c r="E3211" s="11" t="s">
        <v>137</v>
      </c>
    </row>
    <row r="3212" spans="1:5" x14ac:dyDescent="0.35">
      <c r="A3212" s="6" t="s">
        <v>135</v>
      </c>
      <c r="B3212" s="7" t="s">
        <v>160</v>
      </c>
      <c r="C3212" s="7" t="s">
        <v>146</v>
      </c>
      <c r="D3212" s="7" t="s">
        <v>147</v>
      </c>
      <c r="E3212" s="8" t="s">
        <v>137</v>
      </c>
    </row>
    <row r="3213" spans="1:5" x14ac:dyDescent="0.35">
      <c r="A3213" s="9" t="s">
        <v>135</v>
      </c>
      <c r="B3213" s="10"/>
      <c r="C3213" s="10"/>
      <c r="D3213" s="10" t="s">
        <v>148</v>
      </c>
      <c r="E3213" s="11" t="s">
        <v>137</v>
      </c>
    </row>
    <row r="3214" spans="1:5" x14ac:dyDescent="0.35">
      <c r="A3214" s="6" t="s">
        <v>135</v>
      </c>
      <c r="B3214" s="7"/>
      <c r="C3214" s="7"/>
      <c r="D3214" s="7" t="s">
        <v>149</v>
      </c>
      <c r="E3214" s="8" t="s">
        <v>137</v>
      </c>
    </row>
    <row r="3215" spans="1:5" x14ac:dyDescent="0.35">
      <c r="A3215" s="9" t="s">
        <v>135</v>
      </c>
      <c r="B3215" s="10"/>
      <c r="C3215" s="10" t="s">
        <v>150</v>
      </c>
      <c r="D3215" s="10" t="s">
        <v>147</v>
      </c>
      <c r="E3215" s="11" t="s">
        <v>137</v>
      </c>
    </row>
    <row r="3216" spans="1:5" x14ac:dyDescent="0.35">
      <c r="A3216" s="6" t="s">
        <v>135</v>
      </c>
      <c r="B3216" s="7"/>
      <c r="C3216" s="7"/>
      <c r="D3216" s="7" t="s">
        <v>148</v>
      </c>
      <c r="E3216" s="8" t="s">
        <v>137</v>
      </c>
    </row>
    <row r="3217" spans="1:5" x14ac:dyDescent="0.35">
      <c r="A3217" s="9" t="s">
        <v>135</v>
      </c>
      <c r="B3217" s="10"/>
      <c r="C3217" s="10"/>
      <c r="D3217" s="10" t="s">
        <v>149</v>
      </c>
      <c r="E3217" s="11" t="s">
        <v>137</v>
      </c>
    </row>
    <row r="3218" spans="1:5" x14ac:dyDescent="0.35">
      <c r="A3218" s="6" t="s">
        <v>135</v>
      </c>
      <c r="B3218" s="7" t="s">
        <v>161</v>
      </c>
      <c r="C3218" s="7" t="s">
        <v>146</v>
      </c>
      <c r="D3218" s="7" t="s">
        <v>147</v>
      </c>
      <c r="E3218" s="8" t="s">
        <v>137</v>
      </c>
    </row>
    <row r="3219" spans="1:5" x14ac:dyDescent="0.35">
      <c r="A3219" s="9" t="s">
        <v>135</v>
      </c>
      <c r="B3219" s="10"/>
      <c r="C3219" s="10"/>
      <c r="D3219" s="10" t="s">
        <v>148</v>
      </c>
      <c r="E3219" s="11" t="s">
        <v>137</v>
      </c>
    </row>
    <row r="3220" spans="1:5" x14ac:dyDescent="0.35">
      <c r="A3220" s="6" t="s">
        <v>135</v>
      </c>
      <c r="B3220" s="7"/>
      <c r="C3220" s="7"/>
      <c r="D3220" s="7" t="s">
        <v>149</v>
      </c>
      <c r="E3220" s="8" t="s">
        <v>137</v>
      </c>
    </row>
    <row r="3221" spans="1:5" x14ac:dyDescent="0.35">
      <c r="A3221" s="9" t="s">
        <v>135</v>
      </c>
      <c r="B3221" s="10"/>
      <c r="C3221" s="10" t="s">
        <v>150</v>
      </c>
      <c r="D3221" s="10" t="s">
        <v>147</v>
      </c>
      <c r="E3221" s="11" t="s">
        <v>137</v>
      </c>
    </row>
    <row r="3222" spans="1:5" x14ac:dyDescent="0.35">
      <c r="A3222" s="6" t="s">
        <v>135</v>
      </c>
      <c r="B3222" s="7"/>
      <c r="C3222" s="7"/>
      <c r="D3222" s="7" t="s">
        <v>148</v>
      </c>
      <c r="E3222" s="8" t="s">
        <v>137</v>
      </c>
    </row>
    <row r="3223" spans="1:5" x14ac:dyDescent="0.35">
      <c r="A3223" s="9" t="s">
        <v>135</v>
      </c>
      <c r="B3223" s="10"/>
      <c r="C3223" s="10"/>
      <c r="D3223" s="10" t="s">
        <v>149</v>
      </c>
      <c r="E3223" s="11" t="s">
        <v>137</v>
      </c>
    </row>
    <row r="3224" spans="1:5" x14ac:dyDescent="0.35">
      <c r="A3224" s="6" t="s">
        <v>135</v>
      </c>
      <c r="B3224" s="7" t="s">
        <v>162</v>
      </c>
      <c r="C3224" s="7" t="s">
        <v>146</v>
      </c>
      <c r="D3224" s="7" t="s">
        <v>147</v>
      </c>
      <c r="E3224" s="8" t="s">
        <v>137</v>
      </c>
    </row>
    <row r="3225" spans="1:5" x14ac:dyDescent="0.35">
      <c r="A3225" s="9" t="s">
        <v>135</v>
      </c>
      <c r="B3225" s="10"/>
      <c r="C3225" s="10"/>
      <c r="D3225" s="10" t="s">
        <v>148</v>
      </c>
      <c r="E3225" s="11" t="s">
        <v>137</v>
      </c>
    </row>
    <row r="3226" spans="1:5" x14ac:dyDescent="0.35">
      <c r="A3226" s="6" t="s">
        <v>135</v>
      </c>
      <c r="B3226" s="7"/>
      <c r="C3226" s="7"/>
      <c r="D3226" s="7" t="s">
        <v>149</v>
      </c>
      <c r="E3226" s="8" t="s">
        <v>137</v>
      </c>
    </row>
    <row r="3227" spans="1:5" x14ac:dyDescent="0.35">
      <c r="A3227" s="9" t="s">
        <v>135</v>
      </c>
      <c r="B3227" s="10"/>
      <c r="C3227" s="10" t="s">
        <v>150</v>
      </c>
      <c r="D3227" s="10" t="s">
        <v>147</v>
      </c>
      <c r="E3227" s="11" t="s">
        <v>137</v>
      </c>
    </row>
    <row r="3228" spans="1:5" x14ac:dyDescent="0.35">
      <c r="A3228" s="6" t="s">
        <v>135</v>
      </c>
      <c r="B3228" s="7"/>
      <c r="C3228" s="7"/>
      <c r="D3228" s="7" t="s">
        <v>148</v>
      </c>
      <c r="E3228" s="8" t="s">
        <v>137</v>
      </c>
    </row>
    <row r="3229" spans="1:5" x14ac:dyDescent="0.35">
      <c r="A3229" s="9" t="s">
        <v>135</v>
      </c>
      <c r="B3229" s="10"/>
      <c r="C3229" s="10"/>
      <c r="D3229" s="10" t="s">
        <v>149</v>
      </c>
      <c r="E3229" s="11" t="s">
        <v>137</v>
      </c>
    </row>
    <row r="3230" spans="1:5" x14ac:dyDescent="0.35">
      <c r="A3230" s="6" t="s">
        <v>135</v>
      </c>
      <c r="B3230" s="7" t="s">
        <v>163</v>
      </c>
      <c r="C3230" s="7" t="s">
        <v>146</v>
      </c>
      <c r="D3230" s="7" t="s">
        <v>147</v>
      </c>
      <c r="E3230" s="8">
        <v>132.1</v>
      </c>
    </row>
    <row r="3231" spans="1:5" x14ac:dyDescent="0.35">
      <c r="A3231" s="9" t="s">
        <v>135</v>
      </c>
      <c r="B3231" s="10"/>
      <c r="C3231" s="10"/>
      <c r="D3231" s="10" t="s">
        <v>148</v>
      </c>
      <c r="E3231" s="11">
        <v>104.4</v>
      </c>
    </row>
    <row r="3232" spans="1:5" x14ac:dyDescent="0.35">
      <c r="A3232" s="6" t="s">
        <v>135</v>
      </c>
      <c r="B3232" s="7"/>
      <c r="C3232" s="7"/>
      <c r="D3232" s="7" t="s">
        <v>149</v>
      </c>
      <c r="E3232" s="8">
        <v>27.7</v>
      </c>
    </row>
    <row r="3233" spans="1:5" x14ac:dyDescent="0.35">
      <c r="A3233" s="9" t="s">
        <v>135</v>
      </c>
      <c r="B3233" s="10"/>
      <c r="C3233" s="10" t="s">
        <v>150</v>
      </c>
      <c r="D3233" s="10" t="s">
        <v>147</v>
      </c>
      <c r="E3233" s="11" t="s">
        <v>137</v>
      </c>
    </row>
    <row r="3234" spans="1:5" x14ac:dyDescent="0.35">
      <c r="A3234" s="6" t="s">
        <v>135</v>
      </c>
      <c r="B3234" s="7"/>
      <c r="C3234" s="7"/>
      <c r="D3234" s="7" t="s">
        <v>148</v>
      </c>
      <c r="E3234" s="8" t="s">
        <v>137</v>
      </c>
    </row>
    <row r="3235" spans="1:5" x14ac:dyDescent="0.35">
      <c r="A3235" s="9" t="s">
        <v>135</v>
      </c>
      <c r="B3235" s="10"/>
      <c r="C3235" s="10"/>
      <c r="D3235" s="10" t="s">
        <v>149</v>
      </c>
      <c r="E3235" s="11" t="s">
        <v>137</v>
      </c>
    </row>
    <row r="3236" spans="1:5" x14ac:dyDescent="0.35">
      <c r="A3236" s="6" t="s">
        <v>135</v>
      </c>
      <c r="B3236" s="7" t="s">
        <v>164</v>
      </c>
      <c r="C3236" s="7" t="s">
        <v>146</v>
      </c>
      <c r="D3236" s="7" t="s">
        <v>147</v>
      </c>
      <c r="E3236" s="8" t="s">
        <v>137</v>
      </c>
    </row>
    <row r="3237" spans="1:5" x14ac:dyDescent="0.35">
      <c r="A3237" s="9" t="s">
        <v>135</v>
      </c>
      <c r="B3237" s="10"/>
      <c r="C3237" s="10"/>
      <c r="D3237" s="10" t="s">
        <v>148</v>
      </c>
      <c r="E3237" s="11" t="s">
        <v>137</v>
      </c>
    </row>
    <row r="3238" spans="1:5" x14ac:dyDescent="0.35">
      <c r="A3238" s="6" t="s">
        <v>135</v>
      </c>
      <c r="B3238" s="7"/>
      <c r="C3238" s="7"/>
      <c r="D3238" s="7" t="s">
        <v>149</v>
      </c>
      <c r="E3238" s="8" t="s">
        <v>137</v>
      </c>
    </row>
    <row r="3239" spans="1:5" x14ac:dyDescent="0.35">
      <c r="A3239" s="9" t="s">
        <v>135</v>
      </c>
      <c r="B3239" s="10"/>
      <c r="C3239" s="10" t="s">
        <v>150</v>
      </c>
      <c r="D3239" s="10" t="s">
        <v>147</v>
      </c>
      <c r="E3239" s="11" t="s">
        <v>137</v>
      </c>
    </row>
    <row r="3240" spans="1:5" x14ac:dyDescent="0.35">
      <c r="A3240" s="6" t="s">
        <v>135</v>
      </c>
      <c r="B3240" s="7"/>
      <c r="C3240" s="7"/>
      <c r="D3240" s="7" t="s">
        <v>148</v>
      </c>
      <c r="E3240" s="8" t="s">
        <v>137</v>
      </c>
    </row>
    <row r="3241" spans="1:5" x14ac:dyDescent="0.35">
      <c r="A3241" s="9" t="s">
        <v>135</v>
      </c>
      <c r="B3241" s="10"/>
      <c r="C3241" s="10"/>
      <c r="D3241" s="10" t="s">
        <v>149</v>
      </c>
      <c r="E3241" s="11" t="s">
        <v>137</v>
      </c>
    </row>
    <row r="3242" spans="1:5" x14ac:dyDescent="0.35">
      <c r="A3242" s="6" t="s">
        <v>135</v>
      </c>
      <c r="B3242" s="7" t="s">
        <v>165</v>
      </c>
      <c r="C3242" s="7" t="s">
        <v>146</v>
      </c>
      <c r="D3242" s="7" t="s">
        <v>147</v>
      </c>
      <c r="E3242" s="8" t="s">
        <v>137</v>
      </c>
    </row>
    <row r="3243" spans="1:5" x14ac:dyDescent="0.35">
      <c r="A3243" s="9" t="s">
        <v>135</v>
      </c>
      <c r="B3243" s="10"/>
      <c r="C3243" s="10"/>
      <c r="D3243" s="10" t="s">
        <v>148</v>
      </c>
      <c r="E3243" s="11" t="s">
        <v>137</v>
      </c>
    </row>
    <row r="3244" spans="1:5" x14ac:dyDescent="0.35">
      <c r="A3244" s="6" t="s">
        <v>135</v>
      </c>
      <c r="B3244" s="7"/>
      <c r="C3244" s="7"/>
      <c r="D3244" s="7" t="s">
        <v>149</v>
      </c>
      <c r="E3244" s="8" t="s">
        <v>137</v>
      </c>
    </row>
    <row r="3245" spans="1:5" x14ac:dyDescent="0.35">
      <c r="A3245" s="9" t="s">
        <v>135</v>
      </c>
      <c r="B3245" s="10"/>
      <c r="C3245" s="10" t="s">
        <v>150</v>
      </c>
      <c r="D3245" s="10" t="s">
        <v>147</v>
      </c>
      <c r="E3245" s="11" t="s">
        <v>137</v>
      </c>
    </row>
    <row r="3246" spans="1:5" x14ac:dyDescent="0.35">
      <c r="A3246" s="6" t="s">
        <v>135</v>
      </c>
      <c r="B3246" s="7"/>
      <c r="C3246" s="7"/>
      <c r="D3246" s="7" t="s">
        <v>148</v>
      </c>
      <c r="E3246" s="8" t="s">
        <v>137</v>
      </c>
    </row>
    <row r="3247" spans="1:5" x14ac:dyDescent="0.35">
      <c r="A3247" s="9" t="s">
        <v>135</v>
      </c>
      <c r="B3247" s="10"/>
      <c r="C3247" s="10"/>
      <c r="D3247" s="10" t="s">
        <v>149</v>
      </c>
      <c r="E3247" s="11" t="s">
        <v>137</v>
      </c>
    </row>
    <row r="3248" spans="1:5" x14ac:dyDescent="0.35">
      <c r="A3248" s="6" t="s">
        <v>135</v>
      </c>
      <c r="B3248" s="7" t="s">
        <v>166</v>
      </c>
      <c r="C3248" s="7" t="s">
        <v>146</v>
      </c>
      <c r="D3248" s="7" t="s">
        <v>147</v>
      </c>
      <c r="E3248" s="8">
        <v>132.1</v>
      </c>
    </row>
    <row r="3249" spans="1:5" x14ac:dyDescent="0.35">
      <c r="A3249" s="9" t="s">
        <v>135</v>
      </c>
      <c r="B3249" s="10"/>
      <c r="C3249" s="10"/>
      <c r="D3249" s="10" t="s">
        <v>148</v>
      </c>
      <c r="E3249" s="11">
        <v>104.4</v>
      </c>
    </row>
    <row r="3250" spans="1:5" x14ac:dyDescent="0.35">
      <c r="A3250" s="6" t="s">
        <v>135</v>
      </c>
      <c r="B3250" s="7"/>
      <c r="C3250" s="7"/>
      <c r="D3250" s="7" t="s">
        <v>149</v>
      </c>
      <c r="E3250" s="8">
        <v>27.7</v>
      </c>
    </row>
    <row r="3251" spans="1:5" x14ac:dyDescent="0.35">
      <c r="A3251" s="9" t="s">
        <v>135</v>
      </c>
      <c r="B3251" s="10"/>
      <c r="C3251" s="10" t="s">
        <v>150</v>
      </c>
      <c r="D3251" s="10" t="s">
        <v>147</v>
      </c>
      <c r="E3251" s="11" t="s">
        <v>137</v>
      </c>
    </row>
    <row r="3252" spans="1:5" x14ac:dyDescent="0.35">
      <c r="A3252" s="6" t="s">
        <v>135</v>
      </c>
      <c r="B3252" s="7"/>
      <c r="C3252" s="7"/>
      <c r="D3252" s="7" t="s">
        <v>148</v>
      </c>
      <c r="E3252" s="8" t="s">
        <v>137</v>
      </c>
    </row>
    <row r="3253" spans="1:5" x14ac:dyDescent="0.35">
      <c r="A3253" s="9" t="s">
        <v>135</v>
      </c>
      <c r="B3253" s="10"/>
      <c r="C3253" s="10"/>
      <c r="D3253" s="10" t="s">
        <v>149</v>
      </c>
      <c r="E3253" s="11" t="s">
        <v>137</v>
      </c>
    </row>
    <row r="3254" spans="1:5" x14ac:dyDescent="0.35">
      <c r="A3254" s="6" t="s">
        <v>135</v>
      </c>
      <c r="B3254" s="7" t="s">
        <v>167</v>
      </c>
      <c r="C3254" s="7" t="s">
        <v>146</v>
      </c>
      <c r="D3254" s="7" t="s">
        <v>147</v>
      </c>
      <c r="E3254" s="8" t="s">
        <v>137</v>
      </c>
    </row>
    <row r="3255" spans="1:5" x14ac:dyDescent="0.35">
      <c r="A3255" s="9" t="s">
        <v>135</v>
      </c>
      <c r="B3255" s="10"/>
      <c r="C3255" s="10"/>
      <c r="D3255" s="10" t="s">
        <v>148</v>
      </c>
      <c r="E3255" s="11" t="s">
        <v>137</v>
      </c>
    </row>
    <row r="3256" spans="1:5" x14ac:dyDescent="0.35">
      <c r="A3256" s="6" t="s">
        <v>135</v>
      </c>
      <c r="B3256" s="7"/>
      <c r="C3256" s="7"/>
      <c r="D3256" s="7" t="s">
        <v>149</v>
      </c>
      <c r="E3256" s="8" t="s">
        <v>137</v>
      </c>
    </row>
    <row r="3257" spans="1:5" x14ac:dyDescent="0.35">
      <c r="A3257" s="9" t="s">
        <v>135</v>
      </c>
      <c r="B3257" s="10"/>
      <c r="C3257" s="10" t="s">
        <v>150</v>
      </c>
      <c r="D3257" s="10" t="s">
        <v>147</v>
      </c>
      <c r="E3257" s="11" t="s">
        <v>137</v>
      </c>
    </row>
    <row r="3258" spans="1:5" x14ac:dyDescent="0.35">
      <c r="A3258" s="6" t="s">
        <v>135</v>
      </c>
      <c r="B3258" s="7"/>
      <c r="C3258" s="7"/>
      <c r="D3258" s="7" t="s">
        <v>148</v>
      </c>
      <c r="E3258" s="8" t="s">
        <v>137</v>
      </c>
    </row>
    <row r="3259" spans="1:5" x14ac:dyDescent="0.35">
      <c r="A3259" s="9" t="s">
        <v>135</v>
      </c>
      <c r="B3259" s="10"/>
      <c r="C3259" s="10"/>
      <c r="D3259" s="10" t="s">
        <v>149</v>
      </c>
      <c r="E3259" s="11" t="s">
        <v>137</v>
      </c>
    </row>
    <row r="3260" spans="1:5" x14ac:dyDescent="0.35">
      <c r="A3260" s="6" t="s">
        <v>135</v>
      </c>
      <c r="B3260" s="7" t="s">
        <v>168</v>
      </c>
      <c r="C3260" s="7" t="s">
        <v>146</v>
      </c>
      <c r="D3260" s="7" t="s">
        <v>147</v>
      </c>
      <c r="E3260" s="8" t="s">
        <v>137</v>
      </c>
    </row>
    <row r="3261" spans="1:5" x14ac:dyDescent="0.35">
      <c r="A3261" s="9" t="s">
        <v>135</v>
      </c>
      <c r="B3261" s="10"/>
      <c r="C3261" s="10"/>
      <c r="D3261" s="10" t="s">
        <v>148</v>
      </c>
      <c r="E3261" s="11" t="s">
        <v>137</v>
      </c>
    </row>
    <row r="3262" spans="1:5" x14ac:dyDescent="0.35">
      <c r="A3262" s="6" t="s">
        <v>135</v>
      </c>
      <c r="B3262" s="7"/>
      <c r="C3262" s="7"/>
      <c r="D3262" s="7" t="s">
        <v>149</v>
      </c>
      <c r="E3262" s="8" t="s">
        <v>137</v>
      </c>
    </row>
    <row r="3263" spans="1:5" x14ac:dyDescent="0.35">
      <c r="A3263" s="9" t="s">
        <v>135</v>
      </c>
      <c r="B3263" s="10"/>
      <c r="C3263" s="10" t="s">
        <v>150</v>
      </c>
      <c r="D3263" s="10" t="s">
        <v>147</v>
      </c>
      <c r="E3263" s="11" t="s">
        <v>137</v>
      </c>
    </row>
    <row r="3264" spans="1:5" x14ac:dyDescent="0.35">
      <c r="A3264" s="6" t="s">
        <v>135</v>
      </c>
      <c r="B3264" s="7"/>
      <c r="C3264" s="7"/>
      <c r="D3264" s="7" t="s">
        <v>148</v>
      </c>
      <c r="E3264" s="8" t="s">
        <v>137</v>
      </c>
    </row>
    <row r="3265" spans="1:5" x14ac:dyDescent="0.35">
      <c r="A3265" s="9" t="s">
        <v>135</v>
      </c>
      <c r="B3265" s="10"/>
      <c r="C3265" s="10"/>
      <c r="D3265" s="10" t="s">
        <v>149</v>
      </c>
      <c r="E3265" s="11" t="s">
        <v>137</v>
      </c>
    </row>
    <row r="3266" spans="1:5" x14ac:dyDescent="0.35">
      <c r="A3266" s="6" t="s">
        <v>135</v>
      </c>
      <c r="B3266" s="7" t="s">
        <v>169</v>
      </c>
      <c r="C3266" s="7" t="s">
        <v>146</v>
      </c>
      <c r="D3266" s="7" t="s">
        <v>147</v>
      </c>
      <c r="E3266" s="8" t="s">
        <v>137</v>
      </c>
    </row>
    <row r="3267" spans="1:5" x14ac:dyDescent="0.35">
      <c r="A3267" s="9" t="s">
        <v>135</v>
      </c>
      <c r="B3267" s="10"/>
      <c r="C3267" s="10"/>
      <c r="D3267" s="10" t="s">
        <v>148</v>
      </c>
      <c r="E3267" s="11" t="s">
        <v>137</v>
      </c>
    </row>
    <row r="3268" spans="1:5" x14ac:dyDescent="0.35">
      <c r="A3268" s="6" t="s">
        <v>135</v>
      </c>
      <c r="B3268" s="7"/>
      <c r="C3268" s="7"/>
      <c r="D3268" s="7" t="s">
        <v>149</v>
      </c>
      <c r="E3268" s="8" t="s">
        <v>137</v>
      </c>
    </row>
    <row r="3269" spans="1:5" x14ac:dyDescent="0.35">
      <c r="A3269" s="9" t="s">
        <v>135</v>
      </c>
      <c r="B3269" s="10"/>
      <c r="C3269" s="10" t="s">
        <v>150</v>
      </c>
      <c r="D3269" s="10" t="s">
        <v>147</v>
      </c>
      <c r="E3269" s="11" t="s">
        <v>137</v>
      </c>
    </row>
    <row r="3270" spans="1:5" x14ac:dyDescent="0.35">
      <c r="A3270" s="6" t="s">
        <v>135</v>
      </c>
      <c r="B3270" s="7"/>
      <c r="C3270" s="7"/>
      <c r="D3270" s="7" t="s">
        <v>148</v>
      </c>
      <c r="E3270" s="8" t="s">
        <v>137</v>
      </c>
    </row>
    <row r="3271" spans="1:5" x14ac:dyDescent="0.35">
      <c r="A3271" s="9" t="s">
        <v>135</v>
      </c>
      <c r="B3271" s="10"/>
      <c r="C3271" s="10"/>
      <c r="D3271" s="10" t="s">
        <v>149</v>
      </c>
      <c r="E3271" s="11" t="s">
        <v>137</v>
      </c>
    </row>
    <row r="3272" spans="1:5" x14ac:dyDescent="0.35">
      <c r="A3272" s="6" t="s">
        <v>135</v>
      </c>
      <c r="B3272" s="7" t="s">
        <v>170</v>
      </c>
      <c r="C3272" s="7" t="s">
        <v>146</v>
      </c>
      <c r="D3272" s="7" t="s">
        <v>147</v>
      </c>
      <c r="E3272" s="8" t="s">
        <v>137</v>
      </c>
    </row>
    <row r="3273" spans="1:5" x14ac:dyDescent="0.35">
      <c r="A3273" s="9" t="s">
        <v>135</v>
      </c>
      <c r="B3273" s="10"/>
      <c r="C3273" s="10"/>
      <c r="D3273" s="10" t="s">
        <v>148</v>
      </c>
      <c r="E3273" s="11" t="s">
        <v>137</v>
      </c>
    </row>
    <row r="3274" spans="1:5" x14ac:dyDescent="0.35">
      <c r="A3274" s="6" t="s">
        <v>135</v>
      </c>
      <c r="B3274" s="7"/>
      <c r="C3274" s="7"/>
      <c r="D3274" s="7" t="s">
        <v>149</v>
      </c>
      <c r="E3274" s="8" t="s">
        <v>137</v>
      </c>
    </row>
    <row r="3275" spans="1:5" x14ac:dyDescent="0.35">
      <c r="A3275" s="9" t="s">
        <v>135</v>
      </c>
      <c r="B3275" s="10"/>
      <c r="C3275" s="10" t="s">
        <v>150</v>
      </c>
      <c r="D3275" s="10" t="s">
        <v>147</v>
      </c>
      <c r="E3275" s="11" t="s">
        <v>137</v>
      </c>
    </row>
    <row r="3276" spans="1:5" x14ac:dyDescent="0.35">
      <c r="A3276" s="6" t="s">
        <v>135</v>
      </c>
      <c r="B3276" s="7"/>
      <c r="C3276" s="7"/>
      <c r="D3276" s="7" t="s">
        <v>148</v>
      </c>
      <c r="E3276" s="8" t="s">
        <v>137</v>
      </c>
    </row>
    <row r="3277" spans="1:5" x14ac:dyDescent="0.35">
      <c r="A3277" s="9" t="s">
        <v>135</v>
      </c>
      <c r="B3277" s="10"/>
      <c r="C3277" s="10"/>
      <c r="D3277" s="10" t="s">
        <v>149</v>
      </c>
      <c r="E3277" s="11" t="s">
        <v>137</v>
      </c>
    </row>
    <row r="3278" spans="1:5" x14ac:dyDescent="0.35">
      <c r="A3278" s="6" t="s">
        <v>81</v>
      </c>
      <c r="B3278" s="7" t="s">
        <v>145</v>
      </c>
      <c r="C3278" s="7" t="s">
        <v>146</v>
      </c>
      <c r="D3278" s="7" t="s">
        <v>147</v>
      </c>
      <c r="E3278" s="8">
        <v>635</v>
      </c>
    </row>
    <row r="3279" spans="1:5" x14ac:dyDescent="0.35">
      <c r="A3279" s="9" t="s">
        <v>135</v>
      </c>
      <c r="B3279" s="10"/>
      <c r="C3279" s="10"/>
      <c r="D3279" s="10" t="s">
        <v>148</v>
      </c>
      <c r="E3279" s="11">
        <v>551.55999999999995</v>
      </c>
    </row>
    <row r="3280" spans="1:5" x14ac:dyDescent="0.35">
      <c r="A3280" s="6" t="s">
        <v>135</v>
      </c>
      <c r="B3280" s="7"/>
      <c r="C3280" s="7"/>
      <c r="D3280" s="7" t="s">
        <v>149</v>
      </c>
      <c r="E3280" s="8">
        <v>83.43</v>
      </c>
    </row>
    <row r="3281" spans="1:5" x14ac:dyDescent="0.35">
      <c r="A3281" s="9" t="s">
        <v>135</v>
      </c>
      <c r="B3281" s="10"/>
      <c r="C3281" s="10" t="s">
        <v>150</v>
      </c>
      <c r="D3281" s="10" t="s">
        <v>147</v>
      </c>
      <c r="E3281" s="11" t="s">
        <v>137</v>
      </c>
    </row>
    <row r="3282" spans="1:5" x14ac:dyDescent="0.35">
      <c r="A3282" s="6" t="s">
        <v>135</v>
      </c>
      <c r="B3282" s="7"/>
      <c r="C3282" s="7"/>
      <c r="D3282" s="7" t="s">
        <v>148</v>
      </c>
      <c r="E3282" s="8" t="s">
        <v>137</v>
      </c>
    </row>
    <row r="3283" spans="1:5" x14ac:dyDescent="0.35">
      <c r="A3283" s="9" t="s">
        <v>135</v>
      </c>
      <c r="B3283" s="10"/>
      <c r="C3283" s="10"/>
      <c r="D3283" s="10" t="s">
        <v>149</v>
      </c>
      <c r="E3283" s="11" t="s">
        <v>137</v>
      </c>
    </row>
    <row r="3284" spans="1:5" x14ac:dyDescent="0.35">
      <c r="A3284" s="6" t="s">
        <v>135</v>
      </c>
      <c r="B3284" s="7" t="s">
        <v>151</v>
      </c>
      <c r="C3284" s="7" t="s">
        <v>146</v>
      </c>
      <c r="D3284" s="7" t="s">
        <v>147</v>
      </c>
      <c r="E3284" s="8">
        <v>137.01</v>
      </c>
    </row>
    <row r="3285" spans="1:5" x14ac:dyDescent="0.35">
      <c r="A3285" s="9" t="s">
        <v>135</v>
      </c>
      <c r="B3285" s="10"/>
      <c r="C3285" s="10"/>
      <c r="D3285" s="10" t="s">
        <v>148</v>
      </c>
      <c r="E3285" s="11">
        <v>95.94</v>
      </c>
    </row>
    <row r="3286" spans="1:5" x14ac:dyDescent="0.35">
      <c r="A3286" s="6" t="s">
        <v>135</v>
      </c>
      <c r="B3286" s="7"/>
      <c r="C3286" s="7"/>
      <c r="D3286" s="7" t="s">
        <v>149</v>
      </c>
      <c r="E3286" s="8">
        <v>41.07</v>
      </c>
    </row>
    <row r="3287" spans="1:5" x14ac:dyDescent="0.35">
      <c r="A3287" s="9" t="s">
        <v>135</v>
      </c>
      <c r="B3287" s="10"/>
      <c r="C3287" s="10" t="s">
        <v>150</v>
      </c>
      <c r="D3287" s="10" t="s">
        <v>147</v>
      </c>
      <c r="E3287" s="11" t="s">
        <v>137</v>
      </c>
    </row>
    <row r="3288" spans="1:5" x14ac:dyDescent="0.35">
      <c r="A3288" s="6" t="s">
        <v>135</v>
      </c>
      <c r="B3288" s="7"/>
      <c r="C3288" s="7"/>
      <c r="D3288" s="7" t="s">
        <v>148</v>
      </c>
      <c r="E3288" s="8" t="s">
        <v>137</v>
      </c>
    </row>
    <row r="3289" spans="1:5" x14ac:dyDescent="0.35">
      <c r="A3289" s="9" t="s">
        <v>135</v>
      </c>
      <c r="B3289" s="10"/>
      <c r="C3289" s="10"/>
      <c r="D3289" s="10" t="s">
        <v>149</v>
      </c>
      <c r="E3289" s="11" t="s">
        <v>137</v>
      </c>
    </row>
    <row r="3290" spans="1:5" x14ac:dyDescent="0.35">
      <c r="A3290" s="6" t="s">
        <v>135</v>
      </c>
      <c r="B3290" s="7" t="s">
        <v>152</v>
      </c>
      <c r="C3290" s="7" t="s">
        <v>146</v>
      </c>
      <c r="D3290" s="7" t="s">
        <v>147</v>
      </c>
      <c r="E3290" s="8" t="s">
        <v>137</v>
      </c>
    </row>
    <row r="3291" spans="1:5" x14ac:dyDescent="0.35">
      <c r="A3291" s="9" t="s">
        <v>135</v>
      </c>
      <c r="B3291" s="10"/>
      <c r="C3291" s="10"/>
      <c r="D3291" s="10" t="s">
        <v>148</v>
      </c>
      <c r="E3291" s="11" t="s">
        <v>137</v>
      </c>
    </row>
    <row r="3292" spans="1:5" x14ac:dyDescent="0.35">
      <c r="A3292" s="6" t="s">
        <v>135</v>
      </c>
      <c r="B3292" s="7"/>
      <c r="C3292" s="7"/>
      <c r="D3292" s="7" t="s">
        <v>149</v>
      </c>
      <c r="E3292" s="8" t="s">
        <v>137</v>
      </c>
    </row>
    <row r="3293" spans="1:5" x14ac:dyDescent="0.35">
      <c r="A3293" s="9" t="s">
        <v>135</v>
      </c>
      <c r="B3293" s="10"/>
      <c r="C3293" s="10" t="s">
        <v>150</v>
      </c>
      <c r="D3293" s="10" t="s">
        <v>147</v>
      </c>
      <c r="E3293" s="11" t="s">
        <v>137</v>
      </c>
    </row>
    <row r="3294" spans="1:5" x14ac:dyDescent="0.35">
      <c r="A3294" s="6" t="s">
        <v>135</v>
      </c>
      <c r="B3294" s="7"/>
      <c r="C3294" s="7"/>
      <c r="D3294" s="7" t="s">
        <v>148</v>
      </c>
      <c r="E3294" s="8" t="s">
        <v>137</v>
      </c>
    </row>
    <row r="3295" spans="1:5" x14ac:dyDescent="0.35">
      <c r="A3295" s="9" t="s">
        <v>135</v>
      </c>
      <c r="B3295" s="10"/>
      <c r="C3295" s="10"/>
      <c r="D3295" s="10" t="s">
        <v>149</v>
      </c>
      <c r="E3295" s="11" t="s">
        <v>137</v>
      </c>
    </row>
    <row r="3296" spans="1:5" x14ac:dyDescent="0.35">
      <c r="A3296" s="6" t="s">
        <v>135</v>
      </c>
      <c r="B3296" s="7" t="s">
        <v>153</v>
      </c>
      <c r="C3296" s="7" t="s">
        <v>146</v>
      </c>
      <c r="D3296" s="7" t="s">
        <v>147</v>
      </c>
      <c r="E3296" s="8" t="s">
        <v>137</v>
      </c>
    </row>
    <row r="3297" spans="1:5" x14ac:dyDescent="0.35">
      <c r="A3297" s="9" t="s">
        <v>135</v>
      </c>
      <c r="B3297" s="10"/>
      <c r="C3297" s="10"/>
      <c r="D3297" s="10" t="s">
        <v>148</v>
      </c>
      <c r="E3297" s="11" t="s">
        <v>137</v>
      </c>
    </row>
    <row r="3298" spans="1:5" x14ac:dyDescent="0.35">
      <c r="A3298" s="6" t="s">
        <v>135</v>
      </c>
      <c r="B3298" s="7"/>
      <c r="C3298" s="7"/>
      <c r="D3298" s="7" t="s">
        <v>149</v>
      </c>
      <c r="E3298" s="8" t="s">
        <v>137</v>
      </c>
    </row>
    <row r="3299" spans="1:5" x14ac:dyDescent="0.35">
      <c r="A3299" s="9" t="s">
        <v>135</v>
      </c>
      <c r="B3299" s="10"/>
      <c r="C3299" s="10" t="s">
        <v>150</v>
      </c>
      <c r="D3299" s="10" t="s">
        <v>147</v>
      </c>
      <c r="E3299" s="11" t="s">
        <v>137</v>
      </c>
    </row>
    <row r="3300" spans="1:5" x14ac:dyDescent="0.35">
      <c r="A3300" s="6" t="s">
        <v>135</v>
      </c>
      <c r="B3300" s="7"/>
      <c r="C3300" s="7"/>
      <c r="D3300" s="7" t="s">
        <v>148</v>
      </c>
      <c r="E3300" s="8" t="s">
        <v>137</v>
      </c>
    </row>
    <row r="3301" spans="1:5" x14ac:dyDescent="0.35">
      <c r="A3301" s="9" t="s">
        <v>135</v>
      </c>
      <c r="B3301" s="10"/>
      <c r="C3301" s="10"/>
      <c r="D3301" s="10" t="s">
        <v>149</v>
      </c>
      <c r="E3301" s="11" t="s">
        <v>137</v>
      </c>
    </row>
    <row r="3302" spans="1:5" x14ac:dyDescent="0.35">
      <c r="A3302" s="6" t="s">
        <v>135</v>
      </c>
      <c r="B3302" s="7" t="s">
        <v>154</v>
      </c>
      <c r="C3302" s="7" t="s">
        <v>146</v>
      </c>
      <c r="D3302" s="7" t="s">
        <v>147</v>
      </c>
      <c r="E3302" s="8" t="s">
        <v>137</v>
      </c>
    </row>
    <row r="3303" spans="1:5" x14ac:dyDescent="0.35">
      <c r="A3303" s="9" t="s">
        <v>135</v>
      </c>
      <c r="B3303" s="10"/>
      <c r="C3303" s="10"/>
      <c r="D3303" s="10" t="s">
        <v>148</v>
      </c>
      <c r="E3303" s="11" t="s">
        <v>137</v>
      </c>
    </row>
    <row r="3304" spans="1:5" x14ac:dyDescent="0.35">
      <c r="A3304" s="6" t="s">
        <v>135</v>
      </c>
      <c r="B3304" s="7"/>
      <c r="C3304" s="7"/>
      <c r="D3304" s="7" t="s">
        <v>149</v>
      </c>
      <c r="E3304" s="8" t="s">
        <v>137</v>
      </c>
    </row>
    <row r="3305" spans="1:5" x14ac:dyDescent="0.35">
      <c r="A3305" s="9" t="s">
        <v>135</v>
      </c>
      <c r="B3305" s="10"/>
      <c r="C3305" s="10" t="s">
        <v>150</v>
      </c>
      <c r="D3305" s="10" t="s">
        <v>147</v>
      </c>
      <c r="E3305" s="11" t="s">
        <v>137</v>
      </c>
    </row>
    <row r="3306" spans="1:5" x14ac:dyDescent="0.35">
      <c r="A3306" s="6" t="s">
        <v>135</v>
      </c>
      <c r="B3306" s="7"/>
      <c r="C3306" s="7"/>
      <c r="D3306" s="7" t="s">
        <v>148</v>
      </c>
      <c r="E3306" s="8" t="s">
        <v>137</v>
      </c>
    </row>
    <row r="3307" spans="1:5" x14ac:dyDescent="0.35">
      <c r="A3307" s="9" t="s">
        <v>135</v>
      </c>
      <c r="B3307" s="10"/>
      <c r="C3307" s="10"/>
      <c r="D3307" s="10" t="s">
        <v>149</v>
      </c>
      <c r="E3307" s="11" t="s">
        <v>137</v>
      </c>
    </row>
    <row r="3308" spans="1:5" x14ac:dyDescent="0.35">
      <c r="A3308" s="6" t="s">
        <v>135</v>
      </c>
      <c r="B3308" s="7" t="s">
        <v>155</v>
      </c>
      <c r="C3308" s="7" t="s">
        <v>146</v>
      </c>
      <c r="D3308" s="7" t="s">
        <v>147</v>
      </c>
      <c r="E3308" s="8">
        <v>455.3</v>
      </c>
    </row>
    <row r="3309" spans="1:5" x14ac:dyDescent="0.35">
      <c r="A3309" s="9" t="s">
        <v>135</v>
      </c>
      <c r="B3309" s="10"/>
      <c r="C3309" s="10"/>
      <c r="D3309" s="10" t="s">
        <v>148</v>
      </c>
      <c r="E3309" s="11">
        <v>455.3</v>
      </c>
    </row>
    <row r="3310" spans="1:5" x14ac:dyDescent="0.35">
      <c r="A3310" s="6" t="s">
        <v>135</v>
      </c>
      <c r="B3310" s="7"/>
      <c r="C3310" s="7"/>
      <c r="D3310" s="7" t="s">
        <v>149</v>
      </c>
      <c r="E3310" s="8">
        <v>0</v>
      </c>
    </row>
    <row r="3311" spans="1:5" x14ac:dyDescent="0.35">
      <c r="A3311" s="9" t="s">
        <v>135</v>
      </c>
      <c r="B3311" s="10"/>
      <c r="C3311" s="10" t="s">
        <v>150</v>
      </c>
      <c r="D3311" s="10" t="s">
        <v>147</v>
      </c>
      <c r="E3311" s="11" t="s">
        <v>137</v>
      </c>
    </row>
    <row r="3312" spans="1:5" x14ac:dyDescent="0.35">
      <c r="A3312" s="6" t="s">
        <v>135</v>
      </c>
      <c r="B3312" s="7"/>
      <c r="C3312" s="7"/>
      <c r="D3312" s="7" t="s">
        <v>148</v>
      </c>
      <c r="E3312" s="8" t="s">
        <v>137</v>
      </c>
    </row>
    <row r="3313" spans="1:5" x14ac:dyDescent="0.35">
      <c r="A3313" s="9" t="s">
        <v>135</v>
      </c>
      <c r="B3313" s="10"/>
      <c r="C3313" s="10"/>
      <c r="D3313" s="10" t="s">
        <v>149</v>
      </c>
      <c r="E3313" s="11" t="s">
        <v>137</v>
      </c>
    </row>
    <row r="3314" spans="1:5" x14ac:dyDescent="0.35">
      <c r="A3314" s="6" t="s">
        <v>135</v>
      </c>
      <c r="B3314" s="7" t="s">
        <v>156</v>
      </c>
      <c r="C3314" s="7" t="s">
        <v>146</v>
      </c>
      <c r="D3314" s="7" t="s">
        <v>147</v>
      </c>
      <c r="E3314" s="8" t="s">
        <v>137</v>
      </c>
    </row>
    <row r="3315" spans="1:5" x14ac:dyDescent="0.35">
      <c r="A3315" s="9" t="s">
        <v>135</v>
      </c>
      <c r="B3315" s="10"/>
      <c r="C3315" s="10"/>
      <c r="D3315" s="10" t="s">
        <v>148</v>
      </c>
      <c r="E3315" s="11" t="s">
        <v>137</v>
      </c>
    </row>
    <row r="3316" spans="1:5" x14ac:dyDescent="0.35">
      <c r="A3316" s="6" t="s">
        <v>135</v>
      </c>
      <c r="B3316" s="7"/>
      <c r="C3316" s="7"/>
      <c r="D3316" s="7" t="s">
        <v>149</v>
      </c>
      <c r="E3316" s="8" t="s">
        <v>137</v>
      </c>
    </row>
    <row r="3317" spans="1:5" x14ac:dyDescent="0.35">
      <c r="A3317" s="9" t="s">
        <v>135</v>
      </c>
      <c r="B3317" s="10"/>
      <c r="C3317" s="10" t="s">
        <v>150</v>
      </c>
      <c r="D3317" s="10" t="s">
        <v>147</v>
      </c>
      <c r="E3317" s="11" t="s">
        <v>137</v>
      </c>
    </row>
    <row r="3318" spans="1:5" x14ac:dyDescent="0.35">
      <c r="A3318" s="6" t="s">
        <v>135</v>
      </c>
      <c r="B3318" s="7"/>
      <c r="C3318" s="7"/>
      <c r="D3318" s="7" t="s">
        <v>148</v>
      </c>
      <c r="E3318" s="8" t="s">
        <v>137</v>
      </c>
    </row>
    <row r="3319" spans="1:5" x14ac:dyDescent="0.35">
      <c r="A3319" s="9" t="s">
        <v>135</v>
      </c>
      <c r="B3319" s="10"/>
      <c r="C3319" s="10"/>
      <c r="D3319" s="10" t="s">
        <v>149</v>
      </c>
      <c r="E3319" s="11" t="s">
        <v>137</v>
      </c>
    </row>
    <row r="3320" spans="1:5" x14ac:dyDescent="0.35">
      <c r="A3320" s="6" t="s">
        <v>135</v>
      </c>
      <c r="B3320" s="7" t="s">
        <v>157</v>
      </c>
      <c r="C3320" s="7" t="s">
        <v>146</v>
      </c>
      <c r="D3320" s="7" t="s">
        <v>147</v>
      </c>
      <c r="E3320" s="8" t="s">
        <v>137</v>
      </c>
    </row>
    <row r="3321" spans="1:5" x14ac:dyDescent="0.35">
      <c r="A3321" s="9" t="s">
        <v>135</v>
      </c>
      <c r="B3321" s="10"/>
      <c r="C3321" s="10"/>
      <c r="D3321" s="10" t="s">
        <v>148</v>
      </c>
      <c r="E3321" s="11" t="s">
        <v>137</v>
      </c>
    </row>
    <row r="3322" spans="1:5" x14ac:dyDescent="0.35">
      <c r="A3322" s="6" t="s">
        <v>135</v>
      </c>
      <c r="B3322" s="7"/>
      <c r="C3322" s="7"/>
      <c r="D3322" s="7" t="s">
        <v>149</v>
      </c>
      <c r="E3322" s="8" t="s">
        <v>137</v>
      </c>
    </row>
    <row r="3323" spans="1:5" x14ac:dyDescent="0.35">
      <c r="A3323" s="9" t="s">
        <v>135</v>
      </c>
      <c r="B3323" s="10"/>
      <c r="C3323" s="10" t="s">
        <v>150</v>
      </c>
      <c r="D3323" s="10" t="s">
        <v>147</v>
      </c>
      <c r="E3323" s="11" t="s">
        <v>137</v>
      </c>
    </row>
    <row r="3324" spans="1:5" x14ac:dyDescent="0.35">
      <c r="A3324" s="6" t="s">
        <v>135</v>
      </c>
      <c r="B3324" s="7"/>
      <c r="C3324" s="7"/>
      <c r="D3324" s="7" t="s">
        <v>148</v>
      </c>
      <c r="E3324" s="8" t="s">
        <v>137</v>
      </c>
    </row>
    <row r="3325" spans="1:5" x14ac:dyDescent="0.35">
      <c r="A3325" s="9" t="s">
        <v>135</v>
      </c>
      <c r="B3325" s="10"/>
      <c r="C3325" s="10"/>
      <c r="D3325" s="10" t="s">
        <v>149</v>
      </c>
      <c r="E3325" s="11" t="s">
        <v>137</v>
      </c>
    </row>
    <row r="3326" spans="1:5" x14ac:dyDescent="0.35">
      <c r="A3326" s="6" t="s">
        <v>135</v>
      </c>
      <c r="B3326" s="7" t="s">
        <v>158</v>
      </c>
      <c r="C3326" s="7" t="s">
        <v>146</v>
      </c>
      <c r="D3326" s="7" t="s">
        <v>147</v>
      </c>
      <c r="E3326" s="8">
        <v>42.32</v>
      </c>
    </row>
    <row r="3327" spans="1:5" x14ac:dyDescent="0.35">
      <c r="A3327" s="9" t="s">
        <v>135</v>
      </c>
      <c r="B3327" s="10"/>
      <c r="C3327" s="10"/>
      <c r="D3327" s="10" t="s">
        <v>148</v>
      </c>
      <c r="E3327" s="11">
        <v>0.32</v>
      </c>
    </row>
    <row r="3328" spans="1:5" x14ac:dyDescent="0.35">
      <c r="A3328" s="6" t="s">
        <v>135</v>
      </c>
      <c r="B3328" s="7"/>
      <c r="C3328" s="7"/>
      <c r="D3328" s="7" t="s">
        <v>149</v>
      </c>
      <c r="E3328" s="8">
        <v>42</v>
      </c>
    </row>
    <row r="3329" spans="1:5" x14ac:dyDescent="0.35">
      <c r="A3329" s="9" t="s">
        <v>135</v>
      </c>
      <c r="B3329" s="10"/>
      <c r="C3329" s="10" t="s">
        <v>150</v>
      </c>
      <c r="D3329" s="10" t="s">
        <v>147</v>
      </c>
      <c r="E3329" s="11" t="s">
        <v>137</v>
      </c>
    </row>
    <row r="3330" spans="1:5" x14ac:dyDescent="0.35">
      <c r="A3330" s="6" t="s">
        <v>135</v>
      </c>
      <c r="B3330" s="7"/>
      <c r="C3330" s="7"/>
      <c r="D3330" s="7" t="s">
        <v>148</v>
      </c>
      <c r="E3330" s="8" t="s">
        <v>137</v>
      </c>
    </row>
    <row r="3331" spans="1:5" x14ac:dyDescent="0.35">
      <c r="A3331" s="9" t="s">
        <v>135</v>
      </c>
      <c r="B3331" s="10"/>
      <c r="C3331" s="10"/>
      <c r="D3331" s="10" t="s">
        <v>149</v>
      </c>
      <c r="E3331" s="11" t="s">
        <v>137</v>
      </c>
    </row>
    <row r="3332" spans="1:5" x14ac:dyDescent="0.35">
      <c r="A3332" s="6" t="s">
        <v>135</v>
      </c>
      <c r="B3332" s="7" t="s">
        <v>159</v>
      </c>
      <c r="C3332" s="7" t="s">
        <v>146</v>
      </c>
      <c r="D3332" s="7" t="s">
        <v>147</v>
      </c>
      <c r="E3332" s="8" t="s">
        <v>137</v>
      </c>
    </row>
    <row r="3333" spans="1:5" x14ac:dyDescent="0.35">
      <c r="A3333" s="9" t="s">
        <v>135</v>
      </c>
      <c r="B3333" s="10"/>
      <c r="C3333" s="10"/>
      <c r="D3333" s="10" t="s">
        <v>148</v>
      </c>
      <c r="E3333" s="11" t="s">
        <v>137</v>
      </c>
    </row>
    <row r="3334" spans="1:5" x14ac:dyDescent="0.35">
      <c r="A3334" s="6" t="s">
        <v>135</v>
      </c>
      <c r="B3334" s="7"/>
      <c r="C3334" s="7"/>
      <c r="D3334" s="7" t="s">
        <v>149</v>
      </c>
      <c r="E3334" s="8" t="s">
        <v>137</v>
      </c>
    </row>
    <row r="3335" spans="1:5" x14ac:dyDescent="0.35">
      <c r="A3335" s="9" t="s">
        <v>135</v>
      </c>
      <c r="B3335" s="10"/>
      <c r="C3335" s="10" t="s">
        <v>150</v>
      </c>
      <c r="D3335" s="10" t="s">
        <v>147</v>
      </c>
      <c r="E3335" s="11" t="s">
        <v>137</v>
      </c>
    </row>
    <row r="3336" spans="1:5" x14ac:dyDescent="0.35">
      <c r="A3336" s="6" t="s">
        <v>135</v>
      </c>
      <c r="B3336" s="7"/>
      <c r="C3336" s="7"/>
      <c r="D3336" s="7" t="s">
        <v>148</v>
      </c>
      <c r="E3336" s="8" t="s">
        <v>137</v>
      </c>
    </row>
    <row r="3337" spans="1:5" x14ac:dyDescent="0.35">
      <c r="A3337" s="9" t="s">
        <v>135</v>
      </c>
      <c r="B3337" s="10"/>
      <c r="C3337" s="10"/>
      <c r="D3337" s="10" t="s">
        <v>149</v>
      </c>
      <c r="E3337" s="11" t="s">
        <v>137</v>
      </c>
    </row>
    <row r="3338" spans="1:5" x14ac:dyDescent="0.35">
      <c r="A3338" s="6" t="s">
        <v>135</v>
      </c>
      <c r="B3338" s="7" t="s">
        <v>160</v>
      </c>
      <c r="C3338" s="7" t="s">
        <v>146</v>
      </c>
      <c r="D3338" s="7" t="s">
        <v>147</v>
      </c>
      <c r="E3338" s="8">
        <v>0.36</v>
      </c>
    </row>
    <row r="3339" spans="1:5" x14ac:dyDescent="0.35">
      <c r="A3339" s="9" t="s">
        <v>135</v>
      </c>
      <c r="B3339" s="10"/>
      <c r="C3339" s="10"/>
      <c r="D3339" s="10" t="s">
        <v>148</v>
      </c>
      <c r="E3339" s="11" t="s">
        <v>137</v>
      </c>
    </row>
    <row r="3340" spans="1:5" x14ac:dyDescent="0.35">
      <c r="A3340" s="6" t="s">
        <v>135</v>
      </c>
      <c r="B3340" s="7"/>
      <c r="C3340" s="7"/>
      <c r="D3340" s="7" t="s">
        <v>149</v>
      </c>
      <c r="E3340" s="8">
        <v>0.36</v>
      </c>
    </row>
    <row r="3341" spans="1:5" x14ac:dyDescent="0.35">
      <c r="A3341" s="9" t="s">
        <v>135</v>
      </c>
      <c r="B3341" s="10"/>
      <c r="C3341" s="10" t="s">
        <v>150</v>
      </c>
      <c r="D3341" s="10" t="s">
        <v>147</v>
      </c>
      <c r="E3341" s="11" t="s">
        <v>137</v>
      </c>
    </row>
    <row r="3342" spans="1:5" x14ac:dyDescent="0.35">
      <c r="A3342" s="6" t="s">
        <v>135</v>
      </c>
      <c r="B3342" s="7"/>
      <c r="C3342" s="7"/>
      <c r="D3342" s="7" t="s">
        <v>148</v>
      </c>
      <c r="E3342" s="8" t="s">
        <v>137</v>
      </c>
    </row>
    <row r="3343" spans="1:5" x14ac:dyDescent="0.35">
      <c r="A3343" s="9" t="s">
        <v>135</v>
      </c>
      <c r="B3343" s="10"/>
      <c r="C3343" s="10"/>
      <c r="D3343" s="10" t="s">
        <v>149</v>
      </c>
      <c r="E3343" s="11" t="s">
        <v>137</v>
      </c>
    </row>
    <row r="3344" spans="1:5" x14ac:dyDescent="0.35">
      <c r="A3344" s="6" t="s">
        <v>135</v>
      </c>
      <c r="B3344" s="7" t="s">
        <v>161</v>
      </c>
      <c r="C3344" s="7" t="s">
        <v>146</v>
      </c>
      <c r="D3344" s="7" t="s">
        <v>147</v>
      </c>
      <c r="E3344" s="8">
        <v>0.01</v>
      </c>
    </row>
    <row r="3345" spans="1:5" x14ac:dyDescent="0.35">
      <c r="A3345" s="9" t="s">
        <v>135</v>
      </c>
      <c r="B3345" s="10"/>
      <c r="C3345" s="10"/>
      <c r="D3345" s="10" t="s">
        <v>148</v>
      </c>
      <c r="E3345" s="11" t="s">
        <v>137</v>
      </c>
    </row>
    <row r="3346" spans="1:5" x14ac:dyDescent="0.35">
      <c r="A3346" s="6" t="s">
        <v>135</v>
      </c>
      <c r="B3346" s="7"/>
      <c r="C3346" s="7"/>
      <c r="D3346" s="7" t="s">
        <v>149</v>
      </c>
      <c r="E3346" s="8">
        <v>0.01</v>
      </c>
    </row>
    <row r="3347" spans="1:5" x14ac:dyDescent="0.35">
      <c r="A3347" s="9" t="s">
        <v>135</v>
      </c>
      <c r="B3347" s="10"/>
      <c r="C3347" s="10" t="s">
        <v>150</v>
      </c>
      <c r="D3347" s="10" t="s">
        <v>147</v>
      </c>
      <c r="E3347" s="11" t="s">
        <v>137</v>
      </c>
    </row>
    <row r="3348" spans="1:5" x14ac:dyDescent="0.35">
      <c r="A3348" s="6" t="s">
        <v>135</v>
      </c>
      <c r="B3348" s="7"/>
      <c r="C3348" s="7"/>
      <c r="D3348" s="7" t="s">
        <v>148</v>
      </c>
      <c r="E3348" s="8" t="s">
        <v>137</v>
      </c>
    </row>
    <row r="3349" spans="1:5" x14ac:dyDescent="0.35">
      <c r="A3349" s="9" t="s">
        <v>135</v>
      </c>
      <c r="B3349" s="10"/>
      <c r="C3349" s="10"/>
      <c r="D3349" s="10" t="s">
        <v>149</v>
      </c>
      <c r="E3349" s="11" t="s">
        <v>137</v>
      </c>
    </row>
    <row r="3350" spans="1:5" x14ac:dyDescent="0.35">
      <c r="A3350" s="6" t="s">
        <v>135</v>
      </c>
      <c r="B3350" s="7" t="s">
        <v>162</v>
      </c>
      <c r="C3350" s="7" t="s">
        <v>146</v>
      </c>
      <c r="D3350" s="7" t="s">
        <v>147</v>
      </c>
      <c r="E3350" s="8" t="s">
        <v>137</v>
      </c>
    </row>
    <row r="3351" spans="1:5" x14ac:dyDescent="0.35">
      <c r="A3351" s="9" t="s">
        <v>135</v>
      </c>
      <c r="B3351" s="10"/>
      <c r="C3351" s="10"/>
      <c r="D3351" s="10" t="s">
        <v>148</v>
      </c>
      <c r="E3351" s="11" t="s">
        <v>137</v>
      </c>
    </row>
    <row r="3352" spans="1:5" x14ac:dyDescent="0.35">
      <c r="A3352" s="6" t="s">
        <v>135</v>
      </c>
      <c r="B3352" s="7"/>
      <c r="C3352" s="7"/>
      <c r="D3352" s="7" t="s">
        <v>149</v>
      </c>
      <c r="E3352" s="8" t="s">
        <v>137</v>
      </c>
    </row>
    <row r="3353" spans="1:5" x14ac:dyDescent="0.35">
      <c r="A3353" s="9" t="s">
        <v>135</v>
      </c>
      <c r="B3353" s="10"/>
      <c r="C3353" s="10" t="s">
        <v>150</v>
      </c>
      <c r="D3353" s="10" t="s">
        <v>147</v>
      </c>
      <c r="E3353" s="11" t="s">
        <v>137</v>
      </c>
    </row>
    <row r="3354" spans="1:5" x14ac:dyDescent="0.35">
      <c r="A3354" s="6" t="s">
        <v>135</v>
      </c>
      <c r="B3354" s="7"/>
      <c r="C3354" s="7"/>
      <c r="D3354" s="7" t="s">
        <v>148</v>
      </c>
      <c r="E3354" s="8" t="s">
        <v>137</v>
      </c>
    </row>
    <row r="3355" spans="1:5" x14ac:dyDescent="0.35">
      <c r="A3355" s="9" t="s">
        <v>135</v>
      </c>
      <c r="B3355" s="10"/>
      <c r="C3355" s="10"/>
      <c r="D3355" s="10" t="s">
        <v>149</v>
      </c>
      <c r="E3355" s="11" t="s">
        <v>137</v>
      </c>
    </row>
    <row r="3356" spans="1:5" x14ac:dyDescent="0.35">
      <c r="A3356" s="6" t="s">
        <v>135</v>
      </c>
      <c r="B3356" s="7" t="s">
        <v>163</v>
      </c>
      <c r="C3356" s="7" t="s">
        <v>146</v>
      </c>
      <c r="D3356" s="7" t="s">
        <v>147</v>
      </c>
      <c r="E3356" s="8">
        <v>609.6</v>
      </c>
    </row>
    <row r="3357" spans="1:5" x14ac:dyDescent="0.35">
      <c r="A3357" s="9" t="s">
        <v>135</v>
      </c>
      <c r="B3357" s="10"/>
      <c r="C3357" s="10"/>
      <c r="D3357" s="10" t="s">
        <v>148</v>
      </c>
      <c r="E3357" s="11">
        <v>469.2</v>
      </c>
    </row>
    <row r="3358" spans="1:5" x14ac:dyDescent="0.35">
      <c r="A3358" s="6" t="s">
        <v>135</v>
      </c>
      <c r="B3358" s="7"/>
      <c r="C3358" s="7"/>
      <c r="D3358" s="7" t="s">
        <v>149</v>
      </c>
      <c r="E3358" s="8">
        <v>140.4</v>
      </c>
    </row>
    <row r="3359" spans="1:5" x14ac:dyDescent="0.35">
      <c r="A3359" s="9" t="s">
        <v>135</v>
      </c>
      <c r="B3359" s="10"/>
      <c r="C3359" s="10" t="s">
        <v>150</v>
      </c>
      <c r="D3359" s="10" t="s">
        <v>147</v>
      </c>
      <c r="E3359" s="11" t="s">
        <v>137</v>
      </c>
    </row>
    <row r="3360" spans="1:5" x14ac:dyDescent="0.35">
      <c r="A3360" s="6" t="s">
        <v>135</v>
      </c>
      <c r="B3360" s="7"/>
      <c r="C3360" s="7"/>
      <c r="D3360" s="7" t="s">
        <v>148</v>
      </c>
      <c r="E3360" s="8" t="s">
        <v>137</v>
      </c>
    </row>
    <row r="3361" spans="1:5" x14ac:dyDescent="0.35">
      <c r="A3361" s="9" t="s">
        <v>135</v>
      </c>
      <c r="B3361" s="10"/>
      <c r="C3361" s="10"/>
      <c r="D3361" s="10" t="s">
        <v>149</v>
      </c>
      <c r="E3361" s="11" t="s">
        <v>137</v>
      </c>
    </row>
    <row r="3362" spans="1:5" x14ac:dyDescent="0.35">
      <c r="A3362" s="6" t="s">
        <v>135</v>
      </c>
      <c r="B3362" s="7" t="s">
        <v>164</v>
      </c>
      <c r="C3362" s="7" t="s">
        <v>146</v>
      </c>
      <c r="D3362" s="7" t="s">
        <v>147</v>
      </c>
      <c r="E3362" s="8" t="s">
        <v>137</v>
      </c>
    </row>
    <row r="3363" spans="1:5" x14ac:dyDescent="0.35">
      <c r="A3363" s="9" t="s">
        <v>135</v>
      </c>
      <c r="B3363" s="10"/>
      <c r="C3363" s="10"/>
      <c r="D3363" s="10" t="s">
        <v>148</v>
      </c>
      <c r="E3363" s="11" t="s">
        <v>137</v>
      </c>
    </row>
    <row r="3364" spans="1:5" x14ac:dyDescent="0.35">
      <c r="A3364" s="6" t="s">
        <v>135</v>
      </c>
      <c r="B3364" s="7"/>
      <c r="C3364" s="7"/>
      <c r="D3364" s="7" t="s">
        <v>149</v>
      </c>
      <c r="E3364" s="8" t="s">
        <v>137</v>
      </c>
    </row>
    <row r="3365" spans="1:5" x14ac:dyDescent="0.35">
      <c r="A3365" s="9" t="s">
        <v>135</v>
      </c>
      <c r="B3365" s="10"/>
      <c r="C3365" s="10" t="s">
        <v>150</v>
      </c>
      <c r="D3365" s="10" t="s">
        <v>147</v>
      </c>
      <c r="E3365" s="11" t="s">
        <v>137</v>
      </c>
    </row>
    <row r="3366" spans="1:5" x14ac:dyDescent="0.35">
      <c r="A3366" s="6" t="s">
        <v>135</v>
      </c>
      <c r="B3366" s="7"/>
      <c r="C3366" s="7"/>
      <c r="D3366" s="7" t="s">
        <v>148</v>
      </c>
      <c r="E3366" s="8" t="s">
        <v>137</v>
      </c>
    </row>
    <row r="3367" spans="1:5" x14ac:dyDescent="0.35">
      <c r="A3367" s="9" t="s">
        <v>135</v>
      </c>
      <c r="B3367" s="10"/>
      <c r="C3367" s="10"/>
      <c r="D3367" s="10" t="s">
        <v>149</v>
      </c>
      <c r="E3367" s="11" t="s">
        <v>137</v>
      </c>
    </row>
    <row r="3368" spans="1:5" x14ac:dyDescent="0.35">
      <c r="A3368" s="6" t="s">
        <v>135</v>
      </c>
      <c r="B3368" s="7" t="s">
        <v>165</v>
      </c>
      <c r="C3368" s="7" t="s">
        <v>146</v>
      </c>
      <c r="D3368" s="7" t="s">
        <v>147</v>
      </c>
      <c r="E3368" s="8" t="s">
        <v>137</v>
      </c>
    </row>
    <row r="3369" spans="1:5" x14ac:dyDescent="0.35">
      <c r="A3369" s="9" t="s">
        <v>135</v>
      </c>
      <c r="B3369" s="10"/>
      <c r="C3369" s="10"/>
      <c r="D3369" s="10" t="s">
        <v>148</v>
      </c>
      <c r="E3369" s="11" t="s">
        <v>137</v>
      </c>
    </row>
    <row r="3370" spans="1:5" x14ac:dyDescent="0.35">
      <c r="A3370" s="6" t="s">
        <v>135</v>
      </c>
      <c r="B3370" s="7"/>
      <c r="C3370" s="7"/>
      <c r="D3370" s="7" t="s">
        <v>149</v>
      </c>
      <c r="E3370" s="8" t="s">
        <v>137</v>
      </c>
    </row>
    <row r="3371" spans="1:5" x14ac:dyDescent="0.35">
      <c r="A3371" s="9" t="s">
        <v>135</v>
      </c>
      <c r="B3371" s="10"/>
      <c r="C3371" s="10" t="s">
        <v>150</v>
      </c>
      <c r="D3371" s="10" t="s">
        <v>147</v>
      </c>
      <c r="E3371" s="11" t="s">
        <v>137</v>
      </c>
    </row>
    <row r="3372" spans="1:5" x14ac:dyDescent="0.35">
      <c r="A3372" s="6" t="s">
        <v>135</v>
      </c>
      <c r="B3372" s="7"/>
      <c r="C3372" s="7"/>
      <c r="D3372" s="7" t="s">
        <v>148</v>
      </c>
      <c r="E3372" s="8" t="s">
        <v>137</v>
      </c>
    </row>
    <row r="3373" spans="1:5" x14ac:dyDescent="0.35">
      <c r="A3373" s="9" t="s">
        <v>135</v>
      </c>
      <c r="B3373" s="10"/>
      <c r="C3373" s="10"/>
      <c r="D3373" s="10" t="s">
        <v>149</v>
      </c>
      <c r="E3373" s="11" t="s">
        <v>137</v>
      </c>
    </row>
    <row r="3374" spans="1:5" x14ac:dyDescent="0.35">
      <c r="A3374" s="6" t="s">
        <v>135</v>
      </c>
      <c r="B3374" s="7" t="s">
        <v>166</v>
      </c>
      <c r="C3374" s="7" t="s">
        <v>146</v>
      </c>
      <c r="D3374" s="7" t="s">
        <v>147</v>
      </c>
      <c r="E3374" s="8">
        <v>609.6</v>
      </c>
    </row>
    <row r="3375" spans="1:5" x14ac:dyDescent="0.35">
      <c r="A3375" s="9" t="s">
        <v>135</v>
      </c>
      <c r="B3375" s="10"/>
      <c r="C3375" s="10"/>
      <c r="D3375" s="10" t="s">
        <v>148</v>
      </c>
      <c r="E3375" s="11">
        <v>469.2</v>
      </c>
    </row>
    <row r="3376" spans="1:5" x14ac:dyDescent="0.35">
      <c r="A3376" s="6" t="s">
        <v>135</v>
      </c>
      <c r="B3376" s="7"/>
      <c r="C3376" s="7"/>
      <c r="D3376" s="7" t="s">
        <v>149</v>
      </c>
      <c r="E3376" s="8">
        <v>140.4</v>
      </c>
    </row>
    <row r="3377" spans="1:5" x14ac:dyDescent="0.35">
      <c r="A3377" s="9" t="s">
        <v>135</v>
      </c>
      <c r="B3377" s="10"/>
      <c r="C3377" s="10" t="s">
        <v>150</v>
      </c>
      <c r="D3377" s="10" t="s">
        <v>147</v>
      </c>
      <c r="E3377" s="11" t="s">
        <v>137</v>
      </c>
    </row>
    <row r="3378" spans="1:5" x14ac:dyDescent="0.35">
      <c r="A3378" s="6" t="s">
        <v>135</v>
      </c>
      <c r="B3378" s="7"/>
      <c r="C3378" s="7"/>
      <c r="D3378" s="7" t="s">
        <v>148</v>
      </c>
      <c r="E3378" s="8" t="s">
        <v>137</v>
      </c>
    </row>
    <row r="3379" spans="1:5" x14ac:dyDescent="0.35">
      <c r="A3379" s="9" t="s">
        <v>135</v>
      </c>
      <c r="B3379" s="10"/>
      <c r="C3379" s="10"/>
      <c r="D3379" s="10" t="s">
        <v>149</v>
      </c>
      <c r="E3379" s="11" t="s">
        <v>137</v>
      </c>
    </row>
    <row r="3380" spans="1:5" x14ac:dyDescent="0.35">
      <c r="A3380" s="6" t="s">
        <v>135</v>
      </c>
      <c r="B3380" s="7" t="s">
        <v>167</v>
      </c>
      <c r="C3380" s="7" t="s">
        <v>146</v>
      </c>
      <c r="D3380" s="7" t="s">
        <v>147</v>
      </c>
      <c r="E3380" s="8" t="s">
        <v>137</v>
      </c>
    </row>
    <row r="3381" spans="1:5" x14ac:dyDescent="0.35">
      <c r="A3381" s="9" t="s">
        <v>135</v>
      </c>
      <c r="B3381" s="10"/>
      <c r="C3381" s="10"/>
      <c r="D3381" s="10" t="s">
        <v>148</v>
      </c>
      <c r="E3381" s="11" t="s">
        <v>137</v>
      </c>
    </row>
    <row r="3382" spans="1:5" x14ac:dyDescent="0.35">
      <c r="A3382" s="6" t="s">
        <v>135</v>
      </c>
      <c r="B3382" s="7"/>
      <c r="C3382" s="7"/>
      <c r="D3382" s="7" t="s">
        <v>149</v>
      </c>
      <c r="E3382" s="8" t="s">
        <v>137</v>
      </c>
    </row>
    <row r="3383" spans="1:5" x14ac:dyDescent="0.35">
      <c r="A3383" s="9" t="s">
        <v>135</v>
      </c>
      <c r="B3383" s="10"/>
      <c r="C3383" s="10" t="s">
        <v>150</v>
      </c>
      <c r="D3383" s="10" t="s">
        <v>147</v>
      </c>
      <c r="E3383" s="11" t="s">
        <v>137</v>
      </c>
    </row>
    <row r="3384" spans="1:5" x14ac:dyDescent="0.35">
      <c r="A3384" s="6" t="s">
        <v>135</v>
      </c>
      <c r="B3384" s="7"/>
      <c r="C3384" s="7"/>
      <c r="D3384" s="7" t="s">
        <v>148</v>
      </c>
      <c r="E3384" s="8" t="s">
        <v>137</v>
      </c>
    </row>
    <row r="3385" spans="1:5" x14ac:dyDescent="0.35">
      <c r="A3385" s="9" t="s">
        <v>135</v>
      </c>
      <c r="B3385" s="10"/>
      <c r="C3385" s="10"/>
      <c r="D3385" s="10" t="s">
        <v>149</v>
      </c>
      <c r="E3385" s="11" t="s">
        <v>137</v>
      </c>
    </row>
    <row r="3386" spans="1:5" x14ac:dyDescent="0.35">
      <c r="A3386" s="6" t="s">
        <v>135</v>
      </c>
      <c r="B3386" s="7" t="s">
        <v>168</v>
      </c>
      <c r="C3386" s="7" t="s">
        <v>146</v>
      </c>
      <c r="D3386" s="7" t="s">
        <v>147</v>
      </c>
      <c r="E3386" s="8" t="s">
        <v>137</v>
      </c>
    </row>
    <row r="3387" spans="1:5" x14ac:dyDescent="0.35">
      <c r="A3387" s="9" t="s">
        <v>135</v>
      </c>
      <c r="B3387" s="10"/>
      <c r="C3387" s="10"/>
      <c r="D3387" s="10" t="s">
        <v>148</v>
      </c>
      <c r="E3387" s="11" t="s">
        <v>137</v>
      </c>
    </row>
    <row r="3388" spans="1:5" x14ac:dyDescent="0.35">
      <c r="A3388" s="6" t="s">
        <v>135</v>
      </c>
      <c r="B3388" s="7"/>
      <c r="C3388" s="7"/>
      <c r="D3388" s="7" t="s">
        <v>149</v>
      </c>
      <c r="E3388" s="8" t="s">
        <v>137</v>
      </c>
    </row>
    <row r="3389" spans="1:5" x14ac:dyDescent="0.35">
      <c r="A3389" s="9" t="s">
        <v>135</v>
      </c>
      <c r="B3389" s="10"/>
      <c r="C3389" s="10" t="s">
        <v>150</v>
      </c>
      <c r="D3389" s="10" t="s">
        <v>147</v>
      </c>
      <c r="E3389" s="11" t="s">
        <v>137</v>
      </c>
    </row>
    <row r="3390" spans="1:5" x14ac:dyDescent="0.35">
      <c r="A3390" s="6" t="s">
        <v>135</v>
      </c>
      <c r="B3390" s="7"/>
      <c r="C3390" s="7"/>
      <c r="D3390" s="7" t="s">
        <v>148</v>
      </c>
      <c r="E3390" s="8" t="s">
        <v>137</v>
      </c>
    </row>
    <row r="3391" spans="1:5" x14ac:dyDescent="0.35">
      <c r="A3391" s="9" t="s">
        <v>135</v>
      </c>
      <c r="B3391" s="10"/>
      <c r="C3391" s="10"/>
      <c r="D3391" s="10" t="s">
        <v>149</v>
      </c>
      <c r="E3391" s="11" t="s">
        <v>137</v>
      </c>
    </row>
    <row r="3392" spans="1:5" x14ac:dyDescent="0.35">
      <c r="A3392" s="6" t="s">
        <v>135</v>
      </c>
      <c r="B3392" s="7" t="s">
        <v>169</v>
      </c>
      <c r="C3392" s="7" t="s">
        <v>146</v>
      </c>
      <c r="D3392" s="7" t="s">
        <v>147</v>
      </c>
      <c r="E3392" s="8" t="s">
        <v>137</v>
      </c>
    </row>
    <row r="3393" spans="1:5" x14ac:dyDescent="0.35">
      <c r="A3393" s="9" t="s">
        <v>135</v>
      </c>
      <c r="B3393" s="10"/>
      <c r="C3393" s="10"/>
      <c r="D3393" s="10" t="s">
        <v>148</v>
      </c>
      <c r="E3393" s="11" t="s">
        <v>137</v>
      </c>
    </row>
    <row r="3394" spans="1:5" x14ac:dyDescent="0.35">
      <c r="A3394" s="6" t="s">
        <v>135</v>
      </c>
      <c r="B3394" s="7"/>
      <c r="C3394" s="7"/>
      <c r="D3394" s="7" t="s">
        <v>149</v>
      </c>
      <c r="E3394" s="8" t="s">
        <v>137</v>
      </c>
    </row>
    <row r="3395" spans="1:5" x14ac:dyDescent="0.35">
      <c r="A3395" s="9" t="s">
        <v>135</v>
      </c>
      <c r="B3395" s="10"/>
      <c r="C3395" s="10" t="s">
        <v>150</v>
      </c>
      <c r="D3395" s="10" t="s">
        <v>147</v>
      </c>
      <c r="E3395" s="11" t="s">
        <v>137</v>
      </c>
    </row>
    <row r="3396" spans="1:5" x14ac:dyDescent="0.35">
      <c r="A3396" s="6" t="s">
        <v>135</v>
      </c>
      <c r="B3396" s="7"/>
      <c r="C3396" s="7"/>
      <c r="D3396" s="7" t="s">
        <v>148</v>
      </c>
      <c r="E3396" s="8" t="s">
        <v>137</v>
      </c>
    </row>
    <row r="3397" spans="1:5" x14ac:dyDescent="0.35">
      <c r="A3397" s="9" t="s">
        <v>135</v>
      </c>
      <c r="B3397" s="10"/>
      <c r="C3397" s="10"/>
      <c r="D3397" s="10" t="s">
        <v>149</v>
      </c>
      <c r="E3397" s="11" t="s">
        <v>137</v>
      </c>
    </row>
    <row r="3398" spans="1:5" x14ac:dyDescent="0.35">
      <c r="A3398" s="6" t="s">
        <v>135</v>
      </c>
      <c r="B3398" s="7" t="s">
        <v>170</v>
      </c>
      <c r="C3398" s="7" t="s">
        <v>146</v>
      </c>
      <c r="D3398" s="7" t="s">
        <v>147</v>
      </c>
      <c r="E3398" s="8" t="s">
        <v>137</v>
      </c>
    </row>
    <row r="3399" spans="1:5" x14ac:dyDescent="0.35">
      <c r="A3399" s="9" t="s">
        <v>135</v>
      </c>
      <c r="B3399" s="10"/>
      <c r="C3399" s="10"/>
      <c r="D3399" s="10" t="s">
        <v>148</v>
      </c>
      <c r="E3399" s="11" t="s">
        <v>137</v>
      </c>
    </row>
    <row r="3400" spans="1:5" x14ac:dyDescent="0.35">
      <c r="A3400" s="6" t="s">
        <v>135</v>
      </c>
      <c r="B3400" s="7"/>
      <c r="C3400" s="7"/>
      <c r="D3400" s="7" t="s">
        <v>149</v>
      </c>
      <c r="E3400" s="8" t="s">
        <v>137</v>
      </c>
    </row>
    <row r="3401" spans="1:5" x14ac:dyDescent="0.35">
      <c r="A3401" s="9" t="s">
        <v>135</v>
      </c>
      <c r="B3401" s="10"/>
      <c r="C3401" s="10" t="s">
        <v>150</v>
      </c>
      <c r="D3401" s="10" t="s">
        <v>147</v>
      </c>
      <c r="E3401" s="11" t="s">
        <v>137</v>
      </c>
    </row>
    <row r="3402" spans="1:5" x14ac:dyDescent="0.35">
      <c r="A3402" s="6" t="s">
        <v>135</v>
      </c>
      <c r="B3402" s="7"/>
      <c r="C3402" s="7"/>
      <c r="D3402" s="7" t="s">
        <v>148</v>
      </c>
      <c r="E3402" s="8" t="s">
        <v>137</v>
      </c>
    </row>
    <row r="3403" spans="1:5" x14ac:dyDescent="0.35">
      <c r="A3403" s="9" t="s">
        <v>135</v>
      </c>
      <c r="B3403" s="10"/>
      <c r="C3403" s="10"/>
      <c r="D3403" s="10" t="s">
        <v>149</v>
      </c>
      <c r="E3403" s="11" t="s">
        <v>137</v>
      </c>
    </row>
    <row r="3404" spans="1:5" x14ac:dyDescent="0.35">
      <c r="A3404" s="6" t="s">
        <v>85</v>
      </c>
      <c r="B3404" s="7" t="s">
        <v>145</v>
      </c>
      <c r="C3404" s="7" t="s">
        <v>146</v>
      </c>
      <c r="D3404" s="7" t="s">
        <v>147</v>
      </c>
      <c r="E3404" s="8">
        <v>293.77999999999997</v>
      </c>
    </row>
    <row r="3405" spans="1:5" x14ac:dyDescent="0.35">
      <c r="A3405" s="9" t="s">
        <v>135</v>
      </c>
      <c r="B3405" s="10"/>
      <c r="C3405" s="10"/>
      <c r="D3405" s="10" t="s">
        <v>148</v>
      </c>
      <c r="E3405" s="11">
        <v>200.18</v>
      </c>
    </row>
    <row r="3406" spans="1:5" x14ac:dyDescent="0.35">
      <c r="A3406" s="6" t="s">
        <v>135</v>
      </c>
      <c r="B3406" s="7"/>
      <c r="C3406" s="7"/>
      <c r="D3406" s="7" t="s">
        <v>149</v>
      </c>
      <c r="E3406" s="8">
        <v>93.61</v>
      </c>
    </row>
    <row r="3407" spans="1:5" x14ac:dyDescent="0.35">
      <c r="A3407" s="9" t="s">
        <v>135</v>
      </c>
      <c r="B3407" s="10"/>
      <c r="C3407" s="10" t="s">
        <v>150</v>
      </c>
      <c r="D3407" s="10" t="s">
        <v>147</v>
      </c>
      <c r="E3407" s="11" t="s">
        <v>137</v>
      </c>
    </row>
    <row r="3408" spans="1:5" x14ac:dyDescent="0.35">
      <c r="A3408" s="6" t="s">
        <v>135</v>
      </c>
      <c r="B3408" s="7"/>
      <c r="C3408" s="7"/>
      <c r="D3408" s="7" t="s">
        <v>148</v>
      </c>
      <c r="E3408" s="8" t="s">
        <v>137</v>
      </c>
    </row>
    <row r="3409" spans="1:5" x14ac:dyDescent="0.35">
      <c r="A3409" s="9" t="s">
        <v>135</v>
      </c>
      <c r="B3409" s="10"/>
      <c r="C3409" s="10"/>
      <c r="D3409" s="10" t="s">
        <v>149</v>
      </c>
      <c r="E3409" s="11" t="s">
        <v>137</v>
      </c>
    </row>
    <row r="3410" spans="1:5" x14ac:dyDescent="0.35">
      <c r="A3410" s="6" t="s">
        <v>135</v>
      </c>
      <c r="B3410" s="7" t="s">
        <v>151</v>
      </c>
      <c r="C3410" s="7" t="s">
        <v>146</v>
      </c>
      <c r="D3410" s="7" t="s">
        <v>147</v>
      </c>
      <c r="E3410" s="8">
        <v>157.01</v>
      </c>
    </row>
    <row r="3411" spans="1:5" x14ac:dyDescent="0.35">
      <c r="A3411" s="9" t="s">
        <v>135</v>
      </c>
      <c r="B3411" s="10"/>
      <c r="C3411" s="10"/>
      <c r="D3411" s="10" t="s">
        <v>148</v>
      </c>
      <c r="E3411" s="11">
        <v>67.8</v>
      </c>
    </row>
    <row r="3412" spans="1:5" x14ac:dyDescent="0.35">
      <c r="A3412" s="6" t="s">
        <v>135</v>
      </c>
      <c r="B3412" s="7"/>
      <c r="C3412" s="7"/>
      <c r="D3412" s="7" t="s">
        <v>149</v>
      </c>
      <c r="E3412" s="8">
        <v>89.21</v>
      </c>
    </row>
    <row r="3413" spans="1:5" x14ac:dyDescent="0.35">
      <c r="A3413" s="9" t="s">
        <v>135</v>
      </c>
      <c r="B3413" s="10"/>
      <c r="C3413" s="10" t="s">
        <v>150</v>
      </c>
      <c r="D3413" s="10" t="s">
        <v>147</v>
      </c>
      <c r="E3413" s="11" t="s">
        <v>137</v>
      </c>
    </row>
    <row r="3414" spans="1:5" x14ac:dyDescent="0.35">
      <c r="A3414" s="6" t="s">
        <v>135</v>
      </c>
      <c r="B3414" s="7"/>
      <c r="C3414" s="7"/>
      <c r="D3414" s="7" t="s">
        <v>148</v>
      </c>
      <c r="E3414" s="8" t="s">
        <v>137</v>
      </c>
    </row>
    <row r="3415" spans="1:5" x14ac:dyDescent="0.35">
      <c r="A3415" s="9" t="s">
        <v>135</v>
      </c>
      <c r="B3415" s="10"/>
      <c r="C3415" s="10"/>
      <c r="D3415" s="10" t="s">
        <v>149</v>
      </c>
      <c r="E3415" s="11" t="s">
        <v>137</v>
      </c>
    </row>
    <row r="3416" spans="1:5" x14ac:dyDescent="0.35">
      <c r="A3416" s="6" t="s">
        <v>135</v>
      </c>
      <c r="B3416" s="7" t="s">
        <v>152</v>
      </c>
      <c r="C3416" s="7" t="s">
        <v>146</v>
      </c>
      <c r="D3416" s="7" t="s">
        <v>147</v>
      </c>
      <c r="E3416" s="8" t="s">
        <v>137</v>
      </c>
    </row>
    <row r="3417" spans="1:5" x14ac:dyDescent="0.35">
      <c r="A3417" s="9" t="s">
        <v>135</v>
      </c>
      <c r="B3417" s="10"/>
      <c r="C3417" s="10"/>
      <c r="D3417" s="10" t="s">
        <v>148</v>
      </c>
      <c r="E3417" s="11" t="s">
        <v>137</v>
      </c>
    </row>
    <row r="3418" spans="1:5" x14ac:dyDescent="0.35">
      <c r="A3418" s="6" t="s">
        <v>135</v>
      </c>
      <c r="B3418" s="7"/>
      <c r="C3418" s="7"/>
      <c r="D3418" s="7" t="s">
        <v>149</v>
      </c>
      <c r="E3418" s="8" t="s">
        <v>137</v>
      </c>
    </row>
    <row r="3419" spans="1:5" x14ac:dyDescent="0.35">
      <c r="A3419" s="9" t="s">
        <v>135</v>
      </c>
      <c r="B3419" s="10"/>
      <c r="C3419" s="10" t="s">
        <v>150</v>
      </c>
      <c r="D3419" s="10" t="s">
        <v>147</v>
      </c>
      <c r="E3419" s="11" t="s">
        <v>137</v>
      </c>
    </row>
    <row r="3420" spans="1:5" x14ac:dyDescent="0.35">
      <c r="A3420" s="6" t="s">
        <v>135</v>
      </c>
      <c r="B3420" s="7"/>
      <c r="C3420" s="7"/>
      <c r="D3420" s="7" t="s">
        <v>148</v>
      </c>
      <c r="E3420" s="8" t="s">
        <v>137</v>
      </c>
    </row>
    <row r="3421" spans="1:5" x14ac:dyDescent="0.35">
      <c r="A3421" s="9" t="s">
        <v>135</v>
      </c>
      <c r="B3421" s="10"/>
      <c r="C3421" s="10"/>
      <c r="D3421" s="10" t="s">
        <v>149</v>
      </c>
      <c r="E3421" s="11" t="s">
        <v>137</v>
      </c>
    </row>
    <row r="3422" spans="1:5" x14ac:dyDescent="0.35">
      <c r="A3422" s="6" t="s">
        <v>135</v>
      </c>
      <c r="B3422" s="7" t="s">
        <v>153</v>
      </c>
      <c r="C3422" s="7" t="s">
        <v>146</v>
      </c>
      <c r="D3422" s="7" t="s">
        <v>147</v>
      </c>
      <c r="E3422" s="8">
        <v>136.78</v>
      </c>
    </row>
    <row r="3423" spans="1:5" x14ac:dyDescent="0.35">
      <c r="A3423" s="9" t="s">
        <v>135</v>
      </c>
      <c r="B3423" s="10"/>
      <c r="C3423" s="10"/>
      <c r="D3423" s="10" t="s">
        <v>148</v>
      </c>
      <c r="E3423" s="11">
        <v>132.38</v>
      </c>
    </row>
    <row r="3424" spans="1:5" x14ac:dyDescent="0.35">
      <c r="A3424" s="6" t="s">
        <v>135</v>
      </c>
      <c r="B3424" s="7"/>
      <c r="C3424" s="7"/>
      <c r="D3424" s="7" t="s">
        <v>149</v>
      </c>
      <c r="E3424" s="8">
        <v>4.4000000000000004</v>
      </c>
    </row>
    <row r="3425" spans="1:5" x14ac:dyDescent="0.35">
      <c r="A3425" s="9" t="s">
        <v>135</v>
      </c>
      <c r="B3425" s="10"/>
      <c r="C3425" s="10" t="s">
        <v>150</v>
      </c>
      <c r="D3425" s="10" t="s">
        <v>147</v>
      </c>
      <c r="E3425" s="11" t="s">
        <v>137</v>
      </c>
    </row>
    <row r="3426" spans="1:5" x14ac:dyDescent="0.35">
      <c r="A3426" s="6" t="s">
        <v>135</v>
      </c>
      <c r="B3426" s="7"/>
      <c r="C3426" s="7"/>
      <c r="D3426" s="7" t="s">
        <v>148</v>
      </c>
      <c r="E3426" s="8" t="s">
        <v>137</v>
      </c>
    </row>
    <row r="3427" spans="1:5" x14ac:dyDescent="0.35">
      <c r="A3427" s="9" t="s">
        <v>135</v>
      </c>
      <c r="B3427" s="10"/>
      <c r="C3427" s="10"/>
      <c r="D3427" s="10" t="s">
        <v>149</v>
      </c>
      <c r="E3427" s="11" t="s">
        <v>137</v>
      </c>
    </row>
    <row r="3428" spans="1:5" x14ac:dyDescent="0.35">
      <c r="A3428" s="6" t="s">
        <v>135</v>
      </c>
      <c r="B3428" s="7" t="s">
        <v>154</v>
      </c>
      <c r="C3428" s="7" t="s">
        <v>146</v>
      </c>
      <c r="D3428" s="7" t="s">
        <v>147</v>
      </c>
      <c r="E3428" s="8" t="s">
        <v>137</v>
      </c>
    </row>
    <row r="3429" spans="1:5" x14ac:dyDescent="0.35">
      <c r="A3429" s="9" t="s">
        <v>135</v>
      </c>
      <c r="B3429" s="10"/>
      <c r="C3429" s="10"/>
      <c r="D3429" s="10" t="s">
        <v>148</v>
      </c>
      <c r="E3429" s="11" t="s">
        <v>137</v>
      </c>
    </row>
    <row r="3430" spans="1:5" x14ac:dyDescent="0.35">
      <c r="A3430" s="6" t="s">
        <v>135</v>
      </c>
      <c r="B3430" s="7"/>
      <c r="C3430" s="7"/>
      <c r="D3430" s="7" t="s">
        <v>149</v>
      </c>
      <c r="E3430" s="8" t="s">
        <v>137</v>
      </c>
    </row>
    <row r="3431" spans="1:5" x14ac:dyDescent="0.35">
      <c r="A3431" s="9" t="s">
        <v>135</v>
      </c>
      <c r="B3431" s="10"/>
      <c r="C3431" s="10" t="s">
        <v>150</v>
      </c>
      <c r="D3431" s="10" t="s">
        <v>147</v>
      </c>
      <c r="E3431" s="11" t="s">
        <v>137</v>
      </c>
    </row>
    <row r="3432" spans="1:5" x14ac:dyDescent="0.35">
      <c r="A3432" s="6" t="s">
        <v>135</v>
      </c>
      <c r="B3432" s="7"/>
      <c r="C3432" s="7"/>
      <c r="D3432" s="7" t="s">
        <v>148</v>
      </c>
      <c r="E3432" s="8" t="s">
        <v>137</v>
      </c>
    </row>
    <row r="3433" spans="1:5" x14ac:dyDescent="0.35">
      <c r="A3433" s="9" t="s">
        <v>135</v>
      </c>
      <c r="B3433" s="10"/>
      <c r="C3433" s="10"/>
      <c r="D3433" s="10" t="s">
        <v>149</v>
      </c>
      <c r="E3433" s="11" t="s">
        <v>137</v>
      </c>
    </row>
    <row r="3434" spans="1:5" x14ac:dyDescent="0.35">
      <c r="A3434" s="6" t="s">
        <v>135</v>
      </c>
      <c r="B3434" s="7" t="s">
        <v>155</v>
      </c>
      <c r="C3434" s="7" t="s">
        <v>146</v>
      </c>
      <c r="D3434" s="7" t="s">
        <v>147</v>
      </c>
      <c r="E3434" s="8" t="s">
        <v>137</v>
      </c>
    </row>
    <row r="3435" spans="1:5" x14ac:dyDescent="0.35">
      <c r="A3435" s="9" t="s">
        <v>135</v>
      </c>
      <c r="B3435" s="10"/>
      <c r="C3435" s="10"/>
      <c r="D3435" s="10" t="s">
        <v>148</v>
      </c>
      <c r="E3435" s="11" t="s">
        <v>137</v>
      </c>
    </row>
    <row r="3436" spans="1:5" x14ac:dyDescent="0.35">
      <c r="A3436" s="6" t="s">
        <v>135</v>
      </c>
      <c r="B3436" s="7"/>
      <c r="C3436" s="7"/>
      <c r="D3436" s="7" t="s">
        <v>149</v>
      </c>
      <c r="E3436" s="8" t="s">
        <v>137</v>
      </c>
    </row>
    <row r="3437" spans="1:5" x14ac:dyDescent="0.35">
      <c r="A3437" s="9" t="s">
        <v>135</v>
      </c>
      <c r="B3437" s="10"/>
      <c r="C3437" s="10" t="s">
        <v>150</v>
      </c>
      <c r="D3437" s="10" t="s">
        <v>147</v>
      </c>
      <c r="E3437" s="11" t="s">
        <v>137</v>
      </c>
    </row>
    <row r="3438" spans="1:5" x14ac:dyDescent="0.35">
      <c r="A3438" s="6" t="s">
        <v>135</v>
      </c>
      <c r="B3438" s="7"/>
      <c r="C3438" s="7"/>
      <c r="D3438" s="7" t="s">
        <v>148</v>
      </c>
      <c r="E3438" s="8" t="s">
        <v>137</v>
      </c>
    </row>
    <row r="3439" spans="1:5" x14ac:dyDescent="0.35">
      <c r="A3439" s="9" t="s">
        <v>135</v>
      </c>
      <c r="B3439" s="10"/>
      <c r="C3439" s="10"/>
      <c r="D3439" s="10" t="s">
        <v>149</v>
      </c>
      <c r="E3439" s="11" t="s">
        <v>137</v>
      </c>
    </row>
    <row r="3440" spans="1:5" x14ac:dyDescent="0.35">
      <c r="A3440" s="6" t="s">
        <v>135</v>
      </c>
      <c r="B3440" s="7" t="s">
        <v>156</v>
      </c>
      <c r="C3440" s="7" t="s">
        <v>146</v>
      </c>
      <c r="D3440" s="7" t="s">
        <v>147</v>
      </c>
      <c r="E3440" s="8" t="s">
        <v>137</v>
      </c>
    </row>
    <row r="3441" spans="1:5" x14ac:dyDescent="0.35">
      <c r="A3441" s="9" t="s">
        <v>135</v>
      </c>
      <c r="B3441" s="10"/>
      <c r="C3441" s="10"/>
      <c r="D3441" s="10" t="s">
        <v>148</v>
      </c>
      <c r="E3441" s="11" t="s">
        <v>137</v>
      </c>
    </row>
    <row r="3442" spans="1:5" x14ac:dyDescent="0.35">
      <c r="A3442" s="6" t="s">
        <v>135</v>
      </c>
      <c r="B3442" s="7"/>
      <c r="C3442" s="7"/>
      <c r="D3442" s="7" t="s">
        <v>149</v>
      </c>
      <c r="E3442" s="8" t="s">
        <v>137</v>
      </c>
    </row>
    <row r="3443" spans="1:5" x14ac:dyDescent="0.35">
      <c r="A3443" s="9" t="s">
        <v>135</v>
      </c>
      <c r="B3443" s="10"/>
      <c r="C3443" s="10" t="s">
        <v>150</v>
      </c>
      <c r="D3443" s="10" t="s">
        <v>147</v>
      </c>
      <c r="E3443" s="11" t="s">
        <v>137</v>
      </c>
    </row>
    <row r="3444" spans="1:5" x14ac:dyDescent="0.35">
      <c r="A3444" s="6" t="s">
        <v>135</v>
      </c>
      <c r="B3444" s="7"/>
      <c r="C3444" s="7"/>
      <c r="D3444" s="7" t="s">
        <v>148</v>
      </c>
      <c r="E3444" s="8" t="s">
        <v>137</v>
      </c>
    </row>
    <row r="3445" spans="1:5" x14ac:dyDescent="0.35">
      <c r="A3445" s="9" t="s">
        <v>135</v>
      </c>
      <c r="B3445" s="10"/>
      <c r="C3445" s="10"/>
      <c r="D3445" s="10" t="s">
        <v>149</v>
      </c>
      <c r="E3445" s="11" t="s">
        <v>137</v>
      </c>
    </row>
    <row r="3446" spans="1:5" x14ac:dyDescent="0.35">
      <c r="A3446" s="6" t="s">
        <v>135</v>
      </c>
      <c r="B3446" s="7" t="s">
        <v>157</v>
      </c>
      <c r="C3446" s="7" t="s">
        <v>146</v>
      </c>
      <c r="D3446" s="7" t="s">
        <v>147</v>
      </c>
      <c r="E3446" s="8" t="s">
        <v>137</v>
      </c>
    </row>
    <row r="3447" spans="1:5" x14ac:dyDescent="0.35">
      <c r="A3447" s="9" t="s">
        <v>135</v>
      </c>
      <c r="B3447" s="10"/>
      <c r="C3447" s="10"/>
      <c r="D3447" s="10" t="s">
        <v>148</v>
      </c>
      <c r="E3447" s="11" t="s">
        <v>137</v>
      </c>
    </row>
    <row r="3448" spans="1:5" x14ac:dyDescent="0.35">
      <c r="A3448" s="6" t="s">
        <v>135</v>
      </c>
      <c r="B3448" s="7"/>
      <c r="C3448" s="7"/>
      <c r="D3448" s="7" t="s">
        <v>149</v>
      </c>
      <c r="E3448" s="8" t="s">
        <v>137</v>
      </c>
    </row>
    <row r="3449" spans="1:5" x14ac:dyDescent="0.35">
      <c r="A3449" s="9" t="s">
        <v>135</v>
      </c>
      <c r="B3449" s="10"/>
      <c r="C3449" s="10" t="s">
        <v>150</v>
      </c>
      <c r="D3449" s="10" t="s">
        <v>147</v>
      </c>
      <c r="E3449" s="11" t="s">
        <v>137</v>
      </c>
    </row>
    <row r="3450" spans="1:5" x14ac:dyDescent="0.35">
      <c r="A3450" s="6" t="s">
        <v>135</v>
      </c>
      <c r="B3450" s="7"/>
      <c r="C3450" s="7"/>
      <c r="D3450" s="7" t="s">
        <v>148</v>
      </c>
      <c r="E3450" s="8" t="s">
        <v>137</v>
      </c>
    </row>
    <row r="3451" spans="1:5" x14ac:dyDescent="0.35">
      <c r="A3451" s="9" t="s">
        <v>135</v>
      </c>
      <c r="B3451" s="10"/>
      <c r="C3451" s="10"/>
      <c r="D3451" s="10" t="s">
        <v>149</v>
      </c>
      <c r="E3451" s="11" t="s">
        <v>137</v>
      </c>
    </row>
    <row r="3452" spans="1:5" x14ac:dyDescent="0.35">
      <c r="A3452" s="6" t="s">
        <v>135</v>
      </c>
      <c r="B3452" s="7" t="s">
        <v>158</v>
      </c>
      <c r="C3452" s="7" t="s">
        <v>146</v>
      </c>
      <c r="D3452" s="7" t="s">
        <v>147</v>
      </c>
      <c r="E3452" s="8" t="s">
        <v>137</v>
      </c>
    </row>
    <row r="3453" spans="1:5" x14ac:dyDescent="0.35">
      <c r="A3453" s="9" t="s">
        <v>135</v>
      </c>
      <c r="B3453" s="10"/>
      <c r="C3453" s="10"/>
      <c r="D3453" s="10" t="s">
        <v>148</v>
      </c>
      <c r="E3453" s="11" t="s">
        <v>137</v>
      </c>
    </row>
    <row r="3454" spans="1:5" x14ac:dyDescent="0.35">
      <c r="A3454" s="6" t="s">
        <v>135</v>
      </c>
      <c r="B3454" s="7"/>
      <c r="C3454" s="7"/>
      <c r="D3454" s="7" t="s">
        <v>149</v>
      </c>
      <c r="E3454" s="8" t="s">
        <v>137</v>
      </c>
    </row>
    <row r="3455" spans="1:5" x14ac:dyDescent="0.35">
      <c r="A3455" s="9" t="s">
        <v>135</v>
      </c>
      <c r="B3455" s="10"/>
      <c r="C3455" s="10" t="s">
        <v>150</v>
      </c>
      <c r="D3455" s="10" t="s">
        <v>147</v>
      </c>
      <c r="E3455" s="11" t="s">
        <v>137</v>
      </c>
    </row>
    <row r="3456" spans="1:5" x14ac:dyDescent="0.35">
      <c r="A3456" s="6" t="s">
        <v>135</v>
      </c>
      <c r="B3456" s="7"/>
      <c r="C3456" s="7"/>
      <c r="D3456" s="7" t="s">
        <v>148</v>
      </c>
      <c r="E3456" s="8" t="s">
        <v>137</v>
      </c>
    </row>
    <row r="3457" spans="1:5" x14ac:dyDescent="0.35">
      <c r="A3457" s="9" t="s">
        <v>135</v>
      </c>
      <c r="B3457" s="10"/>
      <c r="C3457" s="10"/>
      <c r="D3457" s="10" t="s">
        <v>149</v>
      </c>
      <c r="E3457" s="11" t="s">
        <v>137</v>
      </c>
    </row>
    <row r="3458" spans="1:5" x14ac:dyDescent="0.35">
      <c r="A3458" s="6" t="s">
        <v>135</v>
      </c>
      <c r="B3458" s="7" t="s">
        <v>159</v>
      </c>
      <c r="C3458" s="7" t="s">
        <v>146</v>
      </c>
      <c r="D3458" s="7" t="s">
        <v>147</v>
      </c>
      <c r="E3458" s="8" t="s">
        <v>137</v>
      </c>
    </row>
    <row r="3459" spans="1:5" x14ac:dyDescent="0.35">
      <c r="A3459" s="9" t="s">
        <v>135</v>
      </c>
      <c r="B3459" s="10"/>
      <c r="C3459" s="10"/>
      <c r="D3459" s="10" t="s">
        <v>148</v>
      </c>
      <c r="E3459" s="11" t="s">
        <v>137</v>
      </c>
    </row>
    <row r="3460" spans="1:5" x14ac:dyDescent="0.35">
      <c r="A3460" s="6" t="s">
        <v>135</v>
      </c>
      <c r="B3460" s="7"/>
      <c r="C3460" s="7"/>
      <c r="D3460" s="7" t="s">
        <v>149</v>
      </c>
      <c r="E3460" s="8" t="s">
        <v>137</v>
      </c>
    </row>
    <row r="3461" spans="1:5" x14ac:dyDescent="0.35">
      <c r="A3461" s="9" t="s">
        <v>135</v>
      </c>
      <c r="B3461" s="10"/>
      <c r="C3461" s="10" t="s">
        <v>150</v>
      </c>
      <c r="D3461" s="10" t="s">
        <v>147</v>
      </c>
      <c r="E3461" s="11" t="s">
        <v>137</v>
      </c>
    </row>
    <row r="3462" spans="1:5" x14ac:dyDescent="0.35">
      <c r="A3462" s="6" t="s">
        <v>135</v>
      </c>
      <c r="B3462" s="7"/>
      <c r="C3462" s="7"/>
      <c r="D3462" s="7" t="s">
        <v>148</v>
      </c>
      <c r="E3462" s="8" t="s">
        <v>137</v>
      </c>
    </row>
    <row r="3463" spans="1:5" x14ac:dyDescent="0.35">
      <c r="A3463" s="9" t="s">
        <v>135</v>
      </c>
      <c r="B3463" s="10"/>
      <c r="C3463" s="10"/>
      <c r="D3463" s="10" t="s">
        <v>149</v>
      </c>
      <c r="E3463" s="11" t="s">
        <v>137</v>
      </c>
    </row>
    <row r="3464" spans="1:5" x14ac:dyDescent="0.35">
      <c r="A3464" s="6" t="s">
        <v>135</v>
      </c>
      <c r="B3464" s="7" t="s">
        <v>160</v>
      </c>
      <c r="C3464" s="7" t="s">
        <v>146</v>
      </c>
      <c r="D3464" s="7" t="s">
        <v>147</v>
      </c>
      <c r="E3464" s="8" t="s">
        <v>137</v>
      </c>
    </row>
    <row r="3465" spans="1:5" x14ac:dyDescent="0.35">
      <c r="A3465" s="9" t="s">
        <v>135</v>
      </c>
      <c r="B3465" s="10"/>
      <c r="C3465" s="10"/>
      <c r="D3465" s="10" t="s">
        <v>148</v>
      </c>
      <c r="E3465" s="11" t="s">
        <v>137</v>
      </c>
    </row>
    <row r="3466" spans="1:5" x14ac:dyDescent="0.35">
      <c r="A3466" s="6" t="s">
        <v>135</v>
      </c>
      <c r="B3466" s="7"/>
      <c r="C3466" s="7"/>
      <c r="D3466" s="7" t="s">
        <v>149</v>
      </c>
      <c r="E3466" s="8" t="s">
        <v>137</v>
      </c>
    </row>
    <row r="3467" spans="1:5" x14ac:dyDescent="0.35">
      <c r="A3467" s="9" t="s">
        <v>135</v>
      </c>
      <c r="B3467" s="10"/>
      <c r="C3467" s="10" t="s">
        <v>150</v>
      </c>
      <c r="D3467" s="10" t="s">
        <v>147</v>
      </c>
      <c r="E3467" s="11" t="s">
        <v>137</v>
      </c>
    </row>
    <row r="3468" spans="1:5" x14ac:dyDescent="0.35">
      <c r="A3468" s="6" t="s">
        <v>135</v>
      </c>
      <c r="B3468" s="7"/>
      <c r="C3468" s="7"/>
      <c r="D3468" s="7" t="s">
        <v>148</v>
      </c>
      <c r="E3468" s="8" t="s">
        <v>137</v>
      </c>
    </row>
    <row r="3469" spans="1:5" x14ac:dyDescent="0.35">
      <c r="A3469" s="9" t="s">
        <v>135</v>
      </c>
      <c r="B3469" s="10"/>
      <c r="C3469" s="10"/>
      <c r="D3469" s="10" t="s">
        <v>149</v>
      </c>
      <c r="E3469" s="11" t="s">
        <v>137</v>
      </c>
    </row>
    <row r="3470" spans="1:5" x14ac:dyDescent="0.35">
      <c r="A3470" s="6" t="s">
        <v>135</v>
      </c>
      <c r="B3470" s="7" t="s">
        <v>161</v>
      </c>
      <c r="C3470" s="7" t="s">
        <v>146</v>
      </c>
      <c r="D3470" s="7" t="s">
        <v>147</v>
      </c>
      <c r="E3470" s="8" t="s">
        <v>137</v>
      </c>
    </row>
    <row r="3471" spans="1:5" x14ac:dyDescent="0.35">
      <c r="A3471" s="9" t="s">
        <v>135</v>
      </c>
      <c r="B3471" s="10"/>
      <c r="C3471" s="10"/>
      <c r="D3471" s="10" t="s">
        <v>148</v>
      </c>
      <c r="E3471" s="11" t="s">
        <v>137</v>
      </c>
    </row>
    <row r="3472" spans="1:5" x14ac:dyDescent="0.35">
      <c r="A3472" s="6" t="s">
        <v>135</v>
      </c>
      <c r="B3472" s="7"/>
      <c r="C3472" s="7"/>
      <c r="D3472" s="7" t="s">
        <v>149</v>
      </c>
      <c r="E3472" s="8" t="s">
        <v>137</v>
      </c>
    </row>
    <row r="3473" spans="1:5" x14ac:dyDescent="0.35">
      <c r="A3473" s="9" t="s">
        <v>135</v>
      </c>
      <c r="B3473" s="10"/>
      <c r="C3473" s="10" t="s">
        <v>150</v>
      </c>
      <c r="D3473" s="10" t="s">
        <v>147</v>
      </c>
      <c r="E3473" s="11" t="s">
        <v>137</v>
      </c>
    </row>
    <row r="3474" spans="1:5" x14ac:dyDescent="0.35">
      <c r="A3474" s="6" t="s">
        <v>135</v>
      </c>
      <c r="B3474" s="7"/>
      <c r="C3474" s="7"/>
      <c r="D3474" s="7" t="s">
        <v>148</v>
      </c>
      <c r="E3474" s="8" t="s">
        <v>137</v>
      </c>
    </row>
    <row r="3475" spans="1:5" x14ac:dyDescent="0.35">
      <c r="A3475" s="9" t="s">
        <v>135</v>
      </c>
      <c r="B3475" s="10"/>
      <c r="C3475" s="10"/>
      <c r="D3475" s="10" t="s">
        <v>149</v>
      </c>
      <c r="E3475" s="11" t="s">
        <v>137</v>
      </c>
    </row>
    <row r="3476" spans="1:5" x14ac:dyDescent="0.35">
      <c r="A3476" s="6" t="s">
        <v>135</v>
      </c>
      <c r="B3476" s="7" t="s">
        <v>162</v>
      </c>
      <c r="C3476" s="7" t="s">
        <v>146</v>
      </c>
      <c r="D3476" s="7" t="s">
        <v>147</v>
      </c>
      <c r="E3476" s="8" t="s">
        <v>137</v>
      </c>
    </row>
    <row r="3477" spans="1:5" x14ac:dyDescent="0.35">
      <c r="A3477" s="9" t="s">
        <v>135</v>
      </c>
      <c r="B3477" s="10"/>
      <c r="C3477" s="10"/>
      <c r="D3477" s="10" t="s">
        <v>148</v>
      </c>
      <c r="E3477" s="11" t="s">
        <v>137</v>
      </c>
    </row>
    <row r="3478" spans="1:5" x14ac:dyDescent="0.35">
      <c r="A3478" s="6" t="s">
        <v>135</v>
      </c>
      <c r="B3478" s="7"/>
      <c r="C3478" s="7"/>
      <c r="D3478" s="7" t="s">
        <v>149</v>
      </c>
      <c r="E3478" s="8" t="s">
        <v>137</v>
      </c>
    </row>
    <row r="3479" spans="1:5" x14ac:dyDescent="0.35">
      <c r="A3479" s="9" t="s">
        <v>135</v>
      </c>
      <c r="B3479" s="10"/>
      <c r="C3479" s="10" t="s">
        <v>150</v>
      </c>
      <c r="D3479" s="10" t="s">
        <v>147</v>
      </c>
      <c r="E3479" s="11" t="s">
        <v>137</v>
      </c>
    </row>
    <row r="3480" spans="1:5" x14ac:dyDescent="0.35">
      <c r="A3480" s="6" t="s">
        <v>135</v>
      </c>
      <c r="B3480" s="7"/>
      <c r="C3480" s="7"/>
      <c r="D3480" s="7" t="s">
        <v>148</v>
      </c>
      <c r="E3480" s="8" t="s">
        <v>137</v>
      </c>
    </row>
    <row r="3481" spans="1:5" x14ac:dyDescent="0.35">
      <c r="A3481" s="9" t="s">
        <v>135</v>
      </c>
      <c r="B3481" s="10"/>
      <c r="C3481" s="10"/>
      <c r="D3481" s="10" t="s">
        <v>149</v>
      </c>
      <c r="E3481" s="11" t="s">
        <v>137</v>
      </c>
    </row>
    <row r="3482" spans="1:5" x14ac:dyDescent="0.35">
      <c r="A3482" s="6" t="s">
        <v>135</v>
      </c>
      <c r="B3482" s="7" t="s">
        <v>163</v>
      </c>
      <c r="C3482" s="7" t="s">
        <v>146</v>
      </c>
      <c r="D3482" s="7" t="s">
        <v>147</v>
      </c>
      <c r="E3482" s="8">
        <v>504.63</v>
      </c>
    </row>
    <row r="3483" spans="1:5" x14ac:dyDescent="0.35">
      <c r="A3483" s="9" t="s">
        <v>135</v>
      </c>
      <c r="B3483" s="10"/>
      <c r="C3483" s="10"/>
      <c r="D3483" s="10" t="s">
        <v>148</v>
      </c>
      <c r="E3483" s="11">
        <v>404.63</v>
      </c>
    </row>
    <row r="3484" spans="1:5" x14ac:dyDescent="0.35">
      <c r="A3484" s="6" t="s">
        <v>135</v>
      </c>
      <c r="B3484" s="7"/>
      <c r="C3484" s="7"/>
      <c r="D3484" s="7" t="s">
        <v>149</v>
      </c>
      <c r="E3484" s="8">
        <v>100</v>
      </c>
    </row>
    <row r="3485" spans="1:5" x14ac:dyDescent="0.35">
      <c r="A3485" s="9" t="s">
        <v>135</v>
      </c>
      <c r="B3485" s="10"/>
      <c r="C3485" s="10" t="s">
        <v>150</v>
      </c>
      <c r="D3485" s="10" t="s">
        <v>147</v>
      </c>
      <c r="E3485" s="11" t="s">
        <v>137</v>
      </c>
    </row>
    <row r="3486" spans="1:5" x14ac:dyDescent="0.35">
      <c r="A3486" s="6" t="s">
        <v>135</v>
      </c>
      <c r="B3486" s="7"/>
      <c r="C3486" s="7"/>
      <c r="D3486" s="7" t="s">
        <v>148</v>
      </c>
      <c r="E3486" s="8" t="s">
        <v>137</v>
      </c>
    </row>
    <row r="3487" spans="1:5" x14ac:dyDescent="0.35">
      <c r="A3487" s="9" t="s">
        <v>135</v>
      </c>
      <c r="B3487" s="10"/>
      <c r="C3487" s="10"/>
      <c r="D3487" s="10" t="s">
        <v>149</v>
      </c>
      <c r="E3487" s="11" t="s">
        <v>137</v>
      </c>
    </row>
    <row r="3488" spans="1:5" x14ac:dyDescent="0.35">
      <c r="A3488" s="6" t="s">
        <v>135</v>
      </c>
      <c r="B3488" s="7" t="s">
        <v>164</v>
      </c>
      <c r="C3488" s="7" t="s">
        <v>146</v>
      </c>
      <c r="D3488" s="7" t="s">
        <v>147</v>
      </c>
      <c r="E3488" s="8" t="s">
        <v>137</v>
      </c>
    </row>
    <row r="3489" spans="1:5" x14ac:dyDescent="0.35">
      <c r="A3489" s="9" t="s">
        <v>135</v>
      </c>
      <c r="B3489" s="10"/>
      <c r="C3489" s="10"/>
      <c r="D3489" s="10" t="s">
        <v>148</v>
      </c>
      <c r="E3489" s="11" t="s">
        <v>137</v>
      </c>
    </row>
    <row r="3490" spans="1:5" x14ac:dyDescent="0.35">
      <c r="A3490" s="6" t="s">
        <v>135</v>
      </c>
      <c r="B3490" s="7"/>
      <c r="C3490" s="7"/>
      <c r="D3490" s="7" t="s">
        <v>149</v>
      </c>
      <c r="E3490" s="8" t="s">
        <v>137</v>
      </c>
    </row>
    <row r="3491" spans="1:5" x14ac:dyDescent="0.35">
      <c r="A3491" s="9" t="s">
        <v>135</v>
      </c>
      <c r="B3491" s="10"/>
      <c r="C3491" s="10" t="s">
        <v>150</v>
      </c>
      <c r="D3491" s="10" t="s">
        <v>147</v>
      </c>
      <c r="E3491" s="11" t="s">
        <v>137</v>
      </c>
    </row>
    <row r="3492" spans="1:5" x14ac:dyDescent="0.35">
      <c r="A3492" s="6" t="s">
        <v>135</v>
      </c>
      <c r="B3492" s="7"/>
      <c r="C3492" s="7"/>
      <c r="D3492" s="7" t="s">
        <v>148</v>
      </c>
      <c r="E3492" s="8" t="s">
        <v>137</v>
      </c>
    </row>
    <row r="3493" spans="1:5" x14ac:dyDescent="0.35">
      <c r="A3493" s="9" t="s">
        <v>135</v>
      </c>
      <c r="B3493" s="10"/>
      <c r="C3493" s="10"/>
      <c r="D3493" s="10" t="s">
        <v>149</v>
      </c>
      <c r="E3493" s="11" t="s">
        <v>137</v>
      </c>
    </row>
    <row r="3494" spans="1:5" x14ac:dyDescent="0.35">
      <c r="A3494" s="6" t="s">
        <v>135</v>
      </c>
      <c r="B3494" s="7" t="s">
        <v>165</v>
      </c>
      <c r="C3494" s="7" t="s">
        <v>146</v>
      </c>
      <c r="D3494" s="7" t="s">
        <v>147</v>
      </c>
      <c r="E3494" s="8" t="s">
        <v>137</v>
      </c>
    </row>
    <row r="3495" spans="1:5" x14ac:dyDescent="0.35">
      <c r="A3495" s="9" t="s">
        <v>135</v>
      </c>
      <c r="B3495" s="10"/>
      <c r="C3495" s="10"/>
      <c r="D3495" s="10" t="s">
        <v>148</v>
      </c>
      <c r="E3495" s="11" t="s">
        <v>137</v>
      </c>
    </row>
    <row r="3496" spans="1:5" x14ac:dyDescent="0.35">
      <c r="A3496" s="6" t="s">
        <v>135</v>
      </c>
      <c r="B3496" s="7"/>
      <c r="C3496" s="7"/>
      <c r="D3496" s="7" t="s">
        <v>149</v>
      </c>
      <c r="E3496" s="8" t="s">
        <v>137</v>
      </c>
    </row>
    <row r="3497" spans="1:5" x14ac:dyDescent="0.35">
      <c r="A3497" s="9" t="s">
        <v>135</v>
      </c>
      <c r="B3497" s="10"/>
      <c r="C3497" s="10" t="s">
        <v>150</v>
      </c>
      <c r="D3497" s="10" t="s">
        <v>147</v>
      </c>
      <c r="E3497" s="11" t="s">
        <v>137</v>
      </c>
    </row>
    <row r="3498" spans="1:5" x14ac:dyDescent="0.35">
      <c r="A3498" s="6" t="s">
        <v>135</v>
      </c>
      <c r="B3498" s="7"/>
      <c r="C3498" s="7"/>
      <c r="D3498" s="7" t="s">
        <v>148</v>
      </c>
      <c r="E3498" s="8" t="s">
        <v>137</v>
      </c>
    </row>
    <row r="3499" spans="1:5" x14ac:dyDescent="0.35">
      <c r="A3499" s="9" t="s">
        <v>135</v>
      </c>
      <c r="B3499" s="10"/>
      <c r="C3499" s="10"/>
      <c r="D3499" s="10" t="s">
        <v>149</v>
      </c>
      <c r="E3499" s="11" t="s">
        <v>137</v>
      </c>
    </row>
    <row r="3500" spans="1:5" x14ac:dyDescent="0.35">
      <c r="A3500" s="6" t="s">
        <v>135</v>
      </c>
      <c r="B3500" s="7" t="s">
        <v>166</v>
      </c>
      <c r="C3500" s="7" t="s">
        <v>146</v>
      </c>
      <c r="D3500" s="7" t="s">
        <v>147</v>
      </c>
      <c r="E3500" s="8">
        <v>150.63</v>
      </c>
    </row>
    <row r="3501" spans="1:5" x14ac:dyDescent="0.35">
      <c r="A3501" s="9" t="s">
        <v>135</v>
      </c>
      <c r="B3501" s="10"/>
      <c r="C3501" s="10"/>
      <c r="D3501" s="10" t="s">
        <v>148</v>
      </c>
      <c r="E3501" s="11">
        <v>50.63</v>
      </c>
    </row>
    <row r="3502" spans="1:5" x14ac:dyDescent="0.35">
      <c r="A3502" s="6" t="s">
        <v>135</v>
      </c>
      <c r="B3502" s="7"/>
      <c r="C3502" s="7"/>
      <c r="D3502" s="7" t="s">
        <v>149</v>
      </c>
      <c r="E3502" s="8">
        <v>100</v>
      </c>
    </row>
    <row r="3503" spans="1:5" x14ac:dyDescent="0.35">
      <c r="A3503" s="9" t="s">
        <v>135</v>
      </c>
      <c r="B3503" s="10"/>
      <c r="C3503" s="10" t="s">
        <v>150</v>
      </c>
      <c r="D3503" s="10" t="s">
        <v>147</v>
      </c>
      <c r="E3503" s="11" t="s">
        <v>137</v>
      </c>
    </row>
    <row r="3504" spans="1:5" x14ac:dyDescent="0.35">
      <c r="A3504" s="6" t="s">
        <v>135</v>
      </c>
      <c r="B3504" s="7"/>
      <c r="C3504" s="7"/>
      <c r="D3504" s="7" t="s">
        <v>148</v>
      </c>
      <c r="E3504" s="8" t="s">
        <v>137</v>
      </c>
    </row>
    <row r="3505" spans="1:5" x14ac:dyDescent="0.35">
      <c r="A3505" s="9" t="s">
        <v>135</v>
      </c>
      <c r="B3505" s="10"/>
      <c r="C3505" s="10"/>
      <c r="D3505" s="10" t="s">
        <v>149</v>
      </c>
      <c r="E3505" s="11" t="s">
        <v>137</v>
      </c>
    </row>
    <row r="3506" spans="1:5" x14ac:dyDescent="0.35">
      <c r="A3506" s="6" t="s">
        <v>135</v>
      </c>
      <c r="B3506" s="7" t="s">
        <v>167</v>
      </c>
      <c r="C3506" s="7" t="s">
        <v>146</v>
      </c>
      <c r="D3506" s="7" t="s">
        <v>147</v>
      </c>
      <c r="E3506" s="8">
        <v>354</v>
      </c>
    </row>
    <row r="3507" spans="1:5" x14ac:dyDescent="0.35">
      <c r="A3507" s="9" t="s">
        <v>135</v>
      </c>
      <c r="B3507" s="10"/>
      <c r="C3507" s="10"/>
      <c r="D3507" s="10" t="s">
        <v>148</v>
      </c>
      <c r="E3507" s="11">
        <v>354</v>
      </c>
    </row>
    <row r="3508" spans="1:5" x14ac:dyDescent="0.35">
      <c r="A3508" s="6" t="s">
        <v>135</v>
      </c>
      <c r="B3508" s="7"/>
      <c r="C3508" s="7"/>
      <c r="D3508" s="7" t="s">
        <v>149</v>
      </c>
      <c r="E3508" s="8" t="s">
        <v>137</v>
      </c>
    </row>
    <row r="3509" spans="1:5" x14ac:dyDescent="0.35">
      <c r="A3509" s="9" t="s">
        <v>135</v>
      </c>
      <c r="B3509" s="10"/>
      <c r="C3509" s="10" t="s">
        <v>150</v>
      </c>
      <c r="D3509" s="10" t="s">
        <v>147</v>
      </c>
      <c r="E3509" s="11" t="s">
        <v>137</v>
      </c>
    </row>
    <row r="3510" spans="1:5" x14ac:dyDescent="0.35">
      <c r="A3510" s="6" t="s">
        <v>135</v>
      </c>
      <c r="B3510" s="7"/>
      <c r="C3510" s="7"/>
      <c r="D3510" s="7" t="s">
        <v>148</v>
      </c>
      <c r="E3510" s="8" t="s">
        <v>137</v>
      </c>
    </row>
    <row r="3511" spans="1:5" x14ac:dyDescent="0.35">
      <c r="A3511" s="9" t="s">
        <v>135</v>
      </c>
      <c r="B3511" s="10"/>
      <c r="C3511" s="10"/>
      <c r="D3511" s="10" t="s">
        <v>149</v>
      </c>
      <c r="E3511" s="11" t="s">
        <v>137</v>
      </c>
    </row>
    <row r="3512" spans="1:5" x14ac:dyDescent="0.35">
      <c r="A3512" s="6" t="s">
        <v>135</v>
      </c>
      <c r="B3512" s="7" t="s">
        <v>168</v>
      </c>
      <c r="C3512" s="7" t="s">
        <v>146</v>
      </c>
      <c r="D3512" s="7" t="s">
        <v>147</v>
      </c>
      <c r="E3512" s="8" t="s">
        <v>137</v>
      </c>
    </row>
    <row r="3513" spans="1:5" x14ac:dyDescent="0.35">
      <c r="A3513" s="9" t="s">
        <v>135</v>
      </c>
      <c r="B3513" s="10"/>
      <c r="C3513" s="10"/>
      <c r="D3513" s="10" t="s">
        <v>148</v>
      </c>
      <c r="E3513" s="11" t="s">
        <v>137</v>
      </c>
    </row>
    <row r="3514" spans="1:5" x14ac:dyDescent="0.35">
      <c r="A3514" s="6" t="s">
        <v>135</v>
      </c>
      <c r="B3514" s="7"/>
      <c r="C3514" s="7"/>
      <c r="D3514" s="7" t="s">
        <v>149</v>
      </c>
      <c r="E3514" s="8" t="s">
        <v>137</v>
      </c>
    </row>
    <row r="3515" spans="1:5" x14ac:dyDescent="0.35">
      <c r="A3515" s="9" t="s">
        <v>135</v>
      </c>
      <c r="B3515" s="10"/>
      <c r="C3515" s="10" t="s">
        <v>150</v>
      </c>
      <c r="D3515" s="10" t="s">
        <v>147</v>
      </c>
      <c r="E3515" s="11" t="s">
        <v>137</v>
      </c>
    </row>
    <row r="3516" spans="1:5" x14ac:dyDescent="0.35">
      <c r="A3516" s="6" t="s">
        <v>135</v>
      </c>
      <c r="B3516" s="7"/>
      <c r="C3516" s="7"/>
      <c r="D3516" s="7" t="s">
        <v>148</v>
      </c>
      <c r="E3516" s="8" t="s">
        <v>137</v>
      </c>
    </row>
    <row r="3517" spans="1:5" x14ac:dyDescent="0.35">
      <c r="A3517" s="9" t="s">
        <v>135</v>
      </c>
      <c r="B3517" s="10"/>
      <c r="C3517" s="10"/>
      <c r="D3517" s="10" t="s">
        <v>149</v>
      </c>
      <c r="E3517" s="11" t="s">
        <v>137</v>
      </c>
    </row>
    <row r="3518" spans="1:5" x14ac:dyDescent="0.35">
      <c r="A3518" s="6" t="s">
        <v>135</v>
      </c>
      <c r="B3518" s="7" t="s">
        <v>169</v>
      </c>
      <c r="C3518" s="7" t="s">
        <v>146</v>
      </c>
      <c r="D3518" s="7" t="s">
        <v>147</v>
      </c>
      <c r="E3518" s="8" t="s">
        <v>137</v>
      </c>
    </row>
    <row r="3519" spans="1:5" x14ac:dyDescent="0.35">
      <c r="A3519" s="9" t="s">
        <v>135</v>
      </c>
      <c r="B3519" s="10"/>
      <c r="C3519" s="10"/>
      <c r="D3519" s="10" t="s">
        <v>148</v>
      </c>
      <c r="E3519" s="11" t="s">
        <v>137</v>
      </c>
    </row>
    <row r="3520" spans="1:5" x14ac:dyDescent="0.35">
      <c r="A3520" s="6" t="s">
        <v>135</v>
      </c>
      <c r="B3520" s="7"/>
      <c r="C3520" s="7"/>
      <c r="D3520" s="7" t="s">
        <v>149</v>
      </c>
      <c r="E3520" s="8" t="s">
        <v>137</v>
      </c>
    </row>
    <row r="3521" spans="1:5" x14ac:dyDescent="0.35">
      <c r="A3521" s="9" t="s">
        <v>135</v>
      </c>
      <c r="B3521" s="10"/>
      <c r="C3521" s="10" t="s">
        <v>150</v>
      </c>
      <c r="D3521" s="10" t="s">
        <v>147</v>
      </c>
      <c r="E3521" s="11" t="s">
        <v>137</v>
      </c>
    </row>
    <row r="3522" spans="1:5" x14ac:dyDescent="0.35">
      <c r="A3522" s="6" t="s">
        <v>135</v>
      </c>
      <c r="B3522" s="7"/>
      <c r="C3522" s="7"/>
      <c r="D3522" s="7" t="s">
        <v>148</v>
      </c>
      <c r="E3522" s="8" t="s">
        <v>137</v>
      </c>
    </row>
    <row r="3523" spans="1:5" x14ac:dyDescent="0.35">
      <c r="A3523" s="9" t="s">
        <v>135</v>
      </c>
      <c r="B3523" s="10"/>
      <c r="C3523" s="10"/>
      <c r="D3523" s="10" t="s">
        <v>149</v>
      </c>
      <c r="E3523" s="11" t="s">
        <v>137</v>
      </c>
    </row>
    <row r="3524" spans="1:5" x14ac:dyDescent="0.35">
      <c r="A3524" s="6" t="s">
        <v>135</v>
      </c>
      <c r="B3524" s="7" t="s">
        <v>170</v>
      </c>
      <c r="C3524" s="7" t="s">
        <v>146</v>
      </c>
      <c r="D3524" s="7" t="s">
        <v>147</v>
      </c>
      <c r="E3524" s="8" t="s">
        <v>137</v>
      </c>
    </row>
    <row r="3525" spans="1:5" x14ac:dyDescent="0.35">
      <c r="A3525" s="9" t="s">
        <v>135</v>
      </c>
      <c r="B3525" s="10"/>
      <c r="C3525" s="10"/>
      <c r="D3525" s="10" t="s">
        <v>148</v>
      </c>
      <c r="E3525" s="11" t="s">
        <v>137</v>
      </c>
    </row>
    <row r="3526" spans="1:5" x14ac:dyDescent="0.35">
      <c r="A3526" s="6" t="s">
        <v>135</v>
      </c>
      <c r="B3526" s="7"/>
      <c r="C3526" s="7"/>
      <c r="D3526" s="7" t="s">
        <v>149</v>
      </c>
      <c r="E3526" s="8" t="s">
        <v>137</v>
      </c>
    </row>
    <row r="3527" spans="1:5" x14ac:dyDescent="0.35">
      <c r="A3527" s="9" t="s">
        <v>135</v>
      </c>
      <c r="B3527" s="10"/>
      <c r="C3527" s="10" t="s">
        <v>150</v>
      </c>
      <c r="D3527" s="10" t="s">
        <v>147</v>
      </c>
      <c r="E3527" s="11" t="s">
        <v>137</v>
      </c>
    </row>
    <row r="3528" spans="1:5" x14ac:dyDescent="0.35">
      <c r="A3528" s="6" t="s">
        <v>135</v>
      </c>
      <c r="B3528" s="7"/>
      <c r="C3528" s="7"/>
      <c r="D3528" s="7" t="s">
        <v>148</v>
      </c>
      <c r="E3528" s="8" t="s">
        <v>137</v>
      </c>
    </row>
    <row r="3529" spans="1:5" x14ac:dyDescent="0.35">
      <c r="A3529" s="9" t="s">
        <v>135</v>
      </c>
      <c r="B3529" s="10"/>
      <c r="C3529" s="10"/>
      <c r="D3529" s="10" t="s">
        <v>149</v>
      </c>
      <c r="E3529" s="11" t="s">
        <v>137</v>
      </c>
    </row>
    <row r="3530" spans="1:5" x14ac:dyDescent="0.35">
      <c r="A3530" s="6" t="s">
        <v>87</v>
      </c>
      <c r="B3530" s="7" t="s">
        <v>145</v>
      </c>
      <c r="C3530" s="7" t="s">
        <v>146</v>
      </c>
      <c r="D3530" s="7" t="s">
        <v>147</v>
      </c>
      <c r="E3530" s="8">
        <v>301.89</v>
      </c>
    </row>
    <row r="3531" spans="1:5" x14ac:dyDescent="0.35">
      <c r="A3531" s="9" t="s">
        <v>135</v>
      </c>
      <c r="B3531" s="10"/>
      <c r="C3531" s="10"/>
      <c r="D3531" s="10" t="s">
        <v>148</v>
      </c>
      <c r="E3531" s="11">
        <v>299.52</v>
      </c>
    </row>
    <row r="3532" spans="1:5" x14ac:dyDescent="0.35">
      <c r="A3532" s="6" t="s">
        <v>135</v>
      </c>
      <c r="B3532" s="7"/>
      <c r="C3532" s="7"/>
      <c r="D3532" s="7" t="s">
        <v>149</v>
      </c>
      <c r="E3532" s="8">
        <v>2.38</v>
      </c>
    </row>
    <row r="3533" spans="1:5" x14ac:dyDescent="0.35">
      <c r="A3533" s="9" t="s">
        <v>135</v>
      </c>
      <c r="B3533" s="10"/>
      <c r="C3533" s="10" t="s">
        <v>150</v>
      </c>
      <c r="D3533" s="10" t="s">
        <v>147</v>
      </c>
      <c r="E3533" s="11" t="s">
        <v>137</v>
      </c>
    </row>
    <row r="3534" spans="1:5" x14ac:dyDescent="0.35">
      <c r="A3534" s="6" t="s">
        <v>135</v>
      </c>
      <c r="B3534" s="7"/>
      <c r="C3534" s="7"/>
      <c r="D3534" s="7" t="s">
        <v>148</v>
      </c>
      <c r="E3534" s="8" t="s">
        <v>137</v>
      </c>
    </row>
    <row r="3535" spans="1:5" x14ac:dyDescent="0.35">
      <c r="A3535" s="9" t="s">
        <v>135</v>
      </c>
      <c r="B3535" s="10"/>
      <c r="C3535" s="10"/>
      <c r="D3535" s="10" t="s">
        <v>149</v>
      </c>
      <c r="E3535" s="11" t="s">
        <v>137</v>
      </c>
    </row>
    <row r="3536" spans="1:5" x14ac:dyDescent="0.35">
      <c r="A3536" s="6" t="s">
        <v>135</v>
      </c>
      <c r="B3536" s="7" t="s">
        <v>151</v>
      </c>
      <c r="C3536" s="7" t="s">
        <v>146</v>
      </c>
      <c r="D3536" s="7" t="s">
        <v>147</v>
      </c>
      <c r="E3536" s="8">
        <v>138.91</v>
      </c>
    </row>
    <row r="3537" spans="1:5" x14ac:dyDescent="0.35">
      <c r="A3537" s="9" t="s">
        <v>135</v>
      </c>
      <c r="B3537" s="10"/>
      <c r="C3537" s="10"/>
      <c r="D3537" s="10" t="s">
        <v>148</v>
      </c>
      <c r="E3537" s="11">
        <v>137.24</v>
      </c>
    </row>
    <row r="3538" spans="1:5" x14ac:dyDescent="0.35">
      <c r="A3538" s="6" t="s">
        <v>135</v>
      </c>
      <c r="B3538" s="7"/>
      <c r="C3538" s="7"/>
      <c r="D3538" s="7" t="s">
        <v>149</v>
      </c>
      <c r="E3538" s="8">
        <v>1.68</v>
      </c>
    </row>
    <row r="3539" spans="1:5" x14ac:dyDescent="0.35">
      <c r="A3539" s="9" t="s">
        <v>135</v>
      </c>
      <c r="B3539" s="10"/>
      <c r="C3539" s="10" t="s">
        <v>150</v>
      </c>
      <c r="D3539" s="10" t="s">
        <v>147</v>
      </c>
      <c r="E3539" s="11" t="s">
        <v>137</v>
      </c>
    </row>
    <row r="3540" spans="1:5" x14ac:dyDescent="0.35">
      <c r="A3540" s="6" t="s">
        <v>135</v>
      </c>
      <c r="B3540" s="7"/>
      <c r="C3540" s="7"/>
      <c r="D3540" s="7" t="s">
        <v>148</v>
      </c>
      <c r="E3540" s="8" t="s">
        <v>137</v>
      </c>
    </row>
    <row r="3541" spans="1:5" x14ac:dyDescent="0.35">
      <c r="A3541" s="9" t="s">
        <v>135</v>
      </c>
      <c r="B3541" s="10"/>
      <c r="C3541" s="10"/>
      <c r="D3541" s="10" t="s">
        <v>149</v>
      </c>
      <c r="E3541" s="11" t="s">
        <v>137</v>
      </c>
    </row>
    <row r="3542" spans="1:5" x14ac:dyDescent="0.35">
      <c r="A3542" s="6" t="s">
        <v>135</v>
      </c>
      <c r="B3542" s="7" t="s">
        <v>152</v>
      </c>
      <c r="C3542" s="7" t="s">
        <v>146</v>
      </c>
      <c r="D3542" s="7" t="s">
        <v>147</v>
      </c>
      <c r="E3542" s="8" t="s">
        <v>137</v>
      </c>
    </row>
    <row r="3543" spans="1:5" x14ac:dyDescent="0.35">
      <c r="A3543" s="9" t="s">
        <v>135</v>
      </c>
      <c r="B3543" s="10"/>
      <c r="C3543" s="10"/>
      <c r="D3543" s="10" t="s">
        <v>148</v>
      </c>
      <c r="E3543" s="11" t="s">
        <v>137</v>
      </c>
    </row>
    <row r="3544" spans="1:5" x14ac:dyDescent="0.35">
      <c r="A3544" s="6" t="s">
        <v>135</v>
      </c>
      <c r="B3544" s="7"/>
      <c r="C3544" s="7"/>
      <c r="D3544" s="7" t="s">
        <v>149</v>
      </c>
      <c r="E3544" s="8" t="s">
        <v>137</v>
      </c>
    </row>
    <row r="3545" spans="1:5" x14ac:dyDescent="0.35">
      <c r="A3545" s="9" t="s">
        <v>135</v>
      </c>
      <c r="B3545" s="10"/>
      <c r="C3545" s="10" t="s">
        <v>150</v>
      </c>
      <c r="D3545" s="10" t="s">
        <v>147</v>
      </c>
      <c r="E3545" s="11" t="s">
        <v>137</v>
      </c>
    </row>
    <row r="3546" spans="1:5" x14ac:dyDescent="0.35">
      <c r="A3546" s="6" t="s">
        <v>135</v>
      </c>
      <c r="B3546" s="7"/>
      <c r="C3546" s="7"/>
      <c r="D3546" s="7" t="s">
        <v>148</v>
      </c>
      <c r="E3546" s="8" t="s">
        <v>137</v>
      </c>
    </row>
    <row r="3547" spans="1:5" x14ac:dyDescent="0.35">
      <c r="A3547" s="9" t="s">
        <v>135</v>
      </c>
      <c r="B3547" s="10"/>
      <c r="C3547" s="10"/>
      <c r="D3547" s="10" t="s">
        <v>149</v>
      </c>
      <c r="E3547" s="11" t="s">
        <v>137</v>
      </c>
    </row>
    <row r="3548" spans="1:5" x14ac:dyDescent="0.35">
      <c r="A3548" s="6" t="s">
        <v>135</v>
      </c>
      <c r="B3548" s="7" t="s">
        <v>153</v>
      </c>
      <c r="C3548" s="7" t="s">
        <v>146</v>
      </c>
      <c r="D3548" s="7" t="s">
        <v>147</v>
      </c>
      <c r="E3548" s="8">
        <v>10.63</v>
      </c>
    </row>
    <row r="3549" spans="1:5" x14ac:dyDescent="0.35">
      <c r="A3549" s="9" t="s">
        <v>135</v>
      </c>
      <c r="B3549" s="10"/>
      <c r="C3549" s="10"/>
      <c r="D3549" s="10" t="s">
        <v>148</v>
      </c>
      <c r="E3549" s="11">
        <v>10.63</v>
      </c>
    </row>
    <row r="3550" spans="1:5" x14ac:dyDescent="0.35">
      <c r="A3550" s="6" t="s">
        <v>135</v>
      </c>
      <c r="B3550" s="7"/>
      <c r="C3550" s="7"/>
      <c r="D3550" s="7" t="s">
        <v>149</v>
      </c>
      <c r="E3550" s="8" t="s">
        <v>137</v>
      </c>
    </row>
    <row r="3551" spans="1:5" x14ac:dyDescent="0.35">
      <c r="A3551" s="9" t="s">
        <v>135</v>
      </c>
      <c r="B3551" s="10"/>
      <c r="C3551" s="10" t="s">
        <v>150</v>
      </c>
      <c r="D3551" s="10" t="s">
        <v>147</v>
      </c>
      <c r="E3551" s="11" t="s">
        <v>137</v>
      </c>
    </row>
    <row r="3552" spans="1:5" x14ac:dyDescent="0.35">
      <c r="A3552" s="6" t="s">
        <v>135</v>
      </c>
      <c r="B3552" s="7"/>
      <c r="C3552" s="7"/>
      <c r="D3552" s="7" t="s">
        <v>148</v>
      </c>
      <c r="E3552" s="8" t="s">
        <v>137</v>
      </c>
    </row>
    <row r="3553" spans="1:5" x14ac:dyDescent="0.35">
      <c r="A3553" s="9" t="s">
        <v>135</v>
      </c>
      <c r="B3553" s="10"/>
      <c r="C3553" s="10"/>
      <c r="D3553" s="10" t="s">
        <v>149</v>
      </c>
      <c r="E3553" s="11" t="s">
        <v>137</v>
      </c>
    </row>
    <row r="3554" spans="1:5" x14ac:dyDescent="0.35">
      <c r="A3554" s="6" t="s">
        <v>135</v>
      </c>
      <c r="B3554" s="7" t="s">
        <v>154</v>
      </c>
      <c r="C3554" s="7" t="s">
        <v>146</v>
      </c>
      <c r="D3554" s="7" t="s">
        <v>147</v>
      </c>
      <c r="E3554" s="8" t="s">
        <v>137</v>
      </c>
    </row>
    <row r="3555" spans="1:5" x14ac:dyDescent="0.35">
      <c r="A3555" s="9" t="s">
        <v>135</v>
      </c>
      <c r="B3555" s="10"/>
      <c r="C3555" s="10"/>
      <c r="D3555" s="10" t="s">
        <v>148</v>
      </c>
      <c r="E3555" s="11" t="s">
        <v>137</v>
      </c>
    </row>
    <row r="3556" spans="1:5" x14ac:dyDescent="0.35">
      <c r="A3556" s="6" t="s">
        <v>135</v>
      </c>
      <c r="B3556" s="7"/>
      <c r="C3556" s="7"/>
      <c r="D3556" s="7" t="s">
        <v>149</v>
      </c>
      <c r="E3556" s="8" t="s">
        <v>137</v>
      </c>
    </row>
    <row r="3557" spans="1:5" x14ac:dyDescent="0.35">
      <c r="A3557" s="9" t="s">
        <v>135</v>
      </c>
      <c r="B3557" s="10"/>
      <c r="C3557" s="10" t="s">
        <v>150</v>
      </c>
      <c r="D3557" s="10" t="s">
        <v>147</v>
      </c>
      <c r="E3557" s="11" t="s">
        <v>137</v>
      </c>
    </row>
    <row r="3558" spans="1:5" x14ac:dyDescent="0.35">
      <c r="A3558" s="6" t="s">
        <v>135</v>
      </c>
      <c r="B3558" s="7"/>
      <c r="C3558" s="7"/>
      <c r="D3558" s="7" t="s">
        <v>148</v>
      </c>
      <c r="E3558" s="8" t="s">
        <v>137</v>
      </c>
    </row>
    <row r="3559" spans="1:5" x14ac:dyDescent="0.35">
      <c r="A3559" s="9" t="s">
        <v>135</v>
      </c>
      <c r="B3559" s="10"/>
      <c r="C3559" s="10"/>
      <c r="D3559" s="10" t="s">
        <v>149</v>
      </c>
      <c r="E3559" s="11" t="s">
        <v>137</v>
      </c>
    </row>
    <row r="3560" spans="1:5" x14ac:dyDescent="0.35">
      <c r="A3560" s="6" t="s">
        <v>135</v>
      </c>
      <c r="B3560" s="7" t="s">
        <v>155</v>
      </c>
      <c r="C3560" s="7" t="s">
        <v>146</v>
      </c>
      <c r="D3560" s="7" t="s">
        <v>147</v>
      </c>
      <c r="E3560" s="8">
        <v>61.7</v>
      </c>
    </row>
    <row r="3561" spans="1:5" x14ac:dyDescent="0.35">
      <c r="A3561" s="9" t="s">
        <v>135</v>
      </c>
      <c r="B3561" s="10"/>
      <c r="C3561" s="10"/>
      <c r="D3561" s="10" t="s">
        <v>148</v>
      </c>
      <c r="E3561" s="11">
        <v>61</v>
      </c>
    </row>
    <row r="3562" spans="1:5" x14ac:dyDescent="0.35">
      <c r="A3562" s="6" t="s">
        <v>135</v>
      </c>
      <c r="B3562" s="7"/>
      <c r="C3562" s="7"/>
      <c r="D3562" s="7" t="s">
        <v>149</v>
      </c>
      <c r="E3562" s="8">
        <v>0.7</v>
      </c>
    </row>
    <row r="3563" spans="1:5" x14ac:dyDescent="0.35">
      <c r="A3563" s="9" t="s">
        <v>135</v>
      </c>
      <c r="B3563" s="10"/>
      <c r="C3563" s="10" t="s">
        <v>150</v>
      </c>
      <c r="D3563" s="10" t="s">
        <v>147</v>
      </c>
      <c r="E3563" s="11" t="s">
        <v>137</v>
      </c>
    </row>
    <row r="3564" spans="1:5" x14ac:dyDescent="0.35">
      <c r="A3564" s="6" t="s">
        <v>135</v>
      </c>
      <c r="B3564" s="7"/>
      <c r="C3564" s="7"/>
      <c r="D3564" s="7" t="s">
        <v>148</v>
      </c>
      <c r="E3564" s="8" t="s">
        <v>137</v>
      </c>
    </row>
    <row r="3565" spans="1:5" x14ac:dyDescent="0.35">
      <c r="A3565" s="9" t="s">
        <v>135</v>
      </c>
      <c r="B3565" s="10"/>
      <c r="C3565" s="10"/>
      <c r="D3565" s="10" t="s">
        <v>149</v>
      </c>
      <c r="E3565" s="11" t="s">
        <v>137</v>
      </c>
    </row>
    <row r="3566" spans="1:5" x14ac:dyDescent="0.35">
      <c r="A3566" s="6" t="s">
        <v>135</v>
      </c>
      <c r="B3566" s="7" t="s">
        <v>156</v>
      </c>
      <c r="C3566" s="7" t="s">
        <v>146</v>
      </c>
      <c r="D3566" s="7" t="s">
        <v>147</v>
      </c>
      <c r="E3566" s="8" t="s">
        <v>137</v>
      </c>
    </row>
    <row r="3567" spans="1:5" x14ac:dyDescent="0.35">
      <c r="A3567" s="9" t="s">
        <v>135</v>
      </c>
      <c r="B3567" s="10"/>
      <c r="C3567" s="10"/>
      <c r="D3567" s="10" t="s">
        <v>148</v>
      </c>
      <c r="E3567" s="11" t="s">
        <v>137</v>
      </c>
    </row>
    <row r="3568" spans="1:5" x14ac:dyDescent="0.35">
      <c r="A3568" s="6" t="s">
        <v>135</v>
      </c>
      <c r="B3568" s="7"/>
      <c r="C3568" s="7"/>
      <c r="D3568" s="7" t="s">
        <v>149</v>
      </c>
      <c r="E3568" s="8" t="s">
        <v>137</v>
      </c>
    </row>
    <row r="3569" spans="1:5" x14ac:dyDescent="0.35">
      <c r="A3569" s="9" t="s">
        <v>135</v>
      </c>
      <c r="B3569" s="10"/>
      <c r="C3569" s="10" t="s">
        <v>150</v>
      </c>
      <c r="D3569" s="10" t="s">
        <v>147</v>
      </c>
      <c r="E3569" s="11" t="s">
        <v>137</v>
      </c>
    </row>
    <row r="3570" spans="1:5" x14ac:dyDescent="0.35">
      <c r="A3570" s="6" t="s">
        <v>135</v>
      </c>
      <c r="B3570" s="7"/>
      <c r="C3570" s="7"/>
      <c r="D3570" s="7" t="s">
        <v>148</v>
      </c>
      <c r="E3570" s="8" t="s">
        <v>137</v>
      </c>
    </row>
    <row r="3571" spans="1:5" x14ac:dyDescent="0.35">
      <c r="A3571" s="9" t="s">
        <v>135</v>
      </c>
      <c r="B3571" s="10"/>
      <c r="C3571" s="10"/>
      <c r="D3571" s="10" t="s">
        <v>149</v>
      </c>
      <c r="E3571" s="11" t="s">
        <v>137</v>
      </c>
    </row>
    <row r="3572" spans="1:5" x14ac:dyDescent="0.35">
      <c r="A3572" s="6" t="s">
        <v>135</v>
      </c>
      <c r="B3572" s="7" t="s">
        <v>157</v>
      </c>
      <c r="C3572" s="7" t="s">
        <v>146</v>
      </c>
      <c r="D3572" s="7" t="s">
        <v>147</v>
      </c>
      <c r="E3572" s="8" t="s">
        <v>137</v>
      </c>
    </row>
    <row r="3573" spans="1:5" x14ac:dyDescent="0.35">
      <c r="A3573" s="9" t="s">
        <v>135</v>
      </c>
      <c r="B3573" s="10"/>
      <c r="C3573" s="10"/>
      <c r="D3573" s="10" t="s">
        <v>148</v>
      </c>
      <c r="E3573" s="11" t="s">
        <v>137</v>
      </c>
    </row>
    <row r="3574" spans="1:5" x14ac:dyDescent="0.35">
      <c r="A3574" s="6" t="s">
        <v>135</v>
      </c>
      <c r="B3574" s="7"/>
      <c r="C3574" s="7"/>
      <c r="D3574" s="7" t="s">
        <v>149</v>
      </c>
      <c r="E3574" s="8" t="s">
        <v>137</v>
      </c>
    </row>
    <row r="3575" spans="1:5" x14ac:dyDescent="0.35">
      <c r="A3575" s="9" t="s">
        <v>135</v>
      </c>
      <c r="B3575" s="10"/>
      <c r="C3575" s="10" t="s">
        <v>150</v>
      </c>
      <c r="D3575" s="10" t="s">
        <v>147</v>
      </c>
      <c r="E3575" s="11" t="s">
        <v>137</v>
      </c>
    </row>
    <row r="3576" spans="1:5" x14ac:dyDescent="0.35">
      <c r="A3576" s="6" t="s">
        <v>135</v>
      </c>
      <c r="B3576" s="7"/>
      <c r="C3576" s="7"/>
      <c r="D3576" s="7" t="s">
        <v>148</v>
      </c>
      <c r="E3576" s="8" t="s">
        <v>137</v>
      </c>
    </row>
    <row r="3577" spans="1:5" x14ac:dyDescent="0.35">
      <c r="A3577" s="9" t="s">
        <v>135</v>
      </c>
      <c r="B3577" s="10"/>
      <c r="C3577" s="10"/>
      <c r="D3577" s="10" t="s">
        <v>149</v>
      </c>
      <c r="E3577" s="11" t="s">
        <v>137</v>
      </c>
    </row>
    <row r="3578" spans="1:5" x14ac:dyDescent="0.35">
      <c r="A3578" s="6" t="s">
        <v>135</v>
      </c>
      <c r="B3578" s="7" t="s">
        <v>158</v>
      </c>
      <c r="C3578" s="7" t="s">
        <v>146</v>
      </c>
      <c r="D3578" s="7" t="s">
        <v>147</v>
      </c>
      <c r="E3578" s="8">
        <v>87.2</v>
      </c>
    </row>
    <row r="3579" spans="1:5" x14ac:dyDescent="0.35">
      <c r="A3579" s="9" t="s">
        <v>135</v>
      </c>
      <c r="B3579" s="10"/>
      <c r="C3579" s="10"/>
      <c r="D3579" s="10" t="s">
        <v>148</v>
      </c>
      <c r="E3579" s="11">
        <v>87.2</v>
      </c>
    </row>
    <row r="3580" spans="1:5" x14ac:dyDescent="0.35">
      <c r="A3580" s="6" t="s">
        <v>135</v>
      </c>
      <c r="B3580" s="7"/>
      <c r="C3580" s="7"/>
      <c r="D3580" s="7" t="s">
        <v>149</v>
      </c>
      <c r="E3580" s="8" t="s">
        <v>137</v>
      </c>
    </row>
    <row r="3581" spans="1:5" x14ac:dyDescent="0.35">
      <c r="A3581" s="9" t="s">
        <v>135</v>
      </c>
      <c r="B3581" s="10"/>
      <c r="C3581" s="10" t="s">
        <v>150</v>
      </c>
      <c r="D3581" s="10" t="s">
        <v>147</v>
      </c>
      <c r="E3581" s="11" t="s">
        <v>137</v>
      </c>
    </row>
    <row r="3582" spans="1:5" x14ac:dyDescent="0.35">
      <c r="A3582" s="6" t="s">
        <v>135</v>
      </c>
      <c r="B3582" s="7"/>
      <c r="C3582" s="7"/>
      <c r="D3582" s="7" t="s">
        <v>148</v>
      </c>
      <c r="E3582" s="8" t="s">
        <v>137</v>
      </c>
    </row>
    <row r="3583" spans="1:5" x14ac:dyDescent="0.35">
      <c r="A3583" s="9" t="s">
        <v>135</v>
      </c>
      <c r="B3583" s="10"/>
      <c r="C3583" s="10"/>
      <c r="D3583" s="10" t="s">
        <v>149</v>
      </c>
      <c r="E3583" s="11" t="s">
        <v>137</v>
      </c>
    </row>
    <row r="3584" spans="1:5" x14ac:dyDescent="0.35">
      <c r="A3584" s="6" t="s">
        <v>135</v>
      </c>
      <c r="B3584" s="7" t="s">
        <v>159</v>
      </c>
      <c r="C3584" s="7" t="s">
        <v>146</v>
      </c>
      <c r="D3584" s="7" t="s">
        <v>147</v>
      </c>
      <c r="E3584" s="8" t="s">
        <v>137</v>
      </c>
    </row>
    <row r="3585" spans="1:5" x14ac:dyDescent="0.35">
      <c r="A3585" s="9" t="s">
        <v>135</v>
      </c>
      <c r="B3585" s="10"/>
      <c r="C3585" s="10"/>
      <c r="D3585" s="10" t="s">
        <v>148</v>
      </c>
      <c r="E3585" s="11" t="s">
        <v>137</v>
      </c>
    </row>
    <row r="3586" spans="1:5" x14ac:dyDescent="0.35">
      <c r="A3586" s="6" t="s">
        <v>135</v>
      </c>
      <c r="B3586" s="7"/>
      <c r="C3586" s="7"/>
      <c r="D3586" s="7" t="s">
        <v>149</v>
      </c>
      <c r="E3586" s="8" t="s">
        <v>137</v>
      </c>
    </row>
    <row r="3587" spans="1:5" x14ac:dyDescent="0.35">
      <c r="A3587" s="9" t="s">
        <v>135</v>
      </c>
      <c r="B3587" s="10"/>
      <c r="C3587" s="10" t="s">
        <v>150</v>
      </c>
      <c r="D3587" s="10" t="s">
        <v>147</v>
      </c>
      <c r="E3587" s="11" t="s">
        <v>137</v>
      </c>
    </row>
    <row r="3588" spans="1:5" x14ac:dyDescent="0.35">
      <c r="A3588" s="6" t="s">
        <v>135</v>
      </c>
      <c r="B3588" s="7"/>
      <c r="C3588" s="7"/>
      <c r="D3588" s="7" t="s">
        <v>148</v>
      </c>
      <c r="E3588" s="8" t="s">
        <v>137</v>
      </c>
    </row>
    <row r="3589" spans="1:5" x14ac:dyDescent="0.35">
      <c r="A3589" s="9" t="s">
        <v>135</v>
      </c>
      <c r="B3589" s="10"/>
      <c r="C3589" s="10"/>
      <c r="D3589" s="10" t="s">
        <v>149</v>
      </c>
      <c r="E3589" s="11" t="s">
        <v>137</v>
      </c>
    </row>
    <row r="3590" spans="1:5" x14ac:dyDescent="0.35">
      <c r="A3590" s="6" t="s">
        <v>135</v>
      </c>
      <c r="B3590" s="7" t="s">
        <v>160</v>
      </c>
      <c r="C3590" s="7" t="s">
        <v>146</v>
      </c>
      <c r="D3590" s="7" t="s">
        <v>147</v>
      </c>
      <c r="E3590" s="8" t="s">
        <v>137</v>
      </c>
    </row>
    <row r="3591" spans="1:5" x14ac:dyDescent="0.35">
      <c r="A3591" s="9" t="s">
        <v>135</v>
      </c>
      <c r="B3591" s="10"/>
      <c r="C3591" s="10"/>
      <c r="D3591" s="10" t="s">
        <v>148</v>
      </c>
      <c r="E3591" s="11" t="s">
        <v>137</v>
      </c>
    </row>
    <row r="3592" spans="1:5" x14ac:dyDescent="0.35">
      <c r="A3592" s="6" t="s">
        <v>135</v>
      </c>
      <c r="B3592" s="7"/>
      <c r="C3592" s="7"/>
      <c r="D3592" s="7" t="s">
        <v>149</v>
      </c>
      <c r="E3592" s="8" t="s">
        <v>137</v>
      </c>
    </row>
    <row r="3593" spans="1:5" x14ac:dyDescent="0.35">
      <c r="A3593" s="9" t="s">
        <v>135</v>
      </c>
      <c r="B3593" s="10"/>
      <c r="C3593" s="10" t="s">
        <v>150</v>
      </c>
      <c r="D3593" s="10" t="s">
        <v>147</v>
      </c>
      <c r="E3593" s="11" t="s">
        <v>137</v>
      </c>
    </row>
    <row r="3594" spans="1:5" x14ac:dyDescent="0.35">
      <c r="A3594" s="6" t="s">
        <v>135</v>
      </c>
      <c r="B3594" s="7"/>
      <c r="C3594" s="7"/>
      <c r="D3594" s="7" t="s">
        <v>148</v>
      </c>
      <c r="E3594" s="8" t="s">
        <v>137</v>
      </c>
    </row>
    <row r="3595" spans="1:5" x14ac:dyDescent="0.35">
      <c r="A3595" s="9" t="s">
        <v>135</v>
      </c>
      <c r="B3595" s="10"/>
      <c r="C3595" s="10"/>
      <c r="D3595" s="10" t="s">
        <v>149</v>
      </c>
      <c r="E3595" s="11" t="s">
        <v>137</v>
      </c>
    </row>
    <row r="3596" spans="1:5" x14ac:dyDescent="0.35">
      <c r="A3596" s="6" t="s">
        <v>135</v>
      </c>
      <c r="B3596" s="7" t="s">
        <v>161</v>
      </c>
      <c r="C3596" s="7" t="s">
        <v>146</v>
      </c>
      <c r="D3596" s="7" t="s">
        <v>147</v>
      </c>
      <c r="E3596" s="8">
        <v>3.45</v>
      </c>
    </row>
    <row r="3597" spans="1:5" x14ac:dyDescent="0.35">
      <c r="A3597" s="9" t="s">
        <v>135</v>
      </c>
      <c r="B3597" s="10"/>
      <c r="C3597" s="10"/>
      <c r="D3597" s="10" t="s">
        <v>148</v>
      </c>
      <c r="E3597" s="11">
        <v>3.45</v>
      </c>
    </row>
    <row r="3598" spans="1:5" x14ac:dyDescent="0.35">
      <c r="A3598" s="6" t="s">
        <v>135</v>
      </c>
      <c r="B3598" s="7"/>
      <c r="C3598" s="7"/>
      <c r="D3598" s="7" t="s">
        <v>149</v>
      </c>
      <c r="E3598" s="8" t="s">
        <v>137</v>
      </c>
    </row>
    <row r="3599" spans="1:5" x14ac:dyDescent="0.35">
      <c r="A3599" s="9" t="s">
        <v>135</v>
      </c>
      <c r="B3599" s="10"/>
      <c r="C3599" s="10" t="s">
        <v>150</v>
      </c>
      <c r="D3599" s="10" t="s">
        <v>147</v>
      </c>
      <c r="E3599" s="11" t="s">
        <v>137</v>
      </c>
    </row>
    <row r="3600" spans="1:5" x14ac:dyDescent="0.35">
      <c r="A3600" s="6" t="s">
        <v>135</v>
      </c>
      <c r="B3600" s="7"/>
      <c r="C3600" s="7"/>
      <c r="D3600" s="7" t="s">
        <v>148</v>
      </c>
      <c r="E3600" s="8" t="s">
        <v>137</v>
      </c>
    </row>
    <row r="3601" spans="1:5" x14ac:dyDescent="0.35">
      <c r="A3601" s="9" t="s">
        <v>135</v>
      </c>
      <c r="B3601" s="10"/>
      <c r="C3601" s="10"/>
      <c r="D3601" s="10" t="s">
        <v>149</v>
      </c>
      <c r="E3601" s="11" t="s">
        <v>137</v>
      </c>
    </row>
    <row r="3602" spans="1:5" x14ac:dyDescent="0.35">
      <c r="A3602" s="6" t="s">
        <v>135</v>
      </c>
      <c r="B3602" s="7" t="s">
        <v>162</v>
      </c>
      <c r="C3602" s="7" t="s">
        <v>146</v>
      </c>
      <c r="D3602" s="7" t="s">
        <v>147</v>
      </c>
      <c r="E3602" s="8" t="s">
        <v>137</v>
      </c>
    </row>
    <row r="3603" spans="1:5" x14ac:dyDescent="0.35">
      <c r="A3603" s="9" t="s">
        <v>135</v>
      </c>
      <c r="B3603" s="10"/>
      <c r="C3603" s="10"/>
      <c r="D3603" s="10" t="s">
        <v>148</v>
      </c>
      <c r="E3603" s="11" t="s">
        <v>137</v>
      </c>
    </row>
    <row r="3604" spans="1:5" x14ac:dyDescent="0.35">
      <c r="A3604" s="6" t="s">
        <v>135</v>
      </c>
      <c r="B3604" s="7"/>
      <c r="C3604" s="7"/>
      <c r="D3604" s="7" t="s">
        <v>149</v>
      </c>
      <c r="E3604" s="8" t="s">
        <v>137</v>
      </c>
    </row>
    <row r="3605" spans="1:5" x14ac:dyDescent="0.35">
      <c r="A3605" s="9" t="s">
        <v>135</v>
      </c>
      <c r="B3605" s="10"/>
      <c r="C3605" s="10" t="s">
        <v>150</v>
      </c>
      <c r="D3605" s="10" t="s">
        <v>147</v>
      </c>
      <c r="E3605" s="11" t="s">
        <v>137</v>
      </c>
    </row>
    <row r="3606" spans="1:5" x14ac:dyDescent="0.35">
      <c r="A3606" s="6" t="s">
        <v>135</v>
      </c>
      <c r="B3606" s="7"/>
      <c r="C3606" s="7"/>
      <c r="D3606" s="7" t="s">
        <v>148</v>
      </c>
      <c r="E3606" s="8" t="s">
        <v>137</v>
      </c>
    </row>
    <row r="3607" spans="1:5" x14ac:dyDescent="0.35">
      <c r="A3607" s="9" t="s">
        <v>135</v>
      </c>
      <c r="B3607" s="10"/>
      <c r="C3607" s="10"/>
      <c r="D3607" s="10" t="s">
        <v>149</v>
      </c>
      <c r="E3607" s="11" t="s">
        <v>137</v>
      </c>
    </row>
    <row r="3608" spans="1:5" x14ac:dyDescent="0.35">
      <c r="A3608" s="6" t="s">
        <v>135</v>
      </c>
      <c r="B3608" s="7" t="s">
        <v>163</v>
      </c>
      <c r="C3608" s="7" t="s">
        <v>146</v>
      </c>
      <c r="D3608" s="7" t="s">
        <v>147</v>
      </c>
      <c r="E3608" s="8">
        <v>639.6</v>
      </c>
    </row>
    <row r="3609" spans="1:5" x14ac:dyDescent="0.35">
      <c r="A3609" s="9" t="s">
        <v>135</v>
      </c>
      <c r="B3609" s="10"/>
      <c r="C3609" s="10"/>
      <c r="D3609" s="10" t="s">
        <v>148</v>
      </c>
      <c r="E3609" s="11">
        <v>639.6</v>
      </c>
    </row>
    <row r="3610" spans="1:5" x14ac:dyDescent="0.35">
      <c r="A3610" s="6" t="s">
        <v>135</v>
      </c>
      <c r="B3610" s="7"/>
      <c r="C3610" s="7"/>
      <c r="D3610" s="7" t="s">
        <v>149</v>
      </c>
      <c r="E3610" s="8" t="s">
        <v>137</v>
      </c>
    </row>
    <row r="3611" spans="1:5" x14ac:dyDescent="0.35">
      <c r="A3611" s="9" t="s">
        <v>135</v>
      </c>
      <c r="B3611" s="10"/>
      <c r="C3611" s="10" t="s">
        <v>150</v>
      </c>
      <c r="D3611" s="10" t="s">
        <v>147</v>
      </c>
      <c r="E3611" s="11" t="s">
        <v>137</v>
      </c>
    </row>
    <row r="3612" spans="1:5" x14ac:dyDescent="0.35">
      <c r="A3612" s="6" t="s">
        <v>135</v>
      </c>
      <c r="B3612" s="7"/>
      <c r="C3612" s="7"/>
      <c r="D3612" s="7" t="s">
        <v>148</v>
      </c>
      <c r="E3612" s="8" t="s">
        <v>137</v>
      </c>
    </row>
    <row r="3613" spans="1:5" x14ac:dyDescent="0.35">
      <c r="A3613" s="9" t="s">
        <v>135</v>
      </c>
      <c r="B3613" s="10"/>
      <c r="C3613" s="10"/>
      <c r="D3613" s="10" t="s">
        <v>149</v>
      </c>
      <c r="E3613" s="11" t="s">
        <v>137</v>
      </c>
    </row>
    <row r="3614" spans="1:5" x14ac:dyDescent="0.35">
      <c r="A3614" s="6" t="s">
        <v>135</v>
      </c>
      <c r="B3614" s="7" t="s">
        <v>164</v>
      </c>
      <c r="C3614" s="7" t="s">
        <v>146</v>
      </c>
      <c r="D3614" s="7" t="s">
        <v>147</v>
      </c>
      <c r="E3614" s="8" t="s">
        <v>137</v>
      </c>
    </row>
    <row r="3615" spans="1:5" x14ac:dyDescent="0.35">
      <c r="A3615" s="9" t="s">
        <v>135</v>
      </c>
      <c r="B3615" s="10"/>
      <c r="C3615" s="10"/>
      <c r="D3615" s="10" t="s">
        <v>148</v>
      </c>
      <c r="E3615" s="11" t="s">
        <v>137</v>
      </c>
    </row>
    <row r="3616" spans="1:5" x14ac:dyDescent="0.35">
      <c r="A3616" s="6" t="s">
        <v>135</v>
      </c>
      <c r="B3616" s="7"/>
      <c r="C3616" s="7"/>
      <c r="D3616" s="7" t="s">
        <v>149</v>
      </c>
      <c r="E3616" s="8" t="s">
        <v>137</v>
      </c>
    </row>
    <row r="3617" spans="1:5" x14ac:dyDescent="0.35">
      <c r="A3617" s="9" t="s">
        <v>135</v>
      </c>
      <c r="B3617" s="10"/>
      <c r="C3617" s="10" t="s">
        <v>150</v>
      </c>
      <c r="D3617" s="10" t="s">
        <v>147</v>
      </c>
      <c r="E3617" s="11" t="s">
        <v>137</v>
      </c>
    </row>
    <row r="3618" spans="1:5" x14ac:dyDescent="0.35">
      <c r="A3618" s="6" t="s">
        <v>135</v>
      </c>
      <c r="B3618" s="7"/>
      <c r="C3618" s="7"/>
      <c r="D3618" s="7" t="s">
        <v>148</v>
      </c>
      <c r="E3618" s="8" t="s">
        <v>137</v>
      </c>
    </row>
    <row r="3619" spans="1:5" x14ac:dyDescent="0.35">
      <c r="A3619" s="9" t="s">
        <v>135</v>
      </c>
      <c r="B3619" s="10"/>
      <c r="C3619" s="10"/>
      <c r="D3619" s="10" t="s">
        <v>149</v>
      </c>
      <c r="E3619" s="11" t="s">
        <v>137</v>
      </c>
    </row>
    <row r="3620" spans="1:5" x14ac:dyDescent="0.35">
      <c r="A3620" s="6" t="s">
        <v>135</v>
      </c>
      <c r="B3620" s="7" t="s">
        <v>165</v>
      </c>
      <c r="C3620" s="7" t="s">
        <v>146</v>
      </c>
      <c r="D3620" s="7" t="s">
        <v>147</v>
      </c>
      <c r="E3620" s="8">
        <v>182.8</v>
      </c>
    </row>
    <row r="3621" spans="1:5" x14ac:dyDescent="0.35">
      <c r="A3621" s="9" t="s">
        <v>135</v>
      </c>
      <c r="B3621" s="10"/>
      <c r="C3621" s="10"/>
      <c r="D3621" s="10" t="s">
        <v>148</v>
      </c>
      <c r="E3621" s="11">
        <v>182.8</v>
      </c>
    </row>
    <row r="3622" spans="1:5" x14ac:dyDescent="0.35">
      <c r="A3622" s="6" t="s">
        <v>135</v>
      </c>
      <c r="B3622" s="7"/>
      <c r="C3622" s="7"/>
      <c r="D3622" s="7" t="s">
        <v>149</v>
      </c>
      <c r="E3622" s="8" t="s">
        <v>137</v>
      </c>
    </row>
    <row r="3623" spans="1:5" x14ac:dyDescent="0.35">
      <c r="A3623" s="9" t="s">
        <v>135</v>
      </c>
      <c r="B3623" s="10"/>
      <c r="C3623" s="10" t="s">
        <v>150</v>
      </c>
      <c r="D3623" s="10" t="s">
        <v>147</v>
      </c>
      <c r="E3623" s="11" t="s">
        <v>137</v>
      </c>
    </row>
    <row r="3624" spans="1:5" x14ac:dyDescent="0.35">
      <c r="A3624" s="6" t="s">
        <v>135</v>
      </c>
      <c r="B3624" s="7"/>
      <c r="C3624" s="7"/>
      <c r="D3624" s="7" t="s">
        <v>148</v>
      </c>
      <c r="E3624" s="8" t="s">
        <v>137</v>
      </c>
    </row>
    <row r="3625" spans="1:5" x14ac:dyDescent="0.35">
      <c r="A3625" s="9" t="s">
        <v>135</v>
      </c>
      <c r="B3625" s="10"/>
      <c r="C3625" s="10"/>
      <c r="D3625" s="10" t="s">
        <v>149</v>
      </c>
      <c r="E3625" s="11" t="s">
        <v>137</v>
      </c>
    </row>
    <row r="3626" spans="1:5" x14ac:dyDescent="0.35">
      <c r="A3626" s="6" t="s">
        <v>135</v>
      </c>
      <c r="B3626" s="7" t="s">
        <v>166</v>
      </c>
      <c r="C3626" s="7" t="s">
        <v>146</v>
      </c>
      <c r="D3626" s="7" t="s">
        <v>147</v>
      </c>
      <c r="E3626" s="8">
        <v>456.8</v>
      </c>
    </row>
    <row r="3627" spans="1:5" x14ac:dyDescent="0.35">
      <c r="A3627" s="9" t="s">
        <v>135</v>
      </c>
      <c r="B3627" s="10"/>
      <c r="C3627" s="10"/>
      <c r="D3627" s="10" t="s">
        <v>148</v>
      </c>
      <c r="E3627" s="11">
        <v>456.8</v>
      </c>
    </row>
    <row r="3628" spans="1:5" x14ac:dyDescent="0.35">
      <c r="A3628" s="6" t="s">
        <v>135</v>
      </c>
      <c r="B3628" s="7"/>
      <c r="C3628" s="7"/>
      <c r="D3628" s="7" t="s">
        <v>149</v>
      </c>
      <c r="E3628" s="8" t="s">
        <v>137</v>
      </c>
    </row>
    <row r="3629" spans="1:5" x14ac:dyDescent="0.35">
      <c r="A3629" s="9" t="s">
        <v>135</v>
      </c>
      <c r="B3629" s="10"/>
      <c r="C3629" s="10" t="s">
        <v>150</v>
      </c>
      <c r="D3629" s="10" t="s">
        <v>147</v>
      </c>
      <c r="E3629" s="11" t="s">
        <v>137</v>
      </c>
    </row>
    <row r="3630" spans="1:5" x14ac:dyDescent="0.35">
      <c r="A3630" s="6" t="s">
        <v>135</v>
      </c>
      <c r="B3630" s="7"/>
      <c r="C3630" s="7"/>
      <c r="D3630" s="7" t="s">
        <v>148</v>
      </c>
      <c r="E3630" s="8" t="s">
        <v>137</v>
      </c>
    </row>
    <row r="3631" spans="1:5" x14ac:dyDescent="0.35">
      <c r="A3631" s="9" t="s">
        <v>135</v>
      </c>
      <c r="B3631" s="10"/>
      <c r="C3631" s="10"/>
      <c r="D3631" s="10" t="s">
        <v>149</v>
      </c>
      <c r="E3631" s="11" t="s">
        <v>137</v>
      </c>
    </row>
    <row r="3632" spans="1:5" x14ac:dyDescent="0.35">
      <c r="A3632" s="6" t="s">
        <v>135</v>
      </c>
      <c r="B3632" s="7" t="s">
        <v>167</v>
      </c>
      <c r="C3632" s="7" t="s">
        <v>146</v>
      </c>
      <c r="D3632" s="7" t="s">
        <v>147</v>
      </c>
      <c r="E3632" s="8" t="s">
        <v>137</v>
      </c>
    </row>
    <row r="3633" spans="1:5" x14ac:dyDescent="0.35">
      <c r="A3633" s="9" t="s">
        <v>135</v>
      </c>
      <c r="B3633" s="10"/>
      <c r="C3633" s="10"/>
      <c r="D3633" s="10" t="s">
        <v>148</v>
      </c>
      <c r="E3633" s="11" t="s">
        <v>137</v>
      </c>
    </row>
    <row r="3634" spans="1:5" x14ac:dyDescent="0.35">
      <c r="A3634" s="6" t="s">
        <v>135</v>
      </c>
      <c r="B3634" s="7"/>
      <c r="C3634" s="7"/>
      <c r="D3634" s="7" t="s">
        <v>149</v>
      </c>
      <c r="E3634" s="8" t="s">
        <v>137</v>
      </c>
    </row>
    <row r="3635" spans="1:5" x14ac:dyDescent="0.35">
      <c r="A3635" s="9" t="s">
        <v>135</v>
      </c>
      <c r="B3635" s="10"/>
      <c r="C3635" s="10" t="s">
        <v>150</v>
      </c>
      <c r="D3635" s="10" t="s">
        <v>147</v>
      </c>
      <c r="E3635" s="11" t="s">
        <v>137</v>
      </c>
    </row>
    <row r="3636" spans="1:5" x14ac:dyDescent="0.35">
      <c r="A3636" s="6" t="s">
        <v>135</v>
      </c>
      <c r="B3636" s="7"/>
      <c r="C3636" s="7"/>
      <c r="D3636" s="7" t="s">
        <v>148</v>
      </c>
      <c r="E3636" s="8" t="s">
        <v>137</v>
      </c>
    </row>
    <row r="3637" spans="1:5" x14ac:dyDescent="0.35">
      <c r="A3637" s="9" t="s">
        <v>135</v>
      </c>
      <c r="B3637" s="10"/>
      <c r="C3637" s="10"/>
      <c r="D3637" s="10" t="s">
        <v>149</v>
      </c>
      <c r="E3637" s="11" t="s">
        <v>137</v>
      </c>
    </row>
    <row r="3638" spans="1:5" x14ac:dyDescent="0.35">
      <c r="A3638" s="6" t="s">
        <v>135</v>
      </c>
      <c r="B3638" s="7" t="s">
        <v>168</v>
      </c>
      <c r="C3638" s="7" t="s">
        <v>146</v>
      </c>
      <c r="D3638" s="7" t="s">
        <v>147</v>
      </c>
      <c r="E3638" s="8" t="s">
        <v>137</v>
      </c>
    </row>
    <row r="3639" spans="1:5" x14ac:dyDescent="0.35">
      <c r="A3639" s="9" t="s">
        <v>135</v>
      </c>
      <c r="B3639" s="10"/>
      <c r="C3639" s="10"/>
      <c r="D3639" s="10" t="s">
        <v>148</v>
      </c>
      <c r="E3639" s="11" t="s">
        <v>137</v>
      </c>
    </row>
    <row r="3640" spans="1:5" x14ac:dyDescent="0.35">
      <c r="A3640" s="6" t="s">
        <v>135</v>
      </c>
      <c r="B3640" s="7"/>
      <c r="C3640" s="7"/>
      <c r="D3640" s="7" t="s">
        <v>149</v>
      </c>
      <c r="E3640" s="8" t="s">
        <v>137</v>
      </c>
    </row>
    <row r="3641" spans="1:5" x14ac:dyDescent="0.35">
      <c r="A3641" s="9" t="s">
        <v>135</v>
      </c>
      <c r="B3641" s="10"/>
      <c r="C3641" s="10" t="s">
        <v>150</v>
      </c>
      <c r="D3641" s="10" t="s">
        <v>147</v>
      </c>
      <c r="E3641" s="11" t="s">
        <v>137</v>
      </c>
    </row>
    <row r="3642" spans="1:5" x14ac:dyDescent="0.35">
      <c r="A3642" s="6" t="s">
        <v>135</v>
      </c>
      <c r="B3642" s="7"/>
      <c r="C3642" s="7"/>
      <c r="D3642" s="7" t="s">
        <v>148</v>
      </c>
      <c r="E3642" s="8" t="s">
        <v>137</v>
      </c>
    </row>
    <row r="3643" spans="1:5" x14ac:dyDescent="0.35">
      <c r="A3643" s="9" t="s">
        <v>135</v>
      </c>
      <c r="B3643" s="10"/>
      <c r="C3643" s="10"/>
      <c r="D3643" s="10" t="s">
        <v>149</v>
      </c>
      <c r="E3643" s="11" t="s">
        <v>137</v>
      </c>
    </row>
    <row r="3644" spans="1:5" x14ac:dyDescent="0.35">
      <c r="A3644" s="6" t="s">
        <v>135</v>
      </c>
      <c r="B3644" s="7" t="s">
        <v>169</v>
      </c>
      <c r="C3644" s="7" t="s">
        <v>146</v>
      </c>
      <c r="D3644" s="7" t="s">
        <v>147</v>
      </c>
      <c r="E3644" s="8" t="s">
        <v>137</v>
      </c>
    </row>
    <row r="3645" spans="1:5" x14ac:dyDescent="0.35">
      <c r="A3645" s="9" t="s">
        <v>135</v>
      </c>
      <c r="B3645" s="10"/>
      <c r="C3645" s="10"/>
      <c r="D3645" s="10" t="s">
        <v>148</v>
      </c>
      <c r="E3645" s="11" t="s">
        <v>137</v>
      </c>
    </row>
    <row r="3646" spans="1:5" x14ac:dyDescent="0.35">
      <c r="A3646" s="6" t="s">
        <v>135</v>
      </c>
      <c r="B3646" s="7"/>
      <c r="C3646" s="7"/>
      <c r="D3646" s="7" t="s">
        <v>149</v>
      </c>
      <c r="E3646" s="8" t="s">
        <v>137</v>
      </c>
    </row>
    <row r="3647" spans="1:5" x14ac:dyDescent="0.35">
      <c r="A3647" s="9" t="s">
        <v>135</v>
      </c>
      <c r="B3647" s="10"/>
      <c r="C3647" s="10" t="s">
        <v>150</v>
      </c>
      <c r="D3647" s="10" t="s">
        <v>147</v>
      </c>
      <c r="E3647" s="11" t="s">
        <v>137</v>
      </c>
    </row>
    <row r="3648" spans="1:5" x14ac:dyDescent="0.35">
      <c r="A3648" s="6" t="s">
        <v>135</v>
      </c>
      <c r="B3648" s="7"/>
      <c r="C3648" s="7"/>
      <c r="D3648" s="7" t="s">
        <v>148</v>
      </c>
      <c r="E3648" s="8" t="s">
        <v>137</v>
      </c>
    </row>
    <row r="3649" spans="1:5" x14ac:dyDescent="0.35">
      <c r="A3649" s="9" t="s">
        <v>135</v>
      </c>
      <c r="B3649" s="10"/>
      <c r="C3649" s="10"/>
      <c r="D3649" s="10" t="s">
        <v>149</v>
      </c>
      <c r="E3649" s="11" t="s">
        <v>137</v>
      </c>
    </row>
    <row r="3650" spans="1:5" x14ac:dyDescent="0.35">
      <c r="A3650" s="6" t="s">
        <v>135</v>
      </c>
      <c r="B3650" s="7" t="s">
        <v>170</v>
      </c>
      <c r="C3650" s="7" t="s">
        <v>146</v>
      </c>
      <c r="D3650" s="7" t="s">
        <v>147</v>
      </c>
      <c r="E3650" s="8" t="s">
        <v>137</v>
      </c>
    </row>
    <row r="3651" spans="1:5" x14ac:dyDescent="0.35">
      <c r="A3651" s="9" t="s">
        <v>135</v>
      </c>
      <c r="B3651" s="10"/>
      <c r="C3651" s="10"/>
      <c r="D3651" s="10" t="s">
        <v>148</v>
      </c>
      <c r="E3651" s="11" t="s">
        <v>137</v>
      </c>
    </row>
    <row r="3652" spans="1:5" x14ac:dyDescent="0.35">
      <c r="A3652" s="6" t="s">
        <v>135</v>
      </c>
      <c r="B3652" s="7"/>
      <c r="C3652" s="7"/>
      <c r="D3652" s="7" t="s">
        <v>149</v>
      </c>
      <c r="E3652" s="8" t="s">
        <v>137</v>
      </c>
    </row>
    <row r="3653" spans="1:5" x14ac:dyDescent="0.35">
      <c r="A3653" s="9" t="s">
        <v>135</v>
      </c>
      <c r="B3653" s="10"/>
      <c r="C3653" s="10" t="s">
        <v>150</v>
      </c>
      <c r="D3653" s="10" t="s">
        <v>147</v>
      </c>
      <c r="E3653" s="11" t="s">
        <v>137</v>
      </c>
    </row>
    <row r="3654" spans="1:5" x14ac:dyDescent="0.35">
      <c r="A3654" s="6" t="s">
        <v>135</v>
      </c>
      <c r="B3654" s="7"/>
      <c r="C3654" s="7"/>
      <c r="D3654" s="7" t="s">
        <v>148</v>
      </c>
      <c r="E3654" s="8" t="s">
        <v>137</v>
      </c>
    </row>
    <row r="3655" spans="1:5" x14ac:dyDescent="0.35">
      <c r="A3655" s="9" t="s">
        <v>135</v>
      </c>
      <c r="B3655" s="10"/>
      <c r="C3655" s="10"/>
      <c r="D3655" s="10" t="s">
        <v>149</v>
      </c>
      <c r="E3655" s="11" t="s">
        <v>137</v>
      </c>
    </row>
    <row r="3656" spans="1:5" x14ac:dyDescent="0.35">
      <c r="A3656" s="6" t="s">
        <v>77</v>
      </c>
      <c r="B3656" s="7" t="s">
        <v>145</v>
      </c>
      <c r="C3656" s="7" t="s">
        <v>146</v>
      </c>
      <c r="D3656" s="7" t="s">
        <v>147</v>
      </c>
      <c r="E3656" s="8">
        <v>4658.93</v>
      </c>
    </row>
    <row r="3657" spans="1:5" x14ac:dyDescent="0.35">
      <c r="A3657" s="9" t="s">
        <v>135</v>
      </c>
      <c r="B3657" s="10"/>
      <c r="C3657" s="10"/>
      <c r="D3657" s="10" t="s">
        <v>148</v>
      </c>
      <c r="E3657" s="11">
        <v>4630.93</v>
      </c>
    </row>
    <row r="3658" spans="1:5" x14ac:dyDescent="0.35">
      <c r="A3658" s="6" t="s">
        <v>135</v>
      </c>
      <c r="B3658" s="7"/>
      <c r="C3658" s="7"/>
      <c r="D3658" s="7" t="s">
        <v>149</v>
      </c>
      <c r="E3658" s="8">
        <v>28</v>
      </c>
    </row>
    <row r="3659" spans="1:5" x14ac:dyDescent="0.35">
      <c r="A3659" s="9" t="s">
        <v>135</v>
      </c>
      <c r="B3659" s="10"/>
      <c r="C3659" s="10" t="s">
        <v>150</v>
      </c>
      <c r="D3659" s="10" t="s">
        <v>147</v>
      </c>
      <c r="E3659" s="11" t="s">
        <v>137</v>
      </c>
    </row>
    <row r="3660" spans="1:5" x14ac:dyDescent="0.35">
      <c r="A3660" s="6" t="s">
        <v>135</v>
      </c>
      <c r="B3660" s="7"/>
      <c r="C3660" s="7"/>
      <c r="D3660" s="7" t="s">
        <v>148</v>
      </c>
      <c r="E3660" s="8" t="s">
        <v>137</v>
      </c>
    </row>
    <row r="3661" spans="1:5" x14ac:dyDescent="0.35">
      <c r="A3661" s="9" t="s">
        <v>135</v>
      </c>
      <c r="B3661" s="10"/>
      <c r="C3661" s="10"/>
      <c r="D3661" s="10" t="s">
        <v>149</v>
      </c>
      <c r="E3661" s="11" t="s">
        <v>137</v>
      </c>
    </row>
    <row r="3662" spans="1:5" x14ac:dyDescent="0.35">
      <c r="A3662" s="6" t="s">
        <v>135</v>
      </c>
      <c r="B3662" s="7" t="s">
        <v>151</v>
      </c>
      <c r="C3662" s="7" t="s">
        <v>146</v>
      </c>
      <c r="D3662" s="7" t="s">
        <v>147</v>
      </c>
      <c r="E3662" s="8">
        <v>411</v>
      </c>
    </row>
    <row r="3663" spans="1:5" x14ac:dyDescent="0.35">
      <c r="A3663" s="9" t="s">
        <v>135</v>
      </c>
      <c r="B3663" s="10"/>
      <c r="C3663" s="10"/>
      <c r="D3663" s="10" t="s">
        <v>148</v>
      </c>
      <c r="E3663" s="11">
        <v>388</v>
      </c>
    </row>
    <row r="3664" spans="1:5" x14ac:dyDescent="0.35">
      <c r="A3664" s="6" t="s">
        <v>135</v>
      </c>
      <c r="B3664" s="7"/>
      <c r="C3664" s="7"/>
      <c r="D3664" s="7" t="s">
        <v>149</v>
      </c>
      <c r="E3664" s="8">
        <v>23</v>
      </c>
    </row>
    <row r="3665" spans="1:5" x14ac:dyDescent="0.35">
      <c r="A3665" s="9" t="s">
        <v>135</v>
      </c>
      <c r="B3665" s="10"/>
      <c r="C3665" s="10" t="s">
        <v>150</v>
      </c>
      <c r="D3665" s="10" t="s">
        <v>147</v>
      </c>
      <c r="E3665" s="11" t="s">
        <v>137</v>
      </c>
    </row>
    <row r="3666" spans="1:5" x14ac:dyDescent="0.35">
      <c r="A3666" s="6" t="s">
        <v>135</v>
      </c>
      <c r="B3666" s="7"/>
      <c r="C3666" s="7"/>
      <c r="D3666" s="7" t="s">
        <v>148</v>
      </c>
      <c r="E3666" s="8" t="s">
        <v>137</v>
      </c>
    </row>
    <row r="3667" spans="1:5" x14ac:dyDescent="0.35">
      <c r="A3667" s="9" t="s">
        <v>135</v>
      </c>
      <c r="B3667" s="10"/>
      <c r="C3667" s="10"/>
      <c r="D3667" s="10" t="s">
        <v>149</v>
      </c>
      <c r="E3667" s="11" t="s">
        <v>137</v>
      </c>
    </row>
    <row r="3668" spans="1:5" x14ac:dyDescent="0.35">
      <c r="A3668" s="6" t="s">
        <v>135</v>
      </c>
      <c r="B3668" s="7" t="s">
        <v>152</v>
      </c>
      <c r="C3668" s="7" t="s">
        <v>146</v>
      </c>
      <c r="D3668" s="7" t="s">
        <v>147</v>
      </c>
      <c r="E3668" s="8">
        <v>540</v>
      </c>
    </row>
    <row r="3669" spans="1:5" x14ac:dyDescent="0.35">
      <c r="A3669" s="9" t="s">
        <v>135</v>
      </c>
      <c r="B3669" s="10"/>
      <c r="C3669" s="10"/>
      <c r="D3669" s="10" t="s">
        <v>148</v>
      </c>
      <c r="E3669" s="11">
        <v>540</v>
      </c>
    </row>
    <row r="3670" spans="1:5" x14ac:dyDescent="0.35">
      <c r="A3670" s="6" t="s">
        <v>135</v>
      </c>
      <c r="B3670" s="7"/>
      <c r="C3670" s="7"/>
      <c r="D3670" s="7" t="s">
        <v>149</v>
      </c>
      <c r="E3670" s="8" t="s">
        <v>137</v>
      </c>
    </row>
    <row r="3671" spans="1:5" x14ac:dyDescent="0.35">
      <c r="A3671" s="9" t="s">
        <v>135</v>
      </c>
      <c r="B3671" s="10"/>
      <c r="C3671" s="10" t="s">
        <v>150</v>
      </c>
      <c r="D3671" s="10" t="s">
        <v>147</v>
      </c>
      <c r="E3671" s="11" t="s">
        <v>137</v>
      </c>
    </row>
    <row r="3672" spans="1:5" x14ac:dyDescent="0.35">
      <c r="A3672" s="6" t="s">
        <v>135</v>
      </c>
      <c r="B3672" s="7"/>
      <c r="C3672" s="7"/>
      <c r="D3672" s="7" t="s">
        <v>148</v>
      </c>
      <c r="E3672" s="8" t="s">
        <v>137</v>
      </c>
    </row>
    <row r="3673" spans="1:5" x14ac:dyDescent="0.35">
      <c r="A3673" s="9" t="s">
        <v>135</v>
      </c>
      <c r="B3673" s="10"/>
      <c r="C3673" s="10"/>
      <c r="D3673" s="10" t="s">
        <v>149</v>
      </c>
      <c r="E3673" s="11" t="s">
        <v>137</v>
      </c>
    </row>
    <row r="3674" spans="1:5" x14ac:dyDescent="0.35">
      <c r="A3674" s="6" t="s">
        <v>135</v>
      </c>
      <c r="B3674" s="7" t="s">
        <v>153</v>
      </c>
      <c r="C3674" s="7" t="s">
        <v>146</v>
      </c>
      <c r="D3674" s="7" t="s">
        <v>147</v>
      </c>
      <c r="E3674" s="8">
        <v>2395</v>
      </c>
    </row>
    <row r="3675" spans="1:5" x14ac:dyDescent="0.35">
      <c r="A3675" s="9" t="s">
        <v>135</v>
      </c>
      <c r="B3675" s="10"/>
      <c r="C3675" s="10"/>
      <c r="D3675" s="10" t="s">
        <v>148</v>
      </c>
      <c r="E3675" s="11">
        <v>2390</v>
      </c>
    </row>
    <row r="3676" spans="1:5" x14ac:dyDescent="0.35">
      <c r="A3676" s="6" t="s">
        <v>135</v>
      </c>
      <c r="B3676" s="7"/>
      <c r="C3676" s="7"/>
      <c r="D3676" s="7" t="s">
        <v>149</v>
      </c>
      <c r="E3676" s="8">
        <v>5</v>
      </c>
    </row>
    <row r="3677" spans="1:5" x14ac:dyDescent="0.35">
      <c r="A3677" s="9" t="s">
        <v>135</v>
      </c>
      <c r="B3677" s="10"/>
      <c r="C3677" s="10" t="s">
        <v>150</v>
      </c>
      <c r="D3677" s="10" t="s">
        <v>147</v>
      </c>
      <c r="E3677" s="11" t="s">
        <v>137</v>
      </c>
    </row>
    <row r="3678" spans="1:5" x14ac:dyDescent="0.35">
      <c r="A3678" s="6" t="s">
        <v>135</v>
      </c>
      <c r="B3678" s="7"/>
      <c r="C3678" s="7"/>
      <c r="D3678" s="7" t="s">
        <v>148</v>
      </c>
      <c r="E3678" s="8" t="s">
        <v>137</v>
      </c>
    </row>
    <row r="3679" spans="1:5" x14ac:dyDescent="0.35">
      <c r="A3679" s="9" t="s">
        <v>135</v>
      </c>
      <c r="B3679" s="10"/>
      <c r="C3679" s="10"/>
      <c r="D3679" s="10" t="s">
        <v>149</v>
      </c>
      <c r="E3679" s="11" t="s">
        <v>137</v>
      </c>
    </row>
    <row r="3680" spans="1:5" x14ac:dyDescent="0.35">
      <c r="A3680" s="6" t="s">
        <v>135</v>
      </c>
      <c r="B3680" s="7" t="s">
        <v>154</v>
      </c>
      <c r="C3680" s="7" t="s">
        <v>146</v>
      </c>
      <c r="D3680" s="7" t="s">
        <v>147</v>
      </c>
      <c r="E3680" s="8" t="s">
        <v>137</v>
      </c>
    </row>
    <row r="3681" spans="1:5" x14ac:dyDescent="0.35">
      <c r="A3681" s="9" t="s">
        <v>135</v>
      </c>
      <c r="B3681" s="10"/>
      <c r="C3681" s="10"/>
      <c r="D3681" s="10" t="s">
        <v>148</v>
      </c>
      <c r="E3681" s="11" t="s">
        <v>137</v>
      </c>
    </row>
    <row r="3682" spans="1:5" x14ac:dyDescent="0.35">
      <c r="A3682" s="6" t="s">
        <v>135</v>
      </c>
      <c r="B3682" s="7"/>
      <c r="C3682" s="7"/>
      <c r="D3682" s="7" t="s">
        <v>149</v>
      </c>
      <c r="E3682" s="8" t="s">
        <v>137</v>
      </c>
    </row>
    <row r="3683" spans="1:5" x14ac:dyDescent="0.35">
      <c r="A3683" s="9" t="s">
        <v>135</v>
      </c>
      <c r="B3683" s="10"/>
      <c r="C3683" s="10" t="s">
        <v>150</v>
      </c>
      <c r="D3683" s="10" t="s">
        <v>147</v>
      </c>
      <c r="E3683" s="11" t="s">
        <v>137</v>
      </c>
    </row>
    <row r="3684" spans="1:5" x14ac:dyDescent="0.35">
      <c r="A3684" s="6" t="s">
        <v>135</v>
      </c>
      <c r="B3684" s="7"/>
      <c r="C3684" s="7"/>
      <c r="D3684" s="7" t="s">
        <v>148</v>
      </c>
      <c r="E3684" s="8" t="s">
        <v>137</v>
      </c>
    </row>
    <row r="3685" spans="1:5" x14ac:dyDescent="0.35">
      <c r="A3685" s="9" t="s">
        <v>135</v>
      </c>
      <c r="B3685" s="10"/>
      <c r="C3685" s="10"/>
      <c r="D3685" s="10" t="s">
        <v>149</v>
      </c>
      <c r="E3685" s="11" t="s">
        <v>137</v>
      </c>
    </row>
    <row r="3686" spans="1:5" x14ac:dyDescent="0.35">
      <c r="A3686" s="6" t="s">
        <v>135</v>
      </c>
      <c r="B3686" s="7" t="s">
        <v>155</v>
      </c>
      <c r="C3686" s="7" t="s">
        <v>146</v>
      </c>
      <c r="D3686" s="7" t="s">
        <v>147</v>
      </c>
      <c r="E3686" s="8">
        <v>1305.53</v>
      </c>
    </row>
    <row r="3687" spans="1:5" x14ac:dyDescent="0.35">
      <c r="A3687" s="9" t="s">
        <v>135</v>
      </c>
      <c r="B3687" s="10"/>
      <c r="C3687" s="10"/>
      <c r="D3687" s="10" t="s">
        <v>148</v>
      </c>
      <c r="E3687" s="11">
        <v>1305.53</v>
      </c>
    </row>
    <row r="3688" spans="1:5" x14ac:dyDescent="0.35">
      <c r="A3688" s="6" t="s">
        <v>135</v>
      </c>
      <c r="B3688" s="7"/>
      <c r="C3688" s="7"/>
      <c r="D3688" s="7" t="s">
        <v>149</v>
      </c>
      <c r="E3688" s="8" t="s">
        <v>137</v>
      </c>
    </row>
    <row r="3689" spans="1:5" x14ac:dyDescent="0.35">
      <c r="A3689" s="9" t="s">
        <v>135</v>
      </c>
      <c r="B3689" s="10"/>
      <c r="C3689" s="10" t="s">
        <v>150</v>
      </c>
      <c r="D3689" s="10" t="s">
        <v>147</v>
      </c>
      <c r="E3689" s="11" t="s">
        <v>137</v>
      </c>
    </row>
    <row r="3690" spans="1:5" x14ac:dyDescent="0.35">
      <c r="A3690" s="6" t="s">
        <v>135</v>
      </c>
      <c r="B3690" s="7"/>
      <c r="C3690" s="7"/>
      <c r="D3690" s="7" t="s">
        <v>148</v>
      </c>
      <c r="E3690" s="8" t="s">
        <v>137</v>
      </c>
    </row>
    <row r="3691" spans="1:5" x14ac:dyDescent="0.35">
      <c r="A3691" s="9" t="s">
        <v>135</v>
      </c>
      <c r="B3691" s="10"/>
      <c r="C3691" s="10"/>
      <c r="D3691" s="10" t="s">
        <v>149</v>
      </c>
      <c r="E3691" s="11" t="s">
        <v>137</v>
      </c>
    </row>
    <row r="3692" spans="1:5" x14ac:dyDescent="0.35">
      <c r="A3692" s="6" t="s">
        <v>135</v>
      </c>
      <c r="B3692" s="7" t="s">
        <v>156</v>
      </c>
      <c r="C3692" s="7" t="s">
        <v>146</v>
      </c>
      <c r="D3692" s="7" t="s">
        <v>147</v>
      </c>
      <c r="E3692" s="8" t="s">
        <v>137</v>
      </c>
    </row>
    <row r="3693" spans="1:5" x14ac:dyDescent="0.35">
      <c r="A3693" s="9" t="s">
        <v>135</v>
      </c>
      <c r="B3693" s="10"/>
      <c r="C3693" s="10"/>
      <c r="D3693" s="10" t="s">
        <v>148</v>
      </c>
      <c r="E3693" s="11" t="s">
        <v>137</v>
      </c>
    </row>
    <row r="3694" spans="1:5" x14ac:dyDescent="0.35">
      <c r="A3694" s="6" t="s">
        <v>135</v>
      </c>
      <c r="B3694" s="7"/>
      <c r="C3694" s="7"/>
      <c r="D3694" s="7" t="s">
        <v>149</v>
      </c>
      <c r="E3694" s="8" t="s">
        <v>137</v>
      </c>
    </row>
    <row r="3695" spans="1:5" x14ac:dyDescent="0.35">
      <c r="A3695" s="9" t="s">
        <v>135</v>
      </c>
      <c r="B3695" s="10"/>
      <c r="C3695" s="10" t="s">
        <v>150</v>
      </c>
      <c r="D3695" s="10" t="s">
        <v>147</v>
      </c>
      <c r="E3695" s="11" t="s">
        <v>137</v>
      </c>
    </row>
    <row r="3696" spans="1:5" x14ac:dyDescent="0.35">
      <c r="A3696" s="6" t="s">
        <v>135</v>
      </c>
      <c r="B3696" s="7"/>
      <c r="C3696" s="7"/>
      <c r="D3696" s="7" t="s">
        <v>148</v>
      </c>
      <c r="E3696" s="8" t="s">
        <v>137</v>
      </c>
    </row>
    <row r="3697" spans="1:5" x14ac:dyDescent="0.35">
      <c r="A3697" s="9" t="s">
        <v>135</v>
      </c>
      <c r="B3697" s="10"/>
      <c r="C3697" s="10"/>
      <c r="D3697" s="10" t="s">
        <v>149</v>
      </c>
      <c r="E3697" s="11" t="s">
        <v>137</v>
      </c>
    </row>
    <row r="3698" spans="1:5" x14ac:dyDescent="0.35">
      <c r="A3698" s="6" t="s">
        <v>135</v>
      </c>
      <c r="B3698" s="7" t="s">
        <v>157</v>
      </c>
      <c r="C3698" s="7" t="s">
        <v>146</v>
      </c>
      <c r="D3698" s="7" t="s">
        <v>147</v>
      </c>
      <c r="E3698" s="8" t="s">
        <v>137</v>
      </c>
    </row>
    <row r="3699" spans="1:5" x14ac:dyDescent="0.35">
      <c r="A3699" s="9" t="s">
        <v>135</v>
      </c>
      <c r="B3699" s="10"/>
      <c r="C3699" s="10"/>
      <c r="D3699" s="10" t="s">
        <v>148</v>
      </c>
      <c r="E3699" s="11" t="s">
        <v>137</v>
      </c>
    </row>
    <row r="3700" spans="1:5" x14ac:dyDescent="0.35">
      <c r="A3700" s="6" t="s">
        <v>135</v>
      </c>
      <c r="B3700" s="7"/>
      <c r="C3700" s="7"/>
      <c r="D3700" s="7" t="s">
        <v>149</v>
      </c>
      <c r="E3700" s="8" t="s">
        <v>137</v>
      </c>
    </row>
    <row r="3701" spans="1:5" x14ac:dyDescent="0.35">
      <c r="A3701" s="9" t="s">
        <v>135</v>
      </c>
      <c r="B3701" s="10"/>
      <c r="C3701" s="10" t="s">
        <v>150</v>
      </c>
      <c r="D3701" s="10" t="s">
        <v>147</v>
      </c>
      <c r="E3701" s="11" t="s">
        <v>137</v>
      </c>
    </row>
    <row r="3702" spans="1:5" x14ac:dyDescent="0.35">
      <c r="A3702" s="6" t="s">
        <v>135</v>
      </c>
      <c r="B3702" s="7"/>
      <c r="C3702" s="7"/>
      <c r="D3702" s="7" t="s">
        <v>148</v>
      </c>
      <c r="E3702" s="8" t="s">
        <v>137</v>
      </c>
    </row>
    <row r="3703" spans="1:5" x14ac:dyDescent="0.35">
      <c r="A3703" s="9" t="s">
        <v>135</v>
      </c>
      <c r="B3703" s="10"/>
      <c r="C3703" s="10"/>
      <c r="D3703" s="10" t="s">
        <v>149</v>
      </c>
      <c r="E3703" s="11" t="s">
        <v>137</v>
      </c>
    </row>
    <row r="3704" spans="1:5" x14ac:dyDescent="0.35">
      <c r="A3704" s="6" t="s">
        <v>135</v>
      </c>
      <c r="B3704" s="7" t="s">
        <v>158</v>
      </c>
      <c r="C3704" s="7" t="s">
        <v>146</v>
      </c>
      <c r="D3704" s="7" t="s">
        <v>147</v>
      </c>
      <c r="E3704" s="8" t="s">
        <v>137</v>
      </c>
    </row>
    <row r="3705" spans="1:5" x14ac:dyDescent="0.35">
      <c r="A3705" s="9" t="s">
        <v>135</v>
      </c>
      <c r="B3705" s="10"/>
      <c r="C3705" s="10"/>
      <c r="D3705" s="10" t="s">
        <v>148</v>
      </c>
      <c r="E3705" s="11" t="s">
        <v>137</v>
      </c>
    </row>
    <row r="3706" spans="1:5" x14ac:dyDescent="0.35">
      <c r="A3706" s="6" t="s">
        <v>135</v>
      </c>
      <c r="B3706" s="7"/>
      <c r="C3706" s="7"/>
      <c r="D3706" s="7" t="s">
        <v>149</v>
      </c>
      <c r="E3706" s="8" t="s">
        <v>137</v>
      </c>
    </row>
    <row r="3707" spans="1:5" x14ac:dyDescent="0.35">
      <c r="A3707" s="9" t="s">
        <v>135</v>
      </c>
      <c r="B3707" s="10"/>
      <c r="C3707" s="10" t="s">
        <v>150</v>
      </c>
      <c r="D3707" s="10" t="s">
        <v>147</v>
      </c>
      <c r="E3707" s="11" t="s">
        <v>137</v>
      </c>
    </row>
    <row r="3708" spans="1:5" x14ac:dyDescent="0.35">
      <c r="A3708" s="6" t="s">
        <v>135</v>
      </c>
      <c r="B3708" s="7"/>
      <c r="C3708" s="7"/>
      <c r="D3708" s="7" t="s">
        <v>148</v>
      </c>
      <c r="E3708" s="8" t="s">
        <v>137</v>
      </c>
    </row>
    <row r="3709" spans="1:5" x14ac:dyDescent="0.35">
      <c r="A3709" s="9" t="s">
        <v>135</v>
      </c>
      <c r="B3709" s="10"/>
      <c r="C3709" s="10"/>
      <c r="D3709" s="10" t="s">
        <v>149</v>
      </c>
      <c r="E3709" s="11" t="s">
        <v>137</v>
      </c>
    </row>
    <row r="3710" spans="1:5" x14ac:dyDescent="0.35">
      <c r="A3710" s="6" t="s">
        <v>135</v>
      </c>
      <c r="B3710" s="7" t="s">
        <v>159</v>
      </c>
      <c r="C3710" s="7" t="s">
        <v>146</v>
      </c>
      <c r="D3710" s="7" t="s">
        <v>147</v>
      </c>
      <c r="E3710" s="8" t="s">
        <v>137</v>
      </c>
    </row>
    <row r="3711" spans="1:5" x14ac:dyDescent="0.35">
      <c r="A3711" s="9" t="s">
        <v>135</v>
      </c>
      <c r="B3711" s="10"/>
      <c r="C3711" s="10"/>
      <c r="D3711" s="10" t="s">
        <v>148</v>
      </c>
      <c r="E3711" s="11" t="s">
        <v>137</v>
      </c>
    </row>
    <row r="3712" spans="1:5" x14ac:dyDescent="0.35">
      <c r="A3712" s="6" t="s">
        <v>135</v>
      </c>
      <c r="B3712" s="7"/>
      <c r="C3712" s="7"/>
      <c r="D3712" s="7" t="s">
        <v>149</v>
      </c>
      <c r="E3712" s="8" t="s">
        <v>137</v>
      </c>
    </row>
    <row r="3713" spans="1:5" x14ac:dyDescent="0.35">
      <c r="A3713" s="9" t="s">
        <v>135</v>
      </c>
      <c r="B3713" s="10"/>
      <c r="C3713" s="10" t="s">
        <v>150</v>
      </c>
      <c r="D3713" s="10" t="s">
        <v>147</v>
      </c>
      <c r="E3713" s="11" t="s">
        <v>137</v>
      </c>
    </row>
    <row r="3714" spans="1:5" x14ac:dyDescent="0.35">
      <c r="A3714" s="6" t="s">
        <v>135</v>
      </c>
      <c r="B3714" s="7"/>
      <c r="C3714" s="7"/>
      <c r="D3714" s="7" t="s">
        <v>148</v>
      </c>
      <c r="E3714" s="8" t="s">
        <v>137</v>
      </c>
    </row>
    <row r="3715" spans="1:5" x14ac:dyDescent="0.35">
      <c r="A3715" s="9" t="s">
        <v>135</v>
      </c>
      <c r="B3715" s="10"/>
      <c r="C3715" s="10"/>
      <c r="D3715" s="10" t="s">
        <v>149</v>
      </c>
      <c r="E3715" s="11" t="s">
        <v>137</v>
      </c>
    </row>
    <row r="3716" spans="1:5" x14ac:dyDescent="0.35">
      <c r="A3716" s="6" t="s">
        <v>135</v>
      </c>
      <c r="B3716" s="7" t="s">
        <v>160</v>
      </c>
      <c r="C3716" s="7" t="s">
        <v>146</v>
      </c>
      <c r="D3716" s="7" t="s">
        <v>147</v>
      </c>
      <c r="E3716" s="8" t="s">
        <v>137</v>
      </c>
    </row>
    <row r="3717" spans="1:5" x14ac:dyDescent="0.35">
      <c r="A3717" s="9" t="s">
        <v>135</v>
      </c>
      <c r="B3717" s="10"/>
      <c r="C3717" s="10"/>
      <c r="D3717" s="10" t="s">
        <v>148</v>
      </c>
      <c r="E3717" s="11" t="s">
        <v>137</v>
      </c>
    </row>
    <row r="3718" spans="1:5" x14ac:dyDescent="0.35">
      <c r="A3718" s="6" t="s">
        <v>135</v>
      </c>
      <c r="B3718" s="7"/>
      <c r="C3718" s="7"/>
      <c r="D3718" s="7" t="s">
        <v>149</v>
      </c>
      <c r="E3718" s="8" t="s">
        <v>137</v>
      </c>
    </row>
    <row r="3719" spans="1:5" x14ac:dyDescent="0.35">
      <c r="A3719" s="9" t="s">
        <v>135</v>
      </c>
      <c r="B3719" s="10"/>
      <c r="C3719" s="10" t="s">
        <v>150</v>
      </c>
      <c r="D3719" s="10" t="s">
        <v>147</v>
      </c>
      <c r="E3719" s="11" t="s">
        <v>137</v>
      </c>
    </row>
    <row r="3720" spans="1:5" x14ac:dyDescent="0.35">
      <c r="A3720" s="6" t="s">
        <v>135</v>
      </c>
      <c r="B3720" s="7"/>
      <c r="C3720" s="7"/>
      <c r="D3720" s="7" t="s">
        <v>148</v>
      </c>
      <c r="E3720" s="8" t="s">
        <v>137</v>
      </c>
    </row>
    <row r="3721" spans="1:5" x14ac:dyDescent="0.35">
      <c r="A3721" s="9" t="s">
        <v>135</v>
      </c>
      <c r="B3721" s="10"/>
      <c r="C3721" s="10"/>
      <c r="D3721" s="10" t="s">
        <v>149</v>
      </c>
      <c r="E3721" s="11" t="s">
        <v>137</v>
      </c>
    </row>
    <row r="3722" spans="1:5" x14ac:dyDescent="0.35">
      <c r="A3722" s="6" t="s">
        <v>135</v>
      </c>
      <c r="B3722" s="7" t="s">
        <v>161</v>
      </c>
      <c r="C3722" s="7" t="s">
        <v>146</v>
      </c>
      <c r="D3722" s="7" t="s">
        <v>147</v>
      </c>
      <c r="E3722" s="8">
        <v>7.4</v>
      </c>
    </row>
    <row r="3723" spans="1:5" x14ac:dyDescent="0.35">
      <c r="A3723" s="9" t="s">
        <v>135</v>
      </c>
      <c r="B3723" s="10"/>
      <c r="C3723" s="10"/>
      <c r="D3723" s="10" t="s">
        <v>148</v>
      </c>
      <c r="E3723" s="11">
        <v>7.4</v>
      </c>
    </row>
    <row r="3724" spans="1:5" x14ac:dyDescent="0.35">
      <c r="A3724" s="6" t="s">
        <v>135</v>
      </c>
      <c r="B3724" s="7"/>
      <c r="C3724" s="7"/>
      <c r="D3724" s="7" t="s">
        <v>149</v>
      </c>
      <c r="E3724" s="8" t="s">
        <v>137</v>
      </c>
    </row>
    <row r="3725" spans="1:5" x14ac:dyDescent="0.35">
      <c r="A3725" s="9" t="s">
        <v>135</v>
      </c>
      <c r="B3725" s="10"/>
      <c r="C3725" s="10" t="s">
        <v>150</v>
      </c>
      <c r="D3725" s="10" t="s">
        <v>147</v>
      </c>
      <c r="E3725" s="11" t="s">
        <v>137</v>
      </c>
    </row>
    <row r="3726" spans="1:5" x14ac:dyDescent="0.35">
      <c r="A3726" s="6" t="s">
        <v>135</v>
      </c>
      <c r="B3726" s="7"/>
      <c r="C3726" s="7"/>
      <c r="D3726" s="7" t="s">
        <v>148</v>
      </c>
      <c r="E3726" s="8" t="s">
        <v>137</v>
      </c>
    </row>
    <row r="3727" spans="1:5" x14ac:dyDescent="0.35">
      <c r="A3727" s="9" t="s">
        <v>135</v>
      </c>
      <c r="B3727" s="10"/>
      <c r="C3727" s="10"/>
      <c r="D3727" s="10" t="s">
        <v>149</v>
      </c>
      <c r="E3727" s="11" t="s">
        <v>137</v>
      </c>
    </row>
    <row r="3728" spans="1:5" x14ac:dyDescent="0.35">
      <c r="A3728" s="6" t="s">
        <v>135</v>
      </c>
      <c r="B3728" s="7" t="s">
        <v>162</v>
      </c>
      <c r="C3728" s="7" t="s">
        <v>146</v>
      </c>
      <c r="D3728" s="7" t="s">
        <v>147</v>
      </c>
      <c r="E3728" s="8" t="s">
        <v>137</v>
      </c>
    </row>
    <row r="3729" spans="1:5" x14ac:dyDescent="0.35">
      <c r="A3729" s="9" t="s">
        <v>135</v>
      </c>
      <c r="B3729" s="10"/>
      <c r="C3729" s="10"/>
      <c r="D3729" s="10" t="s">
        <v>148</v>
      </c>
      <c r="E3729" s="11" t="s">
        <v>137</v>
      </c>
    </row>
    <row r="3730" spans="1:5" x14ac:dyDescent="0.35">
      <c r="A3730" s="6" t="s">
        <v>135</v>
      </c>
      <c r="B3730" s="7"/>
      <c r="C3730" s="7"/>
      <c r="D3730" s="7" t="s">
        <v>149</v>
      </c>
      <c r="E3730" s="8" t="s">
        <v>137</v>
      </c>
    </row>
    <row r="3731" spans="1:5" x14ac:dyDescent="0.35">
      <c r="A3731" s="9" t="s">
        <v>135</v>
      </c>
      <c r="B3731" s="10"/>
      <c r="C3731" s="10" t="s">
        <v>150</v>
      </c>
      <c r="D3731" s="10" t="s">
        <v>147</v>
      </c>
      <c r="E3731" s="11" t="s">
        <v>137</v>
      </c>
    </row>
    <row r="3732" spans="1:5" x14ac:dyDescent="0.35">
      <c r="A3732" s="6" t="s">
        <v>135</v>
      </c>
      <c r="B3732" s="7"/>
      <c r="C3732" s="7"/>
      <c r="D3732" s="7" t="s">
        <v>148</v>
      </c>
      <c r="E3732" s="8" t="s">
        <v>137</v>
      </c>
    </row>
    <row r="3733" spans="1:5" x14ac:dyDescent="0.35">
      <c r="A3733" s="9" t="s">
        <v>135</v>
      </c>
      <c r="B3733" s="10"/>
      <c r="C3733" s="10"/>
      <c r="D3733" s="10" t="s">
        <v>149</v>
      </c>
      <c r="E3733" s="11" t="s">
        <v>137</v>
      </c>
    </row>
    <row r="3734" spans="1:5" x14ac:dyDescent="0.35">
      <c r="A3734" s="6" t="s">
        <v>135</v>
      </c>
      <c r="B3734" s="7" t="s">
        <v>163</v>
      </c>
      <c r="C3734" s="7" t="s">
        <v>146</v>
      </c>
      <c r="D3734" s="7" t="s">
        <v>147</v>
      </c>
      <c r="E3734" s="8">
        <v>7393</v>
      </c>
    </row>
    <row r="3735" spans="1:5" x14ac:dyDescent="0.35">
      <c r="A3735" s="9" t="s">
        <v>135</v>
      </c>
      <c r="B3735" s="10"/>
      <c r="C3735" s="10"/>
      <c r="D3735" s="10" t="s">
        <v>148</v>
      </c>
      <c r="E3735" s="11">
        <v>7393</v>
      </c>
    </row>
    <row r="3736" spans="1:5" x14ac:dyDescent="0.35">
      <c r="A3736" s="6" t="s">
        <v>135</v>
      </c>
      <c r="B3736" s="7"/>
      <c r="C3736" s="7"/>
      <c r="D3736" s="7" t="s">
        <v>149</v>
      </c>
      <c r="E3736" s="8" t="s">
        <v>137</v>
      </c>
    </row>
    <row r="3737" spans="1:5" x14ac:dyDescent="0.35">
      <c r="A3737" s="9" t="s">
        <v>135</v>
      </c>
      <c r="B3737" s="10"/>
      <c r="C3737" s="10" t="s">
        <v>150</v>
      </c>
      <c r="D3737" s="10" t="s">
        <v>147</v>
      </c>
      <c r="E3737" s="11" t="s">
        <v>137</v>
      </c>
    </row>
    <row r="3738" spans="1:5" x14ac:dyDescent="0.35">
      <c r="A3738" s="6" t="s">
        <v>135</v>
      </c>
      <c r="B3738" s="7"/>
      <c r="C3738" s="7"/>
      <c r="D3738" s="7" t="s">
        <v>148</v>
      </c>
      <c r="E3738" s="8" t="s">
        <v>137</v>
      </c>
    </row>
    <row r="3739" spans="1:5" x14ac:dyDescent="0.35">
      <c r="A3739" s="9" t="s">
        <v>135</v>
      </c>
      <c r="B3739" s="10"/>
      <c r="C3739" s="10"/>
      <c r="D3739" s="10" t="s">
        <v>149</v>
      </c>
      <c r="E3739" s="11" t="s">
        <v>137</v>
      </c>
    </row>
    <row r="3740" spans="1:5" x14ac:dyDescent="0.35">
      <c r="A3740" s="6" t="s">
        <v>135</v>
      </c>
      <c r="B3740" s="7" t="s">
        <v>164</v>
      </c>
      <c r="C3740" s="7" t="s">
        <v>146</v>
      </c>
      <c r="D3740" s="7" t="s">
        <v>147</v>
      </c>
      <c r="E3740" s="8">
        <v>814</v>
      </c>
    </row>
    <row r="3741" spans="1:5" x14ac:dyDescent="0.35">
      <c r="A3741" s="9" t="s">
        <v>135</v>
      </c>
      <c r="B3741" s="10"/>
      <c r="C3741" s="10"/>
      <c r="D3741" s="10" t="s">
        <v>148</v>
      </c>
      <c r="E3741" s="11">
        <v>814</v>
      </c>
    </row>
    <row r="3742" spans="1:5" x14ac:dyDescent="0.35">
      <c r="A3742" s="6" t="s">
        <v>135</v>
      </c>
      <c r="B3742" s="7"/>
      <c r="C3742" s="7"/>
      <c r="D3742" s="7" t="s">
        <v>149</v>
      </c>
      <c r="E3742" s="8" t="s">
        <v>137</v>
      </c>
    </row>
    <row r="3743" spans="1:5" x14ac:dyDescent="0.35">
      <c r="A3743" s="9" t="s">
        <v>135</v>
      </c>
      <c r="B3743" s="10"/>
      <c r="C3743" s="10" t="s">
        <v>150</v>
      </c>
      <c r="D3743" s="10" t="s">
        <v>147</v>
      </c>
      <c r="E3743" s="11" t="s">
        <v>137</v>
      </c>
    </row>
    <row r="3744" spans="1:5" x14ac:dyDescent="0.35">
      <c r="A3744" s="6" t="s">
        <v>135</v>
      </c>
      <c r="B3744" s="7"/>
      <c r="C3744" s="7"/>
      <c r="D3744" s="7" t="s">
        <v>148</v>
      </c>
      <c r="E3744" s="8" t="s">
        <v>137</v>
      </c>
    </row>
    <row r="3745" spans="1:5" x14ac:dyDescent="0.35">
      <c r="A3745" s="9" t="s">
        <v>135</v>
      </c>
      <c r="B3745" s="10"/>
      <c r="C3745" s="10"/>
      <c r="D3745" s="10" t="s">
        <v>149</v>
      </c>
      <c r="E3745" s="11" t="s">
        <v>137</v>
      </c>
    </row>
    <row r="3746" spans="1:5" x14ac:dyDescent="0.35">
      <c r="A3746" s="6" t="s">
        <v>135</v>
      </c>
      <c r="B3746" s="7" t="s">
        <v>165</v>
      </c>
      <c r="C3746" s="7" t="s">
        <v>146</v>
      </c>
      <c r="D3746" s="7" t="s">
        <v>147</v>
      </c>
      <c r="E3746" s="8">
        <v>4116</v>
      </c>
    </row>
    <row r="3747" spans="1:5" x14ac:dyDescent="0.35">
      <c r="A3747" s="9" t="s">
        <v>135</v>
      </c>
      <c r="B3747" s="10"/>
      <c r="C3747" s="10"/>
      <c r="D3747" s="10" t="s">
        <v>148</v>
      </c>
      <c r="E3747" s="11">
        <v>4116</v>
      </c>
    </row>
    <row r="3748" spans="1:5" x14ac:dyDescent="0.35">
      <c r="A3748" s="6" t="s">
        <v>135</v>
      </c>
      <c r="B3748" s="7"/>
      <c r="C3748" s="7"/>
      <c r="D3748" s="7" t="s">
        <v>149</v>
      </c>
      <c r="E3748" s="8" t="s">
        <v>137</v>
      </c>
    </row>
    <row r="3749" spans="1:5" x14ac:dyDescent="0.35">
      <c r="A3749" s="9" t="s">
        <v>135</v>
      </c>
      <c r="B3749" s="10"/>
      <c r="C3749" s="10" t="s">
        <v>150</v>
      </c>
      <c r="D3749" s="10" t="s">
        <v>147</v>
      </c>
      <c r="E3749" s="11" t="s">
        <v>137</v>
      </c>
    </row>
    <row r="3750" spans="1:5" x14ac:dyDescent="0.35">
      <c r="A3750" s="6" t="s">
        <v>135</v>
      </c>
      <c r="B3750" s="7"/>
      <c r="C3750" s="7"/>
      <c r="D3750" s="7" t="s">
        <v>148</v>
      </c>
      <c r="E3750" s="8" t="s">
        <v>137</v>
      </c>
    </row>
    <row r="3751" spans="1:5" x14ac:dyDescent="0.35">
      <c r="A3751" s="9" t="s">
        <v>135</v>
      </c>
      <c r="B3751" s="10"/>
      <c r="C3751" s="10"/>
      <c r="D3751" s="10" t="s">
        <v>149</v>
      </c>
      <c r="E3751" s="11" t="s">
        <v>137</v>
      </c>
    </row>
    <row r="3752" spans="1:5" x14ac:dyDescent="0.35">
      <c r="A3752" s="6" t="s">
        <v>135</v>
      </c>
      <c r="B3752" s="7" t="s">
        <v>166</v>
      </c>
      <c r="C3752" s="7" t="s">
        <v>146</v>
      </c>
      <c r="D3752" s="7" t="s">
        <v>147</v>
      </c>
      <c r="E3752" s="8" t="s">
        <v>137</v>
      </c>
    </row>
    <row r="3753" spans="1:5" x14ac:dyDescent="0.35">
      <c r="A3753" s="9" t="s">
        <v>135</v>
      </c>
      <c r="B3753" s="10"/>
      <c r="C3753" s="10"/>
      <c r="D3753" s="10" t="s">
        <v>148</v>
      </c>
      <c r="E3753" s="11" t="s">
        <v>137</v>
      </c>
    </row>
    <row r="3754" spans="1:5" x14ac:dyDescent="0.35">
      <c r="A3754" s="6" t="s">
        <v>135</v>
      </c>
      <c r="B3754" s="7"/>
      <c r="C3754" s="7"/>
      <c r="D3754" s="7" t="s">
        <v>149</v>
      </c>
      <c r="E3754" s="8" t="s">
        <v>137</v>
      </c>
    </row>
    <row r="3755" spans="1:5" x14ac:dyDescent="0.35">
      <c r="A3755" s="9" t="s">
        <v>135</v>
      </c>
      <c r="B3755" s="10"/>
      <c r="C3755" s="10" t="s">
        <v>150</v>
      </c>
      <c r="D3755" s="10" t="s">
        <v>147</v>
      </c>
      <c r="E3755" s="11" t="s">
        <v>137</v>
      </c>
    </row>
    <row r="3756" spans="1:5" x14ac:dyDescent="0.35">
      <c r="A3756" s="6" t="s">
        <v>135</v>
      </c>
      <c r="B3756" s="7"/>
      <c r="C3756" s="7"/>
      <c r="D3756" s="7" t="s">
        <v>148</v>
      </c>
      <c r="E3756" s="8" t="s">
        <v>137</v>
      </c>
    </row>
    <row r="3757" spans="1:5" x14ac:dyDescent="0.35">
      <c r="A3757" s="9" t="s">
        <v>135</v>
      </c>
      <c r="B3757" s="10"/>
      <c r="C3757" s="10"/>
      <c r="D3757" s="10" t="s">
        <v>149</v>
      </c>
      <c r="E3757" s="11" t="s">
        <v>137</v>
      </c>
    </row>
    <row r="3758" spans="1:5" x14ac:dyDescent="0.35">
      <c r="A3758" s="6" t="s">
        <v>135</v>
      </c>
      <c r="B3758" s="7" t="s">
        <v>167</v>
      </c>
      <c r="C3758" s="7" t="s">
        <v>146</v>
      </c>
      <c r="D3758" s="7" t="s">
        <v>147</v>
      </c>
      <c r="E3758" s="8">
        <v>834</v>
      </c>
    </row>
    <row r="3759" spans="1:5" x14ac:dyDescent="0.35">
      <c r="A3759" s="9" t="s">
        <v>135</v>
      </c>
      <c r="B3759" s="10"/>
      <c r="C3759" s="10"/>
      <c r="D3759" s="10" t="s">
        <v>148</v>
      </c>
      <c r="E3759" s="11">
        <v>834</v>
      </c>
    </row>
    <row r="3760" spans="1:5" x14ac:dyDescent="0.35">
      <c r="A3760" s="6" t="s">
        <v>135</v>
      </c>
      <c r="B3760" s="7"/>
      <c r="C3760" s="7"/>
      <c r="D3760" s="7" t="s">
        <v>149</v>
      </c>
      <c r="E3760" s="8" t="s">
        <v>137</v>
      </c>
    </row>
    <row r="3761" spans="1:5" x14ac:dyDescent="0.35">
      <c r="A3761" s="9" t="s">
        <v>135</v>
      </c>
      <c r="B3761" s="10"/>
      <c r="C3761" s="10" t="s">
        <v>150</v>
      </c>
      <c r="D3761" s="10" t="s">
        <v>147</v>
      </c>
      <c r="E3761" s="11" t="s">
        <v>137</v>
      </c>
    </row>
    <row r="3762" spans="1:5" x14ac:dyDescent="0.35">
      <c r="A3762" s="6" t="s">
        <v>135</v>
      </c>
      <c r="B3762" s="7"/>
      <c r="C3762" s="7"/>
      <c r="D3762" s="7" t="s">
        <v>148</v>
      </c>
      <c r="E3762" s="8" t="s">
        <v>137</v>
      </c>
    </row>
    <row r="3763" spans="1:5" x14ac:dyDescent="0.35">
      <c r="A3763" s="9" t="s">
        <v>135</v>
      </c>
      <c r="B3763" s="10"/>
      <c r="C3763" s="10"/>
      <c r="D3763" s="10" t="s">
        <v>149</v>
      </c>
      <c r="E3763" s="11" t="s">
        <v>137</v>
      </c>
    </row>
    <row r="3764" spans="1:5" x14ac:dyDescent="0.35">
      <c r="A3764" s="6" t="s">
        <v>135</v>
      </c>
      <c r="B3764" s="7" t="s">
        <v>168</v>
      </c>
      <c r="C3764" s="7" t="s">
        <v>146</v>
      </c>
      <c r="D3764" s="7" t="s">
        <v>147</v>
      </c>
      <c r="E3764" s="8">
        <v>1629</v>
      </c>
    </row>
    <row r="3765" spans="1:5" x14ac:dyDescent="0.35">
      <c r="A3765" s="9" t="s">
        <v>135</v>
      </c>
      <c r="B3765" s="10"/>
      <c r="C3765" s="10"/>
      <c r="D3765" s="10" t="s">
        <v>148</v>
      </c>
      <c r="E3765" s="11">
        <v>1629</v>
      </c>
    </row>
    <row r="3766" spans="1:5" x14ac:dyDescent="0.35">
      <c r="A3766" s="6" t="s">
        <v>135</v>
      </c>
      <c r="B3766" s="7"/>
      <c r="C3766" s="7"/>
      <c r="D3766" s="7" t="s">
        <v>149</v>
      </c>
      <c r="E3766" s="8" t="s">
        <v>137</v>
      </c>
    </row>
    <row r="3767" spans="1:5" x14ac:dyDescent="0.35">
      <c r="A3767" s="9" t="s">
        <v>135</v>
      </c>
      <c r="B3767" s="10"/>
      <c r="C3767" s="10" t="s">
        <v>150</v>
      </c>
      <c r="D3767" s="10" t="s">
        <v>147</v>
      </c>
      <c r="E3767" s="11" t="s">
        <v>137</v>
      </c>
    </row>
    <row r="3768" spans="1:5" x14ac:dyDescent="0.35">
      <c r="A3768" s="6" t="s">
        <v>135</v>
      </c>
      <c r="B3768" s="7"/>
      <c r="C3768" s="7"/>
      <c r="D3768" s="7" t="s">
        <v>148</v>
      </c>
      <c r="E3768" s="8" t="s">
        <v>137</v>
      </c>
    </row>
    <row r="3769" spans="1:5" x14ac:dyDescent="0.35">
      <c r="A3769" s="9" t="s">
        <v>135</v>
      </c>
      <c r="B3769" s="10"/>
      <c r="C3769" s="10"/>
      <c r="D3769" s="10" t="s">
        <v>149</v>
      </c>
      <c r="E3769" s="11" t="s">
        <v>137</v>
      </c>
    </row>
    <row r="3770" spans="1:5" x14ac:dyDescent="0.35">
      <c r="A3770" s="6" t="s">
        <v>135</v>
      </c>
      <c r="B3770" s="7" t="s">
        <v>169</v>
      </c>
      <c r="C3770" s="7" t="s">
        <v>146</v>
      </c>
      <c r="D3770" s="7" t="s">
        <v>147</v>
      </c>
      <c r="E3770" s="8" t="s">
        <v>137</v>
      </c>
    </row>
    <row r="3771" spans="1:5" x14ac:dyDescent="0.35">
      <c r="A3771" s="9" t="s">
        <v>135</v>
      </c>
      <c r="B3771" s="10"/>
      <c r="C3771" s="10"/>
      <c r="D3771" s="10" t="s">
        <v>148</v>
      </c>
      <c r="E3771" s="11" t="s">
        <v>137</v>
      </c>
    </row>
    <row r="3772" spans="1:5" x14ac:dyDescent="0.35">
      <c r="A3772" s="6" t="s">
        <v>135</v>
      </c>
      <c r="B3772" s="7"/>
      <c r="C3772" s="7"/>
      <c r="D3772" s="7" t="s">
        <v>149</v>
      </c>
      <c r="E3772" s="8" t="s">
        <v>137</v>
      </c>
    </row>
    <row r="3773" spans="1:5" x14ac:dyDescent="0.35">
      <c r="A3773" s="9" t="s">
        <v>135</v>
      </c>
      <c r="B3773" s="10"/>
      <c r="C3773" s="10" t="s">
        <v>150</v>
      </c>
      <c r="D3773" s="10" t="s">
        <v>147</v>
      </c>
      <c r="E3773" s="11" t="s">
        <v>137</v>
      </c>
    </row>
    <row r="3774" spans="1:5" x14ac:dyDescent="0.35">
      <c r="A3774" s="6" t="s">
        <v>135</v>
      </c>
      <c r="B3774" s="7"/>
      <c r="C3774" s="7"/>
      <c r="D3774" s="7" t="s">
        <v>148</v>
      </c>
      <c r="E3774" s="8" t="s">
        <v>137</v>
      </c>
    </row>
    <row r="3775" spans="1:5" x14ac:dyDescent="0.35">
      <c r="A3775" s="9" t="s">
        <v>135</v>
      </c>
      <c r="B3775" s="10"/>
      <c r="C3775" s="10"/>
      <c r="D3775" s="10" t="s">
        <v>149</v>
      </c>
      <c r="E3775" s="11" t="s">
        <v>137</v>
      </c>
    </row>
    <row r="3776" spans="1:5" x14ac:dyDescent="0.35">
      <c r="A3776" s="6" t="s">
        <v>135</v>
      </c>
      <c r="B3776" s="7" t="s">
        <v>170</v>
      </c>
      <c r="C3776" s="7" t="s">
        <v>146</v>
      </c>
      <c r="D3776" s="7" t="s">
        <v>147</v>
      </c>
      <c r="E3776" s="8" t="s">
        <v>137</v>
      </c>
    </row>
    <row r="3777" spans="1:5" x14ac:dyDescent="0.35">
      <c r="A3777" s="9" t="s">
        <v>135</v>
      </c>
      <c r="B3777" s="10"/>
      <c r="C3777" s="10"/>
      <c r="D3777" s="10" t="s">
        <v>148</v>
      </c>
      <c r="E3777" s="11" t="s">
        <v>137</v>
      </c>
    </row>
    <row r="3778" spans="1:5" x14ac:dyDescent="0.35">
      <c r="A3778" s="6" t="s">
        <v>135</v>
      </c>
      <c r="B3778" s="7"/>
      <c r="C3778" s="7"/>
      <c r="D3778" s="7" t="s">
        <v>149</v>
      </c>
      <c r="E3778" s="8" t="s">
        <v>137</v>
      </c>
    </row>
    <row r="3779" spans="1:5" x14ac:dyDescent="0.35">
      <c r="A3779" s="9" t="s">
        <v>135</v>
      </c>
      <c r="B3779" s="10"/>
      <c r="C3779" s="10" t="s">
        <v>150</v>
      </c>
      <c r="D3779" s="10" t="s">
        <v>147</v>
      </c>
      <c r="E3779" s="11" t="s">
        <v>137</v>
      </c>
    </row>
    <row r="3780" spans="1:5" x14ac:dyDescent="0.35">
      <c r="A3780" s="6" t="s">
        <v>135</v>
      </c>
      <c r="B3780" s="7"/>
      <c r="C3780" s="7"/>
      <c r="D3780" s="7" t="s">
        <v>148</v>
      </c>
      <c r="E3780" s="8" t="s">
        <v>137</v>
      </c>
    </row>
    <row r="3781" spans="1:5" x14ac:dyDescent="0.35">
      <c r="A3781" s="9" t="s">
        <v>135</v>
      </c>
      <c r="B3781" s="10"/>
      <c r="C3781" s="10"/>
      <c r="D3781" s="10" t="s">
        <v>149</v>
      </c>
      <c r="E3781" s="11" t="s">
        <v>137</v>
      </c>
    </row>
    <row r="3782" spans="1:5" x14ac:dyDescent="0.35">
      <c r="A3782" s="6" t="s">
        <v>83</v>
      </c>
      <c r="B3782" s="7" t="s">
        <v>145</v>
      </c>
      <c r="C3782" s="7" t="s">
        <v>146</v>
      </c>
      <c r="D3782" s="7" t="s">
        <v>147</v>
      </c>
      <c r="E3782" s="8">
        <v>2375.42</v>
      </c>
    </row>
    <row r="3783" spans="1:5" x14ac:dyDescent="0.35">
      <c r="A3783" s="9" t="s">
        <v>135</v>
      </c>
      <c r="B3783" s="10"/>
      <c r="C3783" s="10"/>
      <c r="D3783" s="10" t="s">
        <v>148</v>
      </c>
      <c r="E3783" s="11">
        <v>2370.6999999999998</v>
      </c>
    </row>
    <row r="3784" spans="1:5" x14ac:dyDescent="0.35">
      <c r="A3784" s="6" t="s">
        <v>135</v>
      </c>
      <c r="B3784" s="7"/>
      <c r="C3784" s="7"/>
      <c r="D3784" s="7" t="s">
        <v>149</v>
      </c>
      <c r="E3784" s="8">
        <v>4.72</v>
      </c>
    </row>
    <row r="3785" spans="1:5" x14ac:dyDescent="0.35">
      <c r="A3785" s="9" t="s">
        <v>135</v>
      </c>
      <c r="B3785" s="10"/>
      <c r="C3785" s="10" t="s">
        <v>150</v>
      </c>
      <c r="D3785" s="10" t="s">
        <v>147</v>
      </c>
      <c r="E3785" s="11" t="s">
        <v>137</v>
      </c>
    </row>
    <row r="3786" spans="1:5" x14ac:dyDescent="0.35">
      <c r="A3786" s="6" t="s">
        <v>135</v>
      </c>
      <c r="B3786" s="7"/>
      <c r="C3786" s="7"/>
      <c r="D3786" s="7" t="s">
        <v>148</v>
      </c>
      <c r="E3786" s="8" t="s">
        <v>137</v>
      </c>
    </row>
    <row r="3787" spans="1:5" x14ac:dyDescent="0.35">
      <c r="A3787" s="9" t="s">
        <v>135</v>
      </c>
      <c r="B3787" s="10"/>
      <c r="C3787" s="10"/>
      <c r="D3787" s="10" t="s">
        <v>149</v>
      </c>
      <c r="E3787" s="11" t="s">
        <v>137</v>
      </c>
    </row>
    <row r="3788" spans="1:5" x14ac:dyDescent="0.35">
      <c r="A3788" s="6" t="s">
        <v>135</v>
      </c>
      <c r="B3788" s="7" t="s">
        <v>151</v>
      </c>
      <c r="C3788" s="7" t="s">
        <v>146</v>
      </c>
      <c r="D3788" s="7" t="s">
        <v>147</v>
      </c>
      <c r="E3788" s="8">
        <v>106.94</v>
      </c>
    </row>
    <row r="3789" spans="1:5" x14ac:dyDescent="0.35">
      <c r="A3789" s="9" t="s">
        <v>135</v>
      </c>
      <c r="B3789" s="10"/>
      <c r="C3789" s="10"/>
      <c r="D3789" s="10" t="s">
        <v>148</v>
      </c>
      <c r="E3789" s="11">
        <v>103.6</v>
      </c>
    </row>
    <row r="3790" spans="1:5" x14ac:dyDescent="0.35">
      <c r="A3790" s="6" t="s">
        <v>135</v>
      </c>
      <c r="B3790" s="7"/>
      <c r="C3790" s="7"/>
      <c r="D3790" s="7" t="s">
        <v>149</v>
      </c>
      <c r="E3790" s="8">
        <v>3.34</v>
      </c>
    </row>
    <row r="3791" spans="1:5" x14ac:dyDescent="0.35">
      <c r="A3791" s="9" t="s">
        <v>135</v>
      </c>
      <c r="B3791" s="10"/>
      <c r="C3791" s="10" t="s">
        <v>150</v>
      </c>
      <c r="D3791" s="10" t="s">
        <v>147</v>
      </c>
      <c r="E3791" s="11" t="s">
        <v>137</v>
      </c>
    </row>
    <row r="3792" spans="1:5" x14ac:dyDescent="0.35">
      <c r="A3792" s="6" t="s">
        <v>135</v>
      </c>
      <c r="B3792" s="7"/>
      <c r="C3792" s="7"/>
      <c r="D3792" s="7" t="s">
        <v>148</v>
      </c>
      <c r="E3792" s="8" t="s">
        <v>137</v>
      </c>
    </row>
    <row r="3793" spans="1:5" x14ac:dyDescent="0.35">
      <c r="A3793" s="9" t="s">
        <v>135</v>
      </c>
      <c r="B3793" s="10"/>
      <c r="C3793" s="10"/>
      <c r="D3793" s="10" t="s">
        <v>149</v>
      </c>
      <c r="E3793" s="11" t="s">
        <v>137</v>
      </c>
    </row>
    <row r="3794" spans="1:5" x14ac:dyDescent="0.35">
      <c r="A3794" s="6" t="s">
        <v>135</v>
      </c>
      <c r="B3794" s="7" t="s">
        <v>152</v>
      </c>
      <c r="C3794" s="7" t="s">
        <v>146</v>
      </c>
      <c r="D3794" s="7" t="s">
        <v>147</v>
      </c>
      <c r="E3794" s="8" t="s">
        <v>137</v>
      </c>
    </row>
    <row r="3795" spans="1:5" x14ac:dyDescent="0.35">
      <c r="A3795" s="9" t="s">
        <v>135</v>
      </c>
      <c r="B3795" s="10"/>
      <c r="C3795" s="10"/>
      <c r="D3795" s="10" t="s">
        <v>148</v>
      </c>
      <c r="E3795" s="11" t="s">
        <v>137</v>
      </c>
    </row>
    <row r="3796" spans="1:5" x14ac:dyDescent="0.35">
      <c r="A3796" s="6" t="s">
        <v>135</v>
      </c>
      <c r="B3796" s="7"/>
      <c r="C3796" s="7"/>
      <c r="D3796" s="7" t="s">
        <v>149</v>
      </c>
      <c r="E3796" s="8" t="s">
        <v>137</v>
      </c>
    </row>
    <row r="3797" spans="1:5" x14ac:dyDescent="0.35">
      <c r="A3797" s="9" t="s">
        <v>135</v>
      </c>
      <c r="B3797" s="10"/>
      <c r="C3797" s="10" t="s">
        <v>150</v>
      </c>
      <c r="D3797" s="10" t="s">
        <v>147</v>
      </c>
      <c r="E3797" s="11" t="s">
        <v>137</v>
      </c>
    </row>
    <row r="3798" spans="1:5" x14ac:dyDescent="0.35">
      <c r="A3798" s="6" t="s">
        <v>135</v>
      </c>
      <c r="B3798" s="7"/>
      <c r="C3798" s="7"/>
      <c r="D3798" s="7" t="s">
        <v>148</v>
      </c>
      <c r="E3798" s="8" t="s">
        <v>137</v>
      </c>
    </row>
    <row r="3799" spans="1:5" x14ac:dyDescent="0.35">
      <c r="A3799" s="9" t="s">
        <v>135</v>
      </c>
      <c r="B3799" s="10"/>
      <c r="C3799" s="10"/>
      <c r="D3799" s="10" t="s">
        <v>149</v>
      </c>
      <c r="E3799" s="11" t="s">
        <v>137</v>
      </c>
    </row>
    <row r="3800" spans="1:5" x14ac:dyDescent="0.35">
      <c r="A3800" s="6" t="s">
        <v>135</v>
      </c>
      <c r="B3800" s="7" t="s">
        <v>153</v>
      </c>
      <c r="C3800" s="7" t="s">
        <v>146</v>
      </c>
      <c r="D3800" s="7" t="s">
        <v>147</v>
      </c>
      <c r="E3800" s="8" t="s">
        <v>137</v>
      </c>
    </row>
    <row r="3801" spans="1:5" x14ac:dyDescent="0.35">
      <c r="A3801" s="9" t="s">
        <v>135</v>
      </c>
      <c r="B3801" s="10"/>
      <c r="C3801" s="10"/>
      <c r="D3801" s="10" t="s">
        <v>148</v>
      </c>
      <c r="E3801" s="11" t="s">
        <v>137</v>
      </c>
    </row>
    <row r="3802" spans="1:5" x14ac:dyDescent="0.35">
      <c r="A3802" s="6" t="s">
        <v>135</v>
      </c>
      <c r="B3802" s="7"/>
      <c r="C3802" s="7"/>
      <c r="D3802" s="7" t="s">
        <v>149</v>
      </c>
      <c r="E3802" s="8" t="s">
        <v>137</v>
      </c>
    </row>
    <row r="3803" spans="1:5" x14ac:dyDescent="0.35">
      <c r="A3803" s="9" t="s">
        <v>135</v>
      </c>
      <c r="B3803" s="10"/>
      <c r="C3803" s="10" t="s">
        <v>150</v>
      </c>
      <c r="D3803" s="10" t="s">
        <v>147</v>
      </c>
      <c r="E3803" s="11" t="s">
        <v>137</v>
      </c>
    </row>
    <row r="3804" spans="1:5" x14ac:dyDescent="0.35">
      <c r="A3804" s="6" t="s">
        <v>135</v>
      </c>
      <c r="B3804" s="7"/>
      <c r="C3804" s="7"/>
      <c r="D3804" s="7" t="s">
        <v>148</v>
      </c>
      <c r="E3804" s="8" t="s">
        <v>137</v>
      </c>
    </row>
    <row r="3805" spans="1:5" x14ac:dyDescent="0.35">
      <c r="A3805" s="9" t="s">
        <v>135</v>
      </c>
      <c r="B3805" s="10"/>
      <c r="C3805" s="10"/>
      <c r="D3805" s="10" t="s">
        <v>149</v>
      </c>
      <c r="E3805" s="11" t="s">
        <v>137</v>
      </c>
    </row>
    <row r="3806" spans="1:5" x14ac:dyDescent="0.35">
      <c r="A3806" s="6" t="s">
        <v>135</v>
      </c>
      <c r="B3806" s="7" t="s">
        <v>154</v>
      </c>
      <c r="C3806" s="7" t="s">
        <v>146</v>
      </c>
      <c r="D3806" s="7" t="s">
        <v>147</v>
      </c>
      <c r="E3806" s="8" t="s">
        <v>137</v>
      </c>
    </row>
    <row r="3807" spans="1:5" x14ac:dyDescent="0.35">
      <c r="A3807" s="9" t="s">
        <v>135</v>
      </c>
      <c r="B3807" s="10"/>
      <c r="C3807" s="10"/>
      <c r="D3807" s="10" t="s">
        <v>148</v>
      </c>
      <c r="E3807" s="11" t="s">
        <v>137</v>
      </c>
    </row>
    <row r="3808" spans="1:5" x14ac:dyDescent="0.35">
      <c r="A3808" s="6" t="s">
        <v>135</v>
      </c>
      <c r="B3808" s="7"/>
      <c r="C3808" s="7"/>
      <c r="D3808" s="7" t="s">
        <v>149</v>
      </c>
      <c r="E3808" s="8" t="s">
        <v>137</v>
      </c>
    </row>
    <row r="3809" spans="1:5" x14ac:dyDescent="0.35">
      <c r="A3809" s="9" t="s">
        <v>135</v>
      </c>
      <c r="B3809" s="10"/>
      <c r="C3809" s="10" t="s">
        <v>150</v>
      </c>
      <c r="D3809" s="10" t="s">
        <v>147</v>
      </c>
      <c r="E3809" s="11" t="s">
        <v>137</v>
      </c>
    </row>
    <row r="3810" spans="1:5" x14ac:dyDescent="0.35">
      <c r="A3810" s="6" t="s">
        <v>135</v>
      </c>
      <c r="B3810" s="7"/>
      <c r="C3810" s="7"/>
      <c r="D3810" s="7" t="s">
        <v>148</v>
      </c>
      <c r="E3810" s="8" t="s">
        <v>137</v>
      </c>
    </row>
    <row r="3811" spans="1:5" x14ac:dyDescent="0.35">
      <c r="A3811" s="9" t="s">
        <v>135</v>
      </c>
      <c r="B3811" s="10"/>
      <c r="C3811" s="10"/>
      <c r="D3811" s="10" t="s">
        <v>149</v>
      </c>
      <c r="E3811" s="11" t="s">
        <v>137</v>
      </c>
    </row>
    <row r="3812" spans="1:5" x14ac:dyDescent="0.35">
      <c r="A3812" s="6" t="s">
        <v>135</v>
      </c>
      <c r="B3812" s="7" t="s">
        <v>155</v>
      </c>
      <c r="C3812" s="7" t="s">
        <v>146</v>
      </c>
      <c r="D3812" s="7" t="s">
        <v>147</v>
      </c>
      <c r="E3812" s="8">
        <v>2193.63</v>
      </c>
    </row>
    <row r="3813" spans="1:5" x14ac:dyDescent="0.35">
      <c r="A3813" s="9" t="s">
        <v>135</v>
      </c>
      <c r="B3813" s="10"/>
      <c r="C3813" s="10"/>
      <c r="D3813" s="10" t="s">
        <v>148</v>
      </c>
      <c r="E3813" s="11">
        <v>2192.25</v>
      </c>
    </row>
    <row r="3814" spans="1:5" x14ac:dyDescent="0.35">
      <c r="A3814" s="6" t="s">
        <v>135</v>
      </c>
      <c r="B3814" s="7"/>
      <c r="C3814" s="7"/>
      <c r="D3814" s="7" t="s">
        <v>149</v>
      </c>
      <c r="E3814" s="8">
        <v>1.38</v>
      </c>
    </row>
    <row r="3815" spans="1:5" x14ac:dyDescent="0.35">
      <c r="A3815" s="9" t="s">
        <v>135</v>
      </c>
      <c r="B3815" s="10"/>
      <c r="C3815" s="10" t="s">
        <v>150</v>
      </c>
      <c r="D3815" s="10" t="s">
        <v>147</v>
      </c>
      <c r="E3815" s="11" t="s">
        <v>137</v>
      </c>
    </row>
    <row r="3816" spans="1:5" x14ac:dyDescent="0.35">
      <c r="A3816" s="6" t="s">
        <v>135</v>
      </c>
      <c r="B3816" s="7"/>
      <c r="C3816" s="7"/>
      <c r="D3816" s="7" t="s">
        <v>148</v>
      </c>
      <c r="E3816" s="8" t="s">
        <v>137</v>
      </c>
    </row>
    <row r="3817" spans="1:5" x14ac:dyDescent="0.35">
      <c r="A3817" s="9" t="s">
        <v>135</v>
      </c>
      <c r="B3817" s="10"/>
      <c r="C3817" s="10"/>
      <c r="D3817" s="10" t="s">
        <v>149</v>
      </c>
      <c r="E3817" s="11" t="s">
        <v>137</v>
      </c>
    </row>
    <row r="3818" spans="1:5" x14ac:dyDescent="0.35">
      <c r="A3818" s="6" t="s">
        <v>135</v>
      </c>
      <c r="B3818" s="7" t="s">
        <v>156</v>
      </c>
      <c r="C3818" s="7" t="s">
        <v>146</v>
      </c>
      <c r="D3818" s="7" t="s">
        <v>147</v>
      </c>
      <c r="E3818" s="8" t="s">
        <v>137</v>
      </c>
    </row>
    <row r="3819" spans="1:5" x14ac:dyDescent="0.35">
      <c r="A3819" s="9" t="s">
        <v>135</v>
      </c>
      <c r="B3819" s="10"/>
      <c r="C3819" s="10"/>
      <c r="D3819" s="10" t="s">
        <v>148</v>
      </c>
      <c r="E3819" s="11" t="s">
        <v>137</v>
      </c>
    </row>
    <row r="3820" spans="1:5" x14ac:dyDescent="0.35">
      <c r="A3820" s="6" t="s">
        <v>135</v>
      </c>
      <c r="B3820" s="7"/>
      <c r="C3820" s="7"/>
      <c r="D3820" s="7" t="s">
        <v>149</v>
      </c>
      <c r="E3820" s="8" t="s">
        <v>137</v>
      </c>
    </row>
    <row r="3821" spans="1:5" x14ac:dyDescent="0.35">
      <c r="A3821" s="9" t="s">
        <v>135</v>
      </c>
      <c r="B3821" s="10"/>
      <c r="C3821" s="10" t="s">
        <v>150</v>
      </c>
      <c r="D3821" s="10" t="s">
        <v>147</v>
      </c>
      <c r="E3821" s="11" t="s">
        <v>137</v>
      </c>
    </row>
    <row r="3822" spans="1:5" x14ac:dyDescent="0.35">
      <c r="A3822" s="6" t="s">
        <v>135</v>
      </c>
      <c r="B3822" s="7"/>
      <c r="C3822" s="7"/>
      <c r="D3822" s="7" t="s">
        <v>148</v>
      </c>
      <c r="E3822" s="8" t="s">
        <v>137</v>
      </c>
    </row>
    <row r="3823" spans="1:5" x14ac:dyDescent="0.35">
      <c r="A3823" s="9" t="s">
        <v>135</v>
      </c>
      <c r="B3823" s="10"/>
      <c r="C3823" s="10"/>
      <c r="D3823" s="10" t="s">
        <v>149</v>
      </c>
      <c r="E3823" s="11" t="s">
        <v>137</v>
      </c>
    </row>
    <row r="3824" spans="1:5" x14ac:dyDescent="0.35">
      <c r="A3824" s="6" t="s">
        <v>135</v>
      </c>
      <c r="B3824" s="7" t="s">
        <v>157</v>
      </c>
      <c r="C3824" s="7" t="s">
        <v>146</v>
      </c>
      <c r="D3824" s="7" t="s">
        <v>147</v>
      </c>
      <c r="E3824" s="8" t="s">
        <v>137</v>
      </c>
    </row>
    <row r="3825" spans="1:5" x14ac:dyDescent="0.35">
      <c r="A3825" s="9" t="s">
        <v>135</v>
      </c>
      <c r="B3825" s="10"/>
      <c r="C3825" s="10"/>
      <c r="D3825" s="10" t="s">
        <v>148</v>
      </c>
      <c r="E3825" s="11" t="s">
        <v>137</v>
      </c>
    </row>
    <row r="3826" spans="1:5" x14ac:dyDescent="0.35">
      <c r="A3826" s="6" t="s">
        <v>135</v>
      </c>
      <c r="B3826" s="7"/>
      <c r="C3826" s="7"/>
      <c r="D3826" s="7" t="s">
        <v>149</v>
      </c>
      <c r="E3826" s="8" t="s">
        <v>137</v>
      </c>
    </row>
    <row r="3827" spans="1:5" x14ac:dyDescent="0.35">
      <c r="A3827" s="9" t="s">
        <v>135</v>
      </c>
      <c r="B3827" s="10"/>
      <c r="C3827" s="10" t="s">
        <v>150</v>
      </c>
      <c r="D3827" s="10" t="s">
        <v>147</v>
      </c>
      <c r="E3827" s="11" t="s">
        <v>137</v>
      </c>
    </row>
    <row r="3828" spans="1:5" x14ac:dyDescent="0.35">
      <c r="A3828" s="6" t="s">
        <v>135</v>
      </c>
      <c r="B3828" s="7"/>
      <c r="C3828" s="7"/>
      <c r="D3828" s="7" t="s">
        <v>148</v>
      </c>
      <c r="E3828" s="8" t="s">
        <v>137</v>
      </c>
    </row>
    <row r="3829" spans="1:5" x14ac:dyDescent="0.35">
      <c r="A3829" s="9" t="s">
        <v>135</v>
      </c>
      <c r="B3829" s="10"/>
      <c r="C3829" s="10"/>
      <c r="D3829" s="10" t="s">
        <v>149</v>
      </c>
      <c r="E3829" s="11" t="s">
        <v>137</v>
      </c>
    </row>
    <row r="3830" spans="1:5" x14ac:dyDescent="0.35">
      <c r="A3830" s="6" t="s">
        <v>135</v>
      </c>
      <c r="B3830" s="7" t="s">
        <v>158</v>
      </c>
      <c r="C3830" s="7" t="s">
        <v>146</v>
      </c>
      <c r="D3830" s="7" t="s">
        <v>147</v>
      </c>
      <c r="E3830" s="8">
        <v>74.849999999999994</v>
      </c>
    </row>
    <row r="3831" spans="1:5" x14ac:dyDescent="0.35">
      <c r="A3831" s="9" t="s">
        <v>135</v>
      </c>
      <c r="B3831" s="10"/>
      <c r="C3831" s="10"/>
      <c r="D3831" s="10" t="s">
        <v>148</v>
      </c>
      <c r="E3831" s="11">
        <v>74.849999999999994</v>
      </c>
    </row>
    <row r="3832" spans="1:5" x14ac:dyDescent="0.35">
      <c r="A3832" s="6" t="s">
        <v>135</v>
      </c>
      <c r="B3832" s="7"/>
      <c r="C3832" s="7"/>
      <c r="D3832" s="7" t="s">
        <v>149</v>
      </c>
      <c r="E3832" s="8" t="s">
        <v>137</v>
      </c>
    </row>
    <row r="3833" spans="1:5" x14ac:dyDescent="0.35">
      <c r="A3833" s="9" t="s">
        <v>135</v>
      </c>
      <c r="B3833" s="10"/>
      <c r="C3833" s="10" t="s">
        <v>150</v>
      </c>
      <c r="D3833" s="10" t="s">
        <v>147</v>
      </c>
      <c r="E3833" s="11" t="s">
        <v>137</v>
      </c>
    </row>
    <row r="3834" spans="1:5" x14ac:dyDescent="0.35">
      <c r="A3834" s="6" t="s">
        <v>135</v>
      </c>
      <c r="B3834" s="7"/>
      <c r="C3834" s="7"/>
      <c r="D3834" s="7" t="s">
        <v>148</v>
      </c>
      <c r="E3834" s="8" t="s">
        <v>137</v>
      </c>
    </row>
    <row r="3835" spans="1:5" x14ac:dyDescent="0.35">
      <c r="A3835" s="9" t="s">
        <v>135</v>
      </c>
      <c r="B3835" s="10"/>
      <c r="C3835" s="10"/>
      <c r="D3835" s="10" t="s">
        <v>149</v>
      </c>
      <c r="E3835" s="11" t="s">
        <v>137</v>
      </c>
    </row>
    <row r="3836" spans="1:5" x14ac:dyDescent="0.35">
      <c r="A3836" s="6" t="s">
        <v>135</v>
      </c>
      <c r="B3836" s="7" t="s">
        <v>159</v>
      </c>
      <c r="C3836" s="7" t="s">
        <v>146</v>
      </c>
      <c r="D3836" s="7" t="s">
        <v>147</v>
      </c>
      <c r="E3836" s="8" t="s">
        <v>137</v>
      </c>
    </row>
    <row r="3837" spans="1:5" x14ac:dyDescent="0.35">
      <c r="A3837" s="9" t="s">
        <v>135</v>
      </c>
      <c r="B3837" s="10"/>
      <c r="C3837" s="10"/>
      <c r="D3837" s="10" t="s">
        <v>148</v>
      </c>
      <c r="E3837" s="11" t="s">
        <v>137</v>
      </c>
    </row>
    <row r="3838" spans="1:5" x14ac:dyDescent="0.35">
      <c r="A3838" s="6" t="s">
        <v>135</v>
      </c>
      <c r="B3838" s="7"/>
      <c r="C3838" s="7"/>
      <c r="D3838" s="7" t="s">
        <v>149</v>
      </c>
      <c r="E3838" s="8" t="s">
        <v>137</v>
      </c>
    </row>
    <row r="3839" spans="1:5" x14ac:dyDescent="0.35">
      <c r="A3839" s="9" t="s">
        <v>135</v>
      </c>
      <c r="B3839" s="10"/>
      <c r="C3839" s="10" t="s">
        <v>150</v>
      </c>
      <c r="D3839" s="10" t="s">
        <v>147</v>
      </c>
      <c r="E3839" s="11" t="s">
        <v>137</v>
      </c>
    </row>
    <row r="3840" spans="1:5" x14ac:dyDescent="0.35">
      <c r="A3840" s="6" t="s">
        <v>135</v>
      </c>
      <c r="B3840" s="7"/>
      <c r="C3840" s="7"/>
      <c r="D3840" s="7" t="s">
        <v>148</v>
      </c>
      <c r="E3840" s="8" t="s">
        <v>137</v>
      </c>
    </row>
    <row r="3841" spans="1:5" x14ac:dyDescent="0.35">
      <c r="A3841" s="9" t="s">
        <v>135</v>
      </c>
      <c r="B3841" s="10"/>
      <c r="C3841" s="10"/>
      <c r="D3841" s="10" t="s">
        <v>149</v>
      </c>
      <c r="E3841" s="11" t="s">
        <v>137</v>
      </c>
    </row>
    <row r="3842" spans="1:5" x14ac:dyDescent="0.35">
      <c r="A3842" s="6" t="s">
        <v>135</v>
      </c>
      <c r="B3842" s="7" t="s">
        <v>160</v>
      </c>
      <c r="C3842" s="7" t="s">
        <v>146</v>
      </c>
      <c r="D3842" s="7" t="s">
        <v>147</v>
      </c>
      <c r="E3842" s="8" t="s">
        <v>137</v>
      </c>
    </row>
    <row r="3843" spans="1:5" x14ac:dyDescent="0.35">
      <c r="A3843" s="9" t="s">
        <v>135</v>
      </c>
      <c r="B3843" s="10"/>
      <c r="C3843" s="10"/>
      <c r="D3843" s="10" t="s">
        <v>148</v>
      </c>
      <c r="E3843" s="11" t="s">
        <v>137</v>
      </c>
    </row>
    <row r="3844" spans="1:5" x14ac:dyDescent="0.35">
      <c r="A3844" s="6" t="s">
        <v>135</v>
      </c>
      <c r="B3844" s="7"/>
      <c r="C3844" s="7"/>
      <c r="D3844" s="7" t="s">
        <v>149</v>
      </c>
      <c r="E3844" s="8" t="s">
        <v>137</v>
      </c>
    </row>
    <row r="3845" spans="1:5" x14ac:dyDescent="0.35">
      <c r="A3845" s="9" t="s">
        <v>135</v>
      </c>
      <c r="B3845" s="10"/>
      <c r="C3845" s="10" t="s">
        <v>150</v>
      </c>
      <c r="D3845" s="10" t="s">
        <v>147</v>
      </c>
      <c r="E3845" s="11" t="s">
        <v>137</v>
      </c>
    </row>
    <row r="3846" spans="1:5" x14ac:dyDescent="0.35">
      <c r="A3846" s="6" t="s">
        <v>135</v>
      </c>
      <c r="B3846" s="7"/>
      <c r="C3846" s="7"/>
      <c r="D3846" s="7" t="s">
        <v>148</v>
      </c>
      <c r="E3846" s="8" t="s">
        <v>137</v>
      </c>
    </row>
    <row r="3847" spans="1:5" x14ac:dyDescent="0.35">
      <c r="A3847" s="9" t="s">
        <v>135</v>
      </c>
      <c r="B3847" s="10"/>
      <c r="C3847" s="10"/>
      <c r="D3847" s="10" t="s">
        <v>149</v>
      </c>
      <c r="E3847" s="11" t="s">
        <v>137</v>
      </c>
    </row>
    <row r="3848" spans="1:5" x14ac:dyDescent="0.35">
      <c r="A3848" s="6" t="s">
        <v>135</v>
      </c>
      <c r="B3848" s="7" t="s">
        <v>161</v>
      </c>
      <c r="C3848" s="7" t="s">
        <v>146</v>
      </c>
      <c r="D3848" s="7" t="s">
        <v>147</v>
      </c>
      <c r="E3848" s="8" t="s">
        <v>137</v>
      </c>
    </row>
    <row r="3849" spans="1:5" x14ac:dyDescent="0.35">
      <c r="A3849" s="9" t="s">
        <v>135</v>
      </c>
      <c r="B3849" s="10"/>
      <c r="C3849" s="10"/>
      <c r="D3849" s="10" t="s">
        <v>148</v>
      </c>
      <c r="E3849" s="11" t="s">
        <v>137</v>
      </c>
    </row>
    <row r="3850" spans="1:5" x14ac:dyDescent="0.35">
      <c r="A3850" s="6" t="s">
        <v>135</v>
      </c>
      <c r="B3850" s="7"/>
      <c r="C3850" s="7"/>
      <c r="D3850" s="7" t="s">
        <v>149</v>
      </c>
      <c r="E3850" s="8" t="s">
        <v>137</v>
      </c>
    </row>
    <row r="3851" spans="1:5" x14ac:dyDescent="0.35">
      <c r="A3851" s="9" t="s">
        <v>135</v>
      </c>
      <c r="B3851" s="10"/>
      <c r="C3851" s="10" t="s">
        <v>150</v>
      </c>
      <c r="D3851" s="10" t="s">
        <v>147</v>
      </c>
      <c r="E3851" s="11" t="s">
        <v>137</v>
      </c>
    </row>
    <row r="3852" spans="1:5" x14ac:dyDescent="0.35">
      <c r="A3852" s="6" t="s">
        <v>135</v>
      </c>
      <c r="B3852" s="7"/>
      <c r="C3852" s="7"/>
      <c r="D3852" s="7" t="s">
        <v>148</v>
      </c>
      <c r="E3852" s="8" t="s">
        <v>137</v>
      </c>
    </row>
    <row r="3853" spans="1:5" x14ac:dyDescent="0.35">
      <c r="A3853" s="9" t="s">
        <v>135</v>
      </c>
      <c r="B3853" s="10"/>
      <c r="C3853" s="10"/>
      <c r="D3853" s="10" t="s">
        <v>149</v>
      </c>
      <c r="E3853" s="11" t="s">
        <v>137</v>
      </c>
    </row>
    <row r="3854" spans="1:5" x14ac:dyDescent="0.35">
      <c r="A3854" s="6" t="s">
        <v>135</v>
      </c>
      <c r="B3854" s="7" t="s">
        <v>162</v>
      </c>
      <c r="C3854" s="7" t="s">
        <v>146</v>
      </c>
      <c r="D3854" s="7" t="s">
        <v>147</v>
      </c>
      <c r="E3854" s="8" t="s">
        <v>137</v>
      </c>
    </row>
    <row r="3855" spans="1:5" x14ac:dyDescent="0.35">
      <c r="A3855" s="9" t="s">
        <v>135</v>
      </c>
      <c r="B3855" s="10"/>
      <c r="C3855" s="10"/>
      <c r="D3855" s="10" t="s">
        <v>148</v>
      </c>
      <c r="E3855" s="11" t="s">
        <v>137</v>
      </c>
    </row>
    <row r="3856" spans="1:5" x14ac:dyDescent="0.35">
      <c r="A3856" s="6" t="s">
        <v>135</v>
      </c>
      <c r="B3856" s="7"/>
      <c r="C3856" s="7"/>
      <c r="D3856" s="7" t="s">
        <v>149</v>
      </c>
      <c r="E3856" s="8" t="s">
        <v>137</v>
      </c>
    </row>
    <row r="3857" spans="1:5" x14ac:dyDescent="0.35">
      <c r="A3857" s="9" t="s">
        <v>135</v>
      </c>
      <c r="B3857" s="10"/>
      <c r="C3857" s="10" t="s">
        <v>150</v>
      </c>
      <c r="D3857" s="10" t="s">
        <v>147</v>
      </c>
      <c r="E3857" s="11" t="s">
        <v>137</v>
      </c>
    </row>
    <row r="3858" spans="1:5" x14ac:dyDescent="0.35">
      <c r="A3858" s="6" t="s">
        <v>135</v>
      </c>
      <c r="B3858" s="7"/>
      <c r="C3858" s="7"/>
      <c r="D3858" s="7" t="s">
        <v>148</v>
      </c>
      <c r="E3858" s="8" t="s">
        <v>137</v>
      </c>
    </row>
    <row r="3859" spans="1:5" x14ac:dyDescent="0.35">
      <c r="A3859" s="9" t="s">
        <v>135</v>
      </c>
      <c r="B3859" s="10"/>
      <c r="C3859" s="10"/>
      <c r="D3859" s="10" t="s">
        <v>149</v>
      </c>
      <c r="E3859" s="11" t="s">
        <v>137</v>
      </c>
    </row>
    <row r="3860" spans="1:5" x14ac:dyDescent="0.35">
      <c r="A3860" s="6" t="s">
        <v>135</v>
      </c>
      <c r="B3860" s="7" t="s">
        <v>163</v>
      </c>
      <c r="C3860" s="7" t="s">
        <v>146</v>
      </c>
      <c r="D3860" s="7" t="s">
        <v>147</v>
      </c>
      <c r="E3860" s="8">
        <v>683.84</v>
      </c>
    </row>
    <row r="3861" spans="1:5" x14ac:dyDescent="0.35">
      <c r="A3861" s="9" t="s">
        <v>135</v>
      </c>
      <c r="B3861" s="10"/>
      <c r="C3861" s="10"/>
      <c r="D3861" s="10" t="s">
        <v>148</v>
      </c>
      <c r="E3861" s="11">
        <v>683.84</v>
      </c>
    </row>
    <row r="3862" spans="1:5" x14ac:dyDescent="0.35">
      <c r="A3862" s="6" t="s">
        <v>135</v>
      </c>
      <c r="B3862" s="7"/>
      <c r="C3862" s="7"/>
      <c r="D3862" s="7" t="s">
        <v>149</v>
      </c>
      <c r="E3862" s="8" t="s">
        <v>137</v>
      </c>
    </row>
    <row r="3863" spans="1:5" x14ac:dyDescent="0.35">
      <c r="A3863" s="9" t="s">
        <v>135</v>
      </c>
      <c r="B3863" s="10"/>
      <c r="C3863" s="10" t="s">
        <v>150</v>
      </c>
      <c r="D3863" s="10" t="s">
        <v>147</v>
      </c>
      <c r="E3863" s="11" t="s">
        <v>137</v>
      </c>
    </row>
    <row r="3864" spans="1:5" x14ac:dyDescent="0.35">
      <c r="A3864" s="6" t="s">
        <v>135</v>
      </c>
      <c r="B3864" s="7"/>
      <c r="C3864" s="7"/>
      <c r="D3864" s="7" t="s">
        <v>148</v>
      </c>
      <c r="E3864" s="8" t="s">
        <v>137</v>
      </c>
    </row>
    <row r="3865" spans="1:5" x14ac:dyDescent="0.35">
      <c r="A3865" s="9" t="s">
        <v>135</v>
      </c>
      <c r="B3865" s="10"/>
      <c r="C3865" s="10"/>
      <c r="D3865" s="10" t="s">
        <v>149</v>
      </c>
      <c r="E3865" s="11" t="s">
        <v>137</v>
      </c>
    </row>
    <row r="3866" spans="1:5" x14ac:dyDescent="0.35">
      <c r="A3866" s="6" t="s">
        <v>135</v>
      </c>
      <c r="B3866" s="7" t="s">
        <v>164</v>
      </c>
      <c r="C3866" s="7" t="s">
        <v>146</v>
      </c>
      <c r="D3866" s="7" t="s">
        <v>147</v>
      </c>
      <c r="E3866" s="8" t="s">
        <v>137</v>
      </c>
    </row>
    <row r="3867" spans="1:5" x14ac:dyDescent="0.35">
      <c r="A3867" s="9" t="s">
        <v>135</v>
      </c>
      <c r="B3867" s="10"/>
      <c r="C3867" s="10"/>
      <c r="D3867" s="10" t="s">
        <v>148</v>
      </c>
      <c r="E3867" s="11" t="s">
        <v>137</v>
      </c>
    </row>
    <row r="3868" spans="1:5" x14ac:dyDescent="0.35">
      <c r="A3868" s="6" t="s">
        <v>135</v>
      </c>
      <c r="B3868" s="7"/>
      <c r="C3868" s="7"/>
      <c r="D3868" s="7" t="s">
        <v>149</v>
      </c>
      <c r="E3868" s="8" t="s">
        <v>137</v>
      </c>
    </row>
    <row r="3869" spans="1:5" x14ac:dyDescent="0.35">
      <c r="A3869" s="9" t="s">
        <v>135</v>
      </c>
      <c r="B3869" s="10"/>
      <c r="C3869" s="10" t="s">
        <v>150</v>
      </c>
      <c r="D3869" s="10" t="s">
        <v>147</v>
      </c>
      <c r="E3869" s="11" t="s">
        <v>137</v>
      </c>
    </row>
    <row r="3870" spans="1:5" x14ac:dyDescent="0.35">
      <c r="A3870" s="6" t="s">
        <v>135</v>
      </c>
      <c r="B3870" s="7"/>
      <c r="C3870" s="7"/>
      <c r="D3870" s="7" t="s">
        <v>148</v>
      </c>
      <c r="E3870" s="8" t="s">
        <v>137</v>
      </c>
    </row>
    <row r="3871" spans="1:5" x14ac:dyDescent="0.35">
      <c r="A3871" s="9" t="s">
        <v>135</v>
      </c>
      <c r="B3871" s="10"/>
      <c r="C3871" s="10"/>
      <c r="D3871" s="10" t="s">
        <v>149</v>
      </c>
      <c r="E3871" s="11" t="s">
        <v>137</v>
      </c>
    </row>
    <row r="3872" spans="1:5" x14ac:dyDescent="0.35">
      <c r="A3872" s="6" t="s">
        <v>135</v>
      </c>
      <c r="B3872" s="7" t="s">
        <v>165</v>
      </c>
      <c r="C3872" s="7" t="s">
        <v>146</v>
      </c>
      <c r="D3872" s="7" t="s">
        <v>147</v>
      </c>
      <c r="E3872" s="8">
        <v>36</v>
      </c>
    </row>
    <row r="3873" spans="1:5" x14ac:dyDescent="0.35">
      <c r="A3873" s="9" t="s">
        <v>135</v>
      </c>
      <c r="B3873" s="10"/>
      <c r="C3873" s="10"/>
      <c r="D3873" s="10" t="s">
        <v>148</v>
      </c>
      <c r="E3873" s="11">
        <v>36</v>
      </c>
    </row>
    <row r="3874" spans="1:5" x14ac:dyDescent="0.35">
      <c r="A3874" s="6" t="s">
        <v>135</v>
      </c>
      <c r="B3874" s="7"/>
      <c r="C3874" s="7"/>
      <c r="D3874" s="7" t="s">
        <v>149</v>
      </c>
      <c r="E3874" s="8" t="s">
        <v>137</v>
      </c>
    </row>
    <row r="3875" spans="1:5" x14ac:dyDescent="0.35">
      <c r="A3875" s="9" t="s">
        <v>135</v>
      </c>
      <c r="B3875" s="10"/>
      <c r="C3875" s="10" t="s">
        <v>150</v>
      </c>
      <c r="D3875" s="10" t="s">
        <v>147</v>
      </c>
      <c r="E3875" s="11" t="s">
        <v>137</v>
      </c>
    </row>
    <row r="3876" spans="1:5" x14ac:dyDescent="0.35">
      <c r="A3876" s="6" t="s">
        <v>135</v>
      </c>
      <c r="B3876" s="7"/>
      <c r="C3876" s="7"/>
      <c r="D3876" s="7" t="s">
        <v>148</v>
      </c>
      <c r="E3876" s="8" t="s">
        <v>137</v>
      </c>
    </row>
    <row r="3877" spans="1:5" x14ac:dyDescent="0.35">
      <c r="A3877" s="9" t="s">
        <v>135</v>
      </c>
      <c r="B3877" s="10"/>
      <c r="C3877" s="10"/>
      <c r="D3877" s="10" t="s">
        <v>149</v>
      </c>
      <c r="E3877" s="11" t="s">
        <v>137</v>
      </c>
    </row>
    <row r="3878" spans="1:5" x14ac:dyDescent="0.35">
      <c r="A3878" s="6" t="s">
        <v>135</v>
      </c>
      <c r="B3878" s="7" t="s">
        <v>166</v>
      </c>
      <c r="C3878" s="7" t="s">
        <v>146</v>
      </c>
      <c r="D3878" s="7" t="s">
        <v>147</v>
      </c>
      <c r="E3878" s="8">
        <v>194.2</v>
      </c>
    </row>
    <row r="3879" spans="1:5" x14ac:dyDescent="0.35">
      <c r="A3879" s="9" t="s">
        <v>135</v>
      </c>
      <c r="B3879" s="10"/>
      <c r="C3879" s="10"/>
      <c r="D3879" s="10" t="s">
        <v>148</v>
      </c>
      <c r="E3879" s="11">
        <v>194.2</v>
      </c>
    </row>
    <row r="3880" spans="1:5" x14ac:dyDescent="0.35">
      <c r="A3880" s="6" t="s">
        <v>135</v>
      </c>
      <c r="B3880" s="7"/>
      <c r="C3880" s="7"/>
      <c r="D3880" s="7" t="s">
        <v>149</v>
      </c>
      <c r="E3880" s="8" t="s">
        <v>137</v>
      </c>
    </row>
    <row r="3881" spans="1:5" x14ac:dyDescent="0.35">
      <c r="A3881" s="9" t="s">
        <v>135</v>
      </c>
      <c r="B3881" s="10"/>
      <c r="C3881" s="10" t="s">
        <v>150</v>
      </c>
      <c r="D3881" s="10" t="s">
        <v>147</v>
      </c>
      <c r="E3881" s="11" t="s">
        <v>137</v>
      </c>
    </row>
    <row r="3882" spans="1:5" x14ac:dyDescent="0.35">
      <c r="A3882" s="6" t="s">
        <v>135</v>
      </c>
      <c r="B3882" s="7"/>
      <c r="C3882" s="7"/>
      <c r="D3882" s="7" t="s">
        <v>148</v>
      </c>
      <c r="E3882" s="8" t="s">
        <v>137</v>
      </c>
    </row>
    <row r="3883" spans="1:5" x14ac:dyDescent="0.35">
      <c r="A3883" s="9" t="s">
        <v>135</v>
      </c>
      <c r="B3883" s="10"/>
      <c r="C3883" s="10"/>
      <c r="D3883" s="10" t="s">
        <v>149</v>
      </c>
      <c r="E3883" s="11" t="s">
        <v>137</v>
      </c>
    </row>
    <row r="3884" spans="1:5" x14ac:dyDescent="0.35">
      <c r="A3884" s="6" t="s">
        <v>135</v>
      </c>
      <c r="B3884" s="7" t="s">
        <v>167</v>
      </c>
      <c r="C3884" s="7" t="s">
        <v>146</v>
      </c>
      <c r="D3884" s="7" t="s">
        <v>147</v>
      </c>
      <c r="E3884" s="8">
        <v>453.64</v>
      </c>
    </row>
    <row r="3885" spans="1:5" x14ac:dyDescent="0.35">
      <c r="A3885" s="9" t="s">
        <v>135</v>
      </c>
      <c r="B3885" s="10"/>
      <c r="C3885" s="10"/>
      <c r="D3885" s="10" t="s">
        <v>148</v>
      </c>
      <c r="E3885" s="11">
        <v>453.64</v>
      </c>
    </row>
    <row r="3886" spans="1:5" x14ac:dyDescent="0.35">
      <c r="A3886" s="6" t="s">
        <v>135</v>
      </c>
      <c r="B3886" s="7"/>
      <c r="C3886" s="7"/>
      <c r="D3886" s="7" t="s">
        <v>149</v>
      </c>
      <c r="E3886" s="8" t="s">
        <v>137</v>
      </c>
    </row>
    <row r="3887" spans="1:5" x14ac:dyDescent="0.35">
      <c r="A3887" s="9" t="s">
        <v>135</v>
      </c>
      <c r="B3887" s="10"/>
      <c r="C3887" s="10" t="s">
        <v>150</v>
      </c>
      <c r="D3887" s="10" t="s">
        <v>147</v>
      </c>
      <c r="E3887" s="11" t="s">
        <v>137</v>
      </c>
    </row>
    <row r="3888" spans="1:5" x14ac:dyDescent="0.35">
      <c r="A3888" s="6" t="s">
        <v>135</v>
      </c>
      <c r="B3888" s="7"/>
      <c r="C3888" s="7"/>
      <c r="D3888" s="7" t="s">
        <v>148</v>
      </c>
      <c r="E3888" s="8" t="s">
        <v>137</v>
      </c>
    </row>
    <row r="3889" spans="1:5" x14ac:dyDescent="0.35">
      <c r="A3889" s="9" t="s">
        <v>135</v>
      </c>
      <c r="B3889" s="10"/>
      <c r="C3889" s="10"/>
      <c r="D3889" s="10" t="s">
        <v>149</v>
      </c>
      <c r="E3889" s="11" t="s">
        <v>137</v>
      </c>
    </row>
    <row r="3890" spans="1:5" x14ac:dyDescent="0.35">
      <c r="A3890" s="6" t="s">
        <v>135</v>
      </c>
      <c r="B3890" s="7" t="s">
        <v>168</v>
      </c>
      <c r="C3890" s="7" t="s">
        <v>146</v>
      </c>
      <c r="D3890" s="7" t="s">
        <v>147</v>
      </c>
      <c r="E3890" s="8" t="s">
        <v>137</v>
      </c>
    </row>
    <row r="3891" spans="1:5" x14ac:dyDescent="0.35">
      <c r="A3891" s="9" t="s">
        <v>135</v>
      </c>
      <c r="B3891" s="10"/>
      <c r="C3891" s="10"/>
      <c r="D3891" s="10" t="s">
        <v>148</v>
      </c>
      <c r="E3891" s="11" t="s">
        <v>137</v>
      </c>
    </row>
    <row r="3892" spans="1:5" x14ac:dyDescent="0.35">
      <c r="A3892" s="6" t="s">
        <v>135</v>
      </c>
      <c r="B3892" s="7"/>
      <c r="C3892" s="7"/>
      <c r="D3892" s="7" t="s">
        <v>149</v>
      </c>
      <c r="E3892" s="8" t="s">
        <v>137</v>
      </c>
    </row>
    <row r="3893" spans="1:5" x14ac:dyDescent="0.35">
      <c r="A3893" s="9" t="s">
        <v>135</v>
      </c>
      <c r="B3893" s="10"/>
      <c r="C3893" s="10" t="s">
        <v>150</v>
      </c>
      <c r="D3893" s="10" t="s">
        <v>147</v>
      </c>
      <c r="E3893" s="11" t="s">
        <v>137</v>
      </c>
    </row>
    <row r="3894" spans="1:5" x14ac:dyDescent="0.35">
      <c r="A3894" s="6" t="s">
        <v>135</v>
      </c>
      <c r="B3894" s="7"/>
      <c r="C3894" s="7"/>
      <c r="D3894" s="7" t="s">
        <v>148</v>
      </c>
      <c r="E3894" s="8" t="s">
        <v>137</v>
      </c>
    </row>
    <row r="3895" spans="1:5" x14ac:dyDescent="0.35">
      <c r="A3895" s="9" t="s">
        <v>135</v>
      </c>
      <c r="B3895" s="10"/>
      <c r="C3895" s="10"/>
      <c r="D3895" s="10" t="s">
        <v>149</v>
      </c>
      <c r="E3895" s="11" t="s">
        <v>137</v>
      </c>
    </row>
    <row r="3896" spans="1:5" x14ac:dyDescent="0.35">
      <c r="A3896" s="6" t="s">
        <v>135</v>
      </c>
      <c r="B3896" s="7" t="s">
        <v>169</v>
      </c>
      <c r="C3896" s="7" t="s">
        <v>146</v>
      </c>
      <c r="D3896" s="7" t="s">
        <v>147</v>
      </c>
      <c r="E3896" s="8" t="s">
        <v>137</v>
      </c>
    </row>
    <row r="3897" spans="1:5" x14ac:dyDescent="0.35">
      <c r="A3897" s="9" t="s">
        <v>135</v>
      </c>
      <c r="B3897" s="10"/>
      <c r="C3897" s="10"/>
      <c r="D3897" s="10" t="s">
        <v>148</v>
      </c>
      <c r="E3897" s="11" t="s">
        <v>137</v>
      </c>
    </row>
    <row r="3898" spans="1:5" x14ac:dyDescent="0.35">
      <c r="A3898" s="6" t="s">
        <v>135</v>
      </c>
      <c r="B3898" s="7"/>
      <c r="C3898" s="7"/>
      <c r="D3898" s="7" t="s">
        <v>149</v>
      </c>
      <c r="E3898" s="8" t="s">
        <v>137</v>
      </c>
    </row>
    <row r="3899" spans="1:5" x14ac:dyDescent="0.35">
      <c r="A3899" s="9" t="s">
        <v>135</v>
      </c>
      <c r="B3899" s="10"/>
      <c r="C3899" s="10" t="s">
        <v>150</v>
      </c>
      <c r="D3899" s="10" t="s">
        <v>147</v>
      </c>
      <c r="E3899" s="11" t="s">
        <v>137</v>
      </c>
    </row>
    <row r="3900" spans="1:5" x14ac:dyDescent="0.35">
      <c r="A3900" s="6" t="s">
        <v>135</v>
      </c>
      <c r="B3900" s="7"/>
      <c r="C3900" s="7"/>
      <c r="D3900" s="7" t="s">
        <v>148</v>
      </c>
      <c r="E3900" s="8" t="s">
        <v>137</v>
      </c>
    </row>
    <row r="3901" spans="1:5" x14ac:dyDescent="0.35">
      <c r="A3901" s="9" t="s">
        <v>135</v>
      </c>
      <c r="B3901" s="10"/>
      <c r="C3901" s="10"/>
      <c r="D3901" s="10" t="s">
        <v>149</v>
      </c>
      <c r="E3901" s="11" t="s">
        <v>137</v>
      </c>
    </row>
    <row r="3902" spans="1:5" x14ac:dyDescent="0.35">
      <c r="A3902" s="6" t="s">
        <v>135</v>
      </c>
      <c r="B3902" s="7" t="s">
        <v>170</v>
      </c>
      <c r="C3902" s="7" t="s">
        <v>146</v>
      </c>
      <c r="D3902" s="7" t="s">
        <v>147</v>
      </c>
      <c r="E3902" s="8" t="s">
        <v>137</v>
      </c>
    </row>
    <row r="3903" spans="1:5" x14ac:dyDescent="0.35">
      <c r="A3903" s="9" t="s">
        <v>135</v>
      </c>
      <c r="B3903" s="10"/>
      <c r="C3903" s="10"/>
      <c r="D3903" s="10" t="s">
        <v>148</v>
      </c>
      <c r="E3903" s="11" t="s">
        <v>137</v>
      </c>
    </row>
    <row r="3904" spans="1:5" x14ac:dyDescent="0.35">
      <c r="A3904" s="6" t="s">
        <v>135</v>
      </c>
      <c r="B3904" s="7"/>
      <c r="C3904" s="7"/>
      <c r="D3904" s="7" t="s">
        <v>149</v>
      </c>
      <c r="E3904" s="8" t="s">
        <v>137</v>
      </c>
    </row>
    <row r="3905" spans="1:5" x14ac:dyDescent="0.35">
      <c r="A3905" s="9" t="s">
        <v>135</v>
      </c>
      <c r="B3905" s="10"/>
      <c r="C3905" s="10" t="s">
        <v>150</v>
      </c>
      <c r="D3905" s="10" t="s">
        <v>147</v>
      </c>
      <c r="E3905" s="11" t="s">
        <v>137</v>
      </c>
    </row>
    <row r="3906" spans="1:5" x14ac:dyDescent="0.35">
      <c r="A3906" s="6" t="s">
        <v>135</v>
      </c>
      <c r="B3906" s="7"/>
      <c r="C3906" s="7"/>
      <c r="D3906" s="7" t="s">
        <v>148</v>
      </c>
      <c r="E3906" s="8" t="s">
        <v>137</v>
      </c>
    </row>
    <row r="3907" spans="1:5" x14ac:dyDescent="0.35">
      <c r="A3907" s="9" t="s">
        <v>135</v>
      </c>
      <c r="B3907" s="10"/>
      <c r="C3907" s="10"/>
      <c r="D3907" s="10" t="s">
        <v>149</v>
      </c>
      <c r="E3907" s="11" t="s">
        <v>137</v>
      </c>
    </row>
    <row r="3908" spans="1:5" x14ac:dyDescent="0.35">
      <c r="A3908" s="6" t="s">
        <v>91</v>
      </c>
      <c r="B3908" s="7" t="s">
        <v>145</v>
      </c>
      <c r="C3908" s="7" t="s">
        <v>146</v>
      </c>
      <c r="D3908" s="7" t="s">
        <v>147</v>
      </c>
      <c r="E3908" s="8">
        <v>597.04</v>
      </c>
    </row>
    <row r="3909" spans="1:5" x14ac:dyDescent="0.35">
      <c r="A3909" s="9" t="s">
        <v>135</v>
      </c>
      <c r="B3909" s="10"/>
      <c r="C3909" s="10"/>
      <c r="D3909" s="10" t="s">
        <v>148</v>
      </c>
      <c r="E3909" s="11">
        <v>589.57000000000005</v>
      </c>
    </row>
    <row r="3910" spans="1:5" x14ac:dyDescent="0.35">
      <c r="A3910" s="6" t="s">
        <v>135</v>
      </c>
      <c r="B3910" s="7"/>
      <c r="C3910" s="7"/>
      <c r="D3910" s="7" t="s">
        <v>149</v>
      </c>
      <c r="E3910" s="8">
        <v>7.47</v>
      </c>
    </row>
    <row r="3911" spans="1:5" x14ac:dyDescent="0.35">
      <c r="A3911" s="9" t="s">
        <v>135</v>
      </c>
      <c r="B3911" s="10"/>
      <c r="C3911" s="10" t="s">
        <v>150</v>
      </c>
      <c r="D3911" s="10" t="s">
        <v>147</v>
      </c>
      <c r="E3911" s="11" t="s">
        <v>137</v>
      </c>
    </row>
    <row r="3912" spans="1:5" x14ac:dyDescent="0.35">
      <c r="A3912" s="6" t="s">
        <v>135</v>
      </c>
      <c r="B3912" s="7"/>
      <c r="C3912" s="7"/>
      <c r="D3912" s="7" t="s">
        <v>148</v>
      </c>
      <c r="E3912" s="8" t="s">
        <v>137</v>
      </c>
    </row>
    <row r="3913" spans="1:5" x14ac:dyDescent="0.35">
      <c r="A3913" s="9" t="s">
        <v>135</v>
      </c>
      <c r="B3913" s="10"/>
      <c r="C3913" s="10"/>
      <c r="D3913" s="10" t="s">
        <v>149</v>
      </c>
      <c r="E3913" s="11" t="s">
        <v>137</v>
      </c>
    </row>
    <row r="3914" spans="1:5" x14ac:dyDescent="0.35">
      <c r="A3914" s="6" t="s">
        <v>135</v>
      </c>
      <c r="B3914" s="7" t="s">
        <v>151</v>
      </c>
      <c r="C3914" s="7" t="s">
        <v>146</v>
      </c>
      <c r="D3914" s="7" t="s">
        <v>147</v>
      </c>
      <c r="E3914" s="8">
        <v>238.56</v>
      </c>
    </row>
    <row r="3915" spans="1:5" x14ac:dyDescent="0.35">
      <c r="A3915" s="9" t="s">
        <v>135</v>
      </c>
      <c r="B3915" s="10"/>
      <c r="C3915" s="10"/>
      <c r="D3915" s="10" t="s">
        <v>148</v>
      </c>
      <c r="E3915" s="11">
        <v>231.09</v>
      </c>
    </row>
    <row r="3916" spans="1:5" x14ac:dyDescent="0.35">
      <c r="A3916" s="6" t="s">
        <v>135</v>
      </c>
      <c r="B3916" s="7"/>
      <c r="C3916" s="7"/>
      <c r="D3916" s="7" t="s">
        <v>149</v>
      </c>
      <c r="E3916" s="8">
        <v>7.47</v>
      </c>
    </row>
    <row r="3917" spans="1:5" x14ac:dyDescent="0.35">
      <c r="A3917" s="9" t="s">
        <v>135</v>
      </c>
      <c r="B3917" s="10"/>
      <c r="C3917" s="10" t="s">
        <v>150</v>
      </c>
      <c r="D3917" s="10" t="s">
        <v>147</v>
      </c>
      <c r="E3917" s="11" t="s">
        <v>137</v>
      </c>
    </row>
    <row r="3918" spans="1:5" x14ac:dyDescent="0.35">
      <c r="A3918" s="6" t="s">
        <v>135</v>
      </c>
      <c r="B3918" s="7"/>
      <c r="C3918" s="7"/>
      <c r="D3918" s="7" t="s">
        <v>148</v>
      </c>
      <c r="E3918" s="8" t="s">
        <v>137</v>
      </c>
    </row>
    <row r="3919" spans="1:5" x14ac:dyDescent="0.35">
      <c r="A3919" s="9" t="s">
        <v>135</v>
      </c>
      <c r="B3919" s="10"/>
      <c r="C3919" s="10"/>
      <c r="D3919" s="10" t="s">
        <v>149</v>
      </c>
      <c r="E3919" s="11" t="s">
        <v>137</v>
      </c>
    </row>
    <row r="3920" spans="1:5" x14ac:dyDescent="0.35">
      <c r="A3920" s="6" t="s">
        <v>135</v>
      </c>
      <c r="B3920" s="7" t="s">
        <v>152</v>
      </c>
      <c r="C3920" s="7" t="s">
        <v>146</v>
      </c>
      <c r="D3920" s="7" t="s">
        <v>147</v>
      </c>
      <c r="E3920" s="8" t="s">
        <v>137</v>
      </c>
    </row>
    <row r="3921" spans="1:5" x14ac:dyDescent="0.35">
      <c r="A3921" s="9" t="s">
        <v>135</v>
      </c>
      <c r="B3921" s="10"/>
      <c r="C3921" s="10"/>
      <c r="D3921" s="10" t="s">
        <v>148</v>
      </c>
      <c r="E3921" s="11" t="s">
        <v>137</v>
      </c>
    </row>
    <row r="3922" spans="1:5" x14ac:dyDescent="0.35">
      <c r="A3922" s="6" t="s">
        <v>135</v>
      </c>
      <c r="B3922" s="7"/>
      <c r="C3922" s="7"/>
      <c r="D3922" s="7" t="s">
        <v>149</v>
      </c>
      <c r="E3922" s="8" t="s">
        <v>137</v>
      </c>
    </row>
    <row r="3923" spans="1:5" x14ac:dyDescent="0.35">
      <c r="A3923" s="9" t="s">
        <v>135</v>
      </c>
      <c r="B3923" s="10"/>
      <c r="C3923" s="10" t="s">
        <v>150</v>
      </c>
      <c r="D3923" s="10" t="s">
        <v>147</v>
      </c>
      <c r="E3923" s="11" t="s">
        <v>137</v>
      </c>
    </row>
    <row r="3924" spans="1:5" x14ac:dyDescent="0.35">
      <c r="A3924" s="6" t="s">
        <v>135</v>
      </c>
      <c r="B3924" s="7"/>
      <c r="C3924" s="7"/>
      <c r="D3924" s="7" t="s">
        <v>148</v>
      </c>
      <c r="E3924" s="8" t="s">
        <v>137</v>
      </c>
    </row>
    <row r="3925" spans="1:5" x14ac:dyDescent="0.35">
      <c r="A3925" s="9" t="s">
        <v>135</v>
      </c>
      <c r="B3925" s="10"/>
      <c r="C3925" s="10"/>
      <c r="D3925" s="10" t="s">
        <v>149</v>
      </c>
      <c r="E3925" s="11" t="s">
        <v>137</v>
      </c>
    </row>
    <row r="3926" spans="1:5" x14ac:dyDescent="0.35">
      <c r="A3926" s="6" t="s">
        <v>135</v>
      </c>
      <c r="B3926" s="7" t="s">
        <v>153</v>
      </c>
      <c r="C3926" s="7" t="s">
        <v>146</v>
      </c>
      <c r="D3926" s="7" t="s">
        <v>147</v>
      </c>
      <c r="E3926" s="8">
        <v>6.23</v>
      </c>
    </row>
    <row r="3927" spans="1:5" x14ac:dyDescent="0.35">
      <c r="A3927" s="9" t="s">
        <v>135</v>
      </c>
      <c r="B3927" s="10"/>
      <c r="C3927" s="10"/>
      <c r="D3927" s="10" t="s">
        <v>148</v>
      </c>
      <c r="E3927" s="11">
        <v>6.23</v>
      </c>
    </row>
    <row r="3928" spans="1:5" x14ac:dyDescent="0.35">
      <c r="A3928" s="6" t="s">
        <v>135</v>
      </c>
      <c r="B3928" s="7"/>
      <c r="C3928" s="7"/>
      <c r="D3928" s="7" t="s">
        <v>149</v>
      </c>
      <c r="E3928" s="8" t="s">
        <v>137</v>
      </c>
    </row>
    <row r="3929" spans="1:5" x14ac:dyDescent="0.35">
      <c r="A3929" s="9" t="s">
        <v>135</v>
      </c>
      <c r="B3929" s="10"/>
      <c r="C3929" s="10" t="s">
        <v>150</v>
      </c>
      <c r="D3929" s="10" t="s">
        <v>147</v>
      </c>
      <c r="E3929" s="11" t="s">
        <v>137</v>
      </c>
    </row>
    <row r="3930" spans="1:5" x14ac:dyDescent="0.35">
      <c r="A3930" s="6" t="s">
        <v>135</v>
      </c>
      <c r="B3930" s="7"/>
      <c r="C3930" s="7"/>
      <c r="D3930" s="7" t="s">
        <v>148</v>
      </c>
      <c r="E3930" s="8" t="s">
        <v>137</v>
      </c>
    </row>
    <row r="3931" spans="1:5" x14ac:dyDescent="0.35">
      <c r="A3931" s="9" t="s">
        <v>135</v>
      </c>
      <c r="B3931" s="10"/>
      <c r="C3931" s="10"/>
      <c r="D3931" s="10" t="s">
        <v>149</v>
      </c>
      <c r="E3931" s="11" t="s">
        <v>137</v>
      </c>
    </row>
    <row r="3932" spans="1:5" x14ac:dyDescent="0.35">
      <c r="A3932" s="6" t="s">
        <v>135</v>
      </c>
      <c r="B3932" s="7" t="s">
        <v>154</v>
      </c>
      <c r="C3932" s="7" t="s">
        <v>146</v>
      </c>
      <c r="D3932" s="7" t="s">
        <v>147</v>
      </c>
      <c r="E3932" s="8" t="s">
        <v>137</v>
      </c>
    </row>
    <row r="3933" spans="1:5" x14ac:dyDescent="0.35">
      <c r="A3933" s="9" t="s">
        <v>135</v>
      </c>
      <c r="B3933" s="10"/>
      <c r="C3933" s="10"/>
      <c r="D3933" s="10" t="s">
        <v>148</v>
      </c>
      <c r="E3933" s="11" t="s">
        <v>137</v>
      </c>
    </row>
    <row r="3934" spans="1:5" x14ac:dyDescent="0.35">
      <c r="A3934" s="6" t="s">
        <v>135</v>
      </c>
      <c r="B3934" s="7"/>
      <c r="C3934" s="7"/>
      <c r="D3934" s="7" t="s">
        <v>149</v>
      </c>
      <c r="E3934" s="8" t="s">
        <v>137</v>
      </c>
    </row>
    <row r="3935" spans="1:5" x14ac:dyDescent="0.35">
      <c r="A3935" s="9" t="s">
        <v>135</v>
      </c>
      <c r="B3935" s="10"/>
      <c r="C3935" s="10" t="s">
        <v>150</v>
      </c>
      <c r="D3935" s="10" t="s">
        <v>147</v>
      </c>
      <c r="E3935" s="11" t="s">
        <v>137</v>
      </c>
    </row>
    <row r="3936" spans="1:5" x14ac:dyDescent="0.35">
      <c r="A3936" s="6" t="s">
        <v>135</v>
      </c>
      <c r="B3936" s="7"/>
      <c r="C3936" s="7"/>
      <c r="D3936" s="7" t="s">
        <v>148</v>
      </c>
      <c r="E3936" s="8" t="s">
        <v>137</v>
      </c>
    </row>
    <row r="3937" spans="1:5" x14ac:dyDescent="0.35">
      <c r="A3937" s="9" t="s">
        <v>135</v>
      </c>
      <c r="B3937" s="10"/>
      <c r="C3937" s="10"/>
      <c r="D3937" s="10" t="s">
        <v>149</v>
      </c>
      <c r="E3937" s="11" t="s">
        <v>137</v>
      </c>
    </row>
    <row r="3938" spans="1:5" x14ac:dyDescent="0.35">
      <c r="A3938" s="6" t="s">
        <v>135</v>
      </c>
      <c r="B3938" s="7" t="s">
        <v>155</v>
      </c>
      <c r="C3938" s="7" t="s">
        <v>146</v>
      </c>
      <c r="D3938" s="7" t="s">
        <v>147</v>
      </c>
      <c r="E3938" s="8">
        <v>351</v>
      </c>
    </row>
    <row r="3939" spans="1:5" x14ac:dyDescent="0.35">
      <c r="A3939" s="9" t="s">
        <v>135</v>
      </c>
      <c r="B3939" s="10"/>
      <c r="C3939" s="10"/>
      <c r="D3939" s="10" t="s">
        <v>148</v>
      </c>
      <c r="E3939" s="11">
        <v>351</v>
      </c>
    </row>
    <row r="3940" spans="1:5" x14ac:dyDescent="0.35">
      <c r="A3940" s="6" t="s">
        <v>135</v>
      </c>
      <c r="B3940" s="7"/>
      <c r="C3940" s="7"/>
      <c r="D3940" s="7" t="s">
        <v>149</v>
      </c>
      <c r="E3940" s="8" t="s">
        <v>137</v>
      </c>
    </row>
    <row r="3941" spans="1:5" x14ac:dyDescent="0.35">
      <c r="A3941" s="9" t="s">
        <v>135</v>
      </c>
      <c r="B3941" s="10"/>
      <c r="C3941" s="10" t="s">
        <v>150</v>
      </c>
      <c r="D3941" s="10" t="s">
        <v>147</v>
      </c>
      <c r="E3941" s="11" t="s">
        <v>137</v>
      </c>
    </row>
    <row r="3942" spans="1:5" x14ac:dyDescent="0.35">
      <c r="A3942" s="6" t="s">
        <v>135</v>
      </c>
      <c r="B3942" s="7"/>
      <c r="C3942" s="7"/>
      <c r="D3942" s="7" t="s">
        <v>148</v>
      </c>
      <c r="E3942" s="8" t="s">
        <v>137</v>
      </c>
    </row>
    <row r="3943" spans="1:5" x14ac:dyDescent="0.35">
      <c r="A3943" s="9" t="s">
        <v>135</v>
      </c>
      <c r="B3943" s="10"/>
      <c r="C3943" s="10"/>
      <c r="D3943" s="10" t="s">
        <v>149</v>
      </c>
      <c r="E3943" s="11" t="s">
        <v>137</v>
      </c>
    </row>
    <row r="3944" spans="1:5" x14ac:dyDescent="0.35">
      <c r="A3944" s="6" t="s">
        <v>135</v>
      </c>
      <c r="B3944" s="7" t="s">
        <v>156</v>
      </c>
      <c r="C3944" s="7" t="s">
        <v>146</v>
      </c>
      <c r="D3944" s="7" t="s">
        <v>147</v>
      </c>
      <c r="E3944" s="8" t="s">
        <v>137</v>
      </c>
    </row>
    <row r="3945" spans="1:5" x14ac:dyDescent="0.35">
      <c r="A3945" s="9" t="s">
        <v>135</v>
      </c>
      <c r="B3945" s="10"/>
      <c r="C3945" s="10"/>
      <c r="D3945" s="10" t="s">
        <v>148</v>
      </c>
      <c r="E3945" s="11" t="s">
        <v>137</v>
      </c>
    </row>
    <row r="3946" spans="1:5" x14ac:dyDescent="0.35">
      <c r="A3946" s="6" t="s">
        <v>135</v>
      </c>
      <c r="B3946" s="7"/>
      <c r="C3946" s="7"/>
      <c r="D3946" s="7" t="s">
        <v>149</v>
      </c>
      <c r="E3946" s="8" t="s">
        <v>137</v>
      </c>
    </row>
    <row r="3947" spans="1:5" x14ac:dyDescent="0.35">
      <c r="A3947" s="9" t="s">
        <v>135</v>
      </c>
      <c r="B3947" s="10"/>
      <c r="C3947" s="10" t="s">
        <v>150</v>
      </c>
      <c r="D3947" s="10" t="s">
        <v>147</v>
      </c>
      <c r="E3947" s="11" t="s">
        <v>137</v>
      </c>
    </row>
    <row r="3948" spans="1:5" x14ac:dyDescent="0.35">
      <c r="A3948" s="6" t="s">
        <v>135</v>
      </c>
      <c r="B3948" s="7"/>
      <c r="C3948" s="7"/>
      <c r="D3948" s="7" t="s">
        <v>148</v>
      </c>
      <c r="E3948" s="8" t="s">
        <v>137</v>
      </c>
    </row>
    <row r="3949" spans="1:5" x14ac:dyDescent="0.35">
      <c r="A3949" s="9" t="s">
        <v>135</v>
      </c>
      <c r="B3949" s="10"/>
      <c r="C3949" s="10"/>
      <c r="D3949" s="10" t="s">
        <v>149</v>
      </c>
      <c r="E3949" s="11" t="s">
        <v>137</v>
      </c>
    </row>
    <row r="3950" spans="1:5" x14ac:dyDescent="0.35">
      <c r="A3950" s="6" t="s">
        <v>135</v>
      </c>
      <c r="B3950" s="7" t="s">
        <v>157</v>
      </c>
      <c r="C3950" s="7" t="s">
        <v>146</v>
      </c>
      <c r="D3950" s="7" t="s">
        <v>147</v>
      </c>
      <c r="E3950" s="8" t="s">
        <v>137</v>
      </c>
    </row>
    <row r="3951" spans="1:5" x14ac:dyDescent="0.35">
      <c r="A3951" s="9" t="s">
        <v>135</v>
      </c>
      <c r="B3951" s="10"/>
      <c r="C3951" s="10"/>
      <c r="D3951" s="10" t="s">
        <v>148</v>
      </c>
      <c r="E3951" s="11" t="s">
        <v>137</v>
      </c>
    </row>
    <row r="3952" spans="1:5" x14ac:dyDescent="0.35">
      <c r="A3952" s="6" t="s">
        <v>135</v>
      </c>
      <c r="B3952" s="7"/>
      <c r="C3952" s="7"/>
      <c r="D3952" s="7" t="s">
        <v>149</v>
      </c>
      <c r="E3952" s="8" t="s">
        <v>137</v>
      </c>
    </row>
    <row r="3953" spans="1:5" x14ac:dyDescent="0.35">
      <c r="A3953" s="9" t="s">
        <v>135</v>
      </c>
      <c r="B3953" s="10"/>
      <c r="C3953" s="10" t="s">
        <v>150</v>
      </c>
      <c r="D3953" s="10" t="s">
        <v>147</v>
      </c>
      <c r="E3953" s="11" t="s">
        <v>137</v>
      </c>
    </row>
    <row r="3954" spans="1:5" x14ac:dyDescent="0.35">
      <c r="A3954" s="6" t="s">
        <v>135</v>
      </c>
      <c r="B3954" s="7"/>
      <c r="C3954" s="7"/>
      <c r="D3954" s="7" t="s">
        <v>148</v>
      </c>
      <c r="E3954" s="8" t="s">
        <v>137</v>
      </c>
    </row>
    <row r="3955" spans="1:5" x14ac:dyDescent="0.35">
      <c r="A3955" s="9" t="s">
        <v>135</v>
      </c>
      <c r="B3955" s="10"/>
      <c r="C3955" s="10"/>
      <c r="D3955" s="10" t="s">
        <v>149</v>
      </c>
      <c r="E3955" s="11" t="s">
        <v>137</v>
      </c>
    </row>
    <row r="3956" spans="1:5" x14ac:dyDescent="0.35">
      <c r="A3956" s="6" t="s">
        <v>135</v>
      </c>
      <c r="B3956" s="7" t="s">
        <v>158</v>
      </c>
      <c r="C3956" s="7" t="s">
        <v>146</v>
      </c>
      <c r="D3956" s="7" t="s">
        <v>147</v>
      </c>
      <c r="E3956" s="8">
        <v>0.25</v>
      </c>
    </row>
    <row r="3957" spans="1:5" x14ac:dyDescent="0.35">
      <c r="A3957" s="9" t="s">
        <v>135</v>
      </c>
      <c r="B3957" s="10"/>
      <c r="C3957" s="10"/>
      <c r="D3957" s="10" t="s">
        <v>148</v>
      </c>
      <c r="E3957" s="11">
        <v>0.25</v>
      </c>
    </row>
    <row r="3958" spans="1:5" x14ac:dyDescent="0.35">
      <c r="A3958" s="6" t="s">
        <v>135</v>
      </c>
      <c r="B3958" s="7"/>
      <c r="C3958" s="7"/>
      <c r="D3958" s="7" t="s">
        <v>149</v>
      </c>
      <c r="E3958" s="8" t="s">
        <v>137</v>
      </c>
    </row>
    <row r="3959" spans="1:5" x14ac:dyDescent="0.35">
      <c r="A3959" s="9" t="s">
        <v>135</v>
      </c>
      <c r="B3959" s="10"/>
      <c r="C3959" s="10" t="s">
        <v>150</v>
      </c>
      <c r="D3959" s="10" t="s">
        <v>147</v>
      </c>
      <c r="E3959" s="11" t="s">
        <v>137</v>
      </c>
    </row>
    <row r="3960" spans="1:5" x14ac:dyDescent="0.35">
      <c r="A3960" s="6" t="s">
        <v>135</v>
      </c>
      <c r="B3960" s="7"/>
      <c r="C3960" s="7"/>
      <c r="D3960" s="7" t="s">
        <v>148</v>
      </c>
      <c r="E3960" s="8" t="s">
        <v>137</v>
      </c>
    </row>
    <row r="3961" spans="1:5" x14ac:dyDescent="0.35">
      <c r="A3961" s="9" t="s">
        <v>135</v>
      </c>
      <c r="B3961" s="10"/>
      <c r="C3961" s="10"/>
      <c r="D3961" s="10" t="s">
        <v>149</v>
      </c>
      <c r="E3961" s="11" t="s">
        <v>137</v>
      </c>
    </row>
    <row r="3962" spans="1:5" x14ac:dyDescent="0.35">
      <c r="A3962" s="6" t="s">
        <v>135</v>
      </c>
      <c r="B3962" s="7" t="s">
        <v>159</v>
      </c>
      <c r="C3962" s="7" t="s">
        <v>146</v>
      </c>
      <c r="D3962" s="7" t="s">
        <v>147</v>
      </c>
      <c r="E3962" s="8" t="s">
        <v>137</v>
      </c>
    </row>
    <row r="3963" spans="1:5" x14ac:dyDescent="0.35">
      <c r="A3963" s="9" t="s">
        <v>135</v>
      </c>
      <c r="B3963" s="10"/>
      <c r="C3963" s="10"/>
      <c r="D3963" s="10" t="s">
        <v>148</v>
      </c>
      <c r="E3963" s="11" t="s">
        <v>137</v>
      </c>
    </row>
    <row r="3964" spans="1:5" x14ac:dyDescent="0.35">
      <c r="A3964" s="6" t="s">
        <v>135</v>
      </c>
      <c r="B3964" s="7"/>
      <c r="C3964" s="7"/>
      <c r="D3964" s="7" t="s">
        <v>149</v>
      </c>
      <c r="E3964" s="8" t="s">
        <v>137</v>
      </c>
    </row>
    <row r="3965" spans="1:5" x14ac:dyDescent="0.35">
      <c r="A3965" s="9" t="s">
        <v>135</v>
      </c>
      <c r="B3965" s="10"/>
      <c r="C3965" s="10" t="s">
        <v>150</v>
      </c>
      <c r="D3965" s="10" t="s">
        <v>147</v>
      </c>
      <c r="E3965" s="11" t="s">
        <v>137</v>
      </c>
    </row>
    <row r="3966" spans="1:5" x14ac:dyDescent="0.35">
      <c r="A3966" s="6" t="s">
        <v>135</v>
      </c>
      <c r="B3966" s="7"/>
      <c r="C3966" s="7"/>
      <c r="D3966" s="7" t="s">
        <v>148</v>
      </c>
      <c r="E3966" s="8" t="s">
        <v>137</v>
      </c>
    </row>
    <row r="3967" spans="1:5" x14ac:dyDescent="0.35">
      <c r="A3967" s="9" t="s">
        <v>135</v>
      </c>
      <c r="B3967" s="10"/>
      <c r="C3967" s="10"/>
      <c r="D3967" s="10" t="s">
        <v>149</v>
      </c>
      <c r="E3967" s="11" t="s">
        <v>137</v>
      </c>
    </row>
    <row r="3968" spans="1:5" x14ac:dyDescent="0.35">
      <c r="A3968" s="6" t="s">
        <v>135</v>
      </c>
      <c r="B3968" s="7" t="s">
        <v>160</v>
      </c>
      <c r="C3968" s="7" t="s">
        <v>146</v>
      </c>
      <c r="D3968" s="7" t="s">
        <v>147</v>
      </c>
      <c r="E3968" s="8" t="s">
        <v>137</v>
      </c>
    </row>
    <row r="3969" spans="1:5" x14ac:dyDescent="0.35">
      <c r="A3969" s="9" t="s">
        <v>135</v>
      </c>
      <c r="B3969" s="10"/>
      <c r="C3969" s="10"/>
      <c r="D3969" s="10" t="s">
        <v>148</v>
      </c>
      <c r="E3969" s="11" t="s">
        <v>137</v>
      </c>
    </row>
    <row r="3970" spans="1:5" x14ac:dyDescent="0.35">
      <c r="A3970" s="6" t="s">
        <v>135</v>
      </c>
      <c r="B3970" s="7"/>
      <c r="C3970" s="7"/>
      <c r="D3970" s="7" t="s">
        <v>149</v>
      </c>
      <c r="E3970" s="8" t="s">
        <v>137</v>
      </c>
    </row>
    <row r="3971" spans="1:5" x14ac:dyDescent="0.35">
      <c r="A3971" s="9" t="s">
        <v>135</v>
      </c>
      <c r="B3971" s="10"/>
      <c r="C3971" s="10" t="s">
        <v>150</v>
      </c>
      <c r="D3971" s="10" t="s">
        <v>147</v>
      </c>
      <c r="E3971" s="11" t="s">
        <v>137</v>
      </c>
    </row>
    <row r="3972" spans="1:5" x14ac:dyDescent="0.35">
      <c r="A3972" s="6" t="s">
        <v>135</v>
      </c>
      <c r="B3972" s="7"/>
      <c r="C3972" s="7"/>
      <c r="D3972" s="7" t="s">
        <v>148</v>
      </c>
      <c r="E3972" s="8" t="s">
        <v>137</v>
      </c>
    </row>
    <row r="3973" spans="1:5" x14ac:dyDescent="0.35">
      <c r="A3973" s="9" t="s">
        <v>135</v>
      </c>
      <c r="B3973" s="10"/>
      <c r="C3973" s="10"/>
      <c r="D3973" s="10" t="s">
        <v>149</v>
      </c>
      <c r="E3973" s="11" t="s">
        <v>137</v>
      </c>
    </row>
    <row r="3974" spans="1:5" x14ac:dyDescent="0.35">
      <c r="A3974" s="6" t="s">
        <v>135</v>
      </c>
      <c r="B3974" s="7" t="s">
        <v>161</v>
      </c>
      <c r="C3974" s="7" t="s">
        <v>146</v>
      </c>
      <c r="D3974" s="7" t="s">
        <v>147</v>
      </c>
      <c r="E3974" s="8">
        <v>1</v>
      </c>
    </row>
    <row r="3975" spans="1:5" x14ac:dyDescent="0.35">
      <c r="A3975" s="9" t="s">
        <v>135</v>
      </c>
      <c r="B3975" s="10"/>
      <c r="C3975" s="10"/>
      <c r="D3975" s="10" t="s">
        <v>148</v>
      </c>
      <c r="E3975" s="11">
        <v>1</v>
      </c>
    </row>
    <row r="3976" spans="1:5" x14ac:dyDescent="0.35">
      <c r="A3976" s="6" t="s">
        <v>135</v>
      </c>
      <c r="B3976" s="7"/>
      <c r="C3976" s="7"/>
      <c r="D3976" s="7" t="s">
        <v>149</v>
      </c>
      <c r="E3976" s="8" t="s">
        <v>137</v>
      </c>
    </row>
    <row r="3977" spans="1:5" x14ac:dyDescent="0.35">
      <c r="A3977" s="9" t="s">
        <v>135</v>
      </c>
      <c r="B3977" s="10"/>
      <c r="C3977" s="10" t="s">
        <v>150</v>
      </c>
      <c r="D3977" s="10" t="s">
        <v>147</v>
      </c>
      <c r="E3977" s="11" t="s">
        <v>137</v>
      </c>
    </row>
    <row r="3978" spans="1:5" x14ac:dyDescent="0.35">
      <c r="A3978" s="6" t="s">
        <v>135</v>
      </c>
      <c r="B3978" s="7"/>
      <c r="C3978" s="7"/>
      <c r="D3978" s="7" t="s">
        <v>148</v>
      </c>
      <c r="E3978" s="8" t="s">
        <v>137</v>
      </c>
    </row>
    <row r="3979" spans="1:5" x14ac:dyDescent="0.35">
      <c r="A3979" s="9" t="s">
        <v>135</v>
      </c>
      <c r="B3979" s="10"/>
      <c r="C3979" s="10"/>
      <c r="D3979" s="10" t="s">
        <v>149</v>
      </c>
      <c r="E3979" s="11" t="s">
        <v>137</v>
      </c>
    </row>
    <row r="3980" spans="1:5" x14ac:dyDescent="0.35">
      <c r="A3980" s="6" t="s">
        <v>135</v>
      </c>
      <c r="B3980" s="7" t="s">
        <v>162</v>
      </c>
      <c r="C3980" s="7" t="s">
        <v>146</v>
      </c>
      <c r="D3980" s="7" t="s">
        <v>147</v>
      </c>
      <c r="E3980" s="8" t="s">
        <v>137</v>
      </c>
    </row>
    <row r="3981" spans="1:5" x14ac:dyDescent="0.35">
      <c r="A3981" s="9" t="s">
        <v>135</v>
      </c>
      <c r="B3981" s="10"/>
      <c r="C3981" s="10"/>
      <c r="D3981" s="10" t="s">
        <v>148</v>
      </c>
      <c r="E3981" s="11" t="s">
        <v>137</v>
      </c>
    </row>
    <row r="3982" spans="1:5" x14ac:dyDescent="0.35">
      <c r="A3982" s="6" t="s">
        <v>135</v>
      </c>
      <c r="B3982" s="7"/>
      <c r="C3982" s="7"/>
      <c r="D3982" s="7" t="s">
        <v>149</v>
      </c>
      <c r="E3982" s="8" t="s">
        <v>137</v>
      </c>
    </row>
    <row r="3983" spans="1:5" x14ac:dyDescent="0.35">
      <c r="A3983" s="9" t="s">
        <v>135</v>
      </c>
      <c r="B3983" s="10"/>
      <c r="C3983" s="10" t="s">
        <v>150</v>
      </c>
      <c r="D3983" s="10" t="s">
        <v>147</v>
      </c>
      <c r="E3983" s="11" t="s">
        <v>137</v>
      </c>
    </row>
    <row r="3984" spans="1:5" x14ac:dyDescent="0.35">
      <c r="A3984" s="6" t="s">
        <v>135</v>
      </c>
      <c r="B3984" s="7"/>
      <c r="C3984" s="7"/>
      <c r="D3984" s="7" t="s">
        <v>148</v>
      </c>
      <c r="E3984" s="8" t="s">
        <v>137</v>
      </c>
    </row>
    <row r="3985" spans="1:5" x14ac:dyDescent="0.35">
      <c r="A3985" s="9" t="s">
        <v>135</v>
      </c>
      <c r="B3985" s="10"/>
      <c r="C3985" s="10"/>
      <c r="D3985" s="10" t="s">
        <v>149</v>
      </c>
      <c r="E3985" s="11" t="s">
        <v>137</v>
      </c>
    </row>
    <row r="3986" spans="1:5" x14ac:dyDescent="0.35">
      <c r="A3986" s="6" t="s">
        <v>135</v>
      </c>
      <c r="B3986" s="7" t="s">
        <v>163</v>
      </c>
      <c r="C3986" s="7" t="s">
        <v>146</v>
      </c>
      <c r="D3986" s="7" t="s">
        <v>147</v>
      </c>
      <c r="E3986" s="8">
        <v>193.65</v>
      </c>
    </row>
    <row r="3987" spans="1:5" x14ac:dyDescent="0.35">
      <c r="A3987" s="9" t="s">
        <v>135</v>
      </c>
      <c r="B3987" s="10"/>
      <c r="C3987" s="10"/>
      <c r="D3987" s="10" t="s">
        <v>148</v>
      </c>
      <c r="E3987" s="11">
        <v>176.85</v>
      </c>
    </row>
    <row r="3988" spans="1:5" x14ac:dyDescent="0.35">
      <c r="A3988" s="6" t="s">
        <v>135</v>
      </c>
      <c r="B3988" s="7"/>
      <c r="C3988" s="7"/>
      <c r="D3988" s="7" t="s">
        <v>149</v>
      </c>
      <c r="E3988" s="8">
        <v>16.8</v>
      </c>
    </row>
    <row r="3989" spans="1:5" x14ac:dyDescent="0.35">
      <c r="A3989" s="9" t="s">
        <v>135</v>
      </c>
      <c r="B3989" s="10"/>
      <c r="C3989" s="10" t="s">
        <v>150</v>
      </c>
      <c r="D3989" s="10" t="s">
        <v>147</v>
      </c>
      <c r="E3989" s="11" t="s">
        <v>137</v>
      </c>
    </row>
    <row r="3990" spans="1:5" x14ac:dyDescent="0.35">
      <c r="A3990" s="6" t="s">
        <v>135</v>
      </c>
      <c r="B3990" s="7"/>
      <c r="C3990" s="7"/>
      <c r="D3990" s="7" t="s">
        <v>148</v>
      </c>
      <c r="E3990" s="8" t="s">
        <v>137</v>
      </c>
    </row>
    <row r="3991" spans="1:5" x14ac:dyDescent="0.35">
      <c r="A3991" s="9" t="s">
        <v>135</v>
      </c>
      <c r="B3991" s="10"/>
      <c r="C3991" s="10"/>
      <c r="D3991" s="10" t="s">
        <v>149</v>
      </c>
      <c r="E3991" s="11" t="s">
        <v>137</v>
      </c>
    </row>
    <row r="3992" spans="1:5" x14ac:dyDescent="0.35">
      <c r="A3992" s="6" t="s">
        <v>135</v>
      </c>
      <c r="B3992" s="7" t="s">
        <v>164</v>
      </c>
      <c r="C3992" s="7" t="s">
        <v>146</v>
      </c>
      <c r="D3992" s="7" t="s">
        <v>147</v>
      </c>
      <c r="E3992" s="8" t="s">
        <v>137</v>
      </c>
    </row>
    <row r="3993" spans="1:5" x14ac:dyDescent="0.35">
      <c r="A3993" s="9" t="s">
        <v>135</v>
      </c>
      <c r="B3993" s="10"/>
      <c r="C3993" s="10"/>
      <c r="D3993" s="10" t="s">
        <v>148</v>
      </c>
      <c r="E3993" s="11" t="s">
        <v>137</v>
      </c>
    </row>
    <row r="3994" spans="1:5" x14ac:dyDescent="0.35">
      <c r="A3994" s="6" t="s">
        <v>135</v>
      </c>
      <c r="B3994" s="7"/>
      <c r="C3994" s="7"/>
      <c r="D3994" s="7" t="s">
        <v>149</v>
      </c>
      <c r="E3994" s="8" t="s">
        <v>137</v>
      </c>
    </row>
    <row r="3995" spans="1:5" x14ac:dyDescent="0.35">
      <c r="A3995" s="9" t="s">
        <v>135</v>
      </c>
      <c r="B3995" s="10"/>
      <c r="C3995" s="10" t="s">
        <v>150</v>
      </c>
      <c r="D3995" s="10" t="s">
        <v>147</v>
      </c>
      <c r="E3995" s="11" t="s">
        <v>137</v>
      </c>
    </row>
    <row r="3996" spans="1:5" x14ac:dyDescent="0.35">
      <c r="A3996" s="6" t="s">
        <v>135</v>
      </c>
      <c r="B3996" s="7"/>
      <c r="C3996" s="7"/>
      <c r="D3996" s="7" t="s">
        <v>148</v>
      </c>
      <c r="E3996" s="8" t="s">
        <v>137</v>
      </c>
    </row>
    <row r="3997" spans="1:5" x14ac:dyDescent="0.35">
      <c r="A3997" s="9" t="s">
        <v>135</v>
      </c>
      <c r="B3997" s="10"/>
      <c r="C3997" s="10"/>
      <c r="D3997" s="10" t="s">
        <v>149</v>
      </c>
      <c r="E3997" s="11" t="s">
        <v>137</v>
      </c>
    </row>
    <row r="3998" spans="1:5" x14ac:dyDescent="0.35">
      <c r="A3998" s="6" t="s">
        <v>135</v>
      </c>
      <c r="B3998" s="7" t="s">
        <v>165</v>
      </c>
      <c r="C3998" s="7" t="s">
        <v>146</v>
      </c>
      <c r="D3998" s="7" t="s">
        <v>147</v>
      </c>
      <c r="E3998" s="8">
        <v>120</v>
      </c>
    </row>
    <row r="3999" spans="1:5" x14ac:dyDescent="0.35">
      <c r="A3999" s="9" t="s">
        <v>135</v>
      </c>
      <c r="B3999" s="10"/>
      <c r="C3999" s="10"/>
      <c r="D3999" s="10" t="s">
        <v>148</v>
      </c>
      <c r="E3999" s="11">
        <v>120</v>
      </c>
    </row>
    <row r="4000" spans="1:5" x14ac:dyDescent="0.35">
      <c r="A4000" s="6" t="s">
        <v>135</v>
      </c>
      <c r="B4000" s="7"/>
      <c r="C4000" s="7"/>
      <c r="D4000" s="7" t="s">
        <v>149</v>
      </c>
      <c r="E4000" s="8" t="s">
        <v>137</v>
      </c>
    </row>
    <row r="4001" spans="1:5" x14ac:dyDescent="0.35">
      <c r="A4001" s="9" t="s">
        <v>135</v>
      </c>
      <c r="B4001" s="10"/>
      <c r="C4001" s="10" t="s">
        <v>150</v>
      </c>
      <c r="D4001" s="10" t="s">
        <v>147</v>
      </c>
      <c r="E4001" s="11" t="s">
        <v>137</v>
      </c>
    </row>
    <row r="4002" spans="1:5" x14ac:dyDescent="0.35">
      <c r="A4002" s="6" t="s">
        <v>135</v>
      </c>
      <c r="B4002" s="7"/>
      <c r="C4002" s="7"/>
      <c r="D4002" s="7" t="s">
        <v>148</v>
      </c>
      <c r="E4002" s="8" t="s">
        <v>137</v>
      </c>
    </row>
    <row r="4003" spans="1:5" x14ac:dyDescent="0.35">
      <c r="A4003" s="9" t="s">
        <v>135</v>
      </c>
      <c r="B4003" s="10"/>
      <c r="C4003" s="10"/>
      <c r="D4003" s="10" t="s">
        <v>149</v>
      </c>
      <c r="E4003" s="11" t="s">
        <v>137</v>
      </c>
    </row>
    <row r="4004" spans="1:5" x14ac:dyDescent="0.35">
      <c r="A4004" s="6" t="s">
        <v>135</v>
      </c>
      <c r="B4004" s="7" t="s">
        <v>166</v>
      </c>
      <c r="C4004" s="7" t="s">
        <v>146</v>
      </c>
      <c r="D4004" s="7" t="s">
        <v>147</v>
      </c>
      <c r="E4004" s="8">
        <v>73.650000000000006</v>
      </c>
    </row>
    <row r="4005" spans="1:5" x14ac:dyDescent="0.35">
      <c r="A4005" s="9" t="s">
        <v>135</v>
      </c>
      <c r="B4005" s="10"/>
      <c r="C4005" s="10"/>
      <c r="D4005" s="10" t="s">
        <v>148</v>
      </c>
      <c r="E4005" s="11">
        <v>56.85</v>
      </c>
    </row>
    <row r="4006" spans="1:5" x14ac:dyDescent="0.35">
      <c r="A4006" s="6" t="s">
        <v>135</v>
      </c>
      <c r="B4006" s="7"/>
      <c r="C4006" s="7"/>
      <c r="D4006" s="7" t="s">
        <v>149</v>
      </c>
      <c r="E4006" s="8">
        <v>16.8</v>
      </c>
    </row>
    <row r="4007" spans="1:5" x14ac:dyDescent="0.35">
      <c r="A4007" s="9" t="s">
        <v>135</v>
      </c>
      <c r="B4007" s="10"/>
      <c r="C4007" s="10" t="s">
        <v>150</v>
      </c>
      <c r="D4007" s="10" t="s">
        <v>147</v>
      </c>
      <c r="E4007" s="11" t="s">
        <v>137</v>
      </c>
    </row>
    <row r="4008" spans="1:5" x14ac:dyDescent="0.35">
      <c r="A4008" s="6" t="s">
        <v>135</v>
      </c>
      <c r="B4008" s="7"/>
      <c r="C4008" s="7"/>
      <c r="D4008" s="7" t="s">
        <v>148</v>
      </c>
      <c r="E4008" s="8" t="s">
        <v>137</v>
      </c>
    </row>
    <row r="4009" spans="1:5" x14ac:dyDescent="0.35">
      <c r="A4009" s="9" t="s">
        <v>135</v>
      </c>
      <c r="B4009" s="10"/>
      <c r="C4009" s="10"/>
      <c r="D4009" s="10" t="s">
        <v>149</v>
      </c>
      <c r="E4009" s="11" t="s">
        <v>137</v>
      </c>
    </row>
    <row r="4010" spans="1:5" x14ac:dyDescent="0.35">
      <c r="A4010" s="6" t="s">
        <v>135</v>
      </c>
      <c r="B4010" s="7" t="s">
        <v>167</v>
      </c>
      <c r="C4010" s="7" t="s">
        <v>146</v>
      </c>
      <c r="D4010" s="7" t="s">
        <v>147</v>
      </c>
      <c r="E4010" s="8" t="s">
        <v>137</v>
      </c>
    </row>
    <row r="4011" spans="1:5" x14ac:dyDescent="0.35">
      <c r="A4011" s="9" t="s">
        <v>135</v>
      </c>
      <c r="B4011" s="10"/>
      <c r="C4011" s="10"/>
      <c r="D4011" s="10" t="s">
        <v>148</v>
      </c>
      <c r="E4011" s="11" t="s">
        <v>137</v>
      </c>
    </row>
    <row r="4012" spans="1:5" x14ac:dyDescent="0.35">
      <c r="A4012" s="6" t="s">
        <v>135</v>
      </c>
      <c r="B4012" s="7"/>
      <c r="C4012" s="7"/>
      <c r="D4012" s="7" t="s">
        <v>149</v>
      </c>
      <c r="E4012" s="8" t="s">
        <v>137</v>
      </c>
    </row>
    <row r="4013" spans="1:5" x14ac:dyDescent="0.35">
      <c r="A4013" s="9" t="s">
        <v>135</v>
      </c>
      <c r="B4013" s="10"/>
      <c r="C4013" s="10" t="s">
        <v>150</v>
      </c>
      <c r="D4013" s="10" t="s">
        <v>147</v>
      </c>
      <c r="E4013" s="11" t="s">
        <v>137</v>
      </c>
    </row>
    <row r="4014" spans="1:5" x14ac:dyDescent="0.35">
      <c r="A4014" s="6" t="s">
        <v>135</v>
      </c>
      <c r="B4014" s="7"/>
      <c r="C4014" s="7"/>
      <c r="D4014" s="7" t="s">
        <v>148</v>
      </c>
      <c r="E4014" s="8" t="s">
        <v>137</v>
      </c>
    </row>
    <row r="4015" spans="1:5" x14ac:dyDescent="0.35">
      <c r="A4015" s="9" t="s">
        <v>135</v>
      </c>
      <c r="B4015" s="10"/>
      <c r="C4015" s="10"/>
      <c r="D4015" s="10" t="s">
        <v>149</v>
      </c>
      <c r="E4015" s="11" t="s">
        <v>137</v>
      </c>
    </row>
    <row r="4016" spans="1:5" x14ac:dyDescent="0.35">
      <c r="A4016" s="6" t="s">
        <v>135</v>
      </c>
      <c r="B4016" s="7" t="s">
        <v>168</v>
      </c>
      <c r="C4016" s="7" t="s">
        <v>146</v>
      </c>
      <c r="D4016" s="7" t="s">
        <v>147</v>
      </c>
      <c r="E4016" s="8" t="s">
        <v>137</v>
      </c>
    </row>
    <row r="4017" spans="1:5" x14ac:dyDescent="0.35">
      <c r="A4017" s="9" t="s">
        <v>135</v>
      </c>
      <c r="B4017" s="10"/>
      <c r="C4017" s="10"/>
      <c r="D4017" s="10" t="s">
        <v>148</v>
      </c>
      <c r="E4017" s="11" t="s">
        <v>137</v>
      </c>
    </row>
    <row r="4018" spans="1:5" x14ac:dyDescent="0.35">
      <c r="A4018" s="6" t="s">
        <v>135</v>
      </c>
      <c r="B4018" s="7"/>
      <c r="C4018" s="7"/>
      <c r="D4018" s="7" t="s">
        <v>149</v>
      </c>
      <c r="E4018" s="8" t="s">
        <v>137</v>
      </c>
    </row>
    <row r="4019" spans="1:5" x14ac:dyDescent="0.35">
      <c r="A4019" s="9" t="s">
        <v>135</v>
      </c>
      <c r="B4019" s="10"/>
      <c r="C4019" s="10" t="s">
        <v>150</v>
      </c>
      <c r="D4019" s="10" t="s">
        <v>147</v>
      </c>
      <c r="E4019" s="11" t="s">
        <v>137</v>
      </c>
    </row>
    <row r="4020" spans="1:5" x14ac:dyDescent="0.35">
      <c r="A4020" s="6" t="s">
        <v>135</v>
      </c>
      <c r="B4020" s="7"/>
      <c r="C4020" s="7"/>
      <c r="D4020" s="7" t="s">
        <v>148</v>
      </c>
      <c r="E4020" s="8" t="s">
        <v>137</v>
      </c>
    </row>
    <row r="4021" spans="1:5" x14ac:dyDescent="0.35">
      <c r="A4021" s="9" t="s">
        <v>135</v>
      </c>
      <c r="B4021" s="10"/>
      <c r="C4021" s="10"/>
      <c r="D4021" s="10" t="s">
        <v>149</v>
      </c>
      <c r="E4021" s="11" t="s">
        <v>137</v>
      </c>
    </row>
    <row r="4022" spans="1:5" x14ac:dyDescent="0.35">
      <c r="A4022" s="6" t="s">
        <v>135</v>
      </c>
      <c r="B4022" s="7" t="s">
        <v>169</v>
      </c>
      <c r="C4022" s="7" t="s">
        <v>146</v>
      </c>
      <c r="D4022" s="7" t="s">
        <v>147</v>
      </c>
      <c r="E4022" s="8" t="s">
        <v>137</v>
      </c>
    </row>
    <row r="4023" spans="1:5" x14ac:dyDescent="0.35">
      <c r="A4023" s="9" t="s">
        <v>135</v>
      </c>
      <c r="B4023" s="10"/>
      <c r="C4023" s="10"/>
      <c r="D4023" s="10" t="s">
        <v>148</v>
      </c>
      <c r="E4023" s="11" t="s">
        <v>137</v>
      </c>
    </row>
    <row r="4024" spans="1:5" x14ac:dyDescent="0.35">
      <c r="A4024" s="6" t="s">
        <v>135</v>
      </c>
      <c r="B4024" s="7"/>
      <c r="C4024" s="7"/>
      <c r="D4024" s="7" t="s">
        <v>149</v>
      </c>
      <c r="E4024" s="8" t="s">
        <v>137</v>
      </c>
    </row>
    <row r="4025" spans="1:5" x14ac:dyDescent="0.35">
      <c r="A4025" s="9" t="s">
        <v>135</v>
      </c>
      <c r="B4025" s="10"/>
      <c r="C4025" s="10" t="s">
        <v>150</v>
      </c>
      <c r="D4025" s="10" t="s">
        <v>147</v>
      </c>
      <c r="E4025" s="11" t="s">
        <v>137</v>
      </c>
    </row>
    <row r="4026" spans="1:5" x14ac:dyDescent="0.35">
      <c r="A4026" s="6" t="s">
        <v>135</v>
      </c>
      <c r="B4026" s="7"/>
      <c r="C4026" s="7"/>
      <c r="D4026" s="7" t="s">
        <v>148</v>
      </c>
      <c r="E4026" s="8" t="s">
        <v>137</v>
      </c>
    </row>
    <row r="4027" spans="1:5" x14ac:dyDescent="0.35">
      <c r="A4027" s="9" t="s">
        <v>135</v>
      </c>
      <c r="B4027" s="10"/>
      <c r="C4027" s="10"/>
      <c r="D4027" s="10" t="s">
        <v>149</v>
      </c>
      <c r="E4027" s="11" t="s">
        <v>137</v>
      </c>
    </row>
    <row r="4028" spans="1:5" x14ac:dyDescent="0.35">
      <c r="A4028" s="6" t="s">
        <v>135</v>
      </c>
      <c r="B4028" s="7" t="s">
        <v>170</v>
      </c>
      <c r="C4028" s="7" t="s">
        <v>146</v>
      </c>
      <c r="D4028" s="7" t="s">
        <v>147</v>
      </c>
      <c r="E4028" s="8" t="s">
        <v>137</v>
      </c>
    </row>
    <row r="4029" spans="1:5" x14ac:dyDescent="0.35">
      <c r="A4029" s="9" t="s">
        <v>135</v>
      </c>
      <c r="B4029" s="10"/>
      <c r="C4029" s="10"/>
      <c r="D4029" s="10" t="s">
        <v>148</v>
      </c>
      <c r="E4029" s="11" t="s">
        <v>137</v>
      </c>
    </row>
    <row r="4030" spans="1:5" x14ac:dyDescent="0.35">
      <c r="A4030" s="6" t="s">
        <v>135</v>
      </c>
      <c r="B4030" s="7"/>
      <c r="C4030" s="7"/>
      <c r="D4030" s="7" t="s">
        <v>149</v>
      </c>
      <c r="E4030" s="8" t="s">
        <v>137</v>
      </c>
    </row>
    <row r="4031" spans="1:5" x14ac:dyDescent="0.35">
      <c r="A4031" s="9" t="s">
        <v>135</v>
      </c>
      <c r="B4031" s="10"/>
      <c r="C4031" s="10" t="s">
        <v>150</v>
      </c>
      <c r="D4031" s="10" t="s">
        <v>147</v>
      </c>
      <c r="E4031" s="11" t="s">
        <v>137</v>
      </c>
    </row>
    <row r="4032" spans="1:5" x14ac:dyDescent="0.35">
      <c r="A4032" s="6" t="s">
        <v>135</v>
      </c>
      <c r="B4032" s="7"/>
      <c r="C4032" s="7"/>
      <c r="D4032" s="7" t="s">
        <v>148</v>
      </c>
      <c r="E4032" s="8" t="s">
        <v>137</v>
      </c>
    </row>
    <row r="4033" spans="1:5" x14ac:dyDescent="0.35">
      <c r="A4033" s="9" t="s">
        <v>135</v>
      </c>
      <c r="B4033" s="10"/>
      <c r="C4033" s="10"/>
      <c r="D4033" s="10" t="s">
        <v>149</v>
      </c>
      <c r="E4033" s="11" t="s">
        <v>137</v>
      </c>
    </row>
    <row r="4034" spans="1:5" x14ac:dyDescent="0.35">
      <c r="A4034" s="6" t="s">
        <v>95</v>
      </c>
      <c r="B4034" s="7" t="s">
        <v>145</v>
      </c>
      <c r="C4034" s="7" t="s">
        <v>146</v>
      </c>
      <c r="D4034" s="7" t="s">
        <v>147</v>
      </c>
      <c r="E4034" s="8">
        <v>3078.61</v>
      </c>
    </row>
    <row r="4035" spans="1:5" x14ac:dyDescent="0.35">
      <c r="A4035" s="9" t="s">
        <v>135</v>
      </c>
      <c r="B4035" s="10"/>
      <c r="C4035" s="10"/>
      <c r="D4035" s="10" t="s">
        <v>148</v>
      </c>
      <c r="E4035" s="11">
        <v>2945.43</v>
      </c>
    </row>
    <row r="4036" spans="1:5" x14ac:dyDescent="0.35">
      <c r="A4036" s="6" t="s">
        <v>135</v>
      </c>
      <c r="B4036" s="7"/>
      <c r="C4036" s="7"/>
      <c r="D4036" s="7" t="s">
        <v>149</v>
      </c>
      <c r="E4036" s="8">
        <v>133.19</v>
      </c>
    </row>
    <row r="4037" spans="1:5" x14ac:dyDescent="0.35">
      <c r="A4037" s="9" t="s">
        <v>135</v>
      </c>
      <c r="B4037" s="10"/>
      <c r="C4037" s="10" t="s">
        <v>150</v>
      </c>
      <c r="D4037" s="10" t="s">
        <v>147</v>
      </c>
      <c r="E4037" s="11" t="s">
        <v>137</v>
      </c>
    </row>
    <row r="4038" spans="1:5" x14ac:dyDescent="0.35">
      <c r="A4038" s="6" t="s">
        <v>135</v>
      </c>
      <c r="B4038" s="7"/>
      <c r="C4038" s="7"/>
      <c r="D4038" s="7" t="s">
        <v>148</v>
      </c>
      <c r="E4038" s="8" t="s">
        <v>137</v>
      </c>
    </row>
    <row r="4039" spans="1:5" x14ac:dyDescent="0.35">
      <c r="A4039" s="9" t="s">
        <v>135</v>
      </c>
      <c r="B4039" s="10"/>
      <c r="C4039" s="10"/>
      <c r="D4039" s="10" t="s">
        <v>149</v>
      </c>
      <c r="E4039" s="11" t="s">
        <v>137</v>
      </c>
    </row>
    <row r="4040" spans="1:5" x14ac:dyDescent="0.35">
      <c r="A4040" s="6" t="s">
        <v>135</v>
      </c>
      <c r="B4040" s="7" t="s">
        <v>151</v>
      </c>
      <c r="C4040" s="7" t="s">
        <v>146</v>
      </c>
      <c r="D4040" s="7" t="s">
        <v>147</v>
      </c>
      <c r="E4040" s="8">
        <v>196.77</v>
      </c>
    </row>
    <row r="4041" spans="1:5" x14ac:dyDescent="0.35">
      <c r="A4041" s="9" t="s">
        <v>135</v>
      </c>
      <c r="B4041" s="10"/>
      <c r="C4041" s="10"/>
      <c r="D4041" s="10" t="s">
        <v>148</v>
      </c>
      <c r="E4041" s="11">
        <v>73</v>
      </c>
    </row>
    <row r="4042" spans="1:5" x14ac:dyDescent="0.35">
      <c r="A4042" s="6" t="s">
        <v>135</v>
      </c>
      <c r="B4042" s="7"/>
      <c r="C4042" s="7"/>
      <c r="D4042" s="7" t="s">
        <v>149</v>
      </c>
      <c r="E4042" s="8">
        <v>123.77</v>
      </c>
    </row>
    <row r="4043" spans="1:5" x14ac:dyDescent="0.35">
      <c r="A4043" s="9" t="s">
        <v>135</v>
      </c>
      <c r="B4043" s="10"/>
      <c r="C4043" s="10" t="s">
        <v>150</v>
      </c>
      <c r="D4043" s="10" t="s">
        <v>147</v>
      </c>
      <c r="E4043" s="11" t="s">
        <v>137</v>
      </c>
    </row>
    <row r="4044" spans="1:5" x14ac:dyDescent="0.35">
      <c r="A4044" s="6" t="s">
        <v>135</v>
      </c>
      <c r="B4044" s="7"/>
      <c r="C4044" s="7"/>
      <c r="D4044" s="7" t="s">
        <v>148</v>
      </c>
      <c r="E4044" s="8" t="s">
        <v>137</v>
      </c>
    </row>
    <row r="4045" spans="1:5" x14ac:dyDescent="0.35">
      <c r="A4045" s="9" t="s">
        <v>135</v>
      </c>
      <c r="B4045" s="10"/>
      <c r="C4045" s="10"/>
      <c r="D4045" s="10" t="s">
        <v>149</v>
      </c>
      <c r="E4045" s="11" t="s">
        <v>137</v>
      </c>
    </row>
    <row r="4046" spans="1:5" x14ac:dyDescent="0.35">
      <c r="A4046" s="6" t="s">
        <v>135</v>
      </c>
      <c r="B4046" s="7" t="s">
        <v>152</v>
      </c>
      <c r="C4046" s="7" t="s">
        <v>146</v>
      </c>
      <c r="D4046" s="7" t="s">
        <v>147</v>
      </c>
      <c r="E4046" s="8" t="s">
        <v>137</v>
      </c>
    </row>
    <row r="4047" spans="1:5" x14ac:dyDescent="0.35">
      <c r="A4047" s="9" t="s">
        <v>135</v>
      </c>
      <c r="B4047" s="10"/>
      <c r="C4047" s="10"/>
      <c r="D4047" s="10" t="s">
        <v>148</v>
      </c>
      <c r="E4047" s="11" t="s">
        <v>137</v>
      </c>
    </row>
    <row r="4048" spans="1:5" x14ac:dyDescent="0.35">
      <c r="A4048" s="6" t="s">
        <v>135</v>
      </c>
      <c r="B4048" s="7"/>
      <c r="C4048" s="7"/>
      <c r="D4048" s="7" t="s">
        <v>149</v>
      </c>
      <c r="E4048" s="8" t="s">
        <v>137</v>
      </c>
    </row>
    <row r="4049" spans="1:5" x14ac:dyDescent="0.35">
      <c r="A4049" s="9" t="s">
        <v>135</v>
      </c>
      <c r="B4049" s="10"/>
      <c r="C4049" s="10" t="s">
        <v>150</v>
      </c>
      <c r="D4049" s="10" t="s">
        <v>147</v>
      </c>
      <c r="E4049" s="11" t="s">
        <v>137</v>
      </c>
    </row>
    <row r="4050" spans="1:5" x14ac:dyDescent="0.35">
      <c r="A4050" s="6" t="s">
        <v>135</v>
      </c>
      <c r="B4050" s="7"/>
      <c r="C4050" s="7"/>
      <c r="D4050" s="7" t="s">
        <v>148</v>
      </c>
      <c r="E4050" s="8" t="s">
        <v>137</v>
      </c>
    </row>
    <row r="4051" spans="1:5" x14ac:dyDescent="0.35">
      <c r="A4051" s="9" t="s">
        <v>135</v>
      </c>
      <c r="B4051" s="10"/>
      <c r="C4051" s="10"/>
      <c r="D4051" s="10" t="s">
        <v>149</v>
      </c>
      <c r="E4051" s="11" t="s">
        <v>137</v>
      </c>
    </row>
    <row r="4052" spans="1:5" x14ac:dyDescent="0.35">
      <c r="A4052" s="6" t="s">
        <v>135</v>
      </c>
      <c r="B4052" s="7" t="s">
        <v>153</v>
      </c>
      <c r="C4052" s="7" t="s">
        <v>146</v>
      </c>
      <c r="D4052" s="7" t="s">
        <v>147</v>
      </c>
      <c r="E4052" s="8" t="s">
        <v>137</v>
      </c>
    </row>
    <row r="4053" spans="1:5" x14ac:dyDescent="0.35">
      <c r="A4053" s="9" t="s">
        <v>135</v>
      </c>
      <c r="B4053" s="10"/>
      <c r="C4053" s="10"/>
      <c r="D4053" s="10" t="s">
        <v>148</v>
      </c>
      <c r="E4053" s="11" t="s">
        <v>137</v>
      </c>
    </row>
    <row r="4054" spans="1:5" x14ac:dyDescent="0.35">
      <c r="A4054" s="6" t="s">
        <v>135</v>
      </c>
      <c r="B4054" s="7"/>
      <c r="C4054" s="7"/>
      <c r="D4054" s="7" t="s">
        <v>149</v>
      </c>
      <c r="E4054" s="8" t="s">
        <v>137</v>
      </c>
    </row>
    <row r="4055" spans="1:5" x14ac:dyDescent="0.35">
      <c r="A4055" s="9" t="s">
        <v>135</v>
      </c>
      <c r="B4055" s="10"/>
      <c r="C4055" s="10" t="s">
        <v>150</v>
      </c>
      <c r="D4055" s="10" t="s">
        <v>147</v>
      </c>
      <c r="E4055" s="11" t="s">
        <v>137</v>
      </c>
    </row>
    <row r="4056" spans="1:5" x14ac:dyDescent="0.35">
      <c r="A4056" s="6" t="s">
        <v>135</v>
      </c>
      <c r="B4056" s="7"/>
      <c r="C4056" s="7"/>
      <c r="D4056" s="7" t="s">
        <v>148</v>
      </c>
      <c r="E4056" s="8" t="s">
        <v>137</v>
      </c>
    </row>
    <row r="4057" spans="1:5" x14ac:dyDescent="0.35">
      <c r="A4057" s="9" t="s">
        <v>135</v>
      </c>
      <c r="B4057" s="10"/>
      <c r="C4057" s="10"/>
      <c r="D4057" s="10" t="s">
        <v>149</v>
      </c>
      <c r="E4057" s="11" t="s">
        <v>137</v>
      </c>
    </row>
    <row r="4058" spans="1:5" x14ac:dyDescent="0.35">
      <c r="A4058" s="6" t="s">
        <v>135</v>
      </c>
      <c r="B4058" s="7" t="s">
        <v>154</v>
      </c>
      <c r="C4058" s="7" t="s">
        <v>146</v>
      </c>
      <c r="D4058" s="7" t="s">
        <v>147</v>
      </c>
      <c r="E4058" s="8" t="s">
        <v>137</v>
      </c>
    </row>
    <row r="4059" spans="1:5" x14ac:dyDescent="0.35">
      <c r="A4059" s="9" t="s">
        <v>135</v>
      </c>
      <c r="B4059" s="10"/>
      <c r="C4059" s="10"/>
      <c r="D4059" s="10" t="s">
        <v>148</v>
      </c>
      <c r="E4059" s="11" t="s">
        <v>137</v>
      </c>
    </row>
    <row r="4060" spans="1:5" x14ac:dyDescent="0.35">
      <c r="A4060" s="6" t="s">
        <v>135</v>
      </c>
      <c r="B4060" s="7"/>
      <c r="C4060" s="7"/>
      <c r="D4060" s="7" t="s">
        <v>149</v>
      </c>
      <c r="E4060" s="8" t="s">
        <v>137</v>
      </c>
    </row>
    <row r="4061" spans="1:5" x14ac:dyDescent="0.35">
      <c r="A4061" s="9" t="s">
        <v>135</v>
      </c>
      <c r="B4061" s="10"/>
      <c r="C4061" s="10" t="s">
        <v>150</v>
      </c>
      <c r="D4061" s="10" t="s">
        <v>147</v>
      </c>
      <c r="E4061" s="11" t="s">
        <v>137</v>
      </c>
    </row>
    <row r="4062" spans="1:5" x14ac:dyDescent="0.35">
      <c r="A4062" s="6" t="s">
        <v>135</v>
      </c>
      <c r="B4062" s="7"/>
      <c r="C4062" s="7"/>
      <c r="D4062" s="7" t="s">
        <v>148</v>
      </c>
      <c r="E4062" s="8" t="s">
        <v>137</v>
      </c>
    </row>
    <row r="4063" spans="1:5" x14ac:dyDescent="0.35">
      <c r="A4063" s="9" t="s">
        <v>135</v>
      </c>
      <c r="B4063" s="10"/>
      <c r="C4063" s="10"/>
      <c r="D4063" s="10" t="s">
        <v>149</v>
      </c>
      <c r="E4063" s="11" t="s">
        <v>137</v>
      </c>
    </row>
    <row r="4064" spans="1:5" x14ac:dyDescent="0.35">
      <c r="A4064" s="6" t="s">
        <v>135</v>
      </c>
      <c r="B4064" s="7" t="s">
        <v>155</v>
      </c>
      <c r="C4064" s="7" t="s">
        <v>146</v>
      </c>
      <c r="D4064" s="7" t="s">
        <v>147</v>
      </c>
      <c r="E4064" s="8">
        <v>2860.8</v>
      </c>
    </row>
    <row r="4065" spans="1:5" x14ac:dyDescent="0.35">
      <c r="A4065" s="9" t="s">
        <v>135</v>
      </c>
      <c r="B4065" s="10"/>
      <c r="C4065" s="10"/>
      <c r="D4065" s="10" t="s">
        <v>148</v>
      </c>
      <c r="E4065" s="11">
        <v>2860.4</v>
      </c>
    </row>
    <row r="4066" spans="1:5" x14ac:dyDescent="0.35">
      <c r="A4066" s="6" t="s">
        <v>135</v>
      </c>
      <c r="B4066" s="7"/>
      <c r="C4066" s="7"/>
      <c r="D4066" s="7" t="s">
        <v>149</v>
      </c>
      <c r="E4066" s="8">
        <v>0.4</v>
      </c>
    </row>
    <row r="4067" spans="1:5" x14ac:dyDescent="0.35">
      <c r="A4067" s="9" t="s">
        <v>135</v>
      </c>
      <c r="B4067" s="10"/>
      <c r="C4067" s="10" t="s">
        <v>150</v>
      </c>
      <c r="D4067" s="10" t="s">
        <v>147</v>
      </c>
      <c r="E4067" s="11" t="s">
        <v>137</v>
      </c>
    </row>
    <row r="4068" spans="1:5" x14ac:dyDescent="0.35">
      <c r="A4068" s="6" t="s">
        <v>135</v>
      </c>
      <c r="B4068" s="7"/>
      <c r="C4068" s="7"/>
      <c r="D4068" s="7" t="s">
        <v>148</v>
      </c>
      <c r="E4068" s="8" t="s">
        <v>137</v>
      </c>
    </row>
    <row r="4069" spans="1:5" x14ac:dyDescent="0.35">
      <c r="A4069" s="9" t="s">
        <v>135</v>
      </c>
      <c r="B4069" s="10"/>
      <c r="C4069" s="10"/>
      <c r="D4069" s="10" t="s">
        <v>149</v>
      </c>
      <c r="E4069" s="11" t="s">
        <v>137</v>
      </c>
    </row>
    <row r="4070" spans="1:5" x14ac:dyDescent="0.35">
      <c r="A4070" s="6" t="s">
        <v>135</v>
      </c>
      <c r="B4070" s="7" t="s">
        <v>156</v>
      </c>
      <c r="C4070" s="7" t="s">
        <v>146</v>
      </c>
      <c r="D4070" s="7" t="s">
        <v>147</v>
      </c>
      <c r="E4070" s="8" t="s">
        <v>137</v>
      </c>
    </row>
    <row r="4071" spans="1:5" x14ac:dyDescent="0.35">
      <c r="A4071" s="9" t="s">
        <v>135</v>
      </c>
      <c r="B4071" s="10"/>
      <c r="C4071" s="10"/>
      <c r="D4071" s="10" t="s">
        <v>148</v>
      </c>
      <c r="E4071" s="11" t="s">
        <v>137</v>
      </c>
    </row>
    <row r="4072" spans="1:5" x14ac:dyDescent="0.35">
      <c r="A4072" s="6" t="s">
        <v>135</v>
      </c>
      <c r="B4072" s="7"/>
      <c r="C4072" s="7"/>
      <c r="D4072" s="7" t="s">
        <v>149</v>
      </c>
      <c r="E4072" s="8" t="s">
        <v>137</v>
      </c>
    </row>
    <row r="4073" spans="1:5" x14ac:dyDescent="0.35">
      <c r="A4073" s="9" t="s">
        <v>135</v>
      </c>
      <c r="B4073" s="10"/>
      <c r="C4073" s="10" t="s">
        <v>150</v>
      </c>
      <c r="D4073" s="10" t="s">
        <v>147</v>
      </c>
      <c r="E4073" s="11" t="s">
        <v>137</v>
      </c>
    </row>
    <row r="4074" spans="1:5" x14ac:dyDescent="0.35">
      <c r="A4074" s="6" t="s">
        <v>135</v>
      </c>
      <c r="B4074" s="7"/>
      <c r="C4074" s="7"/>
      <c r="D4074" s="7" t="s">
        <v>148</v>
      </c>
      <c r="E4074" s="8" t="s">
        <v>137</v>
      </c>
    </row>
    <row r="4075" spans="1:5" x14ac:dyDescent="0.35">
      <c r="A4075" s="9" t="s">
        <v>135</v>
      </c>
      <c r="B4075" s="10"/>
      <c r="C4075" s="10"/>
      <c r="D4075" s="10" t="s">
        <v>149</v>
      </c>
      <c r="E4075" s="11" t="s">
        <v>137</v>
      </c>
    </row>
    <row r="4076" spans="1:5" x14ac:dyDescent="0.35">
      <c r="A4076" s="6" t="s">
        <v>135</v>
      </c>
      <c r="B4076" s="7" t="s">
        <v>157</v>
      </c>
      <c r="C4076" s="7" t="s">
        <v>146</v>
      </c>
      <c r="D4076" s="7" t="s">
        <v>147</v>
      </c>
      <c r="E4076" s="8" t="s">
        <v>137</v>
      </c>
    </row>
    <row r="4077" spans="1:5" x14ac:dyDescent="0.35">
      <c r="A4077" s="9" t="s">
        <v>135</v>
      </c>
      <c r="B4077" s="10"/>
      <c r="C4077" s="10"/>
      <c r="D4077" s="10" t="s">
        <v>148</v>
      </c>
      <c r="E4077" s="11" t="s">
        <v>137</v>
      </c>
    </row>
    <row r="4078" spans="1:5" x14ac:dyDescent="0.35">
      <c r="A4078" s="6" t="s">
        <v>135</v>
      </c>
      <c r="B4078" s="7"/>
      <c r="C4078" s="7"/>
      <c r="D4078" s="7" t="s">
        <v>149</v>
      </c>
      <c r="E4078" s="8" t="s">
        <v>137</v>
      </c>
    </row>
    <row r="4079" spans="1:5" x14ac:dyDescent="0.35">
      <c r="A4079" s="9" t="s">
        <v>135</v>
      </c>
      <c r="B4079" s="10"/>
      <c r="C4079" s="10" t="s">
        <v>150</v>
      </c>
      <c r="D4079" s="10" t="s">
        <v>147</v>
      </c>
      <c r="E4079" s="11" t="s">
        <v>137</v>
      </c>
    </row>
    <row r="4080" spans="1:5" x14ac:dyDescent="0.35">
      <c r="A4080" s="6" t="s">
        <v>135</v>
      </c>
      <c r="B4080" s="7"/>
      <c r="C4080" s="7"/>
      <c r="D4080" s="7" t="s">
        <v>148</v>
      </c>
      <c r="E4080" s="8" t="s">
        <v>137</v>
      </c>
    </row>
    <row r="4081" spans="1:5" x14ac:dyDescent="0.35">
      <c r="A4081" s="9" t="s">
        <v>135</v>
      </c>
      <c r="B4081" s="10"/>
      <c r="C4081" s="10"/>
      <c r="D4081" s="10" t="s">
        <v>149</v>
      </c>
      <c r="E4081" s="11" t="s">
        <v>137</v>
      </c>
    </row>
    <row r="4082" spans="1:5" x14ac:dyDescent="0.35">
      <c r="A4082" s="6" t="s">
        <v>135</v>
      </c>
      <c r="B4082" s="7" t="s">
        <v>158</v>
      </c>
      <c r="C4082" s="7" t="s">
        <v>146</v>
      </c>
      <c r="D4082" s="7" t="s">
        <v>147</v>
      </c>
      <c r="E4082" s="8">
        <v>21.03</v>
      </c>
    </row>
    <row r="4083" spans="1:5" x14ac:dyDescent="0.35">
      <c r="A4083" s="9" t="s">
        <v>135</v>
      </c>
      <c r="B4083" s="10"/>
      <c r="C4083" s="10"/>
      <c r="D4083" s="10" t="s">
        <v>148</v>
      </c>
      <c r="E4083" s="11">
        <v>12.03</v>
      </c>
    </row>
    <row r="4084" spans="1:5" x14ac:dyDescent="0.35">
      <c r="A4084" s="6" t="s">
        <v>135</v>
      </c>
      <c r="B4084" s="7"/>
      <c r="C4084" s="7"/>
      <c r="D4084" s="7" t="s">
        <v>149</v>
      </c>
      <c r="E4084" s="8">
        <v>9</v>
      </c>
    </row>
    <row r="4085" spans="1:5" x14ac:dyDescent="0.35">
      <c r="A4085" s="9" t="s">
        <v>135</v>
      </c>
      <c r="B4085" s="10"/>
      <c r="C4085" s="10" t="s">
        <v>150</v>
      </c>
      <c r="D4085" s="10" t="s">
        <v>147</v>
      </c>
      <c r="E4085" s="11" t="s">
        <v>137</v>
      </c>
    </row>
    <row r="4086" spans="1:5" x14ac:dyDescent="0.35">
      <c r="A4086" s="6" t="s">
        <v>135</v>
      </c>
      <c r="B4086" s="7"/>
      <c r="C4086" s="7"/>
      <c r="D4086" s="7" t="s">
        <v>148</v>
      </c>
      <c r="E4086" s="8" t="s">
        <v>137</v>
      </c>
    </row>
    <row r="4087" spans="1:5" x14ac:dyDescent="0.35">
      <c r="A4087" s="9" t="s">
        <v>135</v>
      </c>
      <c r="B4087" s="10"/>
      <c r="C4087" s="10"/>
      <c r="D4087" s="10" t="s">
        <v>149</v>
      </c>
      <c r="E4087" s="11" t="s">
        <v>137</v>
      </c>
    </row>
    <row r="4088" spans="1:5" x14ac:dyDescent="0.35">
      <c r="A4088" s="6" t="s">
        <v>135</v>
      </c>
      <c r="B4088" s="7" t="s">
        <v>159</v>
      </c>
      <c r="C4088" s="7" t="s">
        <v>146</v>
      </c>
      <c r="D4088" s="7" t="s">
        <v>147</v>
      </c>
      <c r="E4088" s="8" t="s">
        <v>137</v>
      </c>
    </row>
    <row r="4089" spans="1:5" x14ac:dyDescent="0.35">
      <c r="A4089" s="9" t="s">
        <v>135</v>
      </c>
      <c r="B4089" s="10"/>
      <c r="C4089" s="10"/>
      <c r="D4089" s="10" t="s">
        <v>148</v>
      </c>
      <c r="E4089" s="11" t="s">
        <v>137</v>
      </c>
    </row>
    <row r="4090" spans="1:5" x14ac:dyDescent="0.35">
      <c r="A4090" s="6" t="s">
        <v>135</v>
      </c>
      <c r="B4090" s="7"/>
      <c r="C4090" s="7"/>
      <c r="D4090" s="7" t="s">
        <v>149</v>
      </c>
      <c r="E4090" s="8" t="s">
        <v>137</v>
      </c>
    </row>
    <row r="4091" spans="1:5" x14ac:dyDescent="0.35">
      <c r="A4091" s="9" t="s">
        <v>135</v>
      </c>
      <c r="B4091" s="10"/>
      <c r="C4091" s="10" t="s">
        <v>150</v>
      </c>
      <c r="D4091" s="10" t="s">
        <v>147</v>
      </c>
      <c r="E4091" s="11" t="s">
        <v>137</v>
      </c>
    </row>
    <row r="4092" spans="1:5" x14ac:dyDescent="0.35">
      <c r="A4092" s="6" t="s">
        <v>135</v>
      </c>
      <c r="B4092" s="7"/>
      <c r="C4092" s="7"/>
      <c r="D4092" s="7" t="s">
        <v>148</v>
      </c>
      <c r="E4092" s="8" t="s">
        <v>137</v>
      </c>
    </row>
    <row r="4093" spans="1:5" x14ac:dyDescent="0.35">
      <c r="A4093" s="9" t="s">
        <v>135</v>
      </c>
      <c r="B4093" s="10"/>
      <c r="C4093" s="10"/>
      <c r="D4093" s="10" t="s">
        <v>149</v>
      </c>
      <c r="E4093" s="11" t="s">
        <v>137</v>
      </c>
    </row>
    <row r="4094" spans="1:5" x14ac:dyDescent="0.35">
      <c r="A4094" s="6" t="s">
        <v>135</v>
      </c>
      <c r="B4094" s="7" t="s">
        <v>160</v>
      </c>
      <c r="C4094" s="7" t="s">
        <v>146</v>
      </c>
      <c r="D4094" s="7" t="s">
        <v>147</v>
      </c>
      <c r="E4094" s="8" t="s">
        <v>137</v>
      </c>
    </row>
    <row r="4095" spans="1:5" x14ac:dyDescent="0.35">
      <c r="A4095" s="9" t="s">
        <v>135</v>
      </c>
      <c r="B4095" s="10"/>
      <c r="C4095" s="10"/>
      <c r="D4095" s="10" t="s">
        <v>148</v>
      </c>
      <c r="E4095" s="11" t="s">
        <v>137</v>
      </c>
    </row>
    <row r="4096" spans="1:5" x14ac:dyDescent="0.35">
      <c r="A4096" s="6" t="s">
        <v>135</v>
      </c>
      <c r="B4096" s="7"/>
      <c r="C4096" s="7"/>
      <c r="D4096" s="7" t="s">
        <v>149</v>
      </c>
      <c r="E4096" s="8" t="s">
        <v>137</v>
      </c>
    </row>
    <row r="4097" spans="1:5" x14ac:dyDescent="0.35">
      <c r="A4097" s="9" t="s">
        <v>135</v>
      </c>
      <c r="B4097" s="10"/>
      <c r="C4097" s="10" t="s">
        <v>150</v>
      </c>
      <c r="D4097" s="10" t="s">
        <v>147</v>
      </c>
      <c r="E4097" s="11" t="s">
        <v>137</v>
      </c>
    </row>
    <row r="4098" spans="1:5" x14ac:dyDescent="0.35">
      <c r="A4098" s="6" t="s">
        <v>135</v>
      </c>
      <c r="B4098" s="7"/>
      <c r="C4098" s="7"/>
      <c r="D4098" s="7" t="s">
        <v>148</v>
      </c>
      <c r="E4098" s="8" t="s">
        <v>137</v>
      </c>
    </row>
    <row r="4099" spans="1:5" x14ac:dyDescent="0.35">
      <c r="A4099" s="9" t="s">
        <v>135</v>
      </c>
      <c r="B4099" s="10"/>
      <c r="C4099" s="10"/>
      <c r="D4099" s="10" t="s">
        <v>149</v>
      </c>
      <c r="E4099" s="11" t="s">
        <v>137</v>
      </c>
    </row>
    <row r="4100" spans="1:5" x14ac:dyDescent="0.35">
      <c r="A4100" s="6" t="s">
        <v>135</v>
      </c>
      <c r="B4100" s="7" t="s">
        <v>161</v>
      </c>
      <c r="C4100" s="7" t="s">
        <v>146</v>
      </c>
      <c r="D4100" s="7" t="s">
        <v>147</v>
      </c>
      <c r="E4100" s="8">
        <v>0.02</v>
      </c>
    </row>
    <row r="4101" spans="1:5" x14ac:dyDescent="0.35">
      <c r="A4101" s="9" t="s">
        <v>135</v>
      </c>
      <c r="B4101" s="10"/>
      <c r="C4101" s="10"/>
      <c r="D4101" s="10" t="s">
        <v>148</v>
      </c>
      <c r="E4101" s="11" t="s">
        <v>137</v>
      </c>
    </row>
    <row r="4102" spans="1:5" x14ac:dyDescent="0.35">
      <c r="A4102" s="6" t="s">
        <v>135</v>
      </c>
      <c r="B4102" s="7"/>
      <c r="C4102" s="7"/>
      <c r="D4102" s="7" t="s">
        <v>149</v>
      </c>
      <c r="E4102" s="8">
        <v>0.02</v>
      </c>
    </row>
    <row r="4103" spans="1:5" x14ac:dyDescent="0.35">
      <c r="A4103" s="9" t="s">
        <v>135</v>
      </c>
      <c r="B4103" s="10"/>
      <c r="C4103" s="10" t="s">
        <v>150</v>
      </c>
      <c r="D4103" s="10" t="s">
        <v>147</v>
      </c>
      <c r="E4103" s="11" t="s">
        <v>137</v>
      </c>
    </row>
    <row r="4104" spans="1:5" x14ac:dyDescent="0.35">
      <c r="A4104" s="6" t="s">
        <v>135</v>
      </c>
      <c r="B4104" s="7"/>
      <c r="C4104" s="7"/>
      <c r="D4104" s="7" t="s">
        <v>148</v>
      </c>
      <c r="E4104" s="8" t="s">
        <v>137</v>
      </c>
    </row>
    <row r="4105" spans="1:5" x14ac:dyDescent="0.35">
      <c r="A4105" s="9" t="s">
        <v>135</v>
      </c>
      <c r="B4105" s="10"/>
      <c r="C4105" s="10"/>
      <c r="D4105" s="10" t="s">
        <v>149</v>
      </c>
      <c r="E4105" s="11" t="s">
        <v>137</v>
      </c>
    </row>
    <row r="4106" spans="1:5" x14ac:dyDescent="0.35">
      <c r="A4106" s="6" t="s">
        <v>135</v>
      </c>
      <c r="B4106" s="7" t="s">
        <v>162</v>
      </c>
      <c r="C4106" s="7" t="s">
        <v>146</v>
      </c>
      <c r="D4106" s="7" t="s">
        <v>147</v>
      </c>
      <c r="E4106" s="8" t="s">
        <v>137</v>
      </c>
    </row>
    <row r="4107" spans="1:5" x14ac:dyDescent="0.35">
      <c r="A4107" s="9" t="s">
        <v>135</v>
      </c>
      <c r="B4107" s="10"/>
      <c r="C4107" s="10"/>
      <c r="D4107" s="10" t="s">
        <v>148</v>
      </c>
      <c r="E4107" s="11" t="s">
        <v>137</v>
      </c>
    </row>
    <row r="4108" spans="1:5" x14ac:dyDescent="0.35">
      <c r="A4108" s="6" t="s">
        <v>135</v>
      </c>
      <c r="B4108" s="7"/>
      <c r="C4108" s="7"/>
      <c r="D4108" s="7" t="s">
        <v>149</v>
      </c>
      <c r="E4108" s="8" t="s">
        <v>137</v>
      </c>
    </row>
    <row r="4109" spans="1:5" x14ac:dyDescent="0.35">
      <c r="A4109" s="9" t="s">
        <v>135</v>
      </c>
      <c r="B4109" s="10"/>
      <c r="C4109" s="10" t="s">
        <v>150</v>
      </c>
      <c r="D4109" s="10" t="s">
        <v>147</v>
      </c>
      <c r="E4109" s="11" t="s">
        <v>137</v>
      </c>
    </row>
    <row r="4110" spans="1:5" x14ac:dyDescent="0.35">
      <c r="A4110" s="6" t="s">
        <v>135</v>
      </c>
      <c r="B4110" s="7"/>
      <c r="C4110" s="7"/>
      <c r="D4110" s="7" t="s">
        <v>148</v>
      </c>
      <c r="E4110" s="8" t="s">
        <v>137</v>
      </c>
    </row>
    <row r="4111" spans="1:5" x14ac:dyDescent="0.35">
      <c r="A4111" s="9" t="s">
        <v>135</v>
      </c>
      <c r="B4111" s="10"/>
      <c r="C4111" s="10"/>
      <c r="D4111" s="10" t="s">
        <v>149</v>
      </c>
      <c r="E4111" s="11" t="s">
        <v>137</v>
      </c>
    </row>
    <row r="4112" spans="1:5" x14ac:dyDescent="0.35">
      <c r="A4112" s="6" t="s">
        <v>135</v>
      </c>
      <c r="B4112" s="7" t="s">
        <v>163</v>
      </c>
      <c r="C4112" s="7" t="s">
        <v>146</v>
      </c>
      <c r="D4112" s="7" t="s">
        <v>147</v>
      </c>
      <c r="E4112" s="8">
        <v>11468.3</v>
      </c>
    </row>
    <row r="4113" spans="1:5" x14ac:dyDescent="0.35">
      <c r="A4113" s="9" t="s">
        <v>135</v>
      </c>
      <c r="B4113" s="10"/>
      <c r="C4113" s="10"/>
      <c r="D4113" s="10" t="s">
        <v>148</v>
      </c>
      <c r="E4113" s="11">
        <v>11448.6</v>
      </c>
    </row>
    <row r="4114" spans="1:5" x14ac:dyDescent="0.35">
      <c r="A4114" s="6" t="s">
        <v>135</v>
      </c>
      <c r="B4114" s="7"/>
      <c r="C4114" s="7"/>
      <c r="D4114" s="7" t="s">
        <v>149</v>
      </c>
      <c r="E4114" s="8">
        <v>19.7</v>
      </c>
    </row>
    <row r="4115" spans="1:5" x14ac:dyDescent="0.35">
      <c r="A4115" s="9" t="s">
        <v>135</v>
      </c>
      <c r="B4115" s="10"/>
      <c r="C4115" s="10" t="s">
        <v>150</v>
      </c>
      <c r="D4115" s="10" t="s">
        <v>147</v>
      </c>
      <c r="E4115" s="11" t="s">
        <v>137</v>
      </c>
    </row>
    <row r="4116" spans="1:5" x14ac:dyDescent="0.35">
      <c r="A4116" s="6" t="s">
        <v>135</v>
      </c>
      <c r="B4116" s="7"/>
      <c r="C4116" s="7"/>
      <c r="D4116" s="7" t="s">
        <v>148</v>
      </c>
      <c r="E4116" s="8" t="s">
        <v>137</v>
      </c>
    </row>
    <row r="4117" spans="1:5" x14ac:dyDescent="0.35">
      <c r="A4117" s="9" t="s">
        <v>135</v>
      </c>
      <c r="B4117" s="10"/>
      <c r="C4117" s="10"/>
      <c r="D4117" s="10" t="s">
        <v>149</v>
      </c>
      <c r="E4117" s="11" t="s">
        <v>137</v>
      </c>
    </row>
    <row r="4118" spans="1:5" x14ac:dyDescent="0.35">
      <c r="A4118" s="6" t="s">
        <v>135</v>
      </c>
      <c r="B4118" s="7" t="s">
        <v>164</v>
      </c>
      <c r="C4118" s="7" t="s">
        <v>146</v>
      </c>
      <c r="D4118" s="7" t="s">
        <v>147</v>
      </c>
      <c r="E4118" s="8" t="s">
        <v>137</v>
      </c>
    </row>
    <row r="4119" spans="1:5" x14ac:dyDescent="0.35">
      <c r="A4119" s="9" t="s">
        <v>135</v>
      </c>
      <c r="B4119" s="10"/>
      <c r="C4119" s="10"/>
      <c r="D4119" s="10" t="s">
        <v>148</v>
      </c>
      <c r="E4119" s="11" t="s">
        <v>137</v>
      </c>
    </row>
    <row r="4120" spans="1:5" x14ac:dyDescent="0.35">
      <c r="A4120" s="6" t="s">
        <v>135</v>
      </c>
      <c r="B4120" s="7"/>
      <c r="C4120" s="7"/>
      <c r="D4120" s="7" t="s">
        <v>149</v>
      </c>
      <c r="E4120" s="8" t="s">
        <v>137</v>
      </c>
    </row>
    <row r="4121" spans="1:5" x14ac:dyDescent="0.35">
      <c r="A4121" s="9" t="s">
        <v>135</v>
      </c>
      <c r="B4121" s="10"/>
      <c r="C4121" s="10" t="s">
        <v>150</v>
      </c>
      <c r="D4121" s="10" t="s">
        <v>147</v>
      </c>
      <c r="E4121" s="11" t="s">
        <v>137</v>
      </c>
    </row>
    <row r="4122" spans="1:5" x14ac:dyDescent="0.35">
      <c r="A4122" s="6" t="s">
        <v>135</v>
      </c>
      <c r="B4122" s="7"/>
      <c r="C4122" s="7"/>
      <c r="D4122" s="7" t="s">
        <v>148</v>
      </c>
      <c r="E4122" s="8" t="s">
        <v>137</v>
      </c>
    </row>
    <row r="4123" spans="1:5" x14ac:dyDescent="0.35">
      <c r="A4123" s="9" t="s">
        <v>135</v>
      </c>
      <c r="B4123" s="10"/>
      <c r="C4123" s="10"/>
      <c r="D4123" s="10" t="s">
        <v>149</v>
      </c>
      <c r="E4123" s="11" t="s">
        <v>137</v>
      </c>
    </row>
    <row r="4124" spans="1:5" x14ac:dyDescent="0.35">
      <c r="A4124" s="6" t="s">
        <v>135</v>
      </c>
      <c r="B4124" s="7" t="s">
        <v>165</v>
      </c>
      <c r="C4124" s="7" t="s">
        <v>146</v>
      </c>
      <c r="D4124" s="7" t="s">
        <v>147</v>
      </c>
      <c r="E4124" s="8" t="s">
        <v>137</v>
      </c>
    </row>
    <row r="4125" spans="1:5" x14ac:dyDescent="0.35">
      <c r="A4125" s="9" t="s">
        <v>135</v>
      </c>
      <c r="B4125" s="10"/>
      <c r="C4125" s="10"/>
      <c r="D4125" s="10" t="s">
        <v>148</v>
      </c>
      <c r="E4125" s="11" t="s">
        <v>137</v>
      </c>
    </row>
    <row r="4126" spans="1:5" x14ac:dyDescent="0.35">
      <c r="A4126" s="6" t="s">
        <v>135</v>
      </c>
      <c r="B4126" s="7"/>
      <c r="C4126" s="7"/>
      <c r="D4126" s="7" t="s">
        <v>149</v>
      </c>
      <c r="E4126" s="8" t="s">
        <v>137</v>
      </c>
    </row>
    <row r="4127" spans="1:5" x14ac:dyDescent="0.35">
      <c r="A4127" s="9" t="s">
        <v>135</v>
      </c>
      <c r="B4127" s="10"/>
      <c r="C4127" s="10" t="s">
        <v>150</v>
      </c>
      <c r="D4127" s="10" t="s">
        <v>147</v>
      </c>
      <c r="E4127" s="11" t="s">
        <v>137</v>
      </c>
    </row>
    <row r="4128" spans="1:5" x14ac:dyDescent="0.35">
      <c r="A4128" s="6" t="s">
        <v>135</v>
      </c>
      <c r="B4128" s="7"/>
      <c r="C4128" s="7"/>
      <c r="D4128" s="7" t="s">
        <v>148</v>
      </c>
      <c r="E4128" s="8" t="s">
        <v>137</v>
      </c>
    </row>
    <row r="4129" spans="1:5" x14ac:dyDescent="0.35">
      <c r="A4129" s="9" t="s">
        <v>135</v>
      </c>
      <c r="B4129" s="10"/>
      <c r="C4129" s="10"/>
      <c r="D4129" s="10" t="s">
        <v>149</v>
      </c>
      <c r="E4129" s="11" t="s">
        <v>137</v>
      </c>
    </row>
    <row r="4130" spans="1:5" x14ac:dyDescent="0.35">
      <c r="A4130" s="6" t="s">
        <v>135</v>
      </c>
      <c r="B4130" s="7" t="s">
        <v>166</v>
      </c>
      <c r="C4130" s="7" t="s">
        <v>146</v>
      </c>
      <c r="D4130" s="7" t="s">
        <v>147</v>
      </c>
      <c r="E4130" s="8">
        <v>88.2</v>
      </c>
    </row>
    <row r="4131" spans="1:5" x14ac:dyDescent="0.35">
      <c r="A4131" s="9" t="s">
        <v>135</v>
      </c>
      <c r="B4131" s="10"/>
      <c r="C4131" s="10"/>
      <c r="D4131" s="10" t="s">
        <v>148</v>
      </c>
      <c r="E4131" s="11">
        <v>78</v>
      </c>
    </row>
    <row r="4132" spans="1:5" x14ac:dyDescent="0.35">
      <c r="A4132" s="6" t="s">
        <v>135</v>
      </c>
      <c r="B4132" s="7"/>
      <c r="C4132" s="7"/>
      <c r="D4132" s="7" t="s">
        <v>149</v>
      </c>
      <c r="E4132" s="8">
        <v>10.199999999999999</v>
      </c>
    </row>
    <row r="4133" spans="1:5" x14ac:dyDescent="0.35">
      <c r="A4133" s="9" t="s">
        <v>135</v>
      </c>
      <c r="B4133" s="10"/>
      <c r="C4133" s="10" t="s">
        <v>150</v>
      </c>
      <c r="D4133" s="10" t="s">
        <v>147</v>
      </c>
      <c r="E4133" s="11" t="s">
        <v>137</v>
      </c>
    </row>
    <row r="4134" spans="1:5" x14ac:dyDescent="0.35">
      <c r="A4134" s="6" t="s">
        <v>135</v>
      </c>
      <c r="B4134" s="7"/>
      <c r="C4134" s="7"/>
      <c r="D4134" s="7" t="s">
        <v>148</v>
      </c>
      <c r="E4134" s="8" t="s">
        <v>137</v>
      </c>
    </row>
    <row r="4135" spans="1:5" x14ac:dyDescent="0.35">
      <c r="A4135" s="9" t="s">
        <v>135</v>
      </c>
      <c r="B4135" s="10"/>
      <c r="C4135" s="10"/>
      <c r="D4135" s="10" t="s">
        <v>149</v>
      </c>
      <c r="E4135" s="11" t="s">
        <v>137</v>
      </c>
    </row>
    <row r="4136" spans="1:5" x14ac:dyDescent="0.35">
      <c r="A4136" s="6" t="s">
        <v>135</v>
      </c>
      <c r="B4136" s="7" t="s">
        <v>167</v>
      </c>
      <c r="C4136" s="7" t="s">
        <v>146</v>
      </c>
      <c r="D4136" s="7" t="s">
        <v>147</v>
      </c>
      <c r="E4136" s="8">
        <v>11380.1</v>
      </c>
    </row>
    <row r="4137" spans="1:5" x14ac:dyDescent="0.35">
      <c r="A4137" s="9" t="s">
        <v>135</v>
      </c>
      <c r="B4137" s="10"/>
      <c r="C4137" s="10"/>
      <c r="D4137" s="10" t="s">
        <v>148</v>
      </c>
      <c r="E4137" s="11">
        <v>11370.6</v>
      </c>
    </row>
    <row r="4138" spans="1:5" x14ac:dyDescent="0.35">
      <c r="A4138" s="6" t="s">
        <v>135</v>
      </c>
      <c r="B4138" s="7"/>
      <c r="C4138" s="7"/>
      <c r="D4138" s="7" t="s">
        <v>149</v>
      </c>
      <c r="E4138" s="8">
        <v>9.5</v>
      </c>
    </row>
    <row r="4139" spans="1:5" x14ac:dyDescent="0.35">
      <c r="A4139" s="9" t="s">
        <v>135</v>
      </c>
      <c r="B4139" s="10"/>
      <c r="C4139" s="10" t="s">
        <v>150</v>
      </c>
      <c r="D4139" s="10" t="s">
        <v>147</v>
      </c>
      <c r="E4139" s="11" t="s">
        <v>137</v>
      </c>
    </row>
    <row r="4140" spans="1:5" x14ac:dyDescent="0.35">
      <c r="A4140" s="6" t="s">
        <v>135</v>
      </c>
      <c r="B4140" s="7"/>
      <c r="C4140" s="7"/>
      <c r="D4140" s="7" t="s">
        <v>148</v>
      </c>
      <c r="E4140" s="8" t="s">
        <v>137</v>
      </c>
    </row>
    <row r="4141" spans="1:5" x14ac:dyDescent="0.35">
      <c r="A4141" s="9" t="s">
        <v>135</v>
      </c>
      <c r="B4141" s="10"/>
      <c r="C4141" s="10"/>
      <c r="D4141" s="10" t="s">
        <v>149</v>
      </c>
      <c r="E4141" s="11" t="s">
        <v>137</v>
      </c>
    </row>
    <row r="4142" spans="1:5" x14ac:dyDescent="0.35">
      <c r="A4142" s="6" t="s">
        <v>135</v>
      </c>
      <c r="B4142" s="7" t="s">
        <v>168</v>
      </c>
      <c r="C4142" s="7" t="s">
        <v>146</v>
      </c>
      <c r="D4142" s="7" t="s">
        <v>147</v>
      </c>
      <c r="E4142" s="8" t="s">
        <v>137</v>
      </c>
    </row>
    <row r="4143" spans="1:5" x14ac:dyDescent="0.35">
      <c r="A4143" s="9" t="s">
        <v>135</v>
      </c>
      <c r="B4143" s="10"/>
      <c r="C4143" s="10"/>
      <c r="D4143" s="10" t="s">
        <v>148</v>
      </c>
      <c r="E4143" s="11" t="s">
        <v>137</v>
      </c>
    </row>
    <row r="4144" spans="1:5" x14ac:dyDescent="0.35">
      <c r="A4144" s="6" t="s">
        <v>135</v>
      </c>
      <c r="B4144" s="7"/>
      <c r="C4144" s="7"/>
      <c r="D4144" s="7" t="s">
        <v>149</v>
      </c>
      <c r="E4144" s="8" t="s">
        <v>137</v>
      </c>
    </row>
    <row r="4145" spans="1:5" x14ac:dyDescent="0.35">
      <c r="A4145" s="9" t="s">
        <v>135</v>
      </c>
      <c r="B4145" s="10"/>
      <c r="C4145" s="10" t="s">
        <v>150</v>
      </c>
      <c r="D4145" s="10" t="s">
        <v>147</v>
      </c>
      <c r="E4145" s="11" t="s">
        <v>137</v>
      </c>
    </row>
    <row r="4146" spans="1:5" x14ac:dyDescent="0.35">
      <c r="A4146" s="6" t="s">
        <v>135</v>
      </c>
      <c r="B4146" s="7"/>
      <c r="C4146" s="7"/>
      <c r="D4146" s="7" t="s">
        <v>148</v>
      </c>
      <c r="E4146" s="8" t="s">
        <v>137</v>
      </c>
    </row>
    <row r="4147" spans="1:5" x14ac:dyDescent="0.35">
      <c r="A4147" s="9" t="s">
        <v>135</v>
      </c>
      <c r="B4147" s="10"/>
      <c r="C4147" s="10"/>
      <c r="D4147" s="10" t="s">
        <v>149</v>
      </c>
      <c r="E4147" s="11" t="s">
        <v>137</v>
      </c>
    </row>
    <row r="4148" spans="1:5" x14ac:dyDescent="0.35">
      <c r="A4148" s="6" t="s">
        <v>135</v>
      </c>
      <c r="B4148" s="7" t="s">
        <v>169</v>
      </c>
      <c r="C4148" s="7" t="s">
        <v>146</v>
      </c>
      <c r="D4148" s="7" t="s">
        <v>147</v>
      </c>
      <c r="E4148" s="8" t="s">
        <v>137</v>
      </c>
    </row>
    <row r="4149" spans="1:5" x14ac:dyDescent="0.35">
      <c r="A4149" s="9" t="s">
        <v>135</v>
      </c>
      <c r="B4149" s="10"/>
      <c r="C4149" s="10"/>
      <c r="D4149" s="10" t="s">
        <v>148</v>
      </c>
      <c r="E4149" s="11" t="s">
        <v>137</v>
      </c>
    </row>
    <row r="4150" spans="1:5" x14ac:dyDescent="0.35">
      <c r="A4150" s="6" t="s">
        <v>135</v>
      </c>
      <c r="B4150" s="7"/>
      <c r="C4150" s="7"/>
      <c r="D4150" s="7" t="s">
        <v>149</v>
      </c>
      <c r="E4150" s="8" t="s">
        <v>137</v>
      </c>
    </row>
    <row r="4151" spans="1:5" x14ac:dyDescent="0.35">
      <c r="A4151" s="9" t="s">
        <v>135</v>
      </c>
      <c r="B4151" s="10"/>
      <c r="C4151" s="10" t="s">
        <v>150</v>
      </c>
      <c r="D4151" s="10" t="s">
        <v>147</v>
      </c>
      <c r="E4151" s="11" t="s">
        <v>137</v>
      </c>
    </row>
    <row r="4152" spans="1:5" x14ac:dyDescent="0.35">
      <c r="A4152" s="6" t="s">
        <v>135</v>
      </c>
      <c r="B4152" s="7"/>
      <c r="C4152" s="7"/>
      <c r="D4152" s="7" t="s">
        <v>148</v>
      </c>
      <c r="E4152" s="8" t="s">
        <v>137</v>
      </c>
    </row>
    <row r="4153" spans="1:5" x14ac:dyDescent="0.35">
      <c r="A4153" s="9" t="s">
        <v>135</v>
      </c>
      <c r="B4153" s="10"/>
      <c r="C4153" s="10"/>
      <c r="D4153" s="10" t="s">
        <v>149</v>
      </c>
      <c r="E4153" s="11" t="s">
        <v>137</v>
      </c>
    </row>
    <row r="4154" spans="1:5" x14ac:dyDescent="0.35">
      <c r="A4154" s="6" t="s">
        <v>135</v>
      </c>
      <c r="B4154" s="7" t="s">
        <v>170</v>
      </c>
      <c r="C4154" s="7" t="s">
        <v>146</v>
      </c>
      <c r="D4154" s="7" t="s">
        <v>147</v>
      </c>
      <c r="E4154" s="8" t="s">
        <v>137</v>
      </c>
    </row>
    <row r="4155" spans="1:5" x14ac:dyDescent="0.35">
      <c r="A4155" s="9" t="s">
        <v>135</v>
      </c>
      <c r="B4155" s="10"/>
      <c r="C4155" s="10"/>
      <c r="D4155" s="10" t="s">
        <v>148</v>
      </c>
      <c r="E4155" s="11" t="s">
        <v>137</v>
      </c>
    </row>
    <row r="4156" spans="1:5" x14ac:dyDescent="0.35">
      <c r="A4156" s="6" t="s">
        <v>135</v>
      </c>
      <c r="B4156" s="7"/>
      <c r="C4156" s="7"/>
      <c r="D4156" s="7" t="s">
        <v>149</v>
      </c>
      <c r="E4156" s="8" t="s">
        <v>137</v>
      </c>
    </row>
    <row r="4157" spans="1:5" x14ac:dyDescent="0.35">
      <c r="A4157" s="9" t="s">
        <v>135</v>
      </c>
      <c r="B4157" s="10"/>
      <c r="C4157" s="10" t="s">
        <v>150</v>
      </c>
      <c r="D4157" s="10" t="s">
        <v>147</v>
      </c>
      <c r="E4157" s="11" t="s">
        <v>137</v>
      </c>
    </row>
    <row r="4158" spans="1:5" x14ac:dyDescent="0.35">
      <c r="A4158" s="6" t="s">
        <v>135</v>
      </c>
      <c r="B4158" s="7"/>
      <c r="C4158" s="7"/>
      <c r="D4158" s="7" t="s">
        <v>148</v>
      </c>
      <c r="E4158" s="8" t="s">
        <v>137</v>
      </c>
    </row>
    <row r="4159" spans="1:5" x14ac:dyDescent="0.35">
      <c r="A4159" s="9" t="s">
        <v>135</v>
      </c>
      <c r="B4159" s="10"/>
      <c r="C4159" s="10"/>
      <c r="D4159" s="10" t="s">
        <v>149</v>
      </c>
      <c r="E4159" s="11" t="s">
        <v>137</v>
      </c>
    </row>
    <row r="4160" spans="1:5" x14ac:dyDescent="0.35">
      <c r="A4160" s="6" t="s">
        <v>97</v>
      </c>
      <c r="B4160" s="7" t="s">
        <v>145</v>
      </c>
      <c r="C4160" s="7" t="s">
        <v>146</v>
      </c>
      <c r="D4160" s="7" t="s">
        <v>147</v>
      </c>
      <c r="E4160" s="8">
        <v>181.63</v>
      </c>
    </row>
    <row r="4161" spans="1:5" x14ac:dyDescent="0.35">
      <c r="A4161" s="9" t="s">
        <v>135</v>
      </c>
      <c r="B4161" s="10"/>
      <c r="C4161" s="10"/>
      <c r="D4161" s="10" t="s">
        <v>148</v>
      </c>
      <c r="E4161" s="11">
        <v>165.31</v>
      </c>
    </row>
    <row r="4162" spans="1:5" x14ac:dyDescent="0.35">
      <c r="A4162" s="6" t="s">
        <v>135</v>
      </c>
      <c r="B4162" s="7"/>
      <c r="C4162" s="7"/>
      <c r="D4162" s="7" t="s">
        <v>149</v>
      </c>
      <c r="E4162" s="8">
        <v>16.329999999999998</v>
      </c>
    </row>
    <row r="4163" spans="1:5" x14ac:dyDescent="0.35">
      <c r="A4163" s="9" t="s">
        <v>135</v>
      </c>
      <c r="B4163" s="10"/>
      <c r="C4163" s="10" t="s">
        <v>150</v>
      </c>
      <c r="D4163" s="10" t="s">
        <v>147</v>
      </c>
      <c r="E4163" s="11" t="s">
        <v>137</v>
      </c>
    </row>
    <row r="4164" spans="1:5" x14ac:dyDescent="0.35">
      <c r="A4164" s="6" t="s">
        <v>135</v>
      </c>
      <c r="B4164" s="7"/>
      <c r="C4164" s="7"/>
      <c r="D4164" s="7" t="s">
        <v>148</v>
      </c>
      <c r="E4164" s="8" t="s">
        <v>137</v>
      </c>
    </row>
    <row r="4165" spans="1:5" x14ac:dyDescent="0.35">
      <c r="A4165" s="9" t="s">
        <v>135</v>
      </c>
      <c r="B4165" s="10"/>
      <c r="C4165" s="10"/>
      <c r="D4165" s="10" t="s">
        <v>149</v>
      </c>
      <c r="E4165" s="11" t="s">
        <v>137</v>
      </c>
    </row>
    <row r="4166" spans="1:5" x14ac:dyDescent="0.35">
      <c r="A4166" s="6" t="s">
        <v>135</v>
      </c>
      <c r="B4166" s="7" t="s">
        <v>151</v>
      </c>
      <c r="C4166" s="7" t="s">
        <v>146</v>
      </c>
      <c r="D4166" s="7" t="s">
        <v>147</v>
      </c>
      <c r="E4166" s="8">
        <v>27.55</v>
      </c>
    </row>
    <row r="4167" spans="1:5" x14ac:dyDescent="0.35">
      <c r="A4167" s="9" t="s">
        <v>135</v>
      </c>
      <c r="B4167" s="10"/>
      <c r="C4167" s="10"/>
      <c r="D4167" s="10" t="s">
        <v>148</v>
      </c>
      <c r="E4167" s="11">
        <v>12.35</v>
      </c>
    </row>
    <row r="4168" spans="1:5" x14ac:dyDescent="0.35">
      <c r="A4168" s="6" t="s">
        <v>135</v>
      </c>
      <c r="B4168" s="7"/>
      <c r="C4168" s="7"/>
      <c r="D4168" s="7" t="s">
        <v>149</v>
      </c>
      <c r="E4168" s="8">
        <v>15.2</v>
      </c>
    </row>
    <row r="4169" spans="1:5" x14ac:dyDescent="0.35">
      <c r="A4169" s="9" t="s">
        <v>135</v>
      </c>
      <c r="B4169" s="10"/>
      <c r="C4169" s="10" t="s">
        <v>150</v>
      </c>
      <c r="D4169" s="10" t="s">
        <v>147</v>
      </c>
      <c r="E4169" s="11" t="s">
        <v>137</v>
      </c>
    </row>
    <row r="4170" spans="1:5" x14ac:dyDescent="0.35">
      <c r="A4170" s="6" t="s">
        <v>135</v>
      </c>
      <c r="B4170" s="7"/>
      <c r="C4170" s="7"/>
      <c r="D4170" s="7" t="s">
        <v>148</v>
      </c>
      <c r="E4170" s="8" t="s">
        <v>137</v>
      </c>
    </row>
    <row r="4171" spans="1:5" x14ac:dyDescent="0.35">
      <c r="A4171" s="9" t="s">
        <v>135</v>
      </c>
      <c r="B4171" s="10"/>
      <c r="C4171" s="10"/>
      <c r="D4171" s="10" t="s">
        <v>149</v>
      </c>
      <c r="E4171" s="11" t="s">
        <v>137</v>
      </c>
    </row>
    <row r="4172" spans="1:5" x14ac:dyDescent="0.35">
      <c r="A4172" s="6" t="s">
        <v>135</v>
      </c>
      <c r="B4172" s="7" t="s">
        <v>152</v>
      </c>
      <c r="C4172" s="7" t="s">
        <v>146</v>
      </c>
      <c r="D4172" s="7" t="s">
        <v>147</v>
      </c>
      <c r="E4172" s="8" t="s">
        <v>137</v>
      </c>
    </row>
    <row r="4173" spans="1:5" x14ac:dyDescent="0.35">
      <c r="A4173" s="9" t="s">
        <v>135</v>
      </c>
      <c r="B4173" s="10"/>
      <c r="C4173" s="10"/>
      <c r="D4173" s="10" t="s">
        <v>148</v>
      </c>
      <c r="E4173" s="11" t="s">
        <v>137</v>
      </c>
    </row>
    <row r="4174" spans="1:5" x14ac:dyDescent="0.35">
      <c r="A4174" s="6" t="s">
        <v>135</v>
      </c>
      <c r="B4174" s="7"/>
      <c r="C4174" s="7"/>
      <c r="D4174" s="7" t="s">
        <v>149</v>
      </c>
      <c r="E4174" s="8" t="s">
        <v>137</v>
      </c>
    </row>
    <row r="4175" spans="1:5" x14ac:dyDescent="0.35">
      <c r="A4175" s="9" t="s">
        <v>135</v>
      </c>
      <c r="B4175" s="10"/>
      <c r="C4175" s="10" t="s">
        <v>150</v>
      </c>
      <c r="D4175" s="10" t="s">
        <v>147</v>
      </c>
      <c r="E4175" s="11" t="s">
        <v>137</v>
      </c>
    </row>
    <row r="4176" spans="1:5" x14ac:dyDescent="0.35">
      <c r="A4176" s="6" t="s">
        <v>135</v>
      </c>
      <c r="B4176" s="7"/>
      <c r="C4176" s="7"/>
      <c r="D4176" s="7" t="s">
        <v>148</v>
      </c>
      <c r="E4176" s="8" t="s">
        <v>137</v>
      </c>
    </row>
    <row r="4177" spans="1:5" x14ac:dyDescent="0.35">
      <c r="A4177" s="9" t="s">
        <v>135</v>
      </c>
      <c r="B4177" s="10"/>
      <c r="C4177" s="10"/>
      <c r="D4177" s="10" t="s">
        <v>149</v>
      </c>
      <c r="E4177" s="11" t="s">
        <v>137</v>
      </c>
    </row>
    <row r="4178" spans="1:5" x14ac:dyDescent="0.35">
      <c r="A4178" s="6" t="s">
        <v>135</v>
      </c>
      <c r="B4178" s="7" t="s">
        <v>153</v>
      </c>
      <c r="C4178" s="7" t="s">
        <v>146</v>
      </c>
      <c r="D4178" s="7" t="s">
        <v>147</v>
      </c>
      <c r="E4178" s="8" t="s">
        <v>137</v>
      </c>
    </row>
    <row r="4179" spans="1:5" x14ac:dyDescent="0.35">
      <c r="A4179" s="9" t="s">
        <v>135</v>
      </c>
      <c r="B4179" s="10"/>
      <c r="C4179" s="10"/>
      <c r="D4179" s="10" t="s">
        <v>148</v>
      </c>
      <c r="E4179" s="11" t="s">
        <v>137</v>
      </c>
    </row>
    <row r="4180" spans="1:5" x14ac:dyDescent="0.35">
      <c r="A4180" s="6" t="s">
        <v>135</v>
      </c>
      <c r="B4180" s="7"/>
      <c r="C4180" s="7"/>
      <c r="D4180" s="7" t="s">
        <v>149</v>
      </c>
      <c r="E4180" s="8" t="s">
        <v>137</v>
      </c>
    </row>
    <row r="4181" spans="1:5" x14ac:dyDescent="0.35">
      <c r="A4181" s="9" t="s">
        <v>135</v>
      </c>
      <c r="B4181" s="10"/>
      <c r="C4181" s="10" t="s">
        <v>150</v>
      </c>
      <c r="D4181" s="10" t="s">
        <v>147</v>
      </c>
      <c r="E4181" s="11" t="s">
        <v>137</v>
      </c>
    </row>
    <row r="4182" spans="1:5" x14ac:dyDescent="0.35">
      <c r="A4182" s="6" t="s">
        <v>135</v>
      </c>
      <c r="B4182" s="7"/>
      <c r="C4182" s="7"/>
      <c r="D4182" s="7" t="s">
        <v>148</v>
      </c>
      <c r="E4182" s="8" t="s">
        <v>137</v>
      </c>
    </row>
    <row r="4183" spans="1:5" x14ac:dyDescent="0.35">
      <c r="A4183" s="9" t="s">
        <v>135</v>
      </c>
      <c r="B4183" s="10"/>
      <c r="C4183" s="10"/>
      <c r="D4183" s="10" t="s">
        <v>149</v>
      </c>
      <c r="E4183" s="11" t="s">
        <v>137</v>
      </c>
    </row>
    <row r="4184" spans="1:5" x14ac:dyDescent="0.35">
      <c r="A4184" s="6" t="s">
        <v>135</v>
      </c>
      <c r="B4184" s="7" t="s">
        <v>154</v>
      </c>
      <c r="C4184" s="7" t="s">
        <v>146</v>
      </c>
      <c r="D4184" s="7" t="s">
        <v>147</v>
      </c>
      <c r="E4184" s="8" t="s">
        <v>137</v>
      </c>
    </row>
    <row r="4185" spans="1:5" x14ac:dyDescent="0.35">
      <c r="A4185" s="9" t="s">
        <v>135</v>
      </c>
      <c r="B4185" s="10"/>
      <c r="C4185" s="10"/>
      <c r="D4185" s="10" t="s">
        <v>148</v>
      </c>
      <c r="E4185" s="11" t="s">
        <v>137</v>
      </c>
    </row>
    <row r="4186" spans="1:5" x14ac:dyDescent="0.35">
      <c r="A4186" s="6" t="s">
        <v>135</v>
      </c>
      <c r="B4186" s="7"/>
      <c r="C4186" s="7"/>
      <c r="D4186" s="7" t="s">
        <v>149</v>
      </c>
      <c r="E4186" s="8" t="s">
        <v>137</v>
      </c>
    </row>
    <row r="4187" spans="1:5" x14ac:dyDescent="0.35">
      <c r="A4187" s="9" t="s">
        <v>135</v>
      </c>
      <c r="B4187" s="10"/>
      <c r="C4187" s="10" t="s">
        <v>150</v>
      </c>
      <c r="D4187" s="10" t="s">
        <v>147</v>
      </c>
      <c r="E4187" s="11" t="s">
        <v>137</v>
      </c>
    </row>
    <row r="4188" spans="1:5" x14ac:dyDescent="0.35">
      <c r="A4188" s="6" t="s">
        <v>135</v>
      </c>
      <c r="B4188" s="7"/>
      <c r="C4188" s="7"/>
      <c r="D4188" s="7" t="s">
        <v>148</v>
      </c>
      <c r="E4188" s="8" t="s">
        <v>137</v>
      </c>
    </row>
    <row r="4189" spans="1:5" x14ac:dyDescent="0.35">
      <c r="A4189" s="9" t="s">
        <v>135</v>
      </c>
      <c r="B4189" s="10"/>
      <c r="C4189" s="10"/>
      <c r="D4189" s="10" t="s">
        <v>149</v>
      </c>
      <c r="E4189" s="11" t="s">
        <v>137</v>
      </c>
    </row>
    <row r="4190" spans="1:5" x14ac:dyDescent="0.35">
      <c r="A4190" s="6" t="s">
        <v>135</v>
      </c>
      <c r="B4190" s="7" t="s">
        <v>155</v>
      </c>
      <c r="C4190" s="7" t="s">
        <v>146</v>
      </c>
      <c r="D4190" s="7" t="s">
        <v>147</v>
      </c>
      <c r="E4190" s="8">
        <v>153.25</v>
      </c>
    </row>
    <row r="4191" spans="1:5" x14ac:dyDescent="0.35">
      <c r="A4191" s="9" t="s">
        <v>135</v>
      </c>
      <c r="B4191" s="10"/>
      <c r="C4191" s="10"/>
      <c r="D4191" s="10" t="s">
        <v>148</v>
      </c>
      <c r="E4191" s="11">
        <v>152.12</v>
      </c>
    </row>
    <row r="4192" spans="1:5" x14ac:dyDescent="0.35">
      <c r="A4192" s="6" t="s">
        <v>135</v>
      </c>
      <c r="B4192" s="7"/>
      <c r="C4192" s="7"/>
      <c r="D4192" s="7" t="s">
        <v>149</v>
      </c>
      <c r="E4192" s="8">
        <v>1.1200000000000001</v>
      </c>
    </row>
    <row r="4193" spans="1:5" x14ac:dyDescent="0.35">
      <c r="A4193" s="9" t="s">
        <v>135</v>
      </c>
      <c r="B4193" s="10"/>
      <c r="C4193" s="10" t="s">
        <v>150</v>
      </c>
      <c r="D4193" s="10" t="s">
        <v>147</v>
      </c>
      <c r="E4193" s="11" t="s">
        <v>137</v>
      </c>
    </row>
    <row r="4194" spans="1:5" x14ac:dyDescent="0.35">
      <c r="A4194" s="6" t="s">
        <v>135</v>
      </c>
      <c r="B4194" s="7"/>
      <c r="C4194" s="7"/>
      <c r="D4194" s="7" t="s">
        <v>148</v>
      </c>
      <c r="E4194" s="8" t="s">
        <v>137</v>
      </c>
    </row>
    <row r="4195" spans="1:5" x14ac:dyDescent="0.35">
      <c r="A4195" s="9" t="s">
        <v>135</v>
      </c>
      <c r="B4195" s="10"/>
      <c r="C4195" s="10"/>
      <c r="D4195" s="10" t="s">
        <v>149</v>
      </c>
      <c r="E4195" s="11" t="s">
        <v>137</v>
      </c>
    </row>
    <row r="4196" spans="1:5" x14ac:dyDescent="0.35">
      <c r="A4196" s="6" t="s">
        <v>135</v>
      </c>
      <c r="B4196" s="7" t="s">
        <v>156</v>
      </c>
      <c r="C4196" s="7" t="s">
        <v>146</v>
      </c>
      <c r="D4196" s="7" t="s">
        <v>147</v>
      </c>
      <c r="E4196" s="8" t="s">
        <v>137</v>
      </c>
    </row>
    <row r="4197" spans="1:5" x14ac:dyDescent="0.35">
      <c r="A4197" s="9" t="s">
        <v>135</v>
      </c>
      <c r="B4197" s="10"/>
      <c r="C4197" s="10"/>
      <c r="D4197" s="10" t="s">
        <v>148</v>
      </c>
      <c r="E4197" s="11" t="s">
        <v>137</v>
      </c>
    </row>
    <row r="4198" spans="1:5" x14ac:dyDescent="0.35">
      <c r="A4198" s="6" t="s">
        <v>135</v>
      </c>
      <c r="B4198" s="7"/>
      <c r="C4198" s="7"/>
      <c r="D4198" s="7" t="s">
        <v>149</v>
      </c>
      <c r="E4198" s="8" t="s">
        <v>137</v>
      </c>
    </row>
    <row r="4199" spans="1:5" x14ac:dyDescent="0.35">
      <c r="A4199" s="9" t="s">
        <v>135</v>
      </c>
      <c r="B4199" s="10"/>
      <c r="C4199" s="10" t="s">
        <v>150</v>
      </c>
      <c r="D4199" s="10" t="s">
        <v>147</v>
      </c>
      <c r="E4199" s="11" t="s">
        <v>137</v>
      </c>
    </row>
    <row r="4200" spans="1:5" x14ac:dyDescent="0.35">
      <c r="A4200" s="6" t="s">
        <v>135</v>
      </c>
      <c r="B4200" s="7"/>
      <c r="C4200" s="7"/>
      <c r="D4200" s="7" t="s">
        <v>148</v>
      </c>
      <c r="E4200" s="8" t="s">
        <v>137</v>
      </c>
    </row>
    <row r="4201" spans="1:5" x14ac:dyDescent="0.35">
      <c r="A4201" s="9" t="s">
        <v>135</v>
      </c>
      <c r="B4201" s="10"/>
      <c r="C4201" s="10"/>
      <c r="D4201" s="10" t="s">
        <v>149</v>
      </c>
      <c r="E4201" s="11" t="s">
        <v>137</v>
      </c>
    </row>
    <row r="4202" spans="1:5" x14ac:dyDescent="0.35">
      <c r="A4202" s="6" t="s">
        <v>135</v>
      </c>
      <c r="B4202" s="7" t="s">
        <v>157</v>
      </c>
      <c r="C4202" s="7" t="s">
        <v>146</v>
      </c>
      <c r="D4202" s="7" t="s">
        <v>147</v>
      </c>
      <c r="E4202" s="8" t="s">
        <v>137</v>
      </c>
    </row>
    <row r="4203" spans="1:5" x14ac:dyDescent="0.35">
      <c r="A4203" s="9" t="s">
        <v>135</v>
      </c>
      <c r="B4203" s="10"/>
      <c r="C4203" s="10"/>
      <c r="D4203" s="10" t="s">
        <v>148</v>
      </c>
      <c r="E4203" s="11" t="s">
        <v>137</v>
      </c>
    </row>
    <row r="4204" spans="1:5" x14ac:dyDescent="0.35">
      <c r="A4204" s="6" t="s">
        <v>135</v>
      </c>
      <c r="B4204" s="7"/>
      <c r="C4204" s="7"/>
      <c r="D4204" s="7" t="s">
        <v>149</v>
      </c>
      <c r="E4204" s="8" t="s">
        <v>137</v>
      </c>
    </row>
    <row r="4205" spans="1:5" x14ac:dyDescent="0.35">
      <c r="A4205" s="9" t="s">
        <v>135</v>
      </c>
      <c r="B4205" s="10"/>
      <c r="C4205" s="10" t="s">
        <v>150</v>
      </c>
      <c r="D4205" s="10" t="s">
        <v>147</v>
      </c>
      <c r="E4205" s="11" t="s">
        <v>137</v>
      </c>
    </row>
    <row r="4206" spans="1:5" x14ac:dyDescent="0.35">
      <c r="A4206" s="6" t="s">
        <v>135</v>
      </c>
      <c r="B4206" s="7"/>
      <c r="C4206" s="7"/>
      <c r="D4206" s="7" t="s">
        <v>148</v>
      </c>
      <c r="E4206" s="8" t="s">
        <v>137</v>
      </c>
    </row>
    <row r="4207" spans="1:5" x14ac:dyDescent="0.35">
      <c r="A4207" s="9" t="s">
        <v>135</v>
      </c>
      <c r="B4207" s="10"/>
      <c r="C4207" s="10"/>
      <c r="D4207" s="10" t="s">
        <v>149</v>
      </c>
      <c r="E4207" s="11" t="s">
        <v>137</v>
      </c>
    </row>
    <row r="4208" spans="1:5" x14ac:dyDescent="0.35">
      <c r="A4208" s="6" t="s">
        <v>135</v>
      </c>
      <c r="B4208" s="7" t="s">
        <v>158</v>
      </c>
      <c r="C4208" s="7" t="s">
        <v>146</v>
      </c>
      <c r="D4208" s="7" t="s">
        <v>147</v>
      </c>
      <c r="E4208" s="8">
        <v>0.84</v>
      </c>
    </row>
    <row r="4209" spans="1:5" x14ac:dyDescent="0.35">
      <c r="A4209" s="9" t="s">
        <v>135</v>
      </c>
      <c r="B4209" s="10"/>
      <c r="C4209" s="10"/>
      <c r="D4209" s="10" t="s">
        <v>148</v>
      </c>
      <c r="E4209" s="11">
        <v>0.84</v>
      </c>
    </row>
    <row r="4210" spans="1:5" x14ac:dyDescent="0.35">
      <c r="A4210" s="6" t="s">
        <v>135</v>
      </c>
      <c r="B4210" s="7"/>
      <c r="C4210" s="7"/>
      <c r="D4210" s="7" t="s">
        <v>149</v>
      </c>
      <c r="E4210" s="8" t="s">
        <v>137</v>
      </c>
    </row>
    <row r="4211" spans="1:5" x14ac:dyDescent="0.35">
      <c r="A4211" s="9" t="s">
        <v>135</v>
      </c>
      <c r="B4211" s="10"/>
      <c r="C4211" s="10" t="s">
        <v>150</v>
      </c>
      <c r="D4211" s="10" t="s">
        <v>147</v>
      </c>
      <c r="E4211" s="11" t="s">
        <v>137</v>
      </c>
    </row>
    <row r="4212" spans="1:5" x14ac:dyDescent="0.35">
      <c r="A4212" s="6" t="s">
        <v>135</v>
      </c>
      <c r="B4212" s="7"/>
      <c r="C4212" s="7"/>
      <c r="D4212" s="7" t="s">
        <v>148</v>
      </c>
      <c r="E4212" s="8" t="s">
        <v>137</v>
      </c>
    </row>
    <row r="4213" spans="1:5" x14ac:dyDescent="0.35">
      <c r="A4213" s="9" t="s">
        <v>135</v>
      </c>
      <c r="B4213" s="10"/>
      <c r="C4213" s="10"/>
      <c r="D4213" s="10" t="s">
        <v>149</v>
      </c>
      <c r="E4213" s="11" t="s">
        <v>137</v>
      </c>
    </row>
    <row r="4214" spans="1:5" x14ac:dyDescent="0.35">
      <c r="A4214" s="6" t="s">
        <v>135</v>
      </c>
      <c r="B4214" s="7" t="s">
        <v>159</v>
      </c>
      <c r="C4214" s="7" t="s">
        <v>146</v>
      </c>
      <c r="D4214" s="7" t="s">
        <v>147</v>
      </c>
      <c r="E4214" s="8" t="s">
        <v>137</v>
      </c>
    </row>
    <row r="4215" spans="1:5" x14ac:dyDescent="0.35">
      <c r="A4215" s="9" t="s">
        <v>135</v>
      </c>
      <c r="B4215" s="10"/>
      <c r="C4215" s="10"/>
      <c r="D4215" s="10" t="s">
        <v>148</v>
      </c>
      <c r="E4215" s="11" t="s">
        <v>137</v>
      </c>
    </row>
    <row r="4216" spans="1:5" x14ac:dyDescent="0.35">
      <c r="A4216" s="6" t="s">
        <v>135</v>
      </c>
      <c r="B4216" s="7"/>
      <c r="C4216" s="7"/>
      <c r="D4216" s="7" t="s">
        <v>149</v>
      </c>
      <c r="E4216" s="8" t="s">
        <v>137</v>
      </c>
    </row>
    <row r="4217" spans="1:5" x14ac:dyDescent="0.35">
      <c r="A4217" s="9" t="s">
        <v>135</v>
      </c>
      <c r="B4217" s="10"/>
      <c r="C4217" s="10" t="s">
        <v>150</v>
      </c>
      <c r="D4217" s="10" t="s">
        <v>147</v>
      </c>
      <c r="E4217" s="11" t="s">
        <v>137</v>
      </c>
    </row>
    <row r="4218" spans="1:5" x14ac:dyDescent="0.35">
      <c r="A4218" s="6" t="s">
        <v>135</v>
      </c>
      <c r="B4218" s="7"/>
      <c r="C4218" s="7"/>
      <c r="D4218" s="7" t="s">
        <v>148</v>
      </c>
      <c r="E4218" s="8" t="s">
        <v>137</v>
      </c>
    </row>
    <row r="4219" spans="1:5" x14ac:dyDescent="0.35">
      <c r="A4219" s="9" t="s">
        <v>135</v>
      </c>
      <c r="B4219" s="10"/>
      <c r="C4219" s="10"/>
      <c r="D4219" s="10" t="s">
        <v>149</v>
      </c>
      <c r="E4219" s="11" t="s">
        <v>137</v>
      </c>
    </row>
    <row r="4220" spans="1:5" x14ac:dyDescent="0.35">
      <c r="A4220" s="6" t="s">
        <v>135</v>
      </c>
      <c r="B4220" s="7" t="s">
        <v>160</v>
      </c>
      <c r="C4220" s="7" t="s">
        <v>146</v>
      </c>
      <c r="D4220" s="7" t="s">
        <v>147</v>
      </c>
      <c r="E4220" s="8" t="s">
        <v>137</v>
      </c>
    </row>
    <row r="4221" spans="1:5" x14ac:dyDescent="0.35">
      <c r="A4221" s="9" t="s">
        <v>135</v>
      </c>
      <c r="B4221" s="10"/>
      <c r="C4221" s="10"/>
      <c r="D4221" s="10" t="s">
        <v>148</v>
      </c>
      <c r="E4221" s="11" t="s">
        <v>137</v>
      </c>
    </row>
    <row r="4222" spans="1:5" x14ac:dyDescent="0.35">
      <c r="A4222" s="6" t="s">
        <v>135</v>
      </c>
      <c r="B4222" s="7"/>
      <c r="C4222" s="7"/>
      <c r="D4222" s="7" t="s">
        <v>149</v>
      </c>
      <c r="E4222" s="8" t="s">
        <v>137</v>
      </c>
    </row>
    <row r="4223" spans="1:5" x14ac:dyDescent="0.35">
      <c r="A4223" s="9" t="s">
        <v>135</v>
      </c>
      <c r="B4223" s="10"/>
      <c r="C4223" s="10" t="s">
        <v>150</v>
      </c>
      <c r="D4223" s="10" t="s">
        <v>147</v>
      </c>
      <c r="E4223" s="11" t="s">
        <v>137</v>
      </c>
    </row>
    <row r="4224" spans="1:5" x14ac:dyDescent="0.35">
      <c r="A4224" s="6" t="s">
        <v>135</v>
      </c>
      <c r="B4224" s="7"/>
      <c r="C4224" s="7"/>
      <c r="D4224" s="7" t="s">
        <v>148</v>
      </c>
      <c r="E4224" s="8" t="s">
        <v>137</v>
      </c>
    </row>
    <row r="4225" spans="1:5" x14ac:dyDescent="0.35">
      <c r="A4225" s="9" t="s">
        <v>135</v>
      </c>
      <c r="B4225" s="10"/>
      <c r="C4225" s="10"/>
      <c r="D4225" s="10" t="s">
        <v>149</v>
      </c>
      <c r="E4225" s="11" t="s">
        <v>137</v>
      </c>
    </row>
    <row r="4226" spans="1:5" x14ac:dyDescent="0.35">
      <c r="A4226" s="6" t="s">
        <v>135</v>
      </c>
      <c r="B4226" s="7" t="s">
        <v>161</v>
      </c>
      <c r="C4226" s="7" t="s">
        <v>146</v>
      </c>
      <c r="D4226" s="7" t="s">
        <v>147</v>
      </c>
      <c r="E4226" s="8" t="s">
        <v>137</v>
      </c>
    </row>
    <row r="4227" spans="1:5" x14ac:dyDescent="0.35">
      <c r="A4227" s="9" t="s">
        <v>135</v>
      </c>
      <c r="B4227" s="10"/>
      <c r="C4227" s="10"/>
      <c r="D4227" s="10" t="s">
        <v>148</v>
      </c>
      <c r="E4227" s="11" t="s">
        <v>137</v>
      </c>
    </row>
    <row r="4228" spans="1:5" x14ac:dyDescent="0.35">
      <c r="A4228" s="6" t="s">
        <v>135</v>
      </c>
      <c r="B4228" s="7"/>
      <c r="C4228" s="7"/>
      <c r="D4228" s="7" t="s">
        <v>149</v>
      </c>
      <c r="E4228" s="8" t="s">
        <v>137</v>
      </c>
    </row>
    <row r="4229" spans="1:5" x14ac:dyDescent="0.35">
      <c r="A4229" s="9" t="s">
        <v>135</v>
      </c>
      <c r="B4229" s="10"/>
      <c r="C4229" s="10" t="s">
        <v>150</v>
      </c>
      <c r="D4229" s="10" t="s">
        <v>147</v>
      </c>
      <c r="E4229" s="11" t="s">
        <v>137</v>
      </c>
    </row>
    <row r="4230" spans="1:5" x14ac:dyDescent="0.35">
      <c r="A4230" s="6" t="s">
        <v>135</v>
      </c>
      <c r="B4230" s="7"/>
      <c r="C4230" s="7"/>
      <c r="D4230" s="7" t="s">
        <v>148</v>
      </c>
      <c r="E4230" s="8" t="s">
        <v>137</v>
      </c>
    </row>
    <row r="4231" spans="1:5" x14ac:dyDescent="0.35">
      <c r="A4231" s="9" t="s">
        <v>135</v>
      </c>
      <c r="B4231" s="10"/>
      <c r="C4231" s="10"/>
      <c r="D4231" s="10" t="s">
        <v>149</v>
      </c>
      <c r="E4231" s="11" t="s">
        <v>137</v>
      </c>
    </row>
    <row r="4232" spans="1:5" x14ac:dyDescent="0.35">
      <c r="A4232" s="6" t="s">
        <v>135</v>
      </c>
      <c r="B4232" s="7" t="s">
        <v>162</v>
      </c>
      <c r="C4232" s="7" t="s">
        <v>146</v>
      </c>
      <c r="D4232" s="7" t="s">
        <v>147</v>
      </c>
      <c r="E4232" s="8" t="s">
        <v>137</v>
      </c>
    </row>
    <row r="4233" spans="1:5" x14ac:dyDescent="0.35">
      <c r="A4233" s="9" t="s">
        <v>135</v>
      </c>
      <c r="B4233" s="10"/>
      <c r="C4233" s="10"/>
      <c r="D4233" s="10" t="s">
        <v>148</v>
      </c>
      <c r="E4233" s="11" t="s">
        <v>137</v>
      </c>
    </row>
    <row r="4234" spans="1:5" x14ac:dyDescent="0.35">
      <c r="A4234" s="6" t="s">
        <v>135</v>
      </c>
      <c r="B4234" s="7"/>
      <c r="C4234" s="7"/>
      <c r="D4234" s="7" t="s">
        <v>149</v>
      </c>
      <c r="E4234" s="8" t="s">
        <v>137</v>
      </c>
    </row>
    <row r="4235" spans="1:5" x14ac:dyDescent="0.35">
      <c r="A4235" s="9" t="s">
        <v>135</v>
      </c>
      <c r="B4235" s="10"/>
      <c r="C4235" s="10" t="s">
        <v>150</v>
      </c>
      <c r="D4235" s="10" t="s">
        <v>147</v>
      </c>
      <c r="E4235" s="11" t="s">
        <v>137</v>
      </c>
    </row>
    <row r="4236" spans="1:5" x14ac:dyDescent="0.35">
      <c r="A4236" s="6" t="s">
        <v>135</v>
      </c>
      <c r="B4236" s="7"/>
      <c r="C4236" s="7"/>
      <c r="D4236" s="7" t="s">
        <v>148</v>
      </c>
      <c r="E4236" s="8" t="s">
        <v>137</v>
      </c>
    </row>
    <row r="4237" spans="1:5" x14ac:dyDescent="0.35">
      <c r="A4237" s="9" t="s">
        <v>135</v>
      </c>
      <c r="B4237" s="10"/>
      <c r="C4237" s="10"/>
      <c r="D4237" s="10" t="s">
        <v>149</v>
      </c>
      <c r="E4237" s="11" t="s">
        <v>137</v>
      </c>
    </row>
    <row r="4238" spans="1:5" x14ac:dyDescent="0.35">
      <c r="A4238" s="6" t="s">
        <v>135</v>
      </c>
      <c r="B4238" s="7" t="s">
        <v>163</v>
      </c>
      <c r="C4238" s="7" t="s">
        <v>146</v>
      </c>
      <c r="D4238" s="7" t="s">
        <v>147</v>
      </c>
      <c r="E4238" s="8">
        <v>213.59</v>
      </c>
    </row>
    <row r="4239" spans="1:5" x14ac:dyDescent="0.35">
      <c r="A4239" s="9" t="s">
        <v>135</v>
      </c>
      <c r="B4239" s="10"/>
      <c r="C4239" s="10"/>
      <c r="D4239" s="10" t="s">
        <v>148</v>
      </c>
      <c r="E4239" s="11">
        <v>199.59</v>
      </c>
    </row>
    <row r="4240" spans="1:5" x14ac:dyDescent="0.35">
      <c r="A4240" s="6" t="s">
        <v>135</v>
      </c>
      <c r="B4240" s="7"/>
      <c r="C4240" s="7"/>
      <c r="D4240" s="7" t="s">
        <v>149</v>
      </c>
      <c r="E4240" s="8">
        <v>14</v>
      </c>
    </row>
    <row r="4241" spans="1:5" x14ac:dyDescent="0.35">
      <c r="A4241" s="9" t="s">
        <v>135</v>
      </c>
      <c r="B4241" s="10"/>
      <c r="C4241" s="10" t="s">
        <v>150</v>
      </c>
      <c r="D4241" s="10" t="s">
        <v>147</v>
      </c>
      <c r="E4241" s="11" t="s">
        <v>137</v>
      </c>
    </row>
    <row r="4242" spans="1:5" x14ac:dyDescent="0.35">
      <c r="A4242" s="6" t="s">
        <v>135</v>
      </c>
      <c r="B4242" s="7"/>
      <c r="C4242" s="7"/>
      <c r="D4242" s="7" t="s">
        <v>148</v>
      </c>
      <c r="E4242" s="8" t="s">
        <v>137</v>
      </c>
    </row>
    <row r="4243" spans="1:5" x14ac:dyDescent="0.35">
      <c r="A4243" s="9" t="s">
        <v>135</v>
      </c>
      <c r="B4243" s="10"/>
      <c r="C4243" s="10"/>
      <c r="D4243" s="10" t="s">
        <v>149</v>
      </c>
      <c r="E4243" s="11" t="s">
        <v>137</v>
      </c>
    </row>
    <row r="4244" spans="1:5" x14ac:dyDescent="0.35">
      <c r="A4244" s="6" t="s">
        <v>135</v>
      </c>
      <c r="B4244" s="7" t="s">
        <v>164</v>
      </c>
      <c r="C4244" s="7" t="s">
        <v>146</v>
      </c>
      <c r="D4244" s="7" t="s">
        <v>147</v>
      </c>
      <c r="E4244" s="8" t="s">
        <v>137</v>
      </c>
    </row>
    <row r="4245" spans="1:5" x14ac:dyDescent="0.35">
      <c r="A4245" s="9" t="s">
        <v>135</v>
      </c>
      <c r="B4245" s="10"/>
      <c r="C4245" s="10"/>
      <c r="D4245" s="10" t="s">
        <v>148</v>
      </c>
      <c r="E4245" s="11" t="s">
        <v>137</v>
      </c>
    </row>
    <row r="4246" spans="1:5" x14ac:dyDescent="0.35">
      <c r="A4246" s="6" t="s">
        <v>135</v>
      </c>
      <c r="B4246" s="7"/>
      <c r="C4246" s="7"/>
      <c r="D4246" s="7" t="s">
        <v>149</v>
      </c>
      <c r="E4246" s="8" t="s">
        <v>137</v>
      </c>
    </row>
    <row r="4247" spans="1:5" x14ac:dyDescent="0.35">
      <c r="A4247" s="9" t="s">
        <v>135</v>
      </c>
      <c r="B4247" s="10"/>
      <c r="C4247" s="10" t="s">
        <v>150</v>
      </c>
      <c r="D4247" s="10" t="s">
        <v>147</v>
      </c>
      <c r="E4247" s="11" t="s">
        <v>137</v>
      </c>
    </row>
    <row r="4248" spans="1:5" x14ac:dyDescent="0.35">
      <c r="A4248" s="6" t="s">
        <v>135</v>
      </c>
      <c r="B4248" s="7"/>
      <c r="C4248" s="7"/>
      <c r="D4248" s="7" t="s">
        <v>148</v>
      </c>
      <c r="E4248" s="8" t="s">
        <v>137</v>
      </c>
    </row>
    <row r="4249" spans="1:5" x14ac:dyDescent="0.35">
      <c r="A4249" s="9" t="s">
        <v>135</v>
      </c>
      <c r="B4249" s="10"/>
      <c r="C4249" s="10"/>
      <c r="D4249" s="10" t="s">
        <v>149</v>
      </c>
      <c r="E4249" s="11" t="s">
        <v>137</v>
      </c>
    </row>
    <row r="4250" spans="1:5" x14ac:dyDescent="0.35">
      <c r="A4250" s="6" t="s">
        <v>135</v>
      </c>
      <c r="B4250" s="7" t="s">
        <v>165</v>
      </c>
      <c r="C4250" s="7" t="s">
        <v>146</v>
      </c>
      <c r="D4250" s="7" t="s">
        <v>147</v>
      </c>
      <c r="E4250" s="8">
        <v>85</v>
      </c>
    </row>
    <row r="4251" spans="1:5" x14ac:dyDescent="0.35">
      <c r="A4251" s="9" t="s">
        <v>135</v>
      </c>
      <c r="B4251" s="10"/>
      <c r="C4251" s="10"/>
      <c r="D4251" s="10" t="s">
        <v>148</v>
      </c>
      <c r="E4251" s="11">
        <v>85</v>
      </c>
    </row>
    <row r="4252" spans="1:5" x14ac:dyDescent="0.35">
      <c r="A4252" s="6" t="s">
        <v>135</v>
      </c>
      <c r="B4252" s="7"/>
      <c r="C4252" s="7"/>
      <c r="D4252" s="7" t="s">
        <v>149</v>
      </c>
      <c r="E4252" s="8" t="s">
        <v>137</v>
      </c>
    </row>
    <row r="4253" spans="1:5" x14ac:dyDescent="0.35">
      <c r="A4253" s="9" t="s">
        <v>135</v>
      </c>
      <c r="B4253" s="10"/>
      <c r="C4253" s="10" t="s">
        <v>150</v>
      </c>
      <c r="D4253" s="10" t="s">
        <v>147</v>
      </c>
      <c r="E4253" s="11" t="s">
        <v>137</v>
      </c>
    </row>
    <row r="4254" spans="1:5" x14ac:dyDescent="0.35">
      <c r="A4254" s="6" t="s">
        <v>135</v>
      </c>
      <c r="B4254" s="7"/>
      <c r="C4254" s="7"/>
      <c r="D4254" s="7" t="s">
        <v>148</v>
      </c>
      <c r="E4254" s="8" t="s">
        <v>137</v>
      </c>
    </row>
    <row r="4255" spans="1:5" x14ac:dyDescent="0.35">
      <c r="A4255" s="9" t="s">
        <v>135</v>
      </c>
      <c r="B4255" s="10"/>
      <c r="C4255" s="10"/>
      <c r="D4255" s="10" t="s">
        <v>149</v>
      </c>
      <c r="E4255" s="11" t="s">
        <v>137</v>
      </c>
    </row>
    <row r="4256" spans="1:5" x14ac:dyDescent="0.35">
      <c r="A4256" s="6" t="s">
        <v>135</v>
      </c>
      <c r="B4256" s="7" t="s">
        <v>166</v>
      </c>
      <c r="C4256" s="7" t="s">
        <v>146</v>
      </c>
      <c r="D4256" s="7" t="s">
        <v>147</v>
      </c>
      <c r="E4256" s="8">
        <v>42.8</v>
      </c>
    </row>
    <row r="4257" spans="1:5" x14ac:dyDescent="0.35">
      <c r="A4257" s="9" t="s">
        <v>135</v>
      </c>
      <c r="B4257" s="10"/>
      <c r="C4257" s="10"/>
      <c r="D4257" s="10" t="s">
        <v>148</v>
      </c>
      <c r="E4257" s="11">
        <v>28.8</v>
      </c>
    </row>
    <row r="4258" spans="1:5" x14ac:dyDescent="0.35">
      <c r="A4258" s="6" t="s">
        <v>135</v>
      </c>
      <c r="B4258" s="7"/>
      <c r="C4258" s="7"/>
      <c r="D4258" s="7" t="s">
        <v>149</v>
      </c>
      <c r="E4258" s="8">
        <v>14</v>
      </c>
    </row>
    <row r="4259" spans="1:5" x14ac:dyDescent="0.35">
      <c r="A4259" s="9" t="s">
        <v>135</v>
      </c>
      <c r="B4259" s="10"/>
      <c r="C4259" s="10" t="s">
        <v>150</v>
      </c>
      <c r="D4259" s="10" t="s">
        <v>147</v>
      </c>
      <c r="E4259" s="11" t="s">
        <v>137</v>
      </c>
    </row>
    <row r="4260" spans="1:5" x14ac:dyDescent="0.35">
      <c r="A4260" s="6" t="s">
        <v>135</v>
      </c>
      <c r="B4260" s="7"/>
      <c r="C4260" s="7"/>
      <c r="D4260" s="7" t="s">
        <v>148</v>
      </c>
      <c r="E4260" s="8" t="s">
        <v>137</v>
      </c>
    </row>
    <row r="4261" spans="1:5" x14ac:dyDescent="0.35">
      <c r="A4261" s="9" t="s">
        <v>135</v>
      </c>
      <c r="B4261" s="10"/>
      <c r="C4261" s="10"/>
      <c r="D4261" s="10" t="s">
        <v>149</v>
      </c>
      <c r="E4261" s="11" t="s">
        <v>137</v>
      </c>
    </row>
    <row r="4262" spans="1:5" x14ac:dyDescent="0.35">
      <c r="A4262" s="6" t="s">
        <v>135</v>
      </c>
      <c r="B4262" s="7" t="s">
        <v>167</v>
      </c>
      <c r="C4262" s="7" t="s">
        <v>146</v>
      </c>
      <c r="D4262" s="7" t="s">
        <v>147</v>
      </c>
      <c r="E4262" s="8">
        <v>85.79</v>
      </c>
    </row>
    <row r="4263" spans="1:5" x14ac:dyDescent="0.35">
      <c r="A4263" s="9" t="s">
        <v>135</v>
      </c>
      <c r="B4263" s="10"/>
      <c r="C4263" s="10"/>
      <c r="D4263" s="10" t="s">
        <v>148</v>
      </c>
      <c r="E4263" s="11">
        <v>85.79</v>
      </c>
    </row>
    <row r="4264" spans="1:5" x14ac:dyDescent="0.35">
      <c r="A4264" s="6" t="s">
        <v>135</v>
      </c>
      <c r="B4264" s="7"/>
      <c r="C4264" s="7"/>
      <c r="D4264" s="7" t="s">
        <v>149</v>
      </c>
      <c r="E4264" s="8" t="s">
        <v>137</v>
      </c>
    </row>
    <row r="4265" spans="1:5" x14ac:dyDescent="0.35">
      <c r="A4265" s="9" t="s">
        <v>135</v>
      </c>
      <c r="B4265" s="10"/>
      <c r="C4265" s="10" t="s">
        <v>150</v>
      </c>
      <c r="D4265" s="10" t="s">
        <v>147</v>
      </c>
      <c r="E4265" s="11" t="s">
        <v>137</v>
      </c>
    </row>
    <row r="4266" spans="1:5" x14ac:dyDescent="0.35">
      <c r="A4266" s="6" t="s">
        <v>135</v>
      </c>
      <c r="B4266" s="7"/>
      <c r="C4266" s="7"/>
      <c r="D4266" s="7" t="s">
        <v>148</v>
      </c>
      <c r="E4266" s="8" t="s">
        <v>137</v>
      </c>
    </row>
    <row r="4267" spans="1:5" x14ac:dyDescent="0.35">
      <c r="A4267" s="9" t="s">
        <v>135</v>
      </c>
      <c r="B4267" s="10"/>
      <c r="C4267" s="10"/>
      <c r="D4267" s="10" t="s">
        <v>149</v>
      </c>
      <c r="E4267" s="11" t="s">
        <v>137</v>
      </c>
    </row>
    <row r="4268" spans="1:5" x14ac:dyDescent="0.35">
      <c r="A4268" s="6" t="s">
        <v>135</v>
      </c>
      <c r="B4268" s="7" t="s">
        <v>168</v>
      </c>
      <c r="C4268" s="7" t="s">
        <v>146</v>
      </c>
      <c r="D4268" s="7" t="s">
        <v>147</v>
      </c>
      <c r="E4268" s="8" t="s">
        <v>137</v>
      </c>
    </row>
    <row r="4269" spans="1:5" x14ac:dyDescent="0.35">
      <c r="A4269" s="9" t="s">
        <v>135</v>
      </c>
      <c r="B4269" s="10"/>
      <c r="C4269" s="10"/>
      <c r="D4269" s="10" t="s">
        <v>148</v>
      </c>
      <c r="E4269" s="11" t="s">
        <v>137</v>
      </c>
    </row>
    <row r="4270" spans="1:5" x14ac:dyDescent="0.35">
      <c r="A4270" s="6" t="s">
        <v>135</v>
      </c>
      <c r="B4270" s="7"/>
      <c r="C4270" s="7"/>
      <c r="D4270" s="7" t="s">
        <v>149</v>
      </c>
      <c r="E4270" s="8" t="s">
        <v>137</v>
      </c>
    </row>
    <row r="4271" spans="1:5" x14ac:dyDescent="0.35">
      <c r="A4271" s="9" t="s">
        <v>135</v>
      </c>
      <c r="B4271" s="10"/>
      <c r="C4271" s="10" t="s">
        <v>150</v>
      </c>
      <c r="D4271" s="10" t="s">
        <v>147</v>
      </c>
      <c r="E4271" s="11" t="s">
        <v>137</v>
      </c>
    </row>
    <row r="4272" spans="1:5" x14ac:dyDescent="0.35">
      <c r="A4272" s="6" t="s">
        <v>135</v>
      </c>
      <c r="B4272" s="7"/>
      <c r="C4272" s="7"/>
      <c r="D4272" s="7" t="s">
        <v>148</v>
      </c>
      <c r="E4272" s="8" t="s">
        <v>137</v>
      </c>
    </row>
    <row r="4273" spans="1:5" x14ac:dyDescent="0.35">
      <c r="A4273" s="9" t="s">
        <v>135</v>
      </c>
      <c r="B4273" s="10"/>
      <c r="C4273" s="10"/>
      <c r="D4273" s="10" t="s">
        <v>149</v>
      </c>
      <c r="E4273" s="11" t="s">
        <v>137</v>
      </c>
    </row>
    <row r="4274" spans="1:5" x14ac:dyDescent="0.35">
      <c r="A4274" s="6" t="s">
        <v>135</v>
      </c>
      <c r="B4274" s="7" t="s">
        <v>169</v>
      </c>
      <c r="C4274" s="7" t="s">
        <v>146</v>
      </c>
      <c r="D4274" s="7" t="s">
        <v>147</v>
      </c>
      <c r="E4274" s="8" t="s">
        <v>137</v>
      </c>
    </row>
    <row r="4275" spans="1:5" x14ac:dyDescent="0.35">
      <c r="A4275" s="9" t="s">
        <v>135</v>
      </c>
      <c r="B4275" s="10"/>
      <c r="C4275" s="10"/>
      <c r="D4275" s="10" t="s">
        <v>148</v>
      </c>
      <c r="E4275" s="11" t="s">
        <v>137</v>
      </c>
    </row>
    <row r="4276" spans="1:5" x14ac:dyDescent="0.35">
      <c r="A4276" s="6" t="s">
        <v>135</v>
      </c>
      <c r="B4276" s="7"/>
      <c r="C4276" s="7"/>
      <c r="D4276" s="7" t="s">
        <v>149</v>
      </c>
      <c r="E4276" s="8" t="s">
        <v>137</v>
      </c>
    </row>
    <row r="4277" spans="1:5" x14ac:dyDescent="0.35">
      <c r="A4277" s="9" t="s">
        <v>135</v>
      </c>
      <c r="B4277" s="10"/>
      <c r="C4277" s="10" t="s">
        <v>150</v>
      </c>
      <c r="D4277" s="10" t="s">
        <v>147</v>
      </c>
      <c r="E4277" s="11" t="s">
        <v>137</v>
      </c>
    </row>
    <row r="4278" spans="1:5" x14ac:dyDescent="0.35">
      <c r="A4278" s="6" t="s">
        <v>135</v>
      </c>
      <c r="B4278" s="7"/>
      <c r="C4278" s="7"/>
      <c r="D4278" s="7" t="s">
        <v>148</v>
      </c>
      <c r="E4278" s="8" t="s">
        <v>137</v>
      </c>
    </row>
    <row r="4279" spans="1:5" x14ac:dyDescent="0.35">
      <c r="A4279" s="9" t="s">
        <v>135</v>
      </c>
      <c r="B4279" s="10"/>
      <c r="C4279" s="10"/>
      <c r="D4279" s="10" t="s">
        <v>149</v>
      </c>
      <c r="E4279" s="11" t="s">
        <v>137</v>
      </c>
    </row>
    <row r="4280" spans="1:5" x14ac:dyDescent="0.35">
      <c r="A4280" s="6" t="s">
        <v>135</v>
      </c>
      <c r="B4280" s="7" t="s">
        <v>170</v>
      </c>
      <c r="C4280" s="7" t="s">
        <v>146</v>
      </c>
      <c r="D4280" s="7" t="s">
        <v>147</v>
      </c>
      <c r="E4280" s="8" t="s">
        <v>137</v>
      </c>
    </row>
    <row r="4281" spans="1:5" x14ac:dyDescent="0.35">
      <c r="A4281" s="9" t="s">
        <v>135</v>
      </c>
      <c r="B4281" s="10"/>
      <c r="C4281" s="10"/>
      <c r="D4281" s="10" t="s">
        <v>148</v>
      </c>
      <c r="E4281" s="11" t="s">
        <v>137</v>
      </c>
    </row>
    <row r="4282" spans="1:5" x14ac:dyDescent="0.35">
      <c r="A4282" s="6" t="s">
        <v>135</v>
      </c>
      <c r="B4282" s="7"/>
      <c r="C4282" s="7"/>
      <c r="D4282" s="7" t="s">
        <v>149</v>
      </c>
      <c r="E4282" s="8" t="s">
        <v>137</v>
      </c>
    </row>
    <row r="4283" spans="1:5" x14ac:dyDescent="0.35">
      <c r="A4283" s="9" t="s">
        <v>135</v>
      </c>
      <c r="B4283" s="10"/>
      <c r="C4283" s="10" t="s">
        <v>150</v>
      </c>
      <c r="D4283" s="10" t="s">
        <v>147</v>
      </c>
      <c r="E4283" s="11" t="s">
        <v>137</v>
      </c>
    </row>
    <row r="4284" spans="1:5" x14ac:dyDescent="0.35">
      <c r="A4284" s="6" t="s">
        <v>135</v>
      </c>
      <c r="B4284" s="7"/>
      <c r="C4284" s="7"/>
      <c r="D4284" s="7" t="s">
        <v>148</v>
      </c>
      <c r="E4284" s="8" t="s">
        <v>137</v>
      </c>
    </row>
    <row r="4285" spans="1:5" x14ac:dyDescent="0.35">
      <c r="A4285" s="9" t="s">
        <v>135</v>
      </c>
      <c r="B4285" s="10"/>
      <c r="C4285" s="10"/>
      <c r="D4285" s="10" t="s">
        <v>149</v>
      </c>
      <c r="E4285" s="11" t="s">
        <v>137</v>
      </c>
    </row>
    <row r="4286" spans="1:5" x14ac:dyDescent="0.35">
      <c r="A4286" s="6" t="s">
        <v>107</v>
      </c>
      <c r="B4286" s="7" t="s">
        <v>145</v>
      </c>
      <c r="C4286" s="7" t="s">
        <v>146</v>
      </c>
      <c r="D4286" s="7" t="s">
        <v>147</v>
      </c>
      <c r="E4286" s="8">
        <v>2.4700000000000002</v>
      </c>
    </row>
    <row r="4287" spans="1:5" x14ac:dyDescent="0.35">
      <c r="A4287" s="9" t="s">
        <v>135</v>
      </c>
      <c r="B4287" s="10"/>
      <c r="C4287" s="10"/>
      <c r="D4287" s="10" t="s">
        <v>148</v>
      </c>
      <c r="E4287" s="11">
        <v>2.46</v>
      </c>
    </row>
    <row r="4288" spans="1:5" x14ac:dyDescent="0.35">
      <c r="A4288" s="6" t="s">
        <v>135</v>
      </c>
      <c r="B4288" s="7"/>
      <c r="C4288" s="7"/>
      <c r="D4288" s="7" t="s">
        <v>149</v>
      </c>
      <c r="E4288" s="8">
        <v>0.01</v>
      </c>
    </row>
    <row r="4289" spans="1:5" x14ac:dyDescent="0.35">
      <c r="A4289" s="9" t="s">
        <v>135</v>
      </c>
      <c r="B4289" s="10"/>
      <c r="C4289" s="10" t="s">
        <v>150</v>
      </c>
      <c r="D4289" s="10" t="s">
        <v>147</v>
      </c>
      <c r="E4289" s="11" t="s">
        <v>137</v>
      </c>
    </row>
    <row r="4290" spans="1:5" x14ac:dyDescent="0.35">
      <c r="A4290" s="6" t="s">
        <v>135</v>
      </c>
      <c r="B4290" s="7"/>
      <c r="C4290" s="7"/>
      <c r="D4290" s="7" t="s">
        <v>148</v>
      </c>
      <c r="E4290" s="8" t="s">
        <v>137</v>
      </c>
    </row>
    <row r="4291" spans="1:5" x14ac:dyDescent="0.35">
      <c r="A4291" s="9" t="s">
        <v>135</v>
      </c>
      <c r="B4291" s="10"/>
      <c r="C4291" s="10"/>
      <c r="D4291" s="10" t="s">
        <v>149</v>
      </c>
      <c r="E4291" s="11" t="s">
        <v>137</v>
      </c>
    </row>
    <row r="4292" spans="1:5" x14ac:dyDescent="0.35">
      <c r="A4292" s="6" t="s">
        <v>135</v>
      </c>
      <c r="B4292" s="7" t="s">
        <v>151</v>
      </c>
      <c r="C4292" s="7" t="s">
        <v>146</v>
      </c>
      <c r="D4292" s="7" t="s">
        <v>147</v>
      </c>
      <c r="E4292" s="8">
        <v>0.55000000000000004</v>
      </c>
    </row>
    <row r="4293" spans="1:5" x14ac:dyDescent="0.35">
      <c r="A4293" s="9" t="s">
        <v>135</v>
      </c>
      <c r="B4293" s="10"/>
      <c r="C4293" s="10"/>
      <c r="D4293" s="10" t="s">
        <v>148</v>
      </c>
      <c r="E4293" s="11">
        <v>0.54</v>
      </c>
    </row>
    <row r="4294" spans="1:5" x14ac:dyDescent="0.35">
      <c r="A4294" s="6" t="s">
        <v>135</v>
      </c>
      <c r="B4294" s="7"/>
      <c r="C4294" s="7"/>
      <c r="D4294" s="7" t="s">
        <v>149</v>
      </c>
      <c r="E4294" s="8">
        <v>0.01</v>
      </c>
    </row>
    <row r="4295" spans="1:5" x14ac:dyDescent="0.35">
      <c r="A4295" s="9" t="s">
        <v>135</v>
      </c>
      <c r="B4295" s="10"/>
      <c r="C4295" s="10" t="s">
        <v>150</v>
      </c>
      <c r="D4295" s="10" t="s">
        <v>147</v>
      </c>
      <c r="E4295" s="11" t="s">
        <v>137</v>
      </c>
    </row>
    <row r="4296" spans="1:5" x14ac:dyDescent="0.35">
      <c r="A4296" s="6" t="s">
        <v>135</v>
      </c>
      <c r="B4296" s="7"/>
      <c r="C4296" s="7"/>
      <c r="D4296" s="7" t="s">
        <v>148</v>
      </c>
      <c r="E4296" s="8" t="s">
        <v>137</v>
      </c>
    </row>
    <row r="4297" spans="1:5" x14ac:dyDescent="0.35">
      <c r="A4297" s="9" t="s">
        <v>135</v>
      </c>
      <c r="B4297" s="10"/>
      <c r="C4297" s="10"/>
      <c r="D4297" s="10" t="s">
        <v>149</v>
      </c>
      <c r="E4297" s="11" t="s">
        <v>137</v>
      </c>
    </row>
    <row r="4298" spans="1:5" x14ac:dyDescent="0.35">
      <c r="A4298" s="6" t="s">
        <v>135</v>
      </c>
      <c r="B4298" s="7" t="s">
        <v>152</v>
      </c>
      <c r="C4298" s="7" t="s">
        <v>146</v>
      </c>
      <c r="D4298" s="7" t="s">
        <v>147</v>
      </c>
      <c r="E4298" s="8" t="s">
        <v>137</v>
      </c>
    </row>
    <row r="4299" spans="1:5" x14ac:dyDescent="0.35">
      <c r="A4299" s="9" t="s">
        <v>135</v>
      </c>
      <c r="B4299" s="10"/>
      <c r="C4299" s="10"/>
      <c r="D4299" s="10" t="s">
        <v>148</v>
      </c>
      <c r="E4299" s="11" t="s">
        <v>137</v>
      </c>
    </row>
    <row r="4300" spans="1:5" x14ac:dyDescent="0.35">
      <c r="A4300" s="6" t="s">
        <v>135</v>
      </c>
      <c r="B4300" s="7"/>
      <c r="C4300" s="7"/>
      <c r="D4300" s="7" t="s">
        <v>149</v>
      </c>
      <c r="E4300" s="8" t="s">
        <v>137</v>
      </c>
    </row>
    <row r="4301" spans="1:5" x14ac:dyDescent="0.35">
      <c r="A4301" s="9" t="s">
        <v>135</v>
      </c>
      <c r="B4301" s="10"/>
      <c r="C4301" s="10" t="s">
        <v>150</v>
      </c>
      <c r="D4301" s="10" t="s">
        <v>147</v>
      </c>
      <c r="E4301" s="11" t="s">
        <v>137</v>
      </c>
    </row>
    <row r="4302" spans="1:5" x14ac:dyDescent="0.35">
      <c r="A4302" s="6" t="s">
        <v>135</v>
      </c>
      <c r="B4302" s="7"/>
      <c r="C4302" s="7"/>
      <c r="D4302" s="7" t="s">
        <v>148</v>
      </c>
      <c r="E4302" s="8" t="s">
        <v>137</v>
      </c>
    </row>
    <row r="4303" spans="1:5" x14ac:dyDescent="0.35">
      <c r="A4303" s="9" t="s">
        <v>135</v>
      </c>
      <c r="B4303" s="10"/>
      <c r="C4303" s="10"/>
      <c r="D4303" s="10" t="s">
        <v>149</v>
      </c>
      <c r="E4303" s="11" t="s">
        <v>137</v>
      </c>
    </row>
    <row r="4304" spans="1:5" x14ac:dyDescent="0.35">
      <c r="A4304" s="6" t="s">
        <v>135</v>
      </c>
      <c r="B4304" s="7" t="s">
        <v>153</v>
      </c>
      <c r="C4304" s="7" t="s">
        <v>146</v>
      </c>
      <c r="D4304" s="7" t="s">
        <v>147</v>
      </c>
      <c r="E4304" s="8" t="s">
        <v>137</v>
      </c>
    </row>
    <row r="4305" spans="1:5" x14ac:dyDescent="0.35">
      <c r="A4305" s="9" t="s">
        <v>135</v>
      </c>
      <c r="B4305" s="10"/>
      <c r="C4305" s="10"/>
      <c r="D4305" s="10" t="s">
        <v>148</v>
      </c>
      <c r="E4305" s="11" t="s">
        <v>137</v>
      </c>
    </row>
    <row r="4306" spans="1:5" x14ac:dyDescent="0.35">
      <c r="A4306" s="6" t="s">
        <v>135</v>
      </c>
      <c r="B4306" s="7"/>
      <c r="C4306" s="7"/>
      <c r="D4306" s="7" t="s">
        <v>149</v>
      </c>
      <c r="E4306" s="8" t="s">
        <v>137</v>
      </c>
    </row>
    <row r="4307" spans="1:5" x14ac:dyDescent="0.35">
      <c r="A4307" s="9" t="s">
        <v>135</v>
      </c>
      <c r="B4307" s="10"/>
      <c r="C4307" s="10" t="s">
        <v>150</v>
      </c>
      <c r="D4307" s="10" t="s">
        <v>147</v>
      </c>
      <c r="E4307" s="11" t="s">
        <v>137</v>
      </c>
    </row>
    <row r="4308" spans="1:5" x14ac:dyDescent="0.35">
      <c r="A4308" s="6" t="s">
        <v>135</v>
      </c>
      <c r="B4308" s="7"/>
      <c r="C4308" s="7"/>
      <c r="D4308" s="7" t="s">
        <v>148</v>
      </c>
      <c r="E4308" s="8" t="s">
        <v>137</v>
      </c>
    </row>
    <row r="4309" spans="1:5" x14ac:dyDescent="0.35">
      <c r="A4309" s="9" t="s">
        <v>135</v>
      </c>
      <c r="B4309" s="10"/>
      <c r="C4309" s="10"/>
      <c r="D4309" s="10" t="s">
        <v>149</v>
      </c>
      <c r="E4309" s="11" t="s">
        <v>137</v>
      </c>
    </row>
    <row r="4310" spans="1:5" x14ac:dyDescent="0.35">
      <c r="A4310" s="6" t="s">
        <v>135</v>
      </c>
      <c r="B4310" s="7" t="s">
        <v>154</v>
      </c>
      <c r="C4310" s="7" t="s">
        <v>146</v>
      </c>
      <c r="D4310" s="7" t="s">
        <v>147</v>
      </c>
      <c r="E4310" s="8" t="s">
        <v>137</v>
      </c>
    </row>
    <row r="4311" spans="1:5" x14ac:dyDescent="0.35">
      <c r="A4311" s="9" t="s">
        <v>135</v>
      </c>
      <c r="B4311" s="10"/>
      <c r="C4311" s="10"/>
      <c r="D4311" s="10" t="s">
        <v>148</v>
      </c>
      <c r="E4311" s="11" t="s">
        <v>137</v>
      </c>
    </row>
    <row r="4312" spans="1:5" x14ac:dyDescent="0.35">
      <c r="A4312" s="6" t="s">
        <v>135</v>
      </c>
      <c r="B4312" s="7"/>
      <c r="C4312" s="7"/>
      <c r="D4312" s="7" t="s">
        <v>149</v>
      </c>
      <c r="E4312" s="8" t="s">
        <v>137</v>
      </c>
    </row>
    <row r="4313" spans="1:5" x14ac:dyDescent="0.35">
      <c r="A4313" s="9" t="s">
        <v>135</v>
      </c>
      <c r="B4313" s="10"/>
      <c r="C4313" s="10" t="s">
        <v>150</v>
      </c>
      <c r="D4313" s="10" t="s">
        <v>147</v>
      </c>
      <c r="E4313" s="11" t="s">
        <v>137</v>
      </c>
    </row>
    <row r="4314" spans="1:5" x14ac:dyDescent="0.35">
      <c r="A4314" s="6" t="s">
        <v>135</v>
      </c>
      <c r="B4314" s="7"/>
      <c r="C4314" s="7"/>
      <c r="D4314" s="7" t="s">
        <v>148</v>
      </c>
      <c r="E4314" s="8" t="s">
        <v>137</v>
      </c>
    </row>
    <row r="4315" spans="1:5" x14ac:dyDescent="0.35">
      <c r="A4315" s="9" t="s">
        <v>135</v>
      </c>
      <c r="B4315" s="10"/>
      <c r="C4315" s="10"/>
      <c r="D4315" s="10" t="s">
        <v>149</v>
      </c>
      <c r="E4315" s="11" t="s">
        <v>137</v>
      </c>
    </row>
    <row r="4316" spans="1:5" x14ac:dyDescent="0.35">
      <c r="A4316" s="6" t="s">
        <v>135</v>
      </c>
      <c r="B4316" s="7" t="s">
        <v>155</v>
      </c>
      <c r="C4316" s="7" t="s">
        <v>146</v>
      </c>
      <c r="D4316" s="7" t="s">
        <v>147</v>
      </c>
      <c r="E4316" s="8">
        <v>1.92</v>
      </c>
    </row>
    <row r="4317" spans="1:5" x14ac:dyDescent="0.35">
      <c r="A4317" s="9" t="s">
        <v>135</v>
      </c>
      <c r="B4317" s="10"/>
      <c r="C4317" s="10"/>
      <c r="D4317" s="10" t="s">
        <v>148</v>
      </c>
      <c r="E4317" s="11">
        <v>1.92</v>
      </c>
    </row>
    <row r="4318" spans="1:5" x14ac:dyDescent="0.35">
      <c r="A4318" s="6" t="s">
        <v>135</v>
      </c>
      <c r="B4318" s="7"/>
      <c r="C4318" s="7"/>
      <c r="D4318" s="7" t="s">
        <v>149</v>
      </c>
      <c r="E4318" s="8" t="s">
        <v>137</v>
      </c>
    </row>
    <row r="4319" spans="1:5" x14ac:dyDescent="0.35">
      <c r="A4319" s="9" t="s">
        <v>135</v>
      </c>
      <c r="B4319" s="10"/>
      <c r="C4319" s="10" t="s">
        <v>150</v>
      </c>
      <c r="D4319" s="10" t="s">
        <v>147</v>
      </c>
      <c r="E4319" s="11" t="s">
        <v>137</v>
      </c>
    </row>
    <row r="4320" spans="1:5" x14ac:dyDescent="0.35">
      <c r="A4320" s="6" t="s">
        <v>135</v>
      </c>
      <c r="B4320" s="7"/>
      <c r="C4320" s="7"/>
      <c r="D4320" s="7" t="s">
        <v>148</v>
      </c>
      <c r="E4320" s="8" t="s">
        <v>137</v>
      </c>
    </row>
    <row r="4321" spans="1:5" x14ac:dyDescent="0.35">
      <c r="A4321" s="9" t="s">
        <v>135</v>
      </c>
      <c r="B4321" s="10"/>
      <c r="C4321" s="10"/>
      <c r="D4321" s="10" t="s">
        <v>149</v>
      </c>
      <c r="E4321" s="11" t="s">
        <v>137</v>
      </c>
    </row>
    <row r="4322" spans="1:5" x14ac:dyDescent="0.35">
      <c r="A4322" s="6" t="s">
        <v>135</v>
      </c>
      <c r="B4322" s="7" t="s">
        <v>156</v>
      </c>
      <c r="C4322" s="7" t="s">
        <v>146</v>
      </c>
      <c r="D4322" s="7" t="s">
        <v>147</v>
      </c>
      <c r="E4322" s="8" t="s">
        <v>137</v>
      </c>
    </row>
    <row r="4323" spans="1:5" x14ac:dyDescent="0.35">
      <c r="A4323" s="9" t="s">
        <v>135</v>
      </c>
      <c r="B4323" s="10"/>
      <c r="C4323" s="10"/>
      <c r="D4323" s="10" t="s">
        <v>148</v>
      </c>
      <c r="E4323" s="11" t="s">
        <v>137</v>
      </c>
    </row>
    <row r="4324" spans="1:5" x14ac:dyDescent="0.35">
      <c r="A4324" s="6" t="s">
        <v>135</v>
      </c>
      <c r="B4324" s="7"/>
      <c r="C4324" s="7"/>
      <c r="D4324" s="7" t="s">
        <v>149</v>
      </c>
      <c r="E4324" s="8" t="s">
        <v>137</v>
      </c>
    </row>
    <row r="4325" spans="1:5" x14ac:dyDescent="0.35">
      <c r="A4325" s="9" t="s">
        <v>135</v>
      </c>
      <c r="B4325" s="10"/>
      <c r="C4325" s="10" t="s">
        <v>150</v>
      </c>
      <c r="D4325" s="10" t="s">
        <v>147</v>
      </c>
      <c r="E4325" s="11" t="s">
        <v>137</v>
      </c>
    </row>
    <row r="4326" spans="1:5" x14ac:dyDescent="0.35">
      <c r="A4326" s="6" t="s">
        <v>135</v>
      </c>
      <c r="B4326" s="7"/>
      <c r="C4326" s="7"/>
      <c r="D4326" s="7" t="s">
        <v>148</v>
      </c>
      <c r="E4326" s="8" t="s">
        <v>137</v>
      </c>
    </row>
    <row r="4327" spans="1:5" x14ac:dyDescent="0.35">
      <c r="A4327" s="9" t="s">
        <v>135</v>
      </c>
      <c r="B4327" s="10"/>
      <c r="C4327" s="10"/>
      <c r="D4327" s="10" t="s">
        <v>149</v>
      </c>
      <c r="E4327" s="11" t="s">
        <v>137</v>
      </c>
    </row>
    <row r="4328" spans="1:5" x14ac:dyDescent="0.35">
      <c r="A4328" s="6" t="s">
        <v>135</v>
      </c>
      <c r="B4328" s="7" t="s">
        <v>157</v>
      </c>
      <c r="C4328" s="7" t="s">
        <v>146</v>
      </c>
      <c r="D4328" s="7" t="s">
        <v>147</v>
      </c>
      <c r="E4328" s="8" t="s">
        <v>137</v>
      </c>
    </row>
    <row r="4329" spans="1:5" x14ac:dyDescent="0.35">
      <c r="A4329" s="9" t="s">
        <v>135</v>
      </c>
      <c r="B4329" s="10"/>
      <c r="C4329" s="10"/>
      <c r="D4329" s="10" t="s">
        <v>148</v>
      </c>
      <c r="E4329" s="11" t="s">
        <v>137</v>
      </c>
    </row>
    <row r="4330" spans="1:5" x14ac:dyDescent="0.35">
      <c r="A4330" s="6" t="s">
        <v>135</v>
      </c>
      <c r="B4330" s="7"/>
      <c r="C4330" s="7"/>
      <c r="D4330" s="7" t="s">
        <v>149</v>
      </c>
      <c r="E4330" s="8" t="s">
        <v>137</v>
      </c>
    </row>
    <row r="4331" spans="1:5" x14ac:dyDescent="0.35">
      <c r="A4331" s="9" t="s">
        <v>135</v>
      </c>
      <c r="B4331" s="10"/>
      <c r="C4331" s="10" t="s">
        <v>150</v>
      </c>
      <c r="D4331" s="10" t="s">
        <v>147</v>
      </c>
      <c r="E4331" s="11" t="s">
        <v>137</v>
      </c>
    </row>
    <row r="4332" spans="1:5" x14ac:dyDescent="0.35">
      <c r="A4332" s="6" t="s">
        <v>135</v>
      </c>
      <c r="B4332" s="7"/>
      <c r="C4332" s="7"/>
      <c r="D4332" s="7" t="s">
        <v>148</v>
      </c>
      <c r="E4332" s="8" t="s">
        <v>137</v>
      </c>
    </row>
    <row r="4333" spans="1:5" x14ac:dyDescent="0.35">
      <c r="A4333" s="9" t="s">
        <v>135</v>
      </c>
      <c r="B4333" s="10"/>
      <c r="C4333" s="10"/>
      <c r="D4333" s="10" t="s">
        <v>149</v>
      </c>
      <c r="E4333" s="11" t="s">
        <v>137</v>
      </c>
    </row>
    <row r="4334" spans="1:5" x14ac:dyDescent="0.35">
      <c r="A4334" s="6" t="s">
        <v>135</v>
      </c>
      <c r="B4334" s="7" t="s">
        <v>158</v>
      </c>
      <c r="C4334" s="7" t="s">
        <v>146</v>
      </c>
      <c r="D4334" s="7" t="s">
        <v>147</v>
      </c>
      <c r="E4334" s="8" t="s">
        <v>137</v>
      </c>
    </row>
    <row r="4335" spans="1:5" x14ac:dyDescent="0.35">
      <c r="A4335" s="9" t="s">
        <v>135</v>
      </c>
      <c r="B4335" s="10"/>
      <c r="C4335" s="10"/>
      <c r="D4335" s="10" t="s">
        <v>148</v>
      </c>
      <c r="E4335" s="11" t="s">
        <v>137</v>
      </c>
    </row>
    <row r="4336" spans="1:5" x14ac:dyDescent="0.35">
      <c r="A4336" s="6" t="s">
        <v>135</v>
      </c>
      <c r="B4336" s="7"/>
      <c r="C4336" s="7"/>
      <c r="D4336" s="7" t="s">
        <v>149</v>
      </c>
      <c r="E4336" s="8" t="s">
        <v>137</v>
      </c>
    </row>
    <row r="4337" spans="1:5" x14ac:dyDescent="0.35">
      <c r="A4337" s="9" t="s">
        <v>135</v>
      </c>
      <c r="B4337" s="10"/>
      <c r="C4337" s="10" t="s">
        <v>150</v>
      </c>
      <c r="D4337" s="10" t="s">
        <v>147</v>
      </c>
      <c r="E4337" s="11" t="s">
        <v>137</v>
      </c>
    </row>
    <row r="4338" spans="1:5" x14ac:dyDescent="0.35">
      <c r="A4338" s="6" t="s">
        <v>135</v>
      </c>
      <c r="B4338" s="7"/>
      <c r="C4338" s="7"/>
      <c r="D4338" s="7" t="s">
        <v>148</v>
      </c>
      <c r="E4338" s="8" t="s">
        <v>137</v>
      </c>
    </row>
    <row r="4339" spans="1:5" x14ac:dyDescent="0.35">
      <c r="A4339" s="9" t="s">
        <v>135</v>
      </c>
      <c r="B4339" s="10"/>
      <c r="C4339" s="10"/>
      <c r="D4339" s="10" t="s">
        <v>149</v>
      </c>
      <c r="E4339" s="11" t="s">
        <v>137</v>
      </c>
    </row>
    <row r="4340" spans="1:5" x14ac:dyDescent="0.35">
      <c r="A4340" s="6" t="s">
        <v>135</v>
      </c>
      <c r="B4340" s="7" t="s">
        <v>159</v>
      </c>
      <c r="C4340" s="7" t="s">
        <v>146</v>
      </c>
      <c r="D4340" s="7" t="s">
        <v>147</v>
      </c>
      <c r="E4340" s="8" t="s">
        <v>137</v>
      </c>
    </row>
    <row r="4341" spans="1:5" x14ac:dyDescent="0.35">
      <c r="A4341" s="9" t="s">
        <v>135</v>
      </c>
      <c r="B4341" s="10"/>
      <c r="C4341" s="10"/>
      <c r="D4341" s="10" t="s">
        <v>148</v>
      </c>
      <c r="E4341" s="11" t="s">
        <v>137</v>
      </c>
    </row>
    <row r="4342" spans="1:5" x14ac:dyDescent="0.35">
      <c r="A4342" s="6" t="s">
        <v>135</v>
      </c>
      <c r="B4342" s="7"/>
      <c r="C4342" s="7"/>
      <c r="D4342" s="7" t="s">
        <v>149</v>
      </c>
      <c r="E4342" s="8" t="s">
        <v>137</v>
      </c>
    </row>
    <row r="4343" spans="1:5" x14ac:dyDescent="0.35">
      <c r="A4343" s="9" t="s">
        <v>135</v>
      </c>
      <c r="B4343" s="10"/>
      <c r="C4343" s="10" t="s">
        <v>150</v>
      </c>
      <c r="D4343" s="10" t="s">
        <v>147</v>
      </c>
      <c r="E4343" s="11" t="s">
        <v>137</v>
      </c>
    </row>
    <row r="4344" spans="1:5" x14ac:dyDescent="0.35">
      <c r="A4344" s="6" t="s">
        <v>135</v>
      </c>
      <c r="B4344" s="7"/>
      <c r="C4344" s="7"/>
      <c r="D4344" s="7" t="s">
        <v>148</v>
      </c>
      <c r="E4344" s="8" t="s">
        <v>137</v>
      </c>
    </row>
    <row r="4345" spans="1:5" x14ac:dyDescent="0.35">
      <c r="A4345" s="9" t="s">
        <v>135</v>
      </c>
      <c r="B4345" s="10"/>
      <c r="C4345" s="10"/>
      <c r="D4345" s="10" t="s">
        <v>149</v>
      </c>
      <c r="E4345" s="11" t="s">
        <v>137</v>
      </c>
    </row>
    <row r="4346" spans="1:5" x14ac:dyDescent="0.35">
      <c r="A4346" s="6" t="s">
        <v>135</v>
      </c>
      <c r="B4346" s="7" t="s">
        <v>160</v>
      </c>
      <c r="C4346" s="7" t="s">
        <v>146</v>
      </c>
      <c r="D4346" s="7" t="s">
        <v>147</v>
      </c>
      <c r="E4346" s="8" t="s">
        <v>137</v>
      </c>
    </row>
    <row r="4347" spans="1:5" x14ac:dyDescent="0.35">
      <c r="A4347" s="9" t="s">
        <v>135</v>
      </c>
      <c r="B4347" s="10"/>
      <c r="C4347" s="10"/>
      <c r="D4347" s="10" t="s">
        <v>148</v>
      </c>
      <c r="E4347" s="11" t="s">
        <v>137</v>
      </c>
    </row>
    <row r="4348" spans="1:5" x14ac:dyDescent="0.35">
      <c r="A4348" s="6" t="s">
        <v>135</v>
      </c>
      <c r="B4348" s="7"/>
      <c r="C4348" s="7"/>
      <c r="D4348" s="7" t="s">
        <v>149</v>
      </c>
      <c r="E4348" s="8" t="s">
        <v>137</v>
      </c>
    </row>
    <row r="4349" spans="1:5" x14ac:dyDescent="0.35">
      <c r="A4349" s="9" t="s">
        <v>135</v>
      </c>
      <c r="B4349" s="10"/>
      <c r="C4349" s="10" t="s">
        <v>150</v>
      </c>
      <c r="D4349" s="10" t="s">
        <v>147</v>
      </c>
      <c r="E4349" s="11" t="s">
        <v>137</v>
      </c>
    </row>
    <row r="4350" spans="1:5" x14ac:dyDescent="0.35">
      <c r="A4350" s="6" t="s">
        <v>135</v>
      </c>
      <c r="B4350" s="7"/>
      <c r="C4350" s="7"/>
      <c r="D4350" s="7" t="s">
        <v>148</v>
      </c>
      <c r="E4350" s="8" t="s">
        <v>137</v>
      </c>
    </row>
    <row r="4351" spans="1:5" x14ac:dyDescent="0.35">
      <c r="A4351" s="9" t="s">
        <v>135</v>
      </c>
      <c r="B4351" s="10"/>
      <c r="C4351" s="10"/>
      <c r="D4351" s="10" t="s">
        <v>149</v>
      </c>
      <c r="E4351" s="11" t="s">
        <v>137</v>
      </c>
    </row>
    <row r="4352" spans="1:5" x14ac:dyDescent="0.35">
      <c r="A4352" s="6" t="s">
        <v>135</v>
      </c>
      <c r="B4352" s="7" t="s">
        <v>161</v>
      </c>
      <c r="C4352" s="7" t="s">
        <v>146</v>
      </c>
      <c r="D4352" s="7" t="s">
        <v>147</v>
      </c>
      <c r="E4352" s="8" t="s">
        <v>137</v>
      </c>
    </row>
    <row r="4353" spans="1:5" x14ac:dyDescent="0.35">
      <c r="A4353" s="9" t="s">
        <v>135</v>
      </c>
      <c r="B4353" s="10"/>
      <c r="C4353" s="10"/>
      <c r="D4353" s="10" t="s">
        <v>148</v>
      </c>
      <c r="E4353" s="11" t="s">
        <v>137</v>
      </c>
    </row>
    <row r="4354" spans="1:5" x14ac:dyDescent="0.35">
      <c r="A4354" s="6" t="s">
        <v>135</v>
      </c>
      <c r="B4354" s="7"/>
      <c r="C4354" s="7"/>
      <c r="D4354" s="7" t="s">
        <v>149</v>
      </c>
      <c r="E4354" s="8" t="s">
        <v>137</v>
      </c>
    </row>
    <row r="4355" spans="1:5" x14ac:dyDescent="0.35">
      <c r="A4355" s="9" t="s">
        <v>135</v>
      </c>
      <c r="B4355" s="10"/>
      <c r="C4355" s="10" t="s">
        <v>150</v>
      </c>
      <c r="D4355" s="10" t="s">
        <v>147</v>
      </c>
      <c r="E4355" s="11" t="s">
        <v>137</v>
      </c>
    </row>
    <row r="4356" spans="1:5" x14ac:dyDescent="0.35">
      <c r="A4356" s="6" t="s">
        <v>135</v>
      </c>
      <c r="B4356" s="7"/>
      <c r="C4356" s="7"/>
      <c r="D4356" s="7" t="s">
        <v>148</v>
      </c>
      <c r="E4356" s="8" t="s">
        <v>137</v>
      </c>
    </row>
    <row r="4357" spans="1:5" x14ac:dyDescent="0.35">
      <c r="A4357" s="9" t="s">
        <v>135</v>
      </c>
      <c r="B4357" s="10"/>
      <c r="C4357" s="10"/>
      <c r="D4357" s="10" t="s">
        <v>149</v>
      </c>
      <c r="E4357" s="11" t="s">
        <v>137</v>
      </c>
    </row>
    <row r="4358" spans="1:5" x14ac:dyDescent="0.35">
      <c r="A4358" s="6" t="s">
        <v>135</v>
      </c>
      <c r="B4358" s="7" t="s">
        <v>162</v>
      </c>
      <c r="C4358" s="7" t="s">
        <v>146</v>
      </c>
      <c r="D4358" s="7" t="s">
        <v>147</v>
      </c>
      <c r="E4358" s="8" t="s">
        <v>137</v>
      </c>
    </row>
    <row r="4359" spans="1:5" x14ac:dyDescent="0.35">
      <c r="A4359" s="9" t="s">
        <v>135</v>
      </c>
      <c r="B4359" s="10"/>
      <c r="C4359" s="10"/>
      <c r="D4359" s="10" t="s">
        <v>148</v>
      </c>
      <c r="E4359" s="11" t="s">
        <v>137</v>
      </c>
    </row>
    <row r="4360" spans="1:5" x14ac:dyDescent="0.35">
      <c r="A4360" s="6" t="s">
        <v>135</v>
      </c>
      <c r="B4360" s="7"/>
      <c r="C4360" s="7"/>
      <c r="D4360" s="7" t="s">
        <v>149</v>
      </c>
      <c r="E4360" s="8" t="s">
        <v>137</v>
      </c>
    </row>
    <row r="4361" spans="1:5" x14ac:dyDescent="0.35">
      <c r="A4361" s="9" t="s">
        <v>135</v>
      </c>
      <c r="B4361" s="10"/>
      <c r="C4361" s="10" t="s">
        <v>150</v>
      </c>
      <c r="D4361" s="10" t="s">
        <v>147</v>
      </c>
      <c r="E4361" s="11" t="s">
        <v>137</v>
      </c>
    </row>
    <row r="4362" spans="1:5" x14ac:dyDescent="0.35">
      <c r="A4362" s="6" t="s">
        <v>135</v>
      </c>
      <c r="B4362" s="7"/>
      <c r="C4362" s="7"/>
      <c r="D4362" s="7" t="s">
        <v>148</v>
      </c>
      <c r="E4362" s="8" t="s">
        <v>137</v>
      </c>
    </row>
    <row r="4363" spans="1:5" x14ac:dyDescent="0.35">
      <c r="A4363" s="9" t="s">
        <v>135</v>
      </c>
      <c r="B4363" s="10"/>
      <c r="C4363" s="10"/>
      <c r="D4363" s="10" t="s">
        <v>149</v>
      </c>
      <c r="E4363" s="11" t="s">
        <v>137</v>
      </c>
    </row>
    <row r="4364" spans="1:5" x14ac:dyDescent="0.35">
      <c r="A4364" s="6" t="s">
        <v>135</v>
      </c>
      <c r="B4364" s="7" t="s">
        <v>163</v>
      </c>
      <c r="C4364" s="7" t="s">
        <v>146</v>
      </c>
      <c r="D4364" s="7" t="s">
        <v>147</v>
      </c>
      <c r="E4364" s="8">
        <v>28.3</v>
      </c>
    </row>
    <row r="4365" spans="1:5" x14ac:dyDescent="0.35">
      <c r="A4365" s="9" t="s">
        <v>135</v>
      </c>
      <c r="B4365" s="10"/>
      <c r="C4365" s="10"/>
      <c r="D4365" s="10" t="s">
        <v>148</v>
      </c>
      <c r="E4365" s="11">
        <v>27.76</v>
      </c>
    </row>
    <row r="4366" spans="1:5" x14ac:dyDescent="0.35">
      <c r="A4366" s="6" t="s">
        <v>135</v>
      </c>
      <c r="B4366" s="7"/>
      <c r="C4366" s="7"/>
      <c r="D4366" s="7" t="s">
        <v>149</v>
      </c>
      <c r="E4366" s="8">
        <v>0.54</v>
      </c>
    </row>
    <row r="4367" spans="1:5" x14ac:dyDescent="0.35">
      <c r="A4367" s="9" t="s">
        <v>135</v>
      </c>
      <c r="B4367" s="10"/>
      <c r="C4367" s="10" t="s">
        <v>150</v>
      </c>
      <c r="D4367" s="10" t="s">
        <v>147</v>
      </c>
      <c r="E4367" s="11" t="s">
        <v>137</v>
      </c>
    </row>
    <row r="4368" spans="1:5" x14ac:dyDescent="0.35">
      <c r="A4368" s="6" t="s">
        <v>135</v>
      </c>
      <c r="B4368" s="7"/>
      <c r="C4368" s="7"/>
      <c r="D4368" s="7" t="s">
        <v>148</v>
      </c>
      <c r="E4368" s="8" t="s">
        <v>137</v>
      </c>
    </row>
    <row r="4369" spans="1:5" x14ac:dyDescent="0.35">
      <c r="A4369" s="9" t="s">
        <v>135</v>
      </c>
      <c r="B4369" s="10"/>
      <c r="C4369" s="10"/>
      <c r="D4369" s="10" t="s">
        <v>149</v>
      </c>
      <c r="E4369" s="11" t="s">
        <v>137</v>
      </c>
    </row>
    <row r="4370" spans="1:5" x14ac:dyDescent="0.35">
      <c r="A4370" s="6" t="s">
        <v>135</v>
      </c>
      <c r="B4370" s="7" t="s">
        <v>164</v>
      </c>
      <c r="C4370" s="7" t="s">
        <v>146</v>
      </c>
      <c r="D4370" s="7" t="s">
        <v>147</v>
      </c>
      <c r="E4370" s="8" t="s">
        <v>137</v>
      </c>
    </row>
    <row r="4371" spans="1:5" x14ac:dyDescent="0.35">
      <c r="A4371" s="9" t="s">
        <v>135</v>
      </c>
      <c r="B4371" s="10"/>
      <c r="C4371" s="10"/>
      <c r="D4371" s="10" t="s">
        <v>148</v>
      </c>
      <c r="E4371" s="11" t="s">
        <v>137</v>
      </c>
    </row>
    <row r="4372" spans="1:5" x14ac:dyDescent="0.35">
      <c r="A4372" s="6" t="s">
        <v>135</v>
      </c>
      <c r="B4372" s="7"/>
      <c r="C4372" s="7"/>
      <c r="D4372" s="7" t="s">
        <v>149</v>
      </c>
      <c r="E4372" s="8" t="s">
        <v>137</v>
      </c>
    </row>
    <row r="4373" spans="1:5" x14ac:dyDescent="0.35">
      <c r="A4373" s="9" t="s">
        <v>135</v>
      </c>
      <c r="B4373" s="10"/>
      <c r="C4373" s="10" t="s">
        <v>150</v>
      </c>
      <c r="D4373" s="10" t="s">
        <v>147</v>
      </c>
      <c r="E4373" s="11" t="s">
        <v>137</v>
      </c>
    </row>
    <row r="4374" spans="1:5" x14ac:dyDescent="0.35">
      <c r="A4374" s="6" t="s">
        <v>135</v>
      </c>
      <c r="B4374" s="7"/>
      <c r="C4374" s="7"/>
      <c r="D4374" s="7" t="s">
        <v>148</v>
      </c>
      <c r="E4374" s="8" t="s">
        <v>137</v>
      </c>
    </row>
    <row r="4375" spans="1:5" x14ac:dyDescent="0.35">
      <c r="A4375" s="9" t="s">
        <v>135</v>
      </c>
      <c r="B4375" s="10"/>
      <c r="C4375" s="10"/>
      <c r="D4375" s="10" t="s">
        <v>149</v>
      </c>
      <c r="E4375" s="11" t="s">
        <v>137</v>
      </c>
    </row>
    <row r="4376" spans="1:5" x14ac:dyDescent="0.35">
      <c r="A4376" s="6" t="s">
        <v>135</v>
      </c>
      <c r="B4376" s="7" t="s">
        <v>165</v>
      </c>
      <c r="C4376" s="7" t="s">
        <v>146</v>
      </c>
      <c r="D4376" s="7" t="s">
        <v>147</v>
      </c>
      <c r="E4376" s="8" t="s">
        <v>137</v>
      </c>
    </row>
    <row r="4377" spans="1:5" x14ac:dyDescent="0.35">
      <c r="A4377" s="9" t="s">
        <v>135</v>
      </c>
      <c r="B4377" s="10"/>
      <c r="C4377" s="10"/>
      <c r="D4377" s="10" t="s">
        <v>148</v>
      </c>
      <c r="E4377" s="11" t="s">
        <v>137</v>
      </c>
    </row>
    <row r="4378" spans="1:5" x14ac:dyDescent="0.35">
      <c r="A4378" s="6" t="s">
        <v>135</v>
      </c>
      <c r="B4378" s="7"/>
      <c r="C4378" s="7"/>
      <c r="D4378" s="7" t="s">
        <v>149</v>
      </c>
      <c r="E4378" s="8" t="s">
        <v>137</v>
      </c>
    </row>
    <row r="4379" spans="1:5" x14ac:dyDescent="0.35">
      <c r="A4379" s="9" t="s">
        <v>135</v>
      </c>
      <c r="B4379" s="10"/>
      <c r="C4379" s="10" t="s">
        <v>150</v>
      </c>
      <c r="D4379" s="10" t="s">
        <v>147</v>
      </c>
      <c r="E4379" s="11" t="s">
        <v>137</v>
      </c>
    </row>
    <row r="4380" spans="1:5" x14ac:dyDescent="0.35">
      <c r="A4380" s="6" t="s">
        <v>135</v>
      </c>
      <c r="B4380" s="7"/>
      <c r="C4380" s="7"/>
      <c r="D4380" s="7" t="s">
        <v>148</v>
      </c>
      <c r="E4380" s="8" t="s">
        <v>137</v>
      </c>
    </row>
    <row r="4381" spans="1:5" x14ac:dyDescent="0.35">
      <c r="A4381" s="9" t="s">
        <v>135</v>
      </c>
      <c r="B4381" s="10"/>
      <c r="C4381" s="10"/>
      <c r="D4381" s="10" t="s">
        <v>149</v>
      </c>
      <c r="E4381" s="11" t="s">
        <v>137</v>
      </c>
    </row>
    <row r="4382" spans="1:5" x14ac:dyDescent="0.35">
      <c r="A4382" s="6" t="s">
        <v>135</v>
      </c>
      <c r="B4382" s="7" t="s">
        <v>166</v>
      </c>
      <c r="C4382" s="7" t="s">
        <v>146</v>
      </c>
      <c r="D4382" s="7" t="s">
        <v>147</v>
      </c>
      <c r="E4382" s="8">
        <v>28.3</v>
      </c>
    </row>
    <row r="4383" spans="1:5" x14ac:dyDescent="0.35">
      <c r="A4383" s="9" t="s">
        <v>135</v>
      </c>
      <c r="B4383" s="10"/>
      <c r="C4383" s="10"/>
      <c r="D4383" s="10" t="s">
        <v>148</v>
      </c>
      <c r="E4383" s="11">
        <v>27.76</v>
      </c>
    </row>
    <row r="4384" spans="1:5" x14ac:dyDescent="0.35">
      <c r="A4384" s="6" t="s">
        <v>135</v>
      </c>
      <c r="B4384" s="7"/>
      <c r="C4384" s="7"/>
      <c r="D4384" s="7" t="s">
        <v>149</v>
      </c>
      <c r="E4384" s="8">
        <v>0.54</v>
      </c>
    </row>
    <row r="4385" spans="1:5" x14ac:dyDescent="0.35">
      <c r="A4385" s="9" t="s">
        <v>135</v>
      </c>
      <c r="B4385" s="10"/>
      <c r="C4385" s="10" t="s">
        <v>150</v>
      </c>
      <c r="D4385" s="10" t="s">
        <v>147</v>
      </c>
      <c r="E4385" s="11" t="s">
        <v>137</v>
      </c>
    </row>
    <row r="4386" spans="1:5" x14ac:dyDescent="0.35">
      <c r="A4386" s="6" t="s">
        <v>135</v>
      </c>
      <c r="B4386" s="7"/>
      <c r="C4386" s="7"/>
      <c r="D4386" s="7" t="s">
        <v>148</v>
      </c>
      <c r="E4386" s="8" t="s">
        <v>137</v>
      </c>
    </row>
    <row r="4387" spans="1:5" x14ac:dyDescent="0.35">
      <c r="A4387" s="9" t="s">
        <v>135</v>
      </c>
      <c r="B4387" s="10"/>
      <c r="C4387" s="10"/>
      <c r="D4387" s="10" t="s">
        <v>149</v>
      </c>
      <c r="E4387" s="11" t="s">
        <v>137</v>
      </c>
    </row>
    <row r="4388" spans="1:5" x14ac:dyDescent="0.35">
      <c r="A4388" s="6" t="s">
        <v>135</v>
      </c>
      <c r="B4388" s="7" t="s">
        <v>167</v>
      </c>
      <c r="C4388" s="7" t="s">
        <v>146</v>
      </c>
      <c r="D4388" s="7" t="s">
        <v>147</v>
      </c>
      <c r="E4388" s="8" t="s">
        <v>137</v>
      </c>
    </row>
    <row r="4389" spans="1:5" x14ac:dyDescent="0.35">
      <c r="A4389" s="9" t="s">
        <v>135</v>
      </c>
      <c r="B4389" s="10"/>
      <c r="C4389" s="10"/>
      <c r="D4389" s="10" t="s">
        <v>148</v>
      </c>
      <c r="E4389" s="11" t="s">
        <v>137</v>
      </c>
    </row>
    <row r="4390" spans="1:5" x14ac:dyDescent="0.35">
      <c r="A4390" s="6" t="s">
        <v>135</v>
      </c>
      <c r="B4390" s="7"/>
      <c r="C4390" s="7"/>
      <c r="D4390" s="7" t="s">
        <v>149</v>
      </c>
      <c r="E4390" s="8" t="s">
        <v>137</v>
      </c>
    </row>
    <row r="4391" spans="1:5" x14ac:dyDescent="0.35">
      <c r="A4391" s="9" t="s">
        <v>135</v>
      </c>
      <c r="B4391" s="10"/>
      <c r="C4391" s="10" t="s">
        <v>150</v>
      </c>
      <c r="D4391" s="10" t="s">
        <v>147</v>
      </c>
      <c r="E4391" s="11" t="s">
        <v>137</v>
      </c>
    </row>
    <row r="4392" spans="1:5" x14ac:dyDescent="0.35">
      <c r="A4392" s="6" t="s">
        <v>135</v>
      </c>
      <c r="B4392" s="7"/>
      <c r="C4392" s="7"/>
      <c r="D4392" s="7" t="s">
        <v>148</v>
      </c>
      <c r="E4392" s="8" t="s">
        <v>137</v>
      </c>
    </row>
    <row r="4393" spans="1:5" x14ac:dyDescent="0.35">
      <c r="A4393" s="9" t="s">
        <v>135</v>
      </c>
      <c r="B4393" s="10"/>
      <c r="C4393" s="10"/>
      <c r="D4393" s="10" t="s">
        <v>149</v>
      </c>
      <c r="E4393" s="11" t="s">
        <v>137</v>
      </c>
    </row>
    <row r="4394" spans="1:5" x14ac:dyDescent="0.35">
      <c r="A4394" s="6" t="s">
        <v>135</v>
      </c>
      <c r="B4394" s="7" t="s">
        <v>168</v>
      </c>
      <c r="C4394" s="7" t="s">
        <v>146</v>
      </c>
      <c r="D4394" s="7" t="s">
        <v>147</v>
      </c>
      <c r="E4394" s="8" t="s">
        <v>137</v>
      </c>
    </row>
    <row r="4395" spans="1:5" x14ac:dyDescent="0.35">
      <c r="A4395" s="9" t="s">
        <v>135</v>
      </c>
      <c r="B4395" s="10"/>
      <c r="C4395" s="10"/>
      <c r="D4395" s="10" t="s">
        <v>148</v>
      </c>
      <c r="E4395" s="11" t="s">
        <v>137</v>
      </c>
    </row>
    <row r="4396" spans="1:5" x14ac:dyDescent="0.35">
      <c r="A4396" s="6" t="s">
        <v>135</v>
      </c>
      <c r="B4396" s="7"/>
      <c r="C4396" s="7"/>
      <c r="D4396" s="7" t="s">
        <v>149</v>
      </c>
      <c r="E4396" s="8" t="s">
        <v>137</v>
      </c>
    </row>
    <row r="4397" spans="1:5" x14ac:dyDescent="0.35">
      <c r="A4397" s="9" t="s">
        <v>135</v>
      </c>
      <c r="B4397" s="10"/>
      <c r="C4397" s="10" t="s">
        <v>150</v>
      </c>
      <c r="D4397" s="10" t="s">
        <v>147</v>
      </c>
      <c r="E4397" s="11" t="s">
        <v>137</v>
      </c>
    </row>
    <row r="4398" spans="1:5" x14ac:dyDescent="0.35">
      <c r="A4398" s="6" t="s">
        <v>135</v>
      </c>
      <c r="B4398" s="7"/>
      <c r="C4398" s="7"/>
      <c r="D4398" s="7" t="s">
        <v>148</v>
      </c>
      <c r="E4398" s="8" t="s">
        <v>137</v>
      </c>
    </row>
    <row r="4399" spans="1:5" x14ac:dyDescent="0.35">
      <c r="A4399" s="9" t="s">
        <v>135</v>
      </c>
      <c r="B4399" s="10"/>
      <c r="C4399" s="10"/>
      <c r="D4399" s="10" t="s">
        <v>149</v>
      </c>
      <c r="E4399" s="11" t="s">
        <v>137</v>
      </c>
    </row>
    <row r="4400" spans="1:5" x14ac:dyDescent="0.35">
      <c r="A4400" s="6" t="s">
        <v>135</v>
      </c>
      <c r="B4400" s="7" t="s">
        <v>169</v>
      </c>
      <c r="C4400" s="7" t="s">
        <v>146</v>
      </c>
      <c r="D4400" s="7" t="s">
        <v>147</v>
      </c>
      <c r="E4400" s="8" t="s">
        <v>137</v>
      </c>
    </row>
    <row r="4401" spans="1:5" x14ac:dyDescent="0.35">
      <c r="A4401" s="9" t="s">
        <v>135</v>
      </c>
      <c r="B4401" s="10"/>
      <c r="C4401" s="10"/>
      <c r="D4401" s="10" t="s">
        <v>148</v>
      </c>
      <c r="E4401" s="11" t="s">
        <v>137</v>
      </c>
    </row>
    <row r="4402" spans="1:5" x14ac:dyDescent="0.35">
      <c r="A4402" s="6" t="s">
        <v>135</v>
      </c>
      <c r="B4402" s="7"/>
      <c r="C4402" s="7"/>
      <c r="D4402" s="7" t="s">
        <v>149</v>
      </c>
      <c r="E4402" s="8" t="s">
        <v>137</v>
      </c>
    </row>
    <row r="4403" spans="1:5" x14ac:dyDescent="0.35">
      <c r="A4403" s="9" t="s">
        <v>135</v>
      </c>
      <c r="B4403" s="10"/>
      <c r="C4403" s="10" t="s">
        <v>150</v>
      </c>
      <c r="D4403" s="10" t="s">
        <v>147</v>
      </c>
      <c r="E4403" s="11" t="s">
        <v>137</v>
      </c>
    </row>
    <row r="4404" spans="1:5" x14ac:dyDescent="0.35">
      <c r="A4404" s="6" t="s">
        <v>135</v>
      </c>
      <c r="B4404" s="7"/>
      <c r="C4404" s="7"/>
      <c r="D4404" s="7" t="s">
        <v>148</v>
      </c>
      <c r="E4404" s="8" t="s">
        <v>137</v>
      </c>
    </row>
    <row r="4405" spans="1:5" x14ac:dyDescent="0.35">
      <c r="A4405" s="9" t="s">
        <v>135</v>
      </c>
      <c r="B4405" s="10"/>
      <c r="C4405" s="10"/>
      <c r="D4405" s="10" t="s">
        <v>149</v>
      </c>
      <c r="E4405" s="11" t="s">
        <v>137</v>
      </c>
    </row>
    <row r="4406" spans="1:5" x14ac:dyDescent="0.35">
      <c r="A4406" s="6" t="s">
        <v>135</v>
      </c>
      <c r="B4406" s="7" t="s">
        <v>170</v>
      </c>
      <c r="C4406" s="7" t="s">
        <v>146</v>
      </c>
      <c r="D4406" s="7" t="s">
        <v>147</v>
      </c>
      <c r="E4406" s="8" t="s">
        <v>137</v>
      </c>
    </row>
    <row r="4407" spans="1:5" x14ac:dyDescent="0.35">
      <c r="A4407" s="9" t="s">
        <v>135</v>
      </c>
      <c r="B4407" s="10"/>
      <c r="C4407" s="10"/>
      <c r="D4407" s="10" t="s">
        <v>148</v>
      </c>
      <c r="E4407" s="11" t="s">
        <v>137</v>
      </c>
    </row>
    <row r="4408" spans="1:5" x14ac:dyDescent="0.35">
      <c r="A4408" s="6" t="s">
        <v>135</v>
      </c>
      <c r="B4408" s="7"/>
      <c r="C4408" s="7"/>
      <c r="D4408" s="7" t="s">
        <v>149</v>
      </c>
      <c r="E4408" s="8" t="s">
        <v>137</v>
      </c>
    </row>
    <row r="4409" spans="1:5" x14ac:dyDescent="0.35">
      <c r="A4409" s="9" t="s">
        <v>135</v>
      </c>
      <c r="B4409" s="10"/>
      <c r="C4409" s="10" t="s">
        <v>150</v>
      </c>
      <c r="D4409" s="10" t="s">
        <v>147</v>
      </c>
      <c r="E4409" s="11" t="s">
        <v>137</v>
      </c>
    </row>
    <row r="4410" spans="1:5" x14ac:dyDescent="0.35">
      <c r="A4410" s="6" t="s">
        <v>135</v>
      </c>
      <c r="B4410" s="7"/>
      <c r="C4410" s="7"/>
      <c r="D4410" s="7" t="s">
        <v>148</v>
      </c>
      <c r="E4410" s="8" t="s">
        <v>137</v>
      </c>
    </row>
    <row r="4411" spans="1:5" x14ac:dyDescent="0.35">
      <c r="A4411" s="9" t="s">
        <v>135</v>
      </c>
      <c r="B4411" s="10"/>
      <c r="C4411" s="10"/>
      <c r="D4411" s="10" t="s">
        <v>149</v>
      </c>
      <c r="E4411" s="11" t="s">
        <v>137</v>
      </c>
    </row>
    <row r="4412" spans="1:5" x14ac:dyDescent="0.35">
      <c r="A4412" s="6" t="s">
        <v>101</v>
      </c>
      <c r="B4412" s="7" t="s">
        <v>145</v>
      </c>
      <c r="C4412" s="7" t="s">
        <v>146</v>
      </c>
      <c r="D4412" s="7" t="s">
        <v>147</v>
      </c>
      <c r="E4412" s="8">
        <v>480.73</v>
      </c>
    </row>
    <row r="4413" spans="1:5" x14ac:dyDescent="0.35">
      <c r="A4413" s="9" t="s">
        <v>135</v>
      </c>
      <c r="B4413" s="10"/>
      <c r="C4413" s="10"/>
      <c r="D4413" s="10" t="s">
        <v>148</v>
      </c>
      <c r="E4413" s="11">
        <v>474</v>
      </c>
    </row>
    <row r="4414" spans="1:5" x14ac:dyDescent="0.35">
      <c r="A4414" s="6" t="s">
        <v>135</v>
      </c>
      <c r="B4414" s="7"/>
      <c r="C4414" s="7"/>
      <c r="D4414" s="7" t="s">
        <v>149</v>
      </c>
      <c r="E4414" s="8">
        <v>6.73</v>
      </c>
    </row>
    <row r="4415" spans="1:5" x14ac:dyDescent="0.35">
      <c r="A4415" s="9" t="s">
        <v>135</v>
      </c>
      <c r="B4415" s="10"/>
      <c r="C4415" s="10" t="s">
        <v>150</v>
      </c>
      <c r="D4415" s="10" t="s">
        <v>147</v>
      </c>
      <c r="E4415" s="11" t="s">
        <v>137</v>
      </c>
    </row>
    <row r="4416" spans="1:5" x14ac:dyDescent="0.35">
      <c r="A4416" s="6" t="s">
        <v>135</v>
      </c>
      <c r="B4416" s="7"/>
      <c r="C4416" s="7"/>
      <c r="D4416" s="7" t="s">
        <v>148</v>
      </c>
      <c r="E4416" s="8" t="s">
        <v>137</v>
      </c>
    </row>
    <row r="4417" spans="1:5" x14ac:dyDescent="0.35">
      <c r="A4417" s="9" t="s">
        <v>135</v>
      </c>
      <c r="B4417" s="10"/>
      <c r="C4417" s="10"/>
      <c r="D4417" s="10" t="s">
        <v>149</v>
      </c>
      <c r="E4417" s="11" t="s">
        <v>137</v>
      </c>
    </row>
    <row r="4418" spans="1:5" x14ac:dyDescent="0.35">
      <c r="A4418" s="6" t="s">
        <v>135</v>
      </c>
      <c r="B4418" s="7" t="s">
        <v>151</v>
      </c>
      <c r="C4418" s="7" t="s">
        <v>146</v>
      </c>
      <c r="D4418" s="7" t="s">
        <v>147</v>
      </c>
      <c r="E4418" s="8">
        <v>272.73</v>
      </c>
    </row>
    <row r="4419" spans="1:5" x14ac:dyDescent="0.35">
      <c r="A4419" s="9" t="s">
        <v>135</v>
      </c>
      <c r="B4419" s="10"/>
      <c r="C4419" s="10"/>
      <c r="D4419" s="10" t="s">
        <v>148</v>
      </c>
      <c r="E4419" s="11">
        <v>266</v>
      </c>
    </row>
    <row r="4420" spans="1:5" x14ac:dyDescent="0.35">
      <c r="A4420" s="6" t="s">
        <v>135</v>
      </c>
      <c r="B4420" s="7"/>
      <c r="C4420" s="7"/>
      <c r="D4420" s="7" t="s">
        <v>149</v>
      </c>
      <c r="E4420" s="8">
        <v>6.73</v>
      </c>
    </row>
    <row r="4421" spans="1:5" x14ac:dyDescent="0.35">
      <c r="A4421" s="9" t="s">
        <v>135</v>
      </c>
      <c r="B4421" s="10"/>
      <c r="C4421" s="10" t="s">
        <v>150</v>
      </c>
      <c r="D4421" s="10" t="s">
        <v>147</v>
      </c>
      <c r="E4421" s="11" t="s">
        <v>137</v>
      </c>
    </row>
    <row r="4422" spans="1:5" x14ac:dyDescent="0.35">
      <c r="A4422" s="6" t="s">
        <v>135</v>
      </c>
      <c r="B4422" s="7"/>
      <c r="C4422" s="7"/>
      <c r="D4422" s="7" t="s">
        <v>148</v>
      </c>
      <c r="E4422" s="8" t="s">
        <v>137</v>
      </c>
    </row>
    <row r="4423" spans="1:5" x14ac:dyDescent="0.35">
      <c r="A4423" s="9" t="s">
        <v>135</v>
      </c>
      <c r="B4423" s="10"/>
      <c r="C4423" s="10"/>
      <c r="D4423" s="10" t="s">
        <v>149</v>
      </c>
      <c r="E4423" s="11" t="s">
        <v>137</v>
      </c>
    </row>
    <row r="4424" spans="1:5" x14ac:dyDescent="0.35">
      <c r="A4424" s="6" t="s">
        <v>135</v>
      </c>
      <c r="B4424" s="7" t="s">
        <v>152</v>
      </c>
      <c r="C4424" s="7" t="s">
        <v>146</v>
      </c>
      <c r="D4424" s="7" t="s">
        <v>147</v>
      </c>
      <c r="E4424" s="8" t="s">
        <v>137</v>
      </c>
    </row>
    <row r="4425" spans="1:5" x14ac:dyDescent="0.35">
      <c r="A4425" s="9" t="s">
        <v>135</v>
      </c>
      <c r="B4425" s="10"/>
      <c r="C4425" s="10"/>
      <c r="D4425" s="10" t="s">
        <v>148</v>
      </c>
      <c r="E4425" s="11" t="s">
        <v>137</v>
      </c>
    </row>
    <row r="4426" spans="1:5" x14ac:dyDescent="0.35">
      <c r="A4426" s="6" t="s">
        <v>135</v>
      </c>
      <c r="B4426" s="7"/>
      <c r="C4426" s="7"/>
      <c r="D4426" s="7" t="s">
        <v>149</v>
      </c>
      <c r="E4426" s="8" t="s">
        <v>137</v>
      </c>
    </row>
    <row r="4427" spans="1:5" x14ac:dyDescent="0.35">
      <c r="A4427" s="9" t="s">
        <v>135</v>
      </c>
      <c r="B4427" s="10"/>
      <c r="C4427" s="10" t="s">
        <v>150</v>
      </c>
      <c r="D4427" s="10" t="s">
        <v>147</v>
      </c>
      <c r="E4427" s="11" t="s">
        <v>137</v>
      </c>
    </row>
    <row r="4428" spans="1:5" x14ac:dyDescent="0.35">
      <c r="A4428" s="6" t="s">
        <v>135</v>
      </c>
      <c r="B4428" s="7"/>
      <c r="C4428" s="7"/>
      <c r="D4428" s="7" t="s">
        <v>148</v>
      </c>
      <c r="E4428" s="8" t="s">
        <v>137</v>
      </c>
    </row>
    <row r="4429" spans="1:5" x14ac:dyDescent="0.35">
      <c r="A4429" s="9" t="s">
        <v>135</v>
      </c>
      <c r="B4429" s="10"/>
      <c r="C4429" s="10"/>
      <c r="D4429" s="10" t="s">
        <v>149</v>
      </c>
      <c r="E4429" s="11" t="s">
        <v>137</v>
      </c>
    </row>
    <row r="4430" spans="1:5" x14ac:dyDescent="0.35">
      <c r="A4430" s="6" t="s">
        <v>135</v>
      </c>
      <c r="B4430" s="7" t="s">
        <v>153</v>
      </c>
      <c r="C4430" s="7" t="s">
        <v>146</v>
      </c>
      <c r="D4430" s="7" t="s">
        <v>147</v>
      </c>
      <c r="E4430" s="8">
        <v>159</v>
      </c>
    </row>
    <row r="4431" spans="1:5" x14ac:dyDescent="0.35">
      <c r="A4431" s="9" t="s">
        <v>135</v>
      </c>
      <c r="B4431" s="10"/>
      <c r="C4431" s="10"/>
      <c r="D4431" s="10" t="s">
        <v>148</v>
      </c>
      <c r="E4431" s="11">
        <v>159</v>
      </c>
    </row>
    <row r="4432" spans="1:5" x14ac:dyDescent="0.35">
      <c r="A4432" s="6" t="s">
        <v>135</v>
      </c>
      <c r="B4432" s="7"/>
      <c r="C4432" s="7"/>
      <c r="D4432" s="7" t="s">
        <v>149</v>
      </c>
      <c r="E4432" s="8" t="s">
        <v>137</v>
      </c>
    </row>
    <row r="4433" spans="1:5" x14ac:dyDescent="0.35">
      <c r="A4433" s="9" t="s">
        <v>135</v>
      </c>
      <c r="B4433" s="10"/>
      <c r="C4433" s="10" t="s">
        <v>150</v>
      </c>
      <c r="D4433" s="10" t="s">
        <v>147</v>
      </c>
      <c r="E4433" s="11" t="s">
        <v>137</v>
      </c>
    </row>
    <row r="4434" spans="1:5" x14ac:dyDescent="0.35">
      <c r="A4434" s="6" t="s">
        <v>135</v>
      </c>
      <c r="B4434" s="7"/>
      <c r="C4434" s="7"/>
      <c r="D4434" s="7" t="s">
        <v>148</v>
      </c>
      <c r="E4434" s="8" t="s">
        <v>137</v>
      </c>
    </row>
    <row r="4435" spans="1:5" x14ac:dyDescent="0.35">
      <c r="A4435" s="9" t="s">
        <v>135</v>
      </c>
      <c r="B4435" s="10"/>
      <c r="C4435" s="10"/>
      <c r="D4435" s="10" t="s">
        <v>149</v>
      </c>
      <c r="E4435" s="11" t="s">
        <v>137</v>
      </c>
    </row>
    <row r="4436" spans="1:5" x14ac:dyDescent="0.35">
      <c r="A4436" s="6" t="s">
        <v>135</v>
      </c>
      <c r="B4436" s="7" t="s">
        <v>154</v>
      </c>
      <c r="C4436" s="7" t="s">
        <v>146</v>
      </c>
      <c r="D4436" s="7" t="s">
        <v>147</v>
      </c>
      <c r="E4436" s="8" t="s">
        <v>137</v>
      </c>
    </row>
    <row r="4437" spans="1:5" x14ac:dyDescent="0.35">
      <c r="A4437" s="9" t="s">
        <v>135</v>
      </c>
      <c r="B4437" s="10"/>
      <c r="C4437" s="10"/>
      <c r="D4437" s="10" t="s">
        <v>148</v>
      </c>
      <c r="E4437" s="11" t="s">
        <v>137</v>
      </c>
    </row>
    <row r="4438" spans="1:5" x14ac:dyDescent="0.35">
      <c r="A4438" s="6" t="s">
        <v>135</v>
      </c>
      <c r="B4438" s="7"/>
      <c r="C4438" s="7"/>
      <c r="D4438" s="7" t="s">
        <v>149</v>
      </c>
      <c r="E4438" s="8" t="s">
        <v>137</v>
      </c>
    </row>
    <row r="4439" spans="1:5" x14ac:dyDescent="0.35">
      <c r="A4439" s="9" t="s">
        <v>135</v>
      </c>
      <c r="B4439" s="10"/>
      <c r="C4439" s="10" t="s">
        <v>150</v>
      </c>
      <c r="D4439" s="10" t="s">
        <v>147</v>
      </c>
      <c r="E4439" s="11" t="s">
        <v>137</v>
      </c>
    </row>
    <row r="4440" spans="1:5" x14ac:dyDescent="0.35">
      <c r="A4440" s="6" t="s">
        <v>135</v>
      </c>
      <c r="B4440" s="7"/>
      <c r="C4440" s="7"/>
      <c r="D4440" s="7" t="s">
        <v>148</v>
      </c>
      <c r="E4440" s="8" t="s">
        <v>137</v>
      </c>
    </row>
    <row r="4441" spans="1:5" x14ac:dyDescent="0.35">
      <c r="A4441" s="9" t="s">
        <v>135</v>
      </c>
      <c r="B4441" s="10"/>
      <c r="C4441" s="10"/>
      <c r="D4441" s="10" t="s">
        <v>149</v>
      </c>
      <c r="E4441" s="11" t="s">
        <v>137</v>
      </c>
    </row>
    <row r="4442" spans="1:5" x14ac:dyDescent="0.35">
      <c r="A4442" s="6" t="s">
        <v>135</v>
      </c>
      <c r="B4442" s="7" t="s">
        <v>155</v>
      </c>
      <c r="C4442" s="7" t="s">
        <v>146</v>
      </c>
      <c r="D4442" s="7" t="s">
        <v>147</v>
      </c>
      <c r="E4442" s="8" t="s">
        <v>137</v>
      </c>
    </row>
    <row r="4443" spans="1:5" x14ac:dyDescent="0.35">
      <c r="A4443" s="9" t="s">
        <v>135</v>
      </c>
      <c r="B4443" s="10"/>
      <c r="C4443" s="10"/>
      <c r="D4443" s="10" t="s">
        <v>148</v>
      </c>
      <c r="E4443" s="11" t="s">
        <v>137</v>
      </c>
    </row>
    <row r="4444" spans="1:5" x14ac:dyDescent="0.35">
      <c r="A4444" s="6" t="s">
        <v>135</v>
      </c>
      <c r="B4444" s="7"/>
      <c r="C4444" s="7"/>
      <c r="D4444" s="7" t="s">
        <v>149</v>
      </c>
      <c r="E4444" s="8" t="s">
        <v>137</v>
      </c>
    </row>
    <row r="4445" spans="1:5" x14ac:dyDescent="0.35">
      <c r="A4445" s="9" t="s">
        <v>135</v>
      </c>
      <c r="B4445" s="10"/>
      <c r="C4445" s="10" t="s">
        <v>150</v>
      </c>
      <c r="D4445" s="10" t="s">
        <v>147</v>
      </c>
      <c r="E4445" s="11" t="s">
        <v>137</v>
      </c>
    </row>
    <row r="4446" spans="1:5" x14ac:dyDescent="0.35">
      <c r="A4446" s="6" t="s">
        <v>135</v>
      </c>
      <c r="B4446" s="7"/>
      <c r="C4446" s="7"/>
      <c r="D4446" s="7" t="s">
        <v>148</v>
      </c>
      <c r="E4446" s="8" t="s">
        <v>137</v>
      </c>
    </row>
    <row r="4447" spans="1:5" x14ac:dyDescent="0.35">
      <c r="A4447" s="9" t="s">
        <v>135</v>
      </c>
      <c r="B4447" s="10"/>
      <c r="C4447" s="10"/>
      <c r="D4447" s="10" t="s">
        <v>149</v>
      </c>
      <c r="E4447" s="11" t="s">
        <v>137</v>
      </c>
    </row>
    <row r="4448" spans="1:5" x14ac:dyDescent="0.35">
      <c r="A4448" s="6" t="s">
        <v>135</v>
      </c>
      <c r="B4448" s="7" t="s">
        <v>156</v>
      </c>
      <c r="C4448" s="7" t="s">
        <v>146</v>
      </c>
      <c r="D4448" s="7" t="s">
        <v>147</v>
      </c>
      <c r="E4448" s="8" t="s">
        <v>137</v>
      </c>
    </row>
    <row r="4449" spans="1:5" x14ac:dyDescent="0.35">
      <c r="A4449" s="9" t="s">
        <v>135</v>
      </c>
      <c r="B4449" s="10"/>
      <c r="C4449" s="10"/>
      <c r="D4449" s="10" t="s">
        <v>148</v>
      </c>
      <c r="E4449" s="11" t="s">
        <v>137</v>
      </c>
    </row>
    <row r="4450" spans="1:5" x14ac:dyDescent="0.35">
      <c r="A4450" s="6" t="s">
        <v>135</v>
      </c>
      <c r="B4450" s="7"/>
      <c r="C4450" s="7"/>
      <c r="D4450" s="7" t="s">
        <v>149</v>
      </c>
      <c r="E4450" s="8" t="s">
        <v>137</v>
      </c>
    </row>
    <row r="4451" spans="1:5" x14ac:dyDescent="0.35">
      <c r="A4451" s="9" t="s">
        <v>135</v>
      </c>
      <c r="B4451" s="10"/>
      <c r="C4451" s="10" t="s">
        <v>150</v>
      </c>
      <c r="D4451" s="10" t="s">
        <v>147</v>
      </c>
      <c r="E4451" s="11" t="s">
        <v>137</v>
      </c>
    </row>
    <row r="4452" spans="1:5" x14ac:dyDescent="0.35">
      <c r="A4452" s="6" t="s">
        <v>135</v>
      </c>
      <c r="B4452" s="7"/>
      <c r="C4452" s="7"/>
      <c r="D4452" s="7" t="s">
        <v>148</v>
      </c>
      <c r="E4452" s="8" t="s">
        <v>137</v>
      </c>
    </row>
    <row r="4453" spans="1:5" x14ac:dyDescent="0.35">
      <c r="A4453" s="9" t="s">
        <v>135</v>
      </c>
      <c r="B4453" s="10"/>
      <c r="C4453" s="10"/>
      <c r="D4453" s="10" t="s">
        <v>149</v>
      </c>
      <c r="E4453" s="11" t="s">
        <v>137</v>
      </c>
    </row>
    <row r="4454" spans="1:5" x14ac:dyDescent="0.35">
      <c r="A4454" s="6" t="s">
        <v>135</v>
      </c>
      <c r="B4454" s="7" t="s">
        <v>157</v>
      </c>
      <c r="C4454" s="7" t="s">
        <v>146</v>
      </c>
      <c r="D4454" s="7" t="s">
        <v>147</v>
      </c>
      <c r="E4454" s="8" t="s">
        <v>137</v>
      </c>
    </row>
    <row r="4455" spans="1:5" x14ac:dyDescent="0.35">
      <c r="A4455" s="9" t="s">
        <v>135</v>
      </c>
      <c r="B4455" s="10"/>
      <c r="C4455" s="10"/>
      <c r="D4455" s="10" t="s">
        <v>148</v>
      </c>
      <c r="E4455" s="11" t="s">
        <v>137</v>
      </c>
    </row>
    <row r="4456" spans="1:5" x14ac:dyDescent="0.35">
      <c r="A4456" s="6" t="s">
        <v>135</v>
      </c>
      <c r="B4456" s="7"/>
      <c r="C4456" s="7"/>
      <c r="D4456" s="7" t="s">
        <v>149</v>
      </c>
      <c r="E4456" s="8" t="s">
        <v>137</v>
      </c>
    </row>
    <row r="4457" spans="1:5" x14ac:dyDescent="0.35">
      <c r="A4457" s="9" t="s">
        <v>135</v>
      </c>
      <c r="B4457" s="10"/>
      <c r="C4457" s="10" t="s">
        <v>150</v>
      </c>
      <c r="D4457" s="10" t="s">
        <v>147</v>
      </c>
      <c r="E4457" s="11" t="s">
        <v>137</v>
      </c>
    </row>
    <row r="4458" spans="1:5" x14ac:dyDescent="0.35">
      <c r="A4458" s="6" t="s">
        <v>135</v>
      </c>
      <c r="B4458" s="7"/>
      <c r="C4458" s="7"/>
      <c r="D4458" s="7" t="s">
        <v>148</v>
      </c>
      <c r="E4458" s="8" t="s">
        <v>137</v>
      </c>
    </row>
    <row r="4459" spans="1:5" x14ac:dyDescent="0.35">
      <c r="A4459" s="9" t="s">
        <v>135</v>
      </c>
      <c r="B4459" s="10"/>
      <c r="C4459" s="10"/>
      <c r="D4459" s="10" t="s">
        <v>149</v>
      </c>
      <c r="E4459" s="11" t="s">
        <v>137</v>
      </c>
    </row>
    <row r="4460" spans="1:5" x14ac:dyDescent="0.35">
      <c r="A4460" s="6" t="s">
        <v>135</v>
      </c>
      <c r="B4460" s="7" t="s">
        <v>158</v>
      </c>
      <c r="C4460" s="7" t="s">
        <v>146</v>
      </c>
      <c r="D4460" s="7" t="s">
        <v>147</v>
      </c>
      <c r="E4460" s="8">
        <v>49</v>
      </c>
    </row>
    <row r="4461" spans="1:5" x14ac:dyDescent="0.35">
      <c r="A4461" s="9" t="s">
        <v>135</v>
      </c>
      <c r="B4461" s="10"/>
      <c r="C4461" s="10"/>
      <c r="D4461" s="10" t="s">
        <v>148</v>
      </c>
      <c r="E4461" s="11">
        <v>49</v>
      </c>
    </row>
    <row r="4462" spans="1:5" x14ac:dyDescent="0.35">
      <c r="A4462" s="6" t="s">
        <v>135</v>
      </c>
      <c r="B4462" s="7"/>
      <c r="C4462" s="7"/>
      <c r="D4462" s="7" t="s">
        <v>149</v>
      </c>
      <c r="E4462" s="8" t="s">
        <v>137</v>
      </c>
    </row>
    <row r="4463" spans="1:5" x14ac:dyDescent="0.35">
      <c r="A4463" s="9" t="s">
        <v>135</v>
      </c>
      <c r="B4463" s="10"/>
      <c r="C4463" s="10" t="s">
        <v>150</v>
      </c>
      <c r="D4463" s="10" t="s">
        <v>147</v>
      </c>
      <c r="E4463" s="11" t="s">
        <v>137</v>
      </c>
    </row>
    <row r="4464" spans="1:5" x14ac:dyDescent="0.35">
      <c r="A4464" s="6" t="s">
        <v>135</v>
      </c>
      <c r="B4464" s="7"/>
      <c r="C4464" s="7"/>
      <c r="D4464" s="7" t="s">
        <v>148</v>
      </c>
      <c r="E4464" s="8" t="s">
        <v>137</v>
      </c>
    </row>
    <row r="4465" spans="1:5" x14ac:dyDescent="0.35">
      <c r="A4465" s="9" t="s">
        <v>135</v>
      </c>
      <c r="B4465" s="10"/>
      <c r="C4465" s="10"/>
      <c r="D4465" s="10" t="s">
        <v>149</v>
      </c>
      <c r="E4465" s="11" t="s">
        <v>137</v>
      </c>
    </row>
    <row r="4466" spans="1:5" x14ac:dyDescent="0.35">
      <c r="A4466" s="6" t="s">
        <v>135</v>
      </c>
      <c r="B4466" s="7" t="s">
        <v>159</v>
      </c>
      <c r="C4466" s="7" t="s">
        <v>146</v>
      </c>
      <c r="D4466" s="7" t="s">
        <v>147</v>
      </c>
      <c r="E4466" s="8" t="s">
        <v>137</v>
      </c>
    </row>
    <row r="4467" spans="1:5" x14ac:dyDescent="0.35">
      <c r="A4467" s="9" t="s">
        <v>135</v>
      </c>
      <c r="B4467" s="10"/>
      <c r="C4467" s="10"/>
      <c r="D4467" s="10" t="s">
        <v>148</v>
      </c>
      <c r="E4467" s="11" t="s">
        <v>137</v>
      </c>
    </row>
    <row r="4468" spans="1:5" x14ac:dyDescent="0.35">
      <c r="A4468" s="6" t="s">
        <v>135</v>
      </c>
      <c r="B4468" s="7"/>
      <c r="C4468" s="7"/>
      <c r="D4468" s="7" t="s">
        <v>149</v>
      </c>
      <c r="E4468" s="8" t="s">
        <v>137</v>
      </c>
    </row>
    <row r="4469" spans="1:5" x14ac:dyDescent="0.35">
      <c r="A4469" s="9" t="s">
        <v>135</v>
      </c>
      <c r="B4469" s="10"/>
      <c r="C4469" s="10" t="s">
        <v>150</v>
      </c>
      <c r="D4469" s="10" t="s">
        <v>147</v>
      </c>
      <c r="E4469" s="11" t="s">
        <v>137</v>
      </c>
    </row>
    <row r="4470" spans="1:5" x14ac:dyDescent="0.35">
      <c r="A4470" s="6" t="s">
        <v>135</v>
      </c>
      <c r="B4470" s="7"/>
      <c r="C4470" s="7"/>
      <c r="D4470" s="7" t="s">
        <v>148</v>
      </c>
      <c r="E4470" s="8" t="s">
        <v>137</v>
      </c>
    </row>
    <row r="4471" spans="1:5" x14ac:dyDescent="0.35">
      <c r="A4471" s="9" t="s">
        <v>135</v>
      </c>
      <c r="B4471" s="10"/>
      <c r="C4471" s="10"/>
      <c r="D4471" s="10" t="s">
        <v>149</v>
      </c>
      <c r="E4471" s="11" t="s">
        <v>137</v>
      </c>
    </row>
    <row r="4472" spans="1:5" x14ac:dyDescent="0.35">
      <c r="A4472" s="6" t="s">
        <v>135</v>
      </c>
      <c r="B4472" s="7" t="s">
        <v>160</v>
      </c>
      <c r="C4472" s="7" t="s">
        <v>146</v>
      </c>
      <c r="D4472" s="7" t="s">
        <v>147</v>
      </c>
      <c r="E4472" s="8" t="s">
        <v>137</v>
      </c>
    </row>
    <row r="4473" spans="1:5" x14ac:dyDescent="0.35">
      <c r="A4473" s="9" t="s">
        <v>135</v>
      </c>
      <c r="B4473" s="10"/>
      <c r="C4473" s="10"/>
      <c r="D4473" s="10" t="s">
        <v>148</v>
      </c>
      <c r="E4473" s="11" t="s">
        <v>137</v>
      </c>
    </row>
    <row r="4474" spans="1:5" x14ac:dyDescent="0.35">
      <c r="A4474" s="6" t="s">
        <v>135</v>
      </c>
      <c r="B4474" s="7"/>
      <c r="C4474" s="7"/>
      <c r="D4474" s="7" t="s">
        <v>149</v>
      </c>
      <c r="E4474" s="8" t="s">
        <v>137</v>
      </c>
    </row>
    <row r="4475" spans="1:5" x14ac:dyDescent="0.35">
      <c r="A4475" s="9" t="s">
        <v>135</v>
      </c>
      <c r="B4475" s="10"/>
      <c r="C4475" s="10" t="s">
        <v>150</v>
      </c>
      <c r="D4475" s="10" t="s">
        <v>147</v>
      </c>
      <c r="E4475" s="11" t="s">
        <v>137</v>
      </c>
    </row>
    <row r="4476" spans="1:5" x14ac:dyDescent="0.35">
      <c r="A4476" s="6" t="s">
        <v>135</v>
      </c>
      <c r="B4476" s="7"/>
      <c r="C4476" s="7"/>
      <c r="D4476" s="7" t="s">
        <v>148</v>
      </c>
      <c r="E4476" s="8" t="s">
        <v>137</v>
      </c>
    </row>
    <row r="4477" spans="1:5" x14ac:dyDescent="0.35">
      <c r="A4477" s="9" t="s">
        <v>135</v>
      </c>
      <c r="B4477" s="10"/>
      <c r="C4477" s="10"/>
      <c r="D4477" s="10" t="s">
        <v>149</v>
      </c>
      <c r="E4477" s="11" t="s">
        <v>137</v>
      </c>
    </row>
    <row r="4478" spans="1:5" x14ac:dyDescent="0.35">
      <c r="A4478" s="6" t="s">
        <v>135</v>
      </c>
      <c r="B4478" s="7" t="s">
        <v>161</v>
      </c>
      <c r="C4478" s="7" t="s">
        <v>146</v>
      </c>
      <c r="D4478" s="7" t="s">
        <v>147</v>
      </c>
      <c r="E4478" s="8" t="s">
        <v>137</v>
      </c>
    </row>
    <row r="4479" spans="1:5" x14ac:dyDescent="0.35">
      <c r="A4479" s="9" t="s">
        <v>135</v>
      </c>
      <c r="B4479" s="10"/>
      <c r="C4479" s="10"/>
      <c r="D4479" s="10" t="s">
        <v>148</v>
      </c>
      <c r="E4479" s="11" t="s">
        <v>137</v>
      </c>
    </row>
    <row r="4480" spans="1:5" x14ac:dyDescent="0.35">
      <c r="A4480" s="6" t="s">
        <v>135</v>
      </c>
      <c r="B4480" s="7"/>
      <c r="C4480" s="7"/>
      <c r="D4480" s="7" t="s">
        <v>149</v>
      </c>
      <c r="E4480" s="8" t="s">
        <v>137</v>
      </c>
    </row>
    <row r="4481" spans="1:5" x14ac:dyDescent="0.35">
      <c r="A4481" s="9" t="s">
        <v>135</v>
      </c>
      <c r="B4481" s="10"/>
      <c r="C4481" s="10" t="s">
        <v>150</v>
      </c>
      <c r="D4481" s="10" t="s">
        <v>147</v>
      </c>
      <c r="E4481" s="11" t="s">
        <v>137</v>
      </c>
    </row>
    <row r="4482" spans="1:5" x14ac:dyDescent="0.35">
      <c r="A4482" s="6" t="s">
        <v>135</v>
      </c>
      <c r="B4482" s="7"/>
      <c r="C4482" s="7"/>
      <c r="D4482" s="7" t="s">
        <v>148</v>
      </c>
      <c r="E4482" s="8" t="s">
        <v>137</v>
      </c>
    </row>
    <row r="4483" spans="1:5" x14ac:dyDescent="0.35">
      <c r="A4483" s="9" t="s">
        <v>135</v>
      </c>
      <c r="B4483" s="10"/>
      <c r="C4483" s="10"/>
      <c r="D4483" s="10" t="s">
        <v>149</v>
      </c>
      <c r="E4483" s="11" t="s">
        <v>137</v>
      </c>
    </row>
    <row r="4484" spans="1:5" x14ac:dyDescent="0.35">
      <c r="A4484" s="6" t="s">
        <v>135</v>
      </c>
      <c r="B4484" s="7" t="s">
        <v>162</v>
      </c>
      <c r="C4484" s="7" t="s">
        <v>146</v>
      </c>
      <c r="D4484" s="7" t="s">
        <v>147</v>
      </c>
      <c r="E4484" s="8" t="s">
        <v>137</v>
      </c>
    </row>
    <row r="4485" spans="1:5" x14ac:dyDescent="0.35">
      <c r="A4485" s="9" t="s">
        <v>135</v>
      </c>
      <c r="B4485" s="10"/>
      <c r="C4485" s="10"/>
      <c r="D4485" s="10" t="s">
        <v>148</v>
      </c>
      <c r="E4485" s="11" t="s">
        <v>137</v>
      </c>
    </row>
    <row r="4486" spans="1:5" x14ac:dyDescent="0.35">
      <c r="A4486" s="6" t="s">
        <v>135</v>
      </c>
      <c r="B4486" s="7"/>
      <c r="C4486" s="7"/>
      <c r="D4486" s="7" t="s">
        <v>149</v>
      </c>
      <c r="E4486" s="8" t="s">
        <v>137</v>
      </c>
    </row>
    <row r="4487" spans="1:5" x14ac:dyDescent="0.35">
      <c r="A4487" s="9" t="s">
        <v>135</v>
      </c>
      <c r="B4487" s="10"/>
      <c r="C4487" s="10" t="s">
        <v>150</v>
      </c>
      <c r="D4487" s="10" t="s">
        <v>147</v>
      </c>
      <c r="E4487" s="11" t="s">
        <v>137</v>
      </c>
    </row>
    <row r="4488" spans="1:5" x14ac:dyDescent="0.35">
      <c r="A4488" s="6" t="s">
        <v>135</v>
      </c>
      <c r="B4488" s="7"/>
      <c r="C4488" s="7"/>
      <c r="D4488" s="7" t="s">
        <v>148</v>
      </c>
      <c r="E4488" s="8" t="s">
        <v>137</v>
      </c>
    </row>
    <row r="4489" spans="1:5" x14ac:dyDescent="0.35">
      <c r="A4489" s="9" t="s">
        <v>135</v>
      </c>
      <c r="B4489" s="10"/>
      <c r="C4489" s="10"/>
      <c r="D4489" s="10" t="s">
        <v>149</v>
      </c>
      <c r="E4489" s="11" t="s">
        <v>137</v>
      </c>
    </row>
    <row r="4490" spans="1:5" x14ac:dyDescent="0.35">
      <c r="A4490" s="6" t="s">
        <v>135</v>
      </c>
      <c r="B4490" s="7" t="s">
        <v>163</v>
      </c>
      <c r="C4490" s="7" t="s">
        <v>146</v>
      </c>
      <c r="D4490" s="7" t="s">
        <v>147</v>
      </c>
      <c r="E4490" s="8">
        <v>1419.81</v>
      </c>
    </row>
    <row r="4491" spans="1:5" x14ac:dyDescent="0.35">
      <c r="A4491" s="9" t="s">
        <v>135</v>
      </c>
      <c r="B4491" s="10"/>
      <c r="C4491" s="10"/>
      <c r="D4491" s="10" t="s">
        <v>148</v>
      </c>
      <c r="E4491" s="11">
        <v>1351.81</v>
      </c>
    </row>
    <row r="4492" spans="1:5" x14ac:dyDescent="0.35">
      <c r="A4492" s="6" t="s">
        <v>135</v>
      </c>
      <c r="B4492" s="7"/>
      <c r="C4492" s="7"/>
      <c r="D4492" s="7" t="s">
        <v>149</v>
      </c>
      <c r="E4492" s="8">
        <v>68</v>
      </c>
    </row>
    <row r="4493" spans="1:5" x14ac:dyDescent="0.35">
      <c r="A4493" s="9" t="s">
        <v>135</v>
      </c>
      <c r="B4493" s="10"/>
      <c r="C4493" s="10" t="s">
        <v>150</v>
      </c>
      <c r="D4493" s="10" t="s">
        <v>147</v>
      </c>
      <c r="E4493" s="11" t="s">
        <v>137</v>
      </c>
    </row>
    <row r="4494" spans="1:5" x14ac:dyDescent="0.35">
      <c r="A4494" s="6" t="s">
        <v>135</v>
      </c>
      <c r="B4494" s="7"/>
      <c r="C4494" s="7"/>
      <c r="D4494" s="7" t="s">
        <v>148</v>
      </c>
      <c r="E4494" s="8" t="s">
        <v>137</v>
      </c>
    </row>
    <row r="4495" spans="1:5" x14ac:dyDescent="0.35">
      <c r="A4495" s="9" t="s">
        <v>135</v>
      </c>
      <c r="B4495" s="10"/>
      <c r="C4495" s="10"/>
      <c r="D4495" s="10" t="s">
        <v>149</v>
      </c>
      <c r="E4495" s="11" t="s">
        <v>137</v>
      </c>
    </row>
    <row r="4496" spans="1:5" x14ac:dyDescent="0.35">
      <c r="A4496" s="6" t="s">
        <v>135</v>
      </c>
      <c r="B4496" s="7" t="s">
        <v>164</v>
      </c>
      <c r="C4496" s="7" t="s">
        <v>146</v>
      </c>
      <c r="D4496" s="7" t="s">
        <v>147</v>
      </c>
      <c r="E4496" s="8" t="s">
        <v>137</v>
      </c>
    </row>
    <row r="4497" spans="1:5" x14ac:dyDescent="0.35">
      <c r="A4497" s="9" t="s">
        <v>135</v>
      </c>
      <c r="B4497" s="10"/>
      <c r="C4497" s="10"/>
      <c r="D4497" s="10" t="s">
        <v>148</v>
      </c>
      <c r="E4497" s="11" t="s">
        <v>137</v>
      </c>
    </row>
    <row r="4498" spans="1:5" x14ac:dyDescent="0.35">
      <c r="A4498" s="6" t="s">
        <v>135</v>
      </c>
      <c r="B4498" s="7"/>
      <c r="C4498" s="7"/>
      <c r="D4498" s="7" t="s">
        <v>149</v>
      </c>
      <c r="E4498" s="8" t="s">
        <v>137</v>
      </c>
    </row>
    <row r="4499" spans="1:5" x14ac:dyDescent="0.35">
      <c r="A4499" s="9" t="s">
        <v>135</v>
      </c>
      <c r="B4499" s="10"/>
      <c r="C4499" s="10" t="s">
        <v>150</v>
      </c>
      <c r="D4499" s="10" t="s">
        <v>147</v>
      </c>
      <c r="E4499" s="11" t="s">
        <v>137</v>
      </c>
    </row>
    <row r="4500" spans="1:5" x14ac:dyDescent="0.35">
      <c r="A4500" s="6" t="s">
        <v>135</v>
      </c>
      <c r="B4500" s="7"/>
      <c r="C4500" s="7"/>
      <c r="D4500" s="7" t="s">
        <v>148</v>
      </c>
      <c r="E4500" s="8" t="s">
        <v>137</v>
      </c>
    </row>
    <row r="4501" spans="1:5" x14ac:dyDescent="0.35">
      <c r="A4501" s="9" t="s">
        <v>135</v>
      </c>
      <c r="B4501" s="10"/>
      <c r="C4501" s="10"/>
      <c r="D4501" s="10" t="s">
        <v>149</v>
      </c>
      <c r="E4501" s="11" t="s">
        <v>137</v>
      </c>
    </row>
    <row r="4502" spans="1:5" x14ac:dyDescent="0.35">
      <c r="A4502" s="6" t="s">
        <v>135</v>
      </c>
      <c r="B4502" s="7" t="s">
        <v>165</v>
      </c>
      <c r="C4502" s="7" t="s">
        <v>146</v>
      </c>
      <c r="D4502" s="7" t="s">
        <v>147</v>
      </c>
      <c r="E4502" s="8">
        <v>125</v>
      </c>
    </row>
    <row r="4503" spans="1:5" x14ac:dyDescent="0.35">
      <c r="A4503" s="9" t="s">
        <v>135</v>
      </c>
      <c r="B4503" s="10"/>
      <c r="C4503" s="10"/>
      <c r="D4503" s="10" t="s">
        <v>148</v>
      </c>
      <c r="E4503" s="11">
        <v>125</v>
      </c>
    </row>
    <row r="4504" spans="1:5" x14ac:dyDescent="0.35">
      <c r="A4504" s="6" t="s">
        <v>135</v>
      </c>
      <c r="B4504" s="7"/>
      <c r="C4504" s="7"/>
      <c r="D4504" s="7" t="s">
        <v>149</v>
      </c>
      <c r="E4504" s="8" t="s">
        <v>137</v>
      </c>
    </row>
    <row r="4505" spans="1:5" x14ac:dyDescent="0.35">
      <c r="A4505" s="9" t="s">
        <v>135</v>
      </c>
      <c r="B4505" s="10"/>
      <c r="C4505" s="10" t="s">
        <v>150</v>
      </c>
      <c r="D4505" s="10" t="s">
        <v>147</v>
      </c>
      <c r="E4505" s="11" t="s">
        <v>137</v>
      </c>
    </row>
    <row r="4506" spans="1:5" x14ac:dyDescent="0.35">
      <c r="A4506" s="6" t="s">
        <v>135</v>
      </c>
      <c r="B4506" s="7"/>
      <c r="C4506" s="7"/>
      <c r="D4506" s="7" t="s">
        <v>148</v>
      </c>
      <c r="E4506" s="8" t="s">
        <v>137</v>
      </c>
    </row>
    <row r="4507" spans="1:5" x14ac:dyDescent="0.35">
      <c r="A4507" s="9" t="s">
        <v>135</v>
      </c>
      <c r="B4507" s="10"/>
      <c r="C4507" s="10"/>
      <c r="D4507" s="10" t="s">
        <v>149</v>
      </c>
      <c r="E4507" s="11" t="s">
        <v>137</v>
      </c>
    </row>
    <row r="4508" spans="1:5" x14ac:dyDescent="0.35">
      <c r="A4508" s="6" t="s">
        <v>135</v>
      </c>
      <c r="B4508" s="7" t="s">
        <v>166</v>
      </c>
      <c r="C4508" s="7" t="s">
        <v>146</v>
      </c>
      <c r="D4508" s="7" t="s">
        <v>147</v>
      </c>
      <c r="E4508" s="8">
        <v>1294.81</v>
      </c>
    </row>
    <row r="4509" spans="1:5" x14ac:dyDescent="0.35">
      <c r="A4509" s="9" t="s">
        <v>135</v>
      </c>
      <c r="B4509" s="10"/>
      <c r="C4509" s="10"/>
      <c r="D4509" s="10" t="s">
        <v>148</v>
      </c>
      <c r="E4509" s="11">
        <v>1226.81</v>
      </c>
    </row>
    <row r="4510" spans="1:5" x14ac:dyDescent="0.35">
      <c r="A4510" s="6" t="s">
        <v>135</v>
      </c>
      <c r="B4510" s="7"/>
      <c r="C4510" s="7"/>
      <c r="D4510" s="7" t="s">
        <v>149</v>
      </c>
      <c r="E4510" s="8">
        <v>68</v>
      </c>
    </row>
    <row r="4511" spans="1:5" x14ac:dyDescent="0.35">
      <c r="A4511" s="9" t="s">
        <v>135</v>
      </c>
      <c r="B4511" s="10"/>
      <c r="C4511" s="10" t="s">
        <v>150</v>
      </c>
      <c r="D4511" s="10" t="s">
        <v>147</v>
      </c>
      <c r="E4511" s="11" t="s">
        <v>137</v>
      </c>
    </row>
    <row r="4512" spans="1:5" x14ac:dyDescent="0.35">
      <c r="A4512" s="6" t="s">
        <v>135</v>
      </c>
      <c r="B4512" s="7"/>
      <c r="C4512" s="7"/>
      <c r="D4512" s="7" t="s">
        <v>148</v>
      </c>
      <c r="E4512" s="8" t="s">
        <v>137</v>
      </c>
    </row>
    <row r="4513" spans="1:5" x14ac:dyDescent="0.35">
      <c r="A4513" s="9" t="s">
        <v>135</v>
      </c>
      <c r="B4513" s="10"/>
      <c r="C4513" s="10"/>
      <c r="D4513" s="10" t="s">
        <v>149</v>
      </c>
      <c r="E4513" s="11" t="s">
        <v>137</v>
      </c>
    </row>
    <row r="4514" spans="1:5" x14ac:dyDescent="0.35">
      <c r="A4514" s="6" t="s">
        <v>135</v>
      </c>
      <c r="B4514" s="7" t="s">
        <v>167</v>
      </c>
      <c r="C4514" s="7" t="s">
        <v>146</v>
      </c>
      <c r="D4514" s="7" t="s">
        <v>147</v>
      </c>
      <c r="E4514" s="8" t="s">
        <v>137</v>
      </c>
    </row>
    <row r="4515" spans="1:5" x14ac:dyDescent="0.35">
      <c r="A4515" s="9" t="s">
        <v>135</v>
      </c>
      <c r="B4515" s="10"/>
      <c r="C4515" s="10"/>
      <c r="D4515" s="10" t="s">
        <v>148</v>
      </c>
      <c r="E4515" s="11" t="s">
        <v>137</v>
      </c>
    </row>
    <row r="4516" spans="1:5" x14ac:dyDescent="0.35">
      <c r="A4516" s="6" t="s">
        <v>135</v>
      </c>
      <c r="B4516" s="7"/>
      <c r="C4516" s="7"/>
      <c r="D4516" s="7" t="s">
        <v>149</v>
      </c>
      <c r="E4516" s="8" t="s">
        <v>137</v>
      </c>
    </row>
    <row r="4517" spans="1:5" x14ac:dyDescent="0.35">
      <c r="A4517" s="9" t="s">
        <v>135</v>
      </c>
      <c r="B4517" s="10"/>
      <c r="C4517" s="10" t="s">
        <v>150</v>
      </c>
      <c r="D4517" s="10" t="s">
        <v>147</v>
      </c>
      <c r="E4517" s="11" t="s">
        <v>137</v>
      </c>
    </row>
    <row r="4518" spans="1:5" x14ac:dyDescent="0.35">
      <c r="A4518" s="6" t="s">
        <v>135</v>
      </c>
      <c r="B4518" s="7"/>
      <c r="C4518" s="7"/>
      <c r="D4518" s="7" t="s">
        <v>148</v>
      </c>
      <c r="E4518" s="8" t="s">
        <v>137</v>
      </c>
    </row>
    <row r="4519" spans="1:5" x14ac:dyDescent="0.35">
      <c r="A4519" s="9" t="s">
        <v>135</v>
      </c>
      <c r="B4519" s="10"/>
      <c r="C4519" s="10"/>
      <c r="D4519" s="10" t="s">
        <v>149</v>
      </c>
      <c r="E4519" s="11" t="s">
        <v>137</v>
      </c>
    </row>
    <row r="4520" spans="1:5" x14ac:dyDescent="0.35">
      <c r="A4520" s="6" t="s">
        <v>135</v>
      </c>
      <c r="B4520" s="7" t="s">
        <v>168</v>
      </c>
      <c r="C4520" s="7" t="s">
        <v>146</v>
      </c>
      <c r="D4520" s="7" t="s">
        <v>147</v>
      </c>
      <c r="E4520" s="8" t="s">
        <v>137</v>
      </c>
    </row>
    <row r="4521" spans="1:5" x14ac:dyDescent="0.35">
      <c r="A4521" s="9" t="s">
        <v>135</v>
      </c>
      <c r="B4521" s="10"/>
      <c r="C4521" s="10"/>
      <c r="D4521" s="10" t="s">
        <v>148</v>
      </c>
      <c r="E4521" s="11" t="s">
        <v>137</v>
      </c>
    </row>
    <row r="4522" spans="1:5" x14ac:dyDescent="0.35">
      <c r="A4522" s="6" t="s">
        <v>135</v>
      </c>
      <c r="B4522" s="7"/>
      <c r="C4522" s="7"/>
      <c r="D4522" s="7" t="s">
        <v>149</v>
      </c>
      <c r="E4522" s="8" t="s">
        <v>137</v>
      </c>
    </row>
    <row r="4523" spans="1:5" x14ac:dyDescent="0.35">
      <c r="A4523" s="9" t="s">
        <v>135</v>
      </c>
      <c r="B4523" s="10"/>
      <c r="C4523" s="10" t="s">
        <v>150</v>
      </c>
      <c r="D4523" s="10" t="s">
        <v>147</v>
      </c>
      <c r="E4523" s="11" t="s">
        <v>137</v>
      </c>
    </row>
    <row r="4524" spans="1:5" x14ac:dyDescent="0.35">
      <c r="A4524" s="6" t="s">
        <v>135</v>
      </c>
      <c r="B4524" s="7"/>
      <c r="C4524" s="7"/>
      <c r="D4524" s="7" t="s">
        <v>148</v>
      </c>
      <c r="E4524" s="8" t="s">
        <v>137</v>
      </c>
    </row>
    <row r="4525" spans="1:5" x14ac:dyDescent="0.35">
      <c r="A4525" s="9" t="s">
        <v>135</v>
      </c>
      <c r="B4525" s="10"/>
      <c r="C4525" s="10"/>
      <c r="D4525" s="10" t="s">
        <v>149</v>
      </c>
      <c r="E4525" s="11" t="s">
        <v>137</v>
      </c>
    </row>
    <row r="4526" spans="1:5" x14ac:dyDescent="0.35">
      <c r="A4526" s="6" t="s">
        <v>135</v>
      </c>
      <c r="B4526" s="7" t="s">
        <v>169</v>
      </c>
      <c r="C4526" s="7" t="s">
        <v>146</v>
      </c>
      <c r="D4526" s="7" t="s">
        <v>147</v>
      </c>
      <c r="E4526" s="8" t="s">
        <v>137</v>
      </c>
    </row>
    <row r="4527" spans="1:5" x14ac:dyDescent="0.35">
      <c r="A4527" s="9" t="s">
        <v>135</v>
      </c>
      <c r="B4527" s="10"/>
      <c r="C4527" s="10"/>
      <c r="D4527" s="10" t="s">
        <v>148</v>
      </c>
      <c r="E4527" s="11" t="s">
        <v>137</v>
      </c>
    </row>
    <row r="4528" spans="1:5" x14ac:dyDescent="0.35">
      <c r="A4528" s="6" t="s">
        <v>135</v>
      </c>
      <c r="B4528" s="7"/>
      <c r="C4528" s="7"/>
      <c r="D4528" s="7" t="s">
        <v>149</v>
      </c>
      <c r="E4528" s="8" t="s">
        <v>137</v>
      </c>
    </row>
    <row r="4529" spans="1:5" x14ac:dyDescent="0.35">
      <c r="A4529" s="9" t="s">
        <v>135</v>
      </c>
      <c r="B4529" s="10"/>
      <c r="C4529" s="10" t="s">
        <v>150</v>
      </c>
      <c r="D4529" s="10" t="s">
        <v>147</v>
      </c>
      <c r="E4529" s="11" t="s">
        <v>137</v>
      </c>
    </row>
    <row r="4530" spans="1:5" x14ac:dyDescent="0.35">
      <c r="A4530" s="6" t="s">
        <v>135</v>
      </c>
      <c r="B4530" s="7"/>
      <c r="C4530" s="7"/>
      <c r="D4530" s="7" t="s">
        <v>148</v>
      </c>
      <c r="E4530" s="8" t="s">
        <v>137</v>
      </c>
    </row>
    <row r="4531" spans="1:5" x14ac:dyDescent="0.35">
      <c r="A4531" s="9" t="s">
        <v>135</v>
      </c>
      <c r="B4531" s="10"/>
      <c r="C4531" s="10"/>
      <c r="D4531" s="10" t="s">
        <v>149</v>
      </c>
      <c r="E4531" s="11" t="s">
        <v>137</v>
      </c>
    </row>
    <row r="4532" spans="1:5" x14ac:dyDescent="0.35">
      <c r="A4532" s="6" t="s">
        <v>135</v>
      </c>
      <c r="B4532" s="7" t="s">
        <v>170</v>
      </c>
      <c r="C4532" s="7" t="s">
        <v>146</v>
      </c>
      <c r="D4532" s="7" t="s">
        <v>147</v>
      </c>
      <c r="E4532" s="8" t="s">
        <v>137</v>
      </c>
    </row>
    <row r="4533" spans="1:5" x14ac:dyDescent="0.35">
      <c r="A4533" s="9" t="s">
        <v>135</v>
      </c>
      <c r="B4533" s="10"/>
      <c r="C4533" s="10"/>
      <c r="D4533" s="10" t="s">
        <v>148</v>
      </c>
      <c r="E4533" s="11" t="s">
        <v>137</v>
      </c>
    </row>
    <row r="4534" spans="1:5" x14ac:dyDescent="0.35">
      <c r="A4534" s="6" t="s">
        <v>135</v>
      </c>
      <c r="B4534" s="7"/>
      <c r="C4534" s="7"/>
      <c r="D4534" s="7" t="s">
        <v>149</v>
      </c>
      <c r="E4534" s="8" t="s">
        <v>137</v>
      </c>
    </row>
    <row r="4535" spans="1:5" x14ac:dyDescent="0.35">
      <c r="A4535" s="9" t="s">
        <v>135</v>
      </c>
      <c r="B4535" s="10"/>
      <c r="C4535" s="10" t="s">
        <v>150</v>
      </c>
      <c r="D4535" s="10" t="s">
        <v>147</v>
      </c>
      <c r="E4535" s="11" t="s">
        <v>137</v>
      </c>
    </row>
    <row r="4536" spans="1:5" x14ac:dyDescent="0.35">
      <c r="A4536" s="6" t="s">
        <v>135</v>
      </c>
      <c r="B4536" s="7"/>
      <c r="C4536" s="7"/>
      <c r="D4536" s="7" t="s">
        <v>148</v>
      </c>
      <c r="E4536" s="8" t="s">
        <v>137</v>
      </c>
    </row>
    <row r="4537" spans="1:5" x14ac:dyDescent="0.35">
      <c r="A4537" s="9" t="s">
        <v>135</v>
      </c>
      <c r="B4537" s="10"/>
      <c r="C4537" s="10"/>
      <c r="D4537" s="10" t="s">
        <v>149</v>
      </c>
      <c r="E4537" s="11" t="s">
        <v>137</v>
      </c>
    </row>
    <row r="4538" spans="1:5" x14ac:dyDescent="0.35">
      <c r="A4538" s="6" t="s">
        <v>111</v>
      </c>
      <c r="B4538" s="7" t="s">
        <v>145</v>
      </c>
      <c r="C4538" s="7" t="s">
        <v>146</v>
      </c>
      <c r="D4538" s="7" t="s">
        <v>147</v>
      </c>
      <c r="E4538" s="8">
        <v>23.75</v>
      </c>
    </row>
    <row r="4539" spans="1:5" x14ac:dyDescent="0.35">
      <c r="A4539" s="9" t="s">
        <v>135</v>
      </c>
      <c r="B4539" s="10"/>
      <c r="C4539" s="10"/>
      <c r="D4539" s="10" t="s">
        <v>148</v>
      </c>
      <c r="E4539" s="11">
        <v>19.2</v>
      </c>
    </row>
    <row r="4540" spans="1:5" x14ac:dyDescent="0.35">
      <c r="A4540" s="6" t="s">
        <v>135</v>
      </c>
      <c r="B4540" s="7"/>
      <c r="C4540" s="7"/>
      <c r="D4540" s="7" t="s">
        <v>149</v>
      </c>
      <c r="E4540" s="8">
        <v>4.55</v>
      </c>
    </row>
    <row r="4541" spans="1:5" x14ac:dyDescent="0.35">
      <c r="A4541" s="9" t="s">
        <v>135</v>
      </c>
      <c r="B4541" s="10"/>
      <c r="C4541" s="10" t="s">
        <v>150</v>
      </c>
      <c r="D4541" s="10" t="s">
        <v>147</v>
      </c>
      <c r="E4541" s="11" t="s">
        <v>137</v>
      </c>
    </row>
    <row r="4542" spans="1:5" x14ac:dyDescent="0.35">
      <c r="A4542" s="6" t="s">
        <v>135</v>
      </c>
      <c r="B4542" s="7"/>
      <c r="C4542" s="7"/>
      <c r="D4542" s="7" t="s">
        <v>148</v>
      </c>
      <c r="E4542" s="8" t="s">
        <v>137</v>
      </c>
    </row>
    <row r="4543" spans="1:5" x14ac:dyDescent="0.35">
      <c r="A4543" s="9" t="s">
        <v>135</v>
      </c>
      <c r="B4543" s="10"/>
      <c r="C4543" s="10"/>
      <c r="D4543" s="10" t="s">
        <v>149</v>
      </c>
      <c r="E4543" s="11" t="s">
        <v>137</v>
      </c>
    </row>
    <row r="4544" spans="1:5" x14ac:dyDescent="0.35">
      <c r="A4544" s="6" t="s">
        <v>135</v>
      </c>
      <c r="B4544" s="7" t="s">
        <v>151</v>
      </c>
      <c r="C4544" s="7" t="s">
        <v>146</v>
      </c>
      <c r="D4544" s="7" t="s">
        <v>147</v>
      </c>
      <c r="E4544" s="8">
        <v>17.75</v>
      </c>
    </row>
    <row r="4545" spans="1:5" x14ac:dyDescent="0.35">
      <c r="A4545" s="9" t="s">
        <v>135</v>
      </c>
      <c r="B4545" s="10"/>
      <c r="C4545" s="10"/>
      <c r="D4545" s="10" t="s">
        <v>148</v>
      </c>
      <c r="E4545" s="11">
        <v>13.2</v>
      </c>
    </row>
    <row r="4546" spans="1:5" x14ac:dyDescent="0.35">
      <c r="A4546" s="6" t="s">
        <v>135</v>
      </c>
      <c r="B4546" s="7"/>
      <c r="C4546" s="7"/>
      <c r="D4546" s="7" t="s">
        <v>149</v>
      </c>
      <c r="E4546" s="8">
        <v>4.55</v>
      </c>
    </row>
    <row r="4547" spans="1:5" x14ac:dyDescent="0.35">
      <c r="A4547" s="9" t="s">
        <v>135</v>
      </c>
      <c r="B4547" s="10"/>
      <c r="C4547" s="10" t="s">
        <v>150</v>
      </c>
      <c r="D4547" s="10" t="s">
        <v>147</v>
      </c>
      <c r="E4547" s="11" t="s">
        <v>137</v>
      </c>
    </row>
    <row r="4548" spans="1:5" x14ac:dyDescent="0.35">
      <c r="A4548" s="6" t="s">
        <v>135</v>
      </c>
      <c r="B4548" s="7"/>
      <c r="C4548" s="7"/>
      <c r="D4548" s="7" t="s">
        <v>148</v>
      </c>
      <c r="E4548" s="8" t="s">
        <v>137</v>
      </c>
    </row>
    <row r="4549" spans="1:5" x14ac:dyDescent="0.35">
      <c r="A4549" s="9" t="s">
        <v>135</v>
      </c>
      <c r="B4549" s="10"/>
      <c r="C4549" s="10"/>
      <c r="D4549" s="10" t="s">
        <v>149</v>
      </c>
      <c r="E4549" s="11" t="s">
        <v>137</v>
      </c>
    </row>
    <row r="4550" spans="1:5" x14ac:dyDescent="0.35">
      <c r="A4550" s="6" t="s">
        <v>135</v>
      </c>
      <c r="B4550" s="7" t="s">
        <v>152</v>
      </c>
      <c r="C4550" s="7" t="s">
        <v>146</v>
      </c>
      <c r="D4550" s="7" t="s">
        <v>147</v>
      </c>
      <c r="E4550" s="8" t="s">
        <v>137</v>
      </c>
    </row>
    <row r="4551" spans="1:5" x14ac:dyDescent="0.35">
      <c r="A4551" s="9" t="s">
        <v>135</v>
      </c>
      <c r="B4551" s="10"/>
      <c r="C4551" s="10"/>
      <c r="D4551" s="10" t="s">
        <v>148</v>
      </c>
      <c r="E4551" s="11" t="s">
        <v>137</v>
      </c>
    </row>
    <row r="4552" spans="1:5" x14ac:dyDescent="0.35">
      <c r="A4552" s="6" t="s">
        <v>135</v>
      </c>
      <c r="B4552" s="7"/>
      <c r="C4552" s="7"/>
      <c r="D4552" s="7" t="s">
        <v>149</v>
      </c>
      <c r="E4552" s="8" t="s">
        <v>137</v>
      </c>
    </row>
    <row r="4553" spans="1:5" x14ac:dyDescent="0.35">
      <c r="A4553" s="9" t="s">
        <v>135</v>
      </c>
      <c r="B4553" s="10"/>
      <c r="C4553" s="10" t="s">
        <v>150</v>
      </c>
      <c r="D4553" s="10" t="s">
        <v>147</v>
      </c>
      <c r="E4553" s="11" t="s">
        <v>137</v>
      </c>
    </row>
    <row r="4554" spans="1:5" x14ac:dyDescent="0.35">
      <c r="A4554" s="6" t="s">
        <v>135</v>
      </c>
      <c r="B4554" s="7"/>
      <c r="C4554" s="7"/>
      <c r="D4554" s="7" t="s">
        <v>148</v>
      </c>
      <c r="E4554" s="8" t="s">
        <v>137</v>
      </c>
    </row>
    <row r="4555" spans="1:5" x14ac:dyDescent="0.35">
      <c r="A4555" s="9" t="s">
        <v>135</v>
      </c>
      <c r="B4555" s="10"/>
      <c r="C4555" s="10"/>
      <c r="D4555" s="10" t="s">
        <v>149</v>
      </c>
      <c r="E4555" s="11" t="s">
        <v>137</v>
      </c>
    </row>
    <row r="4556" spans="1:5" x14ac:dyDescent="0.35">
      <c r="A4556" s="6" t="s">
        <v>135</v>
      </c>
      <c r="B4556" s="7" t="s">
        <v>153</v>
      </c>
      <c r="C4556" s="7" t="s">
        <v>146</v>
      </c>
      <c r="D4556" s="7" t="s">
        <v>147</v>
      </c>
      <c r="E4556" s="8">
        <v>6</v>
      </c>
    </row>
    <row r="4557" spans="1:5" x14ac:dyDescent="0.35">
      <c r="A4557" s="9" t="s">
        <v>135</v>
      </c>
      <c r="B4557" s="10"/>
      <c r="C4557" s="10"/>
      <c r="D4557" s="10" t="s">
        <v>148</v>
      </c>
      <c r="E4557" s="11">
        <v>6</v>
      </c>
    </row>
    <row r="4558" spans="1:5" x14ac:dyDescent="0.35">
      <c r="A4558" s="6" t="s">
        <v>135</v>
      </c>
      <c r="B4558" s="7"/>
      <c r="C4558" s="7"/>
      <c r="D4558" s="7" t="s">
        <v>149</v>
      </c>
      <c r="E4558" s="8" t="s">
        <v>137</v>
      </c>
    </row>
    <row r="4559" spans="1:5" x14ac:dyDescent="0.35">
      <c r="A4559" s="9" t="s">
        <v>135</v>
      </c>
      <c r="B4559" s="10"/>
      <c r="C4559" s="10" t="s">
        <v>150</v>
      </c>
      <c r="D4559" s="10" t="s">
        <v>147</v>
      </c>
      <c r="E4559" s="11" t="s">
        <v>137</v>
      </c>
    </row>
    <row r="4560" spans="1:5" x14ac:dyDescent="0.35">
      <c r="A4560" s="6" t="s">
        <v>135</v>
      </c>
      <c r="B4560" s="7"/>
      <c r="C4560" s="7"/>
      <c r="D4560" s="7" t="s">
        <v>148</v>
      </c>
      <c r="E4560" s="8" t="s">
        <v>137</v>
      </c>
    </row>
    <row r="4561" spans="1:5" x14ac:dyDescent="0.35">
      <c r="A4561" s="9" t="s">
        <v>135</v>
      </c>
      <c r="B4561" s="10"/>
      <c r="C4561" s="10"/>
      <c r="D4561" s="10" t="s">
        <v>149</v>
      </c>
      <c r="E4561" s="11" t="s">
        <v>137</v>
      </c>
    </row>
    <row r="4562" spans="1:5" x14ac:dyDescent="0.35">
      <c r="A4562" s="6" t="s">
        <v>135</v>
      </c>
      <c r="B4562" s="7" t="s">
        <v>154</v>
      </c>
      <c r="C4562" s="7" t="s">
        <v>146</v>
      </c>
      <c r="D4562" s="7" t="s">
        <v>147</v>
      </c>
      <c r="E4562" s="8" t="s">
        <v>137</v>
      </c>
    </row>
    <row r="4563" spans="1:5" x14ac:dyDescent="0.35">
      <c r="A4563" s="9" t="s">
        <v>135</v>
      </c>
      <c r="B4563" s="10"/>
      <c r="C4563" s="10"/>
      <c r="D4563" s="10" t="s">
        <v>148</v>
      </c>
      <c r="E4563" s="11" t="s">
        <v>137</v>
      </c>
    </row>
    <row r="4564" spans="1:5" x14ac:dyDescent="0.35">
      <c r="A4564" s="6" t="s">
        <v>135</v>
      </c>
      <c r="B4564" s="7"/>
      <c r="C4564" s="7"/>
      <c r="D4564" s="7" t="s">
        <v>149</v>
      </c>
      <c r="E4564" s="8" t="s">
        <v>137</v>
      </c>
    </row>
    <row r="4565" spans="1:5" x14ac:dyDescent="0.35">
      <c r="A4565" s="9" t="s">
        <v>135</v>
      </c>
      <c r="B4565" s="10"/>
      <c r="C4565" s="10" t="s">
        <v>150</v>
      </c>
      <c r="D4565" s="10" t="s">
        <v>147</v>
      </c>
      <c r="E4565" s="11" t="s">
        <v>137</v>
      </c>
    </row>
    <row r="4566" spans="1:5" x14ac:dyDescent="0.35">
      <c r="A4566" s="6" t="s">
        <v>135</v>
      </c>
      <c r="B4566" s="7"/>
      <c r="C4566" s="7"/>
      <c r="D4566" s="7" t="s">
        <v>148</v>
      </c>
      <c r="E4566" s="8" t="s">
        <v>137</v>
      </c>
    </row>
    <row r="4567" spans="1:5" x14ac:dyDescent="0.35">
      <c r="A4567" s="9" t="s">
        <v>135</v>
      </c>
      <c r="B4567" s="10"/>
      <c r="C4567" s="10"/>
      <c r="D4567" s="10" t="s">
        <v>149</v>
      </c>
      <c r="E4567" s="11" t="s">
        <v>137</v>
      </c>
    </row>
    <row r="4568" spans="1:5" x14ac:dyDescent="0.35">
      <c r="A4568" s="6" t="s">
        <v>135</v>
      </c>
      <c r="B4568" s="7" t="s">
        <v>155</v>
      </c>
      <c r="C4568" s="7" t="s">
        <v>146</v>
      </c>
      <c r="D4568" s="7" t="s">
        <v>147</v>
      </c>
      <c r="E4568" s="8" t="s">
        <v>137</v>
      </c>
    </row>
    <row r="4569" spans="1:5" x14ac:dyDescent="0.35">
      <c r="A4569" s="9" t="s">
        <v>135</v>
      </c>
      <c r="B4569" s="10"/>
      <c r="C4569" s="10"/>
      <c r="D4569" s="10" t="s">
        <v>148</v>
      </c>
      <c r="E4569" s="11" t="s">
        <v>137</v>
      </c>
    </row>
    <row r="4570" spans="1:5" x14ac:dyDescent="0.35">
      <c r="A4570" s="6" t="s">
        <v>135</v>
      </c>
      <c r="B4570" s="7"/>
      <c r="C4570" s="7"/>
      <c r="D4570" s="7" t="s">
        <v>149</v>
      </c>
      <c r="E4570" s="8" t="s">
        <v>137</v>
      </c>
    </row>
    <row r="4571" spans="1:5" x14ac:dyDescent="0.35">
      <c r="A4571" s="9" t="s">
        <v>135</v>
      </c>
      <c r="B4571" s="10"/>
      <c r="C4571" s="10" t="s">
        <v>150</v>
      </c>
      <c r="D4571" s="10" t="s">
        <v>147</v>
      </c>
      <c r="E4571" s="11" t="s">
        <v>137</v>
      </c>
    </row>
    <row r="4572" spans="1:5" x14ac:dyDescent="0.35">
      <c r="A4572" s="6" t="s">
        <v>135</v>
      </c>
      <c r="B4572" s="7"/>
      <c r="C4572" s="7"/>
      <c r="D4572" s="7" t="s">
        <v>148</v>
      </c>
      <c r="E4572" s="8" t="s">
        <v>137</v>
      </c>
    </row>
    <row r="4573" spans="1:5" x14ac:dyDescent="0.35">
      <c r="A4573" s="9" t="s">
        <v>135</v>
      </c>
      <c r="B4573" s="10"/>
      <c r="C4573" s="10"/>
      <c r="D4573" s="10" t="s">
        <v>149</v>
      </c>
      <c r="E4573" s="11" t="s">
        <v>137</v>
      </c>
    </row>
    <row r="4574" spans="1:5" x14ac:dyDescent="0.35">
      <c r="A4574" s="6" t="s">
        <v>135</v>
      </c>
      <c r="B4574" s="7" t="s">
        <v>156</v>
      </c>
      <c r="C4574" s="7" t="s">
        <v>146</v>
      </c>
      <c r="D4574" s="7" t="s">
        <v>147</v>
      </c>
      <c r="E4574" s="8" t="s">
        <v>137</v>
      </c>
    </row>
    <row r="4575" spans="1:5" x14ac:dyDescent="0.35">
      <c r="A4575" s="9" t="s">
        <v>135</v>
      </c>
      <c r="B4575" s="10"/>
      <c r="C4575" s="10"/>
      <c r="D4575" s="10" t="s">
        <v>148</v>
      </c>
      <c r="E4575" s="11" t="s">
        <v>137</v>
      </c>
    </row>
    <row r="4576" spans="1:5" x14ac:dyDescent="0.35">
      <c r="A4576" s="6" t="s">
        <v>135</v>
      </c>
      <c r="B4576" s="7"/>
      <c r="C4576" s="7"/>
      <c r="D4576" s="7" t="s">
        <v>149</v>
      </c>
      <c r="E4576" s="8" t="s">
        <v>137</v>
      </c>
    </row>
    <row r="4577" spans="1:5" x14ac:dyDescent="0.35">
      <c r="A4577" s="9" t="s">
        <v>135</v>
      </c>
      <c r="B4577" s="10"/>
      <c r="C4577" s="10" t="s">
        <v>150</v>
      </c>
      <c r="D4577" s="10" t="s">
        <v>147</v>
      </c>
      <c r="E4577" s="11" t="s">
        <v>137</v>
      </c>
    </row>
    <row r="4578" spans="1:5" x14ac:dyDescent="0.35">
      <c r="A4578" s="6" t="s">
        <v>135</v>
      </c>
      <c r="B4578" s="7"/>
      <c r="C4578" s="7"/>
      <c r="D4578" s="7" t="s">
        <v>148</v>
      </c>
      <c r="E4578" s="8" t="s">
        <v>137</v>
      </c>
    </row>
    <row r="4579" spans="1:5" x14ac:dyDescent="0.35">
      <c r="A4579" s="9" t="s">
        <v>135</v>
      </c>
      <c r="B4579" s="10"/>
      <c r="C4579" s="10"/>
      <c r="D4579" s="10" t="s">
        <v>149</v>
      </c>
      <c r="E4579" s="11" t="s">
        <v>137</v>
      </c>
    </row>
    <row r="4580" spans="1:5" x14ac:dyDescent="0.35">
      <c r="A4580" s="6" t="s">
        <v>135</v>
      </c>
      <c r="B4580" s="7" t="s">
        <v>157</v>
      </c>
      <c r="C4580" s="7" t="s">
        <v>146</v>
      </c>
      <c r="D4580" s="7" t="s">
        <v>147</v>
      </c>
      <c r="E4580" s="8" t="s">
        <v>137</v>
      </c>
    </row>
    <row r="4581" spans="1:5" x14ac:dyDescent="0.35">
      <c r="A4581" s="9" t="s">
        <v>135</v>
      </c>
      <c r="B4581" s="10"/>
      <c r="C4581" s="10"/>
      <c r="D4581" s="10" t="s">
        <v>148</v>
      </c>
      <c r="E4581" s="11" t="s">
        <v>137</v>
      </c>
    </row>
    <row r="4582" spans="1:5" x14ac:dyDescent="0.35">
      <c r="A4582" s="6" t="s">
        <v>135</v>
      </c>
      <c r="B4582" s="7"/>
      <c r="C4582" s="7"/>
      <c r="D4582" s="7" t="s">
        <v>149</v>
      </c>
      <c r="E4582" s="8" t="s">
        <v>137</v>
      </c>
    </row>
    <row r="4583" spans="1:5" x14ac:dyDescent="0.35">
      <c r="A4583" s="9" t="s">
        <v>135</v>
      </c>
      <c r="B4583" s="10"/>
      <c r="C4583" s="10" t="s">
        <v>150</v>
      </c>
      <c r="D4583" s="10" t="s">
        <v>147</v>
      </c>
      <c r="E4583" s="11" t="s">
        <v>137</v>
      </c>
    </row>
    <row r="4584" spans="1:5" x14ac:dyDescent="0.35">
      <c r="A4584" s="6" t="s">
        <v>135</v>
      </c>
      <c r="B4584" s="7"/>
      <c r="C4584" s="7"/>
      <c r="D4584" s="7" t="s">
        <v>148</v>
      </c>
      <c r="E4584" s="8" t="s">
        <v>137</v>
      </c>
    </row>
    <row r="4585" spans="1:5" x14ac:dyDescent="0.35">
      <c r="A4585" s="9" t="s">
        <v>135</v>
      </c>
      <c r="B4585" s="10"/>
      <c r="C4585" s="10"/>
      <c r="D4585" s="10" t="s">
        <v>149</v>
      </c>
      <c r="E4585" s="11" t="s">
        <v>137</v>
      </c>
    </row>
    <row r="4586" spans="1:5" x14ac:dyDescent="0.35">
      <c r="A4586" s="6" t="s">
        <v>135</v>
      </c>
      <c r="B4586" s="7" t="s">
        <v>158</v>
      </c>
      <c r="C4586" s="7" t="s">
        <v>146</v>
      </c>
      <c r="D4586" s="7" t="s">
        <v>147</v>
      </c>
      <c r="E4586" s="8" t="s">
        <v>137</v>
      </c>
    </row>
    <row r="4587" spans="1:5" x14ac:dyDescent="0.35">
      <c r="A4587" s="9" t="s">
        <v>135</v>
      </c>
      <c r="B4587" s="10"/>
      <c r="C4587" s="10"/>
      <c r="D4587" s="10" t="s">
        <v>148</v>
      </c>
      <c r="E4587" s="11" t="s">
        <v>137</v>
      </c>
    </row>
    <row r="4588" spans="1:5" x14ac:dyDescent="0.35">
      <c r="A4588" s="6" t="s">
        <v>135</v>
      </c>
      <c r="B4588" s="7"/>
      <c r="C4588" s="7"/>
      <c r="D4588" s="7" t="s">
        <v>149</v>
      </c>
      <c r="E4588" s="8" t="s">
        <v>137</v>
      </c>
    </row>
    <row r="4589" spans="1:5" x14ac:dyDescent="0.35">
      <c r="A4589" s="9" t="s">
        <v>135</v>
      </c>
      <c r="B4589" s="10"/>
      <c r="C4589" s="10" t="s">
        <v>150</v>
      </c>
      <c r="D4589" s="10" t="s">
        <v>147</v>
      </c>
      <c r="E4589" s="11" t="s">
        <v>137</v>
      </c>
    </row>
    <row r="4590" spans="1:5" x14ac:dyDescent="0.35">
      <c r="A4590" s="6" t="s">
        <v>135</v>
      </c>
      <c r="B4590" s="7"/>
      <c r="C4590" s="7"/>
      <c r="D4590" s="7" t="s">
        <v>148</v>
      </c>
      <c r="E4590" s="8" t="s">
        <v>137</v>
      </c>
    </row>
    <row r="4591" spans="1:5" x14ac:dyDescent="0.35">
      <c r="A4591" s="9" t="s">
        <v>135</v>
      </c>
      <c r="B4591" s="10"/>
      <c r="C4591" s="10"/>
      <c r="D4591" s="10" t="s">
        <v>149</v>
      </c>
      <c r="E4591" s="11" t="s">
        <v>137</v>
      </c>
    </row>
    <row r="4592" spans="1:5" x14ac:dyDescent="0.35">
      <c r="A4592" s="6" t="s">
        <v>135</v>
      </c>
      <c r="B4592" s="7" t="s">
        <v>159</v>
      </c>
      <c r="C4592" s="7" t="s">
        <v>146</v>
      </c>
      <c r="D4592" s="7" t="s">
        <v>147</v>
      </c>
      <c r="E4592" s="8" t="s">
        <v>137</v>
      </c>
    </row>
    <row r="4593" spans="1:5" x14ac:dyDescent="0.35">
      <c r="A4593" s="9" t="s">
        <v>135</v>
      </c>
      <c r="B4593" s="10"/>
      <c r="C4593" s="10"/>
      <c r="D4593" s="10" t="s">
        <v>148</v>
      </c>
      <c r="E4593" s="11" t="s">
        <v>137</v>
      </c>
    </row>
    <row r="4594" spans="1:5" x14ac:dyDescent="0.35">
      <c r="A4594" s="6" t="s">
        <v>135</v>
      </c>
      <c r="B4594" s="7"/>
      <c r="C4594" s="7"/>
      <c r="D4594" s="7" t="s">
        <v>149</v>
      </c>
      <c r="E4594" s="8" t="s">
        <v>137</v>
      </c>
    </row>
    <row r="4595" spans="1:5" x14ac:dyDescent="0.35">
      <c r="A4595" s="9" t="s">
        <v>135</v>
      </c>
      <c r="B4595" s="10"/>
      <c r="C4595" s="10" t="s">
        <v>150</v>
      </c>
      <c r="D4595" s="10" t="s">
        <v>147</v>
      </c>
      <c r="E4595" s="11" t="s">
        <v>137</v>
      </c>
    </row>
    <row r="4596" spans="1:5" x14ac:dyDescent="0.35">
      <c r="A4596" s="6" t="s">
        <v>135</v>
      </c>
      <c r="B4596" s="7"/>
      <c r="C4596" s="7"/>
      <c r="D4596" s="7" t="s">
        <v>148</v>
      </c>
      <c r="E4596" s="8" t="s">
        <v>137</v>
      </c>
    </row>
    <row r="4597" spans="1:5" x14ac:dyDescent="0.35">
      <c r="A4597" s="9" t="s">
        <v>135</v>
      </c>
      <c r="B4597" s="10"/>
      <c r="C4597" s="10"/>
      <c r="D4597" s="10" t="s">
        <v>149</v>
      </c>
      <c r="E4597" s="11" t="s">
        <v>137</v>
      </c>
    </row>
    <row r="4598" spans="1:5" x14ac:dyDescent="0.35">
      <c r="A4598" s="6" t="s">
        <v>135</v>
      </c>
      <c r="B4598" s="7" t="s">
        <v>160</v>
      </c>
      <c r="C4598" s="7" t="s">
        <v>146</v>
      </c>
      <c r="D4598" s="7" t="s">
        <v>147</v>
      </c>
      <c r="E4598" s="8" t="s">
        <v>137</v>
      </c>
    </row>
    <row r="4599" spans="1:5" x14ac:dyDescent="0.35">
      <c r="A4599" s="9" t="s">
        <v>135</v>
      </c>
      <c r="B4599" s="10"/>
      <c r="C4599" s="10"/>
      <c r="D4599" s="10" t="s">
        <v>148</v>
      </c>
      <c r="E4599" s="11" t="s">
        <v>137</v>
      </c>
    </row>
    <row r="4600" spans="1:5" x14ac:dyDescent="0.35">
      <c r="A4600" s="6" t="s">
        <v>135</v>
      </c>
      <c r="B4600" s="7"/>
      <c r="C4600" s="7"/>
      <c r="D4600" s="7" t="s">
        <v>149</v>
      </c>
      <c r="E4600" s="8" t="s">
        <v>137</v>
      </c>
    </row>
    <row r="4601" spans="1:5" x14ac:dyDescent="0.35">
      <c r="A4601" s="9" t="s">
        <v>135</v>
      </c>
      <c r="B4601" s="10"/>
      <c r="C4601" s="10" t="s">
        <v>150</v>
      </c>
      <c r="D4601" s="10" t="s">
        <v>147</v>
      </c>
      <c r="E4601" s="11" t="s">
        <v>137</v>
      </c>
    </row>
    <row r="4602" spans="1:5" x14ac:dyDescent="0.35">
      <c r="A4602" s="6" t="s">
        <v>135</v>
      </c>
      <c r="B4602" s="7"/>
      <c r="C4602" s="7"/>
      <c r="D4602" s="7" t="s">
        <v>148</v>
      </c>
      <c r="E4602" s="8" t="s">
        <v>137</v>
      </c>
    </row>
    <row r="4603" spans="1:5" x14ac:dyDescent="0.35">
      <c r="A4603" s="9" t="s">
        <v>135</v>
      </c>
      <c r="B4603" s="10"/>
      <c r="C4603" s="10"/>
      <c r="D4603" s="10" t="s">
        <v>149</v>
      </c>
      <c r="E4603" s="11" t="s">
        <v>137</v>
      </c>
    </row>
    <row r="4604" spans="1:5" x14ac:dyDescent="0.35">
      <c r="A4604" s="6" t="s">
        <v>135</v>
      </c>
      <c r="B4604" s="7" t="s">
        <v>161</v>
      </c>
      <c r="C4604" s="7" t="s">
        <v>146</v>
      </c>
      <c r="D4604" s="7" t="s">
        <v>147</v>
      </c>
      <c r="E4604" s="8" t="s">
        <v>137</v>
      </c>
    </row>
    <row r="4605" spans="1:5" x14ac:dyDescent="0.35">
      <c r="A4605" s="9" t="s">
        <v>135</v>
      </c>
      <c r="B4605" s="10"/>
      <c r="C4605" s="10"/>
      <c r="D4605" s="10" t="s">
        <v>148</v>
      </c>
      <c r="E4605" s="11" t="s">
        <v>137</v>
      </c>
    </row>
    <row r="4606" spans="1:5" x14ac:dyDescent="0.35">
      <c r="A4606" s="6" t="s">
        <v>135</v>
      </c>
      <c r="B4606" s="7"/>
      <c r="C4606" s="7"/>
      <c r="D4606" s="7" t="s">
        <v>149</v>
      </c>
      <c r="E4606" s="8" t="s">
        <v>137</v>
      </c>
    </row>
    <row r="4607" spans="1:5" x14ac:dyDescent="0.35">
      <c r="A4607" s="9" t="s">
        <v>135</v>
      </c>
      <c r="B4607" s="10"/>
      <c r="C4607" s="10" t="s">
        <v>150</v>
      </c>
      <c r="D4607" s="10" t="s">
        <v>147</v>
      </c>
      <c r="E4607" s="11" t="s">
        <v>137</v>
      </c>
    </row>
    <row r="4608" spans="1:5" x14ac:dyDescent="0.35">
      <c r="A4608" s="6" t="s">
        <v>135</v>
      </c>
      <c r="B4608" s="7"/>
      <c r="C4608" s="7"/>
      <c r="D4608" s="7" t="s">
        <v>148</v>
      </c>
      <c r="E4608" s="8" t="s">
        <v>137</v>
      </c>
    </row>
    <row r="4609" spans="1:5" x14ac:dyDescent="0.35">
      <c r="A4609" s="9" t="s">
        <v>135</v>
      </c>
      <c r="B4609" s="10"/>
      <c r="C4609" s="10"/>
      <c r="D4609" s="10" t="s">
        <v>149</v>
      </c>
      <c r="E4609" s="11" t="s">
        <v>137</v>
      </c>
    </row>
    <row r="4610" spans="1:5" x14ac:dyDescent="0.35">
      <c r="A4610" s="6" t="s">
        <v>135</v>
      </c>
      <c r="B4610" s="7" t="s">
        <v>162</v>
      </c>
      <c r="C4610" s="7" t="s">
        <v>146</v>
      </c>
      <c r="D4610" s="7" t="s">
        <v>147</v>
      </c>
      <c r="E4610" s="8" t="s">
        <v>137</v>
      </c>
    </row>
    <row r="4611" spans="1:5" x14ac:dyDescent="0.35">
      <c r="A4611" s="9" t="s">
        <v>135</v>
      </c>
      <c r="B4611" s="10"/>
      <c r="C4611" s="10"/>
      <c r="D4611" s="10" t="s">
        <v>148</v>
      </c>
      <c r="E4611" s="11" t="s">
        <v>137</v>
      </c>
    </row>
    <row r="4612" spans="1:5" x14ac:dyDescent="0.35">
      <c r="A4612" s="6" t="s">
        <v>135</v>
      </c>
      <c r="B4612" s="7"/>
      <c r="C4612" s="7"/>
      <c r="D4612" s="7" t="s">
        <v>149</v>
      </c>
      <c r="E4612" s="8" t="s">
        <v>137</v>
      </c>
    </row>
    <row r="4613" spans="1:5" x14ac:dyDescent="0.35">
      <c r="A4613" s="9" t="s">
        <v>135</v>
      </c>
      <c r="B4613" s="10"/>
      <c r="C4613" s="10" t="s">
        <v>150</v>
      </c>
      <c r="D4613" s="10" t="s">
        <v>147</v>
      </c>
      <c r="E4613" s="11" t="s">
        <v>137</v>
      </c>
    </row>
    <row r="4614" spans="1:5" x14ac:dyDescent="0.35">
      <c r="A4614" s="6" t="s">
        <v>135</v>
      </c>
      <c r="B4614" s="7"/>
      <c r="C4614" s="7"/>
      <c r="D4614" s="7" t="s">
        <v>148</v>
      </c>
      <c r="E4614" s="8" t="s">
        <v>137</v>
      </c>
    </row>
    <row r="4615" spans="1:5" x14ac:dyDescent="0.35">
      <c r="A4615" s="9" t="s">
        <v>135</v>
      </c>
      <c r="B4615" s="10"/>
      <c r="C4615" s="10"/>
      <c r="D4615" s="10" t="s">
        <v>149</v>
      </c>
      <c r="E4615" s="11" t="s">
        <v>137</v>
      </c>
    </row>
    <row r="4616" spans="1:5" x14ac:dyDescent="0.35">
      <c r="A4616" s="6" t="s">
        <v>135</v>
      </c>
      <c r="B4616" s="7" t="s">
        <v>163</v>
      </c>
      <c r="C4616" s="7" t="s">
        <v>146</v>
      </c>
      <c r="D4616" s="7" t="s">
        <v>147</v>
      </c>
      <c r="E4616" s="8">
        <v>107.4</v>
      </c>
    </row>
    <row r="4617" spans="1:5" x14ac:dyDescent="0.35">
      <c r="A4617" s="9" t="s">
        <v>135</v>
      </c>
      <c r="B4617" s="10"/>
      <c r="C4617" s="10"/>
      <c r="D4617" s="10" t="s">
        <v>148</v>
      </c>
      <c r="E4617" s="11">
        <v>107.4</v>
      </c>
    </row>
    <row r="4618" spans="1:5" x14ac:dyDescent="0.35">
      <c r="A4618" s="6" t="s">
        <v>135</v>
      </c>
      <c r="B4618" s="7"/>
      <c r="C4618" s="7"/>
      <c r="D4618" s="7" t="s">
        <v>149</v>
      </c>
      <c r="E4618" s="8" t="s">
        <v>137</v>
      </c>
    </row>
    <row r="4619" spans="1:5" x14ac:dyDescent="0.35">
      <c r="A4619" s="9" t="s">
        <v>135</v>
      </c>
      <c r="B4619" s="10"/>
      <c r="C4619" s="10" t="s">
        <v>150</v>
      </c>
      <c r="D4619" s="10" t="s">
        <v>147</v>
      </c>
      <c r="E4619" s="11" t="s">
        <v>137</v>
      </c>
    </row>
    <row r="4620" spans="1:5" x14ac:dyDescent="0.35">
      <c r="A4620" s="6" t="s">
        <v>135</v>
      </c>
      <c r="B4620" s="7"/>
      <c r="C4620" s="7"/>
      <c r="D4620" s="7" t="s">
        <v>148</v>
      </c>
      <c r="E4620" s="8" t="s">
        <v>137</v>
      </c>
    </row>
    <row r="4621" spans="1:5" x14ac:dyDescent="0.35">
      <c r="A4621" s="9" t="s">
        <v>135</v>
      </c>
      <c r="B4621" s="10"/>
      <c r="C4621" s="10"/>
      <c r="D4621" s="10" t="s">
        <v>149</v>
      </c>
      <c r="E4621" s="11" t="s">
        <v>137</v>
      </c>
    </row>
    <row r="4622" spans="1:5" x14ac:dyDescent="0.35">
      <c r="A4622" s="6" t="s">
        <v>135</v>
      </c>
      <c r="B4622" s="7" t="s">
        <v>164</v>
      </c>
      <c r="C4622" s="7" t="s">
        <v>146</v>
      </c>
      <c r="D4622" s="7" t="s">
        <v>147</v>
      </c>
      <c r="E4622" s="8" t="s">
        <v>137</v>
      </c>
    </row>
    <row r="4623" spans="1:5" x14ac:dyDescent="0.35">
      <c r="A4623" s="9" t="s">
        <v>135</v>
      </c>
      <c r="B4623" s="10"/>
      <c r="C4623" s="10"/>
      <c r="D4623" s="10" t="s">
        <v>148</v>
      </c>
      <c r="E4623" s="11" t="s">
        <v>137</v>
      </c>
    </row>
    <row r="4624" spans="1:5" x14ac:dyDescent="0.35">
      <c r="A4624" s="6" t="s">
        <v>135</v>
      </c>
      <c r="B4624" s="7"/>
      <c r="C4624" s="7"/>
      <c r="D4624" s="7" t="s">
        <v>149</v>
      </c>
      <c r="E4624" s="8" t="s">
        <v>137</v>
      </c>
    </row>
    <row r="4625" spans="1:5" x14ac:dyDescent="0.35">
      <c r="A4625" s="9" t="s">
        <v>135</v>
      </c>
      <c r="B4625" s="10"/>
      <c r="C4625" s="10" t="s">
        <v>150</v>
      </c>
      <c r="D4625" s="10" t="s">
        <v>147</v>
      </c>
      <c r="E4625" s="11" t="s">
        <v>137</v>
      </c>
    </row>
    <row r="4626" spans="1:5" x14ac:dyDescent="0.35">
      <c r="A4626" s="6" t="s">
        <v>135</v>
      </c>
      <c r="B4626" s="7"/>
      <c r="C4626" s="7"/>
      <c r="D4626" s="7" t="s">
        <v>148</v>
      </c>
      <c r="E4626" s="8" t="s">
        <v>137</v>
      </c>
    </row>
    <row r="4627" spans="1:5" x14ac:dyDescent="0.35">
      <c r="A4627" s="9" t="s">
        <v>135</v>
      </c>
      <c r="B4627" s="10"/>
      <c r="C4627" s="10"/>
      <c r="D4627" s="10" t="s">
        <v>149</v>
      </c>
      <c r="E4627" s="11" t="s">
        <v>137</v>
      </c>
    </row>
    <row r="4628" spans="1:5" x14ac:dyDescent="0.35">
      <c r="A4628" s="6" t="s">
        <v>135</v>
      </c>
      <c r="B4628" s="7" t="s">
        <v>165</v>
      </c>
      <c r="C4628" s="7" t="s">
        <v>146</v>
      </c>
      <c r="D4628" s="7" t="s">
        <v>147</v>
      </c>
      <c r="E4628" s="8" t="s">
        <v>137</v>
      </c>
    </row>
    <row r="4629" spans="1:5" x14ac:dyDescent="0.35">
      <c r="A4629" s="9" t="s">
        <v>135</v>
      </c>
      <c r="B4629" s="10"/>
      <c r="C4629" s="10"/>
      <c r="D4629" s="10" t="s">
        <v>148</v>
      </c>
      <c r="E4629" s="11" t="s">
        <v>137</v>
      </c>
    </row>
    <row r="4630" spans="1:5" x14ac:dyDescent="0.35">
      <c r="A4630" s="6" t="s">
        <v>135</v>
      </c>
      <c r="B4630" s="7"/>
      <c r="C4630" s="7"/>
      <c r="D4630" s="7" t="s">
        <v>149</v>
      </c>
      <c r="E4630" s="8" t="s">
        <v>137</v>
      </c>
    </row>
    <row r="4631" spans="1:5" x14ac:dyDescent="0.35">
      <c r="A4631" s="9" t="s">
        <v>135</v>
      </c>
      <c r="B4631" s="10"/>
      <c r="C4631" s="10" t="s">
        <v>150</v>
      </c>
      <c r="D4631" s="10" t="s">
        <v>147</v>
      </c>
      <c r="E4631" s="11" t="s">
        <v>137</v>
      </c>
    </row>
    <row r="4632" spans="1:5" x14ac:dyDescent="0.35">
      <c r="A4632" s="6" t="s">
        <v>135</v>
      </c>
      <c r="B4632" s="7"/>
      <c r="C4632" s="7"/>
      <c r="D4632" s="7" t="s">
        <v>148</v>
      </c>
      <c r="E4632" s="8" t="s">
        <v>137</v>
      </c>
    </row>
    <row r="4633" spans="1:5" x14ac:dyDescent="0.35">
      <c r="A4633" s="9" t="s">
        <v>135</v>
      </c>
      <c r="B4633" s="10"/>
      <c r="C4633" s="10"/>
      <c r="D4633" s="10" t="s">
        <v>149</v>
      </c>
      <c r="E4633" s="11" t="s">
        <v>137</v>
      </c>
    </row>
    <row r="4634" spans="1:5" x14ac:dyDescent="0.35">
      <c r="A4634" s="6" t="s">
        <v>135</v>
      </c>
      <c r="B4634" s="7" t="s">
        <v>166</v>
      </c>
      <c r="C4634" s="7" t="s">
        <v>146</v>
      </c>
      <c r="D4634" s="7" t="s">
        <v>147</v>
      </c>
      <c r="E4634" s="8">
        <v>107.4</v>
      </c>
    </row>
    <row r="4635" spans="1:5" x14ac:dyDescent="0.35">
      <c r="A4635" s="9" t="s">
        <v>135</v>
      </c>
      <c r="B4635" s="10"/>
      <c r="C4635" s="10"/>
      <c r="D4635" s="10" t="s">
        <v>148</v>
      </c>
      <c r="E4635" s="11">
        <v>107.4</v>
      </c>
    </row>
    <row r="4636" spans="1:5" x14ac:dyDescent="0.35">
      <c r="A4636" s="6" t="s">
        <v>135</v>
      </c>
      <c r="B4636" s="7"/>
      <c r="C4636" s="7"/>
      <c r="D4636" s="7" t="s">
        <v>149</v>
      </c>
      <c r="E4636" s="8" t="s">
        <v>137</v>
      </c>
    </row>
    <row r="4637" spans="1:5" x14ac:dyDescent="0.35">
      <c r="A4637" s="9" t="s">
        <v>135</v>
      </c>
      <c r="B4637" s="10"/>
      <c r="C4637" s="10" t="s">
        <v>150</v>
      </c>
      <c r="D4637" s="10" t="s">
        <v>147</v>
      </c>
      <c r="E4637" s="11" t="s">
        <v>137</v>
      </c>
    </row>
    <row r="4638" spans="1:5" x14ac:dyDescent="0.35">
      <c r="A4638" s="6" t="s">
        <v>135</v>
      </c>
      <c r="B4638" s="7"/>
      <c r="C4638" s="7"/>
      <c r="D4638" s="7" t="s">
        <v>148</v>
      </c>
      <c r="E4638" s="8" t="s">
        <v>137</v>
      </c>
    </row>
    <row r="4639" spans="1:5" x14ac:dyDescent="0.35">
      <c r="A4639" s="9" t="s">
        <v>135</v>
      </c>
      <c r="B4639" s="10"/>
      <c r="C4639" s="10"/>
      <c r="D4639" s="10" t="s">
        <v>149</v>
      </c>
      <c r="E4639" s="11" t="s">
        <v>137</v>
      </c>
    </row>
    <row r="4640" spans="1:5" x14ac:dyDescent="0.35">
      <c r="A4640" s="6" t="s">
        <v>135</v>
      </c>
      <c r="B4640" s="7" t="s">
        <v>167</v>
      </c>
      <c r="C4640" s="7" t="s">
        <v>146</v>
      </c>
      <c r="D4640" s="7" t="s">
        <v>147</v>
      </c>
      <c r="E4640" s="8" t="s">
        <v>137</v>
      </c>
    </row>
    <row r="4641" spans="1:5" x14ac:dyDescent="0.35">
      <c r="A4641" s="9" t="s">
        <v>135</v>
      </c>
      <c r="B4641" s="10"/>
      <c r="C4641" s="10"/>
      <c r="D4641" s="10" t="s">
        <v>148</v>
      </c>
      <c r="E4641" s="11" t="s">
        <v>137</v>
      </c>
    </row>
    <row r="4642" spans="1:5" x14ac:dyDescent="0.35">
      <c r="A4642" s="6" t="s">
        <v>135</v>
      </c>
      <c r="B4642" s="7"/>
      <c r="C4642" s="7"/>
      <c r="D4642" s="7" t="s">
        <v>149</v>
      </c>
      <c r="E4642" s="8" t="s">
        <v>137</v>
      </c>
    </row>
    <row r="4643" spans="1:5" x14ac:dyDescent="0.35">
      <c r="A4643" s="9" t="s">
        <v>135</v>
      </c>
      <c r="B4643" s="10"/>
      <c r="C4643" s="10" t="s">
        <v>150</v>
      </c>
      <c r="D4643" s="10" t="s">
        <v>147</v>
      </c>
      <c r="E4643" s="11" t="s">
        <v>137</v>
      </c>
    </row>
    <row r="4644" spans="1:5" x14ac:dyDescent="0.35">
      <c r="A4644" s="6" t="s">
        <v>135</v>
      </c>
      <c r="B4644" s="7"/>
      <c r="C4644" s="7"/>
      <c r="D4644" s="7" t="s">
        <v>148</v>
      </c>
      <c r="E4644" s="8" t="s">
        <v>137</v>
      </c>
    </row>
    <row r="4645" spans="1:5" x14ac:dyDescent="0.35">
      <c r="A4645" s="9" t="s">
        <v>135</v>
      </c>
      <c r="B4645" s="10"/>
      <c r="C4645" s="10"/>
      <c r="D4645" s="10" t="s">
        <v>149</v>
      </c>
      <c r="E4645" s="11" t="s">
        <v>137</v>
      </c>
    </row>
    <row r="4646" spans="1:5" x14ac:dyDescent="0.35">
      <c r="A4646" s="6" t="s">
        <v>135</v>
      </c>
      <c r="B4646" s="7" t="s">
        <v>168</v>
      </c>
      <c r="C4646" s="7" t="s">
        <v>146</v>
      </c>
      <c r="D4646" s="7" t="s">
        <v>147</v>
      </c>
      <c r="E4646" s="8" t="s">
        <v>137</v>
      </c>
    </row>
    <row r="4647" spans="1:5" x14ac:dyDescent="0.35">
      <c r="A4647" s="9" t="s">
        <v>135</v>
      </c>
      <c r="B4647" s="10"/>
      <c r="C4647" s="10"/>
      <c r="D4647" s="10" t="s">
        <v>148</v>
      </c>
      <c r="E4647" s="11" t="s">
        <v>137</v>
      </c>
    </row>
    <row r="4648" spans="1:5" x14ac:dyDescent="0.35">
      <c r="A4648" s="6" t="s">
        <v>135</v>
      </c>
      <c r="B4648" s="7"/>
      <c r="C4648" s="7"/>
      <c r="D4648" s="7" t="s">
        <v>149</v>
      </c>
      <c r="E4648" s="8" t="s">
        <v>137</v>
      </c>
    </row>
    <row r="4649" spans="1:5" x14ac:dyDescent="0.35">
      <c r="A4649" s="9" t="s">
        <v>135</v>
      </c>
      <c r="B4649" s="10"/>
      <c r="C4649" s="10" t="s">
        <v>150</v>
      </c>
      <c r="D4649" s="10" t="s">
        <v>147</v>
      </c>
      <c r="E4649" s="11" t="s">
        <v>137</v>
      </c>
    </row>
    <row r="4650" spans="1:5" x14ac:dyDescent="0.35">
      <c r="A4650" s="6" t="s">
        <v>135</v>
      </c>
      <c r="B4650" s="7"/>
      <c r="C4650" s="7"/>
      <c r="D4650" s="7" t="s">
        <v>148</v>
      </c>
      <c r="E4650" s="8" t="s">
        <v>137</v>
      </c>
    </row>
    <row r="4651" spans="1:5" x14ac:dyDescent="0.35">
      <c r="A4651" s="9" t="s">
        <v>135</v>
      </c>
      <c r="B4651" s="10"/>
      <c r="C4651" s="10"/>
      <c r="D4651" s="10" t="s">
        <v>149</v>
      </c>
      <c r="E4651" s="11" t="s">
        <v>137</v>
      </c>
    </row>
    <row r="4652" spans="1:5" x14ac:dyDescent="0.35">
      <c r="A4652" s="6" t="s">
        <v>135</v>
      </c>
      <c r="B4652" s="7" t="s">
        <v>169</v>
      </c>
      <c r="C4652" s="7" t="s">
        <v>146</v>
      </c>
      <c r="D4652" s="7" t="s">
        <v>147</v>
      </c>
      <c r="E4652" s="8" t="s">
        <v>137</v>
      </c>
    </row>
    <row r="4653" spans="1:5" x14ac:dyDescent="0.35">
      <c r="A4653" s="9" t="s">
        <v>135</v>
      </c>
      <c r="B4653" s="10"/>
      <c r="C4653" s="10"/>
      <c r="D4653" s="10" t="s">
        <v>148</v>
      </c>
      <c r="E4653" s="11" t="s">
        <v>137</v>
      </c>
    </row>
    <row r="4654" spans="1:5" x14ac:dyDescent="0.35">
      <c r="A4654" s="6" t="s">
        <v>135</v>
      </c>
      <c r="B4654" s="7"/>
      <c r="C4654" s="7"/>
      <c r="D4654" s="7" t="s">
        <v>149</v>
      </c>
      <c r="E4654" s="8" t="s">
        <v>137</v>
      </c>
    </row>
    <row r="4655" spans="1:5" x14ac:dyDescent="0.35">
      <c r="A4655" s="9" t="s">
        <v>135</v>
      </c>
      <c r="B4655" s="10"/>
      <c r="C4655" s="10" t="s">
        <v>150</v>
      </c>
      <c r="D4655" s="10" t="s">
        <v>147</v>
      </c>
      <c r="E4655" s="11" t="s">
        <v>137</v>
      </c>
    </row>
    <row r="4656" spans="1:5" x14ac:dyDescent="0.35">
      <c r="A4656" s="6" t="s">
        <v>135</v>
      </c>
      <c r="B4656" s="7"/>
      <c r="C4656" s="7"/>
      <c r="D4656" s="7" t="s">
        <v>148</v>
      </c>
      <c r="E4656" s="8" t="s">
        <v>137</v>
      </c>
    </row>
    <row r="4657" spans="1:5" x14ac:dyDescent="0.35">
      <c r="A4657" s="9" t="s">
        <v>135</v>
      </c>
      <c r="B4657" s="10"/>
      <c r="C4657" s="10"/>
      <c r="D4657" s="10" t="s">
        <v>149</v>
      </c>
      <c r="E4657" s="11" t="s">
        <v>137</v>
      </c>
    </row>
    <row r="4658" spans="1:5" x14ac:dyDescent="0.35">
      <c r="A4658" s="6" t="s">
        <v>135</v>
      </c>
      <c r="B4658" s="7" t="s">
        <v>170</v>
      </c>
      <c r="C4658" s="7" t="s">
        <v>146</v>
      </c>
      <c r="D4658" s="7" t="s">
        <v>147</v>
      </c>
      <c r="E4658" s="8" t="s">
        <v>137</v>
      </c>
    </row>
    <row r="4659" spans="1:5" x14ac:dyDescent="0.35">
      <c r="A4659" s="9" t="s">
        <v>135</v>
      </c>
      <c r="B4659" s="10"/>
      <c r="C4659" s="10"/>
      <c r="D4659" s="10" t="s">
        <v>148</v>
      </c>
      <c r="E4659" s="11" t="s">
        <v>137</v>
      </c>
    </row>
    <row r="4660" spans="1:5" x14ac:dyDescent="0.35">
      <c r="A4660" s="6" t="s">
        <v>135</v>
      </c>
      <c r="B4660" s="7"/>
      <c r="C4660" s="7"/>
      <c r="D4660" s="7" t="s">
        <v>149</v>
      </c>
      <c r="E4660" s="8" t="s">
        <v>137</v>
      </c>
    </row>
    <row r="4661" spans="1:5" x14ac:dyDescent="0.35">
      <c r="A4661" s="9" t="s">
        <v>135</v>
      </c>
      <c r="B4661" s="10"/>
      <c r="C4661" s="10" t="s">
        <v>150</v>
      </c>
      <c r="D4661" s="10" t="s">
        <v>147</v>
      </c>
      <c r="E4661" s="11" t="s">
        <v>137</v>
      </c>
    </row>
    <row r="4662" spans="1:5" x14ac:dyDescent="0.35">
      <c r="A4662" s="6" t="s">
        <v>135</v>
      </c>
      <c r="B4662" s="7"/>
      <c r="C4662" s="7"/>
      <c r="D4662" s="7" t="s">
        <v>148</v>
      </c>
      <c r="E4662" s="8" t="s">
        <v>137</v>
      </c>
    </row>
    <row r="4663" spans="1:5" x14ac:dyDescent="0.35">
      <c r="A4663" s="9" t="s">
        <v>135</v>
      </c>
      <c r="B4663" s="10"/>
      <c r="C4663" s="10"/>
      <c r="D4663" s="10" t="s">
        <v>149</v>
      </c>
      <c r="E4663" s="11" t="s">
        <v>137</v>
      </c>
    </row>
    <row r="4664" spans="1:5" x14ac:dyDescent="0.35">
      <c r="A4664" s="6" t="s">
        <v>103</v>
      </c>
      <c r="B4664" s="7" t="s">
        <v>145</v>
      </c>
      <c r="C4664" s="7" t="s">
        <v>146</v>
      </c>
      <c r="D4664" s="7" t="s">
        <v>147</v>
      </c>
      <c r="E4664" s="8">
        <v>115.11</v>
      </c>
    </row>
    <row r="4665" spans="1:5" x14ac:dyDescent="0.35">
      <c r="A4665" s="9" t="s">
        <v>135</v>
      </c>
      <c r="B4665" s="10"/>
      <c r="C4665" s="10"/>
      <c r="D4665" s="10" t="s">
        <v>148</v>
      </c>
      <c r="E4665" s="11">
        <v>94.93</v>
      </c>
    </row>
    <row r="4666" spans="1:5" x14ac:dyDescent="0.35">
      <c r="A4666" s="6" t="s">
        <v>135</v>
      </c>
      <c r="B4666" s="7"/>
      <c r="C4666" s="7"/>
      <c r="D4666" s="7" t="s">
        <v>149</v>
      </c>
      <c r="E4666" s="8">
        <v>20.18</v>
      </c>
    </row>
    <row r="4667" spans="1:5" x14ac:dyDescent="0.35">
      <c r="A4667" s="9" t="s">
        <v>135</v>
      </c>
      <c r="B4667" s="10"/>
      <c r="C4667" s="10" t="s">
        <v>150</v>
      </c>
      <c r="D4667" s="10" t="s">
        <v>147</v>
      </c>
      <c r="E4667" s="11" t="s">
        <v>137</v>
      </c>
    </row>
    <row r="4668" spans="1:5" x14ac:dyDescent="0.35">
      <c r="A4668" s="6" t="s">
        <v>135</v>
      </c>
      <c r="B4668" s="7"/>
      <c r="C4668" s="7"/>
      <c r="D4668" s="7" t="s">
        <v>148</v>
      </c>
      <c r="E4668" s="8" t="s">
        <v>137</v>
      </c>
    </row>
    <row r="4669" spans="1:5" x14ac:dyDescent="0.35">
      <c r="A4669" s="9" t="s">
        <v>135</v>
      </c>
      <c r="B4669" s="10"/>
      <c r="C4669" s="10"/>
      <c r="D4669" s="10" t="s">
        <v>149</v>
      </c>
      <c r="E4669" s="11" t="s">
        <v>137</v>
      </c>
    </row>
    <row r="4670" spans="1:5" x14ac:dyDescent="0.35">
      <c r="A4670" s="6" t="s">
        <v>135</v>
      </c>
      <c r="B4670" s="7" t="s">
        <v>151</v>
      </c>
      <c r="C4670" s="7" t="s">
        <v>146</v>
      </c>
      <c r="D4670" s="7" t="s">
        <v>147</v>
      </c>
      <c r="E4670" s="8">
        <v>20.420000000000002</v>
      </c>
    </row>
    <row r="4671" spans="1:5" x14ac:dyDescent="0.35">
      <c r="A4671" s="9" t="s">
        <v>135</v>
      </c>
      <c r="B4671" s="10"/>
      <c r="C4671" s="10"/>
      <c r="D4671" s="10" t="s">
        <v>148</v>
      </c>
      <c r="E4671" s="11">
        <v>5.13</v>
      </c>
    </row>
    <row r="4672" spans="1:5" x14ac:dyDescent="0.35">
      <c r="A4672" s="6" t="s">
        <v>135</v>
      </c>
      <c r="B4672" s="7"/>
      <c r="C4672" s="7"/>
      <c r="D4672" s="7" t="s">
        <v>149</v>
      </c>
      <c r="E4672" s="8">
        <v>15.3</v>
      </c>
    </row>
    <row r="4673" spans="1:5" x14ac:dyDescent="0.35">
      <c r="A4673" s="9" t="s">
        <v>135</v>
      </c>
      <c r="B4673" s="10"/>
      <c r="C4673" s="10" t="s">
        <v>150</v>
      </c>
      <c r="D4673" s="10" t="s">
        <v>147</v>
      </c>
      <c r="E4673" s="11" t="s">
        <v>137</v>
      </c>
    </row>
    <row r="4674" spans="1:5" x14ac:dyDescent="0.35">
      <c r="A4674" s="6" t="s">
        <v>135</v>
      </c>
      <c r="B4674" s="7"/>
      <c r="C4674" s="7"/>
      <c r="D4674" s="7" t="s">
        <v>148</v>
      </c>
      <c r="E4674" s="8" t="s">
        <v>137</v>
      </c>
    </row>
    <row r="4675" spans="1:5" x14ac:dyDescent="0.35">
      <c r="A4675" s="9" t="s">
        <v>135</v>
      </c>
      <c r="B4675" s="10"/>
      <c r="C4675" s="10"/>
      <c r="D4675" s="10" t="s">
        <v>149</v>
      </c>
      <c r="E4675" s="11" t="s">
        <v>137</v>
      </c>
    </row>
    <row r="4676" spans="1:5" x14ac:dyDescent="0.35">
      <c r="A4676" s="6" t="s">
        <v>135</v>
      </c>
      <c r="B4676" s="7" t="s">
        <v>152</v>
      </c>
      <c r="C4676" s="7" t="s">
        <v>146</v>
      </c>
      <c r="D4676" s="7" t="s">
        <v>147</v>
      </c>
      <c r="E4676" s="8" t="s">
        <v>137</v>
      </c>
    </row>
    <row r="4677" spans="1:5" x14ac:dyDescent="0.35">
      <c r="A4677" s="9" t="s">
        <v>135</v>
      </c>
      <c r="B4677" s="10"/>
      <c r="C4677" s="10"/>
      <c r="D4677" s="10" t="s">
        <v>148</v>
      </c>
      <c r="E4677" s="11" t="s">
        <v>137</v>
      </c>
    </row>
    <row r="4678" spans="1:5" x14ac:dyDescent="0.35">
      <c r="A4678" s="6" t="s">
        <v>135</v>
      </c>
      <c r="B4678" s="7"/>
      <c r="C4678" s="7"/>
      <c r="D4678" s="7" t="s">
        <v>149</v>
      </c>
      <c r="E4678" s="8" t="s">
        <v>137</v>
      </c>
    </row>
    <row r="4679" spans="1:5" x14ac:dyDescent="0.35">
      <c r="A4679" s="9" t="s">
        <v>135</v>
      </c>
      <c r="B4679" s="10"/>
      <c r="C4679" s="10" t="s">
        <v>150</v>
      </c>
      <c r="D4679" s="10" t="s">
        <v>147</v>
      </c>
      <c r="E4679" s="11" t="s">
        <v>137</v>
      </c>
    </row>
    <row r="4680" spans="1:5" x14ac:dyDescent="0.35">
      <c r="A4680" s="6" t="s">
        <v>135</v>
      </c>
      <c r="B4680" s="7"/>
      <c r="C4680" s="7"/>
      <c r="D4680" s="7" t="s">
        <v>148</v>
      </c>
      <c r="E4680" s="8" t="s">
        <v>137</v>
      </c>
    </row>
    <row r="4681" spans="1:5" x14ac:dyDescent="0.35">
      <c r="A4681" s="9" t="s">
        <v>135</v>
      </c>
      <c r="B4681" s="10"/>
      <c r="C4681" s="10"/>
      <c r="D4681" s="10" t="s">
        <v>149</v>
      </c>
      <c r="E4681" s="11" t="s">
        <v>137</v>
      </c>
    </row>
    <row r="4682" spans="1:5" x14ac:dyDescent="0.35">
      <c r="A4682" s="6" t="s">
        <v>135</v>
      </c>
      <c r="B4682" s="7" t="s">
        <v>153</v>
      </c>
      <c r="C4682" s="7" t="s">
        <v>146</v>
      </c>
      <c r="D4682" s="7" t="s">
        <v>147</v>
      </c>
      <c r="E4682" s="8" t="s">
        <v>137</v>
      </c>
    </row>
    <row r="4683" spans="1:5" x14ac:dyDescent="0.35">
      <c r="A4683" s="9" t="s">
        <v>135</v>
      </c>
      <c r="B4683" s="10"/>
      <c r="C4683" s="10"/>
      <c r="D4683" s="10" t="s">
        <v>148</v>
      </c>
      <c r="E4683" s="11" t="s">
        <v>137</v>
      </c>
    </row>
    <row r="4684" spans="1:5" x14ac:dyDescent="0.35">
      <c r="A4684" s="6" t="s">
        <v>135</v>
      </c>
      <c r="B4684" s="7"/>
      <c r="C4684" s="7"/>
      <c r="D4684" s="7" t="s">
        <v>149</v>
      </c>
      <c r="E4684" s="8" t="s">
        <v>137</v>
      </c>
    </row>
    <row r="4685" spans="1:5" x14ac:dyDescent="0.35">
      <c r="A4685" s="9" t="s">
        <v>135</v>
      </c>
      <c r="B4685" s="10"/>
      <c r="C4685" s="10" t="s">
        <v>150</v>
      </c>
      <c r="D4685" s="10" t="s">
        <v>147</v>
      </c>
      <c r="E4685" s="11" t="s">
        <v>137</v>
      </c>
    </row>
    <row r="4686" spans="1:5" x14ac:dyDescent="0.35">
      <c r="A4686" s="6" t="s">
        <v>135</v>
      </c>
      <c r="B4686" s="7"/>
      <c r="C4686" s="7"/>
      <c r="D4686" s="7" t="s">
        <v>148</v>
      </c>
      <c r="E4686" s="8" t="s">
        <v>137</v>
      </c>
    </row>
    <row r="4687" spans="1:5" x14ac:dyDescent="0.35">
      <c r="A4687" s="9" t="s">
        <v>135</v>
      </c>
      <c r="B4687" s="10"/>
      <c r="C4687" s="10"/>
      <c r="D4687" s="10" t="s">
        <v>149</v>
      </c>
      <c r="E4687" s="11" t="s">
        <v>137</v>
      </c>
    </row>
    <row r="4688" spans="1:5" x14ac:dyDescent="0.35">
      <c r="A4688" s="6" t="s">
        <v>135</v>
      </c>
      <c r="B4688" s="7" t="s">
        <v>154</v>
      </c>
      <c r="C4688" s="7" t="s">
        <v>146</v>
      </c>
      <c r="D4688" s="7" t="s">
        <v>147</v>
      </c>
      <c r="E4688" s="8" t="s">
        <v>137</v>
      </c>
    </row>
    <row r="4689" spans="1:5" x14ac:dyDescent="0.35">
      <c r="A4689" s="9" t="s">
        <v>135</v>
      </c>
      <c r="B4689" s="10"/>
      <c r="C4689" s="10"/>
      <c r="D4689" s="10" t="s">
        <v>148</v>
      </c>
      <c r="E4689" s="11" t="s">
        <v>137</v>
      </c>
    </row>
    <row r="4690" spans="1:5" x14ac:dyDescent="0.35">
      <c r="A4690" s="6" t="s">
        <v>135</v>
      </c>
      <c r="B4690" s="7"/>
      <c r="C4690" s="7"/>
      <c r="D4690" s="7" t="s">
        <v>149</v>
      </c>
      <c r="E4690" s="8" t="s">
        <v>137</v>
      </c>
    </row>
    <row r="4691" spans="1:5" x14ac:dyDescent="0.35">
      <c r="A4691" s="9" t="s">
        <v>135</v>
      </c>
      <c r="B4691" s="10"/>
      <c r="C4691" s="10" t="s">
        <v>150</v>
      </c>
      <c r="D4691" s="10" t="s">
        <v>147</v>
      </c>
      <c r="E4691" s="11" t="s">
        <v>137</v>
      </c>
    </row>
    <row r="4692" spans="1:5" x14ac:dyDescent="0.35">
      <c r="A4692" s="6" t="s">
        <v>135</v>
      </c>
      <c r="B4692" s="7"/>
      <c r="C4692" s="7"/>
      <c r="D4692" s="7" t="s">
        <v>148</v>
      </c>
      <c r="E4692" s="8" t="s">
        <v>137</v>
      </c>
    </row>
    <row r="4693" spans="1:5" x14ac:dyDescent="0.35">
      <c r="A4693" s="9" t="s">
        <v>135</v>
      </c>
      <c r="B4693" s="10"/>
      <c r="C4693" s="10"/>
      <c r="D4693" s="10" t="s">
        <v>149</v>
      </c>
      <c r="E4693" s="11" t="s">
        <v>137</v>
      </c>
    </row>
    <row r="4694" spans="1:5" x14ac:dyDescent="0.35">
      <c r="A4694" s="6" t="s">
        <v>135</v>
      </c>
      <c r="B4694" s="7" t="s">
        <v>155</v>
      </c>
      <c r="C4694" s="7" t="s">
        <v>146</v>
      </c>
      <c r="D4694" s="7" t="s">
        <v>147</v>
      </c>
      <c r="E4694" s="8">
        <v>60.89</v>
      </c>
    </row>
    <row r="4695" spans="1:5" x14ac:dyDescent="0.35">
      <c r="A4695" s="9" t="s">
        <v>135</v>
      </c>
      <c r="B4695" s="10"/>
      <c r="C4695" s="10"/>
      <c r="D4695" s="10" t="s">
        <v>148</v>
      </c>
      <c r="E4695" s="11">
        <v>56</v>
      </c>
    </row>
    <row r="4696" spans="1:5" x14ac:dyDescent="0.35">
      <c r="A4696" s="6" t="s">
        <v>135</v>
      </c>
      <c r="B4696" s="7"/>
      <c r="C4696" s="7"/>
      <c r="D4696" s="7" t="s">
        <v>149</v>
      </c>
      <c r="E4696" s="8">
        <v>4.8899999999999997</v>
      </c>
    </row>
    <row r="4697" spans="1:5" x14ac:dyDescent="0.35">
      <c r="A4697" s="9" t="s">
        <v>135</v>
      </c>
      <c r="B4697" s="10"/>
      <c r="C4697" s="10" t="s">
        <v>150</v>
      </c>
      <c r="D4697" s="10" t="s">
        <v>147</v>
      </c>
      <c r="E4697" s="11" t="s">
        <v>137</v>
      </c>
    </row>
    <row r="4698" spans="1:5" x14ac:dyDescent="0.35">
      <c r="A4698" s="6" t="s">
        <v>135</v>
      </c>
      <c r="B4698" s="7"/>
      <c r="C4698" s="7"/>
      <c r="D4698" s="7" t="s">
        <v>148</v>
      </c>
      <c r="E4698" s="8" t="s">
        <v>137</v>
      </c>
    </row>
    <row r="4699" spans="1:5" x14ac:dyDescent="0.35">
      <c r="A4699" s="9" t="s">
        <v>135</v>
      </c>
      <c r="B4699" s="10"/>
      <c r="C4699" s="10"/>
      <c r="D4699" s="10" t="s">
        <v>149</v>
      </c>
      <c r="E4699" s="11" t="s">
        <v>137</v>
      </c>
    </row>
    <row r="4700" spans="1:5" x14ac:dyDescent="0.35">
      <c r="A4700" s="6" t="s">
        <v>135</v>
      </c>
      <c r="B4700" s="7" t="s">
        <v>156</v>
      </c>
      <c r="C4700" s="7" t="s">
        <v>146</v>
      </c>
      <c r="D4700" s="7" t="s">
        <v>147</v>
      </c>
      <c r="E4700" s="8" t="s">
        <v>137</v>
      </c>
    </row>
    <row r="4701" spans="1:5" x14ac:dyDescent="0.35">
      <c r="A4701" s="9" t="s">
        <v>135</v>
      </c>
      <c r="B4701" s="10"/>
      <c r="C4701" s="10"/>
      <c r="D4701" s="10" t="s">
        <v>148</v>
      </c>
      <c r="E4701" s="11" t="s">
        <v>137</v>
      </c>
    </row>
    <row r="4702" spans="1:5" x14ac:dyDescent="0.35">
      <c r="A4702" s="6" t="s">
        <v>135</v>
      </c>
      <c r="B4702" s="7"/>
      <c r="C4702" s="7"/>
      <c r="D4702" s="7" t="s">
        <v>149</v>
      </c>
      <c r="E4702" s="8" t="s">
        <v>137</v>
      </c>
    </row>
    <row r="4703" spans="1:5" x14ac:dyDescent="0.35">
      <c r="A4703" s="9" t="s">
        <v>135</v>
      </c>
      <c r="B4703" s="10"/>
      <c r="C4703" s="10" t="s">
        <v>150</v>
      </c>
      <c r="D4703" s="10" t="s">
        <v>147</v>
      </c>
      <c r="E4703" s="11" t="s">
        <v>137</v>
      </c>
    </row>
    <row r="4704" spans="1:5" x14ac:dyDescent="0.35">
      <c r="A4704" s="6" t="s">
        <v>135</v>
      </c>
      <c r="B4704" s="7"/>
      <c r="C4704" s="7"/>
      <c r="D4704" s="7" t="s">
        <v>148</v>
      </c>
      <c r="E4704" s="8" t="s">
        <v>137</v>
      </c>
    </row>
    <row r="4705" spans="1:5" x14ac:dyDescent="0.35">
      <c r="A4705" s="9" t="s">
        <v>135</v>
      </c>
      <c r="B4705" s="10"/>
      <c r="C4705" s="10"/>
      <c r="D4705" s="10" t="s">
        <v>149</v>
      </c>
      <c r="E4705" s="11" t="s">
        <v>137</v>
      </c>
    </row>
    <row r="4706" spans="1:5" x14ac:dyDescent="0.35">
      <c r="A4706" s="6" t="s">
        <v>135</v>
      </c>
      <c r="B4706" s="7" t="s">
        <v>157</v>
      </c>
      <c r="C4706" s="7" t="s">
        <v>146</v>
      </c>
      <c r="D4706" s="7" t="s">
        <v>147</v>
      </c>
      <c r="E4706" s="8" t="s">
        <v>137</v>
      </c>
    </row>
    <row r="4707" spans="1:5" x14ac:dyDescent="0.35">
      <c r="A4707" s="9" t="s">
        <v>135</v>
      </c>
      <c r="B4707" s="10"/>
      <c r="C4707" s="10"/>
      <c r="D4707" s="10" t="s">
        <v>148</v>
      </c>
      <c r="E4707" s="11" t="s">
        <v>137</v>
      </c>
    </row>
    <row r="4708" spans="1:5" x14ac:dyDescent="0.35">
      <c r="A4708" s="6" t="s">
        <v>135</v>
      </c>
      <c r="B4708" s="7"/>
      <c r="C4708" s="7"/>
      <c r="D4708" s="7" t="s">
        <v>149</v>
      </c>
      <c r="E4708" s="8" t="s">
        <v>137</v>
      </c>
    </row>
    <row r="4709" spans="1:5" x14ac:dyDescent="0.35">
      <c r="A4709" s="9" t="s">
        <v>135</v>
      </c>
      <c r="B4709" s="10"/>
      <c r="C4709" s="10" t="s">
        <v>150</v>
      </c>
      <c r="D4709" s="10" t="s">
        <v>147</v>
      </c>
      <c r="E4709" s="11" t="s">
        <v>137</v>
      </c>
    </row>
    <row r="4710" spans="1:5" x14ac:dyDescent="0.35">
      <c r="A4710" s="6" t="s">
        <v>135</v>
      </c>
      <c r="B4710" s="7"/>
      <c r="C4710" s="7"/>
      <c r="D4710" s="7" t="s">
        <v>148</v>
      </c>
      <c r="E4710" s="8" t="s">
        <v>137</v>
      </c>
    </row>
    <row r="4711" spans="1:5" x14ac:dyDescent="0.35">
      <c r="A4711" s="9" t="s">
        <v>135</v>
      </c>
      <c r="B4711" s="10"/>
      <c r="C4711" s="10"/>
      <c r="D4711" s="10" t="s">
        <v>149</v>
      </c>
      <c r="E4711" s="11" t="s">
        <v>137</v>
      </c>
    </row>
    <row r="4712" spans="1:5" x14ac:dyDescent="0.35">
      <c r="A4712" s="6" t="s">
        <v>135</v>
      </c>
      <c r="B4712" s="7" t="s">
        <v>158</v>
      </c>
      <c r="C4712" s="7" t="s">
        <v>146</v>
      </c>
      <c r="D4712" s="7" t="s">
        <v>147</v>
      </c>
      <c r="E4712" s="8">
        <v>33.799999999999997</v>
      </c>
    </row>
    <row r="4713" spans="1:5" x14ac:dyDescent="0.35">
      <c r="A4713" s="9" t="s">
        <v>135</v>
      </c>
      <c r="B4713" s="10"/>
      <c r="C4713" s="10"/>
      <c r="D4713" s="10" t="s">
        <v>148</v>
      </c>
      <c r="E4713" s="11">
        <v>33.799999999999997</v>
      </c>
    </row>
    <row r="4714" spans="1:5" x14ac:dyDescent="0.35">
      <c r="A4714" s="6" t="s">
        <v>135</v>
      </c>
      <c r="B4714" s="7"/>
      <c r="C4714" s="7"/>
      <c r="D4714" s="7" t="s">
        <v>149</v>
      </c>
      <c r="E4714" s="8" t="s">
        <v>137</v>
      </c>
    </row>
    <row r="4715" spans="1:5" x14ac:dyDescent="0.35">
      <c r="A4715" s="9" t="s">
        <v>135</v>
      </c>
      <c r="B4715" s="10"/>
      <c r="C4715" s="10" t="s">
        <v>150</v>
      </c>
      <c r="D4715" s="10" t="s">
        <v>147</v>
      </c>
      <c r="E4715" s="11" t="s">
        <v>137</v>
      </c>
    </row>
    <row r="4716" spans="1:5" x14ac:dyDescent="0.35">
      <c r="A4716" s="6" t="s">
        <v>135</v>
      </c>
      <c r="B4716" s="7"/>
      <c r="C4716" s="7"/>
      <c r="D4716" s="7" t="s">
        <v>148</v>
      </c>
      <c r="E4716" s="8" t="s">
        <v>137</v>
      </c>
    </row>
    <row r="4717" spans="1:5" x14ac:dyDescent="0.35">
      <c r="A4717" s="9" t="s">
        <v>135</v>
      </c>
      <c r="B4717" s="10"/>
      <c r="C4717" s="10"/>
      <c r="D4717" s="10" t="s">
        <v>149</v>
      </c>
      <c r="E4717" s="11" t="s">
        <v>137</v>
      </c>
    </row>
    <row r="4718" spans="1:5" x14ac:dyDescent="0.35">
      <c r="A4718" s="6" t="s">
        <v>135</v>
      </c>
      <c r="B4718" s="7" t="s">
        <v>159</v>
      </c>
      <c r="C4718" s="7" t="s">
        <v>146</v>
      </c>
      <c r="D4718" s="7" t="s">
        <v>147</v>
      </c>
      <c r="E4718" s="8" t="s">
        <v>137</v>
      </c>
    </row>
    <row r="4719" spans="1:5" x14ac:dyDescent="0.35">
      <c r="A4719" s="9" t="s">
        <v>135</v>
      </c>
      <c r="B4719" s="10"/>
      <c r="C4719" s="10"/>
      <c r="D4719" s="10" t="s">
        <v>148</v>
      </c>
      <c r="E4719" s="11" t="s">
        <v>137</v>
      </c>
    </row>
    <row r="4720" spans="1:5" x14ac:dyDescent="0.35">
      <c r="A4720" s="6" t="s">
        <v>135</v>
      </c>
      <c r="B4720" s="7"/>
      <c r="C4720" s="7"/>
      <c r="D4720" s="7" t="s">
        <v>149</v>
      </c>
      <c r="E4720" s="8" t="s">
        <v>137</v>
      </c>
    </row>
    <row r="4721" spans="1:5" x14ac:dyDescent="0.35">
      <c r="A4721" s="9" t="s">
        <v>135</v>
      </c>
      <c r="B4721" s="10"/>
      <c r="C4721" s="10" t="s">
        <v>150</v>
      </c>
      <c r="D4721" s="10" t="s">
        <v>147</v>
      </c>
      <c r="E4721" s="11" t="s">
        <v>137</v>
      </c>
    </row>
    <row r="4722" spans="1:5" x14ac:dyDescent="0.35">
      <c r="A4722" s="6" t="s">
        <v>135</v>
      </c>
      <c r="B4722" s="7"/>
      <c r="C4722" s="7"/>
      <c r="D4722" s="7" t="s">
        <v>148</v>
      </c>
      <c r="E4722" s="8" t="s">
        <v>137</v>
      </c>
    </row>
    <row r="4723" spans="1:5" x14ac:dyDescent="0.35">
      <c r="A4723" s="9" t="s">
        <v>135</v>
      </c>
      <c r="B4723" s="10"/>
      <c r="C4723" s="10"/>
      <c r="D4723" s="10" t="s">
        <v>149</v>
      </c>
      <c r="E4723" s="11" t="s">
        <v>137</v>
      </c>
    </row>
    <row r="4724" spans="1:5" x14ac:dyDescent="0.35">
      <c r="A4724" s="6" t="s">
        <v>135</v>
      </c>
      <c r="B4724" s="7" t="s">
        <v>160</v>
      </c>
      <c r="C4724" s="7" t="s">
        <v>146</v>
      </c>
      <c r="D4724" s="7" t="s">
        <v>147</v>
      </c>
      <c r="E4724" s="8" t="s">
        <v>137</v>
      </c>
    </row>
    <row r="4725" spans="1:5" x14ac:dyDescent="0.35">
      <c r="A4725" s="9" t="s">
        <v>135</v>
      </c>
      <c r="B4725" s="10"/>
      <c r="C4725" s="10"/>
      <c r="D4725" s="10" t="s">
        <v>148</v>
      </c>
      <c r="E4725" s="11" t="s">
        <v>137</v>
      </c>
    </row>
    <row r="4726" spans="1:5" x14ac:dyDescent="0.35">
      <c r="A4726" s="6" t="s">
        <v>135</v>
      </c>
      <c r="B4726" s="7"/>
      <c r="C4726" s="7"/>
      <c r="D4726" s="7" t="s">
        <v>149</v>
      </c>
      <c r="E4726" s="8" t="s">
        <v>137</v>
      </c>
    </row>
    <row r="4727" spans="1:5" x14ac:dyDescent="0.35">
      <c r="A4727" s="9" t="s">
        <v>135</v>
      </c>
      <c r="B4727" s="10"/>
      <c r="C4727" s="10" t="s">
        <v>150</v>
      </c>
      <c r="D4727" s="10" t="s">
        <v>147</v>
      </c>
      <c r="E4727" s="11" t="s">
        <v>137</v>
      </c>
    </row>
    <row r="4728" spans="1:5" x14ac:dyDescent="0.35">
      <c r="A4728" s="6" t="s">
        <v>135</v>
      </c>
      <c r="B4728" s="7"/>
      <c r="C4728" s="7"/>
      <c r="D4728" s="7" t="s">
        <v>148</v>
      </c>
      <c r="E4728" s="8" t="s">
        <v>137</v>
      </c>
    </row>
    <row r="4729" spans="1:5" x14ac:dyDescent="0.35">
      <c r="A4729" s="9" t="s">
        <v>135</v>
      </c>
      <c r="B4729" s="10"/>
      <c r="C4729" s="10"/>
      <c r="D4729" s="10" t="s">
        <v>149</v>
      </c>
      <c r="E4729" s="11" t="s">
        <v>137</v>
      </c>
    </row>
    <row r="4730" spans="1:5" x14ac:dyDescent="0.35">
      <c r="A4730" s="6" t="s">
        <v>135</v>
      </c>
      <c r="B4730" s="7" t="s">
        <v>161</v>
      </c>
      <c r="C4730" s="7" t="s">
        <v>146</v>
      </c>
      <c r="D4730" s="7" t="s">
        <v>147</v>
      </c>
      <c r="E4730" s="8" t="s">
        <v>137</v>
      </c>
    </row>
    <row r="4731" spans="1:5" x14ac:dyDescent="0.35">
      <c r="A4731" s="9" t="s">
        <v>135</v>
      </c>
      <c r="B4731" s="10"/>
      <c r="C4731" s="10"/>
      <c r="D4731" s="10" t="s">
        <v>148</v>
      </c>
      <c r="E4731" s="11" t="s">
        <v>137</v>
      </c>
    </row>
    <row r="4732" spans="1:5" x14ac:dyDescent="0.35">
      <c r="A4732" s="6" t="s">
        <v>135</v>
      </c>
      <c r="B4732" s="7"/>
      <c r="C4732" s="7"/>
      <c r="D4732" s="7" t="s">
        <v>149</v>
      </c>
      <c r="E4732" s="8" t="s">
        <v>137</v>
      </c>
    </row>
    <row r="4733" spans="1:5" x14ac:dyDescent="0.35">
      <c r="A4733" s="9" t="s">
        <v>135</v>
      </c>
      <c r="B4733" s="10"/>
      <c r="C4733" s="10" t="s">
        <v>150</v>
      </c>
      <c r="D4733" s="10" t="s">
        <v>147</v>
      </c>
      <c r="E4733" s="11" t="s">
        <v>137</v>
      </c>
    </row>
    <row r="4734" spans="1:5" x14ac:dyDescent="0.35">
      <c r="A4734" s="6" t="s">
        <v>135</v>
      </c>
      <c r="B4734" s="7"/>
      <c r="C4734" s="7"/>
      <c r="D4734" s="7" t="s">
        <v>148</v>
      </c>
      <c r="E4734" s="8" t="s">
        <v>137</v>
      </c>
    </row>
    <row r="4735" spans="1:5" x14ac:dyDescent="0.35">
      <c r="A4735" s="9" t="s">
        <v>135</v>
      </c>
      <c r="B4735" s="10"/>
      <c r="C4735" s="10"/>
      <c r="D4735" s="10" t="s">
        <v>149</v>
      </c>
      <c r="E4735" s="11" t="s">
        <v>137</v>
      </c>
    </row>
    <row r="4736" spans="1:5" x14ac:dyDescent="0.35">
      <c r="A4736" s="6" t="s">
        <v>135</v>
      </c>
      <c r="B4736" s="7" t="s">
        <v>162</v>
      </c>
      <c r="C4736" s="7" t="s">
        <v>146</v>
      </c>
      <c r="D4736" s="7" t="s">
        <v>147</v>
      </c>
      <c r="E4736" s="8" t="s">
        <v>137</v>
      </c>
    </row>
    <row r="4737" spans="1:5" x14ac:dyDescent="0.35">
      <c r="A4737" s="9" t="s">
        <v>135</v>
      </c>
      <c r="B4737" s="10"/>
      <c r="C4737" s="10"/>
      <c r="D4737" s="10" t="s">
        <v>148</v>
      </c>
      <c r="E4737" s="11" t="s">
        <v>137</v>
      </c>
    </row>
    <row r="4738" spans="1:5" x14ac:dyDescent="0.35">
      <c r="A4738" s="6" t="s">
        <v>135</v>
      </c>
      <c r="B4738" s="7"/>
      <c r="C4738" s="7"/>
      <c r="D4738" s="7" t="s">
        <v>149</v>
      </c>
      <c r="E4738" s="8" t="s">
        <v>137</v>
      </c>
    </row>
    <row r="4739" spans="1:5" x14ac:dyDescent="0.35">
      <c r="A4739" s="9" t="s">
        <v>135</v>
      </c>
      <c r="B4739" s="10"/>
      <c r="C4739" s="10" t="s">
        <v>150</v>
      </c>
      <c r="D4739" s="10" t="s">
        <v>147</v>
      </c>
      <c r="E4739" s="11" t="s">
        <v>137</v>
      </c>
    </row>
    <row r="4740" spans="1:5" x14ac:dyDescent="0.35">
      <c r="A4740" s="6" t="s">
        <v>135</v>
      </c>
      <c r="B4740" s="7"/>
      <c r="C4740" s="7"/>
      <c r="D4740" s="7" t="s">
        <v>148</v>
      </c>
      <c r="E4740" s="8" t="s">
        <v>137</v>
      </c>
    </row>
    <row r="4741" spans="1:5" x14ac:dyDescent="0.35">
      <c r="A4741" s="9" t="s">
        <v>135</v>
      </c>
      <c r="B4741" s="10"/>
      <c r="C4741" s="10"/>
      <c r="D4741" s="10" t="s">
        <v>149</v>
      </c>
      <c r="E4741" s="11" t="s">
        <v>137</v>
      </c>
    </row>
    <row r="4742" spans="1:5" x14ac:dyDescent="0.35">
      <c r="A4742" s="6" t="s">
        <v>135</v>
      </c>
      <c r="B4742" s="7" t="s">
        <v>163</v>
      </c>
      <c r="C4742" s="7" t="s">
        <v>146</v>
      </c>
      <c r="D4742" s="7" t="s">
        <v>147</v>
      </c>
      <c r="E4742" s="8">
        <v>138.69999999999999</v>
      </c>
    </row>
    <row r="4743" spans="1:5" x14ac:dyDescent="0.35">
      <c r="A4743" s="9" t="s">
        <v>135</v>
      </c>
      <c r="B4743" s="10"/>
      <c r="C4743" s="10"/>
      <c r="D4743" s="10" t="s">
        <v>148</v>
      </c>
      <c r="E4743" s="11">
        <v>138.69999999999999</v>
      </c>
    </row>
    <row r="4744" spans="1:5" x14ac:dyDescent="0.35">
      <c r="A4744" s="6" t="s">
        <v>135</v>
      </c>
      <c r="B4744" s="7"/>
      <c r="C4744" s="7"/>
      <c r="D4744" s="7" t="s">
        <v>149</v>
      </c>
      <c r="E4744" s="8" t="s">
        <v>137</v>
      </c>
    </row>
    <row r="4745" spans="1:5" x14ac:dyDescent="0.35">
      <c r="A4745" s="9" t="s">
        <v>135</v>
      </c>
      <c r="B4745" s="10"/>
      <c r="C4745" s="10" t="s">
        <v>150</v>
      </c>
      <c r="D4745" s="10" t="s">
        <v>147</v>
      </c>
      <c r="E4745" s="11" t="s">
        <v>137</v>
      </c>
    </row>
    <row r="4746" spans="1:5" x14ac:dyDescent="0.35">
      <c r="A4746" s="6" t="s">
        <v>135</v>
      </c>
      <c r="B4746" s="7"/>
      <c r="C4746" s="7"/>
      <c r="D4746" s="7" t="s">
        <v>148</v>
      </c>
      <c r="E4746" s="8" t="s">
        <v>137</v>
      </c>
    </row>
    <row r="4747" spans="1:5" x14ac:dyDescent="0.35">
      <c r="A4747" s="9" t="s">
        <v>135</v>
      </c>
      <c r="B4747" s="10"/>
      <c r="C4747" s="10"/>
      <c r="D4747" s="10" t="s">
        <v>149</v>
      </c>
      <c r="E4747" s="11" t="s">
        <v>137</v>
      </c>
    </row>
    <row r="4748" spans="1:5" x14ac:dyDescent="0.35">
      <c r="A4748" s="6" t="s">
        <v>135</v>
      </c>
      <c r="B4748" s="7" t="s">
        <v>164</v>
      </c>
      <c r="C4748" s="7" t="s">
        <v>146</v>
      </c>
      <c r="D4748" s="7" t="s">
        <v>147</v>
      </c>
      <c r="E4748" s="8" t="s">
        <v>137</v>
      </c>
    </row>
    <row r="4749" spans="1:5" x14ac:dyDescent="0.35">
      <c r="A4749" s="9" t="s">
        <v>135</v>
      </c>
      <c r="B4749" s="10"/>
      <c r="C4749" s="10"/>
      <c r="D4749" s="10" t="s">
        <v>148</v>
      </c>
      <c r="E4749" s="11" t="s">
        <v>137</v>
      </c>
    </row>
    <row r="4750" spans="1:5" x14ac:dyDescent="0.35">
      <c r="A4750" s="6" t="s">
        <v>135</v>
      </c>
      <c r="B4750" s="7"/>
      <c r="C4750" s="7"/>
      <c r="D4750" s="7" t="s">
        <v>149</v>
      </c>
      <c r="E4750" s="8" t="s">
        <v>137</v>
      </c>
    </row>
    <row r="4751" spans="1:5" x14ac:dyDescent="0.35">
      <c r="A4751" s="9" t="s">
        <v>135</v>
      </c>
      <c r="B4751" s="10"/>
      <c r="C4751" s="10" t="s">
        <v>150</v>
      </c>
      <c r="D4751" s="10" t="s">
        <v>147</v>
      </c>
      <c r="E4751" s="11" t="s">
        <v>137</v>
      </c>
    </row>
    <row r="4752" spans="1:5" x14ac:dyDescent="0.35">
      <c r="A4752" s="6" t="s">
        <v>135</v>
      </c>
      <c r="B4752" s="7"/>
      <c r="C4752" s="7"/>
      <c r="D4752" s="7" t="s">
        <v>148</v>
      </c>
      <c r="E4752" s="8" t="s">
        <v>137</v>
      </c>
    </row>
    <row r="4753" spans="1:5" x14ac:dyDescent="0.35">
      <c r="A4753" s="9" t="s">
        <v>135</v>
      </c>
      <c r="B4753" s="10"/>
      <c r="C4753" s="10"/>
      <c r="D4753" s="10" t="s">
        <v>149</v>
      </c>
      <c r="E4753" s="11" t="s">
        <v>137</v>
      </c>
    </row>
    <row r="4754" spans="1:5" x14ac:dyDescent="0.35">
      <c r="A4754" s="6" t="s">
        <v>135</v>
      </c>
      <c r="B4754" s="7" t="s">
        <v>165</v>
      </c>
      <c r="C4754" s="7" t="s">
        <v>146</v>
      </c>
      <c r="D4754" s="7" t="s">
        <v>147</v>
      </c>
      <c r="E4754" s="8" t="s">
        <v>137</v>
      </c>
    </row>
    <row r="4755" spans="1:5" x14ac:dyDescent="0.35">
      <c r="A4755" s="9" t="s">
        <v>135</v>
      </c>
      <c r="B4755" s="10"/>
      <c r="C4755" s="10"/>
      <c r="D4755" s="10" t="s">
        <v>148</v>
      </c>
      <c r="E4755" s="11" t="s">
        <v>137</v>
      </c>
    </row>
    <row r="4756" spans="1:5" x14ac:dyDescent="0.35">
      <c r="A4756" s="6" t="s">
        <v>135</v>
      </c>
      <c r="B4756" s="7"/>
      <c r="C4756" s="7"/>
      <c r="D4756" s="7" t="s">
        <v>149</v>
      </c>
      <c r="E4756" s="8" t="s">
        <v>137</v>
      </c>
    </row>
    <row r="4757" spans="1:5" x14ac:dyDescent="0.35">
      <c r="A4757" s="9" t="s">
        <v>135</v>
      </c>
      <c r="B4757" s="10"/>
      <c r="C4757" s="10" t="s">
        <v>150</v>
      </c>
      <c r="D4757" s="10" t="s">
        <v>147</v>
      </c>
      <c r="E4757" s="11" t="s">
        <v>137</v>
      </c>
    </row>
    <row r="4758" spans="1:5" x14ac:dyDescent="0.35">
      <c r="A4758" s="6" t="s">
        <v>135</v>
      </c>
      <c r="B4758" s="7"/>
      <c r="C4758" s="7"/>
      <c r="D4758" s="7" t="s">
        <v>148</v>
      </c>
      <c r="E4758" s="8" t="s">
        <v>137</v>
      </c>
    </row>
    <row r="4759" spans="1:5" x14ac:dyDescent="0.35">
      <c r="A4759" s="9" t="s">
        <v>135</v>
      </c>
      <c r="B4759" s="10"/>
      <c r="C4759" s="10"/>
      <c r="D4759" s="10" t="s">
        <v>149</v>
      </c>
      <c r="E4759" s="11" t="s">
        <v>137</v>
      </c>
    </row>
    <row r="4760" spans="1:5" x14ac:dyDescent="0.35">
      <c r="A4760" s="6" t="s">
        <v>135</v>
      </c>
      <c r="B4760" s="7" t="s">
        <v>166</v>
      </c>
      <c r="C4760" s="7" t="s">
        <v>146</v>
      </c>
      <c r="D4760" s="7" t="s">
        <v>147</v>
      </c>
      <c r="E4760" s="8">
        <v>138.69999999999999</v>
      </c>
    </row>
    <row r="4761" spans="1:5" x14ac:dyDescent="0.35">
      <c r="A4761" s="9" t="s">
        <v>135</v>
      </c>
      <c r="B4761" s="10"/>
      <c r="C4761" s="10"/>
      <c r="D4761" s="10" t="s">
        <v>148</v>
      </c>
      <c r="E4761" s="11">
        <v>138.69999999999999</v>
      </c>
    </row>
    <row r="4762" spans="1:5" x14ac:dyDescent="0.35">
      <c r="A4762" s="6" t="s">
        <v>135</v>
      </c>
      <c r="B4762" s="7"/>
      <c r="C4762" s="7"/>
      <c r="D4762" s="7" t="s">
        <v>149</v>
      </c>
      <c r="E4762" s="8" t="s">
        <v>137</v>
      </c>
    </row>
    <row r="4763" spans="1:5" x14ac:dyDescent="0.35">
      <c r="A4763" s="9" t="s">
        <v>135</v>
      </c>
      <c r="B4763" s="10"/>
      <c r="C4763" s="10" t="s">
        <v>150</v>
      </c>
      <c r="D4763" s="10" t="s">
        <v>147</v>
      </c>
      <c r="E4763" s="11" t="s">
        <v>137</v>
      </c>
    </row>
    <row r="4764" spans="1:5" x14ac:dyDescent="0.35">
      <c r="A4764" s="6" t="s">
        <v>135</v>
      </c>
      <c r="B4764" s="7"/>
      <c r="C4764" s="7"/>
      <c r="D4764" s="7" t="s">
        <v>148</v>
      </c>
      <c r="E4764" s="8" t="s">
        <v>137</v>
      </c>
    </row>
    <row r="4765" spans="1:5" x14ac:dyDescent="0.35">
      <c r="A4765" s="9" t="s">
        <v>135</v>
      </c>
      <c r="B4765" s="10"/>
      <c r="C4765" s="10"/>
      <c r="D4765" s="10" t="s">
        <v>149</v>
      </c>
      <c r="E4765" s="11" t="s">
        <v>137</v>
      </c>
    </row>
    <row r="4766" spans="1:5" x14ac:dyDescent="0.35">
      <c r="A4766" s="6" t="s">
        <v>135</v>
      </c>
      <c r="B4766" s="7" t="s">
        <v>167</v>
      </c>
      <c r="C4766" s="7" t="s">
        <v>146</v>
      </c>
      <c r="D4766" s="7" t="s">
        <v>147</v>
      </c>
      <c r="E4766" s="8" t="s">
        <v>137</v>
      </c>
    </row>
    <row r="4767" spans="1:5" x14ac:dyDescent="0.35">
      <c r="A4767" s="9" t="s">
        <v>135</v>
      </c>
      <c r="B4767" s="10"/>
      <c r="C4767" s="10"/>
      <c r="D4767" s="10" t="s">
        <v>148</v>
      </c>
      <c r="E4767" s="11" t="s">
        <v>137</v>
      </c>
    </row>
    <row r="4768" spans="1:5" x14ac:dyDescent="0.35">
      <c r="A4768" s="6" t="s">
        <v>135</v>
      </c>
      <c r="B4768" s="7"/>
      <c r="C4768" s="7"/>
      <c r="D4768" s="7" t="s">
        <v>149</v>
      </c>
      <c r="E4768" s="8" t="s">
        <v>137</v>
      </c>
    </row>
    <row r="4769" spans="1:5" x14ac:dyDescent="0.35">
      <c r="A4769" s="9" t="s">
        <v>135</v>
      </c>
      <c r="B4769" s="10"/>
      <c r="C4769" s="10" t="s">
        <v>150</v>
      </c>
      <c r="D4769" s="10" t="s">
        <v>147</v>
      </c>
      <c r="E4769" s="11" t="s">
        <v>137</v>
      </c>
    </row>
    <row r="4770" spans="1:5" x14ac:dyDescent="0.35">
      <c r="A4770" s="6" t="s">
        <v>135</v>
      </c>
      <c r="B4770" s="7"/>
      <c r="C4770" s="7"/>
      <c r="D4770" s="7" t="s">
        <v>148</v>
      </c>
      <c r="E4770" s="8" t="s">
        <v>137</v>
      </c>
    </row>
    <row r="4771" spans="1:5" x14ac:dyDescent="0.35">
      <c r="A4771" s="9" t="s">
        <v>135</v>
      </c>
      <c r="B4771" s="10"/>
      <c r="C4771" s="10"/>
      <c r="D4771" s="10" t="s">
        <v>149</v>
      </c>
      <c r="E4771" s="11" t="s">
        <v>137</v>
      </c>
    </row>
    <row r="4772" spans="1:5" x14ac:dyDescent="0.35">
      <c r="A4772" s="6" t="s">
        <v>135</v>
      </c>
      <c r="B4772" s="7" t="s">
        <v>168</v>
      </c>
      <c r="C4772" s="7" t="s">
        <v>146</v>
      </c>
      <c r="D4772" s="7" t="s">
        <v>147</v>
      </c>
      <c r="E4772" s="8" t="s">
        <v>137</v>
      </c>
    </row>
    <row r="4773" spans="1:5" x14ac:dyDescent="0.35">
      <c r="A4773" s="9" t="s">
        <v>135</v>
      </c>
      <c r="B4773" s="10"/>
      <c r="C4773" s="10"/>
      <c r="D4773" s="10" t="s">
        <v>148</v>
      </c>
      <c r="E4773" s="11" t="s">
        <v>137</v>
      </c>
    </row>
    <row r="4774" spans="1:5" x14ac:dyDescent="0.35">
      <c r="A4774" s="6" t="s">
        <v>135</v>
      </c>
      <c r="B4774" s="7"/>
      <c r="C4774" s="7"/>
      <c r="D4774" s="7" t="s">
        <v>149</v>
      </c>
      <c r="E4774" s="8" t="s">
        <v>137</v>
      </c>
    </row>
    <row r="4775" spans="1:5" x14ac:dyDescent="0.35">
      <c r="A4775" s="9" t="s">
        <v>135</v>
      </c>
      <c r="B4775" s="10"/>
      <c r="C4775" s="10" t="s">
        <v>150</v>
      </c>
      <c r="D4775" s="10" t="s">
        <v>147</v>
      </c>
      <c r="E4775" s="11" t="s">
        <v>137</v>
      </c>
    </row>
    <row r="4776" spans="1:5" x14ac:dyDescent="0.35">
      <c r="A4776" s="6" t="s">
        <v>135</v>
      </c>
      <c r="B4776" s="7"/>
      <c r="C4776" s="7"/>
      <c r="D4776" s="7" t="s">
        <v>148</v>
      </c>
      <c r="E4776" s="8" t="s">
        <v>137</v>
      </c>
    </row>
    <row r="4777" spans="1:5" x14ac:dyDescent="0.35">
      <c r="A4777" s="9" t="s">
        <v>135</v>
      </c>
      <c r="B4777" s="10"/>
      <c r="C4777" s="10"/>
      <c r="D4777" s="10" t="s">
        <v>149</v>
      </c>
      <c r="E4777" s="11" t="s">
        <v>137</v>
      </c>
    </row>
    <row r="4778" spans="1:5" x14ac:dyDescent="0.35">
      <c r="A4778" s="6" t="s">
        <v>135</v>
      </c>
      <c r="B4778" s="7" t="s">
        <v>169</v>
      </c>
      <c r="C4778" s="7" t="s">
        <v>146</v>
      </c>
      <c r="D4778" s="7" t="s">
        <v>147</v>
      </c>
      <c r="E4778" s="8" t="s">
        <v>137</v>
      </c>
    </row>
    <row r="4779" spans="1:5" x14ac:dyDescent="0.35">
      <c r="A4779" s="9" t="s">
        <v>135</v>
      </c>
      <c r="B4779" s="10"/>
      <c r="C4779" s="10"/>
      <c r="D4779" s="10" t="s">
        <v>148</v>
      </c>
      <c r="E4779" s="11" t="s">
        <v>137</v>
      </c>
    </row>
    <row r="4780" spans="1:5" x14ac:dyDescent="0.35">
      <c r="A4780" s="6" t="s">
        <v>135</v>
      </c>
      <c r="B4780" s="7"/>
      <c r="C4780" s="7"/>
      <c r="D4780" s="7" t="s">
        <v>149</v>
      </c>
      <c r="E4780" s="8" t="s">
        <v>137</v>
      </c>
    </row>
    <row r="4781" spans="1:5" x14ac:dyDescent="0.35">
      <c r="A4781" s="9" t="s">
        <v>135</v>
      </c>
      <c r="B4781" s="10"/>
      <c r="C4781" s="10" t="s">
        <v>150</v>
      </c>
      <c r="D4781" s="10" t="s">
        <v>147</v>
      </c>
      <c r="E4781" s="11" t="s">
        <v>137</v>
      </c>
    </row>
    <row r="4782" spans="1:5" x14ac:dyDescent="0.35">
      <c r="A4782" s="6" t="s">
        <v>135</v>
      </c>
      <c r="B4782" s="7"/>
      <c r="C4782" s="7"/>
      <c r="D4782" s="7" t="s">
        <v>148</v>
      </c>
      <c r="E4782" s="8" t="s">
        <v>137</v>
      </c>
    </row>
    <row r="4783" spans="1:5" x14ac:dyDescent="0.35">
      <c r="A4783" s="9" t="s">
        <v>135</v>
      </c>
      <c r="B4783" s="10"/>
      <c r="C4783" s="10"/>
      <c r="D4783" s="10" t="s">
        <v>149</v>
      </c>
      <c r="E4783" s="11" t="s">
        <v>137</v>
      </c>
    </row>
    <row r="4784" spans="1:5" x14ac:dyDescent="0.35">
      <c r="A4784" s="6" t="s">
        <v>135</v>
      </c>
      <c r="B4784" s="7" t="s">
        <v>170</v>
      </c>
      <c r="C4784" s="7" t="s">
        <v>146</v>
      </c>
      <c r="D4784" s="7" t="s">
        <v>147</v>
      </c>
      <c r="E4784" s="8" t="s">
        <v>137</v>
      </c>
    </row>
    <row r="4785" spans="1:5" x14ac:dyDescent="0.35">
      <c r="A4785" s="9" t="s">
        <v>135</v>
      </c>
      <c r="B4785" s="10"/>
      <c r="C4785" s="10"/>
      <c r="D4785" s="10" t="s">
        <v>148</v>
      </c>
      <c r="E4785" s="11" t="s">
        <v>137</v>
      </c>
    </row>
    <row r="4786" spans="1:5" x14ac:dyDescent="0.35">
      <c r="A4786" s="6" t="s">
        <v>135</v>
      </c>
      <c r="B4786" s="7"/>
      <c r="C4786" s="7"/>
      <c r="D4786" s="7" t="s">
        <v>149</v>
      </c>
      <c r="E4786" s="8" t="s">
        <v>137</v>
      </c>
    </row>
    <row r="4787" spans="1:5" x14ac:dyDescent="0.35">
      <c r="A4787" s="9" t="s">
        <v>135</v>
      </c>
      <c r="B4787" s="10"/>
      <c r="C4787" s="10" t="s">
        <v>150</v>
      </c>
      <c r="D4787" s="10" t="s">
        <v>147</v>
      </c>
      <c r="E4787" s="11" t="s">
        <v>137</v>
      </c>
    </row>
    <row r="4788" spans="1:5" x14ac:dyDescent="0.35">
      <c r="A4788" s="6" t="s">
        <v>135</v>
      </c>
      <c r="B4788" s="7"/>
      <c r="C4788" s="7"/>
      <c r="D4788" s="7" t="s">
        <v>148</v>
      </c>
      <c r="E4788" s="8" t="s">
        <v>137</v>
      </c>
    </row>
    <row r="4789" spans="1:5" x14ac:dyDescent="0.35">
      <c r="A4789" s="9" t="s">
        <v>135</v>
      </c>
      <c r="B4789" s="10"/>
      <c r="C4789" s="10"/>
      <c r="D4789" s="10" t="s">
        <v>149</v>
      </c>
      <c r="E4789" s="11" t="s">
        <v>137</v>
      </c>
    </row>
    <row r="4790" spans="1:5" x14ac:dyDescent="0.35">
      <c r="A4790" s="6" t="s">
        <v>139</v>
      </c>
      <c r="B4790" s="7" t="s">
        <v>145</v>
      </c>
      <c r="C4790" s="7" t="s">
        <v>146</v>
      </c>
      <c r="D4790" s="7" t="s">
        <v>147</v>
      </c>
      <c r="E4790" s="8">
        <v>49.46</v>
      </c>
    </row>
    <row r="4791" spans="1:5" x14ac:dyDescent="0.35">
      <c r="A4791" s="9" t="s">
        <v>135</v>
      </c>
      <c r="B4791" s="10"/>
      <c r="C4791" s="10"/>
      <c r="D4791" s="10" t="s">
        <v>148</v>
      </c>
      <c r="E4791" s="11" t="s">
        <v>137</v>
      </c>
    </row>
    <row r="4792" spans="1:5" x14ac:dyDescent="0.35">
      <c r="A4792" s="6" t="s">
        <v>135</v>
      </c>
      <c r="B4792" s="7"/>
      <c r="C4792" s="7"/>
      <c r="D4792" s="7" t="s">
        <v>149</v>
      </c>
      <c r="E4792" s="8">
        <v>49.46</v>
      </c>
    </row>
    <row r="4793" spans="1:5" x14ac:dyDescent="0.35">
      <c r="A4793" s="9" t="s">
        <v>135</v>
      </c>
      <c r="B4793" s="10"/>
      <c r="C4793" s="10" t="s">
        <v>150</v>
      </c>
      <c r="D4793" s="10" t="s">
        <v>147</v>
      </c>
      <c r="E4793" s="11" t="s">
        <v>137</v>
      </c>
    </row>
    <row r="4794" spans="1:5" x14ac:dyDescent="0.35">
      <c r="A4794" s="6" t="s">
        <v>135</v>
      </c>
      <c r="B4794" s="7"/>
      <c r="C4794" s="7"/>
      <c r="D4794" s="7" t="s">
        <v>148</v>
      </c>
      <c r="E4794" s="8" t="s">
        <v>137</v>
      </c>
    </row>
    <row r="4795" spans="1:5" x14ac:dyDescent="0.35">
      <c r="A4795" s="9" t="s">
        <v>135</v>
      </c>
      <c r="B4795" s="10"/>
      <c r="C4795" s="10"/>
      <c r="D4795" s="10" t="s">
        <v>149</v>
      </c>
      <c r="E4795" s="11" t="s">
        <v>137</v>
      </c>
    </row>
    <row r="4796" spans="1:5" x14ac:dyDescent="0.35">
      <c r="A4796" s="6" t="s">
        <v>135</v>
      </c>
      <c r="B4796" s="7" t="s">
        <v>151</v>
      </c>
      <c r="C4796" s="7" t="s">
        <v>146</v>
      </c>
      <c r="D4796" s="7" t="s">
        <v>147</v>
      </c>
      <c r="E4796" s="8">
        <v>45.91</v>
      </c>
    </row>
    <row r="4797" spans="1:5" x14ac:dyDescent="0.35">
      <c r="A4797" s="9" t="s">
        <v>135</v>
      </c>
      <c r="B4797" s="10"/>
      <c r="C4797" s="10"/>
      <c r="D4797" s="10" t="s">
        <v>148</v>
      </c>
      <c r="E4797" s="11" t="s">
        <v>137</v>
      </c>
    </row>
    <row r="4798" spans="1:5" x14ac:dyDescent="0.35">
      <c r="A4798" s="6" t="s">
        <v>135</v>
      </c>
      <c r="B4798" s="7"/>
      <c r="C4798" s="7"/>
      <c r="D4798" s="7" t="s">
        <v>149</v>
      </c>
      <c r="E4798" s="8">
        <v>45.91</v>
      </c>
    </row>
    <row r="4799" spans="1:5" x14ac:dyDescent="0.35">
      <c r="A4799" s="9" t="s">
        <v>135</v>
      </c>
      <c r="B4799" s="10"/>
      <c r="C4799" s="10" t="s">
        <v>150</v>
      </c>
      <c r="D4799" s="10" t="s">
        <v>147</v>
      </c>
      <c r="E4799" s="11" t="s">
        <v>137</v>
      </c>
    </row>
    <row r="4800" spans="1:5" x14ac:dyDescent="0.35">
      <c r="A4800" s="6" t="s">
        <v>135</v>
      </c>
      <c r="B4800" s="7"/>
      <c r="C4800" s="7"/>
      <c r="D4800" s="7" t="s">
        <v>148</v>
      </c>
      <c r="E4800" s="8" t="s">
        <v>137</v>
      </c>
    </row>
    <row r="4801" spans="1:5" x14ac:dyDescent="0.35">
      <c r="A4801" s="9" t="s">
        <v>135</v>
      </c>
      <c r="B4801" s="10"/>
      <c r="C4801" s="10"/>
      <c r="D4801" s="10" t="s">
        <v>149</v>
      </c>
      <c r="E4801" s="11" t="s">
        <v>137</v>
      </c>
    </row>
    <row r="4802" spans="1:5" x14ac:dyDescent="0.35">
      <c r="A4802" s="6" t="s">
        <v>135</v>
      </c>
      <c r="B4802" s="7" t="s">
        <v>152</v>
      </c>
      <c r="C4802" s="7" t="s">
        <v>146</v>
      </c>
      <c r="D4802" s="7" t="s">
        <v>147</v>
      </c>
      <c r="E4802" s="8" t="s">
        <v>137</v>
      </c>
    </row>
    <row r="4803" spans="1:5" x14ac:dyDescent="0.35">
      <c r="A4803" s="9" t="s">
        <v>135</v>
      </c>
      <c r="B4803" s="10"/>
      <c r="C4803" s="10"/>
      <c r="D4803" s="10" t="s">
        <v>148</v>
      </c>
      <c r="E4803" s="11" t="s">
        <v>137</v>
      </c>
    </row>
    <row r="4804" spans="1:5" x14ac:dyDescent="0.35">
      <c r="A4804" s="6" t="s">
        <v>135</v>
      </c>
      <c r="B4804" s="7"/>
      <c r="C4804" s="7"/>
      <c r="D4804" s="7" t="s">
        <v>149</v>
      </c>
      <c r="E4804" s="8" t="s">
        <v>137</v>
      </c>
    </row>
    <row r="4805" spans="1:5" x14ac:dyDescent="0.35">
      <c r="A4805" s="9" t="s">
        <v>135</v>
      </c>
      <c r="B4805" s="10"/>
      <c r="C4805" s="10" t="s">
        <v>150</v>
      </c>
      <c r="D4805" s="10" t="s">
        <v>147</v>
      </c>
      <c r="E4805" s="11" t="s">
        <v>137</v>
      </c>
    </row>
    <row r="4806" spans="1:5" x14ac:dyDescent="0.35">
      <c r="A4806" s="6" t="s">
        <v>135</v>
      </c>
      <c r="B4806" s="7"/>
      <c r="C4806" s="7"/>
      <c r="D4806" s="7" t="s">
        <v>148</v>
      </c>
      <c r="E4806" s="8" t="s">
        <v>137</v>
      </c>
    </row>
    <row r="4807" spans="1:5" x14ac:dyDescent="0.35">
      <c r="A4807" s="9" t="s">
        <v>135</v>
      </c>
      <c r="B4807" s="10"/>
      <c r="C4807" s="10"/>
      <c r="D4807" s="10" t="s">
        <v>149</v>
      </c>
      <c r="E4807" s="11" t="s">
        <v>137</v>
      </c>
    </row>
    <row r="4808" spans="1:5" x14ac:dyDescent="0.35">
      <c r="A4808" s="6" t="s">
        <v>135</v>
      </c>
      <c r="B4808" s="7" t="s">
        <v>153</v>
      </c>
      <c r="C4808" s="7" t="s">
        <v>146</v>
      </c>
      <c r="D4808" s="7" t="s">
        <v>147</v>
      </c>
      <c r="E4808" s="8">
        <v>3.55</v>
      </c>
    </row>
    <row r="4809" spans="1:5" x14ac:dyDescent="0.35">
      <c r="A4809" s="9" t="s">
        <v>135</v>
      </c>
      <c r="B4809" s="10"/>
      <c r="C4809" s="10"/>
      <c r="D4809" s="10" t="s">
        <v>148</v>
      </c>
      <c r="E4809" s="11" t="s">
        <v>137</v>
      </c>
    </row>
    <row r="4810" spans="1:5" x14ac:dyDescent="0.35">
      <c r="A4810" s="6" t="s">
        <v>135</v>
      </c>
      <c r="B4810" s="7"/>
      <c r="C4810" s="7"/>
      <c r="D4810" s="7" t="s">
        <v>149</v>
      </c>
      <c r="E4810" s="8">
        <v>3.55</v>
      </c>
    </row>
    <row r="4811" spans="1:5" x14ac:dyDescent="0.35">
      <c r="A4811" s="9" t="s">
        <v>135</v>
      </c>
      <c r="B4811" s="10"/>
      <c r="C4811" s="10" t="s">
        <v>150</v>
      </c>
      <c r="D4811" s="10" t="s">
        <v>147</v>
      </c>
      <c r="E4811" s="11" t="s">
        <v>137</v>
      </c>
    </row>
    <row r="4812" spans="1:5" x14ac:dyDescent="0.35">
      <c r="A4812" s="6" t="s">
        <v>135</v>
      </c>
      <c r="B4812" s="7"/>
      <c r="C4812" s="7"/>
      <c r="D4812" s="7" t="s">
        <v>148</v>
      </c>
      <c r="E4812" s="8" t="s">
        <v>137</v>
      </c>
    </row>
    <row r="4813" spans="1:5" x14ac:dyDescent="0.35">
      <c r="A4813" s="9" t="s">
        <v>135</v>
      </c>
      <c r="B4813" s="10"/>
      <c r="C4813" s="10"/>
      <c r="D4813" s="10" t="s">
        <v>149</v>
      </c>
      <c r="E4813" s="11" t="s">
        <v>137</v>
      </c>
    </row>
    <row r="4814" spans="1:5" x14ac:dyDescent="0.35">
      <c r="A4814" s="6" t="s">
        <v>135</v>
      </c>
      <c r="B4814" s="7" t="s">
        <v>154</v>
      </c>
      <c r="C4814" s="7" t="s">
        <v>146</v>
      </c>
      <c r="D4814" s="7" t="s">
        <v>147</v>
      </c>
      <c r="E4814" s="8" t="s">
        <v>137</v>
      </c>
    </row>
    <row r="4815" spans="1:5" x14ac:dyDescent="0.35">
      <c r="A4815" s="9" t="s">
        <v>135</v>
      </c>
      <c r="B4815" s="10"/>
      <c r="C4815" s="10"/>
      <c r="D4815" s="10" t="s">
        <v>148</v>
      </c>
      <c r="E4815" s="11" t="s">
        <v>137</v>
      </c>
    </row>
    <row r="4816" spans="1:5" x14ac:dyDescent="0.35">
      <c r="A4816" s="6" t="s">
        <v>135</v>
      </c>
      <c r="B4816" s="7"/>
      <c r="C4816" s="7"/>
      <c r="D4816" s="7" t="s">
        <v>149</v>
      </c>
      <c r="E4816" s="8" t="s">
        <v>137</v>
      </c>
    </row>
    <row r="4817" spans="1:5" x14ac:dyDescent="0.35">
      <c r="A4817" s="9" t="s">
        <v>135</v>
      </c>
      <c r="B4817" s="10"/>
      <c r="C4817" s="10" t="s">
        <v>150</v>
      </c>
      <c r="D4817" s="10" t="s">
        <v>147</v>
      </c>
      <c r="E4817" s="11" t="s">
        <v>137</v>
      </c>
    </row>
    <row r="4818" spans="1:5" x14ac:dyDescent="0.35">
      <c r="A4818" s="6" t="s">
        <v>135</v>
      </c>
      <c r="B4818" s="7"/>
      <c r="C4818" s="7"/>
      <c r="D4818" s="7" t="s">
        <v>148</v>
      </c>
      <c r="E4818" s="8" t="s">
        <v>137</v>
      </c>
    </row>
    <row r="4819" spans="1:5" x14ac:dyDescent="0.35">
      <c r="A4819" s="9" t="s">
        <v>135</v>
      </c>
      <c r="B4819" s="10"/>
      <c r="C4819" s="10"/>
      <c r="D4819" s="10" t="s">
        <v>149</v>
      </c>
      <c r="E4819" s="11" t="s">
        <v>137</v>
      </c>
    </row>
    <row r="4820" spans="1:5" x14ac:dyDescent="0.35">
      <c r="A4820" s="6" t="s">
        <v>135</v>
      </c>
      <c r="B4820" s="7" t="s">
        <v>155</v>
      </c>
      <c r="C4820" s="7" t="s">
        <v>146</v>
      </c>
      <c r="D4820" s="7" t="s">
        <v>147</v>
      </c>
      <c r="E4820" s="8" t="s">
        <v>137</v>
      </c>
    </row>
    <row r="4821" spans="1:5" x14ac:dyDescent="0.35">
      <c r="A4821" s="9" t="s">
        <v>135</v>
      </c>
      <c r="B4821" s="10"/>
      <c r="C4821" s="10"/>
      <c r="D4821" s="10" t="s">
        <v>148</v>
      </c>
      <c r="E4821" s="11" t="s">
        <v>137</v>
      </c>
    </row>
    <row r="4822" spans="1:5" x14ac:dyDescent="0.35">
      <c r="A4822" s="6" t="s">
        <v>135</v>
      </c>
      <c r="B4822" s="7"/>
      <c r="C4822" s="7"/>
      <c r="D4822" s="7" t="s">
        <v>149</v>
      </c>
      <c r="E4822" s="8" t="s">
        <v>137</v>
      </c>
    </row>
    <row r="4823" spans="1:5" x14ac:dyDescent="0.35">
      <c r="A4823" s="9" t="s">
        <v>135</v>
      </c>
      <c r="B4823" s="10"/>
      <c r="C4823" s="10" t="s">
        <v>150</v>
      </c>
      <c r="D4823" s="10" t="s">
        <v>147</v>
      </c>
      <c r="E4823" s="11" t="s">
        <v>137</v>
      </c>
    </row>
    <row r="4824" spans="1:5" x14ac:dyDescent="0.35">
      <c r="A4824" s="6" t="s">
        <v>135</v>
      </c>
      <c r="B4824" s="7"/>
      <c r="C4824" s="7"/>
      <c r="D4824" s="7" t="s">
        <v>148</v>
      </c>
      <c r="E4824" s="8" t="s">
        <v>137</v>
      </c>
    </row>
    <row r="4825" spans="1:5" x14ac:dyDescent="0.35">
      <c r="A4825" s="9" t="s">
        <v>135</v>
      </c>
      <c r="B4825" s="10"/>
      <c r="C4825" s="10"/>
      <c r="D4825" s="10" t="s">
        <v>149</v>
      </c>
      <c r="E4825" s="11" t="s">
        <v>137</v>
      </c>
    </row>
    <row r="4826" spans="1:5" x14ac:dyDescent="0.35">
      <c r="A4826" s="6" t="s">
        <v>135</v>
      </c>
      <c r="B4826" s="7" t="s">
        <v>156</v>
      </c>
      <c r="C4826" s="7" t="s">
        <v>146</v>
      </c>
      <c r="D4826" s="7" t="s">
        <v>147</v>
      </c>
      <c r="E4826" s="8" t="s">
        <v>137</v>
      </c>
    </row>
    <row r="4827" spans="1:5" x14ac:dyDescent="0.35">
      <c r="A4827" s="9" t="s">
        <v>135</v>
      </c>
      <c r="B4827" s="10"/>
      <c r="C4827" s="10"/>
      <c r="D4827" s="10" t="s">
        <v>148</v>
      </c>
      <c r="E4827" s="11" t="s">
        <v>137</v>
      </c>
    </row>
    <row r="4828" spans="1:5" x14ac:dyDescent="0.35">
      <c r="A4828" s="6" t="s">
        <v>135</v>
      </c>
      <c r="B4828" s="7"/>
      <c r="C4828" s="7"/>
      <c r="D4828" s="7" t="s">
        <v>149</v>
      </c>
      <c r="E4828" s="8" t="s">
        <v>137</v>
      </c>
    </row>
    <row r="4829" spans="1:5" x14ac:dyDescent="0.35">
      <c r="A4829" s="9" t="s">
        <v>135</v>
      </c>
      <c r="B4829" s="10"/>
      <c r="C4829" s="10" t="s">
        <v>150</v>
      </c>
      <c r="D4829" s="10" t="s">
        <v>147</v>
      </c>
      <c r="E4829" s="11" t="s">
        <v>137</v>
      </c>
    </row>
    <row r="4830" spans="1:5" x14ac:dyDescent="0.35">
      <c r="A4830" s="6" t="s">
        <v>135</v>
      </c>
      <c r="B4830" s="7"/>
      <c r="C4830" s="7"/>
      <c r="D4830" s="7" t="s">
        <v>148</v>
      </c>
      <c r="E4830" s="8" t="s">
        <v>137</v>
      </c>
    </row>
    <row r="4831" spans="1:5" x14ac:dyDescent="0.35">
      <c r="A4831" s="9" t="s">
        <v>135</v>
      </c>
      <c r="B4831" s="10"/>
      <c r="C4831" s="10"/>
      <c r="D4831" s="10" t="s">
        <v>149</v>
      </c>
      <c r="E4831" s="11" t="s">
        <v>137</v>
      </c>
    </row>
    <row r="4832" spans="1:5" x14ac:dyDescent="0.35">
      <c r="A4832" s="6" t="s">
        <v>135</v>
      </c>
      <c r="B4832" s="7" t="s">
        <v>157</v>
      </c>
      <c r="C4832" s="7" t="s">
        <v>146</v>
      </c>
      <c r="D4832" s="7" t="s">
        <v>147</v>
      </c>
      <c r="E4832" s="8" t="s">
        <v>137</v>
      </c>
    </row>
    <row r="4833" spans="1:5" x14ac:dyDescent="0.35">
      <c r="A4833" s="9" t="s">
        <v>135</v>
      </c>
      <c r="B4833" s="10"/>
      <c r="C4833" s="10"/>
      <c r="D4833" s="10" t="s">
        <v>148</v>
      </c>
      <c r="E4833" s="11" t="s">
        <v>137</v>
      </c>
    </row>
    <row r="4834" spans="1:5" x14ac:dyDescent="0.35">
      <c r="A4834" s="6" t="s">
        <v>135</v>
      </c>
      <c r="B4834" s="7"/>
      <c r="C4834" s="7"/>
      <c r="D4834" s="7" t="s">
        <v>149</v>
      </c>
      <c r="E4834" s="8" t="s">
        <v>137</v>
      </c>
    </row>
    <row r="4835" spans="1:5" x14ac:dyDescent="0.35">
      <c r="A4835" s="9" t="s">
        <v>135</v>
      </c>
      <c r="B4835" s="10"/>
      <c r="C4835" s="10" t="s">
        <v>150</v>
      </c>
      <c r="D4835" s="10" t="s">
        <v>147</v>
      </c>
      <c r="E4835" s="11" t="s">
        <v>137</v>
      </c>
    </row>
    <row r="4836" spans="1:5" x14ac:dyDescent="0.35">
      <c r="A4836" s="6" t="s">
        <v>135</v>
      </c>
      <c r="B4836" s="7"/>
      <c r="C4836" s="7"/>
      <c r="D4836" s="7" t="s">
        <v>148</v>
      </c>
      <c r="E4836" s="8" t="s">
        <v>137</v>
      </c>
    </row>
    <row r="4837" spans="1:5" x14ac:dyDescent="0.35">
      <c r="A4837" s="9" t="s">
        <v>135</v>
      </c>
      <c r="B4837" s="10"/>
      <c r="C4837" s="10"/>
      <c r="D4837" s="10" t="s">
        <v>149</v>
      </c>
      <c r="E4837" s="11" t="s">
        <v>137</v>
      </c>
    </row>
    <row r="4838" spans="1:5" x14ac:dyDescent="0.35">
      <c r="A4838" s="6" t="s">
        <v>135</v>
      </c>
      <c r="B4838" s="7" t="s">
        <v>158</v>
      </c>
      <c r="C4838" s="7" t="s">
        <v>146</v>
      </c>
      <c r="D4838" s="7" t="s">
        <v>147</v>
      </c>
      <c r="E4838" s="8" t="s">
        <v>137</v>
      </c>
    </row>
    <row r="4839" spans="1:5" x14ac:dyDescent="0.35">
      <c r="A4839" s="9" t="s">
        <v>135</v>
      </c>
      <c r="B4839" s="10"/>
      <c r="C4839" s="10"/>
      <c r="D4839" s="10" t="s">
        <v>148</v>
      </c>
      <c r="E4839" s="11" t="s">
        <v>137</v>
      </c>
    </row>
    <row r="4840" spans="1:5" x14ac:dyDescent="0.35">
      <c r="A4840" s="6" t="s">
        <v>135</v>
      </c>
      <c r="B4840" s="7"/>
      <c r="C4840" s="7"/>
      <c r="D4840" s="7" t="s">
        <v>149</v>
      </c>
      <c r="E4840" s="8" t="s">
        <v>137</v>
      </c>
    </row>
    <row r="4841" spans="1:5" x14ac:dyDescent="0.35">
      <c r="A4841" s="9" t="s">
        <v>135</v>
      </c>
      <c r="B4841" s="10"/>
      <c r="C4841" s="10" t="s">
        <v>150</v>
      </c>
      <c r="D4841" s="10" t="s">
        <v>147</v>
      </c>
      <c r="E4841" s="11" t="s">
        <v>137</v>
      </c>
    </row>
    <row r="4842" spans="1:5" x14ac:dyDescent="0.35">
      <c r="A4842" s="6" t="s">
        <v>135</v>
      </c>
      <c r="B4842" s="7"/>
      <c r="C4842" s="7"/>
      <c r="D4842" s="7" t="s">
        <v>148</v>
      </c>
      <c r="E4842" s="8" t="s">
        <v>137</v>
      </c>
    </row>
    <row r="4843" spans="1:5" x14ac:dyDescent="0.35">
      <c r="A4843" s="9" t="s">
        <v>135</v>
      </c>
      <c r="B4843" s="10"/>
      <c r="C4843" s="10"/>
      <c r="D4843" s="10" t="s">
        <v>149</v>
      </c>
      <c r="E4843" s="11" t="s">
        <v>137</v>
      </c>
    </row>
    <row r="4844" spans="1:5" x14ac:dyDescent="0.35">
      <c r="A4844" s="6" t="s">
        <v>135</v>
      </c>
      <c r="B4844" s="7" t="s">
        <v>159</v>
      </c>
      <c r="C4844" s="7" t="s">
        <v>146</v>
      </c>
      <c r="D4844" s="7" t="s">
        <v>147</v>
      </c>
      <c r="E4844" s="8" t="s">
        <v>137</v>
      </c>
    </row>
    <row r="4845" spans="1:5" x14ac:dyDescent="0.35">
      <c r="A4845" s="9" t="s">
        <v>135</v>
      </c>
      <c r="B4845" s="10"/>
      <c r="C4845" s="10"/>
      <c r="D4845" s="10" t="s">
        <v>148</v>
      </c>
      <c r="E4845" s="11" t="s">
        <v>137</v>
      </c>
    </row>
    <row r="4846" spans="1:5" x14ac:dyDescent="0.35">
      <c r="A4846" s="6" t="s">
        <v>135</v>
      </c>
      <c r="B4846" s="7"/>
      <c r="C4846" s="7"/>
      <c r="D4846" s="7" t="s">
        <v>149</v>
      </c>
      <c r="E4846" s="8" t="s">
        <v>137</v>
      </c>
    </row>
    <row r="4847" spans="1:5" x14ac:dyDescent="0.35">
      <c r="A4847" s="9" t="s">
        <v>135</v>
      </c>
      <c r="B4847" s="10"/>
      <c r="C4847" s="10" t="s">
        <v>150</v>
      </c>
      <c r="D4847" s="10" t="s">
        <v>147</v>
      </c>
      <c r="E4847" s="11" t="s">
        <v>137</v>
      </c>
    </row>
    <row r="4848" spans="1:5" x14ac:dyDescent="0.35">
      <c r="A4848" s="6" t="s">
        <v>135</v>
      </c>
      <c r="B4848" s="7"/>
      <c r="C4848" s="7"/>
      <c r="D4848" s="7" t="s">
        <v>148</v>
      </c>
      <c r="E4848" s="8" t="s">
        <v>137</v>
      </c>
    </row>
    <row r="4849" spans="1:5" x14ac:dyDescent="0.35">
      <c r="A4849" s="9" t="s">
        <v>135</v>
      </c>
      <c r="B4849" s="10"/>
      <c r="C4849" s="10"/>
      <c r="D4849" s="10" t="s">
        <v>149</v>
      </c>
      <c r="E4849" s="11" t="s">
        <v>137</v>
      </c>
    </row>
    <row r="4850" spans="1:5" x14ac:dyDescent="0.35">
      <c r="A4850" s="6" t="s">
        <v>135</v>
      </c>
      <c r="B4850" s="7" t="s">
        <v>160</v>
      </c>
      <c r="C4850" s="7" t="s">
        <v>146</v>
      </c>
      <c r="D4850" s="7" t="s">
        <v>147</v>
      </c>
      <c r="E4850" s="8" t="s">
        <v>137</v>
      </c>
    </row>
    <row r="4851" spans="1:5" x14ac:dyDescent="0.35">
      <c r="A4851" s="9" t="s">
        <v>135</v>
      </c>
      <c r="B4851" s="10"/>
      <c r="C4851" s="10"/>
      <c r="D4851" s="10" t="s">
        <v>148</v>
      </c>
      <c r="E4851" s="11" t="s">
        <v>137</v>
      </c>
    </row>
    <row r="4852" spans="1:5" x14ac:dyDescent="0.35">
      <c r="A4852" s="6" t="s">
        <v>135</v>
      </c>
      <c r="B4852" s="7"/>
      <c r="C4852" s="7"/>
      <c r="D4852" s="7" t="s">
        <v>149</v>
      </c>
      <c r="E4852" s="8" t="s">
        <v>137</v>
      </c>
    </row>
    <row r="4853" spans="1:5" x14ac:dyDescent="0.35">
      <c r="A4853" s="9" t="s">
        <v>135</v>
      </c>
      <c r="B4853" s="10"/>
      <c r="C4853" s="10" t="s">
        <v>150</v>
      </c>
      <c r="D4853" s="10" t="s">
        <v>147</v>
      </c>
      <c r="E4853" s="11" t="s">
        <v>137</v>
      </c>
    </row>
    <row r="4854" spans="1:5" x14ac:dyDescent="0.35">
      <c r="A4854" s="6" t="s">
        <v>135</v>
      </c>
      <c r="B4854" s="7"/>
      <c r="C4854" s="7"/>
      <c r="D4854" s="7" t="s">
        <v>148</v>
      </c>
      <c r="E4854" s="8" t="s">
        <v>137</v>
      </c>
    </row>
    <row r="4855" spans="1:5" x14ac:dyDescent="0.35">
      <c r="A4855" s="9" t="s">
        <v>135</v>
      </c>
      <c r="B4855" s="10"/>
      <c r="C4855" s="10"/>
      <c r="D4855" s="10" t="s">
        <v>149</v>
      </c>
      <c r="E4855" s="11" t="s">
        <v>137</v>
      </c>
    </row>
    <row r="4856" spans="1:5" x14ac:dyDescent="0.35">
      <c r="A4856" s="6" t="s">
        <v>135</v>
      </c>
      <c r="B4856" s="7" t="s">
        <v>161</v>
      </c>
      <c r="C4856" s="7" t="s">
        <v>146</v>
      </c>
      <c r="D4856" s="7" t="s">
        <v>147</v>
      </c>
      <c r="E4856" s="8" t="s">
        <v>137</v>
      </c>
    </row>
    <row r="4857" spans="1:5" x14ac:dyDescent="0.35">
      <c r="A4857" s="9" t="s">
        <v>135</v>
      </c>
      <c r="B4857" s="10"/>
      <c r="C4857" s="10"/>
      <c r="D4857" s="10" t="s">
        <v>148</v>
      </c>
      <c r="E4857" s="11" t="s">
        <v>137</v>
      </c>
    </row>
    <row r="4858" spans="1:5" x14ac:dyDescent="0.35">
      <c r="A4858" s="6" t="s">
        <v>135</v>
      </c>
      <c r="B4858" s="7"/>
      <c r="C4858" s="7"/>
      <c r="D4858" s="7" t="s">
        <v>149</v>
      </c>
      <c r="E4858" s="8" t="s">
        <v>137</v>
      </c>
    </row>
    <row r="4859" spans="1:5" x14ac:dyDescent="0.35">
      <c r="A4859" s="9" t="s">
        <v>135</v>
      </c>
      <c r="B4859" s="10"/>
      <c r="C4859" s="10" t="s">
        <v>150</v>
      </c>
      <c r="D4859" s="10" t="s">
        <v>147</v>
      </c>
      <c r="E4859" s="11" t="s">
        <v>137</v>
      </c>
    </row>
    <row r="4860" spans="1:5" x14ac:dyDescent="0.35">
      <c r="A4860" s="6" t="s">
        <v>135</v>
      </c>
      <c r="B4860" s="7"/>
      <c r="C4860" s="7"/>
      <c r="D4860" s="7" t="s">
        <v>148</v>
      </c>
      <c r="E4860" s="8" t="s">
        <v>137</v>
      </c>
    </row>
    <row r="4861" spans="1:5" x14ac:dyDescent="0.35">
      <c r="A4861" s="9" t="s">
        <v>135</v>
      </c>
      <c r="B4861" s="10"/>
      <c r="C4861" s="10"/>
      <c r="D4861" s="10" t="s">
        <v>149</v>
      </c>
      <c r="E4861" s="11" t="s">
        <v>137</v>
      </c>
    </row>
    <row r="4862" spans="1:5" x14ac:dyDescent="0.35">
      <c r="A4862" s="6" t="s">
        <v>135</v>
      </c>
      <c r="B4862" s="7" t="s">
        <v>162</v>
      </c>
      <c r="C4862" s="7" t="s">
        <v>146</v>
      </c>
      <c r="D4862" s="7" t="s">
        <v>147</v>
      </c>
      <c r="E4862" s="8" t="s">
        <v>137</v>
      </c>
    </row>
    <row r="4863" spans="1:5" x14ac:dyDescent="0.35">
      <c r="A4863" s="9" t="s">
        <v>135</v>
      </c>
      <c r="B4863" s="10"/>
      <c r="C4863" s="10"/>
      <c r="D4863" s="10" t="s">
        <v>148</v>
      </c>
      <c r="E4863" s="11" t="s">
        <v>137</v>
      </c>
    </row>
    <row r="4864" spans="1:5" x14ac:dyDescent="0.35">
      <c r="A4864" s="6" t="s">
        <v>135</v>
      </c>
      <c r="B4864" s="7"/>
      <c r="C4864" s="7"/>
      <c r="D4864" s="7" t="s">
        <v>149</v>
      </c>
      <c r="E4864" s="8" t="s">
        <v>137</v>
      </c>
    </row>
    <row r="4865" spans="1:5" x14ac:dyDescent="0.35">
      <c r="A4865" s="9" t="s">
        <v>135</v>
      </c>
      <c r="B4865" s="10"/>
      <c r="C4865" s="10" t="s">
        <v>150</v>
      </c>
      <c r="D4865" s="10" t="s">
        <v>147</v>
      </c>
      <c r="E4865" s="11" t="s">
        <v>137</v>
      </c>
    </row>
    <row r="4866" spans="1:5" x14ac:dyDescent="0.35">
      <c r="A4866" s="6" t="s">
        <v>135</v>
      </c>
      <c r="B4866" s="7"/>
      <c r="C4866" s="7"/>
      <c r="D4866" s="7" t="s">
        <v>148</v>
      </c>
      <c r="E4866" s="8" t="s">
        <v>137</v>
      </c>
    </row>
    <row r="4867" spans="1:5" x14ac:dyDescent="0.35">
      <c r="A4867" s="9" t="s">
        <v>135</v>
      </c>
      <c r="B4867" s="10"/>
      <c r="C4867" s="10"/>
      <c r="D4867" s="10" t="s">
        <v>149</v>
      </c>
      <c r="E4867" s="11" t="s">
        <v>137</v>
      </c>
    </row>
    <row r="4868" spans="1:5" x14ac:dyDescent="0.35">
      <c r="A4868" s="6" t="s">
        <v>135</v>
      </c>
      <c r="B4868" s="7" t="s">
        <v>163</v>
      </c>
      <c r="C4868" s="7" t="s">
        <v>146</v>
      </c>
      <c r="D4868" s="7" t="s">
        <v>147</v>
      </c>
      <c r="E4868" s="8">
        <v>106</v>
      </c>
    </row>
    <row r="4869" spans="1:5" x14ac:dyDescent="0.35">
      <c r="A4869" s="9" t="s">
        <v>135</v>
      </c>
      <c r="B4869" s="10"/>
      <c r="C4869" s="10"/>
      <c r="D4869" s="10" t="s">
        <v>148</v>
      </c>
      <c r="E4869" s="11" t="s">
        <v>137</v>
      </c>
    </row>
    <row r="4870" spans="1:5" x14ac:dyDescent="0.35">
      <c r="A4870" s="6" t="s">
        <v>135</v>
      </c>
      <c r="B4870" s="7"/>
      <c r="C4870" s="7"/>
      <c r="D4870" s="7" t="s">
        <v>149</v>
      </c>
      <c r="E4870" s="8">
        <v>106</v>
      </c>
    </row>
    <row r="4871" spans="1:5" x14ac:dyDescent="0.35">
      <c r="A4871" s="9" t="s">
        <v>135</v>
      </c>
      <c r="B4871" s="10"/>
      <c r="C4871" s="10" t="s">
        <v>150</v>
      </c>
      <c r="D4871" s="10" t="s">
        <v>147</v>
      </c>
      <c r="E4871" s="11" t="s">
        <v>137</v>
      </c>
    </row>
    <row r="4872" spans="1:5" x14ac:dyDescent="0.35">
      <c r="A4872" s="6" t="s">
        <v>135</v>
      </c>
      <c r="B4872" s="7"/>
      <c r="C4872" s="7"/>
      <c r="D4872" s="7" t="s">
        <v>148</v>
      </c>
      <c r="E4872" s="8" t="s">
        <v>137</v>
      </c>
    </row>
    <row r="4873" spans="1:5" x14ac:dyDescent="0.35">
      <c r="A4873" s="9" t="s">
        <v>135</v>
      </c>
      <c r="B4873" s="10"/>
      <c r="C4873" s="10"/>
      <c r="D4873" s="10" t="s">
        <v>149</v>
      </c>
      <c r="E4873" s="11" t="s">
        <v>137</v>
      </c>
    </row>
    <row r="4874" spans="1:5" x14ac:dyDescent="0.35">
      <c r="A4874" s="6" t="s">
        <v>135</v>
      </c>
      <c r="B4874" s="7" t="s">
        <v>164</v>
      </c>
      <c r="C4874" s="7" t="s">
        <v>146</v>
      </c>
      <c r="D4874" s="7" t="s">
        <v>147</v>
      </c>
      <c r="E4874" s="8" t="s">
        <v>137</v>
      </c>
    </row>
    <row r="4875" spans="1:5" x14ac:dyDescent="0.35">
      <c r="A4875" s="9" t="s">
        <v>135</v>
      </c>
      <c r="B4875" s="10"/>
      <c r="C4875" s="10"/>
      <c r="D4875" s="10" t="s">
        <v>148</v>
      </c>
      <c r="E4875" s="11" t="s">
        <v>137</v>
      </c>
    </row>
    <row r="4876" spans="1:5" x14ac:dyDescent="0.35">
      <c r="A4876" s="6" t="s">
        <v>135</v>
      </c>
      <c r="B4876" s="7"/>
      <c r="C4876" s="7"/>
      <c r="D4876" s="7" t="s">
        <v>149</v>
      </c>
      <c r="E4876" s="8" t="s">
        <v>137</v>
      </c>
    </row>
    <row r="4877" spans="1:5" x14ac:dyDescent="0.35">
      <c r="A4877" s="9" t="s">
        <v>135</v>
      </c>
      <c r="B4877" s="10"/>
      <c r="C4877" s="10" t="s">
        <v>150</v>
      </c>
      <c r="D4877" s="10" t="s">
        <v>147</v>
      </c>
      <c r="E4877" s="11" t="s">
        <v>137</v>
      </c>
    </row>
    <row r="4878" spans="1:5" x14ac:dyDescent="0.35">
      <c r="A4878" s="6" t="s">
        <v>135</v>
      </c>
      <c r="B4878" s="7"/>
      <c r="C4878" s="7"/>
      <c r="D4878" s="7" t="s">
        <v>148</v>
      </c>
      <c r="E4878" s="8" t="s">
        <v>137</v>
      </c>
    </row>
    <row r="4879" spans="1:5" x14ac:dyDescent="0.35">
      <c r="A4879" s="9" t="s">
        <v>135</v>
      </c>
      <c r="B4879" s="10"/>
      <c r="C4879" s="10"/>
      <c r="D4879" s="10" t="s">
        <v>149</v>
      </c>
      <c r="E4879" s="11" t="s">
        <v>137</v>
      </c>
    </row>
    <row r="4880" spans="1:5" x14ac:dyDescent="0.35">
      <c r="A4880" s="6" t="s">
        <v>135</v>
      </c>
      <c r="B4880" s="7" t="s">
        <v>165</v>
      </c>
      <c r="C4880" s="7" t="s">
        <v>146</v>
      </c>
      <c r="D4880" s="7" t="s">
        <v>147</v>
      </c>
      <c r="E4880" s="8" t="s">
        <v>137</v>
      </c>
    </row>
    <row r="4881" spans="1:5" x14ac:dyDescent="0.35">
      <c r="A4881" s="9" t="s">
        <v>135</v>
      </c>
      <c r="B4881" s="10"/>
      <c r="C4881" s="10"/>
      <c r="D4881" s="10" t="s">
        <v>148</v>
      </c>
      <c r="E4881" s="11" t="s">
        <v>137</v>
      </c>
    </row>
    <row r="4882" spans="1:5" x14ac:dyDescent="0.35">
      <c r="A4882" s="6" t="s">
        <v>135</v>
      </c>
      <c r="B4882" s="7"/>
      <c r="C4882" s="7"/>
      <c r="D4882" s="7" t="s">
        <v>149</v>
      </c>
      <c r="E4882" s="8" t="s">
        <v>137</v>
      </c>
    </row>
    <row r="4883" spans="1:5" x14ac:dyDescent="0.35">
      <c r="A4883" s="9" t="s">
        <v>135</v>
      </c>
      <c r="B4883" s="10"/>
      <c r="C4883" s="10" t="s">
        <v>150</v>
      </c>
      <c r="D4883" s="10" t="s">
        <v>147</v>
      </c>
      <c r="E4883" s="11" t="s">
        <v>137</v>
      </c>
    </row>
    <row r="4884" spans="1:5" x14ac:dyDescent="0.35">
      <c r="A4884" s="6" t="s">
        <v>135</v>
      </c>
      <c r="B4884" s="7"/>
      <c r="C4884" s="7"/>
      <c r="D4884" s="7" t="s">
        <v>148</v>
      </c>
      <c r="E4884" s="8" t="s">
        <v>137</v>
      </c>
    </row>
    <row r="4885" spans="1:5" x14ac:dyDescent="0.35">
      <c r="A4885" s="9" t="s">
        <v>135</v>
      </c>
      <c r="B4885" s="10"/>
      <c r="C4885" s="10"/>
      <c r="D4885" s="10" t="s">
        <v>149</v>
      </c>
      <c r="E4885" s="11" t="s">
        <v>137</v>
      </c>
    </row>
    <row r="4886" spans="1:5" x14ac:dyDescent="0.35">
      <c r="A4886" s="6" t="s">
        <v>135</v>
      </c>
      <c r="B4886" s="7" t="s">
        <v>166</v>
      </c>
      <c r="C4886" s="7" t="s">
        <v>146</v>
      </c>
      <c r="D4886" s="7" t="s">
        <v>147</v>
      </c>
      <c r="E4886" s="8">
        <v>106</v>
      </c>
    </row>
    <row r="4887" spans="1:5" x14ac:dyDescent="0.35">
      <c r="A4887" s="9" t="s">
        <v>135</v>
      </c>
      <c r="B4887" s="10"/>
      <c r="C4887" s="10"/>
      <c r="D4887" s="10" t="s">
        <v>148</v>
      </c>
      <c r="E4887" s="11" t="s">
        <v>137</v>
      </c>
    </row>
    <row r="4888" spans="1:5" x14ac:dyDescent="0.35">
      <c r="A4888" s="6" t="s">
        <v>135</v>
      </c>
      <c r="B4888" s="7"/>
      <c r="C4888" s="7"/>
      <c r="D4888" s="7" t="s">
        <v>149</v>
      </c>
      <c r="E4888" s="8">
        <v>106</v>
      </c>
    </row>
    <row r="4889" spans="1:5" x14ac:dyDescent="0.35">
      <c r="A4889" s="9" t="s">
        <v>135</v>
      </c>
      <c r="B4889" s="10"/>
      <c r="C4889" s="10" t="s">
        <v>150</v>
      </c>
      <c r="D4889" s="10" t="s">
        <v>147</v>
      </c>
      <c r="E4889" s="11" t="s">
        <v>137</v>
      </c>
    </row>
    <row r="4890" spans="1:5" x14ac:dyDescent="0.35">
      <c r="A4890" s="6" t="s">
        <v>135</v>
      </c>
      <c r="B4890" s="7"/>
      <c r="C4890" s="7"/>
      <c r="D4890" s="7" t="s">
        <v>148</v>
      </c>
      <c r="E4890" s="8" t="s">
        <v>137</v>
      </c>
    </row>
    <row r="4891" spans="1:5" x14ac:dyDescent="0.35">
      <c r="A4891" s="9" t="s">
        <v>135</v>
      </c>
      <c r="B4891" s="10"/>
      <c r="C4891" s="10"/>
      <c r="D4891" s="10" t="s">
        <v>149</v>
      </c>
      <c r="E4891" s="11" t="s">
        <v>137</v>
      </c>
    </row>
    <row r="4892" spans="1:5" x14ac:dyDescent="0.35">
      <c r="A4892" s="6" t="s">
        <v>135</v>
      </c>
      <c r="B4892" s="7" t="s">
        <v>167</v>
      </c>
      <c r="C4892" s="7" t="s">
        <v>146</v>
      </c>
      <c r="D4892" s="7" t="s">
        <v>147</v>
      </c>
      <c r="E4892" s="8" t="s">
        <v>137</v>
      </c>
    </row>
    <row r="4893" spans="1:5" x14ac:dyDescent="0.35">
      <c r="A4893" s="9" t="s">
        <v>135</v>
      </c>
      <c r="B4893" s="10"/>
      <c r="C4893" s="10"/>
      <c r="D4893" s="10" t="s">
        <v>148</v>
      </c>
      <c r="E4893" s="11" t="s">
        <v>137</v>
      </c>
    </row>
    <row r="4894" spans="1:5" x14ac:dyDescent="0.35">
      <c r="A4894" s="6" t="s">
        <v>135</v>
      </c>
      <c r="B4894" s="7"/>
      <c r="C4894" s="7"/>
      <c r="D4894" s="7" t="s">
        <v>149</v>
      </c>
      <c r="E4894" s="8" t="s">
        <v>137</v>
      </c>
    </row>
    <row r="4895" spans="1:5" x14ac:dyDescent="0.35">
      <c r="A4895" s="9" t="s">
        <v>135</v>
      </c>
      <c r="B4895" s="10"/>
      <c r="C4895" s="10" t="s">
        <v>150</v>
      </c>
      <c r="D4895" s="10" t="s">
        <v>147</v>
      </c>
      <c r="E4895" s="11" t="s">
        <v>137</v>
      </c>
    </row>
    <row r="4896" spans="1:5" x14ac:dyDescent="0.35">
      <c r="A4896" s="6" t="s">
        <v>135</v>
      </c>
      <c r="B4896" s="7"/>
      <c r="C4896" s="7"/>
      <c r="D4896" s="7" t="s">
        <v>148</v>
      </c>
      <c r="E4896" s="8" t="s">
        <v>137</v>
      </c>
    </row>
    <row r="4897" spans="1:5" x14ac:dyDescent="0.35">
      <c r="A4897" s="9" t="s">
        <v>135</v>
      </c>
      <c r="B4897" s="10"/>
      <c r="C4897" s="10"/>
      <c r="D4897" s="10" t="s">
        <v>149</v>
      </c>
      <c r="E4897" s="11" t="s">
        <v>137</v>
      </c>
    </row>
    <row r="4898" spans="1:5" x14ac:dyDescent="0.35">
      <c r="A4898" s="6" t="s">
        <v>135</v>
      </c>
      <c r="B4898" s="7" t="s">
        <v>168</v>
      </c>
      <c r="C4898" s="7" t="s">
        <v>146</v>
      </c>
      <c r="D4898" s="7" t="s">
        <v>147</v>
      </c>
      <c r="E4898" s="8" t="s">
        <v>137</v>
      </c>
    </row>
    <row r="4899" spans="1:5" x14ac:dyDescent="0.35">
      <c r="A4899" s="9" t="s">
        <v>135</v>
      </c>
      <c r="B4899" s="10"/>
      <c r="C4899" s="10"/>
      <c r="D4899" s="10" t="s">
        <v>148</v>
      </c>
      <c r="E4899" s="11" t="s">
        <v>137</v>
      </c>
    </row>
    <row r="4900" spans="1:5" x14ac:dyDescent="0.35">
      <c r="A4900" s="6" t="s">
        <v>135</v>
      </c>
      <c r="B4900" s="7"/>
      <c r="C4900" s="7"/>
      <c r="D4900" s="7" t="s">
        <v>149</v>
      </c>
      <c r="E4900" s="8" t="s">
        <v>137</v>
      </c>
    </row>
    <row r="4901" spans="1:5" x14ac:dyDescent="0.35">
      <c r="A4901" s="9" t="s">
        <v>135</v>
      </c>
      <c r="B4901" s="10"/>
      <c r="C4901" s="10" t="s">
        <v>150</v>
      </c>
      <c r="D4901" s="10" t="s">
        <v>147</v>
      </c>
      <c r="E4901" s="11" t="s">
        <v>137</v>
      </c>
    </row>
    <row r="4902" spans="1:5" x14ac:dyDescent="0.35">
      <c r="A4902" s="6" t="s">
        <v>135</v>
      </c>
      <c r="B4902" s="7"/>
      <c r="C4902" s="7"/>
      <c r="D4902" s="7" t="s">
        <v>148</v>
      </c>
      <c r="E4902" s="8" t="s">
        <v>137</v>
      </c>
    </row>
    <row r="4903" spans="1:5" x14ac:dyDescent="0.35">
      <c r="A4903" s="9" t="s">
        <v>135</v>
      </c>
      <c r="B4903" s="10"/>
      <c r="C4903" s="10"/>
      <c r="D4903" s="10" t="s">
        <v>149</v>
      </c>
      <c r="E4903" s="11" t="s">
        <v>137</v>
      </c>
    </row>
    <row r="4904" spans="1:5" x14ac:dyDescent="0.35">
      <c r="A4904" s="6" t="s">
        <v>135</v>
      </c>
      <c r="B4904" s="7" t="s">
        <v>169</v>
      </c>
      <c r="C4904" s="7" t="s">
        <v>146</v>
      </c>
      <c r="D4904" s="7" t="s">
        <v>147</v>
      </c>
      <c r="E4904" s="8" t="s">
        <v>137</v>
      </c>
    </row>
    <row r="4905" spans="1:5" x14ac:dyDescent="0.35">
      <c r="A4905" s="9" t="s">
        <v>135</v>
      </c>
      <c r="B4905" s="10"/>
      <c r="C4905" s="10"/>
      <c r="D4905" s="10" t="s">
        <v>148</v>
      </c>
      <c r="E4905" s="11" t="s">
        <v>137</v>
      </c>
    </row>
    <row r="4906" spans="1:5" x14ac:dyDescent="0.35">
      <c r="A4906" s="6" t="s">
        <v>135</v>
      </c>
      <c r="B4906" s="7"/>
      <c r="C4906" s="7"/>
      <c r="D4906" s="7" t="s">
        <v>149</v>
      </c>
      <c r="E4906" s="8" t="s">
        <v>137</v>
      </c>
    </row>
    <row r="4907" spans="1:5" x14ac:dyDescent="0.35">
      <c r="A4907" s="9" t="s">
        <v>135</v>
      </c>
      <c r="B4907" s="10"/>
      <c r="C4907" s="10" t="s">
        <v>150</v>
      </c>
      <c r="D4907" s="10" t="s">
        <v>147</v>
      </c>
      <c r="E4907" s="11" t="s">
        <v>137</v>
      </c>
    </row>
    <row r="4908" spans="1:5" x14ac:dyDescent="0.35">
      <c r="A4908" s="6" t="s">
        <v>135</v>
      </c>
      <c r="B4908" s="7"/>
      <c r="C4908" s="7"/>
      <c r="D4908" s="7" t="s">
        <v>148</v>
      </c>
      <c r="E4908" s="8" t="s">
        <v>137</v>
      </c>
    </row>
    <row r="4909" spans="1:5" x14ac:dyDescent="0.35">
      <c r="A4909" s="9" t="s">
        <v>135</v>
      </c>
      <c r="B4909" s="10"/>
      <c r="C4909" s="10"/>
      <c r="D4909" s="10" t="s">
        <v>149</v>
      </c>
      <c r="E4909" s="11" t="s">
        <v>137</v>
      </c>
    </row>
    <row r="4910" spans="1:5" x14ac:dyDescent="0.35">
      <c r="A4910" s="6" t="s">
        <v>135</v>
      </c>
      <c r="B4910" s="7" t="s">
        <v>170</v>
      </c>
      <c r="C4910" s="7" t="s">
        <v>146</v>
      </c>
      <c r="D4910" s="7" t="s">
        <v>147</v>
      </c>
      <c r="E4910" s="8" t="s">
        <v>137</v>
      </c>
    </row>
    <row r="4911" spans="1:5" x14ac:dyDescent="0.35">
      <c r="A4911" s="9" t="s">
        <v>135</v>
      </c>
      <c r="B4911" s="10"/>
      <c r="C4911" s="10"/>
      <c r="D4911" s="10" t="s">
        <v>148</v>
      </c>
      <c r="E4911" s="11" t="s">
        <v>137</v>
      </c>
    </row>
    <row r="4912" spans="1:5" x14ac:dyDescent="0.35">
      <c r="A4912" s="6" t="s">
        <v>135</v>
      </c>
      <c r="B4912" s="7"/>
      <c r="C4912" s="7"/>
      <c r="D4912" s="7" t="s">
        <v>149</v>
      </c>
      <c r="E4912" s="8" t="s">
        <v>137</v>
      </c>
    </row>
    <row r="4913" spans="1:5" x14ac:dyDescent="0.35">
      <c r="A4913" s="9" t="s">
        <v>135</v>
      </c>
      <c r="B4913" s="10"/>
      <c r="C4913" s="10" t="s">
        <v>150</v>
      </c>
      <c r="D4913" s="10" t="s">
        <v>147</v>
      </c>
      <c r="E4913" s="11" t="s">
        <v>137</v>
      </c>
    </row>
    <row r="4914" spans="1:5" x14ac:dyDescent="0.35">
      <c r="A4914" s="6" t="s">
        <v>135</v>
      </c>
      <c r="B4914" s="7"/>
      <c r="C4914" s="7"/>
      <c r="D4914" s="7" t="s">
        <v>148</v>
      </c>
      <c r="E4914" s="8" t="s">
        <v>137</v>
      </c>
    </row>
    <row r="4915" spans="1:5" x14ac:dyDescent="0.35">
      <c r="A4915" s="9" t="s">
        <v>135</v>
      </c>
      <c r="B4915" s="10"/>
      <c r="C4915" s="10"/>
      <c r="D4915" s="10" t="s">
        <v>149</v>
      </c>
      <c r="E4915" s="11" t="s">
        <v>137</v>
      </c>
    </row>
    <row r="4916" spans="1:5" x14ac:dyDescent="0.35">
      <c r="A4916" s="6" t="s">
        <v>124</v>
      </c>
      <c r="B4916" s="7" t="s">
        <v>145</v>
      </c>
      <c r="C4916" s="7" t="s">
        <v>146</v>
      </c>
      <c r="D4916" s="7" t="s">
        <v>147</v>
      </c>
      <c r="E4916" s="8">
        <v>13516.07</v>
      </c>
    </row>
    <row r="4917" spans="1:5" x14ac:dyDescent="0.35">
      <c r="A4917" s="9" t="s">
        <v>135</v>
      </c>
      <c r="B4917" s="10"/>
      <c r="C4917" s="10"/>
      <c r="D4917" s="10" t="s">
        <v>148</v>
      </c>
      <c r="E4917" s="11">
        <v>13502.69</v>
      </c>
    </row>
    <row r="4918" spans="1:5" x14ac:dyDescent="0.35">
      <c r="A4918" s="6" t="s">
        <v>135</v>
      </c>
      <c r="B4918" s="7"/>
      <c r="C4918" s="7"/>
      <c r="D4918" s="7" t="s">
        <v>149</v>
      </c>
      <c r="E4918" s="8">
        <v>13.38</v>
      </c>
    </row>
    <row r="4919" spans="1:5" x14ac:dyDescent="0.35">
      <c r="A4919" s="9" t="s">
        <v>135</v>
      </c>
      <c r="B4919" s="10"/>
      <c r="C4919" s="10" t="s">
        <v>150</v>
      </c>
      <c r="D4919" s="10" t="s">
        <v>147</v>
      </c>
      <c r="E4919" s="11" t="s">
        <v>137</v>
      </c>
    </row>
    <row r="4920" spans="1:5" x14ac:dyDescent="0.35">
      <c r="A4920" s="6" t="s">
        <v>135</v>
      </c>
      <c r="B4920" s="7"/>
      <c r="C4920" s="7"/>
      <c r="D4920" s="7" t="s">
        <v>148</v>
      </c>
      <c r="E4920" s="8" t="s">
        <v>137</v>
      </c>
    </row>
    <row r="4921" spans="1:5" x14ac:dyDescent="0.35">
      <c r="A4921" s="9" t="s">
        <v>135</v>
      </c>
      <c r="B4921" s="10"/>
      <c r="C4921" s="10"/>
      <c r="D4921" s="10" t="s">
        <v>149</v>
      </c>
      <c r="E4921" s="11" t="s">
        <v>137</v>
      </c>
    </row>
    <row r="4922" spans="1:5" x14ac:dyDescent="0.35">
      <c r="A4922" s="6" t="s">
        <v>135</v>
      </c>
      <c r="B4922" s="7" t="s">
        <v>151</v>
      </c>
      <c r="C4922" s="7" t="s">
        <v>146</v>
      </c>
      <c r="D4922" s="7" t="s">
        <v>147</v>
      </c>
      <c r="E4922" s="8">
        <v>8457.73</v>
      </c>
    </row>
    <row r="4923" spans="1:5" x14ac:dyDescent="0.35">
      <c r="A4923" s="9" t="s">
        <v>135</v>
      </c>
      <c r="B4923" s="10"/>
      <c r="C4923" s="10"/>
      <c r="D4923" s="10" t="s">
        <v>148</v>
      </c>
      <c r="E4923" s="11">
        <v>8452</v>
      </c>
    </row>
    <row r="4924" spans="1:5" x14ac:dyDescent="0.35">
      <c r="A4924" s="6" t="s">
        <v>135</v>
      </c>
      <c r="B4924" s="7"/>
      <c r="C4924" s="7"/>
      <c r="D4924" s="7" t="s">
        <v>149</v>
      </c>
      <c r="E4924" s="8">
        <v>5.73</v>
      </c>
    </row>
    <row r="4925" spans="1:5" x14ac:dyDescent="0.35">
      <c r="A4925" s="9" t="s">
        <v>135</v>
      </c>
      <c r="B4925" s="10"/>
      <c r="C4925" s="10" t="s">
        <v>150</v>
      </c>
      <c r="D4925" s="10" t="s">
        <v>147</v>
      </c>
      <c r="E4925" s="11" t="s">
        <v>137</v>
      </c>
    </row>
    <row r="4926" spans="1:5" x14ac:dyDescent="0.35">
      <c r="A4926" s="6" t="s">
        <v>135</v>
      </c>
      <c r="B4926" s="7"/>
      <c r="C4926" s="7"/>
      <c r="D4926" s="7" t="s">
        <v>148</v>
      </c>
      <c r="E4926" s="8" t="s">
        <v>137</v>
      </c>
    </row>
    <row r="4927" spans="1:5" x14ac:dyDescent="0.35">
      <c r="A4927" s="9" t="s">
        <v>135</v>
      </c>
      <c r="B4927" s="10"/>
      <c r="C4927" s="10"/>
      <c r="D4927" s="10" t="s">
        <v>149</v>
      </c>
      <c r="E4927" s="11" t="s">
        <v>137</v>
      </c>
    </row>
    <row r="4928" spans="1:5" x14ac:dyDescent="0.35">
      <c r="A4928" s="6" t="s">
        <v>135</v>
      </c>
      <c r="B4928" s="7" t="s">
        <v>152</v>
      </c>
      <c r="C4928" s="7" t="s">
        <v>146</v>
      </c>
      <c r="D4928" s="7" t="s">
        <v>147</v>
      </c>
      <c r="E4928" s="8">
        <v>600</v>
      </c>
    </row>
    <row r="4929" spans="1:5" x14ac:dyDescent="0.35">
      <c r="A4929" s="9" t="s">
        <v>135</v>
      </c>
      <c r="B4929" s="10"/>
      <c r="C4929" s="10"/>
      <c r="D4929" s="10" t="s">
        <v>148</v>
      </c>
      <c r="E4929" s="11">
        <v>600</v>
      </c>
    </row>
    <row r="4930" spans="1:5" x14ac:dyDescent="0.35">
      <c r="A4930" s="6" t="s">
        <v>135</v>
      </c>
      <c r="B4930" s="7"/>
      <c r="C4930" s="7"/>
      <c r="D4930" s="7" t="s">
        <v>149</v>
      </c>
      <c r="E4930" s="8" t="s">
        <v>137</v>
      </c>
    </row>
    <row r="4931" spans="1:5" x14ac:dyDescent="0.35">
      <c r="A4931" s="9" t="s">
        <v>135</v>
      </c>
      <c r="B4931" s="10"/>
      <c r="C4931" s="10" t="s">
        <v>150</v>
      </c>
      <c r="D4931" s="10" t="s">
        <v>147</v>
      </c>
      <c r="E4931" s="11" t="s">
        <v>137</v>
      </c>
    </row>
    <row r="4932" spans="1:5" x14ac:dyDescent="0.35">
      <c r="A4932" s="6" t="s">
        <v>135</v>
      </c>
      <c r="B4932" s="7"/>
      <c r="C4932" s="7"/>
      <c r="D4932" s="7" t="s">
        <v>148</v>
      </c>
      <c r="E4932" s="8" t="s">
        <v>137</v>
      </c>
    </row>
    <row r="4933" spans="1:5" x14ac:dyDescent="0.35">
      <c r="A4933" s="9" t="s">
        <v>135</v>
      </c>
      <c r="B4933" s="10"/>
      <c r="C4933" s="10"/>
      <c r="D4933" s="10" t="s">
        <v>149</v>
      </c>
      <c r="E4933" s="11" t="s">
        <v>137</v>
      </c>
    </row>
    <row r="4934" spans="1:5" x14ac:dyDescent="0.35">
      <c r="A4934" s="6" t="s">
        <v>135</v>
      </c>
      <c r="B4934" s="7" t="s">
        <v>153</v>
      </c>
      <c r="C4934" s="7" t="s">
        <v>146</v>
      </c>
      <c r="D4934" s="7" t="s">
        <v>147</v>
      </c>
      <c r="E4934" s="8">
        <v>3442</v>
      </c>
    </row>
    <row r="4935" spans="1:5" x14ac:dyDescent="0.35">
      <c r="A4935" s="9" t="s">
        <v>135</v>
      </c>
      <c r="B4935" s="10"/>
      <c r="C4935" s="10"/>
      <c r="D4935" s="10" t="s">
        <v>148</v>
      </c>
      <c r="E4935" s="11">
        <v>3442</v>
      </c>
    </row>
    <row r="4936" spans="1:5" x14ac:dyDescent="0.35">
      <c r="A4936" s="6" t="s">
        <v>135</v>
      </c>
      <c r="B4936" s="7"/>
      <c r="C4936" s="7"/>
      <c r="D4936" s="7" t="s">
        <v>149</v>
      </c>
      <c r="E4936" s="8" t="s">
        <v>137</v>
      </c>
    </row>
    <row r="4937" spans="1:5" x14ac:dyDescent="0.35">
      <c r="A4937" s="9" t="s">
        <v>135</v>
      </c>
      <c r="B4937" s="10"/>
      <c r="C4937" s="10" t="s">
        <v>150</v>
      </c>
      <c r="D4937" s="10" t="s">
        <v>147</v>
      </c>
      <c r="E4937" s="11" t="s">
        <v>137</v>
      </c>
    </row>
    <row r="4938" spans="1:5" x14ac:dyDescent="0.35">
      <c r="A4938" s="6" t="s">
        <v>135</v>
      </c>
      <c r="B4938" s="7"/>
      <c r="C4938" s="7"/>
      <c r="D4938" s="7" t="s">
        <v>148</v>
      </c>
      <c r="E4938" s="8" t="s">
        <v>137</v>
      </c>
    </row>
    <row r="4939" spans="1:5" x14ac:dyDescent="0.35">
      <c r="A4939" s="9" t="s">
        <v>135</v>
      </c>
      <c r="B4939" s="10"/>
      <c r="C4939" s="10"/>
      <c r="D4939" s="10" t="s">
        <v>149</v>
      </c>
      <c r="E4939" s="11" t="s">
        <v>137</v>
      </c>
    </row>
    <row r="4940" spans="1:5" x14ac:dyDescent="0.35">
      <c r="A4940" s="6" t="s">
        <v>135</v>
      </c>
      <c r="B4940" s="7" t="s">
        <v>154</v>
      </c>
      <c r="C4940" s="7" t="s">
        <v>146</v>
      </c>
      <c r="D4940" s="7" t="s">
        <v>147</v>
      </c>
      <c r="E4940" s="8" t="s">
        <v>137</v>
      </c>
    </row>
    <row r="4941" spans="1:5" x14ac:dyDescent="0.35">
      <c r="A4941" s="9" t="s">
        <v>135</v>
      </c>
      <c r="B4941" s="10"/>
      <c r="C4941" s="10"/>
      <c r="D4941" s="10" t="s">
        <v>148</v>
      </c>
      <c r="E4941" s="11" t="s">
        <v>137</v>
      </c>
    </row>
    <row r="4942" spans="1:5" x14ac:dyDescent="0.35">
      <c r="A4942" s="6" t="s">
        <v>135</v>
      </c>
      <c r="B4942" s="7"/>
      <c r="C4942" s="7"/>
      <c r="D4942" s="7" t="s">
        <v>149</v>
      </c>
      <c r="E4942" s="8" t="s">
        <v>137</v>
      </c>
    </row>
    <row r="4943" spans="1:5" x14ac:dyDescent="0.35">
      <c r="A4943" s="9" t="s">
        <v>135</v>
      </c>
      <c r="B4943" s="10"/>
      <c r="C4943" s="10" t="s">
        <v>150</v>
      </c>
      <c r="D4943" s="10" t="s">
        <v>147</v>
      </c>
      <c r="E4943" s="11" t="s">
        <v>137</v>
      </c>
    </row>
    <row r="4944" spans="1:5" x14ac:dyDescent="0.35">
      <c r="A4944" s="6" t="s">
        <v>135</v>
      </c>
      <c r="B4944" s="7"/>
      <c r="C4944" s="7"/>
      <c r="D4944" s="7" t="s">
        <v>148</v>
      </c>
      <c r="E4944" s="8" t="s">
        <v>137</v>
      </c>
    </row>
    <row r="4945" spans="1:5" x14ac:dyDescent="0.35">
      <c r="A4945" s="9" t="s">
        <v>135</v>
      </c>
      <c r="B4945" s="10"/>
      <c r="C4945" s="10"/>
      <c r="D4945" s="10" t="s">
        <v>149</v>
      </c>
      <c r="E4945" s="11" t="s">
        <v>137</v>
      </c>
    </row>
    <row r="4946" spans="1:5" x14ac:dyDescent="0.35">
      <c r="A4946" s="6" t="s">
        <v>135</v>
      </c>
      <c r="B4946" s="7" t="s">
        <v>155</v>
      </c>
      <c r="C4946" s="7" t="s">
        <v>146</v>
      </c>
      <c r="D4946" s="7" t="s">
        <v>147</v>
      </c>
      <c r="E4946" s="8">
        <v>751.65</v>
      </c>
    </row>
    <row r="4947" spans="1:5" x14ac:dyDescent="0.35">
      <c r="A4947" s="9" t="s">
        <v>135</v>
      </c>
      <c r="B4947" s="10"/>
      <c r="C4947" s="10"/>
      <c r="D4947" s="10" t="s">
        <v>148</v>
      </c>
      <c r="E4947" s="11">
        <v>744</v>
      </c>
    </row>
    <row r="4948" spans="1:5" x14ac:dyDescent="0.35">
      <c r="A4948" s="6" t="s">
        <v>135</v>
      </c>
      <c r="B4948" s="7"/>
      <c r="C4948" s="7"/>
      <c r="D4948" s="7" t="s">
        <v>149</v>
      </c>
      <c r="E4948" s="8">
        <v>7.65</v>
      </c>
    </row>
    <row r="4949" spans="1:5" x14ac:dyDescent="0.35">
      <c r="A4949" s="9" t="s">
        <v>135</v>
      </c>
      <c r="B4949" s="10"/>
      <c r="C4949" s="10" t="s">
        <v>150</v>
      </c>
      <c r="D4949" s="10" t="s">
        <v>147</v>
      </c>
      <c r="E4949" s="11" t="s">
        <v>137</v>
      </c>
    </row>
    <row r="4950" spans="1:5" x14ac:dyDescent="0.35">
      <c r="A4950" s="6" t="s">
        <v>135</v>
      </c>
      <c r="B4950" s="7"/>
      <c r="C4950" s="7"/>
      <c r="D4950" s="7" t="s">
        <v>148</v>
      </c>
      <c r="E4950" s="8" t="s">
        <v>137</v>
      </c>
    </row>
    <row r="4951" spans="1:5" x14ac:dyDescent="0.35">
      <c r="A4951" s="9" t="s">
        <v>135</v>
      </c>
      <c r="B4951" s="10"/>
      <c r="C4951" s="10"/>
      <c r="D4951" s="10" t="s">
        <v>149</v>
      </c>
      <c r="E4951" s="11" t="s">
        <v>137</v>
      </c>
    </row>
    <row r="4952" spans="1:5" x14ac:dyDescent="0.35">
      <c r="A4952" s="6" t="s">
        <v>135</v>
      </c>
      <c r="B4952" s="7" t="s">
        <v>156</v>
      </c>
      <c r="C4952" s="7" t="s">
        <v>146</v>
      </c>
      <c r="D4952" s="7" t="s">
        <v>147</v>
      </c>
      <c r="E4952" s="8" t="s">
        <v>137</v>
      </c>
    </row>
    <row r="4953" spans="1:5" x14ac:dyDescent="0.35">
      <c r="A4953" s="9" t="s">
        <v>135</v>
      </c>
      <c r="B4953" s="10"/>
      <c r="C4953" s="10"/>
      <c r="D4953" s="10" t="s">
        <v>148</v>
      </c>
      <c r="E4953" s="11" t="s">
        <v>137</v>
      </c>
    </row>
    <row r="4954" spans="1:5" x14ac:dyDescent="0.35">
      <c r="A4954" s="6" t="s">
        <v>135</v>
      </c>
      <c r="B4954" s="7"/>
      <c r="C4954" s="7"/>
      <c r="D4954" s="7" t="s">
        <v>149</v>
      </c>
      <c r="E4954" s="8" t="s">
        <v>137</v>
      </c>
    </row>
    <row r="4955" spans="1:5" x14ac:dyDescent="0.35">
      <c r="A4955" s="9" t="s">
        <v>135</v>
      </c>
      <c r="B4955" s="10"/>
      <c r="C4955" s="10" t="s">
        <v>150</v>
      </c>
      <c r="D4955" s="10" t="s">
        <v>147</v>
      </c>
      <c r="E4955" s="11" t="s">
        <v>137</v>
      </c>
    </row>
    <row r="4956" spans="1:5" x14ac:dyDescent="0.35">
      <c r="A4956" s="6" t="s">
        <v>135</v>
      </c>
      <c r="B4956" s="7"/>
      <c r="C4956" s="7"/>
      <c r="D4956" s="7" t="s">
        <v>148</v>
      </c>
      <c r="E4956" s="8" t="s">
        <v>137</v>
      </c>
    </row>
    <row r="4957" spans="1:5" x14ac:dyDescent="0.35">
      <c r="A4957" s="9" t="s">
        <v>135</v>
      </c>
      <c r="B4957" s="10"/>
      <c r="C4957" s="10"/>
      <c r="D4957" s="10" t="s">
        <v>149</v>
      </c>
      <c r="E4957" s="11" t="s">
        <v>137</v>
      </c>
    </row>
    <row r="4958" spans="1:5" x14ac:dyDescent="0.35">
      <c r="A4958" s="6" t="s">
        <v>135</v>
      </c>
      <c r="B4958" s="7" t="s">
        <v>157</v>
      </c>
      <c r="C4958" s="7" t="s">
        <v>146</v>
      </c>
      <c r="D4958" s="7" t="s">
        <v>147</v>
      </c>
      <c r="E4958" s="8" t="s">
        <v>137</v>
      </c>
    </row>
    <row r="4959" spans="1:5" x14ac:dyDescent="0.35">
      <c r="A4959" s="9" t="s">
        <v>135</v>
      </c>
      <c r="B4959" s="10"/>
      <c r="C4959" s="10"/>
      <c r="D4959" s="10" t="s">
        <v>148</v>
      </c>
      <c r="E4959" s="11" t="s">
        <v>137</v>
      </c>
    </row>
    <row r="4960" spans="1:5" x14ac:dyDescent="0.35">
      <c r="A4960" s="6" t="s">
        <v>135</v>
      </c>
      <c r="B4960" s="7"/>
      <c r="C4960" s="7"/>
      <c r="D4960" s="7" t="s">
        <v>149</v>
      </c>
      <c r="E4960" s="8" t="s">
        <v>137</v>
      </c>
    </row>
    <row r="4961" spans="1:5" x14ac:dyDescent="0.35">
      <c r="A4961" s="9" t="s">
        <v>135</v>
      </c>
      <c r="B4961" s="10"/>
      <c r="C4961" s="10" t="s">
        <v>150</v>
      </c>
      <c r="D4961" s="10" t="s">
        <v>147</v>
      </c>
      <c r="E4961" s="11" t="s">
        <v>137</v>
      </c>
    </row>
    <row r="4962" spans="1:5" x14ac:dyDescent="0.35">
      <c r="A4962" s="6" t="s">
        <v>135</v>
      </c>
      <c r="B4962" s="7"/>
      <c r="C4962" s="7"/>
      <c r="D4962" s="7" t="s">
        <v>148</v>
      </c>
      <c r="E4962" s="8" t="s">
        <v>137</v>
      </c>
    </row>
    <row r="4963" spans="1:5" x14ac:dyDescent="0.35">
      <c r="A4963" s="9" t="s">
        <v>135</v>
      </c>
      <c r="B4963" s="10"/>
      <c r="C4963" s="10"/>
      <c r="D4963" s="10" t="s">
        <v>149</v>
      </c>
      <c r="E4963" s="11" t="s">
        <v>137</v>
      </c>
    </row>
    <row r="4964" spans="1:5" x14ac:dyDescent="0.35">
      <c r="A4964" s="6" t="s">
        <v>135</v>
      </c>
      <c r="B4964" s="7" t="s">
        <v>158</v>
      </c>
      <c r="C4964" s="7" t="s">
        <v>146</v>
      </c>
      <c r="D4964" s="7" t="s">
        <v>147</v>
      </c>
      <c r="E4964" s="8">
        <v>241.7</v>
      </c>
    </row>
    <row r="4965" spans="1:5" x14ac:dyDescent="0.35">
      <c r="A4965" s="9" t="s">
        <v>135</v>
      </c>
      <c r="B4965" s="10"/>
      <c r="C4965" s="10"/>
      <c r="D4965" s="10" t="s">
        <v>148</v>
      </c>
      <c r="E4965" s="11">
        <v>241.7</v>
      </c>
    </row>
    <row r="4966" spans="1:5" x14ac:dyDescent="0.35">
      <c r="A4966" s="6" t="s">
        <v>135</v>
      </c>
      <c r="B4966" s="7"/>
      <c r="C4966" s="7"/>
      <c r="D4966" s="7" t="s">
        <v>149</v>
      </c>
      <c r="E4966" s="8" t="s">
        <v>137</v>
      </c>
    </row>
    <row r="4967" spans="1:5" x14ac:dyDescent="0.35">
      <c r="A4967" s="9" t="s">
        <v>135</v>
      </c>
      <c r="B4967" s="10"/>
      <c r="C4967" s="10" t="s">
        <v>150</v>
      </c>
      <c r="D4967" s="10" t="s">
        <v>147</v>
      </c>
      <c r="E4967" s="11" t="s">
        <v>137</v>
      </c>
    </row>
    <row r="4968" spans="1:5" x14ac:dyDescent="0.35">
      <c r="A4968" s="6" t="s">
        <v>135</v>
      </c>
      <c r="B4968" s="7"/>
      <c r="C4968" s="7"/>
      <c r="D4968" s="7" t="s">
        <v>148</v>
      </c>
      <c r="E4968" s="8" t="s">
        <v>137</v>
      </c>
    </row>
    <row r="4969" spans="1:5" x14ac:dyDescent="0.35">
      <c r="A4969" s="9" t="s">
        <v>135</v>
      </c>
      <c r="B4969" s="10"/>
      <c r="C4969" s="10"/>
      <c r="D4969" s="10" t="s">
        <v>149</v>
      </c>
      <c r="E4969" s="11" t="s">
        <v>137</v>
      </c>
    </row>
    <row r="4970" spans="1:5" x14ac:dyDescent="0.35">
      <c r="A4970" s="6" t="s">
        <v>135</v>
      </c>
      <c r="B4970" s="7" t="s">
        <v>159</v>
      </c>
      <c r="C4970" s="7" t="s">
        <v>146</v>
      </c>
      <c r="D4970" s="7" t="s">
        <v>147</v>
      </c>
      <c r="E4970" s="8" t="s">
        <v>137</v>
      </c>
    </row>
    <row r="4971" spans="1:5" x14ac:dyDescent="0.35">
      <c r="A4971" s="9" t="s">
        <v>135</v>
      </c>
      <c r="B4971" s="10"/>
      <c r="C4971" s="10"/>
      <c r="D4971" s="10" t="s">
        <v>148</v>
      </c>
      <c r="E4971" s="11" t="s">
        <v>137</v>
      </c>
    </row>
    <row r="4972" spans="1:5" x14ac:dyDescent="0.35">
      <c r="A4972" s="6" t="s">
        <v>135</v>
      </c>
      <c r="B4972" s="7"/>
      <c r="C4972" s="7"/>
      <c r="D4972" s="7" t="s">
        <v>149</v>
      </c>
      <c r="E4972" s="8" t="s">
        <v>137</v>
      </c>
    </row>
    <row r="4973" spans="1:5" x14ac:dyDescent="0.35">
      <c r="A4973" s="9" t="s">
        <v>135</v>
      </c>
      <c r="B4973" s="10"/>
      <c r="C4973" s="10" t="s">
        <v>150</v>
      </c>
      <c r="D4973" s="10" t="s">
        <v>147</v>
      </c>
      <c r="E4973" s="11" t="s">
        <v>137</v>
      </c>
    </row>
    <row r="4974" spans="1:5" x14ac:dyDescent="0.35">
      <c r="A4974" s="6" t="s">
        <v>135</v>
      </c>
      <c r="B4974" s="7"/>
      <c r="C4974" s="7"/>
      <c r="D4974" s="7" t="s">
        <v>148</v>
      </c>
      <c r="E4974" s="8" t="s">
        <v>137</v>
      </c>
    </row>
    <row r="4975" spans="1:5" x14ac:dyDescent="0.35">
      <c r="A4975" s="9" t="s">
        <v>135</v>
      </c>
      <c r="B4975" s="10"/>
      <c r="C4975" s="10"/>
      <c r="D4975" s="10" t="s">
        <v>149</v>
      </c>
      <c r="E4975" s="11" t="s">
        <v>137</v>
      </c>
    </row>
    <row r="4976" spans="1:5" x14ac:dyDescent="0.35">
      <c r="A4976" s="6" t="s">
        <v>135</v>
      </c>
      <c r="B4976" s="7" t="s">
        <v>160</v>
      </c>
      <c r="C4976" s="7" t="s">
        <v>146</v>
      </c>
      <c r="D4976" s="7" t="s">
        <v>147</v>
      </c>
      <c r="E4976" s="8" t="s">
        <v>137</v>
      </c>
    </row>
    <row r="4977" spans="1:5" x14ac:dyDescent="0.35">
      <c r="A4977" s="9" t="s">
        <v>135</v>
      </c>
      <c r="B4977" s="10"/>
      <c r="C4977" s="10"/>
      <c r="D4977" s="10" t="s">
        <v>148</v>
      </c>
      <c r="E4977" s="11" t="s">
        <v>137</v>
      </c>
    </row>
    <row r="4978" spans="1:5" x14ac:dyDescent="0.35">
      <c r="A4978" s="6" t="s">
        <v>135</v>
      </c>
      <c r="B4978" s="7"/>
      <c r="C4978" s="7"/>
      <c r="D4978" s="7" t="s">
        <v>149</v>
      </c>
      <c r="E4978" s="8" t="s">
        <v>137</v>
      </c>
    </row>
    <row r="4979" spans="1:5" x14ac:dyDescent="0.35">
      <c r="A4979" s="9" t="s">
        <v>135</v>
      </c>
      <c r="B4979" s="10"/>
      <c r="C4979" s="10" t="s">
        <v>150</v>
      </c>
      <c r="D4979" s="10" t="s">
        <v>147</v>
      </c>
      <c r="E4979" s="11" t="s">
        <v>137</v>
      </c>
    </row>
    <row r="4980" spans="1:5" x14ac:dyDescent="0.35">
      <c r="A4980" s="6" t="s">
        <v>135</v>
      </c>
      <c r="B4980" s="7"/>
      <c r="C4980" s="7"/>
      <c r="D4980" s="7" t="s">
        <v>148</v>
      </c>
      <c r="E4980" s="8" t="s">
        <v>137</v>
      </c>
    </row>
    <row r="4981" spans="1:5" x14ac:dyDescent="0.35">
      <c r="A4981" s="9" t="s">
        <v>135</v>
      </c>
      <c r="B4981" s="10"/>
      <c r="C4981" s="10"/>
      <c r="D4981" s="10" t="s">
        <v>149</v>
      </c>
      <c r="E4981" s="11" t="s">
        <v>137</v>
      </c>
    </row>
    <row r="4982" spans="1:5" x14ac:dyDescent="0.35">
      <c r="A4982" s="6" t="s">
        <v>135</v>
      </c>
      <c r="B4982" s="7" t="s">
        <v>161</v>
      </c>
      <c r="C4982" s="7" t="s">
        <v>146</v>
      </c>
      <c r="D4982" s="7" t="s">
        <v>147</v>
      </c>
      <c r="E4982" s="8">
        <v>22.99</v>
      </c>
    </row>
    <row r="4983" spans="1:5" x14ac:dyDescent="0.35">
      <c r="A4983" s="9" t="s">
        <v>135</v>
      </c>
      <c r="B4983" s="10"/>
      <c r="C4983" s="10"/>
      <c r="D4983" s="10" t="s">
        <v>148</v>
      </c>
      <c r="E4983" s="11">
        <v>22.99</v>
      </c>
    </row>
    <row r="4984" spans="1:5" x14ac:dyDescent="0.35">
      <c r="A4984" s="6" t="s">
        <v>135</v>
      </c>
      <c r="B4984" s="7"/>
      <c r="C4984" s="7"/>
      <c r="D4984" s="7" t="s">
        <v>149</v>
      </c>
      <c r="E4984" s="8" t="s">
        <v>137</v>
      </c>
    </row>
    <row r="4985" spans="1:5" x14ac:dyDescent="0.35">
      <c r="A4985" s="9" t="s">
        <v>135</v>
      </c>
      <c r="B4985" s="10"/>
      <c r="C4985" s="10" t="s">
        <v>150</v>
      </c>
      <c r="D4985" s="10" t="s">
        <v>147</v>
      </c>
      <c r="E4985" s="11" t="s">
        <v>137</v>
      </c>
    </row>
    <row r="4986" spans="1:5" x14ac:dyDescent="0.35">
      <c r="A4986" s="6" t="s">
        <v>135</v>
      </c>
      <c r="B4986" s="7"/>
      <c r="C4986" s="7"/>
      <c r="D4986" s="7" t="s">
        <v>148</v>
      </c>
      <c r="E4986" s="8" t="s">
        <v>137</v>
      </c>
    </row>
    <row r="4987" spans="1:5" x14ac:dyDescent="0.35">
      <c r="A4987" s="9" t="s">
        <v>135</v>
      </c>
      <c r="B4987" s="10"/>
      <c r="C4987" s="10"/>
      <c r="D4987" s="10" t="s">
        <v>149</v>
      </c>
      <c r="E4987" s="11" t="s">
        <v>137</v>
      </c>
    </row>
    <row r="4988" spans="1:5" x14ac:dyDescent="0.35">
      <c r="A4988" s="6" t="s">
        <v>135</v>
      </c>
      <c r="B4988" s="7" t="s">
        <v>162</v>
      </c>
      <c r="C4988" s="7" t="s">
        <v>146</v>
      </c>
      <c r="D4988" s="7" t="s">
        <v>147</v>
      </c>
      <c r="E4988" s="8" t="s">
        <v>137</v>
      </c>
    </row>
    <row r="4989" spans="1:5" x14ac:dyDescent="0.35">
      <c r="A4989" s="9" t="s">
        <v>135</v>
      </c>
      <c r="B4989" s="10"/>
      <c r="C4989" s="10"/>
      <c r="D4989" s="10" t="s">
        <v>148</v>
      </c>
      <c r="E4989" s="11" t="s">
        <v>137</v>
      </c>
    </row>
    <row r="4990" spans="1:5" x14ac:dyDescent="0.35">
      <c r="A4990" s="6" t="s">
        <v>135</v>
      </c>
      <c r="B4990" s="7"/>
      <c r="C4990" s="7"/>
      <c r="D4990" s="7" t="s">
        <v>149</v>
      </c>
      <c r="E4990" s="8" t="s">
        <v>137</v>
      </c>
    </row>
    <row r="4991" spans="1:5" x14ac:dyDescent="0.35">
      <c r="A4991" s="9" t="s">
        <v>135</v>
      </c>
      <c r="B4991" s="10"/>
      <c r="C4991" s="10" t="s">
        <v>150</v>
      </c>
      <c r="D4991" s="10" t="s">
        <v>147</v>
      </c>
      <c r="E4991" s="11" t="s">
        <v>137</v>
      </c>
    </row>
    <row r="4992" spans="1:5" x14ac:dyDescent="0.35">
      <c r="A4992" s="6" t="s">
        <v>135</v>
      </c>
      <c r="B4992" s="7"/>
      <c r="C4992" s="7"/>
      <c r="D4992" s="7" t="s">
        <v>148</v>
      </c>
      <c r="E4992" s="8" t="s">
        <v>137</v>
      </c>
    </row>
    <row r="4993" spans="1:5" x14ac:dyDescent="0.35">
      <c r="A4993" s="9" t="s">
        <v>135</v>
      </c>
      <c r="B4993" s="10"/>
      <c r="C4993" s="10"/>
      <c r="D4993" s="10" t="s">
        <v>149</v>
      </c>
      <c r="E4993" s="11" t="s">
        <v>137</v>
      </c>
    </row>
    <row r="4994" spans="1:5" x14ac:dyDescent="0.35">
      <c r="A4994" s="6" t="s">
        <v>135</v>
      </c>
      <c r="B4994" s="7" t="s">
        <v>163</v>
      </c>
      <c r="C4994" s="7" t="s">
        <v>146</v>
      </c>
      <c r="D4994" s="7" t="s">
        <v>147</v>
      </c>
      <c r="E4994" s="8">
        <v>51719.4</v>
      </c>
    </row>
    <row r="4995" spans="1:5" x14ac:dyDescent="0.35">
      <c r="A4995" s="9" t="s">
        <v>135</v>
      </c>
      <c r="B4995" s="10"/>
      <c r="C4995" s="10"/>
      <c r="D4995" s="10" t="s">
        <v>148</v>
      </c>
      <c r="E4995" s="11">
        <v>51705</v>
      </c>
    </row>
    <row r="4996" spans="1:5" x14ac:dyDescent="0.35">
      <c r="A4996" s="6" t="s">
        <v>135</v>
      </c>
      <c r="B4996" s="7"/>
      <c r="C4996" s="7"/>
      <c r="D4996" s="7" t="s">
        <v>149</v>
      </c>
      <c r="E4996" s="8">
        <v>14.4</v>
      </c>
    </row>
    <row r="4997" spans="1:5" x14ac:dyDescent="0.35">
      <c r="A4997" s="9" t="s">
        <v>135</v>
      </c>
      <c r="B4997" s="10"/>
      <c r="C4997" s="10" t="s">
        <v>150</v>
      </c>
      <c r="D4997" s="10" t="s">
        <v>147</v>
      </c>
      <c r="E4997" s="11" t="s">
        <v>137</v>
      </c>
    </row>
    <row r="4998" spans="1:5" x14ac:dyDescent="0.35">
      <c r="A4998" s="6" t="s">
        <v>135</v>
      </c>
      <c r="B4998" s="7"/>
      <c r="C4998" s="7"/>
      <c r="D4998" s="7" t="s">
        <v>148</v>
      </c>
      <c r="E4998" s="8" t="s">
        <v>137</v>
      </c>
    </row>
    <row r="4999" spans="1:5" x14ac:dyDescent="0.35">
      <c r="A4999" s="9" t="s">
        <v>135</v>
      </c>
      <c r="B4999" s="10"/>
      <c r="C4999" s="10"/>
      <c r="D4999" s="10" t="s">
        <v>149</v>
      </c>
      <c r="E4999" s="11" t="s">
        <v>137</v>
      </c>
    </row>
    <row r="5000" spans="1:5" x14ac:dyDescent="0.35">
      <c r="A5000" s="6" t="s">
        <v>135</v>
      </c>
      <c r="B5000" s="7" t="s">
        <v>164</v>
      </c>
      <c r="C5000" s="7" t="s">
        <v>146</v>
      </c>
      <c r="D5000" s="7" t="s">
        <v>147</v>
      </c>
      <c r="E5000" s="8">
        <v>2732</v>
      </c>
    </row>
    <row r="5001" spans="1:5" x14ac:dyDescent="0.35">
      <c r="A5001" s="9" t="s">
        <v>135</v>
      </c>
      <c r="B5001" s="10"/>
      <c r="C5001" s="10"/>
      <c r="D5001" s="10" t="s">
        <v>148</v>
      </c>
      <c r="E5001" s="11">
        <v>2732</v>
      </c>
    </row>
    <row r="5002" spans="1:5" x14ac:dyDescent="0.35">
      <c r="A5002" s="6" t="s">
        <v>135</v>
      </c>
      <c r="B5002" s="7"/>
      <c r="C5002" s="7"/>
      <c r="D5002" s="7" t="s">
        <v>149</v>
      </c>
      <c r="E5002" s="8" t="s">
        <v>137</v>
      </c>
    </row>
    <row r="5003" spans="1:5" x14ac:dyDescent="0.35">
      <c r="A5003" s="9" t="s">
        <v>135</v>
      </c>
      <c r="B5003" s="10"/>
      <c r="C5003" s="10" t="s">
        <v>150</v>
      </c>
      <c r="D5003" s="10" t="s">
        <v>147</v>
      </c>
      <c r="E5003" s="11" t="s">
        <v>137</v>
      </c>
    </row>
    <row r="5004" spans="1:5" x14ac:dyDescent="0.35">
      <c r="A5004" s="6" t="s">
        <v>135</v>
      </c>
      <c r="B5004" s="7"/>
      <c r="C5004" s="7"/>
      <c r="D5004" s="7" t="s">
        <v>148</v>
      </c>
      <c r="E5004" s="8" t="s">
        <v>137</v>
      </c>
    </row>
    <row r="5005" spans="1:5" x14ac:dyDescent="0.35">
      <c r="A5005" s="9" t="s">
        <v>135</v>
      </c>
      <c r="B5005" s="10"/>
      <c r="C5005" s="10"/>
      <c r="D5005" s="10" t="s">
        <v>149</v>
      </c>
      <c r="E5005" s="11" t="s">
        <v>137</v>
      </c>
    </row>
    <row r="5006" spans="1:5" x14ac:dyDescent="0.35">
      <c r="A5006" s="6" t="s">
        <v>135</v>
      </c>
      <c r="B5006" s="7" t="s">
        <v>165</v>
      </c>
      <c r="C5006" s="7" t="s">
        <v>146</v>
      </c>
      <c r="D5006" s="7" t="s">
        <v>147</v>
      </c>
      <c r="E5006" s="8">
        <v>43608</v>
      </c>
    </row>
    <row r="5007" spans="1:5" x14ac:dyDescent="0.35">
      <c r="A5007" s="9" t="s">
        <v>135</v>
      </c>
      <c r="B5007" s="10"/>
      <c r="C5007" s="10"/>
      <c r="D5007" s="10" t="s">
        <v>148</v>
      </c>
      <c r="E5007" s="11">
        <v>43608</v>
      </c>
    </row>
    <row r="5008" spans="1:5" x14ac:dyDescent="0.35">
      <c r="A5008" s="6" t="s">
        <v>135</v>
      </c>
      <c r="B5008" s="7"/>
      <c r="C5008" s="7"/>
      <c r="D5008" s="7" t="s">
        <v>149</v>
      </c>
      <c r="E5008" s="8" t="s">
        <v>137</v>
      </c>
    </row>
    <row r="5009" spans="1:5" x14ac:dyDescent="0.35">
      <c r="A5009" s="9" t="s">
        <v>135</v>
      </c>
      <c r="B5009" s="10"/>
      <c r="C5009" s="10" t="s">
        <v>150</v>
      </c>
      <c r="D5009" s="10" t="s">
        <v>147</v>
      </c>
      <c r="E5009" s="11" t="s">
        <v>137</v>
      </c>
    </row>
    <row r="5010" spans="1:5" x14ac:dyDescent="0.35">
      <c r="A5010" s="6" t="s">
        <v>135</v>
      </c>
      <c r="B5010" s="7"/>
      <c r="C5010" s="7"/>
      <c r="D5010" s="7" t="s">
        <v>148</v>
      </c>
      <c r="E5010" s="8" t="s">
        <v>137</v>
      </c>
    </row>
    <row r="5011" spans="1:5" x14ac:dyDescent="0.35">
      <c r="A5011" s="9" t="s">
        <v>135</v>
      </c>
      <c r="B5011" s="10"/>
      <c r="C5011" s="10"/>
      <c r="D5011" s="10" t="s">
        <v>149</v>
      </c>
      <c r="E5011" s="11" t="s">
        <v>137</v>
      </c>
    </row>
    <row r="5012" spans="1:5" x14ac:dyDescent="0.35">
      <c r="A5012" s="6" t="s">
        <v>135</v>
      </c>
      <c r="B5012" s="7" t="s">
        <v>166</v>
      </c>
      <c r="C5012" s="7" t="s">
        <v>146</v>
      </c>
      <c r="D5012" s="7" t="s">
        <v>147</v>
      </c>
      <c r="E5012" s="8">
        <v>3445.4</v>
      </c>
    </row>
    <row r="5013" spans="1:5" x14ac:dyDescent="0.35">
      <c r="A5013" s="9" t="s">
        <v>135</v>
      </c>
      <c r="B5013" s="10"/>
      <c r="C5013" s="10"/>
      <c r="D5013" s="10" t="s">
        <v>148</v>
      </c>
      <c r="E5013" s="11">
        <v>3431</v>
      </c>
    </row>
    <row r="5014" spans="1:5" x14ac:dyDescent="0.35">
      <c r="A5014" s="6" t="s">
        <v>135</v>
      </c>
      <c r="B5014" s="7"/>
      <c r="C5014" s="7"/>
      <c r="D5014" s="7" t="s">
        <v>149</v>
      </c>
      <c r="E5014" s="8">
        <v>14.4</v>
      </c>
    </row>
    <row r="5015" spans="1:5" x14ac:dyDescent="0.35">
      <c r="A5015" s="9" t="s">
        <v>135</v>
      </c>
      <c r="B5015" s="10"/>
      <c r="C5015" s="10" t="s">
        <v>150</v>
      </c>
      <c r="D5015" s="10" t="s">
        <v>147</v>
      </c>
      <c r="E5015" s="11" t="s">
        <v>137</v>
      </c>
    </row>
    <row r="5016" spans="1:5" x14ac:dyDescent="0.35">
      <c r="A5016" s="6" t="s">
        <v>135</v>
      </c>
      <c r="B5016" s="7"/>
      <c r="C5016" s="7"/>
      <c r="D5016" s="7" t="s">
        <v>148</v>
      </c>
      <c r="E5016" s="8" t="s">
        <v>137</v>
      </c>
    </row>
    <row r="5017" spans="1:5" x14ac:dyDescent="0.35">
      <c r="A5017" s="9" t="s">
        <v>135</v>
      </c>
      <c r="B5017" s="10"/>
      <c r="C5017" s="10"/>
      <c r="D5017" s="10" t="s">
        <v>149</v>
      </c>
      <c r="E5017" s="11" t="s">
        <v>137</v>
      </c>
    </row>
    <row r="5018" spans="1:5" x14ac:dyDescent="0.35">
      <c r="A5018" s="6" t="s">
        <v>135</v>
      </c>
      <c r="B5018" s="7" t="s">
        <v>167</v>
      </c>
      <c r="C5018" s="7" t="s">
        <v>146</v>
      </c>
      <c r="D5018" s="7" t="s">
        <v>147</v>
      </c>
      <c r="E5018" s="8" t="s">
        <v>137</v>
      </c>
    </row>
    <row r="5019" spans="1:5" x14ac:dyDescent="0.35">
      <c r="A5019" s="9" t="s">
        <v>135</v>
      </c>
      <c r="B5019" s="10"/>
      <c r="C5019" s="10"/>
      <c r="D5019" s="10" t="s">
        <v>148</v>
      </c>
      <c r="E5019" s="11" t="s">
        <v>137</v>
      </c>
    </row>
    <row r="5020" spans="1:5" x14ac:dyDescent="0.35">
      <c r="A5020" s="6" t="s">
        <v>135</v>
      </c>
      <c r="B5020" s="7"/>
      <c r="C5020" s="7"/>
      <c r="D5020" s="7" t="s">
        <v>149</v>
      </c>
      <c r="E5020" s="8" t="s">
        <v>137</v>
      </c>
    </row>
    <row r="5021" spans="1:5" x14ac:dyDescent="0.35">
      <c r="A5021" s="9" t="s">
        <v>135</v>
      </c>
      <c r="B5021" s="10"/>
      <c r="C5021" s="10" t="s">
        <v>150</v>
      </c>
      <c r="D5021" s="10" t="s">
        <v>147</v>
      </c>
      <c r="E5021" s="11" t="s">
        <v>137</v>
      </c>
    </row>
    <row r="5022" spans="1:5" x14ac:dyDescent="0.35">
      <c r="A5022" s="6" t="s">
        <v>135</v>
      </c>
      <c r="B5022" s="7"/>
      <c r="C5022" s="7"/>
      <c r="D5022" s="7" t="s">
        <v>148</v>
      </c>
      <c r="E5022" s="8" t="s">
        <v>137</v>
      </c>
    </row>
    <row r="5023" spans="1:5" x14ac:dyDescent="0.35">
      <c r="A5023" s="9" t="s">
        <v>135</v>
      </c>
      <c r="B5023" s="10"/>
      <c r="C5023" s="10"/>
      <c r="D5023" s="10" t="s">
        <v>149</v>
      </c>
      <c r="E5023" s="11" t="s">
        <v>137</v>
      </c>
    </row>
    <row r="5024" spans="1:5" x14ac:dyDescent="0.35">
      <c r="A5024" s="6" t="s">
        <v>135</v>
      </c>
      <c r="B5024" s="7" t="s">
        <v>168</v>
      </c>
      <c r="C5024" s="7" t="s">
        <v>146</v>
      </c>
      <c r="D5024" s="7" t="s">
        <v>147</v>
      </c>
      <c r="E5024" s="8" t="s">
        <v>137</v>
      </c>
    </row>
    <row r="5025" spans="1:5" x14ac:dyDescent="0.35">
      <c r="A5025" s="9" t="s">
        <v>135</v>
      </c>
      <c r="B5025" s="10"/>
      <c r="C5025" s="10"/>
      <c r="D5025" s="10" t="s">
        <v>148</v>
      </c>
      <c r="E5025" s="11" t="s">
        <v>137</v>
      </c>
    </row>
    <row r="5026" spans="1:5" x14ac:dyDescent="0.35">
      <c r="A5026" s="6" t="s">
        <v>135</v>
      </c>
      <c r="B5026" s="7"/>
      <c r="C5026" s="7"/>
      <c r="D5026" s="7" t="s">
        <v>149</v>
      </c>
      <c r="E5026" s="8" t="s">
        <v>137</v>
      </c>
    </row>
    <row r="5027" spans="1:5" x14ac:dyDescent="0.35">
      <c r="A5027" s="9" t="s">
        <v>135</v>
      </c>
      <c r="B5027" s="10"/>
      <c r="C5027" s="10" t="s">
        <v>150</v>
      </c>
      <c r="D5027" s="10" t="s">
        <v>147</v>
      </c>
      <c r="E5027" s="11" t="s">
        <v>137</v>
      </c>
    </row>
    <row r="5028" spans="1:5" x14ac:dyDescent="0.35">
      <c r="A5028" s="6" t="s">
        <v>135</v>
      </c>
      <c r="B5028" s="7"/>
      <c r="C5028" s="7"/>
      <c r="D5028" s="7" t="s">
        <v>148</v>
      </c>
      <c r="E5028" s="8" t="s">
        <v>137</v>
      </c>
    </row>
    <row r="5029" spans="1:5" x14ac:dyDescent="0.35">
      <c r="A5029" s="9" t="s">
        <v>135</v>
      </c>
      <c r="B5029" s="10"/>
      <c r="C5029" s="10"/>
      <c r="D5029" s="10" t="s">
        <v>149</v>
      </c>
      <c r="E5029" s="11" t="s">
        <v>137</v>
      </c>
    </row>
    <row r="5030" spans="1:5" x14ac:dyDescent="0.35">
      <c r="A5030" s="6" t="s">
        <v>135</v>
      </c>
      <c r="B5030" s="7" t="s">
        <v>169</v>
      </c>
      <c r="C5030" s="7" t="s">
        <v>146</v>
      </c>
      <c r="D5030" s="7" t="s">
        <v>147</v>
      </c>
      <c r="E5030" s="8">
        <v>1934</v>
      </c>
    </row>
    <row r="5031" spans="1:5" x14ac:dyDescent="0.35">
      <c r="A5031" s="9" t="s">
        <v>135</v>
      </c>
      <c r="B5031" s="10"/>
      <c r="C5031" s="10"/>
      <c r="D5031" s="10" t="s">
        <v>148</v>
      </c>
      <c r="E5031" s="11">
        <v>1934</v>
      </c>
    </row>
    <row r="5032" spans="1:5" x14ac:dyDescent="0.35">
      <c r="A5032" s="6" t="s">
        <v>135</v>
      </c>
      <c r="B5032" s="7"/>
      <c r="C5032" s="7"/>
      <c r="D5032" s="7" t="s">
        <v>149</v>
      </c>
      <c r="E5032" s="8" t="s">
        <v>137</v>
      </c>
    </row>
    <row r="5033" spans="1:5" x14ac:dyDescent="0.35">
      <c r="A5033" s="9" t="s">
        <v>135</v>
      </c>
      <c r="B5033" s="10"/>
      <c r="C5033" s="10" t="s">
        <v>150</v>
      </c>
      <c r="D5033" s="10" t="s">
        <v>147</v>
      </c>
      <c r="E5033" s="11" t="s">
        <v>137</v>
      </c>
    </row>
    <row r="5034" spans="1:5" x14ac:dyDescent="0.35">
      <c r="A5034" s="6" t="s">
        <v>135</v>
      </c>
      <c r="B5034" s="7"/>
      <c r="C5034" s="7"/>
      <c r="D5034" s="7" t="s">
        <v>148</v>
      </c>
      <c r="E5034" s="8" t="s">
        <v>137</v>
      </c>
    </row>
    <row r="5035" spans="1:5" x14ac:dyDescent="0.35">
      <c r="A5035" s="9" t="s">
        <v>135</v>
      </c>
      <c r="B5035" s="10"/>
      <c r="C5035" s="10"/>
      <c r="D5035" s="10" t="s">
        <v>149</v>
      </c>
      <c r="E5035" s="11" t="s">
        <v>137</v>
      </c>
    </row>
    <row r="5036" spans="1:5" x14ac:dyDescent="0.35">
      <c r="A5036" s="6" t="s">
        <v>135</v>
      </c>
      <c r="B5036" s="7" t="s">
        <v>170</v>
      </c>
      <c r="C5036" s="7" t="s">
        <v>146</v>
      </c>
      <c r="D5036" s="7" t="s">
        <v>147</v>
      </c>
      <c r="E5036" s="8" t="s">
        <v>137</v>
      </c>
    </row>
    <row r="5037" spans="1:5" x14ac:dyDescent="0.35">
      <c r="A5037" s="9" t="s">
        <v>135</v>
      </c>
      <c r="B5037" s="10"/>
      <c r="C5037" s="10"/>
      <c r="D5037" s="10" t="s">
        <v>148</v>
      </c>
      <c r="E5037" s="11" t="s">
        <v>137</v>
      </c>
    </row>
    <row r="5038" spans="1:5" x14ac:dyDescent="0.35">
      <c r="A5038" s="6" t="s">
        <v>135</v>
      </c>
      <c r="B5038" s="7"/>
      <c r="C5038" s="7"/>
      <c r="D5038" s="7" t="s">
        <v>149</v>
      </c>
      <c r="E5038" s="8" t="s">
        <v>137</v>
      </c>
    </row>
    <row r="5039" spans="1:5" x14ac:dyDescent="0.35">
      <c r="A5039" s="9" t="s">
        <v>135</v>
      </c>
      <c r="B5039" s="10"/>
      <c r="C5039" s="10" t="s">
        <v>150</v>
      </c>
      <c r="D5039" s="10" t="s">
        <v>147</v>
      </c>
      <c r="E5039" s="11" t="s">
        <v>137</v>
      </c>
    </row>
    <row r="5040" spans="1:5" x14ac:dyDescent="0.35">
      <c r="A5040" s="6" t="s">
        <v>135</v>
      </c>
      <c r="B5040" s="7"/>
      <c r="C5040" s="7"/>
      <c r="D5040" s="7" t="s">
        <v>148</v>
      </c>
      <c r="E5040" s="8" t="s">
        <v>137</v>
      </c>
    </row>
    <row r="5041" spans="1:5" x14ac:dyDescent="0.35">
      <c r="A5041" s="9" t="s">
        <v>135</v>
      </c>
      <c r="B5041" s="10"/>
      <c r="C5041" s="10"/>
      <c r="D5041" s="10" t="s">
        <v>149</v>
      </c>
      <c r="E5041" s="11" t="s">
        <v>137</v>
      </c>
    </row>
    <row r="5042" spans="1:5" x14ac:dyDescent="0.35">
      <c r="A5042" s="6" t="s">
        <v>116</v>
      </c>
      <c r="B5042" s="7" t="s">
        <v>145</v>
      </c>
      <c r="C5042" s="7" t="s">
        <v>146</v>
      </c>
      <c r="D5042" s="7" t="s">
        <v>147</v>
      </c>
      <c r="E5042" s="8">
        <v>133.54</v>
      </c>
    </row>
    <row r="5043" spans="1:5" x14ac:dyDescent="0.35">
      <c r="A5043" s="9" t="s">
        <v>135</v>
      </c>
      <c r="B5043" s="10"/>
      <c r="C5043" s="10"/>
      <c r="D5043" s="10" t="s">
        <v>148</v>
      </c>
      <c r="E5043" s="11">
        <v>117.38</v>
      </c>
    </row>
    <row r="5044" spans="1:5" x14ac:dyDescent="0.35">
      <c r="A5044" s="6" t="s">
        <v>135</v>
      </c>
      <c r="B5044" s="7"/>
      <c r="C5044" s="7"/>
      <c r="D5044" s="7" t="s">
        <v>149</v>
      </c>
      <c r="E5044" s="8">
        <v>16.170000000000002</v>
      </c>
    </row>
    <row r="5045" spans="1:5" x14ac:dyDescent="0.35">
      <c r="A5045" s="9" t="s">
        <v>135</v>
      </c>
      <c r="B5045" s="10"/>
      <c r="C5045" s="10" t="s">
        <v>150</v>
      </c>
      <c r="D5045" s="10" t="s">
        <v>147</v>
      </c>
      <c r="E5045" s="11" t="s">
        <v>137</v>
      </c>
    </row>
    <row r="5046" spans="1:5" x14ac:dyDescent="0.35">
      <c r="A5046" s="6" t="s">
        <v>135</v>
      </c>
      <c r="B5046" s="7"/>
      <c r="C5046" s="7"/>
      <c r="D5046" s="7" t="s">
        <v>148</v>
      </c>
      <c r="E5046" s="8" t="s">
        <v>137</v>
      </c>
    </row>
    <row r="5047" spans="1:5" x14ac:dyDescent="0.35">
      <c r="A5047" s="9" t="s">
        <v>135</v>
      </c>
      <c r="B5047" s="10"/>
      <c r="C5047" s="10"/>
      <c r="D5047" s="10" t="s">
        <v>149</v>
      </c>
      <c r="E5047" s="11" t="s">
        <v>137</v>
      </c>
    </row>
    <row r="5048" spans="1:5" x14ac:dyDescent="0.35">
      <c r="A5048" s="6" t="s">
        <v>135</v>
      </c>
      <c r="B5048" s="7" t="s">
        <v>151</v>
      </c>
      <c r="C5048" s="7" t="s">
        <v>146</v>
      </c>
      <c r="D5048" s="7" t="s">
        <v>147</v>
      </c>
      <c r="E5048" s="8">
        <v>66.94</v>
      </c>
    </row>
    <row r="5049" spans="1:5" x14ac:dyDescent="0.35">
      <c r="A5049" s="9" t="s">
        <v>135</v>
      </c>
      <c r="B5049" s="10"/>
      <c r="C5049" s="10"/>
      <c r="D5049" s="10" t="s">
        <v>148</v>
      </c>
      <c r="E5049" s="11">
        <v>50.78</v>
      </c>
    </row>
    <row r="5050" spans="1:5" x14ac:dyDescent="0.35">
      <c r="A5050" s="6" t="s">
        <v>135</v>
      </c>
      <c r="B5050" s="7"/>
      <c r="C5050" s="7"/>
      <c r="D5050" s="7" t="s">
        <v>149</v>
      </c>
      <c r="E5050" s="8">
        <v>16.170000000000002</v>
      </c>
    </row>
    <row r="5051" spans="1:5" x14ac:dyDescent="0.35">
      <c r="A5051" s="9" t="s">
        <v>135</v>
      </c>
      <c r="B5051" s="10"/>
      <c r="C5051" s="10" t="s">
        <v>150</v>
      </c>
      <c r="D5051" s="10" t="s">
        <v>147</v>
      </c>
      <c r="E5051" s="11" t="s">
        <v>137</v>
      </c>
    </row>
    <row r="5052" spans="1:5" x14ac:dyDescent="0.35">
      <c r="A5052" s="6" t="s">
        <v>135</v>
      </c>
      <c r="B5052" s="7"/>
      <c r="C5052" s="7"/>
      <c r="D5052" s="7" t="s">
        <v>148</v>
      </c>
      <c r="E5052" s="8" t="s">
        <v>137</v>
      </c>
    </row>
    <row r="5053" spans="1:5" x14ac:dyDescent="0.35">
      <c r="A5053" s="9" t="s">
        <v>135</v>
      </c>
      <c r="B5053" s="10"/>
      <c r="C5053" s="10"/>
      <c r="D5053" s="10" t="s">
        <v>149</v>
      </c>
      <c r="E5053" s="11" t="s">
        <v>137</v>
      </c>
    </row>
    <row r="5054" spans="1:5" x14ac:dyDescent="0.35">
      <c r="A5054" s="6" t="s">
        <v>135</v>
      </c>
      <c r="B5054" s="7" t="s">
        <v>152</v>
      </c>
      <c r="C5054" s="7" t="s">
        <v>146</v>
      </c>
      <c r="D5054" s="7" t="s">
        <v>147</v>
      </c>
      <c r="E5054" s="8" t="s">
        <v>137</v>
      </c>
    </row>
    <row r="5055" spans="1:5" x14ac:dyDescent="0.35">
      <c r="A5055" s="9" t="s">
        <v>135</v>
      </c>
      <c r="B5055" s="10"/>
      <c r="C5055" s="10"/>
      <c r="D5055" s="10" t="s">
        <v>148</v>
      </c>
      <c r="E5055" s="11" t="s">
        <v>137</v>
      </c>
    </row>
    <row r="5056" spans="1:5" x14ac:dyDescent="0.35">
      <c r="A5056" s="6" t="s">
        <v>135</v>
      </c>
      <c r="B5056" s="7"/>
      <c r="C5056" s="7"/>
      <c r="D5056" s="7" t="s">
        <v>149</v>
      </c>
      <c r="E5056" s="8" t="s">
        <v>137</v>
      </c>
    </row>
    <row r="5057" spans="1:5" x14ac:dyDescent="0.35">
      <c r="A5057" s="9" t="s">
        <v>135</v>
      </c>
      <c r="B5057" s="10"/>
      <c r="C5057" s="10" t="s">
        <v>150</v>
      </c>
      <c r="D5057" s="10" t="s">
        <v>147</v>
      </c>
      <c r="E5057" s="11" t="s">
        <v>137</v>
      </c>
    </row>
    <row r="5058" spans="1:5" x14ac:dyDescent="0.35">
      <c r="A5058" s="6" t="s">
        <v>135</v>
      </c>
      <c r="B5058" s="7"/>
      <c r="C5058" s="7"/>
      <c r="D5058" s="7" t="s">
        <v>148</v>
      </c>
      <c r="E5058" s="8" t="s">
        <v>137</v>
      </c>
    </row>
    <row r="5059" spans="1:5" x14ac:dyDescent="0.35">
      <c r="A5059" s="9" t="s">
        <v>135</v>
      </c>
      <c r="B5059" s="10"/>
      <c r="C5059" s="10"/>
      <c r="D5059" s="10" t="s">
        <v>149</v>
      </c>
      <c r="E5059" s="11" t="s">
        <v>137</v>
      </c>
    </row>
    <row r="5060" spans="1:5" x14ac:dyDescent="0.35">
      <c r="A5060" s="6" t="s">
        <v>135</v>
      </c>
      <c r="B5060" s="7" t="s">
        <v>153</v>
      </c>
      <c r="C5060" s="7" t="s">
        <v>146</v>
      </c>
      <c r="D5060" s="7" t="s">
        <v>147</v>
      </c>
      <c r="E5060" s="8" t="s">
        <v>137</v>
      </c>
    </row>
    <row r="5061" spans="1:5" x14ac:dyDescent="0.35">
      <c r="A5061" s="9" t="s">
        <v>135</v>
      </c>
      <c r="B5061" s="10"/>
      <c r="C5061" s="10"/>
      <c r="D5061" s="10" t="s">
        <v>148</v>
      </c>
      <c r="E5061" s="11" t="s">
        <v>137</v>
      </c>
    </row>
    <row r="5062" spans="1:5" x14ac:dyDescent="0.35">
      <c r="A5062" s="6" t="s">
        <v>135</v>
      </c>
      <c r="B5062" s="7"/>
      <c r="C5062" s="7"/>
      <c r="D5062" s="7" t="s">
        <v>149</v>
      </c>
      <c r="E5062" s="8" t="s">
        <v>137</v>
      </c>
    </row>
    <row r="5063" spans="1:5" x14ac:dyDescent="0.35">
      <c r="A5063" s="9" t="s">
        <v>135</v>
      </c>
      <c r="B5063" s="10"/>
      <c r="C5063" s="10" t="s">
        <v>150</v>
      </c>
      <c r="D5063" s="10" t="s">
        <v>147</v>
      </c>
      <c r="E5063" s="11" t="s">
        <v>137</v>
      </c>
    </row>
    <row r="5064" spans="1:5" x14ac:dyDescent="0.35">
      <c r="A5064" s="6" t="s">
        <v>135</v>
      </c>
      <c r="B5064" s="7"/>
      <c r="C5064" s="7"/>
      <c r="D5064" s="7" t="s">
        <v>148</v>
      </c>
      <c r="E5064" s="8" t="s">
        <v>137</v>
      </c>
    </row>
    <row r="5065" spans="1:5" x14ac:dyDescent="0.35">
      <c r="A5065" s="9" t="s">
        <v>135</v>
      </c>
      <c r="B5065" s="10"/>
      <c r="C5065" s="10"/>
      <c r="D5065" s="10" t="s">
        <v>149</v>
      </c>
      <c r="E5065" s="11" t="s">
        <v>137</v>
      </c>
    </row>
    <row r="5066" spans="1:5" x14ac:dyDescent="0.35">
      <c r="A5066" s="6" t="s">
        <v>135</v>
      </c>
      <c r="B5066" s="7" t="s">
        <v>154</v>
      </c>
      <c r="C5066" s="7" t="s">
        <v>146</v>
      </c>
      <c r="D5066" s="7" t="s">
        <v>147</v>
      </c>
      <c r="E5066" s="8" t="s">
        <v>137</v>
      </c>
    </row>
    <row r="5067" spans="1:5" x14ac:dyDescent="0.35">
      <c r="A5067" s="9" t="s">
        <v>135</v>
      </c>
      <c r="B5067" s="10"/>
      <c r="C5067" s="10"/>
      <c r="D5067" s="10" t="s">
        <v>148</v>
      </c>
      <c r="E5067" s="11" t="s">
        <v>137</v>
      </c>
    </row>
    <row r="5068" spans="1:5" x14ac:dyDescent="0.35">
      <c r="A5068" s="6" t="s">
        <v>135</v>
      </c>
      <c r="B5068" s="7"/>
      <c r="C5068" s="7"/>
      <c r="D5068" s="7" t="s">
        <v>149</v>
      </c>
      <c r="E5068" s="8" t="s">
        <v>137</v>
      </c>
    </row>
    <row r="5069" spans="1:5" x14ac:dyDescent="0.35">
      <c r="A5069" s="9" t="s">
        <v>135</v>
      </c>
      <c r="B5069" s="10"/>
      <c r="C5069" s="10" t="s">
        <v>150</v>
      </c>
      <c r="D5069" s="10" t="s">
        <v>147</v>
      </c>
      <c r="E5069" s="11" t="s">
        <v>137</v>
      </c>
    </row>
    <row r="5070" spans="1:5" x14ac:dyDescent="0.35">
      <c r="A5070" s="6" t="s">
        <v>135</v>
      </c>
      <c r="B5070" s="7"/>
      <c r="C5070" s="7"/>
      <c r="D5070" s="7" t="s">
        <v>148</v>
      </c>
      <c r="E5070" s="8" t="s">
        <v>137</v>
      </c>
    </row>
    <row r="5071" spans="1:5" x14ac:dyDescent="0.35">
      <c r="A5071" s="9" t="s">
        <v>135</v>
      </c>
      <c r="B5071" s="10"/>
      <c r="C5071" s="10"/>
      <c r="D5071" s="10" t="s">
        <v>149</v>
      </c>
      <c r="E5071" s="11" t="s">
        <v>137</v>
      </c>
    </row>
    <row r="5072" spans="1:5" x14ac:dyDescent="0.35">
      <c r="A5072" s="6" t="s">
        <v>135</v>
      </c>
      <c r="B5072" s="7" t="s">
        <v>155</v>
      </c>
      <c r="C5072" s="7" t="s">
        <v>146</v>
      </c>
      <c r="D5072" s="7" t="s">
        <v>147</v>
      </c>
      <c r="E5072" s="8">
        <v>66.599999999999994</v>
      </c>
    </row>
    <row r="5073" spans="1:5" x14ac:dyDescent="0.35">
      <c r="A5073" s="9" t="s">
        <v>135</v>
      </c>
      <c r="B5073" s="10"/>
      <c r="C5073" s="10"/>
      <c r="D5073" s="10" t="s">
        <v>148</v>
      </c>
      <c r="E5073" s="11">
        <v>66.599999999999994</v>
      </c>
    </row>
    <row r="5074" spans="1:5" x14ac:dyDescent="0.35">
      <c r="A5074" s="6" t="s">
        <v>135</v>
      </c>
      <c r="B5074" s="7"/>
      <c r="C5074" s="7"/>
      <c r="D5074" s="7" t="s">
        <v>149</v>
      </c>
      <c r="E5074" s="8" t="s">
        <v>137</v>
      </c>
    </row>
    <row r="5075" spans="1:5" x14ac:dyDescent="0.35">
      <c r="A5075" s="9" t="s">
        <v>135</v>
      </c>
      <c r="B5075" s="10"/>
      <c r="C5075" s="10" t="s">
        <v>150</v>
      </c>
      <c r="D5075" s="10" t="s">
        <v>147</v>
      </c>
      <c r="E5075" s="11" t="s">
        <v>137</v>
      </c>
    </row>
    <row r="5076" spans="1:5" x14ac:dyDescent="0.35">
      <c r="A5076" s="6" t="s">
        <v>135</v>
      </c>
      <c r="B5076" s="7"/>
      <c r="C5076" s="7"/>
      <c r="D5076" s="7" t="s">
        <v>148</v>
      </c>
      <c r="E5076" s="8" t="s">
        <v>137</v>
      </c>
    </row>
    <row r="5077" spans="1:5" x14ac:dyDescent="0.35">
      <c r="A5077" s="9" t="s">
        <v>135</v>
      </c>
      <c r="B5077" s="10"/>
      <c r="C5077" s="10"/>
      <c r="D5077" s="10" t="s">
        <v>149</v>
      </c>
      <c r="E5077" s="11" t="s">
        <v>137</v>
      </c>
    </row>
    <row r="5078" spans="1:5" x14ac:dyDescent="0.35">
      <c r="A5078" s="6" t="s">
        <v>135</v>
      </c>
      <c r="B5078" s="7" t="s">
        <v>156</v>
      </c>
      <c r="C5078" s="7" t="s">
        <v>146</v>
      </c>
      <c r="D5078" s="7" t="s">
        <v>147</v>
      </c>
      <c r="E5078" s="8" t="s">
        <v>137</v>
      </c>
    </row>
    <row r="5079" spans="1:5" x14ac:dyDescent="0.35">
      <c r="A5079" s="9" t="s">
        <v>135</v>
      </c>
      <c r="B5079" s="10"/>
      <c r="C5079" s="10"/>
      <c r="D5079" s="10" t="s">
        <v>148</v>
      </c>
      <c r="E5079" s="11" t="s">
        <v>137</v>
      </c>
    </row>
    <row r="5080" spans="1:5" x14ac:dyDescent="0.35">
      <c r="A5080" s="6" t="s">
        <v>135</v>
      </c>
      <c r="B5080" s="7"/>
      <c r="C5080" s="7"/>
      <c r="D5080" s="7" t="s">
        <v>149</v>
      </c>
      <c r="E5080" s="8" t="s">
        <v>137</v>
      </c>
    </row>
    <row r="5081" spans="1:5" x14ac:dyDescent="0.35">
      <c r="A5081" s="9" t="s">
        <v>135</v>
      </c>
      <c r="B5081" s="10"/>
      <c r="C5081" s="10" t="s">
        <v>150</v>
      </c>
      <c r="D5081" s="10" t="s">
        <v>147</v>
      </c>
      <c r="E5081" s="11" t="s">
        <v>137</v>
      </c>
    </row>
    <row r="5082" spans="1:5" x14ac:dyDescent="0.35">
      <c r="A5082" s="6" t="s">
        <v>135</v>
      </c>
      <c r="B5082" s="7"/>
      <c r="C5082" s="7"/>
      <c r="D5082" s="7" t="s">
        <v>148</v>
      </c>
      <c r="E5082" s="8" t="s">
        <v>137</v>
      </c>
    </row>
    <row r="5083" spans="1:5" x14ac:dyDescent="0.35">
      <c r="A5083" s="9" t="s">
        <v>135</v>
      </c>
      <c r="B5083" s="10"/>
      <c r="C5083" s="10"/>
      <c r="D5083" s="10" t="s">
        <v>149</v>
      </c>
      <c r="E5083" s="11" t="s">
        <v>137</v>
      </c>
    </row>
    <row r="5084" spans="1:5" x14ac:dyDescent="0.35">
      <c r="A5084" s="6" t="s">
        <v>135</v>
      </c>
      <c r="B5084" s="7" t="s">
        <v>157</v>
      </c>
      <c r="C5084" s="7" t="s">
        <v>146</v>
      </c>
      <c r="D5084" s="7" t="s">
        <v>147</v>
      </c>
      <c r="E5084" s="8" t="s">
        <v>137</v>
      </c>
    </row>
    <row r="5085" spans="1:5" x14ac:dyDescent="0.35">
      <c r="A5085" s="9" t="s">
        <v>135</v>
      </c>
      <c r="B5085" s="10"/>
      <c r="C5085" s="10"/>
      <c r="D5085" s="10" t="s">
        <v>148</v>
      </c>
      <c r="E5085" s="11" t="s">
        <v>137</v>
      </c>
    </row>
    <row r="5086" spans="1:5" x14ac:dyDescent="0.35">
      <c r="A5086" s="6" t="s">
        <v>135</v>
      </c>
      <c r="B5086" s="7"/>
      <c r="C5086" s="7"/>
      <c r="D5086" s="7" t="s">
        <v>149</v>
      </c>
      <c r="E5086" s="8" t="s">
        <v>137</v>
      </c>
    </row>
    <row r="5087" spans="1:5" x14ac:dyDescent="0.35">
      <c r="A5087" s="9" t="s">
        <v>135</v>
      </c>
      <c r="B5087" s="10"/>
      <c r="C5087" s="10" t="s">
        <v>150</v>
      </c>
      <c r="D5087" s="10" t="s">
        <v>147</v>
      </c>
      <c r="E5087" s="11" t="s">
        <v>137</v>
      </c>
    </row>
    <row r="5088" spans="1:5" x14ac:dyDescent="0.35">
      <c r="A5088" s="6" t="s">
        <v>135</v>
      </c>
      <c r="B5088" s="7"/>
      <c r="C5088" s="7"/>
      <c r="D5088" s="7" t="s">
        <v>148</v>
      </c>
      <c r="E5088" s="8" t="s">
        <v>137</v>
      </c>
    </row>
    <row r="5089" spans="1:5" x14ac:dyDescent="0.35">
      <c r="A5089" s="9" t="s">
        <v>135</v>
      </c>
      <c r="B5089" s="10"/>
      <c r="C5089" s="10"/>
      <c r="D5089" s="10" t="s">
        <v>149</v>
      </c>
      <c r="E5089" s="11" t="s">
        <v>137</v>
      </c>
    </row>
    <row r="5090" spans="1:5" x14ac:dyDescent="0.35">
      <c r="A5090" s="6" t="s">
        <v>135</v>
      </c>
      <c r="B5090" s="7" t="s">
        <v>158</v>
      </c>
      <c r="C5090" s="7" t="s">
        <v>146</v>
      </c>
      <c r="D5090" s="7" t="s">
        <v>147</v>
      </c>
      <c r="E5090" s="8" t="s">
        <v>137</v>
      </c>
    </row>
    <row r="5091" spans="1:5" x14ac:dyDescent="0.35">
      <c r="A5091" s="9" t="s">
        <v>135</v>
      </c>
      <c r="B5091" s="10"/>
      <c r="C5091" s="10"/>
      <c r="D5091" s="10" t="s">
        <v>148</v>
      </c>
      <c r="E5091" s="11" t="s">
        <v>137</v>
      </c>
    </row>
    <row r="5092" spans="1:5" x14ac:dyDescent="0.35">
      <c r="A5092" s="6" t="s">
        <v>135</v>
      </c>
      <c r="B5092" s="7"/>
      <c r="C5092" s="7"/>
      <c r="D5092" s="7" t="s">
        <v>149</v>
      </c>
      <c r="E5092" s="8" t="s">
        <v>137</v>
      </c>
    </row>
    <row r="5093" spans="1:5" x14ac:dyDescent="0.35">
      <c r="A5093" s="9" t="s">
        <v>135</v>
      </c>
      <c r="B5093" s="10"/>
      <c r="C5093" s="10" t="s">
        <v>150</v>
      </c>
      <c r="D5093" s="10" t="s">
        <v>147</v>
      </c>
      <c r="E5093" s="11" t="s">
        <v>137</v>
      </c>
    </row>
    <row r="5094" spans="1:5" x14ac:dyDescent="0.35">
      <c r="A5094" s="6" t="s">
        <v>135</v>
      </c>
      <c r="B5094" s="7"/>
      <c r="C5094" s="7"/>
      <c r="D5094" s="7" t="s">
        <v>148</v>
      </c>
      <c r="E5094" s="8" t="s">
        <v>137</v>
      </c>
    </row>
    <row r="5095" spans="1:5" x14ac:dyDescent="0.35">
      <c r="A5095" s="9" t="s">
        <v>135</v>
      </c>
      <c r="B5095" s="10"/>
      <c r="C5095" s="10"/>
      <c r="D5095" s="10" t="s">
        <v>149</v>
      </c>
      <c r="E5095" s="11" t="s">
        <v>137</v>
      </c>
    </row>
    <row r="5096" spans="1:5" x14ac:dyDescent="0.35">
      <c r="A5096" s="6" t="s">
        <v>135</v>
      </c>
      <c r="B5096" s="7" t="s">
        <v>159</v>
      </c>
      <c r="C5096" s="7" t="s">
        <v>146</v>
      </c>
      <c r="D5096" s="7" t="s">
        <v>147</v>
      </c>
      <c r="E5096" s="8" t="s">
        <v>137</v>
      </c>
    </row>
    <row r="5097" spans="1:5" x14ac:dyDescent="0.35">
      <c r="A5097" s="9" t="s">
        <v>135</v>
      </c>
      <c r="B5097" s="10"/>
      <c r="C5097" s="10"/>
      <c r="D5097" s="10" t="s">
        <v>148</v>
      </c>
      <c r="E5097" s="11" t="s">
        <v>137</v>
      </c>
    </row>
    <row r="5098" spans="1:5" x14ac:dyDescent="0.35">
      <c r="A5098" s="6" t="s">
        <v>135</v>
      </c>
      <c r="B5098" s="7"/>
      <c r="C5098" s="7"/>
      <c r="D5098" s="7" t="s">
        <v>149</v>
      </c>
      <c r="E5098" s="8" t="s">
        <v>137</v>
      </c>
    </row>
    <row r="5099" spans="1:5" x14ac:dyDescent="0.35">
      <c r="A5099" s="9" t="s">
        <v>135</v>
      </c>
      <c r="B5099" s="10"/>
      <c r="C5099" s="10" t="s">
        <v>150</v>
      </c>
      <c r="D5099" s="10" t="s">
        <v>147</v>
      </c>
      <c r="E5099" s="11" t="s">
        <v>137</v>
      </c>
    </row>
    <row r="5100" spans="1:5" x14ac:dyDescent="0.35">
      <c r="A5100" s="6" t="s">
        <v>135</v>
      </c>
      <c r="B5100" s="7"/>
      <c r="C5100" s="7"/>
      <c r="D5100" s="7" t="s">
        <v>148</v>
      </c>
      <c r="E5100" s="8" t="s">
        <v>137</v>
      </c>
    </row>
    <row r="5101" spans="1:5" x14ac:dyDescent="0.35">
      <c r="A5101" s="9" t="s">
        <v>135</v>
      </c>
      <c r="B5101" s="10"/>
      <c r="C5101" s="10"/>
      <c r="D5101" s="10" t="s">
        <v>149</v>
      </c>
      <c r="E5101" s="11" t="s">
        <v>137</v>
      </c>
    </row>
    <row r="5102" spans="1:5" x14ac:dyDescent="0.35">
      <c r="A5102" s="6" t="s">
        <v>135</v>
      </c>
      <c r="B5102" s="7" t="s">
        <v>160</v>
      </c>
      <c r="C5102" s="7" t="s">
        <v>146</v>
      </c>
      <c r="D5102" s="7" t="s">
        <v>147</v>
      </c>
      <c r="E5102" s="8" t="s">
        <v>137</v>
      </c>
    </row>
    <row r="5103" spans="1:5" x14ac:dyDescent="0.35">
      <c r="A5103" s="9" t="s">
        <v>135</v>
      </c>
      <c r="B5103" s="10"/>
      <c r="C5103" s="10"/>
      <c r="D5103" s="10" t="s">
        <v>148</v>
      </c>
      <c r="E5103" s="11" t="s">
        <v>137</v>
      </c>
    </row>
    <row r="5104" spans="1:5" x14ac:dyDescent="0.35">
      <c r="A5104" s="6" t="s">
        <v>135</v>
      </c>
      <c r="B5104" s="7"/>
      <c r="C5104" s="7"/>
      <c r="D5104" s="7" t="s">
        <v>149</v>
      </c>
      <c r="E5104" s="8" t="s">
        <v>137</v>
      </c>
    </row>
    <row r="5105" spans="1:5" x14ac:dyDescent="0.35">
      <c r="A5105" s="9" t="s">
        <v>135</v>
      </c>
      <c r="B5105" s="10"/>
      <c r="C5105" s="10" t="s">
        <v>150</v>
      </c>
      <c r="D5105" s="10" t="s">
        <v>147</v>
      </c>
      <c r="E5105" s="11" t="s">
        <v>137</v>
      </c>
    </row>
    <row r="5106" spans="1:5" x14ac:dyDescent="0.35">
      <c r="A5106" s="6" t="s">
        <v>135</v>
      </c>
      <c r="B5106" s="7"/>
      <c r="C5106" s="7"/>
      <c r="D5106" s="7" t="s">
        <v>148</v>
      </c>
      <c r="E5106" s="8" t="s">
        <v>137</v>
      </c>
    </row>
    <row r="5107" spans="1:5" x14ac:dyDescent="0.35">
      <c r="A5107" s="9" t="s">
        <v>135</v>
      </c>
      <c r="B5107" s="10"/>
      <c r="C5107" s="10"/>
      <c r="D5107" s="10" t="s">
        <v>149</v>
      </c>
      <c r="E5107" s="11" t="s">
        <v>137</v>
      </c>
    </row>
    <row r="5108" spans="1:5" x14ac:dyDescent="0.35">
      <c r="A5108" s="6" t="s">
        <v>135</v>
      </c>
      <c r="B5108" s="7" t="s">
        <v>161</v>
      </c>
      <c r="C5108" s="7" t="s">
        <v>146</v>
      </c>
      <c r="D5108" s="7" t="s">
        <v>147</v>
      </c>
      <c r="E5108" s="8" t="s">
        <v>137</v>
      </c>
    </row>
    <row r="5109" spans="1:5" x14ac:dyDescent="0.35">
      <c r="A5109" s="9" t="s">
        <v>135</v>
      </c>
      <c r="B5109" s="10"/>
      <c r="C5109" s="10"/>
      <c r="D5109" s="10" t="s">
        <v>148</v>
      </c>
      <c r="E5109" s="11" t="s">
        <v>137</v>
      </c>
    </row>
    <row r="5110" spans="1:5" x14ac:dyDescent="0.35">
      <c r="A5110" s="6" t="s">
        <v>135</v>
      </c>
      <c r="B5110" s="7"/>
      <c r="C5110" s="7"/>
      <c r="D5110" s="7" t="s">
        <v>149</v>
      </c>
      <c r="E5110" s="8" t="s">
        <v>137</v>
      </c>
    </row>
    <row r="5111" spans="1:5" x14ac:dyDescent="0.35">
      <c r="A5111" s="9" t="s">
        <v>135</v>
      </c>
      <c r="B5111" s="10"/>
      <c r="C5111" s="10" t="s">
        <v>150</v>
      </c>
      <c r="D5111" s="10" t="s">
        <v>147</v>
      </c>
      <c r="E5111" s="11" t="s">
        <v>137</v>
      </c>
    </row>
    <row r="5112" spans="1:5" x14ac:dyDescent="0.35">
      <c r="A5112" s="6" t="s">
        <v>135</v>
      </c>
      <c r="B5112" s="7"/>
      <c r="C5112" s="7"/>
      <c r="D5112" s="7" t="s">
        <v>148</v>
      </c>
      <c r="E5112" s="8" t="s">
        <v>137</v>
      </c>
    </row>
    <row r="5113" spans="1:5" x14ac:dyDescent="0.35">
      <c r="A5113" s="9" t="s">
        <v>135</v>
      </c>
      <c r="B5113" s="10"/>
      <c r="C5113" s="10"/>
      <c r="D5113" s="10" t="s">
        <v>149</v>
      </c>
      <c r="E5113" s="11" t="s">
        <v>137</v>
      </c>
    </row>
    <row r="5114" spans="1:5" x14ac:dyDescent="0.35">
      <c r="A5114" s="6" t="s">
        <v>135</v>
      </c>
      <c r="B5114" s="7" t="s">
        <v>162</v>
      </c>
      <c r="C5114" s="7" t="s">
        <v>146</v>
      </c>
      <c r="D5114" s="7" t="s">
        <v>147</v>
      </c>
      <c r="E5114" s="8" t="s">
        <v>137</v>
      </c>
    </row>
    <row r="5115" spans="1:5" x14ac:dyDescent="0.35">
      <c r="A5115" s="9" t="s">
        <v>135</v>
      </c>
      <c r="B5115" s="10"/>
      <c r="C5115" s="10"/>
      <c r="D5115" s="10" t="s">
        <v>148</v>
      </c>
      <c r="E5115" s="11" t="s">
        <v>137</v>
      </c>
    </row>
    <row r="5116" spans="1:5" x14ac:dyDescent="0.35">
      <c r="A5116" s="6" t="s">
        <v>135</v>
      </c>
      <c r="B5116" s="7"/>
      <c r="C5116" s="7"/>
      <c r="D5116" s="7" t="s">
        <v>149</v>
      </c>
      <c r="E5116" s="8" t="s">
        <v>137</v>
      </c>
    </row>
    <row r="5117" spans="1:5" x14ac:dyDescent="0.35">
      <c r="A5117" s="9" t="s">
        <v>135</v>
      </c>
      <c r="B5117" s="10"/>
      <c r="C5117" s="10" t="s">
        <v>150</v>
      </c>
      <c r="D5117" s="10" t="s">
        <v>147</v>
      </c>
      <c r="E5117" s="11" t="s">
        <v>137</v>
      </c>
    </row>
    <row r="5118" spans="1:5" x14ac:dyDescent="0.35">
      <c r="A5118" s="6" t="s">
        <v>135</v>
      </c>
      <c r="B5118" s="7"/>
      <c r="C5118" s="7"/>
      <c r="D5118" s="7" t="s">
        <v>148</v>
      </c>
      <c r="E5118" s="8" t="s">
        <v>137</v>
      </c>
    </row>
    <row r="5119" spans="1:5" x14ac:dyDescent="0.35">
      <c r="A5119" s="9" t="s">
        <v>135</v>
      </c>
      <c r="B5119" s="10"/>
      <c r="C5119" s="10"/>
      <c r="D5119" s="10" t="s">
        <v>149</v>
      </c>
      <c r="E5119" s="11" t="s">
        <v>137</v>
      </c>
    </row>
    <row r="5120" spans="1:5" x14ac:dyDescent="0.35">
      <c r="A5120" s="6" t="s">
        <v>135</v>
      </c>
      <c r="B5120" s="7" t="s">
        <v>163</v>
      </c>
      <c r="C5120" s="7" t="s">
        <v>146</v>
      </c>
      <c r="D5120" s="7" t="s">
        <v>147</v>
      </c>
      <c r="E5120" s="8">
        <v>219.33</v>
      </c>
    </row>
    <row r="5121" spans="1:5" x14ac:dyDescent="0.35">
      <c r="A5121" s="9" t="s">
        <v>135</v>
      </c>
      <c r="B5121" s="10"/>
      <c r="C5121" s="10"/>
      <c r="D5121" s="10" t="s">
        <v>148</v>
      </c>
      <c r="E5121" s="11">
        <v>219.33</v>
      </c>
    </row>
    <row r="5122" spans="1:5" x14ac:dyDescent="0.35">
      <c r="A5122" s="6" t="s">
        <v>135</v>
      </c>
      <c r="B5122" s="7"/>
      <c r="C5122" s="7"/>
      <c r="D5122" s="7" t="s">
        <v>149</v>
      </c>
      <c r="E5122" s="8" t="s">
        <v>137</v>
      </c>
    </row>
    <row r="5123" spans="1:5" x14ac:dyDescent="0.35">
      <c r="A5123" s="9" t="s">
        <v>135</v>
      </c>
      <c r="B5123" s="10"/>
      <c r="C5123" s="10" t="s">
        <v>150</v>
      </c>
      <c r="D5123" s="10" t="s">
        <v>147</v>
      </c>
      <c r="E5123" s="11" t="s">
        <v>137</v>
      </c>
    </row>
    <row r="5124" spans="1:5" x14ac:dyDescent="0.35">
      <c r="A5124" s="6" t="s">
        <v>135</v>
      </c>
      <c r="B5124" s="7"/>
      <c r="C5124" s="7"/>
      <c r="D5124" s="7" t="s">
        <v>148</v>
      </c>
      <c r="E5124" s="8" t="s">
        <v>137</v>
      </c>
    </row>
    <row r="5125" spans="1:5" x14ac:dyDescent="0.35">
      <c r="A5125" s="9" t="s">
        <v>135</v>
      </c>
      <c r="B5125" s="10"/>
      <c r="C5125" s="10"/>
      <c r="D5125" s="10" t="s">
        <v>149</v>
      </c>
      <c r="E5125" s="11" t="s">
        <v>137</v>
      </c>
    </row>
    <row r="5126" spans="1:5" x14ac:dyDescent="0.35">
      <c r="A5126" s="6" t="s">
        <v>135</v>
      </c>
      <c r="B5126" s="7" t="s">
        <v>164</v>
      </c>
      <c r="C5126" s="7" t="s">
        <v>146</v>
      </c>
      <c r="D5126" s="7" t="s">
        <v>147</v>
      </c>
      <c r="E5126" s="8" t="s">
        <v>137</v>
      </c>
    </row>
    <row r="5127" spans="1:5" x14ac:dyDescent="0.35">
      <c r="A5127" s="9" t="s">
        <v>135</v>
      </c>
      <c r="B5127" s="10"/>
      <c r="C5127" s="10"/>
      <c r="D5127" s="10" t="s">
        <v>148</v>
      </c>
      <c r="E5127" s="11" t="s">
        <v>137</v>
      </c>
    </row>
    <row r="5128" spans="1:5" x14ac:dyDescent="0.35">
      <c r="A5128" s="6" t="s">
        <v>135</v>
      </c>
      <c r="B5128" s="7"/>
      <c r="C5128" s="7"/>
      <c r="D5128" s="7" t="s">
        <v>149</v>
      </c>
      <c r="E5128" s="8" t="s">
        <v>137</v>
      </c>
    </row>
    <row r="5129" spans="1:5" x14ac:dyDescent="0.35">
      <c r="A5129" s="9" t="s">
        <v>135</v>
      </c>
      <c r="B5129" s="10"/>
      <c r="C5129" s="10" t="s">
        <v>150</v>
      </c>
      <c r="D5129" s="10" t="s">
        <v>147</v>
      </c>
      <c r="E5129" s="11" t="s">
        <v>137</v>
      </c>
    </row>
    <row r="5130" spans="1:5" x14ac:dyDescent="0.35">
      <c r="A5130" s="6" t="s">
        <v>135</v>
      </c>
      <c r="B5130" s="7"/>
      <c r="C5130" s="7"/>
      <c r="D5130" s="7" t="s">
        <v>148</v>
      </c>
      <c r="E5130" s="8" t="s">
        <v>137</v>
      </c>
    </row>
    <row r="5131" spans="1:5" x14ac:dyDescent="0.35">
      <c r="A5131" s="9" t="s">
        <v>135</v>
      </c>
      <c r="B5131" s="10"/>
      <c r="C5131" s="10"/>
      <c r="D5131" s="10" t="s">
        <v>149</v>
      </c>
      <c r="E5131" s="11" t="s">
        <v>137</v>
      </c>
    </row>
    <row r="5132" spans="1:5" x14ac:dyDescent="0.35">
      <c r="A5132" s="6" t="s">
        <v>135</v>
      </c>
      <c r="B5132" s="7" t="s">
        <v>165</v>
      </c>
      <c r="C5132" s="7" t="s">
        <v>146</v>
      </c>
      <c r="D5132" s="7" t="s">
        <v>147</v>
      </c>
      <c r="E5132" s="8" t="s">
        <v>137</v>
      </c>
    </row>
    <row r="5133" spans="1:5" x14ac:dyDescent="0.35">
      <c r="A5133" s="9" t="s">
        <v>135</v>
      </c>
      <c r="B5133" s="10"/>
      <c r="C5133" s="10"/>
      <c r="D5133" s="10" t="s">
        <v>148</v>
      </c>
      <c r="E5133" s="11" t="s">
        <v>137</v>
      </c>
    </row>
    <row r="5134" spans="1:5" x14ac:dyDescent="0.35">
      <c r="A5134" s="6" t="s">
        <v>135</v>
      </c>
      <c r="B5134" s="7"/>
      <c r="C5134" s="7"/>
      <c r="D5134" s="7" t="s">
        <v>149</v>
      </c>
      <c r="E5134" s="8" t="s">
        <v>137</v>
      </c>
    </row>
    <row r="5135" spans="1:5" x14ac:dyDescent="0.35">
      <c r="A5135" s="9" t="s">
        <v>135</v>
      </c>
      <c r="B5135" s="10"/>
      <c r="C5135" s="10" t="s">
        <v>150</v>
      </c>
      <c r="D5135" s="10" t="s">
        <v>147</v>
      </c>
      <c r="E5135" s="11" t="s">
        <v>137</v>
      </c>
    </row>
    <row r="5136" spans="1:5" x14ac:dyDescent="0.35">
      <c r="A5136" s="6" t="s">
        <v>135</v>
      </c>
      <c r="B5136" s="7"/>
      <c r="C5136" s="7"/>
      <c r="D5136" s="7" t="s">
        <v>148</v>
      </c>
      <c r="E5136" s="8" t="s">
        <v>137</v>
      </c>
    </row>
    <row r="5137" spans="1:5" x14ac:dyDescent="0.35">
      <c r="A5137" s="9" t="s">
        <v>135</v>
      </c>
      <c r="B5137" s="10"/>
      <c r="C5137" s="10"/>
      <c r="D5137" s="10" t="s">
        <v>149</v>
      </c>
      <c r="E5137" s="11" t="s">
        <v>137</v>
      </c>
    </row>
    <row r="5138" spans="1:5" x14ac:dyDescent="0.35">
      <c r="A5138" s="6" t="s">
        <v>135</v>
      </c>
      <c r="B5138" s="7" t="s">
        <v>166</v>
      </c>
      <c r="C5138" s="7" t="s">
        <v>146</v>
      </c>
      <c r="D5138" s="7" t="s">
        <v>147</v>
      </c>
      <c r="E5138" s="8">
        <v>152.33000000000001</v>
      </c>
    </row>
    <row r="5139" spans="1:5" x14ac:dyDescent="0.35">
      <c r="A5139" s="9" t="s">
        <v>135</v>
      </c>
      <c r="B5139" s="10"/>
      <c r="C5139" s="10"/>
      <c r="D5139" s="10" t="s">
        <v>148</v>
      </c>
      <c r="E5139" s="11">
        <v>152.33000000000001</v>
      </c>
    </row>
    <row r="5140" spans="1:5" x14ac:dyDescent="0.35">
      <c r="A5140" s="6" t="s">
        <v>135</v>
      </c>
      <c r="B5140" s="7"/>
      <c r="C5140" s="7"/>
      <c r="D5140" s="7" t="s">
        <v>149</v>
      </c>
      <c r="E5140" s="8" t="s">
        <v>137</v>
      </c>
    </row>
    <row r="5141" spans="1:5" x14ac:dyDescent="0.35">
      <c r="A5141" s="9" t="s">
        <v>135</v>
      </c>
      <c r="B5141" s="10"/>
      <c r="C5141" s="10" t="s">
        <v>150</v>
      </c>
      <c r="D5141" s="10" t="s">
        <v>147</v>
      </c>
      <c r="E5141" s="11" t="s">
        <v>137</v>
      </c>
    </row>
    <row r="5142" spans="1:5" x14ac:dyDescent="0.35">
      <c r="A5142" s="6" t="s">
        <v>135</v>
      </c>
      <c r="B5142" s="7"/>
      <c r="C5142" s="7"/>
      <c r="D5142" s="7" t="s">
        <v>148</v>
      </c>
      <c r="E5142" s="8" t="s">
        <v>137</v>
      </c>
    </row>
    <row r="5143" spans="1:5" x14ac:dyDescent="0.35">
      <c r="A5143" s="9" t="s">
        <v>135</v>
      </c>
      <c r="B5143" s="10"/>
      <c r="C5143" s="10"/>
      <c r="D5143" s="10" t="s">
        <v>149</v>
      </c>
      <c r="E5143" s="11" t="s">
        <v>137</v>
      </c>
    </row>
    <row r="5144" spans="1:5" x14ac:dyDescent="0.35">
      <c r="A5144" s="6" t="s">
        <v>135</v>
      </c>
      <c r="B5144" s="7" t="s">
        <v>167</v>
      </c>
      <c r="C5144" s="7" t="s">
        <v>146</v>
      </c>
      <c r="D5144" s="7" t="s">
        <v>147</v>
      </c>
      <c r="E5144" s="8">
        <v>67</v>
      </c>
    </row>
    <row r="5145" spans="1:5" x14ac:dyDescent="0.35">
      <c r="A5145" s="9" t="s">
        <v>135</v>
      </c>
      <c r="B5145" s="10"/>
      <c r="C5145" s="10"/>
      <c r="D5145" s="10" t="s">
        <v>148</v>
      </c>
      <c r="E5145" s="11">
        <v>67</v>
      </c>
    </row>
    <row r="5146" spans="1:5" x14ac:dyDescent="0.35">
      <c r="A5146" s="6" t="s">
        <v>135</v>
      </c>
      <c r="B5146" s="7"/>
      <c r="C5146" s="7"/>
      <c r="D5146" s="7" t="s">
        <v>149</v>
      </c>
      <c r="E5146" s="8" t="s">
        <v>137</v>
      </c>
    </row>
    <row r="5147" spans="1:5" x14ac:dyDescent="0.35">
      <c r="A5147" s="9" t="s">
        <v>135</v>
      </c>
      <c r="B5147" s="10"/>
      <c r="C5147" s="10" t="s">
        <v>150</v>
      </c>
      <c r="D5147" s="10" t="s">
        <v>147</v>
      </c>
      <c r="E5147" s="11" t="s">
        <v>137</v>
      </c>
    </row>
    <row r="5148" spans="1:5" x14ac:dyDescent="0.35">
      <c r="A5148" s="6" t="s">
        <v>135</v>
      </c>
      <c r="B5148" s="7"/>
      <c r="C5148" s="7"/>
      <c r="D5148" s="7" t="s">
        <v>148</v>
      </c>
      <c r="E5148" s="8" t="s">
        <v>137</v>
      </c>
    </row>
    <row r="5149" spans="1:5" x14ac:dyDescent="0.35">
      <c r="A5149" s="9" t="s">
        <v>135</v>
      </c>
      <c r="B5149" s="10"/>
      <c r="C5149" s="10"/>
      <c r="D5149" s="10" t="s">
        <v>149</v>
      </c>
      <c r="E5149" s="11" t="s">
        <v>137</v>
      </c>
    </row>
    <row r="5150" spans="1:5" x14ac:dyDescent="0.35">
      <c r="A5150" s="6" t="s">
        <v>135</v>
      </c>
      <c r="B5150" s="7" t="s">
        <v>168</v>
      </c>
      <c r="C5150" s="7" t="s">
        <v>146</v>
      </c>
      <c r="D5150" s="7" t="s">
        <v>147</v>
      </c>
      <c r="E5150" s="8" t="s">
        <v>137</v>
      </c>
    </row>
    <row r="5151" spans="1:5" x14ac:dyDescent="0.35">
      <c r="A5151" s="9" t="s">
        <v>135</v>
      </c>
      <c r="B5151" s="10"/>
      <c r="C5151" s="10"/>
      <c r="D5151" s="10" t="s">
        <v>148</v>
      </c>
      <c r="E5151" s="11" t="s">
        <v>137</v>
      </c>
    </row>
    <row r="5152" spans="1:5" x14ac:dyDescent="0.35">
      <c r="A5152" s="6" t="s">
        <v>135</v>
      </c>
      <c r="B5152" s="7"/>
      <c r="C5152" s="7"/>
      <c r="D5152" s="7" t="s">
        <v>149</v>
      </c>
      <c r="E5152" s="8" t="s">
        <v>137</v>
      </c>
    </row>
    <row r="5153" spans="1:5" x14ac:dyDescent="0.35">
      <c r="A5153" s="9" t="s">
        <v>135</v>
      </c>
      <c r="B5153" s="10"/>
      <c r="C5153" s="10" t="s">
        <v>150</v>
      </c>
      <c r="D5153" s="10" t="s">
        <v>147</v>
      </c>
      <c r="E5153" s="11" t="s">
        <v>137</v>
      </c>
    </row>
    <row r="5154" spans="1:5" x14ac:dyDescent="0.35">
      <c r="A5154" s="6" t="s">
        <v>135</v>
      </c>
      <c r="B5154" s="7"/>
      <c r="C5154" s="7"/>
      <c r="D5154" s="7" t="s">
        <v>148</v>
      </c>
      <c r="E5154" s="8" t="s">
        <v>137</v>
      </c>
    </row>
    <row r="5155" spans="1:5" x14ac:dyDescent="0.35">
      <c r="A5155" s="9" t="s">
        <v>135</v>
      </c>
      <c r="B5155" s="10"/>
      <c r="C5155" s="10"/>
      <c r="D5155" s="10" t="s">
        <v>149</v>
      </c>
      <c r="E5155" s="11" t="s">
        <v>137</v>
      </c>
    </row>
    <row r="5156" spans="1:5" x14ac:dyDescent="0.35">
      <c r="A5156" s="6" t="s">
        <v>135</v>
      </c>
      <c r="B5156" s="7" t="s">
        <v>169</v>
      </c>
      <c r="C5156" s="7" t="s">
        <v>146</v>
      </c>
      <c r="D5156" s="7" t="s">
        <v>147</v>
      </c>
      <c r="E5156" s="8" t="s">
        <v>137</v>
      </c>
    </row>
    <row r="5157" spans="1:5" x14ac:dyDescent="0.35">
      <c r="A5157" s="9" t="s">
        <v>135</v>
      </c>
      <c r="B5157" s="10"/>
      <c r="C5157" s="10"/>
      <c r="D5157" s="10" t="s">
        <v>148</v>
      </c>
      <c r="E5157" s="11" t="s">
        <v>137</v>
      </c>
    </row>
    <row r="5158" spans="1:5" x14ac:dyDescent="0.35">
      <c r="A5158" s="6" t="s">
        <v>135</v>
      </c>
      <c r="B5158" s="7"/>
      <c r="C5158" s="7"/>
      <c r="D5158" s="7" t="s">
        <v>149</v>
      </c>
      <c r="E5158" s="8" t="s">
        <v>137</v>
      </c>
    </row>
    <row r="5159" spans="1:5" x14ac:dyDescent="0.35">
      <c r="A5159" s="9" t="s">
        <v>135</v>
      </c>
      <c r="B5159" s="10"/>
      <c r="C5159" s="10" t="s">
        <v>150</v>
      </c>
      <c r="D5159" s="10" t="s">
        <v>147</v>
      </c>
      <c r="E5159" s="11" t="s">
        <v>137</v>
      </c>
    </row>
    <row r="5160" spans="1:5" x14ac:dyDescent="0.35">
      <c r="A5160" s="6" t="s">
        <v>135</v>
      </c>
      <c r="B5160" s="7"/>
      <c r="C5160" s="7"/>
      <c r="D5160" s="7" t="s">
        <v>148</v>
      </c>
      <c r="E5160" s="8" t="s">
        <v>137</v>
      </c>
    </row>
    <row r="5161" spans="1:5" x14ac:dyDescent="0.35">
      <c r="A5161" s="9" t="s">
        <v>135</v>
      </c>
      <c r="B5161" s="10"/>
      <c r="C5161" s="10"/>
      <c r="D5161" s="10" t="s">
        <v>149</v>
      </c>
      <c r="E5161" s="11" t="s">
        <v>137</v>
      </c>
    </row>
    <row r="5162" spans="1:5" x14ac:dyDescent="0.35">
      <c r="A5162" s="6" t="s">
        <v>135</v>
      </c>
      <c r="B5162" s="7" t="s">
        <v>170</v>
      </c>
      <c r="C5162" s="7" t="s">
        <v>146</v>
      </c>
      <c r="D5162" s="7" t="s">
        <v>147</v>
      </c>
      <c r="E5162" s="8" t="s">
        <v>137</v>
      </c>
    </row>
    <row r="5163" spans="1:5" x14ac:dyDescent="0.35">
      <c r="A5163" s="9" t="s">
        <v>135</v>
      </c>
      <c r="B5163" s="10"/>
      <c r="C5163" s="10"/>
      <c r="D5163" s="10" t="s">
        <v>148</v>
      </c>
      <c r="E5163" s="11" t="s">
        <v>137</v>
      </c>
    </row>
    <row r="5164" spans="1:5" x14ac:dyDescent="0.35">
      <c r="A5164" s="6" t="s">
        <v>135</v>
      </c>
      <c r="B5164" s="7"/>
      <c r="C5164" s="7"/>
      <c r="D5164" s="7" t="s">
        <v>149</v>
      </c>
      <c r="E5164" s="8" t="s">
        <v>137</v>
      </c>
    </row>
    <row r="5165" spans="1:5" x14ac:dyDescent="0.35">
      <c r="A5165" s="9" t="s">
        <v>135</v>
      </c>
      <c r="B5165" s="10"/>
      <c r="C5165" s="10" t="s">
        <v>150</v>
      </c>
      <c r="D5165" s="10" t="s">
        <v>147</v>
      </c>
      <c r="E5165" s="11" t="s">
        <v>137</v>
      </c>
    </row>
    <row r="5166" spans="1:5" x14ac:dyDescent="0.35">
      <c r="A5166" s="6" t="s">
        <v>135</v>
      </c>
      <c r="B5166" s="7"/>
      <c r="C5166" s="7"/>
      <c r="D5166" s="7" t="s">
        <v>148</v>
      </c>
      <c r="E5166" s="8" t="s">
        <v>137</v>
      </c>
    </row>
    <row r="5167" spans="1:5" x14ac:dyDescent="0.35">
      <c r="A5167" s="9" t="s">
        <v>135</v>
      </c>
      <c r="B5167" s="10"/>
      <c r="C5167" s="10"/>
      <c r="D5167" s="10" t="s">
        <v>149</v>
      </c>
      <c r="E5167" s="11" t="s">
        <v>137</v>
      </c>
    </row>
    <row r="5168" spans="1:5" x14ac:dyDescent="0.35">
      <c r="A5168" s="6" t="s">
        <v>118</v>
      </c>
      <c r="B5168" s="7" t="s">
        <v>145</v>
      </c>
      <c r="C5168" s="7" t="s">
        <v>146</v>
      </c>
      <c r="D5168" s="7" t="s">
        <v>147</v>
      </c>
      <c r="E5168" s="8">
        <v>1085.92</v>
      </c>
    </row>
    <row r="5169" spans="1:5" x14ac:dyDescent="0.35">
      <c r="A5169" s="9" t="s">
        <v>135</v>
      </c>
      <c r="B5169" s="10"/>
      <c r="C5169" s="10"/>
      <c r="D5169" s="10" t="s">
        <v>148</v>
      </c>
      <c r="E5169" s="11">
        <v>1077</v>
      </c>
    </row>
    <row r="5170" spans="1:5" x14ac:dyDescent="0.35">
      <c r="A5170" s="6" t="s">
        <v>135</v>
      </c>
      <c r="B5170" s="7"/>
      <c r="C5170" s="7"/>
      <c r="D5170" s="7" t="s">
        <v>149</v>
      </c>
      <c r="E5170" s="8">
        <v>8.92</v>
      </c>
    </row>
    <row r="5171" spans="1:5" x14ac:dyDescent="0.35">
      <c r="A5171" s="9" t="s">
        <v>135</v>
      </c>
      <c r="B5171" s="10"/>
      <c r="C5171" s="10" t="s">
        <v>150</v>
      </c>
      <c r="D5171" s="10" t="s">
        <v>147</v>
      </c>
      <c r="E5171" s="11" t="s">
        <v>137</v>
      </c>
    </row>
    <row r="5172" spans="1:5" x14ac:dyDescent="0.35">
      <c r="A5172" s="6" t="s">
        <v>135</v>
      </c>
      <c r="B5172" s="7"/>
      <c r="C5172" s="7"/>
      <c r="D5172" s="7" t="s">
        <v>148</v>
      </c>
      <c r="E5172" s="8" t="s">
        <v>137</v>
      </c>
    </row>
    <row r="5173" spans="1:5" x14ac:dyDescent="0.35">
      <c r="A5173" s="9" t="s">
        <v>135</v>
      </c>
      <c r="B5173" s="10"/>
      <c r="C5173" s="10"/>
      <c r="D5173" s="10" t="s">
        <v>149</v>
      </c>
      <c r="E5173" s="11" t="s">
        <v>137</v>
      </c>
    </row>
    <row r="5174" spans="1:5" x14ac:dyDescent="0.35">
      <c r="A5174" s="6" t="s">
        <v>135</v>
      </c>
      <c r="B5174" s="7" t="s">
        <v>151</v>
      </c>
      <c r="C5174" s="7" t="s">
        <v>146</v>
      </c>
      <c r="D5174" s="7" t="s">
        <v>147</v>
      </c>
      <c r="E5174" s="8">
        <v>774.92</v>
      </c>
    </row>
    <row r="5175" spans="1:5" x14ac:dyDescent="0.35">
      <c r="A5175" s="9" t="s">
        <v>135</v>
      </c>
      <c r="B5175" s="10"/>
      <c r="C5175" s="10"/>
      <c r="D5175" s="10" t="s">
        <v>148</v>
      </c>
      <c r="E5175" s="11">
        <v>766</v>
      </c>
    </row>
    <row r="5176" spans="1:5" x14ac:dyDescent="0.35">
      <c r="A5176" s="6" t="s">
        <v>135</v>
      </c>
      <c r="B5176" s="7"/>
      <c r="C5176" s="7"/>
      <c r="D5176" s="7" t="s">
        <v>149</v>
      </c>
      <c r="E5176" s="8">
        <v>8.92</v>
      </c>
    </row>
    <row r="5177" spans="1:5" x14ac:dyDescent="0.35">
      <c r="A5177" s="9" t="s">
        <v>135</v>
      </c>
      <c r="B5177" s="10"/>
      <c r="C5177" s="10" t="s">
        <v>150</v>
      </c>
      <c r="D5177" s="10" t="s">
        <v>147</v>
      </c>
      <c r="E5177" s="11" t="s">
        <v>137</v>
      </c>
    </row>
    <row r="5178" spans="1:5" x14ac:dyDescent="0.35">
      <c r="A5178" s="6" t="s">
        <v>135</v>
      </c>
      <c r="B5178" s="7"/>
      <c r="C5178" s="7"/>
      <c r="D5178" s="7" t="s">
        <v>148</v>
      </c>
      <c r="E5178" s="8" t="s">
        <v>137</v>
      </c>
    </row>
    <row r="5179" spans="1:5" x14ac:dyDescent="0.35">
      <c r="A5179" s="9" t="s">
        <v>135</v>
      </c>
      <c r="B5179" s="10"/>
      <c r="C5179" s="10"/>
      <c r="D5179" s="10" t="s">
        <v>149</v>
      </c>
      <c r="E5179" s="11" t="s">
        <v>137</v>
      </c>
    </row>
    <row r="5180" spans="1:5" x14ac:dyDescent="0.35">
      <c r="A5180" s="6" t="s">
        <v>135</v>
      </c>
      <c r="B5180" s="7" t="s">
        <v>152</v>
      </c>
      <c r="C5180" s="7" t="s">
        <v>146</v>
      </c>
      <c r="D5180" s="7" t="s">
        <v>147</v>
      </c>
      <c r="E5180" s="8" t="s">
        <v>137</v>
      </c>
    </row>
    <row r="5181" spans="1:5" x14ac:dyDescent="0.35">
      <c r="A5181" s="9" t="s">
        <v>135</v>
      </c>
      <c r="B5181" s="10"/>
      <c r="C5181" s="10"/>
      <c r="D5181" s="10" t="s">
        <v>148</v>
      </c>
      <c r="E5181" s="11" t="s">
        <v>137</v>
      </c>
    </row>
    <row r="5182" spans="1:5" x14ac:dyDescent="0.35">
      <c r="A5182" s="6" t="s">
        <v>135</v>
      </c>
      <c r="B5182" s="7"/>
      <c r="C5182" s="7"/>
      <c r="D5182" s="7" t="s">
        <v>149</v>
      </c>
      <c r="E5182" s="8" t="s">
        <v>137</v>
      </c>
    </row>
    <row r="5183" spans="1:5" x14ac:dyDescent="0.35">
      <c r="A5183" s="9" t="s">
        <v>135</v>
      </c>
      <c r="B5183" s="10"/>
      <c r="C5183" s="10" t="s">
        <v>150</v>
      </c>
      <c r="D5183" s="10" t="s">
        <v>147</v>
      </c>
      <c r="E5183" s="11" t="s">
        <v>137</v>
      </c>
    </row>
    <row r="5184" spans="1:5" x14ac:dyDescent="0.35">
      <c r="A5184" s="6" t="s">
        <v>135</v>
      </c>
      <c r="B5184" s="7"/>
      <c r="C5184" s="7"/>
      <c r="D5184" s="7" t="s">
        <v>148</v>
      </c>
      <c r="E5184" s="8" t="s">
        <v>137</v>
      </c>
    </row>
    <row r="5185" spans="1:5" x14ac:dyDescent="0.35">
      <c r="A5185" s="9" t="s">
        <v>135</v>
      </c>
      <c r="B5185" s="10"/>
      <c r="C5185" s="10"/>
      <c r="D5185" s="10" t="s">
        <v>149</v>
      </c>
      <c r="E5185" s="11" t="s">
        <v>137</v>
      </c>
    </row>
    <row r="5186" spans="1:5" x14ac:dyDescent="0.35">
      <c r="A5186" s="6" t="s">
        <v>135</v>
      </c>
      <c r="B5186" s="7" t="s">
        <v>153</v>
      </c>
      <c r="C5186" s="7" t="s">
        <v>146</v>
      </c>
      <c r="D5186" s="7" t="s">
        <v>147</v>
      </c>
      <c r="E5186" s="8">
        <v>245</v>
      </c>
    </row>
    <row r="5187" spans="1:5" x14ac:dyDescent="0.35">
      <c r="A5187" s="9" t="s">
        <v>135</v>
      </c>
      <c r="B5187" s="10"/>
      <c r="C5187" s="10"/>
      <c r="D5187" s="10" t="s">
        <v>148</v>
      </c>
      <c r="E5187" s="11">
        <v>245</v>
      </c>
    </row>
    <row r="5188" spans="1:5" x14ac:dyDescent="0.35">
      <c r="A5188" s="6" t="s">
        <v>135</v>
      </c>
      <c r="B5188" s="7"/>
      <c r="C5188" s="7"/>
      <c r="D5188" s="7" t="s">
        <v>149</v>
      </c>
      <c r="E5188" s="8" t="s">
        <v>137</v>
      </c>
    </row>
    <row r="5189" spans="1:5" x14ac:dyDescent="0.35">
      <c r="A5189" s="9" t="s">
        <v>135</v>
      </c>
      <c r="B5189" s="10"/>
      <c r="C5189" s="10" t="s">
        <v>150</v>
      </c>
      <c r="D5189" s="10" t="s">
        <v>147</v>
      </c>
      <c r="E5189" s="11" t="s">
        <v>137</v>
      </c>
    </row>
    <row r="5190" spans="1:5" x14ac:dyDescent="0.35">
      <c r="A5190" s="6" t="s">
        <v>135</v>
      </c>
      <c r="B5190" s="7"/>
      <c r="C5190" s="7"/>
      <c r="D5190" s="7" t="s">
        <v>148</v>
      </c>
      <c r="E5190" s="8" t="s">
        <v>137</v>
      </c>
    </row>
    <row r="5191" spans="1:5" x14ac:dyDescent="0.35">
      <c r="A5191" s="9" t="s">
        <v>135</v>
      </c>
      <c r="B5191" s="10"/>
      <c r="C5191" s="10"/>
      <c r="D5191" s="10" t="s">
        <v>149</v>
      </c>
      <c r="E5191" s="11" t="s">
        <v>137</v>
      </c>
    </row>
    <row r="5192" spans="1:5" x14ac:dyDescent="0.35">
      <c r="A5192" s="6" t="s">
        <v>135</v>
      </c>
      <c r="B5192" s="7" t="s">
        <v>154</v>
      </c>
      <c r="C5192" s="7" t="s">
        <v>146</v>
      </c>
      <c r="D5192" s="7" t="s">
        <v>147</v>
      </c>
      <c r="E5192" s="8" t="s">
        <v>137</v>
      </c>
    </row>
    <row r="5193" spans="1:5" x14ac:dyDescent="0.35">
      <c r="A5193" s="9" t="s">
        <v>135</v>
      </c>
      <c r="B5193" s="10"/>
      <c r="C5193" s="10"/>
      <c r="D5193" s="10" t="s">
        <v>148</v>
      </c>
      <c r="E5193" s="11" t="s">
        <v>137</v>
      </c>
    </row>
    <row r="5194" spans="1:5" x14ac:dyDescent="0.35">
      <c r="A5194" s="6" t="s">
        <v>135</v>
      </c>
      <c r="B5194" s="7"/>
      <c r="C5194" s="7"/>
      <c r="D5194" s="7" t="s">
        <v>149</v>
      </c>
      <c r="E5194" s="8" t="s">
        <v>137</v>
      </c>
    </row>
    <row r="5195" spans="1:5" x14ac:dyDescent="0.35">
      <c r="A5195" s="9" t="s">
        <v>135</v>
      </c>
      <c r="B5195" s="10"/>
      <c r="C5195" s="10" t="s">
        <v>150</v>
      </c>
      <c r="D5195" s="10" t="s">
        <v>147</v>
      </c>
      <c r="E5195" s="11" t="s">
        <v>137</v>
      </c>
    </row>
    <row r="5196" spans="1:5" x14ac:dyDescent="0.35">
      <c r="A5196" s="6" t="s">
        <v>135</v>
      </c>
      <c r="B5196" s="7"/>
      <c r="C5196" s="7"/>
      <c r="D5196" s="7" t="s">
        <v>148</v>
      </c>
      <c r="E5196" s="8" t="s">
        <v>137</v>
      </c>
    </row>
    <row r="5197" spans="1:5" x14ac:dyDescent="0.35">
      <c r="A5197" s="9" t="s">
        <v>135</v>
      </c>
      <c r="B5197" s="10"/>
      <c r="C5197" s="10"/>
      <c r="D5197" s="10" t="s">
        <v>149</v>
      </c>
      <c r="E5197" s="11" t="s">
        <v>137</v>
      </c>
    </row>
    <row r="5198" spans="1:5" x14ac:dyDescent="0.35">
      <c r="A5198" s="6" t="s">
        <v>135</v>
      </c>
      <c r="B5198" s="7" t="s">
        <v>155</v>
      </c>
      <c r="C5198" s="7" t="s">
        <v>146</v>
      </c>
      <c r="D5198" s="7" t="s">
        <v>147</v>
      </c>
      <c r="E5198" s="8">
        <v>66</v>
      </c>
    </row>
    <row r="5199" spans="1:5" x14ac:dyDescent="0.35">
      <c r="A5199" s="9" t="s">
        <v>135</v>
      </c>
      <c r="B5199" s="10"/>
      <c r="C5199" s="10"/>
      <c r="D5199" s="10" t="s">
        <v>148</v>
      </c>
      <c r="E5199" s="11">
        <v>66</v>
      </c>
    </row>
    <row r="5200" spans="1:5" x14ac:dyDescent="0.35">
      <c r="A5200" s="6" t="s">
        <v>135</v>
      </c>
      <c r="B5200" s="7"/>
      <c r="C5200" s="7"/>
      <c r="D5200" s="7" t="s">
        <v>149</v>
      </c>
      <c r="E5200" s="8" t="s">
        <v>137</v>
      </c>
    </row>
    <row r="5201" spans="1:5" x14ac:dyDescent="0.35">
      <c r="A5201" s="9" t="s">
        <v>135</v>
      </c>
      <c r="B5201" s="10"/>
      <c r="C5201" s="10" t="s">
        <v>150</v>
      </c>
      <c r="D5201" s="10" t="s">
        <v>147</v>
      </c>
      <c r="E5201" s="11" t="s">
        <v>137</v>
      </c>
    </row>
    <row r="5202" spans="1:5" x14ac:dyDescent="0.35">
      <c r="A5202" s="6" t="s">
        <v>135</v>
      </c>
      <c r="B5202" s="7"/>
      <c r="C5202" s="7"/>
      <c r="D5202" s="7" t="s">
        <v>148</v>
      </c>
      <c r="E5202" s="8" t="s">
        <v>137</v>
      </c>
    </row>
    <row r="5203" spans="1:5" x14ac:dyDescent="0.35">
      <c r="A5203" s="9" t="s">
        <v>135</v>
      </c>
      <c r="B5203" s="10"/>
      <c r="C5203" s="10"/>
      <c r="D5203" s="10" t="s">
        <v>149</v>
      </c>
      <c r="E5203" s="11" t="s">
        <v>137</v>
      </c>
    </row>
    <row r="5204" spans="1:5" x14ac:dyDescent="0.35">
      <c r="A5204" s="6" t="s">
        <v>135</v>
      </c>
      <c r="B5204" s="7" t="s">
        <v>156</v>
      </c>
      <c r="C5204" s="7" t="s">
        <v>146</v>
      </c>
      <c r="D5204" s="7" t="s">
        <v>147</v>
      </c>
      <c r="E5204" s="8" t="s">
        <v>137</v>
      </c>
    </row>
    <row r="5205" spans="1:5" x14ac:dyDescent="0.35">
      <c r="A5205" s="9" t="s">
        <v>135</v>
      </c>
      <c r="B5205" s="10"/>
      <c r="C5205" s="10"/>
      <c r="D5205" s="10" t="s">
        <v>148</v>
      </c>
      <c r="E5205" s="11" t="s">
        <v>137</v>
      </c>
    </row>
    <row r="5206" spans="1:5" x14ac:dyDescent="0.35">
      <c r="A5206" s="6" t="s">
        <v>135</v>
      </c>
      <c r="B5206" s="7"/>
      <c r="C5206" s="7"/>
      <c r="D5206" s="7" t="s">
        <v>149</v>
      </c>
      <c r="E5206" s="8" t="s">
        <v>137</v>
      </c>
    </row>
    <row r="5207" spans="1:5" x14ac:dyDescent="0.35">
      <c r="A5207" s="9" t="s">
        <v>135</v>
      </c>
      <c r="B5207" s="10"/>
      <c r="C5207" s="10" t="s">
        <v>150</v>
      </c>
      <c r="D5207" s="10" t="s">
        <v>147</v>
      </c>
      <c r="E5207" s="11" t="s">
        <v>137</v>
      </c>
    </row>
    <row r="5208" spans="1:5" x14ac:dyDescent="0.35">
      <c r="A5208" s="6" t="s">
        <v>135</v>
      </c>
      <c r="B5208" s="7"/>
      <c r="C5208" s="7"/>
      <c r="D5208" s="7" t="s">
        <v>148</v>
      </c>
      <c r="E5208" s="8" t="s">
        <v>137</v>
      </c>
    </row>
    <row r="5209" spans="1:5" x14ac:dyDescent="0.35">
      <c r="A5209" s="9" t="s">
        <v>135</v>
      </c>
      <c r="B5209" s="10"/>
      <c r="C5209" s="10"/>
      <c r="D5209" s="10" t="s">
        <v>149</v>
      </c>
      <c r="E5209" s="11" t="s">
        <v>137</v>
      </c>
    </row>
    <row r="5210" spans="1:5" x14ac:dyDescent="0.35">
      <c r="A5210" s="6" t="s">
        <v>135</v>
      </c>
      <c r="B5210" s="7" t="s">
        <v>157</v>
      </c>
      <c r="C5210" s="7" t="s">
        <v>146</v>
      </c>
      <c r="D5210" s="7" t="s">
        <v>147</v>
      </c>
      <c r="E5210" s="8" t="s">
        <v>137</v>
      </c>
    </row>
    <row r="5211" spans="1:5" x14ac:dyDescent="0.35">
      <c r="A5211" s="9" t="s">
        <v>135</v>
      </c>
      <c r="B5211" s="10"/>
      <c r="C5211" s="10"/>
      <c r="D5211" s="10" t="s">
        <v>148</v>
      </c>
      <c r="E5211" s="11" t="s">
        <v>137</v>
      </c>
    </row>
    <row r="5212" spans="1:5" x14ac:dyDescent="0.35">
      <c r="A5212" s="6" t="s">
        <v>135</v>
      </c>
      <c r="B5212" s="7"/>
      <c r="C5212" s="7"/>
      <c r="D5212" s="7" t="s">
        <v>149</v>
      </c>
      <c r="E5212" s="8" t="s">
        <v>137</v>
      </c>
    </row>
    <row r="5213" spans="1:5" x14ac:dyDescent="0.35">
      <c r="A5213" s="9" t="s">
        <v>135</v>
      </c>
      <c r="B5213" s="10"/>
      <c r="C5213" s="10" t="s">
        <v>150</v>
      </c>
      <c r="D5213" s="10" t="s">
        <v>147</v>
      </c>
      <c r="E5213" s="11" t="s">
        <v>137</v>
      </c>
    </row>
    <row r="5214" spans="1:5" x14ac:dyDescent="0.35">
      <c r="A5214" s="6" t="s">
        <v>135</v>
      </c>
      <c r="B5214" s="7"/>
      <c r="C5214" s="7"/>
      <c r="D5214" s="7" t="s">
        <v>148</v>
      </c>
      <c r="E5214" s="8" t="s">
        <v>137</v>
      </c>
    </row>
    <row r="5215" spans="1:5" x14ac:dyDescent="0.35">
      <c r="A5215" s="9" t="s">
        <v>135</v>
      </c>
      <c r="B5215" s="10"/>
      <c r="C5215" s="10"/>
      <c r="D5215" s="10" t="s">
        <v>149</v>
      </c>
      <c r="E5215" s="11" t="s">
        <v>137</v>
      </c>
    </row>
    <row r="5216" spans="1:5" x14ac:dyDescent="0.35">
      <c r="A5216" s="6" t="s">
        <v>135</v>
      </c>
      <c r="B5216" s="7" t="s">
        <v>158</v>
      </c>
      <c r="C5216" s="7" t="s">
        <v>146</v>
      </c>
      <c r="D5216" s="7" t="s">
        <v>147</v>
      </c>
      <c r="E5216" s="8" t="s">
        <v>137</v>
      </c>
    </row>
    <row r="5217" spans="1:5" x14ac:dyDescent="0.35">
      <c r="A5217" s="9" t="s">
        <v>135</v>
      </c>
      <c r="B5217" s="10"/>
      <c r="C5217" s="10"/>
      <c r="D5217" s="10" t="s">
        <v>148</v>
      </c>
      <c r="E5217" s="11" t="s">
        <v>137</v>
      </c>
    </row>
    <row r="5218" spans="1:5" x14ac:dyDescent="0.35">
      <c r="A5218" s="6" t="s">
        <v>135</v>
      </c>
      <c r="B5218" s="7"/>
      <c r="C5218" s="7"/>
      <c r="D5218" s="7" t="s">
        <v>149</v>
      </c>
      <c r="E5218" s="8" t="s">
        <v>137</v>
      </c>
    </row>
    <row r="5219" spans="1:5" x14ac:dyDescent="0.35">
      <c r="A5219" s="9" t="s">
        <v>135</v>
      </c>
      <c r="B5219" s="10"/>
      <c r="C5219" s="10" t="s">
        <v>150</v>
      </c>
      <c r="D5219" s="10" t="s">
        <v>147</v>
      </c>
      <c r="E5219" s="11" t="s">
        <v>137</v>
      </c>
    </row>
    <row r="5220" spans="1:5" x14ac:dyDescent="0.35">
      <c r="A5220" s="6" t="s">
        <v>135</v>
      </c>
      <c r="B5220" s="7"/>
      <c r="C5220" s="7"/>
      <c r="D5220" s="7" t="s">
        <v>148</v>
      </c>
      <c r="E5220" s="8" t="s">
        <v>137</v>
      </c>
    </row>
    <row r="5221" spans="1:5" x14ac:dyDescent="0.35">
      <c r="A5221" s="9" t="s">
        <v>135</v>
      </c>
      <c r="B5221" s="10"/>
      <c r="C5221" s="10"/>
      <c r="D5221" s="10" t="s">
        <v>149</v>
      </c>
      <c r="E5221" s="11" t="s">
        <v>137</v>
      </c>
    </row>
    <row r="5222" spans="1:5" x14ac:dyDescent="0.35">
      <c r="A5222" s="6" t="s">
        <v>135</v>
      </c>
      <c r="B5222" s="7" t="s">
        <v>159</v>
      </c>
      <c r="C5222" s="7" t="s">
        <v>146</v>
      </c>
      <c r="D5222" s="7" t="s">
        <v>147</v>
      </c>
      <c r="E5222" s="8" t="s">
        <v>137</v>
      </c>
    </row>
    <row r="5223" spans="1:5" x14ac:dyDescent="0.35">
      <c r="A5223" s="9" t="s">
        <v>135</v>
      </c>
      <c r="B5223" s="10"/>
      <c r="C5223" s="10"/>
      <c r="D5223" s="10" t="s">
        <v>148</v>
      </c>
      <c r="E5223" s="11" t="s">
        <v>137</v>
      </c>
    </row>
    <row r="5224" spans="1:5" x14ac:dyDescent="0.35">
      <c r="A5224" s="6" t="s">
        <v>135</v>
      </c>
      <c r="B5224" s="7"/>
      <c r="C5224" s="7"/>
      <c r="D5224" s="7" t="s">
        <v>149</v>
      </c>
      <c r="E5224" s="8" t="s">
        <v>137</v>
      </c>
    </row>
    <row r="5225" spans="1:5" x14ac:dyDescent="0.35">
      <c r="A5225" s="9" t="s">
        <v>135</v>
      </c>
      <c r="B5225" s="10"/>
      <c r="C5225" s="10" t="s">
        <v>150</v>
      </c>
      <c r="D5225" s="10" t="s">
        <v>147</v>
      </c>
      <c r="E5225" s="11" t="s">
        <v>137</v>
      </c>
    </row>
    <row r="5226" spans="1:5" x14ac:dyDescent="0.35">
      <c r="A5226" s="6" t="s">
        <v>135</v>
      </c>
      <c r="B5226" s="7"/>
      <c r="C5226" s="7"/>
      <c r="D5226" s="7" t="s">
        <v>148</v>
      </c>
      <c r="E5226" s="8" t="s">
        <v>137</v>
      </c>
    </row>
    <row r="5227" spans="1:5" x14ac:dyDescent="0.35">
      <c r="A5227" s="9" t="s">
        <v>135</v>
      </c>
      <c r="B5227" s="10"/>
      <c r="C5227" s="10"/>
      <c r="D5227" s="10" t="s">
        <v>149</v>
      </c>
      <c r="E5227" s="11" t="s">
        <v>137</v>
      </c>
    </row>
    <row r="5228" spans="1:5" x14ac:dyDescent="0.35">
      <c r="A5228" s="6" t="s">
        <v>135</v>
      </c>
      <c r="B5228" s="7" t="s">
        <v>160</v>
      </c>
      <c r="C5228" s="7" t="s">
        <v>146</v>
      </c>
      <c r="D5228" s="7" t="s">
        <v>147</v>
      </c>
      <c r="E5228" s="8" t="s">
        <v>137</v>
      </c>
    </row>
    <row r="5229" spans="1:5" x14ac:dyDescent="0.35">
      <c r="A5229" s="9" t="s">
        <v>135</v>
      </c>
      <c r="B5229" s="10"/>
      <c r="C5229" s="10"/>
      <c r="D5229" s="10" t="s">
        <v>148</v>
      </c>
      <c r="E5229" s="11" t="s">
        <v>137</v>
      </c>
    </row>
    <row r="5230" spans="1:5" x14ac:dyDescent="0.35">
      <c r="A5230" s="6" t="s">
        <v>135</v>
      </c>
      <c r="B5230" s="7"/>
      <c r="C5230" s="7"/>
      <c r="D5230" s="7" t="s">
        <v>149</v>
      </c>
      <c r="E5230" s="8" t="s">
        <v>137</v>
      </c>
    </row>
    <row r="5231" spans="1:5" x14ac:dyDescent="0.35">
      <c r="A5231" s="9" t="s">
        <v>135</v>
      </c>
      <c r="B5231" s="10"/>
      <c r="C5231" s="10" t="s">
        <v>150</v>
      </c>
      <c r="D5231" s="10" t="s">
        <v>147</v>
      </c>
      <c r="E5231" s="11" t="s">
        <v>137</v>
      </c>
    </row>
    <row r="5232" spans="1:5" x14ac:dyDescent="0.35">
      <c r="A5232" s="6" t="s">
        <v>135</v>
      </c>
      <c r="B5232" s="7"/>
      <c r="C5232" s="7"/>
      <c r="D5232" s="7" t="s">
        <v>148</v>
      </c>
      <c r="E5232" s="8" t="s">
        <v>137</v>
      </c>
    </row>
    <row r="5233" spans="1:5" x14ac:dyDescent="0.35">
      <c r="A5233" s="9" t="s">
        <v>135</v>
      </c>
      <c r="B5233" s="10"/>
      <c r="C5233" s="10"/>
      <c r="D5233" s="10" t="s">
        <v>149</v>
      </c>
      <c r="E5233" s="11" t="s">
        <v>137</v>
      </c>
    </row>
    <row r="5234" spans="1:5" x14ac:dyDescent="0.35">
      <c r="A5234" s="6" t="s">
        <v>135</v>
      </c>
      <c r="B5234" s="7" t="s">
        <v>161</v>
      </c>
      <c r="C5234" s="7" t="s">
        <v>146</v>
      </c>
      <c r="D5234" s="7" t="s">
        <v>147</v>
      </c>
      <c r="E5234" s="8" t="s">
        <v>137</v>
      </c>
    </row>
    <row r="5235" spans="1:5" x14ac:dyDescent="0.35">
      <c r="A5235" s="9" t="s">
        <v>135</v>
      </c>
      <c r="B5235" s="10"/>
      <c r="C5235" s="10"/>
      <c r="D5235" s="10" t="s">
        <v>148</v>
      </c>
      <c r="E5235" s="11" t="s">
        <v>137</v>
      </c>
    </row>
    <row r="5236" spans="1:5" x14ac:dyDescent="0.35">
      <c r="A5236" s="6" t="s">
        <v>135</v>
      </c>
      <c r="B5236" s="7"/>
      <c r="C5236" s="7"/>
      <c r="D5236" s="7" t="s">
        <v>149</v>
      </c>
      <c r="E5236" s="8" t="s">
        <v>137</v>
      </c>
    </row>
    <row r="5237" spans="1:5" x14ac:dyDescent="0.35">
      <c r="A5237" s="9" t="s">
        <v>135</v>
      </c>
      <c r="B5237" s="10"/>
      <c r="C5237" s="10" t="s">
        <v>150</v>
      </c>
      <c r="D5237" s="10" t="s">
        <v>147</v>
      </c>
      <c r="E5237" s="11" t="s">
        <v>137</v>
      </c>
    </row>
    <row r="5238" spans="1:5" x14ac:dyDescent="0.35">
      <c r="A5238" s="6" t="s">
        <v>135</v>
      </c>
      <c r="B5238" s="7"/>
      <c r="C5238" s="7"/>
      <c r="D5238" s="7" t="s">
        <v>148</v>
      </c>
      <c r="E5238" s="8" t="s">
        <v>137</v>
      </c>
    </row>
    <row r="5239" spans="1:5" x14ac:dyDescent="0.35">
      <c r="A5239" s="9" t="s">
        <v>135</v>
      </c>
      <c r="B5239" s="10"/>
      <c r="C5239" s="10"/>
      <c r="D5239" s="10" t="s">
        <v>149</v>
      </c>
      <c r="E5239" s="11" t="s">
        <v>137</v>
      </c>
    </row>
    <row r="5240" spans="1:5" x14ac:dyDescent="0.35">
      <c r="A5240" s="6" t="s">
        <v>135</v>
      </c>
      <c r="B5240" s="7" t="s">
        <v>162</v>
      </c>
      <c r="C5240" s="7" t="s">
        <v>146</v>
      </c>
      <c r="D5240" s="7" t="s">
        <v>147</v>
      </c>
      <c r="E5240" s="8" t="s">
        <v>137</v>
      </c>
    </row>
    <row r="5241" spans="1:5" x14ac:dyDescent="0.35">
      <c r="A5241" s="9" t="s">
        <v>135</v>
      </c>
      <c r="B5241" s="10"/>
      <c r="C5241" s="10"/>
      <c r="D5241" s="10" t="s">
        <v>148</v>
      </c>
      <c r="E5241" s="11" t="s">
        <v>137</v>
      </c>
    </row>
    <row r="5242" spans="1:5" x14ac:dyDescent="0.35">
      <c r="A5242" s="6" t="s">
        <v>135</v>
      </c>
      <c r="B5242" s="7"/>
      <c r="C5242" s="7"/>
      <c r="D5242" s="7" t="s">
        <v>149</v>
      </c>
      <c r="E5242" s="8" t="s">
        <v>137</v>
      </c>
    </row>
    <row r="5243" spans="1:5" x14ac:dyDescent="0.35">
      <c r="A5243" s="9" t="s">
        <v>135</v>
      </c>
      <c r="B5243" s="10"/>
      <c r="C5243" s="10" t="s">
        <v>150</v>
      </c>
      <c r="D5243" s="10" t="s">
        <v>147</v>
      </c>
      <c r="E5243" s="11" t="s">
        <v>137</v>
      </c>
    </row>
    <row r="5244" spans="1:5" x14ac:dyDescent="0.35">
      <c r="A5244" s="6" t="s">
        <v>135</v>
      </c>
      <c r="B5244" s="7"/>
      <c r="C5244" s="7"/>
      <c r="D5244" s="7" t="s">
        <v>148</v>
      </c>
      <c r="E5244" s="8" t="s">
        <v>137</v>
      </c>
    </row>
    <row r="5245" spans="1:5" x14ac:dyDescent="0.35">
      <c r="A5245" s="9" t="s">
        <v>135</v>
      </c>
      <c r="B5245" s="10"/>
      <c r="C5245" s="10"/>
      <c r="D5245" s="10" t="s">
        <v>149</v>
      </c>
      <c r="E5245" s="11" t="s">
        <v>137</v>
      </c>
    </row>
    <row r="5246" spans="1:5" x14ac:dyDescent="0.35">
      <c r="A5246" s="6" t="s">
        <v>135</v>
      </c>
      <c r="B5246" s="7" t="s">
        <v>163</v>
      </c>
      <c r="C5246" s="7" t="s">
        <v>146</v>
      </c>
      <c r="D5246" s="7" t="s">
        <v>147</v>
      </c>
      <c r="E5246" s="8">
        <v>6072</v>
      </c>
    </row>
    <row r="5247" spans="1:5" x14ac:dyDescent="0.35">
      <c r="A5247" s="9" t="s">
        <v>135</v>
      </c>
      <c r="B5247" s="10"/>
      <c r="C5247" s="10"/>
      <c r="D5247" s="10" t="s">
        <v>148</v>
      </c>
      <c r="E5247" s="11">
        <v>6072</v>
      </c>
    </row>
    <row r="5248" spans="1:5" x14ac:dyDescent="0.35">
      <c r="A5248" s="6" t="s">
        <v>135</v>
      </c>
      <c r="B5248" s="7"/>
      <c r="C5248" s="7"/>
      <c r="D5248" s="7" t="s">
        <v>149</v>
      </c>
      <c r="E5248" s="8" t="s">
        <v>137</v>
      </c>
    </row>
    <row r="5249" spans="1:5" x14ac:dyDescent="0.35">
      <c r="A5249" s="9" t="s">
        <v>135</v>
      </c>
      <c r="B5249" s="10"/>
      <c r="C5249" s="10" t="s">
        <v>150</v>
      </c>
      <c r="D5249" s="10" t="s">
        <v>147</v>
      </c>
      <c r="E5249" s="11" t="s">
        <v>137</v>
      </c>
    </row>
    <row r="5250" spans="1:5" x14ac:dyDescent="0.35">
      <c r="A5250" s="6" t="s">
        <v>135</v>
      </c>
      <c r="B5250" s="7"/>
      <c r="C5250" s="7"/>
      <c r="D5250" s="7" t="s">
        <v>148</v>
      </c>
      <c r="E5250" s="8" t="s">
        <v>137</v>
      </c>
    </row>
    <row r="5251" spans="1:5" x14ac:dyDescent="0.35">
      <c r="A5251" s="9" t="s">
        <v>135</v>
      </c>
      <c r="B5251" s="10"/>
      <c r="C5251" s="10"/>
      <c r="D5251" s="10" t="s">
        <v>149</v>
      </c>
      <c r="E5251" s="11" t="s">
        <v>137</v>
      </c>
    </row>
    <row r="5252" spans="1:5" x14ac:dyDescent="0.35">
      <c r="A5252" s="6" t="s">
        <v>135</v>
      </c>
      <c r="B5252" s="7" t="s">
        <v>164</v>
      </c>
      <c r="C5252" s="7" t="s">
        <v>146</v>
      </c>
      <c r="D5252" s="7" t="s">
        <v>147</v>
      </c>
      <c r="E5252" s="8" t="s">
        <v>137</v>
      </c>
    </row>
    <row r="5253" spans="1:5" x14ac:dyDescent="0.35">
      <c r="A5253" s="9" t="s">
        <v>135</v>
      </c>
      <c r="B5253" s="10"/>
      <c r="C5253" s="10"/>
      <c r="D5253" s="10" t="s">
        <v>148</v>
      </c>
      <c r="E5253" s="11" t="s">
        <v>137</v>
      </c>
    </row>
    <row r="5254" spans="1:5" x14ac:dyDescent="0.35">
      <c r="A5254" s="6" t="s">
        <v>135</v>
      </c>
      <c r="B5254" s="7"/>
      <c r="C5254" s="7"/>
      <c r="D5254" s="7" t="s">
        <v>149</v>
      </c>
      <c r="E5254" s="8" t="s">
        <v>137</v>
      </c>
    </row>
    <row r="5255" spans="1:5" x14ac:dyDescent="0.35">
      <c r="A5255" s="9" t="s">
        <v>135</v>
      </c>
      <c r="B5255" s="10"/>
      <c r="C5255" s="10" t="s">
        <v>150</v>
      </c>
      <c r="D5255" s="10" t="s">
        <v>147</v>
      </c>
      <c r="E5255" s="11" t="s">
        <v>137</v>
      </c>
    </row>
    <row r="5256" spans="1:5" x14ac:dyDescent="0.35">
      <c r="A5256" s="6" t="s">
        <v>135</v>
      </c>
      <c r="B5256" s="7"/>
      <c r="C5256" s="7"/>
      <c r="D5256" s="7" t="s">
        <v>148</v>
      </c>
      <c r="E5256" s="8" t="s">
        <v>137</v>
      </c>
    </row>
    <row r="5257" spans="1:5" x14ac:dyDescent="0.35">
      <c r="A5257" s="9" t="s">
        <v>135</v>
      </c>
      <c r="B5257" s="10"/>
      <c r="C5257" s="10"/>
      <c r="D5257" s="10" t="s">
        <v>149</v>
      </c>
      <c r="E5257" s="11" t="s">
        <v>137</v>
      </c>
    </row>
    <row r="5258" spans="1:5" x14ac:dyDescent="0.35">
      <c r="A5258" s="6" t="s">
        <v>135</v>
      </c>
      <c r="B5258" s="7" t="s">
        <v>165</v>
      </c>
      <c r="C5258" s="7" t="s">
        <v>146</v>
      </c>
      <c r="D5258" s="7" t="s">
        <v>147</v>
      </c>
      <c r="E5258" s="8" t="s">
        <v>137</v>
      </c>
    </row>
    <row r="5259" spans="1:5" x14ac:dyDescent="0.35">
      <c r="A5259" s="9" t="s">
        <v>135</v>
      </c>
      <c r="B5259" s="10"/>
      <c r="C5259" s="10"/>
      <c r="D5259" s="10" t="s">
        <v>148</v>
      </c>
      <c r="E5259" s="11" t="s">
        <v>137</v>
      </c>
    </row>
    <row r="5260" spans="1:5" x14ac:dyDescent="0.35">
      <c r="A5260" s="6" t="s">
        <v>135</v>
      </c>
      <c r="B5260" s="7"/>
      <c r="C5260" s="7"/>
      <c r="D5260" s="7" t="s">
        <v>149</v>
      </c>
      <c r="E5260" s="8" t="s">
        <v>137</v>
      </c>
    </row>
    <row r="5261" spans="1:5" x14ac:dyDescent="0.35">
      <c r="A5261" s="9" t="s">
        <v>135</v>
      </c>
      <c r="B5261" s="10"/>
      <c r="C5261" s="10" t="s">
        <v>150</v>
      </c>
      <c r="D5261" s="10" t="s">
        <v>147</v>
      </c>
      <c r="E5261" s="11" t="s">
        <v>137</v>
      </c>
    </row>
    <row r="5262" spans="1:5" x14ac:dyDescent="0.35">
      <c r="A5262" s="6" t="s">
        <v>135</v>
      </c>
      <c r="B5262" s="7"/>
      <c r="C5262" s="7"/>
      <c r="D5262" s="7" t="s">
        <v>148</v>
      </c>
      <c r="E5262" s="8" t="s">
        <v>137</v>
      </c>
    </row>
    <row r="5263" spans="1:5" x14ac:dyDescent="0.35">
      <c r="A5263" s="9" t="s">
        <v>135</v>
      </c>
      <c r="B5263" s="10"/>
      <c r="C5263" s="10"/>
      <c r="D5263" s="10" t="s">
        <v>149</v>
      </c>
      <c r="E5263" s="11" t="s">
        <v>137</v>
      </c>
    </row>
    <row r="5264" spans="1:5" x14ac:dyDescent="0.35">
      <c r="A5264" s="6" t="s">
        <v>135</v>
      </c>
      <c r="B5264" s="7" t="s">
        <v>166</v>
      </c>
      <c r="C5264" s="7" t="s">
        <v>146</v>
      </c>
      <c r="D5264" s="7" t="s">
        <v>147</v>
      </c>
      <c r="E5264" s="8">
        <v>660</v>
      </c>
    </row>
    <row r="5265" spans="1:5" x14ac:dyDescent="0.35">
      <c r="A5265" s="9" t="s">
        <v>135</v>
      </c>
      <c r="B5265" s="10"/>
      <c r="C5265" s="10"/>
      <c r="D5265" s="10" t="s">
        <v>148</v>
      </c>
      <c r="E5265" s="11">
        <v>660</v>
      </c>
    </row>
    <row r="5266" spans="1:5" x14ac:dyDescent="0.35">
      <c r="A5266" s="6" t="s">
        <v>135</v>
      </c>
      <c r="B5266" s="7"/>
      <c r="C5266" s="7"/>
      <c r="D5266" s="7" t="s">
        <v>149</v>
      </c>
      <c r="E5266" s="8" t="s">
        <v>137</v>
      </c>
    </row>
    <row r="5267" spans="1:5" x14ac:dyDescent="0.35">
      <c r="A5267" s="9" t="s">
        <v>135</v>
      </c>
      <c r="B5267" s="10"/>
      <c r="C5267" s="10" t="s">
        <v>150</v>
      </c>
      <c r="D5267" s="10" t="s">
        <v>147</v>
      </c>
      <c r="E5267" s="11" t="s">
        <v>137</v>
      </c>
    </row>
    <row r="5268" spans="1:5" x14ac:dyDescent="0.35">
      <c r="A5268" s="6" t="s">
        <v>135</v>
      </c>
      <c r="B5268" s="7"/>
      <c r="C5268" s="7"/>
      <c r="D5268" s="7" t="s">
        <v>148</v>
      </c>
      <c r="E5268" s="8" t="s">
        <v>137</v>
      </c>
    </row>
    <row r="5269" spans="1:5" x14ac:dyDescent="0.35">
      <c r="A5269" s="9" t="s">
        <v>135</v>
      </c>
      <c r="B5269" s="10"/>
      <c r="C5269" s="10"/>
      <c r="D5269" s="10" t="s">
        <v>149</v>
      </c>
      <c r="E5269" s="11" t="s">
        <v>137</v>
      </c>
    </row>
    <row r="5270" spans="1:5" x14ac:dyDescent="0.35">
      <c r="A5270" s="6" t="s">
        <v>135</v>
      </c>
      <c r="B5270" s="7" t="s">
        <v>167</v>
      </c>
      <c r="C5270" s="7" t="s">
        <v>146</v>
      </c>
      <c r="D5270" s="7" t="s">
        <v>147</v>
      </c>
      <c r="E5270" s="8">
        <v>5412</v>
      </c>
    </row>
    <row r="5271" spans="1:5" x14ac:dyDescent="0.35">
      <c r="A5271" s="9" t="s">
        <v>135</v>
      </c>
      <c r="B5271" s="10"/>
      <c r="C5271" s="10"/>
      <c r="D5271" s="10" t="s">
        <v>148</v>
      </c>
      <c r="E5271" s="11">
        <v>5412</v>
      </c>
    </row>
    <row r="5272" spans="1:5" x14ac:dyDescent="0.35">
      <c r="A5272" s="6" t="s">
        <v>135</v>
      </c>
      <c r="B5272" s="7"/>
      <c r="C5272" s="7"/>
      <c r="D5272" s="7" t="s">
        <v>149</v>
      </c>
      <c r="E5272" s="8" t="s">
        <v>137</v>
      </c>
    </row>
    <row r="5273" spans="1:5" x14ac:dyDescent="0.35">
      <c r="A5273" s="9" t="s">
        <v>135</v>
      </c>
      <c r="B5273" s="10"/>
      <c r="C5273" s="10" t="s">
        <v>150</v>
      </c>
      <c r="D5273" s="10" t="s">
        <v>147</v>
      </c>
      <c r="E5273" s="11" t="s">
        <v>137</v>
      </c>
    </row>
    <row r="5274" spans="1:5" x14ac:dyDescent="0.35">
      <c r="A5274" s="6" t="s">
        <v>135</v>
      </c>
      <c r="B5274" s="7"/>
      <c r="C5274" s="7"/>
      <c r="D5274" s="7" t="s">
        <v>148</v>
      </c>
      <c r="E5274" s="8" t="s">
        <v>137</v>
      </c>
    </row>
    <row r="5275" spans="1:5" x14ac:dyDescent="0.35">
      <c r="A5275" s="9" t="s">
        <v>135</v>
      </c>
      <c r="B5275" s="10"/>
      <c r="C5275" s="10"/>
      <c r="D5275" s="10" t="s">
        <v>149</v>
      </c>
      <c r="E5275" s="11" t="s">
        <v>137</v>
      </c>
    </row>
    <row r="5276" spans="1:5" x14ac:dyDescent="0.35">
      <c r="A5276" s="6" t="s">
        <v>135</v>
      </c>
      <c r="B5276" s="7" t="s">
        <v>168</v>
      </c>
      <c r="C5276" s="7" t="s">
        <v>146</v>
      </c>
      <c r="D5276" s="7" t="s">
        <v>147</v>
      </c>
      <c r="E5276" s="8" t="s">
        <v>137</v>
      </c>
    </row>
    <row r="5277" spans="1:5" x14ac:dyDescent="0.35">
      <c r="A5277" s="9" t="s">
        <v>135</v>
      </c>
      <c r="B5277" s="10"/>
      <c r="C5277" s="10"/>
      <c r="D5277" s="10" t="s">
        <v>148</v>
      </c>
      <c r="E5277" s="11" t="s">
        <v>137</v>
      </c>
    </row>
    <row r="5278" spans="1:5" x14ac:dyDescent="0.35">
      <c r="A5278" s="6" t="s">
        <v>135</v>
      </c>
      <c r="B5278" s="7"/>
      <c r="C5278" s="7"/>
      <c r="D5278" s="7" t="s">
        <v>149</v>
      </c>
      <c r="E5278" s="8" t="s">
        <v>137</v>
      </c>
    </row>
    <row r="5279" spans="1:5" x14ac:dyDescent="0.35">
      <c r="A5279" s="9" t="s">
        <v>135</v>
      </c>
      <c r="B5279" s="10"/>
      <c r="C5279" s="10" t="s">
        <v>150</v>
      </c>
      <c r="D5279" s="10" t="s">
        <v>147</v>
      </c>
      <c r="E5279" s="11" t="s">
        <v>137</v>
      </c>
    </row>
    <row r="5280" spans="1:5" x14ac:dyDescent="0.35">
      <c r="A5280" s="6" t="s">
        <v>135</v>
      </c>
      <c r="B5280" s="7"/>
      <c r="C5280" s="7"/>
      <c r="D5280" s="7" t="s">
        <v>148</v>
      </c>
      <c r="E5280" s="8" t="s">
        <v>137</v>
      </c>
    </row>
    <row r="5281" spans="1:5" x14ac:dyDescent="0.35">
      <c r="A5281" s="9" t="s">
        <v>135</v>
      </c>
      <c r="B5281" s="10"/>
      <c r="C5281" s="10"/>
      <c r="D5281" s="10" t="s">
        <v>149</v>
      </c>
      <c r="E5281" s="11" t="s">
        <v>137</v>
      </c>
    </row>
    <row r="5282" spans="1:5" x14ac:dyDescent="0.35">
      <c r="A5282" s="6" t="s">
        <v>135</v>
      </c>
      <c r="B5282" s="7" t="s">
        <v>169</v>
      </c>
      <c r="C5282" s="7" t="s">
        <v>146</v>
      </c>
      <c r="D5282" s="7" t="s">
        <v>147</v>
      </c>
      <c r="E5282" s="8" t="s">
        <v>137</v>
      </c>
    </row>
    <row r="5283" spans="1:5" x14ac:dyDescent="0.35">
      <c r="A5283" s="9" t="s">
        <v>135</v>
      </c>
      <c r="B5283" s="10"/>
      <c r="C5283" s="10"/>
      <c r="D5283" s="10" t="s">
        <v>148</v>
      </c>
      <c r="E5283" s="11" t="s">
        <v>137</v>
      </c>
    </row>
    <row r="5284" spans="1:5" x14ac:dyDescent="0.35">
      <c r="A5284" s="6" t="s">
        <v>135</v>
      </c>
      <c r="B5284" s="7"/>
      <c r="C5284" s="7"/>
      <c r="D5284" s="7" t="s">
        <v>149</v>
      </c>
      <c r="E5284" s="8" t="s">
        <v>137</v>
      </c>
    </row>
    <row r="5285" spans="1:5" x14ac:dyDescent="0.35">
      <c r="A5285" s="9" t="s">
        <v>135</v>
      </c>
      <c r="B5285" s="10"/>
      <c r="C5285" s="10" t="s">
        <v>150</v>
      </c>
      <c r="D5285" s="10" t="s">
        <v>147</v>
      </c>
      <c r="E5285" s="11" t="s">
        <v>137</v>
      </c>
    </row>
    <row r="5286" spans="1:5" x14ac:dyDescent="0.35">
      <c r="A5286" s="6" t="s">
        <v>135</v>
      </c>
      <c r="B5286" s="7"/>
      <c r="C5286" s="7"/>
      <c r="D5286" s="7" t="s">
        <v>148</v>
      </c>
      <c r="E5286" s="8" t="s">
        <v>137</v>
      </c>
    </row>
    <row r="5287" spans="1:5" x14ac:dyDescent="0.35">
      <c r="A5287" s="9" t="s">
        <v>135</v>
      </c>
      <c r="B5287" s="10"/>
      <c r="C5287" s="10"/>
      <c r="D5287" s="10" t="s">
        <v>149</v>
      </c>
      <c r="E5287" s="11" t="s">
        <v>137</v>
      </c>
    </row>
    <row r="5288" spans="1:5" x14ac:dyDescent="0.35">
      <c r="A5288" s="6" t="s">
        <v>135</v>
      </c>
      <c r="B5288" s="7" t="s">
        <v>170</v>
      </c>
      <c r="C5288" s="7" t="s">
        <v>146</v>
      </c>
      <c r="D5288" s="7" t="s">
        <v>147</v>
      </c>
      <c r="E5288" s="8" t="s">
        <v>137</v>
      </c>
    </row>
    <row r="5289" spans="1:5" x14ac:dyDescent="0.35">
      <c r="A5289" s="9" t="s">
        <v>135</v>
      </c>
      <c r="B5289" s="10"/>
      <c r="C5289" s="10"/>
      <c r="D5289" s="10" t="s">
        <v>148</v>
      </c>
      <c r="E5289" s="11" t="s">
        <v>137</v>
      </c>
    </row>
    <row r="5290" spans="1:5" x14ac:dyDescent="0.35">
      <c r="A5290" s="6" t="s">
        <v>135</v>
      </c>
      <c r="B5290" s="7"/>
      <c r="C5290" s="7"/>
      <c r="D5290" s="7" t="s">
        <v>149</v>
      </c>
      <c r="E5290" s="8" t="s">
        <v>137</v>
      </c>
    </row>
    <row r="5291" spans="1:5" x14ac:dyDescent="0.35">
      <c r="A5291" s="9" t="s">
        <v>135</v>
      </c>
      <c r="B5291" s="10"/>
      <c r="C5291" s="10" t="s">
        <v>150</v>
      </c>
      <c r="D5291" s="10" t="s">
        <v>147</v>
      </c>
      <c r="E5291" s="11" t="s">
        <v>137</v>
      </c>
    </row>
    <row r="5292" spans="1:5" x14ac:dyDescent="0.35">
      <c r="A5292" s="6" t="s">
        <v>135</v>
      </c>
      <c r="B5292" s="7"/>
      <c r="C5292" s="7"/>
      <c r="D5292" s="7" t="s">
        <v>148</v>
      </c>
      <c r="E5292" s="8" t="s">
        <v>137</v>
      </c>
    </row>
    <row r="5293" spans="1:5" x14ac:dyDescent="0.35">
      <c r="A5293" s="9" t="s">
        <v>135</v>
      </c>
      <c r="B5293" s="10"/>
      <c r="C5293" s="10"/>
      <c r="D5293" s="10" t="s">
        <v>149</v>
      </c>
      <c r="E5293" s="11" t="s">
        <v>137</v>
      </c>
    </row>
    <row r="5294" spans="1:5" x14ac:dyDescent="0.35">
      <c r="A5294" s="6" t="s">
        <v>122</v>
      </c>
      <c r="B5294" s="7" t="s">
        <v>145</v>
      </c>
      <c r="C5294" s="7" t="s">
        <v>146</v>
      </c>
      <c r="D5294" s="7" t="s">
        <v>147</v>
      </c>
      <c r="E5294" s="8">
        <v>1817.85</v>
      </c>
    </row>
    <row r="5295" spans="1:5" x14ac:dyDescent="0.35">
      <c r="A5295" s="9" t="s">
        <v>135</v>
      </c>
      <c r="B5295" s="10"/>
      <c r="C5295" s="10"/>
      <c r="D5295" s="10" t="s">
        <v>148</v>
      </c>
      <c r="E5295" s="11">
        <v>1800.09</v>
      </c>
    </row>
    <row r="5296" spans="1:5" x14ac:dyDescent="0.35">
      <c r="A5296" s="6" t="s">
        <v>135</v>
      </c>
      <c r="B5296" s="7"/>
      <c r="C5296" s="7"/>
      <c r="D5296" s="7" t="s">
        <v>149</v>
      </c>
      <c r="E5296" s="8">
        <v>17.760000000000002</v>
      </c>
    </row>
    <row r="5297" spans="1:5" x14ac:dyDescent="0.35">
      <c r="A5297" s="9" t="s">
        <v>135</v>
      </c>
      <c r="B5297" s="10"/>
      <c r="C5297" s="10" t="s">
        <v>150</v>
      </c>
      <c r="D5297" s="10" t="s">
        <v>147</v>
      </c>
      <c r="E5297" s="11" t="s">
        <v>137</v>
      </c>
    </row>
    <row r="5298" spans="1:5" x14ac:dyDescent="0.35">
      <c r="A5298" s="6" t="s">
        <v>135</v>
      </c>
      <c r="B5298" s="7"/>
      <c r="C5298" s="7"/>
      <c r="D5298" s="7" t="s">
        <v>148</v>
      </c>
      <c r="E5298" s="8" t="s">
        <v>137</v>
      </c>
    </row>
    <row r="5299" spans="1:5" x14ac:dyDescent="0.35">
      <c r="A5299" s="9" t="s">
        <v>135</v>
      </c>
      <c r="B5299" s="10"/>
      <c r="C5299" s="10"/>
      <c r="D5299" s="10" t="s">
        <v>149</v>
      </c>
      <c r="E5299" s="11" t="s">
        <v>137</v>
      </c>
    </row>
    <row r="5300" spans="1:5" x14ac:dyDescent="0.35">
      <c r="A5300" s="6" t="s">
        <v>135</v>
      </c>
      <c r="B5300" s="7" t="s">
        <v>151</v>
      </c>
      <c r="C5300" s="7" t="s">
        <v>146</v>
      </c>
      <c r="D5300" s="7" t="s">
        <v>147</v>
      </c>
      <c r="E5300" s="8">
        <v>84.52</v>
      </c>
    </row>
    <row r="5301" spans="1:5" x14ac:dyDescent="0.35">
      <c r="A5301" s="9" t="s">
        <v>135</v>
      </c>
      <c r="B5301" s="10"/>
      <c r="C5301" s="10"/>
      <c r="D5301" s="10" t="s">
        <v>148</v>
      </c>
      <c r="E5301" s="11">
        <v>67.39</v>
      </c>
    </row>
    <row r="5302" spans="1:5" x14ac:dyDescent="0.35">
      <c r="A5302" s="6" t="s">
        <v>135</v>
      </c>
      <c r="B5302" s="7"/>
      <c r="C5302" s="7"/>
      <c r="D5302" s="7" t="s">
        <v>149</v>
      </c>
      <c r="E5302" s="8">
        <v>17.13</v>
      </c>
    </row>
    <row r="5303" spans="1:5" x14ac:dyDescent="0.35">
      <c r="A5303" s="9" t="s">
        <v>135</v>
      </c>
      <c r="B5303" s="10"/>
      <c r="C5303" s="10" t="s">
        <v>150</v>
      </c>
      <c r="D5303" s="10" t="s">
        <v>147</v>
      </c>
      <c r="E5303" s="11" t="s">
        <v>137</v>
      </c>
    </row>
    <row r="5304" spans="1:5" x14ac:dyDescent="0.35">
      <c r="A5304" s="6" t="s">
        <v>135</v>
      </c>
      <c r="B5304" s="7"/>
      <c r="C5304" s="7"/>
      <c r="D5304" s="7" t="s">
        <v>148</v>
      </c>
      <c r="E5304" s="8" t="s">
        <v>137</v>
      </c>
    </row>
    <row r="5305" spans="1:5" x14ac:dyDescent="0.35">
      <c r="A5305" s="9" t="s">
        <v>135</v>
      </c>
      <c r="B5305" s="10"/>
      <c r="C5305" s="10"/>
      <c r="D5305" s="10" t="s">
        <v>149</v>
      </c>
      <c r="E5305" s="11" t="s">
        <v>137</v>
      </c>
    </row>
    <row r="5306" spans="1:5" x14ac:dyDescent="0.35">
      <c r="A5306" s="6" t="s">
        <v>135</v>
      </c>
      <c r="B5306" s="7" t="s">
        <v>152</v>
      </c>
      <c r="C5306" s="7" t="s">
        <v>146</v>
      </c>
      <c r="D5306" s="7" t="s">
        <v>147</v>
      </c>
      <c r="E5306" s="8" t="s">
        <v>137</v>
      </c>
    </row>
    <row r="5307" spans="1:5" x14ac:dyDescent="0.35">
      <c r="A5307" s="9" t="s">
        <v>135</v>
      </c>
      <c r="B5307" s="10"/>
      <c r="C5307" s="10"/>
      <c r="D5307" s="10" t="s">
        <v>148</v>
      </c>
      <c r="E5307" s="11" t="s">
        <v>137</v>
      </c>
    </row>
    <row r="5308" spans="1:5" x14ac:dyDescent="0.35">
      <c r="A5308" s="6" t="s">
        <v>135</v>
      </c>
      <c r="B5308" s="7"/>
      <c r="C5308" s="7"/>
      <c r="D5308" s="7" t="s">
        <v>149</v>
      </c>
      <c r="E5308" s="8" t="s">
        <v>137</v>
      </c>
    </row>
    <row r="5309" spans="1:5" x14ac:dyDescent="0.35">
      <c r="A5309" s="9" t="s">
        <v>135</v>
      </c>
      <c r="B5309" s="10"/>
      <c r="C5309" s="10" t="s">
        <v>150</v>
      </c>
      <c r="D5309" s="10" t="s">
        <v>147</v>
      </c>
      <c r="E5309" s="11" t="s">
        <v>137</v>
      </c>
    </row>
    <row r="5310" spans="1:5" x14ac:dyDescent="0.35">
      <c r="A5310" s="6" t="s">
        <v>135</v>
      </c>
      <c r="B5310" s="7"/>
      <c r="C5310" s="7"/>
      <c r="D5310" s="7" t="s">
        <v>148</v>
      </c>
      <c r="E5310" s="8" t="s">
        <v>137</v>
      </c>
    </row>
    <row r="5311" spans="1:5" x14ac:dyDescent="0.35">
      <c r="A5311" s="9" t="s">
        <v>135</v>
      </c>
      <c r="B5311" s="10"/>
      <c r="C5311" s="10"/>
      <c r="D5311" s="10" t="s">
        <v>149</v>
      </c>
      <c r="E5311" s="11" t="s">
        <v>137</v>
      </c>
    </row>
    <row r="5312" spans="1:5" x14ac:dyDescent="0.35">
      <c r="A5312" s="6" t="s">
        <v>135</v>
      </c>
      <c r="B5312" s="7" t="s">
        <v>153</v>
      </c>
      <c r="C5312" s="7" t="s">
        <v>146</v>
      </c>
      <c r="D5312" s="7" t="s">
        <v>147</v>
      </c>
      <c r="E5312" s="8" t="s">
        <v>137</v>
      </c>
    </row>
    <row r="5313" spans="1:5" x14ac:dyDescent="0.35">
      <c r="A5313" s="9" t="s">
        <v>135</v>
      </c>
      <c r="B5313" s="10"/>
      <c r="C5313" s="10"/>
      <c r="D5313" s="10" t="s">
        <v>148</v>
      </c>
      <c r="E5313" s="11" t="s">
        <v>137</v>
      </c>
    </row>
    <row r="5314" spans="1:5" x14ac:dyDescent="0.35">
      <c r="A5314" s="6" t="s">
        <v>135</v>
      </c>
      <c r="B5314" s="7"/>
      <c r="C5314" s="7"/>
      <c r="D5314" s="7" t="s">
        <v>149</v>
      </c>
      <c r="E5314" s="8" t="s">
        <v>137</v>
      </c>
    </row>
    <row r="5315" spans="1:5" x14ac:dyDescent="0.35">
      <c r="A5315" s="9" t="s">
        <v>135</v>
      </c>
      <c r="B5315" s="10"/>
      <c r="C5315" s="10" t="s">
        <v>150</v>
      </c>
      <c r="D5315" s="10" t="s">
        <v>147</v>
      </c>
      <c r="E5315" s="11" t="s">
        <v>137</v>
      </c>
    </row>
    <row r="5316" spans="1:5" x14ac:dyDescent="0.35">
      <c r="A5316" s="6" t="s">
        <v>135</v>
      </c>
      <c r="B5316" s="7"/>
      <c r="C5316" s="7"/>
      <c r="D5316" s="7" t="s">
        <v>148</v>
      </c>
      <c r="E5316" s="8" t="s">
        <v>137</v>
      </c>
    </row>
    <row r="5317" spans="1:5" x14ac:dyDescent="0.35">
      <c r="A5317" s="9" t="s">
        <v>135</v>
      </c>
      <c r="B5317" s="10"/>
      <c r="C5317" s="10"/>
      <c r="D5317" s="10" t="s">
        <v>149</v>
      </c>
      <c r="E5317" s="11" t="s">
        <v>137</v>
      </c>
    </row>
    <row r="5318" spans="1:5" x14ac:dyDescent="0.35">
      <c r="A5318" s="6" t="s">
        <v>135</v>
      </c>
      <c r="B5318" s="7" t="s">
        <v>154</v>
      </c>
      <c r="C5318" s="7" t="s">
        <v>146</v>
      </c>
      <c r="D5318" s="7" t="s">
        <v>147</v>
      </c>
      <c r="E5318" s="8" t="s">
        <v>137</v>
      </c>
    </row>
    <row r="5319" spans="1:5" x14ac:dyDescent="0.35">
      <c r="A5319" s="9" t="s">
        <v>135</v>
      </c>
      <c r="B5319" s="10"/>
      <c r="C5319" s="10"/>
      <c r="D5319" s="10" t="s">
        <v>148</v>
      </c>
      <c r="E5319" s="11" t="s">
        <v>137</v>
      </c>
    </row>
    <row r="5320" spans="1:5" x14ac:dyDescent="0.35">
      <c r="A5320" s="6" t="s">
        <v>135</v>
      </c>
      <c r="B5320" s="7"/>
      <c r="C5320" s="7"/>
      <c r="D5320" s="7" t="s">
        <v>149</v>
      </c>
      <c r="E5320" s="8" t="s">
        <v>137</v>
      </c>
    </row>
    <row r="5321" spans="1:5" x14ac:dyDescent="0.35">
      <c r="A5321" s="9" t="s">
        <v>135</v>
      </c>
      <c r="B5321" s="10"/>
      <c r="C5321" s="10" t="s">
        <v>150</v>
      </c>
      <c r="D5321" s="10" t="s">
        <v>147</v>
      </c>
      <c r="E5321" s="11" t="s">
        <v>137</v>
      </c>
    </row>
    <row r="5322" spans="1:5" x14ac:dyDescent="0.35">
      <c r="A5322" s="6" t="s">
        <v>135</v>
      </c>
      <c r="B5322" s="7"/>
      <c r="C5322" s="7"/>
      <c r="D5322" s="7" t="s">
        <v>148</v>
      </c>
      <c r="E5322" s="8" t="s">
        <v>137</v>
      </c>
    </row>
    <row r="5323" spans="1:5" x14ac:dyDescent="0.35">
      <c r="A5323" s="9" t="s">
        <v>135</v>
      </c>
      <c r="B5323" s="10"/>
      <c r="C5323" s="10"/>
      <c r="D5323" s="10" t="s">
        <v>149</v>
      </c>
      <c r="E5323" s="11" t="s">
        <v>137</v>
      </c>
    </row>
    <row r="5324" spans="1:5" x14ac:dyDescent="0.35">
      <c r="A5324" s="6" t="s">
        <v>135</v>
      </c>
      <c r="B5324" s="7" t="s">
        <v>155</v>
      </c>
      <c r="C5324" s="7" t="s">
        <v>146</v>
      </c>
      <c r="D5324" s="7" t="s">
        <v>147</v>
      </c>
      <c r="E5324" s="8">
        <v>1637.13</v>
      </c>
    </row>
    <row r="5325" spans="1:5" x14ac:dyDescent="0.35">
      <c r="A5325" s="9" t="s">
        <v>135</v>
      </c>
      <c r="B5325" s="10"/>
      <c r="C5325" s="10"/>
      <c r="D5325" s="10" t="s">
        <v>148</v>
      </c>
      <c r="E5325" s="11">
        <v>1636.5</v>
      </c>
    </row>
    <row r="5326" spans="1:5" x14ac:dyDescent="0.35">
      <c r="A5326" s="6" t="s">
        <v>135</v>
      </c>
      <c r="B5326" s="7"/>
      <c r="C5326" s="7"/>
      <c r="D5326" s="7" t="s">
        <v>149</v>
      </c>
      <c r="E5326" s="8">
        <v>0.63</v>
      </c>
    </row>
    <row r="5327" spans="1:5" x14ac:dyDescent="0.35">
      <c r="A5327" s="9" t="s">
        <v>135</v>
      </c>
      <c r="B5327" s="10"/>
      <c r="C5327" s="10" t="s">
        <v>150</v>
      </c>
      <c r="D5327" s="10" t="s">
        <v>147</v>
      </c>
      <c r="E5327" s="11" t="s">
        <v>137</v>
      </c>
    </row>
    <row r="5328" spans="1:5" x14ac:dyDescent="0.35">
      <c r="A5328" s="6" t="s">
        <v>135</v>
      </c>
      <c r="B5328" s="7"/>
      <c r="C5328" s="7"/>
      <c r="D5328" s="7" t="s">
        <v>148</v>
      </c>
      <c r="E5328" s="8" t="s">
        <v>137</v>
      </c>
    </row>
    <row r="5329" spans="1:5" x14ac:dyDescent="0.35">
      <c r="A5329" s="9" t="s">
        <v>135</v>
      </c>
      <c r="B5329" s="10"/>
      <c r="C5329" s="10"/>
      <c r="D5329" s="10" t="s">
        <v>149</v>
      </c>
      <c r="E5329" s="11" t="s">
        <v>137</v>
      </c>
    </row>
    <row r="5330" spans="1:5" x14ac:dyDescent="0.35">
      <c r="A5330" s="6" t="s">
        <v>135</v>
      </c>
      <c r="B5330" s="7" t="s">
        <v>156</v>
      </c>
      <c r="C5330" s="7" t="s">
        <v>146</v>
      </c>
      <c r="D5330" s="7" t="s">
        <v>147</v>
      </c>
      <c r="E5330" s="8" t="s">
        <v>137</v>
      </c>
    </row>
    <row r="5331" spans="1:5" x14ac:dyDescent="0.35">
      <c r="A5331" s="9" t="s">
        <v>135</v>
      </c>
      <c r="B5331" s="10"/>
      <c r="C5331" s="10"/>
      <c r="D5331" s="10" t="s">
        <v>148</v>
      </c>
      <c r="E5331" s="11" t="s">
        <v>137</v>
      </c>
    </row>
    <row r="5332" spans="1:5" x14ac:dyDescent="0.35">
      <c r="A5332" s="6" t="s">
        <v>135</v>
      </c>
      <c r="B5332" s="7"/>
      <c r="C5332" s="7"/>
      <c r="D5332" s="7" t="s">
        <v>149</v>
      </c>
      <c r="E5332" s="8" t="s">
        <v>137</v>
      </c>
    </row>
    <row r="5333" spans="1:5" x14ac:dyDescent="0.35">
      <c r="A5333" s="9" t="s">
        <v>135</v>
      </c>
      <c r="B5333" s="10"/>
      <c r="C5333" s="10" t="s">
        <v>150</v>
      </c>
      <c r="D5333" s="10" t="s">
        <v>147</v>
      </c>
      <c r="E5333" s="11" t="s">
        <v>137</v>
      </c>
    </row>
    <row r="5334" spans="1:5" x14ac:dyDescent="0.35">
      <c r="A5334" s="6" t="s">
        <v>135</v>
      </c>
      <c r="B5334" s="7"/>
      <c r="C5334" s="7"/>
      <c r="D5334" s="7" t="s">
        <v>148</v>
      </c>
      <c r="E5334" s="8" t="s">
        <v>137</v>
      </c>
    </row>
    <row r="5335" spans="1:5" x14ac:dyDescent="0.35">
      <c r="A5335" s="9" t="s">
        <v>135</v>
      </c>
      <c r="B5335" s="10"/>
      <c r="C5335" s="10"/>
      <c r="D5335" s="10" t="s">
        <v>149</v>
      </c>
      <c r="E5335" s="11" t="s">
        <v>137</v>
      </c>
    </row>
    <row r="5336" spans="1:5" x14ac:dyDescent="0.35">
      <c r="A5336" s="6" t="s">
        <v>135</v>
      </c>
      <c r="B5336" s="7" t="s">
        <v>157</v>
      </c>
      <c r="C5336" s="7" t="s">
        <v>146</v>
      </c>
      <c r="D5336" s="7" t="s">
        <v>147</v>
      </c>
      <c r="E5336" s="8" t="s">
        <v>137</v>
      </c>
    </row>
    <row r="5337" spans="1:5" x14ac:dyDescent="0.35">
      <c r="A5337" s="9" t="s">
        <v>135</v>
      </c>
      <c r="B5337" s="10"/>
      <c r="C5337" s="10"/>
      <c r="D5337" s="10" t="s">
        <v>148</v>
      </c>
      <c r="E5337" s="11" t="s">
        <v>137</v>
      </c>
    </row>
    <row r="5338" spans="1:5" x14ac:dyDescent="0.35">
      <c r="A5338" s="6" t="s">
        <v>135</v>
      </c>
      <c r="B5338" s="7"/>
      <c r="C5338" s="7"/>
      <c r="D5338" s="7" t="s">
        <v>149</v>
      </c>
      <c r="E5338" s="8" t="s">
        <v>137</v>
      </c>
    </row>
    <row r="5339" spans="1:5" x14ac:dyDescent="0.35">
      <c r="A5339" s="9" t="s">
        <v>135</v>
      </c>
      <c r="B5339" s="10"/>
      <c r="C5339" s="10" t="s">
        <v>150</v>
      </c>
      <c r="D5339" s="10" t="s">
        <v>147</v>
      </c>
      <c r="E5339" s="11" t="s">
        <v>137</v>
      </c>
    </row>
    <row r="5340" spans="1:5" x14ac:dyDescent="0.35">
      <c r="A5340" s="6" t="s">
        <v>135</v>
      </c>
      <c r="B5340" s="7"/>
      <c r="C5340" s="7"/>
      <c r="D5340" s="7" t="s">
        <v>148</v>
      </c>
      <c r="E5340" s="8" t="s">
        <v>137</v>
      </c>
    </row>
    <row r="5341" spans="1:5" x14ac:dyDescent="0.35">
      <c r="A5341" s="9" t="s">
        <v>135</v>
      </c>
      <c r="B5341" s="10"/>
      <c r="C5341" s="10"/>
      <c r="D5341" s="10" t="s">
        <v>149</v>
      </c>
      <c r="E5341" s="11" t="s">
        <v>137</v>
      </c>
    </row>
    <row r="5342" spans="1:5" x14ac:dyDescent="0.35">
      <c r="A5342" s="6" t="s">
        <v>135</v>
      </c>
      <c r="B5342" s="7" t="s">
        <v>158</v>
      </c>
      <c r="C5342" s="7" t="s">
        <v>146</v>
      </c>
      <c r="D5342" s="7" t="s">
        <v>147</v>
      </c>
      <c r="E5342" s="8">
        <v>96.2</v>
      </c>
    </row>
    <row r="5343" spans="1:5" x14ac:dyDescent="0.35">
      <c r="A5343" s="9" t="s">
        <v>135</v>
      </c>
      <c r="B5343" s="10"/>
      <c r="C5343" s="10"/>
      <c r="D5343" s="10" t="s">
        <v>148</v>
      </c>
      <c r="E5343" s="11">
        <v>96.2</v>
      </c>
    </row>
    <row r="5344" spans="1:5" x14ac:dyDescent="0.35">
      <c r="A5344" s="6" t="s">
        <v>135</v>
      </c>
      <c r="B5344" s="7"/>
      <c r="C5344" s="7"/>
      <c r="D5344" s="7" t="s">
        <v>149</v>
      </c>
      <c r="E5344" s="8" t="s">
        <v>137</v>
      </c>
    </row>
    <row r="5345" spans="1:5" x14ac:dyDescent="0.35">
      <c r="A5345" s="9" t="s">
        <v>135</v>
      </c>
      <c r="B5345" s="10"/>
      <c r="C5345" s="10" t="s">
        <v>150</v>
      </c>
      <c r="D5345" s="10" t="s">
        <v>147</v>
      </c>
      <c r="E5345" s="11" t="s">
        <v>137</v>
      </c>
    </row>
    <row r="5346" spans="1:5" x14ac:dyDescent="0.35">
      <c r="A5346" s="6" t="s">
        <v>135</v>
      </c>
      <c r="B5346" s="7"/>
      <c r="C5346" s="7"/>
      <c r="D5346" s="7" t="s">
        <v>148</v>
      </c>
      <c r="E5346" s="8" t="s">
        <v>137</v>
      </c>
    </row>
    <row r="5347" spans="1:5" x14ac:dyDescent="0.35">
      <c r="A5347" s="9" t="s">
        <v>135</v>
      </c>
      <c r="B5347" s="10"/>
      <c r="C5347" s="10"/>
      <c r="D5347" s="10" t="s">
        <v>149</v>
      </c>
      <c r="E5347" s="11" t="s">
        <v>137</v>
      </c>
    </row>
    <row r="5348" spans="1:5" x14ac:dyDescent="0.35">
      <c r="A5348" s="6" t="s">
        <v>135</v>
      </c>
      <c r="B5348" s="7" t="s">
        <v>159</v>
      </c>
      <c r="C5348" s="7" t="s">
        <v>146</v>
      </c>
      <c r="D5348" s="7" t="s">
        <v>147</v>
      </c>
      <c r="E5348" s="8" t="s">
        <v>137</v>
      </c>
    </row>
    <row r="5349" spans="1:5" x14ac:dyDescent="0.35">
      <c r="A5349" s="9" t="s">
        <v>135</v>
      </c>
      <c r="B5349" s="10"/>
      <c r="C5349" s="10"/>
      <c r="D5349" s="10" t="s">
        <v>148</v>
      </c>
      <c r="E5349" s="11" t="s">
        <v>137</v>
      </c>
    </row>
    <row r="5350" spans="1:5" x14ac:dyDescent="0.35">
      <c r="A5350" s="6" t="s">
        <v>135</v>
      </c>
      <c r="B5350" s="7"/>
      <c r="C5350" s="7"/>
      <c r="D5350" s="7" t="s">
        <v>149</v>
      </c>
      <c r="E5350" s="8" t="s">
        <v>137</v>
      </c>
    </row>
    <row r="5351" spans="1:5" x14ac:dyDescent="0.35">
      <c r="A5351" s="9" t="s">
        <v>135</v>
      </c>
      <c r="B5351" s="10"/>
      <c r="C5351" s="10" t="s">
        <v>150</v>
      </c>
      <c r="D5351" s="10" t="s">
        <v>147</v>
      </c>
      <c r="E5351" s="11" t="s">
        <v>137</v>
      </c>
    </row>
    <row r="5352" spans="1:5" x14ac:dyDescent="0.35">
      <c r="A5352" s="6" t="s">
        <v>135</v>
      </c>
      <c r="B5352" s="7"/>
      <c r="C5352" s="7"/>
      <c r="D5352" s="7" t="s">
        <v>148</v>
      </c>
      <c r="E5352" s="8" t="s">
        <v>137</v>
      </c>
    </row>
    <row r="5353" spans="1:5" x14ac:dyDescent="0.35">
      <c r="A5353" s="9" t="s">
        <v>135</v>
      </c>
      <c r="B5353" s="10"/>
      <c r="C5353" s="10"/>
      <c r="D5353" s="10" t="s">
        <v>149</v>
      </c>
      <c r="E5353" s="11" t="s">
        <v>137</v>
      </c>
    </row>
    <row r="5354" spans="1:5" x14ac:dyDescent="0.35">
      <c r="A5354" s="6" t="s">
        <v>135</v>
      </c>
      <c r="B5354" s="7" t="s">
        <v>160</v>
      </c>
      <c r="C5354" s="7" t="s">
        <v>146</v>
      </c>
      <c r="D5354" s="7" t="s">
        <v>147</v>
      </c>
      <c r="E5354" s="8" t="s">
        <v>137</v>
      </c>
    </row>
    <row r="5355" spans="1:5" x14ac:dyDescent="0.35">
      <c r="A5355" s="9" t="s">
        <v>135</v>
      </c>
      <c r="B5355" s="10"/>
      <c r="C5355" s="10"/>
      <c r="D5355" s="10" t="s">
        <v>148</v>
      </c>
      <c r="E5355" s="11" t="s">
        <v>137</v>
      </c>
    </row>
    <row r="5356" spans="1:5" x14ac:dyDescent="0.35">
      <c r="A5356" s="6" t="s">
        <v>135</v>
      </c>
      <c r="B5356" s="7"/>
      <c r="C5356" s="7"/>
      <c r="D5356" s="7" t="s">
        <v>149</v>
      </c>
      <c r="E5356" s="8" t="s">
        <v>137</v>
      </c>
    </row>
    <row r="5357" spans="1:5" x14ac:dyDescent="0.35">
      <c r="A5357" s="9" t="s">
        <v>135</v>
      </c>
      <c r="B5357" s="10"/>
      <c r="C5357" s="10" t="s">
        <v>150</v>
      </c>
      <c r="D5357" s="10" t="s">
        <v>147</v>
      </c>
      <c r="E5357" s="11" t="s">
        <v>137</v>
      </c>
    </row>
    <row r="5358" spans="1:5" x14ac:dyDescent="0.35">
      <c r="A5358" s="6" t="s">
        <v>135</v>
      </c>
      <c r="B5358" s="7"/>
      <c r="C5358" s="7"/>
      <c r="D5358" s="7" t="s">
        <v>148</v>
      </c>
      <c r="E5358" s="8" t="s">
        <v>137</v>
      </c>
    </row>
    <row r="5359" spans="1:5" x14ac:dyDescent="0.35">
      <c r="A5359" s="9" t="s">
        <v>135</v>
      </c>
      <c r="B5359" s="10"/>
      <c r="C5359" s="10"/>
      <c r="D5359" s="10" t="s">
        <v>149</v>
      </c>
      <c r="E5359" s="11" t="s">
        <v>137</v>
      </c>
    </row>
    <row r="5360" spans="1:5" x14ac:dyDescent="0.35">
      <c r="A5360" s="6" t="s">
        <v>135</v>
      </c>
      <c r="B5360" s="7" t="s">
        <v>161</v>
      </c>
      <c r="C5360" s="7" t="s">
        <v>146</v>
      </c>
      <c r="D5360" s="7" t="s">
        <v>147</v>
      </c>
      <c r="E5360" s="8" t="s">
        <v>137</v>
      </c>
    </row>
    <row r="5361" spans="1:5" x14ac:dyDescent="0.35">
      <c r="A5361" s="9" t="s">
        <v>135</v>
      </c>
      <c r="B5361" s="10"/>
      <c r="C5361" s="10"/>
      <c r="D5361" s="10" t="s">
        <v>148</v>
      </c>
      <c r="E5361" s="11" t="s">
        <v>137</v>
      </c>
    </row>
    <row r="5362" spans="1:5" x14ac:dyDescent="0.35">
      <c r="A5362" s="6" t="s">
        <v>135</v>
      </c>
      <c r="B5362" s="7"/>
      <c r="C5362" s="7"/>
      <c r="D5362" s="7" t="s">
        <v>149</v>
      </c>
      <c r="E5362" s="8" t="s">
        <v>137</v>
      </c>
    </row>
    <row r="5363" spans="1:5" x14ac:dyDescent="0.35">
      <c r="A5363" s="9" t="s">
        <v>135</v>
      </c>
      <c r="B5363" s="10"/>
      <c r="C5363" s="10" t="s">
        <v>150</v>
      </c>
      <c r="D5363" s="10" t="s">
        <v>147</v>
      </c>
      <c r="E5363" s="11" t="s">
        <v>137</v>
      </c>
    </row>
    <row r="5364" spans="1:5" x14ac:dyDescent="0.35">
      <c r="A5364" s="6" t="s">
        <v>135</v>
      </c>
      <c r="B5364" s="7"/>
      <c r="C5364" s="7"/>
      <c r="D5364" s="7" t="s">
        <v>148</v>
      </c>
      <c r="E5364" s="8" t="s">
        <v>137</v>
      </c>
    </row>
    <row r="5365" spans="1:5" x14ac:dyDescent="0.35">
      <c r="A5365" s="9" t="s">
        <v>135</v>
      </c>
      <c r="B5365" s="10"/>
      <c r="C5365" s="10"/>
      <c r="D5365" s="10" t="s">
        <v>149</v>
      </c>
      <c r="E5365" s="11" t="s">
        <v>137</v>
      </c>
    </row>
    <row r="5366" spans="1:5" x14ac:dyDescent="0.35">
      <c r="A5366" s="6" t="s">
        <v>135</v>
      </c>
      <c r="B5366" s="7" t="s">
        <v>162</v>
      </c>
      <c r="C5366" s="7" t="s">
        <v>146</v>
      </c>
      <c r="D5366" s="7" t="s">
        <v>147</v>
      </c>
      <c r="E5366" s="8" t="s">
        <v>137</v>
      </c>
    </row>
    <row r="5367" spans="1:5" x14ac:dyDescent="0.35">
      <c r="A5367" s="9" t="s">
        <v>135</v>
      </c>
      <c r="B5367" s="10"/>
      <c r="C5367" s="10"/>
      <c r="D5367" s="10" t="s">
        <v>148</v>
      </c>
      <c r="E5367" s="11" t="s">
        <v>137</v>
      </c>
    </row>
    <row r="5368" spans="1:5" x14ac:dyDescent="0.35">
      <c r="A5368" s="6" t="s">
        <v>135</v>
      </c>
      <c r="B5368" s="7"/>
      <c r="C5368" s="7"/>
      <c r="D5368" s="7" t="s">
        <v>149</v>
      </c>
      <c r="E5368" s="8" t="s">
        <v>137</v>
      </c>
    </row>
    <row r="5369" spans="1:5" x14ac:dyDescent="0.35">
      <c r="A5369" s="9" t="s">
        <v>135</v>
      </c>
      <c r="B5369" s="10"/>
      <c r="C5369" s="10" t="s">
        <v>150</v>
      </c>
      <c r="D5369" s="10" t="s">
        <v>147</v>
      </c>
      <c r="E5369" s="11" t="s">
        <v>137</v>
      </c>
    </row>
    <row r="5370" spans="1:5" x14ac:dyDescent="0.35">
      <c r="A5370" s="6" t="s">
        <v>135</v>
      </c>
      <c r="B5370" s="7"/>
      <c r="C5370" s="7"/>
      <c r="D5370" s="7" t="s">
        <v>148</v>
      </c>
      <c r="E5370" s="8" t="s">
        <v>137</v>
      </c>
    </row>
    <row r="5371" spans="1:5" x14ac:dyDescent="0.35">
      <c r="A5371" s="9" t="s">
        <v>135</v>
      </c>
      <c r="B5371" s="10"/>
      <c r="C5371" s="10"/>
      <c r="D5371" s="10" t="s">
        <v>149</v>
      </c>
      <c r="E5371" s="11" t="s">
        <v>137</v>
      </c>
    </row>
    <row r="5372" spans="1:5" x14ac:dyDescent="0.35">
      <c r="A5372" s="6" t="s">
        <v>135</v>
      </c>
      <c r="B5372" s="7" t="s">
        <v>163</v>
      </c>
      <c r="C5372" s="7" t="s">
        <v>146</v>
      </c>
      <c r="D5372" s="7" t="s">
        <v>147</v>
      </c>
      <c r="E5372" s="8">
        <v>103.08</v>
      </c>
    </row>
    <row r="5373" spans="1:5" x14ac:dyDescent="0.35">
      <c r="A5373" s="9" t="s">
        <v>135</v>
      </c>
      <c r="B5373" s="10"/>
      <c r="C5373" s="10"/>
      <c r="D5373" s="10" t="s">
        <v>148</v>
      </c>
      <c r="E5373" s="11">
        <v>102</v>
      </c>
    </row>
    <row r="5374" spans="1:5" x14ac:dyDescent="0.35">
      <c r="A5374" s="6" t="s">
        <v>135</v>
      </c>
      <c r="B5374" s="7"/>
      <c r="C5374" s="7"/>
      <c r="D5374" s="7" t="s">
        <v>149</v>
      </c>
      <c r="E5374" s="8">
        <v>1.08</v>
      </c>
    </row>
    <row r="5375" spans="1:5" x14ac:dyDescent="0.35">
      <c r="A5375" s="9" t="s">
        <v>135</v>
      </c>
      <c r="B5375" s="10"/>
      <c r="C5375" s="10" t="s">
        <v>150</v>
      </c>
      <c r="D5375" s="10" t="s">
        <v>147</v>
      </c>
      <c r="E5375" s="11" t="s">
        <v>137</v>
      </c>
    </row>
    <row r="5376" spans="1:5" x14ac:dyDescent="0.35">
      <c r="A5376" s="6" t="s">
        <v>135</v>
      </c>
      <c r="B5376" s="7"/>
      <c r="C5376" s="7"/>
      <c r="D5376" s="7" t="s">
        <v>148</v>
      </c>
      <c r="E5376" s="8" t="s">
        <v>137</v>
      </c>
    </row>
    <row r="5377" spans="1:5" x14ac:dyDescent="0.35">
      <c r="A5377" s="9" t="s">
        <v>135</v>
      </c>
      <c r="B5377" s="10"/>
      <c r="C5377" s="10"/>
      <c r="D5377" s="10" t="s">
        <v>149</v>
      </c>
      <c r="E5377" s="11" t="s">
        <v>137</v>
      </c>
    </row>
    <row r="5378" spans="1:5" x14ac:dyDescent="0.35">
      <c r="A5378" s="6" t="s">
        <v>135</v>
      </c>
      <c r="B5378" s="7" t="s">
        <v>164</v>
      </c>
      <c r="C5378" s="7" t="s">
        <v>146</v>
      </c>
      <c r="D5378" s="7" t="s">
        <v>147</v>
      </c>
      <c r="E5378" s="8" t="s">
        <v>137</v>
      </c>
    </row>
    <row r="5379" spans="1:5" x14ac:dyDescent="0.35">
      <c r="A5379" s="9" t="s">
        <v>135</v>
      </c>
      <c r="B5379" s="10"/>
      <c r="C5379" s="10"/>
      <c r="D5379" s="10" t="s">
        <v>148</v>
      </c>
      <c r="E5379" s="11" t="s">
        <v>137</v>
      </c>
    </row>
    <row r="5380" spans="1:5" x14ac:dyDescent="0.35">
      <c r="A5380" s="6" t="s">
        <v>135</v>
      </c>
      <c r="B5380" s="7"/>
      <c r="C5380" s="7"/>
      <c r="D5380" s="7" t="s">
        <v>149</v>
      </c>
      <c r="E5380" s="8" t="s">
        <v>137</v>
      </c>
    </row>
    <row r="5381" spans="1:5" x14ac:dyDescent="0.35">
      <c r="A5381" s="9" t="s">
        <v>135</v>
      </c>
      <c r="B5381" s="10"/>
      <c r="C5381" s="10" t="s">
        <v>150</v>
      </c>
      <c r="D5381" s="10" t="s">
        <v>147</v>
      </c>
      <c r="E5381" s="11" t="s">
        <v>137</v>
      </c>
    </row>
    <row r="5382" spans="1:5" x14ac:dyDescent="0.35">
      <c r="A5382" s="6" t="s">
        <v>135</v>
      </c>
      <c r="B5382" s="7"/>
      <c r="C5382" s="7"/>
      <c r="D5382" s="7" t="s">
        <v>148</v>
      </c>
      <c r="E5382" s="8" t="s">
        <v>137</v>
      </c>
    </row>
    <row r="5383" spans="1:5" x14ac:dyDescent="0.35">
      <c r="A5383" s="9" t="s">
        <v>135</v>
      </c>
      <c r="B5383" s="10"/>
      <c r="C5383" s="10"/>
      <c r="D5383" s="10" t="s">
        <v>149</v>
      </c>
      <c r="E5383" s="11" t="s">
        <v>137</v>
      </c>
    </row>
    <row r="5384" spans="1:5" x14ac:dyDescent="0.35">
      <c r="A5384" s="6" t="s">
        <v>135</v>
      </c>
      <c r="B5384" s="7" t="s">
        <v>165</v>
      </c>
      <c r="C5384" s="7" t="s">
        <v>146</v>
      </c>
      <c r="D5384" s="7" t="s">
        <v>147</v>
      </c>
      <c r="E5384" s="8" t="s">
        <v>137</v>
      </c>
    </row>
    <row r="5385" spans="1:5" x14ac:dyDescent="0.35">
      <c r="A5385" s="9" t="s">
        <v>135</v>
      </c>
      <c r="B5385" s="10"/>
      <c r="C5385" s="10"/>
      <c r="D5385" s="10" t="s">
        <v>148</v>
      </c>
      <c r="E5385" s="11" t="s">
        <v>137</v>
      </c>
    </row>
    <row r="5386" spans="1:5" x14ac:dyDescent="0.35">
      <c r="A5386" s="6" t="s">
        <v>135</v>
      </c>
      <c r="B5386" s="7"/>
      <c r="C5386" s="7"/>
      <c r="D5386" s="7" t="s">
        <v>149</v>
      </c>
      <c r="E5386" s="8" t="s">
        <v>137</v>
      </c>
    </row>
    <row r="5387" spans="1:5" x14ac:dyDescent="0.35">
      <c r="A5387" s="9" t="s">
        <v>135</v>
      </c>
      <c r="B5387" s="10"/>
      <c r="C5387" s="10" t="s">
        <v>150</v>
      </c>
      <c r="D5387" s="10" t="s">
        <v>147</v>
      </c>
      <c r="E5387" s="11" t="s">
        <v>137</v>
      </c>
    </row>
    <row r="5388" spans="1:5" x14ac:dyDescent="0.35">
      <c r="A5388" s="6" t="s">
        <v>135</v>
      </c>
      <c r="B5388" s="7"/>
      <c r="C5388" s="7"/>
      <c r="D5388" s="7" t="s">
        <v>148</v>
      </c>
      <c r="E5388" s="8" t="s">
        <v>137</v>
      </c>
    </row>
    <row r="5389" spans="1:5" x14ac:dyDescent="0.35">
      <c r="A5389" s="9" t="s">
        <v>135</v>
      </c>
      <c r="B5389" s="10"/>
      <c r="C5389" s="10"/>
      <c r="D5389" s="10" t="s">
        <v>149</v>
      </c>
      <c r="E5389" s="11" t="s">
        <v>137</v>
      </c>
    </row>
    <row r="5390" spans="1:5" x14ac:dyDescent="0.35">
      <c r="A5390" s="6" t="s">
        <v>135</v>
      </c>
      <c r="B5390" s="7" t="s">
        <v>166</v>
      </c>
      <c r="C5390" s="7" t="s">
        <v>146</v>
      </c>
      <c r="D5390" s="7" t="s">
        <v>147</v>
      </c>
      <c r="E5390" s="8">
        <v>103.08</v>
      </c>
    </row>
    <row r="5391" spans="1:5" x14ac:dyDescent="0.35">
      <c r="A5391" s="9" t="s">
        <v>135</v>
      </c>
      <c r="B5391" s="10"/>
      <c r="C5391" s="10"/>
      <c r="D5391" s="10" t="s">
        <v>148</v>
      </c>
      <c r="E5391" s="11">
        <v>102</v>
      </c>
    </row>
    <row r="5392" spans="1:5" x14ac:dyDescent="0.35">
      <c r="A5392" s="6" t="s">
        <v>135</v>
      </c>
      <c r="B5392" s="7"/>
      <c r="C5392" s="7"/>
      <c r="D5392" s="7" t="s">
        <v>149</v>
      </c>
      <c r="E5392" s="8">
        <v>1.08</v>
      </c>
    </row>
    <row r="5393" spans="1:5" x14ac:dyDescent="0.35">
      <c r="A5393" s="9" t="s">
        <v>135</v>
      </c>
      <c r="B5393" s="10"/>
      <c r="C5393" s="10" t="s">
        <v>150</v>
      </c>
      <c r="D5393" s="10" t="s">
        <v>147</v>
      </c>
      <c r="E5393" s="11" t="s">
        <v>137</v>
      </c>
    </row>
    <row r="5394" spans="1:5" x14ac:dyDescent="0.35">
      <c r="A5394" s="6" t="s">
        <v>135</v>
      </c>
      <c r="B5394" s="7"/>
      <c r="C5394" s="7"/>
      <c r="D5394" s="7" t="s">
        <v>148</v>
      </c>
      <c r="E5394" s="8" t="s">
        <v>137</v>
      </c>
    </row>
    <row r="5395" spans="1:5" x14ac:dyDescent="0.35">
      <c r="A5395" s="9" t="s">
        <v>135</v>
      </c>
      <c r="B5395" s="10"/>
      <c r="C5395" s="10"/>
      <c r="D5395" s="10" t="s">
        <v>149</v>
      </c>
      <c r="E5395" s="11" t="s">
        <v>137</v>
      </c>
    </row>
    <row r="5396" spans="1:5" x14ac:dyDescent="0.35">
      <c r="A5396" s="6" t="s">
        <v>135</v>
      </c>
      <c r="B5396" s="7" t="s">
        <v>167</v>
      </c>
      <c r="C5396" s="7" t="s">
        <v>146</v>
      </c>
      <c r="D5396" s="7" t="s">
        <v>147</v>
      </c>
      <c r="E5396" s="8" t="s">
        <v>137</v>
      </c>
    </row>
    <row r="5397" spans="1:5" x14ac:dyDescent="0.35">
      <c r="A5397" s="9" t="s">
        <v>135</v>
      </c>
      <c r="B5397" s="10"/>
      <c r="C5397" s="10"/>
      <c r="D5397" s="10" t="s">
        <v>148</v>
      </c>
      <c r="E5397" s="11" t="s">
        <v>137</v>
      </c>
    </row>
    <row r="5398" spans="1:5" x14ac:dyDescent="0.35">
      <c r="A5398" s="6" t="s">
        <v>135</v>
      </c>
      <c r="B5398" s="7"/>
      <c r="C5398" s="7"/>
      <c r="D5398" s="7" t="s">
        <v>149</v>
      </c>
      <c r="E5398" s="8" t="s">
        <v>137</v>
      </c>
    </row>
    <row r="5399" spans="1:5" x14ac:dyDescent="0.35">
      <c r="A5399" s="9" t="s">
        <v>135</v>
      </c>
      <c r="B5399" s="10"/>
      <c r="C5399" s="10" t="s">
        <v>150</v>
      </c>
      <c r="D5399" s="10" t="s">
        <v>147</v>
      </c>
      <c r="E5399" s="11" t="s">
        <v>137</v>
      </c>
    </row>
    <row r="5400" spans="1:5" x14ac:dyDescent="0.35">
      <c r="A5400" s="6" t="s">
        <v>135</v>
      </c>
      <c r="B5400" s="7"/>
      <c r="C5400" s="7"/>
      <c r="D5400" s="7" t="s">
        <v>148</v>
      </c>
      <c r="E5400" s="8" t="s">
        <v>137</v>
      </c>
    </row>
    <row r="5401" spans="1:5" x14ac:dyDescent="0.35">
      <c r="A5401" s="9" t="s">
        <v>135</v>
      </c>
      <c r="B5401" s="10"/>
      <c r="C5401" s="10"/>
      <c r="D5401" s="10" t="s">
        <v>149</v>
      </c>
      <c r="E5401" s="11" t="s">
        <v>137</v>
      </c>
    </row>
    <row r="5402" spans="1:5" x14ac:dyDescent="0.35">
      <c r="A5402" s="6" t="s">
        <v>135</v>
      </c>
      <c r="B5402" s="7" t="s">
        <v>168</v>
      </c>
      <c r="C5402" s="7" t="s">
        <v>146</v>
      </c>
      <c r="D5402" s="7" t="s">
        <v>147</v>
      </c>
      <c r="E5402" s="8" t="s">
        <v>137</v>
      </c>
    </row>
    <row r="5403" spans="1:5" x14ac:dyDescent="0.35">
      <c r="A5403" s="9" t="s">
        <v>135</v>
      </c>
      <c r="B5403" s="10"/>
      <c r="C5403" s="10"/>
      <c r="D5403" s="10" t="s">
        <v>148</v>
      </c>
      <c r="E5403" s="11" t="s">
        <v>137</v>
      </c>
    </row>
    <row r="5404" spans="1:5" x14ac:dyDescent="0.35">
      <c r="A5404" s="6" t="s">
        <v>135</v>
      </c>
      <c r="B5404" s="7"/>
      <c r="C5404" s="7"/>
      <c r="D5404" s="7" t="s">
        <v>149</v>
      </c>
      <c r="E5404" s="8" t="s">
        <v>137</v>
      </c>
    </row>
    <row r="5405" spans="1:5" x14ac:dyDescent="0.35">
      <c r="A5405" s="9" t="s">
        <v>135</v>
      </c>
      <c r="B5405" s="10"/>
      <c r="C5405" s="10" t="s">
        <v>150</v>
      </c>
      <c r="D5405" s="10" t="s">
        <v>147</v>
      </c>
      <c r="E5405" s="11" t="s">
        <v>137</v>
      </c>
    </row>
    <row r="5406" spans="1:5" x14ac:dyDescent="0.35">
      <c r="A5406" s="6" t="s">
        <v>135</v>
      </c>
      <c r="B5406" s="7"/>
      <c r="C5406" s="7"/>
      <c r="D5406" s="7" t="s">
        <v>148</v>
      </c>
      <c r="E5406" s="8" t="s">
        <v>137</v>
      </c>
    </row>
    <row r="5407" spans="1:5" x14ac:dyDescent="0.35">
      <c r="A5407" s="9" t="s">
        <v>135</v>
      </c>
      <c r="B5407" s="10"/>
      <c r="C5407" s="10"/>
      <c r="D5407" s="10" t="s">
        <v>149</v>
      </c>
      <c r="E5407" s="11" t="s">
        <v>137</v>
      </c>
    </row>
    <row r="5408" spans="1:5" x14ac:dyDescent="0.35">
      <c r="A5408" s="6" t="s">
        <v>135</v>
      </c>
      <c r="B5408" s="7" t="s">
        <v>169</v>
      </c>
      <c r="C5408" s="7" t="s">
        <v>146</v>
      </c>
      <c r="D5408" s="7" t="s">
        <v>147</v>
      </c>
      <c r="E5408" s="8" t="s">
        <v>137</v>
      </c>
    </row>
    <row r="5409" spans="1:5" x14ac:dyDescent="0.35">
      <c r="A5409" s="9" t="s">
        <v>135</v>
      </c>
      <c r="B5409" s="10"/>
      <c r="C5409" s="10"/>
      <c r="D5409" s="10" t="s">
        <v>148</v>
      </c>
      <c r="E5409" s="11" t="s">
        <v>137</v>
      </c>
    </row>
    <row r="5410" spans="1:5" x14ac:dyDescent="0.35">
      <c r="A5410" s="6" t="s">
        <v>135</v>
      </c>
      <c r="B5410" s="7"/>
      <c r="C5410" s="7"/>
      <c r="D5410" s="7" t="s">
        <v>149</v>
      </c>
      <c r="E5410" s="8" t="s">
        <v>137</v>
      </c>
    </row>
    <row r="5411" spans="1:5" x14ac:dyDescent="0.35">
      <c r="A5411" s="9" t="s">
        <v>135</v>
      </c>
      <c r="B5411" s="10"/>
      <c r="C5411" s="10" t="s">
        <v>150</v>
      </c>
      <c r="D5411" s="10" t="s">
        <v>147</v>
      </c>
      <c r="E5411" s="11" t="s">
        <v>137</v>
      </c>
    </row>
    <row r="5412" spans="1:5" x14ac:dyDescent="0.35">
      <c r="A5412" s="6" t="s">
        <v>135</v>
      </c>
      <c r="B5412" s="7"/>
      <c r="C5412" s="7"/>
      <c r="D5412" s="7" t="s">
        <v>148</v>
      </c>
      <c r="E5412" s="8" t="s">
        <v>137</v>
      </c>
    </row>
    <row r="5413" spans="1:5" x14ac:dyDescent="0.35">
      <c r="A5413" s="9" t="s">
        <v>135</v>
      </c>
      <c r="B5413" s="10"/>
      <c r="C5413" s="10"/>
      <c r="D5413" s="10" t="s">
        <v>149</v>
      </c>
      <c r="E5413" s="11" t="s">
        <v>137</v>
      </c>
    </row>
    <row r="5414" spans="1:5" x14ac:dyDescent="0.35">
      <c r="A5414" s="6" t="s">
        <v>135</v>
      </c>
      <c r="B5414" s="7" t="s">
        <v>170</v>
      </c>
      <c r="C5414" s="7" t="s">
        <v>146</v>
      </c>
      <c r="D5414" s="7" t="s">
        <v>147</v>
      </c>
      <c r="E5414" s="8" t="s">
        <v>137</v>
      </c>
    </row>
    <row r="5415" spans="1:5" x14ac:dyDescent="0.35">
      <c r="A5415" s="9" t="s">
        <v>135</v>
      </c>
      <c r="B5415" s="10"/>
      <c r="C5415" s="10"/>
      <c r="D5415" s="10" t="s">
        <v>148</v>
      </c>
      <c r="E5415" s="11" t="s">
        <v>137</v>
      </c>
    </row>
    <row r="5416" spans="1:5" x14ac:dyDescent="0.35">
      <c r="A5416" s="6" t="s">
        <v>135</v>
      </c>
      <c r="B5416" s="7"/>
      <c r="C5416" s="7"/>
      <c r="D5416" s="7" t="s">
        <v>149</v>
      </c>
      <c r="E5416" s="8" t="s">
        <v>137</v>
      </c>
    </row>
    <row r="5417" spans="1:5" x14ac:dyDescent="0.35">
      <c r="A5417" s="9" t="s">
        <v>135</v>
      </c>
      <c r="B5417" s="10"/>
      <c r="C5417" s="10" t="s">
        <v>150</v>
      </c>
      <c r="D5417" s="10" t="s">
        <v>147</v>
      </c>
      <c r="E5417" s="11" t="s">
        <v>137</v>
      </c>
    </row>
    <row r="5418" spans="1:5" x14ac:dyDescent="0.35">
      <c r="A5418" s="6" t="s">
        <v>135</v>
      </c>
      <c r="B5418" s="7"/>
      <c r="C5418" s="7"/>
      <c r="D5418" s="7" t="s">
        <v>148</v>
      </c>
      <c r="E5418" s="8" t="s">
        <v>137</v>
      </c>
    </row>
    <row r="5419" spans="1:5" x14ac:dyDescent="0.35">
      <c r="A5419" s="9" t="s">
        <v>135</v>
      </c>
      <c r="B5419" s="10"/>
      <c r="C5419" s="10"/>
      <c r="D5419" s="10" t="s">
        <v>149</v>
      </c>
      <c r="E5419" s="11" t="s">
        <v>137</v>
      </c>
    </row>
    <row r="5420" spans="1:5" x14ac:dyDescent="0.35">
      <c r="A5420" s="6" t="s">
        <v>126</v>
      </c>
      <c r="B5420" s="7" t="s">
        <v>145</v>
      </c>
      <c r="C5420" s="7" t="s">
        <v>146</v>
      </c>
      <c r="D5420" s="7" t="s">
        <v>147</v>
      </c>
      <c r="E5420" s="8">
        <v>3403.69</v>
      </c>
    </row>
    <row r="5421" spans="1:5" x14ac:dyDescent="0.35">
      <c r="A5421" s="9" t="s">
        <v>135</v>
      </c>
      <c r="B5421" s="10"/>
      <c r="C5421" s="10"/>
      <c r="D5421" s="10" t="s">
        <v>148</v>
      </c>
      <c r="E5421" s="11">
        <v>3391.3</v>
      </c>
    </row>
    <row r="5422" spans="1:5" x14ac:dyDescent="0.35">
      <c r="A5422" s="6" t="s">
        <v>135</v>
      </c>
      <c r="B5422" s="7"/>
      <c r="C5422" s="7"/>
      <c r="D5422" s="7" t="s">
        <v>149</v>
      </c>
      <c r="E5422" s="8">
        <v>12.39</v>
      </c>
    </row>
    <row r="5423" spans="1:5" x14ac:dyDescent="0.35">
      <c r="A5423" s="9" t="s">
        <v>135</v>
      </c>
      <c r="B5423" s="10"/>
      <c r="C5423" s="10" t="s">
        <v>150</v>
      </c>
      <c r="D5423" s="10" t="s">
        <v>147</v>
      </c>
      <c r="E5423" s="11" t="s">
        <v>137</v>
      </c>
    </row>
    <row r="5424" spans="1:5" x14ac:dyDescent="0.35">
      <c r="A5424" s="6" t="s">
        <v>135</v>
      </c>
      <c r="B5424" s="7"/>
      <c r="C5424" s="7"/>
      <c r="D5424" s="7" t="s">
        <v>148</v>
      </c>
      <c r="E5424" s="8" t="s">
        <v>137</v>
      </c>
    </row>
    <row r="5425" spans="1:5" x14ac:dyDescent="0.35">
      <c r="A5425" s="9" t="s">
        <v>135</v>
      </c>
      <c r="B5425" s="10"/>
      <c r="C5425" s="10"/>
      <c r="D5425" s="10" t="s">
        <v>149</v>
      </c>
      <c r="E5425" s="11" t="s">
        <v>137</v>
      </c>
    </row>
    <row r="5426" spans="1:5" x14ac:dyDescent="0.35">
      <c r="A5426" s="6" t="s">
        <v>135</v>
      </c>
      <c r="B5426" s="7" t="s">
        <v>151</v>
      </c>
      <c r="C5426" s="7" t="s">
        <v>146</v>
      </c>
      <c r="D5426" s="7" t="s">
        <v>147</v>
      </c>
      <c r="E5426" s="8">
        <v>195.84</v>
      </c>
    </row>
    <row r="5427" spans="1:5" x14ac:dyDescent="0.35">
      <c r="A5427" s="9" t="s">
        <v>135</v>
      </c>
      <c r="B5427" s="10"/>
      <c r="C5427" s="10"/>
      <c r="D5427" s="10" t="s">
        <v>148</v>
      </c>
      <c r="E5427" s="11">
        <v>186</v>
      </c>
    </row>
    <row r="5428" spans="1:5" x14ac:dyDescent="0.35">
      <c r="A5428" s="6" t="s">
        <v>135</v>
      </c>
      <c r="B5428" s="7"/>
      <c r="C5428" s="7"/>
      <c r="D5428" s="7" t="s">
        <v>149</v>
      </c>
      <c r="E5428" s="8">
        <v>9.84</v>
      </c>
    </row>
    <row r="5429" spans="1:5" x14ac:dyDescent="0.35">
      <c r="A5429" s="9" t="s">
        <v>135</v>
      </c>
      <c r="B5429" s="10"/>
      <c r="C5429" s="10" t="s">
        <v>150</v>
      </c>
      <c r="D5429" s="10" t="s">
        <v>147</v>
      </c>
      <c r="E5429" s="11" t="s">
        <v>137</v>
      </c>
    </row>
    <row r="5430" spans="1:5" x14ac:dyDescent="0.35">
      <c r="A5430" s="6" t="s">
        <v>135</v>
      </c>
      <c r="B5430" s="7"/>
      <c r="C5430" s="7"/>
      <c r="D5430" s="7" t="s">
        <v>148</v>
      </c>
      <c r="E5430" s="8" t="s">
        <v>137</v>
      </c>
    </row>
    <row r="5431" spans="1:5" x14ac:dyDescent="0.35">
      <c r="A5431" s="9" t="s">
        <v>135</v>
      </c>
      <c r="B5431" s="10"/>
      <c r="C5431" s="10"/>
      <c r="D5431" s="10" t="s">
        <v>149</v>
      </c>
      <c r="E5431" s="11" t="s">
        <v>137</v>
      </c>
    </row>
    <row r="5432" spans="1:5" x14ac:dyDescent="0.35">
      <c r="A5432" s="6" t="s">
        <v>135</v>
      </c>
      <c r="B5432" s="7" t="s">
        <v>152</v>
      </c>
      <c r="C5432" s="7" t="s">
        <v>146</v>
      </c>
      <c r="D5432" s="7" t="s">
        <v>147</v>
      </c>
      <c r="E5432" s="8" t="s">
        <v>137</v>
      </c>
    </row>
    <row r="5433" spans="1:5" x14ac:dyDescent="0.35">
      <c r="A5433" s="9" t="s">
        <v>135</v>
      </c>
      <c r="B5433" s="10"/>
      <c r="C5433" s="10"/>
      <c r="D5433" s="10" t="s">
        <v>148</v>
      </c>
      <c r="E5433" s="11" t="s">
        <v>137</v>
      </c>
    </row>
    <row r="5434" spans="1:5" x14ac:dyDescent="0.35">
      <c r="A5434" s="6" t="s">
        <v>135</v>
      </c>
      <c r="B5434" s="7"/>
      <c r="C5434" s="7"/>
      <c r="D5434" s="7" t="s">
        <v>149</v>
      </c>
      <c r="E5434" s="8" t="s">
        <v>137</v>
      </c>
    </row>
    <row r="5435" spans="1:5" x14ac:dyDescent="0.35">
      <c r="A5435" s="9" t="s">
        <v>135</v>
      </c>
      <c r="B5435" s="10"/>
      <c r="C5435" s="10" t="s">
        <v>150</v>
      </c>
      <c r="D5435" s="10" t="s">
        <v>147</v>
      </c>
      <c r="E5435" s="11" t="s">
        <v>137</v>
      </c>
    </row>
    <row r="5436" spans="1:5" x14ac:dyDescent="0.35">
      <c r="A5436" s="6" t="s">
        <v>135</v>
      </c>
      <c r="B5436" s="7"/>
      <c r="C5436" s="7"/>
      <c r="D5436" s="7" t="s">
        <v>148</v>
      </c>
      <c r="E5436" s="8" t="s">
        <v>137</v>
      </c>
    </row>
    <row r="5437" spans="1:5" x14ac:dyDescent="0.35">
      <c r="A5437" s="9" t="s">
        <v>135</v>
      </c>
      <c r="B5437" s="10"/>
      <c r="C5437" s="10"/>
      <c r="D5437" s="10" t="s">
        <v>149</v>
      </c>
      <c r="E5437" s="11" t="s">
        <v>137</v>
      </c>
    </row>
    <row r="5438" spans="1:5" x14ac:dyDescent="0.35">
      <c r="A5438" s="6" t="s">
        <v>135</v>
      </c>
      <c r="B5438" s="7" t="s">
        <v>153</v>
      </c>
      <c r="C5438" s="7" t="s">
        <v>146</v>
      </c>
      <c r="D5438" s="7" t="s">
        <v>147</v>
      </c>
      <c r="E5438" s="8" t="s">
        <v>137</v>
      </c>
    </row>
    <row r="5439" spans="1:5" x14ac:dyDescent="0.35">
      <c r="A5439" s="9" t="s">
        <v>135</v>
      </c>
      <c r="B5439" s="10"/>
      <c r="C5439" s="10"/>
      <c r="D5439" s="10" t="s">
        <v>148</v>
      </c>
      <c r="E5439" s="11" t="s">
        <v>137</v>
      </c>
    </row>
    <row r="5440" spans="1:5" x14ac:dyDescent="0.35">
      <c r="A5440" s="6" t="s">
        <v>135</v>
      </c>
      <c r="B5440" s="7"/>
      <c r="C5440" s="7"/>
      <c r="D5440" s="7" t="s">
        <v>149</v>
      </c>
      <c r="E5440" s="8" t="s">
        <v>137</v>
      </c>
    </row>
    <row r="5441" spans="1:5" x14ac:dyDescent="0.35">
      <c r="A5441" s="9" t="s">
        <v>135</v>
      </c>
      <c r="B5441" s="10"/>
      <c r="C5441" s="10" t="s">
        <v>150</v>
      </c>
      <c r="D5441" s="10" t="s">
        <v>147</v>
      </c>
      <c r="E5441" s="11" t="s">
        <v>137</v>
      </c>
    </row>
    <row r="5442" spans="1:5" x14ac:dyDescent="0.35">
      <c r="A5442" s="6" t="s">
        <v>135</v>
      </c>
      <c r="B5442" s="7"/>
      <c r="C5442" s="7"/>
      <c r="D5442" s="7" t="s">
        <v>148</v>
      </c>
      <c r="E5442" s="8" t="s">
        <v>137</v>
      </c>
    </row>
    <row r="5443" spans="1:5" x14ac:dyDescent="0.35">
      <c r="A5443" s="9" t="s">
        <v>135</v>
      </c>
      <c r="B5443" s="10"/>
      <c r="C5443" s="10"/>
      <c r="D5443" s="10" t="s">
        <v>149</v>
      </c>
      <c r="E5443" s="11" t="s">
        <v>137</v>
      </c>
    </row>
    <row r="5444" spans="1:5" x14ac:dyDescent="0.35">
      <c r="A5444" s="6" t="s">
        <v>135</v>
      </c>
      <c r="B5444" s="7" t="s">
        <v>154</v>
      </c>
      <c r="C5444" s="7" t="s">
        <v>146</v>
      </c>
      <c r="D5444" s="7" t="s">
        <v>147</v>
      </c>
      <c r="E5444" s="8" t="s">
        <v>137</v>
      </c>
    </row>
    <row r="5445" spans="1:5" x14ac:dyDescent="0.35">
      <c r="A5445" s="9" t="s">
        <v>135</v>
      </c>
      <c r="B5445" s="10"/>
      <c r="C5445" s="10"/>
      <c r="D5445" s="10" t="s">
        <v>148</v>
      </c>
      <c r="E5445" s="11" t="s">
        <v>137</v>
      </c>
    </row>
    <row r="5446" spans="1:5" x14ac:dyDescent="0.35">
      <c r="A5446" s="6" t="s">
        <v>135</v>
      </c>
      <c r="B5446" s="7"/>
      <c r="C5446" s="7"/>
      <c r="D5446" s="7" t="s">
        <v>149</v>
      </c>
      <c r="E5446" s="8" t="s">
        <v>137</v>
      </c>
    </row>
    <row r="5447" spans="1:5" x14ac:dyDescent="0.35">
      <c r="A5447" s="9" t="s">
        <v>135</v>
      </c>
      <c r="B5447" s="10"/>
      <c r="C5447" s="10" t="s">
        <v>150</v>
      </c>
      <c r="D5447" s="10" t="s">
        <v>147</v>
      </c>
      <c r="E5447" s="11" t="s">
        <v>137</v>
      </c>
    </row>
    <row r="5448" spans="1:5" x14ac:dyDescent="0.35">
      <c r="A5448" s="6" t="s">
        <v>135</v>
      </c>
      <c r="B5448" s="7"/>
      <c r="C5448" s="7"/>
      <c r="D5448" s="7" t="s">
        <v>148</v>
      </c>
      <c r="E5448" s="8" t="s">
        <v>137</v>
      </c>
    </row>
    <row r="5449" spans="1:5" x14ac:dyDescent="0.35">
      <c r="A5449" s="9" t="s">
        <v>135</v>
      </c>
      <c r="B5449" s="10"/>
      <c r="C5449" s="10"/>
      <c r="D5449" s="10" t="s">
        <v>149</v>
      </c>
      <c r="E5449" s="11" t="s">
        <v>137</v>
      </c>
    </row>
    <row r="5450" spans="1:5" x14ac:dyDescent="0.35">
      <c r="A5450" s="6" t="s">
        <v>135</v>
      </c>
      <c r="B5450" s="7" t="s">
        <v>155</v>
      </c>
      <c r="C5450" s="7" t="s">
        <v>146</v>
      </c>
      <c r="D5450" s="7" t="s">
        <v>147</v>
      </c>
      <c r="E5450" s="8">
        <v>3165.05</v>
      </c>
    </row>
    <row r="5451" spans="1:5" x14ac:dyDescent="0.35">
      <c r="A5451" s="9" t="s">
        <v>135</v>
      </c>
      <c r="B5451" s="10"/>
      <c r="C5451" s="10"/>
      <c r="D5451" s="10" t="s">
        <v>148</v>
      </c>
      <c r="E5451" s="11">
        <v>3162.5</v>
      </c>
    </row>
    <row r="5452" spans="1:5" x14ac:dyDescent="0.35">
      <c r="A5452" s="6" t="s">
        <v>135</v>
      </c>
      <c r="B5452" s="7"/>
      <c r="C5452" s="7"/>
      <c r="D5452" s="7" t="s">
        <v>149</v>
      </c>
      <c r="E5452" s="8">
        <v>2.5499999999999998</v>
      </c>
    </row>
    <row r="5453" spans="1:5" x14ac:dyDescent="0.35">
      <c r="A5453" s="9" t="s">
        <v>135</v>
      </c>
      <c r="B5453" s="10"/>
      <c r="C5453" s="10" t="s">
        <v>150</v>
      </c>
      <c r="D5453" s="10" t="s">
        <v>147</v>
      </c>
      <c r="E5453" s="11" t="s">
        <v>137</v>
      </c>
    </row>
    <row r="5454" spans="1:5" x14ac:dyDescent="0.35">
      <c r="A5454" s="6" t="s">
        <v>135</v>
      </c>
      <c r="B5454" s="7"/>
      <c r="C5454" s="7"/>
      <c r="D5454" s="7" t="s">
        <v>148</v>
      </c>
      <c r="E5454" s="8" t="s">
        <v>137</v>
      </c>
    </row>
    <row r="5455" spans="1:5" x14ac:dyDescent="0.35">
      <c r="A5455" s="9" t="s">
        <v>135</v>
      </c>
      <c r="B5455" s="10"/>
      <c r="C5455" s="10"/>
      <c r="D5455" s="10" t="s">
        <v>149</v>
      </c>
      <c r="E5455" s="11" t="s">
        <v>137</v>
      </c>
    </row>
    <row r="5456" spans="1:5" x14ac:dyDescent="0.35">
      <c r="A5456" s="6" t="s">
        <v>135</v>
      </c>
      <c r="B5456" s="7" t="s">
        <v>156</v>
      </c>
      <c r="C5456" s="7" t="s">
        <v>146</v>
      </c>
      <c r="D5456" s="7" t="s">
        <v>147</v>
      </c>
      <c r="E5456" s="8" t="s">
        <v>137</v>
      </c>
    </row>
    <row r="5457" spans="1:5" x14ac:dyDescent="0.35">
      <c r="A5457" s="9" t="s">
        <v>135</v>
      </c>
      <c r="B5457" s="10"/>
      <c r="C5457" s="10"/>
      <c r="D5457" s="10" t="s">
        <v>148</v>
      </c>
      <c r="E5457" s="11" t="s">
        <v>137</v>
      </c>
    </row>
    <row r="5458" spans="1:5" x14ac:dyDescent="0.35">
      <c r="A5458" s="6" t="s">
        <v>135</v>
      </c>
      <c r="B5458" s="7"/>
      <c r="C5458" s="7"/>
      <c r="D5458" s="7" t="s">
        <v>149</v>
      </c>
      <c r="E5458" s="8" t="s">
        <v>137</v>
      </c>
    </row>
    <row r="5459" spans="1:5" x14ac:dyDescent="0.35">
      <c r="A5459" s="9" t="s">
        <v>135</v>
      </c>
      <c r="B5459" s="10"/>
      <c r="C5459" s="10" t="s">
        <v>150</v>
      </c>
      <c r="D5459" s="10" t="s">
        <v>147</v>
      </c>
      <c r="E5459" s="11" t="s">
        <v>137</v>
      </c>
    </row>
    <row r="5460" spans="1:5" x14ac:dyDescent="0.35">
      <c r="A5460" s="6" t="s">
        <v>135</v>
      </c>
      <c r="B5460" s="7"/>
      <c r="C5460" s="7"/>
      <c r="D5460" s="7" t="s">
        <v>148</v>
      </c>
      <c r="E5460" s="8" t="s">
        <v>137</v>
      </c>
    </row>
    <row r="5461" spans="1:5" x14ac:dyDescent="0.35">
      <c r="A5461" s="9" t="s">
        <v>135</v>
      </c>
      <c r="B5461" s="10"/>
      <c r="C5461" s="10"/>
      <c r="D5461" s="10" t="s">
        <v>149</v>
      </c>
      <c r="E5461" s="11" t="s">
        <v>137</v>
      </c>
    </row>
    <row r="5462" spans="1:5" x14ac:dyDescent="0.35">
      <c r="A5462" s="6" t="s">
        <v>135</v>
      </c>
      <c r="B5462" s="7" t="s">
        <v>157</v>
      </c>
      <c r="C5462" s="7" t="s">
        <v>146</v>
      </c>
      <c r="D5462" s="7" t="s">
        <v>147</v>
      </c>
      <c r="E5462" s="8" t="s">
        <v>137</v>
      </c>
    </row>
    <row r="5463" spans="1:5" x14ac:dyDescent="0.35">
      <c r="A5463" s="9" t="s">
        <v>135</v>
      </c>
      <c r="B5463" s="10"/>
      <c r="C5463" s="10"/>
      <c r="D5463" s="10" t="s">
        <v>148</v>
      </c>
      <c r="E5463" s="11" t="s">
        <v>137</v>
      </c>
    </row>
    <row r="5464" spans="1:5" x14ac:dyDescent="0.35">
      <c r="A5464" s="6" t="s">
        <v>135</v>
      </c>
      <c r="B5464" s="7"/>
      <c r="C5464" s="7"/>
      <c r="D5464" s="7" t="s">
        <v>149</v>
      </c>
      <c r="E5464" s="8" t="s">
        <v>137</v>
      </c>
    </row>
    <row r="5465" spans="1:5" x14ac:dyDescent="0.35">
      <c r="A5465" s="9" t="s">
        <v>135</v>
      </c>
      <c r="B5465" s="10"/>
      <c r="C5465" s="10" t="s">
        <v>150</v>
      </c>
      <c r="D5465" s="10" t="s">
        <v>147</v>
      </c>
      <c r="E5465" s="11" t="s">
        <v>137</v>
      </c>
    </row>
    <row r="5466" spans="1:5" x14ac:dyDescent="0.35">
      <c r="A5466" s="6" t="s">
        <v>135</v>
      </c>
      <c r="B5466" s="7"/>
      <c r="C5466" s="7"/>
      <c r="D5466" s="7" t="s">
        <v>148</v>
      </c>
      <c r="E5466" s="8" t="s">
        <v>137</v>
      </c>
    </row>
    <row r="5467" spans="1:5" x14ac:dyDescent="0.35">
      <c r="A5467" s="9" t="s">
        <v>135</v>
      </c>
      <c r="B5467" s="10"/>
      <c r="C5467" s="10"/>
      <c r="D5467" s="10" t="s">
        <v>149</v>
      </c>
      <c r="E5467" s="11" t="s">
        <v>137</v>
      </c>
    </row>
    <row r="5468" spans="1:5" x14ac:dyDescent="0.35">
      <c r="A5468" s="6" t="s">
        <v>135</v>
      </c>
      <c r="B5468" s="7" t="s">
        <v>158</v>
      </c>
      <c r="C5468" s="7" t="s">
        <v>146</v>
      </c>
      <c r="D5468" s="7" t="s">
        <v>147</v>
      </c>
      <c r="E5468" s="8">
        <v>42.8</v>
      </c>
    </row>
    <row r="5469" spans="1:5" x14ac:dyDescent="0.35">
      <c r="A5469" s="9" t="s">
        <v>135</v>
      </c>
      <c r="B5469" s="10"/>
      <c r="C5469" s="10"/>
      <c r="D5469" s="10" t="s">
        <v>148</v>
      </c>
      <c r="E5469" s="11">
        <v>42.8</v>
      </c>
    </row>
    <row r="5470" spans="1:5" x14ac:dyDescent="0.35">
      <c r="A5470" s="6" t="s">
        <v>135</v>
      </c>
      <c r="B5470" s="7"/>
      <c r="C5470" s="7"/>
      <c r="D5470" s="7" t="s">
        <v>149</v>
      </c>
      <c r="E5470" s="8" t="s">
        <v>137</v>
      </c>
    </row>
    <row r="5471" spans="1:5" x14ac:dyDescent="0.35">
      <c r="A5471" s="9" t="s">
        <v>135</v>
      </c>
      <c r="B5471" s="10"/>
      <c r="C5471" s="10" t="s">
        <v>150</v>
      </c>
      <c r="D5471" s="10" t="s">
        <v>147</v>
      </c>
      <c r="E5471" s="11" t="s">
        <v>137</v>
      </c>
    </row>
    <row r="5472" spans="1:5" x14ac:dyDescent="0.35">
      <c r="A5472" s="6" t="s">
        <v>135</v>
      </c>
      <c r="B5472" s="7"/>
      <c r="C5472" s="7"/>
      <c r="D5472" s="7" t="s">
        <v>148</v>
      </c>
      <c r="E5472" s="8" t="s">
        <v>137</v>
      </c>
    </row>
    <row r="5473" spans="1:5" x14ac:dyDescent="0.35">
      <c r="A5473" s="9" t="s">
        <v>135</v>
      </c>
      <c r="B5473" s="10"/>
      <c r="C5473" s="10"/>
      <c r="D5473" s="10" t="s">
        <v>149</v>
      </c>
      <c r="E5473" s="11" t="s">
        <v>137</v>
      </c>
    </row>
    <row r="5474" spans="1:5" x14ac:dyDescent="0.35">
      <c r="A5474" s="6" t="s">
        <v>135</v>
      </c>
      <c r="B5474" s="7" t="s">
        <v>159</v>
      </c>
      <c r="C5474" s="7" t="s">
        <v>146</v>
      </c>
      <c r="D5474" s="7" t="s">
        <v>147</v>
      </c>
      <c r="E5474" s="8" t="s">
        <v>137</v>
      </c>
    </row>
    <row r="5475" spans="1:5" x14ac:dyDescent="0.35">
      <c r="A5475" s="9" t="s">
        <v>135</v>
      </c>
      <c r="B5475" s="10"/>
      <c r="C5475" s="10"/>
      <c r="D5475" s="10" t="s">
        <v>148</v>
      </c>
      <c r="E5475" s="11" t="s">
        <v>137</v>
      </c>
    </row>
    <row r="5476" spans="1:5" x14ac:dyDescent="0.35">
      <c r="A5476" s="6" t="s">
        <v>135</v>
      </c>
      <c r="B5476" s="7"/>
      <c r="C5476" s="7"/>
      <c r="D5476" s="7" t="s">
        <v>149</v>
      </c>
      <c r="E5476" s="8" t="s">
        <v>137</v>
      </c>
    </row>
    <row r="5477" spans="1:5" x14ac:dyDescent="0.35">
      <c r="A5477" s="9" t="s">
        <v>135</v>
      </c>
      <c r="B5477" s="10"/>
      <c r="C5477" s="10" t="s">
        <v>150</v>
      </c>
      <c r="D5477" s="10" t="s">
        <v>147</v>
      </c>
      <c r="E5477" s="11" t="s">
        <v>137</v>
      </c>
    </row>
    <row r="5478" spans="1:5" x14ac:dyDescent="0.35">
      <c r="A5478" s="6" t="s">
        <v>135</v>
      </c>
      <c r="B5478" s="7"/>
      <c r="C5478" s="7"/>
      <c r="D5478" s="7" t="s">
        <v>148</v>
      </c>
      <c r="E5478" s="8" t="s">
        <v>137</v>
      </c>
    </row>
    <row r="5479" spans="1:5" x14ac:dyDescent="0.35">
      <c r="A5479" s="9" t="s">
        <v>135</v>
      </c>
      <c r="B5479" s="10"/>
      <c r="C5479" s="10"/>
      <c r="D5479" s="10" t="s">
        <v>149</v>
      </c>
      <c r="E5479" s="11" t="s">
        <v>137</v>
      </c>
    </row>
    <row r="5480" spans="1:5" x14ac:dyDescent="0.35">
      <c r="A5480" s="6" t="s">
        <v>135</v>
      </c>
      <c r="B5480" s="7" t="s">
        <v>160</v>
      </c>
      <c r="C5480" s="7" t="s">
        <v>146</v>
      </c>
      <c r="D5480" s="7" t="s">
        <v>147</v>
      </c>
      <c r="E5480" s="8" t="s">
        <v>137</v>
      </c>
    </row>
    <row r="5481" spans="1:5" x14ac:dyDescent="0.35">
      <c r="A5481" s="9" t="s">
        <v>135</v>
      </c>
      <c r="B5481" s="10"/>
      <c r="C5481" s="10"/>
      <c r="D5481" s="10" t="s">
        <v>148</v>
      </c>
      <c r="E5481" s="11" t="s">
        <v>137</v>
      </c>
    </row>
    <row r="5482" spans="1:5" x14ac:dyDescent="0.35">
      <c r="A5482" s="6" t="s">
        <v>135</v>
      </c>
      <c r="B5482" s="7"/>
      <c r="C5482" s="7"/>
      <c r="D5482" s="7" t="s">
        <v>149</v>
      </c>
      <c r="E5482" s="8" t="s">
        <v>137</v>
      </c>
    </row>
    <row r="5483" spans="1:5" x14ac:dyDescent="0.35">
      <c r="A5483" s="9" t="s">
        <v>135</v>
      </c>
      <c r="B5483" s="10"/>
      <c r="C5483" s="10" t="s">
        <v>150</v>
      </c>
      <c r="D5483" s="10" t="s">
        <v>147</v>
      </c>
      <c r="E5483" s="11" t="s">
        <v>137</v>
      </c>
    </row>
    <row r="5484" spans="1:5" x14ac:dyDescent="0.35">
      <c r="A5484" s="6" t="s">
        <v>135</v>
      </c>
      <c r="B5484" s="7"/>
      <c r="C5484" s="7"/>
      <c r="D5484" s="7" t="s">
        <v>148</v>
      </c>
      <c r="E5484" s="8" t="s">
        <v>137</v>
      </c>
    </row>
    <row r="5485" spans="1:5" x14ac:dyDescent="0.35">
      <c r="A5485" s="9" t="s">
        <v>135</v>
      </c>
      <c r="B5485" s="10"/>
      <c r="C5485" s="10"/>
      <c r="D5485" s="10" t="s">
        <v>149</v>
      </c>
      <c r="E5485" s="11" t="s">
        <v>137</v>
      </c>
    </row>
    <row r="5486" spans="1:5" x14ac:dyDescent="0.35">
      <c r="A5486" s="6" t="s">
        <v>135</v>
      </c>
      <c r="B5486" s="7" t="s">
        <v>161</v>
      </c>
      <c r="C5486" s="7" t="s">
        <v>146</v>
      </c>
      <c r="D5486" s="7" t="s">
        <v>147</v>
      </c>
      <c r="E5486" s="8" t="s">
        <v>137</v>
      </c>
    </row>
    <row r="5487" spans="1:5" x14ac:dyDescent="0.35">
      <c r="A5487" s="9" t="s">
        <v>135</v>
      </c>
      <c r="B5487" s="10"/>
      <c r="C5487" s="10"/>
      <c r="D5487" s="10" t="s">
        <v>148</v>
      </c>
      <c r="E5487" s="11" t="s">
        <v>137</v>
      </c>
    </row>
    <row r="5488" spans="1:5" x14ac:dyDescent="0.35">
      <c r="A5488" s="6" t="s">
        <v>135</v>
      </c>
      <c r="B5488" s="7"/>
      <c r="C5488" s="7"/>
      <c r="D5488" s="7" t="s">
        <v>149</v>
      </c>
      <c r="E5488" s="8" t="s">
        <v>137</v>
      </c>
    </row>
    <row r="5489" spans="1:5" x14ac:dyDescent="0.35">
      <c r="A5489" s="9" t="s">
        <v>135</v>
      </c>
      <c r="B5489" s="10"/>
      <c r="C5489" s="10" t="s">
        <v>150</v>
      </c>
      <c r="D5489" s="10" t="s">
        <v>147</v>
      </c>
      <c r="E5489" s="11" t="s">
        <v>137</v>
      </c>
    </row>
    <row r="5490" spans="1:5" x14ac:dyDescent="0.35">
      <c r="A5490" s="6" t="s">
        <v>135</v>
      </c>
      <c r="B5490" s="7"/>
      <c r="C5490" s="7"/>
      <c r="D5490" s="7" t="s">
        <v>148</v>
      </c>
      <c r="E5490" s="8" t="s">
        <v>137</v>
      </c>
    </row>
    <row r="5491" spans="1:5" x14ac:dyDescent="0.35">
      <c r="A5491" s="9" t="s">
        <v>135</v>
      </c>
      <c r="B5491" s="10"/>
      <c r="C5491" s="10"/>
      <c r="D5491" s="10" t="s">
        <v>149</v>
      </c>
      <c r="E5491" s="11" t="s">
        <v>137</v>
      </c>
    </row>
    <row r="5492" spans="1:5" x14ac:dyDescent="0.35">
      <c r="A5492" s="6" t="s">
        <v>135</v>
      </c>
      <c r="B5492" s="7" t="s">
        <v>162</v>
      </c>
      <c r="C5492" s="7" t="s">
        <v>146</v>
      </c>
      <c r="D5492" s="7" t="s">
        <v>147</v>
      </c>
      <c r="E5492" s="8" t="s">
        <v>137</v>
      </c>
    </row>
    <row r="5493" spans="1:5" x14ac:dyDescent="0.35">
      <c r="A5493" s="9" t="s">
        <v>135</v>
      </c>
      <c r="B5493" s="10"/>
      <c r="C5493" s="10"/>
      <c r="D5493" s="10" t="s">
        <v>148</v>
      </c>
      <c r="E5493" s="11" t="s">
        <v>137</v>
      </c>
    </row>
    <row r="5494" spans="1:5" x14ac:dyDescent="0.35">
      <c r="A5494" s="6" t="s">
        <v>135</v>
      </c>
      <c r="B5494" s="7"/>
      <c r="C5494" s="7"/>
      <c r="D5494" s="7" t="s">
        <v>149</v>
      </c>
      <c r="E5494" s="8" t="s">
        <v>137</v>
      </c>
    </row>
    <row r="5495" spans="1:5" x14ac:dyDescent="0.35">
      <c r="A5495" s="9" t="s">
        <v>135</v>
      </c>
      <c r="B5495" s="10"/>
      <c r="C5495" s="10" t="s">
        <v>150</v>
      </c>
      <c r="D5495" s="10" t="s">
        <v>147</v>
      </c>
      <c r="E5495" s="11" t="s">
        <v>137</v>
      </c>
    </row>
    <row r="5496" spans="1:5" x14ac:dyDescent="0.35">
      <c r="A5496" s="6" t="s">
        <v>135</v>
      </c>
      <c r="B5496" s="7"/>
      <c r="C5496" s="7"/>
      <c r="D5496" s="7" t="s">
        <v>148</v>
      </c>
      <c r="E5496" s="8" t="s">
        <v>137</v>
      </c>
    </row>
    <row r="5497" spans="1:5" x14ac:dyDescent="0.35">
      <c r="A5497" s="9" t="s">
        <v>135</v>
      </c>
      <c r="B5497" s="10"/>
      <c r="C5497" s="10"/>
      <c r="D5497" s="10" t="s">
        <v>149</v>
      </c>
      <c r="E5497" s="11" t="s">
        <v>137</v>
      </c>
    </row>
    <row r="5498" spans="1:5" x14ac:dyDescent="0.35">
      <c r="A5498" s="6" t="s">
        <v>135</v>
      </c>
      <c r="B5498" s="7" t="s">
        <v>163</v>
      </c>
      <c r="C5498" s="7" t="s">
        <v>146</v>
      </c>
      <c r="D5498" s="7" t="s">
        <v>147</v>
      </c>
      <c r="E5498" s="8">
        <v>524.79999999999995</v>
      </c>
    </row>
    <row r="5499" spans="1:5" x14ac:dyDescent="0.35">
      <c r="A5499" s="9" t="s">
        <v>135</v>
      </c>
      <c r="B5499" s="10"/>
      <c r="C5499" s="10"/>
      <c r="D5499" s="10" t="s">
        <v>148</v>
      </c>
      <c r="E5499" s="11">
        <v>520</v>
      </c>
    </row>
    <row r="5500" spans="1:5" x14ac:dyDescent="0.35">
      <c r="A5500" s="6" t="s">
        <v>135</v>
      </c>
      <c r="B5500" s="7"/>
      <c r="C5500" s="7"/>
      <c r="D5500" s="7" t="s">
        <v>149</v>
      </c>
      <c r="E5500" s="8">
        <v>4.8</v>
      </c>
    </row>
    <row r="5501" spans="1:5" x14ac:dyDescent="0.35">
      <c r="A5501" s="9" t="s">
        <v>135</v>
      </c>
      <c r="B5501" s="10"/>
      <c r="C5501" s="10" t="s">
        <v>150</v>
      </c>
      <c r="D5501" s="10" t="s">
        <v>147</v>
      </c>
      <c r="E5501" s="11" t="s">
        <v>137</v>
      </c>
    </row>
    <row r="5502" spans="1:5" x14ac:dyDescent="0.35">
      <c r="A5502" s="6" t="s">
        <v>135</v>
      </c>
      <c r="B5502" s="7"/>
      <c r="C5502" s="7"/>
      <c r="D5502" s="7" t="s">
        <v>148</v>
      </c>
      <c r="E5502" s="8" t="s">
        <v>137</v>
      </c>
    </row>
    <row r="5503" spans="1:5" x14ac:dyDescent="0.35">
      <c r="A5503" s="9" t="s">
        <v>135</v>
      </c>
      <c r="B5503" s="10"/>
      <c r="C5503" s="10"/>
      <c r="D5503" s="10" t="s">
        <v>149</v>
      </c>
      <c r="E5503" s="11" t="s">
        <v>137</v>
      </c>
    </row>
    <row r="5504" spans="1:5" x14ac:dyDescent="0.35">
      <c r="A5504" s="6" t="s">
        <v>135</v>
      </c>
      <c r="B5504" s="7" t="s">
        <v>164</v>
      </c>
      <c r="C5504" s="7" t="s">
        <v>146</v>
      </c>
      <c r="D5504" s="7" t="s">
        <v>147</v>
      </c>
      <c r="E5504" s="8" t="s">
        <v>137</v>
      </c>
    </row>
    <row r="5505" spans="1:5" x14ac:dyDescent="0.35">
      <c r="A5505" s="9" t="s">
        <v>135</v>
      </c>
      <c r="B5505" s="10"/>
      <c r="C5505" s="10"/>
      <c r="D5505" s="10" t="s">
        <v>148</v>
      </c>
      <c r="E5505" s="11" t="s">
        <v>137</v>
      </c>
    </row>
    <row r="5506" spans="1:5" x14ac:dyDescent="0.35">
      <c r="A5506" s="6" t="s">
        <v>135</v>
      </c>
      <c r="B5506" s="7"/>
      <c r="C5506" s="7"/>
      <c r="D5506" s="7" t="s">
        <v>149</v>
      </c>
      <c r="E5506" s="8" t="s">
        <v>137</v>
      </c>
    </row>
    <row r="5507" spans="1:5" x14ac:dyDescent="0.35">
      <c r="A5507" s="9" t="s">
        <v>135</v>
      </c>
      <c r="B5507" s="10"/>
      <c r="C5507" s="10" t="s">
        <v>150</v>
      </c>
      <c r="D5507" s="10" t="s">
        <v>147</v>
      </c>
      <c r="E5507" s="11" t="s">
        <v>137</v>
      </c>
    </row>
    <row r="5508" spans="1:5" x14ac:dyDescent="0.35">
      <c r="A5508" s="6" t="s">
        <v>135</v>
      </c>
      <c r="B5508" s="7"/>
      <c r="C5508" s="7"/>
      <c r="D5508" s="7" t="s">
        <v>148</v>
      </c>
      <c r="E5508" s="8" t="s">
        <v>137</v>
      </c>
    </row>
    <row r="5509" spans="1:5" x14ac:dyDescent="0.35">
      <c r="A5509" s="9" t="s">
        <v>135</v>
      </c>
      <c r="B5509" s="10"/>
      <c r="C5509" s="10"/>
      <c r="D5509" s="10" t="s">
        <v>149</v>
      </c>
      <c r="E5509" s="11" t="s">
        <v>137</v>
      </c>
    </row>
    <row r="5510" spans="1:5" x14ac:dyDescent="0.35">
      <c r="A5510" s="6" t="s">
        <v>135</v>
      </c>
      <c r="B5510" s="7" t="s">
        <v>165</v>
      </c>
      <c r="C5510" s="7" t="s">
        <v>146</v>
      </c>
      <c r="D5510" s="7" t="s">
        <v>147</v>
      </c>
      <c r="E5510" s="8">
        <v>330</v>
      </c>
    </row>
    <row r="5511" spans="1:5" x14ac:dyDescent="0.35">
      <c r="A5511" s="9" t="s">
        <v>135</v>
      </c>
      <c r="B5511" s="10"/>
      <c r="C5511" s="10"/>
      <c r="D5511" s="10" t="s">
        <v>148</v>
      </c>
      <c r="E5511" s="11">
        <v>330</v>
      </c>
    </row>
    <row r="5512" spans="1:5" x14ac:dyDescent="0.35">
      <c r="A5512" s="6" t="s">
        <v>135</v>
      </c>
      <c r="B5512" s="7"/>
      <c r="C5512" s="7"/>
      <c r="D5512" s="7" t="s">
        <v>149</v>
      </c>
      <c r="E5512" s="8" t="s">
        <v>137</v>
      </c>
    </row>
    <row r="5513" spans="1:5" x14ac:dyDescent="0.35">
      <c r="A5513" s="9" t="s">
        <v>135</v>
      </c>
      <c r="B5513" s="10"/>
      <c r="C5513" s="10" t="s">
        <v>150</v>
      </c>
      <c r="D5513" s="10" t="s">
        <v>147</v>
      </c>
      <c r="E5513" s="11" t="s">
        <v>137</v>
      </c>
    </row>
    <row r="5514" spans="1:5" x14ac:dyDescent="0.35">
      <c r="A5514" s="6" t="s">
        <v>135</v>
      </c>
      <c r="B5514" s="7"/>
      <c r="C5514" s="7"/>
      <c r="D5514" s="7" t="s">
        <v>148</v>
      </c>
      <c r="E5514" s="8" t="s">
        <v>137</v>
      </c>
    </row>
    <row r="5515" spans="1:5" x14ac:dyDescent="0.35">
      <c r="A5515" s="9" t="s">
        <v>135</v>
      </c>
      <c r="B5515" s="10"/>
      <c r="C5515" s="10"/>
      <c r="D5515" s="10" t="s">
        <v>149</v>
      </c>
      <c r="E5515" s="11" t="s">
        <v>137</v>
      </c>
    </row>
    <row r="5516" spans="1:5" x14ac:dyDescent="0.35">
      <c r="A5516" s="6" t="s">
        <v>135</v>
      </c>
      <c r="B5516" s="7" t="s">
        <v>166</v>
      </c>
      <c r="C5516" s="7" t="s">
        <v>146</v>
      </c>
      <c r="D5516" s="7" t="s">
        <v>147</v>
      </c>
      <c r="E5516" s="8">
        <v>194.8</v>
      </c>
    </row>
    <row r="5517" spans="1:5" x14ac:dyDescent="0.35">
      <c r="A5517" s="9" t="s">
        <v>135</v>
      </c>
      <c r="B5517" s="10"/>
      <c r="C5517" s="10"/>
      <c r="D5517" s="10" t="s">
        <v>148</v>
      </c>
      <c r="E5517" s="11">
        <v>190</v>
      </c>
    </row>
    <row r="5518" spans="1:5" x14ac:dyDescent="0.35">
      <c r="A5518" s="6" t="s">
        <v>135</v>
      </c>
      <c r="B5518" s="7"/>
      <c r="C5518" s="7"/>
      <c r="D5518" s="7" t="s">
        <v>149</v>
      </c>
      <c r="E5518" s="8">
        <v>4.8</v>
      </c>
    </row>
    <row r="5519" spans="1:5" x14ac:dyDescent="0.35">
      <c r="A5519" s="9" t="s">
        <v>135</v>
      </c>
      <c r="B5519" s="10"/>
      <c r="C5519" s="10" t="s">
        <v>150</v>
      </c>
      <c r="D5519" s="10" t="s">
        <v>147</v>
      </c>
      <c r="E5519" s="11" t="s">
        <v>137</v>
      </c>
    </row>
    <row r="5520" spans="1:5" x14ac:dyDescent="0.35">
      <c r="A5520" s="6" t="s">
        <v>135</v>
      </c>
      <c r="B5520" s="7"/>
      <c r="C5520" s="7"/>
      <c r="D5520" s="7" t="s">
        <v>148</v>
      </c>
      <c r="E5520" s="8" t="s">
        <v>137</v>
      </c>
    </row>
    <row r="5521" spans="1:5" x14ac:dyDescent="0.35">
      <c r="A5521" s="9" t="s">
        <v>135</v>
      </c>
      <c r="B5521" s="10"/>
      <c r="C5521" s="10"/>
      <c r="D5521" s="10" t="s">
        <v>149</v>
      </c>
      <c r="E5521" s="11" t="s">
        <v>137</v>
      </c>
    </row>
    <row r="5522" spans="1:5" x14ac:dyDescent="0.35">
      <c r="A5522" s="6" t="s">
        <v>135</v>
      </c>
      <c r="B5522" s="7" t="s">
        <v>167</v>
      </c>
      <c r="C5522" s="7" t="s">
        <v>146</v>
      </c>
      <c r="D5522" s="7" t="s">
        <v>147</v>
      </c>
      <c r="E5522" s="8" t="s">
        <v>137</v>
      </c>
    </row>
    <row r="5523" spans="1:5" x14ac:dyDescent="0.35">
      <c r="A5523" s="9" t="s">
        <v>135</v>
      </c>
      <c r="B5523" s="10"/>
      <c r="C5523" s="10"/>
      <c r="D5523" s="10" t="s">
        <v>148</v>
      </c>
      <c r="E5523" s="11" t="s">
        <v>137</v>
      </c>
    </row>
    <row r="5524" spans="1:5" x14ac:dyDescent="0.35">
      <c r="A5524" s="6" t="s">
        <v>135</v>
      </c>
      <c r="B5524" s="7"/>
      <c r="C5524" s="7"/>
      <c r="D5524" s="7" t="s">
        <v>149</v>
      </c>
      <c r="E5524" s="8" t="s">
        <v>137</v>
      </c>
    </row>
    <row r="5525" spans="1:5" x14ac:dyDescent="0.35">
      <c r="A5525" s="9" t="s">
        <v>135</v>
      </c>
      <c r="B5525" s="10"/>
      <c r="C5525" s="10" t="s">
        <v>150</v>
      </c>
      <c r="D5525" s="10" t="s">
        <v>147</v>
      </c>
      <c r="E5525" s="11" t="s">
        <v>137</v>
      </c>
    </row>
    <row r="5526" spans="1:5" x14ac:dyDescent="0.35">
      <c r="A5526" s="6" t="s">
        <v>135</v>
      </c>
      <c r="B5526" s="7"/>
      <c r="C5526" s="7"/>
      <c r="D5526" s="7" t="s">
        <v>148</v>
      </c>
      <c r="E5526" s="8" t="s">
        <v>137</v>
      </c>
    </row>
    <row r="5527" spans="1:5" x14ac:dyDescent="0.35">
      <c r="A5527" s="9" t="s">
        <v>135</v>
      </c>
      <c r="B5527" s="10"/>
      <c r="C5527" s="10"/>
      <c r="D5527" s="10" t="s">
        <v>149</v>
      </c>
      <c r="E5527" s="11" t="s">
        <v>137</v>
      </c>
    </row>
    <row r="5528" spans="1:5" x14ac:dyDescent="0.35">
      <c r="A5528" s="6" t="s">
        <v>135</v>
      </c>
      <c r="B5528" s="7" t="s">
        <v>168</v>
      </c>
      <c r="C5528" s="7" t="s">
        <v>146</v>
      </c>
      <c r="D5528" s="7" t="s">
        <v>147</v>
      </c>
      <c r="E5528" s="8" t="s">
        <v>137</v>
      </c>
    </row>
    <row r="5529" spans="1:5" x14ac:dyDescent="0.35">
      <c r="A5529" s="9" t="s">
        <v>135</v>
      </c>
      <c r="B5529" s="10"/>
      <c r="C5529" s="10"/>
      <c r="D5529" s="10" t="s">
        <v>148</v>
      </c>
      <c r="E5529" s="11" t="s">
        <v>137</v>
      </c>
    </row>
    <row r="5530" spans="1:5" x14ac:dyDescent="0.35">
      <c r="A5530" s="6" t="s">
        <v>135</v>
      </c>
      <c r="B5530" s="7"/>
      <c r="C5530" s="7"/>
      <c r="D5530" s="7" t="s">
        <v>149</v>
      </c>
      <c r="E5530" s="8" t="s">
        <v>137</v>
      </c>
    </row>
    <row r="5531" spans="1:5" x14ac:dyDescent="0.35">
      <c r="A5531" s="9" t="s">
        <v>135</v>
      </c>
      <c r="B5531" s="10"/>
      <c r="C5531" s="10" t="s">
        <v>150</v>
      </c>
      <c r="D5531" s="10" t="s">
        <v>147</v>
      </c>
      <c r="E5531" s="11" t="s">
        <v>137</v>
      </c>
    </row>
    <row r="5532" spans="1:5" x14ac:dyDescent="0.35">
      <c r="A5532" s="6" t="s">
        <v>135</v>
      </c>
      <c r="B5532" s="7"/>
      <c r="C5532" s="7"/>
      <c r="D5532" s="7" t="s">
        <v>148</v>
      </c>
      <c r="E5532" s="8" t="s">
        <v>137</v>
      </c>
    </row>
    <row r="5533" spans="1:5" x14ac:dyDescent="0.35">
      <c r="A5533" s="9" t="s">
        <v>135</v>
      </c>
      <c r="B5533" s="10"/>
      <c r="C5533" s="10"/>
      <c r="D5533" s="10" t="s">
        <v>149</v>
      </c>
      <c r="E5533" s="11" t="s">
        <v>137</v>
      </c>
    </row>
    <row r="5534" spans="1:5" x14ac:dyDescent="0.35">
      <c r="A5534" s="6" t="s">
        <v>135</v>
      </c>
      <c r="B5534" s="7" t="s">
        <v>169</v>
      </c>
      <c r="C5534" s="7" t="s">
        <v>146</v>
      </c>
      <c r="D5534" s="7" t="s">
        <v>147</v>
      </c>
      <c r="E5534" s="8" t="s">
        <v>137</v>
      </c>
    </row>
    <row r="5535" spans="1:5" x14ac:dyDescent="0.35">
      <c r="A5535" s="9" t="s">
        <v>135</v>
      </c>
      <c r="B5535" s="10"/>
      <c r="C5535" s="10"/>
      <c r="D5535" s="10" t="s">
        <v>148</v>
      </c>
      <c r="E5535" s="11" t="s">
        <v>137</v>
      </c>
    </row>
    <row r="5536" spans="1:5" x14ac:dyDescent="0.35">
      <c r="A5536" s="6" t="s">
        <v>135</v>
      </c>
      <c r="B5536" s="7"/>
      <c r="C5536" s="7"/>
      <c r="D5536" s="7" t="s">
        <v>149</v>
      </c>
      <c r="E5536" s="8" t="s">
        <v>137</v>
      </c>
    </row>
    <row r="5537" spans="1:5" x14ac:dyDescent="0.35">
      <c r="A5537" s="9" t="s">
        <v>135</v>
      </c>
      <c r="B5537" s="10"/>
      <c r="C5537" s="10" t="s">
        <v>150</v>
      </c>
      <c r="D5537" s="10" t="s">
        <v>147</v>
      </c>
      <c r="E5537" s="11" t="s">
        <v>137</v>
      </c>
    </row>
    <row r="5538" spans="1:5" x14ac:dyDescent="0.35">
      <c r="A5538" s="6" t="s">
        <v>135</v>
      </c>
      <c r="B5538" s="7"/>
      <c r="C5538" s="7"/>
      <c r="D5538" s="7" t="s">
        <v>148</v>
      </c>
      <c r="E5538" s="8" t="s">
        <v>137</v>
      </c>
    </row>
    <row r="5539" spans="1:5" x14ac:dyDescent="0.35">
      <c r="A5539" s="9" t="s">
        <v>135</v>
      </c>
      <c r="B5539" s="10"/>
      <c r="C5539" s="10"/>
      <c r="D5539" s="10" t="s">
        <v>149</v>
      </c>
      <c r="E5539" s="11" t="s">
        <v>137</v>
      </c>
    </row>
    <row r="5540" spans="1:5" x14ac:dyDescent="0.35">
      <c r="A5540" s="6" t="s">
        <v>135</v>
      </c>
      <c r="B5540" s="7" t="s">
        <v>170</v>
      </c>
      <c r="C5540" s="7" t="s">
        <v>146</v>
      </c>
      <c r="D5540" s="7" t="s">
        <v>147</v>
      </c>
      <c r="E5540" s="8" t="s">
        <v>137</v>
      </c>
    </row>
    <row r="5541" spans="1:5" x14ac:dyDescent="0.35">
      <c r="A5541" s="9" t="s">
        <v>135</v>
      </c>
      <c r="B5541" s="10"/>
      <c r="C5541" s="10"/>
      <c r="D5541" s="10" t="s">
        <v>148</v>
      </c>
      <c r="E5541" s="11" t="s">
        <v>137</v>
      </c>
    </row>
    <row r="5542" spans="1:5" x14ac:dyDescent="0.35">
      <c r="A5542" s="6" t="s">
        <v>135</v>
      </c>
      <c r="B5542" s="7"/>
      <c r="C5542" s="7"/>
      <c r="D5542" s="7" t="s">
        <v>149</v>
      </c>
      <c r="E5542" s="8" t="s">
        <v>137</v>
      </c>
    </row>
    <row r="5543" spans="1:5" x14ac:dyDescent="0.35">
      <c r="A5543" s="9" t="s">
        <v>135</v>
      </c>
      <c r="B5543" s="10"/>
      <c r="C5543" s="10" t="s">
        <v>150</v>
      </c>
      <c r="D5543" s="10" t="s">
        <v>147</v>
      </c>
      <c r="E5543" s="11" t="s">
        <v>137</v>
      </c>
    </row>
    <row r="5544" spans="1:5" x14ac:dyDescent="0.35">
      <c r="A5544" s="6" t="s">
        <v>135</v>
      </c>
      <c r="B5544" s="7"/>
      <c r="C5544" s="7"/>
      <c r="D5544" s="7" t="s">
        <v>148</v>
      </c>
      <c r="E5544" s="8" t="s">
        <v>137</v>
      </c>
    </row>
    <row r="5545" spans="1:5" x14ac:dyDescent="0.35">
      <c r="A5545" s="9" t="s">
        <v>135</v>
      </c>
      <c r="B5545" s="10"/>
      <c r="C5545" s="10"/>
      <c r="D5545" s="10" t="s">
        <v>149</v>
      </c>
      <c r="E5545" s="11" t="s">
        <v>137</v>
      </c>
    </row>
    <row r="5546" spans="1:5" x14ac:dyDescent="0.35">
      <c r="A5546" s="6" t="s">
        <v>128</v>
      </c>
      <c r="B5546" s="7" t="s">
        <v>145</v>
      </c>
      <c r="C5546" s="7" t="s">
        <v>146</v>
      </c>
      <c r="D5546" s="7" t="s">
        <v>147</v>
      </c>
      <c r="E5546" s="8">
        <v>1285.19</v>
      </c>
    </row>
    <row r="5547" spans="1:5" x14ac:dyDescent="0.35">
      <c r="A5547" s="9" t="s">
        <v>135</v>
      </c>
      <c r="B5547" s="10"/>
      <c r="C5547" s="10"/>
      <c r="D5547" s="10" t="s">
        <v>148</v>
      </c>
      <c r="E5547" s="11">
        <v>1281.53</v>
      </c>
    </row>
    <row r="5548" spans="1:5" x14ac:dyDescent="0.35">
      <c r="A5548" s="6" t="s">
        <v>135</v>
      </c>
      <c r="B5548" s="7"/>
      <c r="C5548" s="7"/>
      <c r="D5548" s="7" t="s">
        <v>149</v>
      </c>
      <c r="E5548" s="8">
        <v>3.67</v>
      </c>
    </row>
    <row r="5549" spans="1:5" x14ac:dyDescent="0.35">
      <c r="A5549" s="9" t="s">
        <v>135</v>
      </c>
      <c r="B5549" s="10"/>
      <c r="C5549" s="10" t="s">
        <v>150</v>
      </c>
      <c r="D5549" s="10" t="s">
        <v>147</v>
      </c>
      <c r="E5549" s="11" t="s">
        <v>137</v>
      </c>
    </row>
    <row r="5550" spans="1:5" x14ac:dyDescent="0.35">
      <c r="A5550" s="6" t="s">
        <v>135</v>
      </c>
      <c r="B5550" s="7"/>
      <c r="C5550" s="7"/>
      <c r="D5550" s="7" t="s">
        <v>148</v>
      </c>
      <c r="E5550" s="8" t="s">
        <v>137</v>
      </c>
    </row>
    <row r="5551" spans="1:5" x14ac:dyDescent="0.35">
      <c r="A5551" s="9" t="s">
        <v>135</v>
      </c>
      <c r="B5551" s="10"/>
      <c r="C5551" s="10"/>
      <c r="D5551" s="10" t="s">
        <v>149</v>
      </c>
      <c r="E5551" s="11" t="s">
        <v>137</v>
      </c>
    </row>
    <row r="5552" spans="1:5" x14ac:dyDescent="0.35">
      <c r="A5552" s="6" t="s">
        <v>135</v>
      </c>
      <c r="B5552" s="7" t="s">
        <v>151</v>
      </c>
      <c r="C5552" s="7" t="s">
        <v>146</v>
      </c>
      <c r="D5552" s="7" t="s">
        <v>147</v>
      </c>
      <c r="E5552" s="8">
        <v>105.18</v>
      </c>
    </row>
    <row r="5553" spans="1:5" x14ac:dyDescent="0.35">
      <c r="A5553" s="9" t="s">
        <v>135</v>
      </c>
      <c r="B5553" s="10"/>
      <c r="C5553" s="10"/>
      <c r="D5553" s="10" t="s">
        <v>148</v>
      </c>
      <c r="E5553" s="11">
        <v>102.08</v>
      </c>
    </row>
    <row r="5554" spans="1:5" x14ac:dyDescent="0.35">
      <c r="A5554" s="6" t="s">
        <v>135</v>
      </c>
      <c r="B5554" s="7"/>
      <c r="C5554" s="7"/>
      <c r="D5554" s="7" t="s">
        <v>149</v>
      </c>
      <c r="E5554" s="8">
        <v>3.1</v>
      </c>
    </row>
    <row r="5555" spans="1:5" x14ac:dyDescent="0.35">
      <c r="A5555" s="9" t="s">
        <v>135</v>
      </c>
      <c r="B5555" s="10"/>
      <c r="C5555" s="10" t="s">
        <v>150</v>
      </c>
      <c r="D5555" s="10" t="s">
        <v>147</v>
      </c>
      <c r="E5555" s="11" t="s">
        <v>137</v>
      </c>
    </row>
    <row r="5556" spans="1:5" x14ac:dyDescent="0.35">
      <c r="A5556" s="6" t="s">
        <v>135</v>
      </c>
      <c r="B5556" s="7"/>
      <c r="C5556" s="7"/>
      <c r="D5556" s="7" t="s">
        <v>148</v>
      </c>
      <c r="E5556" s="8" t="s">
        <v>137</v>
      </c>
    </row>
    <row r="5557" spans="1:5" x14ac:dyDescent="0.35">
      <c r="A5557" s="9" t="s">
        <v>135</v>
      </c>
      <c r="B5557" s="10"/>
      <c r="C5557" s="10"/>
      <c r="D5557" s="10" t="s">
        <v>149</v>
      </c>
      <c r="E5557" s="11" t="s">
        <v>137</v>
      </c>
    </row>
    <row r="5558" spans="1:5" x14ac:dyDescent="0.35">
      <c r="A5558" s="6" t="s">
        <v>135</v>
      </c>
      <c r="B5558" s="7" t="s">
        <v>152</v>
      </c>
      <c r="C5558" s="7" t="s">
        <v>146</v>
      </c>
      <c r="D5558" s="7" t="s">
        <v>147</v>
      </c>
      <c r="E5558" s="8" t="s">
        <v>137</v>
      </c>
    </row>
    <row r="5559" spans="1:5" x14ac:dyDescent="0.35">
      <c r="A5559" s="9" t="s">
        <v>135</v>
      </c>
      <c r="B5559" s="10"/>
      <c r="C5559" s="10"/>
      <c r="D5559" s="10" t="s">
        <v>148</v>
      </c>
      <c r="E5559" s="11" t="s">
        <v>137</v>
      </c>
    </row>
    <row r="5560" spans="1:5" x14ac:dyDescent="0.35">
      <c r="A5560" s="6" t="s">
        <v>135</v>
      </c>
      <c r="B5560" s="7"/>
      <c r="C5560" s="7"/>
      <c r="D5560" s="7" t="s">
        <v>149</v>
      </c>
      <c r="E5560" s="8" t="s">
        <v>137</v>
      </c>
    </row>
    <row r="5561" spans="1:5" x14ac:dyDescent="0.35">
      <c r="A5561" s="9" t="s">
        <v>135</v>
      </c>
      <c r="B5561" s="10"/>
      <c r="C5561" s="10" t="s">
        <v>150</v>
      </c>
      <c r="D5561" s="10" t="s">
        <v>147</v>
      </c>
      <c r="E5561" s="11" t="s">
        <v>137</v>
      </c>
    </row>
    <row r="5562" spans="1:5" x14ac:dyDescent="0.35">
      <c r="A5562" s="6" t="s">
        <v>135</v>
      </c>
      <c r="B5562" s="7"/>
      <c r="C5562" s="7"/>
      <c r="D5562" s="7" t="s">
        <v>148</v>
      </c>
      <c r="E5562" s="8" t="s">
        <v>137</v>
      </c>
    </row>
    <row r="5563" spans="1:5" x14ac:dyDescent="0.35">
      <c r="A5563" s="9" t="s">
        <v>135</v>
      </c>
      <c r="B5563" s="10"/>
      <c r="C5563" s="10"/>
      <c r="D5563" s="10" t="s">
        <v>149</v>
      </c>
      <c r="E5563" s="11" t="s">
        <v>137</v>
      </c>
    </row>
    <row r="5564" spans="1:5" x14ac:dyDescent="0.35">
      <c r="A5564" s="6" t="s">
        <v>135</v>
      </c>
      <c r="B5564" s="7" t="s">
        <v>153</v>
      </c>
      <c r="C5564" s="7" t="s">
        <v>146</v>
      </c>
      <c r="D5564" s="7" t="s">
        <v>147</v>
      </c>
      <c r="E5564" s="8" t="s">
        <v>137</v>
      </c>
    </row>
    <row r="5565" spans="1:5" x14ac:dyDescent="0.35">
      <c r="A5565" s="9" t="s">
        <v>135</v>
      </c>
      <c r="B5565" s="10"/>
      <c r="C5565" s="10"/>
      <c r="D5565" s="10" t="s">
        <v>148</v>
      </c>
      <c r="E5565" s="11" t="s">
        <v>137</v>
      </c>
    </row>
    <row r="5566" spans="1:5" x14ac:dyDescent="0.35">
      <c r="A5566" s="6" t="s">
        <v>135</v>
      </c>
      <c r="B5566" s="7"/>
      <c r="C5566" s="7"/>
      <c r="D5566" s="7" t="s">
        <v>149</v>
      </c>
      <c r="E5566" s="8" t="s">
        <v>137</v>
      </c>
    </row>
    <row r="5567" spans="1:5" x14ac:dyDescent="0.35">
      <c r="A5567" s="9" t="s">
        <v>135</v>
      </c>
      <c r="B5567" s="10"/>
      <c r="C5567" s="10" t="s">
        <v>150</v>
      </c>
      <c r="D5567" s="10" t="s">
        <v>147</v>
      </c>
      <c r="E5567" s="11" t="s">
        <v>137</v>
      </c>
    </row>
    <row r="5568" spans="1:5" x14ac:dyDescent="0.35">
      <c r="A5568" s="6" t="s">
        <v>135</v>
      </c>
      <c r="B5568" s="7"/>
      <c r="C5568" s="7"/>
      <c r="D5568" s="7" t="s">
        <v>148</v>
      </c>
      <c r="E5568" s="8" t="s">
        <v>137</v>
      </c>
    </row>
    <row r="5569" spans="1:5" x14ac:dyDescent="0.35">
      <c r="A5569" s="9" t="s">
        <v>135</v>
      </c>
      <c r="B5569" s="10"/>
      <c r="C5569" s="10"/>
      <c r="D5569" s="10" t="s">
        <v>149</v>
      </c>
      <c r="E5569" s="11" t="s">
        <v>137</v>
      </c>
    </row>
    <row r="5570" spans="1:5" x14ac:dyDescent="0.35">
      <c r="A5570" s="6" t="s">
        <v>135</v>
      </c>
      <c r="B5570" s="7" t="s">
        <v>154</v>
      </c>
      <c r="C5570" s="7" t="s">
        <v>146</v>
      </c>
      <c r="D5570" s="7" t="s">
        <v>147</v>
      </c>
      <c r="E5570" s="8" t="s">
        <v>137</v>
      </c>
    </row>
    <row r="5571" spans="1:5" x14ac:dyDescent="0.35">
      <c r="A5571" s="9" t="s">
        <v>135</v>
      </c>
      <c r="B5571" s="10"/>
      <c r="C5571" s="10"/>
      <c r="D5571" s="10" t="s">
        <v>148</v>
      </c>
      <c r="E5571" s="11" t="s">
        <v>137</v>
      </c>
    </row>
    <row r="5572" spans="1:5" x14ac:dyDescent="0.35">
      <c r="A5572" s="6" t="s">
        <v>135</v>
      </c>
      <c r="B5572" s="7"/>
      <c r="C5572" s="7"/>
      <c r="D5572" s="7" t="s">
        <v>149</v>
      </c>
      <c r="E5572" s="8" t="s">
        <v>137</v>
      </c>
    </row>
    <row r="5573" spans="1:5" x14ac:dyDescent="0.35">
      <c r="A5573" s="9" t="s">
        <v>135</v>
      </c>
      <c r="B5573" s="10"/>
      <c r="C5573" s="10" t="s">
        <v>150</v>
      </c>
      <c r="D5573" s="10" t="s">
        <v>147</v>
      </c>
      <c r="E5573" s="11" t="s">
        <v>137</v>
      </c>
    </row>
    <row r="5574" spans="1:5" x14ac:dyDescent="0.35">
      <c r="A5574" s="6" t="s">
        <v>135</v>
      </c>
      <c r="B5574" s="7"/>
      <c r="C5574" s="7"/>
      <c r="D5574" s="7" t="s">
        <v>148</v>
      </c>
      <c r="E5574" s="8" t="s">
        <v>137</v>
      </c>
    </row>
    <row r="5575" spans="1:5" x14ac:dyDescent="0.35">
      <c r="A5575" s="9" t="s">
        <v>135</v>
      </c>
      <c r="B5575" s="10"/>
      <c r="C5575" s="10"/>
      <c r="D5575" s="10" t="s">
        <v>149</v>
      </c>
      <c r="E5575" s="11" t="s">
        <v>137</v>
      </c>
    </row>
    <row r="5576" spans="1:5" x14ac:dyDescent="0.35">
      <c r="A5576" s="6" t="s">
        <v>135</v>
      </c>
      <c r="B5576" s="7" t="s">
        <v>155</v>
      </c>
      <c r="C5576" s="7" t="s">
        <v>146</v>
      </c>
      <c r="D5576" s="7" t="s">
        <v>147</v>
      </c>
      <c r="E5576" s="8">
        <v>1080.02</v>
      </c>
    </row>
    <row r="5577" spans="1:5" x14ac:dyDescent="0.35">
      <c r="A5577" s="9" t="s">
        <v>135</v>
      </c>
      <c r="B5577" s="10"/>
      <c r="C5577" s="10"/>
      <c r="D5577" s="10" t="s">
        <v>148</v>
      </c>
      <c r="E5577" s="11">
        <v>1079.45</v>
      </c>
    </row>
    <row r="5578" spans="1:5" x14ac:dyDescent="0.35">
      <c r="A5578" s="6" t="s">
        <v>135</v>
      </c>
      <c r="B5578" s="7"/>
      <c r="C5578" s="7"/>
      <c r="D5578" s="7" t="s">
        <v>149</v>
      </c>
      <c r="E5578" s="8">
        <v>0.56000000000000005</v>
      </c>
    </row>
    <row r="5579" spans="1:5" x14ac:dyDescent="0.35">
      <c r="A5579" s="9" t="s">
        <v>135</v>
      </c>
      <c r="B5579" s="10"/>
      <c r="C5579" s="10" t="s">
        <v>150</v>
      </c>
      <c r="D5579" s="10" t="s">
        <v>147</v>
      </c>
      <c r="E5579" s="11" t="s">
        <v>137</v>
      </c>
    </row>
    <row r="5580" spans="1:5" x14ac:dyDescent="0.35">
      <c r="A5580" s="6" t="s">
        <v>135</v>
      </c>
      <c r="B5580" s="7"/>
      <c r="C5580" s="7"/>
      <c r="D5580" s="7" t="s">
        <v>148</v>
      </c>
      <c r="E5580" s="8" t="s">
        <v>137</v>
      </c>
    </row>
    <row r="5581" spans="1:5" x14ac:dyDescent="0.35">
      <c r="A5581" s="9" t="s">
        <v>135</v>
      </c>
      <c r="B5581" s="10"/>
      <c r="C5581" s="10"/>
      <c r="D5581" s="10" t="s">
        <v>149</v>
      </c>
      <c r="E5581" s="11" t="s">
        <v>137</v>
      </c>
    </row>
    <row r="5582" spans="1:5" x14ac:dyDescent="0.35">
      <c r="A5582" s="6" t="s">
        <v>135</v>
      </c>
      <c r="B5582" s="7" t="s">
        <v>156</v>
      </c>
      <c r="C5582" s="7" t="s">
        <v>146</v>
      </c>
      <c r="D5582" s="7" t="s">
        <v>147</v>
      </c>
      <c r="E5582" s="8" t="s">
        <v>137</v>
      </c>
    </row>
    <row r="5583" spans="1:5" x14ac:dyDescent="0.35">
      <c r="A5583" s="9" t="s">
        <v>135</v>
      </c>
      <c r="B5583" s="10"/>
      <c r="C5583" s="10"/>
      <c r="D5583" s="10" t="s">
        <v>148</v>
      </c>
      <c r="E5583" s="11" t="s">
        <v>137</v>
      </c>
    </row>
    <row r="5584" spans="1:5" x14ac:dyDescent="0.35">
      <c r="A5584" s="6" t="s">
        <v>135</v>
      </c>
      <c r="B5584" s="7"/>
      <c r="C5584" s="7"/>
      <c r="D5584" s="7" t="s">
        <v>149</v>
      </c>
      <c r="E5584" s="8" t="s">
        <v>137</v>
      </c>
    </row>
    <row r="5585" spans="1:5" x14ac:dyDescent="0.35">
      <c r="A5585" s="9" t="s">
        <v>135</v>
      </c>
      <c r="B5585" s="10"/>
      <c r="C5585" s="10" t="s">
        <v>150</v>
      </c>
      <c r="D5585" s="10" t="s">
        <v>147</v>
      </c>
      <c r="E5585" s="11" t="s">
        <v>137</v>
      </c>
    </row>
    <row r="5586" spans="1:5" x14ac:dyDescent="0.35">
      <c r="A5586" s="6" t="s">
        <v>135</v>
      </c>
      <c r="B5586" s="7"/>
      <c r="C5586" s="7"/>
      <c r="D5586" s="7" t="s">
        <v>148</v>
      </c>
      <c r="E5586" s="8" t="s">
        <v>137</v>
      </c>
    </row>
    <row r="5587" spans="1:5" x14ac:dyDescent="0.35">
      <c r="A5587" s="9" t="s">
        <v>135</v>
      </c>
      <c r="B5587" s="10"/>
      <c r="C5587" s="10"/>
      <c r="D5587" s="10" t="s">
        <v>149</v>
      </c>
      <c r="E5587" s="11" t="s">
        <v>137</v>
      </c>
    </row>
    <row r="5588" spans="1:5" x14ac:dyDescent="0.35">
      <c r="A5588" s="6" t="s">
        <v>135</v>
      </c>
      <c r="B5588" s="7" t="s">
        <v>157</v>
      </c>
      <c r="C5588" s="7" t="s">
        <v>146</v>
      </c>
      <c r="D5588" s="7" t="s">
        <v>147</v>
      </c>
      <c r="E5588" s="8" t="s">
        <v>137</v>
      </c>
    </row>
    <row r="5589" spans="1:5" x14ac:dyDescent="0.35">
      <c r="A5589" s="9" t="s">
        <v>135</v>
      </c>
      <c r="B5589" s="10"/>
      <c r="C5589" s="10"/>
      <c r="D5589" s="10" t="s">
        <v>148</v>
      </c>
      <c r="E5589" s="11" t="s">
        <v>137</v>
      </c>
    </row>
    <row r="5590" spans="1:5" x14ac:dyDescent="0.35">
      <c r="A5590" s="6" t="s">
        <v>135</v>
      </c>
      <c r="B5590" s="7"/>
      <c r="C5590" s="7"/>
      <c r="D5590" s="7" t="s">
        <v>149</v>
      </c>
      <c r="E5590" s="8" t="s">
        <v>137</v>
      </c>
    </row>
    <row r="5591" spans="1:5" x14ac:dyDescent="0.35">
      <c r="A5591" s="9" t="s">
        <v>135</v>
      </c>
      <c r="B5591" s="10"/>
      <c r="C5591" s="10" t="s">
        <v>150</v>
      </c>
      <c r="D5591" s="10" t="s">
        <v>147</v>
      </c>
      <c r="E5591" s="11" t="s">
        <v>137</v>
      </c>
    </row>
    <row r="5592" spans="1:5" x14ac:dyDescent="0.35">
      <c r="A5592" s="6" t="s">
        <v>135</v>
      </c>
      <c r="B5592" s="7"/>
      <c r="C5592" s="7"/>
      <c r="D5592" s="7" t="s">
        <v>148</v>
      </c>
      <c r="E5592" s="8" t="s">
        <v>137</v>
      </c>
    </row>
    <row r="5593" spans="1:5" x14ac:dyDescent="0.35">
      <c r="A5593" s="9" t="s">
        <v>135</v>
      </c>
      <c r="B5593" s="10"/>
      <c r="C5593" s="10"/>
      <c r="D5593" s="10" t="s">
        <v>149</v>
      </c>
      <c r="E5593" s="11" t="s">
        <v>137</v>
      </c>
    </row>
    <row r="5594" spans="1:5" x14ac:dyDescent="0.35">
      <c r="A5594" s="6" t="s">
        <v>135</v>
      </c>
      <c r="B5594" s="7" t="s">
        <v>158</v>
      </c>
      <c r="C5594" s="7" t="s">
        <v>146</v>
      </c>
      <c r="D5594" s="7" t="s">
        <v>147</v>
      </c>
      <c r="E5594" s="8">
        <v>100</v>
      </c>
    </row>
    <row r="5595" spans="1:5" x14ac:dyDescent="0.35">
      <c r="A5595" s="9" t="s">
        <v>135</v>
      </c>
      <c r="B5595" s="10"/>
      <c r="C5595" s="10"/>
      <c r="D5595" s="10" t="s">
        <v>148</v>
      </c>
      <c r="E5595" s="11">
        <v>100</v>
      </c>
    </row>
    <row r="5596" spans="1:5" x14ac:dyDescent="0.35">
      <c r="A5596" s="6" t="s">
        <v>135</v>
      </c>
      <c r="B5596" s="7"/>
      <c r="C5596" s="7"/>
      <c r="D5596" s="7" t="s">
        <v>149</v>
      </c>
      <c r="E5596" s="8" t="s">
        <v>137</v>
      </c>
    </row>
    <row r="5597" spans="1:5" x14ac:dyDescent="0.35">
      <c r="A5597" s="9" t="s">
        <v>135</v>
      </c>
      <c r="B5597" s="10"/>
      <c r="C5597" s="10" t="s">
        <v>150</v>
      </c>
      <c r="D5597" s="10" t="s">
        <v>147</v>
      </c>
      <c r="E5597" s="11" t="s">
        <v>137</v>
      </c>
    </row>
    <row r="5598" spans="1:5" x14ac:dyDescent="0.35">
      <c r="A5598" s="6" t="s">
        <v>135</v>
      </c>
      <c r="B5598" s="7"/>
      <c r="C5598" s="7"/>
      <c r="D5598" s="7" t="s">
        <v>148</v>
      </c>
      <c r="E5598" s="8" t="s">
        <v>137</v>
      </c>
    </row>
    <row r="5599" spans="1:5" x14ac:dyDescent="0.35">
      <c r="A5599" s="9" t="s">
        <v>135</v>
      </c>
      <c r="B5599" s="10"/>
      <c r="C5599" s="10"/>
      <c r="D5599" s="10" t="s">
        <v>149</v>
      </c>
      <c r="E5599" s="11" t="s">
        <v>137</v>
      </c>
    </row>
    <row r="5600" spans="1:5" x14ac:dyDescent="0.35">
      <c r="A5600" s="6" t="s">
        <v>135</v>
      </c>
      <c r="B5600" s="7" t="s">
        <v>159</v>
      </c>
      <c r="C5600" s="7" t="s">
        <v>146</v>
      </c>
      <c r="D5600" s="7" t="s">
        <v>147</v>
      </c>
      <c r="E5600" s="8" t="s">
        <v>137</v>
      </c>
    </row>
    <row r="5601" spans="1:5" x14ac:dyDescent="0.35">
      <c r="A5601" s="9" t="s">
        <v>135</v>
      </c>
      <c r="B5601" s="10"/>
      <c r="C5601" s="10"/>
      <c r="D5601" s="10" t="s">
        <v>148</v>
      </c>
      <c r="E5601" s="11" t="s">
        <v>137</v>
      </c>
    </row>
    <row r="5602" spans="1:5" x14ac:dyDescent="0.35">
      <c r="A5602" s="6" t="s">
        <v>135</v>
      </c>
      <c r="B5602" s="7"/>
      <c r="C5602" s="7"/>
      <c r="D5602" s="7" t="s">
        <v>149</v>
      </c>
      <c r="E5602" s="8" t="s">
        <v>137</v>
      </c>
    </row>
    <row r="5603" spans="1:5" x14ac:dyDescent="0.35">
      <c r="A5603" s="9" t="s">
        <v>135</v>
      </c>
      <c r="B5603" s="10"/>
      <c r="C5603" s="10" t="s">
        <v>150</v>
      </c>
      <c r="D5603" s="10" t="s">
        <v>147</v>
      </c>
      <c r="E5603" s="11" t="s">
        <v>137</v>
      </c>
    </row>
    <row r="5604" spans="1:5" x14ac:dyDescent="0.35">
      <c r="A5604" s="6" t="s">
        <v>135</v>
      </c>
      <c r="B5604" s="7"/>
      <c r="C5604" s="7"/>
      <c r="D5604" s="7" t="s">
        <v>148</v>
      </c>
      <c r="E5604" s="8" t="s">
        <v>137</v>
      </c>
    </row>
    <row r="5605" spans="1:5" x14ac:dyDescent="0.35">
      <c r="A5605" s="9" t="s">
        <v>135</v>
      </c>
      <c r="B5605" s="10"/>
      <c r="C5605" s="10"/>
      <c r="D5605" s="10" t="s">
        <v>149</v>
      </c>
      <c r="E5605" s="11" t="s">
        <v>137</v>
      </c>
    </row>
    <row r="5606" spans="1:5" x14ac:dyDescent="0.35">
      <c r="A5606" s="6" t="s">
        <v>135</v>
      </c>
      <c r="B5606" s="7" t="s">
        <v>160</v>
      </c>
      <c r="C5606" s="7" t="s">
        <v>146</v>
      </c>
      <c r="D5606" s="7" t="s">
        <v>147</v>
      </c>
      <c r="E5606" s="8" t="s">
        <v>137</v>
      </c>
    </row>
    <row r="5607" spans="1:5" x14ac:dyDescent="0.35">
      <c r="A5607" s="9" t="s">
        <v>135</v>
      </c>
      <c r="B5607" s="10"/>
      <c r="C5607" s="10"/>
      <c r="D5607" s="10" t="s">
        <v>148</v>
      </c>
      <c r="E5607" s="11" t="s">
        <v>137</v>
      </c>
    </row>
    <row r="5608" spans="1:5" x14ac:dyDescent="0.35">
      <c r="A5608" s="6" t="s">
        <v>135</v>
      </c>
      <c r="B5608" s="7"/>
      <c r="C5608" s="7"/>
      <c r="D5608" s="7" t="s">
        <v>149</v>
      </c>
      <c r="E5608" s="8" t="s">
        <v>137</v>
      </c>
    </row>
    <row r="5609" spans="1:5" x14ac:dyDescent="0.35">
      <c r="A5609" s="9" t="s">
        <v>135</v>
      </c>
      <c r="B5609" s="10"/>
      <c r="C5609" s="10" t="s">
        <v>150</v>
      </c>
      <c r="D5609" s="10" t="s">
        <v>147</v>
      </c>
      <c r="E5609" s="11" t="s">
        <v>137</v>
      </c>
    </row>
    <row r="5610" spans="1:5" x14ac:dyDescent="0.35">
      <c r="A5610" s="6" t="s">
        <v>135</v>
      </c>
      <c r="B5610" s="7"/>
      <c r="C5610" s="7"/>
      <c r="D5610" s="7" t="s">
        <v>148</v>
      </c>
      <c r="E5610" s="8" t="s">
        <v>137</v>
      </c>
    </row>
    <row r="5611" spans="1:5" x14ac:dyDescent="0.35">
      <c r="A5611" s="9" t="s">
        <v>135</v>
      </c>
      <c r="B5611" s="10"/>
      <c r="C5611" s="10"/>
      <c r="D5611" s="10" t="s">
        <v>149</v>
      </c>
      <c r="E5611" s="11" t="s">
        <v>137</v>
      </c>
    </row>
    <row r="5612" spans="1:5" x14ac:dyDescent="0.35">
      <c r="A5612" s="6" t="s">
        <v>135</v>
      </c>
      <c r="B5612" s="7" t="s">
        <v>161</v>
      </c>
      <c r="C5612" s="7" t="s">
        <v>146</v>
      </c>
      <c r="D5612" s="7" t="s">
        <v>147</v>
      </c>
      <c r="E5612" s="8" t="s">
        <v>137</v>
      </c>
    </row>
    <row r="5613" spans="1:5" x14ac:dyDescent="0.35">
      <c r="A5613" s="9" t="s">
        <v>135</v>
      </c>
      <c r="B5613" s="10"/>
      <c r="C5613" s="10"/>
      <c r="D5613" s="10" t="s">
        <v>148</v>
      </c>
      <c r="E5613" s="11" t="s">
        <v>137</v>
      </c>
    </row>
    <row r="5614" spans="1:5" x14ac:dyDescent="0.35">
      <c r="A5614" s="6" t="s">
        <v>135</v>
      </c>
      <c r="B5614" s="7"/>
      <c r="C5614" s="7"/>
      <c r="D5614" s="7" t="s">
        <v>149</v>
      </c>
      <c r="E5614" s="8" t="s">
        <v>137</v>
      </c>
    </row>
    <row r="5615" spans="1:5" x14ac:dyDescent="0.35">
      <c r="A5615" s="9" t="s">
        <v>135</v>
      </c>
      <c r="B5615" s="10"/>
      <c r="C5615" s="10" t="s">
        <v>150</v>
      </c>
      <c r="D5615" s="10" t="s">
        <v>147</v>
      </c>
      <c r="E5615" s="11" t="s">
        <v>137</v>
      </c>
    </row>
    <row r="5616" spans="1:5" x14ac:dyDescent="0.35">
      <c r="A5616" s="6" t="s">
        <v>135</v>
      </c>
      <c r="B5616" s="7"/>
      <c r="C5616" s="7"/>
      <c r="D5616" s="7" t="s">
        <v>148</v>
      </c>
      <c r="E5616" s="8" t="s">
        <v>137</v>
      </c>
    </row>
    <row r="5617" spans="1:5" x14ac:dyDescent="0.35">
      <c r="A5617" s="9" t="s">
        <v>135</v>
      </c>
      <c r="B5617" s="10"/>
      <c r="C5617" s="10"/>
      <c r="D5617" s="10" t="s">
        <v>149</v>
      </c>
      <c r="E5617" s="11" t="s">
        <v>137</v>
      </c>
    </row>
    <row r="5618" spans="1:5" x14ac:dyDescent="0.35">
      <c r="A5618" s="6" t="s">
        <v>135</v>
      </c>
      <c r="B5618" s="7" t="s">
        <v>162</v>
      </c>
      <c r="C5618" s="7" t="s">
        <v>146</v>
      </c>
      <c r="D5618" s="7" t="s">
        <v>147</v>
      </c>
      <c r="E5618" s="8" t="s">
        <v>137</v>
      </c>
    </row>
    <row r="5619" spans="1:5" x14ac:dyDescent="0.35">
      <c r="A5619" s="9" t="s">
        <v>135</v>
      </c>
      <c r="B5619" s="10"/>
      <c r="C5619" s="10"/>
      <c r="D5619" s="10" t="s">
        <v>148</v>
      </c>
      <c r="E5619" s="11" t="s">
        <v>137</v>
      </c>
    </row>
    <row r="5620" spans="1:5" x14ac:dyDescent="0.35">
      <c r="A5620" s="6" t="s">
        <v>135</v>
      </c>
      <c r="B5620" s="7"/>
      <c r="C5620" s="7"/>
      <c r="D5620" s="7" t="s">
        <v>149</v>
      </c>
      <c r="E5620" s="8" t="s">
        <v>137</v>
      </c>
    </row>
    <row r="5621" spans="1:5" x14ac:dyDescent="0.35">
      <c r="A5621" s="9" t="s">
        <v>135</v>
      </c>
      <c r="B5621" s="10"/>
      <c r="C5621" s="10" t="s">
        <v>150</v>
      </c>
      <c r="D5621" s="10" t="s">
        <v>147</v>
      </c>
      <c r="E5621" s="11" t="s">
        <v>137</v>
      </c>
    </row>
    <row r="5622" spans="1:5" x14ac:dyDescent="0.35">
      <c r="A5622" s="6" t="s">
        <v>135</v>
      </c>
      <c r="B5622" s="7"/>
      <c r="C5622" s="7"/>
      <c r="D5622" s="7" t="s">
        <v>148</v>
      </c>
      <c r="E5622" s="8" t="s">
        <v>137</v>
      </c>
    </row>
    <row r="5623" spans="1:5" x14ac:dyDescent="0.35">
      <c r="A5623" s="9" t="s">
        <v>135</v>
      </c>
      <c r="B5623" s="10"/>
      <c r="C5623" s="10"/>
      <c r="D5623" s="10" t="s">
        <v>149</v>
      </c>
      <c r="E5623" s="11" t="s">
        <v>137</v>
      </c>
    </row>
    <row r="5624" spans="1:5" x14ac:dyDescent="0.35">
      <c r="A5624" s="6" t="s">
        <v>135</v>
      </c>
      <c r="B5624" s="7" t="s">
        <v>163</v>
      </c>
      <c r="C5624" s="7" t="s">
        <v>146</v>
      </c>
      <c r="D5624" s="7" t="s">
        <v>147</v>
      </c>
      <c r="E5624" s="8">
        <v>1851.75</v>
      </c>
    </row>
    <row r="5625" spans="1:5" x14ac:dyDescent="0.35">
      <c r="A5625" s="9" t="s">
        <v>135</v>
      </c>
      <c r="B5625" s="10"/>
      <c r="C5625" s="10"/>
      <c r="D5625" s="10" t="s">
        <v>148</v>
      </c>
      <c r="E5625" s="11">
        <v>1851.75</v>
      </c>
    </row>
    <row r="5626" spans="1:5" x14ac:dyDescent="0.35">
      <c r="A5626" s="6" t="s">
        <v>135</v>
      </c>
      <c r="B5626" s="7"/>
      <c r="C5626" s="7"/>
      <c r="D5626" s="7" t="s">
        <v>149</v>
      </c>
      <c r="E5626" s="8" t="s">
        <v>137</v>
      </c>
    </row>
    <row r="5627" spans="1:5" x14ac:dyDescent="0.35">
      <c r="A5627" s="9" t="s">
        <v>135</v>
      </c>
      <c r="B5627" s="10"/>
      <c r="C5627" s="10" t="s">
        <v>150</v>
      </c>
      <c r="D5627" s="10" t="s">
        <v>147</v>
      </c>
      <c r="E5627" s="11" t="s">
        <v>137</v>
      </c>
    </row>
    <row r="5628" spans="1:5" x14ac:dyDescent="0.35">
      <c r="A5628" s="6" t="s">
        <v>135</v>
      </c>
      <c r="B5628" s="7"/>
      <c r="C5628" s="7"/>
      <c r="D5628" s="7" t="s">
        <v>148</v>
      </c>
      <c r="E5628" s="8" t="s">
        <v>137</v>
      </c>
    </row>
    <row r="5629" spans="1:5" x14ac:dyDescent="0.35">
      <c r="A5629" s="9" t="s">
        <v>135</v>
      </c>
      <c r="B5629" s="10"/>
      <c r="C5629" s="10"/>
      <c r="D5629" s="10" t="s">
        <v>149</v>
      </c>
      <c r="E5629" s="11" t="s">
        <v>137</v>
      </c>
    </row>
    <row r="5630" spans="1:5" x14ac:dyDescent="0.35">
      <c r="A5630" s="6" t="s">
        <v>135</v>
      </c>
      <c r="B5630" s="7" t="s">
        <v>164</v>
      </c>
      <c r="C5630" s="7" t="s">
        <v>146</v>
      </c>
      <c r="D5630" s="7" t="s">
        <v>147</v>
      </c>
      <c r="E5630" s="8" t="s">
        <v>137</v>
      </c>
    </row>
    <row r="5631" spans="1:5" x14ac:dyDescent="0.35">
      <c r="A5631" s="9" t="s">
        <v>135</v>
      </c>
      <c r="B5631" s="10"/>
      <c r="C5631" s="10"/>
      <c r="D5631" s="10" t="s">
        <v>148</v>
      </c>
      <c r="E5631" s="11" t="s">
        <v>137</v>
      </c>
    </row>
    <row r="5632" spans="1:5" x14ac:dyDescent="0.35">
      <c r="A5632" s="6" t="s">
        <v>135</v>
      </c>
      <c r="B5632" s="7"/>
      <c r="C5632" s="7"/>
      <c r="D5632" s="7" t="s">
        <v>149</v>
      </c>
      <c r="E5632" s="8" t="s">
        <v>137</v>
      </c>
    </row>
    <row r="5633" spans="1:5" x14ac:dyDescent="0.35">
      <c r="A5633" s="9" t="s">
        <v>135</v>
      </c>
      <c r="B5633" s="10"/>
      <c r="C5633" s="10" t="s">
        <v>150</v>
      </c>
      <c r="D5633" s="10" t="s">
        <v>147</v>
      </c>
      <c r="E5633" s="11" t="s">
        <v>137</v>
      </c>
    </row>
    <row r="5634" spans="1:5" x14ac:dyDescent="0.35">
      <c r="A5634" s="6" t="s">
        <v>135</v>
      </c>
      <c r="B5634" s="7"/>
      <c r="C5634" s="7"/>
      <c r="D5634" s="7" t="s">
        <v>148</v>
      </c>
      <c r="E5634" s="8" t="s">
        <v>137</v>
      </c>
    </row>
    <row r="5635" spans="1:5" x14ac:dyDescent="0.35">
      <c r="A5635" s="9" t="s">
        <v>135</v>
      </c>
      <c r="B5635" s="10"/>
      <c r="C5635" s="10"/>
      <c r="D5635" s="10" t="s">
        <v>149</v>
      </c>
      <c r="E5635" s="11" t="s">
        <v>137</v>
      </c>
    </row>
    <row r="5636" spans="1:5" x14ac:dyDescent="0.35">
      <c r="A5636" s="6" t="s">
        <v>135</v>
      </c>
      <c r="B5636" s="7" t="s">
        <v>165</v>
      </c>
      <c r="C5636" s="7" t="s">
        <v>146</v>
      </c>
      <c r="D5636" s="7" t="s">
        <v>147</v>
      </c>
      <c r="E5636" s="8">
        <v>1841</v>
      </c>
    </row>
    <row r="5637" spans="1:5" x14ac:dyDescent="0.35">
      <c r="A5637" s="9" t="s">
        <v>135</v>
      </c>
      <c r="B5637" s="10"/>
      <c r="C5637" s="10"/>
      <c r="D5637" s="10" t="s">
        <v>148</v>
      </c>
      <c r="E5637" s="11">
        <v>1841</v>
      </c>
    </row>
    <row r="5638" spans="1:5" x14ac:dyDescent="0.35">
      <c r="A5638" s="6" t="s">
        <v>135</v>
      </c>
      <c r="B5638" s="7"/>
      <c r="C5638" s="7"/>
      <c r="D5638" s="7" t="s">
        <v>149</v>
      </c>
      <c r="E5638" s="8" t="s">
        <v>137</v>
      </c>
    </row>
    <row r="5639" spans="1:5" x14ac:dyDescent="0.35">
      <c r="A5639" s="9" t="s">
        <v>135</v>
      </c>
      <c r="B5639" s="10"/>
      <c r="C5639" s="10" t="s">
        <v>150</v>
      </c>
      <c r="D5639" s="10" t="s">
        <v>147</v>
      </c>
      <c r="E5639" s="11" t="s">
        <v>137</v>
      </c>
    </row>
    <row r="5640" spans="1:5" x14ac:dyDescent="0.35">
      <c r="A5640" s="6" t="s">
        <v>135</v>
      </c>
      <c r="B5640" s="7"/>
      <c r="C5640" s="7"/>
      <c r="D5640" s="7" t="s">
        <v>148</v>
      </c>
      <c r="E5640" s="8" t="s">
        <v>137</v>
      </c>
    </row>
    <row r="5641" spans="1:5" x14ac:dyDescent="0.35">
      <c r="A5641" s="9" t="s">
        <v>135</v>
      </c>
      <c r="B5641" s="10"/>
      <c r="C5641" s="10"/>
      <c r="D5641" s="10" t="s">
        <v>149</v>
      </c>
      <c r="E5641" s="11" t="s">
        <v>137</v>
      </c>
    </row>
    <row r="5642" spans="1:5" x14ac:dyDescent="0.35">
      <c r="A5642" s="6" t="s">
        <v>135</v>
      </c>
      <c r="B5642" s="7" t="s">
        <v>166</v>
      </c>
      <c r="C5642" s="7" t="s">
        <v>146</v>
      </c>
      <c r="D5642" s="7" t="s">
        <v>147</v>
      </c>
      <c r="E5642" s="8">
        <v>10.75</v>
      </c>
    </row>
    <row r="5643" spans="1:5" x14ac:dyDescent="0.35">
      <c r="A5643" s="9" t="s">
        <v>135</v>
      </c>
      <c r="B5643" s="10"/>
      <c r="C5643" s="10"/>
      <c r="D5643" s="10" t="s">
        <v>148</v>
      </c>
      <c r="E5643" s="11">
        <v>10.75</v>
      </c>
    </row>
    <row r="5644" spans="1:5" x14ac:dyDescent="0.35">
      <c r="A5644" s="6" t="s">
        <v>135</v>
      </c>
      <c r="B5644" s="7"/>
      <c r="C5644" s="7"/>
      <c r="D5644" s="7" t="s">
        <v>149</v>
      </c>
      <c r="E5644" s="8" t="s">
        <v>137</v>
      </c>
    </row>
    <row r="5645" spans="1:5" x14ac:dyDescent="0.35">
      <c r="A5645" s="9" t="s">
        <v>135</v>
      </c>
      <c r="B5645" s="10"/>
      <c r="C5645" s="10" t="s">
        <v>150</v>
      </c>
      <c r="D5645" s="10" t="s">
        <v>147</v>
      </c>
      <c r="E5645" s="11" t="s">
        <v>137</v>
      </c>
    </row>
    <row r="5646" spans="1:5" x14ac:dyDescent="0.35">
      <c r="A5646" s="6" t="s">
        <v>135</v>
      </c>
      <c r="B5646" s="7"/>
      <c r="C5646" s="7"/>
      <c r="D5646" s="7" t="s">
        <v>148</v>
      </c>
      <c r="E5646" s="8" t="s">
        <v>137</v>
      </c>
    </row>
    <row r="5647" spans="1:5" x14ac:dyDescent="0.35">
      <c r="A5647" s="9" t="s">
        <v>135</v>
      </c>
      <c r="B5647" s="10"/>
      <c r="C5647" s="10"/>
      <c r="D5647" s="10" t="s">
        <v>149</v>
      </c>
      <c r="E5647" s="11" t="s">
        <v>137</v>
      </c>
    </row>
    <row r="5648" spans="1:5" x14ac:dyDescent="0.35">
      <c r="A5648" s="6" t="s">
        <v>135</v>
      </c>
      <c r="B5648" s="7" t="s">
        <v>167</v>
      </c>
      <c r="C5648" s="7" t="s">
        <v>146</v>
      </c>
      <c r="D5648" s="7" t="s">
        <v>147</v>
      </c>
      <c r="E5648" s="8" t="s">
        <v>137</v>
      </c>
    </row>
    <row r="5649" spans="1:5" x14ac:dyDescent="0.35">
      <c r="A5649" s="9" t="s">
        <v>135</v>
      </c>
      <c r="B5649" s="10"/>
      <c r="C5649" s="10"/>
      <c r="D5649" s="10" t="s">
        <v>148</v>
      </c>
      <c r="E5649" s="11" t="s">
        <v>137</v>
      </c>
    </row>
    <row r="5650" spans="1:5" x14ac:dyDescent="0.35">
      <c r="A5650" s="6" t="s">
        <v>135</v>
      </c>
      <c r="B5650" s="7"/>
      <c r="C5650" s="7"/>
      <c r="D5650" s="7" t="s">
        <v>149</v>
      </c>
      <c r="E5650" s="8" t="s">
        <v>137</v>
      </c>
    </row>
    <row r="5651" spans="1:5" x14ac:dyDescent="0.35">
      <c r="A5651" s="9" t="s">
        <v>135</v>
      </c>
      <c r="B5651" s="10"/>
      <c r="C5651" s="10" t="s">
        <v>150</v>
      </c>
      <c r="D5651" s="10" t="s">
        <v>147</v>
      </c>
      <c r="E5651" s="11" t="s">
        <v>137</v>
      </c>
    </row>
    <row r="5652" spans="1:5" x14ac:dyDescent="0.35">
      <c r="A5652" s="6" t="s">
        <v>135</v>
      </c>
      <c r="B5652" s="7"/>
      <c r="C5652" s="7"/>
      <c r="D5652" s="7" t="s">
        <v>148</v>
      </c>
      <c r="E5652" s="8" t="s">
        <v>137</v>
      </c>
    </row>
    <row r="5653" spans="1:5" x14ac:dyDescent="0.35">
      <c r="A5653" s="9" t="s">
        <v>135</v>
      </c>
      <c r="B5653" s="10"/>
      <c r="C5653" s="10"/>
      <c r="D5653" s="10" t="s">
        <v>149</v>
      </c>
      <c r="E5653" s="11" t="s">
        <v>137</v>
      </c>
    </row>
    <row r="5654" spans="1:5" x14ac:dyDescent="0.35">
      <c r="A5654" s="6" t="s">
        <v>135</v>
      </c>
      <c r="B5654" s="7" t="s">
        <v>168</v>
      </c>
      <c r="C5654" s="7" t="s">
        <v>146</v>
      </c>
      <c r="D5654" s="7" t="s">
        <v>147</v>
      </c>
      <c r="E5654" s="8" t="s">
        <v>137</v>
      </c>
    </row>
    <row r="5655" spans="1:5" x14ac:dyDescent="0.35">
      <c r="A5655" s="9" t="s">
        <v>135</v>
      </c>
      <c r="B5655" s="10"/>
      <c r="C5655" s="10"/>
      <c r="D5655" s="10" t="s">
        <v>148</v>
      </c>
      <c r="E5655" s="11" t="s">
        <v>137</v>
      </c>
    </row>
    <row r="5656" spans="1:5" x14ac:dyDescent="0.35">
      <c r="A5656" s="6" t="s">
        <v>135</v>
      </c>
      <c r="B5656" s="7"/>
      <c r="C5656" s="7"/>
      <c r="D5656" s="7" t="s">
        <v>149</v>
      </c>
      <c r="E5656" s="8" t="s">
        <v>137</v>
      </c>
    </row>
    <row r="5657" spans="1:5" x14ac:dyDescent="0.35">
      <c r="A5657" s="9" t="s">
        <v>135</v>
      </c>
      <c r="B5657" s="10"/>
      <c r="C5657" s="10" t="s">
        <v>150</v>
      </c>
      <c r="D5657" s="10" t="s">
        <v>147</v>
      </c>
      <c r="E5657" s="11" t="s">
        <v>137</v>
      </c>
    </row>
    <row r="5658" spans="1:5" x14ac:dyDescent="0.35">
      <c r="A5658" s="6" t="s">
        <v>135</v>
      </c>
      <c r="B5658" s="7"/>
      <c r="C5658" s="7"/>
      <c r="D5658" s="7" t="s">
        <v>148</v>
      </c>
      <c r="E5658" s="8" t="s">
        <v>137</v>
      </c>
    </row>
    <row r="5659" spans="1:5" x14ac:dyDescent="0.35">
      <c r="A5659" s="9" t="s">
        <v>135</v>
      </c>
      <c r="B5659" s="10"/>
      <c r="C5659" s="10"/>
      <c r="D5659" s="10" t="s">
        <v>149</v>
      </c>
      <c r="E5659" s="11" t="s">
        <v>137</v>
      </c>
    </row>
    <row r="5660" spans="1:5" x14ac:dyDescent="0.35">
      <c r="A5660" s="6" t="s">
        <v>135</v>
      </c>
      <c r="B5660" s="7" t="s">
        <v>169</v>
      </c>
      <c r="C5660" s="7" t="s">
        <v>146</v>
      </c>
      <c r="D5660" s="7" t="s">
        <v>147</v>
      </c>
      <c r="E5660" s="8" t="s">
        <v>137</v>
      </c>
    </row>
    <row r="5661" spans="1:5" x14ac:dyDescent="0.35">
      <c r="A5661" s="9" t="s">
        <v>135</v>
      </c>
      <c r="B5661" s="10"/>
      <c r="C5661" s="10"/>
      <c r="D5661" s="10" t="s">
        <v>148</v>
      </c>
      <c r="E5661" s="11" t="s">
        <v>137</v>
      </c>
    </row>
    <row r="5662" spans="1:5" x14ac:dyDescent="0.35">
      <c r="A5662" s="6" t="s">
        <v>135</v>
      </c>
      <c r="B5662" s="7"/>
      <c r="C5662" s="7"/>
      <c r="D5662" s="7" t="s">
        <v>149</v>
      </c>
      <c r="E5662" s="8" t="s">
        <v>137</v>
      </c>
    </row>
    <row r="5663" spans="1:5" x14ac:dyDescent="0.35">
      <c r="A5663" s="9" t="s">
        <v>135</v>
      </c>
      <c r="B5663" s="10"/>
      <c r="C5663" s="10" t="s">
        <v>150</v>
      </c>
      <c r="D5663" s="10" t="s">
        <v>147</v>
      </c>
      <c r="E5663" s="11" t="s">
        <v>137</v>
      </c>
    </row>
    <row r="5664" spans="1:5" x14ac:dyDescent="0.35">
      <c r="A5664" s="6" t="s">
        <v>135</v>
      </c>
      <c r="B5664" s="7"/>
      <c r="C5664" s="7"/>
      <c r="D5664" s="7" t="s">
        <v>148</v>
      </c>
      <c r="E5664" s="8" t="s">
        <v>137</v>
      </c>
    </row>
    <row r="5665" spans="1:5" x14ac:dyDescent="0.35">
      <c r="A5665" s="9" t="s">
        <v>135</v>
      </c>
      <c r="B5665" s="10"/>
      <c r="C5665" s="10"/>
      <c r="D5665" s="10" t="s">
        <v>149</v>
      </c>
      <c r="E5665" s="11" t="s">
        <v>137</v>
      </c>
    </row>
    <row r="5666" spans="1:5" x14ac:dyDescent="0.35">
      <c r="A5666" s="6" t="s">
        <v>135</v>
      </c>
      <c r="B5666" s="7" t="s">
        <v>170</v>
      </c>
      <c r="C5666" s="7" t="s">
        <v>146</v>
      </c>
      <c r="D5666" s="7" t="s">
        <v>147</v>
      </c>
      <c r="E5666" s="8" t="s">
        <v>137</v>
      </c>
    </row>
    <row r="5667" spans="1:5" x14ac:dyDescent="0.35">
      <c r="A5667" s="9" t="s">
        <v>135</v>
      </c>
      <c r="B5667" s="10"/>
      <c r="C5667" s="10"/>
      <c r="D5667" s="10" t="s">
        <v>148</v>
      </c>
      <c r="E5667" s="11" t="s">
        <v>137</v>
      </c>
    </row>
    <row r="5668" spans="1:5" x14ac:dyDescent="0.35">
      <c r="A5668" s="6" t="s">
        <v>135</v>
      </c>
      <c r="B5668" s="7"/>
      <c r="C5668" s="7"/>
      <c r="D5668" s="7" t="s">
        <v>149</v>
      </c>
      <c r="E5668" s="8" t="s">
        <v>137</v>
      </c>
    </row>
    <row r="5669" spans="1:5" x14ac:dyDescent="0.35">
      <c r="A5669" s="9" t="s">
        <v>135</v>
      </c>
      <c r="B5669" s="10"/>
      <c r="C5669" s="10" t="s">
        <v>150</v>
      </c>
      <c r="D5669" s="10" t="s">
        <v>147</v>
      </c>
      <c r="E5669" s="11" t="s">
        <v>137</v>
      </c>
    </row>
    <row r="5670" spans="1:5" x14ac:dyDescent="0.35">
      <c r="A5670" s="6" t="s">
        <v>135</v>
      </c>
      <c r="B5670" s="7"/>
      <c r="C5670" s="7"/>
      <c r="D5670" s="7" t="s">
        <v>148</v>
      </c>
      <c r="E5670" s="8" t="s">
        <v>137</v>
      </c>
    </row>
    <row r="5671" spans="1:5" x14ac:dyDescent="0.35">
      <c r="A5671" s="9" t="s">
        <v>135</v>
      </c>
      <c r="B5671" s="10"/>
      <c r="C5671" s="10"/>
      <c r="D5671" s="10" t="s">
        <v>149</v>
      </c>
      <c r="E5671" s="11" t="s">
        <v>137</v>
      </c>
    </row>
    <row r="5672" spans="1:5" x14ac:dyDescent="0.35">
      <c r="A5672" s="6" t="s">
        <v>135</v>
      </c>
      <c r="B5672" s="7"/>
      <c r="C5672" s="7"/>
      <c r="D5672" s="7"/>
      <c r="E5672" s="8"/>
    </row>
    <row r="5673" spans="1:5" x14ac:dyDescent="0.35">
      <c r="A5673" s="9" t="s">
        <v>135</v>
      </c>
      <c r="B5673" s="10"/>
      <c r="C5673" s="10"/>
      <c r="D5673" s="10"/>
      <c r="E567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EA27-F4F9-4460-AFFD-E4E6E4B6A0FC}">
  <dimension ref="A1:D2251"/>
  <sheetViews>
    <sheetView topLeftCell="A8" workbookViewId="0">
      <selection activeCell="E1766" sqref="E1766"/>
    </sheetView>
  </sheetViews>
  <sheetFormatPr defaultRowHeight="14.5" x14ac:dyDescent="0.35"/>
  <cols>
    <col min="1" max="1" width="19.90625" style="1" bestFit="1" customWidth="1"/>
    <col min="2" max="2" width="31.6328125" style="1" bestFit="1" customWidth="1"/>
    <col min="3" max="3" width="6.81640625" style="1" bestFit="1" customWidth="1"/>
    <col min="4" max="4" width="11" style="1" bestFit="1" customWidth="1"/>
    <col min="5" max="16384" width="8.7265625" style="1"/>
  </cols>
  <sheetData>
    <row r="1" spans="1:4" x14ac:dyDescent="0.35">
      <c r="A1" s="1" t="s">
        <v>130</v>
      </c>
      <c r="B1" s="1" t="s">
        <v>131</v>
      </c>
      <c r="C1" s="1" t="s">
        <v>132</v>
      </c>
      <c r="D1" s="1" t="s">
        <v>133</v>
      </c>
    </row>
    <row r="2" spans="1:4" x14ac:dyDescent="0.35">
      <c r="A2" s="1" t="s">
        <v>53</v>
      </c>
      <c r="B2" s="2" t="s">
        <v>134</v>
      </c>
      <c r="C2" s="1">
        <v>2000</v>
      </c>
      <c r="D2" s="1">
        <v>4.5199999999999996</v>
      </c>
    </row>
    <row r="3" spans="1:4" x14ac:dyDescent="0.35">
      <c r="A3" s="1" t="s">
        <v>53</v>
      </c>
      <c r="B3" s="2"/>
      <c r="C3" s="1">
        <v>2001</v>
      </c>
      <c r="D3" s="1">
        <v>4.5199999999999996</v>
      </c>
    </row>
    <row r="4" spans="1:4" x14ac:dyDescent="0.35">
      <c r="A4" s="1" t="s">
        <v>53</v>
      </c>
      <c r="B4" s="2"/>
      <c r="C4" s="1">
        <v>2002</v>
      </c>
      <c r="D4" s="1">
        <v>4.18</v>
      </c>
    </row>
    <row r="5" spans="1:4" x14ac:dyDescent="0.35">
      <c r="A5" s="1" t="s">
        <v>53</v>
      </c>
      <c r="B5" s="2"/>
      <c r="C5" s="1">
        <v>2003</v>
      </c>
      <c r="D5" s="1">
        <v>4.0999999999999996</v>
      </c>
    </row>
    <row r="6" spans="1:4" x14ac:dyDescent="0.35">
      <c r="A6" s="1" t="s">
        <v>53</v>
      </c>
      <c r="B6" s="2"/>
      <c r="C6" s="1">
        <v>2004</v>
      </c>
      <c r="D6" s="1">
        <v>3.93</v>
      </c>
    </row>
    <row r="7" spans="1:4" x14ac:dyDescent="0.35">
      <c r="A7" s="1" t="s">
        <v>53</v>
      </c>
      <c r="B7" s="2"/>
      <c r="C7" s="1">
        <v>2005</v>
      </c>
      <c r="D7" s="1">
        <v>3.52</v>
      </c>
    </row>
    <row r="8" spans="1:4" x14ac:dyDescent="0.35">
      <c r="A8" s="1" t="s">
        <v>53</v>
      </c>
      <c r="B8" s="2"/>
      <c r="C8" s="1">
        <v>2006</v>
      </c>
      <c r="D8" s="1">
        <v>3.02</v>
      </c>
    </row>
    <row r="9" spans="1:4" x14ac:dyDescent="0.35">
      <c r="A9" s="1" t="s">
        <v>53</v>
      </c>
      <c r="B9" s="2"/>
      <c r="C9" s="1">
        <v>2007</v>
      </c>
      <c r="D9" s="1">
        <v>2.81</v>
      </c>
    </row>
    <row r="10" spans="1:4" x14ac:dyDescent="0.35">
      <c r="A10" s="1" t="s">
        <v>53</v>
      </c>
      <c r="B10" s="2"/>
      <c r="C10" s="1">
        <v>2008</v>
      </c>
      <c r="D10" s="1">
        <v>2.57</v>
      </c>
    </row>
    <row r="11" spans="1:4" x14ac:dyDescent="0.35">
      <c r="A11" s="1" t="s">
        <v>53</v>
      </c>
      <c r="B11" s="2"/>
      <c r="C11" s="1">
        <v>2009</v>
      </c>
      <c r="D11" s="1">
        <v>1.93</v>
      </c>
    </row>
    <row r="12" spans="1:4" x14ac:dyDescent="0.35">
      <c r="A12" s="1" t="s">
        <v>53</v>
      </c>
      <c r="B12" s="2"/>
      <c r="C12" s="1">
        <v>2010</v>
      </c>
      <c r="D12" s="1">
        <v>2.1</v>
      </c>
    </row>
    <row r="13" spans="1:4" x14ac:dyDescent="0.35">
      <c r="A13" s="1" t="s">
        <v>53</v>
      </c>
      <c r="B13" s="2"/>
      <c r="C13" s="1">
        <v>2011</v>
      </c>
      <c r="D13" s="1">
        <v>2.09</v>
      </c>
    </row>
    <row r="14" spans="1:4" x14ac:dyDescent="0.35">
      <c r="A14" s="1" t="s">
        <v>53</v>
      </c>
      <c r="B14" s="2"/>
      <c r="C14" s="1">
        <v>2012</v>
      </c>
      <c r="D14" s="1">
        <v>1.86</v>
      </c>
    </row>
    <row r="15" spans="1:4" x14ac:dyDescent="0.35">
      <c r="A15" s="1" t="s">
        <v>53</v>
      </c>
      <c r="B15" s="2"/>
      <c r="C15" s="1">
        <v>2013</v>
      </c>
      <c r="D15" s="1">
        <v>1.59</v>
      </c>
    </row>
    <row r="16" spans="1:4" x14ac:dyDescent="0.35">
      <c r="A16" s="1" t="s">
        <v>53</v>
      </c>
      <c r="B16" s="2"/>
      <c r="C16" s="1">
        <v>2014</v>
      </c>
      <c r="D16" s="1">
        <v>1.59</v>
      </c>
    </row>
    <row r="17" spans="1:4" x14ac:dyDescent="0.35">
      <c r="A17" s="1" t="s">
        <v>53</v>
      </c>
      <c r="B17" s="2"/>
      <c r="C17" s="1">
        <v>2015</v>
      </c>
      <c r="D17" s="1">
        <v>1.66</v>
      </c>
    </row>
    <row r="18" spans="1:4" x14ac:dyDescent="0.35">
      <c r="A18" s="1" t="s">
        <v>53</v>
      </c>
      <c r="B18" s="2"/>
      <c r="C18" s="1">
        <v>2016</v>
      </c>
      <c r="D18" s="1">
        <v>2.4900000000000002</v>
      </c>
    </row>
    <row r="19" spans="1:4" x14ac:dyDescent="0.35">
      <c r="A19" s="1" t="s">
        <v>53</v>
      </c>
      <c r="B19" s="2"/>
      <c r="C19" s="1">
        <v>2017</v>
      </c>
      <c r="D19" s="1">
        <v>2.88</v>
      </c>
    </row>
    <row r="20" spans="1:4" x14ac:dyDescent="0.35">
      <c r="A20" s="1" t="s">
        <v>53</v>
      </c>
      <c r="B20" s="2"/>
      <c r="C20" s="1">
        <v>2018</v>
      </c>
      <c r="D20" s="1">
        <v>2.73</v>
      </c>
    </row>
    <row r="21" spans="1:4" x14ac:dyDescent="0.35">
      <c r="A21" s="1" t="s">
        <v>53</v>
      </c>
      <c r="B21" s="2"/>
      <c r="C21" s="1">
        <v>2019</v>
      </c>
      <c r="D21" s="1">
        <v>2.4700000000000002</v>
      </c>
    </row>
    <row r="22" spans="1:4" x14ac:dyDescent="0.35">
      <c r="A22" s="1" t="s">
        <v>53</v>
      </c>
      <c r="B22" s="2"/>
      <c r="C22" s="1">
        <v>2020</v>
      </c>
      <c r="D22" s="1">
        <v>2.31</v>
      </c>
    </row>
    <row r="23" spans="1:4" x14ac:dyDescent="0.35">
      <c r="A23" s="1" t="s">
        <v>53</v>
      </c>
      <c r="B23" s="2"/>
      <c r="C23" s="1">
        <v>2021</v>
      </c>
      <c r="D23" s="1">
        <v>1.97</v>
      </c>
    </row>
    <row r="24" spans="1:4" x14ac:dyDescent="0.35">
      <c r="A24" s="1" t="s">
        <v>53</v>
      </c>
      <c r="B24" s="2"/>
      <c r="C24" s="1">
        <v>2022</v>
      </c>
      <c r="D24" s="1">
        <v>2.2200000000000002</v>
      </c>
    </row>
    <row r="25" spans="1:4" x14ac:dyDescent="0.35">
      <c r="A25" s="1" t="s">
        <v>53</v>
      </c>
      <c r="B25" s="2"/>
      <c r="C25" s="1">
        <v>2023</v>
      </c>
      <c r="D25" s="1">
        <v>2.16</v>
      </c>
    </row>
    <row r="26" spans="1:4" x14ac:dyDescent="0.35">
      <c r="A26" s="1" t="s">
        <v>53</v>
      </c>
      <c r="B26" s="2"/>
      <c r="C26" s="1">
        <v>2024</v>
      </c>
      <c r="D26" s="1">
        <v>2.09</v>
      </c>
    </row>
    <row r="27" spans="1:4" x14ac:dyDescent="0.35">
      <c r="A27" s="1" t="s">
        <v>53</v>
      </c>
      <c r="B27" s="2" t="s">
        <v>136</v>
      </c>
      <c r="C27" s="1">
        <v>2000</v>
      </c>
      <c r="D27" s="1">
        <v>0.21</v>
      </c>
    </row>
    <row r="28" spans="1:4" x14ac:dyDescent="0.35">
      <c r="A28" s="1" t="s">
        <v>53</v>
      </c>
      <c r="B28" s="2"/>
      <c r="C28" s="1">
        <v>2001</v>
      </c>
      <c r="D28" s="1">
        <v>0.26</v>
      </c>
    </row>
    <row r="29" spans="1:4" x14ac:dyDescent="0.35">
      <c r="A29" s="1" t="s">
        <v>53</v>
      </c>
      <c r="B29" s="2"/>
      <c r="C29" s="1">
        <v>2002</v>
      </c>
      <c r="D29" s="1">
        <v>0.21</v>
      </c>
    </row>
    <row r="30" spans="1:4" x14ac:dyDescent="0.35">
      <c r="A30" s="1" t="s">
        <v>53</v>
      </c>
      <c r="B30" s="2"/>
      <c r="C30" s="1">
        <v>2003</v>
      </c>
      <c r="D30" s="1">
        <v>0.9</v>
      </c>
    </row>
    <row r="31" spans="1:4" x14ac:dyDescent="0.35">
      <c r="A31" s="1" t="s">
        <v>53</v>
      </c>
      <c r="B31" s="2"/>
      <c r="C31" s="1">
        <v>2004</v>
      </c>
      <c r="D31" s="1">
        <v>0.8</v>
      </c>
    </row>
    <row r="32" spans="1:4" x14ac:dyDescent="0.35">
      <c r="A32" s="1" t="s">
        <v>53</v>
      </c>
      <c r="B32" s="2"/>
      <c r="C32" s="1">
        <v>2005</v>
      </c>
      <c r="D32" s="1">
        <v>1.69</v>
      </c>
    </row>
    <row r="33" spans="1:4" x14ac:dyDescent="0.35">
      <c r="A33" s="1" t="s">
        <v>53</v>
      </c>
      <c r="B33" s="2"/>
      <c r="C33" s="1">
        <v>2006</v>
      </c>
      <c r="D33" s="1">
        <v>0.62</v>
      </c>
    </row>
    <row r="34" spans="1:4" x14ac:dyDescent="0.35">
      <c r="A34" s="1" t="s">
        <v>53</v>
      </c>
      <c r="B34" s="2"/>
      <c r="C34" s="1">
        <v>2007</v>
      </c>
      <c r="D34" s="1">
        <v>0.61</v>
      </c>
    </row>
    <row r="35" spans="1:4" x14ac:dyDescent="0.35">
      <c r="A35" s="1" t="s">
        <v>53</v>
      </c>
      <c r="B35" s="2"/>
      <c r="C35" s="1">
        <v>2008</v>
      </c>
      <c r="D35" s="1">
        <v>0.7</v>
      </c>
    </row>
    <row r="36" spans="1:4" x14ac:dyDescent="0.35">
      <c r="A36" s="1" t="s">
        <v>53</v>
      </c>
      <c r="B36" s="2"/>
      <c r="C36" s="1">
        <v>2009</v>
      </c>
      <c r="D36" s="1">
        <v>0.89</v>
      </c>
    </row>
    <row r="37" spans="1:4" x14ac:dyDescent="0.35">
      <c r="A37" s="1" t="s">
        <v>53</v>
      </c>
      <c r="B37" s="2"/>
      <c r="C37" s="1">
        <v>2010</v>
      </c>
      <c r="D37" s="1">
        <v>0.38</v>
      </c>
    </row>
    <row r="38" spans="1:4" x14ac:dyDescent="0.35">
      <c r="A38" s="1" t="s">
        <v>53</v>
      </c>
      <c r="B38" s="2"/>
      <c r="C38" s="1">
        <v>2011</v>
      </c>
      <c r="D38" s="1">
        <v>0.94</v>
      </c>
    </row>
    <row r="39" spans="1:4" x14ac:dyDescent="0.35">
      <c r="A39" s="1" t="s">
        <v>53</v>
      </c>
      <c r="B39" s="2"/>
      <c r="C39" s="1">
        <v>2012</v>
      </c>
      <c r="D39" s="1">
        <v>1.02</v>
      </c>
    </row>
    <row r="40" spans="1:4" x14ac:dyDescent="0.35">
      <c r="A40" s="1" t="s">
        <v>53</v>
      </c>
      <c r="B40" s="2"/>
      <c r="C40" s="1">
        <v>2013</v>
      </c>
      <c r="D40" s="1">
        <v>0.49</v>
      </c>
    </row>
    <row r="41" spans="1:4" x14ac:dyDescent="0.35">
      <c r="A41" s="1" t="s">
        <v>53</v>
      </c>
      <c r="B41" s="2"/>
      <c r="C41" s="1">
        <v>2014</v>
      </c>
      <c r="D41" s="1">
        <v>0.61</v>
      </c>
    </row>
    <row r="42" spans="1:4" x14ac:dyDescent="0.35">
      <c r="A42" s="1" t="s">
        <v>53</v>
      </c>
      <c r="B42" s="2"/>
      <c r="C42" s="1">
        <v>2015</v>
      </c>
      <c r="D42" s="1">
        <v>0.52</v>
      </c>
    </row>
    <row r="43" spans="1:4" x14ac:dyDescent="0.35">
      <c r="A43" s="1" t="s">
        <v>53</v>
      </c>
      <c r="B43" s="2"/>
      <c r="C43" s="1">
        <v>2016</v>
      </c>
      <c r="D43" s="1">
        <v>0.65</v>
      </c>
    </row>
    <row r="44" spans="1:4" x14ac:dyDescent="0.35">
      <c r="A44" s="1" t="s">
        <v>53</v>
      </c>
      <c r="B44" s="2"/>
      <c r="C44" s="1">
        <v>2017</v>
      </c>
      <c r="D44" s="1">
        <v>0.66</v>
      </c>
    </row>
    <row r="45" spans="1:4" x14ac:dyDescent="0.35">
      <c r="A45" s="1" t="s">
        <v>53</v>
      </c>
      <c r="B45" s="2"/>
      <c r="C45" s="1">
        <v>2018</v>
      </c>
      <c r="D45" s="1">
        <v>1.06</v>
      </c>
    </row>
    <row r="46" spans="1:4" x14ac:dyDescent="0.35">
      <c r="A46" s="1" t="s">
        <v>53</v>
      </c>
      <c r="B46" s="2"/>
      <c r="C46" s="1">
        <v>2019</v>
      </c>
      <c r="D46" s="1">
        <v>1.07</v>
      </c>
    </row>
    <row r="47" spans="1:4" x14ac:dyDescent="0.35">
      <c r="A47" s="1" t="s">
        <v>53</v>
      </c>
      <c r="B47" s="2"/>
      <c r="C47" s="1">
        <v>2020</v>
      </c>
      <c r="D47" s="1">
        <v>1.1000000000000001</v>
      </c>
    </row>
    <row r="48" spans="1:4" x14ac:dyDescent="0.35">
      <c r="A48" s="1" t="s">
        <v>53</v>
      </c>
      <c r="B48" s="2"/>
      <c r="C48" s="1">
        <v>2021</v>
      </c>
      <c r="D48" s="1">
        <v>0.95</v>
      </c>
    </row>
    <row r="49" spans="1:4" x14ac:dyDescent="0.35">
      <c r="A49" s="1" t="s">
        <v>53</v>
      </c>
      <c r="B49" s="2"/>
      <c r="C49" s="1">
        <v>2022</v>
      </c>
      <c r="D49" s="1">
        <v>0.95</v>
      </c>
    </row>
    <row r="50" spans="1:4" x14ac:dyDescent="0.35">
      <c r="A50" s="1" t="s">
        <v>53</v>
      </c>
      <c r="B50" s="2"/>
      <c r="C50" s="1">
        <v>2023</v>
      </c>
      <c r="D50" s="1">
        <v>0.97</v>
      </c>
    </row>
    <row r="51" spans="1:4" x14ac:dyDescent="0.35">
      <c r="A51" s="1" t="s">
        <v>53</v>
      </c>
      <c r="B51" s="2"/>
      <c r="C51" s="1">
        <v>2024</v>
      </c>
      <c r="D51" s="1" t="s">
        <v>137</v>
      </c>
    </row>
    <row r="52" spans="1:4" x14ac:dyDescent="0.35">
      <c r="A52" s="1" t="s">
        <v>28</v>
      </c>
      <c r="B52" s="2" t="s">
        <v>134</v>
      </c>
      <c r="C52" s="1">
        <v>2000</v>
      </c>
      <c r="D52" s="1">
        <v>61.16</v>
      </c>
    </row>
    <row r="53" spans="1:4" x14ac:dyDescent="0.35">
      <c r="A53" s="1" t="s">
        <v>28</v>
      </c>
      <c r="B53" s="2"/>
      <c r="C53" s="1">
        <v>2001</v>
      </c>
      <c r="D53" s="1">
        <v>54.38</v>
      </c>
    </row>
    <row r="54" spans="1:4" x14ac:dyDescent="0.35">
      <c r="A54" s="1" t="s">
        <v>28</v>
      </c>
      <c r="B54" s="2"/>
      <c r="C54" s="1">
        <v>2002</v>
      </c>
      <c r="D54" s="1">
        <v>54.38</v>
      </c>
    </row>
    <row r="55" spans="1:4" x14ac:dyDescent="0.35">
      <c r="A55" s="1" t="s">
        <v>28</v>
      </c>
      <c r="B55" s="2"/>
      <c r="C55" s="1">
        <v>2003</v>
      </c>
      <c r="D55" s="1">
        <v>54.38</v>
      </c>
    </row>
    <row r="56" spans="1:4" x14ac:dyDescent="0.35">
      <c r="A56" s="1" t="s">
        <v>28</v>
      </c>
      <c r="B56" s="2"/>
      <c r="C56" s="1">
        <v>2004</v>
      </c>
      <c r="D56" s="1">
        <v>71.290000000000006</v>
      </c>
    </row>
    <row r="57" spans="1:4" x14ac:dyDescent="0.35">
      <c r="A57" s="1" t="s">
        <v>28</v>
      </c>
      <c r="B57" s="2"/>
      <c r="C57" s="1">
        <v>2005</v>
      </c>
      <c r="D57" s="1">
        <v>71.290000000000006</v>
      </c>
    </row>
    <row r="58" spans="1:4" x14ac:dyDescent="0.35">
      <c r="A58" s="1" t="s">
        <v>28</v>
      </c>
      <c r="B58" s="2"/>
      <c r="C58" s="1">
        <v>2006</v>
      </c>
      <c r="D58" s="1">
        <v>71.180000000000007</v>
      </c>
    </row>
    <row r="59" spans="1:4" x14ac:dyDescent="0.35">
      <c r="A59" s="1" t="s">
        <v>28</v>
      </c>
      <c r="B59" s="2"/>
      <c r="C59" s="1">
        <v>2007</v>
      </c>
      <c r="D59" s="1">
        <v>76.62</v>
      </c>
    </row>
    <row r="60" spans="1:4" x14ac:dyDescent="0.35">
      <c r="A60" s="1" t="s">
        <v>28</v>
      </c>
      <c r="B60" s="2"/>
      <c r="C60" s="1">
        <v>2008</v>
      </c>
      <c r="D60" s="1">
        <v>77.19</v>
      </c>
    </row>
    <row r="61" spans="1:4" x14ac:dyDescent="0.35">
      <c r="A61" s="1" t="s">
        <v>28</v>
      </c>
      <c r="B61" s="2"/>
      <c r="C61" s="1">
        <v>2009</v>
      </c>
      <c r="D61" s="1">
        <v>77.19</v>
      </c>
    </row>
    <row r="62" spans="1:4" x14ac:dyDescent="0.35">
      <c r="A62" s="1" t="s">
        <v>28</v>
      </c>
      <c r="B62" s="2"/>
      <c r="C62" s="1">
        <v>2010</v>
      </c>
      <c r="D62" s="1">
        <v>66.95</v>
      </c>
    </row>
    <row r="63" spans="1:4" x14ac:dyDescent="0.35">
      <c r="A63" s="1" t="s">
        <v>28</v>
      </c>
      <c r="B63" s="2"/>
      <c r="C63" s="1">
        <v>2011</v>
      </c>
      <c r="D63" s="1">
        <v>59.15</v>
      </c>
    </row>
    <row r="64" spans="1:4" x14ac:dyDescent="0.35">
      <c r="A64" s="1" t="s">
        <v>28</v>
      </c>
      <c r="B64" s="2"/>
      <c r="C64" s="1">
        <v>2012</v>
      </c>
      <c r="D64" s="1">
        <v>51.22</v>
      </c>
    </row>
    <row r="65" spans="1:4" x14ac:dyDescent="0.35">
      <c r="A65" s="1" t="s">
        <v>28</v>
      </c>
      <c r="B65" s="2"/>
      <c r="C65" s="1">
        <v>2013</v>
      </c>
      <c r="D65" s="1">
        <v>44.18</v>
      </c>
    </row>
    <row r="66" spans="1:4" x14ac:dyDescent="0.35">
      <c r="A66" s="1" t="s">
        <v>28</v>
      </c>
      <c r="B66" s="2"/>
      <c r="C66" s="1">
        <v>2014</v>
      </c>
      <c r="D66" s="1">
        <v>43.6</v>
      </c>
    </row>
    <row r="67" spans="1:4" x14ac:dyDescent="0.35">
      <c r="A67" s="1" t="s">
        <v>28</v>
      </c>
      <c r="B67" s="2"/>
      <c r="C67" s="1">
        <v>2015</v>
      </c>
      <c r="D67" s="1">
        <v>42.57</v>
      </c>
    </row>
    <row r="68" spans="1:4" x14ac:dyDescent="0.35">
      <c r="A68" s="1" t="s">
        <v>28</v>
      </c>
      <c r="B68" s="2"/>
      <c r="C68" s="1">
        <v>2016</v>
      </c>
      <c r="D68" s="1">
        <v>55.85</v>
      </c>
    </row>
    <row r="69" spans="1:4" x14ac:dyDescent="0.35">
      <c r="A69" s="1" t="s">
        <v>28</v>
      </c>
      <c r="B69" s="2"/>
      <c r="C69" s="1">
        <v>2017</v>
      </c>
      <c r="D69" s="1">
        <v>51.13</v>
      </c>
    </row>
    <row r="70" spans="1:4" x14ac:dyDescent="0.35">
      <c r="A70" s="1" t="s">
        <v>28</v>
      </c>
      <c r="B70" s="2"/>
      <c r="C70" s="1">
        <v>2018</v>
      </c>
      <c r="D70" s="1">
        <v>57.12</v>
      </c>
    </row>
    <row r="71" spans="1:4" x14ac:dyDescent="0.35">
      <c r="A71" s="1" t="s">
        <v>28</v>
      </c>
      <c r="B71" s="2"/>
      <c r="C71" s="1">
        <v>2019</v>
      </c>
      <c r="D71" s="1">
        <v>59.39</v>
      </c>
    </row>
    <row r="72" spans="1:4" x14ac:dyDescent="0.35">
      <c r="A72" s="1" t="s">
        <v>28</v>
      </c>
      <c r="B72" s="2"/>
      <c r="C72" s="1">
        <v>2020</v>
      </c>
      <c r="D72" s="1">
        <v>61.6</v>
      </c>
    </row>
    <row r="73" spans="1:4" x14ac:dyDescent="0.35">
      <c r="A73" s="1" t="s">
        <v>28</v>
      </c>
      <c r="B73" s="2"/>
      <c r="C73" s="1">
        <v>2021</v>
      </c>
      <c r="D73" s="1">
        <v>61.6</v>
      </c>
    </row>
    <row r="74" spans="1:4" x14ac:dyDescent="0.35">
      <c r="A74" s="1" t="s">
        <v>28</v>
      </c>
      <c r="B74" s="2"/>
      <c r="C74" s="1">
        <v>2022</v>
      </c>
      <c r="D74" s="1">
        <v>63.3</v>
      </c>
    </row>
    <row r="75" spans="1:4" x14ac:dyDescent="0.35">
      <c r="A75" s="1" t="s">
        <v>28</v>
      </c>
      <c r="B75" s="2"/>
      <c r="C75" s="1">
        <v>2023</v>
      </c>
      <c r="D75" s="1">
        <v>63.44</v>
      </c>
    </row>
    <row r="76" spans="1:4" x14ac:dyDescent="0.35">
      <c r="A76" s="1" t="s">
        <v>28</v>
      </c>
      <c r="B76" s="2"/>
      <c r="C76" s="1">
        <v>2024</v>
      </c>
      <c r="D76" s="1">
        <v>63.73</v>
      </c>
    </row>
    <row r="77" spans="1:4" x14ac:dyDescent="0.35">
      <c r="A77" s="1" t="s">
        <v>28</v>
      </c>
      <c r="B77" s="2" t="s">
        <v>136</v>
      </c>
      <c r="C77" s="1">
        <v>2000</v>
      </c>
      <c r="D77" s="1">
        <v>74.78</v>
      </c>
    </row>
    <row r="78" spans="1:4" x14ac:dyDescent="0.35">
      <c r="A78" s="1" t="s">
        <v>28</v>
      </c>
      <c r="B78" s="2"/>
      <c r="C78" s="1">
        <v>2001</v>
      </c>
      <c r="D78" s="1">
        <v>73.86</v>
      </c>
    </row>
    <row r="79" spans="1:4" x14ac:dyDescent="0.35">
      <c r="A79" s="1" t="s">
        <v>28</v>
      </c>
      <c r="B79" s="2"/>
      <c r="C79" s="1">
        <v>2002</v>
      </c>
      <c r="D79" s="1">
        <v>75.97</v>
      </c>
    </row>
    <row r="80" spans="1:4" x14ac:dyDescent="0.35">
      <c r="A80" s="1" t="s">
        <v>28</v>
      </c>
      <c r="B80" s="2"/>
      <c r="C80" s="1">
        <v>2003</v>
      </c>
      <c r="D80" s="1">
        <v>74.2</v>
      </c>
    </row>
    <row r="81" spans="1:4" x14ac:dyDescent="0.35">
      <c r="A81" s="1" t="s">
        <v>28</v>
      </c>
      <c r="B81" s="2"/>
      <c r="C81" s="1">
        <v>2004</v>
      </c>
      <c r="D81" s="1">
        <v>85.21</v>
      </c>
    </row>
    <row r="82" spans="1:4" x14ac:dyDescent="0.35">
      <c r="A82" s="1" t="s">
        <v>28</v>
      </c>
      <c r="B82" s="2"/>
      <c r="C82" s="1">
        <v>2005</v>
      </c>
      <c r="D82" s="1">
        <v>89.43</v>
      </c>
    </row>
    <row r="83" spans="1:4" x14ac:dyDescent="0.35">
      <c r="A83" s="1" t="s">
        <v>28</v>
      </c>
      <c r="B83" s="2"/>
      <c r="C83" s="1">
        <v>2006</v>
      </c>
      <c r="D83" s="1">
        <v>82.38</v>
      </c>
    </row>
    <row r="84" spans="1:4" x14ac:dyDescent="0.35">
      <c r="A84" s="1" t="s">
        <v>28</v>
      </c>
      <c r="B84" s="2"/>
      <c r="C84" s="1">
        <v>2007</v>
      </c>
      <c r="D84" s="1">
        <v>85.95</v>
      </c>
    </row>
    <row r="85" spans="1:4" x14ac:dyDescent="0.35">
      <c r="A85" s="1" t="s">
        <v>28</v>
      </c>
      <c r="B85" s="2"/>
      <c r="C85" s="1">
        <v>2008</v>
      </c>
      <c r="D85" s="1">
        <v>85.74</v>
      </c>
    </row>
    <row r="86" spans="1:4" x14ac:dyDescent="0.35">
      <c r="A86" s="1" t="s">
        <v>28</v>
      </c>
      <c r="B86" s="2"/>
      <c r="C86" s="1">
        <v>2009</v>
      </c>
      <c r="D86" s="1">
        <v>75.16</v>
      </c>
    </row>
    <row r="87" spans="1:4" x14ac:dyDescent="0.35">
      <c r="A87" s="1" t="s">
        <v>28</v>
      </c>
      <c r="B87" s="2"/>
      <c r="C87" s="1">
        <v>2010</v>
      </c>
      <c r="D87" s="1">
        <v>74.81</v>
      </c>
    </row>
    <row r="88" spans="1:4" x14ac:dyDescent="0.35">
      <c r="A88" s="1" t="s">
        <v>28</v>
      </c>
      <c r="B88" s="2"/>
      <c r="C88" s="1">
        <v>2011</v>
      </c>
      <c r="D88" s="1">
        <v>68.569999999999993</v>
      </c>
    </row>
    <row r="89" spans="1:4" x14ac:dyDescent="0.35">
      <c r="A89" s="1" t="s">
        <v>28</v>
      </c>
      <c r="B89" s="2"/>
      <c r="C89" s="1">
        <v>2012</v>
      </c>
      <c r="D89" s="1">
        <v>57.4</v>
      </c>
    </row>
    <row r="90" spans="1:4" x14ac:dyDescent="0.35">
      <c r="A90" s="1" t="s">
        <v>28</v>
      </c>
      <c r="B90" s="2"/>
      <c r="C90" s="1">
        <v>2013</v>
      </c>
      <c r="D90" s="1">
        <v>45.99</v>
      </c>
    </row>
    <row r="91" spans="1:4" x14ac:dyDescent="0.35">
      <c r="A91" s="1" t="s">
        <v>28</v>
      </c>
      <c r="B91" s="2"/>
      <c r="C91" s="1">
        <v>2014</v>
      </c>
      <c r="D91" s="1">
        <v>47.68</v>
      </c>
    </row>
    <row r="92" spans="1:4" x14ac:dyDescent="0.35">
      <c r="A92" s="1" t="s">
        <v>28</v>
      </c>
      <c r="B92" s="2"/>
      <c r="C92" s="1">
        <v>2015</v>
      </c>
      <c r="D92" s="1">
        <v>46.34</v>
      </c>
    </row>
    <row r="93" spans="1:4" x14ac:dyDescent="0.35">
      <c r="A93" s="1" t="s">
        <v>28</v>
      </c>
      <c r="B93" s="2"/>
      <c r="C93" s="1">
        <v>2016</v>
      </c>
      <c r="D93" s="1">
        <v>52.57</v>
      </c>
    </row>
    <row r="94" spans="1:4" x14ac:dyDescent="0.35">
      <c r="A94" s="1" t="s">
        <v>28</v>
      </c>
      <c r="B94" s="2"/>
      <c r="C94" s="1">
        <v>2017</v>
      </c>
      <c r="D94" s="1">
        <v>64.42</v>
      </c>
    </row>
    <row r="95" spans="1:4" x14ac:dyDescent="0.35">
      <c r="A95" s="1" t="s">
        <v>28</v>
      </c>
      <c r="B95" s="2"/>
      <c r="C95" s="1">
        <v>2018</v>
      </c>
      <c r="D95" s="1">
        <v>72.31</v>
      </c>
    </row>
    <row r="96" spans="1:4" x14ac:dyDescent="0.35">
      <c r="A96" s="1" t="s">
        <v>28</v>
      </c>
      <c r="B96" s="2"/>
      <c r="C96" s="1">
        <v>2019</v>
      </c>
      <c r="D96" s="1">
        <v>72.849999999999994</v>
      </c>
    </row>
    <row r="97" spans="1:4" x14ac:dyDescent="0.35">
      <c r="A97" s="1" t="s">
        <v>28</v>
      </c>
      <c r="B97" s="2"/>
      <c r="C97" s="1">
        <v>2020</v>
      </c>
      <c r="D97" s="1">
        <v>80.510000000000005</v>
      </c>
    </row>
    <row r="98" spans="1:4" x14ac:dyDescent="0.35">
      <c r="A98" s="1" t="s">
        <v>28</v>
      </c>
      <c r="B98" s="2"/>
      <c r="C98" s="1">
        <v>2021</v>
      </c>
      <c r="D98" s="1">
        <v>73.989999999999995</v>
      </c>
    </row>
    <row r="99" spans="1:4" x14ac:dyDescent="0.35">
      <c r="A99" s="1" t="s">
        <v>28</v>
      </c>
      <c r="B99" s="2"/>
      <c r="C99" s="1">
        <v>2022</v>
      </c>
      <c r="D99" s="1">
        <v>76.3</v>
      </c>
    </row>
    <row r="100" spans="1:4" x14ac:dyDescent="0.35">
      <c r="A100" s="1" t="s">
        <v>28</v>
      </c>
      <c r="B100" s="2"/>
      <c r="C100" s="1">
        <v>2023</v>
      </c>
      <c r="D100" s="1">
        <v>76.34</v>
      </c>
    </row>
    <row r="101" spans="1:4" x14ac:dyDescent="0.35">
      <c r="A101" s="1" t="s">
        <v>28</v>
      </c>
      <c r="B101" s="2"/>
      <c r="C101" s="1">
        <v>2024</v>
      </c>
      <c r="D101" s="1" t="s">
        <v>137</v>
      </c>
    </row>
    <row r="102" spans="1:4" x14ac:dyDescent="0.35">
      <c r="A102" s="1" t="s">
        <v>35</v>
      </c>
      <c r="B102" s="2" t="s">
        <v>134</v>
      </c>
      <c r="C102" s="1">
        <v>2000</v>
      </c>
      <c r="D102" s="1">
        <v>0.88</v>
      </c>
    </row>
    <row r="103" spans="1:4" x14ac:dyDescent="0.35">
      <c r="A103" s="1" t="s">
        <v>35</v>
      </c>
      <c r="B103" s="2"/>
      <c r="C103" s="1">
        <v>2001</v>
      </c>
      <c r="D103" s="1">
        <v>0.83</v>
      </c>
    </row>
    <row r="104" spans="1:4" x14ac:dyDescent="0.35">
      <c r="A104" s="1" t="s">
        <v>35</v>
      </c>
      <c r="B104" s="2"/>
      <c r="C104" s="1">
        <v>2002</v>
      </c>
      <c r="D104" s="1">
        <v>0.83</v>
      </c>
    </row>
    <row r="105" spans="1:4" x14ac:dyDescent="0.35">
      <c r="A105" s="1" t="s">
        <v>35</v>
      </c>
      <c r="B105" s="2"/>
      <c r="C105" s="1">
        <v>2003</v>
      </c>
      <c r="D105" s="1">
        <v>0.83</v>
      </c>
    </row>
    <row r="106" spans="1:4" x14ac:dyDescent="0.35">
      <c r="A106" s="1" t="s">
        <v>35</v>
      </c>
      <c r="B106" s="2"/>
      <c r="C106" s="1">
        <v>2004</v>
      </c>
      <c r="D106" s="1">
        <v>0.83</v>
      </c>
    </row>
    <row r="107" spans="1:4" x14ac:dyDescent="0.35">
      <c r="A107" s="1" t="s">
        <v>35</v>
      </c>
      <c r="B107" s="2"/>
      <c r="C107" s="1">
        <v>2005</v>
      </c>
      <c r="D107" s="1">
        <v>0.81</v>
      </c>
    </row>
    <row r="108" spans="1:4" x14ac:dyDescent="0.35">
      <c r="A108" s="1" t="s">
        <v>35</v>
      </c>
      <c r="B108" s="2"/>
      <c r="C108" s="1">
        <v>2006</v>
      </c>
      <c r="D108" s="1">
        <v>0.35</v>
      </c>
    </row>
    <row r="109" spans="1:4" x14ac:dyDescent="0.35">
      <c r="A109" s="1" t="s">
        <v>35</v>
      </c>
      <c r="B109" s="2"/>
      <c r="C109" s="1">
        <v>2007</v>
      </c>
      <c r="D109" s="1">
        <v>0.28999999999999998</v>
      </c>
    </row>
    <row r="110" spans="1:4" x14ac:dyDescent="0.35">
      <c r="A110" s="1" t="s">
        <v>35</v>
      </c>
      <c r="B110" s="2"/>
      <c r="C110" s="1">
        <v>2008</v>
      </c>
      <c r="D110" s="1">
        <v>0.26</v>
      </c>
    </row>
    <row r="111" spans="1:4" x14ac:dyDescent="0.35">
      <c r="A111" s="1" t="s">
        <v>35</v>
      </c>
      <c r="B111" s="2"/>
      <c r="C111" s="1">
        <v>2009</v>
      </c>
      <c r="D111" s="1">
        <v>0.35</v>
      </c>
    </row>
    <row r="112" spans="1:4" x14ac:dyDescent="0.35">
      <c r="A112" s="1" t="s">
        <v>35</v>
      </c>
      <c r="B112" s="2"/>
      <c r="C112" s="1">
        <v>2010</v>
      </c>
      <c r="D112" s="1">
        <v>0.51</v>
      </c>
    </row>
    <row r="113" spans="1:4" x14ac:dyDescent="0.35">
      <c r="A113" s="1" t="s">
        <v>35</v>
      </c>
      <c r="B113" s="2"/>
      <c r="C113" s="1">
        <v>2011</v>
      </c>
      <c r="D113" s="1">
        <v>0.5</v>
      </c>
    </row>
    <row r="114" spans="1:4" x14ac:dyDescent="0.35">
      <c r="A114" s="1" t="s">
        <v>35</v>
      </c>
      <c r="B114" s="2"/>
      <c r="C114" s="1">
        <v>2012</v>
      </c>
      <c r="D114" s="1">
        <v>0.81</v>
      </c>
    </row>
    <row r="115" spans="1:4" x14ac:dyDescent="0.35">
      <c r="A115" s="1" t="s">
        <v>35</v>
      </c>
      <c r="B115" s="2"/>
      <c r="C115" s="1">
        <v>2013</v>
      </c>
      <c r="D115" s="1">
        <v>0.36</v>
      </c>
    </row>
    <row r="116" spans="1:4" x14ac:dyDescent="0.35">
      <c r="A116" s="1" t="s">
        <v>35</v>
      </c>
      <c r="B116" s="2"/>
      <c r="C116" s="1">
        <v>2014</v>
      </c>
      <c r="D116" s="1">
        <v>0.74</v>
      </c>
    </row>
    <row r="117" spans="1:4" x14ac:dyDescent="0.35">
      <c r="A117" s="1" t="s">
        <v>35</v>
      </c>
      <c r="B117" s="2"/>
      <c r="C117" s="1">
        <v>2015</v>
      </c>
      <c r="D117" s="1">
        <v>1.9</v>
      </c>
    </row>
    <row r="118" spans="1:4" x14ac:dyDescent="0.35">
      <c r="A118" s="1" t="s">
        <v>35</v>
      </c>
      <c r="B118" s="2"/>
      <c r="C118" s="1">
        <v>2016</v>
      </c>
      <c r="D118" s="1">
        <v>1.33</v>
      </c>
    </row>
    <row r="119" spans="1:4" x14ac:dyDescent="0.35">
      <c r="A119" s="1" t="s">
        <v>35</v>
      </c>
      <c r="B119" s="2"/>
      <c r="C119" s="1">
        <v>2017</v>
      </c>
      <c r="D119" s="1">
        <v>1.45</v>
      </c>
    </row>
    <row r="120" spans="1:4" x14ac:dyDescent="0.35">
      <c r="A120" s="1" t="s">
        <v>35</v>
      </c>
      <c r="B120" s="2"/>
      <c r="C120" s="1">
        <v>2018</v>
      </c>
      <c r="D120" s="1">
        <v>1.74</v>
      </c>
    </row>
    <row r="121" spans="1:4" x14ac:dyDescent="0.35">
      <c r="A121" s="1" t="s">
        <v>35</v>
      </c>
      <c r="B121" s="2"/>
      <c r="C121" s="1">
        <v>2019</v>
      </c>
      <c r="D121" s="1">
        <v>1.41</v>
      </c>
    </row>
    <row r="122" spans="1:4" x14ac:dyDescent="0.35">
      <c r="A122" s="1" t="s">
        <v>35</v>
      </c>
      <c r="B122" s="2"/>
      <c r="C122" s="1">
        <v>2020</v>
      </c>
      <c r="D122" s="1">
        <v>1.75</v>
      </c>
    </row>
    <row r="123" spans="1:4" x14ac:dyDescent="0.35">
      <c r="A123" s="1" t="s">
        <v>35</v>
      </c>
      <c r="B123" s="2"/>
      <c r="C123" s="1">
        <v>2021</v>
      </c>
      <c r="D123" s="1">
        <v>2.12</v>
      </c>
    </row>
    <row r="124" spans="1:4" x14ac:dyDescent="0.35">
      <c r="A124" s="1" t="s">
        <v>35</v>
      </c>
      <c r="B124" s="2"/>
      <c r="C124" s="1">
        <v>2022</v>
      </c>
      <c r="D124" s="1">
        <v>10.119999999999999</v>
      </c>
    </row>
    <row r="125" spans="1:4" x14ac:dyDescent="0.35">
      <c r="A125" s="1" t="s">
        <v>35</v>
      </c>
      <c r="B125" s="2"/>
      <c r="C125" s="1">
        <v>2023</v>
      </c>
      <c r="D125" s="1">
        <v>10.62</v>
      </c>
    </row>
    <row r="126" spans="1:4" x14ac:dyDescent="0.35">
      <c r="A126" s="1" t="s">
        <v>35</v>
      </c>
      <c r="B126" s="2"/>
      <c r="C126" s="1">
        <v>2024</v>
      </c>
      <c r="D126" s="1">
        <v>10.62</v>
      </c>
    </row>
    <row r="127" spans="1:4" x14ac:dyDescent="0.35">
      <c r="A127" s="1" t="s">
        <v>35</v>
      </c>
      <c r="B127" s="2" t="s">
        <v>136</v>
      </c>
      <c r="C127" s="1">
        <v>2000</v>
      </c>
      <c r="D127" s="1">
        <v>1.95</v>
      </c>
    </row>
    <row r="128" spans="1:4" x14ac:dyDescent="0.35">
      <c r="A128" s="1" t="s">
        <v>35</v>
      </c>
      <c r="B128" s="2"/>
      <c r="C128" s="1">
        <v>2001</v>
      </c>
      <c r="D128" s="1">
        <v>2.38</v>
      </c>
    </row>
    <row r="129" spans="1:4" x14ac:dyDescent="0.35">
      <c r="A129" s="1" t="s">
        <v>35</v>
      </c>
      <c r="B129" s="2"/>
      <c r="C129" s="1">
        <v>2002</v>
      </c>
      <c r="D129" s="1">
        <v>2.42</v>
      </c>
    </row>
    <row r="130" spans="1:4" x14ac:dyDescent="0.35">
      <c r="A130" s="1" t="s">
        <v>35</v>
      </c>
      <c r="B130" s="2"/>
      <c r="C130" s="1">
        <v>2003</v>
      </c>
      <c r="D130" s="1">
        <v>2.11</v>
      </c>
    </row>
    <row r="131" spans="1:4" x14ac:dyDescent="0.35">
      <c r="A131" s="1" t="s">
        <v>35</v>
      </c>
      <c r="B131" s="2"/>
      <c r="C131" s="1">
        <v>2004</v>
      </c>
      <c r="D131" s="1">
        <v>1.84</v>
      </c>
    </row>
    <row r="132" spans="1:4" x14ac:dyDescent="0.35">
      <c r="A132" s="1" t="s">
        <v>35</v>
      </c>
      <c r="B132" s="2"/>
      <c r="C132" s="1">
        <v>2005</v>
      </c>
      <c r="D132" s="1">
        <v>0.7</v>
      </c>
    </row>
    <row r="133" spans="1:4" x14ac:dyDescent="0.35">
      <c r="A133" s="1" t="s">
        <v>35</v>
      </c>
      <c r="B133" s="2"/>
      <c r="C133" s="1">
        <v>2006</v>
      </c>
      <c r="D133" s="1">
        <v>0</v>
      </c>
    </row>
    <row r="134" spans="1:4" x14ac:dyDescent="0.35">
      <c r="A134" s="1" t="s">
        <v>35</v>
      </c>
      <c r="B134" s="2"/>
      <c r="C134" s="1">
        <v>2007</v>
      </c>
      <c r="D134" s="1">
        <v>0</v>
      </c>
    </row>
    <row r="135" spans="1:4" x14ac:dyDescent="0.35">
      <c r="A135" s="1" t="s">
        <v>35</v>
      </c>
      <c r="B135" s="2"/>
      <c r="C135" s="1">
        <v>2008</v>
      </c>
      <c r="D135" s="1">
        <v>0.16</v>
      </c>
    </row>
    <row r="136" spans="1:4" x14ac:dyDescent="0.35">
      <c r="A136" s="1" t="s">
        <v>35</v>
      </c>
      <c r="B136" s="2"/>
      <c r="C136" s="1">
        <v>2009</v>
      </c>
      <c r="D136" s="1">
        <v>0.19</v>
      </c>
    </row>
    <row r="137" spans="1:4" x14ac:dyDescent="0.35">
      <c r="A137" s="1" t="s">
        <v>35</v>
      </c>
      <c r="B137" s="2"/>
      <c r="C137" s="1">
        <v>2010</v>
      </c>
      <c r="D137" s="1">
        <v>0</v>
      </c>
    </row>
    <row r="138" spans="1:4" x14ac:dyDescent="0.35">
      <c r="A138" s="1" t="s">
        <v>35</v>
      </c>
      <c r="B138" s="2"/>
      <c r="C138" s="1">
        <v>2011</v>
      </c>
      <c r="D138" s="1">
        <v>0</v>
      </c>
    </row>
    <row r="139" spans="1:4" x14ac:dyDescent="0.35">
      <c r="A139" s="1" t="s">
        <v>35</v>
      </c>
      <c r="B139" s="2"/>
      <c r="C139" s="1">
        <v>2012</v>
      </c>
      <c r="D139" s="1">
        <v>0.28000000000000003</v>
      </c>
    </row>
    <row r="140" spans="1:4" x14ac:dyDescent="0.35">
      <c r="A140" s="1" t="s">
        <v>35</v>
      </c>
      <c r="B140" s="2"/>
      <c r="C140" s="1">
        <v>2013</v>
      </c>
      <c r="D140" s="1">
        <v>0</v>
      </c>
    </row>
    <row r="141" spans="1:4" x14ac:dyDescent="0.35">
      <c r="A141" s="1" t="s">
        <v>35</v>
      </c>
      <c r="B141" s="2"/>
      <c r="C141" s="1">
        <v>2014</v>
      </c>
      <c r="D141" s="1">
        <v>0.28999999999999998</v>
      </c>
    </row>
    <row r="142" spans="1:4" x14ac:dyDescent="0.35">
      <c r="A142" s="1" t="s">
        <v>35</v>
      </c>
      <c r="B142" s="2"/>
      <c r="C142" s="1">
        <v>2015</v>
      </c>
      <c r="D142" s="1">
        <v>1.22</v>
      </c>
    </row>
    <row r="143" spans="1:4" x14ac:dyDescent="0.35">
      <c r="A143" s="1" t="s">
        <v>35</v>
      </c>
      <c r="B143" s="2"/>
      <c r="C143" s="1">
        <v>2016</v>
      </c>
      <c r="D143" s="1">
        <v>1.33</v>
      </c>
    </row>
    <row r="144" spans="1:4" x14ac:dyDescent="0.35">
      <c r="A144" s="1" t="s">
        <v>35</v>
      </c>
      <c r="B144" s="2"/>
      <c r="C144" s="1">
        <v>2017</v>
      </c>
      <c r="D144" s="1">
        <v>1.21</v>
      </c>
    </row>
    <row r="145" spans="1:4" x14ac:dyDescent="0.35">
      <c r="A145" s="1" t="s">
        <v>35</v>
      </c>
      <c r="B145" s="2"/>
      <c r="C145" s="1">
        <v>2018</v>
      </c>
      <c r="D145" s="1">
        <v>1.26</v>
      </c>
    </row>
    <row r="146" spans="1:4" x14ac:dyDescent="0.35">
      <c r="A146" s="1" t="s">
        <v>35</v>
      </c>
      <c r="B146" s="2"/>
      <c r="C146" s="1">
        <v>2019</v>
      </c>
      <c r="D146" s="1">
        <v>0.42</v>
      </c>
    </row>
    <row r="147" spans="1:4" x14ac:dyDescent="0.35">
      <c r="A147" s="1" t="s">
        <v>35</v>
      </c>
      <c r="B147" s="2"/>
      <c r="C147" s="1">
        <v>2020</v>
      </c>
      <c r="D147" s="1">
        <v>0.52</v>
      </c>
    </row>
    <row r="148" spans="1:4" x14ac:dyDescent="0.35">
      <c r="A148" s="1" t="s">
        <v>35</v>
      </c>
      <c r="B148" s="2"/>
      <c r="C148" s="1">
        <v>2021</v>
      </c>
      <c r="D148" s="1">
        <v>0.63</v>
      </c>
    </row>
    <row r="149" spans="1:4" x14ac:dyDescent="0.35">
      <c r="A149" s="1" t="s">
        <v>35</v>
      </c>
      <c r="B149" s="2"/>
      <c r="C149" s="1">
        <v>2022</v>
      </c>
      <c r="D149" s="1">
        <v>3.28</v>
      </c>
    </row>
    <row r="150" spans="1:4" x14ac:dyDescent="0.35">
      <c r="A150" s="1" t="s">
        <v>35</v>
      </c>
      <c r="B150" s="2"/>
      <c r="C150" s="1">
        <v>2023</v>
      </c>
      <c r="D150" s="1">
        <v>3.45</v>
      </c>
    </row>
    <row r="151" spans="1:4" x14ac:dyDescent="0.35">
      <c r="A151" s="1" t="s">
        <v>35</v>
      </c>
      <c r="B151" s="2"/>
      <c r="C151" s="1">
        <v>2024</v>
      </c>
      <c r="D151" s="1" t="s">
        <v>137</v>
      </c>
    </row>
    <row r="152" spans="1:4" x14ac:dyDescent="0.35">
      <c r="A152" s="1" t="s">
        <v>39</v>
      </c>
      <c r="B152" s="2" t="s">
        <v>134</v>
      </c>
      <c r="C152" s="1">
        <v>2000</v>
      </c>
      <c r="D152" s="1" t="s">
        <v>137</v>
      </c>
    </row>
    <row r="153" spans="1:4" x14ac:dyDescent="0.35">
      <c r="A153" s="1" t="s">
        <v>39</v>
      </c>
      <c r="B153" s="2"/>
      <c r="C153" s="1">
        <v>2001</v>
      </c>
      <c r="D153" s="1" t="s">
        <v>137</v>
      </c>
    </row>
    <row r="154" spans="1:4" x14ac:dyDescent="0.35">
      <c r="A154" s="1" t="s">
        <v>39</v>
      </c>
      <c r="B154" s="2"/>
      <c r="C154" s="1">
        <v>2002</v>
      </c>
      <c r="D154" s="1" t="s">
        <v>137</v>
      </c>
    </row>
    <row r="155" spans="1:4" x14ac:dyDescent="0.35">
      <c r="A155" s="1" t="s">
        <v>39</v>
      </c>
      <c r="B155" s="2"/>
      <c r="C155" s="1">
        <v>2003</v>
      </c>
      <c r="D155" s="1" t="s">
        <v>137</v>
      </c>
    </row>
    <row r="156" spans="1:4" x14ac:dyDescent="0.35">
      <c r="A156" s="1" t="s">
        <v>39</v>
      </c>
      <c r="B156" s="2"/>
      <c r="C156" s="1">
        <v>2004</v>
      </c>
      <c r="D156" s="1" t="s">
        <v>137</v>
      </c>
    </row>
    <row r="157" spans="1:4" x14ac:dyDescent="0.35">
      <c r="A157" s="1" t="s">
        <v>39</v>
      </c>
      <c r="B157" s="2"/>
      <c r="C157" s="1">
        <v>2005</v>
      </c>
      <c r="D157" s="1" t="s">
        <v>137</v>
      </c>
    </row>
    <row r="158" spans="1:4" x14ac:dyDescent="0.35">
      <c r="A158" s="1" t="s">
        <v>39</v>
      </c>
      <c r="B158" s="2"/>
      <c r="C158" s="1">
        <v>2006</v>
      </c>
      <c r="D158" s="1" t="s">
        <v>137</v>
      </c>
    </row>
    <row r="159" spans="1:4" x14ac:dyDescent="0.35">
      <c r="A159" s="1" t="s">
        <v>39</v>
      </c>
      <c r="B159" s="2"/>
      <c r="C159" s="1">
        <v>2007</v>
      </c>
      <c r="D159" s="1" t="s">
        <v>137</v>
      </c>
    </row>
    <row r="160" spans="1:4" x14ac:dyDescent="0.35">
      <c r="A160" s="1" t="s">
        <v>39</v>
      </c>
      <c r="B160" s="2"/>
      <c r="C160" s="1">
        <v>2008</v>
      </c>
      <c r="D160" s="1" t="s">
        <v>137</v>
      </c>
    </row>
    <row r="161" spans="1:4" x14ac:dyDescent="0.35">
      <c r="A161" s="1" t="s">
        <v>39</v>
      </c>
      <c r="B161" s="2"/>
      <c r="C161" s="1">
        <v>2009</v>
      </c>
      <c r="D161" s="1">
        <v>0.01</v>
      </c>
    </row>
    <row r="162" spans="1:4" x14ac:dyDescent="0.35">
      <c r="A162" s="1" t="s">
        <v>39</v>
      </c>
      <c r="B162" s="2"/>
      <c r="C162" s="1">
        <v>2010</v>
      </c>
      <c r="D162" s="1">
        <v>0.06</v>
      </c>
    </row>
    <row r="163" spans="1:4" x14ac:dyDescent="0.35">
      <c r="A163" s="1" t="s">
        <v>39</v>
      </c>
      <c r="B163" s="2"/>
      <c r="C163" s="1">
        <v>2011</v>
      </c>
      <c r="D163" s="1">
        <v>0.05</v>
      </c>
    </row>
    <row r="164" spans="1:4" x14ac:dyDescent="0.35">
      <c r="A164" s="1" t="s">
        <v>39</v>
      </c>
      <c r="B164" s="2"/>
      <c r="C164" s="1">
        <v>2012</v>
      </c>
      <c r="D164" s="1">
        <v>0.51</v>
      </c>
    </row>
    <row r="165" spans="1:4" x14ac:dyDescent="0.35">
      <c r="A165" s="1" t="s">
        <v>39</v>
      </c>
      <c r="B165" s="2"/>
      <c r="C165" s="1">
        <v>2013</v>
      </c>
      <c r="D165" s="1">
        <v>0.54</v>
      </c>
    </row>
    <row r="166" spans="1:4" x14ac:dyDescent="0.35">
      <c r="A166" s="1" t="s">
        <v>39</v>
      </c>
      <c r="B166" s="2"/>
      <c r="C166" s="1">
        <v>2014</v>
      </c>
      <c r="D166" s="1">
        <v>0.2</v>
      </c>
    </row>
    <row r="167" spans="1:4" x14ac:dyDescent="0.35">
      <c r="A167" s="1" t="s">
        <v>39</v>
      </c>
      <c r="B167" s="2"/>
      <c r="C167" s="1">
        <v>2015</v>
      </c>
      <c r="D167" s="1">
        <v>0.23</v>
      </c>
    </row>
    <row r="168" spans="1:4" x14ac:dyDescent="0.35">
      <c r="A168" s="1" t="s">
        <v>39</v>
      </c>
      <c r="B168" s="2"/>
      <c r="C168" s="1">
        <v>2016</v>
      </c>
      <c r="D168" s="1">
        <v>0.36</v>
      </c>
    </row>
    <row r="169" spans="1:4" x14ac:dyDescent="0.35">
      <c r="A169" s="1" t="s">
        <v>39</v>
      </c>
      <c r="B169" s="2"/>
      <c r="C169" s="1">
        <v>2017</v>
      </c>
      <c r="D169" s="1">
        <v>0.37</v>
      </c>
    </row>
    <row r="170" spans="1:4" x14ac:dyDescent="0.35">
      <c r="A170" s="1" t="s">
        <v>39</v>
      </c>
      <c r="B170" s="2"/>
      <c r="C170" s="1">
        <v>2018</v>
      </c>
      <c r="D170" s="1">
        <v>0.4</v>
      </c>
    </row>
    <row r="171" spans="1:4" x14ac:dyDescent="0.35">
      <c r="A171" s="1" t="s">
        <v>39</v>
      </c>
      <c r="B171" s="2"/>
      <c r="C171" s="1">
        <v>2019</v>
      </c>
      <c r="D171" s="1">
        <v>0.64</v>
      </c>
    </row>
    <row r="172" spans="1:4" x14ac:dyDescent="0.35">
      <c r="A172" s="1" t="s">
        <v>39</v>
      </c>
      <c r="B172" s="2"/>
      <c r="C172" s="1">
        <v>2020</v>
      </c>
      <c r="D172" s="1">
        <v>0.64</v>
      </c>
    </row>
    <row r="173" spans="1:4" x14ac:dyDescent="0.35">
      <c r="A173" s="1" t="s">
        <v>39</v>
      </c>
      <c r="B173" s="2"/>
      <c r="C173" s="1">
        <v>2021</v>
      </c>
      <c r="D173" s="1">
        <v>0.68</v>
      </c>
    </row>
    <row r="174" spans="1:4" x14ac:dyDescent="0.35">
      <c r="A174" s="1" t="s">
        <v>39</v>
      </c>
      <c r="B174" s="2"/>
      <c r="C174" s="1">
        <v>2022</v>
      </c>
      <c r="D174" s="1">
        <v>0.68</v>
      </c>
    </row>
    <row r="175" spans="1:4" x14ac:dyDescent="0.35">
      <c r="A175" s="1" t="s">
        <v>39</v>
      </c>
      <c r="B175" s="2"/>
      <c r="C175" s="1">
        <v>2023</v>
      </c>
      <c r="D175" s="1">
        <v>1.1100000000000001</v>
      </c>
    </row>
    <row r="176" spans="1:4" x14ac:dyDescent="0.35">
      <c r="A176" s="1" t="s">
        <v>39</v>
      </c>
      <c r="B176" s="2"/>
      <c r="C176" s="1">
        <v>2024</v>
      </c>
      <c r="D176" s="1">
        <v>1.1100000000000001</v>
      </c>
    </row>
    <row r="177" spans="1:4" x14ac:dyDescent="0.35">
      <c r="A177" s="1" t="s">
        <v>39</v>
      </c>
      <c r="B177" s="2" t="s">
        <v>136</v>
      </c>
      <c r="C177" s="1">
        <v>2000</v>
      </c>
      <c r="D177" s="1" t="s">
        <v>137</v>
      </c>
    </row>
    <row r="178" spans="1:4" x14ac:dyDescent="0.35">
      <c r="A178" s="1" t="s">
        <v>39</v>
      </c>
      <c r="B178" s="2"/>
      <c r="C178" s="1">
        <v>2001</v>
      </c>
      <c r="D178" s="1" t="s">
        <v>137</v>
      </c>
    </row>
    <row r="179" spans="1:4" x14ac:dyDescent="0.35">
      <c r="A179" s="1" t="s">
        <v>39</v>
      </c>
      <c r="B179" s="2"/>
      <c r="C179" s="1">
        <v>2002</v>
      </c>
      <c r="D179" s="1" t="s">
        <v>137</v>
      </c>
    </row>
    <row r="180" spans="1:4" x14ac:dyDescent="0.35">
      <c r="A180" s="1" t="s">
        <v>39</v>
      </c>
      <c r="B180" s="2"/>
      <c r="C180" s="1">
        <v>2003</v>
      </c>
      <c r="D180" s="1" t="s">
        <v>137</v>
      </c>
    </row>
    <row r="181" spans="1:4" x14ac:dyDescent="0.35">
      <c r="A181" s="1" t="s">
        <v>39</v>
      </c>
      <c r="B181" s="2"/>
      <c r="C181" s="1">
        <v>2004</v>
      </c>
      <c r="D181" s="1" t="s">
        <v>137</v>
      </c>
    </row>
    <row r="182" spans="1:4" x14ac:dyDescent="0.35">
      <c r="A182" s="1" t="s">
        <v>39</v>
      </c>
      <c r="B182" s="2"/>
      <c r="C182" s="1">
        <v>2005</v>
      </c>
      <c r="D182" s="1" t="s">
        <v>137</v>
      </c>
    </row>
    <row r="183" spans="1:4" x14ac:dyDescent="0.35">
      <c r="A183" s="1" t="s">
        <v>39</v>
      </c>
      <c r="B183" s="2"/>
      <c r="C183" s="1">
        <v>2006</v>
      </c>
      <c r="D183" s="1" t="s">
        <v>137</v>
      </c>
    </row>
    <row r="184" spans="1:4" x14ac:dyDescent="0.35">
      <c r="A184" s="1" t="s">
        <v>39</v>
      </c>
      <c r="B184" s="2"/>
      <c r="C184" s="1">
        <v>2007</v>
      </c>
      <c r="D184" s="1" t="s">
        <v>137</v>
      </c>
    </row>
    <row r="185" spans="1:4" x14ac:dyDescent="0.35">
      <c r="A185" s="1" t="s">
        <v>39</v>
      </c>
      <c r="B185" s="2"/>
      <c r="C185" s="1">
        <v>2008</v>
      </c>
      <c r="D185" s="1" t="s">
        <v>137</v>
      </c>
    </row>
    <row r="186" spans="1:4" x14ac:dyDescent="0.35">
      <c r="A186" s="1" t="s">
        <v>39</v>
      </c>
      <c r="B186" s="2"/>
      <c r="C186" s="1">
        <v>2009</v>
      </c>
      <c r="D186" s="1">
        <v>0.01</v>
      </c>
    </row>
    <row r="187" spans="1:4" x14ac:dyDescent="0.35">
      <c r="A187" s="1" t="s">
        <v>39</v>
      </c>
      <c r="B187" s="2"/>
      <c r="C187" s="1">
        <v>2010</v>
      </c>
      <c r="D187" s="1">
        <v>0.04</v>
      </c>
    </row>
    <row r="188" spans="1:4" x14ac:dyDescent="0.35">
      <c r="A188" s="1" t="s">
        <v>39</v>
      </c>
      <c r="B188" s="2"/>
      <c r="C188" s="1">
        <v>2011</v>
      </c>
      <c r="D188" s="1">
        <v>0.06</v>
      </c>
    </row>
    <row r="189" spans="1:4" x14ac:dyDescent="0.35">
      <c r="A189" s="1" t="s">
        <v>39</v>
      </c>
      <c r="B189" s="2"/>
      <c r="C189" s="1">
        <v>2012</v>
      </c>
      <c r="D189" s="1">
        <v>0.28999999999999998</v>
      </c>
    </row>
    <row r="190" spans="1:4" x14ac:dyDescent="0.35">
      <c r="A190" s="1" t="s">
        <v>39</v>
      </c>
      <c r="B190" s="2"/>
      <c r="C190" s="1">
        <v>2013</v>
      </c>
      <c r="D190" s="1">
        <v>0.25</v>
      </c>
    </row>
    <row r="191" spans="1:4" x14ac:dyDescent="0.35">
      <c r="A191" s="1" t="s">
        <v>39</v>
      </c>
      <c r="B191" s="2"/>
      <c r="C191" s="1">
        <v>2014</v>
      </c>
      <c r="D191" s="1">
        <v>0.12</v>
      </c>
    </row>
    <row r="192" spans="1:4" x14ac:dyDescent="0.35">
      <c r="A192" s="1" t="s">
        <v>39</v>
      </c>
      <c r="B192" s="2"/>
      <c r="C192" s="1">
        <v>2015</v>
      </c>
      <c r="D192" s="1">
        <v>0.11</v>
      </c>
    </row>
    <row r="193" spans="1:4" x14ac:dyDescent="0.35">
      <c r="A193" s="1" t="s">
        <v>39</v>
      </c>
      <c r="B193" s="2"/>
      <c r="C193" s="1">
        <v>2016</v>
      </c>
      <c r="D193" s="1">
        <v>0.19</v>
      </c>
    </row>
    <row r="194" spans="1:4" x14ac:dyDescent="0.35">
      <c r="A194" s="1" t="s">
        <v>39</v>
      </c>
      <c r="B194" s="2"/>
      <c r="C194" s="1">
        <v>2017</v>
      </c>
      <c r="D194" s="1">
        <v>0.18</v>
      </c>
    </row>
    <row r="195" spans="1:4" x14ac:dyDescent="0.35">
      <c r="A195" s="1" t="s">
        <v>39</v>
      </c>
      <c r="B195" s="2"/>
      <c r="C195" s="1">
        <v>2018</v>
      </c>
      <c r="D195" s="1">
        <v>0.17</v>
      </c>
    </row>
    <row r="196" spans="1:4" x14ac:dyDescent="0.35">
      <c r="A196" s="1" t="s">
        <v>39</v>
      </c>
      <c r="B196" s="2"/>
      <c r="C196" s="1">
        <v>2019</v>
      </c>
      <c r="D196" s="1">
        <v>0.18</v>
      </c>
    </row>
    <row r="197" spans="1:4" x14ac:dyDescent="0.35">
      <c r="A197" s="1" t="s">
        <v>39</v>
      </c>
      <c r="B197" s="2"/>
      <c r="C197" s="1">
        <v>2020</v>
      </c>
      <c r="D197" s="1">
        <v>0.26</v>
      </c>
    </row>
    <row r="198" spans="1:4" x14ac:dyDescent="0.35">
      <c r="A198" s="1" t="s">
        <v>39</v>
      </c>
      <c r="B198" s="2"/>
      <c r="C198" s="1">
        <v>2021</v>
      </c>
      <c r="D198" s="1">
        <v>0.25</v>
      </c>
    </row>
    <row r="199" spans="1:4" x14ac:dyDescent="0.35">
      <c r="A199" s="1" t="s">
        <v>39</v>
      </c>
      <c r="B199" s="2"/>
      <c r="C199" s="1">
        <v>2022</v>
      </c>
      <c r="D199" s="1">
        <v>0.23</v>
      </c>
    </row>
    <row r="200" spans="1:4" x14ac:dyDescent="0.35">
      <c r="A200" s="1" t="s">
        <v>39</v>
      </c>
      <c r="B200" s="2"/>
      <c r="C200" s="1">
        <v>2023</v>
      </c>
      <c r="D200" s="1">
        <v>0.22</v>
      </c>
    </row>
    <row r="201" spans="1:4" x14ac:dyDescent="0.35">
      <c r="A201" s="1" t="s">
        <v>39</v>
      </c>
      <c r="B201" s="2"/>
      <c r="C201" s="1">
        <v>2024</v>
      </c>
      <c r="D201" s="1" t="s">
        <v>137</v>
      </c>
    </row>
    <row r="202" spans="1:4" x14ac:dyDescent="0.35">
      <c r="A202" s="1" t="s">
        <v>37</v>
      </c>
      <c r="B202" s="2" t="s">
        <v>134</v>
      </c>
      <c r="C202" s="1">
        <v>2000</v>
      </c>
      <c r="D202" s="1">
        <v>40</v>
      </c>
    </row>
    <row r="203" spans="1:4" x14ac:dyDescent="0.35">
      <c r="A203" s="1" t="s">
        <v>37</v>
      </c>
      <c r="B203" s="2"/>
      <c r="C203" s="1">
        <v>2001</v>
      </c>
      <c r="D203" s="1">
        <v>40</v>
      </c>
    </row>
    <row r="204" spans="1:4" x14ac:dyDescent="0.35">
      <c r="A204" s="1" t="s">
        <v>37</v>
      </c>
      <c r="B204" s="2"/>
      <c r="C204" s="1">
        <v>2002</v>
      </c>
      <c r="D204" s="1">
        <v>40</v>
      </c>
    </row>
    <row r="205" spans="1:4" x14ac:dyDescent="0.35">
      <c r="A205" s="1" t="s">
        <v>37</v>
      </c>
      <c r="B205" s="2"/>
      <c r="C205" s="1">
        <v>2003</v>
      </c>
      <c r="D205" s="1">
        <v>17.579999999999998</v>
      </c>
    </row>
    <row r="206" spans="1:4" x14ac:dyDescent="0.35">
      <c r="A206" s="1" t="s">
        <v>37</v>
      </c>
      <c r="B206" s="2"/>
      <c r="C206" s="1">
        <v>2004</v>
      </c>
      <c r="D206" s="1">
        <v>15.07</v>
      </c>
    </row>
    <row r="207" spans="1:4" x14ac:dyDescent="0.35">
      <c r="A207" s="1" t="s">
        <v>37</v>
      </c>
      <c r="B207" s="2"/>
      <c r="C207" s="1">
        <v>2005</v>
      </c>
      <c r="D207" s="1">
        <v>13.6</v>
      </c>
    </row>
    <row r="208" spans="1:4" x14ac:dyDescent="0.35">
      <c r="A208" s="1" t="s">
        <v>37</v>
      </c>
      <c r="B208" s="2"/>
      <c r="C208" s="1">
        <v>2006</v>
      </c>
      <c r="D208" s="1">
        <v>12.44</v>
      </c>
    </row>
    <row r="209" spans="1:4" x14ac:dyDescent="0.35">
      <c r="A209" s="1" t="s">
        <v>37</v>
      </c>
      <c r="B209" s="2"/>
      <c r="C209" s="1">
        <v>2007</v>
      </c>
      <c r="D209" s="1">
        <v>12.59</v>
      </c>
    </row>
    <row r="210" spans="1:4" x14ac:dyDescent="0.35">
      <c r="A210" s="1" t="s">
        <v>37</v>
      </c>
      <c r="B210" s="2"/>
      <c r="C210" s="1">
        <v>2008</v>
      </c>
      <c r="D210" s="1">
        <v>12.54</v>
      </c>
    </row>
    <row r="211" spans="1:4" x14ac:dyDescent="0.35">
      <c r="A211" s="1" t="s">
        <v>37</v>
      </c>
      <c r="B211" s="2"/>
      <c r="C211" s="1">
        <v>2009</v>
      </c>
      <c r="D211" s="1">
        <v>12.54</v>
      </c>
    </row>
    <row r="212" spans="1:4" x14ac:dyDescent="0.35">
      <c r="A212" s="1" t="s">
        <v>37</v>
      </c>
      <c r="B212" s="2"/>
      <c r="C212" s="1">
        <v>2010</v>
      </c>
      <c r="D212" s="1">
        <v>13.3</v>
      </c>
    </row>
    <row r="213" spans="1:4" x14ac:dyDescent="0.35">
      <c r="A213" s="1" t="s">
        <v>37</v>
      </c>
      <c r="B213" s="2"/>
      <c r="C213" s="1">
        <v>2011</v>
      </c>
      <c r="D213" s="1">
        <v>10.6</v>
      </c>
    </row>
    <row r="214" spans="1:4" x14ac:dyDescent="0.35">
      <c r="A214" s="1" t="s">
        <v>37</v>
      </c>
      <c r="B214" s="2"/>
      <c r="C214" s="1">
        <v>2012</v>
      </c>
      <c r="D214" s="1">
        <v>9.07</v>
      </c>
    </row>
    <row r="215" spans="1:4" x14ac:dyDescent="0.35">
      <c r="A215" s="1" t="s">
        <v>37</v>
      </c>
      <c r="B215" s="2"/>
      <c r="C215" s="1">
        <v>2013</v>
      </c>
      <c r="D215" s="1">
        <v>13.32</v>
      </c>
    </row>
    <row r="216" spans="1:4" x14ac:dyDescent="0.35">
      <c r="A216" s="1" t="s">
        <v>37</v>
      </c>
      <c r="B216" s="2"/>
      <c r="C216" s="1">
        <v>2014</v>
      </c>
      <c r="D216" s="1">
        <v>11.72</v>
      </c>
    </row>
    <row r="217" spans="1:4" x14ac:dyDescent="0.35">
      <c r="A217" s="1" t="s">
        <v>37</v>
      </c>
      <c r="B217" s="2"/>
      <c r="C217" s="1">
        <v>2015</v>
      </c>
      <c r="D217" s="1">
        <v>10.75</v>
      </c>
    </row>
    <row r="218" spans="1:4" x14ac:dyDescent="0.35">
      <c r="A218" s="1" t="s">
        <v>37</v>
      </c>
      <c r="B218" s="2"/>
      <c r="C218" s="1">
        <v>2016</v>
      </c>
      <c r="D218" s="1">
        <v>10.96</v>
      </c>
    </row>
    <row r="219" spans="1:4" x14ac:dyDescent="0.35">
      <c r="A219" s="1" t="s">
        <v>37</v>
      </c>
      <c r="B219" s="2"/>
      <c r="C219" s="1">
        <v>2017</v>
      </c>
      <c r="D219" s="1">
        <v>19.75</v>
      </c>
    </row>
    <row r="220" spans="1:4" x14ac:dyDescent="0.35">
      <c r="A220" s="1" t="s">
        <v>37</v>
      </c>
      <c r="B220" s="2"/>
      <c r="C220" s="1">
        <v>2018</v>
      </c>
      <c r="D220" s="1">
        <v>23.05</v>
      </c>
    </row>
    <row r="221" spans="1:4" x14ac:dyDescent="0.35">
      <c r="A221" s="1" t="s">
        <v>37</v>
      </c>
      <c r="B221" s="2"/>
      <c r="C221" s="1">
        <v>2019</v>
      </c>
      <c r="D221" s="1">
        <v>21.14</v>
      </c>
    </row>
    <row r="222" spans="1:4" x14ac:dyDescent="0.35">
      <c r="A222" s="1" t="s">
        <v>37</v>
      </c>
      <c r="B222" s="2"/>
      <c r="C222" s="1">
        <v>2020</v>
      </c>
      <c r="D222" s="1">
        <v>21.23</v>
      </c>
    </row>
    <row r="223" spans="1:4" x14ac:dyDescent="0.35">
      <c r="A223" s="1" t="s">
        <v>37</v>
      </c>
      <c r="B223" s="2"/>
      <c r="C223" s="1">
        <v>2021</v>
      </c>
      <c r="D223" s="1">
        <v>19.149999999999999</v>
      </c>
    </row>
    <row r="224" spans="1:4" x14ac:dyDescent="0.35">
      <c r="A224" s="1" t="s">
        <v>37</v>
      </c>
      <c r="B224" s="2"/>
      <c r="C224" s="1">
        <v>2022</v>
      </c>
      <c r="D224" s="1">
        <v>23.99</v>
      </c>
    </row>
    <row r="225" spans="1:4" x14ac:dyDescent="0.35">
      <c r="A225" s="1" t="s">
        <v>37</v>
      </c>
      <c r="B225" s="2"/>
      <c r="C225" s="1">
        <v>2023</v>
      </c>
      <c r="D225" s="1">
        <v>34.92</v>
      </c>
    </row>
    <row r="226" spans="1:4" x14ac:dyDescent="0.35">
      <c r="A226" s="1" t="s">
        <v>37</v>
      </c>
      <c r="B226" s="2"/>
      <c r="C226" s="1">
        <v>2024</v>
      </c>
      <c r="D226" s="1">
        <v>37.85</v>
      </c>
    </row>
    <row r="227" spans="1:4" x14ac:dyDescent="0.35">
      <c r="A227" s="1" t="s">
        <v>37</v>
      </c>
      <c r="B227" s="2" t="s">
        <v>136</v>
      </c>
      <c r="C227" s="1">
        <v>2000</v>
      </c>
      <c r="D227" s="1">
        <v>25.17</v>
      </c>
    </row>
    <row r="228" spans="1:4" x14ac:dyDescent="0.35">
      <c r="A228" s="1" t="s">
        <v>37</v>
      </c>
      <c r="B228" s="2"/>
      <c r="C228" s="1">
        <v>2001</v>
      </c>
      <c r="D228" s="1">
        <v>14.71</v>
      </c>
    </row>
    <row r="229" spans="1:4" x14ac:dyDescent="0.35">
      <c r="A229" s="1" t="s">
        <v>37</v>
      </c>
      <c r="B229" s="2"/>
      <c r="C229" s="1">
        <v>2002</v>
      </c>
      <c r="D229" s="1">
        <v>17.48</v>
      </c>
    </row>
    <row r="230" spans="1:4" x14ac:dyDescent="0.35">
      <c r="A230" s="1" t="s">
        <v>37</v>
      </c>
      <c r="B230" s="2"/>
      <c r="C230" s="1">
        <v>2003</v>
      </c>
      <c r="D230" s="1">
        <v>21.57</v>
      </c>
    </row>
    <row r="231" spans="1:4" x14ac:dyDescent="0.35">
      <c r="A231" s="1" t="s">
        <v>37</v>
      </c>
      <c r="B231" s="2"/>
      <c r="C231" s="1">
        <v>2004</v>
      </c>
      <c r="D231" s="1">
        <v>21.47</v>
      </c>
    </row>
    <row r="232" spans="1:4" x14ac:dyDescent="0.35">
      <c r="A232" s="1" t="s">
        <v>37</v>
      </c>
      <c r="B232" s="2"/>
      <c r="C232" s="1">
        <v>2005</v>
      </c>
      <c r="D232" s="1">
        <v>19.489999999999998</v>
      </c>
    </row>
    <row r="233" spans="1:4" x14ac:dyDescent="0.35">
      <c r="A233" s="1" t="s">
        <v>37</v>
      </c>
      <c r="B233" s="2"/>
      <c r="C233" s="1">
        <v>2006</v>
      </c>
      <c r="D233" s="1">
        <v>14.74</v>
      </c>
    </row>
    <row r="234" spans="1:4" x14ac:dyDescent="0.35">
      <c r="A234" s="1" t="s">
        <v>37</v>
      </c>
      <c r="B234" s="2"/>
      <c r="C234" s="1">
        <v>2007</v>
      </c>
      <c r="D234" s="1">
        <v>18.21</v>
      </c>
    </row>
    <row r="235" spans="1:4" x14ac:dyDescent="0.35">
      <c r="A235" s="1" t="s">
        <v>37</v>
      </c>
      <c r="B235" s="2"/>
      <c r="C235" s="1">
        <v>2008</v>
      </c>
      <c r="D235" s="1">
        <v>21.97</v>
      </c>
    </row>
    <row r="236" spans="1:4" x14ac:dyDescent="0.35">
      <c r="A236" s="1" t="s">
        <v>37</v>
      </c>
      <c r="B236" s="2"/>
      <c r="C236" s="1">
        <v>2009</v>
      </c>
      <c r="D236" s="1">
        <v>18.93</v>
      </c>
    </row>
    <row r="237" spans="1:4" x14ac:dyDescent="0.35">
      <c r="A237" s="1" t="s">
        <v>37</v>
      </c>
      <c r="B237" s="2"/>
      <c r="C237" s="1">
        <v>2010</v>
      </c>
      <c r="D237" s="1">
        <v>20.83</v>
      </c>
    </row>
    <row r="238" spans="1:4" x14ac:dyDescent="0.35">
      <c r="A238" s="1" t="s">
        <v>37</v>
      </c>
      <c r="B238" s="2"/>
      <c r="C238" s="1">
        <v>2011</v>
      </c>
      <c r="D238" s="1">
        <v>15.52</v>
      </c>
    </row>
    <row r="239" spans="1:4" x14ac:dyDescent="0.35">
      <c r="A239" s="1" t="s">
        <v>37</v>
      </c>
      <c r="B239" s="2"/>
      <c r="C239" s="1">
        <v>2012</v>
      </c>
      <c r="D239" s="1">
        <v>15.64</v>
      </c>
    </row>
    <row r="240" spans="1:4" x14ac:dyDescent="0.35">
      <c r="A240" s="1" t="s">
        <v>37</v>
      </c>
      <c r="B240" s="2"/>
      <c r="C240" s="1">
        <v>2013</v>
      </c>
      <c r="D240" s="1">
        <v>14.71</v>
      </c>
    </row>
    <row r="241" spans="1:4" x14ac:dyDescent="0.35">
      <c r="A241" s="1" t="s">
        <v>37</v>
      </c>
      <c r="B241" s="2"/>
      <c r="C241" s="1">
        <v>2014</v>
      </c>
      <c r="D241" s="1">
        <v>10.72</v>
      </c>
    </row>
    <row r="242" spans="1:4" x14ac:dyDescent="0.35">
      <c r="A242" s="1" t="s">
        <v>37</v>
      </c>
      <c r="B242" s="2"/>
      <c r="C242" s="1">
        <v>2015</v>
      </c>
      <c r="D242" s="1">
        <v>9.7899999999999991</v>
      </c>
    </row>
    <row r="243" spans="1:4" x14ac:dyDescent="0.35">
      <c r="A243" s="1" t="s">
        <v>37</v>
      </c>
      <c r="B243" s="2"/>
      <c r="C243" s="1">
        <v>2016</v>
      </c>
      <c r="D243" s="1">
        <v>14.81</v>
      </c>
    </row>
    <row r="244" spans="1:4" x14ac:dyDescent="0.35">
      <c r="A244" s="1" t="s">
        <v>37</v>
      </c>
      <c r="B244" s="2"/>
      <c r="C244" s="1">
        <v>2017</v>
      </c>
      <c r="D244" s="1">
        <v>13.09</v>
      </c>
    </row>
    <row r="245" spans="1:4" x14ac:dyDescent="0.35">
      <c r="A245" s="1" t="s">
        <v>37</v>
      </c>
      <c r="B245" s="2"/>
      <c r="C245" s="1">
        <v>2018</v>
      </c>
      <c r="D245" s="1">
        <v>16.86</v>
      </c>
    </row>
    <row r="246" spans="1:4" x14ac:dyDescent="0.35">
      <c r="A246" s="1" t="s">
        <v>37</v>
      </c>
      <c r="B246" s="2"/>
      <c r="C246" s="1">
        <v>2019</v>
      </c>
      <c r="D246" s="1">
        <v>25.17</v>
      </c>
    </row>
    <row r="247" spans="1:4" x14ac:dyDescent="0.35">
      <c r="A247" s="1" t="s">
        <v>37</v>
      </c>
      <c r="B247" s="2"/>
      <c r="C247" s="1">
        <v>2020</v>
      </c>
      <c r="D247" s="1">
        <v>27.87</v>
      </c>
    </row>
    <row r="248" spans="1:4" x14ac:dyDescent="0.35">
      <c r="A248" s="1" t="s">
        <v>37</v>
      </c>
      <c r="B248" s="2"/>
      <c r="C248" s="1">
        <v>2021</v>
      </c>
      <c r="D248" s="1">
        <v>24.4</v>
      </c>
    </row>
    <row r="249" spans="1:4" x14ac:dyDescent="0.35">
      <c r="A249" s="1" t="s">
        <v>37</v>
      </c>
      <c r="B249" s="2"/>
      <c r="C249" s="1">
        <v>2022</v>
      </c>
      <c r="D249" s="1">
        <v>23.79</v>
      </c>
    </row>
    <row r="250" spans="1:4" x14ac:dyDescent="0.35">
      <c r="A250" s="1" t="s">
        <v>37</v>
      </c>
      <c r="B250" s="2"/>
      <c r="C250" s="1">
        <v>2023</v>
      </c>
      <c r="D250" s="1">
        <v>24.52</v>
      </c>
    </row>
    <row r="251" spans="1:4" x14ac:dyDescent="0.35">
      <c r="A251" s="1" t="s">
        <v>37</v>
      </c>
      <c r="B251" s="2"/>
      <c r="C251" s="1">
        <v>2024</v>
      </c>
      <c r="D251" s="1" t="s">
        <v>137</v>
      </c>
    </row>
    <row r="252" spans="1:4" x14ac:dyDescent="0.35">
      <c r="A252" s="1" t="s">
        <v>32</v>
      </c>
      <c r="B252" s="2" t="s">
        <v>134</v>
      </c>
      <c r="C252" s="1">
        <v>2000</v>
      </c>
      <c r="D252" s="1">
        <v>90.8</v>
      </c>
    </row>
    <row r="253" spans="1:4" x14ac:dyDescent="0.35">
      <c r="A253" s="1" t="s">
        <v>32</v>
      </c>
      <c r="B253" s="2"/>
      <c r="C253" s="1">
        <v>2001</v>
      </c>
      <c r="D253" s="1">
        <v>90.8</v>
      </c>
    </row>
    <row r="254" spans="1:4" x14ac:dyDescent="0.35">
      <c r="A254" s="1" t="s">
        <v>32</v>
      </c>
      <c r="B254" s="2"/>
      <c r="C254" s="1">
        <v>2002</v>
      </c>
      <c r="D254" s="1">
        <v>90.8</v>
      </c>
    </row>
    <row r="255" spans="1:4" x14ac:dyDescent="0.35">
      <c r="A255" s="1" t="s">
        <v>32</v>
      </c>
      <c r="B255" s="2"/>
      <c r="C255" s="1">
        <v>2003</v>
      </c>
      <c r="D255" s="1">
        <v>90.8</v>
      </c>
    </row>
    <row r="256" spans="1:4" x14ac:dyDescent="0.35">
      <c r="A256" s="1" t="s">
        <v>32</v>
      </c>
      <c r="B256" s="2"/>
      <c r="C256" s="1">
        <v>2004</v>
      </c>
      <c r="D256" s="1">
        <v>90.8</v>
      </c>
    </row>
    <row r="257" spans="1:4" x14ac:dyDescent="0.35">
      <c r="A257" s="1" t="s">
        <v>32</v>
      </c>
      <c r="B257" s="2"/>
      <c r="C257" s="1">
        <v>2005</v>
      </c>
      <c r="D257" s="1">
        <v>90.8</v>
      </c>
    </row>
    <row r="258" spans="1:4" x14ac:dyDescent="0.35">
      <c r="A258" s="1" t="s">
        <v>32</v>
      </c>
      <c r="B258" s="2"/>
      <c r="C258" s="1">
        <v>2006</v>
      </c>
      <c r="D258" s="1">
        <v>90.8</v>
      </c>
    </row>
    <row r="259" spans="1:4" x14ac:dyDescent="0.35">
      <c r="A259" s="1" t="s">
        <v>32</v>
      </c>
      <c r="B259" s="2"/>
      <c r="C259" s="1">
        <v>2007</v>
      </c>
      <c r="D259" s="1">
        <v>90.8</v>
      </c>
    </row>
    <row r="260" spans="1:4" x14ac:dyDescent="0.35">
      <c r="A260" s="1" t="s">
        <v>32</v>
      </c>
      <c r="B260" s="2"/>
      <c r="C260" s="1">
        <v>2008</v>
      </c>
      <c r="D260" s="1">
        <v>90.8</v>
      </c>
    </row>
    <row r="261" spans="1:4" x14ac:dyDescent="0.35">
      <c r="A261" s="1" t="s">
        <v>32</v>
      </c>
      <c r="B261" s="2"/>
      <c r="C261" s="1">
        <v>2009</v>
      </c>
      <c r="D261" s="1">
        <v>90.8</v>
      </c>
    </row>
    <row r="262" spans="1:4" x14ac:dyDescent="0.35">
      <c r="A262" s="1" t="s">
        <v>32</v>
      </c>
      <c r="B262" s="2"/>
      <c r="C262" s="1">
        <v>2010</v>
      </c>
      <c r="D262" s="1">
        <v>90.8</v>
      </c>
    </row>
    <row r="263" spans="1:4" x14ac:dyDescent="0.35">
      <c r="A263" s="1" t="s">
        <v>32</v>
      </c>
      <c r="B263" s="2"/>
      <c r="C263" s="1">
        <v>2011</v>
      </c>
      <c r="D263" s="1">
        <v>77.94</v>
      </c>
    </row>
    <row r="264" spans="1:4" x14ac:dyDescent="0.35">
      <c r="A264" s="1" t="s">
        <v>32</v>
      </c>
      <c r="B264" s="2"/>
      <c r="C264" s="1">
        <v>2012</v>
      </c>
      <c r="D264" s="1">
        <v>78.06</v>
      </c>
    </row>
    <row r="265" spans="1:4" x14ac:dyDescent="0.35">
      <c r="A265" s="1" t="s">
        <v>32</v>
      </c>
      <c r="B265" s="2"/>
      <c r="C265" s="1">
        <v>2013</v>
      </c>
      <c r="D265" s="1">
        <v>72.91</v>
      </c>
    </row>
    <row r="266" spans="1:4" x14ac:dyDescent="0.35">
      <c r="A266" s="1" t="s">
        <v>32</v>
      </c>
      <c r="B266" s="2"/>
      <c r="C266" s="1">
        <v>2014</v>
      </c>
      <c r="D266" s="1">
        <v>72.91</v>
      </c>
    </row>
    <row r="267" spans="1:4" x14ac:dyDescent="0.35">
      <c r="A267" s="1" t="s">
        <v>32</v>
      </c>
      <c r="B267" s="2"/>
      <c r="C267" s="1">
        <v>2015</v>
      </c>
      <c r="D267" s="1">
        <v>73.02</v>
      </c>
    </row>
    <row r="268" spans="1:4" x14ac:dyDescent="0.35">
      <c r="A268" s="1" t="s">
        <v>32</v>
      </c>
      <c r="B268" s="2"/>
      <c r="C268" s="1">
        <v>2016</v>
      </c>
      <c r="D268" s="1">
        <v>73.3</v>
      </c>
    </row>
    <row r="269" spans="1:4" x14ac:dyDescent="0.35">
      <c r="A269" s="1" t="s">
        <v>32</v>
      </c>
      <c r="B269" s="2"/>
      <c r="C269" s="1">
        <v>2017</v>
      </c>
      <c r="D269" s="1">
        <v>51.74</v>
      </c>
    </row>
    <row r="270" spans="1:4" x14ac:dyDescent="0.35">
      <c r="A270" s="1" t="s">
        <v>32</v>
      </c>
      <c r="B270" s="2"/>
      <c r="C270" s="1">
        <v>2018</v>
      </c>
      <c r="D270" s="1">
        <v>51.75</v>
      </c>
    </row>
    <row r="271" spans="1:4" x14ac:dyDescent="0.35">
      <c r="A271" s="1" t="s">
        <v>32</v>
      </c>
      <c r="B271" s="2"/>
      <c r="C271" s="1">
        <v>2019</v>
      </c>
      <c r="D271" s="1">
        <v>51.77</v>
      </c>
    </row>
    <row r="272" spans="1:4" x14ac:dyDescent="0.35">
      <c r="A272" s="1" t="s">
        <v>32</v>
      </c>
      <c r="B272" s="2"/>
      <c r="C272" s="1">
        <v>2020</v>
      </c>
      <c r="D272" s="1">
        <v>51.83</v>
      </c>
    </row>
    <row r="273" spans="1:4" x14ac:dyDescent="0.35">
      <c r="A273" s="1" t="s">
        <v>32</v>
      </c>
      <c r="B273" s="2"/>
      <c r="C273" s="1">
        <v>2021</v>
      </c>
      <c r="D273" s="1">
        <v>54.83</v>
      </c>
    </row>
    <row r="274" spans="1:4" x14ac:dyDescent="0.35">
      <c r="A274" s="1" t="s">
        <v>32</v>
      </c>
      <c r="B274" s="2"/>
      <c r="C274" s="1">
        <v>2022</v>
      </c>
      <c r="D274" s="1">
        <v>60.13</v>
      </c>
    </row>
    <row r="275" spans="1:4" x14ac:dyDescent="0.35">
      <c r="A275" s="1" t="s">
        <v>32</v>
      </c>
      <c r="B275" s="2"/>
      <c r="C275" s="1">
        <v>2023</v>
      </c>
      <c r="D275" s="1">
        <v>60.33</v>
      </c>
    </row>
    <row r="276" spans="1:4" x14ac:dyDescent="0.35">
      <c r="A276" s="1" t="s">
        <v>32</v>
      </c>
      <c r="B276" s="2"/>
      <c r="C276" s="1">
        <v>2024</v>
      </c>
      <c r="D276" s="1">
        <v>60.33</v>
      </c>
    </row>
    <row r="277" spans="1:4" x14ac:dyDescent="0.35">
      <c r="A277" s="1" t="s">
        <v>32</v>
      </c>
      <c r="B277" s="2" t="s">
        <v>136</v>
      </c>
      <c r="C277" s="1">
        <v>2000</v>
      </c>
      <c r="D277" s="1">
        <v>94.5</v>
      </c>
    </row>
    <row r="278" spans="1:4" x14ac:dyDescent="0.35">
      <c r="A278" s="1" t="s">
        <v>32</v>
      </c>
      <c r="B278" s="2"/>
      <c r="C278" s="1">
        <v>2001</v>
      </c>
      <c r="D278" s="1">
        <v>95.09</v>
      </c>
    </row>
    <row r="279" spans="1:4" x14ac:dyDescent="0.35">
      <c r="A279" s="1" t="s">
        <v>32</v>
      </c>
      <c r="B279" s="2"/>
      <c r="C279" s="1">
        <v>2002</v>
      </c>
      <c r="D279" s="1">
        <v>95.51</v>
      </c>
    </row>
    <row r="280" spans="1:4" x14ac:dyDescent="0.35">
      <c r="A280" s="1" t="s">
        <v>32</v>
      </c>
      <c r="B280" s="2"/>
      <c r="C280" s="1">
        <v>2003</v>
      </c>
      <c r="D280" s="1">
        <v>94.56</v>
      </c>
    </row>
    <row r="281" spans="1:4" x14ac:dyDescent="0.35">
      <c r="A281" s="1" t="s">
        <v>32</v>
      </c>
      <c r="B281" s="2"/>
      <c r="C281" s="1">
        <v>2004</v>
      </c>
      <c r="D281" s="1">
        <v>94.08</v>
      </c>
    </row>
    <row r="282" spans="1:4" x14ac:dyDescent="0.35">
      <c r="A282" s="1" t="s">
        <v>32</v>
      </c>
      <c r="B282" s="2"/>
      <c r="C282" s="1">
        <v>2005</v>
      </c>
      <c r="D282" s="1">
        <v>94.48</v>
      </c>
    </row>
    <row r="283" spans="1:4" x14ac:dyDescent="0.35">
      <c r="A283" s="1" t="s">
        <v>32</v>
      </c>
      <c r="B283" s="2"/>
      <c r="C283" s="1">
        <v>2006</v>
      </c>
      <c r="D283" s="1">
        <v>96.29</v>
      </c>
    </row>
    <row r="284" spans="1:4" x14ac:dyDescent="0.35">
      <c r="A284" s="1" t="s">
        <v>32</v>
      </c>
      <c r="B284" s="2"/>
      <c r="C284" s="1">
        <v>2007</v>
      </c>
      <c r="D284" s="1">
        <v>97.07</v>
      </c>
    </row>
    <row r="285" spans="1:4" x14ac:dyDescent="0.35">
      <c r="A285" s="1" t="s">
        <v>32</v>
      </c>
      <c r="B285" s="2"/>
      <c r="C285" s="1">
        <v>2008</v>
      </c>
      <c r="D285" s="1">
        <v>97.25</v>
      </c>
    </row>
    <row r="286" spans="1:4" x14ac:dyDescent="0.35">
      <c r="A286" s="1" t="s">
        <v>32</v>
      </c>
      <c r="B286" s="2"/>
      <c r="C286" s="1">
        <v>2009</v>
      </c>
      <c r="D286" s="1">
        <v>97.11</v>
      </c>
    </row>
    <row r="287" spans="1:4" x14ac:dyDescent="0.35">
      <c r="A287" s="1" t="s">
        <v>32</v>
      </c>
      <c r="B287" s="2"/>
      <c r="C287" s="1">
        <v>2010</v>
      </c>
      <c r="D287" s="1">
        <v>88.46</v>
      </c>
    </row>
    <row r="288" spans="1:4" x14ac:dyDescent="0.35">
      <c r="A288" s="1" t="s">
        <v>32</v>
      </c>
      <c r="B288" s="2"/>
      <c r="C288" s="1">
        <v>2011</v>
      </c>
      <c r="D288" s="1">
        <v>91.66</v>
      </c>
    </row>
    <row r="289" spans="1:4" x14ac:dyDescent="0.35">
      <c r="A289" s="1" t="s">
        <v>32</v>
      </c>
      <c r="B289" s="2"/>
      <c r="C289" s="1">
        <v>2012</v>
      </c>
      <c r="D289" s="1">
        <v>98.15</v>
      </c>
    </row>
    <row r="290" spans="1:4" x14ac:dyDescent="0.35">
      <c r="A290" s="1" t="s">
        <v>32</v>
      </c>
      <c r="B290" s="2"/>
      <c r="C290" s="1">
        <v>2013</v>
      </c>
      <c r="D290" s="1">
        <v>91.02</v>
      </c>
    </row>
    <row r="291" spans="1:4" x14ac:dyDescent="0.35">
      <c r="A291" s="1" t="s">
        <v>32</v>
      </c>
      <c r="B291" s="2"/>
      <c r="C291" s="1">
        <v>2014</v>
      </c>
      <c r="D291" s="1">
        <v>87.75</v>
      </c>
    </row>
    <row r="292" spans="1:4" x14ac:dyDescent="0.35">
      <c r="A292" s="1" t="s">
        <v>32</v>
      </c>
      <c r="B292" s="2"/>
      <c r="C292" s="1">
        <v>2015</v>
      </c>
      <c r="D292" s="1">
        <v>88.58</v>
      </c>
    </row>
    <row r="293" spans="1:4" x14ac:dyDescent="0.35">
      <c r="A293" s="1" t="s">
        <v>32</v>
      </c>
      <c r="B293" s="2"/>
      <c r="C293" s="1">
        <v>2016</v>
      </c>
      <c r="D293" s="1">
        <v>91.35</v>
      </c>
    </row>
    <row r="294" spans="1:4" x14ac:dyDescent="0.35">
      <c r="A294" s="1" t="s">
        <v>32</v>
      </c>
      <c r="B294" s="2"/>
      <c r="C294" s="1">
        <v>2017</v>
      </c>
      <c r="D294" s="1">
        <v>71.02</v>
      </c>
    </row>
    <row r="295" spans="1:4" x14ac:dyDescent="0.35">
      <c r="A295" s="1" t="s">
        <v>32</v>
      </c>
      <c r="B295" s="2"/>
      <c r="C295" s="1">
        <v>2018</v>
      </c>
      <c r="D295" s="1">
        <v>68.180000000000007</v>
      </c>
    </row>
    <row r="296" spans="1:4" x14ac:dyDescent="0.35">
      <c r="A296" s="1" t="s">
        <v>32</v>
      </c>
      <c r="B296" s="2"/>
      <c r="C296" s="1">
        <v>2019</v>
      </c>
      <c r="D296" s="1">
        <v>64.650000000000006</v>
      </c>
    </row>
    <row r="297" spans="1:4" x14ac:dyDescent="0.35">
      <c r="A297" s="1" t="s">
        <v>32</v>
      </c>
      <c r="B297" s="2"/>
      <c r="C297" s="1">
        <v>2020</v>
      </c>
      <c r="D297" s="1">
        <v>75.83</v>
      </c>
    </row>
    <row r="298" spans="1:4" x14ac:dyDescent="0.35">
      <c r="A298" s="1" t="s">
        <v>32</v>
      </c>
      <c r="B298" s="2"/>
      <c r="C298" s="1">
        <v>2021</v>
      </c>
      <c r="D298" s="1">
        <v>68.319999999999993</v>
      </c>
    </row>
    <row r="299" spans="1:4" x14ac:dyDescent="0.35">
      <c r="A299" s="1" t="s">
        <v>32</v>
      </c>
      <c r="B299" s="2"/>
      <c r="C299" s="1">
        <v>2022</v>
      </c>
      <c r="D299" s="1">
        <v>72.97</v>
      </c>
    </row>
    <row r="300" spans="1:4" x14ac:dyDescent="0.35">
      <c r="A300" s="1" t="s">
        <v>32</v>
      </c>
      <c r="B300" s="2"/>
      <c r="C300" s="1">
        <v>2023</v>
      </c>
      <c r="D300" s="1">
        <v>95.62</v>
      </c>
    </row>
    <row r="301" spans="1:4" x14ac:dyDescent="0.35">
      <c r="A301" s="1" t="s">
        <v>32</v>
      </c>
      <c r="B301" s="2"/>
      <c r="C301" s="1">
        <v>2024</v>
      </c>
      <c r="D301" s="1" t="s">
        <v>137</v>
      </c>
    </row>
    <row r="302" spans="1:4" x14ac:dyDescent="0.35">
      <c r="A302" s="1" t="s">
        <v>48</v>
      </c>
      <c r="B302" s="2" t="s">
        <v>134</v>
      </c>
      <c r="C302" s="1">
        <v>2000</v>
      </c>
      <c r="D302" s="1" t="s">
        <v>137</v>
      </c>
    </row>
    <row r="303" spans="1:4" x14ac:dyDescent="0.35">
      <c r="A303" s="1" t="s">
        <v>48</v>
      </c>
      <c r="B303" s="2"/>
      <c r="C303" s="1">
        <v>2001</v>
      </c>
      <c r="D303" s="1" t="s">
        <v>137</v>
      </c>
    </row>
    <row r="304" spans="1:4" x14ac:dyDescent="0.35">
      <c r="A304" s="1" t="s">
        <v>48</v>
      </c>
      <c r="B304" s="2"/>
      <c r="C304" s="1">
        <v>2002</v>
      </c>
      <c r="D304" s="1">
        <v>2.69</v>
      </c>
    </row>
    <row r="305" spans="1:4" x14ac:dyDescent="0.35">
      <c r="A305" s="1" t="s">
        <v>48</v>
      </c>
      <c r="B305" s="2"/>
      <c r="C305" s="1">
        <v>2003</v>
      </c>
      <c r="D305" s="1">
        <v>3.4</v>
      </c>
    </row>
    <row r="306" spans="1:4" x14ac:dyDescent="0.35">
      <c r="A306" s="1" t="s">
        <v>48</v>
      </c>
      <c r="B306" s="2"/>
      <c r="C306" s="1">
        <v>2004</v>
      </c>
      <c r="D306" s="1">
        <v>3.02</v>
      </c>
    </row>
    <row r="307" spans="1:4" x14ac:dyDescent="0.35">
      <c r="A307" s="1" t="s">
        <v>48</v>
      </c>
      <c r="B307" s="2"/>
      <c r="C307" s="1">
        <v>2005</v>
      </c>
      <c r="D307" s="1">
        <v>3.02</v>
      </c>
    </row>
    <row r="308" spans="1:4" x14ac:dyDescent="0.35">
      <c r="A308" s="1" t="s">
        <v>48</v>
      </c>
      <c r="B308" s="2"/>
      <c r="C308" s="1">
        <v>2006</v>
      </c>
      <c r="D308" s="1">
        <v>2.99</v>
      </c>
    </row>
    <row r="309" spans="1:4" x14ac:dyDescent="0.35">
      <c r="A309" s="1" t="s">
        <v>48</v>
      </c>
      <c r="B309" s="2"/>
      <c r="C309" s="1">
        <v>2007</v>
      </c>
      <c r="D309" s="1">
        <v>2.83</v>
      </c>
    </row>
    <row r="310" spans="1:4" x14ac:dyDescent="0.35">
      <c r="A310" s="1" t="s">
        <v>48</v>
      </c>
      <c r="B310" s="2"/>
      <c r="C310" s="1">
        <v>2008</v>
      </c>
      <c r="D310" s="1">
        <v>2.37</v>
      </c>
    </row>
    <row r="311" spans="1:4" x14ac:dyDescent="0.35">
      <c r="A311" s="1" t="s">
        <v>48</v>
      </c>
      <c r="B311" s="2"/>
      <c r="C311" s="1">
        <v>2009</v>
      </c>
      <c r="D311" s="1">
        <v>2.46</v>
      </c>
    </row>
    <row r="312" spans="1:4" x14ac:dyDescent="0.35">
      <c r="A312" s="1" t="s">
        <v>48</v>
      </c>
      <c r="B312" s="2"/>
      <c r="C312" s="1">
        <v>2010</v>
      </c>
      <c r="D312" s="1">
        <v>7.33</v>
      </c>
    </row>
    <row r="313" spans="1:4" x14ac:dyDescent="0.35">
      <c r="A313" s="1" t="s">
        <v>48</v>
      </c>
      <c r="B313" s="2"/>
      <c r="C313" s="1">
        <v>2011</v>
      </c>
      <c r="D313" s="1">
        <v>18.420000000000002</v>
      </c>
    </row>
    <row r="314" spans="1:4" x14ac:dyDescent="0.35">
      <c r="A314" s="1" t="s">
        <v>48</v>
      </c>
      <c r="B314" s="2"/>
      <c r="C314" s="1">
        <v>2012</v>
      </c>
      <c r="D314" s="1">
        <v>21.03</v>
      </c>
    </row>
    <row r="315" spans="1:4" x14ac:dyDescent="0.35">
      <c r="A315" s="1" t="s">
        <v>48</v>
      </c>
      <c r="B315" s="2"/>
      <c r="C315" s="1">
        <v>2013</v>
      </c>
      <c r="D315" s="1">
        <v>23.22</v>
      </c>
    </row>
    <row r="316" spans="1:4" x14ac:dyDescent="0.35">
      <c r="A316" s="1" t="s">
        <v>48</v>
      </c>
      <c r="B316" s="2"/>
      <c r="C316" s="1">
        <v>2014</v>
      </c>
      <c r="D316" s="1">
        <v>23.22</v>
      </c>
    </row>
    <row r="317" spans="1:4" x14ac:dyDescent="0.35">
      <c r="A317" s="1" t="s">
        <v>48</v>
      </c>
      <c r="B317" s="2"/>
      <c r="C317" s="1">
        <v>2015</v>
      </c>
      <c r="D317" s="1">
        <v>18.579999999999998</v>
      </c>
    </row>
    <row r="318" spans="1:4" x14ac:dyDescent="0.35">
      <c r="A318" s="1" t="s">
        <v>48</v>
      </c>
      <c r="B318" s="2"/>
      <c r="C318" s="1">
        <v>2016</v>
      </c>
      <c r="D318" s="1">
        <v>18.829999999999998</v>
      </c>
    </row>
    <row r="319" spans="1:4" x14ac:dyDescent="0.35">
      <c r="A319" s="1" t="s">
        <v>48</v>
      </c>
      <c r="B319" s="2"/>
      <c r="C319" s="1">
        <v>2017</v>
      </c>
      <c r="D319" s="1">
        <v>18.91</v>
      </c>
    </row>
    <row r="320" spans="1:4" x14ac:dyDescent="0.35">
      <c r="A320" s="1" t="s">
        <v>48</v>
      </c>
      <c r="B320" s="2"/>
      <c r="C320" s="1">
        <v>2018</v>
      </c>
      <c r="D320" s="1">
        <v>21.06</v>
      </c>
    </row>
    <row r="321" spans="1:4" x14ac:dyDescent="0.35">
      <c r="A321" s="1" t="s">
        <v>48</v>
      </c>
      <c r="B321" s="2"/>
      <c r="C321" s="1">
        <v>2019</v>
      </c>
      <c r="D321" s="1">
        <v>23.48</v>
      </c>
    </row>
    <row r="322" spans="1:4" x14ac:dyDescent="0.35">
      <c r="A322" s="1" t="s">
        <v>48</v>
      </c>
      <c r="B322" s="2"/>
      <c r="C322" s="1">
        <v>2020</v>
      </c>
      <c r="D322" s="1">
        <v>22.75</v>
      </c>
    </row>
    <row r="323" spans="1:4" x14ac:dyDescent="0.35">
      <c r="A323" s="1" t="s">
        <v>48</v>
      </c>
      <c r="B323" s="2"/>
      <c r="C323" s="1">
        <v>2021</v>
      </c>
      <c r="D323" s="1">
        <v>23.67</v>
      </c>
    </row>
    <row r="324" spans="1:4" x14ac:dyDescent="0.35">
      <c r="A324" s="1" t="s">
        <v>48</v>
      </c>
      <c r="B324" s="2"/>
      <c r="C324" s="1">
        <v>2022</v>
      </c>
      <c r="D324" s="1">
        <v>23.2</v>
      </c>
    </row>
    <row r="325" spans="1:4" x14ac:dyDescent="0.35">
      <c r="A325" s="1" t="s">
        <v>48</v>
      </c>
      <c r="B325" s="2"/>
      <c r="C325" s="1">
        <v>2023</v>
      </c>
      <c r="D325" s="1">
        <v>25.1</v>
      </c>
    </row>
    <row r="326" spans="1:4" x14ac:dyDescent="0.35">
      <c r="A326" s="1" t="s">
        <v>48</v>
      </c>
      <c r="B326" s="2"/>
      <c r="C326" s="1">
        <v>2024</v>
      </c>
      <c r="D326" s="1">
        <v>26.84</v>
      </c>
    </row>
    <row r="327" spans="1:4" x14ac:dyDescent="0.35">
      <c r="A327" s="1" t="s">
        <v>48</v>
      </c>
      <c r="B327" s="2" t="s">
        <v>136</v>
      </c>
      <c r="C327" s="1">
        <v>2000</v>
      </c>
      <c r="D327" s="1">
        <v>3.11</v>
      </c>
    </row>
    <row r="328" spans="1:4" x14ac:dyDescent="0.35">
      <c r="A328" s="1" t="s">
        <v>48</v>
      </c>
      <c r="B328" s="2"/>
      <c r="C328" s="1">
        <v>2001</v>
      </c>
      <c r="D328" s="1">
        <v>2.16</v>
      </c>
    </row>
    <row r="329" spans="1:4" x14ac:dyDescent="0.35">
      <c r="A329" s="1" t="s">
        <v>48</v>
      </c>
      <c r="B329" s="2"/>
      <c r="C329" s="1">
        <v>2002</v>
      </c>
      <c r="D329" s="1">
        <v>3.16</v>
      </c>
    </row>
    <row r="330" spans="1:4" x14ac:dyDescent="0.35">
      <c r="A330" s="1" t="s">
        <v>48</v>
      </c>
      <c r="B330" s="2"/>
      <c r="C330" s="1">
        <v>2003</v>
      </c>
      <c r="D330" s="1">
        <v>2.7</v>
      </c>
    </row>
    <row r="331" spans="1:4" x14ac:dyDescent="0.35">
      <c r="A331" s="1" t="s">
        <v>48</v>
      </c>
      <c r="B331" s="2"/>
      <c r="C331" s="1">
        <v>2004</v>
      </c>
      <c r="D331" s="1">
        <v>2.94</v>
      </c>
    </row>
    <row r="332" spans="1:4" x14ac:dyDescent="0.35">
      <c r="A332" s="1" t="s">
        <v>48</v>
      </c>
      <c r="B332" s="2"/>
      <c r="C332" s="1">
        <v>2005</v>
      </c>
      <c r="D332" s="1">
        <v>2.73</v>
      </c>
    </row>
    <row r="333" spans="1:4" x14ac:dyDescent="0.35">
      <c r="A333" s="1" t="s">
        <v>48</v>
      </c>
      <c r="B333" s="2"/>
      <c r="C333" s="1">
        <v>2006</v>
      </c>
      <c r="D333" s="1">
        <v>2.97</v>
      </c>
    </row>
    <row r="334" spans="1:4" x14ac:dyDescent="0.35">
      <c r="A334" s="1" t="s">
        <v>48</v>
      </c>
      <c r="B334" s="2"/>
      <c r="C334" s="1">
        <v>2007</v>
      </c>
      <c r="D334" s="1">
        <v>2.56</v>
      </c>
    </row>
    <row r="335" spans="1:4" x14ac:dyDescent="0.35">
      <c r="A335" s="1" t="s">
        <v>48</v>
      </c>
      <c r="B335" s="2"/>
      <c r="C335" s="1">
        <v>2008</v>
      </c>
      <c r="D335" s="1">
        <v>1.93</v>
      </c>
    </row>
    <row r="336" spans="1:4" x14ac:dyDescent="0.35">
      <c r="A336" s="1" t="s">
        <v>48</v>
      </c>
      <c r="B336" s="2"/>
      <c r="C336" s="1">
        <v>2009</v>
      </c>
      <c r="D336" s="1">
        <v>1.58</v>
      </c>
    </row>
    <row r="337" spans="1:4" x14ac:dyDescent="0.35">
      <c r="A337" s="1" t="s">
        <v>48</v>
      </c>
      <c r="B337" s="2"/>
      <c r="C337" s="1">
        <v>2010</v>
      </c>
      <c r="D337" s="1">
        <v>1.21</v>
      </c>
    </row>
    <row r="338" spans="1:4" x14ac:dyDescent="0.35">
      <c r="A338" s="1" t="s">
        <v>48</v>
      </c>
      <c r="B338" s="2"/>
      <c r="C338" s="1">
        <v>2011</v>
      </c>
      <c r="D338" s="1">
        <v>7.04</v>
      </c>
    </row>
    <row r="339" spans="1:4" x14ac:dyDescent="0.35">
      <c r="A339" s="1" t="s">
        <v>48</v>
      </c>
      <c r="B339" s="2"/>
      <c r="C339" s="1">
        <v>2012</v>
      </c>
      <c r="D339" s="1">
        <v>19.010000000000002</v>
      </c>
    </row>
    <row r="340" spans="1:4" x14ac:dyDescent="0.35">
      <c r="A340" s="1" t="s">
        <v>48</v>
      </c>
      <c r="B340" s="2"/>
      <c r="C340" s="1">
        <v>2013</v>
      </c>
      <c r="D340" s="1">
        <v>21.28</v>
      </c>
    </row>
    <row r="341" spans="1:4" x14ac:dyDescent="0.35">
      <c r="A341" s="1" t="s">
        <v>48</v>
      </c>
      <c r="B341" s="2"/>
      <c r="C341" s="1">
        <v>2014</v>
      </c>
      <c r="D341" s="1">
        <v>22.21</v>
      </c>
    </row>
    <row r="342" spans="1:4" x14ac:dyDescent="0.35">
      <c r="A342" s="1" t="s">
        <v>48</v>
      </c>
      <c r="B342" s="2"/>
      <c r="C342" s="1">
        <v>2015</v>
      </c>
      <c r="D342" s="1">
        <v>20.27</v>
      </c>
    </row>
    <row r="343" spans="1:4" x14ac:dyDescent="0.35">
      <c r="A343" s="1" t="s">
        <v>48</v>
      </c>
      <c r="B343" s="2"/>
      <c r="C343" s="1">
        <v>2016</v>
      </c>
      <c r="D343" s="1">
        <v>18.600000000000001</v>
      </c>
    </row>
    <row r="344" spans="1:4" x14ac:dyDescent="0.35">
      <c r="A344" s="1" t="s">
        <v>48</v>
      </c>
      <c r="B344" s="2"/>
      <c r="C344" s="1">
        <v>2017</v>
      </c>
      <c r="D344" s="1">
        <v>17.64</v>
      </c>
    </row>
    <row r="345" spans="1:4" x14ac:dyDescent="0.35">
      <c r="A345" s="1" t="s">
        <v>48</v>
      </c>
      <c r="B345" s="2"/>
      <c r="C345" s="1">
        <v>2018</v>
      </c>
      <c r="D345" s="1">
        <v>20.8</v>
      </c>
    </row>
    <row r="346" spans="1:4" x14ac:dyDescent="0.35">
      <c r="A346" s="1" t="s">
        <v>48</v>
      </c>
      <c r="B346" s="2"/>
      <c r="C346" s="1">
        <v>2019</v>
      </c>
      <c r="D346" s="1">
        <v>18.66</v>
      </c>
    </row>
    <row r="347" spans="1:4" x14ac:dyDescent="0.35">
      <c r="A347" s="1" t="s">
        <v>48</v>
      </c>
      <c r="B347" s="2"/>
      <c r="C347" s="1">
        <v>2020</v>
      </c>
      <c r="D347" s="1">
        <v>16.82</v>
      </c>
    </row>
    <row r="348" spans="1:4" x14ac:dyDescent="0.35">
      <c r="A348" s="1" t="s">
        <v>48</v>
      </c>
      <c r="B348" s="2"/>
      <c r="C348" s="1">
        <v>2021</v>
      </c>
      <c r="D348" s="1">
        <v>18.27</v>
      </c>
    </row>
    <row r="349" spans="1:4" x14ac:dyDescent="0.35">
      <c r="A349" s="1" t="s">
        <v>48</v>
      </c>
      <c r="B349" s="2"/>
      <c r="C349" s="1">
        <v>2022</v>
      </c>
      <c r="D349" s="1">
        <v>16.82</v>
      </c>
    </row>
    <row r="350" spans="1:4" x14ac:dyDescent="0.35">
      <c r="A350" s="1" t="s">
        <v>48</v>
      </c>
      <c r="B350" s="2"/>
      <c r="C350" s="1">
        <v>2023</v>
      </c>
      <c r="D350" s="1">
        <v>15.97</v>
      </c>
    </row>
    <row r="351" spans="1:4" x14ac:dyDescent="0.35">
      <c r="A351" s="1" t="s">
        <v>48</v>
      </c>
      <c r="B351" s="2"/>
      <c r="C351" s="1">
        <v>2024</v>
      </c>
      <c r="D351" s="1" t="s">
        <v>137</v>
      </c>
    </row>
    <row r="352" spans="1:4" x14ac:dyDescent="0.35">
      <c r="A352" s="1" t="s">
        <v>44</v>
      </c>
      <c r="B352" s="2" t="s">
        <v>134</v>
      </c>
      <c r="C352" s="1">
        <v>2000</v>
      </c>
      <c r="D352" s="1">
        <v>87.59</v>
      </c>
    </row>
    <row r="353" spans="1:4" x14ac:dyDescent="0.35">
      <c r="A353" s="1" t="s">
        <v>44</v>
      </c>
      <c r="B353" s="2"/>
      <c r="C353" s="1">
        <v>2001</v>
      </c>
      <c r="D353" s="1">
        <v>87.69</v>
      </c>
    </row>
    <row r="354" spans="1:4" x14ac:dyDescent="0.35">
      <c r="A354" s="1" t="s">
        <v>44</v>
      </c>
      <c r="B354" s="2"/>
      <c r="C354" s="1">
        <v>2002</v>
      </c>
      <c r="D354" s="1">
        <v>80.569999999999993</v>
      </c>
    </row>
    <row r="355" spans="1:4" x14ac:dyDescent="0.35">
      <c r="A355" s="1" t="s">
        <v>44</v>
      </c>
      <c r="B355" s="2"/>
      <c r="C355" s="1">
        <v>2003</v>
      </c>
      <c r="D355" s="1">
        <v>80.47</v>
      </c>
    </row>
    <row r="356" spans="1:4" x14ac:dyDescent="0.35">
      <c r="A356" s="1" t="s">
        <v>44</v>
      </c>
      <c r="B356" s="2"/>
      <c r="C356" s="1">
        <v>2004</v>
      </c>
      <c r="D356" s="1">
        <v>79.58</v>
      </c>
    </row>
    <row r="357" spans="1:4" x14ac:dyDescent="0.35">
      <c r="A357" s="1" t="s">
        <v>44</v>
      </c>
      <c r="B357" s="2"/>
      <c r="C357" s="1">
        <v>2005</v>
      </c>
      <c r="D357" s="1">
        <v>79.14</v>
      </c>
    </row>
    <row r="358" spans="1:4" x14ac:dyDescent="0.35">
      <c r="A358" s="1" t="s">
        <v>44</v>
      </c>
      <c r="B358" s="2"/>
      <c r="C358" s="1">
        <v>2006</v>
      </c>
      <c r="D358" s="1">
        <v>77.02</v>
      </c>
    </row>
    <row r="359" spans="1:4" x14ac:dyDescent="0.35">
      <c r="A359" s="1" t="s">
        <v>44</v>
      </c>
      <c r="B359" s="2"/>
      <c r="C359" s="1">
        <v>2007</v>
      </c>
      <c r="D359" s="1">
        <v>75.41</v>
      </c>
    </row>
    <row r="360" spans="1:4" x14ac:dyDescent="0.35">
      <c r="A360" s="1" t="s">
        <v>44</v>
      </c>
      <c r="B360" s="2"/>
      <c r="C360" s="1">
        <v>2008</v>
      </c>
      <c r="D360" s="1">
        <v>74.209999999999994</v>
      </c>
    </row>
    <row r="361" spans="1:4" x14ac:dyDescent="0.35">
      <c r="A361" s="1" t="s">
        <v>44</v>
      </c>
      <c r="B361" s="2"/>
      <c r="C361" s="1">
        <v>2009</v>
      </c>
      <c r="D361" s="1">
        <v>68.209999999999994</v>
      </c>
    </row>
    <row r="362" spans="1:4" x14ac:dyDescent="0.35">
      <c r="A362" s="1" t="s">
        <v>44</v>
      </c>
      <c r="B362" s="2"/>
      <c r="C362" s="1">
        <v>2010</v>
      </c>
      <c r="D362" s="1">
        <v>69.58</v>
      </c>
    </row>
    <row r="363" spans="1:4" x14ac:dyDescent="0.35">
      <c r="A363" s="1" t="s">
        <v>44</v>
      </c>
      <c r="B363" s="2"/>
      <c r="C363" s="1">
        <v>2011</v>
      </c>
      <c r="D363" s="1">
        <v>70.8</v>
      </c>
    </row>
    <row r="364" spans="1:4" x14ac:dyDescent="0.35">
      <c r="A364" s="1" t="s">
        <v>44</v>
      </c>
      <c r="B364" s="2"/>
      <c r="C364" s="1">
        <v>2012</v>
      </c>
      <c r="D364" s="1">
        <v>64.53</v>
      </c>
    </row>
    <row r="365" spans="1:4" x14ac:dyDescent="0.35">
      <c r="A365" s="1" t="s">
        <v>44</v>
      </c>
      <c r="B365" s="2"/>
      <c r="C365" s="1">
        <v>2013</v>
      </c>
      <c r="D365" s="1">
        <v>56.2</v>
      </c>
    </row>
    <row r="366" spans="1:4" x14ac:dyDescent="0.35">
      <c r="A366" s="1" t="s">
        <v>44</v>
      </c>
      <c r="B366" s="2"/>
      <c r="C366" s="1">
        <v>2014</v>
      </c>
      <c r="D366" s="1">
        <v>56.2</v>
      </c>
    </row>
    <row r="367" spans="1:4" x14ac:dyDescent="0.35">
      <c r="A367" s="1" t="s">
        <v>44</v>
      </c>
      <c r="B367" s="2"/>
      <c r="C367" s="1">
        <v>2015</v>
      </c>
      <c r="D367" s="1">
        <v>53.94</v>
      </c>
    </row>
    <row r="368" spans="1:4" x14ac:dyDescent="0.35">
      <c r="A368" s="1" t="s">
        <v>44</v>
      </c>
      <c r="B368" s="2"/>
      <c r="C368" s="1">
        <v>2016</v>
      </c>
      <c r="D368" s="1">
        <v>53.94</v>
      </c>
    </row>
    <row r="369" spans="1:4" x14ac:dyDescent="0.35">
      <c r="A369" s="1" t="s">
        <v>44</v>
      </c>
      <c r="B369" s="2"/>
      <c r="C369" s="1">
        <v>2017</v>
      </c>
      <c r="D369" s="1">
        <v>51.69</v>
      </c>
    </row>
    <row r="370" spans="1:4" x14ac:dyDescent="0.35">
      <c r="A370" s="1" t="s">
        <v>44</v>
      </c>
      <c r="B370" s="2"/>
      <c r="C370" s="1">
        <v>2018</v>
      </c>
      <c r="D370" s="1">
        <v>51.48</v>
      </c>
    </row>
    <row r="371" spans="1:4" x14ac:dyDescent="0.35">
      <c r="A371" s="1" t="s">
        <v>44</v>
      </c>
      <c r="B371" s="2"/>
      <c r="C371" s="1">
        <v>2019</v>
      </c>
      <c r="D371" s="1">
        <v>54.06</v>
      </c>
    </row>
    <row r="372" spans="1:4" x14ac:dyDescent="0.35">
      <c r="A372" s="1" t="s">
        <v>44</v>
      </c>
      <c r="B372" s="2"/>
      <c r="C372" s="1">
        <v>2020</v>
      </c>
      <c r="D372" s="1">
        <v>54.09</v>
      </c>
    </row>
    <row r="373" spans="1:4" x14ac:dyDescent="0.35">
      <c r="A373" s="1" t="s">
        <v>44</v>
      </c>
      <c r="B373" s="2"/>
      <c r="C373" s="1">
        <v>2021</v>
      </c>
      <c r="D373" s="1">
        <v>54.42</v>
      </c>
    </row>
    <row r="374" spans="1:4" x14ac:dyDescent="0.35">
      <c r="A374" s="1" t="s">
        <v>44</v>
      </c>
      <c r="B374" s="2"/>
      <c r="C374" s="1">
        <v>2022</v>
      </c>
      <c r="D374" s="1">
        <v>54.46</v>
      </c>
    </row>
    <row r="375" spans="1:4" x14ac:dyDescent="0.35">
      <c r="A375" s="1" t="s">
        <v>44</v>
      </c>
      <c r="B375" s="2"/>
      <c r="C375" s="1">
        <v>2023</v>
      </c>
      <c r="D375" s="1">
        <v>55.51</v>
      </c>
    </row>
    <row r="376" spans="1:4" x14ac:dyDescent="0.35">
      <c r="A376" s="1" t="s">
        <v>44</v>
      </c>
      <c r="B376" s="2"/>
      <c r="C376" s="1">
        <v>2024</v>
      </c>
      <c r="D376" s="1">
        <v>55.51</v>
      </c>
    </row>
    <row r="377" spans="1:4" x14ac:dyDescent="0.35">
      <c r="A377" s="1" t="s">
        <v>44</v>
      </c>
      <c r="B377" s="2" t="s">
        <v>136</v>
      </c>
      <c r="C377" s="1">
        <v>2000</v>
      </c>
      <c r="D377" s="1">
        <v>96.54</v>
      </c>
    </row>
    <row r="378" spans="1:4" x14ac:dyDescent="0.35">
      <c r="A378" s="1" t="s">
        <v>44</v>
      </c>
      <c r="B378" s="2"/>
      <c r="C378" s="1">
        <v>2001</v>
      </c>
      <c r="D378" s="1">
        <v>95.75</v>
      </c>
    </row>
    <row r="379" spans="1:4" x14ac:dyDescent="0.35">
      <c r="A379" s="1" t="s">
        <v>44</v>
      </c>
      <c r="B379" s="2"/>
      <c r="C379" s="1">
        <v>2002</v>
      </c>
      <c r="D379" s="1">
        <v>93.86</v>
      </c>
    </row>
    <row r="380" spans="1:4" x14ac:dyDescent="0.35">
      <c r="A380" s="1" t="s">
        <v>44</v>
      </c>
      <c r="B380" s="2"/>
      <c r="C380" s="1">
        <v>2003</v>
      </c>
      <c r="D380" s="1">
        <v>93.44</v>
      </c>
    </row>
    <row r="381" spans="1:4" x14ac:dyDescent="0.35">
      <c r="A381" s="1" t="s">
        <v>44</v>
      </c>
      <c r="B381" s="2"/>
      <c r="C381" s="1">
        <v>2004</v>
      </c>
      <c r="D381" s="1">
        <v>93</v>
      </c>
    </row>
    <row r="382" spans="1:4" x14ac:dyDescent="0.35">
      <c r="A382" s="1" t="s">
        <v>44</v>
      </c>
      <c r="B382" s="2"/>
      <c r="C382" s="1">
        <v>2005</v>
      </c>
      <c r="D382" s="1">
        <v>92.14</v>
      </c>
    </row>
    <row r="383" spans="1:4" x14ac:dyDescent="0.35">
      <c r="A383" s="1" t="s">
        <v>44</v>
      </c>
      <c r="B383" s="2"/>
      <c r="C383" s="1">
        <v>2006</v>
      </c>
      <c r="D383" s="1">
        <v>91.85</v>
      </c>
    </row>
    <row r="384" spans="1:4" x14ac:dyDescent="0.35">
      <c r="A384" s="1" t="s">
        <v>44</v>
      </c>
      <c r="B384" s="2"/>
      <c r="C384" s="1">
        <v>2007</v>
      </c>
      <c r="D384" s="1">
        <v>88.51</v>
      </c>
    </row>
    <row r="385" spans="1:4" x14ac:dyDescent="0.35">
      <c r="A385" s="1" t="s">
        <v>44</v>
      </c>
      <c r="B385" s="2"/>
      <c r="C385" s="1">
        <v>2008</v>
      </c>
      <c r="D385" s="1">
        <v>91.43</v>
      </c>
    </row>
    <row r="386" spans="1:4" x14ac:dyDescent="0.35">
      <c r="A386" s="1" t="s">
        <v>44</v>
      </c>
      <c r="B386" s="2"/>
      <c r="C386" s="1">
        <v>2009</v>
      </c>
      <c r="D386" s="1">
        <v>88.11</v>
      </c>
    </row>
    <row r="387" spans="1:4" x14ac:dyDescent="0.35">
      <c r="A387" s="1" t="s">
        <v>44</v>
      </c>
      <c r="B387" s="2"/>
      <c r="C387" s="1">
        <v>2010</v>
      </c>
      <c r="D387" s="1">
        <v>85.98</v>
      </c>
    </row>
    <row r="388" spans="1:4" x14ac:dyDescent="0.35">
      <c r="A388" s="1" t="s">
        <v>44</v>
      </c>
      <c r="B388" s="2"/>
      <c r="C388" s="1">
        <v>2011</v>
      </c>
      <c r="D388" s="1">
        <v>86.06</v>
      </c>
    </row>
    <row r="389" spans="1:4" x14ac:dyDescent="0.35">
      <c r="A389" s="1" t="s">
        <v>44</v>
      </c>
      <c r="B389" s="2"/>
      <c r="C389" s="1">
        <v>2012</v>
      </c>
      <c r="D389" s="1">
        <v>84.77</v>
      </c>
    </row>
    <row r="390" spans="1:4" x14ac:dyDescent="0.35">
      <c r="A390" s="1" t="s">
        <v>44</v>
      </c>
      <c r="B390" s="2"/>
      <c r="C390" s="1">
        <v>2013</v>
      </c>
      <c r="D390" s="1">
        <v>79.09</v>
      </c>
    </row>
    <row r="391" spans="1:4" x14ac:dyDescent="0.35">
      <c r="A391" s="1" t="s">
        <v>44</v>
      </c>
      <c r="B391" s="2"/>
      <c r="C391" s="1">
        <v>2014</v>
      </c>
      <c r="D391" s="1">
        <v>79.489999999999995</v>
      </c>
    </row>
    <row r="392" spans="1:4" x14ac:dyDescent="0.35">
      <c r="A392" s="1" t="s">
        <v>44</v>
      </c>
      <c r="B392" s="2"/>
      <c r="C392" s="1">
        <v>2015</v>
      </c>
      <c r="D392" s="1">
        <v>71.010000000000005</v>
      </c>
    </row>
    <row r="393" spans="1:4" x14ac:dyDescent="0.35">
      <c r="A393" s="1" t="s">
        <v>44</v>
      </c>
      <c r="B393" s="2"/>
      <c r="C393" s="1">
        <v>2016</v>
      </c>
      <c r="D393" s="1">
        <v>74.45</v>
      </c>
    </row>
    <row r="394" spans="1:4" x14ac:dyDescent="0.35">
      <c r="A394" s="1" t="s">
        <v>44</v>
      </c>
      <c r="B394" s="2"/>
      <c r="C394" s="1">
        <v>2017</v>
      </c>
      <c r="D394" s="1">
        <v>74.63</v>
      </c>
    </row>
    <row r="395" spans="1:4" x14ac:dyDescent="0.35">
      <c r="A395" s="1" t="s">
        <v>44</v>
      </c>
      <c r="B395" s="2"/>
      <c r="C395" s="1">
        <v>2018</v>
      </c>
      <c r="D395" s="1">
        <v>72.39</v>
      </c>
    </row>
    <row r="396" spans="1:4" x14ac:dyDescent="0.35">
      <c r="A396" s="1" t="s">
        <v>44</v>
      </c>
      <c r="B396" s="2"/>
      <c r="C396" s="1">
        <v>2019</v>
      </c>
      <c r="D396" s="1">
        <v>75.930000000000007</v>
      </c>
    </row>
    <row r="397" spans="1:4" x14ac:dyDescent="0.35">
      <c r="A397" s="1" t="s">
        <v>44</v>
      </c>
      <c r="B397" s="2"/>
      <c r="C397" s="1">
        <v>2020</v>
      </c>
      <c r="D397" s="1">
        <v>76.73</v>
      </c>
    </row>
    <row r="398" spans="1:4" x14ac:dyDescent="0.35">
      <c r="A398" s="1" t="s">
        <v>44</v>
      </c>
      <c r="B398" s="2"/>
      <c r="C398" s="1">
        <v>2021</v>
      </c>
      <c r="D398" s="1">
        <v>76.78</v>
      </c>
    </row>
    <row r="399" spans="1:4" x14ac:dyDescent="0.35">
      <c r="A399" s="1" t="s">
        <v>44</v>
      </c>
      <c r="B399" s="2"/>
      <c r="C399" s="1">
        <v>2022</v>
      </c>
      <c r="D399" s="1">
        <v>76.78</v>
      </c>
    </row>
    <row r="400" spans="1:4" x14ac:dyDescent="0.35">
      <c r="A400" s="1" t="s">
        <v>44</v>
      </c>
      <c r="B400" s="2"/>
      <c r="C400" s="1">
        <v>2023</v>
      </c>
      <c r="D400" s="1">
        <v>77.05</v>
      </c>
    </row>
    <row r="401" spans="1:4" x14ac:dyDescent="0.35">
      <c r="A401" s="1" t="s">
        <v>44</v>
      </c>
      <c r="B401" s="2"/>
      <c r="C401" s="1">
        <v>2024</v>
      </c>
      <c r="D401" s="1" t="s">
        <v>137</v>
      </c>
    </row>
    <row r="402" spans="1:4" x14ac:dyDescent="0.35">
      <c r="A402" s="1" t="s">
        <v>114</v>
      </c>
      <c r="B402" s="2" t="s">
        <v>134</v>
      </c>
      <c r="C402" s="1">
        <v>2000</v>
      </c>
      <c r="D402" s="1">
        <v>6.45</v>
      </c>
    </row>
    <row r="403" spans="1:4" x14ac:dyDescent="0.35">
      <c r="A403" s="1" t="s">
        <v>114</v>
      </c>
      <c r="B403" s="2"/>
      <c r="C403" s="1">
        <v>2001</v>
      </c>
      <c r="D403" s="1">
        <v>6.45</v>
      </c>
    </row>
    <row r="404" spans="1:4" x14ac:dyDescent="0.35">
      <c r="A404" s="1" t="s">
        <v>114</v>
      </c>
      <c r="B404" s="2"/>
      <c r="C404" s="1">
        <v>2002</v>
      </c>
      <c r="D404" s="1">
        <v>6.45</v>
      </c>
    </row>
    <row r="405" spans="1:4" x14ac:dyDescent="0.35">
      <c r="A405" s="1" t="s">
        <v>114</v>
      </c>
      <c r="B405" s="2"/>
      <c r="C405" s="1">
        <v>2003</v>
      </c>
      <c r="D405" s="1">
        <v>1.31</v>
      </c>
    </row>
    <row r="406" spans="1:4" x14ac:dyDescent="0.35">
      <c r="A406" s="1" t="s">
        <v>114</v>
      </c>
      <c r="B406" s="2"/>
      <c r="C406" s="1">
        <v>2004</v>
      </c>
      <c r="D406" s="1">
        <v>1.29</v>
      </c>
    </row>
    <row r="407" spans="1:4" x14ac:dyDescent="0.35">
      <c r="A407" s="1" t="s">
        <v>114</v>
      </c>
      <c r="B407" s="2"/>
      <c r="C407" s="1">
        <v>2005</v>
      </c>
      <c r="D407" s="1">
        <v>1.27</v>
      </c>
    </row>
    <row r="408" spans="1:4" x14ac:dyDescent="0.35">
      <c r="A408" s="1" t="s">
        <v>114</v>
      </c>
      <c r="B408" s="2"/>
      <c r="C408" s="1">
        <v>2006</v>
      </c>
      <c r="D408" s="1">
        <v>1.27</v>
      </c>
    </row>
    <row r="409" spans="1:4" x14ac:dyDescent="0.35">
      <c r="A409" s="1" t="s">
        <v>114</v>
      </c>
      <c r="B409" s="2"/>
      <c r="C409" s="1">
        <v>2007</v>
      </c>
      <c r="D409" s="1">
        <v>1.1200000000000001</v>
      </c>
    </row>
    <row r="410" spans="1:4" x14ac:dyDescent="0.35">
      <c r="A410" s="1" t="s">
        <v>114</v>
      </c>
      <c r="B410" s="2"/>
      <c r="C410" s="1">
        <v>2008</v>
      </c>
      <c r="D410" s="1">
        <v>1.1200000000000001</v>
      </c>
    </row>
    <row r="411" spans="1:4" x14ac:dyDescent="0.35">
      <c r="A411" s="1" t="s">
        <v>114</v>
      </c>
      <c r="B411" s="2"/>
      <c r="C411" s="1">
        <v>2009</v>
      </c>
      <c r="D411" s="1">
        <v>1.1200000000000001</v>
      </c>
    </row>
    <row r="412" spans="1:4" x14ac:dyDescent="0.35">
      <c r="A412" s="1" t="s">
        <v>114</v>
      </c>
      <c r="B412" s="2"/>
      <c r="C412" s="1">
        <v>2010</v>
      </c>
      <c r="D412" s="1">
        <v>1.1200000000000001</v>
      </c>
    </row>
    <row r="413" spans="1:4" x14ac:dyDescent="0.35">
      <c r="A413" s="1" t="s">
        <v>114</v>
      </c>
      <c r="B413" s="2"/>
      <c r="C413" s="1">
        <v>2011</v>
      </c>
      <c r="D413" s="1">
        <v>1.1200000000000001</v>
      </c>
    </row>
    <row r="414" spans="1:4" x14ac:dyDescent="0.35">
      <c r="A414" s="1" t="s">
        <v>114</v>
      </c>
      <c r="B414" s="2"/>
      <c r="C414" s="1">
        <v>2012</v>
      </c>
      <c r="D414" s="1">
        <v>0.71</v>
      </c>
    </row>
    <row r="415" spans="1:4" x14ac:dyDescent="0.35">
      <c r="A415" s="1" t="s">
        <v>114</v>
      </c>
      <c r="B415" s="2"/>
      <c r="C415" s="1">
        <v>2013</v>
      </c>
      <c r="D415" s="1">
        <v>0.72</v>
      </c>
    </row>
    <row r="416" spans="1:4" x14ac:dyDescent="0.35">
      <c r="A416" s="1" t="s">
        <v>114</v>
      </c>
      <c r="B416" s="2"/>
      <c r="C416" s="1">
        <v>2014</v>
      </c>
      <c r="D416" s="1">
        <v>0.72</v>
      </c>
    </row>
    <row r="417" spans="1:4" x14ac:dyDescent="0.35">
      <c r="A417" s="1" t="s">
        <v>114</v>
      </c>
      <c r="B417" s="2"/>
      <c r="C417" s="1">
        <v>2015</v>
      </c>
      <c r="D417" s="1">
        <v>0.76</v>
      </c>
    </row>
    <row r="418" spans="1:4" x14ac:dyDescent="0.35">
      <c r="A418" s="1" t="s">
        <v>114</v>
      </c>
      <c r="B418" s="2"/>
      <c r="C418" s="1">
        <v>2016</v>
      </c>
      <c r="D418" s="1">
        <v>1.1499999999999999</v>
      </c>
    </row>
    <row r="419" spans="1:4" x14ac:dyDescent="0.35">
      <c r="A419" s="1" t="s">
        <v>114</v>
      </c>
      <c r="B419" s="2"/>
      <c r="C419" s="1">
        <v>2017</v>
      </c>
      <c r="D419" s="1">
        <v>1.1499999999999999</v>
      </c>
    </row>
    <row r="420" spans="1:4" x14ac:dyDescent="0.35">
      <c r="A420" s="1" t="s">
        <v>114</v>
      </c>
      <c r="B420" s="2"/>
      <c r="C420" s="1">
        <v>2018</v>
      </c>
      <c r="D420" s="1">
        <v>1.28</v>
      </c>
    </row>
    <row r="421" spans="1:4" x14ac:dyDescent="0.35">
      <c r="A421" s="1" t="s">
        <v>114</v>
      </c>
      <c r="B421" s="2"/>
      <c r="C421" s="1">
        <v>2019</v>
      </c>
      <c r="D421" s="1">
        <v>1.28</v>
      </c>
    </row>
    <row r="422" spans="1:4" x14ac:dyDescent="0.35">
      <c r="A422" s="1" t="s">
        <v>114</v>
      </c>
      <c r="B422" s="2"/>
      <c r="C422" s="1">
        <v>2020</v>
      </c>
      <c r="D422" s="1">
        <v>1.47</v>
      </c>
    </row>
    <row r="423" spans="1:4" x14ac:dyDescent="0.35">
      <c r="A423" s="1" t="s">
        <v>114</v>
      </c>
      <c r="B423" s="2"/>
      <c r="C423" s="1">
        <v>2021</v>
      </c>
      <c r="D423" s="1">
        <v>1.64</v>
      </c>
    </row>
    <row r="424" spans="1:4" x14ac:dyDescent="0.35">
      <c r="A424" s="1" t="s">
        <v>114</v>
      </c>
      <c r="B424" s="2"/>
      <c r="C424" s="1">
        <v>2022</v>
      </c>
      <c r="D424" s="1">
        <v>1.65</v>
      </c>
    </row>
    <row r="425" spans="1:4" x14ac:dyDescent="0.35">
      <c r="A425" s="1" t="s">
        <v>114</v>
      </c>
      <c r="B425" s="2"/>
      <c r="C425" s="1">
        <v>2023</v>
      </c>
      <c r="D425" s="1">
        <v>1.66</v>
      </c>
    </row>
    <row r="426" spans="1:4" x14ac:dyDescent="0.35">
      <c r="A426" s="1" t="s">
        <v>114</v>
      </c>
      <c r="B426" s="2"/>
      <c r="C426" s="1">
        <v>2024</v>
      </c>
      <c r="D426" s="1">
        <v>1.69</v>
      </c>
    </row>
    <row r="427" spans="1:4" x14ac:dyDescent="0.35">
      <c r="A427" s="1" t="s">
        <v>114</v>
      </c>
      <c r="B427" s="2" t="s">
        <v>136</v>
      </c>
      <c r="C427" s="1">
        <v>2000</v>
      </c>
      <c r="D427" s="1">
        <v>5.98</v>
      </c>
    </row>
    <row r="428" spans="1:4" x14ac:dyDescent="0.35">
      <c r="A428" s="1" t="s">
        <v>114</v>
      </c>
      <c r="B428" s="2"/>
      <c r="C428" s="1">
        <v>2001</v>
      </c>
      <c r="D428" s="1">
        <v>6.32</v>
      </c>
    </row>
    <row r="429" spans="1:4" x14ac:dyDescent="0.35">
      <c r="A429" s="1" t="s">
        <v>114</v>
      </c>
      <c r="B429" s="2"/>
      <c r="C429" s="1">
        <v>2002</v>
      </c>
      <c r="D429" s="1">
        <v>6.4</v>
      </c>
    </row>
    <row r="430" spans="1:4" x14ac:dyDescent="0.35">
      <c r="A430" s="1" t="s">
        <v>114</v>
      </c>
      <c r="B430" s="2"/>
      <c r="C430" s="1">
        <v>2003</v>
      </c>
      <c r="D430" s="1">
        <v>5.92</v>
      </c>
    </row>
    <row r="431" spans="1:4" x14ac:dyDescent="0.35">
      <c r="A431" s="1" t="s">
        <v>114</v>
      </c>
      <c r="B431" s="2"/>
      <c r="C431" s="1">
        <v>2004</v>
      </c>
      <c r="D431" s="1">
        <v>5.43</v>
      </c>
    </row>
    <row r="432" spans="1:4" x14ac:dyDescent="0.35">
      <c r="A432" s="1" t="s">
        <v>114</v>
      </c>
      <c r="B432" s="2"/>
      <c r="C432" s="1">
        <v>2005</v>
      </c>
      <c r="D432" s="1">
        <v>6.27</v>
      </c>
    </row>
    <row r="433" spans="1:4" x14ac:dyDescent="0.35">
      <c r="A433" s="1" t="s">
        <v>114</v>
      </c>
      <c r="B433" s="2"/>
      <c r="C433" s="1">
        <v>2006</v>
      </c>
      <c r="D433" s="1">
        <v>6.27</v>
      </c>
    </row>
    <row r="434" spans="1:4" x14ac:dyDescent="0.35">
      <c r="A434" s="1" t="s">
        <v>114</v>
      </c>
      <c r="B434" s="2"/>
      <c r="C434" s="1">
        <v>2007</v>
      </c>
      <c r="D434" s="1">
        <v>5.53</v>
      </c>
    </row>
    <row r="435" spans="1:4" x14ac:dyDescent="0.35">
      <c r="A435" s="1" t="s">
        <v>114</v>
      </c>
      <c r="B435" s="2"/>
      <c r="C435" s="1">
        <v>2008</v>
      </c>
      <c r="D435" s="1">
        <v>5.73</v>
      </c>
    </row>
    <row r="436" spans="1:4" x14ac:dyDescent="0.35">
      <c r="A436" s="1" t="s">
        <v>114</v>
      </c>
      <c r="B436" s="2"/>
      <c r="C436" s="1">
        <v>2009</v>
      </c>
      <c r="D436" s="1">
        <v>6.26</v>
      </c>
    </row>
    <row r="437" spans="1:4" x14ac:dyDescent="0.35">
      <c r="A437" s="1" t="s">
        <v>114</v>
      </c>
      <c r="B437" s="2"/>
      <c r="C437" s="1">
        <v>2010</v>
      </c>
      <c r="D437" s="1">
        <v>6.22</v>
      </c>
    </row>
    <row r="438" spans="1:4" x14ac:dyDescent="0.35">
      <c r="A438" s="1" t="s">
        <v>114</v>
      </c>
      <c r="B438" s="2"/>
      <c r="C438" s="1">
        <v>2011</v>
      </c>
      <c r="D438" s="1">
        <v>5.99</v>
      </c>
    </row>
    <row r="439" spans="1:4" x14ac:dyDescent="0.35">
      <c r="A439" s="1" t="s">
        <v>114</v>
      </c>
      <c r="B439" s="2"/>
      <c r="C439" s="1">
        <v>2012</v>
      </c>
      <c r="D439" s="1">
        <v>6.09</v>
      </c>
    </row>
    <row r="440" spans="1:4" x14ac:dyDescent="0.35">
      <c r="A440" s="1" t="s">
        <v>114</v>
      </c>
      <c r="B440" s="2"/>
      <c r="C440" s="1">
        <v>2013</v>
      </c>
      <c r="D440" s="1">
        <v>6.22</v>
      </c>
    </row>
    <row r="441" spans="1:4" x14ac:dyDescent="0.35">
      <c r="A441" s="1" t="s">
        <v>114</v>
      </c>
      <c r="B441" s="2"/>
      <c r="C441" s="1">
        <v>2014</v>
      </c>
      <c r="D441" s="1">
        <v>6.33</v>
      </c>
    </row>
    <row r="442" spans="1:4" x14ac:dyDescent="0.35">
      <c r="A442" s="1" t="s">
        <v>114</v>
      </c>
      <c r="B442" s="2"/>
      <c r="C442" s="1">
        <v>2015</v>
      </c>
      <c r="D442" s="1">
        <v>2.5299999999999998</v>
      </c>
    </row>
    <row r="443" spans="1:4" x14ac:dyDescent="0.35">
      <c r="A443" s="1" t="s">
        <v>114</v>
      </c>
      <c r="B443" s="2"/>
      <c r="C443" s="1">
        <v>2016</v>
      </c>
      <c r="D443" s="1">
        <v>5.09</v>
      </c>
    </row>
    <row r="444" spans="1:4" x14ac:dyDescent="0.35">
      <c r="A444" s="1" t="s">
        <v>114</v>
      </c>
      <c r="B444" s="2"/>
      <c r="C444" s="1">
        <v>2017</v>
      </c>
      <c r="D444" s="1">
        <v>4.96</v>
      </c>
    </row>
    <row r="445" spans="1:4" x14ac:dyDescent="0.35">
      <c r="A445" s="1" t="s">
        <v>114</v>
      </c>
      <c r="B445" s="2"/>
      <c r="C445" s="1">
        <v>2018</v>
      </c>
      <c r="D445" s="1">
        <v>5</v>
      </c>
    </row>
    <row r="446" spans="1:4" x14ac:dyDescent="0.35">
      <c r="A446" s="1" t="s">
        <v>114</v>
      </c>
      <c r="B446" s="2"/>
      <c r="C446" s="1">
        <v>2019</v>
      </c>
      <c r="D446" s="1">
        <v>4.6100000000000003</v>
      </c>
    </row>
    <row r="447" spans="1:4" x14ac:dyDescent="0.35">
      <c r="A447" s="1" t="s">
        <v>114</v>
      </c>
      <c r="B447" s="2"/>
      <c r="C447" s="1">
        <v>2020</v>
      </c>
      <c r="D447" s="1">
        <v>5.33</v>
      </c>
    </row>
    <row r="448" spans="1:4" x14ac:dyDescent="0.35">
      <c r="A448" s="1" t="s">
        <v>114</v>
      </c>
      <c r="B448" s="2"/>
      <c r="C448" s="1">
        <v>2021</v>
      </c>
      <c r="D448" s="1">
        <v>5.79</v>
      </c>
    </row>
    <row r="449" spans="1:4" x14ac:dyDescent="0.35">
      <c r="A449" s="1" t="s">
        <v>114</v>
      </c>
      <c r="B449" s="2"/>
      <c r="C449" s="1">
        <v>2022</v>
      </c>
      <c r="D449" s="1">
        <v>5.83</v>
      </c>
    </row>
    <row r="450" spans="1:4" x14ac:dyDescent="0.35">
      <c r="A450" s="1" t="s">
        <v>114</v>
      </c>
      <c r="B450" s="2"/>
      <c r="C450" s="1">
        <v>2023</v>
      </c>
      <c r="D450" s="1">
        <v>5.7</v>
      </c>
    </row>
    <row r="451" spans="1:4" x14ac:dyDescent="0.35">
      <c r="A451" s="1" t="s">
        <v>114</v>
      </c>
      <c r="B451" s="2"/>
      <c r="C451" s="1">
        <v>2024</v>
      </c>
      <c r="D451" s="1" t="s">
        <v>137</v>
      </c>
    </row>
    <row r="452" spans="1:4" x14ac:dyDescent="0.35">
      <c r="A452" s="1" t="s">
        <v>50</v>
      </c>
      <c r="B452" s="2" t="s">
        <v>134</v>
      </c>
      <c r="C452" s="1">
        <v>2000</v>
      </c>
      <c r="D452" s="1" t="s">
        <v>137</v>
      </c>
    </row>
    <row r="453" spans="1:4" x14ac:dyDescent="0.35">
      <c r="A453" s="1" t="s">
        <v>50</v>
      </c>
      <c r="B453" s="2"/>
      <c r="C453" s="1">
        <v>2001</v>
      </c>
      <c r="D453" s="1" t="s">
        <v>137</v>
      </c>
    </row>
    <row r="454" spans="1:4" x14ac:dyDescent="0.35">
      <c r="A454" s="1" t="s">
        <v>50</v>
      </c>
      <c r="B454" s="2"/>
      <c r="C454" s="1">
        <v>2002</v>
      </c>
      <c r="D454" s="1" t="s">
        <v>137</v>
      </c>
    </row>
    <row r="455" spans="1:4" x14ac:dyDescent="0.35">
      <c r="A455" s="1" t="s">
        <v>50</v>
      </c>
      <c r="B455" s="2"/>
      <c r="C455" s="1">
        <v>2003</v>
      </c>
      <c r="D455" s="1" t="s">
        <v>137</v>
      </c>
    </row>
    <row r="456" spans="1:4" x14ac:dyDescent="0.35">
      <c r="A456" s="1" t="s">
        <v>50</v>
      </c>
      <c r="B456" s="2"/>
      <c r="C456" s="1">
        <v>2004</v>
      </c>
      <c r="D456" s="1" t="s">
        <v>137</v>
      </c>
    </row>
    <row r="457" spans="1:4" x14ac:dyDescent="0.35">
      <c r="A457" s="1" t="s">
        <v>50</v>
      </c>
      <c r="B457" s="2"/>
      <c r="C457" s="1">
        <v>2005</v>
      </c>
      <c r="D457" s="1" t="s">
        <v>137</v>
      </c>
    </row>
    <row r="458" spans="1:4" x14ac:dyDescent="0.35">
      <c r="A458" s="1" t="s">
        <v>50</v>
      </c>
      <c r="B458" s="2"/>
      <c r="C458" s="1">
        <v>2006</v>
      </c>
      <c r="D458" s="1" t="s">
        <v>137</v>
      </c>
    </row>
    <row r="459" spans="1:4" x14ac:dyDescent="0.35">
      <c r="A459" s="1" t="s">
        <v>50</v>
      </c>
      <c r="B459" s="2"/>
      <c r="C459" s="1">
        <v>2007</v>
      </c>
      <c r="D459" s="1" t="s">
        <v>137</v>
      </c>
    </row>
    <row r="460" spans="1:4" x14ac:dyDescent="0.35">
      <c r="A460" s="1" t="s">
        <v>50</v>
      </c>
      <c r="B460" s="2"/>
      <c r="C460" s="1">
        <v>2008</v>
      </c>
      <c r="D460" s="1" t="s">
        <v>137</v>
      </c>
    </row>
    <row r="461" spans="1:4" x14ac:dyDescent="0.35">
      <c r="A461" s="1" t="s">
        <v>50</v>
      </c>
      <c r="B461" s="2"/>
      <c r="C461" s="1">
        <v>2009</v>
      </c>
      <c r="D461" s="1" t="s">
        <v>137</v>
      </c>
    </row>
    <row r="462" spans="1:4" x14ac:dyDescent="0.35">
      <c r="A462" s="1" t="s">
        <v>50</v>
      </c>
      <c r="B462" s="2"/>
      <c r="C462" s="1">
        <v>2010</v>
      </c>
      <c r="D462" s="1">
        <v>0.01</v>
      </c>
    </row>
    <row r="463" spans="1:4" x14ac:dyDescent="0.35">
      <c r="A463" s="1" t="s">
        <v>50</v>
      </c>
      <c r="B463" s="2"/>
      <c r="C463" s="1">
        <v>2011</v>
      </c>
      <c r="D463" s="1">
        <v>0.01</v>
      </c>
    </row>
    <row r="464" spans="1:4" x14ac:dyDescent="0.35">
      <c r="A464" s="1" t="s">
        <v>50</v>
      </c>
      <c r="B464" s="2"/>
      <c r="C464" s="1">
        <v>2012</v>
      </c>
      <c r="D464" s="1">
        <v>0.03</v>
      </c>
    </row>
    <row r="465" spans="1:4" x14ac:dyDescent="0.35">
      <c r="A465" s="1" t="s">
        <v>50</v>
      </c>
      <c r="B465" s="2"/>
      <c r="C465" s="1">
        <v>2013</v>
      </c>
      <c r="D465" s="1">
        <v>0.08</v>
      </c>
    </row>
    <row r="466" spans="1:4" x14ac:dyDescent="0.35">
      <c r="A466" s="1" t="s">
        <v>50</v>
      </c>
      <c r="B466" s="2"/>
      <c r="C466" s="1">
        <v>2014</v>
      </c>
      <c r="D466" s="1">
        <v>0.08</v>
      </c>
    </row>
    <row r="467" spans="1:4" x14ac:dyDescent="0.35">
      <c r="A467" s="1" t="s">
        <v>50</v>
      </c>
      <c r="B467" s="2"/>
      <c r="C467" s="1">
        <v>2015</v>
      </c>
      <c r="D467" s="1">
        <v>0.08</v>
      </c>
    </row>
    <row r="468" spans="1:4" x14ac:dyDescent="0.35">
      <c r="A468" s="1" t="s">
        <v>50</v>
      </c>
      <c r="B468" s="2"/>
      <c r="C468" s="1">
        <v>2016</v>
      </c>
      <c r="D468" s="1">
        <v>0.31</v>
      </c>
    </row>
    <row r="469" spans="1:4" x14ac:dyDescent="0.35">
      <c r="A469" s="1" t="s">
        <v>50</v>
      </c>
      <c r="B469" s="2"/>
      <c r="C469" s="1">
        <v>2017</v>
      </c>
      <c r="D469" s="1">
        <v>0.34</v>
      </c>
    </row>
    <row r="470" spans="1:4" x14ac:dyDescent="0.35">
      <c r="A470" s="1" t="s">
        <v>50</v>
      </c>
      <c r="B470" s="2"/>
      <c r="C470" s="1">
        <v>2018</v>
      </c>
      <c r="D470" s="1">
        <v>0.35</v>
      </c>
    </row>
    <row r="471" spans="1:4" x14ac:dyDescent="0.35">
      <c r="A471" s="1" t="s">
        <v>50</v>
      </c>
      <c r="B471" s="2"/>
      <c r="C471" s="1">
        <v>2019</v>
      </c>
      <c r="D471" s="1">
        <v>0.35</v>
      </c>
    </row>
    <row r="472" spans="1:4" x14ac:dyDescent="0.35">
      <c r="A472" s="1" t="s">
        <v>50</v>
      </c>
      <c r="B472" s="2"/>
      <c r="C472" s="1">
        <v>2020</v>
      </c>
      <c r="D472" s="1">
        <v>0.35</v>
      </c>
    </row>
    <row r="473" spans="1:4" x14ac:dyDescent="0.35">
      <c r="A473" s="1" t="s">
        <v>50</v>
      </c>
      <c r="B473" s="2"/>
      <c r="C473" s="1">
        <v>2021</v>
      </c>
      <c r="D473" s="1">
        <v>14.24</v>
      </c>
    </row>
    <row r="474" spans="1:4" x14ac:dyDescent="0.35">
      <c r="A474" s="1" t="s">
        <v>50</v>
      </c>
      <c r="B474" s="2"/>
      <c r="C474" s="1">
        <v>2022</v>
      </c>
      <c r="D474" s="1">
        <v>14.24</v>
      </c>
    </row>
    <row r="475" spans="1:4" x14ac:dyDescent="0.35">
      <c r="A475" s="1" t="s">
        <v>50</v>
      </c>
      <c r="B475" s="2"/>
      <c r="C475" s="1">
        <v>2023</v>
      </c>
      <c r="D475" s="1">
        <v>39.54</v>
      </c>
    </row>
    <row r="476" spans="1:4" x14ac:dyDescent="0.35">
      <c r="A476" s="1" t="s">
        <v>50</v>
      </c>
      <c r="B476" s="2"/>
      <c r="C476" s="1">
        <v>2024</v>
      </c>
      <c r="D476" s="1">
        <v>39.54</v>
      </c>
    </row>
    <row r="477" spans="1:4" x14ac:dyDescent="0.35">
      <c r="A477" s="1" t="s">
        <v>50</v>
      </c>
      <c r="B477" s="2" t="s">
        <v>136</v>
      </c>
      <c r="C477" s="1">
        <v>2000</v>
      </c>
      <c r="D477" s="1" t="s">
        <v>137</v>
      </c>
    </row>
    <row r="478" spans="1:4" x14ac:dyDescent="0.35">
      <c r="A478" s="1" t="s">
        <v>50</v>
      </c>
      <c r="B478" s="2"/>
      <c r="C478" s="1">
        <v>2001</v>
      </c>
      <c r="D478" s="1" t="s">
        <v>137</v>
      </c>
    </row>
    <row r="479" spans="1:4" x14ac:dyDescent="0.35">
      <c r="A479" s="1" t="s">
        <v>50</v>
      </c>
      <c r="B479" s="2"/>
      <c r="C479" s="1">
        <v>2002</v>
      </c>
      <c r="D479" s="1" t="s">
        <v>137</v>
      </c>
    </row>
    <row r="480" spans="1:4" x14ac:dyDescent="0.35">
      <c r="A480" s="1" t="s">
        <v>50</v>
      </c>
      <c r="B480" s="2"/>
      <c r="C480" s="1">
        <v>2003</v>
      </c>
      <c r="D480" s="1" t="s">
        <v>137</v>
      </c>
    </row>
    <row r="481" spans="1:4" x14ac:dyDescent="0.35">
      <c r="A481" s="1" t="s">
        <v>50</v>
      </c>
      <c r="B481" s="2"/>
      <c r="C481" s="1">
        <v>2004</v>
      </c>
      <c r="D481" s="1" t="s">
        <v>137</v>
      </c>
    </row>
    <row r="482" spans="1:4" x14ac:dyDescent="0.35">
      <c r="A482" s="1" t="s">
        <v>50</v>
      </c>
      <c r="B482" s="2"/>
      <c r="C482" s="1">
        <v>2005</v>
      </c>
      <c r="D482" s="1" t="s">
        <v>137</v>
      </c>
    </row>
    <row r="483" spans="1:4" x14ac:dyDescent="0.35">
      <c r="A483" s="1" t="s">
        <v>50</v>
      </c>
      <c r="B483" s="2"/>
      <c r="C483" s="1">
        <v>2006</v>
      </c>
      <c r="D483" s="1" t="s">
        <v>137</v>
      </c>
    </row>
    <row r="484" spans="1:4" x14ac:dyDescent="0.35">
      <c r="A484" s="1" t="s">
        <v>50</v>
      </c>
      <c r="B484" s="2"/>
      <c r="C484" s="1">
        <v>2007</v>
      </c>
      <c r="D484" s="1" t="s">
        <v>137</v>
      </c>
    </row>
    <row r="485" spans="1:4" x14ac:dyDescent="0.35">
      <c r="A485" s="1" t="s">
        <v>50</v>
      </c>
      <c r="B485" s="2"/>
      <c r="C485" s="1">
        <v>2008</v>
      </c>
      <c r="D485" s="1" t="s">
        <v>137</v>
      </c>
    </row>
    <row r="486" spans="1:4" x14ac:dyDescent="0.35">
      <c r="A486" s="1" t="s">
        <v>50</v>
      </c>
      <c r="B486" s="2"/>
      <c r="C486" s="1">
        <v>2009</v>
      </c>
      <c r="D486" s="1" t="s">
        <v>137</v>
      </c>
    </row>
    <row r="487" spans="1:4" x14ac:dyDescent="0.35">
      <c r="A487" s="1" t="s">
        <v>50</v>
      </c>
      <c r="B487" s="2"/>
      <c r="C487" s="1">
        <v>2010</v>
      </c>
      <c r="D487" s="1" t="s">
        <v>137</v>
      </c>
    </row>
    <row r="488" spans="1:4" x14ac:dyDescent="0.35">
      <c r="A488" s="1" t="s">
        <v>50</v>
      </c>
      <c r="B488" s="2"/>
      <c r="C488" s="1">
        <v>2011</v>
      </c>
      <c r="D488" s="1" t="s">
        <v>137</v>
      </c>
    </row>
    <row r="489" spans="1:4" x14ac:dyDescent="0.35">
      <c r="A489" s="1" t="s">
        <v>50</v>
      </c>
      <c r="B489" s="2"/>
      <c r="C489" s="1">
        <v>2012</v>
      </c>
      <c r="D489" s="1">
        <v>0.03</v>
      </c>
    </row>
    <row r="490" spans="1:4" x14ac:dyDescent="0.35">
      <c r="A490" s="1" t="s">
        <v>50</v>
      </c>
      <c r="B490" s="2"/>
      <c r="C490" s="1">
        <v>2013</v>
      </c>
      <c r="D490" s="1">
        <v>0.05</v>
      </c>
    </row>
    <row r="491" spans="1:4" x14ac:dyDescent="0.35">
      <c r="A491" s="1" t="s">
        <v>50</v>
      </c>
      <c r="B491" s="2"/>
      <c r="C491" s="1">
        <v>2014</v>
      </c>
      <c r="D491" s="1">
        <v>0.2</v>
      </c>
    </row>
    <row r="492" spans="1:4" x14ac:dyDescent="0.35">
      <c r="A492" s="1" t="s">
        <v>50</v>
      </c>
      <c r="B492" s="2"/>
      <c r="C492" s="1">
        <v>2015</v>
      </c>
      <c r="D492" s="1">
        <v>0.11</v>
      </c>
    </row>
    <row r="493" spans="1:4" x14ac:dyDescent="0.35">
      <c r="A493" s="1" t="s">
        <v>50</v>
      </c>
      <c r="B493" s="2"/>
      <c r="C493" s="1">
        <v>2016</v>
      </c>
      <c r="D493" s="1">
        <v>0.79</v>
      </c>
    </row>
    <row r="494" spans="1:4" x14ac:dyDescent="0.35">
      <c r="A494" s="1" t="s">
        <v>50</v>
      </c>
      <c r="B494" s="2"/>
      <c r="C494" s="1">
        <v>2017</v>
      </c>
      <c r="D494" s="1">
        <v>1.17</v>
      </c>
    </row>
    <row r="495" spans="1:4" x14ac:dyDescent="0.35">
      <c r="A495" s="1" t="s">
        <v>50</v>
      </c>
      <c r="B495" s="2"/>
      <c r="C495" s="1">
        <v>2018</v>
      </c>
      <c r="D495" s="1">
        <v>1.26</v>
      </c>
    </row>
    <row r="496" spans="1:4" x14ac:dyDescent="0.35">
      <c r="A496" s="1" t="s">
        <v>50</v>
      </c>
      <c r="B496" s="2"/>
      <c r="C496" s="1">
        <v>2019</v>
      </c>
      <c r="D496" s="1">
        <v>0.76</v>
      </c>
    </row>
    <row r="497" spans="1:4" x14ac:dyDescent="0.35">
      <c r="A497" s="1" t="s">
        <v>50</v>
      </c>
      <c r="B497" s="2"/>
      <c r="C497" s="1">
        <v>2020</v>
      </c>
      <c r="D497" s="1">
        <v>0.56000000000000005</v>
      </c>
    </row>
    <row r="498" spans="1:4" x14ac:dyDescent="0.35">
      <c r="A498" s="1" t="s">
        <v>50</v>
      </c>
      <c r="B498" s="2"/>
      <c r="C498" s="1">
        <v>2021</v>
      </c>
      <c r="D498" s="1">
        <v>35.93</v>
      </c>
    </row>
    <row r="499" spans="1:4" x14ac:dyDescent="0.35">
      <c r="A499" s="1" t="s">
        <v>50</v>
      </c>
      <c r="B499" s="2"/>
      <c r="C499" s="1">
        <v>2022</v>
      </c>
      <c r="D499" s="1">
        <v>35.39</v>
      </c>
    </row>
    <row r="500" spans="1:4" x14ac:dyDescent="0.35">
      <c r="A500" s="1" t="s">
        <v>50</v>
      </c>
      <c r="B500" s="2"/>
      <c r="C500" s="1">
        <v>2023</v>
      </c>
      <c r="D500" s="1">
        <v>35.03</v>
      </c>
    </row>
    <row r="501" spans="1:4" x14ac:dyDescent="0.35">
      <c r="A501" s="1" t="s">
        <v>50</v>
      </c>
      <c r="B501" s="2"/>
      <c r="C501" s="1">
        <v>2024</v>
      </c>
      <c r="D501" s="1" t="s">
        <v>137</v>
      </c>
    </row>
    <row r="502" spans="1:4" x14ac:dyDescent="0.35">
      <c r="A502" s="1" t="s">
        <v>138</v>
      </c>
      <c r="B502" s="2" t="s">
        <v>134</v>
      </c>
      <c r="C502" s="1">
        <v>2000</v>
      </c>
      <c r="D502" s="1">
        <v>16.940000000000001</v>
      </c>
    </row>
    <row r="503" spans="1:4" x14ac:dyDescent="0.35">
      <c r="A503" s="1" t="s">
        <v>138</v>
      </c>
      <c r="B503" s="2"/>
      <c r="C503" s="1">
        <v>2001</v>
      </c>
      <c r="D503" s="1">
        <v>16.940000000000001</v>
      </c>
    </row>
    <row r="504" spans="1:4" x14ac:dyDescent="0.35">
      <c r="A504" s="1" t="s">
        <v>138</v>
      </c>
      <c r="B504" s="2"/>
      <c r="C504" s="1">
        <v>2002</v>
      </c>
      <c r="D504" s="1">
        <v>17.11</v>
      </c>
    </row>
    <row r="505" spans="1:4" x14ac:dyDescent="0.35">
      <c r="A505" s="1" t="s">
        <v>138</v>
      </c>
      <c r="B505" s="2"/>
      <c r="C505" s="1">
        <v>2003</v>
      </c>
      <c r="D505" s="1">
        <v>15.54</v>
      </c>
    </row>
    <row r="506" spans="1:4" x14ac:dyDescent="0.35">
      <c r="A506" s="1" t="s">
        <v>138</v>
      </c>
      <c r="B506" s="2"/>
      <c r="C506" s="1">
        <v>2004</v>
      </c>
      <c r="D506" s="1">
        <v>15.38</v>
      </c>
    </row>
    <row r="507" spans="1:4" x14ac:dyDescent="0.35">
      <c r="A507" s="1" t="s">
        <v>138</v>
      </c>
      <c r="B507" s="2"/>
      <c r="C507" s="1">
        <v>2005</v>
      </c>
      <c r="D507" s="1">
        <v>14.19</v>
      </c>
    </row>
    <row r="508" spans="1:4" x14ac:dyDescent="0.35">
      <c r="A508" s="1" t="s">
        <v>138</v>
      </c>
      <c r="B508" s="2"/>
      <c r="C508" s="1">
        <v>2006</v>
      </c>
      <c r="D508" s="1">
        <v>13.6</v>
      </c>
    </row>
    <row r="509" spans="1:4" x14ac:dyDescent="0.35">
      <c r="A509" s="1" t="s">
        <v>138</v>
      </c>
      <c r="B509" s="2"/>
      <c r="C509" s="1">
        <v>2007</v>
      </c>
      <c r="D509" s="1">
        <v>13.61</v>
      </c>
    </row>
    <row r="510" spans="1:4" x14ac:dyDescent="0.35">
      <c r="A510" s="1" t="s">
        <v>138</v>
      </c>
      <c r="B510" s="2"/>
      <c r="C510" s="1">
        <v>2008</v>
      </c>
      <c r="D510" s="1">
        <v>13.47</v>
      </c>
    </row>
    <row r="511" spans="1:4" x14ac:dyDescent="0.35">
      <c r="A511" s="1" t="s">
        <v>138</v>
      </c>
      <c r="B511" s="2"/>
      <c r="C511" s="1">
        <v>2009</v>
      </c>
      <c r="D511" s="1">
        <v>13.01</v>
      </c>
    </row>
    <row r="512" spans="1:4" x14ac:dyDescent="0.35">
      <c r="A512" s="1" t="s">
        <v>138</v>
      </c>
      <c r="B512" s="2"/>
      <c r="C512" s="1">
        <v>2010</v>
      </c>
      <c r="D512" s="1">
        <v>12.42</v>
      </c>
    </row>
    <row r="513" spans="1:4" x14ac:dyDescent="0.35">
      <c r="A513" s="1" t="s">
        <v>138</v>
      </c>
      <c r="B513" s="2"/>
      <c r="C513" s="1">
        <v>2011</v>
      </c>
      <c r="D513" s="1">
        <v>11.63</v>
      </c>
    </row>
    <row r="514" spans="1:4" x14ac:dyDescent="0.35">
      <c r="A514" s="1" t="s">
        <v>138</v>
      </c>
      <c r="B514" s="2"/>
      <c r="C514" s="1">
        <v>2012</v>
      </c>
      <c r="D514" s="1">
        <v>10.99</v>
      </c>
    </row>
    <row r="515" spans="1:4" x14ac:dyDescent="0.35">
      <c r="A515" s="1" t="s">
        <v>138</v>
      </c>
      <c r="B515" s="2"/>
      <c r="C515" s="1">
        <v>2013</v>
      </c>
      <c r="D515" s="1">
        <v>10.58</v>
      </c>
    </row>
    <row r="516" spans="1:4" x14ac:dyDescent="0.35">
      <c r="A516" s="1" t="s">
        <v>138</v>
      </c>
      <c r="B516" s="2"/>
      <c r="C516" s="1">
        <v>2014</v>
      </c>
      <c r="D516" s="1">
        <v>10.58</v>
      </c>
    </row>
    <row r="517" spans="1:4" x14ac:dyDescent="0.35">
      <c r="A517" s="1" t="s">
        <v>138</v>
      </c>
      <c r="B517" s="2"/>
      <c r="C517" s="1">
        <v>2015</v>
      </c>
      <c r="D517" s="1">
        <v>10.36</v>
      </c>
    </row>
    <row r="518" spans="1:4" x14ac:dyDescent="0.35">
      <c r="A518" s="1" t="s">
        <v>138</v>
      </c>
      <c r="B518" s="2"/>
      <c r="C518" s="1">
        <v>2016</v>
      </c>
      <c r="D518" s="1">
        <v>9.4499999999999993</v>
      </c>
    </row>
    <row r="519" spans="1:4" x14ac:dyDescent="0.35">
      <c r="A519" s="1" t="s">
        <v>138</v>
      </c>
      <c r="B519" s="2"/>
      <c r="C519" s="1">
        <v>2017</v>
      </c>
      <c r="D519" s="1">
        <v>8.41</v>
      </c>
    </row>
    <row r="520" spans="1:4" x14ac:dyDescent="0.35">
      <c r="A520" s="1" t="s">
        <v>138</v>
      </c>
      <c r="B520" s="2"/>
      <c r="C520" s="1">
        <v>2018</v>
      </c>
      <c r="D520" s="1">
        <v>8.6</v>
      </c>
    </row>
    <row r="521" spans="1:4" x14ac:dyDescent="0.35">
      <c r="A521" s="1" t="s">
        <v>138</v>
      </c>
      <c r="B521" s="2"/>
      <c r="C521" s="1">
        <v>2019</v>
      </c>
      <c r="D521" s="1">
        <v>9.74</v>
      </c>
    </row>
    <row r="522" spans="1:4" x14ac:dyDescent="0.35">
      <c r="A522" s="1" t="s">
        <v>138</v>
      </c>
      <c r="B522" s="2"/>
      <c r="C522" s="1">
        <v>2020</v>
      </c>
      <c r="D522" s="1">
        <v>10.029999999999999</v>
      </c>
    </row>
    <row r="523" spans="1:4" x14ac:dyDescent="0.35">
      <c r="A523" s="1" t="s">
        <v>138</v>
      </c>
      <c r="B523" s="2"/>
      <c r="C523" s="1">
        <v>2021</v>
      </c>
      <c r="D523" s="1">
        <v>10.5</v>
      </c>
    </row>
    <row r="524" spans="1:4" x14ac:dyDescent="0.35">
      <c r="A524" s="1" t="s">
        <v>138</v>
      </c>
      <c r="B524" s="2"/>
      <c r="C524" s="1">
        <v>2022</v>
      </c>
      <c r="D524" s="1">
        <v>10.5</v>
      </c>
    </row>
    <row r="525" spans="1:4" x14ac:dyDescent="0.35">
      <c r="A525" s="1" t="s">
        <v>138</v>
      </c>
      <c r="B525" s="2"/>
      <c r="C525" s="1">
        <v>2023</v>
      </c>
      <c r="D525" s="1">
        <v>11.16</v>
      </c>
    </row>
    <row r="526" spans="1:4" x14ac:dyDescent="0.35">
      <c r="A526" s="1" t="s">
        <v>138</v>
      </c>
      <c r="B526" s="2"/>
      <c r="C526" s="1">
        <v>2024</v>
      </c>
      <c r="D526" s="1">
        <v>12.67</v>
      </c>
    </row>
    <row r="527" spans="1:4" x14ac:dyDescent="0.35">
      <c r="A527" s="1" t="s">
        <v>138</v>
      </c>
      <c r="B527" s="2" t="s">
        <v>136</v>
      </c>
      <c r="C527" s="1">
        <v>2000</v>
      </c>
      <c r="D527" s="1">
        <v>20.03</v>
      </c>
    </row>
    <row r="528" spans="1:4" x14ac:dyDescent="0.35">
      <c r="A528" s="1" t="s">
        <v>138</v>
      </c>
      <c r="B528" s="2"/>
      <c r="C528" s="1">
        <v>2001</v>
      </c>
      <c r="D528" s="1">
        <v>19.82</v>
      </c>
    </row>
    <row r="529" spans="1:4" x14ac:dyDescent="0.35">
      <c r="A529" s="1" t="s">
        <v>138</v>
      </c>
      <c r="B529" s="2"/>
      <c r="C529" s="1">
        <v>2002</v>
      </c>
      <c r="D529" s="1">
        <v>15.9</v>
      </c>
    </row>
    <row r="530" spans="1:4" x14ac:dyDescent="0.35">
      <c r="A530" s="1" t="s">
        <v>138</v>
      </c>
      <c r="B530" s="2"/>
      <c r="C530" s="1">
        <v>2003</v>
      </c>
      <c r="D530" s="1">
        <v>13.63</v>
      </c>
    </row>
    <row r="531" spans="1:4" x14ac:dyDescent="0.35">
      <c r="A531" s="1" t="s">
        <v>138</v>
      </c>
      <c r="B531" s="2"/>
      <c r="C531" s="1">
        <v>2004</v>
      </c>
      <c r="D531" s="1">
        <v>13.07</v>
      </c>
    </row>
    <row r="532" spans="1:4" x14ac:dyDescent="0.35">
      <c r="A532" s="1" t="s">
        <v>138</v>
      </c>
      <c r="B532" s="2"/>
      <c r="C532" s="1">
        <v>2005</v>
      </c>
      <c r="D532" s="1">
        <v>12.03</v>
      </c>
    </row>
    <row r="533" spans="1:4" x14ac:dyDescent="0.35">
      <c r="A533" s="1" t="s">
        <v>138</v>
      </c>
      <c r="B533" s="2"/>
      <c r="C533" s="1">
        <v>2006</v>
      </c>
      <c r="D533" s="1">
        <v>11.62</v>
      </c>
    </row>
    <row r="534" spans="1:4" x14ac:dyDescent="0.35">
      <c r="A534" s="1" t="s">
        <v>138</v>
      </c>
      <c r="B534" s="2"/>
      <c r="C534" s="1">
        <v>2007</v>
      </c>
      <c r="D534" s="1">
        <v>11.04</v>
      </c>
    </row>
    <row r="535" spans="1:4" x14ac:dyDescent="0.35">
      <c r="A535" s="1" t="s">
        <v>138</v>
      </c>
      <c r="B535" s="2"/>
      <c r="C535" s="1">
        <v>2008</v>
      </c>
      <c r="D535" s="1">
        <v>12.28</v>
      </c>
    </row>
    <row r="536" spans="1:4" x14ac:dyDescent="0.35">
      <c r="A536" s="1" t="s">
        <v>138</v>
      </c>
      <c r="B536" s="2"/>
      <c r="C536" s="1">
        <v>2009</v>
      </c>
      <c r="D536" s="1">
        <v>11.01</v>
      </c>
    </row>
    <row r="537" spans="1:4" x14ac:dyDescent="0.35">
      <c r="A537" s="1" t="s">
        <v>138</v>
      </c>
      <c r="B537" s="2"/>
      <c r="C537" s="1">
        <v>2010</v>
      </c>
      <c r="D537" s="1">
        <v>9.56</v>
      </c>
    </row>
    <row r="538" spans="1:4" x14ac:dyDescent="0.35">
      <c r="A538" s="1" t="s">
        <v>138</v>
      </c>
      <c r="B538" s="2"/>
      <c r="C538" s="1">
        <v>2011</v>
      </c>
      <c r="D538" s="1">
        <v>9.36</v>
      </c>
    </row>
    <row r="539" spans="1:4" x14ac:dyDescent="0.35">
      <c r="A539" s="1" t="s">
        <v>138</v>
      </c>
      <c r="B539" s="2"/>
      <c r="C539" s="1">
        <v>2012</v>
      </c>
      <c r="D539" s="1">
        <v>9.26</v>
      </c>
    </row>
    <row r="540" spans="1:4" x14ac:dyDescent="0.35">
      <c r="A540" s="1" t="s">
        <v>138</v>
      </c>
      <c r="B540" s="2"/>
      <c r="C540" s="1">
        <v>2013</v>
      </c>
      <c r="D540" s="1">
        <v>8.76</v>
      </c>
    </row>
    <row r="541" spans="1:4" x14ac:dyDescent="0.35">
      <c r="A541" s="1" t="s">
        <v>138</v>
      </c>
      <c r="B541" s="2"/>
      <c r="C541" s="1">
        <v>2014</v>
      </c>
      <c r="D541" s="1">
        <v>8.41</v>
      </c>
    </row>
    <row r="542" spans="1:4" x14ac:dyDescent="0.35">
      <c r="A542" s="1" t="s">
        <v>138</v>
      </c>
      <c r="B542" s="2"/>
      <c r="C542" s="1">
        <v>2015</v>
      </c>
      <c r="D542" s="1">
        <v>8.31</v>
      </c>
    </row>
    <row r="543" spans="1:4" x14ac:dyDescent="0.35">
      <c r="A543" s="1" t="s">
        <v>138</v>
      </c>
      <c r="B543" s="2"/>
      <c r="C543" s="1">
        <v>2016</v>
      </c>
      <c r="D543" s="1">
        <v>8.64</v>
      </c>
    </row>
    <row r="544" spans="1:4" x14ac:dyDescent="0.35">
      <c r="A544" s="1" t="s">
        <v>138</v>
      </c>
      <c r="B544" s="2"/>
      <c r="C544" s="1">
        <v>2017</v>
      </c>
      <c r="D544" s="1">
        <v>8.41</v>
      </c>
    </row>
    <row r="545" spans="1:4" x14ac:dyDescent="0.35">
      <c r="A545" s="1" t="s">
        <v>138</v>
      </c>
      <c r="B545" s="2"/>
      <c r="C545" s="1">
        <v>2018</v>
      </c>
      <c r="D545" s="1">
        <v>8.09</v>
      </c>
    </row>
    <row r="546" spans="1:4" x14ac:dyDescent="0.35">
      <c r="A546" s="1" t="s">
        <v>138</v>
      </c>
      <c r="B546" s="2"/>
      <c r="C546" s="1">
        <v>2019</v>
      </c>
      <c r="D546" s="1">
        <v>8.9700000000000006</v>
      </c>
    </row>
    <row r="547" spans="1:4" x14ac:dyDescent="0.35">
      <c r="A547" s="1" t="s">
        <v>138</v>
      </c>
      <c r="B547" s="2"/>
      <c r="C547" s="1">
        <v>2020</v>
      </c>
      <c r="D547" s="1">
        <v>12.18</v>
      </c>
    </row>
    <row r="548" spans="1:4" x14ac:dyDescent="0.35">
      <c r="A548" s="1" t="s">
        <v>138</v>
      </c>
      <c r="B548" s="2"/>
      <c r="C548" s="1">
        <v>2021</v>
      </c>
      <c r="D548" s="1">
        <v>12.31</v>
      </c>
    </row>
    <row r="549" spans="1:4" x14ac:dyDescent="0.35">
      <c r="A549" s="1" t="s">
        <v>138</v>
      </c>
      <c r="B549" s="2"/>
      <c r="C549" s="1">
        <v>2022</v>
      </c>
      <c r="D549" s="1">
        <v>12.23</v>
      </c>
    </row>
    <row r="550" spans="1:4" x14ac:dyDescent="0.35">
      <c r="A550" s="1" t="s">
        <v>138</v>
      </c>
      <c r="B550" s="2"/>
      <c r="C550" s="1">
        <v>2023</v>
      </c>
      <c r="D550" s="1">
        <v>11.79</v>
      </c>
    </row>
    <row r="551" spans="1:4" x14ac:dyDescent="0.35">
      <c r="A551" s="1" t="s">
        <v>138</v>
      </c>
      <c r="B551" s="2"/>
      <c r="C551" s="1">
        <v>2024</v>
      </c>
      <c r="D551" s="1" t="s">
        <v>137</v>
      </c>
    </row>
    <row r="552" spans="1:4" x14ac:dyDescent="0.35">
      <c r="A552" s="1" t="s">
        <v>67</v>
      </c>
      <c r="B552" s="2" t="s">
        <v>134</v>
      </c>
      <c r="C552" s="1">
        <v>2000</v>
      </c>
      <c r="D552" s="1">
        <v>15.64</v>
      </c>
    </row>
    <row r="553" spans="1:4" x14ac:dyDescent="0.35">
      <c r="A553" s="1" t="s">
        <v>67</v>
      </c>
      <c r="B553" s="2"/>
      <c r="C553" s="1">
        <v>2001</v>
      </c>
      <c r="D553" s="1">
        <v>15.64</v>
      </c>
    </row>
    <row r="554" spans="1:4" x14ac:dyDescent="0.35">
      <c r="A554" s="1" t="s">
        <v>67</v>
      </c>
      <c r="B554" s="2"/>
      <c r="C554" s="1">
        <v>2002</v>
      </c>
      <c r="D554" s="1">
        <v>15.64</v>
      </c>
    </row>
    <row r="555" spans="1:4" x14ac:dyDescent="0.35">
      <c r="A555" s="1" t="s">
        <v>67</v>
      </c>
      <c r="B555" s="2"/>
      <c r="C555" s="1">
        <v>2003</v>
      </c>
      <c r="D555" s="1">
        <v>15.64</v>
      </c>
    </row>
    <row r="556" spans="1:4" x14ac:dyDescent="0.35">
      <c r="A556" s="1" t="s">
        <v>67</v>
      </c>
      <c r="B556" s="2"/>
      <c r="C556" s="1">
        <v>2004</v>
      </c>
      <c r="D556" s="1">
        <v>15.64</v>
      </c>
    </row>
    <row r="557" spans="1:4" x14ac:dyDescent="0.35">
      <c r="A557" s="1" t="s">
        <v>67</v>
      </c>
      <c r="B557" s="2"/>
      <c r="C557" s="1">
        <v>2005</v>
      </c>
      <c r="D557" s="1">
        <v>15.64</v>
      </c>
    </row>
    <row r="558" spans="1:4" x14ac:dyDescent="0.35">
      <c r="A558" s="1" t="s">
        <v>67</v>
      </c>
      <c r="B558" s="2"/>
      <c r="C558" s="1">
        <v>2006</v>
      </c>
      <c r="D558" s="1">
        <v>15.64</v>
      </c>
    </row>
    <row r="559" spans="1:4" x14ac:dyDescent="0.35">
      <c r="A559" s="1" t="s">
        <v>67</v>
      </c>
      <c r="B559" s="2"/>
      <c r="C559" s="1">
        <v>2007</v>
      </c>
      <c r="D559" s="1">
        <v>9.36</v>
      </c>
    </row>
    <row r="560" spans="1:4" x14ac:dyDescent="0.35">
      <c r="A560" s="1" t="s">
        <v>67</v>
      </c>
      <c r="B560" s="2"/>
      <c r="C560" s="1">
        <v>2008</v>
      </c>
      <c r="D560" s="1">
        <v>9.36</v>
      </c>
    </row>
    <row r="561" spans="1:4" x14ac:dyDescent="0.35">
      <c r="A561" s="1" t="s">
        <v>67</v>
      </c>
      <c r="B561" s="2"/>
      <c r="C561" s="1">
        <v>2009</v>
      </c>
      <c r="D561" s="1">
        <v>9.36</v>
      </c>
    </row>
    <row r="562" spans="1:4" x14ac:dyDescent="0.35">
      <c r="A562" s="1" t="s">
        <v>67</v>
      </c>
      <c r="B562" s="2"/>
      <c r="C562" s="1">
        <v>2010</v>
      </c>
      <c r="D562" s="1">
        <v>7.02</v>
      </c>
    </row>
    <row r="563" spans="1:4" x14ac:dyDescent="0.35">
      <c r="A563" s="1" t="s">
        <v>67</v>
      </c>
      <c r="B563" s="2"/>
      <c r="C563" s="1">
        <v>2011</v>
      </c>
      <c r="D563" s="1">
        <v>7.02</v>
      </c>
    </row>
    <row r="564" spans="1:4" x14ac:dyDescent="0.35">
      <c r="A564" s="1" t="s">
        <v>67</v>
      </c>
      <c r="B564" s="2"/>
      <c r="C564" s="1">
        <v>2012</v>
      </c>
      <c r="D564" s="1">
        <v>36.11</v>
      </c>
    </row>
    <row r="565" spans="1:4" x14ac:dyDescent="0.35">
      <c r="A565" s="1" t="s">
        <v>67</v>
      </c>
      <c r="B565" s="2"/>
      <c r="C565" s="1">
        <v>2013</v>
      </c>
      <c r="D565" s="1">
        <v>36.11</v>
      </c>
    </row>
    <row r="566" spans="1:4" x14ac:dyDescent="0.35">
      <c r="A566" s="1" t="s">
        <v>67</v>
      </c>
      <c r="B566" s="2"/>
      <c r="C566" s="1">
        <v>2014</v>
      </c>
      <c r="D566" s="1">
        <v>36.11</v>
      </c>
    </row>
    <row r="567" spans="1:4" x14ac:dyDescent="0.35">
      <c r="A567" s="1" t="s">
        <v>67</v>
      </c>
      <c r="B567" s="2"/>
      <c r="C567" s="1">
        <v>2015</v>
      </c>
      <c r="D567" s="1">
        <v>36.11</v>
      </c>
    </row>
    <row r="568" spans="1:4" x14ac:dyDescent="0.35">
      <c r="A568" s="1" t="s">
        <v>67</v>
      </c>
      <c r="B568" s="2"/>
      <c r="C568" s="1">
        <v>2016</v>
      </c>
      <c r="D568" s="1">
        <v>33.81</v>
      </c>
    </row>
    <row r="569" spans="1:4" x14ac:dyDescent="0.35">
      <c r="A569" s="1" t="s">
        <v>67</v>
      </c>
      <c r="B569" s="2"/>
      <c r="C569" s="1">
        <v>2017</v>
      </c>
      <c r="D569" s="1">
        <v>31.79</v>
      </c>
    </row>
    <row r="570" spans="1:4" x14ac:dyDescent="0.35">
      <c r="A570" s="1" t="s">
        <v>67</v>
      </c>
      <c r="B570" s="2"/>
      <c r="C570" s="1">
        <v>2018</v>
      </c>
      <c r="D570" s="1">
        <v>31.76</v>
      </c>
    </row>
    <row r="571" spans="1:4" x14ac:dyDescent="0.35">
      <c r="A571" s="1" t="s">
        <v>67</v>
      </c>
      <c r="B571" s="2"/>
      <c r="C571" s="1">
        <v>2019</v>
      </c>
      <c r="D571" s="1">
        <v>31.75</v>
      </c>
    </row>
    <row r="572" spans="1:4" x14ac:dyDescent="0.35">
      <c r="A572" s="1" t="s">
        <v>67</v>
      </c>
      <c r="B572" s="2"/>
      <c r="C572" s="1">
        <v>2020</v>
      </c>
      <c r="D572" s="1">
        <v>31.75</v>
      </c>
    </row>
    <row r="573" spans="1:4" x14ac:dyDescent="0.35">
      <c r="A573" s="1" t="s">
        <v>67</v>
      </c>
      <c r="B573" s="2"/>
      <c r="C573" s="1">
        <v>2021</v>
      </c>
      <c r="D573" s="1">
        <v>31.73</v>
      </c>
    </row>
    <row r="574" spans="1:4" x14ac:dyDescent="0.35">
      <c r="A574" s="1" t="s">
        <v>67</v>
      </c>
      <c r="B574" s="2"/>
      <c r="C574" s="1">
        <v>2022</v>
      </c>
      <c r="D574" s="1">
        <v>31.7</v>
      </c>
    </row>
    <row r="575" spans="1:4" x14ac:dyDescent="0.35">
      <c r="A575" s="1" t="s">
        <v>67</v>
      </c>
      <c r="B575" s="2"/>
      <c r="C575" s="1">
        <v>2023</v>
      </c>
      <c r="D575" s="1">
        <v>31.7</v>
      </c>
    </row>
    <row r="576" spans="1:4" x14ac:dyDescent="0.35">
      <c r="A576" s="1" t="s">
        <v>67</v>
      </c>
      <c r="B576" s="2"/>
      <c r="C576" s="1">
        <v>2024</v>
      </c>
      <c r="D576" s="1">
        <v>31.7</v>
      </c>
    </row>
    <row r="577" spans="1:4" x14ac:dyDescent="0.35">
      <c r="A577" s="1" t="s">
        <v>67</v>
      </c>
      <c r="B577" s="2" t="s">
        <v>136</v>
      </c>
      <c r="C577" s="1">
        <v>2000</v>
      </c>
      <c r="D577" s="1">
        <v>13.92</v>
      </c>
    </row>
    <row r="578" spans="1:4" x14ac:dyDescent="0.35">
      <c r="A578" s="1" t="s">
        <v>67</v>
      </c>
      <c r="B578" s="2"/>
      <c r="C578" s="1">
        <v>2001</v>
      </c>
      <c r="D578" s="1">
        <v>41.94</v>
      </c>
    </row>
    <row r="579" spans="1:4" x14ac:dyDescent="0.35">
      <c r="A579" s="1" t="s">
        <v>67</v>
      </c>
      <c r="B579" s="2"/>
      <c r="C579" s="1">
        <v>2002</v>
      </c>
      <c r="D579" s="1">
        <v>41.94</v>
      </c>
    </row>
    <row r="580" spans="1:4" x14ac:dyDescent="0.35">
      <c r="A580" s="1" t="s">
        <v>67</v>
      </c>
      <c r="B580" s="2"/>
      <c r="C580" s="1">
        <v>2003</v>
      </c>
      <c r="D580" s="1">
        <v>39.39</v>
      </c>
    </row>
    <row r="581" spans="1:4" x14ac:dyDescent="0.35">
      <c r="A581" s="1" t="s">
        <v>67</v>
      </c>
      <c r="B581" s="2"/>
      <c r="C581" s="1">
        <v>2004</v>
      </c>
      <c r="D581" s="1">
        <v>31.97</v>
      </c>
    </row>
    <row r="582" spans="1:4" x14ac:dyDescent="0.35">
      <c r="A582" s="1" t="s">
        <v>67</v>
      </c>
      <c r="B582" s="2"/>
      <c r="C582" s="1">
        <v>2005</v>
      </c>
      <c r="D582" s="1">
        <v>30.23</v>
      </c>
    </row>
    <row r="583" spans="1:4" x14ac:dyDescent="0.35">
      <c r="A583" s="1" t="s">
        <v>67</v>
      </c>
      <c r="B583" s="2"/>
      <c r="C583" s="1">
        <v>2006</v>
      </c>
      <c r="D583" s="1">
        <v>27.46</v>
      </c>
    </row>
    <row r="584" spans="1:4" x14ac:dyDescent="0.35">
      <c r="A584" s="1" t="s">
        <v>67</v>
      </c>
      <c r="B584" s="2"/>
      <c r="C584" s="1">
        <v>2007</v>
      </c>
      <c r="D584" s="1">
        <v>24.53</v>
      </c>
    </row>
    <row r="585" spans="1:4" x14ac:dyDescent="0.35">
      <c r="A585" s="1" t="s">
        <v>67</v>
      </c>
      <c r="B585" s="2"/>
      <c r="C585" s="1">
        <v>2008</v>
      </c>
      <c r="D585" s="1">
        <v>8.81</v>
      </c>
    </row>
    <row r="586" spans="1:4" x14ac:dyDescent="0.35">
      <c r="A586" s="1" t="s">
        <v>67</v>
      </c>
      <c r="B586" s="2"/>
      <c r="C586" s="1">
        <v>2009</v>
      </c>
      <c r="D586" s="1">
        <v>7.69</v>
      </c>
    </row>
    <row r="587" spans="1:4" x14ac:dyDescent="0.35">
      <c r="A587" s="1" t="s">
        <v>67</v>
      </c>
      <c r="B587" s="2"/>
      <c r="C587" s="1">
        <v>2010</v>
      </c>
      <c r="D587" s="1">
        <v>6.84</v>
      </c>
    </row>
    <row r="588" spans="1:4" x14ac:dyDescent="0.35">
      <c r="A588" s="1" t="s">
        <v>67</v>
      </c>
      <c r="B588" s="2"/>
      <c r="C588" s="1">
        <v>2011</v>
      </c>
      <c r="D588" s="1">
        <v>4.91</v>
      </c>
    </row>
    <row r="589" spans="1:4" x14ac:dyDescent="0.35">
      <c r="A589" s="1" t="s">
        <v>67</v>
      </c>
      <c r="B589" s="2"/>
      <c r="C589" s="1">
        <v>2012</v>
      </c>
      <c r="D589" s="1">
        <v>12.67</v>
      </c>
    </row>
    <row r="590" spans="1:4" x14ac:dyDescent="0.35">
      <c r="A590" s="1" t="s">
        <v>67</v>
      </c>
      <c r="B590" s="2"/>
      <c r="C590" s="1">
        <v>2013</v>
      </c>
      <c r="D590" s="1">
        <v>17.5</v>
      </c>
    </row>
    <row r="591" spans="1:4" x14ac:dyDescent="0.35">
      <c r="A591" s="1" t="s">
        <v>67</v>
      </c>
      <c r="B591" s="2"/>
      <c r="C591" s="1">
        <v>2014</v>
      </c>
      <c r="D591" s="1">
        <v>38.56</v>
      </c>
    </row>
    <row r="592" spans="1:4" x14ac:dyDescent="0.35">
      <c r="A592" s="1" t="s">
        <v>67</v>
      </c>
      <c r="B592" s="2"/>
      <c r="C592" s="1">
        <v>2015</v>
      </c>
      <c r="D592" s="1">
        <v>35.950000000000003</v>
      </c>
    </row>
    <row r="593" spans="1:4" x14ac:dyDescent="0.35">
      <c r="A593" s="1" t="s">
        <v>67</v>
      </c>
      <c r="B593" s="2"/>
      <c r="C593" s="1">
        <v>2016</v>
      </c>
      <c r="D593" s="1">
        <v>33.700000000000003</v>
      </c>
    </row>
    <row r="594" spans="1:4" x14ac:dyDescent="0.35">
      <c r="A594" s="1" t="s">
        <v>67</v>
      </c>
      <c r="B594" s="2"/>
      <c r="C594" s="1">
        <v>2017</v>
      </c>
      <c r="D594" s="1">
        <v>32.86</v>
      </c>
    </row>
    <row r="595" spans="1:4" x14ac:dyDescent="0.35">
      <c r="A595" s="1" t="s">
        <v>67</v>
      </c>
      <c r="B595" s="2"/>
      <c r="C595" s="1">
        <v>2018</v>
      </c>
      <c r="D595" s="1">
        <v>32.72</v>
      </c>
    </row>
    <row r="596" spans="1:4" x14ac:dyDescent="0.35">
      <c r="A596" s="1" t="s">
        <v>67</v>
      </c>
      <c r="B596" s="2"/>
      <c r="C596" s="1">
        <v>2019</v>
      </c>
      <c r="D596" s="1">
        <v>45.72</v>
      </c>
    </row>
    <row r="597" spans="1:4" x14ac:dyDescent="0.35">
      <c r="A597" s="1" t="s">
        <v>67</v>
      </c>
      <c r="B597" s="2"/>
      <c r="C597" s="1">
        <v>2020</v>
      </c>
      <c r="D597" s="1">
        <v>45.23</v>
      </c>
    </row>
    <row r="598" spans="1:4" x14ac:dyDescent="0.35">
      <c r="A598" s="1" t="s">
        <v>67</v>
      </c>
      <c r="B598" s="2"/>
      <c r="C598" s="1">
        <v>2021</v>
      </c>
      <c r="D598" s="1">
        <v>43.67</v>
      </c>
    </row>
    <row r="599" spans="1:4" x14ac:dyDescent="0.35">
      <c r="A599" s="1" t="s">
        <v>67</v>
      </c>
      <c r="B599" s="2"/>
      <c r="C599" s="1">
        <v>2022</v>
      </c>
      <c r="D599" s="1">
        <v>43.22</v>
      </c>
    </row>
    <row r="600" spans="1:4" x14ac:dyDescent="0.35">
      <c r="A600" s="1" t="s">
        <v>67</v>
      </c>
      <c r="B600" s="2"/>
      <c r="C600" s="1">
        <v>2023</v>
      </c>
      <c r="D600" s="1">
        <v>34.49</v>
      </c>
    </row>
    <row r="601" spans="1:4" x14ac:dyDescent="0.35">
      <c r="A601" s="1" t="s">
        <v>67</v>
      </c>
      <c r="B601" s="2"/>
      <c r="C601" s="1">
        <v>2024</v>
      </c>
      <c r="D601" s="1" t="s">
        <v>137</v>
      </c>
    </row>
    <row r="602" spans="1:4" x14ac:dyDescent="0.35">
      <c r="A602" s="1" t="s">
        <v>55</v>
      </c>
      <c r="B602" s="2" t="s">
        <v>134</v>
      </c>
      <c r="C602" s="1">
        <v>2000</v>
      </c>
      <c r="D602" s="1" t="s">
        <v>137</v>
      </c>
    </row>
    <row r="603" spans="1:4" x14ac:dyDescent="0.35">
      <c r="A603" s="1" t="s">
        <v>55</v>
      </c>
      <c r="B603" s="2"/>
      <c r="C603" s="1">
        <v>2001</v>
      </c>
      <c r="D603" s="1" t="s">
        <v>137</v>
      </c>
    </row>
    <row r="604" spans="1:4" x14ac:dyDescent="0.35">
      <c r="A604" s="1" t="s">
        <v>55</v>
      </c>
      <c r="B604" s="2"/>
      <c r="C604" s="1">
        <v>2002</v>
      </c>
      <c r="D604" s="1" t="s">
        <v>137</v>
      </c>
    </row>
    <row r="605" spans="1:4" x14ac:dyDescent="0.35">
      <c r="A605" s="1" t="s">
        <v>55</v>
      </c>
      <c r="B605" s="2"/>
      <c r="C605" s="1">
        <v>2003</v>
      </c>
      <c r="D605" s="1" t="s">
        <v>137</v>
      </c>
    </row>
    <row r="606" spans="1:4" x14ac:dyDescent="0.35">
      <c r="A606" s="1" t="s">
        <v>55</v>
      </c>
      <c r="B606" s="2"/>
      <c r="C606" s="1">
        <v>2004</v>
      </c>
      <c r="D606" s="1" t="s">
        <v>137</v>
      </c>
    </row>
    <row r="607" spans="1:4" x14ac:dyDescent="0.35">
      <c r="A607" s="1" t="s">
        <v>55</v>
      </c>
      <c r="B607" s="2"/>
      <c r="C607" s="1">
        <v>2005</v>
      </c>
      <c r="D607" s="1" t="s">
        <v>137</v>
      </c>
    </row>
    <row r="608" spans="1:4" x14ac:dyDescent="0.35">
      <c r="A608" s="1" t="s">
        <v>55</v>
      </c>
      <c r="B608" s="2"/>
      <c r="C608" s="1">
        <v>2006</v>
      </c>
      <c r="D608" s="1" t="s">
        <v>137</v>
      </c>
    </row>
    <row r="609" spans="1:4" x14ac:dyDescent="0.35">
      <c r="A609" s="1" t="s">
        <v>55</v>
      </c>
      <c r="B609" s="2"/>
      <c r="C609" s="1">
        <v>2007</v>
      </c>
      <c r="D609" s="1">
        <v>0.5</v>
      </c>
    </row>
    <row r="610" spans="1:4" x14ac:dyDescent="0.35">
      <c r="A610" s="1" t="s">
        <v>55</v>
      </c>
      <c r="B610" s="2"/>
      <c r="C610" s="1">
        <v>2008</v>
      </c>
      <c r="D610" s="1">
        <v>0.59</v>
      </c>
    </row>
    <row r="611" spans="1:4" x14ac:dyDescent="0.35">
      <c r="A611" s="1" t="s">
        <v>55</v>
      </c>
      <c r="B611" s="2"/>
      <c r="C611" s="1">
        <v>2009</v>
      </c>
      <c r="D611" s="1">
        <v>0.59</v>
      </c>
    </row>
    <row r="612" spans="1:4" x14ac:dyDescent="0.35">
      <c r="A612" s="1" t="s">
        <v>55</v>
      </c>
      <c r="B612" s="2"/>
      <c r="C612" s="1">
        <v>2010</v>
      </c>
      <c r="D612" s="1">
        <v>0.59</v>
      </c>
    </row>
    <row r="613" spans="1:4" x14ac:dyDescent="0.35">
      <c r="A613" s="1" t="s">
        <v>55</v>
      </c>
      <c r="B613" s="2"/>
      <c r="C613" s="1">
        <v>2011</v>
      </c>
      <c r="D613" s="1">
        <v>0.59</v>
      </c>
    </row>
    <row r="614" spans="1:4" x14ac:dyDescent="0.35">
      <c r="A614" s="1" t="s">
        <v>55</v>
      </c>
      <c r="B614" s="2"/>
      <c r="C614" s="1">
        <v>2012</v>
      </c>
      <c r="D614" s="1">
        <v>0.61</v>
      </c>
    </row>
    <row r="615" spans="1:4" x14ac:dyDescent="0.35">
      <c r="A615" s="1" t="s">
        <v>55</v>
      </c>
      <c r="B615" s="2"/>
      <c r="C615" s="1">
        <v>2013</v>
      </c>
      <c r="D615" s="1">
        <v>0.61</v>
      </c>
    </row>
    <row r="616" spans="1:4" x14ac:dyDescent="0.35">
      <c r="A616" s="1" t="s">
        <v>55</v>
      </c>
      <c r="B616" s="2"/>
      <c r="C616" s="1">
        <v>2014</v>
      </c>
      <c r="D616" s="1">
        <v>5.88</v>
      </c>
    </row>
    <row r="617" spans="1:4" x14ac:dyDescent="0.35">
      <c r="A617" s="1" t="s">
        <v>55</v>
      </c>
      <c r="B617" s="2"/>
      <c r="C617" s="1">
        <v>2015</v>
      </c>
      <c r="D617" s="1">
        <v>5.18</v>
      </c>
    </row>
    <row r="618" spans="1:4" x14ac:dyDescent="0.35">
      <c r="A618" s="1" t="s">
        <v>55</v>
      </c>
      <c r="B618" s="2"/>
      <c r="C618" s="1">
        <v>2016</v>
      </c>
      <c r="D618" s="1">
        <v>5.83</v>
      </c>
    </row>
    <row r="619" spans="1:4" x14ac:dyDescent="0.35">
      <c r="A619" s="1" t="s">
        <v>55</v>
      </c>
      <c r="B619" s="2"/>
      <c r="C619" s="1">
        <v>2017</v>
      </c>
      <c r="D619" s="1">
        <v>10.55</v>
      </c>
    </row>
    <row r="620" spans="1:4" x14ac:dyDescent="0.35">
      <c r="A620" s="1" t="s">
        <v>55</v>
      </c>
      <c r="B620" s="2"/>
      <c r="C620" s="1">
        <v>2018</v>
      </c>
      <c r="D620" s="1">
        <v>11.47</v>
      </c>
    </row>
    <row r="621" spans="1:4" x14ac:dyDescent="0.35">
      <c r="A621" s="1" t="s">
        <v>55</v>
      </c>
      <c r="B621" s="2"/>
      <c r="C621" s="1">
        <v>2019</v>
      </c>
      <c r="D621" s="1">
        <v>11.49</v>
      </c>
    </row>
    <row r="622" spans="1:4" x14ac:dyDescent="0.35">
      <c r="A622" s="1" t="s">
        <v>55</v>
      </c>
      <c r="B622" s="2"/>
      <c r="C622" s="1">
        <v>2020</v>
      </c>
      <c r="D622" s="1">
        <v>11.49</v>
      </c>
    </row>
    <row r="623" spans="1:4" x14ac:dyDescent="0.35">
      <c r="A623" s="1" t="s">
        <v>55</v>
      </c>
      <c r="B623" s="2"/>
      <c r="C623" s="1">
        <v>2021</v>
      </c>
      <c r="D623" s="1">
        <v>11.19</v>
      </c>
    </row>
    <row r="624" spans="1:4" x14ac:dyDescent="0.35">
      <c r="A624" s="1" t="s">
        <v>55</v>
      </c>
      <c r="B624" s="2"/>
      <c r="C624" s="1">
        <v>2022</v>
      </c>
      <c r="D624" s="1">
        <v>11.06</v>
      </c>
    </row>
    <row r="625" spans="1:4" x14ac:dyDescent="0.35">
      <c r="A625" s="1" t="s">
        <v>55</v>
      </c>
      <c r="B625" s="2"/>
      <c r="C625" s="1">
        <v>2023</v>
      </c>
      <c r="D625" s="1">
        <v>11.06</v>
      </c>
    </row>
    <row r="626" spans="1:4" x14ac:dyDescent="0.35">
      <c r="A626" s="1" t="s">
        <v>55</v>
      </c>
      <c r="B626" s="2"/>
      <c r="C626" s="1">
        <v>2024</v>
      </c>
      <c r="D626" s="1">
        <v>11.06</v>
      </c>
    </row>
    <row r="627" spans="1:4" x14ac:dyDescent="0.35">
      <c r="A627" s="1" t="s">
        <v>55</v>
      </c>
      <c r="B627" s="2" t="s">
        <v>136</v>
      </c>
      <c r="C627" s="1">
        <v>2000</v>
      </c>
      <c r="D627" s="1" t="s">
        <v>137</v>
      </c>
    </row>
    <row r="628" spans="1:4" x14ac:dyDescent="0.35">
      <c r="A628" s="1" t="s">
        <v>55</v>
      </c>
      <c r="B628" s="2"/>
      <c r="C628" s="1">
        <v>2001</v>
      </c>
      <c r="D628" s="1" t="s">
        <v>137</v>
      </c>
    </row>
    <row r="629" spans="1:4" x14ac:dyDescent="0.35">
      <c r="A629" s="1" t="s">
        <v>55</v>
      </c>
      <c r="B629" s="2"/>
      <c r="C629" s="1">
        <v>2002</v>
      </c>
      <c r="D629" s="1" t="s">
        <v>137</v>
      </c>
    </row>
    <row r="630" spans="1:4" x14ac:dyDescent="0.35">
      <c r="A630" s="1" t="s">
        <v>55</v>
      </c>
      <c r="B630" s="2"/>
      <c r="C630" s="1">
        <v>2003</v>
      </c>
      <c r="D630" s="1" t="s">
        <v>137</v>
      </c>
    </row>
    <row r="631" spans="1:4" x14ac:dyDescent="0.35">
      <c r="A631" s="1" t="s">
        <v>55</v>
      </c>
      <c r="B631" s="2"/>
      <c r="C631" s="1">
        <v>2004</v>
      </c>
      <c r="D631" s="1" t="s">
        <v>137</v>
      </c>
    </row>
    <row r="632" spans="1:4" x14ac:dyDescent="0.35">
      <c r="A632" s="1" t="s">
        <v>55</v>
      </c>
      <c r="B632" s="2"/>
      <c r="C632" s="1">
        <v>2005</v>
      </c>
      <c r="D632" s="1" t="s">
        <v>137</v>
      </c>
    </row>
    <row r="633" spans="1:4" x14ac:dyDescent="0.35">
      <c r="A633" s="1" t="s">
        <v>55</v>
      </c>
      <c r="B633" s="2"/>
      <c r="C633" s="1">
        <v>2006</v>
      </c>
      <c r="D633" s="1" t="s">
        <v>137</v>
      </c>
    </row>
    <row r="634" spans="1:4" x14ac:dyDescent="0.35">
      <c r="A634" s="1" t="s">
        <v>55</v>
      </c>
      <c r="B634" s="2"/>
      <c r="C634" s="1">
        <v>2007</v>
      </c>
      <c r="D634" s="1">
        <v>7.0000000000000007E-2</v>
      </c>
    </row>
    <row r="635" spans="1:4" x14ac:dyDescent="0.35">
      <c r="A635" s="1" t="s">
        <v>55</v>
      </c>
      <c r="B635" s="2"/>
      <c r="C635" s="1">
        <v>2008</v>
      </c>
      <c r="D635" s="1">
        <v>0.67</v>
      </c>
    </row>
    <row r="636" spans="1:4" x14ac:dyDescent="0.35">
      <c r="A636" s="1" t="s">
        <v>55</v>
      </c>
      <c r="B636" s="2"/>
      <c r="C636" s="1">
        <v>2009</v>
      </c>
      <c r="D636" s="1">
        <v>0.66</v>
      </c>
    </row>
    <row r="637" spans="1:4" x14ac:dyDescent="0.35">
      <c r="A637" s="1" t="s">
        <v>55</v>
      </c>
      <c r="B637" s="2"/>
      <c r="C637" s="1">
        <v>2010</v>
      </c>
      <c r="D637" s="1">
        <v>0.63</v>
      </c>
    </row>
    <row r="638" spans="1:4" x14ac:dyDescent="0.35">
      <c r="A638" s="1" t="s">
        <v>55</v>
      </c>
      <c r="B638" s="2"/>
      <c r="C638" s="1">
        <v>2011</v>
      </c>
      <c r="D638" s="1">
        <v>0.62</v>
      </c>
    </row>
    <row r="639" spans="1:4" x14ac:dyDescent="0.35">
      <c r="A639" s="1" t="s">
        <v>55</v>
      </c>
      <c r="B639" s="2"/>
      <c r="C639" s="1">
        <v>2012</v>
      </c>
      <c r="D639" s="1">
        <v>0.64</v>
      </c>
    </row>
    <row r="640" spans="1:4" x14ac:dyDescent="0.35">
      <c r="A640" s="1" t="s">
        <v>55</v>
      </c>
      <c r="B640" s="2"/>
      <c r="C640" s="1">
        <v>2013</v>
      </c>
      <c r="D640" s="1">
        <v>0.75</v>
      </c>
    </row>
    <row r="641" spans="1:4" x14ac:dyDescent="0.35">
      <c r="A641" s="1" t="s">
        <v>55</v>
      </c>
      <c r="B641" s="2"/>
      <c r="C641" s="1">
        <v>2014</v>
      </c>
      <c r="D641" s="1">
        <v>5.89</v>
      </c>
    </row>
    <row r="642" spans="1:4" x14ac:dyDescent="0.35">
      <c r="A642" s="1" t="s">
        <v>55</v>
      </c>
      <c r="B642" s="2"/>
      <c r="C642" s="1">
        <v>2015</v>
      </c>
      <c r="D642" s="1">
        <v>6.06</v>
      </c>
    </row>
    <row r="643" spans="1:4" x14ac:dyDescent="0.35">
      <c r="A643" s="1" t="s">
        <v>55</v>
      </c>
      <c r="B643" s="2"/>
      <c r="C643" s="1">
        <v>2016</v>
      </c>
      <c r="D643" s="1">
        <v>6.68</v>
      </c>
    </row>
    <row r="644" spans="1:4" x14ac:dyDescent="0.35">
      <c r="A644" s="1" t="s">
        <v>55</v>
      </c>
      <c r="B644" s="2"/>
      <c r="C644" s="1">
        <v>2017</v>
      </c>
      <c r="D644" s="1">
        <v>12.4</v>
      </c>
    </row>
    <row r="645" spans="1:4" x14ac:dyDescent="0.35">
      <c r="A645" s="1" t="s">
        <v>55</v>
      </c>
      <c r="B645" s="2"/>
      <c r="C645" s="1">
        <v>2018</v>
      </c>
      <c r="D645" s="1">
        <v>13.02</v>
      </c>
    </row>
    <row r="646" spans="1:4" x14ac:dyDescent="0.35">
      <c r="A646" s="1" t="s">
        <v>55</v>
      </c>
      <c r="B646" s="2"/>
      <c r="C646" s="1">
        <v>2019</v>
      </c>
      <c r="D646" s="1">
        <v>12.71</v>
      </c>
    </row>
    <row r="647" spans="1:4" x14ac:dyDescent="0.35">
      <c r="A647" s="1" t="s">
        <v>55</v>
      </c>
      <c r="B647" s="2"/>
      <c r="C647" s="1">
        <v>2020</v>
      </c>
      <c r="D647" s="1">
        <v>12.37</v>
      </c>
    </row>
    <row r="648" spans="1:4" x14ac:dyDescent="0.35">
      <c r="A648" s="1" t="s">
        <v>55</v>
      </c>
      <c r="B648" s="2"/>
      <c r="C648" s="1">
        <v>2021</v>
      </c>
      <c r="D648" s="1">
        <v>11.75</v>
      </c>
    </row>
    <row r="649" spans="1:4" x14ac:dyDescent="0.35">
      <c r="A649" s="1" t="s">
        <v>55</v>
      </c>
      <c r="B649" s="2"/>
      <c r="C649" s="1">
        <v>2022</v>
      </c>
      <c r="D649" s="1">
        <v>11.16</v>
      </c>
    </row>
    <row r="650" spans="1:4" x14ac:dyDescent="0.35">
      <c r="A650" s="1" t="s">
        <v>55</v>
      </c>
      <c r="B650" s="2"/>
      <c r="C650" s="1">
        <v>2023</v>
      </c>
      <c r="D650" s="1">
        <v>11.16</v>
      </c>
    </row>
    <row r="651" spans="1:4" x14ac:dyDescent="0.35">
      <c r="A651" s="1" t="s">
        <v>55</v>
      </c>
      <c r="B651" s="2"/>
      <c r="C651" s="1">
        <v>2024</v>
      </c>
      <c r="D651" s="1" t="s">
        <v>137</v>
      </c>
    </row>
    <row r="652" spans="1:4" x14ac:dyDescent="0.35">
      <c r="A652" s="1" t="s">
        <v>109</v>
      </c>
      <c r="B652" s="2" t="s">
        <v>134</v>
      </c>
      <c r="C652" s="1">
        <v>2000</v>
      </c>
      <c r="D652" s="1">
        <v>91.3</v>
      </c>
    </row>
    <row r="653" spans="1:4" x14ac:dyDescent="0.35">
      <c r="A653" s="1" t="s">
        <v>109</v>
      </c>
      <c r="B653" s="2"/>
      <c r="C653" s="1">
        <v>2001</v>
      </c>
      <c r="D653" s="1">
        <v>91.3</v>
      </c>
    </row>
    <row r="654" spans="1:4" x14ac:dyDescent="0.35">
      <c r="A654" s="1" t="s">
        <v>109</v>
      </c>
      <c r="B654" s="2"/>
      <c r="C654" s="1">
        <v>2002</v>
      </c>
      <c r="D654" s="1">
        <v>91.3</v>
      </c>
    </row>
    <row r="655" spans="1:4" x14ac:dyDescent="0.35">
      <c r="A655" s="1" t="s">
        <v>109</v>
      </c>
      <c r="B655" s="2"/>
      <c r="C655" s="1">
        <v>2003</v>
      </c>
      <c r="D655" s="1">
        <v>91.3</v>
      </c>
    </row>
    <row r="656" spans="1:4" x14ac:dyDescent="0.35">
      <c r="A656" s="1" t="s">
        <v>109</v>
      </c>
      <c r="B656" s="2"/>
      <c r="C656" s="1">
        <v>2004</v>
      </c>
      <c r="D656" s="1">
        <v>91.3</v>
      </c>
    </row>
    <row r="657" spans="1:4" x14ac:dyDescent="0.35">
      <c r="A657" s="1" t="s">
        <v>109</v>
      </c>
      <c r="B657" s="2"/>
      <c r="C657" s="1">
        <v>2005</v>
      </c>
      <c r="D657" s="1">
        <v>91.3</v>
      </c>
    </row>
    <row r="658" spans="1:4" x14ac:dyDescent="0.35">
      <c r="A658" s="1" t="s">
        <v>109</v>
      </c>
      <c r="B658" s="2"/>
      <c r="C658" s="1">
        <v>2006</v>
      </c>
      <c r="D658" s="1">
        <v>91.3</v>
      </c>
    </row>
    <row r="659" spans="1:4" x14ac:dyDescent="0.35">
      <c r="A659" s="1" t="s">
        <v>109</v>
      </c>
      <c r="B659" s="2"/>
      <c r="C659" s="1">
        <v>2007</v>
      </c>
      <c r="D659" s="1">
        <v>91.3</v>
      </c>
    </row>
    <row r="660" spans="1:4" x14ac:dyDescent="0.35">
      <c r="A660" s="1" t="s">
        <v>109</v>
      </c>
      <c r="B660" s="2"/>
      <c r="C660" s="1">
        <v>2008</v>
      </c>
      <c r="D660" s="1">
        <v>92.59</v>
      </c>
    </row>
    <row r="661" spans="1:4" x14ac:dyDescent="0.35">
      <c r="A661" s="1" t="s">
        <v>109</v>
      </c>
      <c r="B661" s="2"/>
      <c r="C661" s="1">
        <v>2009</v>
      </c>
      <c r="D661" s="1">
        <v>92.59</v>
      </c>
    </row>
    <row r="662" spans="1:4" x14ac:dyDescent="0.35">
      <c r="A662" s="1" t="s">
        <v>109</v>
      </c>
      <c r="B662" s="2"/>
      <c r="C662" s="1">
        <v>2010</v>
      </c>
      <c r="D662" s="1">
        <v>92.59</v>
      </c>
    </row>
    <row r="663" spans="1:4" x14ac:dyDescent="0.35">
      <c r="A663" s="1" t="s">
        <v>109</v>
      </c>
      <c r="B663" s="2"/>
      <c r="C663" s="1">
        <v>2011</v>
      </c>
      <c r="D663" s="1">
        <v>94.93</v>
      </c>
    </row>
    <row r="664" spans="1:4" x14ac:dyDescent="0.35">
      <c r="A664" s="1" t="s">
        <v>109</v>
      </c>
      <c r="B664" s="2"/>
      <c r="C664" s="1">
        <v>2012</v>
      </c>
      <c r="D664" s="1">
        <v>94.93</v>
      </c>
    </row>
    <row r="665" spans="1:4" x14ac:dyDescent="0.35">
      <c r="A665" s="1" t="s">
        <v>109</v>
      </c>
      <c r="B665" s="2"/>
      <c r="C665" s="1">
        <v>2013</v>
      </c>
      <c r="D665" s="1">
        <v>94.93</v>
      </c>
    </row>
    <row r="666" spans="1:4" x14ac:dyDescent="0.35">
      <c r="A666" s="1" t="s">
        <v>109</v>
      </c>
      <c r="B666" s="2"/>
      <c r="C666" s="1">
        <v>2014</v>
      </c>
      <c r="D666" s="1">
        <v>94.44</v>
      </c>
    </row>
    <row r="667" spans="1:4" x14ac:dyDescent="0.35">
      <c r="A667" s="1" t="s">
        <v>109</v>
      </c>
      <c r="B667" s="2"/>
      <c r="C667" s="1">
        <v>2015</v>
      </c>
      <c r="D667" s="1">
        <v>94.44</v>
      </c>
    </row>
    <row r="668" spans="1:4" x14ac:dyDescent="0.35">
      <c r="A668" s="1" t="s">
        <v>109</v>
      </c>
      <c r="B668" s="2"/>
      <c r="C668" s="1">
        <v>2016</v>
      </c>
      <c r="D668" s="1">
        <v>94.45</v>
      </c>
    </row>
    <row r="669" spans="1:4" x14ac:dyDescent="0.35">
      <c r="A669" s="1" t="s">
        <v>109</v>
      </c>
      <c r="B669" s="2"/>
      <c r="C669" s="1">
        <v>2017</v>
      </c>
      <c r="D669" s="1">
        <v>94.45</v>
      </c>
    </row>
    <row r="670" spans="1:4" x14ac:dyDescent="0.35">
      <c r="A670" s="1" t="s">
        <v>109</v>
      </c>
      <c r="B670" s="2"/>
      <c r="C670" s="1">
        <v>2018</v>
      </c>
      <c r="D670" s="1">
        <v>94.45</v>
      </c>
    </row>
    <row r="671" spans="1:4" x14ac:dyDescent="0.35">
      <c r="A671" s="1" t="s">
        <v>109</v>
      </c>
      <c r="B671" s="2"/>
      <c r="C671" s="1">
        <v>2019</v>
      </c>
      <c r="D671" s="1">
        <v>94.45</v>
      </c>
    </row>
    <row r="672" spans="1:4" x14ac:dyDescent="0.35">
      <c r="A672" s="1" t="s">
        <v>109</v>
      </c>
      <c r="B672" s="2"/>
      <c r="C672" s="1">
        <v>2020</v>
      </c>
      <c r="D672" s="1">
        <v>94.45</v>
      </c>
    </row>
    <row r="673" spans="1:4" x14ac:dyDescent="0.35">
      <c r="A673" s="1" t="s">
        <v>109</v>
      </c>
      <c r="B673" s="2"/>
      <c r="C673" s="1">
        <v>2021</v>
      </c>
      <c r="D673" s="1">
        <v>94.74</v>
      </c>
    </row>
    <row r="674" spans="1:4" x14ac:dyDescent="0.35">
      <c r="A674" s="1" t="s">
        <v>109</v>
      </c>
      <c r="B674" s="2"/>
      <c r="C674" s="1">
        <v>2022</v>
      </c>
      <c r="D674" s="1">
        <v>94.74</v>
      </c>
    </row>
    <row r="675" spans="1:4" x14ac:dyDescent="0.35">
      <c r="A675" s="1" t="s">
        <v>109</v>
      </c>
      <c r="B675" s="2"/>
      <c r="C675" s="1">
        <v>2023</v>
      </c>
      <c r="D675" s="1">
        <v>95.23</v>
      </c>
    </row>
    <row r="676" spans="1:4" x14ac:dyDescent="0.35">
      <c r="A676" s="1" t="s">
        <v>109</v>
      </c>
      <c r="B676" s="2"/>
      <c r="C676" s="1">
        <v>2024</v>
      </c>
      <c r="D676" s="1">
        <v>95.23</v>
      </c>
    </row>
    <row r="677" spans="1:4" x14ac:dyDescent="0.35">
      <c r="A677" s="1" t="s">
        <v>109</v>
      </c>
      <c r="B677" s="2" t="s">
        <v>136</v>
      </c>
      <c r="C677" s="1">
        <v>2000</v>
      </c>
      <c r="D677" s="1">
        <v>97.72</v>
      </c>
    </row>
    <row r="678" spans="1:4" x14ac:dyDescent="0.35">
      <c r="A678" s="1" t="s">
        <v>109</v>
      </c>
      <c r="B678" s="2"/>
      <c r="C678" s="1">
        <v>2001</v>
      </c>
      <c r="D678" s="1">
        <v>97.85</v>
      </c>
    </row>
    <row r="679" spans="1:4" x14ac:dyDescent="0.35">
      <c r="A679" s="1" t="s">
        <v>109</v>
      </c>
      <c r="B679" s="2"/>
      <c r="C679" s="1">
        <v>2002</v>
      </c>
      <c r="D679" s="1">
        <v>97.91</v>
      </c>
    </row>
    <row r="680" spans="1:4" x14ac:dyDescent="0.35">
      <c r="A680" s="1" t="s">
        <v>109</v>
      </c>
      <c r="B680" s="2"/>
      <c r="C680" s="1">
        <v>2003</v>
      </c>
      <c r="D680" s="1">
        <v>97.99</v>
      </c>
    </row>
    <row r="681" spans="1:4" x14ac:dyDescent="0.35">
      <c r="A681" s="1" t="s">
        <v>109</v>
      </c>
      <c r="B681" s="2"/>
      <c r="C681" s="1">
        <v>2004</v>
      </c>
      <c r="D681" s="1">
        <v>98.05</v>
      </c>
    </row>
    <row r="682" spans="1:4" x14ac:dyDescent="0.35">
      <c r="A682" s="1" t="s">
        <v>109</v>
      </c>
      <c r="B682" s="2"/>
      <c r="C682" s="1">
        <v>2005</v>
      </c>
      <c r="D682" s="1">
        <v>97.99</v>
      </c>
    </row>
    <row r="683" spans="1:4" x14ac:dyDescent="0.35">
      <c r="A683" s="1" t="s">
        <v>109</v>
      </c>
      <c r="B683" s="2"/>
      <c r="C683" s="1">
        <v>2006</v>
      </c>
      <c r="D683" s="1">
        <v>98.13</v>
      </c>
    </row>
    <row r="684" spans="1:4" x14ac:dyDescent="0.35">
      <c r="A684" s="1" t="s">
        <v>109</v>
      </c>
      <c r="B684" s="2"/>
      <c r="C684" s="1">
        <v>2007</v>
      </c>
      <c r="D684" s="1">
        <v>98.27</v>
      </c>
    </row>
    <row r="685" spans="1:4" x14ac:dyDescent="0.35">
      <c r="A685" s="1" t="s">
        <v>109</v>
      </c>
      <c r="B685" s="2"/>
      <c r="C685" s="1">
        <v>2008</v>
      </c>
      <c r="D685" s="1">
        <v>98.19</v>
      </c>
    </row>
    <row r="686" spans="1:4" x14ac:dyDescent="0.35">
      <c r="A686" s="1" t="s">
        <v>109</v>
      </c>
      <c r="B686" s="2"/>
      <c r="C686" s="1">
        <v>2009</v>
      </c>
      <c r="D686" s="1">
        <v>98.38</v>
      </c>
    </row>
    <row r="687" spans="1:4" x14ac:dyDescent="0.35">
      <c r="A687" s="1" t="s">
        <v>109</v>
      </c>
      <c r="B687" s="2"/>
      <c r="C687" s="1">
        <v>2010</v>
      </c>
      <c r="D687" s="1">
        <v>98.45</v>
      </c>
    </row>
    <row r="688" spans="1:4" x14ac:dyDescent="0.35">
      <c r="A688" s="1" t="s">
        <v>109</v>
      </c>
      <c r="B688" s="2"/>
      <c r="C688" s="1">
        <v>2011</v>
      </c>
      <c r="D688" s="1">
        <v>98.6</v>
      </c>
    </row>
    <row r="689" spans="1:4" x14ac:dyDescent="0.35">
      <c r="A689" s="1" t="s">
        <v>109</v>
      </c>
      <c r="B689" s="2"/>
      <c r="C689" s="1">
        <v>2012</v>
      </c>
      <c r="D689" s="1">
        <v>98.6</v>
      </c>
    </row>
    <row r="690" spans="1:4" x14ac:dyDescent="0.35">
      <c r="A690" s="1" t="s">
        <v>109</v>
      </c>
      <c r="B690" s="2"/>
      <c r="C690" s="1">
        <v>2013</v>
      </c>
      <c r="D690" s="1">
        <v>98.48</v>
      </c>
    </row>
    <row r="691" spans="1:4" x14ac:dyDescent="0.35">
      <c r="A691" s="1" t="s">
        <v>109</v>
      </c>
      <c r="B691" s="2"/>
      <c r="C691" s="1">
        <v>2014</v>
      </c>
      <c r="D691" s="1">
        <v>98.6</v>
      </c>
    </row>
    <row r="692" spans="1:4" x14ac:dyDescent="0.35">
      <c r="A692" s="1" t="s">
        <v>109</v>
      </c>
      <c r="B692" s="2"/>
      <c r="C692" s="1">
        <v>2015</v>
      </c>
      <c r="D692" s="1">
        <v>98.49</v>
      </c>
    </row>
    <row r="693" spans="1:4" x14ac:dyDescent="0.35">
      <c r="A693" s="1" t="s">
        <v>109</v>
      </c>
      <c r="B693" s="2"/>
      <c r="C693" s="1">
        <v>2016</v>
      </c>
      <c r="D693" s="1">
        <v>98.09</v>
      </c>
    </row>
    <row r="694" spans="1:4" x14ac:dyDescent="0.35">
      <c r="A694" s="1" t="s">
        <v>109</v>
      </c>
      <c r="B694" s="2"/>
      <c r="C694" s="1">
        <v>2017</v>
      </c>
      <c r="D694" s="1">
        <v>97.9</v>
      </c>
    </row>
    <row r="695" spans="1:4" x14ac:dyDescent="0.35">
      <c r="A695" s="1" t="s">
        <v>109</v>
      </c>
      <c r="B695" s="2"/>
      <c r="C695" s="1">
        <v>2018</v>
      </c>
      <c r="D695" s="1">
        <v>98.3</v>
      </c>
    </row>
    <row r="696" spans="1:4" x14ac:dyDescent="0.35">
      <c r="A696" s="1" t="s">
        <v>109</v>
      </c>
      <c r="B696" s="2"/>
      <c r="C696" s="1">
        <v>2019</v>
      </c>
      <c r="D696" s="1">
        <v>98.45</v>
      </c>
    </row>
    <row r="697" spans="1:4" x14ac:dyDescent="0.35">
      <c r="A697" s="1" t="s">
        <v>109</v>
      </c>
      <c r="B697" s="2"/>
      <c r="C697" s="1">
        <v>2020</v>
      </c>
      <c r="D697" s="1">
        <v>98.48</v>
      </c>
    </row>
    <row r="698" spans="1:4" x14ac:dyDescent="0.35">
      <c r="A698" s="1" t="s">
        <v>109</v>
      </c>
      <c r="B698" s="2"/>
      <c r="C698" s="1">
        <v>2021</v>
      </c>
      <c r="D698" s="1">
        <v>98.6</v>
      </c>
    </row>
    <row r="699" spans="1:4" x14ac:dyDescent="0.35">
      <c r="A699" s="1" t="s">
        <v>109</v>
      </c>
      <c r="B699" s="2"/>
      <c r="C699" s="1">
        <v>2022</v>
      </c>
      <c r="D699" s="1">
        <v>98.71</v>
      </c>
    </row>
    <row r="700" spans="1:4" x14ac:dyDescent="0.35">
      <c r="A700" s="1" t="s">
        <v>109</v>
      </c>
      <c r="B700" s="2"/>
      <c r="C700" s="1">
        <v>2023</v>
      </c>
      <c r="D700" s="1">
        <v>98.99</v>
      </c>
    </row>
    <row r="701" spans="1:4" x14ac:dyDescent="0.35">
      <c r="A701" s="1" t="s">
        <v>109</v>
      </c>
      <c r="B701" s="2"/>
      <c r="C701" s="1">
        <v>2024</v>
      </c>
      <c r="D701" s="1" t="s">
        <v>137</v>
      </c>
    </row>
    <row r="702" spans="1:4" x14ac:dyDescent="0.35">
      <c r="A702" s="1" t="s">
        <v>57</v>
      </c>
      <c r="B702" s="2" t="s">
        <v>134</v>
      </c>
      <c r="C702" s="1">
        <v>2000</v>
      </c>
      <c r="D702" s="1">
        <v>71.62</v>
      </c>
    </row>
    <row r="703" spans="1:4" x14ac:dyDescent="0.35">
      <c r="A703" s="1" t="s">
        <v>57</v>
      </c>
      <c r="B703" s="2"/>
      <c r="C703" s="1">
        <v>2001</v>
      </c>
      <c r="D703" s="1">
        <v>69.5</v>
      </c>
    </row>
    <row r="704" spans="1:4" x14ac:dyDescent="0.35">
      <c r="A704" s="1" t="s">
        <v>57</v>
      </c>
      <c r="B704" s="2"/>
      <c r="C704" s="1">
        <v>2002</v>
      </c>
      <c r="D704" s="1">
        <v>70.98</v>
      </c>
    </row>
    <row r="705" spans="1:4" x14ac:dyDescent="0.35">
      <c r="A705" s="1" t="s">
        <v>57</v>
      </c>
      <c r="B705" s="2"/>
      <c r="C705" s="1">
        <v>2003</v>
      </c>
      <c r="D705" s="1">
        <v>78.88</v>
      </c>
    </row>
    <row r="706" spans="1:4" x14ac:dyDescent="0.35">
      <c r="A706" s="1" t="s">
        <v>57</v>
      </c>
      <c r="B706" s="2"/>
      <c r="C706" s="1">
        <v>2004</v>
      </c>
      <c r="D706" s="1">
        <v>78.61</v>
      </c>
    </row>
    <row r="707" spans="1:4" x14ac:dyDescent="0.35">
      <c r="A707" s="1" t="s">
        <v>57</v>
      </c>
      <c r="B707" s="2"/>
      <c r="C707" s="1">
        <v>2005</v>
      </c>
      <c r="D707" s="1">
        <v>78.599999999999994</v>
      </c>
    </row>
    <row r="708" spans="1:4" x14ac:dyDescent="0.35">
      <c r="A708" s="1" t="s">
        <v>57</v>
      </c>
      <c r="B708" s="2"/>
      <c r="C708" s="1">
        <v>2006</v>
      </c>
      <c r="D708" s="1">
        <v>78.55</v>
      </c>
    </row>
    <row r="709" spans="1:4" x14ac:dyDescent="0.35">
      <c r="A709" s="1" t="s">
        <v>57</v>
      </c>
      <c r="B709" s="2"/>
      <c r="C709" s="1">
        <v>2007</v>
      </c>
      <c r="D709" s="1">
        <v>82.44</v>
      </c>
    </row>
    <row r="710" spans="1:4" x14ac:dyDescent="0.35">
      <c r="A710" s="1" t="s">
        <v>57</v>
      </c>
      <c r="B710" s="2"/>
      <c r="C710" s="1">
        <v>2008</v>
      </c>
      <c r="D710" s="1">
        <v>78.08</v>
      </c>
    </row>
    <row r="711" spans="1:4" x14ac:dyDescent="0.35">
      <c r="A711" s="1" t="s">
        <v>57</v>
      </c>
      <c r="B711" s="2"/>
      <c r="C711" s="1">
        <v>2009</v>
      </c>
      <c r="D711" s="1">
        <v>88.45</v>
      </c>
    </row>
    <row r="712" spans="1:4" x14ac:dyDescent="0.35">
      <c r="A712" s="1" t="s">
        <v>57</v>
      </c>
      <c r="B712" s="2"/>
      <c r="C712" s="1">
        <v>2010</v>
      </c>
      <c r="D712" s="1">
        <v>93.65</v>
      </c>
    </row>
    <row r="713" spans="1:4" x14ac:dyDescent="0.35">
      <c r="A713" s="1" t="s">
        <v>57</v>
      </c>
      <c r="B713" s="2"/>
      <c r="C713" s="1">
        <v>2011</v>
      </c>
      <c r="D713" s="1">
        <v>91.67</v>
      </c>
    </row>
    <row r="714" spans="1:4" x14ac:dyDescent="0.35">
      <c r="A714" s="1" t="s">
        <v>57</v>
      </c>
      <c r="B714" s="2"/>
      <c r="C714" s="1">
        <v>2012</v>
      </c>
      <c r="D714" s="1">
        <v>91.67</v>
      </c>
    </row>
    <row r="715" spans="1:4" x14ac:dyDescent="0.35">
      <c r="A715" s="1" t="s">
        <v>57</v>
      </c>
      <c r="B715" s="2"/>
      <c r="C715" s="1">
        <v>2013</v>
      </c>
      <c r="D715" s="1">
        <v>92.13</v>
      </c>
    </row>
    <row r="716" spans="1:4" x14ac:dyDescent="0.35">
      <c r="A716" s="1" t="s">
        <v>57</v>
      </c>
      <c r="B716" s="2"/>
      <c r="C716" s="1">
        <v>2014</v>
      </c>
      <c r="D716" s="1">
        <v>92.15</v>
      </c>
    </row>
    <row r="717" spans="1:4" x14ac:dyDescent="0.35">
      <c r="A717" s="1" t="s">
        <v>57</v>
      </c>
      <c r="B717" s="2"/>
      <c r="C717" s="1">
        <v>2015</v>
      </c>
      <c r="D717" s="1">
        <v>94.82</v>
      </c>
    </row>
    <row r="718" spans="1:4" x14ac:dyDescent="0.35">
      <c r="A718" s="1" t="s">
        <v>57</v>
      </c>
      <c r="B718" s="2"/>
      <c r="C718" s="1">
        <v>2016</v>
      </c>
      <c r="D718" s="1">
        <v>96.39</v>
      </c>
    </row>
    <row r="719" spans="1:4" x14ac:dyDescent="0.35">
      <c r="A719" s="1" t="s">
        <v>57</v>
      </c>
      <c r="B719" s="2"/>
      <c r="C719" s="1">
        <v>2017</v>
      </c>
      <c r="D719" s="1">
        <v>97.78</v>
      </c>
    </row>
    <row r="720" spans="1:4" x14ac:dyDescent="0.35">
      <c r="A720" s="1" t="s">
        <v>57</v>
      </c>
      <c r="B720" s="2"/>
      <c r="C720" s="1">
        <v>2018</v>
      </c>
      <c r="D720" s="1">
        <v>98.08</v>
      </c>
    </row>
    <row r="721" spans="1:4" x14ac:dyDescent="0.35">
      <c r="A721" s="1" t="s">
        <v>57</v>
      </c>
      <c r="B721" s="2"/>
      <c r="C721" s="1">
        <v>2019</v>
      </c>
      <c r="D721" s="1">
        <v>97.72</v>
      </c>
    </row>
    <row r="722" spans="1:4" x14ac:dyDescent="0.35">
      <c r="A722" s="1" t="s">
        <v>57</v>
      </c>
      <c r="B722" s="2"/>
      <c r="C722" s="1">
        <v>2020</v>
      </c>
      <c r="D722" s="1">
        <v>97.84</v>
      </c>
    </row>
    <row r="723" spans="1:4" x14ac:dyDescent="0.35">
      <c r="A723" s="1" t="s">
        <v>57</v>
      </c>
      <c r="B723" s="2"/>
      <c r="C723" s="1">
        <v>2021</v>
      </c>
      <c r="D723" s="1">
        <v>97.86</v>
      </c>
    </row>
    <row r="724" spans="1:4" x14ac:dyDescent="0.35">
      <c r="A724" s="1" t="s">
        <v>57</v>
      </c>
      <c r="B724" s="2"/>
      <c r="C724" s="1">
        <v>2022</v>
      </c>
      <c r="D724" s="1">
        <v>98.17</v>
      </c>
    </row>
    <row r="725" spans="1:4" x14ac:dyDescent="0.35">
      <c r="A725" s="1" t="s">
        <v>57</v>
      </c>
      <c r="B725" s="2"/>
      <c r="C725" s="1">
        <v>2023</v>
      </c>
      <c r="D725" s="1">
        <v>98.25</v>
      </c>
    </row>
    <row r="726" spans="1:4" x14ac:dyDescent="0.35">
      <c r="A726" s="1" t="s">
        <v>57</v>
      </c>
      <c r="B726" s="2"/>
      <c r="C726" s="1">
        <v>2024</v>
      </c>
      <c r="D726" s="1">
        <v>98.37</v>
      </c>
    </row>
    <row r="727" spans="1:4" x14ac:dyDescent="0.35">
      <c r="A727" s="1" t="s">
        <v>57</v>
      </c>
      <c r="B727" s="2" t="s">
        <v>136</v>
      </c>
      <c r="C727" s="1">
        <v>2000</v>
      </c>
      <c r="D727" s="1">
        <v>98.68</v>
      </c>
    </row>
    <row r="728" spans="1:4" x14ac:dyDescent="0.35">
      <c r="A728" s="1" t="s">
        <v>57</v>
      </c>
      <c r="B728" s="2"/>
      <c r="C728" s="1">
        <v>2001</v>
      </c>
      <c r="D728" s="1">
        <v>99.18</v>
      </c>
    </row>
    <row r="729" spans="1:4" x14ac:dyDescent="0.35">
      <c r="A729" s="1" t="s">
        <v>57</v>
      </c>
      <c r="B729" s="2"/>
      <c r="C729" s="1">
        <v>2002</v>
      </c>
      <c r="D729" s="1">
        <v>99.09</v>
      </c>
    </row>
    <row r="730" spans="1:4" x14ac:dyDescent="0.35">
      <c r="A730" s="1" t="s">
        <v>57</v>
      </c>
      <c r="B730" s="2"/>
      <c r="C730" s="1">
        <v>2003</v>
      </c>
      <c r="D730" s="1">
        <v>99.32</v>
      </c>
    </row>
    <row r="731" spans="1:4" x14ac:dyDescent="0.35">
      <c r="A731" s="1" t="s">
        <v>57</v>
      </c>
      <c r="B731" s="2"/>
      <c r="C731" s="1">
        <v>2004</v>
      </c>
      <c r="D731" s="1">
        <v>99.31</v>
      </c>
    </row>
    <row r="732" spans="1:4" x14ac:dyDescent="0.35">
      <c r="A732" s="1" t="s">
        <v>57</v>
      </c>
      <c r="B732" s="2"/>
      <c r="C732" s="1">
        <v>2005</v>
      </c>
      <c r="D732" s="1">
        <v>99.59</v>
      </c>
    </row>
    <row r="733" spans="1:4" x14ac:dyDescent="0.35">
      <c r="A733" s="1" t="s">
        <v>57</v>
      </c>
      <c r="B733" s="2"/>
      <c r="C733" s="1">
        <v>2006</v>
      </c>
      <c r="D733" s="1">
        <v>99.7</v>
      </c>
    </row>
    <row r="734" spans="1:4" x14ac:dyDescent="0.35">
      <c r="A734" s="1" t="s">
        <v>57</v>
      </c>
      <c r="B734" s="2"/>
      <c r="C734" s="1">
        <v>2007</v>
      </c>
      <c r="D734" s="1">
        <v>95.49</v>
      </c>
    </row>
    <row r="735" spans="1:4" x14ac:dyDescent="0.35">
      <c r="A735" s="1" t="s">
        <v>57</v>
      </c>
      <c r="B735" s="2"/>
      <c r="C735" s="1">
        <v>2008</v>
      </c>
      <c r="D735" s="1">
        <v>87.64</v>
      </c>
    </row>
    <row r="736" spans="1:4" x14ac:dyDescent="0.35">
      <c r="A736" s="1" t="s">
        <v>57</v>
      </c>
      <c r="B736" s="2"/>
      <c r="C736" s="1">
        <v>2009</v>
      </c>
      <c r="D736" s="1">
        <v>88.9</v>
      </c>
    </row>
    <row r="737" spans="1:4" x14ac:dyDescent="0.35">
      <c r="A737" s="1" t="s">
        <v>57</v>
      </c>
      <c r="B737" s="2"/>
      <c r="C737" s="1">
        <v>2010</v>
      </c>
      <c r="D737" s="1">
        <v>99.38</v>
      </c>
    </row>
    <row r="738" spans="1:4" x14ac:dyDescent="0.35">
      <c r="A738" s="1" t="s">
        <v>57</v>
      </c>
      <c r="B738" s="2"/>
      <c r="C738" s="1">
        <v>2011</v>
      </c>
      <c r="D738" s="1">
        <v>99.42</v>
      </c>
    </row>
    <row r="739" spans="1:4" x14ac:dyDescent="0.35">
      <c r="A739" s="1" t="s">
        <v>57</v>
      </c>
      <c r="B739" s="2"/>
      <c r="C739" s="1">
        <v>2012</v>
      </c>
      <c r="D739" s="1">
        <v>99.84</v>
      </c>
    </row>
    <row r="740" spans="1:4" x14ac:dyDescent="0.35">
      <c r="A740" s="1" t="s">
        <v>57</v>
      </c>
      <c r="B740" s="2"/>
      <c r="C740" s="1">
        <v>2013</v>
      </c>
      <c r="D740" s="1">
        <v>99.91</v>
      </c>
    </row>
    <row r="741" spans="1:4" x14ac:dyDescent="0.35">
      <c r="A741" s="1" t="s">
        <v>57</v>
      </c>
      <c r="B741" s="2"/>
      <c r="C741" s="1">
        <v>2014</v>
      </c>
      <c r="D741" s="1">
        <v>99.96</v>
      </c>
    </row>
    <row r="742" spans="1:4" x14ac:dyDescent="0.35">
      <c r="A742" s="1" t="s">
        <v>57</v>
      </c>
      <c r="B742" s="2"/>
      <c r="C742" s="1">
        <v>2015</v>
      </c>
      <c r="D742" s="1">
        <v>99.97</v>
      </c>
    </row>
    <row r="743" spans="1:4" x14ac:dyDescent="0.35">
      <c r="A743" s="1" t="s">
        <v>57</v>
      </c>
      <c r="B743" s="2"/>
      <c r="C743" s="1">
        <v>2016</v>
      </c>
      <c r="D743" s="1">
        <v>99.99</v>
      </c>
    </row>
    <row r="744" spans="1:4" x14ac:dyDescent="0.35">
      <c r="A744" s="1" t="s">
        <v>57</v>
      </c>
      <c r="B744" s="2"/>
      <c r="C744" s="1">
        <v>2017</v>
      </c>
      <c r="D744" s="1">
        <v>99.99</v>
      </c>
    </row>
    <row r="745" spans="1:4" x14ac:dyDescent="0.35">
      <c r="A745" s="1" t="s">
        <v>57</v>
      </c>
      <c r="B745" s="2"/>
      <c r="C745" s="1">
        <v>2018</v>
      </c>
      <c r="D745" s="1">
        <v>100</v>
      </c>
    </row>
    <row r="746" spans="1:4" x14ac:dyDescent="0.35">
      <c r="A746" s="1" t="s">
        <v>57</v>
      </c>
      <c r="B746" s="2"/>
      <c r="C746" s="1">
        <v>2019</v>
      </c>
      <c r="D746" s="1">
        <v>100</v>
      </c>
    </row>
    <row r="747" spans="1:4" x14ac:dyDescent="0.35">
      <c r="A747" s="1" t="s">
        <v>57</v>
      </c>
      <c r="B747" s="2"/>
      <c r="C747" s="1">
        <v>2020</v>
      </c>
      <c r="D747" s="1">
        <v>100</v>
      </c>
    </row>
    <row r="748" spans="1:4" x14ac:dyDescent="0.35">
      <c r="A748" s="1" t="s">
        <v>57</v>
      </c>
      <c r="B748" s="2"/>
      <c r="C748" s="1">
        <v>2021</v>
      </c>
      <c r="D748" s="1">
        <v>100</v>
      </c>
    </row>
    <row r="749" spans="1:4" x14ac:dyDescent="0.35">
      <c r="A749" s="1" t="s">
        <v>57</v>
      </c>
      <c r="B749" s="2"/>
      <c r="C749" s="1">
        <v>2022</v>
      </c>
      <c r="D749" s="1">
        <v>100</v>
      </c>
    </row>
    <row r="750" spans="1:4" x14ac:dyDescent="0.35">
      <c r="A750" s="1" t="s">
        <v>57</v>
      </c>
      <c r="B750" s="2"/>
      <c r="C750" s="1">
        <v>2023</v>
      </c>
      <c r="D750" s="1">
        <v>100</v>
      </c>
    </row>
    <row r="751" spans="1:4" x14ac:dyDescent="0.35">
      <c r="A751" s="1" t="s">
        <v>57</v>
      </c>
      <c r="B751" s="2"/>
      <c r="C751" s="1">
        <v>2024</v>
      </c>
      <c r="D751" s="1" t="s">
        <v>137</v>
      </c>
    </row>
    <row r="752" spans="1:4" x14ac:dyDescent="0.35">
      <c r="A752" s="1" t="s">
        <v>59</v>
      </c>
      <c r="B752" s="2" t="s">
        <v>134</v>
      </c>
      <c r="C752" s="1">
        <v>2000</v>
      </c>
      <c r="D752" s="1">
        <v>49.72</v>
      </c>
    </row>
    <row r="753" spans="1:4" x14ac:dyDescent="0.35">
      <c r="A753" s="1" t="s">
        <v>59</v>
      </c>
      <c r="B753" s="2"/>
      <c r="C753" s="1">
        <v>2001</v>
      </c>
      <c r="D753" s="1">
        <v>49.72</v>
      </c>
    </row>
    <row r="754" spans="1:4" x14ac:dyDescent="0.35">
      <c r="A754" s="1" t="s">
        <v>59</v>
      </c>
      <c r="B754" s="2"/>
      <c r="C754" s="1">
        <v>2002</v>
      </c>
      <c r="D754" s="1">
        <v>49.94</v>
      </c>
    </row>
    <row r="755" spans="1:4" x14ac:dyDescent="0.35">
      <c r="A755" s="1" t="s">
        <v>59</v>
      </c>
      <c r="B755" s="2"/>
      <c r="C755" s="1">
        <v>2003</v>
      </c>
      <c r="D755" s="1">
        <v>49.36</v>
      </c>
    </row>
    <row r="756" spans="1:4" x14ac:dyDescent="0.35">
      <c r="A756" s="1" t="s">
        <v>59</v>
      </c>
      <c r="B756" s="2"/>
      <c r="C756" s="1">
        <v>2004</v>
      </c>
      <c r="D756" s="1">
        <v>49.36</v>
      </c>
    </row>
    <row r="757" spans="1:4" x14ac:dyDescent="0.35">
      <c r="A757" s="1" t="s">
        <v>59</v>
      </c>
      <c r="B757" s="2"/>
      <c r="C757" s="1">
        <v>2005</v>
      </c>
      <c r="D757" s="1">
        <v>49.5</v>
      </c>
    </row>
    <row r="758" spans="1:4" x14ac:dyDescent="0.35">
      <c r="A758" s="1" t="s">
        <v>59</v>
      </c>
      <c r="B758" s="2"/>
      <c r="C758" s="1">
        <v>2006</v>
      </c>
      <c r="D758" s="1">
        <v>49.22</v>
      </c>
    </row>
    <row r="759" spans="1:4" x14ac:dyDescent="0.35">
      <c r="A759" s="1" t="s">
        <v>59</v>
      </c>
      <c r="B759" s="2"/>
      <c r="C759" s="1">
        <v>2007</v>
      </c>
      <c r="D759" s="1">
        <v>44.82</v>
      </c>
    </row>
    <row r="760" spans="1:4" x14ac:dyDescent="0.35">
      <c r="A760" s="1" t="s">
        <v>59</v>
      </c>
      <c r="B760" s="2"/>
      <c r="C760" s="1">
        <v>2008</v>
      </c>
      <c r="D760" s="1">
        <v>45.54</v>
      </c>
    </row>
    <row r="761" spans="1:4" x14ac:dyDescent="0.35">
      <c r="A761" s="1" t="s">
        <v>59</v>
      </c>
      <c r="B761" s="2"/>
      <c r="C761" s="1">
        <v>2009</v>
      </c>
      <c r="D761" s="1">
        <v>45.66</v>
      </c>
    </row>
    <row r="762" spans="1:4" x14ac:dyDescent="0.35">
      <c r="A762" s="1" t="s">
        <v>59</v>
      </c>
      <c r="B762" s="2"/>
      <c r="C762" s="1">
        <v>2010</v>
      </c>
      <c r="D762" s="1">
        <v>43.02</v>
      </c>
    </row>
    <row r="763" spans="1:4" x14ac:dyDescent="0.35">
      <c r="A763" s="1" t="s">
        <v>59</v>
      </c>
      <c r="B763" s="2"/>
      <c r="C763" s="1">
        <v>2011</v>
      </c>
      <c r="D763" s="1">
        <v>42.69</v>
      </c>
    </row>
    <row r="764" spans="1:4" x14ac:dyDescent="0.35">
      <c r="A764" s="1" t="s">
        <v>59</v>
      </c>
      <c r="B764" s="2"/>
      <c r="C764" s="1">
        <v>2012</v>
      </c>
      <c r="D764" s="1">
        <v>37.86</v>
      </c>
    </row>
    <row r="765" spans="1:4" x14ac:dyDescent="0.35">
      <c r="A765" s="1" t="s">
        <v>59</v>
      </c>
      <c r="B765" s="2"/>
      <c r="C765" s="1">
        <v>2013</v>
      </c>
      <c r="D765" s="1">
        <v>38.46</v>
      </c>
    </row>
    <row r="766" spans="1:4" x14ac:dyDescent="0.35">
      <c r="A766" s="1" t="s">
        <v>59</v>
      </c>
      <c r="B766" s="2"/>
      <c r="C766" s="1">
        <v>2014</v>
      </c>
      <c r="D766" s="1">
        <v>38.9</v>
      </c>
    </row>
    <row r="767" spans="1:4" x14ac:dyDescent="0.35">
      <c r="A767" s="1" t="s">
        <v>59</v>
      </c>
      <c r="B767" s="2"/>
      <c r="C767" s="1">
        <v>2015</v>
      </c>
      <c r="D767" s="1">
        <v>38.93</v>
      </c>
    </row>
    <row r="768" spans="1:4" x14ac:dyDescent="0.35">
      <c r="A768" s="1" t="s">
        <v>59</v>
      </c>
      <c r="B768" s="2"/>
      <c r="C768" s="1">
        <v>2016</v>
      </c>
      <c r="D768" s="1">
        <v>36.75</v>
      </c>
    </row>
    <row r="769" spans="1:4" x14ac:dyDescent="0.35">
      <c r="A769" s="1" t="s">
        <v>59</v>
      </c>
      <c r="B769" s="2"/>
      <c r="C769" s="1">
        <v>2017</v>
      </c>
      <c r="D769" s="1">
        <v>37.43</v>
      </c>
    </row>
    <row r="770" spans="1:4" x14ac:dyDescent="0.35">
      <c r="A770" s="1" t="s">
        <v>59</v>
      </c>
      <c r="B770" s="2"/>
      <c r="C770" s="1">
        <v>2018</v>
      </c>
      <c r="D770" s="1">
        <v>38.29</v>
      </c>
    </row>
    <row r="771" spans="1:4" x14ac:dyDescent="0.35">
      <c r="A771" s="1" t="s">
        <v>59</v>
      </c>
      <c r="B771" s="2"/>
      <c r="C771" s="1">
        <v>2019</v>
      </c>
      <c r="D771" s="1">
        <v>45.65</v>
      </c>
    </row>
    <row r="772" spans="1:4" x14ac:dyDescent="0.35">
      <c r="A772" s="1" t="s">
        <v>59</v>
      </c>
      <c r="B772" s="2"/>
      <c r="C772" s="1">
        <v>2020</v>
      </c>
      <c r="D772" s="1">
        <v>45.65</v>
      </c>
    </row>
    <row r="773" spans="1:4" x14ac:dyDescent="0.35">
      <c r="A773" s="1" t="s">
        <v>59</v>
      </c>
      <c r="B773" s="2"/>
      <c r="C773" s="1">
        <v>2021</v>
      </c>
      <c r="D773" s="1">
        <v>45.68</v>
      </c>
    </row>
    <row r="774" spans="1:4" x14ac:dyDescent="0.35">
      <c r="A774" s="1" t="s">
        <v>59</v>
      </c>
      <c r="B774" s="2"/>
      <c r="C774" s="1">
        <v>2022</v>
      </c>
      <c r="D774" s="1">
        <v>45.68</v>
      </c>
    </row>
    <row r="775" spans="1:4" x14ac:dyDescent="0.35">
      <c r="A775" s="1" t="s">
        <v>59</v>
      </c>
      <c r="B775" s="2"/>
      <c r="C775" s="1">
        <v>2023</v>
      </c>
      <c r="D775" s="1">
        <v>45.69</v>
      </c>
    </row>
    <row r="776" spans="1:4" x14ac:dyDescent="0.35">
      <c r="A776" s="1" t="s">
        <v>59</v>
      </c>
      <c r="B776" s="2"/>
      <c r="C776" s="1">
        <v>2024</v>
      </c>
      <c r="D776" s="1">
        <v>46.52</v>
      </c>
    </row>
    <row r="777" spans="1:4" x14ac:dyDescent="0.35">
      <c r="A777" s="1" t="s">
        <v>59</v>
      </c>
      <c r="B777" s="2" t="s">
        <v>136</v>
      </c>
      <c r="C777" s="1">
        <v>2000</v>
      </c>
      <c r="D777" s="1">
        <v>58.91</v>
      </c>
    </row>
    <row r="778" spans="1:4" x14ac:dyDescent="0.35">
      <c r="A778" s="1" t="s">
        <v>59</v>
      </c>
      <c r="B778" s="2"/>
      <c r="C778" s="1">
        <v>2001</v>
      </c>
      <c r="D778" s="1">
        <v>58.91</v>
      </c>
    </row>
    <row r="779" spans="1:4" x14ac:dyDescent="0.35">
      <c r="A779" s="1" t="s">
        <v>59</v>
      </c>
      <c r="B779" s="2"/>
      <c r="C779" s="1">
        <v>2002</v>
      </c>
      <c r="D779" s="1">
        <v>58.91</v>
      </c>
    </row>
    <row r="780" spans="1:4" x14ac:dyDescent="0.35">
      <c r="A780" s="1" t="s">
        <v>59</v>
      </c>
      <c r="B780" s="2"/>
      <c r="C780" s="1">
        <v>2003</v>
      </c>
      <c r="D780" s="1">
        <v>58.91</v>
      </c>
    </row>
    <row r="781" spans="1:4" x14ac:dyDescent="0.35">
      <c r="A781" s="1" t="s">
        <v>59</v>
      </c>
      <c r="B781" s="2"/>
      <c r="C781" s="1">
        <v>2004</v>
      </c>
      <c r="D781" s="1">
        <v>58.92</v>
      </c>
    </row>
    <row r="782" spans="1:4" x14ac:dyDescent="0.35">
      <c r="A782" s="1" t="s">
        <v>59</v>
      </c>
      <c r="B782" s="2"/>
      <c r="C782" s="1">
        <v>2005</v>
      </c>
      <c r="D782" s="1">
        <v>58.92</v>
      </c>
    </row>
    <row r="783" spans="1:4" x14ac:dyDescent="0.35">
      <c r="A783" s="1" t="s">
        <v>59</v>
      </c>
      <c r="B783" s="2"/>
      <c r="C783" s="1">
        <v>2006</v>
      </c>
      <c r="D783" s="1">
        <v>58.92</v>
      </c>
    </row>
    <row r="784" spans="1:4" x14ac:dyDescent="0.35">
      <c r="A784" s="1" t="s">
        <v>59</v>
      </c>
      <c r="B784" s="2"/>
      <c r="C784" s="1">
        <v>2007</v>
      </c>
      <c r="D784" s="1">
        <v>58.91</v>
      </c>
    </row>
    <row r="785" spans="1:4" x14ac:dyDescent="0.35">
      <c r="A785" s="1" t="s">
        <v>59</v>
      </c>
      <c r="B785" s="2"/>
      <c r="C785" s="1">
        <v>2008</v>
      </c>
      <c r="D785" s="1">
        <v>58.92</v>
      </c>
    </row>
    <row r="786" spans="1:4" x14ac:dyDescent="0.35">
      <c r="A786" s="1" t="s">
        <v>59</v>
      </c>
      <c r="B786" s="2"/>
      <c r="C786" s="1">
        <v>2009</v>
      </c>
      <c r="D786" s="1">
        <v>57.17</v>
      </c>
    </row>
    <row r="787" spans="1:4" x14ac:dyDescent="0.35">
      <c r="A787" s="1" t="s">
        <v>59</v>
      </c>
      <c r="B787" s="2"/>
      <c r="C787" s="1">
        <v>2010</v>
      </c>
      <c r="D787" s="1">
        <v>51.8</v>
      </c>
    </row>
    <row r="788" spans="1:4" x14ac:dyDescent="0.35">
      <c r="A788" s="1" t="s">
        <v>59</v>
      </c>
      <c r="B788" s="2"/>
      <c r="C788" s="1">
        <v>2011</v>
      </c>
      <c r="D788" s="1">
        <v>45.73</v>
      </c>
    </row>
    <row r="789" spans="1:4" x14ac:dyDescent="0.35">
      <c r="A789" s="1" t="s">
        <v>59</v>
      </c>
      <c r="B789" s="2"/>
      <c r="C789" s="1">
        <v>2012</v>
      </c>
      <c r="D789" s="1">
        <v>46.24</v>
      </c>
    </row>
    <row r="790" spans="1:4" x14ac:dyDescent="0.35">
      <c r="A790" s="1" t="s">
        <v>59</v>
      </c>
      <c r="B790" s="2"/>
      <c r="C790" s="1">
        <v>2013</v>
      </c>
      <c r="D790" s="1">
        <v>49.44</v>
      </c>
    </row>
    <row r="791" spans="1:4" x14ac:dyDescent="0.35">
      <c r="A791" s="1" t="s">
        <v>59</v>
      </c>
      <c r="B791" s="2"/>
      <c r="C791" s="1">
        <v>2014</v>
      </c>
      <c r="D791" s="1">
        <v>44.79</v>
      </c>
    </row>
    <row r="792" spans="1:4" x14ac:dyDescent="0.35">
      <c r="A792" s="1" t="s">
        <v>59</v>
      </c>
      <c r="B792" s="2"/>
      <c r="C792" s="1">
        <v>2015</v>
      </c>
      <c r="D792" s="1">
        <v>48.2</v>
      </c>
    </row>
    <row r="793" spans="1:4" x14ac:dyDescent="0.35">
      <c r="A793" s="1" t="s">
        <v>59</v>
      </c>
      <c r="B793" s="2"/>
      <c r="C793" s="1">
        <v>2016</v>
      </c>
      <c r="D793" s="1">
        <v>41.57</v>
      </c>
    </row>
    <row r="794" spans="1:4" x14ac:dyDescent="0.35">
      <c r="A794" s="1" t="s">
        <v>59</v>
      </c>
      <c r="B794" s="2"/>
      <c r="C794" s="1">
        <v>2017</v>
      </c>
      <c r="D794" s="1">
        <v>48.93</v>
      </c>
    </row>
    <row r="795" spans="1:4" x14ac:dyDescent="0.35">
      <c r="A795" s="1" t="s">
        <v>59</v>
      </c>
      <c r="B795" s="2"/>
      <c r="C795" s="1">
        <v>2018</v>
      </c>
      <c r="D795" s="1">
        <v>53.94</v>
      </c>
    </row>
    <row r="796" spans="1:4" x14ac:dyDescent="0.35">
      <c r="A796" s="1" t="s">
        <v>59</v>
      </c>
      <c r="B796" s="2"/>
      <c r="C796" s="1">
        <v>2019</v>
      </c>
      <c r="D796" s="1">
        <v>41.07</v>
      </c>
    </row>
    <row r="797" spans="1:4" x14ac:dyDescent="0.35">
      <c r="A797" s="1" t="s">
        <v>59</v>
      </c>
      <c r="B797" s="2"/>
      <c r="C797" s="1">
        <v>2020</v>
      </c>
      <c r="D797" s="1">
        <v>38.07</v>
      </c>
    </row>
    <row r="798" spans="1:4" x14ac:dyDescent="0.35">
      <c r="A798" s="1" t="s">
        <v>59</v>
      </c>
      <c r="B798" s="2"/>
      <c r="C798" s="1">
        <v>2021</v>
      </c>
      <c r="D798" s="1">
        <v>38.08</v>
      </c>
    </row>
    <row r="799" spans="1:4" x14ac:dyDescent="0.35">
      <c r="A799" s="1" t="s">
        <v>59</v>
      </c>
      <c r="B799" s="2"/>
      <c r="C799" s="1">
        <v>2022</v>
      </c>
      <c r="D799" s="1">
        <v>38.049999999999997</v>
      </c>
    </row>
    <row r="800" spans="1:4" x14ac:dyDescent="0.35">
      <c r="A800" s="1" t="s">
        <v>59</v>
      </c>
      <c r="B800" s="2"/>
      <c r="C800" s="1">
        <v>2023</v>
      </c>
      <c r="D800" s="1">
        <v>38.049999999999997</v>
      </c>
    </row>
    <row r="801" spans="1:4" x14ac:dyDescent="0.35">
      <c r="A801" s="1" t="s">
        <v>59</v>
      </c>
      <c r="B801" s="2"/>
      <c r="C801" s="1">
        <v>2024</v>
      </c>
      <c r="D801" s="1" t="s">
        <v>137</v>
      </c>
    </row>
    <row r="802" spans="1:4" x14ac:dyDescent="0.35">
      <c r="A802" s="1" t="s">
        <v>61</v>
      </c>
      <c r="B802" s="2" t="s">
        <v>134</v>
      </c>
      <c r="C802" s="1">
        <v>2000</v>
      </c>
      <c r="D802" s="1">
        <v>65.010000000000005</v>
      </c>
    </row>
    <row r="803" spans="1:4" x14ac:dyDescent="0.35">
      <c r="A803" s="1" t="s">
        <v>61</v>
      </c>
      <c r="B803" s="2"/>
      <c r="C803" s="1">
        <v>2001</v>
      </c>
      <c r="D803" s="1">
        <v>65.010000000000005</v>
      </c>
    </row>
    <row r="804" spans="1:4" x14ac:dyDescent="0.35">
      <c r="A804" s="1" t="s">
        <v>61</v>
      </c>
      <c r="B804" s="2"/>
      <c r="C804" s="1">
        <v>2002</v>
      </c>
      <c r="D804" s="1">
        <v>65.010000000000005</v>
      </c>
    </row>
    <row r="805" spans="1:4" x14ac:dyDescent="0.35">
      <c r="A805" s="1" t="s">
        <v>61</v>
      </c>
      <c r="B805" s="2"/>
      <c r="C805" s="1">
        <v>2003</v>
      </c>
      <c r="D805" s="1">
        <v>65.010000000000005</v>
      </c>
    </row>
    <row r="806" spans="1:4" x14ac:dyDescent="0.35">
      <c r="A806" s="1" t="s">
        <v>61</v>
      </c>
      <c r="B806" s="2"/>
      <c r="C806" s="1">
        <v>2004</v>
      </c>
      <c r="D806" s="1">
        <v>68.31</v>
      </c>
    </row>
    <row r="807" spans="1:4" x14ac:dyDescent="0.35">
      <c r="A807" s="1" t="s">
        <v>61</v>
      </c>
      <c r="B807" s="2"/>
      <c r="C807" s="1">
        <v>2005</v>
      </c>
      <c r="D807" s="1">
        <v>68.31</v>
      </c>
    </row>
    <row r="808" spans="1:4" x14ac:dyDescent="0.35">
      <c r="A808" s="1" t="s">
        <v>61</v>
      </c>
      <c r="B808" s="2"/>
      <c r="C808" s="1">
        <v>2006</v>
      </c>
      <c r="D808" s="1">
        <v>68.28</v>
      </c>
    </row>
    <row r="809" spans="1:4" x14ac:dyDescent="0.35">
      <c r="A809" s="1" t="s">
        <v>61</v>
      </c>
      <c r="B809" s="2"/>
      <c r="C809" s="1">
        <v>2007</v>
      </c>
      <c r="D809" s="1">
        <v>61.06</v>
      </c>
    </row>
    <row r="810" spans="1:4" x14ac:dyDescent="0.35">
      <c r="A810" s="1" t="s">
        <v>61</v>
      </c>
      <c r="B810" s="2"/>
      <c r="C810" s="1">
        <v>2008</v>
      </c>
      <c r="D810" s="1">
        <v>59.7</v>
      </c>
    </row>
    <row r="811" spans="1:4" x14ac:dyDescent="0.35">
      <c r="A811" s="1" t="s">
        <v>61</v>
      </c>
      <c r="B811" s="2"/>
      <c r="C811" s="1">
        <v>2009</v>
      </c>
      <c r="D811" s="1">
        <v>60.04</v>
      </c>
    </row>
    <row r="812" spans="1:4" x14ac:dyDescent="0.35">
      <c r="A812" s="1" t="s">
        <v>61</v>
      </c>
      <c r="B812" s="2"/>
      <c r="C812" s="1">
        <v>2010</v>
      </c>
      <c r="D812" s="1">
        <v>53.43</v>
      </c>
    </row>
    <row r="813" spans="1:4" x14ac:dyDescent="0.35">
      <c r="A813" s="1" t="s">
        <v>61</v>
      </c>
      <c r="B813" s="2"/>
      <c r="C813" s="1">
        <v>2011</v>
      </c>
      <c r="D813" s="1">
        <v>54.53</v>
      </c>
    </row>
    <row r="814" spans="1:4" x14ac:dyDescent="0.35">
      <c r="A814" s="1" t="s">
        <v>61</v>
      </c>
      <c r="B814" s="2"/>
      <c r="C814" s="1">
        <v>2012</v>
      </c>
      <c r="D814" s="1">
        <v>51.91</v>
      </c>
    </row>
    <row r="815" spans="1:4" x14ac:dyDescent="0.35">
      <c r="A815" s="1" t="s">
        <v>61</v>
      </c>
      <c r="B815" s="2"/>
      <c r="C815" s="1">
        <v>2013</v>
      </c>
      <c r="D815" s="1">
        <v>56.35</v>
      </c>
    </row>
    <row r="816" spans="1:4" x14ac:dyDescent="0.35">
      <c r="A816" s="1" t="s">
        <v>61</v>
      </c>
      <c r="B816" s="2"/>
      <c r="C816" s="1">
        <v>2014</v>
      </c>
      <c r="D816" s="1">
        <v>56.44</v>
      </c>
    </row>
    <row r="817" spans="1:4" x14ac:dyDescent="0.35">
      <c r="A817" s="1" t="s">
        <v>61</v>
      </c>
      <c r="B817" s="2"/>
      <c r="C817" s="1">
        <v>2015</v>
      </c>
      <c r="D817" s="1">
        <v>50.28</v>
      </c>
    </row>
    <row r="818" spans="1:4" x14ac:dyDescent="0.35">
      <c r="A818" s="1" t="s">
        <v>61</v>
      </c>
      <c r="B818" s="2"/>
      <c r="C818" s="1">
        <v>2016</v>
      </c>
      <c r="D818" s="1">
        <v>42.67</v>
      </c>
    </row>
    <row r="819" spans="1:4" x14ac:dyDescent="0.35">
      <c r="A819" s="1" t="s">
        <v>61</v>
      </c>
      <c r="B819" s="2"/>
      <c r="C819" s="1">
        <v>2017</v>
      </c>
      <c r="D819" s="1">
        <v>35.33</v>
      </c>
    </row>
    <row r="820" spans="1:4" x14ac:dyDescent="0.35">
      <c r="A820" s="1" t="s">
        <v>61</v>
      </c>
      <c r="B820" s="2"/>
      <c r="C820" s="1">
        <v>2018</v>
      </c>
      <c r="D820" s="1">
        <v>34.840000000000003</v>
      </c>
    </row>
    <row r="821" spans="1:4" x14ac:dyDescent="0.35">
      <c r="A821" s="1" t="s">
        <v>61</v>
      </c>
      <c r="B821" s="2"/>
      <c r="C821" s="1">
        <v>2019</v>
      </c>
      <c r="D821" s="1">
        <v>32.54</v>
      </c>
    </row>
    <row r="822" spans="1:4" x14ac:dyDescent="0.35">
      <c r="A822" s="1" t="s">
        <v>61</v>
      </c>
      <c r="B822" s="2"/>
      <c r="C822" s="1">
        <v>2020</v>
      </c>
      <c r="D822" s="1">
        <v>31.85</v>
      </c>
    </row>
    <row r="823" spans="1:4" x14ac:dyDescent="0.35">
      <c r="A823" s="1" t="s">
        <v>61</v>
      </c>
      <c r="B823" s="2"/>
      <c r="C823" s="1">
        <v>2021</v>
      </c>
      <c r="D823" s="1">
        <v>31.36</v>
      </c>
    </row>
    <row r="824" spans="1:4" x14ac:dyDescent="0.35">
      <c r="A824" s="1" t="s">
        <v>61</v>
      </c>
      <c r="B824" s="2"/>
      <c r="C824" s="1">
        <v>2022</v>
      </c>
      <c r="D824" s="1">
        <v>31.04</v>
      </c>
    </row>
    <row r="825" spans="1:4" x14ac:dyDescent="0.35">
      <c r="A825" s="1" t="s">
        <v>61</v>
      </c>
      <c r="B825" s="2"/>
      <c r="C825" s="1">
        <v>2023</v>
      </c>
      <c r="D825" s="1">
        <v>31.27</v>
      </c>
    </row>
    <row r="826" spans="1:4" x14ac:dyDescent="0.35">
      <c r="A826" s="1" t="s">
        <v>61</v>
      </c>
      <c r="B826" s="2"/>
      <c r="C826" s="1">
        <v>2024</v>
      </c>
      <c r="D826" s="1">
        <v>30.21</v>
      </c>
    </row>
    <row r="827" spans="1:4" x14ac:dyDescent="0.35">
      <c r="A827" s="1" t="s">
        <v>61</v>
      </c>
      <c r="B827" s="2" t="s">
        <v>136</v>
      </c>
      <c r="C827" s="1">
        <v>2000</v>
      </c>
      <c r="D827" s="1">
        <v>91.52</v>
      </c>
    </row>
    <row r="828" spans="1:4" x14ac:dyDescent="0.35">
      <c r="A828" s="1" t="s">
        <v>61</v>
      </c>
      <c r="B828" s="2"/>
      <c r="C828" s="1">
        <v>2001</v>
      </c>
      <c r="D828" s="1">
        <v>84.12</v>
      </c>
    </row>
    <row r="829" spans="1:4" x14ac:dyDescent="0.35">
      <c r="A829" s="1" t="s">
        <v>61</v>
      </c>
      <c r="B829" s="2"/>
      <c r="C829" s="1">
        <v>2002</v>
      </c>
      <c r="D829" s="1">
        <v>69.3</v>
      </c>
    </row>
    <row r="830" spans="1:4" x14ac:dyDescent="0.35">
      <c r="A830" s="1" t="s">
        <v>61</v>
      </c>
      <c r="B830" s="2"/>
      <c r="C830" s="1">
        <v>2003</v>
      </c>
      <c r="D830" s="1">
        <v>66.14</v>
      </c>
    </row>
    <row r="831" spans="1:4" x14ac:dyDescent="0.35">
      <c r="A831" s="1" t="s">
        <v>61</v>
      </c>
      <c r="B831" s="2"/>
      <c r="C831" s="1">
        <v>2004</v>
      </c>
      <c r="D831" s="1">
        <v>87.47</v>
      </c>
    </row>
    <row r="832" spans="1:4" x14ac:dyDescent="0.35">
      <c r="A832" s="1" t="s">
        <v>61</v>
      </c>
      <c r="B832" s="2"/>
      <c r="C832" s="1">
        <v>2005</v>
      </c>
      <c r="D832" s="1">
        <v>82.96</v>
      </c>
    </row>
    <row r="833" spans="1:4" x14ac:dyDescent="0.35">
      <c r="A833" s="1" t="s">
        <v>61</v>
      </c>
      <c r="B833" s="2"/>
      <c r="C833" s="1">
        <v>2006</v>
      </c>
      <c r="D833" s="1">
        <v>66.69</v>
      </c>
    </row>
    <row r="834" spans="1:4" x14ac:dyDescent="0.35">
      <c r="A834" s="1" t="s">
        <v>61</v>
      </c>
      <c r="B834" s="2"/>
      <c r="C834" s="1">
        <v>2007</v>
      </c>
      <c r="D834" s="1">
        <v>53.47</v>
      </c>
    </row>
    <row r="835" spans="1:4" x14ac:dyDescent="0.35">
      <c r="A835" s="1" t="s">
        <v>61</v>
      </c>
      <c r="B835" s="2"/>
      <c r="C835" s="1">
        <v>2008</v>
      </c>
      <c r="D835" s="1">
        <v>74.48</v>
      </c>
    </row>
    <row r="836" spans="1:4" x14ac:dyDescent="0.35">
      <c r="A836" s="1" t="s">
        <v>61</v>
      </c>
      <c r="B836" s="2"/>
      <c r="C836" s="1">
        <v>2009</v>
      </c>
      <c r="D836" s="1">
        <v>76.81</v>
      </c>
    </row>
    <row r="837" spans="1:4" x14ac:dyDescent="0.35">
      <c r="A837" s="1" t="s">
        <v>61</v>
      </c>
      <c r="B837" s="2"/>
      <c r="C837" s="1">
        <v>2010</v>
      </c>
      <c r="D837" s="1">
        <v>68.86</v>
      </c>
    </row>
    <row r="838" spans="1:4" x14ac:dyDescent="0.35">
      <c r="A838" s="1" t="s">
        <v>61</v>
      </c>
      <c r="B838" s="2"/>
      <c r="C838" s="1">
        <v>2011</v>
      </c>
      <c r="D838" s="1">
        <v>67.55</v>
      </c>
    </row>
    <row r="839" spans="1:4" x14ac:dyDescent="0.35">
      <c r="A839" s="1" t="s">
        <v>61</v>
      </c>
      <c r="B839" s="2"/>
      <c r="C839" s="1">
        <v>2012</v>
      </c>
      <c r="D839" s="1">
        <v>67.17</v>
      </c>
    </row>
    <row r="840" spans="1:4" x14ac:dyDescent="0.35">
      <c r="A840" s="1" t="s">
        <v>61</v>
      </c>
      <c r="B840" s="2"/>
      <c r="C840" s="1">
        <v>2013</v>
      </c>
      <c r="D840" s="1">
        <v>64.03</v>
      </c>
    </row>
    <row r="841" spans="1:4" x14ac:dyDescent="0.35">
      <c r="A841" s="1" t="s">
        <v>61</v>
      </c>
      <c r="B841" s="2"/>
      <c r="C841" s="1">
        <v>2014</v>
      </c>
      <c r="D841" s="1">
        <v>64.790000000000006</v>
      </c>
    </row>
    <row r="842" spans="1:4" x14ac:dyDescent="0.35">
      <c r="A842" s="1" t="s">
        <v>61</v>
      </c>
      <c r="B842" s="2"/>
      <c r="C842" s="1">
        <v>2015</v>
      </c>
      <c r="D842" s="1">
        <v>51.02</v>
      </c>
    </row>
    <row r="843" spans="1:4" x14ac:dyDescent="0.35">
      <c r="A843" s="1" t="s">
        <v>61</v>
      </c>
      <c r="B843" s="2"/>
      <c r="C843" s="1">
        <v>2016</v>
      </c>
      <c r="D843" s="1">
        <v>42.96</v>
      </c>
    </row>
    <row r="844" spans="1:4" x14ac:dyDescent="0.35">
      <c r="A844" s="1" t="s">
        <v>61</v>
      </c>
      <c r="B844" s="2"/>
      <c r="C844" s="1">
        <v>2017</v>
      </c>
      <c r="D844" s="1">
        <v>41.21</v>
      </c>
    </row>
    <row r="845" spans="1:4" x14ac:dyDescent="0.35">
      <c r="A845" s="1" t="s">
        <v>61</v>
      </c>
      <c r="B845" s="2"/>
      <c r="C845" s="1">
        <v>2018</v>
      </c>
      <c r="D845" s="1">
        <v>37.35</v>
      </c>
    </row>
    <row r="846" spans="1:4" x14ac:dyDescent="0.35">
      <c r="A846" s="1" t="s">
        <v>61</v>
      </c>
      <c r="B846" s="2"/>
      <c r="C846" s="1">
        <v>2019</v>
      </c>
      <c r="D846" s="1">
        <v>40.65</v>
      </c>
    </row>
    <row r="847" spans="1:4" x14ac:dyDescent="0.35">
      <c r="A847" s="1" t="s">
        <v>61</v>
      </c>
      <c r="B847" s="2"/>
      <c r="C847" s="1">
        <v>2020</v>
      </c>
      <c r="D847" s="1">
        <v>36.549999999999997</v>
      </c>
    </row>
    <row r="848" spans="1:4" x14ac:dyDescent="0.35">
      <c r="A848" s="1" t="s">
        <v>61</v>
      </c>
      <c r="B848" s="2"/>
      <c r="C848" s="1">
        <v>2021</v>
      </c>
      <c r="D848" s="1">
        <v>34.56</v>
      </c>
    </row>
    <row r="849" spans="1:4" x14ac:dyDescent="0.35">
      <c r="A849" s="1" t="s">
        <v>61</v>
      </c>
      <c r="B849" s="2"/>
      <c r="C849" s="1">
        <v>2022</v>
      </c>
      <c r="D849" s="1">
        <v>35.880000000000003</v>
      </c>
    </row>
    <row r="850" spans="1:4" x14ac:dyDescent="0.35">
      <c r="A850" s="1" t="s">
        <v>61</v>
      </c>
      <c r="B850" s="2"/>
      <c r="C850" s="1">
        <v>2023</v>
      </c>
      <c r="D850" s="1">
        <v>36.200000000000003</v>
      </c>
    </row>
    <row r="851" spans="1:4" x14ac:dyDescent="0.35">
      <c r="A851" s="1" t="s">
        <v>61</v>
      </c>
      <c r="B851" s="2"/>
      <c r="C851" s="1">
        <v>2024</v>
      </c>
      <c r="D851" s="1" t="s">
        <v>137</v>
      </c>
    </row>
    <row r="852" spans="1:4" x14ac:dyDescent="0.35">
      <c r="A852" s="1" t="s">
        <v>63</v>
      </c>
      <c r="B852" s="2" t="s">
        <v>134</v>
      </c>
      <c r="C852" s="1">
        <v>2000</v>
      </c>
      <c r="D852" s="1">
        <v>38.14</v>
      </c>
    </row>
    <row r="853" spans="1:4" x14ac:dyDescent="0.35">
      <c r="A853" s="1" t="s">
        <v>63</v>
      </c>
      <c r="B853" s="2"/>
      <c r="C853" s="1">
        <v>2001</v>
      </c>
      <c r="D853" s="1">
        <v>38.14</v>
      </c>
    </row>
    <row r="854" spans="1:4" x14ac:dyDescent="0.35">
      <c r="A854" s="1" t="s">
        <v>63</v>
      </c>
      <c r="B854" s="2"/>
      <c r="C854" s="1">
        <v>2002</v>
      </c>
      <c r="D854" s="1">
        <v>38.14</v>
      </c>
    </row>
    <row r="855" spans="1:4" x14ac:dyDescent="0.35">
      <c r="A855" s="1" t="s">
        <v>63</v>
      </c>
      <c r="B855" s="2"/>
      <c r="C855" s="1">
        <v>2003</v>
      </c>
      <c r="D855" s="1">
        <v>38.14</v>
      </c>
    </row>
    <row r="856" spans="1:4" x14ac:dyDescent="0.35">
      <c r="A856" s="1" t="s">
        <v>63</v>
      </c>
      <c r="B856" s="2"/>
      <c r="C856" s="1">
        <v>2004</v>
      </c>
      <c r="D856" s="1">
        <v>38.14</v>
      </c>
    </row>
    <row r="857" spans="1:4" x14ac:dyDescent="0.35">
      <c r="A857" s="1" t="s">
        <v>63</v>
      </c>
      <c r="B857" s="2"/>
      <c r="C857" s="1">
        <v>2005</v>
      </c>
      <c r="D857" s="1">
        <v>38.14</v>
      </c>
    </row>
    <row r="858" spans="1:4" x14ac:dyDescent="0.35">
      <c r="A858" s="1" t="s">
        <v>63</v>
      </c>
      <c r="B858" s="2"/>
      <c r="C858" s="1">
        <v>2006</v>
      </c>
      <c r="D858" s="1">
        <v>38.14</v>
      </c>
    </row>
    <row r="859" spans="1:4" x14ac:dyDescent="0.35">
      <c r="A859" s="1" t="s">
        <v>63</v>
      </c>
      <c r="B859" s="2"/>
      <c r="C859" s="1">
        <v>2007</v>
      </c>
      <c r="D859" s="1">
        <v>37.25</v>
      </c>
    </row>
    <row r="860" spans="1:4" x14ac:dyDescent="0.35">
      <c r="A860" s="1" t="s">
        <v>63</v>
      </c>
      <c r="B860" s="2"/>
      <c r="C860" s="1">
        <v>2008</v>
      </c>
      <c r="D860" s="1">
        <v>40.17</v>
      </c>
    </row>
    <row r="861" spans="1:4" x14ac:dyDescent="0.35">
      <c r="A861" s="1" t="s">
        <v>63</v>
      </c>
      <c r="B861" s="2"/>
      <c r="C861" s="1">
        <v>2009</v>
      </c>
      <c r="D861" s="1">
        <v>39.67</v>
      </c>
    </row>
    <row r="862" spans="1:4" x14ac:dyDescent="0.35">
      <c r="A862" s="1" t="s">
        <v>63</v>
      </c>
      <c r="B862" s="2"/>
      <c r="C862" s="1">
        <v>2010</v>
      </c>
      <c r="D862" s="1">
        <v>50.84</v>
      </c>
    </row>
    <row r="863" spans="1:4" x14ac:dyDescent="0.35">
      <c r="A863" s="1" t="s">
        <v>63</v>
      </c>
      <c r="B863" s="2"/>
      <c r="C863" s="1">
        <v>2011</v>
      </c>
      <c r="D863" s="1">
        <v>62.42</v>
      </c>
    </row>
    <row r="864" spans="1:4" x14ac:dyDescent="0.35">
      <c r="A864" s="1" t="s">
        <v>63</v>
      </c>
      <c r="B864" s="2"/>
      <c r="C864" s="1">
        <v>2012</v>
      </c>
      <c r="D864" s="1">
        <v>60.06</v>
      </c>
    </row>
    <row r="865" spans="1:4" x14ac:dyDescent="0.35">
      <c r="A865" s="1" t="s">
        <v>63</v>
      </c>
      <c r="B865" s="2"/>
      <c r="C865" s="1">
        <v>2013</v>
      </c>
      <c r="D865" s="1">
        <v>38.049999999999997</v>
      </c>
    </row>
    <row r="866" spans="1:4" x14ac:dyDescent="0.35">
      <c r="A866" s="1" t="s">
        <v>63</v>
      </c>
      <c r="B866" s="2"/>
      <c r="C866" s="1">
        <v>2014</v>
      </c>
      <c r="D866" s="1">
        <v>38.049999999999997</v>
      </c>
    </row>
    <row r="867" spans="1:4" x14ac:dyDescent="0.35">
      <c r="A867" s="1" t="s">
        <v>63</v>
      </c>
      <c r="B867" s="2"/>
      <c r="C867" s="1">
        <v>2015</v>
      </c>
      <c r="D867" s="1">
        <v>61.05</v>
      </c>
    </row>
    <row r="868" spans="1:4" x14ac:dyDescent="0.35">
      <c r="A868" s="1" t="s">
        <v>63</v>
      </c>
      <c r="B868" s="2"/>
      <c r="C868" s="1">
        <v>2016</v>
      </c>
      <c r="D868" s="1">
        <v>62.05</v>
      </c>
    </row>
    <row r="869" spans="1:4" x14ac:dyDescent="0.35">
      <c r="A869" s="1" t="s">
        <v>63</v>
      </c>
      <c r="B869" s="2"/>
      <c r="C869" s="1">
        <v>2017</v>
      </c>
      <c r="D869" s="1">
        <v>60.34</v>
      </c>
    </row>
    <row r="870" spans="1:4" x14ac:dyDescent="0.35">
      <c r="A870" s="1" t="s">
        <v>63</v>
      </c>
      <c r="B870" s="2"/>
      <c r="C870" s="1">
        <v>2018</v>
      </c>
      <c r="D870" s="1">
        <v>60.74</v>
      </c>
    </row>
    <row r="871" spans="1:4" x14ac:dyDescent="0.35">
      <c r="A871" s="1" t="s">
        <v>63</v>
      </c>
      <c r="B871" s="2"/>
      <c r="C871" s="1">
        <v>2019</v>
      </c>
      <c r="D871" s="1">
        <v>62.52</v>
      </c>
    </row>
    <row r="872" spans="1:4" x14ac:dyDescent="0.35">
      <c r="A872" s="1" t="s">
        <v>63</v>
      </c>
      <c r="B872" s="2"/>
      <c r="C872" s="1">
        <v>2020</v>
      </c>
      <c r="D872" s="1">
        <v>61.63</v>
      </c>
    </row>
    <row r="873" spans="1:4" x14ac:dyDescent="0.35">
      <c r="A873" s="1" t="s">
        <v>63</v>
      </c>
      <c r="B873" s="2"/>
      <c r="C873" s="1">
        <v>2021</v>
      </c>
      <c r="D873" s="1">
        <v>65.959999999999994</v>
      </c>
    </row>
    <row r="874" spans="1:4" x14ac:dyDescent="0.35">
      <c r="A874" s="1" t="s">
        <v>63</v>
      </c>
      <c r="B874" s="2"/>
      <c r="C874" s="1">
        <v>2022</v>
      </c>
      <c r="D874" s="1">
        <v>65.989999999999995</v>
      </c>
    </row>
    <row r="875" spans="1:4" x14ac:dyDescent="0.35">
      <c r="A875" s="1" t="s">
        <v>63</v>
      </c>
      <c r="B875" s="2"/>
      <c r="C875" s="1">
        <v>2023</v>
      </c>
      <c r="D875" s="1">
        <v>66.010000000000005</v>
      </c>
    </row>
    <row r="876" spans="1:4" x14ac:dyDescent="0.35">
      <c r="A876" s="1" t="s">
        <v>63</v>
      </c>
      <c r="B876" s="2"/>
      <c r="C876" s="1">
        <v>2024</v>
      </c>
      <c r="D876" s="1">
        <v>66.010000000000005</v>
      </c>
    </row>
    <row r="877" spans="1:4" x14ac:dyDescent="0.35">
      <c r="A877" s="1" t="s">
        <v>63</v>
      </c>
      <c r="B877" s="2" t="s">
        <v>136</v>
      </c>
      <c r="C877" s="1">
        <v>2000</v>
      </c>
      <c r="D877" s="1">
        <v>55.97</v>
      </c>
    </row>
    <row r="878" spans="1:4" x14ac:dyDescent="0.35">
      <c r="A878" s="1" t="s">
        <v>63</v>
      </c>
      <c r="B878" s="2"/>
      <c r="C878" s="1">
        <v>2001</v>
      </c>
      <c r="D878" s="1">
        <v>57.26</v>
      </c>
    </row>
    <row r="879" spans="1:4" x14ac:dyDescent="0.35">
      <c r="A879" s="1" t="s">
        <v>63</v>
      </c>
      <c r="B879" s="2"/>
      <c r="C879" s="1">
        <v>2002</v>
      </c>
      <c r="D879" s="1">
        <v>58.62</v>
      </c>
    </row>
    <row r="880" spans="1:4" x14ac:dyDescent="0.35">
      <c r="A880" s="1" t="s">
        <v>63</v>
      </c>
      <c r="B880" s="2"/>
      <c r="C880" s="1">
        <v>2003</v>
      </c>
      <c r="D880" s="1">
        <v>46.35</v>
      </c>
    </row>
    <row r="881" spans="1:4" x14ac:dyDescent="0.35">
      <c r="A881" s="1" t="s">
        <v>63</v>
      </c>
      <c r="B881" s="2"/>
      <c r="C881" s="1">
        <v>2004</v>
      </c>
      <c r="D881" s="1">
        <v>61.46</v>
      </c>
    </row>
    <row r="882" spans="1:4" x14ac:dyDescent="0.35">
      <c r="A882" s="1" t="s">
        <v>63</v>
      </c>
      <c r="B882" s="2"/>
      <c r="C882" s="1">
        <v>2005</v>
      </c>
      <c r="D882" s="1">
        <v>60.76</v>
      </c>
    </row>
    <row r="883" spans="1:4" x14ac:dyDescent="0.35">
      <c r="A883" s="1" t="s">
        <v>63</v>
      </c>
      <c r="B883" s="2"/>
      <c r="C883" s="1">
        <v>2006</v>
      </c>
      <c r="D883" s="1">
        <v>63.09</v>
      </c>
    </row>
    <row r="884" spans="1:4" x14ac:dyDescent="0.35">
      <c r="A884" s="1" t="s">
        <v>63</v>
      </c>
      <c r="B884" s="2"/>
      <c r="C884" s="1">
        <v>2007</v>
      </c>
      <c r="D884" s="1">
        <v>64.69</v>
      </c>
    </row>
    <row r="885" spans="1:4" x14ac:dyDescent="0.35">
      <c r="A885" s="1" t="s">
        <v>63</v>
      </c>
      <c r="B885" s="2"/>
      <c r="C885" s="1">
        <v>2008</v>
      </c>
      <c r="D885" s="1">
        <v>74.349999999999994</v>
      </c>
    </row>
    <row r="886" spans="1:4" x14ac:dyDescent="0.35">
      <c r="A886" s="1" t="s">
        <v>63</v>
      </c>
      <c r="B886" s="2"/>
      <c r="C886" s="1">
        <v>2009</v>
      </c>
      <c r="D886" s="1">
        <v>70.3</v>
      </c>
    </row>
    <row r="887" spans="1:4" x14ac:dyDescent="0.35">
      <c r="A887" s="1" t="s">
        <v>63</v>
      </c>
      <c r="B887" s="2"/>
      <c r="C887" s="1">
        <v>2010</v>
      </c>
      <c r="D887" s="1">
        <v>77.37</v>
      </c>
    </row>
    <row r="888" spans="1:4" x14ac:dyDescent="0.35">
      <c r="A888" s="1" t="s">
        <v>63</v>
      </c>
      <c r="B888" s="2"/>
      <c r="C888" s="1">
        <v>2011</v>
      </c>
      <c r="D888" s="1">
        <v>75.91</v>
      </c>
    </row>
    <row r="889" spans="1:4" x14ac:dyDescent="0.35">
      <c r="A889" s="1" t="s">
        <v>63</v>
      </c>
      <c r="B889" s="2"/>
      <c r="C889" s="1">
        <v>2012</v>
      </c>
      <c r="D889" s="1">
        <v>67.69</v>
      </c>
    </row>
    <row r="890" spans="1:4" x14ac:dyDescent="0.35">
      <c r="A890" s="1" t="s">
        <v>63</v>
      </c>
      <c r="B890" s="2"/>
      <c r="C890" s="1">
        <v>2013</v>
      </c>
      <c r="D890" s="1">
        <v>74.099999999999994</v>
      </c>
    </row>
    <row r="891" spans="1:4" x14ac:dyDescent="0.35">
      <c r="A891" s="1" t="s">
        <v>63</v>
      </c>
      <c r="B891" s="2"/>
      <c r="C891" s="1">
        <v>2014</v>
      </c>
      <c r="D891" s="1">
        <v>60.3</v>
      </c>
    </row>
    <row r="892" spans="1:4" x14ac:dyDescent="0.35">
      <c r="A892" s="1" t="s">
        <v>63</v>
      </c>
      <c r="B892" s="2"/>
      <c r="C892" s="1">
        <v>2015</v>
      </c>
      <c r="D892" s="1">
        <v>78.87</v>
      </c>
    </row>
    <row r="893" spans="1:4" x14ac:dyDescent="0.35">
      <c r="A893" s="1" t="s">
        <v>63</v>
      </c>
      <c r="B893" s="2"/>
      <c r="C893" s="1">
        <v>2016</v>
      </c>
      <c r="D893" s="1">
        <v>67.95</v>
      </c>
    </row>
    <row r="894" spans="1:4" x14ac:dyDescent="0.35">
      <c r="A894" s="1" t="s">
        <v>63</v>
      </c>
      <c r="B894" s="2"/>
      <c r="C894" s="1">
        <v>2017</v>
      </c>
      <c r="D894" s="1">
        <v>69.3</v>
      </c>
    </row>
    <row r="895" spans="1:4" x14ac:dyDescent="0.35">
      <c r="A895" s="1" t="s">
        <v>63</v>
      </c>
      <c r="B895" s="2"/>
      <c r="C895" s="1">
        <v>2018</v>
      </c>
      <c r="D895" s="1">
        <v>63.29</v>
      </c>
    </row>
    <row r="896" spans="1:4" x14ac:dyDescent="0.35">
      <c r="A896" s="1" t="s">
        <v>63</v>
      </c>
      <c r="B896" s="2"/>
      <c r="C896" s="1">
        <v>2019</v>
      </c>
      <c r="D896" s="1">
        <v>63.9</v>
      </c>
    </row>
    <row r="897" spans="1:4" x14ac:dyDescent="0.35">
      <c r="A897" s="1" t="s">
        <v>63</v>
      </c>
      <c r="B897" s="2"/>
      <c r="C897" s="1">
        <v>2020</v>
      </c>
      <c r="D897" s="1">
        <v>61.85</v>
      </c>
    </row>
    <row r="898" spans="1:4" x14ac:dyDescent="0.35">
      <c r="A898" s="1" t="s">
        <v>63</v>
      </c>
      <c r="B898" s="2"/>
      <c r="C898" s="1">
        <v>2021</v>
      </c>
      <c r="D898" s="1">
        <v>88.13</v>
      </c>
    </row>
    <row r="899" spans="1:4" x14ac:dyDescent="0.35">
      <c r="A899" s="1" t="s">
        <v>63</v>
      </c>
      <c r="B899" s="2"/>
      <c r="C899" s="1">
        <v>2022</v>
      </c>
      <c r="D899" s="1">
        <v>90.64</v>
      </c>
    </row>
    <row r="900" spans="1:4" x14ac:dyDescent="0.35">
      <c r="A900" s="1" t="s">
        <v>63</v>
      </c>
      <c r="B900" s="2"/>
      <c r="C900" s="1">
        <v>2023</v>
      </c>
      <c r="D900" s="1">
        <v>90.65</v>
      </c>
    </row>
    <row r="901" spans="1:4" x14ac:dyDescent="0.35">
      <c r="A901" s="1" t="s">
        <v>63</v>
      </c>
      <c r="B901" s="2"/>
      <c r="C901" s="1">
        <v>2024</v>
      </c>
      <c r="D901" s="1" t="s">
        <v>137</v>
      </c>
    </row>
    <row r="902" spans="1:4" x14ac:dyDescent="0.35">
      <c r="A902" s="1" t="s">
        <v>65</v>
      </c>
      <c r="B902" s="2" t="s">
        <v>134</v>
      </c>
      <c r="C902" s="1">
        <v>2000</v>
      </c>
      <c r="D902" s="1" t="s">
        <v>137</v>
      </c>
    </row>
    <row r="903" spans="1:4" x14ac:dyDescent="0.35">
      <c r="A903" s="1" t="s">
        <v>65</v>
      </c>
      <c r="B903" s="2"/>
      <c r="C903" s="1">
        <v>2001</v>
      </c>
      <c r="D903" s="1" t="s">
        <v>137</v>
      </c>
    </row>
    <row r="904" spans="1:4" x14ac:dyDescent="0.35">
      <c r="A904" s="1" t="s">
        <v>65</v>
      </c>
      <c r="B904" s="2"/>
      <c r="C904" s="1">
        <v>2002</v>
      </c>
      <c r="D904" s="1" t="s">
        <v>137</v>
      </c>
    </row>
    <row r="905" spans="1:4" x14ac:dyDescent="0.35">
      <c r="A905" s="1" t="s">
        <v>65</v>
      </c>
      <c r="B905" s="2"/>
      <c r="C905" s="1">
        <v>2003</v>
      </c>
      <c r="D905" s="1" t="s">
        <v>137</v>
      </c>
    </row>
    <row r="906" spans="1:4" x14ac:dyDescent="0.35">
      <c r="A906" s="1" t="s">
        <v>65</v>
      </c>
      <c r="B906" s="2"/>
      <c r="C906" s="1">
        <v>2004</v>
      </c>
      <c r="D906" s="1" t="s">
        <v>137</v>
      </c>
    </row>
    <row r="907" spans="1:4" x14ac:dyDescent="0.35">
      <c r="A907" s="1" t="s">
        <v>65</v>
      </c>
      <c r="B907" s="2"/>
      <c r="C907" s="1">
        <v>2005</v>
      </c>
      <c r="D907" s="1" t="s">
        <v>137</v>
      </c>
    </row>
    <row r="908" spans="1:4" x14ac:dyDescent="0.35">
      <c r="A908" s="1" t="s">
        <v>65</v>
      </c>
      <c r="B908" s="2"/>
      <c r="C908" s="1">
        <v>2006</v>
      </c>
      <c r="D908" s="1" t="s">
        <v>137</v>
      </c>
    </row>
    <row r="909" spans="1:4" x14ac:dyDescent="0.35">
      <c r="A909" s="1" t="s">
        <v>65</v>
      </c>
      <c r="B909" s="2"/>
      <c r="C909" s="1">
        <v>2007</v>
      </c>
      <c r="D909" s="1" t="s">
        <v>137</v>
      </c>
    </row>
    <row r="910" spans="1:4" x14ac:dyDescent="0.35">
      <c r="A910" s="1" t="s">
        <v>65</v>
      </c>
      <c r="B910" s="2"/>
      <c r="C910" s="1">
        <v>2008</v>
      </c>
      <c r="D910" s="1" t="s">
        <v>137</v>
      </c>
    </row>
    <row r="911" spans="1:4" x14ac:dyDescent="0.35">
      <c r="A911" s="1" t="s">
        <v>65</v>
      </c>
      <c r="B911" s="2"/>
      <c r="C911" s="1">
        <v>2009</v>
      </c>
      <c r="D911" s="1">
        <v>0</v>
      </c>
    </row>
    <row r="912" spans="1:4" x14ac:dyDescent="0.35">
      <c r="A912" s="1" t="s">
        <v>65</v>
      </c>
      <c r="B912" s="2"/>
      <c r="C912" s="1">
        <v>2010</v>
      </c>
      <c r="D912" s="1">
        <v>0.02</v>
      </c>
    </row>
    <row r="913" spans="1:4" x14ac:dyDescent="0.35">
      <c r="A913" s="1" t="s">
        <v>65</v>
      </c>
      <c r="B913" s="2"/>
      <c r="C913" s="1">
        <v>2011</v>
      </c>
      <c r="D913" s="1">
        <v>0.06</v>
      </c>
    </row>
    <row r="914" spans="1:4" x14ac:dyDescent="0.35">
      <c r="A914" s="1" t="s">
        <v>65</v>
      </c>
      <c r="B914" s="2"/>
      <c r="C914" s="1">
        <v>2012</v>
      </c>
      <c r="D914" s="1">
        <v>0.06</v>
      </c>
    </row>
    <row r="915" spans="1:4" x14ac:dyDescent="0.35">
      <c r="A915" s="1" t="s">
        <v>65</v>
      </c>
      <c r="B915" s="2"/>
      <c r="C915" s="1">
        <v>2013</v>
      </c>
      <c r="D915" s="1">
        <v>0.26</v>
      </c>
    </row>
    <row r="916" spans="1:4" x14ac:dyDescent="0.35">
      <c r="A916" s="1" t="s">
        <v>65</v>
      </c>
      <c r="B916" s="2"/>
      <c r="C916" s="1">
        <v>2014</v>
      </c>
      <c r="D916" s="1">
        <v>0.43</v>
      </c>
    </row>
    <row r="917" spans="1:4" x14ac:dyDescent="0.35">
      <c r="A917" s="1" t="s">
        <v>65</v>
      </c>
      <c r="B917" s="2"/>
      <c r="C917" s="1">
        <v>2015</v>
      </c>
      <c r="D917" s="1">
        <v>0.66</v>
      </c>
    </row>
    <row r="918" spans="1:4" x14ac:dyDescent="0.35">
      <c r="A918" s="1" t="s">
        <v>65</v>
      </c>
      <c r="B918" s="2"/>
      <c r="C918" s="1">
        <v>2016</v>
      </c>
      <c r="D918" s="1">
        <v>2.4500000000000002</v>
      </c>
    </row>
    <row r="919" spans="1:4" x14ac:dyDescent="0.35">
      <c r="A919" s="1" t="s">
        <v>65</v>
      </c>
      <c r="B919" s="2"/>
      <c r="C919" s="1">
        <v>2017</v>
      </c>
      <c r="D919" s="1">
        <v>3.27</v>
      </c>
    </row>
    <row r="920" spans="1:4" x14ac:dyDescent="0.35">
      <c r="A920" s="1" t="s">
        <v>65</v>
      </c>
      <c r="B920" s="2"/>
      <c r="C920" s="1">
        <v>2018</v>
      </c>
      <c r="D920" s="1">
        <v>6.13</v>
      </c>
    </row>
    <row r="921" spans="1:4" x14ac:dyDescent="0.35">
      <c r="A921" s="1" t="s">
        <v>65</v>
      </c>
      <c r="B921" s="2"/>
      <c r="C921" s="1">
        <v>2019</v>
      </c>
      <c r="D921" s="1">
        <v>6.12</v>
      </c>
    </row>
    <row r="922" spans="1:4" x14ac:dyDescent="0.35">
      <c r="A922" s="1" t="s">
        <v>65</v>
      </c>
      <c r="B922" s="2"/>
      <c r="C922" s="1">
        <v>2020</v>
      </c>
      <c r="D922" s="1">
        <v>5.92</v>
      </c>
    </row>
    <row r="923" spans="1:4" x14ac:dyDescent="0.35">
      <c r="A923" s="1" t="s">
        <v>65</v>
      </c>
      <c r="B923" s="2"/>
      <c r="C923" s="1">
        <v>2021</v>
      </c>
      <c r="D923" s="1">
        <v>6.83</v>
      </c>
    </row>
    <row r="924" spans="1:4" x14ac:dyDescent="0.35">
      <c r="A924" s="1" t="s">
        <v>65</v>
      </c>
      <c r="B924" s="2"/>
      <c r="C924" s="1">
        <v>2022</v>
      </c>
      <c r="D924" s="1">
        <v>6.06</v>
      </c>
    </row>
    <row r="925" spans="1:4" x14ac:dyDescent="0.35">
      <c r="A925" s="1" t="s">
        <v>65</v>
      </c>
      <c r="B925" s="2"/>
      <c r="C925" s="1">
        <v>2023</v>
      </c>
      <c r="D925" s="1">
        <v>6.6</v>
      </c>
    </row>
    <row r="926" spans="1:4" x14ac:dyDescent="0.35">
      <c r="A926" s="1" t="s">
        <v>65</v>
      </c>
      <c r="B926" s="2"/>
      <c r="C926" s="1">
        <v>2024</v>
      </c>
      <c r="D926" s="1">
        <v>6.6</v>
      </c>
    </row>
    <row r="927" spans="1:4" x14ac:dyDescent="0.35">
      <c r="A927" s="1" t="s">
        <v>65</v>
      </c>
      <c r="B927" s="2" t="s">
        <v>136</v>
      </c>
      <c r="C927" s="1">
        <v>2000</v>
      </c>
      <c r="D927" s="1" t="s">
        <v>137</v>
      </c>
    </row>
    <row r="928" spans="1:4" x14ac:dyDescent="0.35">
      <c r="A928" s="1" t="s">
        <v>65</v>
      </c>
      <c r="B928" s="2"/>
      <c r="C928" s="1">
        <v>2001</v>
      </c>
      <c r="D928" s="1" t="s">
        <v>137</v>
      </c>
    </row>
    <row r="929" spans="1:4" x14ac:dyDescent="0.35">
      <c r="A929" s="1" t="s">
        <v>65</v>
      </c>
      <c r="B929" s="2"/>
      <c r="C929" s="1">
        <v>2002</v>
      </c>
      <c r="D929" s="1" t="s">
        <v>137</v>
      </c>
    </row>
    <row r="930" spans="1:4" x14ac:dyDescent="0.35">
      <c r="A930" s="1" t="s">
        <v>65</v>
      </c>
      <c r="B930" s="2"/>
      <c r="C930" s="1">
        <v>2003</v>
      </c>
      <c r="D930" s="1" t="s">
        <v>137</v>
      </c>
    </row>
    <row r="931" spans="1:4" x14ac:dyDescent="0.35">
      <c r="A931" s="1" t="s">
        <v>65</v>
      </c>
      <c r="B931" s="2"/>
      <c r="C931" s="1">
        <v>2004</v>
      </c>
      <c r="D931" s="1" t="s">
        <v>137</v>
      </c>
    </row>
    <row r="932" spans="1:4" x14ac:dyDescent="0.35">
      <c r="A932" s="1" t="s">
        <v>65</v>
      </c>
      <c r="B932" s="2"/>
      <c r="C932" s="1">
        <v>2005</v>
      </c>
      <c r="D932" s="1" t="s">
        <v>137</v>
      </c>
    </row>
    <row r="933" spans="1:4" x14ac:dyDescent="0.35">
      <c r="A933" s="1" t="s">
        <v>65</v>
      </c>
      <c r="B933" s="2"/>
      <c r="C933" s="1">
        <v>2006</v>
      </c>
      <c r="D933" s="1" t="s">
        <v>137</v>
      </c>
    </row>
    <row r="934" spans="1:4" x14ac:dyDescent="0.35">
      <c r="A934" s="1" t="s">
        <v>65</v>
      </c>
      <c r="B934" s="2"/>
      <c r="C934" s="1">
        <v>2007</v>
      </c>
      <c r="D934" s="1" t="s">
        <v>137</v>
      </c>
    </row>
    <row r="935" spans="1:4" x14ac:dyDescent="0.35">
      <c r="A935" s="1" t="s">
        <v>65</v>
      </c>
      <c r="B935" s="2"/>
      <c r="C935" s="1">
        <v>2008</v>
      </c>
      <c r="D935" s="1" t="s">
        <v>137</v>
      </c>
    </row>
    <row r="936" spans="1:4" x14ac:dyDescent="0.35">
      <c r="A936" s="1" t="s">
        <v>65</v>
      </c>
      <c r="B936" s="2"/>
      <c r="C936" s="1">
        <v>2009</v>
      </c>
      <c r="D936" s="1" t="s">
        <v>137</v>
      </c>
    </row>
    <row r="937" spans="1:4" x14ac:dyDescent="0.35">
      <c r="A937" s="1" t="s">
        <v>65</v>
      </c>
      <c r="B937" s="2"/>
      <c r="C937" s="1">
        <v>2010</v>
      </c>
      <c r="D937" s="1" t="s">
        <v>137</v>
      </c>
    </row>
    <row r="938" spans="1:4" x14ac:dyDescent="0.35">
      <c r="A938" s="1" t="s">
        <v>65</v>
      </c>
      <c r="B938" s="2"/>
      <c r="C938" s="1">
        <v>2011</v>
      </c>
      <c r="D938" s="1" t="s">
        <v>137</v>
      </c>
    </row>
    <row r="939" spans="1:4" x14ac:dyDescent="0.35">
      <c r="A939" s="1" t="s">
        <v>65</v>
      </c>
      <c r="B939" s="2"/>
      <c r="C939" s="1">
        <v>2012</v>
      </c>
      <c r="D939" s="1" t="s">
        <v>137</v>
      </c>
    </row>
    <row r="940" spans="1:4" x14ac:dyDescent="0.35">
      <c r="A940" s="1" t="s">
        <v>65</v>
      </c>
      <c r="B940" s="2"/>
      <c r="C940" s="1">
        <v>2013</v>
      </c>
      <c r="D940" s="1" t="s">
        <v>137</v>
      </c>
    </row>
    <row r="941" spans="1:4" x14ac:dyDescent="0.35">
      <c r="A941" s="1" t="s">
        <v>65</v>
      </c>
      <c r="B941" s="2"/>
      <c r="C941" s="1">
        <v>2014</v>
      </c>
      <c r="D941" s="1">
        <v>0</v>
      </c>
    </row>
    <row r="942" spans="1:4" x14ac:dyDescent="0.35">
      <c r="A942" s="1" t="s">
        <v>65</v>
      </c>
      <c r="B942" s="2"/>
      <c r="C942" s="1">
        <v>2015</v>
      </c>
      <c r="D942" s="1">
        <v>1.1599999999999999</v>
      </c>
    </row>
    <row r="943" spans="1:4" x14ac:dyDescent="0.35">
      <c r="A943" s="1" t="s">
        <v>65</v>
      </c>
      <c r="B943" s="2"/>
      <c r="C943" s="1">
        <v>2016</v>
      </c>
      <c r="D943" s="1">
        <v>4.38</v>
      </c>
    </row>
    <row r="944" spans="1:4" x14ac:dyDescent="0.35">
      <c r="A944" s="1" t="s">
        <v>65</v>
      </c>
      <c r="B944" s="2"/>
      <c r="C944" s="1">
        <v>2017</v>
      </c>
      <c r="D944" s="1">
        <v>5.81</v>
      </c>
    </row>
    <row r="945" spans="1:4" x14ac:dyDescent="0.35">
      <c r="A945" s="1" t="s">
        <v>65</v>
      </c>
      <c r="B945" s="2"/>
      <c r="C945" s="1">
        <v>2018</v>
      </c>
      <c r="D945" s="1">
        <v>10.64</v>
      </c>
    </row>
    <row r="946" spans="1:4" x14ac:dyDescent="0.35">
      <c r="A946" s="1" t="s">
        <v>65</v>
      </c>
      <c r="B946" s="2"/>
      <c r="C946" s="1">
        <v>2019</v>
      </c>
      <c r="D946" s="1">
        <v>10.62</v>
      </c>
    </row>
    <row r="947" spans="1:4" x14ac:dyDescent="0.35">
      <c r="A947" s="1" t="s">
        <v>65</v>
      </c>
      <c r="B947" s="2"/>
      <c r="C947" s="1">
        <v>2020</v>
      </c>
      <c r="D947" s="1">
        <v>10.3</v>
      </c>
    </row>
    <row r="948" spans="1:4" x14ac:dyDescent="0.35">
      <c r="A948" s="1" t="s">
        <v>65</v>
      </c>
      <c r="B948" s="2"/>
      <c r="C948" s="1">
        <v>2021</v>
      </c>
      <c r="D948" s="1">
        <v>11.8</v>
      </c>
    </row>
    <row r="949" spans="1:4" x14ac:dyDescent="0.35">
      <c r="A949" s="1" t="s">
        <v>65</v>
      </c>
      <c r="B949" s="2"/>
      <c r="C949" s="1">
        <v>2022</v>
      </c>
      <c r="D949" s="1">
        <v>10.52</v>
      </c>
    </row>
    <row r="950" spans="1:4" x14ac:dyDescent="0.35">
      <c r="A950" s="1" t="s">
        <v>65</v>
      </c>
      <c r="B950" s="2"/>
      <c r="C950" s="1">
        <v>2023</v>
      </c>
      <c r="D950" s="1">
        <v>11.43</v>
      </c>
    </row>
    <row r="951" spans="1:4" x14ac:dyDescent="0.35">
      <c r="A951" s="1" t="s">
        <v>65</v>
      </c>
      <c r="B951" s="2"/>
      <c r="C951" s="1">
        <v>2024</v>
      </c>
      <c r="D951" s="1" t="s">
        <v>137</v>
      </c>
    </row>
    <row r="952" spans="1:4" x14ac:dyDescent="0.35">
      <c r="A952" s="1" t="s">
        <v>69</v>
      </c>
      <c r="B952" s="2" t="s">
        <v>134</v>
      </c>
      <c r="C952" s="1">
        <v>2000</v>
      </c>
      <c r="D952" s="1">
        <v>76.930000000000007</v>
      </c>
    </row>
    <row r="953" spans="1:4" x14ac:dyDescent="0.35">
      <c r="A953" s="1" t="s">
        <v>69</v>
      </c>
      <c r="B953" s="2"/>
      <c r="C953" s="1">
        <v>2001</v>
      </c>
      <c r="D953" s="1">
        <v>76.930000000000007</v>
      </c>
    </row>
    <row r="954" spans="1:4" x14ac:dyDescent="0.35">
      <c r="A954" s="1" t="s">
        <v>69</v>
      </c>
      <c r="B954" s="2"/>
      <c r="C954" s="1">
        <v>2002</v>
      </c>
      <c r="D954" s="1">
        <v>76.989999999999995</v>
      </c>
    </row>
    <row r="955" spans="1:4" x14ac:dyDescent="0.35">
      <c r="A955" s="1" t="s">
        <v>69</v>
      </c>
      <c r="B955" s="2"/>
      <c r="C955" s="1">
        <v>2003</v>
      </c>
      <c r="D955" s="1">
        <v>65.709999999999994</v>
      </c>
    </row>
    <row r="956" spans="1:4" x14ac:dyDescent="0.35">
      <c r="A956" s="1" t="s">
        <v>69</v>
      </c>
      <c r="B956" s="2"/>
      <c r="C956" s="1">
        <v>2004</v>
      </c>
      <c r="D956" s="1">
        <v>67.62</v>
      </c>
    </row>
    <row r="957" spans="1:4" x14ac:dyDescent="0.35">
      <c r="A957" s="1" t="s">
        <v>69</v>
      </c>
      <c r="B957" s="2"/>
      <c r="C957" s="1">
        <v>2005</v>
      </c>
      <c r="D957" s="1">
        <v>70.87</v>
      </c>
    </row>
    <row r="958" spans="1:4" x14ac:dyDescent="0.35">
      <c r="A958" s="1" t="s">
        <v>69</v>
      </c>
      <c r="B958" s="2"/>
      <c r="C958" s="1">
        <v>2006</v>
      </c>
      <c r="D958" s="1">
        <v>74.569999999999993</v>
      </c>
    </row>
    <row r="959" spans="1:4" x14ac:dyDescent="0.35">
      <c r="A959" s="1" t="s">
        <v>69</v>
      </c>
      <c r="B959" s="2"/>
      <c r="C959" s="1">
        <v>2007</v>
      </c>
      <c r="D959" s="1">
        <v>68.59</v>
      </c>
    </row>
    <row r="960" spans="1:4" x14ac:dyDescent="0.35">
      <c r="A960" s="1" t="s">
        <v>69</v>
      </c>
      <c r="B960" s="2"/>
      <c r="C960" s="1">
        <v>2008</v>
      </c>
      <c r="D960" s="1">
        <v>67.28</v>
      </c>
    </row>
    <row r="961" spans="1:4" x14ac:dyDescent="0.35">
      <c r="A961" s="1" t="s">
        <v>69</v>
      </c>
      <c r="B961" s="2"/>
      <c r="C961" s="1">
        <v>2009</v>
      </c>
      <c r="D961" s="1">
        <v>68.650000000000006</v>
      </c>
    </row>
    <row r="962" spans="1:4" x14ac:dyDescent="0.35">
      <c r="A962" s="1" t="s">
        <v>69</v>
      </c>
      <c r="B962" s="2"/>
      <c r="C962" s="1">
        <v>2010</v>
      </c>
      <c r="D962" s="1">
        <v>68.09</v>
      </c>
    </row>
    <row r="963" spans="1:4" x14ac:dyDescent="0.35">
      <c r="A963" s="1" t="s">
        <v>69</v>
      </c>
      <c r="B963" s="2"/>
      <c r="C963" s="1">
        <v>2011</v>
      </c>
      <c r="D963" s="1">
        <v>64.430000000000007</v>
      </c>
    </row>
    <row r="964" spans="1:4" x14ac:dyDescent="0.35">
      <c r="A964" s="1" t="s">
        <v>69</v>
      </c>
      <c r="B964" s="2"/>
      <c r="C964" s="1">
        <v>2012</v>
      </c>
      <c r="D964" s="1">
        <v>65.59</v>
      </c>
    </row>
    <row r="965" spans="1:4" x14ac:dyDescent="0.35">
      <c r="A965" s="1" t="s">
        <v>69</v>
      </c>
      <c r="B965" s="2"/>
      <c r="C965" s="1">
        <v>2013</v>
      </c>
      <c r="D965" s="1">
        <v>65.569999999999993</v>
      </c>
    </row>
    <row r="966" spans="1:4" x14ac:dyDescent="0.35">
      <c r="A966" s="1" t="s">
        <v>69</v>
      </c>
      <c r="B966" s="2"/>
      <c r="C966" s="1">
        <v>2014</v>
      </c>
      <c r="D966" s="1">
        <v>65.45</v>
      </c>
    </row>
    <row r="967" spans="1:4" x14ac:dyDescent="0.35">
      <c r="A967" s="1" t="s">
        <v>69</v>
      </c>
      <c r="B967" s="2"/>
      <c r="C967" s="1">
        <v>2015</v>
      </c>
      <c r="D967" s="1">
        <v>65.33</v>
      </c>
    </row>
    <row r="968" spans="1:4" x14ac:dyDescent="0.35">
      <c r="A968" s="1" t="s">
        <v>69</v>
      </c>
      <c r="B968" s="2"/>
      <c r="C968" s="1">
        <v>2016</v>
      </c>
      <c r="D968" s="1">
        <v>66.14</v>
      </c>
    </row>
    <row r="969" spans="1:4" x14ac:dyDescent="0.35">
      <c r="A969" s="1" t="s">
        <v>69</v>
      </c>
      <c r="B969" s="2"/>
      <c r="C969" s="1">
        <v>2017</v>
      </c>
      <c r="D969" s="1">
        <v>67.56</v>
      </c>
    </row>
    <row r="970" spans="1:4" x14ac:dyDescent="0.35">
      <c r="A970" s="1" t="s">
        <v>69</v>
      </c>
      <c r="B970" s="2"/>
      <c r="C970" s="1">
        <v>2018</v>
      </c>
      <c r="D970" s="1">
        <v>71.84</v>
      </c>
    </row>
    <row r="971" spans="1:4" x14ac:dyDescent="0.35">
      <c r="A971" s="1" t="s">
        <v>69</v>
      </c>
      <c r="B971" s="2"/>
      <c r="C971" s="1">
        <v>2019</v>
      </c>
      <c r="D971" s="1">
        <v>72.099999999999994</v>
      </c>
    </row>
    <row r="972" spans="1:4" x14ac:dyDescent="0.35">
      <c r="A972" s="1" t="s">
        <v>69</v>
      </c>
      <c r="B972" s="2"/>
      <c r="C972" s="1">
        <v>2020</v>
      </c>
      <c r="D972" s="1">
        <v>75.41</v>
      </c>
    </row>
    <row r="973" spans="1:4" x14ac:dyDescent="0.35">
      <c r="A973" s="1" t="s">
        <v>69</v>
      </c>
      <c r="B973" s="2"/>
      <c r="C973" s="1">
        <v>2021</v>
      </c>
      <c r="D973" s="1">
        <v>76.72</v>
      </c>
    </row>
    <row r="974" spans="1:4" x14ac:dyDescent="0.35">
      <c r="A974" s="1" t="s">
        <v>69</v>
      </c>
      <c r="B974" s="2"/>
      <c r="C974" s="1">
        <v>2022</v>
      </c>
      <c r="D974" s="1">
        <v>79.599999999999994</v>
      </c>
    </row>
    <row r="975" spans="1:4" x14ac:dyDescent="0.35">
      <c r="A975" s="1" t="s">
        <v>69</v>
      </c>
      <c r="B975" s="2"/>
      <c r="C975" s="1">
        <v>2023</v>
      </c>
      <c r="D975" s="1">
        <v>82.89</v>
      </c>
    </row>
    <row r="976" spans="1:4" x14ac:dyDescent="0.35">
      <c r="A976" s="1" t="s">
        <v>69</v>
      </c>
      <c r="B976" s="2"/>
      <c r="C976" s="1">
        <v>2024</v>
      </c>
      <c r="D976" s="1">
        <v>83.23</v>
      </c>
    </row>
    <row r="977" spans="1:4" x14ac:dyDescent="0.35">
      <c r="A977" s="1" t="s">
        <v>69</v>
      </c>
      <c r="B977" s="2" t="s">
        <v>136</v>
      </c>
      <c r="C977" s="1">
        <v>2000</v>
      </c>
      <c r="D977" s="1">
        <v>57.38</v>
      </c>
    </row>
    <row r="978" spans="1:4" x14ac:dyDescent="0.35">
      <c r="A978" s="1" t="s">
        <v>69</v>
      </c>
      <c r="B978" s="2"/>
      <c r="C978" s="1">
        <v>2001</v>
      </c>
      <c r="D978" s="1">
        <v>57.3</v>
      </c>
    </row>
    <row r="979" spans="1:4" x14ac:dyDescent="0.35">
      <c r="A979" s="1" t="s">
        <v>69</v>
      </c>
      <c r="B979" s="2"/>
      <c r="C979" s="1">
        <v>2002</v>
      </c>
      <c r="D979" s="1">
        <v>72.22</v>
      </c>
    </row>
    <row r="980" spans="1:4" x14ac:dyDescent="0.35">
      <c r="A980" s="1" t="s">
        <v>69</v>
      </c>
      <c r="B980" s="2"/>
      <c r="C980" s="1">
        <v>2003</v>
      </c>
      <c r="D980" s="1">
        <v>80.680000000000007</v>
      </c>
    </row>
    <row r="981" spans="1:4" x14ac:dyDescent="0.35">
      <c r="A981" s="1" t="s">
        <v>69</v>
      </c>
      <c r="B981" s="2"/>
      <c r="C981" s="1">
        <v>2004</v>
      </c>
      <c r="D981" s="1">
        <v>78.98</v>
      </c>
    </row>
    <row r="982" spans="1:4" x14ac:dyDescent="0.35">
      <c r="A982" s="1" t="s">
        <v>69</v>
      </c>
      <c r="B982" s="2"/>
      <c r="C982" s="1">
        <v>2005</v>
      </c>
      <c r="D982" s="1">
        <v>73.25</v>
      </c>
    </row>
    <row r="983" spans="1:4" x14ac:dyDescent="0.35">
      <c r="A983" s="1" t="s">
        <v>69</v>
      </c>
      <c r="B983" s="2"/>
      <c r="C983" s="1">
        <v>2006</v>
      </c>
      <c r="D983" s="1">
        <v>71.069999999999993</v>
      </c>
    </row>
    <row r="984" spans="1:4" x14ac:dyDescent="0.35">
      <c r="A984" s="1" t="s">
        <v>69</v>
      </c>
      <c r="B984" s="2"/>
      <c r="C984" s="1">
        <v>2007</v>
      </c>
      <c r="D984" s="1">
        <v>71.12</v>
      </c>
    </row>
    <row r="985" spans="1:4" x14ac:dyDescent="0.35">
      <c r="A985" s="1" t="s">
        <v>69</v>
      </c>
      <c r="B985" s="2"/>
      <c r="C985" s="1">
        <v>2008</v>
      </c>
      <c r="D985" s="1">
        <v>67.66</v>
      </c>
    </row>
    <row r="986" spans="1:4" x14ac:dyDescent="0.35">
      <c r="A986" s="1" t="s">
        <v>69</v>
      </c>
      <c r="B986" s="2"/>
      <c r="C986" s="1">
        <v>2009</v>
      </c>
      <c r="D986" s="1">
        <v>59.68</v>
      </c>
    </row>
    <row r="987" spans="1:4" x14ac:dyDescent="0.35">
      <c r="A987" s="1" t="s">
        <v>69</v>
      </c>
      <c r="B987" s="2"/>
      <c r="C987" s="1">
        <v>2010</v>
      </c>
      <c r="D987" s="1">
        <v>62.94</v>
      </c>
    </row>
    <row r="988" spans="1:4" x14ac:dyDescent="0.35">
      <c r="A988" s="1" t="s">
        <v>69</v>
      </c>
      <c r="B988" s="2"/>
      <c r="C988" s="1">
        <v>2011</v>
      </c>
      <c r="D988" s="1">
        <v>68.33</v>
      </c>
    </row>
    <row r="989" spans="1:4" x14ac:dyDescent="0.35">
      <c r="A989" s="1" t="s">
        <v>69</v>
      </c>
      <c r="B989" s="2"/>
      <c r="C989" s="1">
        <v>2012</v>
      </c>
      <c r="D989" s="1">
        <v>71.27</v>
      </c>
    </row>
    <row r="990" spans="1:4" x14ac:dyDescent="0.35">
      <c r="A990" s="1" t="s">
        <v>69</v>
      </c>
      <c r="B990" s="2"/>
      <c r="C990" s="1">
        <v>2013</v>
      </c>
      <c r="D990" s="1">
        <v>72.400000000000006</v>
      </c>
    </row>
    <row r="991" spans="1:4" x14ac:dyDescent="0.35">
      <c r="A991" s="1" t="s">
        <v>69</v>
      </c>
      <c r="B991" s="2"/>
      <c r="C991" s="1">
        <v>2014</v>
      </c>
      <c r="D991" s="1">
        <v>75.27</v>
      </c>
    </row>
    <row r="992" spans="1:4" x14ac:dyDescent="0.35">
      <c r="A992" s="1" t="s">
        <v>69</v>
      </c>
      <c r="B992" s="2"/>
      <c r="C992" s="1">
        <v>2015</v>
      </c>
      <c r="D992" s="1">
        <v>83.38</v>
      </c>
    </row>
    <row r="993" spans="1:4" x14ac:dyDescent="0.35">
      <c r="A993" s="1" t="s">
        <v>69</v>
      </c>
      <c r="B993" s="2"/>
      <c r="C993" s="1">
        <v>2016</v>
      </c>
      <c r="D993" s="1">
        <v>82.52</v>
      </c>
    </row>
    <row r="994" spans="1:4" x14ac:dyDescent="0.35">
      <c r="A994" s="1" t="s">
        <v>69</v>
      </c>
      <c r="B994" s="2"/>
      <c r="C994" s="1">
        <v>2017</v>
      </c>
      <c r="D994" s="1">
        <v>79.33</v>
      </c>
    </row>
    <row r="995" spans="1:4" x14ac:dyDescent="0.35">
      <c r="A995" s="1" t="s">
        <v>69</v>
      </c>
      <c r="B995" s="2"/>
      <c r="C995" s="1">
        <v>2018</v>
      </c>
      <c r="D995" s="1">
        <v>83.68</v>
      </c>
    </row>
    <row r="996" spans="1:4" x14ac:dyDescent="0.35">
      <c r="A996" s="1" t="s">
        <v>69</v>
      </c>
      <c r="B996" s="2"/>
      <c r="C996" s="1">
        <v>2019</v>
      </c>
      <c r="D996" s="1">
        <v>89.64</v>
      </c>
    </row>
    <row r="997" spans="1:4" x14ac:dyDescent="0.35">
      <c r="A997" s="1" t="s">
        <v>69</v>
      </c>
      <c r="B997" s="2"/>
      <c r="C997" s="1">
        <v>2020</v>
      </c>
      <c r="D997" s="1">
        <v>91.46</v>
      </c>
    </row>
    <row r="998" spans="1:4" x14ac:dyDescent="0.35">
      <c r="A998" s="1" t="s">
        <v>69</v>
      </c>
      <c r="B998" s="2"/>
      <c r="C998" s="1">
        <v>2021</v>
      </c>
      <c r="D998" s="1">
        <v>88.22</v>
      </c>
    </row>
    <row r="999" spans="1:4" x14ac:dyDescent="0.35">
      <c r="A999" s="1" t="s">
        <v>69</v>
      </c>
      <c r="B999" s="2"/>
      <c r="C999" s="1">
        <v>2022</v>
      </c>
      <c r="D999" s="1">
        <v>86.32</v>
      </c>
    </row>
    <row r="1000" spans="1:4" x14ac:dyDescent="0.35">
      <c r="A1000" s="1" t="s">
        <v>69</v>
      </c>
      <c r="B1000" s="2"/>
      <c r="C1000" s="1">
        <v>2023</v>
      </c>
      <c r="D1000" s="1">
        <v>89.09</v>
      </c>
    </row>
    <row r="1001" spans="1:4" x14ac:dyDescent="0.35">
      <c r="A1001" s="1" t="s">
        <v>69</v>
      </c>
      <c r="B1001" s="2"/>
      <c r="C1001" s="1">
        <v>2024</v>
      </c>
      <c r="D1001" s="1" t="s">
        <v>137</v>
      </c>
    </row>
    <row r="1002" spans="1:4" x14ac:dyDescent="0.35">
      <c r="A1002" s="1" t="s">
        <v>75</v>
      </c>
      <c r="B1002" s="2" t="s">
        <v>134</v>
      </c>
      <c r="C1002" s="1">
        <v>2000</v>
      </c>
      <c r="D1002" s="1">
        <v>98.43</v>
      </c>
    </row>
    <row r="1003" spans="1:4" x14ac:dyDescent="0.35">
      <c r="A1003" s="1" t="s">
        <v>75</v>
      </c>
      <c r="B1003" s="2"/>
      <c r="C1003" s="1">
        <v>2001</v>
      </c>
      <c r="D1003" s="1">
        <v>98.43</v>
      </c>
    </row>
    <row r="1004" spans="1:4" x14ac:dyDescent="0.35">
      <c r="A1004" s="1" t="s">
        <v>75</v>
      </c>
      <c r="B1004" s="2"/>
      <c r="C1004" s="1">
        <v>2002</v>
      </c>
      <c r="D1004" s="1">
        <v>98.43</v>
      </c>
    </row>
    <row r="1005" spans="1:4" x14ac:dyDescent="0.35">
      <c r="A1005" s="1" t="s">
        <v>75</v>
      </c>
      <c r="B1005" s="2"/>
      <c r="C1005" s="1">
        <v>2003</v>
      </c>
      <c r="D1005" s="1">
        <v>99.34</v>
      </c>
    </row>
    <row r="1006" spans="1:4" x14ac:dyDescent="0.35">
      <c r="A1006" s="1" t="s">
        <v>75</v>
      </c>
      <c r="B1006" s="2"/>
      <c r="C1006" s="1">
        <v>2004</v>
      </c>
      <c r="D1006" s="1">
        <v>99.34</v>
      </c>
    </row>
    <row r="1007" spans="1:4" x14ac:dyDescent="0.35">
      <c r="A1007" s="1" t="s">
        <v>75</v>
      </c>
      <c r="B1007" s="2"/>
      <c r="C1007" s="1">
        <v>2005</v>
      </c>
      <c r="D1007" s="1">
        <v>99.34</v>
      </c>
    </row>
    <row r="1008" spans="1:4" x14ac:dyDescent="0.35">
      <c r="A1008" s="1" t="s">
        <v>75</v>
      </c>
      <c r="B1008" s="2"/>
      <c r="C1008" s="1">
        <v>2006</v>
      </c>
      <c r="D1008" s="1">
        <v>99.32</v>
      </c>
    </row>
    <row r="1009" spans="1:4" x14ac:dyDescent="0.35">
      <c r="A1009" s="1" t="s">
        <v>75</v>
      </c>
      <c r="B1009" s="2"/>
      <c r="C1009" s="1">
        <v>2007</v>
      </c>
      <c r="D1009" s="1">
        <v>99.32</v>
      </c>
    </row>
    <row r="1010" spans="1:4" x14ac:dyDescent="0.35">
      <c r="A1010" s="1" t="s">
        <v>75</v>
      </c>
      <c r="B1010" s="2"/>
      <c r="C1010" s="1">
        <v>2008</v>
      </c>
      <c r="D1010" s="1">
        <v>99.32</v>
      </c>
    </row>
    <row r="1011" spans="1:4" x14ac:dyDescent="0.35">
      <c r="A1011" s="1" t="s">
        <v>75</v>
      </c>
      <c r="B1011" s="2"/>
      <c r="C1011" s="1">
        <v>2009</v>
      </c>
      <c r="D1011" s="1">
        <v>99.32</v>
      </c>
    </row>
    <row r="1012" spans="1:4" x14ac:dyDescent="0.35">
      <c r="A1012" s="1" t="s">
        <v>75</v>
      </c>
      <c r="B1012" s="2"/>
      <c r="C1012" s="1">
        <v>2010</v>
      </c>
      <c r="D1012" s="1">
        <v>99.32</v>
      </c>
    </row>
    <row r="1013" spans="1:4" x14ac:dyDescent="0.35">
      <c r="A1013" s="1" t="s">
        <v>75</v>
      </c>
      <c r="B1013" s="2"/>
      <c r="C1013" s="1">
        <v>2011</v>
      </c>
      <c r="D1013" s="1">
        <v>99.32</v>
      </c>
    </row>
    <row r="1014" spans="1:4" x14ac:dyDescent="0.35">
      <c r="A1014" s="1" t="s">
        <v>75</v>
      </c>
      <c r="B1014" s="2"/>
      <c r="C1014" s="1">
        <v>2012</v>
      </c>
      <c r="D1014" s="1">
        <v>99.34</v>
      </c>
    </row>
    <row r="1015" spans="1:4" x14ac:dyDescent="0.35">
      <c r="A1015" s="1" t="s">
        <v>75</v>
      </c>
      <c r="B1015" s="2"/>
      <c r="C1015" s="1">
        <v>2013</v>
      </c>
      <c r="D1015" s="1">
        <v>99.33</v>
      </c>
    </row>
    <row r="1016" spans="1:4" x14ac:dyDescent="0.35">
      <c r="A1016" s="1" t="s">
        <v>75</v>
      </c>
      <c r="B1016" s="2"/>
      <c r="C1016" s="1">
        <v>2014</v>
      </c>
      <c r="D1016" s="1">
        <v>99.33</v>
      </c>
    </row>
    <row r="1017" spans="1:4" x14ac:dyDescent="0.35">
      <c r="A1017" s="1" t="s">
        <v>75</v>
      </c>
      <c r="B1017" s="2"/>
      <c r="C1017" s="1">
        <v>2015</v>
      </c>
      <c r="D1017" s="1">
        <v>99.33</v>
      </c>
    </row>
    <row r="1018" spans="1:4" x14ac:dyDescent="0.35">
      <c r="A1018" s="1" t="s">
        <v>75</v>
      </c>
      <c r="B1018" s="2"/>
      <c r="C1018" s="1">
        <v>2016</v>
      </c>
      <c r="D1018" s="1">
        <v>99.33</v>
      </c>
    </row>
    <row r="1019" spans="1:4" x14ac:dyDescent="0.35">
      <c r="A1019" s="1" t="s">
        <v>75</v>
      </c>
      <c r="B1019" s="2"/>
      <c r="C1019" s="1">
        <v>2017</v>
      </c>
      <c r="D1019" s="1">
        <v>99.33</v>
      </c>
    </row>
    <row r="1020" spans="1:4" x14ac:dyDescent="0.35">
      <c r="A1020" s="1" t="s">
        <v>75</v>
      </c>
      <c r="B1020" s="2"/>
      <c r="C1020" s="1">
        <v>2018</v>
      </c>
      <c r="D1020" s="1">
        <v>99.33</v>
      </c>
    </row>
    <row r="1021" spans="1:4" x14ac:dyDescent="0.35">
      <c r="A1021" s="1" t="s">
        <v>75</v>
      </c>
      <c r="B1021" s="2"/>
      <c r="C1021" s="1">
        <v>2019</v>
      </c>
      <c r="D1021" s="1">
        <v>99.34</v>
      </c>
    </row>
    <row r="1022" spans="1:4" x14ac:dyDescent="0.35">
      <c r="A1022" s="1" t="s">
        <v>75</v>
      </c>
      <c r="B1022" s="2"/>
      <c r="C1022" s="1">
        <v>2020</v>
      </c>
      <c r="D1022" s="1">
        <v>99.34</v>
      </c>
    </row>
    <row r="1023" spans="1:4" x14ac:dyDescent="0.35">
      <c r="A1023" s="1" t="s">
        <v>75</v>
      </c>
      <c r="B1023" s="2"/>
      <c r="C1023" s="1">
        <v>2021</v>
      </c>
      <c r="D1023" s="1">
        <v>99.31</v>
      </c>
    </row>
    <row r="1024" spans="1:4" x14ac:dyDescent="0.35">
      <c r="A1024" s="1" t="s">
        <v>75</v>
      </c>
      <c r="B1024" s="2"/>
      <c r="C1024" s="1">
        <v>2022</v>
      </c>
      <c r="D1024" s="1">
        <v>99.3</v>
      </c>
    </row>
    <row r="1025" spans="1:4" x14ac:dyDescent="0.35">
      <c r="A1025" s="1" t="s">
        <v>75</v>
      </c>
      <c r="B1025" s="2"/>
      <c r="C1025" s="1">
        <v>2023</v>
      </c>
      <c r="D1025" s="1">
        <v>99.41</v>
      </c>
    </row>
    <row r="1026" spans="1:4" x14ac:dyDescent="0.35">
      <c r="A1026" s="1" t="s">
        <v>75</v>
      </c>
      <c r="B1026" s="2"/>
      <c r="C1026" s="1">
        <v>2024</v>
      </c>
      <c r="D1026" s="1">
        <v>98.84</v>
      </c>
    </row>
    <row r="1027" spans="1:4" x14ac:dyDescent="0.35">
      <c r="A1027" s="1" t="s">
        <v>75</v>
      </c>
      <c r="B1027" s="2" t="s">
        <v>136</v>
      </c>
      <c r="C1027" s="1">
        <v>2000</v>
      </c>
      <c r="D1027" s="1">
        <v>99.9</v>
      </c>
    </row>
    <row r="1028" spans="1:4" x14ac:dyDescent="0.35">
      <c r="A1028" s="1" t="s">
        <v>75</v>
      </c>
      <c r="B1028" s="2"/>
      <c r="C1028" s="1">
        <v>2001</v>
      </c>
      <c r="D1028" s="1">
        <v>99.9</v>
      </c>
    </row>
    <row r="1029" spans="1:4" x14ac:dyDescent="0.35">
      <c r="A1029" s="1" t="s">
        <v>75</v>
      </c>
      <c r="B1029" s="2"/>
      <c r="C1029" s="1">
        <v>2002</v>
      </c>
      <c r="D1029" s="1">
        <v>99.91</v>
      </c>
    </row>
    <row r="1030" spans="1:4" x14ac:dyDescent="0.35">
      <c r="A1030" s="1" t="s">
        <v>75</v>
      </c>
      <c r="B1030" s="2"/>
      <c r="C1030" s="1">
        <v>2003</v>
      </c>
      <c r="D1030" s="1">
        <v>99.91</v>
      </c>
    </row>
    <row r="1031" spans="1:4" x14ac:dyDescent="0.35">
      <c r="A1031" s="1" t="s">
        <v>75</v>
      </c>
      <c r="B1031" s="2"/>
      <c r="C1031" s="1">
        <v>2004</v>
      </c>
      <c r="D1031" s="1">
        <v>99.91</v>
      </c>
    </row>
    <row r="1032" spans="1:4" x14ac:dyDescent="0.35">
      <c r="A1032" s="1" t="s">
        <v>75</v>
      </c>
      <c r="B1032" s="2"/>
      <c r="C1032" s="1">
        <v>2005</v>
      </c>
      <c r="D1032" s="1">
        <v>99.92</v>
      </c>
    </row>
    <row r="1033" spans="1:4" x14ac:dyDescent="0.35">
      <c r="A1033" s="1" t="s">
        <v>75</v>
      </c>
      <c r="B1033" s="2"/>
      <c r="C1033" s="1">
        <v>2006</v>
      </c>
      <c r="D1033" s="1">
        <v>99.92</v>
      </c>
    </row>
    <row r="1034" spans="1:4" x14ac:dyDescent="0.35">
      <c r="A1034" s="1" t="s">
        <v>75</v>
      </c>
      <c r="B1034" s="2"/>
      <c r="C1034" s="1">
        <v>2007</v>
      </c>
      <c r="D1034" s="1">
        <v>99.93</v>
      </c>
    </row>
    <row r="1035" spans="1:4" x14ac:dyDescent="0.35">
      <c r="A1035" s="1" t="s">
        <v>75</v>
      </c>
      <c r="B1035" s="2"/>
      <c r="C1035" s="1">
        <v>2008</v>
      </c>
      <c r="D1035" s="1">
        <v>99.92</v>
      </c>
    </row>
    <row r="1036" spans="1:4" x14ac:dyDescent="0.35">
      <c r="A1036" s="1" t="s">
        <v>75</v>
      </c>
      <c r="B1036" s="2"/>
      <c r="C1036" s="1">
        <v>2009</v>
      </c>
      <c r="D1036" s="1">
        <v>99.93</v>
      </c>
    </row>
    <row r="1037" spans="1:4" x14ac:dyDescent="0.35">
      <c r="A1037" s="1" t="s">
        <v>75</v>
      </c>
      <c r="B1037" s="2"/>
      <c r="C1037" s="1">
        <v>2010</v>
      </c>
      <c r="D1037" s="1">
        <v>99.92</v>
      </c>
    </row>
    <row r="1038" spans="1:4" x14ac:dyDescent="0.35">
      <c r="A1038" s="1" t="s">
        <v>75</v>
      </c>
      <c r="B1038" s="2"/>
      <c r="C1038" s="1">
        <v>2011</v>
      </c>
      <c r="D1038" s="1">
        <v>99.92</v>
      </c>
    </row>
    <row r="1039" spans="1:4" x14ac:dyDescent="0.35">
      <c r="A1039" s="1" t="s">
        <v>75</v>
      </c>
      <c r="B1039" s="2"/>
      <c r="C1039" s="1">
        <v>2012</v>
      </c>
      <c r="D1039" s="1">
        <v>99.92</v>
      </c>
    </row>
    <row r="1040" spans="1:4" x14ac:dyDescent="0.35">
      <c r="A1040" s="1" t="s">
        <v>75</v>
      </c>
      <c r="B1040" s="2"/>
      <c r="C1040" s="1">
        <v>2013</v>
      </c>
      <c r="D1040" s="1">
        <v>99.93</v>
      </c>
    </row>
    <row r="1041" spans="1:4" x14ac:dyDescent="0.35">
      <c r="A1041" s="1" t="s">
        <v>75</v>
      </c>
      <c r="B1041" s="2"/>
      <c r="C1041" s="1">
        <v>2014</v>
      </c>
      <c r="D1041" s="1">
        <v>99.93</v>
      </c>
    </row>
    <row r="1042" spans="1:4" x14ac:dyDescent="0.35">
      <c r="A1042" s="1" t="s">
        <v>75</v>
      </c>
      <c r="B1042" s="2"/>
      <c r="C1042" s="1">
        <v>2015</v>
      </c>
      <c r="D1042" s="1">
        <v>99.93</v>
      </c>
    </row>
    <row r="1043" spans="1:4" x14ac:dyDescent="0.35">
      <c r="A1043" s="1" t="s">
        <v>75</v>
      </c>
      <c r="B1043" s="2"/>
      <c r="C1043" s="1">
        <v>2016</v>
      </c>
      <c r="D1043" s="1">
        <v>99.93</v>
      </c>
    </row>
    <row r="1044" spans="1:4" x14ac:dyDescent="0.35">
      <c r="A1044" s="1" t="s">
        <v>75</v>
      </c>
      <c r="B1044" s="2"/>
      <c r="C1044" s="1">
        <v>2017</v>
      </c>
      <c r="D1044" s="1">
        <v>99.88</v>
      </c>
    </row>
    <row r="1045" spans="1:4" x14ac:dyDescent="0.35">
      <c r="A1045" s="1" t="s">
        <v>75</v>
      </c>
      <c r="B1045" s="2"/>
      <c r="C1045" s="1">
        <v>2018</v>
      </c>
      <c r="D1045" s="1">
        <v>99.88</v>
      </c>
    </row>
    <row r="1046" spans="1:4" x14ac:dyDescent="0.35">
      <c r="A1046" s="1" t="s">
        <v>75</v>
      </c>
      <c r="B1046" s="2"/>
      <c r="C1046" s="1">
        <v>2019</v>
      </c>
      <c r="D1046" s="1">
        <v>99.87</v>
      </c>
    </row>
    <row r="1047" spans="1:4" x14ac:dyDescent="0.35">
      <c r="A1047" s="1" t="s">
        <v>75</v>
      </c>
      <c r="B1047" s="2"/>
      <c r="C1047" s="1">
        <v>2020</v>
      </c>
      <c r="D1047" s="1">
        <v>99.88</v>
      </c>
    </row>
    <row r="1048" spans="1:4" x14ac:dyDescent="0.35">
      <c r="A1048" s="1" t="s">
        <v>75</v>
      </c>
      <c r="B1048" s="2"/>
      <c r="C1048" s="1">
        <v>2021</v>
      </c>
      <c r="D1048" s="1">
        <v>99.53</v>
      </c>
    </row>
    <row r="1049" spans="1:4" x14ac:dyDescent="0.35">
      <c r="A1049" s="1" t="s">
        <v>75</v>
      </c>
      <c r="B1049" s="2"/>
      <c r="C1049" s="1">
        <v>2022</v>
      </c>
      <c r="D1049" s="1">
        <v>99.83</v>
      </c>
    </row>
    <row r="1050" spans="1:4" x14ac:dyDescent="0.35">
      <c r="A1050" s="1" t="s">
        <v>75</v>
      </c>
      <c r="B1050" s="2"/>
      <c r="C1050" s="1">
        <v>2023</v>
      </c>
      <c r="D1050" s="1">
        <v>99.83</v>
      </c>
    </row>
    <row r="1051" spans="1:4" x14ac:dyDescent="0.35">
      <c r="A1051" s="1" t="s">
        <v>75</v>
      </c>
      <c r="B1051" s="2"/>
      <c r="C1051" s="1">
        <v>2024</v>
      </c>
      <c r="D1051" s="1" t="s">
        <v>137</v>
      </c>
    </row>
    <row r="1052" spans="1:4" x14ac:dyDescent="0.35">
      <c r="A1052" s="1" t="s">
        <v>71</v>
      </c>
      <c r="B1052" s="2" t="s">
        <v>134</v>
      </c>
      <c r="C1052" s="1">
        <v>2000</v>
      </c>
      <c r="D1052" s="1">
        <v>6.42</v>
      </c>
    </row>
    <row r="1053" spans="1:4" x14ac:dyDescent="0.35">
      <c r="A1053" s="1" t="s">
        <v>71</v>
      </c>
      <c r="B1053" s="2"/>
      <c r="C1053" s="1">
        <v>2001</v>
      </c>
      <c r="D1053" s="1">
        <v>6.42</v>
      </c>
    </row>
    <row r="1054" spans="1:4" x14ac:dyDescent="0.35">
      <c r="A1054" s="1" t="s">
        <v>71</v>
      </c>
      <c r="B1054" s="2"/>
      <c r="C1054" s="1">
        <v>2002</v>
      </c>
      <c r="D1054" s="1">
        <v>6.42</v>
      </c>
    </row>
    <row r="1055" spans="1:4" x14ac:dyDescent="0.35">
      <c r="A1055" s="1" t="s">
        <v>71</v>
      </c>
      <c r="B1055" s="2"/>
      <c r="C1055" s="1">
        <v>2003</v>
      </c>
      <c r="D1055" s="1">
        <v>6.42</v>
      </c>
    </row>
    <row r="1056" spans="1:4" x14ac:dyDescent="0.35">
      <c r="A1056" s="1" t="s">
        <v>71</v>
      </c>
      <c r="B1056" s="2"/>
      <c r="C1056" s="1">
        <v>2004</v>
      </c>
      <c r="D1056" s="1">
        <v>6.17</v>
      </c>
    </row>
    <row r="1057" spans="1:4" x14ac:dyDescent="0.35">
      <c r="A1057" s="1" t="s">
        <v>71</v>
      </c>
      <c r="B1057" s="2"/>
      <c r="C1057" s="1">
        <v>2005</v>
      </c>
      <c r="D1057" s="1">
        <v>6.17</v>
      </c>
    </row>
    <row r="1058" spans="1:4" x14ac:dyDescent="0.35">
      <c r="A1058" s="1" t="s">
        <v>71</v>
      </c>
      <c r="B1058" s="2"/>
      <c r="C1058" s="1">
        <v>2006</v>
      </c>
      <c r="D1058" s="1">
        <v>6.17</v>
      </c>
    </row>
    <row r="1059" spans="1:4" x14ac:dyDescent="0.35">
      <c r="A1059" s="1" t="s">
        <v>71</v>
      </c>
      <c r="B1059" s="2"/>
      <c r="C1059" s="1">
        <v>2007</v>
      </c>
      <c r="D1059" s="1">
        <v>5.8</v>
      </c>
    </row>
    <row r="1060" spans="1:4" x14ac:dyDescent="0.35">
      <c r="A1060" s="1" t="s">
        <v>71</v>
      </c>
      <c r="B1060" s="2"/>
      <c r="C1060" s="1">
        <v>2008</v>
      </c>
      <c r="D1060" s="1">
        <v>5.8</v>
      </c>
    </row>
    <row r="1061" spans="1:4" x14ac:dyDescent="0.35">
      <c r="A1061" s="1" t="s">
        <v>71</v>
      </c>
      <c r="B1061" s="2"/>
      <c r="C1061" s="1">
        <v>2009</v>
      </c>
      <c r="D1061" s="1">
        <v>5.8</v>
      </c>
    </row>
    <row r="1062" spans="1:4" x14ac:dyDescent="0.35">
      <c r="A1062" s="1" t="s">
        <v>71</v>
      </c>
      <c r="B1062" s="2"/>
      <c r="C1062" s="1">
        <v>2010</v>
      </c>
      <c r="D1062" s="1">
        <v>5.21</v>
      </c>
    </row>
    <row r="1063" spans="1:4" x14ac:dyDescent="0.35">
      <c r="A1063" s="1" t="s">
        <v>71</v>
      </c>
      <c r="B1063" s="2"/>
      <c r="C1063" s="1">
        <v>2011</v>
      </c>
      <c r="D1063" s="1">
        <v>5.09</v>
      </c>
    </row>
    <row r="1064" spans="1:4" x14ac:dyDescent="0.35">
      <c r="A1064" s="1" t="s">
        <v>71</v>
      </c>
      <c r="B1064" s="2"/>
      <c r="C1064" s="1">
        <v>2012</v>
      </c>
      <c r="D1064" s="1">
        <v>5.09</v>
      </c>
    </row>
    <row r="1065" spans="1:4" x14ac:dyDescent="0.35">
      <c r="A1065" s="1" t="s">
        <v>71</v>
      </c>
      <c r="B1065" s="2"/>
      <c r="C1065" s="1">
        <v>2013</v>
      </c>
      <c r="D1065" s="1">
        <v>5.07</v>
      </c>
    </row>
    <row r="1066" spans="1:4" x14ac:dyDescent="0.35">
      <c r="A1066" s="1" t="s">
        <v>71</v>
      </c>
      <c r="B1066" s="2"/>
      <c r="C1066" s="1">
        <v>2014</v>
      </c>
      <c r="D1066" s="1">
        <v>5.16</v>
      </c>
    </row>
    <row r="1067" spans="1:4" x14ac:dyDescent="0.35">
      <c r="A1067" s="1" t="s">
        <v>71</v>
      </c>
      <c r="B1067" s="2"/>
      <c r="C1067" s="1">
        <v>2015</v>
      </c>
      <c r="D1067" s="1">
        <v>5.18</v>
      </c>
    </row>
    <row r="1068" spans="1:4" x14ac:dyDescent="0.35">
      <c r="A1068" s="1" t="s">
        <v>71</v>
      </c>
      <c r="B1068" s="2"/>
      <c r="C1068" s="1">
        <v>2016</v>
      </c>
      <c r="D1068" s="1">
        <v>21.82</v>
      </c>
    </row>
    <row r="1069" spans="1:4" x14ac:dyDescent="0.35">
      <c r="A1069" s="1" t="s">
        <v>71</v>
      </c>
      <c r="B1069" s="2"/>
      <c r="C1069" s="1">
        <v>2017</v>
      </c>
      <c r="D1069" s="1">
        <v>48.9</v>
      </c>
    </row>
    <row r="1070" spans="1:4" x14ac:dyDescent="0.35">
      <c r="A1070" s="1" t="s">
        <v>71</v>
      </c>
      <c r="B1070" s="2"/>
      <c r="C1070" s="1">
        <v>2018</v>
      </c>
      <c r="D1070" s="1">
        <v>48.99</v>
      </c>
    </row>
    <row r="1071" spans="1:4" x14ac:dyDescent="0.35">
      <c r="A1071" s="1" t="s">
        <v>71</v>
      </c>
      <c r="B1071" s="2"/>
      <c r="C1071" s="1">
        <v>2019</v>
      </c>
      <c r="D1071" s="1">
        <v>49.1</v>
      </c>
    </row>
    <row r="1072" spans="1:4" x14ac:dyDescent="0.35">
      <c r="A1072" s="1" t="s">
        <v>71</v>
      </c>
      <c r="B1072" s="2"/>
      <c r="C1072" s="1">
        <v>2020</v>
      </c>
      <c r="D1072" s="1">
        <v>49.34</v>
      </c>
    </row>
    <row r="1073" spans="1:4" x14ac:dyDescent="0.35">
      <c r="A1073" s="1" t="s">
        <v>71</v>
      </c>
      <c r="B1073" s="2"/>
      <c r="C1073" s="1">
        <v>2021</v>
      </c>
      <c r="D1073" s="1">
        <v>49.26</v>
      </c>
    </row>
    <row r="1074" spans="1:4" x14ac:dyDescent="0.35">
      <c r="A1074" s="1" t="s">
        <v>71</v>
      </c>
      <c r="B1074" s="2"/>
      <c r="C1074" s="1">
        <v>2022</v>
      </c>
      <c r="D1074" s="1">
        <v>49.42</v>
      </c>
    </row>
    <row r="1075" spans="1:4" x14ac:dyDescent="0.35">
      <c r="A1075" s="1" t="s">
        <v>71</v>
      </c>
      <c r="B1075" s="2"/>
      <c r="C1075" s="1">
        <v>2023</v>
      </c>
      <c r="D1075" s="1">
        <v>49.48</v>
      </c>
    </row>
    <row r="1076" spans="1:4" x14ac:dyDescent="0.35">
      <c r="A1076" s="1" t="s">
        <v>71</v>
      </c>
      <c r="B1076" s="2"/>
      <c r="C1076" s="1">
        <v>2024</v>
      </c>
      <c r="D1076" s="1">
        <v>49.48</v>
      </c>
    </row>
    <row r="1077" spans="1:4" x14ac:dyDescent="0.35">
      <c r="A1077" s="1" t="s">
        <v>71</v>
      </c>
      <c r="B1077" s="2" t="s">
        <v>136</v>
      </c>
      <c r="C1077" s="1">
        <v>2000</v>
      </c>
      <c r="D1077" s="1">
        <v>11.09</v>
      </c>
    </row>
    <row r="1078" spans="1:4" x14ac:dyDescent="0.35">
      <c r="A1078" s="1" t="s">
        <v>71</v>
      </c>
      <c r="B1078" s="2"/>
      <c r="C1078" s="1">
        <v>2001</v>
      </c>
      <c r="D1078" s="1">
        <v>11.09</v>
      </c>
    </row>
    <row r="1079" spans="1:4" x14ac:dyDescent="0.35">
      <c r="A1079" s="1" t="s">
        <v>71</v>
      </c>
      <c r="B1079" s="2"/>
      <c r="C1079" s="1">
        <v>2002</v>
      </c>
      <c r="D1079" s="1">
        <v>11.09</v>
      </c>
    </row>
    <row r="1080" spans="1:4" x14ac:dyDescent="0.35">
      <c r="A1080" s="1" t="s">
        <v>71</v>
      </c>
      <c r="B1080" s="2"/>
      <c r="C1080" s="1">
        <v>2003</v>
      </c>
      <c r="D1080" s="1">
        <v>11.09</v>
      </c>
    </row>
    <row r="1081" spans="1:4" x14ac:dyDescent="0.35">
      <c r="A1081" s="1" t="s">
        <v>71</v>
      </c>
      <c r="B1081" s="2"/>
      <c r="C1081" s="1">
        <v>2004</v>
      </c>
      <c r="D1081" s="1">
        <v>11.09</v>
      </c>
    </row>
    <row r="1082" spans="1:4" x14ac:dyDescent="0.35">
      <c r="A1082" s="1" t="s">
        <v>71</v>
      </c>
      <c r="B1082" s="2"/>
      <c r="C1082" s="1">
        <v>2005</v>
      </c>
      <c r="D1082" s="1">
        <v>11.09</v>
      </c>
    </row>
    <row r="1083" spans="1:4" x14ac:dyDescent="0.35">
      <c r="A1083" s="1" t="s">
        <v>71</v>
      </c>
      <c r="B1083" s="2"/>
      <c r="C1083" s="1">
        <v>2006</v>
      </c>
      <c r="D1083" s="1">
        <v>11.09</v>
      </c>
    </row>
    <row r="1084" spans="1:4" x14ac:dyDescent="0.35">
      <c r="A1084" s="1" t="s">
        <v>71</v>
      </c>
      <c r="B1084" s="2"/>
      <c r="C1084" s="1">
        <v>2007</v>
      </c>
      <c r="D1084" s="1">
        <v>9.07</v>
      </c>
    </row>
    <row r="1085" spans="1:4" x14ac:dyDescent="0.35">
      <c r="A1085" s="1" t="s">
        <v>71</v>
      </c>
      <c r="B1085" s="2"/>
      <c r="C1085" s="1">
        <v>2008</v>
      </c>
      <c r="D1085" s="1">
        <v>9.07</v>
      </c>
    </row>
    <row r="1086" spans="1:4" x14ac:dyDescent="0.35">
      <c r="A1086" s="1" t="s">
        <v>71</v>
      </c>
      <c r="B1086" s="2"/>
      <c r="C1086" s="1">
        <v>2009</v>
      </c>
      <c r="D1086" s="1">
        <v>9.07</v>
      </c>
    </row>
    <row r="1087" spans="1:4" x14ac:dyDescent="0.35">
      <c r="A1087" s="1" t="s">
        <v>71</v>
      </c>
      <c r="B1087" s="2"/>
      <c r="C1087" s="1">
        <v>2010</v>
      </c>
      <c r="D1087" s="1">
        <v>9.07</v>
      </c>
    </row>
    <row r="1088" spans="1:4" x14ac:dyDescent="0.35">
      <c r="A1088" s="1" t="s">
        <v>71</v>
      </c>
      <c r="B1088" s="2"/>
      <c r="C1088" s="1">
        <v>2011</v>
      </c>
      <c r="D1088" s="1">
        <v>7.77</v>
      </c>
    </row>
    <row r="1089" spans="1:4" x14ac:dyDescent="0.35">
      <c r="A1089" s="1" t="s">
        <v>71</v>
      </c>
      <c r="B1089" s="2"/>
      <c r="C1089" s="1">
        <v>2012</v>
      </c>
      <c r="D1089" s="1">
        <v>7.77</v>
      </c>
    </row>
    <row r="1090" spans="1:4" x14ac:dyDescent="0.35">
      <c r="A1090" s="1" t="s">
        <v>71</v>
      </c>
      <c r="B1090" s="2"/>
      <c r="C1090" s="1">
        <v>2013</v>
      </c>
      <c r="D1090" s="1">
        <v>7.82</v>
      </c>
    </row>
    <row r="1091" spans="1:4" x14ac:dyDescent="0.35">
      <c r="A1091" s="1" t="s">
        <v>71</v>
      </c>
      <c r="B1091" s="2"/>
      <c r="C1091" s="1">
        <v>2014</v>
      </c>
      <c r="D1091" s="1">
        <v>7.86</v>
      </c>
    </row>
    <row r="1092" spans="1:4" x14ac:dyDescent="0.35">
      <c r="A1092" s="1" t="s">
        <v>71</v>
      </c>
      <c r="B1092" s="2"/>
      <c r="C1092" s="1">
        <v>2015</v>
      </c>
      <c r="D1092" s="1">
        <v>7.63</v>
      </c>
    </row>
    <row r="1093" spans="1:4" x14ac:dyDescent="0.35">
      <c r="A1093" s="1" t="s">
        <v>71</v>
      </c>
      <c r="B1093" s="2"/>
      <c r="C1093" s="1">
        <v>2016</v>
      </c>
      <c r="D1093" s="1">
        <v>7.95</v>
      </c>
    </row>
    <row r="1094" spans="1:4" x14ac:dyDescent="0.35">
      <c r="A1094" s="1" t="s">
        <v>71</v>
      </c>
      <c r="B1094" s="2"/>
      <c r="C1094" s="1">
        <v>2017</v>
      </c>
      <c r="D1094" s="1">
        <v>26.98</v>
      </c>
    </row>
    <row r="1095" spans="1:4" x14ac:dyDescent="0.35">
      <c r="A1095" s="1" t="s">
        <v>71</v>
      </c>
      <c r="B1095" s="2"/>
      <c r="C1095" s="1">
        <v>2018</v>
      </c>
      <c r="D1095" s="1">
        <v>32</v>
      </c>
    </row>
    <row r="1096" spans="1:4" x14ac:dyDescent="0.35">
      <c r="A1096" s="1" t="s">
        <v>71</v>
      </c>
      <c r="B1096" s="2"/>
      <c r="C1096" s="1">
        <v>2019</v>
      </c>
      <c r="D1096" s="1">
        <v>31.1</v>
      </c>
    </row>
    <row r="1097" spans="1:4" x14ac:dyDescent="0.35">
      <c r="A1097" s="1" t="s">
        <v>71</v>
      </c>
      <c r="B1097" s="2"/>
      <c r="C1097" s="1">
        <v>2020</v>
      </c>
      <c r="D1097" s="1">
        <v>29.35</v>
      </c>
    </row>
    <row r="1098" spans="1:4" x14ac:dyDescent="0.35">
      <c r="A1098" s="1" t="s">
        <v>71</v>
      </c>
      <c r="B1098" s="2"/>
      <c r="C1098" s="1">
        <v>2021</v>
      </c>
      <c r="D1098" s="1">
        <v>50.26</v>
      </c>
    </row>
    <row r="1099" spans="1:4" x14ac:dyDescent="0.35">
      <c r="A1099" s="1" t="s">
        <v>71</v>
      </c>
      <c r="B1099" s="2"/>
      <c r="C1099" s="1">
        <v>2022</v>
      </c>
      <c r="D1099" s="1">
        <v>52.21</v>
      </c>
    </row>
    <row r="1100" spans="1:4" x14ac:dyDescent="0.35">
      <c r="A1100" s="1" t="s">
        <v>71</v>
      </c>
      <c r="B1100" s="2"/>
      <c r="C1100" s="1">
        <v>2023</v>
      </c>
      <c r="D1100" s="1">
        <v>59.69</v>
      </c>
    </row>
    <row r="1101" spans="1:4" x14ac:dyDescent="0.35">
      <c r="A1101" s="1" t="s">
        <v>71</v>
      </c>
      <c r="B1101" s="2"/>
      <c r="C1101" s="1">
        <v>2024</v>
      </c>
      <c r="D1101" s="1" t="s">
        <v>137</v>
      </c>
    </row>
    <row r="1102" spans="1:4" x14ac:dyDescent="0.35">
      <c r="A1102" s="1" t="s">
        <v>73</v>
      </c>
      <c r="B1102" s="2" t="s">
        <v>134</v>
      </c>
      <c r="C1102" s="1">
        <v>2000</v>
      </c>
      <c r="D1102" s="1" t="s">
        <v>137</v>
      </c>
    </row>
    <row r="1103" spans="1:4" x14ac:dyDescent="0.35">
      <c r="A1103" s="1" t="s">
        <v>73</v>
      </c>
      <c r="B1103" s="2"/>
      <c r="C1103" s="1">
        <v>2001</v>
      </c>
      <c r="D1103" s="1" t="s">
        <v>137</v>
      </c>
    </row>
    <row r="1104" spans="1:4" x14ac:dyDescent="0.35">
      <c r="A1104" s="1" t="s">
        <v>73</v>
      </c>
      <c r="B1104" s="2"/>
      <c r="C1104" s="1">
        <v>2002</v>
      </c>
      <c r="D1104" s="1" t="s">
        <v>137</v>
      </c>
    </row>
    <row r="1105" spans="1:4" x14ac:dyDescent="0.35">
      <c r="A1105" s="1" t="s">
        <v>73</v>
      </c>
      <c r="B1105" s="2"/>
      <c r="C1105" s="1">
        <v>2003</v>
      </c>
      <c r="D1105" s="1">
        <v>0</v>
      </c>
    </row>
    <row r="1106" spans="1:4" x14ac:dyDescent="0.35">
      <c r="A1106" s="1" t="s">
        <v>73</v>
      </c>
      <c r="B1106" s="2"/>
      <c r="C1106" s="1">
        <v>2004</v>
      </c>
      <c r="D1106" s="1">
        <v>0.02</v>
      </c>
    </row>
    <row r="1107" spans="1:4" x14ac:dyDescent="0.35">
      <c r="A1107" s="1" t="s">
        <v>73</v>
      </c>
      <c r="B1107" s="2"/>
      <c r="C1107" s="1">
        <v>2005</v>
      </c>
      <c r="D1107" s="1">
        <v>0.02</v>
      </c>
    </row>
    <row r="1108" spans="1:4" x14ac:dyDescent="0.35">
      <c r="A1108" s="1" t="s">
        <v>73</v>
      </c>
      <c r="B1108" s="2"/>
      <c r="C1108" s="1">
        <v>2006</v>
      </c>
      <c r="D1108" s="1">
        <v>0.03</v>
      </c>
    </row>
    <row r="1109" spans="1:4" x14ac:dyDescent="0.35">
      <c r="A1109" s="1" t="s">
        <v>73</v>
      </c>
      <c r="B1109" s="2"/>
      <c r="C1109" s="1">
        <v>2007</v>
      </c>
      <c r="D1109" s="1">
        <v>0.04</v>
      </c>
    </row>
    <row r="1110" spans="1:4" x14ac:dyDescent="0.35">
      <c r="A1110" s="1" t="s">
        <v>73</v>
      </c>
      <c r="B1110" s="2"/>
      <c r="C1110" s="1">
        <v>2008</v>
      </c>
      <c r="D1110" s="1">
        <v>0.05</v>
      </c>
    </row>
    <row r="1111" spans="1:4" x14ac:dyDescent="0.35">
      <c r="A1111" s="1" t="s">
        <v>73</v>
      </c>
      <c r="B1111" s="2"/>
      <c r="C1111" s="1">
        <v>2009</v>
      </c>
      <c r="D1111" s="1">
        <v>0.06</v>
      </c>
    </row>
    <row r="1112" spans="1:4" x14ac:dyDescent="0.35">
      <c r="A1112" s="1" t="s">
        <v>73</v>
      </c>
      <c r="B1112" s="2"/>
      <c r="C1112" s="1">
        <v>2010</v>
      </c>
      <c r="D1112" s="1">
        <v>0.04</v>
      </c>
    </row>
    <row r="1113" spans="1:4" x14ac:dyDescent="0.35">
      <c r="A1113" s="1" t="s">
        <v>73</v>
      </c>
      <c r="B1113" s="2"/>
      <c r="C1113" s="1">
        <v>2011</v>
      </c>
      <c r="D1113" s="1">
        <v>0.05</v>
      </c>
    </row>
    <row r="1114" spans="1:4" x14ac:dyDescent="0.35">
      <c r="A1114" s="1" t="s">
        <v>73</v>
      </c>
      <c r="B1114" s="2"/>
      <c r="C1114" s="1">
        <v>2012</v>
      </c>
      <c r="D1114" s="1">
        <v>0.06</v>
      </c>
    </row>
    <row r="1115" spans="1:4" x14ac:dyDescent="0.35">
      <c r="A1115" s="1" t="s">
        <v>73</v>
      </c>
      <c r="B1115" s="2"/>
      <c r="C1115" s="1">
        <v>2013</v>
      </c>
      <c r="D1115" s="1">
        <v>0.05</v>
      </c>
    </row>
    <row r="1116" spans="1:4" x14ac:dyDescent="0.35">
      <c r="A1116" s="1" t="s">
        <v>73</v>
      </c>
      <c r="B1116" s="2"/>
      <c r="C1116" s="1">
        <v>2014</v>
      </c>
      <c r="D1116" s="1">
        <v>0.05</v>
      </c>
    </row>
    <row r="1117" spans="1:4" x14ac:dyDescent="0.35">
      <c r="A1117" s="1" t="s">
        <v>73</v>
      </c>
      <c r="B1117" s="2"/>
      <c r="C1117" s="1">
        <v>2015</v>
      </c>
      <c r="D1117" s="1">
        <v>0.05</v>
      </c>
    </row>
    <row r="1118" spans="1:4" x14ac:dyDescent="0.35">
      <c r="A1118" s="1" t="s">
        <v>73</v>
      </c>
      <c r="B1118" s="2"/>
      <c r="C1118" s="1">
        <v>2016</v>
      </c>
      <c r="D1118" s="1">
        <v>0.05</v>
      </c>
    </row>
    <row r="1119" spans="1:4" x14ac:dyDescent="0.35">
      <c r="A1119" s="1" t="s">
        <v>73</v>
      </c>
      <c r="B1119" s="2"/>
      <c r="C1119" s="1">
        <v>2017</v>
      </c>
      <c r="D1119" s="1">
        <v>0.05</v>
      </c>
    </row>
    <row r="1120" spans="1:4" x14ac:dyDescent="0.35">
      <c r="A1120" s="1" t="s">
        <v>73</v>
      </c>
      <c r="B1120" s="2"/>
      <c r="C1120" s="1">
        <v>2018</v>
      </c>
      <c r="D1120" s="1">
        <v>0.05</v>
      </c>
    </row>
    <row r="1121" spans="1:4" x14ac:dyDescent="0.35">
      <c r="A1121" s="1" t="s">
        <v>73</v>
      </c>
      <c r="B1121" s="2"/>
      <c r="C1121" s="1">
        <v>2019</v>
      </c>
      <c r="D1121" s="1">
        <v>0.05</v>
      </c>
    </row>
    <row r="1122" spans="1:4" x14ac:dyDescent="0.35">
      <c r="A1122" s="1" t="s">
        <v>73</v>
      </c>
      <c r="B1122" s="2"/>
      <c r="C1122" s="1">
        <v>2020</v>
      </c>
      <c r="D1122" s="1">
        <v>0.05</v>
      </c>
    </row>
    <row r="1123" spans="1:4" x14ac:dyDescent="0.35">
      <c r="A1123" s="1" t="s">
        <v>73</v>
      </c>
      <c r="B1123" s="2"/>
      <c r="C1123" s="1">
        <v>2021</v>
      </c>
      <c r="D1123" s="1">
        <v>0.06</v>
      </c>
    </row>
    <row r="1124" spans="1:4" x14ac:dyDescent="0.35">
      <c r="A1124" s="1" t="s">
        <v>73</v>
      </c>
      <c r="B1124" s="2"/>
      <c r="C1124" s="1">
        <v>2022</v>
      </c>
      <c r="D1124" s="1">
        <v>0.06</v>
      </c>
    </row>
    <row r="1125" spans="1:4" x14ac:dyDescent="0.35">
      <c r="A1125" s="1" t="s">
        <v>73</v>
      </c>
      <c r="B1125" s="2"/>
      <c r="C1125" s="1">
        <v>2023</v>
      </c>
      <c r="D1125" s="1">
        <v>7.0000000000000007E-2</v>
      </c>
    </row>
    <row r="1126" spans="1:4" x14ac:dyDescent="0.35">
      <c r="A1126" s="1" t="s">
        <v>73</v>
      </c>
      <c r="B1126" s="2"/>
      <c r="C1126" s="1">
        <v>2024</v>
      </c>
      <c r="D1126" s="1">
        <v>7.0000000000000007E-2</v>
      </c>
    </row>
    <row r="1127" spans="1:4" x14ac:dyDescent="0.35">
      <c r="A1127" s="1" t="s">
        <v>73</v>
      </c>
      <c r="B1127" s="2" t="s">
        <v>136</v>
      </c>
      <c r="C1127" s="1">
        <v>2000</v>
      </c>
      <c r="D1127" s="1" t="s">
        <v>137</v>
      </c>
    </row>
    <row r="1128" spans="1:4" x14ac:dyDescent="0.35">
      <c r="A1128" s="1" t="s">
        <v>73</v>
      </c>
      <c r="B1128" s="2"/>
      <c r="C1128" s="1">
        <v>2001</v>
      </c>
      <c r="D1128" s="1" t="s">
        <v>137</v>
      </c>
    </row>
    <row r="1129" spans="1:4" x14ac:dyDescent="0.35">
      <c r="A1129" s="1" t="s">
        <v>73</v>
      </c>
      <c r="B1129" s="2"/>
      <c r="C1129" s="1">
        <v>2002</v>
      </c>
      <c r="D1129" s="1" t="s">
        <v>137</v>
      </c>
    </row>
    <row r="1130" spans="1:4" x14ac:dyDescent="0.35">
      <c r="A1130" s="1" t="s">
        <v>73</v>
      </c>
      <c r="B1130" s="2"/>
      <c r="C1130" s="1">
        <v>2003</v>
      </c>
      <c r="D1130" s="1">
        <v>0</v>
      </c>
    </row>
    <row r="1131" spans="1:4" x14ac:dyDescent="0.35">
      <c r="A1131" s="1" t="s">
        <v>73</v>
      </c>
      <c r="B1131" s="2"/>
      <c r="C1131" s="1">
        <v>2004</v>
      </c>
      <c r="D1131" s="1">
        <v>0.01</v>
      </c>
    </row>
    <row r="1132" spans="1:4" x14ac:dyDescent="0.35">
      <c r="A1132" s="1" t="s">
        <v>73</v>
      </c>
      <c r="B1132" s="2"/>
      <c r="C1132" s="1">
        <v>2005</v>
      </c>
      <c r="D1132" s="1">
        <v>0.01</v>
      </c>
    </row>
    <row r="1133" spans="1:4" x14ac:dyDescent="0.35">
      <c r="A1133" s="1" t="s">
        <v>73</v>
      </c>
      <c r="B1133" s="2"/>
      <c r="C1133" s="1">
        <v>2006</v>
      </c>
      <c r="D1133" s="1">
        <v>0.01</v>
      </c>
    </row>
    <row r="1134" spans="1:4" x14ac:dyDescent="0.35">
      <c r="A1134" s="1" t="s">
        <v>73</v>
      </c>
      <c r="B1134" s="2"/>
      <c r="C1134" s="1">
        <v>2007</v>
      </c>
      <c r="D1134" s="1">
        <v>0.01</v>
      </c>
    </row>
    <row r="1135" spans="1:4" x14ac:dyDescent="0.35">
      <c r="A1135" s="1" t="s">
        <v>73</v>
      </c>
      <c r="B1135" s="2"/>
      <c r="C1135" s="1">
        <v>2008</v>
      </c>
      <c r="D1135" s="1">
        <v>0.01</v>
      </c>
    </row>
    <row r="1136" spans="1:4" x14ac:dyDescent="0.35">
      <c r="A1136" s="1" t="s">
        <v>73</v>
      </c>
      <c r="B1136" s="2"/>
      <c r="C1136" s="1">
        <v>2009</v>
      </c>
      <c r="D1136" s="1">
        <v>0.02</v>
      </c>
    </row>
    <row r="1137" spans="1:4" x14ac:dyDescent="0.35">
      <c r="A1137" s="1" t="s">
        <v>73</v>
      </c>
      <c r="B1137" s="2"/>
      <c r="C1137" s="1">
        <v>2010</v>
      </c>
      <c r="D1137" s="1">
        <v>0.02</v>
      </c>
    </row>
    <row r="1138" spans="1:4" x14ac:dyDescent="0.35">
      <c r="A1138" s="1" t="s">
        <v>73</v>
      </c>
      <c r="B1138" s="2"/>
      <c r="C1138" s="1">
        <v>2011</v>
      </c>
      <c r="D1138" s="1">
        <v>0.03</v>
      </c>
    </row>
    <row r="1139" spans="1:4" x14ac:dyDescent="0.35">
      <c r="A1139" s="1" t="s">
        <v>73</v>
      </c>
      <c r="B1139" s="2"/>
      <c r="C1139" s="1">
        <v>2012</v>
      </c>
      <c r="D1139" s="1">
        <v>0.02</v>
      </c>
    </row>
    <row r="1140" spans="1:4" x14ac:dyDescent="0.35">
      <c r="A1140" s="1" t="s">
        <v>73</v>
      </c>
      <c r="B1140" s="2"/>
      <c r="C1140" s="1">
        <v>2013</v>
      </c>
      <c r="D1140" s="1">
        <v>0.02</v>
      </c>
    </row>
    <row r="1141" spans="1:4" x14ac:dyDescent="0.35">
      <c r="A1141" s="1" t="s">
        <v>73</v>
      </c>
      <c r="B1141" s="2"/>
      <c r="C1141" s="1">
        <v>2014</v>
      </c>
      <c r="D1141" s="1">
        <v>0.02</v>
      </c>
    </row>
    <row r="1142" spans="1:4" x14ac:dyDescent="0.35">
      <c r="A1142" s="1" t="s">
        <v>73</v>
      </c>
      <c r="B1142" s="2"/>
      <c r="C1142" s="1">
        <v>2015</v>
      </c>
      <c r="D1142" s="1">
        <v>0.02</v>
      </c>
    </row>
    <row r="1143" spans="1:4" x14ac:dyDescent="0.35">
      <c r="A1143" s="1" t="s">
        <v>73</v>
      </c>
      <c r="B1143" s="2"/>
      <c r="C1143" s="1">
        <v>2016</v>
      </c>
      <c r="D1143" s="1">
        <v>0.02</v>
      </c>
    </row>
    <row r="1144" spans="1:4" x14ac:dyDescent="0.35">
      <c r="A1144" s="1" t="s">
        <v>73</v>
      </c>
      <c r="B1144" s="2"/>
      <c r="C1144" s="1">
        <v>2017</v>
      </c>
      <c r="D1144" s="1">
        <v>0.02</v>
      </c>
    </row>
    <row r="1145" spans="1:4" x14ac:dyDescent="0.35">
      <c r="A1145" s="1" t="s">
        <v>73</v>
      </c>
      <c r="B1145" s="2"/>
      <c r="C1145" s="1">
        <v>2018</v>
      </c>
      <c r="D1145" s="1">
        <v>0.02</v>
      </c>
    </row>
    <row r="1146" spans="1:4" x14ac:dyDescent="0.35">
      <c r="A1146" s="1" t="s">
        <v>73</v>
      </c>
      <c r="B1146" s="2"/>
      <c r="C1146" s="1">
        <v>2019</v>
      </c>
      <c r="D1146" s="1">
        <v>0.02</v>
      </c>
    </row>
    <row r="1147" spans="1:4" x14ac:dyDescent="0.35">
      <c r="A1147" s="1" t="s">
        <v>73</v>
      </c>
      <c r="B1147" s="2"/>
      <c r="C1147" s="1">
        <v>2020</v>
      </c>
      <c r="D1147" s="1">
        <v>0.03</v>
      </c>
    </row>
    <row r="1148" spans="1:4" x14ac:dyDescent="0.35">
      <c r="A1148" s="1" t="s">
        <v>73</v>
      </c>
      <c r="B1148" s="2"/>
      <c r="C1148" s="1">
        <v>2021</v>
      </c>
      <c r="D1148" s="1">
        <v>0.02</v>
      </c>
    </row>
    <row r="1149" spans="1:4" x14ac:dyDescent="0.35">
      <c r="A1149" s="1" t="s">
        <v>73</v>
      </c>
      <c r="B1149" s="2"/>
      <c r="C1149" s="1">
        <v>2022</v>
      </c>
      <c r="D1149" s="1">
        <v>0.02</v>
      </c>
    </row>
    <row r="1150" spans="1:4" x14ac:dyDescent="0.35">
      <c r="A1150" s="1" t="s">
        <v>73</v>
      </c>
      <c r="B1150" s="2"/>
      <c r="C1150" s="1">
        <v>2023</v>
      </c>
      <c r="D1150" s="1">
        <v>0.02</v>
      </c>
    </row>
    <row r="1151" spans="1:4" x14ac:dyDescent="0.35">
      <c r="A1151" s="1" t="s">
        <v>73</v>
      </c>
      <c r="B1151" s="2"/>
      <c r="C1151" s="1">
        <v>2024</v>
      </c>
      <c r="D1151" s="1" t="s">
        <v>137</v>
      </c>
    </row>
    <row r="1152" spans="1:4" x14ac:dyDescent="0.35">
      <c r="A1152" s="1" t="s">
        <v>79</v>
      </c>
      <c r="B1152" s="2" t="s">
        <v>134</v>
      </c>
      <c r="C1152" s="1">
        <v>2000</v>
      </c>
      <c r="D1152" s="1">
        <v>46.4</v>
      </c>
    </row>
    <row r="1153" spans="1:4" x14ac:dyDescent="0.35">
      <c r="A1153" s="1" t="s">
        <v>79</v>
      </c>
      <c r="B1153" s="2"/>
      <c r="C1153" s="1">
        <v>2001</v>
      </c>
      <c r="D1153" s="1">
        <v>46.4</v>
      </c>
    </row>
    <row r="1154" spans="1:4" x14ac:dyDescent="0.35">
      <c r="A1154" s="1" t="s">
        <v>79</v>
      </c>
      <c r="B1154" s="2"/>
      <c r="C1154" s="1">
        <v>2002</v>
      </c>
      <c r="D1154" s="1">
        <v>46.4</v>
      </c>
    </row>
    <row r="1155" spans="1:4" x14ac:dyDescent="0.35">
      <c r="A1155" s="1" t="s">
        <v>79</v>
      </c>
      <c r="B1155" s="2"/>
      <c r="C1155" s="1">
        <v>2003</v>
      </c>
      <c r="D1155" s="1">
        <v>42.67</v>
      </c>
    </row>
    <row r="1156" spans="1:4" x14ac:dyDescent="0.35">
      <c r="A1156" s="1" t="s">
        <v>79</v>
      </c>
      <c r="B1156" s="2"/>
      <c r="C1156" s="1">
        <v>2004</v>
      </c>
      <c r="D1156" s="1">
        <v>38.74</v>
      </c>
    </row>
    <row r="1157" spans="1:4" x14ac:dyDescent="0.35">
      <c r="A1157" s="1" t="s">
        <v>79</v>
      </c>
      <c r="B1157" s="2"/>
      <c r="C1157" s="1">
        <v>2005</v>
      </c>
      <c r="D1157" s="1">
        <v>34.9</v>
      </c>
    </row>
    <row r="1158" spans="1:4" x14ac:dyDescent="0.35">
      <c r="A1158" s="1" t="s">
        <v>79</v>
      </c>
      <c r="B1158" s="2"/>
      <c r="C1158" s="1">
        <v>2006</v>
      </c>
      <c r="D1158" s="1">
        <v>30.99</v>
      </c>
    </row>
    <row r="1159" spans="1:4" x14ac:dyDescent="0.35">
      <c r="A1159" s="1" t="s">
        <v>79</v>
      </c>
      <c r="B1159" s="2"/>
      <c r="C1159" s="1">
        <v>2007</v>
      </c>
      <c r="D1159" s="1">
        <v>30.29</v>
      </c>
    </row>
    <row r="1160" spans="1:4" x14ac:dyDescent="0.35">
      <c r="A1160" s="1" t="s">
        <v>79</v>
      </c>
      <c r="B1160" s="2"/>
      <c r="C1160" s="1">
        <v>2008</v>
      </c>
      <c r="D1160" s="1">
        <v>29.95</v>
      </c>
    </row>
    <row r="1161" spans="1:4" x14ac:dyDescent="0.35">
      <c r="A1161" s="1" t="s">
        <v>79</v>
      </c>
      <c r="B1161" s="2"/>
      <c r="C1161" s="1">
        <v>2009</v>
      </c>
      <c r="D1161" s="1">
        <v>30.01</v>
      </c>
    </row>
    <row r="1162" spans="1:4" x14ac:dyDescent="0.35">
      <c r="A1162" s="1" t="s">
        <v>79</v>
      </c>
      <c r="B1162" s="2"/>
      <c r="C1162" s="1">
        <v>2010</v>
      </c>
      <c r="D1162" s="1">
        <v>25.4</v>
      </c>
    </row>
    <row r="1163" spans="1:4" x14ac:dyDescent="0.35">
      <c r="A1163" s="1" t="s">
        <v>79</v>
      </c>
      <c r="B1163" s="2"/>
      <c r="C1163" s="1">
        <v>2011</v>
      </c>
      <c r="D1163" s="1">
        <v>25.42</v>
      </c>
    </row>
    <row r="1164" spans="1:4" x14ac:dyDescent="0.35">
      <c r="A1164" s="1" t="s">
        <v>79</v>
      </c>
      <c r="B1164" s="2"/>
      <c r="C1164" s="1">
        <v>2012</v>
      </c>
      <c r="D1164" s="1">
        <v>30.01</v>
      </c>
    </row>
    <row r="1165" spans="1:4" x14ac:dyDescent="0.35">
      <c r="A1165" s="1" t="s">
        <v>79</v>
      </c>
      <c r="B1165" s="2"/>
      <c r="C1165" s="1">
        <v>2013</v>
      </c>
      <c r="D1165" s="1">
        <v>30.04</v>
      </c>
    </row>
    <row r="1166" spans="1:4" x14ac:dyDescent="0.35">
      <c r="A1166" s="1" t="s">
        <v>79</v>
      </c>
      <c r="B1166" s="2"/>
      <c r="C1166" s="1">
        <v>2014</v>
      </c>
      <c r="D1166" s="1">
        <v>24.14</v>
      </c>
    </row>
    <row r="1167" spans="1:4" x14ac:dyDescent="0.35">
      <c r="A1167" s="1" t="s">
        <v>79</v>
      </c>
      <c r="B1167" s="2"/>
      <c r="C1167" s="1">
        <v>2015</v>
      </c>
      <c r="D1167" s="1">
        <v>24.25</v>
      </c>
    </row>
    <row r="1168" spans="1:4" x14ac:dyDescent="0.35">
      <c r="A1168" s="1" t="s">
        <v>79</v>
      </c>
      <c r="B1168" s="2"/>
      <c r="C1168" s="1">
        <v>2016</v>
      </c>
      <c r="D1168" s="1">
        <v>24.34</v>
      </c>
    </row>
    <row r="1169" spans="1:4" x14ac:dyDescent="0.35">
      <c r="A1169" s="1" t="s">
        <v>79</v>
      </c>
      <c r="B1169" s="2"/>
      <c r="C1169" s="1">
        <v>2017</v>
      </c>
      <c r="D1169" s="1">
        <v>22.44</v>
      </c>
    </row>
    <row r="1170" spans="1:4" x14ac:dyDescent="0.35">
      <c r="A1170" s="1" t="s">
        <v>79</v>
      </c>
      <c r="B1170" s="2"/>
      <c r="C1170" s="1">
        <v>2018</v>
      </c>
      <c r="D1170" s="1">
        <v>23.05</v>
      </c>
    </row>
    <row r="1171" spans="1:4" x14ac:dyDescent="0.35">
      <c r="A1171" s="1" t="s">
        <v>79</v>
      </c>
      <c r="B1171" s="2"/>
      <c r="C1171" s="1">
        <v>2019</v>
      </c>
      <c r="D1171" s="1">
        <v>23.17</v>
      </c>
    </row>
    <row r="1172" spans="1:4" x14ac:dyDescent="0.35">
      <c r="A1172" s="1" t="s">
        <v>79</v>
      </c>
      <c r="B1172" s="2"/>
      <c r="C1172" s="1">
        <v>2020</v>
      </c>
      <c r="D1172" s="1">
        <v>23.28</v>
      </c>
    </row>
    <row r="1173" spans="1:4" x14ac:dyDescent="0.35">
      <c r="A1173" s="1" t="s">
        <v>79</v>
      </c>
      <c r="B1173" s="2"/>
      <c r="C1173" s="1">
        <v>2021</v>
      </c>
      <c r="D1173" s="1">
        <v>23.26</v>
      </c>
    </row>
    <row r="1174" spans="1:4" x14ac:dyDescent="0.35">
      <c r="A1174" s="1" t="s">
        <v>79</v>
      </c>
      <c r="B1174" s="2"/>
      <c r="C1174" s="1">
        <v>2022</v>
      </c>
      <c r="D1174" s="1">
        <v>28.24</v>
      </c>
    </row>
    <row r="1175" spans="1:4" x14ac:dyDescent="0.35">
      <c r="A1175" s="1" t="s">
        <v>79</v>
      </c>
      <c r="B1175" s="2"/>
      <c r="C1175" s="1">
        <v>2023</v>
      </c>
      <c r="D1175" s="1">
        <v>28.7</v>
      </c>
    </row>
    <row r="1176" spans="1:4" x14ac:dyDescent="0.35">
      <c r="A1176" s="1" t="s">
        <v>79</v>
      </c>
      <c r="B1176" s="2"/>
      <c r="C1176" s="1">
        <v>2024</v>
      </c>
      <c r="D1176" s="1">
        <v>28.7</v>
      </c>
    </row>
    <row r="1177" spans="1:4" x14ac:dyDescent="0.35">
      <c r="A1177" s="1" t="s">
        <v>79</v>
      </c>
      <c r="B1177" s="2" t="s">
        <v>136</v>
      </c>
      <c r="C1177" s="1">
        <v>2000</v>
      </c>
      <c r="D1177" s="1">
        <v>69.290000000000006</v>
      </c>
    </row>
    <row r="1178" spans="1:4" x14ac:dyDescent="0.35">
      <c r="A1178" s="1" t="s">
        <v>79</v>
      </c>
      <c r="B1178" s="2"/>
      <c r="C1178" s="1">
        <v>2001</v>
      </c>
      <c r="D1178" s="1">
        <v>67.709999999999994</v>
      </c>
    </row>
    <row r="1179" spans="1:4" x14ac:dyDescent="0.35">
      <c r="A1179" s="1" t="s">
        <v>79</v>
      </c>
      <c r="B1179" s="2"/>
      <c r="C1179" s="1">
        <v>2002</v>
      </c>
      <c r="D1179" s="1">
        <v>68.73</v>
      </c>
    </row>
    <row r="1180" spans="1:4" x14ac:dyDescent="0.35">
      <c r="A1180" s="1" t="s">
        <v>79</v>
      </c>
      <c r="B1180" s="2"/>
      <c r="C1180" s="1">
        <v>2003</v>
      </c>
      <c r="D1180" s="1">
        <v>68.180000000000007</v>
      </c>
    </row>
    <row r="1181" spans="1:4" x14ac:dyDescent="0.35">
      <c r="A1181" s="1" t="s">
        <v>79</v>
      </c>
      <c r="B1181" s="2"/>
      <c r="C1181" s="1">
        <v>2004</v>
      </c>
      <c r="D1181" s="1">
        <v>64.849999999999994</v>
      </c>
    </row>
    <row r="1182" spans="1:4" x14ac:dyDescent="0.35">
      <c r="A1182" s="1" t="s">
        <v>79</v>
      </c>
      <c r="B1182" s="2"/>
      <c r="C1182" s="1">
        <v>2005</v>
      </c>
      <c r="D1182" s="1">
        <v>65.62</v>
      </c>
    </row>
    <row r="1183" spans="1:4" x14ac:dyDescent="0.35">
      <c r="A1183" s="1" t="s">
        <v>79</v>
      </c>
      <c r="B1183" s="2"/>
      <c r="C1183" s="1">
        <v>2006</v>
      </c>
      <c r="D1183" s="1">
        <v>63.64</v>
      </c>
    </row>
    <row r="1184" spans="1:4" x14ac:dyDescent="0.35">
      <c r="A1184" s="1" t="s">
        <v>79</v>
      </c>
      <c r="B1184" s="2"/>
      <c r="C1184" s="1">
        <v>2007</v>
      </c>
      <c r="D1184" s="1">
        <v>68.44</v>
      </c>
    </row>
    <row r="1185" spans="1:4" x14ac:dyDescent="0.35">
      <c r="A1185" s="1" t="s">
        <v>79</v>
      </c>
      <c r="B1185" s="2"/>
      <c r="C1185" s="1">
        <v>2008</v>
      </c>
      <c r="D1185" s="1">
        <v>63.46</v>
      </c>
    </row>
    <row r="1186" spans="1:4" x14ac:dyDescent="0.35">
      <c r="A1186" s="1" t="s">
        <v>79</v>
      </c>
      <c r="B1186" s="2"/>
      <c r="C1186" s="1">
        <v>2009</v>
      </c>
      <c r="D1186" s="1">
        <v>67.239999999999995</v>
      </c>
    </row>
    <row r="1187" spans="1:4" x14ac:dyDescent="0.35">
      <c r="A1187" s="1" t="s">
        <v>79</v>
      </c>
      <c r="B1187" s="2"/>
      <c r="C1187" s="1">
        <v>2010</v>
      </c>
      <c r="D1187" s="1">
        <v>60.43</v>
      </c>
    </row>
    <row r="1188" spans="1:4" x14ac:dyDescent="0.35">
      <c r="A1188" s="1" t="s">
        <v>79</v>
      </c>
      <c r="B1188" s="2"/>
      <c r="C1188" s="1">
        <v>2011</v>
      </c>
      <c r="D1188" s="1">
        <v>55.21</v>
      </c>
    </row>
    <row r="1189" spans="1:4" x14ac:dyDescent="0.35">
      <c r="A1189" s="1" t="s">
        <v>79</v>
      </c>
      <c r="B1189" s="2"/>
      <c r="C1189" s="1">
        <v>2012</v>
      </c>
      <c r="D1189" s="1">
        <v>56.63</v>
      </c>
    </row>
    <row r="1190" spans="1:4" x14ac:dyDescent="0.35">
      <c r="A1190" s="1" t="s">
        <v>79</v>
      </c>
      <c r="B1190" s="2"/>
      <c r="C1190" s="1">
        <v>2013</v>
      </c>
      <c r="D1190" s="1">
        <v>54.95</v>
      </c>
    </row>
    <row r="1191" spans="1:4" x14ac:dyDescent="0.35">
      <c r="A1191" s="1" t="s">
        <v>79</v>
      </c>
      <c r="B1191" s="2"/>
      <c r="C1191" s="1">
        <v>2014</v>
      </c>
      <c r="D1191" s="1">
        <v>58.02</v>
      </c>
    </row>
    <row r="1192" spans="1:4" x14ac:dyDescent="0.35">
      <c r="A1192" s="1" t="s">
        <v>79</v>
      </c>
      <c r="B1192" s="2"/>
      <c r="C1192" s="1">
        <v>2015</v>
      </c>
      <c r="D1192" s="1">
        <v>61.42</v>
      </c>
    </row>
    <row r="1193" spans="1:4" x14ac:dyDescent="0.35">
      <c r="A1193" s="1" t="s">
        <v>79</v>
      </c>
      <c r="B1193" s="2"/>
      <c r="C1193" s="1">
        <v>2016</v>
      </c>
      <c r="D1193" s="1">
        <v>54.62</v>
      </c>
    </row>
    <row r="1194" spans="1:4" x14ac:dyDescent="0.35">
      <c r="A1194" s="1" t="s">
        <v>79</v>
      </c>
      <c r="B1194" s="2"/>
      <c r="C1194" s="1">
        <v>2017</v>
      </c>
      <c r="D1194" s="1">
        <v>47.17</v>
      </c>
    </row>
    <row r="1195" spans="1:4" x14ac:dyDescent="0.35">
      <c r="A1195" s="1" t="s">
        <v>79</v>
      </c>
      <c r="B1195" s="2"/>
      <c r="C1195" s="1">
        <v>2018</v>
      </c>
      <c r="D1195" s="1">
        <v>55.61</v>
      </c>
    </row>
    <row r="1196" spans="1:4" x14ac:dyDescent="0.35">
      <c r="A1196" s="1" t="s">
        <v>79</v>
      </c>
      <c r="B1196" s="2"/>
      <c r="C1196" s="1">
        <v>2019</v>
      </c>
      <c r="D1196" s="1">
        <v>49.63</v>
      </c>
    </row>
    <row r="1197" spans="1:4" x14ac:dyDescent="0.35">
      <c r="A1197" s="1" t="s">
        <v>79</v>
      </c>
      <c r="B1197" s="2"/>
      <c r="C1197" s="1">
        <v>2020</v>
      </c>
      <c r="D1197" s="1">
        <v>46.69</v>
      </c>
    </row>
    <row r="1198" spans="1:4" x14ac:dyDescent="0.35">
      <c r="A1198" s="1" t="s">
        <v>79</v>
      </c>
      <c r="B1198" s="2"/>
      <c r="C1198" s="1">
        <v>2021</v>
      </c>
      <c r="D1198" s="1">
        <v>42.39</v>
      </c>
    </row>
    <row r="1199" spans="1:4" x14ac:dyDescent="0.35">
      <c r="A1199" s="1" t="s">
        <v>79</v>
      </c>
      <c r="B1199" s="2"/>
      <c r="C1199" s="1">
        <v>2022</v>
      </c>
      <c r="D1199" s="1">
        <v>45.93</v>
      </c>
    </row>
    <row r="1200" spans="1:4" x14ac:dyDescent="0.35">
      <c r="A1200" s="1" t="s">
        <v>79</v>
      </c>
      <c r="B1200" s="2"/>
      <c r="C1200" s="1">
        <v>2023</v>
      </c>
      <c r="D1200" s="1">
        <v>53.48</v>
      </c>
    </row>
    <row r="1201" spans="1:4" x14ac:dyDescent="0.35">
      <c r="A1201" s="1" t="s">
        <v>79</v>
      </c>
      <c r="B1201" s="2"/>
      <c r="C1201" s="1">
        <v>2024</v>
      </c>
      <c r="D1201" s="1" t="s">
        <v>137</v>
      </c>
    </row>
    <row r="1202" spans="1:4" x14ac:dyDescent="0.35">
      <c r="A1202" s="1" t="s">
        <v>89</v>
      </c>
      <c r="B1202" s="2" t="s">
        <v>134</v>
      </c>
      <c r="C1202" s="1">
        <v>2000</v>
      </c>
      <c r="D1202" s="1">
        <v>89.54</v>
      </c>
    </row>
    <row r="1203" spans="1:4" x14ac:dyDescent="0.35">
      <c r="A1203" s="1" t="s">
        <v>89</v>
      </c>
      <c r="B1203" s="2"/>
      <c r="C1203" s="1">
        <v>2001</v>
      </c>
      <c r="D1203" s="1">
        <v>89.54</v>
      </c>
    </row>
    <row r="1204" spans="1:4" x14ac:dyDescent="0.35">
      <c r="A1204" s="1" t="s">
        <v>89</v>
      </c>
      <c r="B1204" s="2"/>
      <c r="C1204" s="1">
        <v>2002</v>
      </c>
      <c r="D1204" s="1">
        <v>89.54</v>
      </c>
    </row>
    <row r="1205" spans="1:4" x14ac:dyDescent="0.35">
      <c r="A1205" s="1" t="s">
        <v>89</v>
      </c>
      <c r="B1205" s="2"/>
      <c r="C1205" s="1">
        <v>2003</v>
      </c>
      <c r="D1205" s="1">
        <v>93.39</v>
      </c>
    </row>
    <row r="1206" spans="1:4" x14ac:dyDescent="0.35">
      <c r="A1206" s="1" t="s">
        <v>89</v>
      </c>
      <c r="B1206" s="2"/>
      <c r="C1206" s="1">
        <v>2004</v>
      </c>
      <c r="D1206" s="1">
        <v>90.61</v>
      </c>
    </row>
    <row r="1207" spans="1:4" x14ac:dyDescent="0.35">
      <c r="A1207" s="1" t="s">
        <v>89</v>
      </c>
      <c r="B1207" s="2"/>
      <c r="C1207" s="1">
        <v>2005</v>
      </c>
      <c r="D1207" s="1">
        <v>90.61</v>
      </c>
    </row>
    <row r="1208" spans="1:4" x14ac:dyDescent="0.35">
      <c r="A1208" s="1" t="s">
        <v>89</v>
      </c>
      <c r="B1208" s="2"/>
      <c r="C1208" s="1">
        <v>2006</v>
      </c>
      <c r="D1208" s="1">
        <v>90.61</v>
      </c>
    </row>
    <row r="1209" spans="1:4" x14ac:dyDescent="0.35">
      <c r="A1209" s="1" t="s">
        <v>89</v>
      </c>
      <c r="B1209" s="2"/>
      <c r="C1209" s="1">
        <v>2007</v>
      </c>
      <c r="D1209" s="1">
        <v>90.61</v>
      </c>
    </row>
    <row r="1210" spans="1:4" x14ac:dyDescent="0.35">
      <c r="A1210" s="1" t="s">
        <v>89</v>
      </c>
      <c r="B1210" s="2"/>
      <c r="C1210" s="1">
        <v>2008</v>
      </c>
      <c r="D1210" s="1">
        <v>94.55</v>
      </c>
    </row>
    <row r="1211" spans="1:4" x14ac:dyDescent="0.35">
      <c r="A1211" s="1" t="s">
        <v>89</v>
      </c>
      <c r="B1211" s="2"/>
      <c r="C1211" s="1">
        <v>2009</v>
      </c>
      <c r="D1211" s="1">
        <v>92.36</v>
      </c>
    </row>
    <row r="1212" spans="1:4" x14ac:dyDescent="0.35">
      <c r="A1212" s="1" t="s">
        <v>89</v>
      </c>
      <c r="B1212" s="2"/>
      <c r="C1212" s="1">
        <v>2010</v>
      </c>
      <c r="D1212" s="1">
        <v>92.36</v>
      </c>
    </row>
    <row r="1213" spans="1:4" x14ac:dyDescent="0.35">
      <c r="A1213" s="1" t="s">
        <v>89</v>
      </c>
      <c r="B1213" s="2"/>
      <c r="C1213" s="1">
        <v>2011</v>
      </c>
      <c r="D1213" s="1">
        <v>92.16</v>
      </c>
    </row>
    <row r="1214" spans="1:4" x14ac:dyDescent="0.35">
      <c r="A1214" s="1" t="s">
        <v>89</v>
      </c>
      <c r="B1214" s="2"/>
      <c r="C1214" s="1">
        <v>2012</v>
      </c>
      <c r="D1214" s="1">
        <v>92.16</v>
      </c>
    </row>
    <row r="1215" spans="1:4" x14ac:dyDescent="0.35">
      <c r="A1215" s="1" t="s">
        <v>89</v>
      </c>
      <c r="B1215" s="2"/>
      <c r="C1215" s="1">
        <v>2013</v>
      </c>
      <c r="D1215" s="1">
        <v>93.38</v>
      </c>
    </row>
    <row r="1216" spans="1:4" x14ac:dyDescent="0.35">
      <c r="A1216" s="1" t="s">
        <v>89</v>
      </c>
      <c r="B1216" s="2"/>
      <c r="C1216" s="1">
        <v>2014</v>
      </c>
      <c r="D1216" s="1">
        <v>93.39</v>
      </c>
    </row>
    <row r="1217" spans="1:4" x14ac:dyDescent="0.35">
      <c r="A1217" s="1" t="s">
        <v>89</v>
      </c>
      <c r="B1217" s="2"/>
      <c r="C1217" s="1">
        <v>2015</v>
      </c>
      <c r="D1217" s="1">
        <v>93.61</v>
      </c>
    </row>
    <row r="1218" spans="1:4" x14ac:dyDescent="0.35">
      <c r="A1218" s="1" t="s">
        <v>89</v>
      </c>
      <c r="B1218" s="2"/>
      <c r="C1218" s="1">
        <v>2016</v>
      </c>
      <c r="D1218" s="1">
        <v>91.66</v>
      </c>
    </row>
    <row r="1219" spans="1:4" x14ac:dyDescent="0.35">
      <c r="A1219" s="1" t="s">
        <v>89</v>
      </c>
      <c r="B1219" s="2"/>
      <c r="C1219" s="1">
        <v>2017</v>
      </c>
      <c r="D1219" s="1">
        <v>80.72</v>
      </c>
    </row>
    <row r="1220" spans="1:4" x14ac:dyDescent="0.35">
      <c r="A1220" s="1" t="s">
        <v>89</v>
      </c>
      <c r="B1220" s="2"/>
      <c r="C1220" s="1">
        <v>2018</v>
      </c>
      <c r="D1220" s="1">
        <v>76.67</v>
      </c>
    </row>
    <row r="1221" spans="1:4" x14ac:dyDescent="0.35">
      <c r="A1221" s="1" t="s">
        <v>89</v>
      </c>
      <c r="B1221" s="2"/>
      <c r="C1221" s="1">
        <v>2019</v>
      </c>
      <c r="D1221" s="1">
        <v>74.97</v>
      </c>
    </row>
    <row r="1222" spans="1:4" x14ac:dyDescent="0.35">
      <c r="A1222" s="1" t="s">
        <v>89</v>
      </c>
      <c r="B1222" s="2"/>
      <c r="C1222" s="1">
        <v>2020</v>
      </c>
      <c r="D1222" s="1">
        <v>75.06</v>
      </c>
    </row>
    <row r="1223" spans="1:4" x14ac:dyDescent="0.35">
      <c r="A1223" s="1" t="s">
        <v>89</v>
      </c>
      <c r="B1223" s="2"/>
      <c r="C1223" s="1">
        <v>2021</v>
      </c>
      <c r="D1223" s="1">
        <v>78.33</v>
      </c>
    </row>
    <row r="1224" spans="1:4" x14ac:dyDescent="0.35">
      <c r="A1224" s="1" t="s">
        <v>89</v>
      </c>
      <c r="B1224" s="2"/>
      <c r="C1224" s="1">
        <v>2022</v>
      </c>
      <c r="D1224" s="1">
        <v>79.73</v>
      </c>
    </row>
    <row r="1225" spans="1:4" x14ac:dyDescent="0.35">
      <c r="A1225" s="1" t="s">
        <v>89</v>
      </c>
      <c r="B1225" s="2"/>
      <c r="C1225" s="1">
        <v>2023</v>
      </c>
      <c r="D1225" s="1">
        <v>79.760000000000005</v>
      </c>
    </row>
    <row r="1226" spans="1:4" x14ac:dyDescent="0.35">
      <c r="A1226" s="1" t="s">
        <v>89</v>
      </c>
      <c r="B1226" s="2"/>
      <c r="C1226" s="1">
        <v>2024</v>
      </c>
      <c r="D1226" s="1">
        <v>79.760000000000005</v>
      </c>
    </row>
    <row r="1227" spans="1:4" x14ac:dyDescent="0.35">
      <c r="A1227" s="1" t="s">
        <v>89</v>
      </c>
      <c r="B1227" s="2" t="s">
        <v>136</v>
      </c>
      <c r="C1227" s="1">
        <v>2000</v>
      </c>
      <c r="D1227" s="1">
        <v>93.21</v>
      </c>
    </row>
    <row r="1228" spans="1:4" x14ac:dyDescent="0.35">
      <c r="A1228" s="1" t="s">
        <v>89</v>
      </c>
      <c r="B1228" s="2"/>
      <c r="C1228" s="1">
        <v>2001</v>
      </c>
      <c r="D1228" s="1">
        <v>93.23</v>
      </c>
    </row>
    <row r="1229" spans="1:4" x14ac:dyDescent="0.35">
      <c r="A1229" s="1" t="s">
        <v>89</v>
      </c>
      <c r="B1229" s="2"/>
      <c r="C1229" s="1">
        <v>2002</v>
      </c>
      <c r="D1229" s="1">
        <v>93.28</v>
      </c>
    </row>
    <row r="1230" spans="1:4" x14ac:dyDescent="0.35">
      <c r="A1230" s="1" t="s">
        <v>89</v>
      </c>
      <c r="B1230" s="2"/>
      <c r="C1230" s="1">
        <v>2003</v>
      </c>
      <c r="D1230" s="1">
        <v>97.59</v>
      </c>
    </row>
    <row r="1231" spans="1:4" x14ac:dyDescent="0.35">
      <c r="A1231" s="1" t="s">
        <v>89</v>
      </c>
      <c r="B1231" s="2"/>
      <c r="C1231" s="1">
        <v>2004</v>
      </c>
      <c r="D1231" s="1">
        <v>94.5</v>
      </c>
    </row>
    <row r="1232" spans="1:4" x14ac:dyDescent="0.35">
      <c r="A1232" s="1" t="s">
        <v>89</v>
      </c>
      <c r="B1232" s="2"/>
      <c r="C1232" s="1">
        <v>2005</v>
      </c>
      <c r="D1232" s="1">
        <v>94.54</v>
      </c>
    </row>
    <row r="1233" spans="1:4" x14ac:dyDescent="0.35">
      <c r="A1233" s="1" t="s">
        <v>89</v>
      </c>
      <c r="B1233" s="2"/>
      <c r="C1233" s="1">
        <v>2006</v>
      </c>
      <c r="D1233" s="1">
        <v>94.56</v>
      </c>
    </row>
    <row r="1234" spans="1:4" x14ac:dyDescent="0.35">
      <c r="A1234" s="1" t="s">
        <v>89</v>
      </c>
      <c r="B1234" s="2"/>
      <c r="C1234" s="1">
        <v>2007</v>
      </c>
      <c r="D1234" s="1">
        <v>94.57</v>
      </c>
    </row>
    <row r="1235" spans="1:4" x14ac:dyDescent="0.35">
      <c r="A1235" s="1" t="s">
        <v>89</v>
      </c>
      <c r="B1235" s="2"/>
      <c r="C1235" s="1">
        <v>2008</v>
      </c>
      <c r="D1235" s="1">
        <v>99.1</v>
      </c>
    </row>
    <row r="1236" spans="1:4" x14ac:dyDescent="0.35">
      <c r="A1236" s="1" t="s">
        <v>89</v>
      </c>
      <c r="B1236" s="2"/>
      <c r="C1236" s="1">
        <v>2009</v>
      </c>
      <c r="D1236" s="1">
        <v>98.91</v>
      </c>
    </row>
    <row r="1237" spans="1:4" x14ac:dyDescent="0.35">
      <c r="A1237" s="1" t="s">
        <v>89</v>
      </c>
      <c r="B1237" s="2"/>
      <c r="C1237" s="1">
        <v>2010</v>
      </c>
      <c r="D1237" s="1">
        <v>98.94</v>
      </c>
    </row>
    <row r="1238" spans="1:4" x14ac:dyDescent="0.35">
      <c r="A1238" s="1" t="s">
        <v>89</v>
      </c>
      <c r="B1238" s="2"/>
      <c r="C1238" s="1">
        <v>2011</v>
      </c>
      <c r="D1238" s="1">
        <v>98.71</v>
      </c>
    </row>
    <row r="1239" spans="1:4" x14ac:dyDescent="0.35">
      <c r="A1239" s="1" t="s">
        <v>89</v>
      </c>
      <c r="B1239" s="2"/>
      <c r="C1239" s="1">
        <v>2012</v>
      </c>
      <c r="D1239" s="1">
        <v>98.71</v>
      </c>
    </row>
    <row r="1240" spans="1:4" x14ac:dyDescent="0.35">
      <c r="A1240" s="1" t="s">
        <v>89</v>
      </c>
      <c r="B1240" s="2"/>
      <c r="C1240" s="1">
        <v>2013</v>
      </c>
      <c r="D1240" s="1">
        <v>98.81</v>
      </c>
    </row>
    <row r="1241" spans="1:4" x14ac:dyDescent="0.35">
      <c r="A1241" s="1" t="s">
        <v>89</v>
      </c>
      <c r="B1241" s="2"/>
      <c r="C1241" s="1">
        <v>2014</v>
      </c>
      <c r="D1241" s="1">
        <v>98.84</v>
      </c>
    </row>
    <row r="1242" spans="1:4" x14ac:dyDescent="0.35">
      <c r="A1242" s="1" t="s">
        <v>89</v>
      </c>
      <c r="B1242" s="2"/>
      <c r="C1242" s="1">
        <v>2015</v>
      </c>
      <c r="D1242" s="1">
        <v>99.1</v>
      </c>
    </row>
    <row r="1243" spans="1:4" x14ac:dyDescent="0.35">
      <c r="A1243" s="1" t="s">
        <v>89</v>
      </c>
      <c r="B1243" s="2"/>
      <c r="C1243" s="1">
        <v>2016</v>
      </c>
      <c r="D1243" s="1">
        <v>96.79</v>
      </c>
    </row>
    <row r="1244" spans="1:4" x14ac:dyDescent="0.35">
      <c r="A1244" s="1" t="s">
        <v>89</v>
      </c>
      <c r="B1244" s="2"/>
      <c r="C1244" s="1">
        <v>2017</v>
      </c>
      <c r="D1244" s="1">
        <v>84.29</v>
      </c>
    </row>
    <row r="1245" spans="1:4" x14ac:dyDescent="0.35">
      <c r="A1245" s="1" t="s">
        <v>89</v>
      </c>
      <c r="B1245" s="2"/>
      <c r="C1245" s="1">
        <v>2018</v>
      </c>
      <c r="D1245" s="1">
        <v>79.790000000000006</v>
      </c>
    </row>
    <row r="1246" spans="1:4" x14ac:dyDescent="0.35">
      <c r="A1246" s="1" t="s">
        <v>89</v>
      </c>
      <c r="B1246" s="2"/>
      <c r="C1246" s="1">
        <v>2019</v>
      </c>
      <c r="D1246" s="1">
        <v>78.12</v>
      </c>
    </row>
    <row r="1247" spans="1:4" x14ac:dyDescent="0.35">
      <c r="A1247" s="1" t="s">
        <v>89</v>
      </c>
      <c r="B1247" s="2"/>
      <c r="C1247" s="1">
        <v>2020</v>
      </c>
      <c r="D1247" s="1">
        <v>78.2</v>
      </c>
    </row>
    <row r="1248" spans="1:4" x14ac:dyDescent="0.35">
      <c r="A1248" s="1" t="s">
        <v>89</v>
      </c>
      <c r="B1248" s="2"/>
      <c r="C1248" s="1">
        <v>2021</v>
      </c>
      <c r="D1248" s="1">
        <v>79.03</v>
      </c>
    </row>
    <row r="1249" spans="1:4" x14ac:dyDescent="0.35">
      <c r="A1249" s="1" t="s">
        <v>89</v>
      </c>
      <c r="B1249" s="2"/>
      <c r="C1249" s="1">
        <v>2022</v>
      </c>
      <c r="D1249" s="1">
        <v>79.06</v>
      </c>
    </row>
    <row r="1250" spans="1:4" x14ac:dyDescent="0.35">
      <c r="A1250" s="1" t="s">
        <v>89</v>
      </c>
      <c r="B1250" s="2"/>
      <c r="C1250" s="1">
        <v>2023</v>
      </c>
      <c r="D1250" s="1">
        <v>79.06</v>
      </c>
    </row>
    <row r="1251" spans="1:4" x14ac:dyDescent="0.35">
      <c r="A1251" s="1" t="s">
        <v>89</v>
      </c>
      <c r="B1251" s="2"/>
      <c r="C1251" s="1">
        <v>2024</v>
      </c>
      <c r="D1251" s="1" t="s">
        <v>137</v>
      </c>
    </row>
    <row r="1252" spans="1:4" x14ac:dyDescent="0.35">
      <c r="A1252" s="1" t="s">
        <v>81</v>
      </c>
      <c r="B1252" s="2" t="s">
        <v>134</v>
      </c>
      <c r="C1252" s="1">
        <v>2000</v>
      </c>
      <c r="D1252" s="1">
        <v>20.93</v>
      </c>
    </row>
    <row r="1253" spans="1:4" x14ac:dyDescent="0.35">
      <c r="A1253" s="1" t="s">
        <v>81</v>
      </c>
      <c r="B1253" s="2"/>
      <c r="C1253" s="1">
        <v>2001</v>
      </c>
      <c r="D1253" s="1">
        <v>20.93</v>
      </c>
    </row>
    <row r="1254" spans="1:4" x14ac:dyDescent="0.35">
      <c r="A1254" s="1" t="s">
        <v>81</v>
      </c>
      <c r="B1254" s="2"/>
      <c r="C1254" s="1">
        <v>2002</v>
      </c>
      <c r="D1254" s="1">
        <v>55.11</v>
      </c>
    </row>
    <row r="1255" spans="1:4" x14ac:dyDescent="0.35">
      <c r="A1255" s="1" t="s">
        <v>81</v>
      </c>
      <c r="B1255" s="2"/>
      <c r="C1255" s="1">
        <v>2003</v>
      </c>
      <c r="D1255" s="1">
        <v>55.11</v>
      </c>
    </row>
    <row r="1256" spans="1:4" x14ac:dyDescent="0.35">
      <c r="A1256" s="1" t="s">
        <v>81</v>
      </c>
      <c r="B1256" s="2"/>
      <c r="C1256" s="1">
        <v>2004</v>
      </c>
      <c r="D1256" s="1">
        <v>55.11</v>
      </c>
    </row>
    <row r="1257" spans="1:4" x14ac:dyDescent="0.35">
      <c r="A1257" s="1" t="s">
        <v>81</v>
      </c>
      <c r="B1257" s="2"/>
      <c r="C1257" s="1">
        <v>2005</v>
      </c>
      <c r="D1257" s="1">
        <v>55.14</v>
      </c>
    </row>
    <row r="1258" spans="1:4" x14ac:dyDescent="0.35">
      <c r="A1258" s="1" t="s">
        <v>81</v>
      </c>
      <c r="B1258" s="2"/>
      <c r="C1258" s="1">
        <v>2006</v>
      </c>
      <c r="D1258" s="1">
        <v>55.15</v>
      </c>
    </row>
    <row r="1259" spans="1:4" x14ac:dyDescent="0.35">
      <c r="A1259" s="1" t="s">
        <v>81</v>
      </c>
      <c r="B1259" s="2"/>
      <c r="C1259" s="1">
        <v>2007</v>
      </c>
      <c r="D1259" s="1">
        <v>54.21</v>
      </c>
    </row>
    <row r="1260" spans="1:4" x14ac:dyDescent="0.35">
      <c r="A1260" s="1" t="s">
        <v>81</v>
      </c>
      <c r="B1260" s="2"/>
      <c r="C1260" s="1">
        <v>2008</v>
      </c>
      <c r="D1260" s="1">
        <v>57.25</v>
      </c>
    </row>
    <row r="1261" spans="1:4" x14ac:dyDescent="0.35">
      <c r="A1261" s="1" t="s">
        <v>81</v>
      </c>
      <c r="B1261" s="2"/>
      <c r="C1261" s="1">
        <v>2009</v>
      </c>
      <c r="D1261" s="1">
        <v>55.33</v>
      </c>
    </row>
    <row r="1262" spans="1:4" x14ac:dyDescent="0.35">
      <c r="A1262" s="1" t="s">
        <v>81</v>
      </c>
      <c r="B1262" s="2"/>
      <c r="C1262" s="1">
        <v>2010</v>
      </c>
      <c r="D1262" s="1">
        <v>52.77</v>
      </c>
    </row>
    <row r="1263" spans="1:4" x14ac:dyDescent="0.35">
      <c r="A1263" s="1" t="s">
        <v>81</v>
      </c>
      <c r="B1263" s="2"/>
      <c r="C1263" s="1">
        <v>2011</v>
      </c>
      <c r="D1263" s="1">
        <v>46.9</v>
      </c>
    </row>
    <row r="1264" spans="1:4" x14ac:dyDescent="0.35">
      <c r="A1264" s="1" t="s">
        <v>81</v>
      </c>
      <c r="B1264" s="2"/>
      <c r="C1264" s="1">
        <v>2012</v>
      </c>
      <c r="D1264" s="1">
        <v>47.17</v>
      </c>
    </row>
    <row r="1265" spans="1:4" x14ac:dyDescent="0.35">
      <c r="A1265" s="1" t="s">
        <v>81</v>
      </c>
      <c r="B1265" s="2"/>
      <c r="C1265" s="1">
        <v>2013</v>
      </c>
      <c r="D1265" s="1">
        <v>49.33</v>
      </c>
    </row>
    <row r="1266" spans="1:4" x14ac:dyDescent="0.35">
      <c r="A1266" s="1" t="s">
        <v>81</v>
      </c>
      <c r="B1266" s="2"/>
      <c r="C1266" s="1">
        <v>2014</v>
      </c>
      <c r="D1266" s="1">
        <v>48.03</v>
      </c>
    </row>
    <row r="1267" spans="1:4" x14ac:dyDescent="0.35">
      <c r="A1267" s="1" t="s">
        <v>81</v>
      </c>
      <c r="B1267" s="2"/>
      <c r="C1267" s="1">
        <v>2015</v>
      </c>
      <c r="D1267" s="1">
        <v>47.82</v>
      </c>
    </row>
    <row r="1268" spans="1:4" x14ac:dyDescent="0.35">
      <c r="A1268" s="1" t="s">
        <v>81</v>
      </c>
      <c r="B1268" s="2"/>
      <c r="C1268" s="1">
        <v>2016</v>
      </c>
      <c r="D1268" s="1">
        <v>43.89</v>
      </c>
    </row>
    <row r="1269" spans="1:4" x14ac:dyDescent="0.35">
      <c r="A1269" s="1" t="s">
        <v>81</v>
      </c>
      <c r="B1269" s="2"/>
      <c r="C1269" s="1">
        <v>2017</v>
      </c>
      <c r="D1269" s="1">
        <v>44.32</v>
      </c>
    </row>
    <row r="1270" spans="1:4" x14ac:dyDescent="0.35">
      <c r="A1270" s="1" t="s">
        <v>81</v>
      </c>
      <c r="B1270" s="2"/>
      <c r="C1270" s="1">
        <v>2018</v>
      </c>
      <c r="D1270" s="1">
        <v>44.37</v>
      </c>
    </row>
    <row r="1271" spans="1:4" x14ac:dyDescent="0.35">
      <c r="A1271" s="1" t="s">
        <v>81</v>
      </c>
      <c r="B1271" s="2"/>
      <c r="C1271" s="1">
        <v>2019</v>
      </c>
      <c r="D1271" s="1">
        <v>43.8</v>
      </c>
    </row>
    <row r="1272" spans="1:4" x14ac:dyDescent="0.35">
      <c r="A1272" s="1" t="s">
        <v>81</v>
      </c>
      <c r="B1272" s="2"/>
      <c r="C1272" s="1">
        <v>2020</v>
      </c>
      <c r="D1272" s="1">
        <v>46.41</v>
      </c>
    </row>
    <row r="1273" spans="1:4" x14ac:dyDescent="0.35">
      <c r="A1273" s="1" t="s">
        <v>81</v>
      </c>
      <c r="B1273" s="2"/>
      <c r="C1273" s="1">
        <v>2021</v>
      </c>
      <c r="D1273" s="1">
        <v>47.96</v>
      </c>
    </row>
    <row r="1274" spans="1:4" x14ac:dyDescent="0.35">
      <c r="A1274" s="1" t="s">
        <v>81</v>
      </c>
      <c r="B1274" s="2"/>
      <c r="C1274" s="1">
        <v>2022</v>
      </c>
      <c r="D1274" s="1">
        <v>53.78</v>
      </c>
    </row>
    <row r="1275" spans="1:4" x14ac:dyDescent="0.35">
      <c r="A1275" s="1" t="s">
        <v>81</v>
      </c>
      <c r="B1275" s="2"/>
      <c r="C1275" s="1">
        <v>2023</v>
      </c>
      <c r="D1275" s="1">
        <v>49.31</v>
      </c>
    </row>
    <row r="1276" spans="1:4" x14ac:dyDescent="0.35">
      <c r="A1276" s="1" t="s">
        <v>81</v>
      </c>
      <c r="B1276" s="2"/>
      <c r="C1276" s="1">
        <v>2024</v>
      </c>
      <c r="D1276" s="1">
        <v>51.02</v>
      </c>
    </row>
    <row r="1277" spans="1:4" x14ac:dyDescent="0.35">
      <c r="A1277" s="1" t="s">
        <v>81</v>
      </c>
      <c r="B1277" s="2" t="s">
        <v>136</v>
      </c>
      <c r="C1277" s="1">
        <v>2000</v>
      </c>
      <c r="D1277" s="1">
        <v>27.16</v>
      </c>
    </row>
    <row r="1278" spans="1:4" x14ac:dyDescent="0.35">
      <c r="A1278" s="1" t="s">
        <v>81</v>
      </c>
      <c r="B1278" s="2"/>
      <c r="C1278" s="1">
        <v>2001</v>
      </c>
      <c r="D1278" s="1">
        <v>35.89</v>
      </c>
    </row>
    <row r="1279" spans="1:4" x14ac:dyDescent="0.35">
      <c r="A1279" s="1" t="s">
        <v>81</v>
      </c>
      <c r="B1279" s="2"/>
      <c r="C1279" s="1">
        <v>2002</v>
      </c>
      <c r="D1279" s="1">
        <v>53.71</v>
      </c>
    </row>
    <row r="1280" spans="1:4" x14ac:dyDescent="0.35">
      <c r="A1280" s="1" t="s">
        <v>81</v>
      </c>
      <c r="B1280" s="2"/>
      <c r="C1280" s="1">
        <v>2003</v>
      </c>
      <c r="D1280" s="1">
        <v>60.94</v>
      </c>
    </row>
    <row r="1281" spans="1:4" x14ac:dyDescent="0.35">
      <c r="A1281" s="1" t="s">
        <v>81</v>
      </c>
      <c r="B1281" s="2"/>
      <c r="C1281" s="1">
        <v>2004</v>
      </c>
      <c r="D1281" s="1">
        <v>71.44</v>
      </c>
    </row>
    <row r="1282" spans="1:4" x14ac:dyDescent="0.35">
      <c r="A1282" s="1" t="s">
        <v>81</v>
      </c>
      <c r="B1282" s="2"/>
      <c r="C1282" s="1">
        <v>2005</v>
      </c>
      <c r="D1282" s="1">
        <v>70.63</v>
      </c>
    </row>
    <row r="1283" spans="1:4" x14ac:dyDescent="0.35">
      <c r="A1283" s="1" t="s">
        <v>81</v>
      </c>
      <c r="B1283" s="2"/>
      <c r="C1283" s="1">
        <v>2006</v>
      </c>
      <c r="D1283" s="1">
        <v>70.75</v>
      </c>
    </row>
    <row r="1284" spans="1:4" x14ac:dyDescent="0.35">
      <c r="A1284" s="1" t="s">
        <v>81</v>
      </c>
      <c r="B1284" s="2"/>
      <c r="C1284" s="1">
        <v>2007</v>
      </c>
      <c r="D1284" s="1">
        <v>68.98</v>
      </c>
    </row>
    <row r="1285" spans="1:4" x14ac:dyDescent="0.35">
      <c r="A1285" s="1" t="s">
        <v>81</v>
      </c>
      <c r="B1285" s="2"/>
      <c r="C1285" s="1">
        <v>2008</v>
      </c>
      <c r="D1285" s="1">
        <v>54.2</v>
      </c>
    </row>
    <row r="1286" spans="1:4" x14ac:dyDescent="0.35">
      <c r="A1286" s="1" t="s">
        <v>81</v>
      </c>
      <c r="B1286" s="2"/>
      <c r="C1286" s="1">
        <v>2009</v>
      </c>
      <c r="D1286" s="1">
        <v>60.58</v>
      </c>
    </row>
    <row r="1287" spans="1:4" x14ac:dyDescent="0.35">
      <c r="A1287" s="1" t="s">
        <v>81</v>
      </c>
      <c r="B1287" s="2"/>
      <c r="C1287" s="1">
        <v>2010</v>
      </c>
      <c r="D1287" s="1">
        <v>56.23</v>
      </c>
    </row>
    <row r="1288" spans="1:4" x14ac:dyDescent="0.35">
      <c r="A1288" s="1" t="s">
        <v>81</v>
      </c>
      <c r="B1288" s="2"/>
      <c r="C1288" s="1">
        <v>2011</v>
      </c>
      <c r="D1288" s="1">
        <v>52.77</v>
      </c>
    </row>
    <row r="1289" spans="1:4" x14ac:dyDescent="0.35">
      <c r="A1289" s="1" t="s">
        <v>81</v>
      </c>
      <c r="B1289" s="2"/>
      <c r="C1289" s="1">
        <v>2012</v>
      </c>
      <c r="D1289" s="1">
        <v>52.53</v>
      </c>
    </row>
    <row r="1290" spans="1:4" x14ac:dyDescent="0.35">
      <c r="A1290" s="1" t="s">
        <v>81</v>
      </c>
      <c r="B1290" s="2"/>
      <c r="C1290" s="1">
        <v>2013</v>
      </c>
      <c r="D1290" s="1">
        <v>65.03</v>
      </c>
    </row>
    <row r="1291" spans="1:4" x14ac:dyDescent="0.35">
      <c r="A1291" s="1" t="s">
        <v>81</v>
      </c>
      <c r="B1291" s="2"/>
      <c r="C1291" s="1">
        <v>2014</v>
      </c>
      <c r="D1291" s="1">
        <v>69.739999999999995</v>
      </c>
    </row>
    <row r="1292" spans="1:4" x14ac:dyDescent="0.35">
      <c r="A1292" s="1" t="s">
        <v>81</v>
      </c>
      <c r="B1292" s="2"/>
      <c r="C1292" s="1">
        <v>2015</v>
      </c>
      <c r="D1292" s="1">
        <v>67.72</v>
      </c>
    </row>
    <row r="1293" spans="1:4" x14ac:dyDescent="0.35">
      <c r="A1293" s="1" t="s">
        <v>81</v>
      </c>
      <c r="B1293" s="2"/>
      <c r="C1293" s="1">
        <v>2016</v>
      </c>
      <c r="D1293" s="1">
        <v>67.13</v>
      </c>
    </row>
    <row r="1294" spans="1:4" x14ac:dyDescent="0.35">
      <c r="A1294" s="1" t="s">
        <v>81</v>
      </c>
      <c r="B1294" s="2"/>
      <c r="C1294" s="1">
        <v>2017</v>
      </c>
      <c r="D1294" s="1">
        <v>65.239999999999995</v>
      </c>
    </row>
    <row r="1295" spans="1:4" x14ac:dyDescent="0.35">
      <c r="A1295" s="1" t="s">
        <v>81</v>
      </c>
      <c r="B1295" s="2"/>
      <c r="C1295" s="1">
        <v>2018</v>
      </c>
      <c r="D1295" s="1">
        <v>87.94</v>
      </c>
    </row>
    <row r="1296" spans="1:4" x14ac:dyDescent="0.35">
      <c r="A1296" s="1" t="s">
        <v>81</v>
      </c>
      <c r="B1296" s="2"/>
      <c r="C1296" s="1">
        <v>2019</v>
      </c>
      <c r="D1296" s="1">
        <v>50.71</v>
      </c>
    </row>
    <row r="1297" spans="1:4" x14ac:dyDescent="0.35">
      <c r="A1297" s="1" t="s">
        <v>81</v>
      </c>
      <c r="B1297" s="2"/>
      <c r="C1297" s="1">
        <v>2020</v>
      </c>
      <c r="D1297" s="1">
        <v>32.33</v>
      </c>
    </row>
    <row r="1298" spans="1:4" x14ac:dyDescent="0.35">
      <c r="A1298" s="1" t="s">
        <v>81</v>
      </c>
      <c r="B1298" s="2"/>
      <c r="C1298" s="1">
        <v>2021</v>
      </c>
      <c r="D1298" s="1">
        <v>29.09</v>
      </c>
    </row>
    <row r="1299" spans="1:4" x14ac:dyDescent="0.35">
      <c r="A1299" s="1" t="s">
        <v>81</v>
      </c>
      <c r="B1299" s="2"/>
      <c r="C1299" s="1">
        <v>2022</v>
      </c>
      <c r="D1299" s="1">
        <v>34.07</v>
      </c>
    </row>
    <row r="1300" spans="1:4" x14ac:dyDescent="0.35">
      <c r="A1300" s="1" t="s">
        <v>81</v>
      </c>
      <c r="B1300" s="2"/>
      <c r="C1300" s="1">
        <v>2023</v>
      </c>
      <c r="D1300" s="1">
        <v>37.520000000000003</v>
      </c>
    </row>
    <row r="1301" spans="1:4" x14ac:dyDescent="0.35">
      <c r="A1301" s="1" t="s">
        <v>81</v>
      </c>
      <c r="B1301" s="2"/>
      <c r="C1301" s="1">
        <v>2024</v>
      </c>
      <c r="D1301" s="1" t="s">
        <v>137</v>
      </c>
    </row>
    <row r="1302" spans="1:4" x14ac:dyDescent="0.35">
      <c r="A1302" s="1" t="s">
        <v>85</v>
      </c>
      <c r="B1302" s="2" t="s">
        <v>134</v>
      </c>
      <c r="C1302" s="1">
        <v>2000</v>
      </c>
      <c r="D1302" s="1" t="s">
        <v>137</v>
      </c>
    </row>
    <row r="1303" spans="1:4" x14ac:dyDescent="0.35">
      <c r="A1303" s="1" t="s">
        <v>85</v>
      </c>
      <c r="B1303" s="2"/>
      <c r="C1303" s="1">
        <v>2001</v>
      </c>
      <c r="D1303" s="1" t="s">
        <v>137</v>
      </c>
    </row>
    <row r="1304" spans="1:4" x14ac:dyDescent="0.35">
      <c r="A1304" s="1" t="s">
        <v>85</v>
      </c>
      <c r="B1304" s="2"/>
      <c r="C1304" s="1">
        <v>2002</v>
      </c>
      <c r="D1304" s="1">
        <v>0</v>
      </c>
    </row>
    <row r="1305" spans="1:4" x14ac:dyDescent="0.35">
      <c r="A1305" s="1" t="s">
        <v>85</v>
      </c>
      <c r="B1305" s="2"/>
      <c r="C1305" s="1">
        <v>2003</v>
      </c>
      <c r="D1305" s="1">
        <v>0</v>
      </c>
    </row>
    <row r="1306" spans="1:4" x14ac:dyDescent="0.35">
      <c r="A1306" s="1" t="s">
        <v>85</v>
      </c>
      <c r="B1306" s="2"/>
      <c r="C1306" s="1">
        <v>2004</v>
      </c>
      <c r="D1306" s="1">
        <v>0</v>
      </c>
    </row>
    <row r="1307" spans="1:4" x14ac:dyDescent="0.35">
      <c r="A1307" s="1" t="s">
        <v>85</v>
      </c>
      <c r="B1307" s="2"/>
      <c r="C1307" s="1">
        <v>2005</v>
      </c>
      <c r="D1307" s="1">
        <v>0</v>
      </c>
    </row>
    <row r="1308" spans="1:4" x14ac:dyDescent="0.35">
      <c r="A1308" s="1" t="s">
        <v>85</v>
      </c>
      <c r="B1308" s="2"/>
      <c r="C1308" s="1">
        <v>2006</v>
      </c>
      <c r="D1308" s="1">
        <v>0</v>
      </c>
    </row>
    <row r="1309" spans="1:4" x14ac:dyDescent="0.35">
      <c r="A1309" s="1" t="s">
        <v>85</v>
      </c>
      <c r="B1309" s="2"/>
      <c r="C1309" s="1">
        <v>2007</v>
      </c>
      <c r="D1309" s="1">
        <v>0</v>
      </c>
    </row>
    <row r="1310" spans="1:4" x14ac:dyDescent="0.35">
      <c r="A1310" s="1" t="s">
        <v>85</v>
      </c>
      <c r="B1310" s="2"/>
      <c r="C1310" s="1">
        <v>2008</v>
      </c>
      <c r="D1310" s="1">
        <v>0</v>
      </c>
    </row>
    <row r="1311" spans="1:4" x14ac:dyDescent="0.35">
      <c r="A1311" s="1" t="s">
        <v>85</v>
      </c>
      <c r="B1311" s="2"/>
      <c r="C1311" s="1">
        <v>2009</v>
      </c>
      <c r="D1311" s="1">
        <v>0</v>
      </c>
    </row>
    <row r="1312" spans="1:4" x14ac:dyDescent="0.35">
      <c r="A1312" s="1" t="s">
        <v>85</v>
      </c>
      <c r="B1312" s="2"/>
      <c r="C1312" s="1">
        <v>2010</v>
      </c>
      <c r="D1312" s="1">
        <v>0</v>
      </c>
    </row>
    <row r="1313" spans="1:4" x14ac:dyDescent="0.35">
      <c r="A1313" s="1" t="s">
        <v>85</v>
      </c>
      <c r="B1313" s="2"/>
      <c r="C1313" s="1">
        <v>2011</v>
      </c>
      <c r="D1313" s="1">
        <v>0</v>
      </c>
    </row>
    <row r="1314" spans="1:4" x14ac:dyDescent="0.35">
      <c r="A1314" s="1" t="s">
        <v>85</v>
      </c>
      <c r="B1314" s="2"/>
      <c r="C1314" s="1">
        <v>2012</v>
      </c>
      <c r="D1314" s="1">
        <v>2.0299999999999998</v>
      </c>
    </row>
    <row r="1315" spans="1:4" x14ac:dyDescent="0.35">
      <c r="A1315" s="1" t="s">
        <v>85</v>
      </c>
      <c r="B1315" s="2"/>
      <c r="C1315" s="1">
        <v>2013</v>
      </c>
      <c r="D1315" s="1">
        <v>9.0500000000000007</v>
      </c>
    </row>
    <row r="1316" spans="1:4" x14ac:dyDescent="0.35">
      <c r="A1316" s="1" t="s">
        <v>85</v>
      </c>
      <c r="B1316" s="2"/>
      <c r="C1316" s="1">
        <v>2014</v>
      </c>
      <c r="D1316" s="1">
        <v>8.8000000000000007</v>
      </c>
    </row>
    <row r="1317" spans="1:4" x14ac:dyDescent="0.35">
      <c r="A1317" s="1" t="s">
        <v>85</v>
      </c>
      <c r="B1317" s="2"/>
      <c r="C1317" s="1">
        <v>2015</v>
      </c>
      <c r="D1317" s="1">
        <v>11.27</v>
      </c>
    </row>
    <row r="1318" spans="1:4" x14ac:dyDescent="0.35">
      <c r="A1318" s="1" t="s">
        <v>85</v>
      </c>
      <c r="B1318" s="2"/>
      <c r="C1318" s="1">
        <v>2016</v>
      </c>
      <c r="D1318" s="1">
        <v>14.32</v>
      </c>
    </row>
    <row r="1319" spans="1:4" x14ac:dyDescent="0.35">
      <c r="A1319" s="1" t="s">
        <v>85</v>
      </c>
      <c r="B1319" s="2"/>
      <c r="C1319" s="1">
        <v>2017</v>
      </c>
      <c r="D1319" s="1">
        <v>14.32</v>
      </c>
    </row>
    <row r="1320" spans="1:4" x14ac:dyDescent="0.35">
      <c r="A1320" s="1" t="s">
        <v>85</v>
      </c>
      <c r="B1320" s="2"/>
      <c r="C1320" s="1">
        <v>2018</v>
      </c>
      <c r="D1320" s="1">
        <v>21.23</v>
      </c>
    </row>
    <row r="1321" spans="1:4" x14ac:dyDescent="0.35">
      <c r="A1321" s="1" t="s">
        <v>85</v>
      </c>
      <c r="B1321" s="2"/>
      <c r="C1321" s="1">
        <v>2019</v>
      </c>
      <c r="D1321" s="1">
        <v>20.78</v>
      </c>
    </row>
    <row r="1322" spans="1:4" x14ac:dyDescent="0.35">
      <c r="A1322" s="1" t="s">
        <v>85</v>
      </c>
      <c r="B1322" s="2"/>
      <c r="C1322" s="1">
        <v>2020</v>
      </c>
      <c r="D1322" s="1">
        <v>20.78</v>
      </c>
    </row>
    <row r="1323" spans="1:4" x14ac:dyDescent="0.35">
      <c r="A1323" s="1" t="s">
        <v>85</v>
      </c>
      <c r="B1323" s="2"/>
      <c r="C1323" s="1">
        <v>2021</v>
      </c>
      <c r="D1323" s="1">
        <v>19.46</v>
      </c>
    </row>
    <row r="1324" spans="1:4" x14ac:dyDescent="0.35">
      <c r="A1324" s="1" t="s">
        <v>85</v>
      </c>
      <c r="B1324" s="2"/>
      <c r="C1324" s="1">
        <v>2022</v>
      </c>
      <c r="D1324" s="1">
        <v>19.649999999999999</v>
      </c>
    </row>
    <row r="1325" spans="1:4" x14ac:dyDescent="0.35">
      <c r="A1325" s="1" t="s">
        <v>85</v>
      </c>
      <c r="B1325" s="2"/>
      <c r="C1325" s="1">
        <v>2023</v>
      </c>
      <c r="D1325" s="1">
        <v>33.979999999999997</v>
      </c>
    </row>
    <row r="1326" spans="1:4" x14ac:dyDescent="0.35">
      <c r="A1326" s="1" t="s">
        <v>85</v>
      </c>
      <c r="B1326" s="2"/>
      <c r="C1326" s="1">
        <v>2024</v>
      </c>
      <c r="D1326" s="1">
        <v>36.799999999999997</v>
      </c>
    </row>
    <row r="1327" spans="1:4" x14ac:dyDescent="0.35">
      <c r="A1327" s="1" t="s">
        <v>85</v>
      </c>
      <c r="B1327" s="2" t="s">
        <v>136</v>
      </c>
      <c r="C1327" s="1">
        <v>2000</v>
      </c>
      <c r="D1327" s="1" t="s">
        <v>137</v>
      </c>
    </row>
    <row r="1328" spans="1:4" x14ac:dyDescent="0.35">
      <c r="A1328" s="1" t="s">
        <v>85</v>
      </c>
      <c r="B1328" s="2"/>
      <c r="C1328" s="1">
        <v>2001</v>
      </c>
      <c r="D1328" s="1" t="s">
        <v>137</v>
      </c>
    </row>
    <row r="1329" spans="1:4" x14ac:dyDescent="0.35">
      <c r="A1329" s="1" t="s">
        <v>85</v>
      </c>
      <c r="B1329" s="2"/>
      <c r="C1329" s="1">
        <v>2002</v>
      </c>
      <c r="D1329" s="1">
        <v>0</v>
      </c>
    </row>
    <row r="1330" spans="1:4" x14ac:dyDescent="0.35">
      <c r="A1330" s="1" t="s">
        <v>85</v>
      </c>
      <c r="B1330" s="2"/>
      <c r="C1330" s="1">
        <v>2003</v>
      </c>
      <c r="D1330" s="1">
        <v>0</v>
      </c>
    </row>
    <row r="1331" spans="1:4" x14ac:dyDescent="0.35">
      <c r="A1331" s="1" t="s">
        <v>85</v>
      </c>
      <c r="B1331" s="2"/>
      <c r="C1331" s="1">
        <v>2004</v>
      </c>
      <c r="D1331" s="1">
        <v>0</v>
      </c>
    </row>
    <row r="1332" spans="1:4" x14ac:dyDescent="0.35">
      <c r="A1332" s="1" t="s">
        <v>85</v>
      </c>
      <c r="B1332" s="2"/>
      <c r="C1332" s="1">
        <v>2005</v>
      </c>
      <c r="D1332" s="1">
        <v>0</v>
      </c>
    </row>
    <row r="1333" spans="1:4" x14ac:dyDescent="0.35">
      <c r="A1333" s="1" t="s">
        <v>85</v>
      </c>
      <c r="B1333" s="2"/>
      <c r="C1333" s="1">
        <v>2006</v>
      </c>
      <c r="D1333" s="1">
        <v>0</v>
      </c>
    </row>
    <row r="1334" spans="1:4" x14ac:dyDescent="0.35">
      <c r="A1334" s="1" t="s">
        <v>85</v>
      </c>
      <c r="B1334" s="2"/>
      <c r="C1334" s="1">
        <v>2007</v>
      </c>
      <c r="D1334" s="1">
        <v>0</v>
      </c>
    </row>
    <row r="1335" spans="1:4" x14ac:dyDescent="0.35">
      <c r="A1335" s="1" t="s">
        <v>85</v>
      </c>
      <c r="B1335" s="2"/>
      <c r="C1335" s="1">
        <v>2008</v>
      </c>
      <c r="D1335" s="1">
        <v>0</v>
      </c>
    </row>
    <row r="1336" spans="1:4" x14ac:dyDescent="0.35">
      <c r="A1336" s="1" t="s">
        <v>85</v>
      </c>
      <c r="B1336" s="2"/>
      <c r="C1336" s="1">
        <v>2009</v>
      </c>
      <c r="D1336" s="1">
        <v>0</v>
      </c>
    </row>
    <row r="1337" spans="1:4" x14ac:dyDescent="0.35">
      <c r="A1337" s="1" t="s">
        <v>85</v>
      </c>
      <c r="B1337" s="2"/>
      <c r="C1337" s="1">
        <v>2010</v>
      </c>
      <c r="D1337" s="1">
        <v>0</v>
      </c>
    </row>
    <row r="1338" spans="1:4" x14ac:dyDescent="0.35">
      <c r="A1338" s="1" t="s">
        <v>85</v>
      </c>
      <c r="B1338" s="2"/>
      <c r="C1338" s="1">
        <v>2011</v>
      </c>
      <c r="D1338" s="1">
        <v>0</v>
      </c>
    </row>
    <row r="1339" spans="1:4" x14ac:dyDescent="0.35">
      <c r="A1339" s="1" t="s">
        <v>85</v>
      </c>
      <c r="B1339" s="2"/>
      <c r="C1339" s="1">
        <v>2012</v>
      </c>
      <c r="D1339" s="1">
        <v>1.59</v>
      </c>
    </row>
    <row r="1340" spans="1:4" x14ac:dyDescent="0.35">
      <c r="A1340" s="1" t="s">
        <v>85</v>
      </c>
      <c r="B1340" s="2"/>
      <c r="C1340" s="1">
        <v>2013</v>
      </c>
      <c r="D1340" s="1">
        <v>4.82</v>
      </c>
    </row>
    <row r="1341" spans="1:4" x14ac:dyDescent="0.35">
      <c r="A1341" s="1" t="s">
        <v>85</v>
      </c>
      <c r="B1341" s="2"/>
      <c r="C1341" s="1">
        <v>2014</v>
      </c>
      <c r="D1341" s="1">
        <v>5.0999999999999996</v>
      </c>
    </row>
    <row r="1342" spans="1:4" x14ac:dyDescent="0.35">
      <c r="A1342" s="1" t="s">
        <v>85</v>
      </c>
      <c r="B1342" s="2"/>
      <c r="C1342" s="1">
        <v>2015</v>
      </c>
      <c r="D1342" s="1">
        <v>13.42</v>
      </c>
    </row>
    <row r="1343" spans="1:4" x14ac:dyDescent="0.35">
      <c r="A1343" s="1" t="s">
        <v>85</v>
      </c>
      <c r="B1343" s="2"/>
      <c r="C1343" s="1">
        <v>2016</v>
      </c>
      <c r="D1343" s="1">
        <v>15.72</v>
      </c>
    </row>
    <row r="1344" spans="1:4" x14ac:dyDescent="0.35">
      <c r="A1344" s="1" t="s">
        <v>85</v>
      </c>
      <c r="B1344" s="2"/>
      <c r="C1344" s="1">
        <v>2017</v>
      </c>
      <c r="D1344" s="1">
        <v>13.91</v>
      </c>
    </row>
    <row r="1345" spans="1:4" x14ac:dyDescent="0.35">
      <c r="A1345" s="1" t="s">
        <v>85</v>
      </c>
      <c r="B1345" s="2"/>
      <c r="C1345" s="1">
        <v>2018</v>
      </c>
      <c r="D1345" s="1">
        <v>19.78</v>
      </c>
    </row>
    <row r="1346" spans="1:4" x14ac:dyDescent="0.35">
      <c r="A1346" s="1" t="s">
        <v>85</v>
      </c>
      <c r="B1346" s="2"/>
      <c r="C1346" s="1">
        <v>2019</v>
      </c>
      <c r="D1346" s="1">
        <v>18.73</v>
      </c>
    </row>
    <row r="1347" spans="1:4" x14ac:dyDescent="0.35">
      <c r="A1347" s="1" t="s">
        <v>85</v>
      </c>
      <c r="B1347" s="2"/>
      <c r="C1347" s="1">
        <v>2020</v>
      </c>
      <c r="D1347" s="1">
        <v>18.989999999999998</v>
      </c>
    </row>
    <row r="1348" spans="1:4" x14ac:dyDescent="0.35">
      <c r="A1348" s="1" t="s">
        <v>85</v>
      </c>
      <c r="B1348" s="2"/>
      <c r="C1348" s="1">
        <v>2021</v>
      </c>
      <c r="D1348" s="1">
        <v>20.37</v>
      </c>
    </row>
    <row r="1349" spans="1:4" x14ac:dyDescent="0.35">
      <c r="A1349" s="1" t="s">
        <v>85</v>
      </c>
      <c r="B1349" s="2"/>
      <c r="C1349" s="1">
        <v>2022</v>
      </c>
      <c r="D1349" s="1">
        <v>16.38</v>
      </c>
    </row>
    <row r="1350" spans="1:4" x14ac:dyDescent="0.35">
      <c r="A1350" s="1" t="s">
        <v>85</v>
      </c>
      <c r="B1350" s="2"/>
      <c r="C1350" s="1">
        <v>2023</v>
      </c>
      <c r="D1350" s="1">
        <v>16.239999999999998</v>
      </c>
    </row>
    <row r="1351" spans="1:4" x14ac:dyDescent="0.35">
      <c r="A1351" s="1" t="s">
        <v>85</v>
      </c>
      <c r="B1351" s="2"/>
      <c r="C1351" s="1">
        <v>2024</v>
      </c>
      <c r="D1351" s="1" t="s">
        <v>137</v>
      </c>
    </row>
    <row r="1352" spans="1:4" x14ac:dyDescent="0.35">
      <c r="A1352" s="1" t="s">
        <v>87</v>
      </c>
      <c r="B1352" s="2" t="s">
        <v>134</v>
      </c>
      <c r="C1352" s="1">
        <v>2000</v>
      </c>
      <c r="D1352" s="1">
        <v>19.170000000000002</v>
      </c>
    </row>
    <row r="1353" spans="1:4" x14ac:dyDescent="0.35">
      <c r="A1353" s="1" t="s">
        <v>87</v>
      </c>
      <c r="B1353" s="2"/>
      <c r="C1353" s="1">
        <v>2001</v>
      </c>
      <c r="D1353" s="1">
        <v>19.55</v>
      </c>
    </row>
    <row r="1354" spans="1:4" x14ac:dyDescent="0.35">
      <c r="A1354" s="1" t="s">
        <v>87</v>
      </c>
      <c r="B1354" s="2"/>
      <c r="C1354" s="1">
        <v>2002</v>
      </c>
      <c r="D1354" s="1">
        <v>19.510000000000002</v>
      </c>
    </row>
    <row r="1355" spans="1:4" x14ac:dyDescent="0.35">
      <c r="A1355" s="1" t="s">
        <v>87</v>
      </c>
      <c r="B1355" s="2"/>
      <c r="C1355" s="1">
        <v>2003</v>
      </c>
      <c r="D1355" s="1">
        <v>19.36</v>
      </c>
    </row>
    <row r="1356" spans="1:4" x14ac:dyDescent="0.35">
      <c r="A1356" s="1" t="s">
        <v>87</v>
      </c>
      <c r="B1356" s="2"/>
      <c r="C1356" s="1">
        <v>2004</v>
      </c>
      <c r="D1356" s="1">
        <v>19.239999999999998</v>
      </c>
    </row>
    <row r="1357" spans="1:4" x14ac:dyDescent="0.35">
      <c r="A1357" s="1" t="s">
        <v>87</v>
      </c>
      <c r="B1357" s="2"/>
      <c r="C1357" s="1">
        <v>2005</v>
      </c>
      <c r="D1357" s="1">
        <v>27.86</v>
      </c>
    </row>
    <row r="1358" spans="1:4" x14ac:dyDescent="0.35">
      <c r="A1358" s="1" t="s">
        <v>87</v>
      </c>
      <c r="B1358" s="2"/>
      <c r="C1358" s="1">
        <v>2006</v>
      </c>
      <c r="D1358" s="1">
        <v>18.350000000000001</v>
      </c>
    </row>
    <row r="1359" spans="1:4" x14ac:dyDescent="0.35">
      <c r="A1359" s="1" t="s">
        <v>87</v>
      </c>
      <c r="B1359" s="2"/>
      <c r="C1359" s="1">
        <v>2007</v>
      </c>
      <c r="D1359" s="1">
        <v>18.739999999999998</v>
      </c>
    </row>
    <row r="1360" spans="1:4" x14ac:dyDescent="0.35">
      <c r="A1360" s="1" t="s">
        <v>87</v>
      </c>
      <c r="B1360" s="2"/>
      <c r="C1360" s="1">
        <v>2008</v>
      </c>
      <c r="D1360" s="1">
        <v>18.489999999999998</v>
      </c>
    </row>
    <row r="1361" spans="1:4" x14ac:dyDescent="0.35">
      <c r="A1361" s="1" t="s">
        <v>87</v>
      </c>
      <c r="B1361" s="2"/>
      <c r="C1361" s="1">
        <v>2009</v>
      </c>
      <c r="D1361" s="1">
        <v>21.86</v>
      </c>
    </row>
    <row r="1362" spans="1:4" x14ac:dyDescent="0.35">
      <c r="A1362" s="1" t="s">
        <v>87</v>
      </c>
      <c r="B1362" s="2"/>
      <c r="C1362" s="1">
        <v>2010</v>
      </c>
      <c r="D1362" s="1">
        <v>21.1</v>
      </c>
    </row>
    <row r="1363" spans="1:4" x14ac:dyDescent="0.35">
      <c r="A1363" s="1" t="s">
        <v>87</v>
      </c>
      <c r="B1363" s="2"/>
      <c r="C1363" s="1">
        <v>2011</v>
      </c>
      <c r="D1363" s="1">
        <v>20.29</v>
      </c>
    </row>
    <row r="1364" spans="1:4" x14ac:dyDescent="0.35">
      <c r="A1364" s="1" t="s">
        <v>87</v>
      </c>
      <c r="B1364" s="2"/>
      <c r="C1364" s="1">
        <v>2012</v>
      </c>
      <c r="D1364" s="1">
        <v>18.350000000000001</v>
      </c>
    </row>
    <row r="1365" spans="1:4" x14ac:dyDescent="0.35">
      <c r="A1365" s="1" t="s">
        <v>87</v>
      </c>
      <c r="B1365" s="2"/>
      <c r="C1365" s="1">
        <v>2013</v>
      </c>
      <c r="D1365" s="1">
        <v>18.73</v>
      </c>
    </row>
    <row r="1366" spans="1:4" x14ac:dyDescent="0.35">
      <c r="A1366" s="1" t="s">
        <v>87</v>
      </c>
      <c r="B1366" s="2"/>
      <c r="C1366" s="1">
        <v>2014</v>
      </c>
      <c r="D1366" s="1">
        <v>18.96</v>
      </c>
    </row>
    <row r="1367" spans="1:4" x14ac:dyDescent="0.35">
      <c r="A1367" s="1" t="s">
        <v>87</v>
      </c>
      <c r="B1367" s="2"/>
      <c r="C1367" s="1">
        <v>2015</v>
      </c>
      <c r="D1367" s="1">
        <v>21.67</v>
      </c>
    </row>
    <row r="1368" spans="1:4" x14ac:dyDescent="0.35">
      <c r="A1368" s="1" t="s">
        <v>87</v>
      </c>
      <c r="B1368" s="2"/>
      <c r="C1368" s="1">
        <v>2016</v>
      </c>
      <c r="D1368" s="1">
        <v>22.66</v>
      </c>
    </row>
    <row r="1369" spans="1:4" x14ac:dyDescent="0.35">
      <c r="A1369" s="1" t="s">
        <v>87</v>
      </c>
      <c r="B1369" s="2"/>
      <c r="C1369" s="1">
        <v>2017</v>
      </c>
      <c r="D1369" s="1">
        <v>21.52</v>
      </c>
    </row>
    <row r="1370" spans="1:4" x14ac:dyDescent="0.35">
      <c r="A1370" s="1" t="s">
        <v>87</v>
      </c>
      <c r="B1370" s="2"/>
      <c r="C1370" s="1">
        <v>2018</v>
      </c>
      <c r="D1370" s="1">
        <v>27.11</v>
      </c>
    </row>
    <row r="1371" spans="1:4" x14ac:dyDescent="0.35">
      <c r="A1371" s="1" t="s">
        <v>87</v>
      </c>
      <c r="B1371" s="2"/>
      <c r="C1371" s="1">
        <v>2019</v>
      </c>
      <c r="D1371" s="1">
        <v>29.11</v>
      </c>
    </row>
    <row r="1372" spans="1:4" x14ac:dyDescent="0.35">
      <c r="A1372" s="1" t="s">
        <v>87</v>
      </c>
      <c r="B1372" s="2"/>
      <c r="C1372" s="1">
        <v>2020</v>
      </c>
      <c r="D1372" s="1">
        <v>29.77</v>
      </c>
    </row>
    <row r="1373" spans="1:4" x14ac:dyDescent="0.35">
      <c r="A1373" s="1" t="s">
        <v>87</v>
      </c>
      <c r="B1373" s="2"/>
      <c r="C1373" s="1">
        <v>2021</v>
      </c>
      <c r="D1373" s="1">
        <v>29.99</v>
      </c>
    </row>
    <row r="1374" spans="1:4" x14ac:dyDescent="0.35">
      <c r="A1374" s="1" t="s">
        <v>87</v>
      </c>
      <c r="B1374" s="2"/>
      <c r="C1374" s="1">
        <v>2022</v>
      </c>
      <c r="D1374" s="1">
        <v>29.83</v>
      </c>
    </row>
    <row r="1375" spans="1:4" x14ac:dyDescent="0.35">
      <c r="A1375" s="1" t="s">
        <v>87</v>
      </c>
      <c r="B1375" s="2"/>
      <c r="C1375" s="1">
        <v>2023</v>
      </c>
      <c r="D1375" s="1">
        <v>31.05</v>
      </c>
    </row>
    <row r="1376" spans="1:4" x14ac:dyDescent="0.35">
      <c r="A1376" s="1" t="s">
        <v>87</v>
      </c>
      <c r="B1376" s="2"/>
      <c r="C1376" s="1">
        <v>2024</v>
      </c>
      <c r="D1376" s="1">
        <v>32.07</v>
      </c>
    </row>
    <row r="1377" spans="1:4" x14ac:dyDescent="0.35">
      <c r="A1377" s="1" t="s">
        <v>87</v>
      </c>
      <c r="B1377" s="2" t="s">
        <v>136</v>
      </c>
      <c r="C1377" s="1">
        <v>2000</v>
      </c>
      <c r="D1377" s="1">
        <v>29.6</v>
      </c>
    </row>
    <row r="1378" spans="1:4" x14ac:dyDescent="0.35">
      <c r="A1378" s="1" t="s">
        <v>87</v>
      </c>
      <c r="B1378" s="2"/>
      <c r="C1378" s="1">
        <v>2001</v>
      </c>
      <c r="D1378" s="1">
        <v>28.7</v>
      </c>
    </row>
    <row r="1379" spans="1:4" x14ac:dyDescent="0.35">
      <c r="A1379" s="1" t="s">
        <v>87</v>
      </c>
      <c r="B1379" s="2"/>
      <c r="C1379" s="1">
        <v>2002</v>
      </c>
      <c r="D1379" s="1">
        <v>27.61</v>
      </c>
    </row>
    <row r="1380" spans="1:4" x14ac:dyDescent="0.35">
      <c r="A1380" s="1" t="s">
        <v>87</v>
      </c>
      <c r="B1380" s="2"/>
      <c r="C1380" s="1">
        <v>2003</v>
      </c>
      <c r="D1380" s="1">
        <v>27.22</v>
      </c>
    </row>
    <row r="1381" spans="1:4" x14ac:dyDescent="0.35">
      <c r="A1381" s="1" t="s">
        <v>87</v>
      </c>
      <c r="B1381" s="2"/>
      <c r="C1381" s="1">
        <v>2004</v>
      </c>
      <c r="D1381" s="1">
        <v>27.35</v>
      </c>
    </row>
    <row r="1382" spans="1:4" x14ac:dyDescent="0.35">
      <c r="A1382" s="1" t="s">
        <v>87</v>
      </c>
      <c r="B1382" s="2"/>
      <c r="C1382" s="1">
        <v>2005</v>
      </c>
      <c r="D1382" s="1">
        <v>25.01</v>
      </c>
    </row>
    <row r="1383" spans="1:4" x14ac:dyDescent="0.35">
      <c r="A1383" s="1" t="s">
        <v>87</v>
      </c>
      <c r="B1383" s="2"/>
      <c r="C1383" s="1">
        <v>2006</v>
      </c>
      <c r="D1383" s="1">
        <v>22.24</v>
      </c>
    </row>
    <row r="1384" spans="1:4" x14ac:dyDescent="0.35">
      <c r="A1384" s="1" t="s">
        <v>87</v>
      </c>
      <c r="B1384" s="2"/>
      <c r="C1384" s="1">
        <v>2007</v>
      </c>
      <c r="D1384" s="1">
        <v>22.4</v>
      </c>
    </row>
    <row r="1385" spans="1:4" x14ac:dyDescent="0.35">
      <c r="A1385" s="1" t="s">
        <v>87</v>
      </c>
      <c r="B1385" s="2"/>
      <c r="C1385" s="1">
        <v>2008</v>
      </c>
      <c r="D1385" s="1">
        <v>23.26</v>
      </c>
    </row>
    <row r="1386" spans="1:4" x14ac:dyDescent="0.35">
      <c r="A1386" s="1" t="s">
        <v>87</v>
      </c>
      <c r="B1386" s="2"/>
      <c r="C1386" s="1">
        <v>2009</v>
      </c>
      <c r="D1386" s="1">
        <v>23.63</v>
      </c>
    </row>
    <row r="1387" spans="1:4" x14ac:dyDescent="0.35">
      <c r="A1387" s="1" t="s">
        <v>87</v>
      </c>
      <c r="B1387" s="2"/>
      <c r="C1387" s="1">
        <v>2010</v>
      </c>
      <c r="D1387" s="1">
        <v>21.49</v>
      </c>
    </row>
    <row r="1388" spans="1:4" x14ac:dyDescent="0.35">
      <c r="A1388" s="1" t="s">
        <v>87</v>
      </c>
      <c r="B1388" s="2"/>
      <c r="C1388" s="1">
        <v>2011</v>
      </c>
      <c r="D1388" s="1">
        <v>20.07</v>
      </c>
    </row>
    <row r="1389" spans="1:4" x14ac:dyDescent="0.35">
      <c r="A1389" s="1" t="s">
        <v>87</v>
      </c>
      <c r="B1389" s="2"/>
      <c r="C1389" s="1">
        <v>2012</v>
      </c>
      <c r="D1389" s="1">
        <v>20.29</v>
      </c>
    </row>
    <row r="1390" spans="1:4" x14ac:dyDescent="0.35">
      <c r="A1390" s="1" t="s">
        <v>87</v>
      </c>
      <c r="B1390" s="2"/>
      <c r="C1390" s="1">
        <v>2013</v>
      </c>
      <c r="D1390" s="1">
        <v>20.63</v>
      </c>
    </row>
    <row r="1391" spans="1:4" x14ac:dyDescent="0.35">
      <c r="A1391" s="1" t="s">
        <v>87</v>
      </c>
      <c r="B1391" s="2"/>
      <c r="C1391" s="1">
        <v>2014</v>
      </c>
      <c r="D1391" s="1">
        <v>20.34</v>
      </c>
    </row>
    <row r="1392" spans="1:4" x14ac:dyDescent="0.35">
      <c r="A1392" s="1" t="s">
        <v>87</v>
      </c>
      <c r="B1392" s="2"/>
      <c r="C1392" s="1">
        <v>2015</v>
      </c>
      <c r="D1392" s="1">
        <v>22.76</v>
      </c>
    </row>
    <row r="1393" spans="1:4" x14ac:dyDescent="0.35">
      <c r="A1393" s="1" t="s">
        <v>87</v>
      </c>
      <c r="B1393" s="2"/>
      <c r="C1393" s="1">
        <v>2016</v>
      </c>
      <c r="D1393" s="1">
        <v>21.88</v>
      </c>
    </row>
    <row r="1394" spans="1:4" x14ac:dyDescent="0.35">
      <c r="A1394" s="1" t="s">
        <v>87</v>
      </c>
      <c r="B1394" s="2"/>
      <c r="C1394" s="1">
        <v>2017</v>
      </c>
      <c r="D1394" s="1">
        <v>20.149999999999999</v>
      </c>
    </row>
    <row r="1395" spans="1:4" x14ac:dyDescent="0.35">
      <c r="A1395" s="1" t="s">
        <v>87</v>
      </c>
      <c r="B1395" s="2"/>
      <c r="C1395" s="1">
        <v>2018</v>
      </c>
      <c r="D1395" s="1">
        <v>20.92</v>
      </c>
    </row>
    <row r="1396" spans="1:4" x14ac:dyDescent="0.35">
      <c r="A1396" s="1" t="s">
        <v>87</v>
      </c>
      <c r="B1396" s="2"/>
      <c r="C1396" s="1">
        <v>2019</v>
      </c>
      <c r="D1396" s="1">
        <v>21.93</v>
      </c>
    </row>
    <row r="1397" spans="1:4" x14ac:dyDescent="0.35">
      <c r="A1397" s="1" t="s">
        <v>87</v>
      </c>
      <c r="B1397" s="2"/>
      <c r="C1397" s="1">
        <v>2020</v>
      </c>
      <c r="D1397" s="1">
        <v>24.11</v>
      </c>
    </row>
    <row r="1398" spans="1:4" x14ac:dyDescent="0.35">
      <c r="A1398" s="1" t="s">
        <v>87</v>
      </c>
      <c r="B1398" s="2"/>
      <c r="C1398" s="1">
        <v>2021</v>
      </c>
      <c r="D1398" s="1">
        <v>21.68</v>
      </c>
    </row>
    <row r="1399" spans="1:4" x14ac:dyDescent="0.35">
      <c r="A1399" s="1" t="s">
        <v>87</v>
      </c>
      <c r="B1399" s="2"/>
      <c r="C1399" s="1">
        <v>2022</v>
      </c>
      <c r="D1399" s="1">
        <v>19.29</v>
      </c>
    </row>
    <row r="1400" spans="1:4" x14ac:dyDescent="0.35">
      <c r="A1400" s="1" t="s">
        <v>87</v>
      </c>
      <c r="B1400" s="2"/>
      <c r="C1400" s="1">
        <v>2023</v>
      </c>
      <c r="D1400" s="1">
        <v>17.690000000000001</v>
      </c>
    </row>
    <row r="1401" spans="1:4" x14ac:dyDescent="0.35">
      <c r="A1401" s="1" t="s">
        <v>87</v>
      </c>
      <c r="B1401" s="2"/>
      <c r="C1401" s="1">
        <v>2024</v>
      </c>
      <c r="D1401" s="1" t="s">
        <v>137</v>
      </c>
    </row>
    <row r="1402" spans="1:4" x14ac:dyDescent="0.35">
      <c r="A1402" s="1" t="s">
        <v>77</v>
      </c>
      <c r="B1402" s="2" t="s">
        <v>134</v>
      </c>
      <c r="C1402" s="1">
        <v>2000</v>
      </c>
      <c r="D1402" s="1">
        <v>27.92</v>
      </c>
    </row>
    <row r="1403" spans="1:4" x14ac:dyDescent="0.35">
      <c r="A1403" s="1" t="s">
        <v>77</v>
      </c>
      <c r="B1403" s="2"/>
      <c r="C1403" s="1">
        <v>2001</v>
      </c>
      <c r="D1403" s="1">
        <v>27.93</v>
      </c>
    </row>
    <row r="1404" spans="1:4" x14ac:dyDescent="0.35">
      <c r="A1404" s="1" t="s">
        <v>77</v>
      </c>
      <c r="B1404" s="2"/>
      <c r="C1404" s="1">
        <v>2002</v>
      </c>
      <c r="D1404" s="1">
        <v>27.81</v>
      </c>
    </row>
    <row r="1405" spans="1:4" x14ac:dyDescent="0.35">
      <c r="A1405" s="1" t="s">
        <v>77</v>
      </c>
      <c r="B1405" s="2"/>
      <c r="C1405" s="1">
        <v>2003</v>
      </c>
      <c r="D1405" s="1">
        <v>29.39</v>
      </c>
    </row>
    <row r="1406" spans="1:4" x14ac:dyDescent="0.35">
      <c r="A1406" s="1" t="s">
        <v>77</v>
      </c>
      <c r="B1406" s="2"/>
      <c r="C1406" s="1">
        <v>2004</v>
      </c>
      <c r="D1406" s="1">
        <v>28.69</v>
      </c>
    </row>
    <row r="1407" spans="1:4" x14ac:dyDescent="0.35">
      <c r="A1407" s="1" t="s">
        <v>77</v>
      </c>
      <c r="B1407" s="2"/>
      <c r="C1407" s="1">
        <v>2005</v>
      </c>
      <c r="D1407" s="1">
        <v>25.34</v>
      </c>
    </row>
    <row r="1408" spans="1:4" x14ac:dyDescent="0.35">
      <c r="A1408" s="1" t="s">
        <v>77</v>
      </c>
      <c r="B1408" s="2"/>
      <c r="C1408" s="1">
        <v>2006</v>
      </c>
      <c r="D1408" s="1">
        <v>25.35</v>
      </c>
    </row>
    <row r="1409" spans="1:4" x14ac:dyDescent="0.35">
      <c r="A1409" s="1" t="s">
        <v>77</v>
      </c>
      <c r="B1409" s="2"/>
      <c r="C1409" s="1">
        <v>2007</v>
      </c>
      <c r="D1409" s="1">
        <v>26.21</v>
      </c>
    </row>
    <row r="1410" spans="1:4" x14ac:dyDescent="0.35">
      <c r="A1410" s="1" t="s">
        <v>77</v>
      </c>
      <c r="B1410" s="2"/>
      <c r="C1410" s="1">
        <v>2008</v>
      </c>
      <c r="D1410" s="1">
        <v>26.22</v>
      </c>
    </row>
    <row r="1411" spans="1:4" x14ac:dyDescent="0.35">
      <c r="A1411" s="1" t="s">
        <v>77</v>
      </c>
      <c r="B1411" s="2"/>
      <c r="C1411" s="1">
        <v>2009</v>
      </c>
      <c r="D1411" s="1">
        <v>24.7</v>
      </c>
    </row>
    <row r="1412" spans="1:4" x14ac:dyDescent="0.35">
      <c r="A1412" s="1" t="s">
        <v>77</v>
      </c>
      <c r="B1412" s="2"/>
      <c r="C1412" s="1">
        <v>2010</v>
      </c>
      <c r="D1412" s="1">
        <v>24.54</v>
      </c>
    </row>
    <row r="1413" spans="1:4" x14ac:dyDescent="0.35">
      <c r="A1413" s="1" t="s">
        <v>77</v>
      </c>
      <c r="B1413" s="2"/>
      <c r="C1413" s="1">
        <v>2011</v>
      </c>
      <c r="D1413" s="1">
        <v>24.95</v>
      </c>
    </row>
    <row r="1414" spans="1:4" x14ac:dyDescent="0.35">
      <c r="A1414" s="1" t="s">
        <v>77</v>
      </c>
      <c r="B1414" s="2"/>
      <c r="C1414" s="1">
        <v>2012</v>
      </c>
      <c r="D1414" s="1">
        <v>23.79</v>
      </c>
    </row>
    <row r="1415" spans="1:4" x14ac:dyDescent="0.35">
      <c r="A1415" s="1" t="s">
        <v>77</v>
      </c>
      <c r="B1415" s="2"/>
      <c r="C1415" s="1">
        <v>2013</v>
      </c>
      <c r="D1415" s="1">
        <v>24.95</v>
      </c>
    </row>
    <row r="1416" spans="1:4" x14ac:dyDescent="0.35">
      <c r="A1416" s="1" t="s">
        <v>77</v>
      </c>
      <c r="B1416" s="2"/>
      <c r="C1416" s="1">
        <v>2014</v>
      </c>
      <c r="D1416" s="1">
        <v>26.73</v>
      </c>
    </row>
    <row r="1417" spans="1:4" x14ac:dyDescent="0.35">
      <c r="A1417" s="1" t="s">
        <v>77</v>
      </c>
      <c r="B1417" s="2"/>
      <c r="C1417" s="1">
        <v>2015</v>
      </c>
      <c r="D1417" s="1">
        <v>28.2</v>
      </c>
    </row>
    <row r="1418" spans="1:4" x14ac:dyDescent="0.35">
      <c r="A1418" s="1" t="s">
        <v>77</v>
      </c>
      <c r="B1418" s="2"/>
      <c r="C1418" s="1">
        <v>2016</v>
      </c>
      <c r="D1418" s="1">
        <v>28.9</v>
      </c>
    </row>
    <row r="1419" spans="1:4" x14ac:dyDescent="0.35">
      <c r="A1419" s="1" t="s">
        <v>77</v>
      </c>
      <c r="B1419" s="2"/>
      <c r="C1419" s="1">
        <v>2017</v>
      </c>
      <c r="D1419" s="1">
        <v>28.68</v>
      </c>
    </row>
    <row r="1420" spans="1:4" x14ac:dyDescent="0.35">
      <c r="A1420" s="1" t="s">
        <v>77</v>
      </c>
      <c r="B1420" s="2"/>
      <c r="C1420" s="1">
        <v>2018</v>
      </c>
      <c r="D1420" s="1">
        <v>29.82</v>
      </c>
    </row>
    <row r="1421" spans="1:4" x14ac:dyDescent="0.35">
      <c r="A1421" s="1" t="s">
        <v>77</v>
      </c>
      <c r="B1421" s="2"/>
      <c r="C1421" s="1">
        <v>2019</v>
      </c>
      <c r="D1421" s="1">
        <v>30.54</v>
      </c>
    </row>
    <row r="1422" spans="1:4" x14ac:dyDescent="0.35">
      <c r="A1422" s="1" t="s">
        <v>77</v>
      </c>
      <c r="B1422" s="2"/>
      <c r="C1422" s="1">
        <v>2020</v>
      </c>
      <c r="D1422" s="1">
        <v>33.03</v>
      </c>
    </row>
    <row r="1423" spans="1:4" x14ac:dyDescent="0.35">
      <c r="A1423" s="1" t="s">
        <v>77</v>
      </c>
      <c r="B1423" s="2"/>
      <c r="C1423" s="1">
        <v>2021</v>
      </c>
      <c r="D1423" s="1">
        <v>33.06</v>
      </c>
    </row>
    <row r="1424" spans="1:4" x14ac:dyDescent="0.35">
      <c r="A1424" s="1" t="s">
        <v>77</v>
      </c>
      <c r="B1424" s="2"/>
      <c r="C1424" s="1">
        <v>2022</v>
      </c>
      <c r="D1424" s="1">
        <v>34.28</v>
      </c>
    </row>
    <row r="1425" spans="1:4" x14ac:dyDescent="0.35">
      <c r="A1425" s="1" t="s">
        <v>77</v>
      </c>
      <c r="B1425" s="2"/>
      <c r="C1425" s="1">
        <v>2023</v>
      </c>
      <c r="D1425" s="1">
        <v>36.869999999999997</v>
      </c>
    </row>
    <row r="1426" spans="1:4" x14ac:dyDescent="0.35">
      <c r="A1426" s="1" t="s">
        <v>77</v>
      </c>
      <c r="B1426" s="2"/>
      <c r="C1426" s="1">
        <v>2024</v>
      </c>
      <c r="D1426" s="1">
        <v>38.659999999999997</v>
      </c>
    </row>
    <row r="1427" spans="1:4" x14ac:dyDescent="0.35">
      <c r="A1427" s="1" t="s">
        <v>77</v>
      </c>
      <c r="B1427" s="2" t="s">
        <v>136</v>
      </c>
      <c r="C1427" s="1">
        <v>2000</v>
      </c>
      <c r="D1427" s="1">
        <v>6.75</v>
      </c>
    </row>
    <row r="1428" spans="1:4" x14ac:dyDescent="0.35">
      <c r="A1428" s="1" t="s">
        <v>77</v>
      </c>
      <c r="B1428" s="2"/>
      <c r="C1428" s="1">
        <v>2001</v>
      </c>
      <c r="D1428" s="1">
        <v>8.15</v>
      </c>
    </row>
    <row r="1429" spans="1:4" x14ac:dyDescent="0.35">
      <c r="A1429" s="1" t="s">
        <v>77</v>
      </c>
      <c r="B1429" s="2"/>
      <c r="C1429" s="1">
        <v>2002</v>
      </c>
      <c r="D1429" s="1">
        <v>7.36</v>
      </c>
    </row>
    <row r="1430" spans="1:4" x14ac:dyDescent="0.35">
      <c r="A1430" s="1" t="s">
        <v>77</v>
      </c>
      <c r="B1430" s="2"/>
      <c r="C1430" s="1">
        <v>2003</v>
      </c>
      <c r="D1430" s="1">
        <v>10.74</v>
      </c>
    </row>
    <row r="1431" spans="1:4" x14ac:dyDescent="0.35">
      <c r="A1431" s="1" t="s">
        <v>77</v>
      </c>
      <c r="B1431" s="2"/>
      <c r="C1431" s="1">
        <v>2004</v>
      </c>
      <c r="D1431" s="1">
        <v>10.94</v>
      </c>
    </row>
    <row r="1432" spans="1:4" x14ac:dyDescent="0.35">
      <c r="A1432" s="1" t="s">
        <v>77</v>
      </c>
      <c r="B1432" s="2"/>
      <c r="C1432" s="1">
        <v>2005</v>
      </c>
      <c r="D1432" s="1">
        <v>6.14</v>
      </c>
    </row>
    <row r="1433" spans="1:4" x14ac:dyDescent="0.35">
      <c r="A1433" s="1" t="s">
        <v>77</v>
      </c>
      <c r="B1433" s="2"/>
      <c r="C1433" s="1">
        <v>2006</v>
      </c>
      <c r="D1433" s="1">
        <v>5.93</v>
      </c>
    </row>
    <row r="1434" spans="1:4" x14ac:dyDescent="0.35">
      <c r="A1434" s="1" t="s">
        <v>77</v>
      </c>
      <c r="B1434" s="2"/>
      <c r="C1434" s="1">
        <v>2007</v>
      </c>
      <c r="D1434" s="1">
        <v>6.07</v>
      </c>
    </row>
    <row r="1435" spans="1:4" x14ac:dyDescent="0.35">
      <c r="A1435" s="1" t="s">
        <v>77</v>
      </c>
      <c r="B1435" s="2"/>
      <c r="C1435" s="1">
        <v>2008</v>
      </c>
      <c r="D1435" s="1">
        <v>6.04</v>
      </c>
    </row>
    <row r="1436" spans="1:4" x14ac:dyDescent="0.35">
      <c r="A1436" s="1" t="s">
        <v>77</v>
      </c>
      <c r="B1436" s="2"/>
      <c r="C1436" s="1">
        <v>2009</v>
      </c>
      <c r="D1436" s="1">
        <v>14.2</v>
      </c>
    </row>
    <row r="1437" spans="1:4" x14ac:dyDescent="0.35">
      <c r="A1437" s="1" t="s">
        <v>77</v>
      </c>
      <c r="B1437" s="2"/>
      <c r="C1437" s="1">
        <v>2010</v>
      </c>
      <c r="D1437" s="1">
        <v>18.14</v>
      </c>
    </row>
    <row r="1438" spans="1:4" x14ac:dyDescent="0.35">
      <c r="A1438" s="1" t="s">
        <v>77</v>
      </c>
      <c r="B1438" s="2"/>
      <c r="C1438" s="1">
        <v>2011</v>
      </c>
      <c r="D1438" s="1">
        <v>11.23</v>
      </c>
    </row>
    <row r="1439" spans="1:4" x14ac:dyDescent="0.35">
      <c r="A1439" s="1" t="s">
        <v>77</v>
      </c>
      <c r="B1439" s="2"/>
      <c r="C1439" s="1">
        <v>2012</v>
      </c>
      <c r="D1439" s="1">
        <v>9.17</v>
      </c>
    </row>
    <row r="1440" spans="1:4" x14ac:dyDescent="0.35">
      <c r="A1440" s="1" t="s">
        <v>77</v>
      </c>
      <c r="B1440" s="2"/>
      <c r="C1440" s="1">
        <v>2013</v>
      </c>
      <c r="D1440" s="1">
        <v>15.62</v>
      </c>
    </row>
    <row r="1441" spans="1:4" x14ac:dyDescent="0.35">
      <c r="A1441" s="1" t="s">
        <v>77</v>
      </c>
      <c r="B1441" s="2"/>
      <c r="C1441" s="1">
        <v>2014</v>
      </c>
      <c r="D1441" s="1">
        <v>12.94</v>
      </c>
    </row>
    <row r="1442" spans="1:4" x14ac:dyDescent="0.35">
      <c r="A1442" s="1" t="s">
        <v>77</v>
      </c>
      <c r="B1442" s="2"/>
      <c r="C1442" s="1">
        <v>2015</v>
      </c>
      <c r="D1442" s="1">
        <v>14.87</v>
      </c>
    </row>
    <row r="1443" spans="1:4" x14ac:dyDescent="0.35">
      <c r="A1443" s="1" t="s">
        <v>77</v>
      </c>
      <c r="B1443" s="2"/>
      <c r="C1443" s="1">
        <v>2016</v>
      </c>
      <c r="D1443" s="1">
        <v>15.26</v>
      </c>
    </row>
    <row r="1444" spans="1:4" x14ac:dyDescent="0.35">
      <c r="A1444" s="1" t="s">
        <v>77</v>
      </c>
      <c r="B1444" s="2"/>
      <c r="C1444" s="1">
        <v>2017</v>
      </c>
      <c r="D1444" s="1">
        <v>14.76</v>
      </c>
    </row>
    <row r="1445" spans="1:4" x14ac:dyDescent="0.35">
      <c r="A1445" s="1" t="s">
        <v>77</v>
      </c>
      <c r="B1445" s="2"/>
      <c r="C1445" s="1">
        <v>2018</v>
      </c>
      <c r="D1445" s="1">
        <v>18.98</v>
      </c>
    </row>
    <row r="1446" spans="1:4" x14ac:dyDescent="0.35">
      <c r="A1446" s="1" t="s">
        <v>77</v>
      </c>
      <c r="B1446" s="2"/>
      <c r="C1446" s="1">
        <v>2019</v>
      </c>
      <c r="D1446" s="1">
        <v>18.86</v>
      </c>
    </row>
    <row r="1447" spans="1:4" x14ac:dyDescent="0.35">
      <c r="A1447" s="1" t="s">
        <v>77</v>
      </c>
      <c r="B1447" s="2"/>
      <c r="C1447" s="1">
        <v>2020</v>
      </c>
      <c r="D1447" s="1">
        <v>18.18</v>
      </c>
    </row>
    <row r="1448" spans="1:4" x14ac:dyDescent="0.35">
      <c r="A1448" s="1" t="s">
        <v>77</v>
      </c>
      <c r="B1448" s="2"/>
      <c r="C1448" s="1">
        <v>2021</v>
      </c>
      <c r="D1448" s="1">
        <v>18.93</v>
      </c>
    </row>
    <row r="1449" spans="1:4" x14ac:dyDescent="0.35">
      <c r="A1449" s="1" t="s">
        <v>77</v>
      </c>
      <c r="B1449" s="2"/>
      <c r="C1449" s="1">
        <v>2022</v>
      </c>
      <c r="D1449" s="1">
        <v>17.440000000000001</v>
      </c>
    </row>
    <row r="1450" spans="1:4" x14ac:dyDescent="0.35">
      <c r="A1450" s="1" t="s">
        <v>77</v>
      </c>
      <c r="B1450" s="2"/>
      <c r="C1450" s="1">
        <v>2023</v>
      </c>
      <c r="D1450" s="1">
        <v>18.53</v>
      </c>
    </row>
    <row r="1451" spans="1:4" x14ac:dyDescent="0.35">
      <c r="A1451" s="1" t="s">
        <v>77</v>
      </c>
      <c r="B1451" s="2"/>
      <c r="C1451" s="1">
        <v>2024</v>
      </c>
      <c r="D1451" s="1" t="s">
        <v>137</v>
      </c>
    </row>
    <row r="1452" spans="1:4" x14ac:dyDescent="0.35">
      <c r="A1452" s="1" t="s">
        <v>83</v>
      </c>
      <c r="B1452" s="2" t="s">
        <v>134</v>
      </c>
      <c r="C1452" s="1">
        <v>2000</v>
      </c>
      <c r="D1452" s="1">
        <v>98.9</v>
      </c>
    </row>
    <row r="1453" spans="1:4" x14ac:dyDescent="0.35">
      <c r="A1453" s="1" t="s">
        <v>83</v>
      </c>
      <c r="B1453" s="2"/>
      <c r="C1453" s="1">
        <v>2001</v>
      </c>
      <c r="D1453" s="1">
        <v>98.91</v>
      </c>
    </row>
    <row r="1454" spans="1:4" x14ac:dyDescent="0.35">
      <c r="A1454" s="1" t="s">
        <v>83</v>
      </c>
      <c r="B1454" s="2"/>
      <c r="C1454" s="1">
        <v>2002</v>
      </c>
      <c r="D1454" s="1">
        <v>98.84</v>
      </c>
    </row>
    <row r="1455" spans="1:4" x14ac:dyDescent="0.35">
      <c r="A1455" s="1" t="s">
        <v>83</v>
      </c>
      <c r="B1455" s="2"/>
      <c r="C1455" s="1">
        <v>2003</v>
      </c>
      <c r="D1455" s="1">
        <v>98.78</v>
      </c>
    </row>
    <row r="1456" spans="1:4" x14ac:dyDescent="0.35">
      <c r="A1456" s="1" t="s">
        <v>83</v>
      </c>
      <c r="B1456" s="2"/>
      <c r="C1456" s="1">
        <v>2004</v>
      </c>
      <c r="D1456" s="1">
        <v>98.78</v>
      </c>
    </row>
    <row r="1457" spans="1:4" x14ac:dyDescent="0.35">
      <c r="A1457" s="1" t="s">
        <v>83</v>
      </c>
      <c r="B1457" s="2"/>
      <c r="C1457" s="1">
        <v>2005</v>
      </c>
      <c r="D1457" s="1">
        <v>98.78</v>
      </c>
    </row>
    <row r="1458" spans="1:4" x14ac:dyDescent="0.35">
      <c r="A1458" s="1" t="s">
        <v>83</v>
      </c>
      <c r="B1458" s="2"/>
      <c r="C1458" s="1">
        <v>2006</v>
      </c>
      <c r="D1458" s="1">
        <v>98.78</v>
      </c>
    </row>
    <row r="1459" spans="1:4" x14ac:dyDescent="0.35">
      <c r="A1459" s="1" t="s">
        <v>83</v>
      </c>
      <c r="B1459" s="2"/>
      <c r="C1459" s="1">
        <v>2007</v>
      </c>
      <c r="D1459" s="1">
        <v>98.23</v>
      </c>
    </row>
    <row r="1460" spans="1:4" x14ac:dyDescent="0.35">
      <c r="A1460" s="1" t="s">
        <v>83</v>
      </c>
      <c r="B1460" s="2"/>
      <c r="C1460" s="1">
        <v>2008</v>
      </c>
      <c r="D1460" s="1">
        <v>98.08</v>
      </c>
    </row>
    <row r="1461" spans="1:4" x14ac:dyDescent="0.35">
      <c r="A1461" s="1" t="s">
        <v>83</v>
      </c>
      <c r="B1461" s="2"/>
      <c r="C1461" s="1">
        <v>2009</v>
      </c>
      <c r="D1461" s="1">
        <v>98.08</v>
      </c>
    </row>
    <row r="1462" spans="1:4" x14ac:dyDescent="0.35">
      <c r="A1462" s="1" t="s">
        <v>83</v>
      </c>
      <c r="B1462" s="2"/>
      <c r="C1462" s="1">
        <v>2010</v>
      </c>
      <c r="D1462" s="1">
        <v>98.08</v>
      </c>
    </row>
    <row r="1463" spans="1:4" x14ac:dyDescent="0.35">
      <c r="A1463" s="1" t="s">
        <v>83</v>
      </c>
      <c r="B1463" s="2"/>
      <c r="C1463" s="1">
        <v>2011</v>
      </c>
      <c r="D1463" s="1">
        <v>97.07</v>
      </c>
    </row>
    <row r="1464" spans="1:4" x14ac:dyDescent="0.35">
      <c r="A1464" s="1" t="s">
        <v>83</v>
      </c>
      <c r="B1464" s="2"/>
      <c r="C1464" s="1">
        <v>2012</v>
      </c>
      <c r="D1464" s="1">
        <v>92.79</v>
      </c>
    </row>
    <row r="1465" spans="1:4" x14ac:dyDescent="0.35">
      <c r="A1465" s="1" t="s">
        <v>83</v>
      </c>
      <c r="B1465" s="2"/>
      <c r="C1465" s="1">
        <v>2013</v>
      </c>
      <c r="D1465" s="1">
        <v>91.74</v>
      </c>
    </row>
    <row r="1466" spans="1:4" x14ac:dyDescent="0.35">
      <c r="A1466" s="1" t="s">
        <v>83</v>
      </c>
      <c r="B1466" s="2"/>
      <c r="C1466" s="1">
        <v>2014</v>
      </c>
      <c r="D1466" s="1">
        <v>85.37</v>
      </c>
    </row>
    <row r="1467" spans="1:4" x14ac:dyDescent="0.35">
      <c r="A1467" s="1" t="s">
        <v>83</v>
      </c>
      <c r="B1467" s="2"/>
      <c r="C1467" s="1">
        <v>2015</v>
      </c>
      <c r="D1467" s="1">
        <v>79.930000000000007</v>
      </c>
    </row>
    <row r="1468" spans="1:4" x14ac:dyDescent="0.35">
      <c r="A1468" s="1" t="s">
        <v>83</v>
      </c>
      <c r="B1468" s="2"/>
      <c r="C1468" s="1">
        <v>2016</v>
      </c>
      <c r="D1468" s="1">
        <v>79.849999999999994</v>
      </c>
    </row>
    <row r="1469" spans="1:4" x14ac:dyDescent="0.35">
      <c r="A1469" s="1" t="s">
        <v>83</v>
      </c>
      <c r="B1469" s="2"/>
      <c r="C1469" s="1">
        <v>2017</v>
      </c>
      <c r="D1469" s="1">
        <v>80.36</v>
      </c>
    </row>
    <row r="1470" spans="1:4" x14ac:dyDescent="0.35">
      <c r="A1470" s="1" t="s">
        <v>83</v>
      </c>
      <c r="B1470" s="2"/>
      <c r="C1470" s="1">
        <v>2018</v>
      </c>
      <c r="D1470" s="1">
        <v>77.45</v>
      </c>
    </row>
    <row r="1471" spans="1:4" x14ac:dyDescent="0.35">
      <c r="A1471" s="1" t="s">
        <v>83</v>
      </c>
      <c r="B1471" s="2"/>
      <c r="C1471" s="1">
        <v>2019</v>
      </c>
      <c r="D1471" s="1">
        <v>77.78</v>
      </c>
    </row>
    <row r="1472" spans="1:4" x14ac:dyDescent="0.35">
      <c r="A1472" s="1" t="s">
        <v>83</v>
      </c>
      <c r="B1472" s="2"/>
      <c r="C1472" s="1">
        <v>2020</v>
      </c>
      <c r="D1472" s="1">
        <v>78.430000000000007</v>
      </c>
    </row>
    <row r="1473" spans="1:4" x14ac:dyDescent="0.35">
      <c r="A1473" s="1" t="s">
        <v>83</v>
      </c>
      <c r="B1473" s="2"/>
      <c r="C1473" s="1">
        <v>2021</v>
      </c>
      <c r="D1473" s="1">
        <v>78.44</v>
      </c>
    </row>
    <row r="1474" spans="1:4" x14ac:dyDescent="0.35">
      <c r="A1474" s="1" t="s">
        <v>83</v>
      </c>
      <c r="B1474" s="2"/>
      <c r="C1474" s="1">
        <v>2022</v>
      </c>
      <c r="D1474" s="1">
        <v>77.459999999999994</v>
      </c>
    </row>
    <row r="1475" spans="1:4" x14ac:dyDescent="0.35">
      <c r="A1475" s="1" t="s">
        <v>83</v>
      </c>
      <c r="B1475" s="2"/>
      <c r="C1475" s="1">
        <v>2023</v>
      </c>
      <c r="D1475" s="1">
        <v>77.61</v>
      </c>
    </row>
    <row r="1476" spans="1:4" x14ac:dyDescent="0.35">
      <c r="A1476" s="1" t="s">
        <v>83</v>
      </c>
      <c r="B1476" s="2"/>
      <c r="C1476" s="1">
        <v>2024</v>
      </c>
      <c r="D1476" s="1">
        <v>77.650000000000006</v>
      </c>
    </row>
    <row r="1477" spans="1:4" x14ac:dyDescent="0.35">
      <c r="A1477" s="1" t="s">
        <v>83</v>
      </c>
      <c r="B1477" s="2" t="s">
        <v>136</v>
      </c>
      <c r="C1477" s="1">
        <v>2000</v>
      </c>
      <c r="D1477" s="1">
        <v>99.53</v>
      </c>
    </row>
    <row r="1478" spans="1:4" x14ac:dyDescent="0.35">
      <c r="A1478" s="1" t="s">
        <v>83</v>
      </c>
      <c r="B1478" s="2"/>
      <c r="C1478" s="1">
        <v>2001</v>
      </c>
      <c r="D1478" s="1">
        <v>99.64</v>
      </c>
    </row>
    <row r="1479" spans="1:4" x14ac:dyDescent="0.35">
      <c r="A1479" s="1" t="s">
        <v>83</v>
      </c>
      <c r="B1479" s="2"/>
      <c r="C1479" s="1">
        <v>2002</v>
      </c>
      <c r="D1479" s="1">
        <v>99.73</v>
      </c>
    </row>
    <row r="1480" spans="1:4" x14ac:dyDescent="0.35">
      <c r="A1480" s="1" t="s">
        <v>83</v>
      </c>
      <c r="B1480" s="2"/>
      <c r="C1480" s="1">
        <v>2003</v>
      </c>
      <c r="D1480" s="1">
        <v>99.69</v>
      </c>
    </row>
    <row r="1481" spans="1:4" x14ac:dyDescent="0.35">
      <c r="A1481" s="1" t="s">
        <v>83</v>
      </c>
      <c r="B1481" s="2"/>
      <c r="C1481" s="1">
        <v>2004</v>
      </c>
      <c r="D1481" s="1">
        <v>99.67</v>
      </c>
    </row>
    <row r="1482" spans="1:4" x14ac:dyDescent="0.35">
      <c r="A1482" s="1" t="s">
        <v>83</v>
      </c>
      <c r="B1482" s="2"/>
      <c r="C1482" s="1">
        <v>2005</v>
      </c>
      <c r="D1482" s="1">
        <v>99.89</v>
      </c>
    </row>
    <row r="1483" spans="1:4" x14ac:dyDescent="0.35">
      <c r="A1483" s="1" t="s">
        <v>83</v>
      </c>
      <c r="B1483" s="2"/>
      <c r="C1483" s="1">
        <v>2006</v>
      </c>
      <c r="D1483" s="1">
        <v>99.96</v>
      </c>
    </row>
    <row r="1484" spans="1:4" x14ac:dyDescent="0.35">
      <c r="A1484" s="1" t="s">
        <v>83</v>
      </c>
      <c r="B1484" s="2"/>
      <c r="C1484" s="1">
        <v>2007</v>
      </c>
      <c r="D1484" s="1">
        <v>99.95</v>
      </c>
    </row>
    <row r="1485" spans="1:4" x14ac:dyDescent="0.35">
      <c r="A1485" s="1" t="s">
        <v>83</v>
      </c>
      <c r="B1485" s="2"/>
      <c r="C1485" s="1">
        <v>2008</v>
      </c>
      <c r="D1485" s="1">
        <v>99.93</v>
      </c>
    </row>
    <row r="1486" spans="1:4" x14ac:dyDescent="0.35">
      <c r="A1486" s="1" t="s">
        <v>83</v>
      </c>
      <c r="B1486" s="2"/>
      <c r="C1486" s="1">
        <v>2009</v>
      </c>
      <c r="D1486" s="1">
        <v>99.94</v>
      </c>
    </row>
    <row r="1487" spans="1:4" x14ac:dyDescent="0.35">
      <c r="A1487" s="1" t="s">
        <v>83</v>
      </c>
      <c r="B1487" s="2"/>
      <c r="C1487" s="1">
        <v>2010</v>
      </c>
      <c r="D1487" s="1">
        <v>99.89</v>
      </c>
    </row>
    <row r="1488" spans="1:4" x14ac:dyDescent="0.35">
      <c r="A1488" s="1" t="s">
        <v>83</v>
      </c>
      <c r="B1488" s="2"/>
      <c r="C1488" s="1">
        <v>2011</v>
      </c>
      <c r="D1488" s="1">
        <v>99.87</v>
      </c>
    </row>
    <row r="1489" spans="1:4" x14ac:dyDescent="0.35">
      <c r="A1489" s="1" t="s">
        <v>83</v>
      </c>
      <c r="B1489" s="2"/>
      <c r="C1489" s="1">
        <v>2012</v>
      </c>
      <c r="D1489" s="1">
        <v>99.84</v>
      </c>
    </row>
    <row r="1490" spans="1:4" x14ac:dyDescent="0.35">
      <c r="A1490" s="1" t="s">
        <v>83</v>
      </c>
      <c r="B1490" s="2"/>
      <c r="C1490" s="1">
        <v>2013</v>
      </c>
      <c r="D1490" s="1">
        <v>99.8</v>
      </c>
    </row>
    <row r="1491" spans="1:4" x14ac:dyDescent="0.35">
      <c r="A1491" s="1" t="s">
        <v>83</v>
      </c>
      <c r="B1491" s="2"/>
      <c r="C1491" s="1">
        <v>2014</v>
      </c>
      <c r="D1491" s="1">
        <v>99.79</v>
      </c>
    </row>
    <row r="1492" spans="1:4" x14ac:dyDescent="0.35">
      <c r="A1492" s="1" t="s">
        <v>83</v>
      </c>
      <c r="B1492" s="2"/>
      <c r="C1492" s="1">
        <v>2015</v>
      </c>
      <c r="D1492" s="1">
        <v>99.68</v>
      </c>
    </row>
    <row r="1493" spans="1:4" x14ac:dyDescent="0.35">
      <c r="A1493" s="1" t="s">
        <v>83</v>
      </c>
      <c r="B1493" s="2"/>
      <c r="C1493" s="1">
        <v>2016</v>
      </c>
      <c r="D1493" s="1">
        <v>95.76</v>
      </c>
    </row>
    <row r="1494" spans="1:4" x14ac:dyDescent="0.35">
      <c r="A1494" s="1" t="s">
        <v>83</v>
      </c>
      <c r="B1494" s="2"/>
      <c r="C1494" s="1">
        <v>2017</v>
      </c>
      <c r="D1494" s="1">
        <v>80.989999999999995</v>
      </c>
    </row>
    <row r="1495" spans="1:4" x14ac:dyDescent="0.35">
      <c r="A1495" s="1" t="s">
        <v>83</v>
      </c>
      <c r="B1495" s="2"/>
      <c r="C1495" s="1">
        <v>2018</v>
      </c>
      <c r="D1495" s="1">
        <v>82.31</v>
      </c>
    </row>
    <row r="1496" spans="1:4" x14ac:dyDescent="0.35">
      <c r="A1496" s="1" t="s">
        <v>83</v>
      </c>
      <c r="B1496" s="2"/>
      <c r="C1496" s="1">
        <v>2019</v>
      </c>
      <c r="D1496" s="1">
        <v>81.91</v>
      </c>
    </row>
    <row r="1497" spans="1:4" x14ac:dyDescent="0.35">
      <c r="A1497" s="1" t="s">
        <v>83</v>
      </c>
      <c r="B1497" s="2"/>
      <c r="C1497" s="1">
        <v>2020</v>
      </c>
      <c r="D1497" s="1">
        <v>83.72</v>
      </c>
    </row>
    <row r="1498" spans="1:4" x14ac:dyDescent="0.35">
      <c r="A1498" s="1" t="s">
        <v>83</v>
      </c>
      <c r="B1498" s="2"/>
      <c r="C1498" s="1">
        <v>2021</v>
      </c>
      <c r="D1498" s="1">
        <v>83.12</v>
      </c>
    </row>
    <row r="1499" spans="1:4" x14ac:dyDescent="0.35">
      <c r="A1499" s="1" t="s">
        <v>83</v>
      </c>
      <c r="B1499" s="2"/>
      <c r="C1499" s="1">
        <v>2022</v>
      </c>
      <c r="D1499" s="1">
        <v>84.06</v>
      </c>
    </row>
    <row r="1500" spans="1:4" x14ac:dyDescent="0.35">
      <c r="A1500" s="1" t="s">
        <v>83</v>
      </c>
      <c r="B1500" s="2"/>
      <c r="C1500" s="1">
        <v>2023</v>
      </c>
      <c r="D1500" s="1">
        <v>83.71</v>
      </c>
    </row>
    <row r="1501" spans="1:4" x14ac:dyDescent="0.35">
      <c r="A1501" s="1" t="s">
        <v>83</v>
      </c>
      <c r="B1501" s="2"/>
      <c r="C1501" s="1">
        <v>2024</v>
      </c>
      <c r="D1501" s="1" t="s">
        <v>137</v>
      </c>
    </row>
    <row r="1502" spans="1:4" x14ac:dyDescent="0.35">
      <c r="A1502" s="1" t="s">
        <v>91</v>
      </c>
      <c r="B1502" s="2" t="s">
        <v>134</v>
      </c>
      <c r="C1502" s="1">
        <v>2000</v>
      </c>
      <c r="D1502" s="1">
        <v>62.24</v>
      </c>
    </row>
    <row r="1503" spans="1:4" x14ac:dyDescent="0.35">
      <c r="A1503" s="1" t="s">
        <v>91</v>
      </c>
      <c r="B1503" s="2"/>
      <c r="C1503" s="1">
        <v>2001</v>
      </c>
      <c r="D1503" s="1">
        <v>62.25</v>
      </c>
    </row>
    <row r="1504" spans="1:4" x14ac:dyDescent="0.35">
      <c r="A1504" s="1" t="s">
        <v>91</v>
      </c>
      <c r="B1504" s="2"/>
      <c r="C1504" s="1">
        <v>2002</v>
      </c>
      <c r="D1504" s="1">
        <v>62.27</v>
      </c>
    </row>
    <row r="1505" spans="1:4" x14ac:dyDescent="0.35">
      <c r="A1505" s="1" t="s">
        <v>91</v>
      </c>
      <c r="B1505" s="2"/>
      <c r="C1505" s="1">
        <v>2003</v>
      </c>
      <c r="D1505" s="1">
        <v>62.27</v>
      </c>
    </row>
    <row r="1506" spans="1:4" x14ac:dyDescent="0.35">
      <c r="A1506" s="1" t="s">
        <v>91</v>
      </c>
      <c r="B1506" s="2"/>
      <c r="C1506" s="1">
        <v>2004</v>
      </c>
      <c r="D1506" s="1">
        <v>62.29</v>
      </c>
    </row>
    <row r="1507" spans="1:4" x14ac:dyDescent="0.35">
      <c r="A1507" s="1" t="s">
        <v>91</v>
      </c>
      <c r="B1507" s="2"/>
      <c r="C1507" s="1">
        <v>2005</v>
      </c>
      <c r="D1507" s="1">
        <v>62.34</v>
      </c>
    </row>
    <row r="1508" spans="1:4" x14ac:dyDescent="0.35">
      <c r="A1508" s="1" t="s">
        <v>91</v>
      </c>
      <c r="B1508" s="2"/>
      <c r="C1508" s="1">
        <v>2006</v>
      </c>
      <c r="D1508" s="1">
        <v>62.34</v>
      </c>
    </row>
    <row r="1509" spans="1:4" x14ac:dyDescent="0.35">
      <c r="A1509" s="1" t="s">
        <v>91</v>
      </c>
      <c r="B1509" s="2"/>
      <c r="C1509" s="1">
        <v>2007</v>
      </c>
      <c r="D1509" s="1">
        <v>62.34</v>
      </c>
    </row>
    <row r="1510" spans="1:4" x14ac:dyDescent="0.35">
      <c r="A1510" s="1" t="s">
        <v>91</v>
      </c>
      <c r="B1510" s="2"/>
      <c r="C1510" s="1">
        <v>2008</v>
      </c>
      <c r="D1510" s="1">
        <v>62.34</v>
      </c>
    </row>
    <row r="1511" spans="1:4" x14ac:dyDescent="0.35">
      <c r="A1511" s="1" t="s">
        <v>91</v>
      </c>
      <c r="B1511" s="2"/>
      <c r="C1511" s="1">
        <v>2009</v>
      </c>
      <c r="D1511" s="1">
        <v>59.79</v>
      </c>
    </row>
    <row r="1512" spans="1:4" x14ac:dyDescent="0.35">
      <c r="A1512" s="1" t="s">
        <v>91</v>
      </c>
      <c r="B1512" s="2"/>
      <c r="C1512" s="1">
        <v>2010</v>
      </c>
      <c r="D1512" s="1">
        <v>59.82</v>
      </c>
    </row>
    <row r="1513" spans="1:4" x14ac:dyDescent="0.35">
      <c r="A1513" s="1" t="s">
        <v>91</v>
      </c>
      <c r="B1513" s="2"/>
      <c r="C1513" s="1">
        <v>2011</v>
      </c>
      <c r="D1513" s="1">
        <v>56.52</v>
      </c>
    </row>
    <row r="1514" spans="1:4" x14ac:dyDescent="0.35">
      <c r="A1514" s="1" t="s">
        <v>91</v>
      </c>
      <c r="B1514" s="2"/>
      <c r="C1514" s="1">
        <v>2012</v>
      </c>
      <c r="D1514" s="1">
        <v>64.11</v>
      </c>
    </row>
    <row r="1515" spans="1:4" x14ac:dyDescent="0.35">
      <c r="A1515" s="1" t="s">
        <v>91</v>
      </c>
      <c r="B1515" s="2"/>
      <c r="C1515" s="1">
        <v>2013</v>
      </c>
      <c r="D1515" s="1">
        <v>64.17</v>
      </c>
    </row>
    <row r="1516" spans="1:4" x14ac:dyDescent="0.35">
      <c r="A1516" s="1" t="s">
        <v>91</v>
      </c>
      <c r="B1516" s="2"/>
      <c r="C1516" s="1">
        <v>2014</v>
      </c>
      <c r="D1516" s="1">
        <v>61.44</v>
      </c>
    </row>
    <row r="1517" spans="1:4" x14ac:dyDescent="0.35">
      <c r="A1517" s="1" t="s">
        <v>91</v>
      </c>
      <c r="B1517" s="2"/>
      <c r="C1517" s="1">
        <v>2015</v>
      </c>
      <c r="D1517" s="1">
        <v>62.2</v>
      </c>
    </row>
    <row r="1518" spans="1:4" x14ac:dyDescent="0.35">
      <c r="A1518" s="1" t="s">
        <v>91</v>
      </c>
      <c r="B1518" s="2"/>
      <c r="C1518" s="1">
        <v>2016</v>
      </c>
      <c r="D1518" s="1">
        <v>67.03</v>
      </c>
    </row>
    <row r="1519" spans="1:4" x14ac:dyDescent="0.35">
      <c r="A1519" s="1" t="s">
        <v>91</v>
      </c>
      <c r="B1519" s="2"/>
      <c r="C1519" s="1">
        <v>2017</v>
      </c>
      <c r="D1519" s="1">
        <v>69.53</v>
      </c>
    </row>
    <row r="1520" spans="1:4" x14ac:dyDescent="0.35">
      <c r="A1520" s="1" t="s">
        <v>91</v>
      </c>
      <c r="B1520" s="2"/>
      <c r="C1520" s="1">
        <v>2018</v>
      </c>
      <c r="D1520" s="1">
        <v>72.17</v>
      </c>
    </row>
    <row r="1521" spans="1:4" x14ac:dyDescent="0.35">
      <c r="A1521" s="1" t="s">
        <v>91</v>
      </c>
      <c r="B1521" s="2"/>
      <c r="C1521" s="1">
        <v>2019</v>
      </c>
      <c r="D1521" s="1">
        <v>74.62</v>
      </c>
    </row>
    <row r="1522" spans="1:4" x14ac:dyDescent="0.35">
      <c r="A1522" s="1" t="s">
        <v>91</v>
      </c>
      <c r="B1522" s="2"/>
      <c r="C1522" s="1">
        <v>2020</v>
      </c>
      <c r="D1522" s="1">
        <v>71.5</v>
      </c>
    </row>
    <row r="1523" spans="1:4" x14ac:dyDescent="0.35">
      <c r="A1523" s="1" t="s">
        <v>91</v>
      </c>
      <c r="B1523" s="2"/>
      <c r="C1523" s="1">
        <v>2021</v>
      </c>
      <c r="D1523" s="1">
        <v>71.59</v>
      </c>
    </row>
    <row r="1524" spans="1:4" x14ac:dyDescent="0.35">
      <c r="A1524" s="1" t="s">
        <v>91</v>
      </c>
      <c r="B1524" s="2"/>
      <c r="C1524" s="1">
        <v>2022</v>
      </c>
      <c r="D1524" s="1">
        <v>75.510000000000005</v>
      </c>
    </row>
    <row r="1525" spans="1:4" x14ac:dyDescent="0.35">
      <c r="A1525" s="1" t="s">
        <v>91</v>
      </c>
      <c r="B1525" s="2"/>
      <c r="C1525" s="1">
        <v>2023</v>
      </c>
      <c r="D1525" s="1">
        <v>75.510000000000005</v>
      </c>
    </row>
    <row r="1526" spans="1:4" x14ac:dyDescent="0.35">
      <c r="A1526" s="1" t="s">
        <v>91</v>
      </c>
      <c r="B1526" s="2"/>
      <c r="C1526" s="1">
        <v>2024</v>
      </c>
      <c r="D1526" s="1">
        <v>75.510000000000005</v>
      </c>
    </row>
    <row r="1527" spans="1:4" x14ac:dyDescent="0.35">
      <c r="A1527" s="1" t="s">
        <v>91</v>
      </c>
      <c r="B1527" s="2" t="s">
        <v>136</v>
      </c>
      <c r="C1527" s="1">
        <v>2000</v>
      </c>
      <c r="D1527" s="1">
        <v>99.58</v>
      </c>
    </row>
    <row r="1528" spans="1:4" x14ac:dyDescent="0.35">
      <c r="A1528" s="1" t="s">
        <v>91</v>
      </c>
      <c r="B1528" s="2"/>
      <c r="C1528" s="1">
        <v>2001</v>
      </c>
      <c r="D1528" s="1">
        <v>99.81</v>
      </c>
    </row>
    <row r="1529" spans="1:4" x14ac:dyDescent="0.35">
      <c r="A1529" s="1" t="s">
        <v>91</v>
      </c>
      <c r="B1529" s="2"/>
      <c r="C1529" s="1">
        <v>2002</v>
      </c>
      <c r="D1529" s="1">
        <v>99.79</v>
      </c>
    </row>
    <row r="1530" spans="1:4" x14ac:dyDescent="0.35">
      <c r="A1530" s="1" t="s">
        <v>91</v>
      </c>
      <c r="B1530" s="2"/>
      <c r="C1530" s="1">
        <v>2003</v>
      </c>
      <c r="D1530" s="1">
        <v>99.62</v>
      </c>
    </row>
    <row r="1531" spans="1:4" x14ac:dyDescent="0.35">
      <c r="A1531" s="1" t="s">
        <v>91</v>
      </c>
      <c r="B1531" s="2"/>
      <c r="C1531" s="1">
        <v>2004</v>
      </c>
      <c r="D1531" s="1">
        <v>99.57</v>
      </c>
    </row>
    <row r="1532" spans="1:4" x14ac:dyDescent="0.35">
      <c r="A1532" s="1" t="s">
        <v>91</v>
      </c>
      <c r="B1532" s="2"/>
      <c r="C1532" s="1">
        <v>2005</v>
      </c>
      <c r="D1532" s="1">
        <v>97.33</v>
      </c>
    </row>
    <row r="1533" spans="1:4" x14ac:dyDescent="0.35">
      <c r="A1533" s="1" t="s">
        <v>91</v>
      </c>
      <c r="B1533" s="2"/>
      <c r="C1533" s="1">
        <v>2006</v>
      </c>
      <c r="D1533" s="1">
        <v>96.38</v>
      </c>
    </row>
    <row r="1534" spans="1:4" x14ac:dyDescent="0.35">
      <c r="A1534" s="1" t="s">
        <v>91</v>
      </c>
      <c r="B1534" s="2"/>
      <c r="C1534" s="1">
        <v>2007</v>
      </c>
      <c r="D1534" s="1">
        <v>93.69</v>
      </c>
    </row>
    <row r="1535" spans="1:4" x14ac:dyDescent="0.35">
      <c r="A1535" s="1" t="s">
        <v>91</v>
      </c>
      <c r="B1535" s="2"/>
      <c r="C1535" s="1">
        <v>2008</v>
      </c>
      <c r="D1535" s="1">
        <v>89.78</v>
      </c>
    </row>
    <row r="1536" spans="1:4" x14ac:dyDescent="0.35">
      <c r="A1536" s="1" t="s">
        <v>91</v>
      </c>
      <c r="B1536" s="2"/>
      <c r="C1536" s="1">
        <v>2009</v>
      </c>
      <c r="D1536" s="1">
        <v>89.36</v>
      </c>
    </row>
    <row r="1537" spans="1:4" x14ac:dyDescent="0.35">
      <c r="A1537" s="1" t="s">
        <v>91</v>
      </c>
      <c r="B1537" s="2"/>
      <c r="C1537" s="1">
        <v>2010</v>
      </c>
      <c r="D1537" s="1">
        <v>93.58</v>
      </c>
    </row>
    <row r="1538" spans="1:4" x14ac:dyDescent="0.35">
      <c r="A1538" s="1" t="s">
        <v>91</v>
      </c>
      <c r="B1538" s="2"/>
      <c r="C1538" s="1">
        <v>2011</v>
      </c>
      <c r="D1538" s="1">
        <v>95.17</v>
      </c>
    </row>
    <row r="1539" spans="1:4" x14ac:dyDescent="0.35">
      <c r="A1539" s="1" t="s">
        <v>91</v>
      </c>
      <c r="B1539" s="2"/>
      <c r="C1539" s="1">
        <v>2012</v>
      </c>
      <c r="D1539" s="1">
        <v>93.97</v>
      </c>
    </row>
    <row r="1540" spans="1:4" x14ac:dyDescent="0.35">
      <c r="A1540" s="1" t="s">
        <v>91</v>
      </c>
      <c r="B1540" s="2"/>
      <c r="C1540" s="1">
        <v>2013</v>
      </c>
      <c r="D1540" s="1">
        <v>94.53</v>
      </c>
    </row>
    <row r="1541" spans="1:4" x14ac:dyDescent="0.35">
      <c r="A1541" s="1" t="s">
        <v>91</v>
      </c>
      <c r="B1541" s="2"/>
      <c r="C1541" s="1">
        <v>2014</v>
      </c>
      <c r="D1541" s="1">
        <v>91.99</v>
      </c>
    </row>
    <row r="1542" spans="1:4" x14ac:dyDescent="0.35">
      <c r="A1542" s="1" t="s">
        <v>91</v>
      </c>
      <c r="B1542" s="2"/>
      <c r="C1542" s="1">
        <v>2015</v>
      </c>
      <c r="D1542" s="1">
        <v>90.3</v>
      </c>
    </row>
    <row r="1543" spans="1:4" x14ac:dyDescent="0.35">
      <c r="A1543" s="1" t="s">
        <v>91</v>
      </c>
      <c r="B1543" s="2"/>
      <c r="C1543" s="1">
        <v>2016</v>
      </c>
      <c r="D1543" s="1">
        <v>89.84</v>
      </c>
    </row>
    <row r="1544" spans="1:4" x14ac:dyDescent="0.35">
      <c r="A1544" s="1" t="s">
        <v>91</v>
      </c>
      <c r="B1544" s="2"/>
      <c r="C1544" s="1">
        <v>2017</v>
      </c>
      <c r="D1544" s="1">
        <v>91.2</v>
      </c>
    </row>
    <row r="1545" spans="1:4" x14ac:dyDescent="0.35">
      <c r="A1545" s="1" t="s">
        <v>91</v>
      </c>
      <c r="B1545" s="2"/>
      <c r="C1545" s="1">
        <v>2018</v>
      </c>
      <c r="D1545" s="1">
        <v>90.49</v>
      </c>
    </row>
    <row r="1546" spans="1:4" x14ac:dyDescent="0.35">
      <c r="A1546" s="1" t="s">
        <v>91</v>
      </c>
      <c r="B1546" s="2"/>
      <c r="C1546" s="1">
        <v>2019</v>
      </c>
      <c r="D1546" s="1">
        <v>90.55</v>
      </c>
    </row>
    <row r="1547" spans="1:4" x14ac:dyDescent="0.35">
      <c r="A1547" s="1" t="s">
        <v>91</v>
      </c>
      <c r="B1547" s="2"/>
      <c r="C1547" s="1">
        <v>2020</v>
      </c>
      <c r="D1547" s="1">
        <v>86.85</v>
      </c>
    </row>
    <row r="1548" spans="1:4" x14ac:dyDescent="0.35">
      <c r="A1548" s="1" t="s">
        <v>91</v>
      </c>
      <c r="B1548" s="2"/>
      <c r="C1548" s="1">
        <v>2021</v>
      </c>
      <c r="D1548" s="1">
        <v>85.18</v>
      </c>
    </row>
    <row r="1549" spans="1:4" x14ac:dyDescent="0.35">
      <c r="A1549" s="1" t="s">
        <v>91</v>
      </c>
      <c r="B1549" s="2"/>
      <c r="C1549" s="1">
        <v>2022</v>
      </c>
      <c r="D1549" s="1">
        <v>87.38</v>
      </c>
    </row>
    <row r="1550" spans="1:4" x14ac:dyDescent="0.35">
      <c r="A1550" s="1" t="s">
        <v>91</v>
      </c>
      <c r="B1550" s="2"/>
      <c r="C1550" s="1">
        <v>2023</v>
      </c>
      <c r="D1550" s="1">
        <v>90.36</v>
      </c>
    </row>
    <row r="1551" spans="1:4" x14ac:dyDescent="0.35">
      <c r="A1551" s="1" t="s">
        <v>91</v>
      </c>
      <c r="B1551" s="2"/>
      <c r="C1551" s="1">
        <v>2024</v>
      </c>
      <c r="D1551" s="1" t="s">
        <v>137</v>
      </c>
    </row>
    <row r="1552" spans="1:4" x14ac:dyDescent="0.35">
      <c r="A1552" s="1" t="s">
        <v>95</v>
      </c>
      <c r="B1552" s="2" t="s">
        <v>134</v>
      </c>
      <c r="C1552" s="1">
        <v>2000</v>
      </c>
      <c r="D1552" s="1">
        <v>37.33</v>
      </c>
    </row>
    <row r="1553" spans="1:4" x14ac:dyDescent="0.35">
      <c r="A1553" s="1" t="s">
        <v>95</v>
      </c>
      <c r="B1553" s="2"/>
      <c r="C1553" s="1">
        <v>2001</v>
      </c>
      <c r="D1553" s="1">
        <v>37.33</v>
      </c>
    </row>
    <row r="1554" spans="1:4" x14ac:dyDescent="0.35">
      <c r="A1554" s="1" t="s">
        <v>95</v>
      </c>
      <c r="B1554" s="2"/>
      <c r="C1554" s="1">
        <v>2002</v>
      </c>
      <c r="D1554" s="1">
        <v>37.33</v>
      </c>
    </row>
    <row r="1555" spans="1:4" x14ac:dyDescent="0.35">
      <c r="A1555" s="1" t="s">
        <v>95</v>
      </c>
      <c r="B1555" s="2"/>
      <c r="C1555" s="1">
        <v>2003</v>
      </c>
      <c r="D1555" s="1">
        <v>30.73</v>
      </c>
    </row>
    <row r="1556" spans="1:4" x14ac:dyDescent="0.35">
      <c r="A1556" s="1" t="s">
        <v>95</v>
      </c>
      <c r="B1556" s="2"/>
      <c r="C1556" s="1">
        <v>2004</v>
      </c>
      <c r="D1556" s="1">
        <v>30.73</v>
      </c>
    </row>
    <row r="1557" spans="1:4" x14ac:dyDescent="0.35">
      <c r="A1557" s="1" t="s">
        <v>95</v>
      </c>
      <c r="B1557" s="2"/>
      <c r="C1557" s="1">
        <v>2005</v>
      </c>
      <c r="D1557" s="1">
        <v>29.85</v>
      </c>
    </row>
    <row r="1558" spans="1:4" x14ac:dyDescent="0.35">
      <c r="A1558" s="1" t="s">
        <v>95</v>
      </c>
      <c r="B1558" s="2"/>
      <c r="C1558" s="1">
        <v>2006</v>
      </c>
      <c r="D1558" s="1">
        <v>27.48</v>
      </c>
    </row>
    <row r="1559" spans="1:4" x14ac:dyDescent="0.35">
      <c r="A1559" s="1" t="s">
        <v>95</v>
      </c>
      <c r="B1559" s="2"/>
      <c r="C1559" s="1">
        <v>2007</v>
      </c>
      <c r="D1559" s="1">
        <v>25.72</v>
      </c>
    </row>
    <row r="1560" spans="1:4" x14ac:dyDescent="0.35">
      <c r="A1560" s="1" t="s">
        <v>95</v>
      </c>
      <c r="B1560" s="2"/>
      <c r="C1560" s="1">
        <v>2008</v>
      </c>
      <c r="D1560" s="1">
        <v>24.2</v>
      </c>
    </row>
    <row r="1561" spans="1:4" x14ac:dyDescent="0.35">
      <c r="A1561" s="1" t="s">
        <v>95</v>
      </c>
      <c r="B1561" s="2"/>
      <c r="C1561" s="1">
        <v>2009</v>
      </c>
      <c r="D1561" s="1">
        <v>23.57</v>
      </c>
    </row>
    <row r="1562" spans="1:4" x14ac:dyDescent="0.35">
      <c r="A1562" s="1" t="s">
        <v>95</v>
      </c>
      <c r="B1562" s="2"/>
      <c r="C1562" s="1">
        <v>2010</v>
      </c>
      <c r="D1562" s="1">
        <v>24.34</v>
      </c>
    </row>
    <row r="1563" spans="1:4" x14ac:dyDescent="0.35">
      <c r="A1563" s="1" t="s">
        <v>95</v>
      </c>
      <c r="B1563" s="2"/>
      <c r="C1563" s="1">
        <v>2011</v>
      </c>
      <c r="D1563" s="1">
        <v>23.3</v>
      </c>
    </row>
    <row r="1564" spans="1:4" x14ac:dyDescent="0.35">
      <c r="A1564" s="1" t="s">
        <v>95</v>
      </c>
      <c r="B1564" s="2"/>
      <c r="C1564" s="1">
        <v>2012</v>
      </c>
      <c r="D1564" s="1">
        <v>23.3</v>
      </c>
    </row>
    <row r="1565" spans="1:4" x14ac:dyDescent="0.35">
      <c r="A1565" s="1" t="s">
        <v>95</v>
      </c>
      <c r="B1565" s="2"/>
      <c r="C1565" s="1">
        <v>2013</v>
      </c>
      <c r="D1565" s="1">
        <v>21.17</v>
      </c>
    </row>
    <row r="1566" spans="1:4" x14ac:dyDescent="0.35">
      <c r="A1566" s="1" t="s">
        <v>95</v>
      </c>
      <c r="B1566" s="2"/>
      <c r="C1566" s="1">
        <v>2014</v>
      </c>
      <c r="D1566" s="1">
        <v>20.059999999999999</v>
      </c>
    </row>
    <row r="1567" spans="1:4" x14ac:dyDescent="0.35">
      <c r="A1567" s="1" t="s">
        <v>95</v>
      </c>
      <c r="B1567" s="2"/>
      <c r="C1567" s="1">
        <v>2015</v>
      </c>
      <c r="D1567" s="1">
        <v>20.149999999999999</v>
      </c>
    </row>
    <row r="1568" spans="1:4" x14ac:dyDescent="0.35">
      <c r="A1568" s="1" t="s">
        <v>95</v>
      </c>
      <c r="B1568" s="2"/>
      <c r="C1568" s="1">
        <v>2016</v>
      </c>
      <c r="D1568" s="1">
        <v>17.07</v>
      </c>
    </row>
    <row r="1569" spans="1:4" x14ac:dyDescent="0.35">
      <c r="A1569" s="1" t="s">
        <v>95</v>
      </c>
      <c r="B1569" s="2"/>
      <c r="C1569" s="1">
        <v>2017</v>
      </c>
      <c r="D1569" s="1">
        <v>17.07</v>
      </c>
    </row>
    <row r="1570" spans="1:4" x14ac:dyDescent="0.35">
      <c r="A1570" s="1" t="s">
        <v>95</v>
      </c>
      <c r="B1570" s="2"/>
      <c r="C1570" s="1">
        <v>2018</v>
      </c>
      <c r="D1570" s="1">
        <v>16.5</v>
      </c>
    </row>
    <row r="1571" spans="1:4" x14ac:dyDescent="0.35">
      <c r="A1571" s="1" t="s">
        <v>95</v>
      </c>
      <c r="B1571" s="2"/>
      <c r="C1571" s="1">
        <v>2019</v>
      </c>
      <c r="D1571" s="1">
        <v>16.57</v>
      </c>
    </row>
    <row r="1572" spans="1:4" x14ac:dyDescent="0.35">
      <c r="A1572" s="1" t="s">
        <v>95</v>
      </c>
      <c r="B1572" s="2"/>
      <c r="C1572" s="1">
        <v>2020</v>
      </c>
      <c r="D1572" s="1">
        <v>16.68</v>
      </c>
    </row>
    <row r="1573" spans="1:4" x14ac:dyDescent="0.35">
      <c r="A1573" s="1" t="s">
        <v>95</v>
      </c>
      <c r="B1573" s="2"/>
      <c r="C1573" s="1">
        <v>2021</v>
      </c>
      <c r="D1573" s="1">
        <v>16.93</v>
      </c>
    </row>
    <row r="1574" spans="1:4" x14ac:dyDescent="0.35">
      <c r="A1574" s="1" t="s">
        <v>95</v>
      </c>
      <c r="B1574" s="2"/>
      <c r="C1574" s="1">
        <v>2022</v>
      </c>
      <c r="D1574" s="1">
        <v>17.11</v>
      </c>
    </row>
    <row r="1575" spans="1:4" x14ac:dyDescent="0.35">
      <c r="A1575" s="1" t="s">
        <v>95</v>
      </c>
      <c r="B1575" s="2"/>
      <c r="C1575" s="1">
        <v>2023</v>
      </c>
      <c r="D1575" s="1">
        <v>21.29</v>
      </c>
    </row>
    <row r="1576" spans="1:4" x14ac:dyDescent="0.35">
      <c r="A1576" s="1" t="s">
        <v>95</v>
      </c>
      <c r="B1576" s="2"/>
      <c r="C1576" s="1">
        <v>2024</v>
      </c>
      <c r="D1576" s="1">
        <v>21.16</v>
      </c>
    </row>
    <row r="1577" spans="1:4" x14ac:dyDescent="0.35">
      <c r="A1577" s="1" t="s">
        <v>95</v>
      </c>
      <c r="B1577" s="2" t="s">
        <v>136</v>
      </c>
      <c r="C1577" s="1">
        <v>2000</v>
      </c>
      <c r="D1577" s="1">
        <v>41.5</v>
      </c>
    </row>
    <row r="1578" spans="1:4" x14ac:dyDescent="0.35">
      <c r="A1578" s="1" t="s">
        <v>95</v>
      </c>
      <c r="B1578" s="2"/>
      <c r="C1578" s="1">
        <v>2001</v>
      </c>
      <c r="D1578" s="1">
        <v>39.380000000000003</v>
      </c>
    </row>
    <row r="1579" spans="1:4" x14ac:dyDescent="0.35">
      <c r="A1579" s="1" t="s">
        <v>95</v>
      </c>
      <c r="B1579" s="2"/>
      <c r="C1579" s="1">
        <v>2002</v>
      </c>
      <c r="D1579" s="1">
        <v>32.479999999999997</v>
      </c>
    </row>
    <row r="1580" spans="1:4" x14ac:dyDescent="0.35">
      <c r="A1580" s="1" t="s">
        <v>95</v>
      </c>
      <c r="B1580" s="2"/>
      <c r="C1580" s="1">
        <v>2003</v>
      </c>
      <c r="D1580" s="1">
        <v>37.880000000000003</v>
      </c>
    </row>
    <row r="1581" spans="1:4" x14ac:dyDescent="0.35">
      <c r="A1581" s="1" t="s">
        <v>95</v>
      </c>
      <c r="B1581" s="2"/>
      <c r="C1581" s="1">
        <v>2004</v>
      </c>
      <c r="D1581" s="1">
        <v>33.380000000000003</v>
      </c>
    </row>
    <row r="1582" spans="1:4" x14ac:dyDescent="0.35">
      <c r="A1582" s="1" t="s">
        <v>95</v>
      </c>
      <c r="B1582" s="2"/>
      <c r="C1582" s="1">
        <v>2005</v>
      </c>
      <c r="D1582" s="1">
        <v>45.34</v>
      </c>
    </row>
    <row r="1583" spans="1:4" x14ac:dyDescent="0.35">
      <c r="A1583" s="1" t="s">
        <v>95</v>
      </c>
      <c r="B1583" s="2"/>
      <c r="C1583" s="1">
        <v>2006</v>
      </c>
      <c r="D1583" s="1">
        <v>38.630000000000003</v>
      </c>
    </row>
    <row r="1584" spans="1:4" x14ac:dyDescent="0.35">
      <c r="A1584" s="1" t="s">
        <v>95</v>
      </c>
      <c r="B1584" s="2"/>
      <c r="C1584" s="1">
        <v>2007</v>
      </c>
      <c r="D1584" s="1">
        <v>31.74</v>
      </c>
    </row>
    <row r="1585" spans="1:4" x14ac:dyDescent="0.35">
      <c r="A1585" s="1" t="s">
        <v>95</v>
      </c>
      <c r="B1585" s="2"/>
      <c r="C1585" s="1">
        <v>2008</v>
      </c>
      <c r="D1585" s="1">
        <v>32.64</v>
      </c>
    </row>
    <row r="1586" spans="1:4" x14ac:dyDescent="0.35">
      <c r="A1586" s="1" t="s">
        <v>95</v>
      </c>
      <c r="B1586" s="2"/>
      <c r="C1586" s="1">
        <v>2009</v>
      </c>
      <c r="D1586" s="1">
        <v>32.83</v>
      </c>
    </row>
    <row r="1587" spans="1:4" x14ac:dyDescent="0.35">
      <c r="A1587" s="1" t="s">
        <v>95</v>
      </c>
      <c r="B1587" s="2"/>
      <c r="C1587" s="1">
        <v>2010</v>
      </c>
      <c r="D1587" s="1">
        <v>26.74</v>
      </c>
    </row>
    <row r="1588" spans="1:4" x14ac:dyDescent="0.35">
      <c r="A1588" s="1" t="s">
        <v>95</v>
      </c>
      <c r="B1588" s="2"/>
      <c r="C1588" s="1">
        <v>2011</v>
      </c>
      <c r="D1588" s="1">
        <v>19.87</v>
      </c>
    </row>
    <row r="1589" spans="1:4" x14ac:dyDescent="0.35">
      <c r="A1589" s="1" t="s">
        <v>95</v>
      </c>
      <c r="B1589" s="2"/>
      <c r="C1589" s="1">
        <v>2012</v>
      </c>
      <c r="D1589" s="1">
        <v>18.77</v>
      </c>
    </row>
    <row r="1590" spans="1:4" x14ac:dyDescent="0.35">
      <c r="A1590" s="1" t="s">
        <v>95</v>
      </c>
      <c r="B1590" s="2"/>
      <c r="C1590" s="1">
        <v>2013</v>
      </c>
      <c r="D1590" s="1">
        <v>20.68</v>
      </c>
    </row>
    <row r="1591" spans="1:4" x14ac:dyDescent="0.35">
      <c r="A1591" s="1" t="s">
        <v>95</v>
      </c>
      <c r="B1591" s="2"/>
      <c r="C1591" s="1">
        <v>2014</v>
      </c>
      <c r="D1591" s="1">
        <v>19.760000000000002</v>
      </c>
    </row>
    <row r="1592" spans="1:4" x14ac:dyDescent="0.35">
      <c r="A1592" s="1" t="s">
        <v>95</v>
      </c>
      <c r="B1592" s="2"/>
      <c r="C1592" s="1">
        <v>2015</v>
      </c>
      <c r="D1592" s="1">
        <v>20.100000000000001</v>
      </c>
    </row>
    <row r="1593" spans="1:4" x14ac:dyDescent="0.35">
      <c r="A1593" s="1" t="s">
        <v>95</v>
      </c>
      <c r="B1593" s="2"/>
      <c r="C1593" s="1">
        <v>2016</v>
      </c>
      <c r="D1593" s="1">
        <v>28.56</v>
      </c>
    </row>
    <row r="1594" spans="1:4" x14ac:dyDescent="0.35">
      <c r="A1594" s="1" t="s">
        <v>95</v>
      </c>
      <c r="B1594" s="2"/>
      <c r="C1594" s="1">
        <v>2017</v>
      </c>
      <c r="D1594" s="1">
        <v>24.61</v>
      </c>
    </row>
    <row r="1595" spans="1:4" x14ac:dyDescent="0.35">
      <c r="A1595" s="1" t="s">
        <v>95</v>
      </c>
      <c r="B1595" s="2"/>
      <c r="C1595" s="1">
        <v>2018</v>
      </c>
      <c r="D1595" s="1">
        <v>22.99</v>
      </c>
    </row>
    <row r="1596" spans="1:4" x14ac:dyDescent="0.35">
      <c r="A1596" s="1" t="s">
        <v>95</v>
      </c>
      <c r="B1596" s="2"/>
      <c r="C1596" s="1">
        <v>2019</v>
      </c>
      <c r="D1596" s="1">
        <v>25.39</v>
      </c>
    </row>
    <row r="1597" spans="1:4" x14ac:dyDescent="0.35">
      <c r="A1597" s="1" t="s">
        <v>95</v>
      </c>
      <c r="B1597" s="2"/>
      <c r="C1597" s="1">
        <v>2020</v>
      </c>
      <c r="D1597" s="1">
        <v>22.66</v>
      </c>
    </row>
    <row r="1598" spans="1:4" x14ac:dyDescent="0.35">
      <c r="A1598" s="1" t="s">
        <v>95</v>
      </c>
      <c r="B1598" s="2"/>
      <c r="C1598" s="1">
        <v>2021</v>
      </c>
      <c r="D1598" s="1">
        <v>25.46</v>
      </c>
    </row>
    <row r="1599" spans="1:4" x14ac:dyDescent="0.35">
      <c r="A1599" s="1" t="s">
        <v>95</v>
      </c>
      <c r="B1599" s="2"/>
      <c r="C1599" s="1">
        <v>2022</v>
      </c>
      <c r="D1599" s="1">
        <v>27.28</v>
      </c>
    </row>
    <row r="1600" spans="1:4" x14ac:dyDescent="0.35">
      <c r="A1600" s="1" t="s">
        <v>95</v>
      </c>
      <c r="B1600" s="2"/>
      <c r="C1600" s="1">
        <v>2023</v>
      </c>
      <c r="D1600" s="1">
        <v>26.09</v>
      </c>
    </row>
    <row r="1601" spans="1:4" x14ac:dyDescent="0.35">
      <c r="A1601" s="1" t="s">
        <v>95</v>
      </c>
      <c r="B1601" s="2"/>
      <c r="C1601" s="1">
        <v>2024</v>
      </c>
      <c r="D1601" s="1" t="s">
        <v>137</v>
      </c>
    </row>
    <row r="1602" spans="1:4" x14ac:dyDescent="0.35">
      <c r="A1602" s="1" t="s">
        <v>97</v>
      </c>
      <c r="B1602" s="2" t="s">
        <v>134</v>
      </c>
      <c r="C1602" s="1">
        <v>2000</v>
      </c>
      <c r="D1602" s="1">
        <v>93.96</v>
      </c>
    </row>
    <row r="1603" spans="1:4" x14ac:dyDescent="0.35">
      <c r="A1603" s="1" t="s">
        <v>97</v>
      </c>
      <c r="B1603" s="2"/>
      <c r="C1603" s="1">
        <v>2001</v>
      </c>
      <c r="D1603" s="1">
        <v>93.96</v>
      </c>
    </row>
    <row r="1604" spans="1:4" x14ac:dyDescent="0.35">
      <c r="A1604" s="1" t="s">
        <v>97</v>
      </c>
      <c r="B1604" s="2"/>
      <c r="C1604" s="1">
        <v>2002</v>
      </c>
      <c r="D1604" s="1">
        <v>93.96</v>
      </c>
    </row>
    <row r="1605" spans="1:4" x14ac:dyDescent="0.35">
      <c r="A1605" s="1" t="s">
        <v>97</v>
      </c>
      <c r="B1605" s="2"/>
      <c r="C1605" s="1">
        <v>2003</v>
      </c>
      <c r="D1605" s="1">
        <v>93.96</v>
      </c>
    </row>
    <row r="1606" spans="1:4" x14ac:dyDescent="0.35">
      <c r="A1606" s="1" t="s">
        <v>97</v>
      </c>
      <c r="B1606" s="2"/>
      <c r="C1606" s="1">
        <v>2004</v>
      </c>
      <c r="D1606" s="1">
        <v>93.96</v>
      </c>
    </row>
    <row r="1607" spans="1:4" x14ac:dyDescent="0.35">
      <c r="A1607" s="1" t="s">
        <v>97</v>
      </c>
      <c r="B1607" s="2"/>
      <c r="C1607" s="1">
        <v>2005</v>
      </c>
      <c r="D1607" s="1">
        <v>73.08</v>
      </c>
    </row>
    <row r="1608" spans="1:4" x14ac:dyDescent="0.35">
      <c r="A1608" s="1" t="s">
        <v>97</v>
      </c>
      <c r="B1608" s="2"/>
      <c r="C1608" s="1">
        <v>2006</v>
      </c>
      <c r="D1608" s="1">
        <v>57.53</v>
      </c>
    </row>
    <row r="1609" spans="1:4" x14ac:dyDescent="0.35">
      <c r="A1609" s="1" t="s">
        <v>97</v>
      </c>
      <c r="B1609" s="2"/>
      <c r="C1609" s="1">
        <v>2007</v>
      </c>
      <c r="D1609" s="1">
        <v>57.68</v>
      </c>
    </row>
    <row r="1610" spans="1:4" x14ac:dyDescent="0.35">
      <c r="A1610" s="1" t="s">
        <v>97</v>
      </c>
      <c r="B1610" s="2"/>
      <c r="C1610" s="1">
        <v>2008</v>
      </c>
      <c r="D1610" s="1">
        <v>57.68</v>
      </c>
    </row>
    <row r="1611" spans="1:4" x14ac:dyDescent="0.35">
      <c r="A1611" s="1" t="s">
        <v>97</v>
      </c>
      <c r="B1611" s="2"/>
      <c r="C1611" s="1">
        <v>2009</v>
      </c>
      <c r="D1611" s="1">
        <v>43.33</v>
      </c>
    </row>
    <row r="1612" spans="1:4" x14ac:dyDescent="0.35">
      <c r="A1612" s="1" t="s">
        <v>97</v>
      </c>
      <c r="B1612" s="2"/>
      <c r="C1612" s="1">
        <v>2010</v>
      </c>
      <c r="D1612" s="1">
        <v>48.48</v>
      </c>
    </row>
    <row r="1613" spans="1:4" x14ac:dyDescent="0.35">
      <c r="A1613" s="1" t="s">
        <v>97</v>
      </c>
      <c r="B1613" s="2"/>
      <c r="C1613" s="1">
        <v>2011</v>
      </c>
      <c r="D1613" s="1">
        <v>51.03</v>
      </c>
    </row>
    <row r="1614" spans="1:4" x14ac:dyDescent="0.35">
      <c r="A1614" s="1" t="s">
        <v>97</v>
      </c>
      <c r="B1614" s="2"/>
      <c r="C1614" s="1">
        <v>2012</v>
      </c>
      <c r="D1614" s="1">
        <v>51.5</v>
      </c>
    </row>
    <row r="1615" spans="1:4" x14ac:dyDescent="0.35">
      <c r="A1615" s="1" t="s">
        <v>97</v>
      </c>
      <c r="B1615" s="2"/>
      <c r="C1615" s="1">
        <v>2013</v>
      </c>
      <c r="D1615" s="1">
        <v>53.2</v>
      </c>
    </row>
    <row r="1616" spans="1:4" x14ac:dyDescent="0.35">
      <c r="A1616" s="1" t="s">
        <v>97</v>
      </c>
      <c r="B1616" s="2"/>
      <c r="C1616" s="1">
        <v>2014</v>
      </c>
      <c r="D1616" s="1">
        <v>58.77</v>
      </c>
    </row>
    <row r="1617" spans="1:4" x14ac:dyDescent="0.35">
      <c r="A1617" s="1" t="s">
        <v>97</v>
      </c>
      <c r="B1617" s="2"/>
      <c r="C1617" s="1">
        <v>2015</v>
      </c>
      <c r="D1617" s="1">
        <v>51.49</v>
      </c>
    </row>
    <row r="1618" spans="1:4" x14ac:dyDescent="0.35">
      <c r="A1618" s="1" t="s">
        <v>97</v>
      </c>
      <c r="B1618" s="2"/>
      <c r="C1618" s="1">
        <v>2016</v>
      </c>
      <c r="D1618" s="1">
        <v>49.18</v>
      </c>
    </row>
    <row r="1619" spans="1:4" x14ac:dyDescent="0.35">
      <c r="A1619" s="1" t="s">
        <v>97</v>
      </c>
      <c r="B1619" s="2"/>
      <c r="C1619" s="1">
        <v>2017</v>
      </c>
      <c r="D1619" s="1">
        <v>50.23</v>
      </c>
    </row>
    <row r="1620" spans="1:4" x14ac:dyDescent="0.35">
      <c r="A1620" s="1" t="s">
        <v>97</v>
      </c>
      <c r="B1620" s="2"/>
      <c r="C1620" s="1">
        <v>2018</v>
      </c>
      <c r="D1620" s="1">
        <v>50.6</v>
      </c>
    </row>
    <row r="1621" spans="1:4" x14ac:dyDescent="0.35">
      <c r="A1621" s="1" t="s">
        <v>97</v>
      </c>
      <c r="B1621" s="2"/>
      <c r="C1621" s="1">
        <v>2019</v>
      </c>
      <c r="D1621" s="1">
        <v>53.5</v>
      </c>
    </row>
    <row r="1622" spans="1:4" x14ac:dyDescent="0.35">
      <c r="A1622" s="1" t="s">
        <v>97</v>
      </c>
      <c r="B1622" s="2"/>
      <c r="C1622" s="1">
        <v>2020</v>
      </c>
      <c r="D1622" s="1">
        <v>55.57</v>
      </c>
    </row>
    <row r="1623" spans="1:4" x14ac:dyDescent="0.35">
      <c r="A1623" s="1" t="s">
        <v>97</v>
      </c>
      <c r="B1623" s="2"/>
      <c r="C1623" s="1">
        <v>2021</v>
      </c>
      <c r="D1623" s="1">
        <v>55.81</v>
      </c>
    </row>
    <row r="1624" spans="1:4" x14ac:dyDescent="0.35">
      <c r="A1624" s="1" t="s">
        <v>97</v>
      </c>
      <c r="B1624" s="2"/>
      <c r="C1624" s="1">
        <v>2022</v>
      </c>
      <c r="D1624" s="1">
        <v>50.29</v>
      </c>
    </row>
    <row r="1625" spans="1:4" x14ac:dyDescent="0.35">
      <c r="A1625" s="1" t="s">
        <v>97</v>
      </c>
      <c r="B1625" s="2"/>
      <c r="C1625" s="1">
        <v>2023</v>
      </c>
      <c r="D1625" s="1">
        <v>50.47</v>
      </c>
    </row>
    <row r="1626" spans="1:4" x14ac:dyDescent="0.35">
      <c r="A1626" s="1" t="s">
        <v>97</v>
      </c>
      <c r="B1626" s="2"/>
      <c r="C1626" s="1">
        <v>2024</v>
      </c>
      <c r="D1626" s="1">
        <v>45.96</v>
      </c>
    </row>
    <row r="1627" spans="1:4" x14ac:dyDescent="0.35">
      <c r="A1627" s="1" t="s">
        <v>97</v>
      </c>
      <c r="B1627" s="2" t="s">
        <v>136</v>
      </c>
      <c r="C1627" s="1">
        <v>2000</v>
      </c>
      <c r="D1627" s="1">
        <v>100</v>
      </c>
    </row>
    <row r="1628" spans="1:4" x14ac:dyDescent="0.35">
      <c r="A1628" s="1" t="s">
        <v>97</v>
      </c>
      <c r="B1628" s="2"/>
      <c r="C1628" s="1">
        <v>2001</v>
      </c>
      <c r="D1628" s="1">
        <v>100</v>
      </c>
    </row>
    <row r="1629" spans="1:4" x14ac:dyDescent="0.35">
      <c r="A1629" s="1" t="s">
        <v>97</v>
      </c>
      <c r="B1629" s="2"/>
      <c r="C1629" s="1">
        <v>2002</v>
      </c>
      <c r="D1629" s="1">
        <v>100</v>
      </c>
    </row>
    <row r="1630" spans="1:4" x14ac:dyDescent="0.35">
      <c r="A1630" s="1" t="s">
        <v>97</v>
      </c>
      <c r="B1630" s="2"/>
      <c r="C1630" s="1">
        <v>2003</v>
      </c>
      <c r="D1630" s="1">
        <v>100</v>
      </c>
    </row>
    <row r="1631" spans="1:4" x14ac:dyDescent="0.35">
      <c r="A1631" s="1" t="s">
        <v>97</v>
      </c>
      <c r="B1631" s="2"/>
      <c r="C1631" s="1">
        <v>2004</v>
      </c>
      <c r="D1631" s="1">
        <v>100</v>
      </c>
    </row>
    <row r="1632" spans="1:4" x14ac:dyDescent="0.35">
      <c r="A1632" s="1" t="s">
        <v>97</v>
      </c>
      <c r="B1632" s="2"/>
      <c r="C1632" s="1">
        <v>2005</v>
      </c>
      <c r="D1632" s="1">
        <v>43.53</v>
      </c>
    </row>
    <row r="1633" spans="1:4" x14ac:dyDescent="0.35">
      <c r="A1633" s="1" t="s">
        <v>97</v>
      </c>
      <c r="B1633" s="2"/>
      <c r="C1633" s="1">
        <v>2006</v>
      </c>
      <c r="D1633" s="1">
        <v>71.89</v>
      </c>
    </row>
    <row r="1634" spans="1:4" x14ac:dyDescent="0.35">
      <c r="A1634" s="1" t="s">
        <v>97</v>
      </c>
      <c r="B1634" s="2"/>
      <c r="C1634" s="1">
        <v>2007</v>
      </c>
      <c r="D1634" s="1">
        <v>50.27</v>
      </c>
    </row>
    <row r="1635" spans="1:4" x14ac:dyDescent="0.35">
      <c r="A1635" s="1" t="s">
        <v>97</v>
      </c>
      <c r="B1635" s="2"/>
      <c r="C1635" s="1">
        <v>2008</v>
      </c>
      <c r="D1635" s="1">
        <v>56.44</v>
      </c>
    </row>
    <row r="1636" spans="1:4" x14ac:dyDescent="0.35">
      <c r="A1636" s="1" t="s">
        <v>97</v>
      </c>
      <c r="B1636" s="2"/>
      <c r="C1636" s="1">
        <v>2009</v>
      </c>
      <c r="D1636" s="1">
        <v>52.25</v>
      </c>
    </row>
    <row r="1637" spans="1:4" x14ac:dyDescent="0.35">
      <c r="A1637" s="1" t="s">
        <v>97</v>
      </c>
      <c r="B1637" s="2"/>
      <c r="C1637" s="1">
        <v>2010</v>
      </c>
      <c r="D1637" s="1">
        <v>53.44</v>
      </c>
    </row>
    <row r="1638" spans="1:4" x14ac:dyDescent="0.35">
      <c r="A1638" s="1" t="s">
        <v>97</v>
      </c>
      <c r="B1638" s="2"/>
      <c r="C1638" s="1">
        <v>2011</v>
      </c>
      <c r="D1638" s="1">
        <v>53.5</v>
      </c>
    </row>
    <row r="1639" spans="1:4" x14ac:dyDescent="0.35">
      <c r="A1639" s="1" t="s">
        <v>97</v>
      </c>
      <c r="B1639" s="2"/>
      <c r="C1639" s="1">
        <v>2012</v>
      </c>
      <c r="D1639" s="1">
        <v>56.4</v>
      </c>
    </row>
    <row r="1640" spans="1:4" x14ac:dyDescent="0.35">
      <c r="A1640" s="1" t="s">
        <v>97</v>
      </c>
      <c r="B1640" s="2"/>
      <c r="C1640" s="1">
        <v>2013</v>
      </c>
      <c r="D1640" s="1">
        <v>48.27</v>
      </c>
    </row>
    <row r="1641" spans="1:4" x14ac:dyDescent="0.35">
      <c r="A1641" s="1" t="s">
        <v>97</v>
      </c>
      <c r="B1641" s="2"/>
      <c r="C1641" s="1">
        <v>2014</v>
      </c>
      <c r="D1641" s="1">
        <v>53.22</v>
      </c>
    </row>
    <row r="1642" spans="1:4" x14ac:dyDescent="0.35">
      <c r="A1642" s="1" t="s">
        <v>97</v>
      </c>
      <c r="B1642" s="2"/>
      <c r="C1642" s="1">
        <v>2015</v>
      </c>
      <c r="D1642" s="1">
        <v>60.5</v>
      </c>
    </row>
    <row r="1643" spans="1:4" x14ac:dyDescent="0.35">
      <c r="A1643" s="1" t="s">
        <v>97</v>
      </c>
      <c r="B1643" s="2"/>
      <c r="C1643" s="1">
        <v>2016</v>
      </c>
      <c r="D1643" s="1">
        <v>48.76</v>
      </c>
    </row>
    <row r="1644" spans="1:4" x14ac:dyDescent="0.35">
      <c r="A1644" s="1" t="s">
        <v>97</v>
      </c>
      <c r="B1644" s="2"/>
      <c r="C1644" s="1">
        <v>2017</v>
      </c>
      <c r="D1644" s="1">
        <v>47.72</v>
      </c>
    </row>
    <row r="1645" spans="1:4" x14ac:dyDescent="0.35">
      <c r="A1645" s="1" t="s">
        <v>97</v>
      </c>
      <c r="B1645" s="2"/>
      <c r="C1645" s="1">
        <v>2018</v>
      </c>
      <c r="D1645" s="1">
        <v>47.75</v>
      </c>
    </row>
    <row r="1646" spans="1:4" x14ac:dyDescent="0.35">
      <c r="A1646" s="1" t="s">
        <v>97</v>
      </c>
      <c r="B1646" s="2"/>
      <c r="C1646" s="1">
        <v>2019</v>
      </c>
      <c r="D1646" s="1">
        <v>51.64</v>
      </c>
    </row>
    <row r="1647" spans="1:4" x14ac:dyDescent="0.35">
      <c r="A1647" s="1" t="s">
        <v>97</v>
      </c>
      <c r="B1647" s="2"/>
      <c r="C1647" s="1">
        <v>2020</v>
      </c>
      <c r="D1647" s="1">
        <v>60.43</v>
      </c>
    </row>
    <row r="1648" spans="1:4" x14ac:dyDescent="0.35">
      <c r="A1648" s="1" t="s">
        <v>97</v>
      </c>
      <c r="B1648" s="2"/>
      <c r="C1648" s="1">
        <v>2021</v>
      </c>
      <c r="D1648" s="1">
        <v>58.16</v>
      </c>
    </row>
    <row r="1649" spans="1:4" x14ac:dyDescent="0.35">
      <c r="A1649" s="1" t="s">
        <v>97</v>
      </c>
      <c r="B1649" s="2"/>
      <c r="C1649" s="1">
        <v>2022</v>
      </c>
      <c r="D1649" s="1">
        <v>52.76</v>
      </c>
    </row>
    <row r="1650" spans="1:4" x14ac:dyDescent="0.35">
      <c r="A1650" s="1" t="s">
        <v>97</v>
      </c>
      <c r="B1650" s="2"/>
      <c r="C1650" s="1">
        <v>2023</v>
      </c>
      <c r="D1650" s="1">
        <v>52.77</v>
      </c>
    </row>
    <row r="1651" spans="1:4" x14ac:dyDescent="0.35">
      <c r="A1651" s="1" t="s">
        <v>97</v>
      </c>
      <c r="B1651" s="2"/>
      <c r="C1651" s="1">
        <v>2024</v>
      </c>
      <c r="D1651" s="1" t="s">
        <v>137</v>
      </c>
    </row>
    <row r="1652" spans="1:4" x14ac:dyDescent="0.35">
      <c r="A1652" s="1" t="s">
        <v>107</v>
      </c>
      <c r="B1652" s="2" t="s">
        <v>134</v>
      </c>
      <c r="C1652" s="1">
        <v>2000</v>
      </c>
      <c r="D1652" s="1">
        <v>60</v>
      </c>
    </row>
    <row r="1653" spans="1:4" x14ac:dyDescent="0.35">
      <c r="A1653" s="1" t="s">
        <v>107</v>
      </c>
      <c r="B1653" s="2"/>
      <c r="C1653" s="1">
        <v>2001</v>
      </c>
      <c r="D1653" s="1">
        <v>31.48</v>
      </c>
    </row>
    <row r="1654" spans="1:4" x14ac:dyDescent="0.35">
      <c r="A1654" s="1" t="s">
        <v>107</v>
      </c>
      <c r="B1654" s="2"/>
      <c r="C1654" s="1">
        <v>2002</v>
      </c>
      <c r="D1654" s="1">
        <v>31.48</v>
      </c>
    </row>
    <row r="1655" spans="1:4" x14ac:dyDescent="0.35">
      <c r="A1655" s="1" t="s">
        <v>107</v>
      </c>
      <c r="B1655" s="2"/>
      <c r="C1655" s="1">
        <v>2003</v>
      </c>
      <c r="D1655" s="1">
        <v>31.48</v>
      </c>
    </row>
    <row r="1656" spans="1:4" x14ac:dyDescent="0.35">
      <c r="A1656" s="1" t="s">
        <v>107</v>
      </c>
      <c r="B1656" s="2"/>
      <c r="C1656" s="1">
        <v>2004</v>
      </c>
      <c r="D1656" s="1">
        <v>31.48</v>
      </c>
    </row>
    <row r="1657" spans="1:4" x14ac:dyDescent="0.35">
      <c r="A1657" s="1" t="s">
        <v>107</v>
      </c>
      <c r="B1657" s="2"/>
      <c r="C1657" s="1">
        <v>2005</v>
      </c>
      <c r="D1657" s="1">
        <v>31.48</v>
      </c>
    </row>
    <row r="1658" spans="1:4" x14ac:dyDescent="0.35">
      <c r="A1658" s="1" t="s">
        <v>107</v>
      </c>
      <c r="B1658" s="2"/>
      <c r="C1658" s="1">
        <v>2006</v>
      </c>
      <c r="D1658" s="1">
        <v>31.48</v>
      </c>
    </row>
    <row r="1659" spans="1:4" x14ac:dyDescent="0.35">
      <c r="A1659" s="1" t="s">
        <v>107</v>
      </c>
      <c r="B1659" s="2"/>
      <c r="C1659" s="1">
        <v>2007</v>
      </c>
      <c r="D1659" s="1">
        <v>31.48</v>
      </c>
    </row>
    <row r="1660" spans="1:4" x14ac:dyDescent="0.35">
      <c r="A1660" s="1" t="s">
        <v>107</v>
      </c>
      <c r="B1660" s="2"/>
      <c r="C1660" s="1">
        <v>2008</v>
      </c>
      <c r="D1660" s="1">
        <v>31.48</v>
      </c>
    </row>
    <row r="1661" spans="1:4" x14ac:dyDescent="0.35">
      <c r="A1661" s="1" t="s">
        <v>107</v>
      </c>
      <c r="B1661" s="2"/>
      <c r="C1661" s="1">
        <v>2009</v>
      </c>
      <c r="D1661" s="1">
        <v>25.95</v>
      </c>
    </row>
    <row r="1662" spans="1:4" x14ac:dyDescent="0.35">
      <c r="A1662" s="1" t="s">
        <v>107</v>
      </c>
      <c r="B1662" s="2"/>
      <c r="C1662" s="1">
        <v>2010</v>
      </c>
      <c r="D1662" s="1">
        <v>13.52</v>
      </c>
    </row>
    <row r="1663" spans="1:4" x14ac:dyDescent="0.35">
      <c r="A1663" s="1" t="s">
        <v>107</v>
      </c>
      <c r="B1663" s="2"/>
      <c r="C1663" s="1">
        <v>2011</v>
      </c>
      <c r="D1663" s="1">
        <v>11.56</v>
      </c>
    </row>
    <row r="1664" spans="1:4" x14ac:dyDescent="0.35">
      <c r="A1664" s="1" t="s">
        <v>107</v>
      </c>
      <c r="B1664" s="2"/>
      <c r="C1664" s="1">
        <v>2012</v>
      </c>
      <c r="D1664" s="1">
        <v>11.56</v>
      </c>
    </row>
    <row r="1665" spans="1:4" x14ac:dyDescent="0.35">
      <c r="A1665" s="1" t="s">
        <v>107</v>
      </c>
      <c r="B1665" s="2"/>
      <c r="C1665" s="1">
        <v>2013</v>
      </c>
      <c r="D1665" s="1">
        <v>11.56</v>
      </c>
    </row>
    <row r="1666" spans="1:4" x14ac:dyDescent="0.35">
      <c r="A1666" s="1" t="s">
        <v>107</v>
      </c>
      <c r="B1666" s="2"/>
      <c r="C1666" s="1">
        <v>2014</v>
      </c>
      <c r="D1666" s="1">
        <v>10.27</v>
      </c>
    </row>
    <row r="1667" spans="1:4" x14ac:dyDescent="0.35">
      <c r="A1667" s="1" t="s">
        <v>107</v>
      </c>
      <c r="B1667" s="2"/>
      <c r="C1667" s="1">
        <v>2015</v>
      </c>
      <c r="D1667" s="1">
        <v>8.16</v>
      </c>
    </row>
    <row r="1668" spans="1:4" x14ac:dyDescent="0.35">
      <c r="A1668" s="1" t="s">
        <v>107</v>
      </c>
      <c r="B1668" s="2"/>
      <c r="C1668" s="1">
        <v>2016</v>
      </c>
      <c r="D1668" s="1">
        <v>6.99</v>
      </c>
    </row>
    <row r="1669" spans="1:4" x14ac:dyDescent="0.35">
      <c r="A1669" s="1" t="s">
        <v>107</v>
      </c>
      <c r="B1669" s="2"/>
      <c r="C1669" s="1">
        <v>2017</v>
      </c>
      <c r="D1669" s="1">
        <v>7.59</v>
      </c>
    </row>
    <row r="1670" spans="1:4" x14ac:dyDescent="0.35">
      <c r="A1670" s="1" t="s">
        <v>107</v>
      </c>
      <c r="B1670" s="2"/>
      <c r="C1670" s="1">
        <v>2018</v>
      </c>
      <c r="D1670" s="1">
        <v>7.59</v>
      </c>
    </row>
    <row r="1671" spans="1:4" x14ac:dyDescent="0.35">
      <c r="A1671" s="1" t="s">
        <v>107</v>
      </c>
      <c r="B1671" s="2"/>
      <c r="C1671" s="1">
        <v>2019</v>
      </c>
      <c r="D1671" s="1">
        <v>7.42</v>
      </c>
    </row>
    <row r="1672" spans="1:4" x14ac:dyDescent="0.35">
      <c r="A1672" s="1" t="s">
        <v>107</v>
      </c>
      <c r="B1672" s="2"/>
      <c r="C1672" s="1">
        <v>2020</v>
      </c>
      <c r="D1672" s="1">
        <v>7.39</v>
      </c>
    </row>
    <row r="1673" spans="1:4" x14ac:dyDescent="0.35">
      <c r="A1673" s="1" t="s">
        <v>107</v>
      </c>
      <c r="B1673" s="2"/>
      <c r="C1673" s="1">
        <v>2021</v>
      </c>
      <c r="D1673" s="1">
        <v>6.98</v>
      </c>
    </row>
    <row r="1674" spans="1:4" x14ac:dyDescent="0.35">
      <c r="A1674" s="1" t="s">
        <v>107</v>
      </c>
      <c r="B1674" s="2"/>
      <c r="C1674" s="1">
        <v>2022</v>
      </c>
      <c r="D1674" s="1">
        <v>6.39</v>
      </c>
    </row>
    <row r="1675" spans="1:4" x14ac:dyDescent="0.35">
      <c r="A1675" s="1" t="s">
        <v>107</v>
      </c>
      <c r="B1675" s="2"/>
      <c r="C1675" s="1">
        <v>2023</v>
      </c>
      <c r="D1675" s="1">
        <v>8.0399999999999991</v>
      </c>
    </row>
    <row r="1676" spans="1:4" x14ac:dyDescent="0.35">
      <c r="A1676" s="1" t="s">
        <v>107</v>
      </c>
      <c r="B1676" s="2"/>
      <c r="C1676" s="1">
        <v>2024</v>
      </c>
      <c r="D1676" s="1">
        <v>8.0399999999999991</v>
      </c>
    </row>
    <row r="1677" spans="1:4" x14ac:dyDescent="0.35">
      <c r="A1677" s="1" t="s">
        <v>107</v>
      </c>
      <c r="B1677" s="2" t="s">
        <v>136</v>
      </c>
      <c r="C1677" s="1">
        <v>2000</v>
      </c>
      <c r="D1677" s="1">
        <v>20.62</v>
      </c>
    </row>
    <row r="1678" spans="1:4" x14ac:dyDescent="0.35">
      <c r="A1678" s="1" t="s">
        <v>107</v>
      </c>
      <c r="B1678" s="2"/>
      <c r="C1678" s="1">
        <v>2001</v>
      </c>
      <c r="D1678" s="1">
        <v>15.45</v>
      </c>
    </row>
    <row r="1679" spans="1:4" x14ac:dyDescent="0.35">
      <c r="A1679" s="1" t="s">
        <v>107</v>
      </c>
      <c r="B1679" s="2"/>
      <c r="C1679" s="1">
        <v>2002</v>
      </c>
      <c r="D1679" s="1">
        <v>16.14</v>
      </c>
    </row>
    <row r="1680" spans="1:4" x14ac:dyDescent="0.35">
      <c r="A1680" s="1" t="s">
        <v>107</v>
      </c>
      <c r="B1680" s="2"/>
      <c r="C1680" s="1">
        <v>2003</v>
      </c>
      <c r="D1680" s="1">
        <v>77.23</v>
      </c>
    </row>
    <row r="1681" spans="1:4" x14ac:dyDescent="0.35">
      <c r="A1681" s="1" t="s">
        <v>107</v>
      </c>
      <c r="B1681" s="2"/>
      <c r="C1681" s="1">
        <v>2004</v>
      </c>
      <c r="D1681" s="1">
        <v>83.44</v>
      </c>
    </row>
    <row r="1682" spans="1:4" x14ac:dyDescent="0.35">
      <c r="A1682" s="1" t="s">
        <v>107</v>
      </c>
      <c r="B1682" s="2"/>
      <c r="C1682" s="1">
        <v>2005</v>
      </c>
      <c r="D1682" s="1">
        <v>89.75</v>
      </c>
    </row>
    <row r="1683" spans="1:4" x14ac:dyDescent="0.35">
      <c r="A1683" s="1" t="s">
        <v>107</v>
      </c>
      <c r="B1683" s="2"/>
      <c r="C1683" s="1">
        <v>2006</v>
      </c>
      <c r="D1683" s="1">
        <v>91.2</v>
      </c>
    </row>
    <row r="1684" spans="1:4" x14ac:dyDescent="0.35">
      <c r="A1684" s="1" t="s">
        <v>107</v>
      </c>
      <c r="B1684" s="2"/>
      <c r="C1684" s="1">
        <v>2007</v>
      </c>
      <c r="D1684" s="1">
        <v>84.44</v>
      </c>
    </row>
    <row r="1685" spans="1:4" x14ac:dyDescent="0.35">
      <c r="A1685" s="1" t="s">
        <v>107</v>
      </c>
      <c r="B1685" s="2"/>
      <c r="C1685" s="1">
        <v>2008</v>
      </c>
      <c r="D1685" s="1">
        <v>84.88</v>
      </c>
    </row>
    <row r="1686" spans="1:4" x14ac:dyDescent="0.35">
      <c r="A1686" s="1" t="s">
        <v>107</v>
      </c>
      <c r="B1686" s="2"/>
      <c r="C1686" s="1">
        <v>2009</v>
      </c>
      <c r="D1686" s="1">
        <v>85.16</v>
      </c>
    </row>
    <row r="1687" spans="1:4" x14ac:dyDescent="0.35">
      <c r="A1687" s="1" t="s">
        <v>107</v>
      </c>
      <c r="B1687" s="2"/>
      <c r="C1687" s="1">
        <v>2010</v>
      </c>
      <c r="D1687" s="1">
        <v>91.63</v>
      </c>
    </row>
    <row r="1688" spans="1:4" x14ac:dyDescent="0.35">
      <c r="A1688" s="1" t="s">
        <v>107</v>
      </c>
      <c r="B1688" s="2"/>
      <c r="C1688" s="1">
        <v>2011</v>
      </c>
      <c r="D1688" s="1">
        <v>91.07</v>
      </c>
    </row>
    <row r="1689" spans="1:4" x14ac:dyDescent="0.35">
      <c r="A1689" s="1" t="s">
        <v>107</v>
      </c>
      <c r="B1689" s="2"/>
      <c r="C1689" s="1">
        <v>2012</v>
      </c>
      <c r="D1689" s="1">
        <v>91.69</v>
      </c>
    </row>
    <row r="1690" spans="1:4" x14ac:dyDescent="0.35">
      <c r="A1690" s="1" t="s">
        <v>107</v>
      </c>
      <c r="B1690" s="2"/>
      <c r="C1690" s="1">
        <v>2013</v>
      </c>
      <c r="D1690" s="1">
        <v>91.68</v>
      </c>
    </row>
    <row r="1691" spans="1:4" x14ac:dyDescent="0.35">
      <c r="A1691" s="1" t="s">
        <v>107</v>
      </c>
      <c r="B1691" s="2"/>
      <c r="C1691" s="1">
        <v>2014</v>
      </c>
      <c r="D1691" s="1">
        <v>9.41</v>
      </c>
    </row>
    <row r="1692" spans="1:4" x14ac:dyDescent="0.35">
      <c r="A1692" s="1" t="s">
        <v>107</v>
      </c>
      <c r="B1692" s="2"/>
      <c r="C1692" s="1">
        <v>2015</v>
      </c>
      <c r="D1692" s="1">
        <v>6.53</v>
      </c>
    </row>
    <row r="1693" spans="1:4" x14ac:dyDescent="0.35">
      <c r="A1693" s="1" t="s">
        <v>107</v>
      </c>
      <c r="B1693" s="2"/>
      <c r="C1693" s="1">
        <v>2016</v>
      </c>
      <c r="D1693" s="1">
        <v>5.61</v>
      </c>
    </row>
    <row r="1694" spans="1:4" x14ac:dyDescent="0.35">
      <c r="A1694" s="1" t="s">
        <v>107</v>
      </c>
      <c r="B1694" s="2"/>
      <c r="C1694" s="1">
        <v>2017</v>
      </c>
      <c r="D1694" s="1">
        <v>4.93</v>
      </c>
    </row>
    <row r="1695" spans="1:4" x14ac:dyDescent="0.35">
      <c r="A1695" s="1" t="s">
        <v>107</v>
      </c>
      <c r="B1695" s="2"/>
      <c r="C1695" s="1">
        <v>2018</v>
      </c>
      <c r="D1695" s="1">
        <v>5.56</v>
      </c>
    </row>
    <row r="1696" spans="1:4" x14ac:dyDescent="0.35">
      <c r="A1696" s="1" t="s">
        <v>107</v>
      </c>
      <c r="B1696" s="2"/>
      <c r="C1696" s="1">
        <v>2019</v>
      </c>
      <c r="D1696" s="1">
        <v>5.71</v>
      </c>
    </row>
    <row r="1697" spans="1:4" x14ac:dyDescent="0.35">
      <c r="A1697" s="1" t="s">
        <v>107</v>
      </c>
      <c r="B1697" s="2"/>
      <c r="C1697" s="1">
        <v>2020</v>
      </c>
      <c r="D1697" s="1">
        <v>5.84</v>
      </c>
    </row>
    <row r="1698" spans="1:4" x14ac:dyDescent="0.35">
      <c r="A1698" s="1" t="s">
        <v>107</v>
      </c>
      <c r="B1698" s="2"/>
      <c r="C1698" s="1">
        <v>2021</v>
      </c>
      <c r="D1698" s="1">
        <v>6.06</v>
      </c>
    </row>
    <row r="1699" spans="1:4" x14ac:dyDescent="0.35">
      <c r="A1699" s="1" t="s">
        <v>107</v>
      </c>
      <c r="B1699" s="2"/>
      <c r="C1699" s="1">
        <v>2022</v>
      </c>
      <c r="D1699" s="1">
        <v>5.88</v>
      </c>
    </row>
    <row r="1700" spans="1:4" x14ac:dyDescent="0.35">
      <c r="A1700" s="1" t="s">
        <v>107</v>
      </c>
      <c r="B1700" s="2"/>
      <c r="C1700" s="1">
        <v>2023</v>
      </c>
      <c r="D1700" s="1">
        <v>5.88</v>
      </c>
    </row>
    <row r="1701" spans="1:4" x14ac:dyDescent="0.35">
      <c r="A1701" s="1" t="s">
        <v>107</v>
      </c>
      <c r="B1701" s="2"/>
      <c r="C1701" s="1">
        <v>2024</v>
      </c>
      <c r="D1701" s="1" t="s">
        <v>137</v>
      </c>
    </row>
    <row r="1702" spans="1:4" x14ac:dyDescent="0.35">
      <c r="A1702" s="1" t="s">
        <v>101</v>
      </c>
      <c r="B1702" s="2" t="s">
        <v>134</v>
      </c>
      <c r="C1702" s="1">
        <v>2000</v>
      </c>
      <c r="D1702" s="1">
        <v>0</v>
      </c>
    </row>
    <row r="1703" spans="1:4" x14ac:dyDescent="0.35">
      <c r="A1703" s="1" t="s">
        <v>101</v>
      </c>
      <c r="B1703" s="2"/>
      <c r="C1703" s="1">
        <v>2001</v>
      </c>
      <c r="D1703" s="1">
        <v>0</v>
      </c>
    </row>
    <row r="1704" spans="1:4" x14ac:dyDescent="0.35">
      <c r="A1704" s="1" t="s">
        <v>101</v>
      </c>
      <c r="B1704" s="2"/>
      <c r="C1704" s="1">
        <v>2002</v>
      </c>
      <c r="D1704" s="1">
        <v>0</v>
      </c>
    </row>
    <row r="1705" spans="1:4" x14ac:dyDescent="0.35">
      <c r="A1705" s="1" t="s">
        <v>101</v>
      </c>
      <c r="B1705" s="2"/>
      <c r="C1705" s="1">
        <v>2003</v>
      </c>
      <c r="D1705" s="1">
        <v>0</v>
      </c>
    </row>
    <row r="1706" spans="1:4" x14ac:dyDescent="0.35">
      <c r="A1706" s="1" t="s">
        <v>101</v>
      </c>
      <c r="B1706" s="2"/>
      <c r="C1706" s="1">
        <v>2004</v>
      </c>
      <c r="D1706" s="1">
        <v>0</v>
      </c>
    </row>
    <row r="1707" spans="1:4" x14ac:dyDescent="0.35">
      <c r="A1707" s="1" t="s">
        <v>101</v>
      </c>
      <c r="B1707" s="2"/>
      <c r="C1707" s="1">
        <v>2005</v>
      </c>
      <c r="D1707" s="1">
        <v>0</v>
      </c>
    </row>
    <row r="1708" spans="1:4" x14ac:dyDescent="0.35">
      <c r="A1708" s="1" t="s">
        <v>101</v>
      </c>
      <c r="B1708" s="2"/>
      <c r="C1708" s="1">
        <v>2006</v>
      </c>
      <c r="D1708" s="1">
        <v>0</v>
      </c>
    </row>
    <row r="1709" spans="1:4" x14ac:dyDescent="0.35">
      <c r="A1709" s="1" t="s">
        <v>101</v>
      </c>
      <c r="B1709" s="2"/>
      <c r="C1709" s="1">
        <v>2007</v>
      </c>
      <c r="D1709" s="1">
        <v>0</v>
      </c>
    </row>
    <row r="1710" spans="1:4" x14ac:dyDescent="0.35">
      <c r="A1710" s="1" t="s">
        <v>101</v>
      </c>
      <c r="B1710" s="2"/>
      <c r="C1710" s="1">
        <v>2008</v>
      </c>
      <c r="D1710" s="1">
        <v>0</v>
      </c>
    </row>
    <row r="1711" spans="1:4" x14ac:dyDescent="0.35">
      <c r="A1711" s="1" t="s">
        <v>101</v>
      </c>
      <c r="B1711" s="2"/>
      <c r="C1711" s="1">
        <v>2009</v>
      </c>
      <c r="D1711" s="1">
        <v>0</v>
      </c>
    </row>
    <row r="1712" spans="1:4" x14ac:dyDescent="0.35">
      <c r="A1712" s="1" t="s">
        <v>101</v>
      </c>
      <c r="B1712" s="2"/>
      <c r="C1712" s="1">
        <v>2010</v>
      </c>
      <c r="D1712" s="1">
        <v>9.5299999999999994</v>
      </c>
    </row>
    <row r="1713" spans="1:4" x14ac:dyDescent="0.35">
      <c r="A1713" s="1" t="s">
        <v>101</v>
      </c>
      <c r="B1713" s="2"/>
      <c r="C1713" s="1">
        <v>2011</v>
      </c>
      <c r="D1713" s="1">
        <v>9.51</v>
      </c>
    </row>
    <row r="1714" spans="1:4" x14ac:dyDescent="0.35">
      <c r="A1714" s="1" t="s">
        <v>101</v>
      </c>
      <c r="B1714" s="2"/>
      <c r="C1714" s="1">
        <v>2012</v>
      </c>
      <c r="D1714" s="1">
        <v>9.42</v>
      </c>
    </row>
    <row r="1715" spans="1:4" x14ac:dyDescent="0.35">
      <c r="A1715" s="1" t="s">
        <v>101</v>
      </c>
      <c r="B1715" s="2"/>
      <c r="C1715" s="1">
        <v>2013</v>
      </c>
      <c r="D1715" s="1">
        <v>9.09</v>
      </c>
    </row>
    <row r="1716" spans="1:4" x14ac:dyDescent="0.35">
      <c r="A1716" s="1" t="s">
        <v>101</v>
      </c>
      <c r="B1716" s="2"/>
      <c r="C1716" s="1">
        <v>2014</v>
      </c>
      <c r="D1716" s="1">
        <v>8.8699999999999992</v>
      </c>
    </row>
    <row r="1717" spans="1:4" x14ac:dyDescent="0.35">
      <c r="A1717" s="1" t="s">
        <v>101</v>
      </c>
      <c r="B1717" s="2"/>
      <c r="C1717" s="1">
        <v>2015</v>
      </c>
      <c r="D1717" s="1">
        <v>8.89</v>
      </c>
    </row>
    <row r="1718" spans="1:4" x14ac:dyDescent="0.35">
      <c r="A1718" s="1" t="s">
        <v>101</v>
      </c>
      <c r="B1718" s="2"/>
      <c r="C1718" s="1">
        <v>2016</v>
      </c>
      <c r="D1718" s="1">
        <v>12.54</v>
      </c>
    </row>
    <row r="1719" spans="1:4" x14ac:dyDescent="0.35">
      <c r="A1719" s="1" t="s">
        <v>101</v>
      </c>
      <c r="B1719" s="2"/>
      <c r="C1719" s="1">
        <v>2017</v>
      </c>
      <c r="D1719" s="1">
        <v>16.760000000000002</v>
      </c>
    </row>
    <row r="1720" spans="1:4" x14ac:dyDescent="0.35">
      <c r="A1720" s="1" t="s">
        <v>101</v>
      </c>
      <c r="B1720" s="2"/>
      <c r="C1720" s="1">
        <v>2018</v>
      </c>
      <c r="D1720" s="1">
        <v>15.8</v>
      </c>
    </row>
    <row r="1721" spans="1:4" x14ac:dyDescent="0.35">
      <c r="A1721" s="1" t="s">
        <v>101</v>
      </c>
      <c r="B1721" s="2"/>
      <c r="C1721" s="1">
        <v>2019</v>
      </c>
      <c r="D1721" s="1">
        <v>21.45</v>
      </c>
    </row>
    <row r="1722" spans="1:4" x14ac:dyDescent="0.35">
      <c r="A1722" s="1" t="s">
        <v>101</v>
      </c>
      <c r="B1722" s="2"/>
      <c r="C1722" s="1">
        <v>2020</v>
      </c>
      <c r="D1722" s="1">
        <v>27.57</v>
      </c>
    </row>
    <row r="1723" spans="1:4" x14ac:dyDescent="0.35">
      <c r="A1723" s="1" t="s">
        <v>101</v>
      </c>
      <c r="B1723" s="2"/>
      <c r="C1723" s="1">
        <v>2021</v>
      </c>
      <c r="D1723" s="1">
        <v>31.05</v>
      </c>
    </row>
    <row r="1724" spans="1:4" x14ac:dyDescent="0.35">
      <c r="A1724" s="1" t="s">
        <v>101</v>
      </c>
      <c r="B1724" s="2"/>
      <c r="C1724" s="1">
        <v>2022</v>
      </c>
      <c r="D1724" s="1">
        <v>28.73</v>
      </c>
    </row>
    <row r="1725" spans="1:4" x14ac:dyDescent="0.35">
      <c r="A1725" s="1" t="s">
        <v>101</v>
      </c>
      <c r="B1725" s="2"/>
      <c r="C1725" s="1">
        <v>2023</v>
      </c>
      <c r="D1725" s="1">
        <v>28.68</v>
      </c>
    </row>
    <row r="1726" spans="1:4" x14ac:dyDescent="0.35">
      <c r="A1726" s="1" t="s">
        <v>101</v>
      </c>
      <c r="B1726" s="2"/>
      <c r="C1726" s="1">
        <v>2024</v>
      </c>
      <c r="D1726" s="1">
        <v>25.29</v>
      </c>
    </row>
    <row r="1727" spans="1:4" x14ac:dyDescent="0.35">
      <c r="A1727" s="1" t="s">
        <v>101</v>
      </c>
      <c r="B1727" s="2" t="s">
        <v>136</v>
      </c>
      <c r="C1727" s="1">
        <v>2000</v>
      </c>
      <c r="D1727" s="1">
        <v>1.05</v>
      </c>
    </row>
    <row r="1728" spans="1:4" x14ac:dyDescent="0.35">
      <c r="A1728" s="1" t="s">
        <v>101</v>
      </c>
      <c r="B1728" s="2"/>
      <c r="C1728" s="1">
        <v>2001</v>
      </c>
      <c r="D1728" s="1">
        <v>1</v>
      </c>
    </row>
    <row r="1729" spans="1:4" x14ac:dyDescent="0.35">
      <c r="A1729" s="1" t="s">
        <v>101</v>
      </c>
      <c r="B1729" s="2"/>
      <c r="C1729" s="1">
        <v>2002</v>
      </c>
      <c r="D1729" s="1">
        <v>1.1299999999999999</v>
      </c>
    </row>
    <row r="1730" spans="1:4" x14ac:dyDescent="0.35">
      <c r="A1730" s="1" t="s">
        <v>101</v>
      </c>
      <c r="B1730" s="2"/>
      <c r="C1730" s="1">
        <v>2003</v>
      </c>
      <c r="D1730" s="1">
        <v>1.18</v>
      </c>
    </row>
    <row r="1731" spans="1:4" x14ac:dyDescent="0.35">
      <c r="A1731" s="1" t="s">
        <v>101</v>
      </c>
      <c r="B1731" s="2"/>
      <c r="C1731" s="1">
        <v>2004</v>
      </c>
      <c r="D1731" s="1">
        <v>1.02</v>
      </c>
    </row>
    <row r="1732" spans="1:4" x14ac:dyDescent="0.35">
      <c r="A1732" s="1" t="s">
        <v>101</v>
      </c>
      <c r="B1732" s="2"/>
      <c r="C1732" s="1">
        <v>2005</v>
      </c>
      <c r="D1732" s="1">
        <v>0.83</v>
      </c>
    </row>
    <row r="1733" spans="1:4" x14ac:dyDescent="0.35">
      <c r="A1733" s="1" t="s">
        <v>101</v>
      </c>
      <c r="B1733" s="2"/>
      <c r="C1733" s="1">
        <v>2006</v>
      </c>
      <c r="D1733" s="1">
        <v>0.76</v>
      </c>
    </row>
    <row r="1734" spans="1:4" x14ac:dyDescent="0.35">
      <c r="A1734" s="1" t="s">
        <v>101</v>
      </c>
      <c r="B1734" s="2"/>
      <c r="C1734" s="1">
        <v>2007</v>
      </c>
      <c r="D1734" s="1">
        <v>0.71</v>
      </c>
    </row>
    <row r="1735" spans="1:4" x14ac:dyDescent="0.35">
      <c r="A1735" s="1" t="s">
        <v>101</v>
      </c>
      <c r="B1735" s="2"/>
      <c r="C1735" s="1">
        <v>2008</v>
      </c>
      <c r="D1735" s="1">
        <v>0.62</v>
      </c>
    </row>
    <row r="1736" spans="1:4" x14ac:dyDescent="0.35">
      <c r="A1736" s="1" t="s">
        <v>101</v>
      </c>
      <c r="B1736" s="2"/>
      <c r="C1736" s="1">
        <v>2009</v>
      </c>
      <c r="D1736" s="1">
        <v>0.6</v>
      </c>
    </row>
    <row r="1737" spans="1:4" x14ac:dyDescent="0.35">
      <c r="A1737" s="1" t="s">
        <v>101</v>
      </c>
      <c r="B1737" s="2"/>
      <c r="C1737" s="1">
        <v>2010</v>
      </c>
      <c r="D1737" s="1">
        <v>1.63</v>
      </c>
    </row>
    <row r="1738" spans="1:4" x14ac:dyDescent="0.35">
      <c r="A1738" s="1" t="s">
        <v>101</v>
      </c>
      <c r="B1738" s="2"/>
      <c r="C1738" s="1">
        <v>2011</v>
      </c>
      <c r="D1738" s="1">
        <v>1.73</v>
      </c>
    </row>
    <row r="1739" spans="1:4" x14ac:dyDescent="0.35">
      <c r="A1739" s="1" t="s">
        <v>101</v>
      </c>
      <c r="B1739" s="2"/>
      <c r="C1739" s="1">
        <v>2012</v>
      </c>
      <c r="D1739" s="1">
        <v>1.55</v>
      </c>
    </row>
    <row r="1740" spans="1:4" x14ac:dyDescent="0.35">
      <c r="A1740" s="1" t="s">
        <v>101</v>
      </c>
      <c r="B1740" s="2"/>
      <c r="C1740" s="1">
        <v>2013</v>
      </c>
      <c r="D1740" s="1">
        <v>1.49</v>
      </c>
    </row>
    <row r="1741" spans="1:4" x14ac:dyDescent="0.35">
      <c r="A1741" s="1" t="s">
        <v>101</v>
      </c>
      <c r="B1741" s="2"/>
      <c r="C1741" s="1">
        <v>2014</v>
      </c>
      <c r="D1741" s="1">
        <v>1.62</v>
      </c>
    </row>
    <row r="1742" spans="1:4" x14ac:dyDescent="0.35">
      <c r="A1742" s="1" t="s">
        <v>101</v>
      </c>
      <c r="B1742" s="2"/>
      <c r="C1742" s="1">
        <v>2015</v>
      </c>
      <c r="D1742" s="1">
        <v>1.96</v>
      </c>
    </row>
    <row r="1743" spans="1:4" x14ac:dyDescent="0.35">
      <c r="A1743" s="1" t="s">
        <v>101</v>
      </c>
      <c r="B1743" s="2"/>
      <c r="C1743" s="1">
        <v>2016</v>
      </c>
      <c r="D1743" s="1">
        <v>2</v>
      </c>
    </row>
    <row r="1744" spans="1:4" x14ac:dyDescent="0.35">
      <c r="A1744" s="1" t="s">
        <v>101</v>
      </c>
      <c r="B1744" s="2"/>
      <c r="C1744" s="1">
        <v>2017</v>
      </c>
      <c r="D1744" s="1">
        <v>4.46</v>
      </c>
    </row>
    <row r="1745" spans="1:4" x14ac:dyDescent="0.35">
      <c r="A1745" s="1" t="s">
        <v>101</v>
      </c>
      <c r="B1745" s="2"/>
      <c r="C1745" s="1">
        <v>2018</v>
      </c>
      <c r="D1745" s="1">
        <v>8.0299999999999994</v>
      </c>
    </row>
    <row r="1746" spans="1:4" x14ac:dyDescent="0.35">
      <c r="A1746" s="1" t="s">
        <v>101</v>
      </c>
      <c r="B1746" s="2"/>
      <c r="C1746" s="1">
        <v>2019</v>
      </c>
      <c r="D1746" s="1">
        <v>8.81</v>
      </c>
    </row>
    <row r="1747" spans="1:4" x14ac:dyDescent="0.35">
      <c r="A1747" s="1" t="s">
        <v>101</v>
      </c>
      <c r="B1747" s="2"/>
      <c r="C1747" s="1">
        <v>2020</v>
      </c>
      <c r="D1747" s="1">
        <v>12.41</v>
      </c>
    </row>
    <row r="1748" spans="1:4" x14ac:dyDescent="0.35">
      <c r="A1748" s="1" t="s">
        <v>101</v>
      </c>
      <c r="B1748" s="2"/>
      <c r="C1748" s="1">
        <v>2021</v>
      </c>
      <c r="D1748" s="1">
        <v>20.63</v>
      </c>
    </row>
    <row r="1749" spans="1:4" x14ac:dyDescent="0.35">
      <c r="A1749" s="1" t="s">
        <v>101</v>
      </c>
      <c r="B1749" s="2"/>
      <c r="C1749" s="1">
        <v>2022</v>
      </c>
      <c r="D1749" s="1">
        <v>16.38</v>
      </c>
    </row>
    <row r="1750" spans="1:4" x14ac:dyDescent="0.35">
      <c r="A1750" s="1" t="s">
        <v>101</v>
      </c>
      <c r="B1750" s="2"/>
      <c r="C1750" s="1">
        <v>2023</v>
      </c>
      <c r="D1750" s="1">
        <v>14.72</v>
      </c>
    </row>
    <row r="1751" spans="1:4" x14ac:dyDescent="0.35">
      <c r="A1751" s="1" t="s">
        <v>101</v>
      </c>
      <c r="B1751" s="2"/>
      <c r="C1751" s="1">
        <v>2024</v>
      </c>
      <c r="D1751" s="1" t="s">
        <v>137</v>
      </c>
    </row>
    <row r="1752" spans="1:4" x14ac:dyDescent="0.35">
      <c r="A1752" s="1" t="s">
        <v>111</v>
      </c>
      <c r="B1752" s="2" t="s">
        <v>134</v>
      </c>
      <c r="C1752" s="1">
        <v>2000</v>
      </c>
      <c r="D1752" s="1" t="s">
        <v>137</v>
      </c>
    </row>
    <row r="1753" spans="1:4" x14ac:dyDescent="0.35">
      <c r="A1753" s="1" t="s">
        <v>111</v>
      </c>
      <c r="B1753" s="2"/>
      <c r="C1753" s="1">
        <v>2001</v>
      </c>
      <c r="D1753" s="1" t="s">
        <v>137</v>
      </c>
    </row>
    <row r="1754" spans="1:4" x14ac:dyDescent="0.35">
      <c r="A1754" s="1" t="s">
        <v>111</v>
      </c>
      <c r="B1754" s="2"/>
      <c r="C1754" s="1">
        <v>2002</v>
      </c>
      <c r="D1754" s="1" t="s">
        <v>137</v>
      </c>
    </row>
    <row r="1755" spans="1:4" x14ac:dyDescent="0.35">
      <c r="A1755" s="1" t="s">
        <v>111</v>
      </c>
      <c r="B1755" s="2"/>
      <c r="C1755" s="1">
        <v>2003</v>
      </c>
      <c r="D1755" s="1" t="s">
        <v>137</v>
      </c>
    </row>
    <row r="1756" spans="1:4" x14ac:dyDescent="0.35">
      <c r="A1756" s="1" t="s">
        <v>111</v>
      </c>
      <c r="B1756" s="2"/>
      <c r="C1756" s="1">
        <v>2004</v>
      </c>
      <c r="D1756" s="1" t="s">
        <v>137</v>
      </c>
    </row>
    <row r="1757" spans="1:4" x14ac:dyDescent="0.35">
      <c r="A1757" s="1" t="s">
        <v>111</v>
      </c>
      <c r="B1757" s="2"/>
      <c r="C1757" s="1">
        <v>2005</v>
      </c>
      <c r="D1757" s="1" t="s">
        <v>137</v>
      </c>
    </row>
    <row r="1758" spans="1:4" x14ac:dyDescent="0.35">
      <c r="A1758" s="1" t="s">
        <v>111</v>
      </c>
      <c r="B1758" s="2"/>
      <c r="C1758" s="1">
        <v>2006</v>
      </c>
      <c r="D1758" s="1" t="s">
        <v>137</v>
      </c>
    </row>
    <row r="1759" spans="1:4" x14ac:dyDescent="0.35">
      <c r="A1759" s="1" t="s">
        <v>111</v>
      </c>
      <c r="B1759" s="2"/>
      <c r="C1759" s="1">
        <v>2007</v>
      </c>
      <c r="D1759" s="1" t="s">
        <v>137</v>
      </c>
    </row>
    <row r="1760" spans="1:4" x14ac:dyDescent="0.35">
      <c r="A1760" s="1" t="s">
        <v>111</v>
      </c>
      <c r="B1760" s="2"/>
      <c r="C1760" s="1">
        <v>2008</v>
      </c>
      <c r="D1760" s="1" t="s">
        <v>137</v>
      </c>
    </row>
    <row r="1761" spans="1:4" x14ac:dyDescent="0.35">
      <c r="A1761" s="1" t="s">
        <v>111</v>
      </c>
      <c r="B1761" s="2"/>
      <c r="C1761" s="1">
        <v>2009</v>
      </c>
      <c r="D1761" s="1" t="s">
        <v>137</v>
      </c>
    </row>
    <row r="1762" spans="1:4" x14ac:dyDescent="0.35">
      <c r="A1762" s="1" t="s">
        <v>111</v>
      </c>
      <c r="B1762" s="2"/>
      <c r="C1762" s="1">
        <v>2010</v>
      </c>
      <c r="D1762" s="1" t="s">
        <v>137</v>
      </c>
    </row>
    <row r="1763" spans="1:4" x14ac:dyDescent="0.35">
      <c r="A1763" s="1" t="s">
        <v>111</v>
      </c>
      <c r="B1763" s="2"/>
      <c r="C1763" s="1">
        <v>2011</v>
      </c>
      <c r="D1763" s="1" t="s">
        <v>137</v>
      </c>
    </row>
    <row r="1764" spans="1:4" x14ac:dyDescent="0.35">
      <c r="A1764" s="1" t="s">
        <v>111</v>
      </c>
      <c r="B1764" s="2"/>
      <c r="C1764" s="1">
        <v>2012</v>
      </c>
      <c r="D1764" s="1" t="s">
        <v>137</v>
      </c>
    </row>
    <row r="1765" spans="1:4" x14ac:dyDescent="0.35">
      <c r="A1765" s="1" t="s">
        <v>111</v>
      </c>
      <c r="B1765" s="2"/>
      <c r="C1765" s="1">
        <v>2013</v>
      </c>
      <c r="D1765" s="1">
        <v>6.93</v>
      </c>
    </row>
    <row r="1766" spans="1:4" x14ac:dyDescent="0.35">
      <c r="A1766" s="1" t="s">
        <v>111</v>
      </c>
      <c r="B1766" s="2"/>
      <c r="C1766" s="1">
        <v>2014</v>
      </c>
      <c r="D1766" s="1">
        <v>7.62</v>
      </c>
    </row>
    <row r="1767" spans="1:4" x14ac:dyDescent="0.35">
      <c r="A1767" s="1" t="s">
        <v>111</v>
      </c>
      <c r="B1767" s="2"/>
      <c r="C1767" s="1">
        <v>2015</v>
      </c>
      <c r="D1767" s="1">
        <v>7.84</v>
      </c>
    </row>
    <row r="1768" spans="1:4" x14ac:dyDescent="0.35">
      <c r="A1768" s="1" t="s">
        <v>111</v>
      </c>
      <c r="B1768" s="2"/>
      <c r="C1768" s="1">
        <v>2016</v>
      </c>
      <c r="D1768" s="1">
        <v>7.77</v>
      </c>
    </row>
    <row r="1769" spans="1:4" x14ac:dyDescent="0.35">
      <c r="A1769" s="1" t="s">
        <v>111</v>
      </c>
      <c r="B1769" s="2"/>
      <c r="C1769" s="1">
        <v>2017</v>
      </c>
      <c r="D1769" s="1">
        <v>8.57</v>
      </c>
    </row>
    <row r="1770" spans="1:4" x14ac:dyDescent="0.35">
      <c r="A1770" s="1" t="s">
        <v>111</v>
      </c>
      <c r="B1770" s="2"/>
      <c r="C1770" s="1">
        <v>2018</v>
      </c>
      <c r="D1770" s="1">
        <v>9.82</v>
      </c>
    </row>
    <row r="1771" spans="1:4" x14ac:dyDescent="0.35">
      <c r="A1771" s="1" t="s">
        <v>111</v>
      </c>
      <c r="B1771" s="2"/>
      <c r="C1771" s="1">
        <v>2019</v>
      </c>
      <c r="D1771" s="1">
        <v>9.2899999999999991</v>
      </c>
    </row>
    <row r="1772" spans="1:4" x14ac:dyDescent="0.35">
      <c r="A1772" s="1" t="s">
        <v>111</v>
      </c>
      <c r="B1772" s="2"/>
      <c r="C1772" s="1">
        <v>2020</v>
      </c>
      <c r="D1772" s="1">
        <v>11.6</v>
      </c>
    </row>
    <row r="1773" spans="1:4" x14ac:dyDescent="0.35">
      <c r="A1773" s="1" t="s">
        <v>111</v>
      </c>
      <c r="B1773" s="2"/>
      <c r="C1773" s="1">
        <v>2021</v>
      </c>
      <c r="D1773" s="1">
        <v>17.95</v>
      </c>
    </row>
    <row r="1774" spans="1:4" x14ac:dyDescent="0.35">
      <c r="A1774" s="1" t="s">
        <v>111</v>
      </c>
      <c r="B1774" s="2"/>
      <c r="C1774" s="1">
        <v>2022</v>
      </c>
      <c r="D1774" s="1">
        <v>18.29</v>
      </c>
    </row>
    <row r="1775" spans="1:4" x14ac:dyDescent="0.35">
      <c r="A1775" s="1" t="s">
        <v>111</v>
      </c>
      <c r="B1775" s="2"/>
      <c r="C1775" s="1">
        <v>2023</v>
      </c>
      <c r="D1775" s="1">
        <v>18.29</v>
      </c>
    </row>
    <row r="1776" spans="1:4" x14ac:dyDescent="0.35">
      <c r="A1776" s="1" t="s">
        <v>111</v>
      </c>
      <c r="B1776" s="2"/>
      <c r="C1776" s="1">
        <v>2024</v>
      </c>
      <c r="D1776" s="1">
        <v>18.11</v>
      </c>
    </row>
    <row r="1777" spans="1:4" x14ac:dyDescent="0.35">
      <c r="A1777" s="1" t="s">
        <v>111</v>
      </c>
      <c r="B1777" s="2" t="s">
        <v>136</v>
      </c>
      <c r="C1777" s="1">
        <v>2000</v>
      </c>
      <c r="D1777" s="1" t="s">
        <v>137</v>
      </c>
    </row>
    <row r="1778" spans="1:4" x14ac:dyDescent="0.35">
      <c r="A1778" s="1" t="s">
        <v>111</v>
      </c>
      <c r="B1778" s="2"/>
      <c r="C1778" s="1">
        <v>2001</v>
      </c>
      <c r="D1778" s="1" t="s">
        <v>137</v>
      </c>
    </row>
    <row r="1779" spans="1:4" x14ac:dyDescent="0.35">
      <c r="A1779" s="1" t="s">
        <v>111</v>
      </c>
      <c r="B1779" s="2"/>
      <c r="C1779" s="1">
        <v>2002</v>
      </c>
      <c r="D1779" s="1" t="s">
        <v>137</v>
      </c>
    </row>
    <row r="1780" spans="1:4" x14ac:dyDescent="0.35">
      <c r="A1780" s="1" t="s">
        <v>111</v>
      </c>
      <c r="B1780" s="2"/>
      <c r="C1780" s="1">
        <v>2003</v>
      </c>
      <c r="D1780" s="1" t="s">
        <v>137</v>
      </c>
    </row>
    <row r="1781" spans="1:4" x14ac:dyDescent="0.35">
      <c r="A1781" s="1" t="s">
        <v>111</v>
      </c>
      <c r="B1781" s="2"/>
      <c r="C1781" s="1">
        <v>2004</v>
      </c>
      <c r="D1781" s="1" t="s">
        <v>137</v>
      </c>
    </row>
    <row r="1782" spans="1:4" x14ac:dyDescent="0.35">
      <c r="A1782" s="1" t="s">
        <v>111</v>
      </c>
      <c r="B1782" s="2"/>
      <c r="C1782" s="1">
        <v>2005</v>
      </c>
      <c r="D1782" s="1" t="s">
        <v>137</v>
      </c>
    </row>
    <row r="1783" spans="1:4" x14ac:dyDescent="0.35">
      <c r="A1783" s="1" t="s">
        <v>111</v>
      </c>
      <c r="B1783" s="2"/>
      <c r="C1783" s="1">
        <v>2006</v>
      </c>
      <c r="D1783" s="1" t="s">
        <v>137</v>
      </c>
    </row>
    <row r="1784" spans="1:4" x14ac:dyDescent="0.35">
      <c r="A1784" s="1" t="s">
        <v>111</v>
      </c>
      <c r="B1784" s="2"/>
      <c r="C1784" s="1">
        <v>2007</v>
      </c>
      <c r="D1784" s="1" t="s">
        <v>137</v>
      </c>
    </row>
    <row r="1785" spans="1:4" x14ac:dyDescent="0.35">
      <c r="A1785" s="1" t="s">
        <v>111</v>
      </c>
      <c r="B1785" s="2"/>
      <c r="C1785" s="1">
        <v>2008</v>
      </c>
      <c r="D1785" s="1" t="s">
        <v>137</v>
      </c>
    </row>
    <row r="1786" spans="1:4" x14ac:dyDescent="0.35">
      <c r="A1786" s="1" t="s">
        <v>111</v>
      </c>
      <c r="B1786" s="2"/>
      <c r="C1786" s="1">
        <v>2009</v>
      </c>
      <c r="D1786" s="1" t="s">
        <v>137</v>
      </c>
    </row>
    <row r="1787" spans="1:4" x14ac:dyDescent="0.35">
      <c r="A1787" s="1" t="s">
        <v>111</v>
      </c>
      <c r="B1787" s="2"/>
      <c r="C1787" s="1">
        <v>2010</v>
      </c>
      <c r="D1787" s="1" t="s">
        <v>137</v>
      </c>
    </row>
    <row r="1788" spans="1:4" x14ac:dyDescent="0.35">
      <c r="A1788" s="1" t="s">
        <v>111</v>
      </c>
      <c r="B1788" s="2"/>
      <c r="C1788" s="1">
        <v>2011</v>
      </c>
      <c r="D1788" s="1" t="s">
        <v>137</v>
      </c>
    </row>
    <row r="1789" spans="1:4" x14ac:dyDescent="0.35">
      <c r="A1789" s="1" t="s">
        <v>111</v>
      </c>
      <c r="B1789" s="2"/>
      <c r="C1789" s="1">
        <v>2012</v>
      </c>
      <c r="D1789" s="1" t="s">
        <v>137</v>
      </c>
    </row>
    <row r="1790" spans="1:4" x14ac:dyDescent="0.35">
      <c r="A1790" s="1" t="s">
        <v>111</v>
      </c>
      <c r="B1790" s="2"/>
      <c r="C1790" s="1">
        <v>2013</v>
      </c>
      <c r="D1790" s="1">
        <v>2.02</v>
      </c>
    </row>
    <row r="1791" spans="1:4" x14ac:dyDescent="0.35">
      <c r="A1791" s="1" t="s">
        <v>111</v>
      </c>
      <c r="B1791" s="2"/>
      <c r="C1791" s="1">
        <v>2014</v>
      </c>
      <c r="D1791" s="1">
        <v>2.25</v>
      </c>
    </row>
    <row r="1792" spans="1:4" x14ac:dyDescent="0.35">
      <c r="A1792" s="1" t="s">
        <v>111</v>
      </c>
      <c r="B1792" s="2"/>
      <c r="C1792" s="1">
        <v>2015</v>
      </c>
      <c r="D1792" s="1">
        <v>2.23</v>
      </c>
    </row>
    <row r="1793" spans="1:4" x14ac:dyDescent="0.35">
      <c r="A1793" s="1" t="s">
        <v>111</v>
      </c>
      <c r="B1793" s="2"/>
      <c r="C1793" s="1">
        <v>2016</v>
      </c>
      <c r="D1793" s="1">
        <v>2.5299999999999998</v>
      </c>
    </row>
    <row r="1794" spans="1:4" x14ac:dyDescent="0.35">
      <c r="A1794" s="1" t="s">
        <v>111</v>
      </c>
      <c r="B1794" s="2"/>
      <c r="C1794" s="1">
        <v>2017</v>
      </c>
      <c r="D1794" s="1">
        <v>2.66</v>
      </c>
    </row>
    <row r="1795" spans="1:4" x14ac:dyDescent="0.35">
      <c r="A1795" s="1" t="s">
        <v>111</v>
      </c>
      <c r="B1795" s="2"/>
      <c r="C1795" s="1">
        <v>2018</v>
      </c>
      <c r="D1795" s="1">
        <v>3.07</v>
      </c>
    </row>
    <row r="1796" spans="1:4" x14ac:dyDescent="0.35">
      <c r="A1796" s="1" t="s">
        <v>111</v>
      </c>
      <c r="B1796" s="2"/>
      <c r="C1796" s="1">
        <v>2019</v>
      </c>
      <c r="D1796" s="1">
        <v>2.62</v>
      </c>
    </row>
    <row r="1797" spans="1:4" x14ac:dyDescent="0.35">
      <c r="A1797" s="1" t="s">
        <v>111</v>
      </c>
      <c r="B1797" s="2"/>
      <c r="C1797" s="1">
        <v>2020</v>
      </c>
      <c r="D1797" s="1">
        <v>3.27</v>
      </c>
    </row>
    <row r="1798" spans="1:4" x14ac:dyDescent="0.35">
      <c r="A1798" s="1" t="s">
        <v>111</v>
      </c>
      <c r="B1798" s="2"/>
      <c r="C1798" s="1">
        <v>2021</v>
      </c>
      <c r="D1798" s="1">
        <v>5.66</v>
      </c>
    </row>
    <row r="1799" spans="1:4" x14ac:dyDescent="0.35">
      <c r="A1799" s="1" t="s">
        <v>111</v>
      </c>
      <c r="B1799" s="2"/>
      <c r="C1799" s="1">
        <v>2022</v>
      </c>
      <c r="D1799" s="1">
        <v>5.91</v>
      </c>
    </row>
    <row r="1800" spans="1:4" x14ac:dyDescent="0.35">
      <c r="A1800" s="1" t="s">
        <v>111</v>
      </c>
      <c r="B1800" s="2"/>
      <c r="C1800" s="1">
        <v>2023</v>
      </c>
      <c r="D1800" s="1">
        <v>5.7</v>
      </c>
    </row>
    <row r="1801" spans="1:4" x14ac:dyDescent="0.35">
      <c r="A1801" s="1" t="s">
        <v>111</v>
      </c>
      <c r="B1801" s="2"/>
      <c r="C1801" s="1">
        <v>2024</v>
      </c>
      <c r="D1801" s="1" t="s">
        <v>137</v>
      </c>
    </row>
    <row r="1802" spans="1:4" x14ac:dyDescent="0.35">
      <c r="A1802" s="1" t="s">
        <v>103</v>
      </c>
      <c r="B1802" s="2" t="s">
        <v>134</v>
      </c>
      <c r="C1802" s="1">
        <v>2000</v>
      </c>
      <c r="D1802" s="1">
        <v>20</v>
      </c>
    </row>
    <row r="1803" spans="1:4" x14ac:dyDescent="0.35">
      <c r="A1803" s="1" t="s">
        <v>103</v>
      </c>
      <c r="B1803" s="2"/>
      <c r="C1803" s="1">
        <v>2001</v>
      </c>
      <c r="D1803" s="1">
        <v>20</v>
      </c>
    </row>
    <row r="1804" spans="1:4" x14ac:dyDescent="0.35">
      <c r="A1804" s="1" t="s">
        <v>103</v>
      </c>
      <c r="B1804" s="2"/>
      <c r="C1804" s="1">
        <v>2002</v>
      </c>
      <c r="D1804" s="1">
        <v>20</v>
      </c>
    </row>
    <row r="1805" spans="1:4" x14ac:dyDescent="0.35">
      <c r="A1805" s="1" t="s">
        <v>103</v>
      </c>
      <c r="B1805" s="2"/>
      <c r="C1805" s="1">
        <v>2003</v>
      </c>
      <c r="D1805" s="1">
        <v>20</v>
      </c>
    </row>
    <row r="1806" spans="1:4" x14ac:dyDescent="0.35">
      <c r="A1806" s="1" t="s">
        <v>103</v>
      </c>
      <c r="B1806" s="2"/>
      <c r="C1806" s="1">
        <v>2004</v>
      </c>
      <c r="D1806" s="1">
        <v>20.010000000000002</v>
      </c>
    </row>
    <row r="1807" spans="1:4" x14ac:dyDescent="0.35">
      <c r="A1807" s="1" t="s">
        <v>103</v>
      </c>
      <c r="B1807" s="2"/>
      <c r="C1807" s="1">
        <v>2005</v>
      </c>
      <c r="D1807" s="1">
        <v>20.02</v>
      </c>
    </row>
    <row r="1808" spans="1:4" x14ac:dyDescent="0.35">
      <c r="A1808" s="1" t="s">
        <v>103</v>
      </c>
      <c r="B1808" s="2"/>
      <c r="C1808" s="1">
        <v>2006</v>
      </c>
      <c r="D1808" s="1">
        <v>20.02</v>
      </c>
    </row>
    <row r="1809" spans="1:4" x14ac:dyDescent="0.35">
      <c r="A1809" s="1" t="s">
        <v>103</v>
      </c>
      <c r="B1809" s="2"/>
      <c r="C1809" s="1">
        <v>2007</v>
      </c>
      <c r="D1809" s="1">
        <v>20.13</v>
      </c>
    </row>
    <row r="1810" spans="1:4" x14ac:dyDescent="0.35">
      <c r="A1810" s="1" t="s">
        <v>103</v>
      </c>
      <c r="B1810" s="2"/>
      <c r="C1810" s="1">
        <v>2008</v>
      </c>
      <c r="D1810" s="1">
        <v>64.48</v>
      </c>
    </row>
    <row r="1811" spans="1:4" x14ac:dyDescent="0.35">
      <c r="A1811" s="1" t="s">
        <v>103</v>
      </c>
      <c r="B1811" s="2"/>
      <c r="C1811" s="1">
        <v>2009</v>
      </c>
      <c r="D1811" s="1">
        <v>64.5</v>
      </c>
    </row>
    <row r="1812" spans="1:4" x14ac:dyDescent="0.35">
      <c r="A1812" s="1" t="s">
        <v>103</v>
      </c>
      <c r="B1812" s="2"/>
      <c r="C1812" s="1">
        <v>2010</v>
      </c>
      <c r="D1812" s="1">
        <v>71.77</v>
      </c>
    </row>
    <row r="1813" spans="1:4" x14ac:dyDescent="0.35">
      <c r="A1813" s="1" t="s">
        <v>103</v>
      </c>
      <c r="B1813" s="2"/>
      <c r="C1813" s="1">
        <v>2011</v>
      </c>
      <c r="D1813" s="1">
        <v>59.65</v>
      </c>
    </row>
    <row r="1814" spans="1:4" x14ac:dyDescent="0.35">
      <c r="A1814" s="1" t="s">
        <v>103</v>
      </c>
      <c r="B1814" s="2"/>
      <c r="C1814" s="1">
        <v>2012</v>
      </c>
      <c r="D1814" s="1">
        <v>59.77</v>
      </c>
    </row>
    <row r="1815" spans="1:4" x14ac:dyDescent="0.35">
      <c r="A1815" s="1" t="s">
        <v>103</v>
      </c>
      <c r="B1815" s="2"/>
      <c r="C1815" s="1">
        <v>2013</v>
      </c>
      <c r="D1815" s="1">
        <v>59.78</v>
      </c>
    </row>
    <row r="1816" spans="1:4" x14ac:dyDescent="0.35">
      <c r="A1816" s="1" t="s">
        <v>103</v>
      </c>
      <c r="B1816" s="2"/>
      <c r="C1816" s="1">
        <v>2014</v>
      </c>
      <c r="D1816" s="1">
        <v>66.599999999999994</v>
      </c>
    </row>
    <row r="1817" spans="1:4" x14ac:dyDescent="0.35">
      <c r="A1817" s="1" t="s">
        <v>103</v>
      </c>
      <c r="B1817" s="2"/>
      <c r="C1817" s="1">
        <v>2015</v>
      </c>
      <c r="D1817" s="1">
        <v>55.38</v>
      </c>
    </row>
    <row r="1818" spans="1:4" x14ac:dyDescent="0.35">
      <c r="A1818" s="1" t="s">
        <v>103</v>
      </c>
      <c r="B1818" s="2"/>
      <c r="C1818" s="1">
        <v>2016</v>
      </c>
      <c r="D1818" s="1">
        <v>55.49</v>
      </c>
    </row>
    <row r="1819" spans="1:4" x14ac:dyDescent="0.35">
      <c r="A1819" s="1" t="s">
        <v>103</v>
      </c>
      <c r="B1819" s="2"/>
      <c r="C1819" s="1">
        <v>2017</v>
      </c>
      <c r="D1819" s="1">
        <v>56.93</v>
      </c>
    </row>
    <row r="1820" spans="1:4" x14ac:dyDescent="0.35">
      <c r="A1820" s="1" t="s">
        <v>103</v>
      </c>
      <c r="B1820" s="2"/>
      <c r="C1820" s="1">
        <v>2018</v>
      </c>
      <c r="D1820" s="1">
        <v>48.36</v>
      </c>
    </row>
    <row r="1821" spans="1:4" x14ac:dyDescent="0.35">
      <c r="A1821" s="1" t="s">
        <v>103</v>
      </c>
      <c r="B1821" s="2"/>
      <c r="C1821" s="1">
        <v>2019</v>
      </c>
      <c r="D1821" s="1">
        <v>41.71</v>
      </c>
    </row>
    <row r="1822" spans="1:4" x14ac:dyDescent="0.35">
      <c r="A1822" s="1" t="s">
        <v>103</v>
      </c>
      <c r="B1822" s="2"/>
      <c r="C1822" s="1">
        <v>2020</v>
      </c>
      <c r="D1822" s="1">
        <v>42.22</v>
      </c>
    </row>
    <row r="1823" spans="1:4" x14ac:dyDescent="0.35">
      <c r="A1823" s="1" t="s">
        <v>103</v>
      </c>
      <c r="B1823" s="2"/>
      <c r="C1823" s="1">
        <v>2021</v>
      </c>
      <c r="D1823" s="1">
        <v>44.11</v>
      </c>
    </row>
    <row r="1824" spans="1:4" x14ac:dyDescent="0.35">
      <c r="A1824" s="1" t="s">
        <v>103</v>
      </c>
      <c r="B1824" s="2"/>
      <c r="C1824" s="1">
        <v>2022</v>
      </c>
      <c r="D1824" s="1">
        <v>45.28</v>
      </c>
    </row>
    <row r="1825" spans="1:4" x14ac:dyDescent="0.35">
      <c r="A1825" s="1" t="s">
        <v>103</v>
      </c>
      <c r="B1825" s="2"/>
      <c r="C1825" s="1">
        <v>2023</v>
      </c>
      <c r="D1825" s="1">
        <v>45.35</v>
      </c>
    </row>
    <row r="1826" spans="1:4" x14ac:dyDescent="0.35">
      <c r="A1826" s="1" t="s">
        <v>103</v>
      </c>
      <c r="B1826" s="2"/>
      <c r="C1826" s="1">
        <v>2024</v>
      </c>
      <c r="D1826" s="1">
        <v>45.35</v>
      </c>
    </row>
    <row r="1827" spans="1:4" x14ac:dyDescent="0.35">
      <c r="A1827" s="1" t="s">
        <v>103</v>
      </c>
      <c r="B1827" s="2" t="s">
        <v>136</v>
      </c>
      <c r="C1827" s="1">
        <v>2000</v>
      </c>
      <c r="D1827" s="1">
        <v>34.78</v>
      </c>
    </row>
    <row r="1828" spans="1:4" x14ac:dyDescent="0.35">
      <c r="A1828" s="1" t="s">
        <v>103</v>
      </c>
      <c r="B1828" s="2"/>
      <c r="C1828" s="1">
        <v>2001</v>
      </c>
      <c r="D1828" s="1">
        <v>33.33</v>
      </c>
    </row>
    <row r="1829" spans="1:4" x14ac:dyDescent="0.35">
      <c r="A1829" s="1" t="s">
        <v>103</v>
      </c>
      <c r="B1829" s="2"/>
      <c r="C1829" s="1">
        <v>2002</v>
      </c>
      <c r="D1829" s="1">
        <v>16.670000000000002</v>
      </c>
    </row>
    <row r="1830" spans="1:4" x14ac:dyDescent="0.35">
      <c r="A1830" s="1" t="s">
        <v>103</v>
      </c>
      <c r="B1830" s="2"/>
      <c r="C1830" s="1">
        <v>2003</v>
      </c>
      <c r="D1830" s="1">
        <v>16.670000000000002</v>
      </c>
    </row>
    <row r="1831" spans="1:4" x14ac:dyDescent="0.35">
      <c r="A1831" s="1" t="s">
        <v>103</v>
      </c>
      <c r="B1831" s="2"/>
      <c r="C1831" s="1">
        <v>2004</v>
      </c>
      <c r="D1831" s="1">
        <v>17.53</v>
      </c>
    </row>
    <row r="1832" spans="1:4" x14ac:dyDescent="0.35">
      <c r="A1832" s="1" t="s">
        <v>103</v>
      </c>
      <c r="B1832" s="2"/>
      <c r="C1832" s="1">
        <v>2005</v>
      </c>
      <c r="D1832" s="1">
        <v>24.06</v>
      </c>
    </row>
    <row r="1833" spans="1:4" x14ac:dyDescent="0.35">
      <c r="A1833" s="1" t="s">
        <v>103</v>
      </c>
      <c r="B1833" s="2"/>
      <c r="C1833" s="1">
        <v>2006</v>
      </c>
      <c r="D1833" s="1">
        <v>20.27</v>
      </c>
    </row>
    <row r="1834" spans="1:4" x14ac:dyDescent="0.35">
      <c r="A1834" s="1" t="s">
        <v>103</v>
      </c>
      <c r="B1834" s="2"/>
      <c r="C1834" s="1">
        <v>2007</v>
      </c>
      <c r="D1834" s="1">
        <v>18.86</v>
      </c>
    </row>
    <row r="1835" spans="1:4" x14ac:dyDescent="0.35">
      <c r="A1835" s="1" t="s">
        <v>103</v>
      </c>
      <c r="B1835" s="2"/>
      <c r="C1835" s="1">
        <v>2008</v>
      </c>
      <c r="D1835" s="1">
        <v>6.09</v>
      </c>
    </row>
    <row r="1836" spans="1:4" x14ac:dyDescent="0.35">
      <c r="A1836" s="1" t="s">
        <v>103</v>
      </c>
      <c r="B1836" s="2"/>
      <c r="C1836" s="1">
        <v>2009</v>
      </c>
      <c r="D1836" s="1">
        <v>35.06</v>
      </c>
    </row>
    <row r="1837" spans="1:4" x14ac:dyDescent="0.35">
      <c r="A1837" s="1" t="s">
        <v>103</v>
      </c>
      <c r="B1837" s="2"/>
      <c r="C1837" s="1">
        <v>2010</v>
      </c>
      <c r="D1837" s="1">
        <v>87.4</v>
      </c>
    </row>
    <row r="1838" spans="1:4" x14ac:dyDescent="0.35">
      <c r="A1838" s="1" t="s">
        <v>103</v>
      </c>
      <c r="B1838" s="2"/>
      <c r="C1838" s="1">
        <v>2011</v>
      </c>
      <c r="D1838" s="1">
        <v>87.08</v>
      </c>
    </row>
    <row r="1839" spans="1:4" x14ac:dyDescent="0.35">
      <c r="A1839" s="1" t="s">
        <v>103</v>
      </c>
      <c r="B1839" s="2"/>
      <c r="C1839" s="1">
        <v>2012</v>
      </c>
      <c r="D1839" s="1">
        <v>73.84</v>
      </c>
    </row>
    <row r="1840" spans="1:4" x14ac:dyDescent="0.35">
      <c r="A1840" s="1" t="s">
        <v>103</v>
      </c>
      <c r="B1840" s="2"/>
      <c r="C1840" s="1">
        <v>2013</v>
      </c>
      <c r="D1840" s="1">
        <v>61.89</v>
      </c>
    </row>
    <row r="1841" spans="1:4" x14ac:dyDescent="0.35">
      <c r="A1841" s="1" t="s">
        <v>103</v>
      </c>
      <c r="B1841" s="2"/>
      <c r="C1841" s="1">
        <v>2014</v>
      </c>
      <c r="D1841" s="1">
        <v>82.51</v>
      </c>
    </row>
    <row r="1842" spans="1:4" x14ac:dyDescent="0.35">
      <c r="A1842" s="1" t="s">
        <v>103</v>
      </c>
      <c r="B1842" s="2"/>
      <c r="C1842" s="1">
        <v>2015</v>
      </c>
      <c r="D1842" s="1">
        <v>74.7</v>
      </c>
    </row>
    <row r="1843" spans="1:4" x14ac:dyDescent="0.35">
      <c r="A1843" s="1" t="s">
        <v>103</v>
      </c>
      <c r="B1843" s="2"/>
      <c r="C1843" s="1">
        <v>2016</v>
      </c>
      <c r="D1843" s="1">
        <v>74.260000000000005</v>
      </c>
    </row>
    <row r="1844" spans="1:4" x14ac:dyDescent="0.35">
      <c r="A1844" s="1" t="s">
        <v>103</v>
      </c>
      <c r="B1844" s="2"/>
      <c r="C1844" s="1">
        <v>2017</v>
      </c>
      <c r="D1844" s="1">
        <v>73.8</v>
      </c>
    </row>
    <row r="1845" spans="1:4" x14ac:dyDescent="0.35">
      <c r="A1845" s="1" t="s">
        <v>103</v>
      </c>
      <c r="B1845" s="2"/>
      <c r="C1845" s="1">
        <v>2018</v>
      </c>
      <c r="D1845" s="1">
        <v>73.39</v>
      </c>
    </row>
    <row r="1846" spans="1:4" x14ac:dyDescent="0.35">
      <c r="A1846" s="1" t="s">
        <v>103</v>
      </c>
      <c r="B1846" s="2"/>
      <c r="C1846" s="1">
        <v>2019</v>
      </c>
      <c r="D1846" s="1">
        <v>94.86</v>
      </c>
    </row>
    <row r="1847" spans="1:4" x14ac:dyDescent="0.35">
      <c r="A1847" s="1" t="s">
        <v>103</v>
      </c>
      <c r="B1847" s="2"/>
      <c r="C1847" s="1">
        <v>2020</v>
      </c>
      <c r="D1847" s="1">
        <v>97.13</v>
      </c>
    </row>
    <row r="1848" spans="1:4" x14ac:dyDescent="0.35">
      <c r="A1848" s="1" t="s">
        <v>103</v>
      </c>
      <c r="B1848" s="2"/>
      <c r="C1848" s="1">
        <v>2021</v>
      </c>
      <c r="D1848" s="1">
        <v>97.18</v>
      </c>
    </row>
    <row r="1849" spans="1:4" x14ac:dyDescent="0.35">
      <c r="A1849" s="1" t="s">
        <v>103</v>
      </c>
      <c r="B1849" s="2"/>
      <c r="C1849" s="1">
        <v>2022</v>
      </c>
      <c r="D1849" s="1">
        <v>75.06</v>
      </c>
    </row>
    <row r="1850" spans="1:4" x14ac:dyDescent="0.35">
      <c r="A1850" s="1" t="s">
        <v>103</v>
      </c>
      <c r="B1850" s="2"/>
      <c r="C1850" s="1">
        <v>2023</v>
      </c>
      <c r="D1850" s="1">
        <v>80.45</v>
      </c>
    </row>
    <row r="1851" spans="1:4" x14ac:dyDescent="0.35">
      <c r="A1851" s="1" t="s">
        <v>103</v>
      </c>
      <c r="B1851" s="2"/>
      <c r="C1851" s="1">
        <v>2024</v>
      </c>
      <c r="D1851" s="1" t="s">
        <v>137</v>
      </c>
    </row>
    <row r="1852" spans="1:4" x14ac:dyDescent="0.35">
      <c r="A1852" s="1" t="s">
        <v>139</v>
      </c>
      <c r="B1852" s="2" t="s">
        <v>134</v>
      </c>
      <c r="C1852" s="1">
        <v>2000</v>
      </c>
      <c r="D1852" s="1" t="s">
        <v>137</v>
      </c>
    </row>
    <row r="1853" spans="1:4" x14ac:dyDescent="0.35">
      <c r="A1853" s="1" t="s">
        <v>139</v>
      </c>
      <c r="B1853" s="2"/>
      <c r="C1853" s="1">
        <v>2001</v>
      </c>
      <c r="D1853" s="1" t="s">
        <v>137</v>
      </c>
    </row>
    <row r="1854" spans="1:4" x14ac:dyDescent="0.35">
      <c r="A1854" s="1" t="s">
        <v>139</v>
      </c>
      <c r="B1854" s="2"/>
      <c r="C1854" s="1">
        <v>2002</v>
      </c>
      <c r="D1854" s="1" t="s">
        <v>137</v>
      </c>
    </row>
    <row r="1855" spans="1:4" x14ac:dyDescent="0.35">
      <c r="A1855" s="1" t="s">
        <v>139</v>
      </c>
      <c r="B1855" s="2"/>
      <c r="C1855" s="1">
        <v>2003</v>
      </c>
      <c r="D1855" s="1" t="s">
        <v>137</v>
      </c>
    </row>
    <row r="1856" spans="1:4" x14ac:dyDescent="0.35">
      <c r="A1856" s="1" t="s">
        <v>139</v>
      </c>
      <c r="B1856" s="2"/>
      <c r="C1856" s="1">
        <v>2004</v>
      </c>
      <c r="D1856" s="1" t="s">
        <v>137</v>
      </c>
    </row>
    <row r="1857" spans="1:4" x14ac:dyDescent="0.35">
      <c r="A1857" s="1" t="s">
        <v>139</v>
      </c>
      <c r="B1857" s="2"/>
      <c r="C1857" s="1">
        <v>2005</v>
      </c>
      <c r="D1857" s="1" t="s">
        <v>137</v>
      </c>
    </row>
    <row r="1858" spans="1:4" x14ac:dyDescent="0.35">
      <c r="A1858" s="1" t="s">
        <v>139</v>
      </c>
      <c r="B1858" s="2"/>
      <c r="C1858" s="1">
        <v>2006</v>
      </c>
      <c r="D1858" s="1" t="s">
        <v>137</v>
      </c>
    </row>
    <row r="1859" spans="1:4" x14ac:dyDescent="0.35">
      <c r="A1859" s="1" t="s">
        <v>139</v>
      </c>
      <c r="B1859" s="2"/>
      <c r="C1859" s="1">
        <v>2007</v>
      </c>
      <c r="D1859" s="1" t="s">
        <v>137</v>
      </c>
    </row>
    <row r="1860" spans="1:4" x14ac:dyDescent="0.35">
      <c r="A1860" s="1" t="s">
        <v>139</v>
      </c>
      <c r="B1860" s="2"/>
      <c r="C1860" s="1">
        <v>2008</v>
      </c>
      <c r="D1860" s="1">
        <v>0.02</v>
      </c>
    </row>
    <row r="1861" spans="1:4" x14ac:dyDescent="0.35">
      <c r="A1861" s="1" t="s">
        <v>139</v>
      </c>
      <c r="B1861" s="2"/>
      <c r="C1861" s="1">
        <v>2009</v>
      </c>
      <c r="D1861" s="1">
        <v>0.02</v>
      </c>
    </row>
    <row r="1862" spans="1:4" x14ac:dyDescent="0.35">
      <c r="A1862" s="1" t="s">
        <v>139</v>
      </c>
      <c r="B1862" s="2"/>
      <c r="C1862" s="1">
        <v>2010</v>
      </c>
      <c r="D1862" s="1">
        <v>0.02</v>
      </c>
    </row>
    <row r="1863" spans="1:4" x14ac:dyDescent="0.35">
      <c r="A1863" s="1" t="s">
        <v>139</v>
      </c>
      <c r="B1863" s="2"/>
      <c r="C1863" s="1">
        <v>2011</v>
      </c>
      <c r="D1863" s="1">
        <v>0.02</v>
      </c>
    </row>
    <row r="1864" spans="1:4" x14ac:dyDescent="0.35">
      <c r="A1864" s="1" t="s">
        <v>139</v>
      </c>
      <c r="B1864" s="2"/>
      <c r="C1864" s="1">
        <v>2012</v>
      </c>
      <c r="D1864" s="1">
        <v>2.7</v>
      </c>
    </row>
    <row r="1865" spans="1:4" x14ac:dyDescent="0.35">
      <c r="A1865" s="1" t="s">
        <v>139</v>
      </c>
      <c r="B1865" s="2"/>
      <c r="C1865" s="1">
        <v>2013</v>
      </c>
      <c r="D1865" s="1">
        <v>2.7</v>
      </c>
    </row>
    <row r="1866" spans="1:4" x14ac:dyDescent="0.35">
      <c r="A1866" s="1" t="s">
        <v>139</v>
      </c>
      <c r="B1866" s="2"/>
      <c r="C1866" s="1">
        <v>2014</v>
      </c>
      <c r="D1866" s="1">
        <v>2.83</v>
      </c>
    </row>
    <row r="1867" spans="1:4" x14ac:dyDescent="0.35">
      <c r="A1867" s="1" t="s">
        <v>139</v>
      </c>
      <c r="B1867" s="2"/>
      <c r="C1867" s="1">
        <v>2015</v>
      </c>
      <c r="D1867" s="1">
        <v>3.57</v>
      </c>
    </row>
    <row r="1868" spans="1:4" x14ac:dyDescent="0.35">
      <c r="A1868" s="1" t="s">
        <v>139</v>
      </c>
      <c r="B1868" s="2"/>
      <c r="C1868" s="1">
        <v>2016</v>
      </c>
      <c r="D1868" s="1">
        <v>4.6500000000000004</v>
      </c>
    </row>
    <row r="1869" spans="1:4" x14ac:dyDescent="0.35">
      <c r="A1869" s="1" t="s">
        <v>139</v>
      </c>
      <c r="B1869" s="2"/>
      <c r="C1869" s="1">
        <v>2017</v>
      </c>
      <c r="D1869" s="1">
        <v>6.03</v>
      </c>
    </row>
    <row r="1870" spans="1:4" x14ac:dyDescent="0.35">
      <c r="A1870" s="1" t="s">
        <v>139</v>
      </c>
      <c r="B1870" s="2"/>
      <c r="C1870" s="1">
        <v>2018</v>
      </c>
      <c r="D1870" s="1">
        <v>5.5</v>
      </c>
    </row>
    <row r="1871" spans="1:4" x14ac:dyDescent="0.35">
      <c r="A1871" s="1" t="s">
        <v>139</v>
      </c>
      <c r="B1871" s="2"/>
      <c r="C1871" s="1">
        <v>2019</v>
      </c>
      <c r="D1871" s="1">
        <v>5.65</v>
      </c>
    </row>
    <row r="1872" spans="1:4" x14ac:dyDescent="0.35">
      <c r="A1872" s="1" t="s">
        <v>139</v>
      </c>
      <c r="B1872" s="2"/>
      <c r="C1872" s="1">
        <v>2020</v>
      </c>
      <c r="D1872" s="1">
        <v>12.63</v>
      </c>
    </row>
    <row r="1873" spans="1:4" x14ac:dyDescent="0.35">
      <c r="A1873" s="1" t="s">
        <v>139</v>
      </c>
      <c r="B1873" s="2"/>
      <c r="C1873" s="1">
        <v>2021</v>
      </c>
      <c r="D1873" s="1">
        <v>17.48</v>
      </c>
    </row>
    <row r="1874" spans="1:4" x14ac:dyDescent="0.35">
      <c r="A1874" s="1" t="s">
        <v>139</v>
      </c>
      <c r="B1874" s="2"/>
      <c r="C1874" s="1">
        <v>2022</v>
      </c>
      <c r="D1874" s="1">
        <v>30.24</v>
      </c>
    </row>
    <row r="1875" spans="1:4" x14ac:dyDescent="0.35">
      <c r="A1875" s="1" t="s">
        <v>139</v>
      </c>
      <c r="B1875" s="2"/>
      <c r="C1875" s="1">
        <v>2023</v>
      </c>
      <c r="D1875" s="1">
        <v>31.81</v>
      </c>
    </row>
    <row r="1876" spans="1:4" x14ac:dyDescent="0.35">
      <c r="A1876" s="1" t="s">
        <v>139</v>
      </c>
      <c r="B1876" s="2"/>
      <c r="C1876" s="1">
        <v>2024</v>
      </c>
      <c r="D1876" s="1">
        <v>31.81</v>
      </c>
    </row>
    <row r="1877" spans="1:4" x14ac:dyDescent="0.35">
      <c r="A1877" s="1" t="s">
        <v>139</v>
      </c>
      <c r="B1877" s="2" t="s">
        <v>136</v>
      </c>
      <c r="C1877" s="1">
        <v>2000</v>
      </c>
      <c r="D1877" s="1" t="s">
        <v>137</v>
      </c>
    </row>
    <row r="1878" spans="1:4" x14ac:dyDescent="0.35">
      <c r="A1878" s="1" t="s">
        <v>139</v>
      </c>
      <c r="B1878" s="2"/>
      <c r="C1878" s="1">
        <v>2001</v>
      </c>
      <c r="D1878" s="1" t="s">
        <v>137</v>
      </c>
    </row>
    <row r="1879" spans="1:4" x14ac:dyDescent="0.35">
      <c r="A1879" s="1" t="s">
        <v>139</v>
      </c>
      <c r="B1879" s="2"/>
      <c r="C1879" s="1">
        <v>2002</v>
      </c>
      <c r="D1879" s="1" t="s">
        <v>137</v>
      </c>
    </row>
    <row r="1880" spans="1:4" x14ac:dyDescent="0.35">
      <c r="A1880" s="1" t="s">
        <v>139</v>
      </c>
      <c r="B1880" s="2"/>
      <c r="C1880" s="1">
        <v>2003</v>
      </c>
      <c r="D1880" s="1" t="s">
        <v>137</v>
      </c>
    </row>
    <row r="1881" spans="1:4" x14ac:dyDescent="0.35">
      <c r="A1881" s="1" t="s">
        <v>139</v>
      </c>
      <c r="B1881" s="2"/>
      <c r="C1881" s="1">
        <v>2004</v>
      </c>
      <c r="D1881" s="1" t="s">
        <v>137</v>
      </c>
    </row>
    <row r="1882" spans="1:4" x14ac:dyDescent="0.35">
      <c r="A1882" s="1" t="s">
        <v>139</v>
      </c>
      <c r="B1882" s="2"/>
      <c r="C1882" s="1">
        <v>2005</v>
      </c>
      <c r="D1882" s="1" t="s">
        <v>137</v>
      </c>
    </row>
    <row r="1883" spans="1:4" x14ac:dyDescent="0.35">
      <c r="A1883" s="1" t="s">
        <v>139</v>
      </c>
      <c r="B1883" s="2"/>
      <c r="C1883" s="1">
        <v>2006</v>
      </c>
      <c r="D1883" s="1" t="s">
        <v>137</v>
      </c>
    </row>
    <row r="1884" spans="1:4" x14ac:dyDescent="0.35">
      <c r="A1884" s="1" t="s">
        <v>139</v>
      </c>
      <c r="B1884" s="2"/>
      <c r="C1884" s="1">
        <v>2007</v>
      </c>
      <c r="D1884" s="1" t="s">
        <v>137</v>
      </c>
    </row>
    <row r="1885" spans="1:4" x14ac:dyDescent="0.35">
      <c r="A1885" s="1" t="s">
        <v>139</v>
      </c>
      <c r="B1885" s="2"/>
      <c r="C1885" s="1">
        <v>2008</v>
      </c>
      <c r="D1885" s="1" t="s">
        <v>137</v>
      </c>
    </row>
    <row r="1886" spans="1:4" x14ac:dyDescent="0.35">
      <c r="A1886" s="1" t="s">
        <v>139</v>
      </c>
      <c r="B1886" s="2"/>
      <c r="C1886" s="1">
        <v>2009</v>
      </c>
      <c r="D1886" s="1" t="s">
        <v>137</v>
      </c>
    </row>
    <row r="1887" spans="1:4" x14ac:dyDescent="0.35">
      <c r="A1887" s="1" t="s">
        <v>139</v>
      </c>
      <c r="B1887" s="2"/>
      <c r="C1887" s="1">
        <v>2010</v>
      </c>
      <c r="D1887" s="1" t="s">
        <v>137</v>
      </c>
    </row>
    <row r="1888" spans="1:4" x14ac:dyDescent="0.35">
      <c r="A1888" s="1" t="s">
        <v>139</v>
      </c>
      <c r="B1888" s="2"/>
      <c r="C1888" s="1">
        <v>2011</v>
      </c>
      <c r="D1888" s="1" t="s">
        <v>137</v>
      </c>
    </row>
    <row r="1889" spans="1:4" x14ac:dyDescent="0.35">
      <c r="A1889" s="1" t="s">
        <v>139</v>
      </c>
      <c r="B1889" s="2"/>
      <c r="C1889" s="1">
        <v>2012</v>
      </c>
      <c r="D1889" s="1">
        <v>1.1599999999999999</v>
      </c>
    </row>
    <row r="1890" spans="1:4" x14ac:dyDescent="0.35">
      <c r="A1890" s="1" t="s">
        <v>139</v>
      </c>
      <c r="B1890" s="2"/>
      <c r="C1890" s="1">
        <v>2013</v>
      </c>
      <c r="D1890" s="1">
        <v>1.1299999999999999</v>
      </c>
    </row>
    <row r="1891" spans="1:4" x14ac:dyDescent="0.35">
      <c r="A1891" s="1" t="s">
        <v>139</v>
      </c>
      <c r="B1891" s="2"/>
      <c r="C1891" s="1">
        <v>2014</v>
      </c>
      <c r="D1891" s="1">
        <v>1.19</v>
      </c>
    </row>
    <row r="1892" spans="1:4" x14ac:dyDescent="0.35">
      <c r="A1892" s="1" t="s">
        <v>139</v>
      </c>
      <c r="B1892" s="2"/>
      <c r="C1892" s="1">
        <v>2015</v>
      </c>
      <c r="D1892" s="1">
        <v>1.49</v>
      </c>
    </row>
    <row r="1893" spans="1:4" x14ac:dyDescent="0.35">
      <c r="A1893" s="1" t="s">
        <v>139</v>
      </c>
      <c r="B1893" s="2"/>
      <c r="C1893" s="1">
        <v>2016</v>
      </c>
      <c r="D1893" s="1">
        <v>1.88</v>
      </c>
    </row>
    <row r="1894" spans="1:4" x14ac:dyDescent="0.35">
      <c r="A1894" s="1" t="s">
        <v>139</v>
      </c>
      <c r="B1894" s="2"/>
      <c r="C1894" s="1">
        <v>2017</v>
      </c>
      <c r="D1894" s="1">
        <v>2.37</v>
      </c>
    </row>
    <row r="1895" spans="1:4" x14ac:dyDescent="0.35">
      <c r="A1895" s="1" t="s">
        <v>139</v>
      </c>
      <c r="B1895" s="2"/>
      <c r="C1895" s="1">
        <v>2018</v>
      </c>
      <c r="D1895" s="1">
        <v>2.64</v>
      </c>
    </row>
    <row r="1896" spans="1:4" x14ac:dyDescent="0.35">
      <c r="A1896" s="1" t="s">
        <v>139</v>
      </c>
      <c r="B1896" s="2"/>
      <c r="C1896" s="1">
        <v>2019</v>
      </c>
      <c r="D1896" s="1">
        <v>2.72</v>
      </c>
    </row>
    <row r="1897" spans="1:4" x14ac:dyDescent="0.35">
      <c r="A1897" s="1" t="s">
        <v>139</v>
      </c>
      <c r="B1897" s="2"/>
      <c r="C1897" s="1">
        <v>2020</v>
      </c>
      <c r="D1897" s="1">
        <v>6.34</v>
      </c>
    </row>
    <row r="1898" spans="1:4" x14ac:dyDescent="0.35">
      <c r="A1898" s="1" t="s">
        <v>139</v>
      </c>
      <c r="B1898" s="2"/>
      <c r="C1898" s="1">
        <v>2021</v>
      </c>
      <c r="D1898" s="1">
        <v>9.4499999999999993</v>
      </c>
    </row>
    <row r="1899" spans="1:4" x14ac:dyDescent="0.35">
      <c r="A1899" s="1" t="s">
        <v>139</v>
      </c>
      <c r="B1899" s="2"/>
      <c r="C1899" s="1">
        <v>2022</v>
      </c>
      <c r="D1899" s="1">
        <v>17.52</v>
      </c>
    </row>
    <row r="1900" spans="1:4" x14ac:dyDescent="0.35">
      <c r="A1900" s="1" t="s">
        <v>139</v>
      </c>
      <c r="B1900" s="2"/>
      <c r="C1900" s="1">
        <v>2023</v>
      </c>
      <c r="D1900" s="1">
        <v>18.579999999999998</v>
      </c>
    </row>
    <row r="1901" spans="1:4" x14ac:dyDescent="0.35">
      <c r="A1901" s="1" t="s">
        <v>139</v>
      </c>
      <c r="B1901" s="2"/>
      <c r="C1901" s="1">
        <v>2024</v>
      </c>
      <c r="D1901" s="1" t="s">
        <v>137</v>
      </c>
    </row>
    <row r="1902" spans="1:4" x14ac:dyDescent="0.35">
      <c r="A1902" s="1" t="s">
        <v>124</v>
      </c>
      <c r="B1902" s="2" t="s">
        <v>134</v>
      </c>
      <c r="C1902" s="1">
        <v>2000</v>
      </c>
      <c r="D1902" s="1">
        <v>3.47</v>
      </c>
    </row>
    <row r="1903" spans="1:4" x14ac:dyDescent="0.35">
      <c r="A1903" s="1" t="s">
        <v>124</v>
      </c>
      <c r="B1903" s="2"/>
      <c r="C1903" s="1">
        <v>2001</v>
      </c>
      <c r="D1903" s="1">
        <v>3.37</v>
      </c>
    </row>
    <row r="1904" spans="1:4" x14ac:dyDescent="0.35">
      <c r="A1904" s="1" t="s">
        <v>124</v>
      </c>
      <c r="B1904" s="2"/>
      <c r="C1904" s="1">
        <v>2002</v>
      </c>
      <c r="D1904" s="1">
        <v>3.37</v>
      </c>
    </row>
    <row r="1905" spans="1:4" x14ac:dyDescent="0.35">
      <c r="A1905" s="1" t="s">
        <v>124</v>
      </c>
      <c r="B1905" s="2"/>
      <c r="C1905" s="1">
        <v>2003</v>
      </c>
      <c r="D1905" s="1">
        <v>4.13</v>
      </c>
    </row>
    <row r="1906" spans="1:4" x14ac:dyDescent="0.35">
      <c r="A1906" s="1" t="s">
        <v>124</v>
      </c>
      <c r="B1906" s="2"/>
      <c r="C1906" s="1">
        <v>2004</v>
      </c>
      <c r="D1906" s="1">
        <v>2.5099999999999998</v>
      </c>
    </row>
    <row r="1907" spans="1:4" x14ac:dyDescent="0.35">
      <c r="A1907" s="1" t="s">
        <v>124</v>
      </c>
      <c r="B1907" s="2"/>
      <c r="C1907" s="1">
        <v>2005</v>
      </c>
      <c r="D1907" s="1">
        <v>2.4700000000000002</v>
      </c>
    </row>
    <row r="1908" spans="1:4" x14ac:dyDescent="0.35">
      <c r="A1908" s="1" t="s">
        <v>124</v>
      </c>
      <c r="B1908" s="2"/>
      <c r="C1908" s="1">
        <v>2006</v>
      </c>
      <c r="D1908" s="1">
        <v>2.46</v>
      </c>
    </row>
    <row r="1909" spans="1:4" x14ac:dyDescent="0.35">
      <c r="A1909" s="1" t="s">
        <v>124</v>
      </c>
      <c r="B1909" s="2"/>
      <c r="C1909" s="1">
        <v>2007</v>
      </c>
      <c r="D1909" s="1">
        <v>2.31</v>
      </c>
    </row>
    <row r="1910" spans="1:4" x14ac:dyDescent="0.35">
      <c r="A1910" s="1" t="s">
        <v>124</v>
      </c>
      <c r="B1910" s="2"/>
      <c r="C1910" s="1">
        <v>2008</v>
      </c>
      <c r="D1910" s="1">
        <v>2.2599999999999998</v>
      </c>
    </row>
    <row r="1911" spans="1:4" x14ac:dyDescent="0.35">
      <c r="A1911" s="1" t="s">
        <v>124</v>
      </c>
      <c r="B1911" s="2"/>
      <c r="C1911" s="1">
        <v>2009</v>
      </c>
      <c r="D1911" s="1">
        <v>2.2999999999999998</v>
      </c>
    </row>
    <row r="1912" spans="1:4" x14ac:dyDescent="0.35">
      <c r="A1912" s="1" t="s">
        <v>124</v>
      </c>
      <c r="B1912" s="2"/>
      <c r="C1912" s="1">
        <v>2010</v>
      </c>
      <c r="D1912" s="1">
        <v>2.33</v>
      </c>
    </row>
    <row r="1913" spans="1:4" x14ac:dyDescent="0.35">
      <c r="A1913" s="1" t="s">
        <v>124</v>
      </c>
      <c r="B1913" s="2"/>
      <c r="C1913" s="1">
        <v>2011</v>
      </c>
      <c r="D1913" s="1">
        <v>2.31</v>
      </c>
    </row>
    <row r="1914" spans="1:4" x14ac:dyDescent="0.35">
      <c r="A1914" s="1" t="s">
        <v>124</v>
      </c>
      <c r="B1914" s="2"/>
      <c r="C1914" s="1">
        <v>2012</v>
      </c>
      <c r="D1914" s="1">
        <v>2.31</v>
      </c>
    </row>
    <row r="1915" spans="1:4" x14ac:dyDescent="0.35">
      <c r="A1915" s="1" t="s">
        <v>124</v>
      </c>
      <c r="B1915" s="2"/>
      <c r="C1915" s="1">
        <v>2013</v>
      </c>
      <c r="D1915" s="1">
        <v>3.41</v>
      </c>
    </row>
    <row r="1916" spans="1:4" x14ac:dyDescent="0.35">
      <c r="A1916" s="1" t="s">
        <v>124</v>
      </c>
      <c r="B1916" s="2"/>
      <c r="C1916" s="1">
        <v>2014</v>
      </c>
      <c r="D1916" s="1">
        <v>5.77</v>
      </c>
    </row>
    <row r="1917" spans="1:4" x14ac:dyDescent="0.35">
      <c r="A1917" s="1" t="s">
        <v>124</v>
      </c>
      <c r="B1917" s="2"/>
      <c r="C1917" s="1">
        <v>2015</v>
      </c>
      <c r="D1917" s="1">
        <v>7.18</v>
      </c>
    </row>
    <row r="1918" spans="1:4" x14ac:dyDescent="0.35">
      <c r="A1918" s="1" t="s">
        <v>124</v>
      </c>
      <c r="B1918" s="2"/>
      <c r="C1918" s="1">
        <v>2016</v>
      </c>
      <c r="D1918" s="1">
        <v>8.7100000000000009</v>
      </c>
    </row>
    <row r="1919" spans="1:4" x14ac:dyDescent="0.35">
      <c r="A1919" s="1" t="s">
        <v>124</v>
      </c>
      <c r="B1919" s="2"/>
      <c r="C1919" s="1">
        <v>2017</v>
      </c>
      <c r="D1919" s="1">
        <v>10.16</v>
      </c>
    </row>
    <row r="1920" spans="1:4" x14ac:dyDescent="0.35">
      <c r="A1920" s="1" t="s">
        <v>124</v>
      </c>
      <c r="B1920" s="2"/>
      <c r="C1920" s="1">
        <v>2018</v>
      </c>
      <c r="D1920" s="1">
        <v>10.41</v>
      </c>
    </row>
    <row r="1921" spans="1:4" x14ac:dyDescent="0.35">
      <c r="A1921" s="1" t="s">
        <v>124</v>
      </c>
      <c r="B1921" s="2"/>
      <c r="C1921" s="1">
        <v>2019</v>
      </c>
      <c r="D1921" s="1">
        <v>10.91</v>
      </c>
    </row>
    <row r="1922" spans="1:4" x14ac:dyDescent="0.35">
      <c r="A1922" s="1" t="s">
        <v>124</v>
      </c>
      <c r="B1922" s="2"/>
      <c r="C1922" s="1">
        <v>2020</v>
      </c>
      <c r="D1922" s="1">
        <v>12.51</v>
      </c>
    </row>
    <row r="1923" spans="1:4" x14ac:dyDescent="0.35">
      <c r="A1923" s="1" t="s">
        <v>124</v>
      </c>
      <c r="B1923" s="2"/>
      <c r="C1923" s="1">
        <v>2021</v>
      </c>
      <c r="D1923" s="1">
        <v>12.9</v>
      </c>
    </row>
    <row r="1924" spans="1:4" x14ac:dyDescent="0.35">
      <c r="A1924" s="1" t="s">
        <v>124</v>
      </c>
      <c r="B1924" s="2"/>
      <c r="C1924" s="1">
        <v>2022</v>
      </c>
      <c r="D1924" s="1">
        <v>15.94</v>
      </c>
    </row>
    <row r="1925" spans="1:4" x14ac:dyDescent="0.35">
      <c r="A1925" s="1" t="s">
        <v>124</v>
      </c>
      <c r="B1925" s="2"/>
      <c r="C1925" s="1">
        <v>2023</v>
      </c>
      <c r="D1925" s="1">
        <v>19.420000000000002</v>
      </c>
    </row>
    <row r="1926" spans="1:4" x14ac:dyDescent="0.35">
      <c r="A1926" s="1" t="s">
        <v>124</v>
      </c>
      <c r="B1926" s="2"/>
      <c r="C1926" s="1">
        <v>2024</v>
      </c>
      <c r="D1926" s="1">
        <v>20.72</v>
      </c>
    </row>
    <row r="1927" spans="1:4" x14ac:dyDescent="0.35">
      <c r="A1927" s="1" t="s">
        <v>124</v>
      </c>
      <c r="B1927" s="2" t="s">
        <v>136</v>
      </c>
      <c r="C1927" s="1">
        <v>2000</v>
      </c>
      <c r="D1927" s="1">
        <v>1.25</v>
      </c>
    </row>
    <row r="1928" spans="1:4" x14ac:dyDescent="0.35">
      <c r="A1928" s="1" t="s">
        <v>124</v>
      </c>
      <c r="B1928" s="2"/>
      <c r="C1928" s="1">
        <v>2001</v>
      </c>
      <c r="D1928" s="1">
        <v>1.39</v>
      </c>
    </row>
    <row r="1929" spans="1:4" x14ac:dyDescent="0.35">
      <c r="A1929" s="1" t="s">
        <v>124</v>
      </c>
      <c r="B1929" s="2"/>
      <c r="C1929" s="1">
        <v>2002</v>
      </c>
      <c r="D1929" s="1">
        <v>0.8</v>
      </c>
    </row>
    <row r="1930" spans="1:4" x14ac:dyDescent="0.35">
      <c r="A1930" s="1" t="s">
        <v>124</v>
      </c>
      <c r="B1930" s="2"/>
      <c r="C1930" s="1">
        <v>2003</v>
      </c>
      <c r="D1930" s="1">
        <v>0.53</v>
      </c>
    </row>
    <row r="1931" spans="1:4" x14ac:dyDescent="0.35">
      <c r="A1931" s="1" t="s">
        <v>124</v>
      </c>
      <c r="B1931" s="2"/>
      <c r="C1931" s="1">
        <v>2004</v>
      </c>
      <c r="D1931" s="1">
        <v>0.56000000000000005</v>
      </c>
    </row>
    <row r="1932" spans="1:4" x14ac:dyDescent="0.35">
      <c r="A1932" s="1" t="s">
        <v>124</v>
      </c>
      <c r="B1932" s="2"/>
      <c r="C1932" s="1">
        <v>2005</v>
      </c>
      <c r="D1932" s="1">
        <v>0.69</v>
      </c>
    </row>
    <row r="1933" spans="1:4" x14ac:dyDescent="0.35">
      <c r="A1933" s="1" t="s">
        <v>124</v>
      </c>
      <c r="B1933" s="2"/>
      <c r="C1933" s="1">
        <v>2006</v>
      </c>
      <c r="D1933" s="1">
        <v>1.1000000000000001</v>
      </c>
    </row>
    <row r="1934" spans="1:4" x14ac:dyDescent="0.35">
      <c r="A1934" s="1" t="s">
        <v>124</v>
      </c>
      <c r="B1934" s="2"/>
      <c r="C1934" s="1">
        <v>2007</v>
      </c>
      <c r="D1934" s="1">
        <v>0.67</v>
      </c>
    </row>
    <row r="1935" spans="1:4" x14ac:dyDescent="0.35">
      <c r="A1935" s="1" t="s">
        <v>124</v>
      </c>
      <c r="B1935" s="2"/>
      <c r="C1935" s="1">
        <v>2008</v>
      </c>
      <c r="D1935" s="1">
        <v>0.61</v>
      </c>
    </row>
    <row r="1936" spans="1:4" x14ac:dyDescent="0.35">
      <c r="A1936" s="1" t="s">
        <v>124</v>
      </c>
      <c r="B1936" s="2"/>
      <c r="C1936" s="1">
        <v>2009</v>
      </c>
      <c r="D1936" s="1">
        <v>0.7</v>
      </c>
    </row>
    <row r="1937" spans="1:4" x14ac:dyDescent="0.35">
      <c r="A1937" s="1" t="s">
        <v>124</v>
      </c>
      <c r="B1937" s="2"/>
      <c r="C1937" s="1">
        <v>2010</v>
      </c>
      <c r="D1937" s="1">
        <v>0.9</v>
      </c>
    </row>
    <row r="1938" spans="1:4" x14ac:dyDescent="0.35">
      <c r="A1938" s="1" t="s">
        <v>124</v>
      </c>
      <c r="B1938" s="2"/>
      <c r="C1938" s="1">
        <v>2011</v>
      </c>
      <c r="D1938" s="1">
        <v>0.96</v>
      </c>
    </row>
    <row r="1939" spans="1:4" x14ac:dyDescent="0.35">
      <c r="A1939" s="1" t="s">
        <v>124</v>
      </c>
      <c r="B1939" s="2"/>
      <c r="C1939" s="1">
        <v>2012</v>
      </c>
      <c r="D1939" s="1">
        <v>0.71</v>
      </c>
    </row>
    <row r="1940" spans="1:4" x14ac:dyDescent="0.35">
      <c r="A1940" s="1" t="s">
        <v>124</v>
      </c>
      <c r="B1940" s="2"/>
      <c r="C1940" s="1">
        <v>2013</v>
      </c>
      <c r="D1940" s="1">
        <v>0.66</v>
      </c>
    </row>
    <row r="1941" spans="1:4" x14ac:dyDescent="0.35">
      <c r="A1941" s="1" t="s">
        <v>124</v>
      </c>
      <c r="B1941" s="2"/>
      <c r="C1941" s="1">
        <v>2014</v>
      </c>
      <c r="D1941" s="1">
        <v>1.03</v>
      </c>
    </row>
    <row r="1942" spans="1:4" x14ac:dyDescent="0.35">
      <c r="A1942" s="1" t="s">
        <v>124</v>
      </c>
      <c r="B1942" s="2"/>
      <c r="C1942" s="1">
        <v>2015</v>
      </c>
      <c r="D1942" s="1">
        <v>1.65</v>
      </c>
    </row>
    <row r="1943" spans="1:4" x14ac:dyDescent="0.35">
      <c r="A1943" s="1" t="s">
        <v>124</v>
      </c>
      <c r="B1943" s="2"/>
      <c r="C1943" s="1">
        <v>2016</v>
      </c>
      <c r="D1943" s="1">
        <v>2.0699999999999998</v>
      </c>
    </row>
    <row r="1944" spans="1:4" x14ac:dyDescent="0.35">
      <c r="A1944" s="1" t="s">
        <v>124</v>
      </c>
      <c r="B1944" s="2"/>
      <c r="C1944" s="1">
        <v>2017</v>
      </c>
      <c r="D1944" s="1">
        <v>2.34</v>
      </c>
    </row>
    <row r="1945" spans="1:4" x14ac:dyDescent="0.35">
      <c r="A1945" s="1" t="s">
        <v>124</v>
      </c>
      <c r="B1945" s="2"/>
      <c r="C1945" s="1">
        <v>2018</v>
      </c>
      <c r="D1945" s="1">
        <v>2.79</v>
      </c>
    </row>
    <row r="1946" spans="1:4" x14ac:dyDescent="0.35">
      <c r="A1946" s="1" t="s">
        <v>124</v>
      </c>
      <c r="B1946" s="2"/>
      <c r="C1946" s="1">
        <v>2019</v>
      </c>
      <c r="D1946" s="1">
        <v>3.12</v>
      </c>
    </row>
    <row r="1947" spans="1:4" x14ac:dyDescent="0.35">
      <c r="A1947" s="1" t="s">
        <v>124</v>
      </c>
      <c r="B1947" s="2"/>
      <c r="C1947" s="1">
        <v>2020</v>
      </c>
      <c r="D1947" s="1">
        <v>4.2</v>
      </c>
    </row>
    <row r="1948" spans="1:4" x14ac:dyDescent="0.35">
      <c r="A1948" s="1" t="s">
        <v>124</v>
      </c>
      <c r="B1948" s="2"/>
      <c r="C1948" s="1">
        <v>2021</v>
      </c>
      <c r="D1948" s="1">
        <v>4.8499999999999996</v>
      </c>
    </row>
    <row r="1949" spans="1:4" x14ac:dyDescent="0.35">
      <c r="A1949" s="1" t="s">
        <v>124</v>
      </c>
      <c r="B1949" s="2"/>
      <c r="C1949" s="1">
        <v>2022</v>
      </c>
      <c r="D1949" s="1">
        <v>6.22</v>
      </c>
    </row>
    <row r="1950" spans="1:4" x14ac:dyDescent="0.35">
      <c r="A1950" s="1" t="s">
        <v>124</v>
      </c>
      <c r="B1950" s="2"/>
      <c r="C1950" s="1">
        <v>2023</v>
      </c>
      <c r="D1950" s="1">
        <v>8.32</v>
      </c>
    </row>
    <row r="1951" spans="1:4" x14ac:dyDescent="0.35">
      <c r="A1951" s="1" t="s">
        <v>124</v>
      </c>
      <c r="B1951" s="2"/>
      <c r="C1951" s="1">
        <v>2024</v>
      </c>
      <c r="D1951" s="1" t="s">
        <v>137</v>
      </c>
    </row>
    <row r="1952" spans="1:4" x14ac:dyDescent="0.35">
      <c r="A1952" s="1" t="s">
        <v>105</v>
      </c>
      <c r="B1952" s="2" t="s">
        <v>134</v>
      </c>
      <c r="C1952" s="1">
        <v>2000</v>
      </c>
      <c r="D1952" s="1" t="s">
        <v>137</v>
      </c>
    </row>
    <row r="1953" spans="1:4" x14ac:dyDescent="0.35">
      <c r="A1953" s="1" t="s">
        <v>105</v>
      </c>
      <c r="B1953" s="2"/>
      <c r="C1953" s="1">
        <v>2001</v>
      </c>
      <c r="D1953" s="1" t="s">
        <v>137</v>
      </c>
    </row>
    <row r="1954" spans="1:4" x14ac:dyDescent="0.35">
      <c r="A1954" s="1" t="s">
        <v>105</v>
      </c>
      <c r="B1954" s="2"/>
      <c r="C1954" s="1">
        <v>2002</v>
      </c>
      <c r="D1954" s="1" t="s">
        <v>137</v>
      </c>
    </row>
    <row r="1955" spans="1:4" x14ac:dyDescent="0.35">
      <c r="A1955" s="1" t="s">
        <v>105</v>
      </c>
      <c r="B1955" s="2"/>
      <c r="C1955" s="1">
        <v>2003</v>
      </c>
      <c r="D1955" s="1" t="s">
        <v>137</v>
      </c>
    </row>
    <row r="1956" spans="1:4" x14ac:dyDescent="0.35">
      <c r="A1956" s="1" t="s">
        <v>105</v>
      </c>
      <c r="B1956" s="2"/>
      <c r="C1956" s="1">
        <v>2004</v>
      </c>
      <c r="D1956" s="1" t="s">
        <v>137</v>
      </c>
    </row>
    <row r="1957" spans="1:4" x14ac:dyDescent="0.35">
      <c r="A1957" s="1" t="s">
        <v>105</v>
      </c>
      <c r="B1957" s="2"/>
      <c r="C1957" s="1">
        <v>2005</v>
      </c>
      <c r="D1957" s="1" t="s">
        <v>137</v>
      </c>
    </row>
    <row r="1958" spans="1:4" x14ac:dyDescent="0.35">
      <c r="A1958" s="1" t="s">
        <v>105</v>
      </c>
      <c r="B1958" s="2"/>
      <c r="C1958" s="1">
        <v>2006</v>
      </c>
      <c r="D1958" s="1" t="s">
        <v>137</v>
      </c>
    </row>
    <row r="1959" spans="1:4" x14ac:dyDescent="0.35">
      <c r="A1959" s="1" t="s">
        <v>105</v>
      </c>
      <c r="B1959" s="2"/>
      <c r="C1959" s="1">
        <v>2007</v>
      </c>
      <c r="D1959" s="1" t="s">
        <v>137</v>
      </c>
    </row>
    <row r="1960" spans="1:4" x14ac:dyDescent="0.35">
      <c r="A1960" s="1" t="s">
        <v>105</v>
      </c>
      <c r="B1960" s="2"/>
      <c r="C1960" s="1">
        <v>2008</v>
      </c>
      <c r="D1960" s="1" t="s">
        <v>137</v>
      </c>
    </row>
    <row r="1961" spans="1:4" x14ac:dyDescent="0.35">
      <c r="A1961" s="1" t="s">
        <v>105</v>
      </c>
      <c r="B1961" s="2"/>
      <c r="C1961" s="1">
        <v>2009</v>
      </c>
      <c r="D1961" s="1" t="s">
        <v>137</v>
      </c>
    </row>
    <row r="1962" spans="1:4" x14ac:dyDescent="0.35">
      <c r="A1962" s="1" t="s">
        <v>105</v>
      </c>
      <c r="B1962" s="2"/>
      <c r="C1962" s="1">
        <v>2010</v>
      </c>
      <c r="D1962" s="1" t="s">
        <v>137</v>
      </c>
    </row>
    <row r="1963" spans="1:4" x14ac:dyDescent="0.35">
      <c r="A1963" s="1" t="s">
        <v>105</v>
      </c>
      <c r="B1963" s="2"/>
      <c r="C1963" s="1">
        <v>2011</v>
      </c>
      <c r="D1963" s="1">
        <v>100</v>
      </c>
    </row>
    <row r="1964" spans="1:4" x14ac:dyDescent="0.35">
      <c r="A1964" s="1" t="s">
        <v>105</v>
      </c>
      <c r="B1964" s="2"/>
      <c r="C1964" s="1">
        <v>2012</v>
      </c>
      <c r="D1964" s="1">
        <v>0.05</v>
      </c>
    </row>
    <row r="1965" spans="1:4" x14ac:dyDescent="0.35">
      <c r="A1965" s="1" t="s">
        <v>105</v>
      </c>
      <c r="B1965" s="2"/>
      <c r="C1965" s="1">
        <v>2013</v>
      </c>
      <c r="D1965" s="1">
        <v>0.12</v>
      </c>
    </row>
    <row r="1966" spans="1:4" x14ac:dyDescent="0.35">
      <c r="A1966" s="1" t="s">
        <v>105</v>
      </c>
      <c r="B1966" s="2"/>
      <c r="C1966" s="1">
        <v>2014</v>
      </c>
      <c r="D1966" s="1">
        <v>0.12</v>
      </c>
    </row>
    <row r="1967" spans="1:4" x14ac:dyDescent="0.35">
      <c r="A1967" s="1" t="s">
        <v>105</v>
      </c>
      <c r="B1967" s="2"/>
      <c r="C1967" s="1">
        <v>2015</v>
      </c>
      <c r="D1967" s="1">
        <v>0.13</v>
      </c>
    </row>
    <row r="1968" spans="1:4" x14ac:dyDescent="0.35">
      <c r="A1968" s="1" t="s">
        <v>105</v>
      </c>
      <c r="B1968" s="2"/>
      <c r="C1968" s="1">
        <v>2016</v>
      </c>
      <c r="D1968" s="1">
        <v>1.52</v>
      </c>
    </row>
    <row r="1969" spans="1:4" x14ac:dyDescent="0.35">
      <c r="A1969" s="1" t="s">
        <v>105</v>
      </c>
      <c r="B1969" s="2"/>
      <c r="C1969" s="1">
        <v>2017</v>
      </c>
      <c r="D1969" s="1">
        <v>1.46</v>
      </c>
    </row>
    <row r="1970" spans="1:4" x14ac:dyDescent="0.35">
      <c r="A1970" s="1" t="s">
        <v>105</v>
      </c>
      <c r="B1970" s="2"/>
      <c r="C1970" s="1">
        <v>2018</v>
      </c>
      <c r="D1970" s="1">
        <v>1.67</v>
      </c>
    </row>
    <row r="1971" spans="1:4" x14ac:dyDescent="0.35">
      <c r="A1971" s="1" t="s">
        <v>105</v>
      </c>
      <c r="B1971" s="2"/>
      <c r="C1971" s="1">
        <v>2019</v>
      </c>
      <c r="D1971" s="1">
        <v>1.49</v>
      </c>
    </row>
    <row r="1972" spans="1:4" x14ac:dyDescent="0.35">
      <c r="A1972" s="1" t="s">
        <v>105</v>
      </c>
      <c r="B1972" s="2"/>
      <c r="C1972" s="1">
        <v>2020</v>
      </c>
      <c r="D1972" s="1">
        <v>2.2200000000000002</v>
      </c>
    </row>
    <row r="1973" spans="1:4" x14ac:dyDescent="0.35">
      <c r="A1973" s="1" t="s">
        <v>105</v>
      </c>
      <c r="B1973" s="2"/>
      <c r="C1973" s="1">
        <v>2021</v>
      </c>
      <c r="D1973" s="1">
        <v>2.09</v>
      </c>
    </row>
    <row r="1974" spans="1:4" x14ac:dyDescent="0.35">
      <c r="A1974" s="1" t="s">
        <v>105</v>
      </c>
      <c r="B1974" s="2"/>
      <c r="C1974" s="1">
        <v>2022</v>
      </c>
      <c r="D1974" s="1">
        <v>2.34</v>
      </c>
    </row>
    <row r="1975" spans="1:4" x14ac:dyDescent="0.35">
      <c r="A1975" s="1" t="s">
        <v>105</v>
      </c>
      <c r="B1975" s="2"/>
      <c r="C1975" s="1">
        <v>2023</v>
      </c>
      <c r="D1975" s="1">
        <v>8.2799999999999994</v>
      </c>
    </row>
    <row r="1976" spans="1:4" x14ac:dyDescent="0.35">
      <c r="A1976" s="1" t="s">
        <v>105</v>
      </c>
      <c r="B1976" s="2"/>
      <c r="C1976" s="1">
        <v>2024</v>
      </c>
      <c r="D1976" s="1">
        <v>13.91</v>
      </c>
    </row>
    <row r="1977" spans="1:4" x14ac:dyDescent="0.35">
      <c r="A1977" s="1" t="s">
        <v>105</v>
      </c>
      <c r="B1977" s="2" t="s">
        <v>136</v>
      </c>
      <c r="C1977" s="1">
        <v>2000</v>
      </c>
      <c r="D1977" s="1" t="s">
        <v>137</v>
      </c>
    </row>
    <row r="1978" spans="1:4" x14ac:dyDescent="0.35">
      <c r="A1978" s="1" t="s">
        <v>105</v>
      </c>
      <c r="B1978" s="2"/>
      <c r="C1978" s="1">
        <v>2001</v>
      </c>
      <c r="D1978" s="1" t="s">
        <v>137</v>
      </c>
    </row>
    <row r="1979" spans="1:4" x14ac:dyDescent="0.35">
      <c r="A1979" s="1" t="s">
        <v>105</v>
      </c>
      <c r="B1979" s="2"/>
      <c r="C1979" s="1">
        <v>2002</v>
      </c>
      <c r="D1979" s="1" t="s">
        <v>137</v>
      </c>
    </row>
    <row r="1980" spans="1:4" x14ac:dyDescent="0.35">
      <c r="A1980" s="1" t="s">
        <v>105</v>
      </c>
      <c r="B1980" s="2"/>
      <c r="C1980" s="1">
        <v>2003</v>
      </c>
      <c r="D1980" s="1" t="s">
        <v>137</v>
      </c>
    </row>
    <row r="1981" spans="1:4" x14ac:dyDescent="0.35">
      <c r="A1981" s="1" t="s">
        <v>105</v>
      </c>
      <c r="B1981" s="2"/>
      <c r="C1981" s="1">
        <v>2004</v>
      </c>
      <c r="D1981" s="1" t="s">
        <v>137</v>
      </c>
    </row>
    <row r="1982" spans="1:4" x14ac:dyDescent="0.35">
      <c r="A1982" s="1" t="s">
        <v>105</v>
      </c>
      <c r="B1982" s="2"/>
      <c r="C1982" s="1">
        <v>2005</v>
      </c>
      <c r="D1982" s="1" t="s">
        <v>137</v>
      </c>
    </row>
    <row r="1983" spans="1:4" x14ac:dyDescent="0.35">
      <c r="A1983" s="1" t="s">
        <v>105</v>
      </c>
      <c r="B1983" s="2"/>
      <c r="C1983" s="1">
        <v>2006</v>
      </c>
      <c r="D1983" s="1" t="s">
        <v>137</v>
      </c>
    </row>
    <row r="1984" spans="1:4" x14ac:dyDescent="0.35">
      <c r="A1984" s="1" t="s">
        <v>105</v>
      </c>
      <c r="B1984" s="2"/>
      <c r="C1984" s="1">
        <v>2007</v>
      </c>
      <c r="D1984" s="1" t="s">
        <v>137</v>
      </c>
    </row>
    <row r="1985" spans="1:4" x14ac:dyDescent="0.35">
      <c r="A1985" s="1" t="s">
        <v>105</v>
      </c>
      <c r="B1985" s="2"/>
      <c r="C1985" s="1">
        <v>2008</v>
      </c>
      <c r="D1985" s="1" t="s">
        <v>137</v>
      </c>
    </row>
    <row r="1986" spans="1:4" x14ac:dyDescent="0.35">
      <c r="A1986" s="1" t="s">
        <v>105</v>
      </c>
      <c r="B1986" s="2"/>
      <c r="C1986" s="1">
        <v>2009</v>
      </c>
      <c r="D1986" s="1" t="s">
        <v>137</v>
      </c>
    </row>
    <row r="1987" spans="1:4" x14ac:dyDescent="0.35">
      <c r="A1987" s="1" t="s">
        <v>105</v>
      </c>
      <c r="B1987" s="2"/>
      <c r="C1987" s="1">
        <v>2010</v>
      </c>
      <c r="D1987" s="1" t="s">
        <v>137</v>
      </c>
    </row>
    <row r="1988" spans="1:4" x14ac:dyDescent="0.35">
      <c r="A1988" s="1" t="s">
        <v>105</v>
      </c>
      <c r="B1988" s="2"/>
      <c r="C1988" s="1">
        <v>2011</v>
      </c>
      <c r="D1988" s="1" t="s">
        <v>137</v>
      </c>
    </row>
    <row r="1989" spans="1:4" x14ac:dyDescent="0.35">
      <c r="A1989" s="1" t="s">
        <v>105</v>
      </c>
      <c r="B1989" s="2"/>
      <c r="C1989" s="1">
        <v>2012</v>
      </c>
      <c r="D1989" s="1">
        <v>0.01</v>
      </c>
    </row>
    <row r="1990" spans="1:4" x14ac:dyDescent="0.35">
      <c r="A1990" s="1" t="s">
        <v>105</v>
      </c>
      <c r="B1990" s="2"/>
      <c r="C1990" s="1">
        <v>2013</v>
      </c>
      <c r="D1990" s="1">
        <v>0.03</v>
      </c>
    </row>
    <row r="1991" spans="1:4" x14ac:dyDescent="0.35">
      <c r="A1991" s="1" t="s">
        <v>105</v>
      </c>
      <c r="B1991" s="2"/>
      <c r="C1991" s="1">
        <v>2014</v>
      </c>
      <c r="D1991" s="1">
        <v>0.03</v>
      </c>
    </row>
    <row r="1992" spans="1:4" x14ac:dyDescent="0.35">
      <c r="A1992" s="1" t="s">
        <v>105</v>
      </c>
      <c r="B1992" s="2"/>
      <c r="C1992" s="1">
        <v>2015</v>
      </c>
      <c r="D1992" s="1">
        <v>0.03</v>
      </c>
    </row>
    <row r="1993" spans="1:4" x14ac:dyDescent="0.35">
      <c r="A1993" s="1" t="s">
        <v>105</v>
      </c>
      <c r="B1993" s="2"/>
      <c r="C1993" s="1">
        <v>2016</v>
      </c>
      <c r="D1993" s="1">
        <v>0.42</v>
      </c>
    </row>
    <row r="1994" spans="1:4" x14ac:dyDescent="0.35">
      <c r="A1994" s="1" t="s">
        <v>105</v>
      </c>
      <c r="B1994" s="2"/>
      <c r="C1994" s="1">
        <v>2017</v>
      </c>
      <c r="D1994" s="1">
        <v>0.54</v>
      </c>
    </row>
    <row r="1995" spans="1:4" x14ac:dyDescent="0.35">
      <c r="A1995" s="1" t="s">
        <v>105</v>
      </c>
      <c r="B1995" s="2"/>
      <c r="C1995" s="1">
        <v>2018</v>
      </c>
      <c r="D1995" s="1">
        <v>0.56999999999999995</v>
      </c>
    </row>
    <row r="1996" spans="1:4" x14ac:dyDescent="0.35">
      <c r="A1996" s="1" t="s">
        <v>105</v>
      </c>
      <c r="B1996" s="2"/>
      <c r="C1996" s="1">
        <v>2019</v>
      </c>
      <c r="D1996" s="1">
        <v>0.68</v>
      </c>
    </row>
    <row r="1997" spans="1:4" x14ac:dyDescent="0.35">
      <c r="A1997" s="1" t="s">
        <v>105</v>
      </c>
      <c r="B1997" s="2"/>
      <c r="C1997" s="1">
        <v>2020</v>
      </c>
      <c r="D1997" s="1">
        <v>1.01</v>
      </c>
    </row>
    <row r="1998" spans="1:4" x14ac:dyDescent="0.35">
      <c r="A1998" s="1" t="s">
        <v>105</v>
      </c>
      <c r="B1998" s="2"/>
      <c r="C1998" s="1">
        <v>2021</v>
      </c>
      <c r="D1998" s="1">
        <v>0.96</v>
      </c>
    </row>
    <row r="1999" spans="1:4" x14ac:dyDescent="0.35">
      <c r="A1999" s="1" t="s">
        <v>105</v>
      </c>
      <c r="B1999" s="2"/>
      <c r="C1999" s="1">
        <v>2022</v>
      </c>
      <c r="D1999" s="1">
        <v>1.08</v>
      </c>
    </row>
    <row r="2000" spans="1:4" x14ac:dyDescent="0.35">
      <c r="A2000" s="1" t="s">
        <v>105</v>
      </c>
      <c r="B2000" s="2"/>
      <c r="C2000" s="1">
        <v>2023</v>
      </c>
      <c r="D2000" s="1">
        <v>1.28</v>
      </c>
    </row>
    <row r="2001" spans="1:4" x14ac:dyDescent="0.35">
      <c r="A2001" s="1" t="s">
        <v>105</v>
      </c>
      <c r="B2001" s="2"/>
      <c r="C2001" s="1">
        <v>2024</v>
      </c>
      <c r="D2001" s="1" t="s">
        <v>137</v>
      </c>
    </row>
    <row r="2002" spans="1:4" x14ac:dyDescent="0.35">
      <c r="A2002" s="1" t="s">
        <v>116</v>
      </c>
      <c r="B2002" s="2" t="s">
        <v>134</v>
      </c>
      <c r="C2002" s="1">
        <v>2000</v>
      </c>
      <c r="D2002" s="1">
        <v>77.12</v>
      </c>
    </row>
    <row r="2003" spans="1:4" x14ac:dyDescent="0.35">
      <c r="A2003" s="1" t="s">
        <v>116</v>
      </c>
      <c r="B2003" s="2"/>
      <c r="C2003" s="1">
        <v>2001</v>
      </c>
      <c r="D2003" s="1">
        <v>77.12</v>
      </c>
    </row>
    <row r="2004" spans="1:4" x14ac:dyDescent="0.35">
      <c r="A2004" s="1" t="s">
        <v>116</v>
      </c>
      <c r="B2004" s="2"/>
      <c r="C2004" s="1">
        <v>2002</v>
      </c>
      <c r="D2004" s="1">
        <v>77.12</v>
      </c>
    </row>
    <row r="2005" spans="1:4" x14ac:dyDescent="0.35">
      <c r="A2005" s="1" t="s">
        <v>116</v>
      </c>
      <c r="B2005" s="2"/>
      <c r="C2005" s="1">
        <v>2003</v>
      </c>
      <c r="D2005" s="1">
        <v>76.91</v>
      </c>
    </row>
    <row r="2006" spans="1:4" x14ac:dyDescent="0.35">
      <c r="A2006" s="1" t="s">
        <v>116</v>
      </c>
      <c r="B2006" s="2"/>
      <c r="C2006" s="1">
        <v>2004</v>
      </c>
      <c r="D2006" s="1">
        <v>61.75</v>
      </c>
    </row>
    <row r="2007" spans="1:4" x14ac:dyDescent="0.35">
      <c r="A2007" s="1" t="s">
        <v>116</v>
      </c>
      <c r="B2007" s="2"/>
      <c r="C2007" s="1">
        <v>2005</v>
      </c>
      <c r="D2007" s="1">
        <v>61.14</v>
      </c>
    </row>
    <row r="2008" spans="1:4" x14ac:dyDescent="0.35">
      <c r="A2008" s="1" t="s">
        <v>116</v>
      </c>
      <c r="B2008" s="2"/>
      <c r="C2008" s="1">
        <v>2006</v>
      </c>
      <c r="D2008" s="1">
        <v>61.14</v>
      </c>
    </row>
    <row r="2009" spans="1:4" x14ac:dyDescent="0.35">
      <c r="A2009" s="1" t="s">
        <v>116</v>
      </c>
      <c r="B2009" s="2"/>
      <c r="C2009" s="1">
        <v>2007</v>
      </c>
      <c r="D2009" s="1">
        <v>61.14</v>
      </c>
    </row>
    <row r="2010" spans="1:4" x14ac:dyDescent="0.35">
      <c r="A2010" s="1" t="s">
        <v>116</v>
      </c>
      <c r="B2010" s="2"/>
      <c r="C2010" s="1">
        <v>2008</v>
      </c>
      <c r="D2010" s="1">
        <v>61.14</v>
      </c>
    </row>
    <row r="2011" spans="1:4" x14ac:dyDescent="0.35">
      <c r="A2011" s="1" t="s">
        <v>116</v>
      </c>
      <c r="B2011" s="2"/>
      <c r="C2011" s="1">
        <v>2009</v>
      </c>
      <c r="D2011" s="1">
        <v>61.14</v>
      </c>
    </row>
    <row r="2012" spans="1:4" x14ac:dyDescent="0.35">
      <c r="A2012" s="1" t="s">
        <v>116</v>
      </c>
      <c r="B2012" s="2"/>
      <c r="C2012" s="1">
        <v>2010</v>
      </c>
      <c r="D2012" s="1">
        <v>27.87</v>
      </c>
    </row>
    <row r="2013" spans="1:4" x14ac:dyDescent="0.35">
      <c r="A2013" s="1" t="s">
        <v>116</v>
      </c>
      <c r="B2013" s="2"/>
      <c r="C2013" s="1">
        <v>2011</v>
      </c>
      <c r="D2013" s="1">
        <v>27.87</v>
      </c>
    </row>
    <row r="2014" spans="1:4" x14ac:dyDescent="0.35">
      <c r="A2014" s="1" t="s">
        <v>116</v>
      </c>
      <c r="B2014" s="2"/>
      <c r="C2014" s="1">
        <v>2012</v>
      </c>
      <c r="D2014" s="1">
        <v>27.88</v>
      </c>
    </row>
    <row r="2015" spans="1:4" x14ac:dyDescent="0.35">
      <c r="A2015" s="1" t="s">
        <v>116</v>
      </c>
      <c r="B2015" s="2"/>
      <c r="C2015" s="1">
        <v>2013</v>
      </c>
      <c r="D2015" s="1">
        <v>27.88</v>
      </c>
    </row>
    <row r="2016" spans="1:4" x14ac:dyDescent="0.35">
      <c r="A2016" s="1" t="s">
        <v>116</v>
      </c>
      <c r="B2016" s="2"/>
      <c r="C2016" s="1">
        <v>2014</v>
      </c>
      <c r="D2016" s="1">
        <v>27.88</v>
      </c>
    </row>
    <row r="2017" spans="1:4" x14ac:dyDescent="0.35">
      <c r="A2017" s="1" t="s">
        <v>116</v>
      </c>
      <c r="B2017" s="2"/>
      <c r="C2017" s="1">
        <v>2015</v>
      </c>
      <c r="D2017" s="1">
        <v>27.9</v>
      </c>
    </row>
    <row r="2018" spans="1:4" x14ac:dyDescent="0.35">
      <c r="A2018" s="1" t="s">
        <v>116</v>
      </c>
      <c r="B2018" s="2"/>
      <c r="C2018" s="1">
        <v>2016</v>
      </c>
      <c r="D2018" s="1">
        <v>27.9</v>
      </c>
    </row>
    <row r="2019" spans="1:4" x14ac:dyDescent="0.35">
      <c r="A2019" s="1" t="s">
        <v>116</v>
      </c>
      <c r="B2019" s="2"/>
      <c r="C2019" s="1">
        <v>2017</v>
      </c>
      <c r="D2019" s="1">
        <v>28.05</v>
      </c>
    </row>
    <row r="2020" spans="1:4" x14ac:dyDescent="0.35">
      <c r="A2020" s="1" t="s">
        <v>116</v>
      </c>
      <c r="B2020" s="2"/>
      <c r="C2020" s="1">
        <v>2018</v>
      </c>
      <c r="D2020" s="1">
        <v>29.18</v>
      </c>
    </row>
    <row r="2021" spans="1:4" x14ac:dyDescent="0.35">
      <c r="A2021" s="1" t="s">
        <v>116</v>
      </c>
      <c r="B2021" s="2"/>
      <c r="C2021" s="1">
        <v>2019</v>
      </c>
      <c r="D2021" s="1">
        <v>30.01</v>
      </c>
    </row>
    <row r="2022" spans="1:4" x14ac:dyDescent="0.35">
      <c r="A2022" s="1" t="s">
        <v>116</v>
      </c>
      <c r="B2022" s="2"/>
      <c r="C2022" s="1">
        <v>2020</v>
      </c>
      <c r="D2022" s="1">
        <v>30.99</v>
      </c>
    </row>
    <row r="2023" spans="1:4" x14ac:dyDescent="0.35">
      <c r="A2023" s="1" t="s">
        <v>116</v>
      </c>
      <c r="B2023" s="2"/>
      <c r="C2023" s="1">
        <v>2021</v>
      </c>
      <c r="D2023" s="1">
        <v>37.369999999999997</v>
      </c>
    </row>
    <row r="2024" spans="1:4" x14ac:dyDescent="0.35">
      <c r="A2024" s="1" t="s">
        <v>116</v>
      </c>
      <c r="B2024" s="2"/>
      <c r="C2024" s="1">
        <v>2022</v>
      </c>
      <c r="D2024" s="1">
        <v>37.71</v>
      </c>
    </row>
    <row r="2025" spans="1:4" x14ac:dyDescent="0.35">
      <c r="A2025" s="1" t="s">
        <v>116</v>
      </c>
      <c r="B2025" s="2"/>
      <c r="C2025" s="1">
        <v>2023</v>
      </c>
      <c r="D2025" s="1">
        <v>37.840000000000003</v>
      </c>
    </row>
    <row r="2026" spans="1:4" x14ac:dyDescent="0.35">
      <c r="A2026" s="1" t="s">
        <v>116</v>
      </c>
      <c r="B2026" s="2"/>
      <c r="C2026" s="1">
        <v>2024</v>
      </c>
      <c r="D2026" s="1">
        <v>37.840000000000003</v>
      </c>
    </row>
    <row r="2027" spans="1:4" x14ac:dyDescent="0.35">
      <c r="A2027" s="1" t="s">
        <v>116</v>
      </c>
      <c r="B2027" s="2" t="s">
        <v>136</v>
      </c>
      <c r="C2027" s="1">
        <v>2000</v>
      </c>
      <c r="D2027" s="1">
        <v>63.98</v>
      </c>
    </row>
    <row r="2028" spans="1:4" x14ac:dyDescent="0.35">
      <c r="A2028" s="1" t="s">
        <v>116</v>
      </c>
      <c r="B2028" s="2"/>
      <c r="C2028" s="1">
        <v>2001</v>
      </c>
      <c r="D2028" s="1">
        <v>72.97</v>
      </c>
    </row>
    <row r="2029" spans="1:4" x14ac:dyDescent="0.35">
      <c r="A2029" s="1" t="s">
        <v>116</v>
      </c>
      <c r="B2029" s="2"/>
      <c r="C2029" s="1">
        <v>2002</v>
      </c>
      <c r="D2029" s="1">
        <v>76.67</v>
      </c>
    </row>
    <row r="2030" spans="1:4" x14ac:dyDescent="0.35">
      <c r="A2030" s="1" t="s">
        <v>116</v>
      </c>
      <c r="B2030" s="2"/>
      <c r="C2030" s="1">
        <v>2003</v>
      </c>
      <c r="D2030" s="1">
        <v>83.68</v>
      </c>
    </row>
    <row r="2031" spans="1:4" x14ac:dyDescent="0.35">
      <c r="A2031" s="1" t="s">
        <v>116</v>
      </c>
      <c r="B2031" s="2"/>
      <c r="C2031" s="1">
        <v>2004</v>
      </c>
      <c r="D2031" s="1">
        <v>71.290000000000006</v>
      </c>
    </row>
    <row r="2032" spans="1:4" x14ac:dyDescent="0.35">
      <c r="A2032" s="1" t="s">
        <v>116</v>
      </c>
      <c r="B2032" s="2"/>
      <c r="C2032" s="1">
        <v>2005</v>
      </c>
      <c r="D2032" s="1">
        <v>69.819999999999993</v>
      </c>
    </row>
    <row r="2033" spans="1:4" x14ac:dyDescent="0.35">
      <c r="A2033" s="1" t="s">
        <v>116</v>
      </c>
      <c r="B2033" s="2"/>
      <c r="C2033" s="1">
        <v>2006</v>
      </c>
      <c r="D2033" s="1">
        <v>53.42</v>
      </c>
    </row>
    <row r="2034" spans="1:4" x14ac:dyDescent="0.35">
      <c r="A2034" s="1" t="s">
        <v>116</v>
      </c>
      <c r="B2034" s="2"/>
      <c r="C2034" s="1">
        <v>2007</v>
      </c>
      <c r="D2034" s="1">
        <v>52.82</v>
      </c>
    </row>
    <row r="2035" spans="1:4" x14ac:dyDescent="0.35">
      <c r="A2035" s="1" t="s">
        <v>116</v>
      </c>
      <c r="B2035" s="2"/>
      <c r="C2035" s="1">
        <v>2008</v>
      </c>
      <c r="D2035" s="1">
        <v>62.63</v>
      </c>
    </row>
    <row r="2036" spans="1:4" x14ac:dyDescent="0.35">
      <c r="A2036" s="1" t="s">
        <v>116</v>
      </c>
      <c r="B2036" s="2"/>
      <c r="C2036" s="1">
        <v>2009</v>
      </c>
      <c r="D2036" s="1">
        <v>65.22</v>
      </c>
    </row>
    <row r="2037" spans="1:4" x14ac:dyDescent="0.35">
      <c r="A2037" s="1" t="s">
        <v>116</v>
      </c>
      <c r="B2037" s="2"/>
      <c r="C2037" s="1">
        <v>2010</v>
      </c>
      <c r="D2037" s="1">
        <v>49.15</v>
      </c>
    </row>
    <row r="2038" spans="1:4" x14ac:dyDescent="0.35">
      <c r="A2038" s="1" t="s">
        <v>116</v>
      </c>
      <c r="B2038" s="2"/>
      <c r="C2038" s="1">
        <v>2011</v>
      </c>
      <c r="D2038" s="1">
        <v>62.96</v>
      </c>
    </row>
    <row r="2039" spans="1:4" x14ac:dyDescent="0.35">
      <c r="A2039" s="1" t="s">
        <v>116</v>
      </c>
      <c r="B2039" s="2"/>
      <c r="C2039" s="1">
        <v>2012</v>
      </c>
      <c r="D2039" s="1">
        <v>45.07</v>
      </c>
    </row>
    <row r="2040" spans="1:4" x14ac:dyDescent="0.35">
      <c r="A2040" s="1" t="s">
        <v>116</v>
      </c>
      <c r="B2040" s="2"/>
      <c r="C2040" s="1">
        <v>2013</v>
      </c>
      <c r="D2040" s="1">
        <v>23.79</v>
      </c>
    </row>
    <row r="2041" spans="1:4" x14ac:dyDescent="0.35">
      <c r="A2041" s="1" t="s">
        <v>116</v>
      </c>
      <c r="B2041" s="2"/>
      <c r="C2041" s="1">
        <v>2014</v>
      </c>
      <c r="D2041" s="1">
        <v>62.11</v>
      </c>
    </row>
    <row r="2042" spans="1:4" x14ac:dyDescent="0.35">
      <c r="A2042" s="1" t="s">
        <v>116</v>
      </c>
      <c r="B2042" s="2"/>
      <c r="C2042" s="1">
        <v>2015</v>
      </c>
      <c r="D2042" s="1">
        <v>14.76</v>
      </c>
    </row>
    <row r="2043" spans="1:4" x14ac:dyDescent="0.35">
      <c r="A2043" s="1" t="s">
        <v>116</v>
      </c>
      <c r="B2043" s="2"/>
      <c r="C2043" s="1">
        <v>2016</v>
      </c>
      <c r="D2043" s="1">
        <v>23.61</v>
      </c>
    </row>
    <row r="2044" spans="1:4" x14ac:dyDescent="0.35">
      <c r="A2044" s="1" t="s">
        <v>116</v>
      </c>
      <c r="B2044" s="2"/>
      <c r="C2044" s="1">
        <v>2017</v>
      </c>
      <c r="D2044" s="1">
        <v>32.18</v>
      </c>
    </row>
    <row r="2045" spans="1:4" x14ac:dyDescent="0.35">
      <c r="A2045" s="1" t="s">
        <v>116</v>
      </c>
      <c r="B2045" s="2"/>
      <c r="C2045" s="1">
        <v>2018</v>
      </c>
      <c r="D2045" s="1">
        <v>22.6</v>
      </c>
    </row>
    <row r="2046" spans="1:4" x14ac:dyDescent="0.35">
      <c r="A2046" s="1" t="s">
        <v>116</v>
      </c>
      <c r="B2046" s="2"/>
      <c r="C2046" s="1">
        <v>2019</v>
      </c>
      <c r="D2046" s="1">
        <v>23.68</v>
      </c>
    </row>
    <row r="2047" spans="1:4" x14ac:dyDescent="0.35">
      <c r="A2047" s="1" t="s">
        <v>116</v>
      </c>
      <c r="B2047" s="2"/>
      <c r="C2047" s="1">
        <v>2020</v>
      </c>
      <c r="D2047" s="1">
        <v>14.91</v>
      </c>
    </row>
    <row r="2048" spans="1:4" x14ac:dyDescent="0.35">
      <c r="A2048" s="1" t="s">
        <v>116</v>
      </c>
      <c r="B2048" s="2"/>
      <c r="C2048" s="1">
        <v>2021</v>
      </c>
      <c r="D2048" s="1">
        <v>20.66</v>
      </c>
    </row>
    <row r="2049" spans="1:4" x14ac:dyDescent="0.35">
      <c r="A2049" s="1" t="s">
        <v>116</v>
      </c>
      <c r="B2049" s="2"/>
      <c r="C2049" s="1">
        <v>2022</v>
      </c>
      <c r="D2049" s="1">
        <v>14.51</v>
      </c>
    </row>
    <row r="2050" spans="1:4" x14ac:dyDescent="0.35">
      <c r="A2050" s="1" t="s">
        <v>116</v>
      </c>
      <c r="B2050" s="2"/>
      <c r="C2050" s="1">
        <v>2023</v>
      </c>
      <c r="D2050" s="1">
        <v>18.97</v>
      </c>
    </row>
    <row r="2051" spans="1:4" x14ac:dyDescent="0.35">
      <c r="A2051" s="1" t="s">
        <v>116</v>
      </c>
      <c r="B2051" s="2"/>
      <c r="C2051" s="1">
        <v>2024</v>
      </c>
      <c r="D2051" s="1" t="s">
        <v>137</v>
      </c>
    </row>
    <row r="2052" spans="1:4" x14ac:dyDescent="0.35">
      <c r="A2052" s="1" t="s">
        <v>118</v>
      </c>
      <c r="B2052" s="2" t="s">
        <v>134</v>
      </c>
      <c r="C2052" s="1">
        <v>2000</v>
      </c>
      <c r="D2052" s="1">
        <v>2.57</v>
      </c>
    </row>
    <row r="2053" spans="1:4" x14ac:dyDescent="0.35">
      <c r="A2053" s="1" t="s">
        <v>118</v>
      </c>
      <c r="B2053" s="2"/>
      <c r="C2053" s="1">
        <v>2001</v>
      </c>
      <c r="D2053" s="1">
        <v>2.58</v>
      </c>
    </row>
    <row r="2054" spans="1:4" x14ac:dyDescent="0.35">
      <c r="A2054" s="1" t="s">
        <v>118</v>
      </c>
      <c r="B2054" s="2"/>
      <c r="C2054" s="1">
        <v>2002</v>
      </c>
      <c r="D2054" s="1">
        <v>2.58</v>
      </c>
    </row>
    <row r="2055" spans="1:4" x14ac:dyDescent="0.35">
      <c r="A2055" s="1" t="s">
        <v>118</v>
      </c>
      <c r="B2055" s="2"/>
      <c r="C2055" s="1">
        <v>2003</v>
      </c>
      <c r="D2055" s="1">
        <v>2.8</v>
      </c>
    </row>
    <row r="2056" spans="1:4" x14ac:dyDescent="0.35">
      <c r="A2056" s="1" t="s">
        <v>118</v>
      </c>
      <c r="B2056" s="2"/>
      <c r="C2056" s="1">
        <v>2004</v>
      </c>
      <c r="D2056" s="1">
        <v>2.7</v>
      </c>
    </row>
    <row r="2057" spans="1:4" x14ac:dyDescent="0.35">
      <c r="A2057" s="1" t="s">
        <v>118</v>
      </c>
      <c r="B2057" s="2"/>
      <c r="C2057" s="1">
        <v>2005</v>
      </c>
      <c r="D2057" s="1">
        <v>2.5</v>
      </c>
    </row>
    <row r="2058" spans="1:4" x14ac:dyDescent="0.35">
      <c r="A2058" s="1" t="s">
        <v>118</v>
      </c>
      <c r="B2058" s="2"/>
      <c r="C2058" s="1">
        <v>2006</v>
      </c>
      <c r="D2058" s="1">
        <v>2.48</v>
      </c>
    </row>
    <row r="2059" spans="1:4" x14ac:dyDescent="0.35">
      <c r="A2059" s="1" t="s">
        <v>118</v>
      </c>
      <c r="B2059" s="2"/>
      <c r="C2059" s="1">
        <v>2007</v>
      </c>
      <c r="D2059" s="1">
        <v>2.4900000000000002</v>
      </c>
    </row>
    <row r="2060" spans="1:4" x14ac:dyDescent="0.35">
      <c r="A2060" s="1" t="s">
        <v>118</v>
      </c>
      <c r="B2060" s="2"/>
      <c r="C2060" s="1">
        <v>2008</v>
      </c>
      <c r="D2060" s="1">
        <v>2.2599999999999998</v>
      </c>
    </row>
    <row r="2061" spans="1:4" x14ac:dyDescent="0.35">
      <c r="A2061" s="1" t="s">
        <v>118</v>
      </c>
      <c r="B2061" s="2"/>
      <c r="C2061" s="1">
        <v>2009</v>
      </c>
      <c r="D2061" s="1">
        <v>3.08</v>
      </c>
    </row>
    <row r="2062" spans="1:4" x14ac:dyDescent="0.35">
      <c r="A2062" s="1" t="s">
        <v>118</v>
      </c>
      <c r="B2062" s="2"/>
      <c r="C2062" s="1">
        <v>2010</v>
      </c>
      <c r="D2062" s="1">
        <v>3.08</v>
      </c>
    </row>
    <row r="2063" spans="1:4" x14ac:dyDescent="0.35">
      <c r="A2063" s="1" t="s">
        <v>118</v>
      </c>
      <c r="B2063" s="2"/>
      <c r="C2063" s="1">
        <v>2011</v>
      </c>
      <c r="D2063" s="1">
        <v>2.81</v>
      </c>
    </row>
    <row r="2064" spans="1:4" x14ac:dyDescent="0.35">
      <c r="A2064" s="1" t="s">
        <v>118</v>
      </c>
      <c r="B2064" s="2"/>
      <c r="C2064" s="1">
        <v>2012</v>
      </c>
      <c r="D2064" s="1">
        <v>5.62</v>
      </c>
    </row>
    <row r="2065" spans="1:4" x14ac:dyDescent="0.35">
      <c r="A2065" s="1" t="s">
        <v>118</v>
      </c>
      <c r="B2065" s="2"/>
      <c r="C2065" s="1">
        <v>2013</v>
      </c>
      <c r="D2065" s="1">
        <v>5.98</v>
      </c>
    </row>
    <row r="2066" spans="1:4" x14ac:dyDescent="0.35">
      <c r="A2066" s="1" t="s">
        <v>118</v>
      </c>
      <c r="B2066" s="2"/>
      <c r="C2066" s="1">
        <v>2014</v>
      </c>
      <c r="D2066" s="1">
        <v>6.23</v>
      </c>
    </row>
    <row r="2067" spans="1:4" x14ac:dyDescent="0.35">
      <c r="A2067" s="1" t="s">
        <v>118</v>
      </c>
      <c r="B2067" s="2"/>
      <c r="C2067" s="1">
        <v>2015</v>
      </c>
      <c r="D2067" s="1">
        <v>6.62</v>
      </c>
    </row>
    <row r="2068" spans="1:4" x14ac:dyDescent="0.35">
      <c r="A2068" s="1" t="s">
        <v>118</v>
      </c>
      <c r="B2068" s="2"/>
      <c r="C2068" s="1">
        <v>2016</v>
      </c>
      <c r="D2068" s="1">
        <v>6.49</v>
      </c>
    </row>
    <row r="2069" spans="1:4" x14ac:dyDescent="0.35">
      <c r="A2069" s="1" t="s">
        <v>118</v>
      </c>
      <c r="B2069" s="2"/>
      <c r="C2069" s="1">
        <v>2017</v>
      </c>
      <c r="D2069" s="1">
        <v>6.52</v>
      </c>
    </row>
    <row r="2070" spans="1:4" x14ac:dyDescent="0.35">
      <c r="A2070" s="1" t="s">
        <v>118</v>
      </c>
      <c r="B2070" s="2"/>
      <c r="C2070" s="1">
        <v>2018</v>
      </c>
      <c r="D2070" s="1">
        <v>7.28</v>
      </c>
    </row>
    <row r="2071" spans="1:4" x14ac:dyDescent="0.35">
      <c r="A2071" s="1" t="s">
        <v>118</v>
      </c>
      <c r="B2071" s="2"/>
      <c r="C2071" s="1">
        <v>2019</v>
      </c>
      <c r="D2071" s="1">
        <v>7.16</v>
      </c>
    </row>
    <row r="2072" spans="1:4" x14ac:dyDescent="0.35">
      <c r="A2072" s="1" t="s">
        <v>118</v>
      </c>
      <c r="B2072" s="2"/>
      <c r="C2072" s="1">
        <v>2020</v>
      </c>
      <c r="D2072" s="1">
        <v>6.76</v>
      </c>
    </row>
    <row r="2073" spans="1:4" x14ac:dyDescent="0.35">
      <c r="A2073" s="1" t="s">
        <v>118</v>
      </c>
      <c r="B2073" s="2"/>
      <c r="C2073" s="1">
        <v>2021</v>
      </c>
      <c r="D2073" s="1">
        <v>6.76</v>
      </c>
    </row>
    <row r="2074" spans="1:4" x14ac:dyDescent="0.35">
      <c r="A2074" s="1" t="s">
        <v>118</v>
      </c>
      <c r="B2074" s="2"/>
      <c r="C2074" s="1">
        <v>2022</v>
      </c>
      <c r="D2074" s="1">
        <v>7.75</v>
      </c>
    </row>
    <row r="2075" spans="1:4" x14ac:dyDescent="0.35">
      <c r="A2075" s="1" t="s">
        <v>118</v>
      </c>
      <c r="B2075" s="2"/>
      <c r="C2075" s="1">
        <v>2023</v>
      </c>
      <c r="D2075" s="1">
        <v>11.88</v>
      </c>
    </row>
    <row r="2076" spans="1:4" x14ac:dyDescent="0.35">
      <c r="A2076" s="1" t="s">
        <v>118</v>
      </c>
      <c r="B2076" s="2"/>
      <c r="C2076" s="1">
        <v>2024</v>
      </c>
      <c r="D2076" s="1">
        <v>15.17</v>
      </c>
    </row>
    <row r="2077" spans="1:4" x14ac:dyDescent="0.35">
      <c r="A2077" s="1" t="s">
        <v>118</v>
      </c>
      <c r="B2077" s="2" t="s">
        <v>136</v>
      </c>
      <c r="C2077" s="1">
        <v>2000</v>
      </c>
      <c r="D2077" s="1">
        <v>0.88</v>
      </c>
    </row>
    <row r="2078" spans="1:4" x14ac:dyDescent="0.35">
      <c r="A2078" s="1" t="s">
        <v>118</v>
      </c>
      <c r="B2078" s="2"/>
      <c r="C2078" s="1">
        <v>2001</v>
      </c>
      <c r="D2078" s="1">
        <v>0.74</v>
      </c>
    </row>
    <row r="2079" spans="1:4" x14ac:dyDescent="0.35">
      <c r="A2079" s="1" t="s">
        <v>118</v>
      </c>
      <c r="B2079" s="2"/>
      <c r="C2079" s="1">
        <v>2002</v>
      </c>
      <c r="D2079" s="1">
        <v>0.85</v>
      </c>
    </row>
    <row r="2080" spans="1:4" x14ac:dyDescent="0.35">
      <c r="A2080" s="1" t="s">
        <v>118</v>
      </c>
      <c r="B2080" s="2"/>
      <c r="C2080" s="1">
        <v>2003</v>
      </c>
      <c r="D2080" s="1">
        <v>1.7</v>
      </c>
    </row>
    <row r="2081" spans="1:4" x14ac:dyDescent="0.35">
      <c r="A2081" s="1" t="s">
        <v>118</v>
      </c>
      <c r="B2081" s="2"/>
      <c r="C2081" s="1">
        <v>2004</v>
      </c>
      <c r="D2081" s="1">
        <v>1.6</v>
      </c>
    </row>
    <row r="2082" spans="1:4" x14ac:dyDescent="0.35">
      <c r="A2082" s="1" t="s">
        <v>118</v>
      </c>
      <c r="B2082" s="2"/>
      <c r="C2082" s="1">
        <v>2005</v>
      </c>
      <c r="D2082" s="1">
        <v>0.46</v>
      </c>
    </row>
    <row r="2083" spans="1:4" x14ac:dyDescent="0.35">
      <c r="A2083" s="1" t="s">
        <v>118</v>
      </c>
      <c r="B2083" s="2"/>
      <c r="C2083" s="1">
        <v>2006</v>
      </c>
      <c r="D2083" s="1">
        <v>0.93</v>
      </c>
    </row>
    <row r="2084" spans="1:4" x14ac:dyDescent="0.35">
      <c r="A2084" s="1" t="s">
        <v>118</v>
      </c>
      <c r="B2084" s="2"/>
      <c r="C2084" s="1">
        <v>2007</v>
      </c>
      <c r="D2084" s="1">
        <v>0.64</v>
      </c>
    </row>
    <row r="2085" spans="1:4" x14ac:dyDescent="0.35">
      <c r="A2085" s="1" t="s">
        <v>118</v>
      </c>
      <c r="B2085" s="2"/>
      <c r="C2085" s="1">
        <v>2008</v>
      </c>
      <c r="D2085" s="1">
        <v>0.53</v>
      </c>
    </row>
    <row r="2086" spans="1:4" x14ac:dyDescent="0.35">
      <c r="A2086" s="1" t="s">
        <v>118</v>
      </c>
      <c r="B2086" s="2"/>
      <c r="C2086" s="1">
        <v>2009</v>
      </c>
      <c r="D2086" s="1">
        <v>1.1599999999999999</v>
      </c>
    </row>
    <row r="2087" spans="1:4" x14ac:dyDescent="0.35">
      <c r="A2087" s="1" t="s">
        <v>118</v>
      </c>
      <c r="B2087" s="2"/>
      <c r="C2087" s="1">
        <v>2010</v>
      </c>
      <c r="D2087" s="1">
        <v>1.18</v>
      </c>
    </row>
    <row r="2088" spans="1:4" x14ac:dyDescent="0.35">
      <c r="A2088" s="1" t="s">
        <v>118</v>
      </c>
      <c r="B2088" s="2"/>
      <c r="C2088" s="1">
        <v>2011</v>
      </c>
      <c r="D2088" s="1">
        <v>1.02</v>
      </c>
    </row>
    <row r="2089" spans="1:4" x14ac:dyDescent="0.35">
      <c r="A2089" s="1" t="s">
        <v>118</v>
      </c>
      <c r="B2089" s="2"/>
      <c r="C2089" s="1">
        <v>2012</v>
      </c>
      <c r="D2089" s="1">
        <v>1.73</v>
      </c>
    </row>
    <row r="2090" spans="1:4" x14ac:dyDescent="0.35">
      <c r="A2090" s="1" t="s">
        <v>118</v>
      </c>
      <c r="B2090" s="2"/>
      <c r="C2090" s="1">
        <v>2013</v>
      </c>
      <c r="D2090" s="1">
        <v>2.35</v>
      </c>
    </row>
    <row r="2091" spans="1:4" x14ac:dyDescent="0.35">
      <c r="A2091" s="1" t="s">
        <v>118</v>
      </c>
      <c r="B2091" s="2"/>
      <c r="C2091" s="1">
        <v>2014</v>
      </c>
      <c r="D2091" s="1">
        <v>3.08</v>
      </c>
    </row>
    <row r="2092" spans="1:4" x14ac:dyDescent="0.35">
      <c r="A2092" s="1" t="s">
        <v>118</v>
      </c>
      <c r="B2092" s="2"/>
      <c r="C2092" s="1">
        <v>2015</v>
      </c>
      <c r="D2092" s="1">
        <v>2.86</v>
      </c>
    </row>
    <row r="2093" spans="1:4" x14ac:dyDescent="0.35">
      <c r="A2093" s="1" t="s">
        <v>118</v>
      </c>
      <c r="B2093" s="2"/>
      <c r="C2093" s="1">
        <v>2016</v>
      </c>
      <c r="D2093" s="1">
        <v>2.96</v>
      </c>
    </row>
    <row r="2094" spans="1:4" x14ac:dyDescent="0.35">
      <c r="A2094" s="1" t="s">
        <v>118</v>
      </c>
      <c r="B2094" s="2"/>
      <c r="C2094" s="1">
        <v>2017</v>
      </c>
      <c r="D2094" s="1">
        <v>2.91</v>
      </c>
    </row>
    <row r="2095" spans="1:4" x14ac:dyDescent="0.35">
      <c r="A2095" s="1" t="s">
        <v>118</v>
      </c>
      <c r="B2095" s="2"/>
      <c r="C2095" s="1">
        <v>2018</v>
      </c>
      <c r="D2095" s="1">
        <v>3.08</v>
      </c>
    </row>
    <row r="2096" spans="1:4" x14ac:dyDescent="0.35">
      <c r="A2096" s="1" t="s">
        <v>118</v>
      </c>
      <c r="B2096" s="2"/>
      <c r="C2096" s="1">
        <v>2019</v>
      </c>
      <c r="D2096" s="1">
        <v>3.73</v>
      </c>
    </row>
    <row r="2097" spans="1:4" x14ac:dyDescent="0.35">
      <c r="A2097" s="1" t="s">
        <v>118</v>
      </c>
      <c r="B2097" s="2"/>
      <c r="C2097" s="1">
        <v>2020</v>
      </c>
      <c r="D2097" s="1">
        <v>4.0599999999999996</v>
      </c>
    </row>
    <row r="2098" spans="1:4" x14ac:dyDescent="0.35">
      <c r="A2098" s="1" t="s">
        <v>118</v>
      </c>
      <c r="B2098" s="2"/>
      <c r="C2098" s="1">
        <v>2021</v>
      </c>
      <c r="D2098" s="1">
        <v>4.2699999999999996</v>
      </c>
    </row>
    <row r="2099" spans="1:4" x14ac:dyDescent="0.35">
      <c r="A2099" s="1" t="s">
        <v>118</v>
      </c>
      <c r="B2099" s="2"/>
      <c r="C2099" s="1">
        <v>2022</v>
      </c>
      <c r="D2099" s="1">
        <v>4.0999999999999996</v>
      </c>
    </row>
    <row r="2100" spans="1:4" x14ac:dyDescent="0.35">
      <c r="A2100" s="1" t="s">
        <v>118</v>
      </c>
      <c r="B2100" s="2"/>
      <c r="C2100" s="1">
        <v>2023</v>
      </c>
      <c r="D2100" s="1">
        <v>6.25</v>
      </c>
    </row>
    <row r="2101" spans="1:4" x14ac:dyDescent="0.35">
      <c r="A2101" s="1" t="s">
        <v>118</v>
      </c>
      <c r="B2101" s="2"/>
      <c r="C2101" s="1">
        <v>2024</v>
      </c>
      <c r="D2101" s="1" t="s">
        <v>137</v>
      </c>
    </row>
    <row r="2102" spans="1:4" x14ac:dyDescent="0.35">
      <c r="A2102" s="1" t="s">
        <v>122</v>
      </c>
      <c r="B2102" s="2" t="s">
        <v>134</v>
      </c>
      <c r="C2102" s="1">
        <v>2000</v>
      </c>
      <c r="D2102" s="1">
        <v>98.86</v>
      </c>
    </row>
    <row r="2103" spans="1:4" x14ac:dyDescent="0.35">
      <c r="A2103" s="1" t="s">
        <v>122</v>
      </c>
      <c r="B2103" s="2"/>
      <c r="C2103" s="1">
        <v>2001</v>
      </c>
      <c r="D2103" s="1">
        <v>98.86</v>
      </c>
    </row>
    <row r="2104" spans="1:4" x14ac:dyDescent="0.35">
      <c r="A2104" s="1" t="s">
        <v>122</v>
      </c>
      <c r="B2104" s="2"/>
      <c r="C2104" s="1">
        <v>2002</v>
      </c>
      <c r="D2104" s="1">
        <v>99.01</v>
      </c>
    </row>
    <row r="2105" spans="1:4" x14ac:dyDescent="0.35">
      <c r="A2105" s="1" t="s">
        <v>122</v>
      </c>
      <c r="B2105" s="2"/>
      <c r="C2105" s="1">
        <v>2003</v>
      </c>
      <c r="D2105" s="1">
        <v>99.01</v>
      </c>
    </row>
    <row r="2106" spans="1:4" x14ac:dyDescent="0.35">
      <c r="A2106" s="1" t="s">
        <v>122</v>
      </c>
      <c r="B2106" s="2"/>
      <c r="C2106" s="1">
        <v>2004</v>
      </c>
      <c r="D2106" s="1">
        <v>99.01</v>
      </c>
    </row>
    <row r="2107" spans="1:4" x14ac:dyDescent="0.35">
      <c r="A2107" s="1" t="s">
        <v>122</v>
      </c>
      <c r="B2107" s="2"/>
      <c r="C2107" s="1">
        <v>2005</v>
      </c>
      <c r="D2107" s="1">
        <v>86.3</v>
      </c>
    </row>
    <row r="2108" spans="1:4" x14ac:dyDescent="0.35">
      <c r="A2108" s="1" t="s">
        <v>122</v>
      </c>
      <c r="B2108" s="2"/>
      <c r="C2108" s="1">
        <v>2006</v>
      </c>
      <c r="D2108" s="1">
        <v>75.900000000000006</v>
      </c>
    </row>
    <row r="2109" spans="1:4" x14ac:dyDescent="0.35">
      <c r="A2109" s="1" t="s">
        <v>122</v>
      </c>
      <c r="B2109" s="2"/>
      <c r="C2109" s="1">
        <v>2007</v>
      </c>
      <c r="D2109" s="1">
        <v>75.900000000000006</v>
      </c>
    </row>
    <row r="2110" spans="1:4" x14ac:dyDescent="0.35">
      <c r="A2110" s="1" t="s">
        <v>122</v>
      </c>
      <c r="B2110" s="2"/>
      <c r="C2110" s="1">
        <v>2008</v>
      </c>
      <c r="D2110" s="1">
        <v>67.27</v>
      </c>
    </row>
    <row r="2111" spans="1:4" x14ac:dyDescent="0.35">
      <c r="A2111" s="1" t="s">
        <v>122</v>
      </c>
      <c r="B2111" s="2"/>
      <c r="C2111" s="1">
        <v>2009</v>
      </c>
      <c r="D2111" s="1">
        <v>73.87</v>
      </c>
    </row>
    <row r="2112" spans="1:4" x14ac:dyDescent="0.35">
      <c r="A2112" s="1" t="s">
        <v>122</v>
      </c>
      <c r="B2112" s="2"/>
      <c r="C2112" s="1">
        <v>2010</v>
      </c>
      <c r="D2112" s="1">
        <v>72.510000000000005</v>
      </c>
    </row>
    <row r="2113" spans="1:4" x14ac:dyDescent="0.35">
      <c r="A2113" s="1" t="s">
        <v>122</v>
      </c>
      <c r="B2113" s="2"/>
      <c r="C2113" s="1">
        <v>2011</v>
      </c>
      <c r="D2113" s="1">
        <v>72.540000000000006</v>
      </c>
    </row>
    <row r="2114" spans="1:4" x14ac:dyDescent="0.35">
      <c r="A2114" s="1" t="s">
        <v>122</v>
      </c>
      <c r="B2114" s="2"/>
      <c r="C2114" s="1">
        <v>2012</v>
      </c>
      <c r="D2114" s="1">
        <v>83.32</v>
      </c>
    </row>
    <row r="2115" spans="1:4" x14ac:dyDescent="0.35">
      <c r="A2115" s="1" t="s">
        <v>122</v>
      </c>
      <c r="B2115" s="2"/>
      <c r="C2115" s="1">
        <v>2013</v>
      </c>
      <c r="D2115" s="1">
        <v>87.95</v>
      </c>
    </row>
    <row r="2116" spans="1:4" x14ac:dyDescent="0.35">
      <c r="A2116" s="1" t="s">
        <v>122</v>
      </c>
      <c r="B2116" s="2"/>
      <c r="C2116" s="1">
        <v>2014</v>
      </c>
      <c r="D2116" s="1">
        <v>84.62</v>
      </c>
    </row>
    <row r="2117" spans="1:4" x14ac:dyDescent="0.35">
      <c r="A2117" s="1" t="s">
        <v>122</v>
      </c>
      <c r="B2117" s="2"/>
      <c r="C2117" s="1">
        <v>2015</v>
      </c>
      <c r="D2117" s="1">
        <v>84.9</v>
      </c>
    </row>
    <row r="2118" spans="1:4" x14ac:dyDescent="0.35">
      <c r="A2118" s="1" t="s">
        <v>122</v>
      </c>
      <c r="B2118" s="2"/>
      <c r="C2118" s="1">
        <v>2016</v>
      </c>
      <c r="D2118" s="1">
        <v>84.94</v>
      </c>
    </row>
    <row r="2119" spans="1:4" x14ac:dyDescent="0.35">
      <c r="A2119" s="1" t="s">
        <v>122</v>
      </c>
      <c r="B2119" s="2"/>
      <c r="C2119" s="1">
        <v>2017</v>
      </c>
      <c r="D2119" s="1">
        <v>85.54</v>
      </c>
    </row>
    <row r="2120" spans="1:4" x14ac:dyDescent="0.35">
      <c r="A2120" s="1" t="s">
        <v>122</v>
      </c>
      <c r="B2120" s="2"/>
      <c r="C2120" s="1">
        <v>2018</v>
      </c>
      <c r="D2120" s="1">
        <v>89.71</v>
      </c>
    </row>
    <row r="2121" spans="1:4" x14ac:dyDescent="0.35">
      <c r="A2121" s="1" t="s">
        <v>122</v>
      </c>
      <c r="B2121" s="2"/>
      <c r="C2121" s="1">
        <v>2019</v>
      </c>
      <c r="D2121" s="1">
        <v>91.92</v>
      </c>
    </row>
    <row r="2122" spans="1:4" x14ac:dyDescent="0.35">
      <c r="A2122" s="1" t="s">
        <v>122</v>
      </c>
      <c r="B2122" s="2"/>
      <c r="C2122" s="1">
        <v>2020</v>
      </c>
      <c r="D2122" s="1">
        <v>92.14</v>
      </c>
    </row>
    <row r="2123" spans="1:4" x14ac:dyDescent="0.35">
      <c r="A2123" s="1" t="s">
        <v>122</v>
      </c>
      <c r="B2123" s="2"/>
      <c r="C2123" s="1">
        <v>2021</v>
      </c>
      <c r="D2123" s="1">
        <v>92.15</v>
      </c>
    </row>
    <row r="2124" spans="1:4" x14ac:dyDescent="0.35">
      <c r="A2124" s="1" t="s">
        <v>122</v>
      </c>
      <c r="B2124" s="2"/>
      <c r="C2124" s="1">
        <v>2022</v>
      </c>
      <c r="D2124" s="1">
        <v>92.31</v>
      </c>
    </row>
    <row r="2125" spans="1:4" x14ac:dyDescent="0.35">
      <c r="A2125" s="1" t="s">
        <v>122</v>
      </c>
      <c r="B2125" s="2"/>
      <c r="C2125" s="1">
        <v>2023</v>
      </c>
      <c r="D2125" s="1">
        <v>94.11</v>
      </c>
    </row>
    <row r="2126" spans="1:4" x14ac:dyDescent="0.35">
      <c r="A2126" s="1" t="s">
        <v>122</v>
      </c>
      <c r="B2126" s="2"/>
      <c r="C2126" s="1">
        <v>2024</v>
      </c>
      <c r="D2126" s="1">
        <v>94.63</v>
      </c>
    </row>
    <row r="2127" spans="1:4" x14ac:dyDescent="0.35">
      <c r="A2127" s="1" t="s">
        <v>122</v>
      </c>
      <c r="B2127" s="2" t="s">
        <v>136</v>
      </c>
      <c r="C2127" s="1">
        <v>2000</v>
      </c>
      <c r="D2127" s="1">
        <v>99.93</v>
      </c>
    </row>
    <row r="2128" spans="1:4" x14ac:dyDescent="0.35">
      <c r="A2128" s="1" t="s">
        <v>122</v>
      </c>
      <c r="B2128" s="2"/>
      <c r="C2128" s="1">
        <v>2001</v>
      </c>
      <c r="D2128" s="1">
        <v>99.93</v>
      </c>
    </row>
    <row r="2129" spans="1:4" x14ac:dyDescent="0.35">
      <c r="A2129" s="1" t="s">
        <v>122</v>
      </c>
      <c r="B2129" s="2"/>
      <c r="C2129" s="1">
        <v>2002</v>
      </c>
      <c r="D2129" s="1">
        <v>99.93</v>
      </c>
    </row>
    <row r="2130" spans="1:4" x14ac:dyDescent="0.35">
      <c r="A2130" s="1" t="s">
        <v>122</v>
      </c>
      <c r="B2130" s="2"/>
      <c r="C2130" s="1">
        <v>2003</v>
      </c>
      <c r="D2130" s="1">
        <v>99.93</v>
      </c>
    </row>
    <row r="2131" spans="1:4" x14ac:dyDescent="0.35">
      <c r="A2131" s="1" t="s">
        <v>122</v>
      </c>
      <c r="B2131" s="2"/>
      <c r="C2131" s="1">
        <v>2004</v>
      </c>
      <c r="D2131" s="1">
        <v>99.94</v>
      </c>
    </row>
    <row r="2132" spans="1:4" x14ac:dyDescent="0.35">
      <c r="A2132" s="1" t="s">
        <v>122</v>
      </c>
      <c r="B2132" s="2"/>
      <c r="C2132" s="1">
        <v>2005</v>
      </c>
      <c r="D2132" s="1">
        <v>89.69</v>
      </c>
    </row>
    <row r="2133" spans="1:4" x14ac:dyDescent="0.35">
      <c r="A2133" s="1" t="s">
        <v>122</v>
      </c>
      <c r="B2133" s="2"/>
      <c r="C2133" s="1">
        <v>2006</v>
      </c>
      <c r="D2133" s="1">
        <v>76.62</v>
      </c>
    </row>
    <row r="2134" spans="1:4" x14ac:dyDescent="0.35">
      <c r="A2134" s="1" t="s">
        <v>122</v>
      </c>
      <c r="B2134" s="2"/>
      <c r="C2134" s="1">
        <v>2007</v>
      </c>
      <c r="D2134" s="1">
        <v>70.87</v>
      </c>
    </row>
    <row r="2135" spans="1:4" x14ac:dyDescent="0.35">
      <c r="A2135" s="1" t="s">
        <v>122</v>
      </c>
      <c r="B2135" s="2"/>
      <c r="C2135" s="1">
        <v>2008</v>
      </c>
      <c r="D2135" s="1">
        <v>70.11</v>
      </c>
    </row>
    <row r="2136" spans="1:4" x14ac:dyDescent="0.35">
      <c r="A2136" s="1" t="s">
        <v>122</v>
      </c>
      <c r="B2136" s="2"/>
      <c r="C2136" s="1">
        <v>2009</v>
      </c>
      <c r="D2136" s="1">
        <v>59.31</v>
      </c>
    </row>
    <row r="2137" spans="1:4" x14ac:dyDescent="0.35">
      <c r="A2137" s="1" t="s">
        <v>122</v>
      </c>
      <c r="B2137" s="2"/>
      <c r="C2137" s="1">
        <v>2010</v>
      </c>
      <c r="D2137" s="1">
        <v>58.01</v>
      </c>
    </row>
    <row r="2138" spans="1:4" x14ac:dyDescent="0.35">
      <c r="A2138" s="1" t="s">
        <v>122</v>
      </c>
      <c r="B2138" s="2"/>
      <c r="C2138" s="1">
        <v>2011</v>
      </c>
      <c r="D2138" s="1">
        <v>63.15</v>
      </c>
    </row>
    <row r="2139" spans="1:4" x14ac:dyDescent="0.35">
      <c r="A2139" s="1" t="s">
        <v>122</v>
      </c>
      <c r="B2139" s="2"/>
      <c r="C2139" s="1">
        <v>2012</v>
      </c>
      <c r="D2139" s="1">
        <v>90.49</v>
      </c>
    </row>
    <row r="2140" spans="1:4" x14ac:dyDescent="0.35">
      <c r="A2140" s="1" t="s">
        <v>122</v>
      </c>
      <c r="B2140" s="2"/>
      <c r="C2140" s="1">
        <v>2013</v>
      </c>
      <c r="D2140" s="1">
        <v>99.95</v>
      </c>
    </row>
    <row r="2141" spans="1:4" x14ac:dyDescent="0.35">
      <c r="A2141" s="1" t="s">
        <v>122</v>
      </c>
      <c r="B2141" s="2"/>
      <c r="C2141" s="1">
        <v>2014</v>
      </c>
      <c r="D2141" s="1">
        <v>97.38</v>
      </c>
    </row>
    <row r="2142" spans="1:4" x14ac:dyDescent="0.35">
      <c r="A2142" s="1" t="s">
        <v>122</v>
      </c>
      <c r="B2142" s="2"/>
      <c r="C2142" s="1">
        <v>2015</v>
      </c>
      <c r="D2142" s="1">
        <v>97.43</v>
      </c>
    </row>
    <row r="2143" spans="1:4" x14ac:dyDescent="0.35">
      <c r="A2143" s="1" t="s">
        <v>122</v>
      </c>
      <c r="B2143" s="2"/>
      <c r="C2143" s="1">
        <v>2016</v>
      </c>
      <c r="D2143" s="1">
        <v>98.15</v>
      </c>
    </row>
    <row r="2144" spans="1:4" x14ac:dyDescent="0.35">
      <c r="A2144" s="1" t="s">
        <v>122</v>
      </c>
      <c r="B2144" s="2"/>
      <c r="C2144" s="1">
        <v>2017</v>
      </c>
      <c r="D2144" s="1">
        <v>93.8</v>
      </c>
    </row>
    <row r="2145" spans="1:4" x14ac:dyDescent="0.35">
      <c r="A2145" s="1" t="s">
        <v>122</v>
      </c>
      <c r="B2145" s="2"/>
      <c r="C2145" s="1">
        <v>2018</v>
      </c>
      <c r="D2145" s="1">
        <v>94.37</v>
      </c>
    </row>
    <row r="2146" spans="1:4" x14ac:dyDescent="0.35">
      <c r="A2146" s="1" t="s">
        <v>122</v>
      </c>
      <c r="B2146" s="2"/>
      <c r="C2146" s="1">
        <v>2019</v>
      </c>
      <c r="D2146" s="1">
        <v>97.64</v>
      </c>
    </row>
    <row r="2147" spans="1:4" x14ac:dyDescent="0.35">
      <c r="A2147" s="1" t="s">
        <v>122</v>
      </c>
      <c r="B2147" s="2"/>
      <c r="C2147" s="1">
        <v>2020</v>
      </c>
      <c r="D2147" s="1">
        <v>98.69</v>
      </c>
    </row>
    <row r="2148" spans="1:4" x14ac:dyDescent="0.35">
      <c r="A2148" s="1" t="s">
        <v>122</v>
      </c>
      <c r="B2148" s="2"/>
      <c r="C2148" s="1">
        <v>2021</v>
      </c>
      <c r="D2148" s="1">
        <v>97.85</v>
      </c>
    </row>
    <row r="2149" spans="1:4" x14ac:dyDescent="0.35">
      <c r="A2149" s="1" t="s">
        <v>122</v>
      </c>
      <c r="B2149" s="2"/>
      <c r="C2149" s="1">
        <v>2022</v>
      </c>
      <c r="D2149" s="1">
        <v>99.72</v>
      </c>
    </row>
    <row r="2150" spans="1:4" x14ac:dyDescent="0.35">
      <c r="A2150" s="1" t="s">
        <v>122</v>
      </c>
      <c r="B2150" s="2"/>
      <c r="C2150" s="1">
        <v>2023</v>
      </c>
      <c r="D2150" s="1">
        <v>99.72</v>
      </c>
    </row>
    <row r="2151" spans="1:4" x14ac:dyDescent="0.35">
      <c r="A2151" s="1" t="s">
        <v>122</v>
      </c>
      <c r="B2151" s="2"/>
      <c r="C2151" s="1">
        <v>2024</v>
      </c>
      <c r="D2151" s="1" t="s">
        <v>137</v>
      </c>
    </row>
    <row r="2152" spans="1:4" x14ac:dyDescent="0.35">
      <c r="A2152" s="1" t="s">
        <v>126</v>
      </c>
      <c r="B2152" s="2" t="s">
        <v>134</v>
      </c>
      <c r="C2152" s="1">
        <v>2000</v>
      </c>
      <c r="D2152" s="1">
        <v>95.43</v>
      </c>
    </row>
    <row r="2153" spans="1:4" x14ac:dyDescent="0.35">
      <c r="A2153" s="1" t="s">
        <v>126</v>
      </c>
      <c r="B2153" s="2"/>
      <c r="C2153" s="1">
        <v>2001</v>
      </c>
      <c r="D2153" s="1">
        <v>95.43</v>
      </c>
    </row>
    <row r="2154" spans="1:4" x14ac:dyDescent="0.35">
      <c r="A2154" s="1" t="s">
        <v>126</v>
      </c>
      <c r="B2154" s="2"/>
      <c r="C2154" s="1">
        <v>2002</v>
      </c>
      <c r="D2154" s="1">
        <v>95.43</v>
      </c>
    </row>
    <row r="2155" spans="1:4" x14ac:dyDescent="0.35">
      <c r="A2155" s="1" t="s">
        <v>126</v>
      </c>
      <c r="B2155" s="2"/>
      <c r="C2155" s="1">
        <v>2003</v>
      </c>
      <c r="D2155" s="1">
        <v>95.28</v>
      </c>
    </row>
    <row r="2156" spans="1:4" x14ac:dyDescent="0.35">
      <c r="A2156" s="1" t="s">
        <v>126</v>
      </c>
      <c r="B2156" s="2"/>
      <c r="C2156" s="1">
        <v>2004</v>
      </c>
      <c r="D2156" s="1">
        <v>95.28</v>
      </c>
    </row>
    <row r="2157" spans="1:4" x14ac:dyDescent="0.35">
      <c r="A2157" s="1" t="s">
        <v>126</v>
      </c>
      <c r="B2157" s="2"/>
      <c r="C2157" s="1">
        <v>2005</v>
      </c>
      <c r="D2157" s="1">
        <v>95.28</v>
      </c>
    </row>
    <row r="2158" spans="1:4" x14ac:dyDescent="0.35">
      <c r="A2158" s="1" t="s">
        <v>126</v>
      </c>
      <c r="B2158" s="2"/>
      <c r="C2158" s="1">
        <v>2006</v>
      </c>
      <c r="D2158" s="1">
        <v>95.28</v>
      </c>
    </row>
    <row r="2159" spans="1:4" x14ac:dyDescent="0.35">
      <c r="A2159" s="1" t="s">
        <v>126</v>
      </c>
      <c r="B2159" s="2"/>
      <c r="C2159" s="1">
        <v>2007</v>
      </c>
      <c r="D2159" s="1">
        <v>95.09</v>
      </c>
    </row>
    <row r="2160" spans="1:4" x14ac:dyDescent="0.35">
      <c r="A2160" s="1" t="s">
        <v>126</v>
      </c>
      <c r="B2160" s="2"/>
      <c r="C2160" s="1">
        <v>2008</v>
      </c>
      <c r="D2160" s="1">
        <v>95.19</v>
      </c>
    </row>
    <row r="2161" spans="1:4" x14ac:dyDescent="0.35">
      <c r="A2161" s="1" t="s">
        <v>126</v>
      </c>
      <c r="B2161" s="2"/>
      <c r="C2161" s="1">
        <v>2009</v>
      </c>
      <c r="D2161" s="1">
        <v>95.21</v>
      </c>
    </row>
    <row r="2162" spans="1:4" x14ac:dyDescent="0.35">
      <c r="A2162" s="1" t="s">
        <v>126</v>
      </c>
      <c r="B2162" s="2"/>
      <c r="C2162" s="1">
        <v>2010</v>
      </c>
      <c r="D2162" s="1">
        <v>95.72</v>
      </c>
    </row>
    <row r="2163" spans="1:4" x14ac:dyDescent="0.35">
      <c r="A2163" s="1" t="s">
        <v>126</v>
      </c>
      <c r="B2163" s="2"/>
      <c r="C2163" s="1">
        <v>2011</v>
      </c>
      <c r="D2163" s="1">
        <v>95.72</v>
      </c>
    </row>
    <row r="2164" spans="1:4" x14ac:dyDescent="0.35">
      <c r="A2164" s="1" t="s">
        <v>126</v>
      </c>
      <c r="B2164" s="2"/>
      <c r="C2164" s="1">
        <v>2012</v>
      </c>
      <c r="D2164" s="1">
        <v>95.73</v>
      </c>
    </row>
    <row r="2165" spans="1:4" x14ac:dyDescent="0.35">
      <c r="A2165" s="1" t="s">
        <v>126</v>
      </c>
      <c r="B2165" s="2"/>
      <c r="C2165" s="1">
        <v>2013</v>
      </c>
      <c r="D2165" s="1">
        <v>97.03</v>
      </c>
    </row>
    <row r="2166" spans="1:4" x14ac:dyDescent="0.35">
      <c r="A2166" s="1" t="s">
        <v>126</v>
      </c>
      <c r="B2166" s="2"/>
      <c r="C2166" s="1">
        <v>2014</v>
      </c>
      <c r="D2166" s="1">
        <v>94.24</v>
      </c>
    </row>
    <row r="2167" spans="1:4" x14ac:dyDescent="0.35">
      <c r="A2167" s="1" t="s">
        <v>126</v>
      </c>
      <c r="B2167" s="2"/>
      <c r="C2167" s="1">
        <v>2015</v>
      </c>
      <c r="D2167" s="1">
        <v>93.08</v>
      </c>
    </row>
    <row r="2168" spans="1:4" x14ac:dyDescent="0.35">
      <c r="A2168" s="1" t="s">
        <v>126</v>
      </c>
      <c r="B2168" s="2"/>
      <c r="C2168" s="1">
        <v>2016</v>
      </c>
      <c r="D2168" s="1">
        <v>83.85</v>
      </c>
    </row>
    <row r="2169" spans="1:4" x14ac:dyDescent="0.35">
      <c r="A2169" s="1" t="s">
        <v>126</v>
      </c>
      <c r="B2169" s="2"/>
      <c r="C2169" s="1">
        <v>2017</v>
      </c>
      <c r="D2169" s="1">
        <v>82.21</v>
      </c>
    </row>
    <row r="2170" spans="1:4" x14ac:dyDescent="0.35">
      <c r="A2170" s="1" t="s">
        <v>126</v>
      </c>
      <c r="B2170" s="2"/>
      <c r="C2170" s="1">
        <v>2018</v>
      </c>
      <c r="D2170" s="1">
        <v>82.37</v>
      </c>
    </row>
    <row r="2171" spans="1:4" x14ac:dyDescent="0.35">
      <c r="A2171" s="1" t="s">
        <v>126</v>
      </c>
      <c r="B2171" s="2"/>
      <c r="C2171" s="1">
        <v>2019</v>
      </c>
      <c r="D2171" s="1">
        <v>82.89</v>
      </c>
    </row>
    <row r="2172" spans="1:4" x14ac:dyDescent="0.35">
      <c r="A2172" s="1" t="s">
        <v>126</v>
      </c>
      <c r="B2172" s="2"/>
      <c r="C2172" s="1">
        <v>2020</v>
      </c>
      <c r="D2172" s="1">
        <v>82.9</v>
      </c>
    </row>
    <row r="2173" spans="1:4" x14ac:dyDescent="0.35">
      <c r="A2173" s="1" t="s">
        <v>126</v>
      </c>
      <c r="B2173" s="2"/>
      <c r="C2173" s="1">
        <v>2021</v>
      </c>
      <c r="D2173" s="1">
        <v>84.43</v>
      </c>
    </row>
    <row r="2174" spans="1:4" x14ac:dyDescent="0.35">
      <c r="A2174" s="1" t="s">
        <v>126</v>
      </c>
      <c r="B2174" s="2"/>
      <c r="C2174" s="1">
        <v>2022</v>
      </c>
      <c r="D2174" s="1">
        <v>86.3</v>
      </c>
    </row>
    <row r="2175" spans="1:4" x14ac:dyDescent="0.35">
      <c r="A2175" s="1" t="s">
        <v>126</v>
      </c>
      <c r="B2175" s="2"/>
      <c r="C2175" s="1">
        <v>2023</v>
      </c>
      <c r="D2175" s="1">
        <v>86.43</v>
      </c>
    </row>
    <row r="2176" spans="1:4" x14ac:dyDescent="0.35">
      <c r="A2176" s="1" t="s">
        <v>126</v>
      </c>
      <c r="B2176" s="2"/>
      <c r="C2176" s="1">
        <v>2024</v>
      </c>
      <c r="D2176" s="1">
        <v>86.64</v>
      </c>
    </row>
    <row r="2177" spans="1:4" x14ac:dyDescent="0.35">
      <c r="A2177" s="1" t="s">
        <v>126</v>
      </c>
      <c r="B2177" s="2" t="s">
        <v>136</v>
      </c>
      <c r="C2177" s="1">
        <v>2000</v>
      </c>
      <c r="D2177" s="1">
        <v>99.82</v>
      </c>
    </row>
    <row r="2178" spans="1:4" x14ac:dyDescent="0.35">
      <c r="A2178" s="1" t="s">
        <v>126</v>
      </c>
      <c r="B2178" s="2"/>
      <c r="C2178" s="1">
        <v>2001</v>
      </c>
      <c r="D2178" s="1">
        <v>99.85</v>
      </c>
    </row>
    <row r="2179" spans="1:4" x14ac:dyDescent="0.35">
      <c r="A2179" s="1" t="s">
        <v>126</v>
      </c>
      <c r="B2179" s="2"/>
      <c r="C2179" s="1">
        <v>2002</v>
      </c>
      <c r="D2179" s="1">
        <v>99.83</v>
      </c>
    </row>
    <row r="2180" spans="1:4" x14ac:dyDescent="0.35">
      <c r="A2180" s="1" t="s">
        <v>126</v>
      </c>
      <c r="B2180" s="2"/>
      <c r="C2180" s="1">
        <v>2003</v>
      </c>
      <c r="D2180" s="1">
        <v>99.83</v>
      </c>
    </row>
    <row r="2181" spans="1:4" x14ac:dyDescent="0.35">
      <c r="A2181" s="1" t="s">
        <v>126</v>
      </c>
      <c r="B2181" s="2"/>
      <c r="C2181" s="1">
        <v>2004</v>
      </c>
      <c r="D2181" s="1">
        <v>99.83</v>
      </c>
    </row>
    <row r="2182" spans="1:4" x14ac:dyDescent="0.35">
      <c r="A2182" s="1" t="s">
        <v>126</v>
      </c>
      <c r="B2182" s="2"/>
      <c r="C2182" s="1">
        <v>2005</v>
      </c>
      <c r="D2182" s="1">
        <v>99.84</v>
      </c>
    </row>
    <row r="2183" spans="1:4" x14ac:dyDescent="0.35">
      <c r="A2183" s="1" t="s">
        <v>126</v>
      </c>
      <c r="B2183" s="2"/>
      <c r="C2183" s="1">
        <v>2006</v>
      </c>
      <c r="D2183" s="1">
        <v>99.85</v>
      </c>
    </row>
    <row r="2184" spans="1:4" x14ac:dyDescent="0.35">
      <c r="A2184" s="1" t="s">
        <v>126</v>
      </c>
      <c r="B2184" s="2"/>
      <c r="C2184" s="1">
        <v>2007</v>
      </c>
      <c r="D2184" s="1">
        <v>99.87</v>
      </c>
    </row>
    <row r="2185" spans="1:4" x14ac:dyDescent="0.35">
      <c r="A2185" s="1" t="s">
        <v>126</v>
      </c>
      <c r="B2185" s="2"/>
      <c r="C2185" s="1">
        <v>2008</v>
      </c>
      <c r="D2185" s="1">
        <v>99.87</v>
      </c>
    </row>
    <row r="2186" spans="1:4" x14ac:dyDescent="0.35">
      <c r="A2186" s="1" t="s">
        <v>126</v>
      </c>
      <c r="B2186" s="2"/>
      <c r="C2186" s="1">
        <v>2009</v>
      </c>
      <c r="D2186" s="1">
        <v>99.87</v>
      </c>
    </row>
    <row r="2187" spans="1:4" x14ac:dyDescent="0.35">
      <c r="A2187" s="1" t="s">
        <v>126</v>
      </c>
      <c r="B2187" s="2"/>
      <c r="C2187" s="1">
        <v>2010</v>
      </c>
      <c r="D2187" s="1">
        <v>99.87</v>
      </c>
    </row>
    <row r="2188" spans="1:4" x14ac:dyDescent="0.35">
      <c r="A2188" s="1" t="s">
        <v>126</v>
      </c>
      <c r="B2188" s="2"/>
      <c r="C2188" s="1">
        <v>2011</v>
      </c>
      <c r="D2188" s="1">
        <v>99.87</v>
      </c>
    </row>
    <row r="2189" spans="1:4" x14ac:dyDescent="0.35">
      <c r="A2189" s="1" t="s">
        <v>126</v>
      </c>
      <c r="B2189" s="2"/>
      <c r="C2189" s="1">
        <v>2012</v>
      </c>
      <c r="D2189" s="1">
        <v>99.85</v>
      </c>
    </row>
    <row r="2190" spans="1:4" x14ac:dyDescent="0.35">
      <c r="A2190" s="1" t="s">
        <v>126</v>
      </c>
      <c r="B2190" s="2"/>
      <c r="C2190" s="1">
        <v>2013</v>
      </c>
      <c r="D2190" s="1">
        <v>99.85</v>
      </c>
    </row>
    <row r="2191" spans="1:4" x14ac:dyDescent="0.35">
      <c r="A2191" s="1" t="s">
        <v>126</v>
      </c>
      <c r="B2191" s="2"/>
      <c r="C2191" s="1">
        <v>2014</v>
      </c>
      <c r="D2191" s="1">
        <v>97.17</v>
      </c>
    </row>
    <row r="2192" spans="1:4" x14ac:dyDescent="0.35">
      <c r="A2192" s="1" t="s">
        <v>126</v>
      </c>
      <c r="B2192" s="2"/>
      <c r="C2192" s="1">
        <v>2015</v>
      </c>
      <c r="D2192" s="1">
        <v>97.01</v>
      </c>
    </row>
    <row r="2193" spans="1:4" x14ac:dyDescent="0.35">
      <c r="A2193" s="1" t="s">
        <v>126</v>
      </c>
      <c r="B2193" s="2"/>
      <c r="C2193" s="1">
        <v>2016</v>
      </c>
      <c r="D2193" s="1">
        <v>94.33</v>
      </c>
    </row>
    <row r="2194" spans="1:4" x14ac:dyDescent="0.35">
      <c r="A2194" s="1" t="s">
        <v>126</v>
      </c>
      <c r="B2194" s="2"/>
      <c r="C2194" s="1">
        <v>2017</v>
      </c>
      <c r="D2194" s="1">
        <v>86.37</v>
      </c>
    </row>
    <row r="2195" spans="1:4" x14ac:dyDescent="0.35">
      <c r="A2195" s="1" t="s">
        <v>126</v>
      </c>
      <c r="B2195" s="2"/>
      <c r="C2195" s="1">
        <v>2018</v>
      </c>
      <c r="D2195" s="1">
        <v>84.71</v>
      </c>
    </row>
    <row r="2196" spans="1:4" x14ac:dyDescent="0.35">
      <c r="A2196" s="1" t="s">
        <v>126</v>
      </c>
      <c r="B2196" s="2"/>
      <c r="C2196" s="1">
        <v>2019</v>
      </c>
      <c r="D2196" s="1">
        <v>82.93</v>
      </c>
    </row>
    <row r="2197" spans="1:4" x14ac:dyDescent="0.35">
      <c r="A2197" s="1" t="s">
        <v>126</v>
      </c>
      <c r="B2197" s="2"/>
      <c r="C2197" s="1">
        <v>2020</v>
      </c>
      <c r="D2197" s="1">
        <v>85.55</v>
      </c>
    </row>
    <row r="2198" spans="1:4" x14ac:dyDescent="0.35">
      <c r="A2198" s="1" t="s">
        <v>126</v>
      </c>
      <c r="B2198" s="2"/>
      <c r="C2198" s="1">
        <v>2021</v>
      </c>
      <c r="D2198" s="1">
        <v>92.05</v>
      </c>
    </row>
    <row r="2199" spans="1:4" x14ac:dyDescent="0.35">
      <c r="A2199" s="1" t="s">
        <v>126</v>
      </c>
      <c r="B2199" s="2"/>
      <c r="C2199" s="1">
        <v>2022</v>
      </c>
      <c r="D2199" s="1">
        <v>88.91</v>
      </c>
    </row>
    <row r="2200" spans="1:4" x14ac:dyDescent="0.35">
      <c r="A2200" s="1" t="s">
        <v>126</v>
      </c>
      <c r="B2200" s="2"/>
      <c r="C2200" s="1">
        <v>2023</v>
      </c>
      <c r="D2200" s="1">
        <v>89.06</v>
      </c>
    </row>
    <row r="2201" spans="1:4" x14ac:dyDescent="0.35">
      <c r="A2201" s="1" t="s">
        <v>126</v>
      </c>
      <c r="B2201" s="2"/>
      <c r="C2201" s="1">
        <v>2024</v>
      </c>
      <c r="D2201" s="1" t="s">
        <v>137</v>
      </c>
    </row>
    <row r="2202" spans="1:4" x14ac:dyDescent="0.35">
      <c r="A2202" s="1" t="s">
        <v>128</v>
      </c>
      <c r="B2202" s="2" t="s">
        <v>134</v>
      </c>
      <c r="C2202" s="1">
        <v>2000</v>
      </c>
      <c r="D2202" s="1">
        <v>37.979999999999997</v>
      </c>
    </row>
    <row r="2203" spans="1:4" x14ac:dyDescent="0.35">
      <c r="A2203" s="1" t="s">
        <v>128</v>
      </c>
      <c r="B2203" s="2"/>
      <c r="C2203" s="1">
        <v>2001</v>
      </c>
      <c r="D2203" s="1">
        <v>37.979999999999997</v>
      </c>
    </row>
    <row r="2204" spans="1:4" x14ac:dyDescent="0.35">
      <c r="A2204" s="1" t="s">
        <v>128</v>
      </c>
      <c r="B2204" s="2"/>
      <c r="C2204" s="1">
        <v>2002</v>
      </c>
      <c r="D2204" s="1">
        <v>38.619999999999997</v>
      </c>
    </row>
    <row r="2205" spans="1:4" x14ac:dyDescent="0.35">
      <c r="A2205" s="1" t="s">
        <v>128</v>
      </c>
      <c r="B2205" s="2"/>
      <c r="C2205" s="1">
        <v>2003</v>
      </c>
      <c r="D2205" s="1">
        <v>38.619999999999997</v>
      </c>
    </row>
    <row r="2206" spans="1:4" x14ac:dyDescent="0.35">
      <c r="A2206" s="1" t="s">
        <v>128</v>
      </c>
      <c r="B2206" s="2"/>
      <c r="C2206" s="1">
        <v>2004</v>
      </c>
      <c r="D2206" s="1">
        <v>38.619999999999997</v>
      </c>
    </row>
    <row r="2207" spans="1:4" x14ac:dyDescent="0.35">
      <c r="A2207" s="1" t="s">
        <v>128</v>
      </c>
      <c r="B2207" s="2"/>
      <c r="C2207" s="1">
        <v>2005</v>
      </c>
      <c r="D2207" s="1">
        <v>38.619999999999997</v>
      </c>
    </row>
    <row r="2208" spans="1:4" x14ac:dyDescent="0.35">
      <c r="A2208" s="1" t="s">
        <v>128</v>
      </c>
      <c r="B2208" s="2"/>
      <c r="C2208" s="1">
        <v>2006</v>
      </c>
      <c r="D2208" s="1">
        <v>38.619999999999997</v>
      </c>
    </row>
    <row r="2209" spans="1:4" x14ac:dyDescent="0.35">
      <c r="A2209" s="1" t="s">
        <v>128</v>
      </c>
      <c r="B2209" s="2"/>
      <c r="C2209" s="1">
        <v>2007</v>
      </c>
      <c r="D2209" s="1">
        <v>38.619999999999997</v>
      </c>
    </row>
    <row r="2210" spans="1:4" x14ac:dyDescent="0.35">
      <c r="A2210" s="1" t="s">
        <v>128</v>
      </c>
      <c r="B2210" s="2"/>
      <c r="C2210" s="1">
        <v>2008</v>
      </c>
      <c r="D2210" s="1">
        <v>41.17</v>
      </c>
    </row>
    <row r="2211" spans="1:4" x14ac:dyDescent="0.35">
      <c r="A2211" s="1" t="s">
        <v>128</v>
      </c>
      <c r="B2211" s="2"/>
      <c r="C2211" s="1">
        <v>2009</v>
      </c>
      <c r="D2211" s="1">
        <v>41.18</v>
      </c>
    </row>
    <row r="2212" spans="1:4" x14ac:dyDescent="0.35">
      <c r="A2212" s="1" t="s">
        <v>128</v>
      </c>
      <c r="B2212" s="2"/>
      <c r="C2212" s="1">
        <v>2010</v>
      </c>
      <c r="D2212" s="1">
        <v>41.21</v>
      </c>
    </row>
    <row r="2213" spans="1:4" x14ac:dyDescent="0.35">
      <c r="A2213" s="1" t="s">
        <v>128</v>
      </c>
      <c r="B2213" s="2"/>
      <c r="C2213" s="1">
        <v>2011</v>
      </c>
      <c r="D2213" s="1">
        <v>41.53</v>
      </c>
    </row>
    <row r="2214" spans="1:4" x14ac:dyDescent="0.35">
      <c r="A2214" s="1" t="s">
        <v>128</v>
      </c>
      <c r="B2214" s="2"/>
      <c r="C2214" s="1">
        <v>2012</v>
      </c>
      <c r="D2214" s="1">
        <v>41.56</v>
      </c>
    </row>
    <row r="2215" spans="1:4" x14ac:dyDescent="0.35">
      <c r="A2215" s="1" t="s">
        <v>128</v>
      </c>
      <c r="B2215" s="2"/>
      <c r="C2215" s="1">
        <v>2013</v>
      </c>
      <c r="D2215" s="1">
        <v>41.73</v>
      </c>
    </row>
    <row r="2216" spans="1:4" x14ac:dyDescent="0.35">
      <c r="A2216" s="1" t="s">
        <v>128</v>
      </c>
      <c r="B2216" s="2"/>
      <c r="C2216" s="1">
        <v>2014</v>
      </c>
      <c r="D2216" s="1">
        <v>41.75</v>
      </c>
    </row>
    <row r="2217" spans="1:4" x14ac:dyDescent="0.35">
      <c r="A2217" s="1" t="s">
        <v>128</v>
      </c>
      <c r="B2217" s="2"/>
      <c r="C2217" s="1">
        <v>2015</v>
      </c>
      <c r="D2217" s="1">
        <v>42.17</v>
      </c>
    </row>
    <row r="2218" spans="1:4" x14ac:dyDescent="0.35">
      <c r="A2218" s="1" t="s">
        <v>128</v>
      </c>
      <c r="B2218" s="2"/>
      <c r="C2218" s="1">
        <v>2016</v>
      </c>
      <c r="D2218" s="1">
        <v>42.28</v>
      </c>
    </row>
    <row r="2219" spans="1:4" x14ac:dyDescent="0.35">
      <c r="A2219" s="1" t="s">
        <v>128</v>
      </c>
      <c r="B2219" s="2"/>
      <c r="C2219" s="1">
        <v>2017</v>
      </c>
      <c r="D2219" s="1">
        <v>42.43</v>
      </c>
    </row>
    <row r="2220" spans="1:4" x14ac:dyDescent="0.35">
      <c r="A2220" s="1" t="s">
        <v>128</v>
      </c>
      <c r="B2220" s="2"/>
      <c r="C2220" s="1">
        <v>2018</v>
      </c>
      <c r="D2220" s="1">
        <v>49.75</v>
      </c>
    </row>
    <row r="2221" spans="1:4" x14ac:dyDescent="0.35">
      <c r="A2221" s="1" t="s">
        <v>128</v>
      </c>
      <c r="B2221" s="2"/>
      <c r="C2221" s="1">
        <v>2019</v>
      </c>
      <c r="D2221" s="1">
        <v>49.81</v>
      </c>
    </row>
    <row r="2222" spans="1:4" x14ac:dyDescent="0.35">
      <c r="A2222" s="1" t="s">
        <v>128</v>
      </c>
      <c r="B2222" s="2"/>
      <c r="C2222" s="1">
        <v>2020</v>
      </c>
      <c r="D2222" s="1">
        <v>49.86</v>
      </c>
    </row>
    <row r="2223" spans="1:4" x14ac:dyDescent="0.35">
      <c r="A2223" s="1" t="s">
        <v>128</v>
      </c>
      <c r="B2223" s="2"/>
      <c r="C2223" s="1">
        <v>2021</v>
      </c>
      <c r="D2223" s="1">
        <v>50.14</v>
      </c>
    </row>
    <row r="2224" spans="1:4" x14ac:dyDescent="0.35">
      <c r="A2224" s="1" t="s">
        <v>128</v>
      </c>
      <c r="B2224" s="2"/>
      <c r="C2224" s="1">
        <v>2022</v>
      </c>
      <c r="D2224" s="1">
        <v>49.39</v>
      </c>
    </row>
    <row r="2225" spans="1:4" x14ac:dyDescent="0.35">
      <c r="A2225" s="1" t="s">
        <v>128</v>
      </c>
      <c r="B2225" s="2"/>
      <c r="C2225" s="1">
        <v>2023</v>
      </c>
      <c r="D2225" s="1">
        <v>39.85</v>
      </c>
    </row>
    <row r="2226" spans="1:4" x14ac:dyDescent="0.35">
      <c r="A2226" s="1" t="s">
        <v>128</v>
      </c>
      <c r="B2226" s="2"/>
      <c r="C2226" s="1">
        <v>2024</v>
      </c>
      <c r="D2226" s="1">
        <v>40.97</v>
      </c>
    </row>
    <row r="2227" spans="1:4" x14ac:dyDescent="0.35">
      <c r="A2227" s="1" t="s">
        <v>128</v>
      </c>
      <c r="B2227" s="2" t="s">
        <v>136</v>
      </c>
      <c r="C2227" s="1">
        <v>2000</v>
      </c>
      <c r="D2227" s="1">
        <v>46.45</v>
      </c>
    </row>
    <row r="2228" spans="1:4" x14ac:dyDescent="0.35">
      <c r="A2228" s="1" t="s">
        <v>128</v>
      </c>
      <c r="B2228" s="2"/>
      <c r="C2228" s="1">
        <v>2001</v>
      </c>
      <c r="D2228" s="1">
        <v>38.619999999999997</v>
      </c>
    </row>
    <row r="2229" spans="1:4" x14ac:dyDescent="0.35">
      <c r="A2229" s="1" t="s">
        <v>128</v>
      </c>
      <c r="B2229" s="2"/>
      <c r="C2229" s="1">
        <v>2002</v>
      </c>
      <c r="D2229" s="1">
        <v>44.77</v>
      </c>
    </row>
    <row r="2230" spans="1:4" x14ac:dyDescent="0.35">
      <c r="A2230" s="1" t="s">
        <v>128</v>
      </c>
      <c r="B2230" s="2"/>
      <c r="C2230" s="1">
        <v>2003</v>
      </c>
      <c r="D2230" s="1">
        <v>60.68</v>
      </c>
    </row>
    <row r="2231" spans="1:4" x14ac:dyDescent="0.35">
      <c r="A2231" s="1" t="s">
        <v>128</v>
      </c>
      <c r="B2231" s="2"/>
      <c r="C2231" s="1">
        <v>2004</v>
      </c>
      <c r="D2231" s="1">
        <v>57</v>
      </c>
    </row>
    <row r="2232" spans="1:4" x14ac:dyDescent="0.35">
      <c r="A2232" s="1" t="s">
        <v>128</v>
      </c>
      <c r="B2232" s="2"/>
      <c r="C2232" s="1">
        <v>2005</v>
      </c>
      <c r="D2232" s="1">
        <v>52.58</v>
      </c>
    </row>
    <row r="2233" spans="1:4" x14ac:dyDescent="0.35">
      <c r="A2233" s="1" t="s">
        <v>128</v>
      </c>
      <c r="B2233" s="2"/>
      <c r="C2233" s="1">
        <v>2006</v>
      </c>
      <c r="D2233" s="1">
        <v>76.099999999999994</v>
      </c>
    </row>
    <row r="2234" spans="1:4" x14ac:dyDescent="0.35">
      <c r="A2234" s="1" t="s">
        <v>128</v>
      </c>
      <c r="B2234" s="2"/>
      <c r="C2234" s="1">
        <v>2007</v>
      </c>
      <c r="D2234" s="1">
        <v>78.33</v>
      </c>
    </row>
    <row r="2235" spans="1:4" x14ac:dyDescent="0.35">
      <c r="A2235" s="1" t="s">
        <v>128</v>
      </c>
      <c r="B2235" s="2"/>
      <c r="C2235" s="1">
        <v>2008</v>
      </c>
      <c r="D2235" s="1">
        <v>81.02</v>
      </c>
    </row>
    <row r="2236" spans="1:4" x14ac:dyDescent="0.35">
      <c r="A2236" s="1" t="s">
        <v>128</v>
      </c>
      <c r="B2236" s="2"/>
      <c r="C2236" s="1">
        <v>2009</v>
      </c>
      <c r="D2236" s="1">
        <v>80.87</v>
      </c>
    </row>
    <row r="2237" spans="1:4" x14ac:dyDescent="0.35">
      <c r="A2237" s="1" t="s">
        <v>128</v>
      </c>
      <c r="B2237" s="2"/>
      <c r="C2237" s="1">
        <v>2010</v>
      </c>
      <c r="D2237" s="1">
        <v>75.97</v>
      </c>
    </row>
    <row r="2238" spans="1:4" x14ac:dyDescent="0.35">
      <c r="A2238" s="1" t="s">
        <v>128</v>
      </c>
      <c r="B2238" s="2"/>
      <c r="C2238" s="1">
        <v>2011</v>
      </c>
      <c r="D2238" s="1">
        <v>70.44</v>
      </c>
    </row>
    <row r="2239" spans="1:4" x14ac:dyDescent="0.35">
      <c r="A2239" s="1" t="s">
        <v>128</v>
      </c>
      <c r="B2239" s="2"/>
      <c r="C2239" s="1">
        <v>2012</v>
      </c>
      <c r="D2239" s="1">
        <v>72.06</v>
      </c>
    </row>
    <row r="2240" spans="1:4" x14ac:dyDescent="0.35">
      <c r="A2240" s="1" t="s">
        <v>128</v>
      </c>
      <c r="B2240" s="2"/>
      <c r="C2240" s="1">
        <v>2013</v>
      </c>
      <c r="D2240" s="1">
        <v>69.75</v>
      </c>
    </row>
    <row r="2241" spans="1:4" x14ac:dyDescent="0.35">
      <c r="A2241" s="1" t="s">
        <v>128</v>
      </c>
      <c r="B2241" s="2"/>
      <c r="C2241" s="1">
        <v>2014</v>
      </c>
      <c r="D2241" s="1">
        <v>69.63</v>
      </c>
    </row>
    <row r="2242" spans="1:4" x14ac:dyDescent="0.35">
      <c r="A2242" s="1" t="s">
        <v>128</v>
      </c>
      <c r="B2242" s="2"/>
      <c r="C2242" s="1">
        <v>2015</v>
      </c>
      <c r="D2242" s="1">
        <v>68.89</v>
      </c>
    </row>
    <row r="2243" spans="1:4" x14ac:dyDescent="0.35">
      <c r="A2243" s="1" t="s">
        <v>128</v>
      </c>
      <c r="B2243" s="2"/>
      <c r="C2243" s="1">
        <v>2016</v>
      </c>
      <c r="D2243" s="1">
        <v>62.57</v>
      </c>
    </row>
    <row r="2244" spans="1:4" x14ac:dyDescent="0.35">
      <c r="A2244" s="1" t="s">
        <v>128</v>
      </c>
      <c r="B2244" s="2"/>
      <c r="C2244" s="1">
        <v>2017</v>
      </c>
      <c r="D2244" s="1">
        <v>67.75</v>
      </c>
    </row>
    <row r="2245" spans="1:4" x14ac:dyDescent="0.35">
      <c r="A2245" s="1" t="s">
        <v>128</v>
      </c>
      <c r="B2245" s="2"/>
      <c r="C2245" s="1">
        <v>2018</v>
      </c>
      <c r="D2245" s="1">
        <v>72.13</v>
      </c>
    </row>
    <row r="2246" spans="1:4" x14ac:dyDescent="0.35">
      <c r="A2246" s="1" t="s">
        <v>128</v>
      </c>
      <c r="B2246" s="2"/>
      <c r="C2246" s="1">
        <v>2019</v>
      </c>
      <c r="D2246" s="1">
        <v>72</v>
      </c>
    </row>
    <row r="2247" spans="1:4" x14ac:dyDescent="0.35">
      <c r="A2247" s="1" t="s">
        <v>128</v>
      </c>
      <c r="B2247" s="2"/>
      <c r="C2247" s="1">
        <v>2020</v>
      </c>
      <c r="D2247" s="1">
        <v>72.400000000000006</v>
      </c>
    </row>
    <row r="2248" spans="1:4" x14ac:dyDescent="0.35">
      <c r="A2248" s="1" t="s">
        <v>128</v>
      </c>
      <c r="B2248" s="2"/>
      <c r="C2248" s="1">
        <v>2021</v>
      </c>
      <c r="D2248" s="1">
        <v>77.53</v>
      </c>
    </row>
    <row r="2249" spans="1:4" x14ac:dyDescent="0.35">
      <c r="A2249" s="1" t="s">
        <v>128</v>
      </c>
      <c r="B2249" s="2"/>
      <c r="C2249" s="1">
        <v>2022</v>
      </c>
      <c r="D2249" s="1">
        <v>75.5</v>
      </c>
    </row>
    <row r="2250" spans="1:4" x14ac:dyDescent="0.35">
      <c r="A2250" s="1" t="s">
        <v>128</v>
      </c>
      <c r="B2250" s="2"/>
      <c r="C2250" s="1">
        <v>2023</v>
      </c>
      <c r="D2250" s="1">
        <v>64.98</v>
      </c>
    </row>
    <row r="2251" spans="1:4" x14ac:dyDescent="0.35">
      <c r="A2251" s="1" t="s">
        <v>128</v>
      </c>
      <c r="B2251" s="2"/>
      <c r="C2251" s="1">
        <v>2024</v>
      </c>
      <c r="D2251" s="1" t="s">
        <v>137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FC25-CDBF-47EF-8F5E-EC5081241FC7}">
  <sheetPr codeName="Sheet3"/>
  <dimension ref="A1:AB49"/>
  <sheetViews>
    <sheetView workbookViewId="0">
      <selection activeCell="E1766" sqref="E1766"/>
    </sheetView>
  </sheetViews>
  <sheetFormatPr defaultRowHeight="14.5" x14ac:dyDescent="0.35"/>
  <cols>
    <col min="1" max="1" width="20.453125" bestFit="1" customWidth="1"/>
    <col min="2" max="2" width="14.453125" bestFit="1" customWidth="1"/>
    <col min="3" max="3" width="21.90625" bestFit="1" customWidth="1"/>
    <col min="4" max="4" width="18.08984375" bestFit="1" customWidth="1"/>
    <col min="5" max="30" width="7.0898437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>
        <v>24.2</v>
      </c>
      <c r="F2">
        <v>20</v>
      </c>
      <c r="G2">
        <v>26.3</v>
      </c>
      <c r="H2">
        <v>27.4</v>
      </c>
      <c r="I2">
        <v>28.4</v>
      </c>
      <c r="J2">
        <v>29.4</v>
      </c>
      <c r="K2">
        <v>30.5</v>
      </c>
      <c r="L2">
        <v>37.5</v>
      </c>
      <c r="M2">
        <v>38.5</v>
      </c>
      <c r="N2">
        <v>33.799999999999997</v>
      </c>
      <c r="O2">
        <v>35</v>
      </c>
      <c r="P2">
        <v>34.6</v>
      </c>
      <c r="Q2">
        <v>37.299999999999997</v>
      </c>
      <c r="R2">
        <v>38.4</v>
      </c>
      <c r="S2">
        <v>32</v>
      </c>
      <c r="T2">
        <v>42</v>
      </c>
      <c r="U2">
        <v>41.8</v>
      </c>
      <c r="V2">
        <v>42.9</v>
      </c>
      <c r="W2">
        <v>45.3</v>
      </c>
      <c r="X2">
        <v>45.6</v>
      </c>
      <c r="Y2">
        <v>47</v>
      </c>
      <c r="Z2">
        <v>48.2</v>
      </c>
      <c r="AA2">
        <v>48.5</v>
      </c>
      <c r="AB2">
        <v>51.1</v>
      </c>
    </row>
    <row r="3" spans="1:28" x14ac:dyDescent="0.35">
      <c r="A3" t="s">
        <v>32</v>
      </c>
      <c r="B3" t="s">
        <v>33</v>
      </c>
      <c r="C3" t="s">
        <v>30</v>
      </c>
      <c r="D3" t="s">
        <v>34</v>
      </c>
      <c r="E3">
        <v>2.5</v>
      </c>
      <c r="F3">
        <v>2.8</v>
      </c>
      <c r="G3">
        <v>3.1</v>
      </c>
      <c r="H3">
        <v>3.4</v>
      </c>
      <c r="I3">
        <v>3.7</v>
      </c>
      <c r="J3">
        <v>3.2</v>
      </c>
      <c r="K3">
        <v>2.7</v>
      </c>
      <c r="L3">
        <v>4.7</v>
      </c>
      <c r="M3">
        <v>4.8</v>
      </c>
      <c r="N3">
        <v>5.4</v>
      </c>
      <c r="O3">
        <v>5.3</v>
      </c>
      <c r="P3">
        <v>6.2</v>
      </c>
      <c r="Q3">
        <v>6.5</v>
      </c>
      <c r="R3">
        <v>6.9</v>
      </c>
      <c r="S3">
        <v>7</v>
      </c>
      <c r="T3">
        <v>7.9</v>
      </c>
      <c r="U3">
        <v>8.5</v>
      </c>
      <c r="V3">
        <v>9.3000000000000007</v>
      </c>
      <c r="W3">
        <v>9.5</v>
      </c>
      <c r="X3">
        <v>9.8000000000000007</v>
      </c>
      <c r="Y3">
        <v>9.1</v>
      </c>
      <c r="Z3">
        <v>10.199999999999999</v>
      </c>
      <c r="AA3">
        <v>10.3</v>
      </c>
      <c r="AB3">
        <v>11.6</v>
      </c>
    </row>
    <row r="4" spans="1:28" x14ac:dyDescent="0.35">
      <c r="A4" t="s">
        <v>35</v>
      </c>
      <c r="B4" t="s">
        <v>36</v>
      </c>
      <c r="C4" t="s">
        <v>30</v>
      </c>
      <c r="D4" t="s">
        <v>31</v>
      </c>
      <c r="E4">
        <v>21.5</v>
      </c>
      <c r="F4">
        <v>21.9</v>
      </c>
      <c r="G4">
        <v>23.4</v>
      </c>
      <c r="H4">
        <v>24.3</v>
      </c>
      <c r="I4">
        <v>25.2</v>
      </c>
      <c r="J4">
        <v>26.1</v>
      </c>
      <c r="K4">
        <v>27.9</v>
      </c>
      <c r="L4">
        <v>28</v>
      </c>
      <c r="M4">
        <v>29</v>
      </c>
      <c r="N4">
        <v>30</v>
      </c>
      <c r="O4">
        <v>34.200000000000003</v>
      </c>
      <c r="P4">
        <v>36.9</v>
      </c>
      <c r="Q4">
        <v>38.4</v>
      </c>
      <c r="R4">
        <v>34.700000000000003</v>
      </c>
      <c r="S4">
        <v>34.1</v>
      </c>
      <c r="T4">
        <v>29.6</v>
      </c>
      <c r="U4">
        <v>37</v>
      </c>
      <c r="V4">
        <v>34.5</v>
      </c>
      <c r="W4">
        <v>39</v>
      </c>
      <c r="X4">
        <v>40</v>
      </c>
      <c r="Y4">
        <v>41</v>
      </c>
      <c r="Z4">
        <v>42</v>
      </c>
      <c r="AA4">
        <v>56.5</v>
      </c>
      <c r="AB4">
        <v>57</v>
      </c>
    </row>
    <row r="5" spans="1:28" x14ac:dyDescent="0.35">
      <c r="A5" t="s">
        <v>37</v>
      </c>
      <c r="B5" t="s">
        <v>38</v>
      </c>
      <c r="C5" t="s">
        <v>30</v>
      </c>
      <c r="D5" t="s">
        <v>34</v>
      </c>
      <c r="E5">
        <v>9.1</v>
      </c>
      <c r="F5">
        <v>9.5</v>
      </c>
      <c r="G5">
        <v>9.9</v>
      </c>
      <c r="H5">
        <v>11.4</v>
      </c>
      <c r="I5">
        <v>10.7</v>
      </c>
      <c r="J5">
        <v>11.1</v>
      </c>
      <c r="K5">
        <v>11.6</v>
      </c>
      <c r="L5">
        <v>12</v>
      </c>
      <c r="M5">
        <v>12.5</v>
      </c>
      <c r="N5">
        <v>12.6</v>
      </c>
      <c r="O5">
        <v>13.1</v>
      </c>
      <c r="P5">
        <v>14.8</v>
      </c>
      <c r="Q5">
        <v>15.1</v>
      </c>
      <c r="R5">
        <v>15.4</v>
      </c>
      <c r="S5">
        <v>19.2</v>
      </c>
      <c r="T5">
        <v>16.2</v>
      </c>
      <c r="U5">
        <v>16.600000000000001</v>
      </c>
      <c r="V5">
        <v>17</v>
      </c>
      <c r="W5">
        <v>14.4</v>
      </c>
      <c r="X5">
        <v>17.600000000000001</v>
      </c>
      <c r="Y5">
        <v>18.5</v>
      </c>
      <c r="Z5">
        <v>19</v>
      </c>
      <c r="AA5">
        <v>19.5</v>
      </c>
      <c r="AB5">
        <v>21.7</v>
      </c>
    </row>
    <row r="6" spans="1:28" x14ac:dyDescent="0.35">
      <c r="A6" t="s">
        <v>39</v>
      </c>
      <c r="B6" t="s">
        <v>40</v>
      </c>
      <c r="C6" t="s">
        <v>30</v>
      </c>
      <c r="D6" t="s">
        <v>41</v>
      </c>
      <c r="E6">
        <v>26.5</v>
      </c>
      <c r="F6">
        <v>24.8</v>
      </c>
      <c r="G6">
        <v>27</v>
      </c>
      <c r="H6">
        <v>33.1</v>
      </c>
      <c r="I6">
        <v>35.299999999999997</v>
      </c>
      <c r="J6">
        <v>37.5</v>
      </c>
      <c r="K6">
        <v>39.700000000000003</v>
      </c>
      <c r="L6">
        <v>41.9</v>
      </c>
      <c r="M6">
        <v>44.5</v>
      </c>
      <c r="N6">
        <v>43.4</v>
      </c>
      <c r="O6">
        <v>52</v>
      </c>
      <c r="P6">
        <v>53.2</v>
      </c>
      <c r="Q6">
        <v>56</v>
      </c>
      <c r="R6">
        <v>58</v>
      </c>
      <c r="S6">
        <v>60</v>
      </c>
      <c r="T6">
        <v>62.1</v>
      </c>
      <c r="U6">
        <v>64.2</v>
      </c>
      <c r="V6">
        <v>67.400000000000006</v>
      </c>
      <c r="W6">
        <v>68.3</v>
      </c>
      <c r="X6">
        <v>70.099999999999994</v>
      </c>
      <c r="Y6">
        <v>71.8</v>
      </c>
      <c r="Z6">
        <v>73.7</v>
      </c>
      <c r="AA6">
        <v>75.900000000000006</v>
      </c>
      <c r="AB6">
        <v>76</v>
      </c>
    </row>
    <row r="7" spans="1:28" x14ac:dyDescent="0.35">
      <c r="A7" t="s">
        <v>42</v>
      </c>
      <c r="B7" t="s">
        <v>43</v>
      </c>
      <c r="C7" t="s">
        <v>30</v>
      </c>
      <c r="D7" t="s">
        <v>34</v>
      </c>
      <c r="E7">
        <v>6</v>
      </c>
      <c r="F7">
        <v>5.7</v>
      </c>
      <c r="G7">
        <v>6.1</v>
      </c>
      <c r="H7">
        <v>6.6</v>
      </c>
      <c r="I7">
        <v>7</v>
      </c>
      <c r="J7">
        <v>7.4</v>
      </c>
      <c r="K7">
        <v>7.8</v>
      </c>
      <c r="L7">
        <v>8.4</v>
      </c>
      <c r="M7">
        <v>7.5</v>
      </c>
      <c r="N7">
        <v>9.4</v>
      </c>
      <c r="O7">
        <v>9.8000000000000007</v>
      </c>
      <c r="P7">
        <v>10.4</v>
      </c>
      <c r="Q7">
        <v>11</v>
      </c>
      <c r="R7">
        <v>11.5</v>
      </c>
      <c r="S7">
        <v>12</v>
      </c>
      <c r="T7">
        <v>12.7</v>
      </c>
      <c r="U7">
        <v>13.4</v>
      </c>
      <c r="V7">
        <v>14.1</v>
      </c>
      <c r="W7">
        <v>14.6</v>
      </c>
      <c r="X7">
        <v>14.3</v>
      </c>
      <c r="Y7">
        <v>15.4</v>
      </c>
      <c r="Z7">
        <v>15.7</v>
      </c>
      <c r="AA7">
        <v>15.7</v>
      </c>
      <c r="AB7">
        <v>17.600000000000001</v>
      </c>
    </row>
    <row r="8" spans="1:28" x14ac:dyDescent="0.35">
      <c r="A8" t="s">
        <v>44</v>
      </c>
      <c r="B8" t="s">
        <v>45</v>
      </c>
      <c r="C8" t="s">
        <v>30</v>
      </c>
      <c r="D8" t="s">
        <v>31</v>
      </c>
      <c r="E8">
        <v>41</v>
      </c>
      <c r="F8">
        <v>46.2</v>
      </c>
      <c r="G8">
        <v>44</v>
      </c>
      <c r="H8">
        <v>45.1</v>
      </c>
      <c r="I8">
        <v>47.1</v>
      </c>
      <c r="J8">
        <v>47.2</v>
      </c>
      <c r="K8">
        <v>49</v>
      </c>
      <c r="L8">
        <v>48.2</v>
      </c>
      <c r="M8">
        <v>50.6</v>
      </c>
      <c r="N8">
        <v>51.7</v>
      </c>
      <c r="O8">
        <v>52.8</v>
      </c>
      <c r="P8">
        <v>53.7</v>
      </c>
      <c r="Q8">
        <v>55.2</v>
      </c>
      <c r="R8">
        <v>56.3</v>
      </c>
      <c r="S8">
        <v>56.8</v>
      </c>
      <c r="T8">
        <v>58.6</v>
      </c>
      <c r="U8">
        <v>59.8</v>
      </c>
      <c r="V8">
        <v>60.9</v>
      </c>
      <c r="W8">
        <v>62.2</v>
      </c>
      <c r="X8">
        <v>63.2</v>
      </c>
      <c r="Y8">
        <v>64.3</v>
      </c>
      <c r="Z8">
        <v>65.400000000000006</v>
      </c>
      <c r="AA8">
        <v>71</v>
      </c>
      <c r="AB8">
        <v>72</v>
      </c>
    </row>
    <row r="9" spans="1:28" x14ac:dyDescent="0.35">
      <c r="A9" t="s">
        <v>46</v>
      </c>
      <c r="B9" t="s">
        <v>47</v>
      </c>
      <c r="C9" t="s">
        <v>30</v>
      </c>
      <c r="D9" t="s">
        <v>31</v>
      </c>
      <c r="E9">
        <v>39.799999999999997</v>
      </c>
      <c r="F9">
        <v>42</v>
      </c>
      <c r="G9">
        <v>44.8</v>
      </c>
      <c r="H9">
        <v>46.5</v>
      </c>
      <c r="I9">
        <v>48.7</v>
      </c>
      <c r="J9">
        <v>51</v>
      </c>
      <c r="K9">
        <v>53.2</v>
      </c>
      <c r="L9">
        <v>55.5</v>
      </c>
      <c r="M9">
        <v>57.8</v>
      </c>
      <c r="N9">
        <v>60.1</v>
      </c>
      <c r="O9">
        <v>69.7</v>
      </c>
      <c r="P9">
        <v>69.3</v>
      </c>
      <c r="Q9">
        <v>69.3</v>
      </c>
      <c r="R9">
        <v>69.400000000000006</v>
      </c>
      <c r="S9">
        <v>71.8</v>
      </c>
      <c r="T9">
        <v>74.099999999999994</v>
      </c>
      <c r="U9">
        <v>76.400000000000006</v>
      </c>
      <c r="V9">
        <v>78.7</v>
      </c>
      <c r="W9">
        <v>81</v>
      </c>
      <c r="X9">
        <v>83.3</v>
      </c>
      <c r="Y9">
        <v>85.6</v>
      </c>
      <c r="Z9">
        <v>87.9</v>
      </c>
      <c r="AA9">
        <v>89.9</v>
      </c>
      <c r="AB9">
        <v>89.8</v>
      </c>
    </row>
    <row r="10" spans="1:28" x14ac:dyDescent="0.35">
      <c r="A10" t="s">
        <v>48</v>
      </c>
      <c r="B10" t="s">
        <v>49</v>
      </c>
      <c r="C10" t="s">
        <v>30</v>
      </c>
      <c r="D10" t="s">
        <v>41</v>
      </c>
      <c r="E10">
        <v>58.6</v>
      </c>
      <c r="F10">
        <v>60.3</v>
      </c>
      <c r="G10">
        <v>58.6</v>
      </c>
      <c r="H10">
        <v>63.7</v>
      </c>
      <c r="I10">
        <v>65.400000000000006</v>
      </c>
      <c r="J10">
        <v>67</v>
      </c>
      <c r="K10">
        <v>68.8</v>
      </c>
      <c r="L10">
        <v>70.5</v>
      </c>
      <c r="M10">
        <v>72.3</v>
      </c>
      <c r="N10">
        <v>74.099999999999994</v>
      </c>
      <c r="O10">
        <v>81.099999999999994</v>
      </c>
      <c r="P10">
        <v>82.3</v>
      </c>
      <c r="Q10">
        <v>83.2</v>
      </c>
      <c r="R10">
        <v>84.3</v>
      </c>
      <c r="S10">
        <v>85.3</v>
      </c>
      <c r="T10">
        <v>86.4</v>
      </c>
      <c r="U10">
        <v>87.5</v>
      </c>
      <c r="V10">
        <v>88.6</v>
      </c>
      <c r="W10">
        <v>90.2</v>
      </c>
      <c r="X10">
        <v>91.4</v>
      </c>
      <c r="Y10">
        <v>93.7</v>
      </c>
      <c r="Z10">
        <v>95.5</v>
      </c>
      <c r="AA10">
        <v>97.1</v>
      </c>
      <c r="AB10">
        <v>98.6</v>
      </c>
    </row>
    <row r="11" spans="1:28" x14ac:dyDescent="0.35">
      <c r="A11" t="s">
        <v>50</v>
      </c>
      <c r="B11" t="s">
        <v>51</v>
      </c>
      <c r="C11" t="s">
        <v>52</v>
      </c>
      <c r="D11" t="s">
        <v>31</v>
      </c>
      <c r="E11">
        <v>56</v>
      </c>
      <c r="F11">
        <v>56.1</v>
      </c>
      <c r="G11">
        <v>49.7</v>
      </c>
      <c r="H11">
        <v>56.4</v>
      </c>
      <c r="I11">
        <v>56.6</v>
      </c>
      <c r="J11">
        <v>56.8</v>
      </c>
      <c r="K11">
        <v>55.5</v>
      </c>
      <c r="L11">
        <v>57.2</v>
      </c>
      <c r="M11">
        <v>57.4</v>
      </c>
      <c r="N11">
        <v>57.6</v>
      </c>
      <c r="O11">
        <v>57.9</v>
      </c>
      <c r="P11">
        <v>58.1</v>
      </c>
      <c r="Q11">
        <v>54.6</v>
      </c>
      <c r="R11">
        <v>58.6</v>
      </c>
      <c r="S11">
        <v>58.9</v>
      </c>
      <c r="T11">
        <v>59.1</v>
      </c>
      <c r="U11">
        <v>59.8</v>
      </c>
      <c r="V11">
        <v>60.2</v>
      </c>
      <c r="W11">
        <v>62.4</v>
      </c>
      <c r="X11">
        <v>64.7</v>
      </c>
      <c r="Y11">
        <v>64.5</v>
      </c>
      <c r="Z11">
        <v>65.400000000000006</v>
      </c>
      <c r="AA11">
        <v>65</v>
      </c>
      <c r="AB11">
        <v>65.2</v>
      </c>
    </row>
    <row r="12" spans="1:28" x14ac:dyDescent="0.35">
      <c r="A12" t="s">
        <v>53</v>
      </c>
      <c r="B12" t="s">
        <v>54</v>
      </c>
      <c r="C12" t="s">
        <v>52</v>
      </c>
      <c r="D12" t="s">
        <v>41</v>
      </c>
      <c r="E12">
        <v>98.6</v>
      </c>
      <c r="F12">
        <v>98.6</v>
      </c>
      <c r="G12">
        <v>98.6</v>
      </c>
      <c r="H12">
        <v>98.6</v>
      </c>
      <c r="I12">
        <v>98.6</v>
      </c>
      <c r="J12">
        <v>98.6</v>
      </c>
      <c r="K12">
        <v>98.7</v>
      </c>
      <c r="L12">
        <v>98.7</v>
      </c>
      <c r="M12">
        <v>99.3</v>
      </c>
      <c r="N12">
        <v>98.8</v>
      </c>
      <c r="O12">
        <v>98.9</v>
      </c>
      <c r="P12">
        <v>99</v>
      </c>
      <c r="Q12">
        <v>98.8</v>
      </c>
      <c r="R12">
        <v>99.2</v>
      </c>
      <c r="S12">
        <v>99.3</v>
      </c>
      <c r="T12">
        <v>99.4</v>
      </c>
      <c r="U12">
        <v>99.4</v>
      </c>
      <c r="V12">
        <v>99.5</v>
      </c>
      <c r="W12">
        <v>99.6</v>
      </c>
      <c r="X12">
        <v>99.5</v>
      </c>
      <c r="Y12">
        <v>99.7</v>
      </c>
      <c r="Z12">
        <v>99.8</v>
      </c>
      <c r="AA12">
        <v>100</v>
      </c>
      <c r="AB12">
        <v>100</v>
      </c>
    </row>
    <row r="13" spans="1:28" x14ac:dyDescent="0.35">
      <c r="A13" t="s">
        <v>55</v>
      </c>
      <c r="B13" t="s">
        <v>56</v>
      </c>
      <c r="C13" t="s">
        <v>30</v>
      </c>
      <c r="D13" t="s">
        <v>34</v>
      </c>
      <c r="E13">
        <v>29.3</v>
      </c>
      <c r="F13">
        <v>30.3</v>
      </c>
      <c r="G13">
        <v>32.200000000000003</v>
      </c>
      <c r="H13">
        <v>32.4</v>
      </c>
      <c r="I13">
        <v>33.4</v>
      </c>
      <c r="J13">
        <v>34.5</v>
      </c>
      <c r="K13">
        <v>35.6</v>
      </c>
      <c r="L13">
        <v>36.700000000000003</v>
      </c>
      <c r="M13">
        <v>37.799999999999997</v>
      </c>
      <c r="N13">
        <v>38.9</v>
      </c>
      <c r="O13">
        <v>40.1</v>
      </c>
      <c r="P13">
        <v>41.2</v>
      </c>
      <c r="Q13">
        <v>42.3</v>
      </c>
      <c r="R13">
        <v>43.5</v>
      </c>
      <c r="S13">
        <v>44.6</v>
      </c>
      <c r="T13">
        <v>45.8</v>
      </c>
      <c r="U13">
        <v>46.9</v>
      </c>
      <c r="V13">
        <v>48</v>
      </c>
      <c r="W13">
        <v>49.1</v>
      </c>
      <c r="X13">
        <v>50.3</v>
      </c>
      <c r="Y13">
        <v>51.4</v>
      </c>
      <c r="Z13">
        <v>52.5</v>
      </c>
      <c r="AA13">
        <v>53.4</v>
      </c>
      <c r="AB13">
        <v>54.4</v>
      </c>
    </row>
    <row r="14" spans="1:28" x14ac:dyDescent="0.35">
      <c r="A14" t="s">
        <v>57</v>
      </c>
      <c r="B14" t="s">
        <v>58</v>
      </c>
      <c r="C14" t="s">
        <v>30</v>
      </c>
      <c r="D14" t="s">
        <v>34</v>
      </c>
      <c r="E14">
        <v>12.7</v>
      </c>
      <c r="F14">
        <v>10.199999999999999</v>
      </c>
      <c r="G14">
        <v>11.9</v>
      </c>
      <c r="H14">
        <v>13.5</v>
      </c>
      <c r="I14">
        <v>15.2</v>
      </c>
      <c r="J14">
        <v>14</v>
      </c>
      <c r="K14">
        <v>18.600000000000001</v>
      </c>
      <c r="L14">
        <v>20.3</v>
      </c>
      <c r="M14">
        <v>22</v>
      </c>
      <c r="N14">
        <v>23.7</v>
      </c>
      <c r="O14">
        <v>25.5</v>
      </c>
      <c r="P14">
        <v>23</v>
      </c>
      <c r="Q14">
        <v>29</v>
      </c>
      <c r="R14">
        <v>30.8</v>
      </c>
      <c r="S14">
        <v>27.2</v>
      </c>
      <c r="T14">
        <v>29</v>
      </c>
      <c r="U14">
        <v>42.9</v>
      </c>
      <c r="V14">
        <v>44.3</v>
      </c>
      <c r="W14">
        <v>44.8</v>
      </c>
      <c r="X14">
        <v>48</v>
      </c>
      <c r="Y14">
        <v>51.1</v>
      </c>
      <c r="Z14">
        <v>54.2</v>
      </c>
      <c r="AA14">
        <v>55.4</v>
      </c>
      <c r="AB14">
        <v>55.4</v>
      </c>
    </row>
    <row r="15" spans="1:28" x14ac:dyDescent="0.35">
      <c r="A15" t="s">
        <v>59</v>
      </c>
      <c r="B15" t="s">
        <v>60</v>
      </c>
      <c r="C15" t="s">
        <v>30</v>
      </c>
      <c r="D15" t="s">
        <v>41</v>
      </c>
      <c r="E15">
        <v>73.599999999999994</v>
      </c>
      <c r="F15">
        <v>77.2</v>
      </c>
      <c r="G15">
        <v>77.8</v>
      </c>
      <c r="H15">
        <v>78.5</v>
      </c>
      <c r="I15">
        <v>79.2</v>
      </c>
      <c r="J15">
        <v>81.599999999999994</v>
      </c>
      <c r="K15">
        <v>80.5</v>
      </c>
      <c r="L15">
        <v>81.3</v>
      </c>
      <c r="M15">
        <v>82</v>
      </c>
      <c r="N15">
        <v>82.7</v>
      </c>
      <c r="O15">
        <v>89.3</v>
      </c>
      <c r="P15">
        <v>88.7</v>
      </c>
      <c r="Q15">
        <v>89.3</v>
      </c>
      <c r="R15">
        <v>86.4</v>
      </c>
      <c r="S15">
        <v>87.1</v>
      </c>
      <c r="T15">
        <v>87.3</v>
      </c>
      <c r="U15">
        <v>88.1</v>
      </c>
      <c r="V15">
        <v>86.3</v>
      </c>
      <c r="W15">
        <v>89.6</v>
      </c>
      <c r="X15">
        <v>90.3</v>
      </c>
      <c r="Y15">
        <v>91.1</v>
      </c>
      <c r="Z15">
        <v>91.8</v>
      </c>
      <c r="AA15">
        <v>93.5</v>
      </c>
      <c r="AB15">
        <v>94.1</v>
      </c>
    </row>
    <row r="16" spans="1:28" x14ac:dyDescent="0.35">
      <c r="A16" t="s">
        <v>61</v>
      </c>
      <c r="B16" t="s">
        <v>62</v>
      </c>
      <c r="C16" t="s">
        <v>30</v>
      </c>
      <c r="D16" t="s">
        <v>31</v>
      </c>
      <c r="E16">
        <v>43.7</v>
      </c>
      <c r="F16">
        <v>44.8</v>
      </c>
      <c r="G16">
        <v>46.8</v>
      </c>
      <c r="H16">
        <v>48.3</v>
      </c>
      <c r="I16">
        <v>50.8</v>
      </c>
      <c r="J16">
        <v>41.3</v>
      </c>
      <c r="K16">
        <v>55.1</v>
      </c>
      <c r="L16">
        <v>56.9</v>
      </c>
      <c r="M16">
        <v>60.5</v>
      </c>
      <c r="N16">
        <v>61.1</v>
      </c>
      <c r="O16">
        <v>64.2</v>
      </c>
      <c r="P16">
        <v>64.099999999999994</v>
      </c>
      <c r="Q16">
        <v>56.5</v>
      </c>
      <c r="R16">
        <v>70.7</v>
      </c>
      <c r="S16">
        <v>78.3</v>
      </c>
      <c r="T16">
        <v>74</v>
      </c>
      <c r="U16">
        <v>79.3</v>
      </c>
      <c r="V16">
        <v>79</v>
      </c>
      <c r="W16">
        <v>80.400000000000006</v>
      </c>
      <c r="X16">
        <v>83.5</v>
      </c>
      <c r="Y16">
        <v>85.4</v>
      </c>
      <c r="Z16">
        <v>86.3</v>
      </c>
      <c r="AA16">
        <v>85.1</v>
      </c>
      <c r="AB16">
        <v>89.5</v>
      </c>
    </row>
    <row r="17" spans="1:28" x14ac:dyDescent="0.35">
      <c r="A17" t="s">
        <v>63</v>
      </c>
      <c r="B17" t="s">
        <v>64</v>
      </c>
      <c r="C17" t="s">
        <v>30</v>
      </c>
      <c r="D17" t="s">
        <v>31</v>
      </c>
      <c r="E17">
        <v>15.2</v>
      </c>
      <c r="F17">
        <v>16.399999999999999</v>
      </c>
      <c r="G17">
        <v>17.7</v>
      </c>
      <c r="H17">
        <v>18.899999999999999</v>
      </c>
      <c r="I17">
        <v>20.2</v>
      </c>
      <c r="J17">
        <v>20.2</v>
      </c>
      <c r="K17">
        <v>22.8</v>
      </c>
      <c r="L17">
        <v>24.1</v>
      </c>
      <c r="M17">
        <v>25.4</v>
      </c>
      <c r="N17">
        <v>26.7</v>
      </c>
      <c r="O17">
        <v>28.1</v>
      </c>
      <c r="P17">
        <v>29.5</v>
      </c>
      <c r="Q17">
        <v>26.2</v>
      </c>
      <c r="R17">
        <v>32.200000000000003</v>
      </c>
      <c r="S17">
        <v>33.5</v>
      </c>
      <c r="T17">
        <v>34.9</v>
      </c>
      <c r="U17">
        <v>33.5</v>
      </c>
      <c r="V17">
        <v>35.4</v>
      </c>
      <c r="W17">
        <v>45</v>
      </c>
      <c r="X17">
        <v>42.2</v>
      </c>
      <c r="Y17">
        <v>44.7</v>
      </c>
      <c r="Z17">
        <v>46.8</v>
      </c>
      <c r="AA17">
        <v>47.7</v>
      </c>
      <c r="AB17">
        <v>51.1</v>
      </c>
    </row>
    <row r="18" spans="1:28" x14ac:dyDescent="0.35">
      <c r="A18" t="s">
        <v>65</v>
      </c>
      <c r="B18" t="s">
        <v>66</v>
      </c>
      <c r="C18" t="s">
        <v>30</v>
      </c>
      <c r="D18" t="s">
        <v>34</v>
      </c>
      <c r="G18">
        <v>1.3</v>
      </c>
      <c r="H18">
        <v>2.6</v>
      </c>
      <c r="I18">
        <v>3.9</v>
      </c>
      <c r="J18">
        <v>5.2</v>
      </c>
      <c r="K18">
        <v>14.5</v>
      </c>
      <c r="L18">
        <v>7.9</v>
      </c>
      <c r="M18">
        <v>9.3000000000000007</v>
      </c>
      <c r="N18">
        <v>4.7</v>
      </c>
      <c r="O18">
        <v>6</v>
      </c>
      <c r="P18">
        <v>13.5</v>
      </c>
      <c r="Q18">
        <v>14.9</v>
      </c>
      <c r="R18">
        <v>16.3</v>
      </c>
      <c r="S18">
        <v>17.2</v>
      </c>
      <c r="T18">
        <v>20.100000000000001</v>
      </c>
      <c r="U18">
        <v>22.9</v>
      </c>
      <c r="V18">
        <v>26</v>
      </c>
      <c r="W18">
        <v>28.4</v>
      </c>
      <c r="X18">
        <v>30.9</v>
      </c>
      <c r="Y18">
        <v>33.4</v>
      </c>
      <c r="Z18">
        <v>35.799999999999997</v>
      </c>
      <c r="AA18">
        <v>37.4</v>
      </c>
      <c r="AB18">
        <v>40.5</v>
      </c>
    </row>
    <row r="19" spans="1:28" x14ac:dyDescent="0.35">
      <c r="A19" t="s">
        <v>67</v>
      </c>
      <c r="B19" t="s">
        <v>68</v>
      </c>
      <c r="C19" t="s">
        <v>30</v>
      </c>
      <c r="D19" t="s">
        <v>41</v>
      </c>
      <c r="E19">
        <v>64.8</v>
      </c>
      <c r="F19">
        <v>64.900000000000006</v>
      </c>
      <c r="G19">
        <v>64.900000000000006</v>
      </c>
      <c r="H19">
        <v>64.900000000000006</v>
      </c>
      <c r="I19">
        <v>64.900000000000006</v>
      </c>
      <c r="J19">
        <v>65</v>
      </c>
      <c r="K19">
        <v>65.099999999999994</v>
      </c>
      <c r="L19">
        <v>65.099999999999994</v>
      </c>
      <c r="M19">
        <v>65.2</v>
      </c>
      <c r="N19">
        <v>65.400000000000006</v>
      </c>
      <c r="O19">
        <v>66.099999999999994</v>
      </c>
      <c r="P19">
        <v>66.099999999999994</v>
      </c>
      <c r="Q19">
        <v>65.7</v>
      </c>
      <c r="R19">
        <v>65.900000000000006</v>
      </c>
      <c r="S19">
        <v>66</v>
      </c>
      <c r="T19">
        <v>66.099999999999994</v>
      </c>
      <c r="U19">
        <v>66.2</v>
      </c>
      <c r="V19">
        <v>66.400000000000006</v>
      </c>
      <c r="W19">
        <v>66.5</v>
      </c>
      <c r="X19">
        <v>66.599999999999994</v>
      </c>
      <c r="Y19">
        <v>66.7</v>
      </c>
      <c r="Z19">
        <v>66.8</v>
      </c>
      <c r="AA19">
        <v>67</v>
      </c>
      <c r="AB19">
        <v>66.900000000000006</v>
      </c>
    </row>
    <row r="20" spans="1:28" x14ac:dyDescent="0.35">
      <c r="A20" t="s">
        <v>69</v>
      </c>
      <c r="B20" t="s">
        <v>70</v>
      </c>
      <c r="C20" t="s">
        <v>30</v>
      </c>
      <c r="D20" t="s">
        <v>31</v>
      </c>
      <c r="E20">
        <v>15.2</v>
      </c>
      <c r="F20">
        <v>17</v>
      </c>
      <c r="G20">
        <v>18.899999999999999</v>
      </c>
      <c r="H20">
        <v>16</v>
      </c>
      <c r="I20">
        <v>22.6</v>
      </c>
      <c r="J20">
        <v>24.5</v>
      </c>
      <c r="K20">
        <v>26.4</v>
      </c>
      <c r="L20">
        <v>28.3</v>
      </c>
      <c r="M20">
        <v>30.3</v>
      </c>
      <c r="N20">
        <v>23</v>
      </c>
      <c r="O20">
        <v>19.2</v>
      </c>
      <c r="P20">
        <v>36.200000000000003</v>
      </c>
      <c r="Q20">
        <v>38.1</v>
      </c>
      <c r="R20">
        <v>40.1</v>
      </c>
      <c r="S20">
        <v>36</v>
      </c>
      <c r="T20">
        <v>41.6</v>
      </c>
      <c r="U20">
        <v>53.1</v>
      </c>
      <c r="V20">
        <v>55.8</v>
      </c>
      <c r="W20">
        <v>61.2</v>
      </c>
      <c r="X20">
        <v>69.7</v>
      </c>
      <c r="Y20">
        <v>71.5</v>
      </c>
      <c r="Z20">
        <v>76.5</v>
      </c>
      <c r="AA20">
        <v>76</v>
      </c>
      <c r="AB20">
        <v>76.2</v>
      </c>
    </row>
    <row r="21" spans="1:28" x14ac:dyDescent="0.35">
      <c r="A21" t="s">
        <v>71</v>
      </c>
      <c r="B21" t="s">
        <v>72</v>
      </c>
      <c r="C21" t="s">
        <v>30</v>
      </c>
      <c r="D21" t="s">
        <v>34</v>
      </c>
      <c r="L21">
        <v>3</v>
      </c>
      <c r="M21">
        <v>1.3</v>
      </c>
      <c r="N21">
        <v>1.9</v>
      </c>
      <c r="O21">
        <v>5.3</v>
      </c>
      <c r="P21">
        <v>4.0999999999999996</v>
      </c>
      <c r="Q21">
        <v>9.3000000000000007</v>
      </c>
      <c r="R21">
        <v>9.8000000000000007</v>
      </c>
      <c r="S21">
        <v>9.4</v>
      </c>
      <c r="T21">
        <v>15.2</v>
      </c>
      <c r="U21">
        <v>17.7</v>
      </c>
      <c r="V21">
        <v>24.2</v>
      </c>
      <c r="W21">
        <v>22.8</v>
      </c>
      <c r="X21">
        <v>23.1</v>
      </c>
      <c r="Y21">
        <v>27.6</v>
      </c>
      <c r="Z21">
        <v>29.8</v>
      </c>
      <c r="AA21">
        <v>31.8</v>
      </c>
      <c r="AB21">
        <v>32.5</v>
      </c>
    </row>
    <row r="22" spans="1:28" x14ac:dyDescent="0.35">
      <c r="A22" t="s">
        <v>73</v>
      </c>
      <c r="B22" t="s">
        <v>74</v>
      </c>
      <c r="C22" t="s">
        <v>52</v>
      </c>
      <c r="D22" t="s">
        <v>41</v>
      </c>
      <c r="E22">
        <v>99.8</v>
      </c>
      <c r="F22">
        <v>96.9</v>
      </c>
      <c r="G22">
        <v>95.2</v>
      </c>
      <c r="H22">
        <v>93.5</v>
      </c>
      <c r="I22">
        <v>91.8</v>
      </c>
      <c r="J22">
        <v>90.1</v>
      </c>
      <c r="K22">
        <v>88.4</v>
      </c>
      <c r="L22">
        <v>86.8</v>
      </c>
      <c r="M22">
        <v>85.1</v>
      </c>
      <c r="N22">
        <v>83.5</v>
      </c>
      <c r="O22">
        <v>81.900000000000006</v>
      </c>
      <c r="P22">
        <v>80.3</v>
      </c>
      <c r="Q22">
        <v>78.7</v>
      </c>
      <c r="R22">
        <v>77.099999999999994</v>
      </c>
      <c r="S22">
        <v>75.5</v>
      </c>
      <c r="T22">
        <v>73.8</v>
      </c>
      <c r="U22">
        <v>72.2</v>
      </c>
      <c r="V22">
        <v>70.599999999999994</v>
      </c>
      <c r="W22">
        <v>67</v>
      </c>
      <c r="X22">
        <v>68.5</v>
      </c>
      <c r="Y22">
        <v>69.400000000000006</v>
      </c>
      <c r="Z22">
        <v>70.2</v>
      </c>
      <c r="AA22">
        <v>70</v>
      </c>
      <c r="AB22">
        <v>73.2</v>
      </c>
    </row>
    <row r="23" spans="1:28" x14ac:dyDescent="0.35">
      <c r="A23" t="s">
        <v>75</v>
      </c>
      <c r="B23" t="s">
        <v>76</v>
      </c>
      <c r="C23" t="s">
        <v>30</v>
      </c>
      <c r="D23" t="s">
        <v>31</v>
      </c>
      <c r="E23">
        <v>4.3</v>
      </c>
      <c r="F23">
        <v>1.3</v>
      </c>
      <c r="G23">
        <v>3.4</v>
      </c>
      <c r="H23">
        <v>5.4</v>
      </c>
      <c r="I23">
        <v>6.8</v>
      </c>
      <c r="J23">
        <v>9.6</v>
      </c>
      <c r="K23">
        <v>9.6999999999999993</v>
      </c>
      <c r="L23">
        <v>13.9</v>
      </c>
      <c r="M23">
        <v>16</v>
      </c>
      <c r="N23">
        <v>17</v>
      </c>
      <c r="O23">
        <v>17</v>
      </c>
      <c r="P23">
        <v>22.5</v>
      </c>
      <c r="Q23">
        <v>20.6</v>
      </c>
      <c r="R23">
        <v>26.9</v>
      </c>
      <c r="S23">
        <v>27.8</v>
      </c>
      <c r="T23">
        <v>31.8</v>
      </c>
      <c r="U23">
        <v>35.1</v>
      </c>
      <c r="V23">
        <v>33.700000000000003</v>
      </c>
      <c r="W23">
        <v>47</v>
      </c>
      <c r="X23">
        <v>44.6</v>
      </c>
      <c r="Y23">
        <v>47.5</v>
      </c>
      <c r="Z23">
        <v>50.4</v>
      </c>
      <c r="AA23">
        <v>50</v>
      </c>
      <c r="AB23">
        <v>57.3</v>
      </c>
    </row>
    <row r="24" spans="1:28" x14ac:dyDescent="0.35">
      <c r="A24" t="s">
        <v>77</v>
      </c>
      <c r="B24" t="s">
        <v>78</v>
      </c>
      <c r="C24" t="s">
        <v>52</v>
      </c>
      <c r="D24" t="s">
        <v>31</v>
      </c>
      <c r="E24">
        <v>69.8</v>
      </c>
      <c r="F24">
        <v>71.599999999999994</v>
      </c>
      <c r="G24">
        <v>73.3</v>
      </c>
      <c r="H24">
        <v>75.099999999999994</v>
      </c>
      <c r="I24">
        <v>78.2</v>
      </c>
      <c r="J24">
        <v>78.599999999999994</v>
      </c>
      <c r="K24">
        <v>96.5</v>
      </c>
      <c r="L24">
        <v>82.2</v>
      </c>
      <c r="M24">
        <v>84.1</v>
      </c>
      <c r="N24">
        <v>85.9</v>
      </c>
      <c r="O24">
        <v>95.7</v>
      </c>
      <c r="P24">
        <v>96.1</v>
      </c>
      <c r="Q24">
        <v>96.4</v>
      </c>
      <c r="R24">
        <v>97.2</v>
      </c>
      <c r="S24">
        <v>97.3</v>
      </c>
      <c r="T24">
        <v>97.3</v>
      </c>
      <c r="U24">
        <v>97.8</v>
      </c>
      <c r="V24">
        <v>100</v>
      </c>
      <c r="W24">
        <v>98.1</v>
      </c>
      <c r="X24">
        <v>99.6</v>
      </c>
      <c r="Y24">
        <v>100</v>
      </c>
      <c r="Z24">
        <v>100</v>
      </c>
      <c r="AA24">
        <v>100</v>
      </c>
      <c r="AB24">
        <v>100</v>
      </c>
    </row>
    <row r="25" spans="1:28" x14ac:dyDescent="0.35">
      <c r="A25" t="s">
        <v>79</v>
      </c>
      <c r="B25" t="s">
        <v>80</v>
      </c>
      <c r="C25" t="s">
        <v>30</v>
      </c>
      <c r="D25" t="s">
        <v>34</v>
      </c>
      <c r="E25">
        <v>12.6</v>
      </c>
      <c r="F25">
        <v>14.8</v>
      </c>
      <c r="G25">
        <v>14</v>
      </c>
      <c r="H25">
        <v>20.3</v>
      </c>
      <c r="I25">
        <v>15.3</v>
      </c>
      <c r="J25">
        <v>16</v>
      </c>
      <c r="K25">
        <v>16.8</v>
      </c>
      <c r="L25">
        <v>17.5</v>
      </c>
      <c r="M25">
        <v>18.3</v>
      </c>
      <c r="N25">
        <v>17.399999999999999</v>
      </c>
      <c r="O25">
        <v>12.3</v>
      </c>
      <c r="P25">
        <v>14.3</v>
      </c>
      <c r="Q25">
        <v>18.7</v>
      </c>
      <c r="R25">
        <v>12.9</v>
      </c>
      <c r="S25">
        <v>23</v>
      </c>
      <c r="T25">
        <v>23.8</v>
      </c>
      <c r="U25">
        <v>22.9</v>
      </c>
      <c r="V25">
        <v>24.1</v>
      </c>
      <c r="W25">
        <v>36.5</v>
      </c>
      <c r="X25">
        <v>31</v>
      </c>
      <c r="Y25">
        <v>32</v>
      </c>
      <c r="Z25">
        <v>35.1</v>
      </c>
      <c r="AA25">
        <v>36.1</v>
      </c>
      <c r="AB25">
        <v>39.4</v>
      </c>
    </row>
    <row r="26" spans="1:28" x14ac:dyDescent="0.35">
      <c r="A26" t="s">
        <v>81</v>
      </c>
      <c r="B26" t="s">
        <v>82</v>
      </c>
      <c r="C26" t="s">
        <v>30</v>
      </c>
      <c r="D26" t="s">
        <v>34</v>
      </c>
      <c r="E26">
        <v>9.6</v>
      </c>
      <c r="F26">
        <v>10.8</v>
      </c>
      <c r="G26">
        <v>13</v>
      </c>
      <c r="H26">
        <v>14.7</v>
      </c>
      <c r="I26">
        <v>16.399999999999999</v>
      </c>
      <c r="J26">
        <v>18.2</v>
      </c>
      <c r="K26">
        <v>16.600000000000001</v>
      </c>
      <c r="L26">
        <v>21.7</v>
      </c>
      <c r="M26">
        <v>23.4</v>
      </c>
      <c r="N26">
        <v>24</v>
      </c>
      <c r="O26">
        <v>27</v>
      </c>
      <c r="P26">
        <v>28.8</v>
      </c>
      <c r="Q26">
        <v>25.6</v>
      </c>
      <c r="R26">
        <v>32.4</v>
      </c>
      <c r="S26">
        <v>34.200000000000003</v>
      </c>
      <c r="T26">
        <v>37.6</v>
      </c>
      <c r="U26">
        <v>38.799999999999997</v>
      </c>
      <c r="V26">
        <v>34.799999999999997</v>
      </c>
      <c r="W26">
        <v>50.9</v>
      </c>
      <c r="X26">
        <v>47.9</v>
      </c>
      <c r="Y26">
        <v>50.6</v>
      </c>
      <c r="Z26">
        <v>53.4</v>
      </c>
      <c r="AA26">
        <v>53</v>
      </c>
      <c r="AB26">
        <v>54.5</v>
      </c>
    </row>
    <row r="27" spans="1:28" x14ac:dyDescent="0.35">
      <c r="A27" t="s">
        <v>83</v>
      </c>
      <c r="B27" t="s">
        <v>84</v>
      </c>
      <c r="C27" t="s">
        <v>30</v>
      </c>
      <c r="D27" t="s">
        <v>34</v>
      </c>
      <c r="E27">
        <v>6.1</v>
      </c>
      <c r="F27">
        <v>5.7</v>
      </c>
      <c r="G27">
        <v>8.4</v>
      </c>
      <c r="H27">
        <v>8.1</v>
      </c>
      <c r="I27">
        <v>10.7</v>
      </c>
      <c r="J27">
        <v>11.8</v>
      </c>
      <c r="K27">
        <v>13</v>
      </c>
      <c r="L27">
        <v>12.4</v>
      </c>
      <c r="M27">
        <v>13.6</v>
      </c>
      <c r="N27">
        <v>15</v>
      </c>
      <c r="O27">
        <v>18.899999999999999</v>
      </c>
      <c r="P27">
        <v>20.2</v>
      </c>
      <c r="Q27">
        <v>21.2</v>
      </c>
      <c r="R27">
        <v>22.4</v>
      </c>
      <c r="S27">
        <v>24.8</v>
      </c>
      <c r="T27">
        <v>24</v>
      </c>
      <c r="U27">
        <v>26.2</v>
      </c>
      <c r="V27">
        <v>24.3</v>
      </c>
      <c r="W27">
        <v>31.1</v>
      </c>
      <c r="X27">
        <v>29.7</v>
      </c>
      <c r="Y27">
        <v>30.6</v>
      </c>
      <c r="Z27">
        <v>31.5</v>
      </c>
      <c r="AA27">
        <v>33.200000000000003</v>
      </c>
      <c r="AB27">
        <v>36</v>
      </c>
    </row>
    <row r="28" spans="1:28" x14ac:dyDescent="0.35">
      <c r="A28" t="s">
        <v>85</v>
      </c>
      <c r="B28" t="s">
        <v>86</v>
      </c>
      <c r="C28" t="s">
        <v>30</v>
      </c>
      <c r="D28" t="s">
        <v>31</v>
      </c>
      <c r="E28">
        <v>19.100000000000001</v>
      </c>
      <c r="F28">
        <v>22.2</v>
      </c>
      <c r="G28">
        <v>21.7</v>
      </c>
      <c r="H28">
        <v>23</v>
      </c>
      <c r="I28">
        <v>24.3</v>
      </c>
      <c r="J28">
        <v>18.2</v>
      </c>
      <c r="K28">
        <v>27</v>
      </c>
      <c r="L28">
        <v>33</v>
      </c>
      <c r="M28">
        <v>30</v>
      </c>
      <c r="N28">
        <v>31.1</v>
      </c>
      <c r="O28">
        <v>34.200000000000003</v>
      </c>
      <c r="P28">
        <v>35.299999999999997</v>
      </c>
      <c r="Q28">
        <v>36.4</v>
      </c>
      <c r="R28">
        <v>37.6</v>
      </c>
      <c r="S28">
        <v>38.799999999999997</v>
      </c>
      <c r="T28">
        <v>39.5</v>
      </c>
      <c r="U28">
        <v>41.2</v>
      </c>
      <c r="V28">
        <v>42.9</v>
      </c>
      <c r="W28">
        <v>43.6</v>
      </c>
      <c r="X28">
        <v>44.9</v>
      </c>
      <c r="Y28">
        <v>45.4</v>
      </c>
      <c r="Z28">
        <v>47.7</v>
      </c>
      <c r="AA28">
        <v>49</v>
      </c>
      <c r="AB28">
        <v>50.3</v>
      </c>
    </row>
    <row r="29" spans="1:28" x14ac:dyDescent="0.35">
      <c r="A29" t="s">
        <v>87</v>
      </c>
      <c r="B29" t="s">
        <v>88</v>
      </c>
      <c r="C29" t="s">
        <v>30</v>
      </c>
      <c r="D29" t="s">
        <v>41</v>
      </c>
      <c r="E29">
        <v>99</v>
      </c>
      <c r="F29">
        <v>99.2</v>
      </c>
      <c r="G29">
        <v>99.4</v>
      </c>
      <c r="H29">
        <v>99.1</v>
      </c>
      <c r="I29">
        <v>99</v>
      </c>
      <c r="J29">
        <v>99</v>
      </c>
      <c r="K29">
        <v>99</v>
      </c>
      <c r="L29">
        <v>99</v>
      </c>
      <c r="M29">
        <v>99</v>
      </c>
      <c r="N29">
        <v>99</v>
      </c>
      <c r="O29">
        <v>99.4</v>
      </c>
      <c r="P29">
        <v>99.6</v>
      </c>
      <c r="Q29">
        <v>99.4</v>
      </c>
      <c r="R29">
        <v>99.4</v>
      </c>
      <c r="S29">
        <v>99.5</v>
      </c>
      <c r="T29">
        <v>99.6</v>
      </c>
      <c r="U29">
        <v>99.7</v>
      </c>
      <c r="V29">
        <v>99.6</v>
      </c>
      <c r="W29">
        <v>99.8</v>
      </c>
      <c r="X29">
        <v>100</v>
      </c>
      <c r="Y29">
        <v>99.5</v>
      </c>
      <c r="Z29">
        <v>99.6</v>
      </c>
      <c r="AA29">
        <v>100</v>
      </c>
      <c r="AB29">
        <v>100</v>
      </c>
    </row>
    <row r="30" spans="1:28" x14ac:dyDescent="0.35">
      <c r="A30" t="s">
        <v>89</v>
      </c>
      <c r="B30" t="s">
        <v>90</v>
      </c>
      <c r="C30" t="s">
        <v>30</v>
      </c>
      <c r="D30" t="s">
        <v>34</v>
      </c>
      <c r="E30">
        <v>4.8</v>
      </c>
      <c r="F30">
        <v>5.2</v>
      </c>
      <c r="G30">
        <v>5.6</v>
      </c>
      <c r="H30">
        <v>6.2</v>
      </c>
      <c r="I30">
        <v>6.9</v>
      </c>
      <c r="J30">
        <v>6.6</v>
      </c>
      <c r="K30">
        <v>3.7</v>
      </c>
      <c r="L30">
        <v>7.4</v>
      </c>
      <c r="M30">
        <v>7.8</v>
      </c>
      <c r="N30">
        <v>8.3000000000000007</v>
      </c>
      <c r="O30">
        <v>8.6999999999999993</v>
      </c>
      <c r="P30">
        <v>7.6</v>
      </c>
      <c r="Q30">
        <v>7.4</v>
      </c>
      <c r="R30">
        <v>9</v>
      </c>
      <c r="S30">
        <v>11.9</v>
      </c>
      <c r="T30">
        <v>10.8</v>
      </c>
      <c r="U30">
        <v>11</v>
      </c>
      <c r="V30">
        <v>12.7</v>
      </c>
      <c r="W30">
        <v>18</v>
      </c>
      <c r="X30">
        <v>11.2</v>
      </c>
      <c r="Y30">
        <v>11.5</v>
      </c>
      <c r="Z30">
        <v>14.2</v>
      </c>
      <c r="AA30">
        <v>14</v>
      </c>
      <c r="AB30">
        <v>15.6</v>
      </c>
    </row>
    <row r="31" spans="1:28" x14ac:dyDescent="0.35">
      <c r="A31" t="s">
        <v>91</v>
      </c>
      <c r="B31" t="s">
        <v>92</v>
      </c>
      <c r="C31" t="s">
        <v>30</v>
      </c>
      <c r="D31" t="s">
        <v>31</v>
      </c>
      <c r="E31">
        <v>36.5</v>
      </c>
      <c r="F31">
        <v>36</v>
      </c>
      <c r="G31">
        <v>36.9</v>
      </c>
      <c r="H31">
        <v>37.799999999999997</v>
      </c>
      <c r="I31">
        <v>38.700000000000003</v>
      </c>
      <c r="J31">
        <v>39.6</v>
      </c>
      <c r="K31">
        <v>40.5</v>
      </c>
      <c r="L31">
        <v>43.7</v>
      </c>
      <c r="M31">
        <v>42.4</v>
      </c>
      <c r="N31">
        <v>44.1</v>
      </c>
      <c r="O31">
        <v>44.4</v>
      </c>
      <c r="P31">
        <v>42.3</v>
      </c>
      <c r="Q31">
        <v>46.4</v>
      </c>
      <c r="R31">
        <v>47.4</v>
      </c>
      <c r="S31">
        <v>48.4</v>
      </c>
      <c r="T31">
        <v>51.6</v>
      </c>
      <c r="U31">
        <v>49.7</v>
      </c>
      <c r="V31">
        <v>52.5</v>
      </c>
      <c r="W31">
        <v>52.3</v>
      </c>
      <c r="X31">
        <v>53.3</v>
      </c>
      <c r="Y31">
        <v>52.3</v>
      </c>
      <c r="Z31">
        <v>55.2</v>
      </c>
      <c r="AA31">
        <v>56.2</v>
      </c>
      <c r="AB31">
        <v>56.7</v>
      </c>
    </row>
    <row r="32" spans="1:28" x14ac:dyDescent="0.35">
      <c r="A32" t="s">
        <v>93</v>
      </c>
      <c r="B32" t="s">
        <v>94</v>
      </c>
      <c r="C32" t="s">
        <v>30</v>
      </c>
      <c r="D32" t="s">
        <v>34</v>
      </c>
      <c r="E32">
        <v>6.5</v>
      </c>
      <c r="F32">
        <v>8.4</v>
      </c>
      <c r="G32">
        <v>8.8000000000000007</v>
      </c>
      <c r="H32">
        <v>9.3000000000000007</v>
      </c>
      <c r="I32">
        <v>9.6999999999999993</v>
      </c>
      <c r="J32">
        <v>7.1</v>
      </c>
      <c r="K32">
        <v>9.3000000000000007</v>
      </c>
      <c r="L32">
        <v>11.2</v>
      </c>
      <c r="M32">
        <v>11.8</v>
      </c>
      <c r="N32">
        <v>12.3</v>
      </c>
      <c r="O32">
        <v>13.6</v>
      </c>
      <c r="P32">
        <v>14.3</v>
      </c>
      <c r="Q32">
        <v>14.4</v>
      </c>
      <c r="R32">
        <v>15.2</v>
      </c>
      <c r="S32">
        <v>15.7</v>
      </c>
      <c r="T32">
        <v>16.600000000000001</v>
      </c>
      <c r="U32">
        <v>17</v>
      </c>
      <c r="V32">
        <v>17.600000000000001</v>
      </c>
      <c r="W32">
        <v>17.600000000000001</v>
      </c>
      <c r="X32">
        <v>18.5</v>
      </c>
      <c r="Y32">
        <v>18.7</v>
      </c>
      <c r="Z32">
        <v>18.600000000000001</v>
      </c>
      <c r="AA32">
        <v>19.5</v>
      </c>
      <c r="AB32">
        <v>20.100000000000001</v>
      </c>
    </row>
    <row r="33" spans="1:28" x14ac:dyDescent="0.35">
      <c r="A33" t="s">
        <v>95</v>
      </c>
      <c r="B33" t="s">
        <v>96</v>
      </c>
      <c r="C33" t="s">
        <v>30</v>
      </c>
      <c r="D33" t="s">
        <v>31</v>
      </c>
      <c r="E33">
        <v>43.2</v>
      </c>
      <c r="F33">
        <v>43.9</v>
      </c>
      <c r="G33">
        <v>44.6</v>
      </c>
      <c r="H33">
        <v>52.2</v>
      </c>
      <c r="I33">
        <v>46.1</v>
      </c>
      <c r="J33">
        <v>46.8</v>
      </c>
      <c r="K33">
        <v>47.6</v>
      </c>
      <c r="L33">
        <v>50.1</v>
      </c>
      <c r="M33">
        <v>50.3</v>
      </c>
      <c r="N33">
        <v>50</v>
      </c>
      <c r="O33">
        <v>48</v>
      </c>
      <c r="P33">
        <v>55.9</v>
      </c>
      <c r="Q33">
        <v>53</v>
      </c>
      <c r="R33">
        <v>55.6</v>
      </c>
      <c r="S33">
        <v>54.2</v>
      </c>
      <c r="T33">
        <v>52.5</v>
      </c>
      <c r="U33">
        <v>59.3</v>
      </c>
      <c r="V33">
        <v>54.4</v>
      </c>
      <c r="W33">
        <v>56.5</v>
      </c>
      <c r="X33">
        <v>55.4</v>
      </c>
      <c r="Y33">
        <v>55.4</v>
      </c>
      <c r="Z33">
        <v>59.5</v>
      </c>
      <c r="AA33">
        <v>60.5</v>
      </c>
      <c r="AB33">
        <v>61.2</v>
      </c>
    </row>
    <row r="34" spans="1:28" x14ac:dyDescent="0.35">
      <c r="A34" t="s">
        <v>97</v>
      </c>
      <c r="B34" t="s">
        <v>98</v>
      </c>
      <c r="C34" t="s">
        <v>30</v>
      </c>
      <c r="D34" t="s">
        <v>34</v>
      </c>
      <c r="E34">
        <v>6.2</v>
      </c>
      <c r="F34">
        <v>4.7</v>
      </c>
      <c r="G34">
        <v>6</v>
      </c>
      <c r="H34">
        <v>7.4</v>
      </c>
      <c r="I34">
        <v>8.6999999999999993</v>
      </c>
      <c r="J34">
        <v>4.8</v>
      </c>
      <c r="K34">
        <v>11.4</v>
      </c>
      <c r="L34">
        <v>12.8</v>
      </c>
      <c r="M34">
        <v>6</v>
      </c>
      <c r="N34">
        <v>15.6</v>
      </c>
      <c r="O34">
        <v>9.6999999999999993</v>
      </c>
      <c r="P34">
        <v>10.8</v>
      </c>
      <c r="Q34">
        <v>17.5</v>
      </c>
      <c r="R34">
        <v>15.2</v>
      </c>
      <c r="S34">
        <v>19.8</v>
      </c>
      <c r="T34">
        <v>22.8</v>
      </c>
      <c r="U34">
        <v>29.4</v>
      </c>
      <c r="V34">
        <v>34.1</v>
      </c>
      <c r="W34">
        <v>38</v>
      </c>
      <c r="X34">
        <v>46.6</v>
      </c>
      <c r="Y34">
        <v>45.2</v>
      </c>
      <c r="Z34">
        <v>48.7</v>
      </c>
      <c r="AA34">
        <v>50.6</v>
      </c>
      <c r="AB34">
        <v>63.9</v>
      </c>
    </row>
    <row r="35" spans="1:28" x14ac:dyDescent="0.35">
      <c r="A35" t="s">
        <v>99</v>
      </c>
      <c r="B35" t="s">
        <v>100</v>
      </c>
      <c r="C35" t="s">
        <v>30</v>
      </c>
      <c r="D35" t="s">
        <v>34</v>
      </c>
      <c r="E35">
        <v>23</v>
      </c>
      <c r="F35">
        <v>29.4</v>
      </c>
      <c r="G35">
        <v>29.7</v>
      </c>
      <c r="H35">
        <v>29.9</v>
      </c>
      <c r="I35">
        <v>30.2</v>
      </c>
      <c r="J35">
        <v>30.5</v>
      </c>
      <c r="K35">
        <v>30.8</v>
      </c>
      <c r="L35">
        <v>31.1</v>
      </c>
      <c r="M35">
        <v>20</v>
      </c>
      <c r="N35">
        <v>29</v>
      </c>
      <c r="O35">
        <v>36</v>
      </c>
      <c r="P35">
        <v>38.299999999999997</v>
      </c>
      <c r="Q35">
        <v>40.700000000000003</v>
      </c>
      <c r="R35">
        <v>43.1</v>
      </c>
      <c r="S35">
        <v>44.9</v>
      </c>
      <c r="T35">
        <v>48</v>
      </c>
      <c r="U35">
        <v>50.5</v>
      </c>
      <c r="V35">
        <v>53</v>
      </c>
      <c r="W35">
        <v>55.3</v>
      </c>
      <c r="X35">
        <v>57.6</v>
      </c>
      <c r="Y35">
        <v>59.7</v>
      </c>
      <c r="Z35">
        <v>61.8</v>
      </c>
      <c r="AA35">
        <v>63.2</v>
      </c>
      <c r="AB35">
        <v>66</v>
      </c>
    </row>
    <row r="36" spans="1:28" x14ac:dyDescent="0.35">
      <c r="A36" t="s">
        <v>101</v>
      </c>
      <c r="B36" t="s">
        <v>102</v>
      </c>
      <c r="C36" t="s">
        <v>30</v>
      </c>
      <c r="D36" t="s">
        <v>31</v>
      </c>
      <c r="E36">
        <v>37.700000000000003</v>
      </c>
      <c r="F36">
        <v>38.9</v>
      </c>
      <c r="G36">
        <v>36.799999999999997</v>
      </c>
      <c r="H36">
        <v>41.9</v>
      </c>
      <c r="I36">
        <v>36.799999999999997</v>
      </c>
      <c r="J36">
        <v>47.1</v>
      </c>
      <c r="K36">
        <v>49.9</v>
      </c>
      <c r="L36">
        <v>48.1</v>
      </c>
      <c r="M36">
        <v>49.7</v>
      </c>
      <c r="N36">
        <v>53.5</v>
      </c>
      <c r="O36">
        <v>56.5</v>
      </c>
      <c r="P36">
        <v>56.5</v>
      </c>
      <c r="Q36">
        <v>56.5</v>
      </c>
      <c r="R36">
        <v>57</v>
      </c>
      <c r="S36">
        <v>61</v>
      </c>
      <c r="T36">
        <v>60.5</v>
      </c>
      <c r="U36">
        <v>64.5</v>
      </c>
      <c r="V36">
        <v>61.7</v>
      </c>
      <c r="W36">
        <v>66</v>
      </c>
      <c r="X36">
        <v>70.400000000000006</v>
      </c>
      <c r="Y36">
        <v>64.3</v>
      </c>
      <c r="Z36">
        <v>68</v>
      </c>
      <c r="AA36">
        <v>67.900000000000006</v>
      </c>
      <c r="AB36">
        <v>74.2</v>
      </c>
    </row>
    <row r="37" spans="1:28" x14ac:dyDescent="0.35">
      <c r="A37" t="s">
        <v>103</v>
      </c>
      <c r="B37" t="s">
        <v>104</v>
      </c>
      <c r="C37" t="s">
        <v>30</v>
      </c>
      <c r="D37" t="s">
        <v>34</v>
      </c>
      <c r="E37">
        <v>7.7</v>
      </c>
      <c r="F37">
        <v>8.5</v>
      </c>
      <c r="G37">
        <v>9.1999999999999993</v>
      </c>
      <c r="H37">
        <v>9.9</v>
      </c>
      <c r="I37">
        <v>16.8</v>
      </c>
      <c r="J37">
        <v>11.3</v>
      </c>
      <c r="K37">
        <v>12.2</v>
      </c>
      <c r="L37">
        <v>13</v>
      </c>
      <c r="M37">
        <v>12.1</v>
      </c>
      <c r="N37">
        <v>14.6</v>
      </c>
      <c r="O37">
        <v>11.5</v>
      </c>
      <c r="P37">
        <v>14.2</v>
      </c>
      <c r="Q37">
        <v>17.2</v>
      </c>
      <c r="R37">
        <v>13.5</v>
      </c>
      <c r="S37">
        <v>18.8</v>
      </c>
      <c r="T37">
        <v>19.7</v>
      </c>
      <c r="U37">
        <v>20.3</v>
      </c>
      <c r="V37">
        <v>23.4</v>
      </c>
      <c r="W37">
        <v>26.1</v>
      </c>
      <c r="X37">
        <v>22.7</v>
      </c>
      <c r="Y37">
        <v>26.3</v>
      </c>
      <c r="Z37">
        <v>27.5</v>
      </c>
      <c r="AA37">
        <v>29.4</v>
      </c>
      <c r="AB37">
        <v>35.5</v>
      </c>
    </row>
    <row r="38" spans="1:28" x14ac:dyDescent="0.35">
      <c r="A38" t="s">
        <v>105</v>
      </c>
      <c r="B38" t="s">
        <v>106</v>
      </c>
      <c r="C38" t="s">
        <v>30</v>
      </c>
      <c r="D38" t="s">
        <v>34</v>
      </c>
      <c r="L38">
        <v>0.8</v>
      </c>
      <c r="M38">
        <v>1.3</v>
      </c>
      <c r="N38">
        <v>3</v>
      </c>
      <c r="O38">
        <v>1.5</v>
      </c>
      <c r="P38">
        <v>2.8</v>
      </c>
      <c r="Q38">
        <v>3.3</v>
      </c>
      <c r="R38">
        <v>3.8</v>
      </c>
      <c r="S38">
        <v>4.3</v>
      </c>
      <c r="T38">
        <v>4.8</v>
      </c>
      <c r="U38">
        <v>5.3</v>
      </c>
      <c r="V38">
        <v>4.2</v>
      </c>
      <c r="W38">
        <v>6.3</v>
      </c>
      <c r="X38">
        <v>6.8</v>
      </c>
      <c r="Y38">
        <v>7.3</v>
      </c>
      <c r="Z38">
        <v>7.7</v>
      </c>
      <c r="AA38">
        <v>8.4</v>
      </c>
      <c r="AB38">
        <v>5.4</v>
      </c>
    </row>
    <row r="39" spans="1:28" x14ac:dyDescent="0.35">
      <c r="A39" t="s">
        <v>107</v>
      </c>
      <c r="B39" t="s">
        <v>108</v>
      </c>
      <c r="C39" t="s">
        <v>30</v>
      </c>
      <c r="D39" t="s">
        <v>31</v>
      </c>
      <c r="E39">
        <v>52.9</v>
      </c>
      <c r="F39">
        <v>51.5</v>
      </c>
      <c r="G39">
        <v>52.5</v>
      </c>
      <c r="H39">
        <v>53.6</v>
      </c>
      <c r="I39">
        <v>54.7</v>
      </c>
      <c r="J39">
        <v>55.8</v>
      </c>
      <c r="K39">
        <v>56.9</v>
      </c>
      <c r="L39">
        <v>58</v>
      </c>
      <c r="M39">
        <v>59.1</v>
      </c>
      <c r="N39">
        <v>56.9</v>
      </c>
      <c r="O39">
        <v>61.4</v>
      </c>
      <c r="P39">
        <v>62.6</v>
      </c>
      <c r="Q39">
        <v>57.9</v>
      </c>
      <c r="R39">
        <v>65</v>
      </c>
      <c r="S39">
        <v>68.599999999999994</v>
      </c>
      <c r="T39">
        <v>67.3</v>
      </c>
      <c r="U39">
        <v>69.400000000000006</v>
      </c>
      <c r="V39">
        <v>74.3</v>
      </c>
      <c r="W39">
        <v>71</v>
      </c>
      <c r="X39">
        <v>75.099999999999994</v>
      </c>
      <c r="Y39">
        <v>76.8</v>
      </c>
      <c r="Z39">
        <v>78.5</v>
      </c>
      <c r="AA39">
        <v>78</v>
      </c>
      <c r="AB39">
        <v>81.3</v>
      </c>
    </row>
    <row r="40" spans="1:28" x14ac:dyDescent="0.35">
      <c r="A40" t="s">
        <v>109</v>
      </c>
      <c r="B40" t="s">
        <v>110</v>
      </c>
      <c r="C40" t="s">
        <v>30</v>
      </c>
      <c r="D40" t="s">
        <v>31</v>
      </c>
      <c r="E40">
        <v>20.399999999999999</v>
      </c>
      <c r="F40">
        <v>26.9</v>
      </c>
      <c r="G40">
        <v>25.9</v>
      </c>
      <c r="H40">
        <v>28.7</v>
      </c>
      <c r="I40">
        <v>31.4</v>
      </c>
      <c r="J40">
        <v>34.200000000000003</v>
      </c>
      <c r="K40">
        <v>35.200000000000003</v>
      </c>
      <c r="L40">
        <v>39.799999999999997</v>
      </c>
      <c r="M40">
        <v>42.6</v>
      </c>
      <c r="N40">
        <v>38.6</v>
      </c>
      <c r="O40">
        <v>45.6</v>
      </c>
      <c r="P40">
        <v>51.2</v>
      </c>
      <c r="Q40">
        <v>54.3</v>
      </c>
      <c r="R40">
        <v>57.5</v>
      </c>
      <c r="S40">
        <v>65</v>
      </c>
      <c r="T40">
        <v>64.099999999999994</v>
      </c>
      <c r="U40">
        <v>63.4</v>
      </c>
      <c r="V40">
        <v>73.5</v>
      </c>
      <c r="W40">
        <v>74</v>
      </c>
      <c r="X40">
        <v>77</v>
      </c>
      <c r="Y40">
        <v>80</v>
      </c>
      <c r="Z40">
        <v>82.9</v>
      </c>
      <c r="AA40">
        <v>82.3</v>
      </c>
      <c r="AB40">
        <v>86.4</v>
      </c>
    </row>
    <row r="41" spans="1:28" x14ac:dyDescent="0.35">
      <c r="A41" t="s">
        <v>111</v>
      </c>
      <c r="B41" t="s">
        <v>112</v>
      </c>
      <c r="C41" t="s">
        <v>30</v>
      </c>
      <c r="D41" t="s">
        <v>113</v>
      </c>
      <c r="E41">
        <v>94.1</v>
      </c>
      <c r="F41">
        <v>94.4</v>
      </c>
      <c r="G41">
        <v>96.1</v>
      </c>
      <c r="H41">
        <v>94.9</v>
      </c>
      <c r="I41">
        <v>95.2</v>
      </c>
      <c r="J41">
        <v>95.5</v>
      </c>
      <c r="K41">
        <v>99</v>
      </c>
      <c r="L41">
        <v>96.1</v>
      </c>
      <c r="M41">
        <v>96.5</v>
      </c>
      <c r="N41">
        <v>96.8</v>
      </c>
      <c r="O41">
        <v>97</v>
      </c>
      <c r="P41">
        <v>98.1</v>
      </c>
      <c r="Q41">
        <v>98.3</v>
      </c>
      <c r="R41">
        <v>98</v>
      </c>
      <c r="S41">
        <v>100</v>
      </c>
      <c r="T41">
        <v>100</v>
      </c>
      <c r="U41">
        <v>100</v>
      </c>
      <c r="V41">
        <v>100</v>
      </c>
      <c r="W41">
        <v>100</v>
      </c>
      <c r="X41">
        <v>100</v>
      </c>
      <c r="Y41">
        <v>100</v>
      </c>
      <c r="Z41">
        <v>100</v>
      </c>
      <c r="AA41">
        <v>100</v>
      </c>
      <c r="AB41">
        <v>100</v>
      </c>
    </row>
    <row r="42" spans="1:28" x14ac:dyDescent="0.35">
      <c r="A42" t="s">
        <v>114</v>
      </c>
      <c r="B42" t="s">
        <v>115</v>
      </c>
      <c r="C42" t="s">
        <v>30</v>
      </c>
      <c r="D42" t="s">
        <v>34</v>
      </c>
      <c r="E42">
        <v>3.1</v>
      </c>
      <c r="F42">
        <v>3.4</v>
      </c>
      <c r="G42">
        <v>3.8</v>
      </c>
      <c r="H42">
        <v>4.0999999999999996</v>
      </c>
      <c r="I42">
        <v>3.5</v>
      </c>
      <c r="J42">
        <v>4.8</v>
      </c>
      <c r="K42">
        <v>5.0999999999999996</v>
      </c>
      <c r="L42">
        <v>5.5</v>
      </c>
      <c r="M42">
        <v>5.9</v>
      </c>
      <c r="N42">
        <v>6.3</v>
      </c>
      <c r="O42">
        <v>6.4</v>
      </c>
      <c r="P42">
        <v>9</v>
      </c>
      <c r="Q42">
        <v>7.8</v>
      </c>
      <c r="R42">
        <v>8.1</v>
      </c>
      <c r="S42">
        <v>8.4</v>
      </c>
      <c r="T42">
        <v>7.7</v>
      </c>
      <c r="U42">
        <v>9.1999999999999993</v>
      </c>
      <c r="V42">
        <v>10.9</v>
      </c>
      <c r="W42">
        <v>10.1</v>
      </c>
      <c r="X42">
        <v>8.4</v>
      </c>
      <c r="Y42">
        <v>10.9</v>
      </c>
      <c r="Z42">
        <v>11.3</v>
      </c>
      <c r="AA42">
        <v>11.7</v>
      </c>
      <c r="AB42">
        <v>12</v>
      </c>
    </row>
    <row r="43" spans="1:28" x14ac:dyDescent="0.35">
      <c r="A43" t="s">
        <v>116</v>
      </c>
      <c r="B43" t="s">
        <v>117</v>
      </c>
      <c r="C43" t="s">
        <v>30</v>
      </c>
      <c r="D43" t="s">
        <v>34</v>
      </c>
      <c r="E43">
        <v>17</v>
      </c>
      <c r="F43">
        <v>19.600000000000001</v>
      </c>
      <c r="G43">
        <v>21.3</v>
      </c>
      <c r="H43">
        <v>23</v>
      </c>
      <c r="I43">
        <v>24.8</v>
      </c>
      <c r="J43">
        <v>26.5</v>
      </c>
      <c r="K43">
        <v>27.9</v>
      </c>
      <c r="L43">
        <v>30</v>
      </c>
      <c r="M43">
        <v>31.8</v>
      </c>
      <c r="N43">
        <v>33.700000000000003</v>
      </c>
      <c r="O43">
        <v>30.8</v>
      </c>
      <c r="P43">
        <v>39.700000000000003</v>
      </c>
      <c r="Q43">
        <v>39.1</v>
      </c>
      <c r="R43">
        <v>41</v>
      </c>
      <c r="S43">
        <v>45.7</v>
      </c>
      <c r="T43">
        <v>44.7</v>
      </c>
      <c r="U43">
        <v>46.8</v>
      </c>
      <c r="V43">
        <v>48</v>
      </c>
      <c r="W43">
        <v>50</v>
      </c>
      <c r="X43">
        <v>52.5</v>
      </c>
      <c r="Y43">
        <v>54.1</v>
      </c>
      <c r="Z43">
        <v>55.7</v>
      </c>
      <c r="AA43">
        <v>57.2</v>
      </c>
      <c r="AB43">
        <v>59.2</v>
      </c>
    </row>
    <row r="44" spans="1:28" x14ac:dyDescent="0.35">
      <c r="A44" t="s">
        <v>118</v>
      </c>
      <c r="B44" t="s">
        <v>119</v>
      </c>
      <c r="C44" t="s">
        <v>52</v>
      </c>
      <c r="D44" t="s">
        <v>31</v>
      </c>
      <c r="E44">
        <v>94.8</v>
      </c>
      <c r="F44">
        <v>97.3</v>
      </c>
      <c r="G44">
        <v>97.8</v>
      </c>
      <c r="H44">
        <v>98.4</v>
      </c>
      <c r="I44">
        <v>99</v>
      </c>
      <c r="J44">
        <v>99.2</v>
      </c>
      <c r="K44">
        <v>99.4</v>
      </c>
      <c r="L44">
        <v>99.4</v>
      </c>
      <c r="M44">
        <v>99.4</v>
      </c>
      <c r="N44">
        <v>99.5</v>
      </c>
      <c r="O44">
        <v>99.5</v>
      </c>
      <c r="P44">
        <v>99.5</v>
      </c>
      <c r="Q44">
        <v>99.5</v>
      </c>
      <c r="R44">
        <v>99.7</v>
      </c>
      <c r="S44">
        <v>99.8</v>
      </c>
      <c r="T44">
        <v>99.9</v>
      </c>
      <c r="U44">
        <v>100</v>
      </c>
      <c r="V44">
        <v>100</v>
      </c>
      <c r="W44">
        <v>99.8</v>
      </c>
      <c r="X44">
        <v>100</v>
      </c>
      <c r="Y44">
        <v>99.9</v>
      </c>
      <c r="Z44">
        <v>99.9</v>
      </c>
      <c r="AA44">
        <v>100</v>
      </c>
      <c r="AB44">
        <v>100</v>
      </c>
    </row>
    <row r="45" spans="1:28" x14ac:dyDescent="0.35">
      <c r="A45" t="s">
        <v>120</v>
      </c>
      <c r="B45" t="s">
        <v>121</v>
      </c>
      <c r="C45" t="s">
        <v>30</v>
      </c>
      <c r="D45" t="s">
        <v>31</v>
      </c>
      <c r="E45">
        <v>8.6999999999999993</v>
      </c>
      <c r="F45">
        <v>9.6999999999999993</v>
      </c>
      <c r="G45">
        <v>10.7</v>
      </c>
      <c r="H45">
        <v>11.1</v>
      </c>
      <c r="I45">
        <v>11.4</v>
      </c>
      <c r="J45">
        <v>13.8</v>
      </c>
      <c r="K45">
        <v>14.9</v>
      </c>
      <c r="L45">
        <v>15.9</v>
      </c>
      <c r="M45">
        <v>11.5</v>
      </c>
      <c r="N45">
        <v>11.2</v>
      </c>
      <c r="O45">
        <v>14.8</v>
      </c>
      <c r="P45">
        <v>14.2</v>
      </c>
      <c r="Q45">
        <v>15.3</v>
      </c>
      <c r="R45">
        <v>16.399999999999999</v>
      </c>
      <c r="S45">
        <v>23.5</v>
      </c>
      <c r="T45">
        <v>26.2</v>
      </c>
      <c r="U45">
        <v>32.799999999999997</v>
      </c>
      <c r="V45">
        <v>32.1</v>
      </c>
      <c r="W45">
        <v>34.9</v>
      </c>
      <c r="X45">
        <v>37.700000000000003</v>
      </c>
      <c r="Y45">
        <v>39.9</v>
      </c>
      <c r="Z45">
        <v>42.7</v>
      </c>
      <c r="AA45">
        <v>45.8</v>
      </c>
      <c r="AB45">
        <v>48.3</v>
      </c>
    </row>
    <row r="46" spans="1:28" x14ac:dyDescent="0.35">
      <c r="A46" t="s">
        <v>122</v>
      </c>
      <c r="B46" t="s">
        <v>123</v>
      </c>
      <c r="C46" t="s">
        <v>30</v>
      </c>
      <c r="D46" t="s">
        <v>34</v>
      </c>
      <c r="E46">
        <v>7.4</v>
      </c>
      <c r="F46">
        <v>8.6</v>
      </c>
      <c r="G46">
        <v>7.8</v>
      </c>
      <c r="H46">
        <v>10.5</v>
      </c>
      <c r="I46">
        <v>11.6</v>
      </c>
      <c r="J46">
        <v>8.9</v>
      </c>
      <c r="K46">
        <v>9</v>
      </c>
      <c r="L46">
        <v>14.8</v>
      </c>
      <c r="M46">
        <v>15.9</v>
      </c>
      <c r="N46">
        <v>10</v>
      </c>
      <c r="O46">
        <v>12.1</v>
      </c>
      <c r="P46">
        <v>14.6</v>
      </c>
      <c r="Q46">
        <v>20.5</v>
      </c>
      <c r="R46">
        <v>13.9</v>
      </c>
      <c r="S46">
        <v>20.399999999999999</v>
      </c>
      <c r="T46">
        <v>18.5</v>
      </c>
      <c r="U46">
        <v>26.7</v>
      </c>
      <c r="V46">
        <v>32.4</v>
      </c>
      <c r="W46">
        <v>41.9</v>
      </c>
      <c r="X46">
        <v>41.3</v>
      </c>
      <c r="Y46">
        <v>42.1</v>
      </c>
      <c r="Z46">
        <v>45.2</v>
      </c>
      <c r="AA46">
        <v>47.1</v>
      </c>
      <c r="AB46">
        <v>51.5</v>
      </c>
    </row>
    <row r="47" spans="1:28" x14ac:dyDescent="0.35">
      <c r="A47" t="s">
        <v>124</v>
      </c>
      <c r="B47" t="s">
        <v>125</v>
      </c>
      <c r="C47" t="s">
        <v>30</v>
      </c>
      <c r="D47" t="s">
        <v>41</v>
      </c>
      <c r="E47">
        <v>72.400000000000006</v>
      </c>
      <c r="F47">
        <v>70.2</v>
      </c>
      <c r="G47">
        <v>76.7</v>
      </c>
      <c r="H47">
        <v>78.8</v>
      </c>
      <c r="I47">
        <v>80.599999999999994</v>
      </c>
      <c r="J47">
        <v>80.8</v>
      </c>
      <c r="K47">
        <v>80.7</v>
      </c>
      <c r="L47">
        <v>82</v>
      </c>
      <c r="M47">
        <v>81.900000000000006</v>
      </c>
      <c r="N47">
        <v>82.6</v>
      </c>
      <c r="O47">
        <v>82.8</v>
      </c>
      <c r="P47">
        <v>83.6</v>
      </c>
      <c r="Q47">
        <v>85.2</v>
      </c>
      <c r="R47">
        <v>85.2</v>
      </c>
      <c r="S47">
        <v>85.9</v>
      </c>
      <c r="T47">
        <v>85.3</v>
      </c>
      <c r="U47">
        <v>83.9</v>
      </c>
      <c r="V47">
        <v>84.4</v>
      </c>
      <c r="W47">
        <v>84.7</v>
      </c>
      <c r="X47">
        <v>85</v>
      </c>
      <c r="Y47">
        <v>90</v>
      </c>
      <c r="Z47">
        <v>89.3</v>
      </c>
      <c r="AA47">
        <v>86.5</v>
      </c>
      <c r="AB47">
        <v>87.7</v>
      </c>
    </row>
    <row r="48" spans="1:28" x14ac:dyDescent="0.35">
      <c r="A48" t="s">
        <v>126</v>
      </c>
      <c r="B48" t="s">
        <v>127</v>
      </c>
      <c r="C48" t="s">
        <v>30</v>
      </c>
      <c r="D48" t="s">
        <v>31</v>
      </c>
      <c r="E48">
        <v>16.7</v>
      </c>
      <c r="F48">
        <v>20.2</v>
      </c>
      <c r="G48">
        <v>17.399999999999999</v>
      </c>
      <c r="H48">
        <v>18.5</v>
      </c>
      <c r="I48">
        <v>20.3</v>
      </c>
      <c r="J48">
        <v>23.3</v>
      </c>
      <c r="K48">
        <v>24.1</v>
      </c>
      <c r="L48">
        <v>18.5</v>
      </c>
      <c r="M48">
        <v>25.7</v>
      </c>
      <c r="N48">
        <v>26.6</v>
      </c>
      <c r="O48">
        <v>22</v>
      </c>
      <c r="P48">
        <v>28.3</v>
      </c>
      <c r="Q48">
        <v>29.2</v>
      </c>
      <c r="R48">
        <v>30.1</v>
      </c>
      <c r="S48">
        <v>27.9</v>
      </c>
      <c r="T48">
        <v>31.1</v>
      </c>
      <c r="U48">
        <v>35.4</v>
      </c>
      <c r="V48">
        <v>40.299999999999997</v>
      </c>
      <c r="W48">
        <v>40.200000000000003</v>
      </c>
      <c r="X48">
        <v>43</v>
      </c>
      <c r="Y48">
        <v>44.6</v>
      </c>
      <c r="Z48">
        <v>46.7</v>
      </c>
      <c r="AA48">
        <v>47.8</v>
      </c>
      <c r="AB48">
        <v>51.1</v>
      </c>
    </row>
    <row r="49" spans="1:28" x14ac:dyDescent="0.35">
      <c r="A49" t="s">
        <v>128</v>
      </c>
      <c r="B49" t="s">
        <v>129</v>
      </c>
      <c r="C49" t="s">
        <v>30</v>
      </c>
      <c r="D49" t="s">
        <v>31</v>
      </c>
      <c r="E49">
        <v>33.700000000000003</v>
      </c>
      <c r="F49">
        <v>34.200000000000003</v>
      </c>
      <c r="G49">
        <v>34.200000000000003</v>
      </c>
      <c r="H49">
        <v>35.1</v>
      </c>
      <c r="I49">
        <v>35.6</v>
      </c>
      <c r="J49">
        <v>36.1</v>
      </c>
      <c r="K49">
        <v>37.200000000000003</v>
      </c>
      <c r="L49">
        <v>37.200000000000003</v>
      </c>
      <c r="M49">
        <v>37.700000000000003</v>
      </c>
      <c r="N49">
        <v>43.4</v>
      </c>
      <c r="O49">
        <v>38.9</v>
      </c>
      <c r="P49">
        <v>36.9</v>
      </c>
      <c r="Q49">
        <v>44</v>
      </c>
      <c r="R49">
        <v>40.6</v>
      </c>
      <c r="S49">
        <v>32.299999999999997</v>
      </c>
      <c r="T49">
        <v>33.700000000000003</v>
      </c>
      <c r="U49">
        <v>42.5</v>
      </c>
      <c r="V49">
        <v>44</v>
      </c>
      <c r="W49">
        <v>45.4</v>
      </c>
      <c r="X49">
        <v>46.7</v>
      </c>
      <c r="Y49">
        <v>52.7</v>
      </c>
      <c r="Z49">
        <v>49</v>
      </c>
      <c r="AA49">
        <v>50.1</v>
      </c>
      <c r="AB49">
        <v>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48F3-E07C-4407-B01A-FBB409E27CF8}">
  <sheetPr codeName="Sheet4"/>
  <dimension ref="A1:F271"/>
  <sheetViews>
    <sheetView workbookViewId="0">
      <selection activeCell="E1766" sqref="E1766"/>
    </sheetView>
  </sheetViews>
  <sheetFormatPr defaultRowHeight="14.5" x14ac:dyDescent="0.35"/>
  <cols>
    <col min="1" max="1" width="19.1796875" bestFit="1" customWidth="1"/>
    <col min="2" max="2" width="19.54296875" bestFit="1" customWidth="1"/>
    <col min="3" max="3" width="14.81640625" bestFit="1" customWidth="1"/>
    <col min="4" max="4" width="28.81640625" bestFit="1" customWidth="1"/>
    <col min="5" max="5" width="16.81640625" bestFit="1" customWidth="1"/>
    <col min="6" max="6" width="10.7265625" bestFit="1" customWidth="1"/>
  </cols>
  <sheetData>
    <row r="1" spans="1:6" x14ac:dyDescent="0.35">
      <c r="A1" t="s">
        <v>140</v>
      </c>
      <c r="B1" t="s">
        <v>141</v>
      </c>
      <c r="C1" t="s">
        <v>184</v>
      </c>
      <c r="D1" t="s">
        <v>142</v>
      </c>
      <c r="E1" t="s">
        <v>143</v>
      </c>
      <c r="F1" t="s">
        <v>144</v>
      </c>
    </row>
    <row r="2" spans="1:6" x14ac:dyDescent="0.35">
      <c r="A2" s="16" t="s">
        <v>53</v>
      </c>
      <c r="B2" s="16" t="s">
        <v>151</v>
      </c>
      <c r="C2" t="s">
        <v>185</v>
      </c>
      <c r="D2" s="16" t="s">
        <v>146</v>
      </c>
      <c r="E2" s="16" t="s">
        <v>147</v>
      </c>
      <c r="F2">
        <v>436.8</v>
      </c>
    </row>
    <row r="3" spans="1:6" x14ac:dyDescent="0.35">
      <c r="A3" s="16" t="s">
        <v>53</v>
      </c>
      <c r="B3" s="16" t="s">
        <v>152</v>
      </c>
      <c r="C3" t="s">
        <v>185</v>
      </c>
      <c r="D3" s="16" t="s">
        <v>146</v>
      </c>
      <c r="E3" s="16" t="s">
        <v>147</v>
      </c>
      <c r="F3">
        <v>25</v>
      </c>
    </row>
    <row r="4" spans="1:6" x14ac:dyDescent="0.35">
      <c r="A4" s="16" t="s">
        <v>53</v>
      </c>
      <c r="B4" s="16" t="s">
        <v>153</v>
      </c>
      <c r="C4" t="s">
        <v>186</v>
      </c>
      <c r="D4" s="16" t="s">
        <v>146</v>
      </c>
      <c r="E4" s="16" t="s">
        <v>147</v>
      </c>
      <c r="F4">
        <v>10</v>
      </c>
    </row>
    <row r="5" spans="1:6" x14ac:dyDescent="0.35">
      <c r="A5" s="16" t="s">
        <v>53</v>
      </c>
      <c r="B5" s="16" t="s">
        <v>154</v>
      </c>
      <c r="C5" t="s">
        <v>186</v>
      </c>
      <c r="D5" s="16" t="s">
        <v>146</v>
      </c>
      <c r="E5" s="16" t="s">
        <v>147</v>
      </c>
      <c r="F5" t="s">
        <v>137</v>
      </c>
    </row>
    <row r="6" spans="1:6" x14ac:dyDescent="0.35">
      <c r="A6" s="16" t="s">
        <v>53</v>
      </c>
      <c r="B6" s="16" t="s">
        <v>155</v>
      </c>
      <c r="C6" t="s">
        <v>187</v>
      </c>
      <c r="D6" s="16" t="s">
        <v>146</v>
      </c>
      <c r="E6" s="16" t="s">
        <v>147</v>
      </c>
      <c r="F6">
        <v>128.9</v>
      </c>
    </row>
    <row r="7" spans="1:6" x14ac:dyDescent="0.35">
      <c r="A7" s="16" t="s">
        <v>53</v>
      </c>
      <c r="B7" s="16" t="s">
        <v>156</v>
      </c>
      <c r="C7" t="s">
        <v>187</v>
      </c>
      <c r="D7" s="16" t="s">
        <v>146</v>
      </c>
      <c r="E7" s="16" t="s">
        <v>147</v>
      </c>
      <c r="F7" t="s">
        <v>137</v>
      </c>
    </row>
    <row r="8" spans="1:6" x14ac:dyDescent="0.35">
      <c r="A8" s="16" t="s">
        <v>28</v>
      </c>
      <c r="B8" s="16" t="s">
        <v>151</v>
      </c>
      <c r="C8" t="s">
        <v>185</v>
      </c>
      <c r="D8" s="16" t="s">
        <v>146</v>
      </c>
      <c r="E8" s="16" t="s">
        <v>147</v>
      </c>
      <c r="F8">
        <v>361.89</v>
      </c>
    </row>
    <row r="9" spans="1:6" x14ac:dyDescent="0.35">
      <c r="A9" s="16" t="s">
        <v>28</v>
      </c>
      <c r="B9" s="16" t="s">
        <v>152</v>
      </c>
      <c r="C9" t="s">
        <v>185</v>
      </c>
      <c r="D9" s="16" t="s">
        <v>146</v>
      </c>
      <c r="E9" s="16" t="s">
        <v>147</v>
      </c>
      <c r="F9" t="s">
        <v>137</v>
      </c>
    </row>
    <row r="10" spans="1:6" x14ac:dyDescent="0.35">
      <c r="A10" s="16" t="s">
        <v>28</v>
      </c>
      <c r="B10" s="16" t="s">
        <v>153</v>
      </c>
      <c r="C10" t="s">
        <v>186</v>
      </c>
      <c r="D10" s="16" t="s">
        <v>146</v>
      </c>
      <c r="E10" s="16" t="s">
        <v>147</v>
      </c>
      <c r="F10" t="s">
        <v>137</v>
      </c>
    </row>
    <row r="11" spans="1:6" x14ac:dyDescent="0.35">
      <c r="A11" s="16" t="s">
        <v>28</v>
      </c>
      <c r="B11" s="16" t="s">
        <v>154</v>
      </c>
      <c r="C11" t="s">
        <v>186</v>
      </c>
      <c r="D11" s="16" t="s">
        <v>146</v>
      </c>
      <c r="E11" s="16" t="s">
        <v>147</v>
      </c>
      <c r="F11" t="s">
        <v>137</v>
      </c>
    </row>
    <row r="12" spans="1:6" x14ac:dyDescent="0.35">
      <c r="A12" s="16" t="s">
        <v>28</v>
      </c>
      <c r="B12" s="16" t="s">
        <v>155</v>
      </c>
      <c r="C12" t="s">
        <v>187</v>
      </c>
      <c r="D12" s="16" t="s">
        <v>146</v>
      </c>
      <c r="E12" s="16" t="s">
        <v>147</v>
      </c>
      <c r="F12">
        <v>3729.28</v>
      </c>
    </row>
    <row r="13" spans="1:6" x14ac:dyDescent="0.35">
      <c r="A13" s="16" t="s">
        <v>28</v>
      </c>
      <c r="B13" s="16" t="s">
        <v>156</v>
      </c>
      <c r="C13" t="s">
        <v>187</v>
      </c>
      <c r="D13" s="16" t="s">
        <v>146</v>
      </c>
      <c r="E13" s="16" t="s">
        <v>147</v>
      </c>
      <c r="F13" t="s">
        <v>137</v>
      </c>
    </row>
    <row r="14" spans="1:6" x14ac:dyDescent="0.35">
      <c r="A14" s="16" t="s">
        <v>35</v>
      </c>
      <c r="B14" s="16" t="s">
        <v>151</v>
      </c>
      <c r="C14" t="s">
        <v>185</v>
      </c>
      <c r="D14" s="16" t="s">
        <v>146</v>
      </c>
      <c r="E14" s="16" t="s">
        <v>147</v>
      </c>
      <c r="F14">
        <v>35.26</v>
      </c>
    </row>
    <row r="15" spans="1:6" x14ac:dyDescent="0.35">
      <c r="A15" s="16" t="s">
        <v>35</v>
      </c>
      <c r="B15" s="16" t="s">
        <v>152</v>
      </c>
      <c r="C15" t="s">
        <v>185</v>
      </c>
      <c r="D15" s="16" t="s">
        <v>146</v>
      </c>
      <c r="E15" s="16" t="s">
        <v>147</v>
      </c>
      <c r="F15" t="s">
        <v>137</v>
      </c>
    </row>
    <row r="16" spans="1:6" x14ac:dyDescent="0.35">
      <c r="A16" s="16" t="s">
        <v>35</v>
      </c>
      <c r="B16" s="16" t="s">
        <v>153</v>
      </c>
      <c r="C16" t="s">
        <v>186</v>
      </c>
      <c r="D16" s="16" t="s">
        <v>146</v>
      </c>
      <c r="E16" s="16" t="s">
        <v>147</v>
      </c>
      <c r="F16" t="s">
        <v>137</v>
      </c>
    </row>
    <row r="17" spans="1:6" x14ac:dyDescent="0.35">
      <c r="A17" s="16" t="s">
        <v>35</v>
      </c>
      <c r="B17" s="16" t="s">
        <v>154</v>
      </c>
      <c r="C17" t="s">
        <v>186</v>
      </c>
      <c r="D17" s="16" t="s">
        <v>146</v>
      </c>
      <c r="E17" s="16" t="s">
        <v>147</v>
      </c>
      <c r="F17" t="s">
        <v>137</v>
      </c>
    </row>
    <row r="18" spans="1:6" x14ac:dyDescent="0.35">
      <c r="A18" s="16" t="s">
        <v>35</v>
      </c>
      <c r="B18" s="16" t="s">
        <v>155</v>
      </c>
      <c r="C18" t="s">
        <v>187</v>
      </c>
      <c r="D18" s="16" t="s">
        <v>146</v>
      </c>
      <c r="E18" s="16" t="s">
        <v>147</v>
      </c>
      <c r="F18">
        <v>0.5</v>
      </c>
    </row>
    <row r="19" spans="1:6" x14ac:dyDescent="0.35">
      <c r="A19" s="16" t="s">
        <v>35</v>
      </c>
      <c r="B19" s="16" t="s">
        <v>156</v>
      </c>
      <c r="C19" t="s">
        <v>187</v>
      </c>
      <c r="D19" s="16" t="s">
        <v>146</v>
      </c>
      <c r="E19" s="16" t="s">
        <v>147</v>
      </c>
      <c r="F19" t="s">
        <v>137</v>
      </c>
    </row>
    <row r="20" spans="1:6" x14ac:dyDescent="0.35">
      <c r="A20" s="16" t="s">
        <v>39</v>
      </c>
      <c r="B20" s="16" t="s">
        <v>151</v>
      </c>
      <c r="C20" t="s">
        <v>185</v>
      </c>
      <c r="D20" s="16" t="s">
        <v>146</v>
      </c>
      <c r="E20" s="16" t="s">
        <v>147</v>
      </c>
      <c r="F20">
        <v>10.3</v>
      </c>
    </row>
    <row r="21" spans="1:6" x14ac:dyDescent="0.35">
      <c r="A21" s="16" t="s">
        <v>39</v>
      </c>
      <c r="B21" s="16" t="s">
        <v>152</v>
      </c>
      <c r="C21" t="s">
        <v>185</v>
      </c>
      <c r="D21" s="16" t="s">
        <v>146</v>
      </c>
      <c r="E21" s="16" t="s">
        <v>147</v>
      </c>
      <c r="F21" t="s">
        <v>137</v>
      </c>
    </row>
    <row r="22" spans="1:6" x14ac:dyDescent="0.35">
      <c r="A22" s="16" t="s">
        <v>39</v>
      </c>
      <c r="B22" s="16" t="s">
        <v>153</v>
      </c>
      <c r="C22" t="s">
        <v>186</v>
      </c>
      <c r="D22" s="16" t="s">
        <v>146</v>
      </c>
      <c r="E22" s="16" t="s">
        <v>147</v>
      </c>
      <c r="F22" t="s">
        <v>137</v>
      </c>
    </row>
    <row r="23" spans="1:6" x14ac:dyDescent="0.35">
      <c r="A23" s="16" t="s">
        <v>39</v>
      </c>
      <c r="B23" s="16" t="s">
        <v>154</v>
      </c>
      <c r="C23" t="s">
        <v>186</v>
      </c>
      <c r="D23" s="16" t="s">
        <v>146</v>
      </c>
      <c r="E23" s="16" t="s">
        <v>147</v>
      </c>
      <c r="F23" t="s">
        <v>137</v>
      </c>
    </row>
    <row r="24" spans="1:6" x14ac:dyDescent="0.35">
      <c r="A24" s="16" t="s">
        <v>39</v>
      </c>
      <c r="B24" s="16" t="s">
        <v>155</v>
      </c>
      <c r="C24" t="s">
        <v>187</v>
      </c>
      <c r="D24" s="16" t="s">
        <v>146</v>
      </c>
      <c r="E24" s="16" t="s">
        <v>147</v>
      </c>
      <c r="F24" t="s">
        <v>137</v>
      </c>
    </row>
    <row r="25" spans="1:6" x14ac:dyDescent="0.35">
      <c r="A25" s="16" t="s">
        <v>39</v>
      </c>
      <c r="B25" s="16" t="s">
        <v>156</v>
      </c>
      <c r="C25" t="s">
        <v>187</v>
      </c>
      <c r="D25" s="16" t="s">
        <v>146</v>
      </c>
      <c r="E25" s="16" t="s">
        <v>147</v>
      </c>
      <c r="F25" t="s">
        <v>137</v>
      </c>
    </row>
    <row r="26" spans="1:6" x14ac:dyDescent="0.35">
      <c r="A26" s="16" t="s">
        <v>37</v>
      </c>
      <c r="B26" s="16" t="s">
        <v>151</v>
      </c>
      <c r="C26" t="s">
        <v>185</v>
      </c>
      <c r="D26" s="16" t="s">
        <v>146</v>
      </c>
      <c r="E26" s="16" t="s">
        <v>147</v>
      </c>
      <c r="F26">
        <v>205.64</v>
      </c>
    </row>
    <row r="27" spans="1:6" x14ac:dyDescent="0.35">
      <c r="A27" s="16" t="s">
        <v>37</v>
      </c>
      <c r="B27" s="16" t="s">
        <v>152</v>
      </c>
      <c r="C27" t="s">
        <v>185</v>
      </c>
      <c r="D27" s="16" t="s">
        <v>146</v>
      </c>
      <c r="E27" s="16" t="s">
        <v>147</v>
      </c>
      <c r="F27" t="s">
        <v>137</v>
      </c>
    </row>
    <row r="28" spans="1:6" x14ac:dyDescent="0.35">
      <c r="A28" s="16" t="s">
        <v>37</v>
      </c>
      <c r="B28" s="16" t="s">
        <v>153</v>
      </c>
      <c r="C28" t="s">
        <v>186</v>
      </c>
      <c r="D28" s="16" t="s">
        <v>146</v>
      </c>
      <c r="E28" s="16" t="s">
        <v>147</v>
      </c>
      <c r="F28" t="s">
        <v>137</v>
      </c>
    </row>
    <row r="29" spans="1:6" x14ac:dyDescent="0.35">
      <c r="A29" s="16" t="s">
        <v>37</v>
      </c>
      <c r="B29" s="16" t="s">
        <v>154</v>
      </c>
      <c r="C29" t="s">
        <v>186</v>
      </c>
      <c r="D29" s="16" t="s">
        <v>146</v>
      </c>
      <c r="E29" s="16" t="s">
        <v>147</v>
      </c>
      <c r="F29" t="s">
        <v>137</v>
      </c>
    </row>
    <row r="30" spans="1:6" x14ac:dyDescent="0.35">
      <c r="A30" s="16" t="s">
        <v>37</v>
      </c>
      <c r="B30" s="16" t="s">
        <v>155</v>
      </c>
      <c r="C30" t="s">
        <v>187</v>
      </c>
      <c r="D30" s="16" t="s">
        <v>146</v>
      </c>
      <c r="E30" s="16" t="s">
        <v>147</v>
      </c>
      <c r="F30">
        <v>34</v>
      </c>
    </row>
    <row r="31" spans="1:6" x14ac:dyDescent="0.35">
      <c r="A31" s="16" t="s">
        <v>37</v>
      </c>
      <c r="B31" s="16" t="s">
        <v>156</v>
      </c>
      <c r="C31" t="s">
        <v>187</v>
      </c>
      <c r="D31" s="16" t="s">
        <v>146</v>
      </c>
      <c r="E31" s="16" t="s">
        <v>147</v>
      </c>
      <c r="F31" t="s">
        <v>137</v>
      </c>
    </row>
    <row r="32" spans="1:6" x14ac:dyDescent="0.35">
      <c r="A32" s="16" t="s">
        <v>32</v>
      </c>
      <c r="B32" s="16" t="s">
        <v>151</v>
      </c>
      <c r="C32" t="s">
        <v>185</v>
      </c>
      <c r="D32" s="16" t="s">
        <v>146</v>
      </c>
      <c r="E32" s="16" t="s">
        <v>147</v>
      </c>
      <c r="F32">
        <v>9.5299999999999994</v>
      </c>
    </row>
    <row r="33" spans="1:6" x14ac:dyDescent="0.35">
      <c r="A33" s="16" t="s">
        <v>32</v>
      </c>
      <c r="B33" s="16" t="s">
        <v>152</v>
      </c>
      <c r="C33" t="s">
        <v>185</v>
      </c>
      <c r="D33" s="16" t="s">
        <v>146</v>
      </c>
      <c r="E33" s="16" t="s">
        <v>147</v>
      </c>
      <c r="F33" t="s">
        <v>137</v>
      </c>
    </row>
    <row r="34" spans="1:6" x14ac:dyDescent="0.35">
      <c r="A34" s="16" t="s">
        <v>32</v>
      </c>
      <c r="B34" s="16" t="s">
        <v>153</v>
      </c>
      <c r="C34" t="s">
        <v>186</v>
      </c>
      <c r="D34" s="16" t="s">
        <v>146</v>
      </c>
      <c r="E34" s="16" t="s">
        <v>147</v>
      </c>
      <c r="F34" t="s">
        <v>137</v>
      </c>
    </row>
    <row r="35" spans="1:6" x14ac:dyDescent="0.35">
      <c r="A35" s="16" t="s">
        <v>32</v>
      </c>
      <c r="B35" s="16" t="s">
        <v>154</v>
      </c>
      <c r="C35" t="s">
        <v>186</v>
      </c>
      <c r="D35" s="16" t="s">
        <v>146</v>
      </c>
      <c r="E35" s="16" t="s">
        <v>147</v>
      </c>
      <c r="F35" t="s">
        <v>137</v>
      </c>
    </row>
    <row r="36" spans="1:6" x14ac:dyDescent="0.35">
      <c r="A36" s="16" t="s">
        <v>32</v>
      </c>
      <c r="B36" s="16" t="s">
        <v>155</v>
      </c>
      <c r="C36" t="s">
        <v>187</v>
      </c>
      <c r="D36" s="16" t="s">
        <v>146</v>
      </c>
      <c r="E36" s="16" t="s">
        <v>147</v>
      </c>
      <c r="F36">
        <v>63.28</v>
      </c>
    </row>
    <row r="37" spans="1:6" x14ac:dyDescent="0.35">
      <c r="A37" s="16" t="s">
        <v>32</v>
      </c>
      <c r="B37" s="16" t="s">
        <v>156</v>
      </c>
      <c r="C37" t="s">
        <v>187</v>
      </c>
      <c r="D37" s="16" t="s">
        <v>146</v>
      </c>
      <c r="E37" s="16" t="s">
        <v>147</v>
      </c>
      <c r="F37" t="s">
        <v>137</v>
      </c>
    </row>
    <row r="38" spans="1:6" x14ac:dyDescent="0.35">
      <c r="A38" s="16" t="s">
        <v>48</v>
      </c>
      <c r="B38" s="16" t="s">
        <v>151</v>
      </c>
      <c r="C38" t="s">
        <v>185</v>
      </c>
      <c r="D38" s="16" t="s">
        <v>146</v>
      </c>
      <c r="E38" s="16" t="s">
        <v>147</v>
      </c>
      <c r="F38">
        <v>31.04</v>
      </c>
    </row>
    <row r="39" spans="1:6" x14ac:dyDescent="0.35">
      <c r="A39" s="16" t="s">
        <v>48</v>
      </c>
      <c r="B39" s="16" t="s">
        <v>152</v>
      </c>
      <c r="C39" t="s">
        <v>185</v>
      </c>
      <c r="D39" s="16" t="s">
        <v>146</v>
      </c>
      <c r="E39" s="16" t="s">
        <v>147</v>
      </c>
      <c r="F39" t="s">
        <v>137</v>
      </c>
    </row>
    <row r="40" spans="1:6" x14ac:dyDescent="0.35">
      <c r="A40" s="16" t="s">
        <v>48</v>
      </c>
      <c r="B40" s="16" t="s">
        <v>153</v>
      </c>
      <c r="C40" t="s">
        <v>186</v>
      </c>
      <c r="D40" s="16" t="s">
        <v>146</v>
      </c>
      <c r="E40" s="16" t="s">
        <v>147</v>
      </c>
      <c r="F40">
        <v>26.8</v>
      </c>
    </row>
    <row r="41" spans="1:6" x14ac:dyDescent="0.35">
      <c r="A41" s="16" t="s">
        <v>48</v>
      </c>
      <c r="B41" s="16" t="s">
        <v>154</v>
      </c>
      <c r="C41" t="s">
        <v>186</v>
      </c>
      <c r="D41" s="16" t="s">
        <v>146</v>
      </c>
      <c r="E41" s="16" t="s">
        <v>147</v>
      </c>
      <c r="F41" t="s">
        <v>137</v>
      </c>
    </row>
    <row r="42" spans="1:6" x14ac:dyDescent="0.35">
      <c r="A42" s="16" t="s">
        <v>48</v>
      </c>
      <c r="B42" s="16" t="s">
        <v>155</v>
      </c>
      <c r="C42" t="s">
        <v>187</v>
      </c>
      <c r="D42" s="16" t="s">
        <v>146</v>
      </c>
      <c r="E42" s="16" t="s">
        <v>147</v>
      </c>
      <c r="F42" t="s">
        <v>137</v>
      </c>
    </row>
    <row r="43" spans="1:6" x14ac:dyDescent="0.35">
      <c r="A43" s="16" t="s">
        <v>48</v>
      </c>
      <c r="B43" s="16" t="s">
        <v>156</v>
      </c>
      <c r="C43" t="s">
        <v>187</v>
      </c>
      <c r="D43" s="16" t="s">
        <v>146</v>
      </c>
      <c r="E43" s="16" t="s">
        <v>147</v>
      </c>
      <c r="F43" t="s">
        <v>137</v>
      </c>
    </row>
    <row r="44" spans="1:6" x14ac:dyDescent="0.35">
      <c r="A44" s="16" t="s">
        <v>44</v>
      </c>
      <c r="B44" s="16" t="s">
        <v>151</v>
      </c>
      <c r="C44" t="s">
        <v>185</v>
      </c>
      <c r="D44" s="16" t="s">
        <v>146</v>
      </c>
      <c r="E44" s="16" t="s">
        <v>147</v>
      </c>
      <c r="F44">
        <v>62.65</v>
      </c>
    </row>
    <row r="45" spans="1:6" x14ac:dyDescent="0.35">
      <c r="A45" s="16" t="s">
        <v>44</v>
      </c>
      <c r="B45" s="16" t="s">
        <v>152</v>
      </c>
      <c r="C45" t="s">
        <v>185</v>
      </c>
      <c r="D45" s="16" t="s">
        <v>146</v>
      </c>
      <c r="E45" s="16" t="s">
        <v>147</v>
      </c>
      <c r="F45" t="s">
        <v>137</v>
      </c>
    </row>
    <row r="46" spans="1:6" x14ac:dyDescent="0.35">
      <c r="A46" s="16" t="s">
        <v>44</v>
      </c>
      <c r="B46" s="16" t="s">
        <v>153</v>
      </c>
      <c r="C46" t="s">
        <v>186</v>
      </c>
      <c r="D46" s="16" t="s">
        <v>146</v>
      </c>
      <c r="E46" s="16" t="s">
        <v>147</v>
      </c>
      <c r="F46" t="s">
        <v>137</v>
      </c>
    </row>
    <row r="47" spans="1:6" x14ac:dyDescent="0.35">
      <c r="A47" s="16" t="s">
        <v>44</v>
      </c>
      <c r="B47" s="16" t="s">
        <v>154</v>
      </c>
      <c r="C47" t="s">
        <v>186</v>
      </c>
      <c r="D47" s="16" t="s">
        <v>146</v>
      </c>
      <c r="E47" s="16" t="s">
        <v>147</v>
      </c>
      <c r="F47" t="s">
        <v>137</v>
      </c>
    </row>
    <row r="48" spans="1:6" x14ac:dyDescent="0.35">
      <c r="A48" s="16" t="s">
        <v>44</v>
      </c>
      <c r="B48" s="16" t="s">
        <v>155</v>
      </c>
      <c r="C48" t="s">
        <v>187</v>
      </c>
      <c r="D48" s="16" t="s">
        <v>146</v>
      </c>
      <c r="E48" s="16" t="s">
        <v>147</v>
      </c>
      <c r="F48">
        <v>814</v>
      </c>
    </row>
    <row r="49" spans="1:6" x14ac:dyDescent="0.35">
      <c r="A49" s="16" t="s">
        <v>44</v>
      </c>
      <c r="B49" s="16" t="s">
        <v>156</v>
      </c>
      <c r="C49" t="s">
        <v>187</v>
      </c>
      <c r="D49" s="16" t="s">
        <v>146</v>
      </c>
      <c r="E49" s="16" t="s">
        <v>147</v>
      </c>
      <c r="F49" t="s">
        <v>137</v>
      </c>
    </row>
    <row r="50" spans="1:6" x14ac:dyDescent="0.35">
      <c r="A50" s="16" t="s">
        <v>114</v>
      </c>
      <c r="B50" s="16" t="s">
        <v>151</v>
      </c>
      <c r="C50" t="s">
        <v>185</v>
      </c>
      <c r="D50" s="16" t="s">
        <v>146</v>
      </c>
      <c r="E50" s="16" t="s">
        <v>147</v>
      </c>
      <c r="F50">
        <v>1.74</v>
      </c>
    </row>
    <row r="51" spans="1:6" x14ac:dyDescent="0.35">
      <c r="A51" s="16" t="s">
        <v>114</v>
      </c>
      <c r="B51" s="16" t="s">
        <v>152</v>
      </c>
      <c r="C51" t="s">
        <v>185</v>
      </c>
      <c r="D51" s="16" t="s">
        <v>146</v>
      </c>
      <c r="E51" s="16" t="s">
        <v>147</v>
      </c>
      <c r="F51" t="s">
        <v>137</v>
      </c>
    </row>
    <row r="52" spans="1:6" x14ac:dyDescent="0.35">
      <c r="A52" s="16" t="s">
        <v>114</v>
      </c>
      <c r="B52" s="16" t="s">
        <v>153</v>
      </c>
      <c r="C52" t="s">
        <v>186</v>
      </c>
      <c r="D52" s="16" t="s">
        <v>146</v>
      </c>
      <c r="E52" s="16" t="s">
        <v>147</v>
      </c>
      <c r="F52">
        <v>1.1000000000000001</v>
      </c>
    </row>
    <row r="53" spans="1:6" x14ac:dyDescent="0.35">
      <c r="A53" s="16" t="s">
        <v>114</v>
      </c>
      <c r="B53" s="16" t="s">
        <v>154</v>
      </c>
      <c r="C53" t="s">
        <v>186</v>
      </c>
      <c r="D53" s="16" t="s">
        <v>146</v>
      </c>
      <c r="E53" s="16" t="s">
        <v>147</v>
      </c>
      <c r="F53" t="s">
        <v>137</v>
      </c>
    </row>
    <row r="54" spans="1:6" x14ac:dyDescent="0.35">
      <c r="A54" s="16" t="s">
        <v>114</v>
      </c>
      <c r="B54" s="16" t="s">
        <v>155</v>
      </c>
      <c r="C54" t="s">
        <v>187</v>
      </c>
      <c r="D54" s="16" t="s">
        <v>146</v>
      </c>
      <c r="E54" s="16" t="s">
        <v>147</v>
      </c>
      <c r="F54" t="s">
        <v>137</v>
      </c>
    </row>
    <row r="55" spans="1:6" x14ac:dyDescent="0.35">
      <c r="A55" s="16" t="s">
        <v>114</v>
      </c>
      <c r="B55" s="16" t="s">
        <v>156</v>
      </c>
      <c r="C55" t="s">
        <v>187</v>
      </c>
      <c r="D55" s="16" t="s">
        <v>146</v>
      </c>
      <c r="E55" s="16" t="s">
        <v>147</v>
      </c>
      <c r="F55" t="s">
        <v>137</v>
      </c>
    </row>
    <row r="56" spans="1:6" x14ac:dyDescent="0.35">
      <c r="A56" s="16" t="s">
        <v>50</v>
      </c>
      <c r="B56" s="16" t="s">
        <v>151</v>
      </c>
      <c r="C56" t="s">
        <v>185</v>
      </c>
      <c r="D56" s="16" t="s">
        <v>146</v>
      </c>
      <c r="E56" s="16" t="s">
        <v>147</v>
      </c>
      <c r="F56">
        <v>0.43</v>
      </c>
    </row>
    <row r="57" spans="1:6" x14ac:dyDescent="0.35">
      <c r="A57" s="16" t="s">
        <v>50</v>
      </c>
      <c r="B57" s="16" t="s">
        <v>152</v>
      </c>
      <c r="C57" t="s">
        <v>185</v>
      </c>
      <c r="D57" s="16" t="s">
        <v>146</v>
      </c>
      <c r="E57" s="16" t="s">
        <v>147</v>
      </c>
      <c r="F57" t="s">
        <v>137</v>
      </c>
    </row>
    <row r="58" spans="1:6" x14ac:dyDescent="0.35">
      <c r="A58" s="16" t="s">
        <v>50</v>
      </c>
      <c r="B58" s="16" t="s">
        <v>153</v>
      </c>
      <c r="C58" t="s">
        <v>186</v>
      </c>
      <c r="D58" s="16" t="s">
        <v>146</v>
      </c>
      <c r="E58" s="16" t="s">
        <v>147</v>
      </c>
      <c r="F58">
        <v>80</v>
      </c>
    </row>
    <row r="59" spans="1:6" x14ac:dyDescent="0.35">
      <c r="A59" s="16" t="s">
        <v>50</v>
      </c>
      <c r="B59" s="16" t="s">
        <v>154</v>
      </c>
      <c r="C59" t="s">
        <v>186</v>
      </c>
      <c r="D59" s="16" t="s">
        <v>146</v>
      </c>
      <c r="E59" s="16" t="s">
        <v>147</v>
      </c>
      <c r="F59" t="s">
        <v>137</v>
      </c>
    </row>
    <row r="60" spans="1:6" x14ac:dyDescent="0.35">
      <c r="A60" s="16" t="s">
        <v>50</v>
      </c>
      <c r="B60" s="16" t="s">
        <v>155</v>
      </c>
      <c r="C60" t="s">
        <v>187</v>
      </c>
      <c r="D60" s="16" t="s">
        <v>146</v>
      </c>
      <c r="E60" s="16" t="s">
        <v>147</v>
      </c>
      <c r="F60" t="s">
        <v>137</v>
      </c>
    </row>
    <row r="61" spans="1:6" x14ac:dyDescent="0.35">
      <c r="A61" s="16" t="s">
        <v>50</v>
      </c>
      <c r="B61" s="16" t="s">
        <v>156</v>
      </c>
      <c r="C61" t="s">
        <v>187</v>
      </c>
      <c r="D61" s="16" t="s">
        <v>146</v>
      </c>
      <c r="E61" s="16" t="s">
        <v>147</v>
      </c>
      <c r="F61" t="s">
        <v>137</v>
      </c>
    </row>
    <row r="62" spans="1:6" x14ac:dyDescent="0.35">
      <c r="A62" s="16" t="s">
        <v>138</v>
      </c>
      <c r="B62" s="16" t="s">
        <v>151</v>
      </c>
      <c r="C62" t="s">
        <v>185</v>
      </c>
      <c r="D62" s="16" t="s">
        <v>146</v>
      </c>
      <c r="E62" s="16" t="s">
        <v>147</v>
      </c>
      <c r="F62">
        <v>2570.2800000000002</v>
      </c>
    </row>
    <row r="63" spans="1:6" x14ac:dyDescent="0.35">
      <c r="A63" s="16" t="s">
        <v>138</v>
      </c>
      <c r="B63" s="16" t="s">
        <v>152</v>
      </c>
      <c r="C63" t="s">
        <v>185</v>
      </c>
      <c r="D63" s="16" t="s">
        <v>146</v>
      </c>
      <c r="E63" s="16" t="s">
        <v>147</v>
      </c>
      <c r="F63">
        <v>20</v>
      </c>
    </row>
    <row r="64" spans="1:6" x14ac:dyDescent="0.35">
      <c r="A64" s="16" t="s">
        <v>138</v>
      </c>
      <c r="B64" s="16" t="s">
        <v>153</v>
      </c>
      <c r="C64" t="s">
        <v>186</v>
      </c>
      <c r="D64" s="16" t="s">
        <v>146</v>
      </c>
      <c r="E64" s="16" t="s">
        <v>147</v>
      </c>
      <c r="F64">
        <v>2199</v>
      </c>
    </row>
    <row r="65" spans="1:6" x14ac:dyDescent="0.35">
      <c r="A65" s="16" t="s">
        <v>138</v>
      </c>
      <c r="B65" s="16" t="s">
        <v>154</v>
      </c>
      <c r="C65" t="s">
        <v>186</v>
      </c>
      <c r="D65" s="16" t="s">
        <v>146</v>
      </c>
      <c r="E65" s="16" t="s">
        <v>147</v>
      </c>
      <c r="F65" t="s">
        <v>137</v>
      </c>
    </row>
    <row r="66" spans="1:6" x14ac:dyDescent="0.35">
      <c r="A66" s="16" t="s">
        <v>138</v>
      </c>
      <c r="B66" s="16" t="s">
        <v>155</v>
      </c>
      <c r="C66" t="s">
        <v>187</v>
      </c>
      <c r="D66" s="16" t="s">
        <v>146</v>
      </c>
      <c r="E66" s="16" t="s">
        <v>147</v>
      </c>
      <c r="F66">
        <v>2832</v>
      </c>
    </row>
    <row r="67" spans="1:6" x14ac:dyDescent="0.35">
      <c r="A67" s="16" t="s">
        <v>138</v>
      </c>
      <c r="B67" s="16" t="s">
        <v>156</v>
      </c>
      <c r="C67" t="s">
        <v>187</v>
      </c>
      <c r="D67" s="16" t="s">
        <v>146</v>
      </c>
      <c r="E67" s="16" t="s">
        <v>147</v>
      </c>
      <c r="F67" t="s">
        <v>137</v>
      </c>
    </row>
    <row r="68" spans="1:6" x14ac:dyDescent="0.35">
      <c r="A68" s="16" t="s">
        <v>67</v>
      </c>
      <c r="B68" s="16" t="s">
        <v>151</v>
      </c>
      <c r="C68" t="s">
        <v>185</v>
      </c>
      <c r="D68" s="16" t="s">
        <v>146</v>
      </c>
      <c r="E68" s="16" t="s">
        <v>147</v>
      </c>
      <c r="F68">
        <v>0.01</v>
      </c>
    </row>
    <row r="69" spans="1:6" x14ac:dyDescent="0.35">
      <c r="A69" s="16" t="s">
        <v>67</v>
      </c>
      <c r="B69" s="16" t="s">
        <v>152</v>
      </c>
      <c r="C69" t="s">
        <v>185</v>
      </c>
      <c r="D69" s="16" t="s">
        <v>146</v>
      </c>
      <c r="E69" s="16" t="s">
        <v>147</v>
      </c>
      <c r="F69" t="s">
        <v>137</v>
      </c>
    </row>
    <row r="70" spans="1:6" x14ac:dyDescent="0.35">
      <c r="A70" s="16" t="s">
        <v>67</v>
      </c>
      <c r="B70" s="16" t="s">
        <v>153</v>
      </c>
      <c r="C70" t="s">
        <v>186</v>
      </c>
      <c r="D70" s="16" t="s">
        <v>146</v>
      </c>
      <c r="E70" s="16" t="s">
        <v>147</v>
      </c>
      <c r="F70" t="s">
        <v>137</v>
      </c>
    </row>
    <row r="71" spans="1:6" x14ac:dyDescent="0.35">
      <c r="A71" s="16" t="s">
        <v>67</v>
      </c>
      <c r="B71" s="16" t="s">
        <v>154</v>
      </c>
      <c r="C71" t="s">
        <v>186</v>
      </c>
      <c r="D71" s="16" t="s">
        <v>146</v>
      </c>
      <c r="E71" s="16" t="s">
        <v>147</v>
      </c>
      <c r="F71" t="s">
        <v>137</v>
      </c>
    </row>
    <row r="72" spans="1:6" x14ac:dyDescent="0.35">
      <c r="A72" s="16" t="s">
        <v>67</v>
      </c>
      <c r="B72" s="16" t="s">
        <v>155</v>
      </c>
      <c r="C72" t="s">
        <v>187</v>
      </c>
      <c r="D72" s="16" t="s">
        <v>146</v>
      </c>
      <c r="E72" s="16" t="s">
        <v>147</v>
      </c>
      <c r="F72">
        <v>127.14</v>
      </c>
    </row>
    <row r="73" spans="1:6" x14ac:dyDescent="0.35">
      <c r="A73" s="16" t="s">
        <v>67</v>
      </c>
      <c r="B73" s="16" t="s">
        <v>156</v>
      </c>
      <c r="C73" t="s">
        <v>187</v>
      </c>
      <c r="D73" s="16" t="s">
        <v>146</v>
      </c>
      <c r="E73" s="16" t="s">
        <v>147</v>
      </c>
      <c r="F73" t="s">
        <v>137</v>
      </c>
    </row>
    <row r="74" spans="1:6" x14ac:dyDescent="0.35">
      <c r="A74" s="16" t="s">
        <v>55</v>
      </c>
      <c r="B74" s="16" t="s">
        <v>151</v>
      </c>
      <c r="C74" t="s">
        <v>185</v>
      </c>
      <c r="D74" s="16" t="s">
        <v>146</v>
      </c>
      <c r="E74" s="16" t="s">
        <v>147</v>
      </c>
      <c r="F74">
        <v>24.79</v>
      </c>
    </row>
    <row r="75" spans="1:6" x14ac:dyDescent="0.35">
      <c r="A75" s="16" t="s">
        <v>55</v>
      </c>
      <c r="B75" s="16" t="s">
        <v>152</v>
      </c>
      <c r="C75" t="s">
        <v>185</v>
      </c>
      <c r="D75" s="16" t="s">
        <v>146</v>
      </c>
      <c r="E75" s="16" t="s">
        <v>147</v>
      </c>
      <c r="F75" t="s">
        <v>137</v>
      </c>
    </row>
    <row r="76" spans="1:6" x14ac:dyDescent="0.35">
      <c r="A76" s="16" t="s">
        <v>55</v>
      </c>
      <c r="B76" s="16" t="s">
        <v>153</v>
      </c>
      <c r="C76" t="s">
        <v>186</v>
      </c>
      <c r="D76" s="16" t="s">
        <v>146</v>
      </c>
      <c r="E76" s="16" t="s">
        <v>147</v>
      </c>
      <c r="F76">
        <v>0.83</v>
      </c>
    </row>
    <row r="77" spans="1:6" x14ac:dyDescent="0.35">
      <c r="A77" s="16" t="s">
        <v>55</v>
      </c>
      <c r="B77" s="16" t="s">
        <v>154</v>
      </c>
      <c r="C77" t="s">
        <v>186</v>
      </c>
      <c r="D77" s="16" t="s">
        <v>146</v>
      </c>
      <c r="E77" s="16" t="s">
        <v>147</v>
      </c>
      <c r="F77" t="s">
        <v>137</v>
      </c>
    </row>
    <row r="78" spans="1:6" x14ac:dyDescent="0.35">
      <c r="A78" s="16" t="s">
        <v>55</v>
      </c>
      <c r="B78" s="16" t="s">
        <v>155</v>
      </c>
      <c r="C78" t="s">
        <v>187</v>
      </c>
      <c r="D78" s="16" t="s">
        <v>146</v>
      </c>
      <c r="E78" s="16" t="s">
        <v>147</v>
      </c>
      <c r="F78" t="s">
        <v>137</v>
      </c>
    </row>
    <row r="79" spans="1:6" x14ac:dyDescent="0.35">
      <c r="A79" s="16" t="s">
        <v>55</v>
      </c>
      <c r="B79" s="16" t="s">
        <v>156</v>
      </c>
      <c r="C79" t="s">
        <v>187</v>
      </c>
      <c r="D79" s="16" t="s">
        <v>146</v>
      </c>
      <c r="E79" s="16" t="s">
        <v>147</v>
      </c>
      <c r="F79" t="s">
        <v>137</v>
      </c>
    </row>
    <row r="80" spans="1:6" x14ac:dyDescent="0.35">
      <c r="A80" s="16" t="s">
        <v>109</v>
      </c>
      <c r="B80" s="16" t="s">
        <v>151</v>
      </c>
      <c r="C80" t="s">
        <v>185</v>
      </c>
      <c r="D80" s="16" t="s">
        <v>146</v>
      </c>
      <c r="E80" s="16" t="s">
        <v>147</v>
      </c>
      <c r="F80">
        <v>27.95</v>
      </c>
    </row>
    <row r="81" spans="1:6" x14ac:dyDescent="0.35">
      <c r="A81" s="16" t="s">
        <v>109</v>
      </c>
      <c r="B81" s="16" t="s">
        <v>152</v>
      </c>
      <c r="C81" t="s">
        <v>185</v>
      </c>
      <c r="D81" s="16" t="s">
        <v>146</v>
      </c>
      <c r="E81" s="16" t="s">
        <v>147</v>
      </c>
      <c r="F81" t="s">
        <v>137</v>
      </c>
    </row>
    <row r="82" spans="1:6" x14ac:dyDescent="0.35">
      <c r="A82" s="16" t="s">
        <v>109</v>
      </c>
      <c r="B82" s="16" t="s">
        <v>153</v>
      </c>
      <c r="C82" t="s">
        <v>186</v>
      </c>
      <c r="D82" s="16" t="s">
        <v>146</v>
      </c>
      <c r="E82" s="16" t="s">
        <v>147</v>
      </c>
      <c r="F82" t="s">
        <v>137</v>
      </c>
    </row>
    <row r="83" spans="1:6" x14ac:dyDescent="0.35">
      <c r="A83" s="16" t="s">
        <v>109</v>
      </c>
      <c r="B83" s="16" t="s">
        <v>154</v>
      </c>
      <c r="C83" t="s">
        <v>186</v>
      </c>
      <c r="D83" s="16" t="s">
        <v>146</v>
      </c>
      <c r="E83" s="16" t="s">
        <v>147</v>
      </c>
      <c r="F83" t="s">
        <v>137</v>
      </c>
    </row>
    <row r="84" spans="1:6" x14ac:dyDescent="0.35">
      <c r="A84" s="16" t="s">
        <v>109</v>
      </c>
      <c r="B84" s="16" t="s">
        <v>155</v>
      </c>
      <c r="C84" t="s">
        <v>187</v>
      </c>
      <c r="D84" s="16" t="s">
        <v>146</v>
      </c>
      <c r="E84" s="16" t="s">
        <v>147</v>
      </c>
      <c r="F84">
        <v>63.53</v>
      </c>
    </row>
    <row r="85" spans="1:6" x14ac:dyDescent="0.35">
      <c r="A85" s="16" t="s">
        <v>109</v>
      </c>
      <c r="B85" s="16" t="s">
        <v>156</v>
      </c>
      <c r="C85" t="s">
        <v>187</v>
      </c>
      <c r="D85" s="16" t="s">
        <v>146</v>
      </c>
      <c r="E85" s="16" t="s">
        <v>147</v>
      </c>
      <c r="F85" t="s">
        <v>137</v>
      </c>
    </row>
    <row r="86" spans="1:6" x14ac:dyDescent="0.35">
      <c r="A86" s="16" t="s">
        <v>57</v>
      </c>
      <c r="B86" s="16" t="s">
        <v>151</v>
      </c>
      <c r="C86" t="s">
        <v>185</v>
      </c>
      <c r="D86" s="16" t="s">
        <v>146</v>
      </c>
      <c r="E86" s="16" t="s">
        <v>147</v>
      </c>
      <c r="F86">
        <v>21.55</v>
      </c>
    </row>
    <row r="87" spans="1:6" x14ac:dyDescent="0.35">
      <c r="A87" s="16" t="s">
        <v>57</v>
      </c>
      <c r="B87" s="16" t="s">
        <v>152</v>
      </c>
      <c r="C87" t="s">
        <v>185</v>
      </c>
      <c r="D87" s="16" t="s">
        <v>146</v>
      </c>
      <c r="E87" s="16" t="s">
        <v>147</v>
      </c>
      <c r="F87" t="s">
        <v>137</v>
      </c>
    </row>
    <row r="88" spans="1:6" x14ac:dyDescent="0.35">
      <c r="A88" s="16" t="s">
        <v>57</v>
      </c>
      <c r="B88" s="16" t="s">
        <v>153</v>
      </c>
      <c r="C88" t="s">
        <v>186</v>
      </c>
      <c r="D88" s="16" t="s">
        <v>146</v>
      </c>
      <c r="E88" s="16" t="s">
        <v>147</v>
      </c>
      <c r="F88">
        <v>404.01</v>
      </c>
    </row>
    <row r="89" spans="1:6" x14ac:dyDescent="0.35">
      <c r="A89" s="16" t="s">
        <v>57</v>
      </c>
      <c r="B89" s="16" t="s">
        <v>154</v>
      </c>
      <c r="C89" t="s">
        <v>186</v>
      </c>
      <c r="D89" s="16" t="s">
        <v>146</v>
      </c>
      <c r="E89" s="16" t="s">
        <v>147</v>
      </c>
      <c r="F89" t="s">
        <v>137</v>
      </c>
    </row>
    <row r="90" spans="1:6" x14ac:dyDescent="0.35">
      <c r="A90" s="16" t="s">
        <v>57</v>
      </c>
      <c r="B90" s="16" t="s">
        <v>155</v>
      </c>
      <c r="C90" t="s">
        <v>187</v>
      </c>
      <c r="D90" s="16" t="s">
        <v>146</v>
      </c>
      <c r="E90" s="16" t="s">
        <v>147</v>
      </c>
      <c r="F90">
        <v>5221.28</v>
      </c>
    </row>
    <row r="91" spans="1:6" x14ac:dyDescent="0.35">
      <c r="A91" s="16" t="s">
        <v>57</v>
      </c>
      <c r="B91" s="16" t="s">
        <v>156</v>
      </c>
      <c r="C91" t="s">
        <v>187</v>
      </c>
      <c r="D91" s="16" t="s">
        <v>146</v>
      </c>
      <c r="E91" s="16" t="s">
        <v>147</v>
      </c>
      <c r="F91" t="s">
        <v>137</v>
      </c>
    </row>
    <row r="92" spans="1:6" x14ac:dyDescent="0.35">
      <c r="A92" s="16" t="s">
        <v>59</v>
      </c>
      <c r="B92" s="16" t="s">
        <v>151</v>
      </c>
      <c r="C92" t="s">
        <v>185</v>
      </c>
      <c r="D92" s="16" t="s">
        <v>146</v>
      </c>
      <c r="E92" s="16" t="s">
        <v>147</v>
      </c>
      <c r="F92">
        <v>11.54</v>
      </c>
    </row>
    <row r="93" spans="1:6" x14ac:dyDescent="0.35">
      <c r="A93" s="16" t="s">
        <v>59</v>
      </c>
      <c r="B93" s="16" t="s">
        <v>152</v>
      </c>
      <c r="C93" t="s">
        <v>185</v>
      </c>
      <c r="D93" s="16" t="s">
        <v>146</v>
      </c>
      <c r="E93" s="16" t="s">
        <v>147</v>
      </c>
      <c r="F93" t="s">
        <v>137</v>
      </c>
    </row>
    <row r="94" spans="1:6" x14ac:dyDescent="0.35">
      <c r="A94" s="16" t="s">
        <v>59</v>
      </c>
      <c r="B94" s="16" t="s">
        <v>153</v>
      </c>
      <c r="C94" t="s">
        <v>186</v>
      </c>
      <c r="D94" s="16" t="s">
        <v>146</v>
      </c>
      <c r="E94" s="16" t="s">
        <v>147</v>
      </c>
      <c r="F94" t="s">
        <v>137</v>
      </c>
    </row>
    <row r="95" spans="1:6" x14ac:dyDescent="0.35">
      <c r="A95" s="16" t="s">
        <v>59</v>
      </c>
      <c r="B95" s="16" t="s">
        <v>154</v>
      </c>
      <c r="C95" t="s">
        <v>186</v>
      </c>
      <c r="D95" s="16" t="s">
        <v>146</v>
      </c>
      <c r="E95" s="16" t="s">
        <v>147</v>
      </c>
      <c r="F95" t="s">
        <v>137</v>
      </c>
    </row>
    <row r="96" spans="1:6" x14ac:dyDescent="0.35">
      <c r="A96" s="16" t="s">
        <v>59</v>
      </c>
      <c r="B96" s="16" t="s">
        <v>155</v>
      </c>
      <c r="C96" t="s">
        <v>187</v>
      </c>
      <c r="D96" s="16" t="s">
        <v>146</v>
      </c>
      <c r="E96" s="16" t="s">
        <v>147</v>
      </c>
      <c r="F96">
        <v>319.58</v>
      </c>
    </row>
    <row r="97" spans="1:6" x14ac:dyDescent="0.35">
      <c r="A97" s="16" t="s">
        <v>59</v>
      </c>
      <c r="B97" s="16" t="s">
        <v>156</v>
      </c>
      <c r="C97" t="s">
        <v>187</v>
      </c>
      <c r="D97" s="16" t="s">
        <v>146</v>
      </c>
      <c r="E97" s="16" t="s">
        <v>147</v>
      </c>
      <c r="F97" t="s">
        <v>137</v>
      </c>
    </row>
    <row r="98" spans="1:6" x14ac:dyDescent="0.35">
      <c r="A98" s="16" t="s">
        <v>61</v>
      </c>
      <c r="B98" s="16" t="s">
        <v>151</v>
      </c>
      <c r="C98" t="s">
        <v>185</v>
      </c>
      <c r="D98" s="16" t="s">
        <v>146</v>
      </c>
      <c r="E98" s="16" t="s">
        <v>147</v>
      </c>
      <c r="F98">
        <v>187.98</v>
      </c>
    </row>
    <row r="99" spans="1:6" x14ac:dyDescent="0.35">
      <c r="A99" s="16" t="s">
        <v>61</v>
      </c>
      <c r="B99" s="16" t="s">
        <v>152</v>
      </c>
      <c r="C99" t="s">
        <v>185</v>
      </c>
      <c r="D99" s="16" t="s">
        <v>146</v>
      </c>
      <c r="E99" s="16" t="s">
        <v>147</v>
      </c>
      <c r="F99" t="s">
        <v>137</v>
      </c>
    </row>
    <row r="100" spans="1:6" x14ac:dyDescent="0.35">
      <c r="A100" s="16" t="s">
        <v>61</v>
      </c>
      <c r="B100" s="16" t="s">
        <v>153</v>
      </c>
      <c r="C100" t="s">
        <v>186</v>
      </c>
      <c r="D100" s="16" t="s">
        <v>146</v>
      </c>
      <c r="E100" s="16" t="s">
        <v>147</v>
      </c>
      <c r="F100">
        <v>0.02</v>
      </c>
    </row>
    <row r="101" spans="1:6" x14ac:dyDescent="0.35">
      <c r="A101" s="16" t="s">
        <v>61</v>
      </c>
      <c r="B101" s="16" t="s">
        <v>154</v>
      </c>
      <c r="C101" t="s">
        <v>186</v>
      </c>
      <c r="D101" s="16" t="s">
        <v>146</v>
      </c>
      <c r="E101" s="16" t="s">
        <v>147</v>
      </c>
      <c r="F101" t="s">
        <v>137</v>
      </c>
    </row>
    <row r="102" spans="1:6" x14ac:dyDescent="0.35">
      <c r="A102" s="16" t="s">
        <v>61</v>
      </c>
      <c r="B102" s="16" t="s">
        <v>155</v>
      </c>
      <c r="C102" t="s">
        <v>187</v>
      </c>
      <c r="D102" s="16" t="s">
        <v>146</v>
      </c>
      <c r="E102" s="16" t="s">
        <v>147</v>
      </c>
      <c r="F102">
        <v>1584.09</v>
      </c>
    </row>
    <row r="103" spans="1:6" x14ac:dyDescent="0.35">
      <c r="A103" s="16" t="s">
        <v>61</v>
      </c>
      <c r="B103" s="16" t="s">
        <v>156</v>
      </c>
      <c r="C103" t="s">
        <v>187</v>
      </c>
      <c r="D103" s="16" t="s">
        <v>146</v>
      </c>
      <c r="E103" s="16" t="s">
        <v>147</v>
      </c>
      <c r="F103" t="s">
        <v>137</v>
      </c>
    </row>
    <row r="104" spans="1:6" x14ac:dyDescent="0.35">
      <c r="A104" s="16" t="s">
        <v>63</v>
      </c>
      <c r="B104" s="16" t="s">
        <v>151</v>
      </c>
      <c r="C104" t="s">
        <v>185</v>
      </c>
      <c r="D104" s="16" t="s">
        <v>146</v>
      </c>
      <c r="E104" s="16" t="s">
        <v>147</v>
      </c>
      <c r="F104">
        <v>16.88</v>
      </c>
    </row>
    <row r="105" spans="1:6" x14ac:dyDescent="0.35">
      <c r="A105" s="16" t="s">
        <v>63</v>
      </c>
      <c r="B105" s="16" t="s">
        <v>152</v>
      </c>
      <c r="C105" t="s">
        <v>185</v>
      </c>
      <c r="D105" s="16" t="s">
        <v>146</v>
      </c>
      <c r="E105" s="16" t="s">
        <v>147</v>
      </c>
      <c r="F105" t="s">
        <v>137</v>
      </c>
    </row>
    <row r="106" spans="1:6" x14ac:dyDescent="0.35">
      <c r="A106" s="16" t="s">
        <v>63</v>
      </c>
      <c r="B106" s="16" t="s">
        <v>153</v>
      </c>
      <c r="C106" t="s">
        <v>186</v>
      </c>
      <c r="D106" s="16" t="s">
        <v>146</v>
      </c>
      <c r="E106" s="16" t="s">
        <v>147</v>
      </c>
      <c r="F106" t="s">
        <v>137</v>
      </c>
    </row>
    <row r="107" spans="1:6" x14ac:dyDescent="0.35">
      <c r="A107" s="16" t="s">
        <v>63</v>
      </c>
      <c r="B107" s="16" t="s">
        <v>154</v>
      </c>
      <c r="C107" t="s">
        <v>186</v>
      </c>
      <c r="D107" s="16" t="s">
        <v>146</v>
      </c>
      <c r="E107" s="16" t="s">
        <v>147</v>
      </c>
      <c r="F107" t="s">
        <v>137</v>
      </c>
    </row>
    <row r="108" spans="1:6" x14ac:dyDescent="0.35">
      <c r="A108" s="16" t="s">
        <v>63</v>
      </c>
      <c r="B108" s="16" t="s">
        <v>155</v>
      </c>
      <c r="C108" t="s">
        <v>187</v>
      </c>
      <c r="D108" s="16" t="s">
        <v>146</v>
      </c>
      <c r="E108" s="16" t="s">
        <v>147</v>
      </c>
      <c r="F108">
        <v>814.22</v>
      </c>
    </row>
    <row r="109" spans="1:6" x14ac:dyDescent="0.35">
      <c r="A109" s="16" t="s">
        <v>63</v>
      </c>
      <c r="B109" s="16" t="s">
        <v>156</v>
      </c>
      <c r="C109" t="s">
        <v>187</v>
      </c>
      <c r="D109" s="16" t="s">
        <v>146</v>
      </c>
      <c r="E109" s="16" t="s">
        <v>147</v>
      </c>
      <c r="F109" t="s">
        <v>137</v>
      </c>
    </row>
    <row r="110" spans="1:6" x14ac:dyDescent="0.35">
      <c r="A110" s="16" t="s">
        <v>65</v>
      </c>
      <c r="B110" s="16" t="s">
        <v>151</v>
      </c>
      <c r="C110" t="s">
        <v>185</v>
      </c>
      <c r="D110" s="16" t="s">
        <v>146</v>
      </c>
      <c r="E110" s="16" t="s">
        <v>147</v>
      </c>
      <c r="F110">
        <v>1.98</v>
      </c>
    </row>
    <row r="111" spans="1:6" x14ac:dyDescent="0.35">
      <c r="A111" s="16" t="s">
        <v>65</v>
      </c>
      <c r="B111" s="16" t="s">
        <v>152</v>
      </c>
      <c r="C111" t="s">
        <v>185</v>
      </c>
      <c r="D111" s="16" t="s">
        <v>146</v>
      </c>
      <c r="E111" s="16" t="s">
        <v>147</v>
      </c>
      <c r="F111" t="s">
        <v>137</v>
      </c>
    </row>
    <row r="112" spans="1:6" x14ac:dyDescent="0.35">
      <c r="A112" s="16" t="s">
        <v>65</v>
      </c>
      <c r="B112" s="16" t="s">
        <v>153</v>
      </c>
      <c r="C112" t="s">
        <v>186</v>
      </c>
      <c r="D112" s="16" t="s">
        <v>146</v>
      </c>
      <c r="E112" s="16" t="s">
        <v>147</v>
      </c>
      <c r="F112" t="s">
        <v>137</v>
      </c>
    </row>
    <row r="113" spans="1:6" x14ac:dyDescent="0.35">
      <c r="A113" s="16" t="s">
        <v>65</v>
      </c>
      <c r="B113" s="16" t="s">
        <v>154</v>
      </c>
      <c r="C113" t="s">
        <v>186</v>
      </c>
      <c r="D113" s="16" t="s">
        <v>146</v>
      </c>
      <c r="E113" s="16" t="s">
        <v>147</v>
      </c>
      <c r="F113" t="s">
        <v>137</v>
      </c>
    </row>
    <row r="114" spans="1:6" x14ac:dyDescent="0.35">
      <c r="A114" s="16" t="s">
        <v>65</v>
      </c>
      <c r="B114" s="16" t="s">
        <v>155</v>
      </c>
      <c r="C114" t="s">
        <v>187</v>
      </c>
      <c r="D114" s="16" t="s">
        <v>146</v>
      </c>
      <c r="E114" s="16" t="s">
        <v>147</v>
      </c>
      <c r="F114" t="s">
        <v>137</v>
      </c>
    </row>
    <row r="115" spans="1:6" x14ac:dyDescent="0.35">
      <c r="A115" s="16" t="s">
        <v>65</v>
      </c>
      <c r="B115" s="16" t="s">
        <v>156</v>
      </c>
      <c r="C115" t="s">
        <v>187</v>
      </c>
      <c r="D115" s="16" t="s">
        <v>146</v>
      </c>
      <c r="E115" s="16" t="s">
        <v>147</v>
      </c>
      <c r="F115" t="s">
        <v>137</v>
      </c>
    </row>
    <row r="116" spans="1:6" x14ac:dyDescent="0.35">
      <c r="A116" s="16" t="s">
        <v>105</v>
      </c>
      <c r="B116" s="16" t="s">
        <v>151</v>
      </c>
      <c r="C116" t="s">
        <v>185</v>
      </c>
      <c r="D116" s="16" t="s">
        <v>146</v>
      </c>
      <c r="E116" s="16" t="s">
        <v>147</v>
      </c>
      <c r="F116">
        <v>31.74</v>
      </c>
    </row>
    <row r="117" spans="1:6" x14ac:dyDescent="0.35">
      <c r="A117" s="16" t="s">
        <v>105</v>
      </c>
      <c r="B117" s="16" t="s">
        <v>152</v>
      </c>
      <c r="C117" t="s">
        <v>185</v>
      </c>
      <c r="D117" s="16" t="s">
        <v>146</v>
      </c>
      <c r="E117" s="16" t="s">
        <v>147</v>
      </c>
      <c r="F117" t="s">
        <v>137</v>
      </c>
    </row>
    <row r="118" spans="1:6" x14ac:dyDescent="0.35">
      <c r="A118" s="16" t="s">
        <v>105</v>
      </c>
      <c r="B118" s="16" t="s">
        <v>153</v>
      </c>
      <c r="C118" t="s">
        <v>186</v>
      </c>
      <c r="D118" s="16" t="s">
        <v>146</v>
      </c>
      <c r="E118" s="16" t="s">
        <v>147</v>
      </c>
      <c r="F118" t="s">
        <v>137</v>
      </c>
    </row>
    <row r="119" spans="1:6" x14ac:dyDescent="0.35">
      <c r="A119" s="16" t="s">
        <v>105</v>
      </c>
      <c r="B119" s="16" t="s">
        <v>154</v>
      </c>
      <c r="C119" t="s">
        <v>186</v>
      </c>
      <c r="D119" s="16" t="s">
        <v>146</v>
      </c>
      <c r="E119" s="16" t="s">
        <v>147</v>
      </c>
      <c r="F119" t="s">
        <v>137</v>
      </c>
    </row>
    <row r="120" spans="1:6" x14ac:dyDescent="0.35">
      <c r="A120" s="16" t="s">
        <v>105</v>
      </c>
      <c r="B120" s="16" t="s">
        <v>155</v>
      </c>
      <c r="C120" t="s">
        <v>187</v>
      </c>
      <c r="D120" s="16" t="s">
        <v>146</v>
      </c>
      <c r="E120" s="16" t="s">
        <v>147</v>
      </c>
      <c r="F120" t="s">
        <v>137</v>
      </c>
    </row>
    <row r="121" spans="1:6" x14ac:dyDescent="0.35">
      <c r="A121" s="16" t="s">
        <v>105</v>
      </c>
      <c r="B121" s="16" t="s">
        <v>156</v>
      </c>
      <c r="C121" t="s">
        <v>187</v>
      </c>
      <c r="D121" s="16" t="s">
        <v>146</v>
      </c>
      <c r="E121" s="16" t="s">
        <v>147</v>
      </c>
      <c r="F121" t="s">
        <v>137</v>
      </c>
    </row>
    <row r="122" spans="1:6" x14ac:dyDescent="0.35">
      <c r="A122" s="16" t="s">
        <v>69</v>
      </c>
      <c r="B122" s="16" t="s">
        <v>151</v>
      </c>
      <c r="C122" t="s">
        <v>185</v>
      </c>
      <c r="D122" s="16" t="s">
        <v>146</v>
      </c>
      <c r="E122" s="16" t="s">
        <v>147</v>
      </c>
      <c r="F122">
        <v>608.76</v>
      </c>
    </row>
    <row r="123" spans="1:6" x14ac:dyDescent="0.35">
      <c r="A123" s="16" t="s">
        <v>69</v>
      </c>
      <c r="B123" s="16" t="s">
        <v>152</v>
      </c>
      <c r="C123" t="s">
        <v>185</v>
      </c>
      <c r="D123" s="16" t="s">
        <v>146</v>
      </c>
      <c r="E123" s="16" t="s">
        <v>147</v>
      </c>
      <c r="F123" t="s">
        <v>137</v>
      </c>
    </row>
    <row r="124" spans="1:6" x14ac:dyDescent="0.35">
      <c r="A124" s="16" t="s">
        <v>69</v>
      </c>
      <c r="B124" s="16" t="s">
        <v>153</v>
      </c>
      <c r="C124" t="s">
        <v>186</v>
      </c>
      <c r="D124" s="16" t="s">
        <v>146</v>
      </c>
      <c r="E124" s="16" t="s">
        <v>147</v>
      </c>
      <c r="F124">
        <v>436.15</v>
      </c>
    </row>
    <row r="125" spans="1:6" x14ac:dyDescent="0.35">
      <c r="A125" s="16" t="s">
        <v>69</v>
      </c>
      <c r="B125" s="16" t="s">
        <v>154</v>
      </c>
      <c r="C125" t="s">
        <v>186</v>
      </c>
      <c r="D125" s="16" t="s">
        <v>146</v>
      </c>
      <c r="E125" s="16" t="s">
        <v>147</v>
      </c>
      <c r="F125" t="s">
        <v>137</v>
      </c>
    </row>
    <row r="126" spans="1:6" x14ac:dyDescent="0.35">
      <c r="A126" s="16" t="s">
        <v>69</v>
      </c>
      <c r="B126" s="16" t="s">
        <v>155</v>
      </c>
      <c r="C126" t="s">
        <v>187</v>
      </c>
      <c r="D126" s="16" t="s">
        <v>146</v>
      </c>
      <c r="E126" s="16" t="s">
        <v>147</v>
      </c>
      <c r="F126">
        <v>892.04</v>
      </c>
    </row>
    <row r="127" spans="1:6" x14ac:dyDescent="0.35">
      <c r="A127" s="16" t="s">
        <v>69</v>
      </c>
      <c r="B127" s="16" t="s">
        <v>156</v>
      </c>
      <c r="C127" t="s">
        <v>187</v>
      </c>
      <c r="D127" s="16" t="s">
        <v>146</v>
      </c>
      <c r="E127" s="16" t="s">
        <v>147</v>
      </c>
      <c r="F127" t="s">
        <v>137</v>
      </c>
    </row>
    <row r="128" spans="1:6" x14ac:dyDescent="0.35">
      <c r="A128" s="16" t="s">
        <v>75</v>
      </c>
      <c r="B128" s="16" t="s">
        <v>151</v>
      </c>
      <c r="C128" t="s">
        <v>185</v>
      </c>
      <c r="D128" s="16" t="s">
        <v>146</v>
      </c>
      <c r="E128" s="16" t="s">
        <v>147</v>
      </c>
      <c r="F128">
        <v>28.8</v>
      </c>
    </row>
    <row r="129" spans="1:6" x14ac:dyDescent="0.35">
      <c r="A129" s="16" t="s">
        <v>75</v>
      </c>
      <c r="B129" s="16" t="s">
        <v>152</v>
      </c>
      <c r="C129" t="s">
        <v>185</v>
      </c>
      <c r="D129" s="16" t="s">
        <v>146</v>
      </c>
      <c r="E129" s="16" t="s">
        <v>147</v>
      </c>
      <c r="F129" t="s">
        <v>137</v>
      </c>
    </row>
    <row r="130" spans="1:6" x14ac:dyDescent="0.35">
      <c r="A130" s="16" t="s">
        <v>75</v>
      </c>
      <c r="B130" s="16" t="s">
        <v>153</v>
      </c>
      <c r="C130" t="s">
        <v>186</v>
      </c>
      <c r="D130" s="16" t="s">
        <v>146</v>
      </c>
      <c r="E130" s="16" t="s">
        <v>147</v>
      </c>
      <c r="F130" t="s">
        <v>137</v>
      </c>
    </row>
    <row r="131" spans="1:6" x14ac:dyDescent="0.35">
      <c r="A131" s="16" t="s">
        <v>75</v>
      </c>
      <c r="B131" s="16" t="s">
        <v>154</v>
      </c>
      <c r="C131" t="s">
        <v>186</v>
      </c>
      <c r="D131" s="16" t="s">
        <v>146</v>
      </c>
      <c r="E131" s="16" t="s">
        <v>147</v>
      </c>
      <c r="F131" t="s">
        <v>137</v>
      </c>
    </row>
    <row r="132" spans="1:6" x14ac:dyDescent="0.35">
      <c r="A132" s="16" t="s">
        <v>75</v>
      </c>
      <c r="B132" s="16" t="s">
        <v>155</v>
      </c>
      <c r="C132" t="s">
        <v>187</v>
      </c>
      <c r="D132" s="16" t="s">
        <v>146</v>
      </c>
      <c r="E132" s="16" t="s">
        <v>147</v>
      </c>
      <c r="F132">
        <v>75.180000000000007</v>
      </c>
    </row>
    <row r="133" spans="1:6" x14ac:dyDescent="0.35">
      <c r="A133" s="16" t="s">
        <v>75</v>
      </c>
      <c r="B133" s="16" t="s">
        <v>156</v>
      </c>
      <c r="C133" t="s">
        <v>187</v>
      </c>
      <c r="D133" s="16" t="s">
        <v>146</v>
      </c>
      <c r="E133" s="16" t="s">
        <v>147</v>
      </c>
      <c r="F133" t="s">
        <v>137</v>
      </c>
    </row>
    <row r="134" spans="1:6" x14ac:dyDescent="0.35">
      <c r="A134" s="16" t="s">
        <v>71</v>
      </c>
      <c r="B134" s="16" t="s">
        <v>151</v>
      </c>
      <c r="C134" t="s">
        <v>185</v>
      </c>
      <c r="D134" s="16" t="s">
        <v>146</v>
      </c>
      <c r="E134" s="16" t="s">
        <v>147</v>
      </c>
      <c r="F134">
        <v>3</v>
      </c>
    </row>
    <row r="135" spans="1:6" x14ac:dyDescent="0.35">
      <c r="A135" s="16" t="s">
        <v>71</v>
      </c>
      <c r="B135" s="16" t="s">
        <v>152</v>
      </c>
      <c r="C135" t="s">
        <v>185</v>
      </c>
      <c r="D135" s="16" t="s">
        <v>146</v>
      </c>
      <c r="E135" s="16" t="s">
        <v>147</v>
      </c>
      <c r="F135" t="s">
        <v>137</v>
      </c>
    </row>
    <row r="136" spans="1:6" x14ac:dyDescent="0.35">
      <c r="A136" s="16" t="s">
        <v>71</v>
      </c>
      <c r="B136" s="16" t="s">
        <v>153</v>
      </c>
      <c r="C136" t="s">
        <v>186</v>
      </c>
      <c r="D136" s="16" t="s">
        <v>146</v>
      </c>
      <c r="E136" s="16" t="s">
        <v>147</v>
      </c>
      <c r="F136" t="s">
        <v>137</v>
      </c>
    </row>
    <row r="137" spans="1:6" x14ac:dyDescent="0.35">
      <c r="A137" s="16" t="s">
        <v>71</v>
      </c>
      <c r="B137" s="16" t="s">
        <v>154</v>
      </c>
      <c r="C137" t="s">
        <v>186</v>
      </c>
      <c r="D137" s="16" t="s">
        <v>146</v>
      </c>
      <c r="E137" s="16" t="s">
        <v>147</v>
      </c>
      <c r="F137" t="s">
        <v>137</v>
      </c>
    </row>
    <row r="138" spans="1:6" x14ac:dyDescent="0.35">
      <c r="A138" s="16" t="s">
        <v>71</v>
      </c>
      <c r="B138" s="16" t="s">
        <v>155</v>
      </c>
      <c r="C138" t="s">
        <v>187</v>
      </c>
      <c r="D138" s="16" t="s">
        <v>146</v>
      </c>
      <c r="E138" s="16" t="s">
        <v>147</v>
      </c>
      <c r="F138">
        <v>92.86</v>
      </c>
    </row>
    <row r="139" spans="1:6" x14ac:dyDescent="0.35">
      <c r="A139" s="16" t="s">
        <v>71</v>
      </c>
      <c r="B139" s="16" t="s">
        <v>156</v>
      </c>
      <c r="C139" t="s">
        <v>187</v>
      </c>
      <c r="D139" s="16" t="s">
        <v>146</v>
      </c>
      <c r="E139" s="16" t="s">
        <v>147</v>
      </c>
      <c r="F139" t="s">
        <v>137</v>
      </c>
    </row>
    <row r="140" spans="1:6" x14ac:dyDescent="0.35">
      <c r="A140" s="16" t="s">
        <v>73</v>
      </c>
      <c r="B140" s="16" t="s">
        <v>151</v>
      </c>
      <c r="C140" t="s">
        <v>185</v>
      </c>
      <c r="D140" s="16" t="s">
        <v>146</v>
      </c>
      <c r="E140" s="16" t="s">
        <v>147</v>
      </c>
      <c r="F140">
        <v>8.33</v>
      </c>
    </row>
    <row r="141" spans="1:6" x14ac:dyDescent="0.35">
      <c r="A141" s="16" t="s">
        <v>73</v>
      </c>
      <c r="B141" s="16" t="s">
        <v>152</v>
      </c>
      <c r="C141" t="s">
        <v>185</v>
      </c>
      <c r="D141" s="16" t="s">
        <v>146</v>
      </c>
      <c r="E141" s="16" t="s">
        <v>147</v>
      </c>
      <c r="F141" t="s">
        <v>137</v>
      </c>
    </row>
    <row r="142" spans="1:6" x14ac:dyDescent="0.35">
      <c r="A142" s="16" t="s">
        <v>73</v>
      </c>
      <c r="B142" s="16" t="s">
        <v>153</v>
      </c>
      <c r="C142" t="s">
        <v>186</v>
      </c>
      <c r="D142" s="16" t="s">
        <v>146</v>
      </c>
      <c r="E142" s="16" t="s">
        <v>147</v>
      </c>
      <c r="F142" t="s">
        <v>137</v>
      </c>
    </row>
    <row r="143" spans="1:6" x14ac:dyDescent="0.35">
      <c r="A143" s="16" t="s">
        <v>73</v>
      </c>
      <c r="B143" s="16" t="s">
        <v>154</v>
      </c>
      <c r="C143" t="s">
        <v>186</v>
      </c>
      <c r="D143" s="16" t="s">
        <v>146</v>
      </c>
      <c r="E143" s="16" t="s">
        <v>147</v>
      </c>
      <c r="F143" t="s">
        <v>137</v>
      </c>
    </row>
    <row r="144" spans="1:6" x14ac:dyDescent="0.35">
      <c r="A144" s="16" t="s">
        <v>73</v>
      </c>
      <c r="B144" s="16" t="s">
        <v>155</v>
      </c>
      <c r="C144" t="s">
        <v>187</v>
      </c>
      <c r="D144" s="16" t="s">
        <v>146</v>
      </c>
      <c r="E144" s="16" t="s">
        <v>147</v>
      </c>
      <c r="F144" t="s">
        <v>137</v>
      </c>
    </row>
    <row r="145" spans="1:6" x14ac:dyDescent="0.35">
      <c r="A145" s="16" t="s">
        <v>73</v>
      </c>
      <c r="B145" s="16" t="s">
        <v>156</v>
      </c>
      <c r="C145" t="s">
        <v>187</v>
      </c>
      <c r="D145" s="16" t="s">
        <v>146</v>
      </c>
      <c r="E145" s="16" t="s">
        <v>147</v>
      </c>
      <c r="F145" t="s">
        <v>137</v>
      </c>
    </row>
    <row r="146" spans="1:6" x14ac:dyDescent="0.35">
      <c r="A146" s="16" t="s">
        <v>79</v>
      </c>
      <c r="B146" s="16" t="s">
        <v>151</v>
      </c>
      <c r="C146" t="s">
        <v>185</v>
      </c>
      <c r="D146" s="16" t="s">
        <v>146</v>
      </c>
      <c r="E146" s="16" t="s">
        <v>147</v>
      </c>
      <c r="F146">
        <v>58.02</v>
      </c>
    </row>
    <row r="147" spans="1:6" x14ac:dyDescent="0.35">
      <c r="A147" s="16" t="s">
        <v>79</v>
      </c>
      <c r="B147" s="16" t="s">
        <v>152</v>
      </c>
      <c r="C147" t="s">
        <v>185</v>
      </c>
      <c r="D147" s="16" t="s">
        <v>146</v>
      </c>
      <c r="E147" s="16" t="s">
        <v>147</v>
      </c>
      <c r="F147" t="s">
        <v>137</v>
      </c>
    </row>
    <row r="148" spans="1:6" x14ac:dyDescent="0.35">
      <c r="A148" s="16" t="s">
        <v>79</v>
      </c>
      <c r="B148" s="16" t="s">
        <v>153</v>
      </c>
      <c r="C148" t="s">
        <v>186</v>
      </c>
      <c r="D148" s="16" t="s">
        <v>146</v>
      </c>
      <c r="E148" s="16" t="s">
        <v>147</v>
      </c>
      <c r="F148">
        <v>0.18</v>
      </c>
    </row>
    <row r="149" spans="1:6" x14ac:dyDescent="0.35">
      <c r="A149" s="16" t="s">
        <v>79</v>
      </c>
      <c r="B149" s="16" t="s">
        <v>154</v>
      </c>
      <c r="C149" t="s">
        <v>186</v>
      </c>
      <c r="D149" s="16" t="s">
        <v>146</v>
      </c>
      <c r="E149" s="16" t="s">
        <v>147</v>
      </c>
      <c r="F149" t="s">
        <v>137</v>
      </c>
    </row>
    <row r="150" spans="1:6" x14ac:dyDescent="0.35">
      <c r="A150" s="16" t="s">
        <v>79</v>
      </c>
      <c r="B150" s="16" t="s">
        <v>155</v>
      </c>
      <c r="C150" t="s">
        <v>187</v>
      </c>
      <c r="D150" s="16" t="s">
        <v>146</v>
      </c>
      <c r="E150" s="16" t="s">
        <v>147</v>
      </c>
      <c r="F150">
        <v>192.57</v>
      </c>
    </row>
    <row r="151" spans="1:6" x14ac:dyDescent="0.35">
      <c r="A151" s="16" t="s">
        <v>79</v>
      </c>
      <c r="B151" s="16" t="s">
        <v>156</v>
      </c>
      <c r="C151" t="s">
        <v>187</v>
      </c>
      <c r="D151" s="16" t="s">
        <v>146</v>
      </c>
      <c r="E151" s="16" t="s">
        <v>147</v>
      </c>
      <c r="F151" t="s">
        <v>137</v>
      </c>
    </row>
    <row r="152" spans="1:6" x14ac:dyDescent="0.35">
      <c r="A152" s="16" t="s">
        <v>89</v>
      </c>
      <c r="B152" s="16" t="s">
        <v>151</v>
      </c>
      <c r="C152" t="s">
        <v>185</v>
      </c>
      <c r="D152" s="16" t="s">
        <v>146</v>
      </c>
      <c r="E152" s="16" t="s">
        <v>147</v>
      </c>
      <c r="F152">
        <v>109.32</v>
      </c>
    </row>
    <row r="153" spans="1:6" x14ac:dyDescent="0.35">
      <c r="A153" s="16" t="s">
        <v>89</v>
      </c>
      <c r="B153" s="16" t="s">
        <v>152</v>
      </c>
      <c r="C153" t="s">
        <v>185</v>
      </c>
      <c r="D153" s="16" t="s">
        <v>146</v>
      </c>
      <c r="E153" s="16" t="s">
        <v>147</v>
      </c>
      <c r="F153" t="s">
        <v>137</v>
      </c>
    </row>
    <row r="154" spans="1:6" x14ac:dyDescent="0.35">
      <c r="A154" s="16" t="s">
        <v>89</v>
      </c>
      <c r="B154" s="16" t="s">
        <v>153</v>
      </c>
      <c r="C154" t="s">
        <v>186</v>
      </c>
      <c r="D154" s="16" t="s">
        <v>146</v>
      </c>
      <c r="E154" s="16" t="s">
        <v>147</v>
      </c>
      <c r="F154" t="s">
        <v>137</v>
      </c>
    </row>
    <row r="155" spans="1:6" x14ac:dyDescent="0.35">
      <c r="A155" s="16" t="s">
        <v>89</v>
      </c>
      <c r="B155" s="16" t="s">
        <v>154</v>
      </c>
      <c r="C155" t="s">
        <v>186</v>
      </c>
      <c r="D155" s="16" t="s">
        <v>146</v>
      </c>
      <c r="E155" s="16" t="s">
        <v>147</v>
      </c>
      <c r="F155" t="s">
        <v>137</v>
      </c>
    </row>
    <row r="156" spans="1:6" x14ac:dyDescent="0.35">
      <c r="A156" s="16" t="s">
        <v>89</v>
      </c>
      <c r="B156" s="16" t="s">
        <v>155</v>
      </c>
      <c r="C156" t="s">
        <v>187</v>
      </c>
      <c r="D156" s="16" t="s">
        <v>146</v>
      </c>
      <c r="E156" s="16" t="s">
        <v>147</v>
      </c>
      <c r="F156">
        <v>392.62</v>
      </c>
    </row>
    <row r="157" spans="1:6" x14ac:dyDescent="0.35">
      <c r="A157" s="16" t="s">
        <v>89</v>
      </c>
      <c r="B157" s="16" t="s">
        <v>156</v>
      </c>
      <c r="C157" t="s">
        <v>187</v>
      </c>
      <c r="D157" s="16" t="s">
        <v>146</v>
      </c>
      <c r="E157" s="16" t="s">
        <v>147</v>
      </c>
      <c r="F157" t="s">
        <v>137</v>
      </c>
    </row>
    <row r="158" spans="1:6" x14ac:dyDescent="0.35">
      <c r="A158" s="16" t="s">
        <v>81</v>
      </c>
      <c r="B158" s="16" t="s">
        <v>151</v>
      </c>
      <c r="C158" t="s">
        <v>185</v>
      </c>
      <c r="D158" s="16" t="s">
        <v>146</v>
      </c>
      <c r="E158" s="16" t="s">
        <v>147</v>
      </c>
      <c r="F158">
        <v>137.01</v>
      </c>
    </row>
    <row r="159" spans="1:6" x14ac:dyDescent="0.35">
      <c r="A159" s="16" t="s">
        <v>81</v>
      </c>
      <c r="B159" s="16" t="s">
        <v>152</v>
      </c>
      <c r="C159" t="s">
        <v>185</v>
      </c>
      <c r="D159" s="16" t="s">
        <v>146</v>
      </c>
      <c r="E159" s="16" t="s">
        <v>147</v>
      </c>
      <c r="F159" t="s">
        <v>137</v>
      </c>
    </row>
    <row r="160" spans="1:6" x14ac:dyDescent="0.35">
      <c r="A160" s="16" t="s">
        <v>81</v>
      </c>
      <c r="B160" s="16" t="s">
        <v>153</v>
      </c>
      <c r="C160" t="s">
        <v>186</v>
      </c>
      <c r="D160" s="16" t="s">
        <v>146</v>
      </c>
      <c r="E160" s="16" t="s">
        <v>147</v>
      </c>
      <c r="F160" t="s">
        <v>137</v>
      </c>
    </row>
    <row r="161" spans="1:6" x14ac:dyDescent="0.35">
      <c r="A161" s="16" t="s">
        <v>81</v>
      </c>
      <c r="B161" s="16" t="s">
        <v>154</v>
      </c>
      <c r="C161" t="s">
        <v>186</v>
      </c>
      <c r="D161" s="16" t="s">
        <v>146</v>
      </c>
      <c r="E161" s="16" t="s">
        <v>147</v>
      </c>
      <c r="F161" t="s">
        <v>137</v>
      </c>
    </row>
    <row r="162" spans="1:6" x14ac:dyDescent="0.35">
      <c r="A162" s="16" t="s">
        <v>81</v>
      </c>
      <c r="B162" s="16" t="s">
        <v>155</v>
      </c>
      <c r="C162" t="s">
        <v>187</v>
      </c>
      <c r="D162" s="16" t="s">
        <v>146</v>
      </c>
      <c r="E162" s="16" t="s">
        <v>147</v>
      </c>
      <c r="F162">
        <v>455.3</v>
      </c>
    </row>
    <row r="163" spans="1:6" x14ac:dyDescent="0.35">
      <c r="A163" s="16" t="s">
        <v>81</v>
      </c>
      <c r="B163" s="16" t="s">
        <v>156</v>
      </c>
      <c r="C163" t="s">
        <v>187</v>
      </c>
      <c r="D163" s="16" t="s">
        <v>146</v>
      </c>
      <c r="E163" s="16" t="s">
        <v>147</v>
      </c>
      <c r="F163" t="s">
        <v>137</v>
      </c>
    </row>
    <row r="164" spans="1:6" x14ac:dyDescent="0.35">
      <c r="A164" s="16" t="s">
        <v>85</v>
      </c>
      <c r="B164" s="16" t="s">
        <v>151</v>
      </c>
      <c r="C164" t="s">
        <v>185</v>
      </c>
      <c r="D164" s="16" t="s">
        <v>146</v>
      </c>
      <c r="E164" s="16" t="s">
        <v>147</v>
      </c>
      <c r="F164">
        <v>157.01</v>
      </c>
    </row>
    <row r="165" spans="1:6" x14ac:dyDescent="0.35">
      <c r="A165" s="16" t="s">
        <v>85</v>
      </c>
      <c r="B165" s="16" t="s">
        <v>152</v>
      </c>
      <c r="C165" t="s">
        <v>185</v>
      </c>
      <c r="D165" s="16" t="s">
        <v>146</v>
      </c>
      <c r="E165" s="16" t="s">
        <v>147</v>
      </c>
      <c r="F165" t="s">
        <v>137</v>
      </c>
    </row>
    <row r="166" spans="1:6" x14ac:dyDescent="0.35">
      <c r="A166" s="16" t="s">
        <v>85</v>
      </c>
      <c r="B166" s="16" t="s">
        <v>153</v>
      </c>
      <c r="C166" t="s">
        <v>186</v>
      </c>
      <c r="D166" s="16" t="s">
        <v>146</v>
      </c>
      <c r="E166" s="16" t="s">
        <v>147</v>
      </c>
      <c r="F166">
        <v>136.78</v>
      </c>
    </row>
    <row r="167" spans="1:6" x14ac:dyDescent="0.35">
      <c r="A167" s="16" t="s">
        <v>85</v>
      </c>
      <c r="B167" s="16" t="s">
        <v>154</v>
      </c>
      <c r="C167" t="s">
        <v>186</v>
      </c>
      <c r="D167" s="16" t="s">
        <v>146</v>
      </c>
      <c r="E167" s="16" t="s">
        <v>147</v>
      </c>
      <c r="F167" t="s">
        <v>137</v>
      </c>
    </row>
    <row r="168" spans="1:6" x14ac:dyDescent="0.35">
      <c r="A168" s="16" t="s">
        <v>85</v>
      </c>
      <c r="B168" s="16" t="s">
        <v>155</v>
      </c>
      <c r="C168" t="s">
        <v>187</v>
      </c>
      <c r="D168" s="16" t="s">
        <v>146</v>
      </c>
      <c r="E168" s="16" t="s">
        <v>147</v>
      </c>
      <c r="F168" t="s">
        <v>137</v>
      </c>
    </row>
    <row r="169" spans="1:6" x14ac:dyDescent="0.35">
      <c r="A169" s="16" t="s">
        <v>85</v>
      </c>
      <c r="B169" s="16" t="s">
        <v>156</v>
      </c>
      <c r="C169" t="s">
        <v>187</v>
      </c>
      <c r="D169" s="16" t="s">
        <v>146</v>
      </c>
      <c r="E169" s="16" t="s">
        <v>147</v>
      </c>
      <c r="F169" t="s">
        <v>137</v>
      </c>
    </row>
    <row r="170" spans="1:6" x14ac:dyDescent="0.35">
      <c r="A170" s="16" t="s">
        <v>87</v>
      </c>
      <c r="B170" s="16" t="s">
        <v>151</v>
      </c>
      <c r="C170" t="s">
        <v>185</v>
      </c>
      <c r="D170" s="16" t="s">
        <v>146</v>
      </c>
      <c r="E170" s="16" t="s">
        <v>147</v>
      </c>
      <c r="F170">
        <v>138.91</v>
      </c>
    </row>
    <row r="171" spans="1:6" x14ac:dyDescent="0.35">
      <c r="A171" s="16" t="s">
        <v>87</v>
      </c>
      <c r="B171" s="16" t="s">
        <v>152</v>
      </c>
      <c r="C171" t="s">
        <v>185</v>
      </c>
      <c r="D171" s="16" t="s">
        <v>146</v>
      </c>
      <c r="E171" s="16" t="s">
        <v>147</v>
      </c>
      <c r="F171" t="s">
        <v>137</v>
      </c>
    </row>
    <row r="172" spans="1:6" x14ac:dyDescent="0.35">
      <c r="A172" s="16" t="s">
        <v>87</v>
      </c>
      <c r="B172" s="16" t="s">
        <v>153</v>
      </c>
      <c r="C172" t="s">
        <v>186</v>
      </c>
      <c r="D172" s="16" t="s">
        <v>146</v>
      </c>
      <c r="E172" s="16" t="s">
        <v>147</v>
      </c>
      <c r="F172">
        <v>10.63</v>
      </c>
    </row>
    <row r="173" spans="1:6" x14ac:dyDescent="0.35">
      <c r="A173" s="16" t="s">
        <v>87</v>
      </c>
      <c r="B173" s="16" t="s">
        <v>154</v>
      </c>
      <c r="C173" t="s">
        <v>186</v>
      </c>
      <c r="D173" s="16" t="s">
        <v>146</v>
      </c>
      <c r="E173" s="16" t="s">
        <v>147</v>
      </c>
      <c r="F173" t="s">
        <v>137</v>
      </c>
    </row>
    <row r="174" spans="1:6" x14ac:dyDescent="0.35">
      <c r="A174" s="16" t="s">
        <v>87</v>
      </c>
      <c r="B174" s="16" t="s">
        <v>155</v>
      </c>
      <c r="C174" t="s">
        <v>187</v>
      </c>
      <c r="D174" s="16" t="s">
        <v>146</v>
      </c>
      <c r="E174" s="16" t="s">
        <v>147</v>
      </c>
      <c r="F174">
        <v>61.7</v>
      </c>
    </row>
    <row r="175" spans="1:6" x14ac:dyDescent="0.35">
      <c r="A175" s="16" t="s">
        <v>87</v>
      </c>
      <c r="B175" s="16" t="s">
        <v>156</v>
      </c>
      <c r="C175" t="s">
        <v>187</v>
      </c>
      <c r="D175" s="16" t="s">
        <v>146</v>
      </c>
      <c r="E175" s="16" t="s">
        <v>147</v>
      </c>
      <c r="F175" t="s">
        <v>137</v>
      </c>
    </row>
    <row r="176" spans="1:6" x14ac:dyDescent="0.35">
      <c r="A176" s="16" t="s">
        <v>77</v>
      </c>
      <c r="B176" s="16" t="s">
        <v>151</v>
      </c>
      <c r="C176" t="s">
        <v>185</v>
      </c>
      <c r="D176" s="16" t="s">
        <v>146</v>
      </c>
      <c r="E176" s="16" t="s">
        <v>147</v>
      </c>
      <c r="F176">
        <v>411</v>
      </c>
    </row>
    <row r="177" spans="1:6" x14ac:dyDescent="0.35">
      <c r="A177" s="16" t="s">
        <v>77</v>
      </c>
      <c r="B177" s="16" t="s">
        <v>152</v>
      </c>
      <c r="C177" t="s">
        <v>185</v>
      </c>
      <c r="D177" s="16" t="s">
        <v>146</v>
      </c>
      <c r="E177" s="16" t="s">
        <v>147</v>
      </c>
      <c r="F177">
        <v>540</v>
      </c>
    </row>
    <row r="178" spans="1:6" x14ac:dyDescent="0.35">
      <c r="A178" s="16" t="s">
        <v>77</v>
      </c>
      <c r="B178" s="16" t="s">
        <v>153</v>
      </c>
      <c r="C178" t="s">
        <v>186</v>
      </c>
      <c r="D178" s="16" t="s">
        <v>146</v>
      </c>
      <c r="E178" s="16" t="s">
        <v>147</v>
      </c>
      <c r="F178">
        <v>2395</v>
      </c>
    </row>
    <row r="179" spans="1:6" x14ac:dyDescent="0.35">
      <c r="A179" s="16" t="s">
        <v>77</v>
      </c>
      <c r="B179" s="16" t="s">
        <v>154</v>
      </c>
      <c r="C179" t="s">
        <v>186</v>
      </c>
      <c r="D179" s="16" t="s">
        <v>146</v>
      </c>
      <c r="E179" s="16" t="s">
        <v>147</v>
      </c>
      <c r="F179" t="s">
        <v>137</v>
      </c>
    </row>
    <row r="180" spans="1:6" x14ac:dyDescent="0.35">
      <c r="A180" s="16" t="s">
        <v>77</v>
      </c>
      <c r="B180" s="16" t="s">
        <v>155</v>
      </c>
      <c r="C180" t="s">
        <v>187</v>
      </c>
      <c r="D180" s="16" t="s">
        <v>146</v>
      </c>
      <c r="E180" s="16" t="s">
        <v>147</v>
      </c>
      <c r="F180">
        <v>1305.53</v>
      </c>
    </row>
    <row r="181" spans="1:6" x14ac:dyDescent="0.35">
      <c r="A181" s="16" t="s">
        <v>77</v>
      </c>
      <c r="B181" s="16" t="s">
        <v>156</v>
      </c>
      <c r="C181" t="s">
        <v>187</v>
      </c>
      <c r="D181" s="16" t="s">
        <v>146</v>
      </c>
      <c r="E181" s="16" t="s">
        <v>147</v>
      </c>
      <c r="F181" t="s">
        <v>137</v>
      </c>
    </row>
    <row r="182" spans="1:6" x14ac:dyDescent="0.35">
      <c r="A182" s="16" t="s">
        <v>83</v>
      </c>
      <c r="B182" s="16" t="s">
        <v>151</v>
      </c>
      <c r="C182" t="s">
        <v>185</v>
      </c>
      <c r="D182" s="16" t="s">
        <v>146</v>
      </c>
      <c r="E182" s="16" t="s">
        <v>147</v>
      </c>
      <c r="F182">
        <v>106.94</v>
      </c>
    </row>
    <row r="183" spans="1:6" x14ac:dyDescent="0.35">
      <c r="A183" s="16" t="s">
        <v>83</v>
      </c>
      <c r="B183" s="16" t="s">
        <v>152</v>
      </c>
      <c r="C183" t="s">
        <v>185</v>
      </c>
      <c r="D183" s="16" t="s">
        <v>146</v>
      </c>
      <c r="E183" s="16" t="s">
        <v>147</v>
      </c>
      <c r="F183" t="s">
        <v>137</v>
      </c>
    </row>
    <row r="184" spans="1:6" x14ac:dyDescent="0.35">
      <c r="A184" s="16" t="s">
        <v>83</v>
      </c>
      <c r="B184" s="16" t="s">
        <v>153</v>
      </c>
      <c r="C184" t="s">
        <v>186</v>
      </c>
      <c r="D184" s="16" t="s">
        <v>146</v>
      </c>
      <c r="E184" s="16" t="s">
        <v>147</v>
      </c>
      <c r="F184" t="s">
        <v>137</v>
      </c>
    </row>
    <row r="185" spans="1:6" x14ac:dyDescent="0.35">
      <c r="A185" s="16" t="s">
        <v>83</v>
      </c>
      <c r="B185" s="16" t="s">
        <v>154</v>
      </c>
      <c r="C185" t="s">
        <v>186</v>
      </c>
      <c r="D185" s="16" t="s">
        <v>146</v>
      </c>
      <c r="E185" s="16" t="s">
        <v>147</v>
      </c>
      <c r="F185" t="s">
        <v>137</v>
      </c>
    </row>
    <row r="186" spans="1:6" x14ac:dyDescent="0.35">
      <c r="A186" s="16" t="s">
        <v>83</v>
      </c>
      <c r="B186" s="16" t="s">
        <v>155</v>
      </c>
      <c r="C186" t="s">
        <v>187</v>
      </c>
      <c r="D186" s="16" t="s">
        <v>146</v>
      </c>
      <c r="E186" s="16" t="s">
        <v>147</v>
      </c>
      <c r="F186">
        <v>2193.63</v>
      </c>
    </row>
    <row r="187" spans="1:6" x14ac:dyDescent="0.35">
      <c r="A187" s="16" t="s">
        <v>83</v>
      </c>
      <c r="B187" s="16" t="s">
        <v>156</v>
      </c>
      <c r="C187" t="s">
        <v>187</v>
      </c>
      <c r="D187" s="16" t="s">
        <v>146</v>
      </c>
      <c r="E187" s="16" t="s">
        <v>147</v>
      </c>
      <c r="F187" t="s">
        <v>137</v>
      </c>
    </row>
    <row r="188" spans="1:6" x14ac:dyDescent="0.35">
      <c r="A188" s="16" t="s">
        <v>91</v>
      </c>
      <c r="B188" s="16" t="s">
        <v>151</v>
      </c>
      <c r="C188" t="s">
        <v>185</v>
      </c>
      <c r="D188" s="16" t="s">
        <v>146</v>
      </c>
      <c r="E188" s="16" t="s">
        <v>147</v>
      </c>
      <c r="F188">
        <v>238.56</v>
      </c>
    </row>
    <row r="189" spans="1:6" x14ac:dyDescent="0.35">
      <c r="A189" s="16" t="s">
        <v>91</v>
      </c>
      <c r="B189" s="16" t="s">
        <v>152</v>
      </c>
      <c r="C189" t="s">
        <v>185</v>
      </c>
      <c r="D189" s="16" t="s">
        <v>146</v>
      </c>
      <c r="E189" s="16" t="s">
        <v>147</v>
      </c>
      <c r="F189" t="s">
        <v>137</v>
      </c>
    </row>
    <row r="190" spans="1:6" x14ac:dyDescent="0.35">
      <c r="A190" s="16" t="s">
        <v>91</v>
      </c>
      <c r="B190" s="16" t="s">
        <v>153</v>
      </c>
      <c r="C190" t="s">
        <v>186</v>
      </c>
      <c r="D190" s="16" t="s">
        <v>146</v>
      </c>
      <c r="E190" s="16" t="s">
        <v>147</v>
      </c>
      <c r="F190">
        <v>6.23</v>
      </c>
    </row>
    <row r="191" spans="1:6" x14ac:dyDescent="0.35">
      <c r="A191" s="16" t="s">
        <v>91</v>
      </c>
      <c r="B191" s="16" t="s">
        <v>154</v>
      </c>
      <c r="C191" t="s">
        <v>186</v>
      </c>
      <c r="D191" s="16" t="s">
        <v>146</v>
      </c>
      <c r="E191" s="16" t="s">
        <v>147</v>
      </c>
      <c r="F191" t="s">
        <v>137</v>
      </c>
    </row>
    <row r="192" spans="1:6" x14ac:dyDescent="0.35">
      <c r="A192" s="16" t="s">
        <v>91</v>
      </c>
      <c r="B192" s="16" t="s">
        <v>155</v>
      </c>
      <c r="C192" t="s">
        <v>187</v>
      </c>
      <c r="D192" s="16" t="s">
        <v>146</v>
      </c>
      <c r="E192" s="16" t="s">
        <v>147</v>
      </c>
      <c r="F192">
        <v>351</v>
      </c>
    </row>
    <row r="193" spans="1:6" x14ac:dyDescent="0.35">
      <c r="A193" s="16" t="s">
        <v>91</v>
      </c>
      <c r="B193" s="16" t="s">
        <v>156</v>
      </c>
      <c r="C193" t="s">
        <v>187</v>
      </c>
      <c r="D193" s="16" t="s">
        <v>146</v>
      </c>
      <c r="E193" s="16" t="s">
        <v>147</v>
      </c>
      <c r="F193" t="s">
        <v>137</v>
      </c>
    </row>
    <row r="194" spans="1:6" x14ac:dyDescent="0.35">
      <c r="A194" s="16" t="s">
        <v>95</v>
      </c>
      <c r="B194" s="16" t="s">
        <v>151</v>
      </c>
      <c r="C194" t="s">
        <v>185</v>
      </c>
      <c r="D194" s="16" t="s">
        <v>146</v>
      </c>
      <c r="E194" s="16" t="s">
        <v>147</v>
      </c>
      <c r="F194">
        <v>196.77</v>
      </c>
    </row>
    <row r="195" spans="1:6" x14ac:dyDescent="0.35">
      <c r="A195" s="16" t="s">
        <v>95</v>
      </c>
      <c r="B195" s="16" t="s">
        <v>152</v>
      </c>
      <c r="C195" t="s">
        <v>185</v>
      </c>
      <c r="D195" s="16" t="s">
        <v>146</v>
      </c>
      <c r="E195" s="16" t="s">
        <v>147</v>
      </c>
      <c r="F195" t="s">
        <v>137</v>
      </c>
    </row>
    <row r="196" spans="1:6" x14ac:dyDescent="0.35">
      <c r="A196" s="16" t="s">
        <v>95</v>
      </c>
      <c r="B196" s="16" t="s">
        <v>153</v>
      </c>
      <c r="C196" t="s">
        <v>186</v>
      </c>
      <c r="D196" s="16" t="s">
        <v>146</v>
      </c>
      <c r="E196" s="16" t="s">
        <v>147</v>
      </c>
      <c r="F196" t="s">
        <v>137</v>
      </c>
    </row>
    <row r="197" spans="1:6" x14ac:dyDescent="0.35">
      <c r="A197" s="16" t="s">
        <v>95</v>
      </c>
      <c r="B197" s="16" t="s">
        <v>154</v>
      </c>
      <c r="C197" t="s">
        <v>186</v>
      </c>
      <c r="D197" s="16" t="s">
        <v>146</v>
      </c>
      <c r="E197" s="16" t="s">
        <v>147</v>
      </c>
      <c r="F197" t="s">
        <v>137</v>
      </c>
    </row>
    <row r="198" spans="1:6" x14ac:dyDescent="0.35">
      <c r="A198" s="16" t="s">
        <v>95</v>
      </c>
      <c r="B198" s="16" t="s">
        <v>155</v>
      </c>
      <c r="C198" t="s">
        <v>187</v>
      </c>
      <c r="D198" s="16" t="s">
        <v>146</v>
      </c>
      <c r="E198" s="16" t="s">
        <v>147</v>
      </c>
      <c r="F198">
        <v>2860.8</v>
      </c>
    </row>
    <row r="199" spans="1:6" x14ac:dyDescent="0.35">
      <c r="A199" s="16" t="s">
        <v>95</v>
      </c>
      <c r="B199" s="16" t="s">
        <v>156</v>
      </c>
      <c r="C199" t="s">
        <v>187</v>
      </c>
      <c r="D199" s="16" t="s">
        <v>146</v>
      </c>
      <c r="E199" s="16" t="s">
        <v>147</v>
      </c>
      <c r="F199" t="s">
        <v>137</v>
      </c>
    </row>
    <row r="200" spans="1:6" x14ac:dyDescent="0.35">
      <c r="A200" s="16" t="s">
        <v>97</v>
      </c>
      <c r="B200" s="16" t="s">
        <v>151</v>
      </c>
      <c r="C200" t="s">
        <v>185</v>
      </c>
      <c r="D200" s="16" t="s">
        <v>146</v>
      </c>
      <c r="E200" s="16" t="s">
        <v>147</v>
      </c>
      <c r="F200">
        <v>27.55</v>
      </c>
    </row>
    <row r="201" spans="1:6" x14ac:dyDescent="0.35">
      <c r="A201" s="16" t="s">
        <v>97</v>
      </c>
      <c r="B201" s="16" t="s">
        <v>152</v>
      </c>
      <c r="C201" t="s">
        <v>185</v>
      </c>
      <c r="D201" s="16" t="s">
        <v>146</v>
      </c>
      <c r="E201" s="16" t="s">
        <v>147</v>
      </c>
      <c r="F201" t="s">
        <v>137</v>
      </c>
    </row>
    <row r="202" spans="1:6" x14ac:dyDescent="0.35">
      <c r="A202" s="16" t="s">
        <v>97</v>
      </c>
      <c r="B202" s="16" t="s">
        <v>153</v>
      </c>
      <c r="C202" t="s">
        <v>186</v>
      </c>
      <c r="D202" s="16" t="s">
        <v>146</v>
      </c>
      <c r="E202" s="16" t="s">
        <v>147</v>
      </c>
      <c r="F202" t="s">
        <v>137</v>
      </c>
    </row>
    <row r="203" spans="1:6" x14ac:dyDescent="0.35">
      <c r="A203" s="16" t="s">
        <v>97</v>
      </c>
      <c r="B203" s="16" t="s">
        <v>154</v>
      </c>
      <c r="C203" t="s">
        <v>186</v>
      </c>
      <c r="D203" s="16" t="s">
        <v>146</v>
      </c>
      <c r="E203" s="16" t="s">
        <v>147</v>
      </c>
      <c r="F203" t="s">
        <v>137</v>
      </c>
    </row>
    <row r="204" spans="1:6" x14ac:dyDescent="0.35">
      <c r="A204" s="16" t="s">
        <v>97</v>
      </c>
      <c r="B204" s="16" t="s">
        <v>155</v>
      </c>
      <c r="C204" t="s">
        <v>187</v>
      </c>
      <c r="D204" s="16" t="s">
        <v>146</v>
      </c>
      <c r="E204" s="16" t="s">
        <v>147</v>
      </c>
      <c r="F204">
        <v>153.25</v>
      </c>
    </row>
    <row r="205" spans="1:6" x14ac:dyDescent="0.35">
      <c r="A205" s="16" t="s">
        <v>97</v>
      </c>
      <c r="B205" s="16" t="s">
        <v>156</v>
      </c>
      <c r="C205" t="s">
        <v>187</v>
      </c>
      <c r="D205" s="16" t="s">
        <v>146</v>
      </c>
      <c r="E205" s="16" t="s">
        <v>147</v>
      </c>
      <c r="F205" t="s">
        <v>137</v>
      </c>
    </row>
    <row r="206" spans="1:6" x14ac:dyDescent="0.35">
      <c r="A206" s="16" t="s">
        <v>107</v>
      </c>
      <c r="B206" s="16" t="s">
        <v>151</v>
      </c>
      <c r="C206" t="s">
        <v>185</v>
      </c>
      <c r="D206" s="16" t="s">
        <v>146</v>
      </c>
      <c r="E206" s="16" t="s">
        <v>147</v>
      </c>
      <c r="F206">
        <v>0.55000000000000004</v>
      </c>
    </row>
    <row r="207" spans="1:6" x14ac:dyDescent="0.35">
      <c r="A207" s="16" t="s">
        <v>107</v>
      </c>
      <c r="B207" s="16" t="s">
        <v>152</v>
      </c>
      <c r="C207" t="s">
        <v>185</v>
      </c>
      <c r="D207" s="16" t="s">
        <v>146</v>
      </c>
      <c r="E207" s="16" t="s">
        <v>147</v>
      </c>
      <c r="F207" t="s">
        <v>137</v>
      </c>
    </row>
    <row r="208" spans="1:6" x14ac:dyDescent="0.35">
      <c r="A208" s="16" t="s">
        <v>107</v>
      </c>
      <c r="B208" s="16" t="s">
        <v>153</v>
      </c>
      <c r="C208" t="s">
        <v>186</v>
      </c>
      <c r="D208" s="16" t="s">
        <v>146</v>
      </c>
      <c r="E208" s="16" t="s">
        <v>147</v>
      </c>
      <c r="F208" t="s">
        <v>137</v>
      </c>
    </row>
    <row r="209" spans="1:6" x14ac:dyDescent="0.35">
      <c r="A209" s="16" t="s">
        <v>107</v>
      </c>
      <c r="B209" s="16" t="s">
        <v>154</v>
      </c>
      <c r="C209" t="s">
        <v>186</v>
      </c>
      <c r="D209" s="16" t="s">
        <v>146</v>
      </c>
      <c r="E209" s="16" t="s">
        <v>147</v>
      </c>
      <c r="F209" t="s">
        <v>137</v>
      </c>
    </row>
    <row r="210" spans="1:6" x14ac:dyDescent="0.35">
      <c r="A210" s="16" t="s">
        <v>107</v>
      </c>
      <c r="B210" s="16" t="s">
        <v>155</v>
      </c>
      <c r="C210" t="s">
        <v>187</v>
      </c>
      <c r="D210" s="16" t="s">
        <v>146</v>
      </c>
      <c r="E210" s="16" t="s">
        <v>147</v>
      </c>
      <c r="F210">
        <v>1.92</v>
      </c>
    </row>
    <row r="211" spans="1:6" x14ac:dyDescent="0.35">
      <c r="A211" s="16" t="s">
        <v>107</v>
      </c>
      <c r="B211" s="16" t="s">
        <v>156</v>
      </c>
      <c r="C211" t="s">
        <v>187</v>
      </c>
      <c r="D211" s="16" t="s">
        <v>146</v>
      </c>
      <c r="E211" s="16" t="s">
        <v>147</v>
      </c>
      <c r="F211" t="s">
        <v>137</v>
      </c>
    </row>
    <row r="212" spans="1:6" x14ac:dyDescent="0.35">
      <c r="A212" s="16" t="s">
        <v>101</v>
      </c>
      <c r="B212" s="16" t="s">
        <v>151</v>
      </c>
      <c r="C212" t="s">
        <v>185</v>
      </c>
      <c r="D212" s="16" t="s">
        <v>146</v>
      </c>
      <c r="E212" s="16" t="s">
        <v>147</v>
      </c>
      <c r="F212">
        <v>272.73</v>
      </c>
    </row>
    <row r="213" spans="1:6" x14ac:dyDescent="0.35">
      <c r="A213" s="16" t="s">
        <v>101</v>
      </c>
      <c r="B213" s="16" t="s">
        <v>152</v>
      </c>
      <c r="C213" t="s">
        <v>185</v>
      </c>
      <c r="D213" s="16" t="s">
        <v>146</v>
      </c>
      <c r="E213" s="16" t="s">
        <v>147</v>
      </c>
      <c r="F213" t="s">
        <v>137</v>
      </c>
    </row>
    <row r="214" spans="1:6" x14ac:dyDescent="0.35">
      <c r="A214" s="16" t="s">
        <v>101</v>
      </c>
      <c r="B214" s="16" t="s">
        <v>153</v>
      </c>
      <c r="C214" t="s">
        <v>186</v>
      </c>
      <c r="D214" s="16" t="s">
        <v>146</v>
      </c>
      <c r="E214" s="16" t="s">
        <v>147</v>
      </c>
      <c r="F214">
        <v>159</v>
      </c>
    </row>
    <row r="215" spans="1:6" x14ac:dyDescent="0.35">
      <c r="A215" s="16" t="s">
        <v>101</v>
      </c>
      <c r="B215" s="16" t="s">
        <v>154</v>
      </c>
      <c r="C215" t="s">
        <v>186</v>
      </c>
      <c r="D215" s="16" t="s">
        <v>146</v>
      </c>
      <c r="E215" s="16" t="s">
        <v>147</v>
      </c>
      <c r="F215" t="s">
        <v>137</v>
      </c>
    </row>
    <row r="216" spans="1:6" x14ac:dyDescent="0.35">
      <c r="A216" s="16" t="s">
        <v>101</v>
      </c>
      <c r="B216" s="16" t="s">
        <v>155</v>
      </c>
      <c r="C216" t="s">
        <v>187</v>
      </c>
      <c r="D216" s="16" t="s">
        <v>146</v>
      </c>
      <c r="E216" s="16" t="s">
        <v>147</v>
      </c>
      <c r="F216" t="s">
        <v>137</v>
      </c>
    </row>
    <row r="217" spans="1:6" x14ac:dyDescent="0.35">
      <c r="A217" s="16" t="s">
        <v>101</v>
      </c>
      <c r="B217" s="16" t="s">
        <v>156</v>
      </c>
      <c r="C217" t="s">
        <v>187</v>
      </c>
      <c r="D217" s="16" t="s">
        <v>146</v>
      </c>
      <c r="E217" s="16" t="s">
        <v>147</v>
      </c>
      <c r="F217" t="s">
        <v>137</v>
      </c>
    </row>
    <row r="218" spans="1:6" x14ac:dyDescent="0.35">
      <c r="A218" s="16" t="s">
        <v>111</v>
      </c>
      <c r="B218" s="16" t="s">
        <v>151</v>
      </c>
      <c r="C218" t="s">
        <v>185</v>
      </c>
      <c r="D218" s="16" t="s">
        <v>146</v>
      </c>
      <c r="E218" s="16" t="s">
        <v>147</v>
      </c>
      <c r="F218">
        <v>17.75</v>
      </c>
    </row>
    <row r="219" spans="1:6" x14ac:dyDescent="0.35">
      <c r="A219" s="16" t="s">
        <v>111</v>
      </c>
      <c r="B219" s="16" t="s">
        <v>152</v>
      </c>
      <c r="C219" t="s">
        <v>185</v>
      </c>
      <c r="D219" s="16" t="s">
        <v>146</v>
      </c>
      <c r="E219" s="16" t="s">
        <v>147</v>
      </c>
      <c r="F219" t="s">
        <v>137</v>
      </c>
    </row>
    <row r="220" spans="1:6" x14ac:dyDescent="0.35">
      <c r="A220" s="16" t="s">
        <v>111</v>
      </c>
      <c r="B220" s="16" t="s">
        <v>153</v>
      </c>
      <c r="C220" t="s">
        <v>186</v>
      </c>
      <c r="D220" s="16" t="s">
        <v>146</v>
      </c>
      <c r="E220" s="16" t="s">
        <v>147</v>
      </c>
      <c r="F220">
        <v>6</v>
      </c>
    </row>
    <row r="221" spans="1:6" x14ac:dyDescent="0.35">
      <c r="A221" s="16" t="s">
        <v>111</v>
      </c>
      <c r="B221" s="16" t="s">
        <v>154</v>
      </c>
      <c r="C221" t="s">
        <v>186</v>
      </c>
      <c r="D221" s="16" t="s">
        <v>146</v>
      </c>
      <c r="E221" s="16" t="s">
        <v>147</v>
      </c>
      <c r="F221" t="s">
        <v>137</v>
      </c>
    </row>
    <row r="222" spans="1:6" x14ac:dyDescent="0.35">
      <c r="A222" s="16" t="s">
        <v>111</v>
      </c>
      <c r="B222" s="16" t="s">
        <v>155</v>
      </c>
      <c r="C222" t="s">
        <v>187</v>
      </c>
      <c r="D222" s="16" t="s">
        <v>146</v>
      </c>
      <c r="E222" s="16" t="s">
        <v>147</v>
      </c>
      <c r="F222" t="s">
        <v>137</v>
      </c>
    </row>
    <row r="223" spans="1:6" x14ac:dyDescent="0.35">
      <c r="A223" s="16" t="s">
        <v>111</v>
      </c>
      <c r="B223" s="16" t="s">
        <v>156</v>
      </c>
      <c r="C223" t="s">
        <v>187</v>
      </c>
      <c r="D223" s="16" t="s">
        <v>146</v>
      </c>
      <c r="E223" s="16" t="s">
        <v>147</v>
      </c>
      <c r="F223" t="s">
        <v>137</v>
      </c>
    </row>
    <row r="224" spans="1:6" x14ac:dyDescent="0.35">
      <c r="A224" s="16" t="s">
        <v>103</v>
      </c>
      <c r="B224" s="16" t="s">
        <v>151</v>
      </c>
      <c r="C224" t="s">
        <v>185</v>
      </c>
      <c r="D224" s="16" t="s">
        <v>146</v>
      </c>
      <c r="E224" s="16" t="s">
        <v>147</v>
      </c>
      <c r="F224">
        <v>20.420000000000002</v>
      </c>
    </row>
    <row r="225" spans="1:6" x14ac:dyDescent="0.35">
      <c r="A225" s="16" t="s">
        <v>103</v>
      </c>
      <c r="B225" s="16" t="s">
        <v>152</v>
      </c>
      <c r="C225" t="s">
        <v>185</v>
      </c>
      <c r="D225" s="16" t="s">
        <v>146</v>
      </c>
      <c r="E225" s="16" t="s">
        <v>147</v>
      </c>
      <c r="F225" t="s">
        <v>137</v>
      </c>
    </row>
    <row r="226" spans="1:6" x14ac:dyDescent="0.35">
      <c r="A226" s="16" t="s">
        <v>103</v>
      </c>
      <c r="B226" s="16" t="s">
        <v>153</v>
      </c>
      <c r="C226" t="s">
        <v>186</v>
      </c>
      <c r="D226" s="16" t="s">
        <v>146</v>
      </c>
      <c r="E226" s="16" t="s">
        <v>147</v>
      </c>
      <c r="F226" t="s">
        <v>137</v>
      </c>
    </row>
    <row r="227" spans="1:6" x14ac:dyDescent="0.35">
      <c r="A227" s="16" t="s">
        <v>103</v>
      </c>
      <c r="B227" s="16" t="s">
        <v>154</v>
      </c>
      <c r="C227" t="s">
        <v>186</v>
      </c>
      <c r="D227" s="16" t="s">
        <v>146</v>
      </c>
      <c r="E227" s="16" t="s">
        <v>147</v>
      </c>
      <c r="F227" t="s">
        <v>137</v>
      </c>
    </row>
    <row r="228" spans="1:6" x14ac:dyDescent="0.35">
      <c r="A228" s="16" t="s">
        <v>103</v>
      </c>
      <c r="B228" s="16" t="s">
        <v>155</v>
      </c>
      <c r="C228" t="s">
        <v>187</v>
      </c>
      <c r="D228" s="16" t="s">
        <v>146</v>
      </c>
      <c r="E228" s="16" t="s">
        <v>147</v>
      </c>
      <c r="F228">
        <v>60.89</v>
      </c>
    </row>
    <row r="229" spans="1:6" x14ac:dyDescent="0.35">
      <c r="A229" s="16" t="s">
        <v>103</v>
      </c>
      <c r="B229" s="16" t="s">
        <v>156</v>
      </c>
      <c r="C229" t="s">
        <v>187</v>
      </c>
      <c r="D229" s="16" t="s">
        <v>146</v>
      </c>
      <c r="E229" s="16" t="s">
        <v>147</v>
      </c>
      <c r="F229" t="s">
        <v>137</v>
      </c>
    </row>
    <row r="230" spans="1:6" x14ac:dyDescent="0.35">
      <c r="A230" s="16" t="s">
        <v>139</v>
      </c>
      <c r="B230" s="16" t="s">
        <v>151</v>
      </c>
      <c r="C230" t="s">
        <v>185</v>
      </c>
      <c r="D230" s="16" t="s">
        <v>146</v>
      </c>
      <c r="E230" s="16" t="s">
        <v>147</v>
      </c>
      <c r="F230">
        <v>45.91</v>
      </c>
    </row>
    <row r="231" spans="1:6" x14ac:dyDescent="0.35">
      <c r="A231" s="16" t="s">
        <v>139</v>
      </c>
      <c r="B231" s="16" t="s">
        <v>152</v>
      </c>
      <c r="C231" t="s">
        <v>185</v>
      </c>
      <c r="D231" s="16" t="s">
        <v>146</v>
      </c>
      <c r="E231" s="16" t="s">
        <v>147</v>
      </c>
      <c r="F231" t="s">
        <v>137</v>
      </c>
    </row>
    <row r="232" spans="1:6" x14ac:dyDescent="0.35">
      <c r="A232" s="16" t="s">
        <v>139</v>
      </c>
      <c r="B232" s="16" t="s">
        <v>153</v>
      </c>
      <c r="C232" t="s">
        <v>186</v>
      </c>
      <c r="D232" s="16" t="s">
        <v>146</v>
      </c>
      <c r="E232" s="16" t="s">
        <v>147</v>
      </c>
      <c r="F232">
        <v>3.55</v>
      </c>
    </row>
    <row r="233" spans="1:6" x14ac:dyDescent="0.35">
      <c r="A233" s="16" t="s">
        <v>139</v>
      </c>
      <c r="B233" s="16" t="s">
        <v>154</v>
      </c>
      <c r="C233" t="s">
        <v>186</v>
      </c>
      <c r="D233" s="16" t="s">
        <v>146</v>
      </c>
      <c r="E233" s="16" t="s">
        <v>147</v>
      </c>
      <c r="F233" t="s">
        <v>137</v>
      </c>
    </row>
    <row r="234" spans="1:6" x14ac:dyDescent="0.35">
      <c r="A234" s="16" t="s">
        <v>139</v>
      </c>
      <c r="B234" s="16" t="s">
        <v>155</v>
      </c>
      <c r="C234" t="s">
        <v>187</v>
      </c>
      <c r="D234" s="16" t="s">
        <v>146</v>
      </c>
      <c r="E234" s="16" t="s">
        <v>147</v>
      </c>
      <c r="F234" t="s">
        <v>137</v>
      </c>
    </row>
    <row r="235" spans="1:6" x14ac:dyDescent="0.35">
      <c r="A235" s="16" t="s">
        <v>139</v>
      </c>
      <c r="B235" s="16" t="s">
        <v>156</v>
      </c>
      <c r="C235" t="s">
        <v>187</v>
      </c>
      <c r="D235" s="16" t="s">
        <v>146</v>
      </c>
      <c r="E235" s="16" t="s">
        <v>147</v>
      </c>
      <c r="F235" t="s">
        <v>137</v>
      </c>
    </row>
    <row r="236" spans="1:6" x14ac:dyDescent="0.35">
      <c r="A236" s="16" t="s">
        <v>124</v>
      </c>
      <c r="B236" s="16" t="s">
        <v>151</v>
      </c>
      <c r="C236" t="s">
        <v>185</v>
      </c>
      <c r="D236" s="16" t="s">
        <v>146</v>
      </c>
      <c r="E236" s="16" t="s">
        <v>147</v>
      </c>
      <c r="F236">
        <v>8457.73</v>
      </c>
    </row>
    <row r="237" spans="1:6" x14ac:dyDescent="0.35">
      <c r="A237" s="16" t="s">
        <v>124</v>
      </c>
      <c r="B237" s="16" t="s">
        <v>152</v>
      </c>
      <c r="C237" t="s">
        <v>185</v>
      </c>
      <c r="D237" s="16" t="s">
        <v>146</v>
      </c>
      <c r="E237" s="16" t="s">
        <v>147</v>
      </c>
      <c r="F237">
        <v>600</v>
      </c>
    </row>
    <row r="238" spans="1:6" x14ac:dyDescent="0.35">
      <c r="A238" s="16" t="s">
        <v>124</v>
      </c>
      <c r="B238" s="16" t="s">
        <v>153</v>
      </c>
      <c r="C238" t="s">
        <v>186</v>
      </c>
      <c r="D238" s="16" t="s">
        <v>146</v>
      </c>
      <c r="E238" s="16" t="s">
        <v>147</v>
      </c>
      <c r="F238">
        <v>3442</v>
      </c>
    </row>
    <row r="239" spans="1:6" x14ac:dyDescent="0.35">
      <c r="A239" s="16" t="s">
        <v>124</v>
      </c>
      <c r="B239" s="16" t="s">
        <v>154</v>
      </c>
      <c r="C239" t="s">
        <v>186</v>
      </c>
      <c r="D239" s="16" t="s">
        <v>146</v>
      </c>
      <c r="E239" s="16" t="s">
        <v>147</v>
      </c>
      <c r="F239" t="s">
        <v>137</v>
      </c>
    </row>
    <row r="240" spans="1:6" x14ac:dyDescent="0.35">
      <c r="A240" s="16" t="s">
        <v>124</v>
      </c>
      <c r="B240" s="16" t="s">
        <v>155</v>
      </c>
      <c r="C240" t="s">
        <v>187</v>
      </c>
      <c r="D240" s="16" t="s">
        <v>146</v>
      </c>
      <c r="E240" s="16" t="s">
        <v>147</v>
      </c>
      <c r="F240">
        <v>751.65</v>
      </c>
    </row>
    <row r="241" spans="1:6" x14ac:dyDescent="0.35">
      <c r="A241" s="16" t="s">
        <v>124</v>
      </c>
      <c r="B241" s="16" t="s">
        <v>156</v>
      </c>
      <c r="C241" t="s">
        <v>187</v>
      </c>
      <c r="D241" s="16" t="s">
        <v>146</v>
      </c>
      <c r="E241" s="16" t="s">
        <v>147</v>
      </c>
      <c r="F241" t="s">
        <v>137</v>
      </c>
    </row>
    <row r="242" spans="1:6" x14ac:dyDescent="0.35">
      <c r="A242" s="16" t="s">
        <v>116</v>
      </c>
      <c r="B242" s="16" t="s">
        <v>151</v>
      </c>
      <c r="C242" t="s">
        <v>185</v>
      </c>
      <c r="D242" s="16" t="s">
        <v>146</v>
      </c>
      <c r="E242" s="16" t="s">
        <v>147</v>
      </c>
      <c r="F242">
        <v>66.94</v>
      </c>
    </row>
    <row r="243" spans="1:6" x14ac:dyDescent="0.35">
      <c r="A243" s="16" t="s">
        <v>116</v>
      </c>
      <c r="B243" s="16" t="s">
        <v>152</v>
      </c>
      <c r="C243" t="s">
        <v>185</v>
      </c>
      <c r="D243" s="16" t="s">
        <v>146</v>
      </c>
      <c r="E243" s="16" t="s">
        <v>147</v>
      </c>
      <c r="F243" t="s">
        <v>137</v>
      </c>
    </row>
    <row r="244" spans="1:6" x14ac:dyDescent="0.35">
      <c r="A244" s="16" t="s">
        <v>116</v>
      </c>
      <c r="B244" s="16" t="s">
        <v>153</v>
      </c>
      <c r="C244" t="s">
        <v>186</v>
      </c>
      <c r="D244" s="16" t="s">
        <v>146</v>
      </c>
      <c r="E244" s="16" t="s">
        <v>147</v>
      </c>
      <c r="F244" t="s">
        <v>137</v>
      </c>
    </row>
    <row r="245" spans="1:6" x14ac:dyDescent="0.35">
      <c r="A245" s="16" t="s">
        <v>116</v>
      </c>
      <c r="B245" s="16" t="s">
        <v>154</v>
      </c>
      <c r="C245" t="s">
        <v>186</v>
      </c>
      <c r="D245" s="16" t="s">
        <v>146</v>
      </c>
      <c r="E245" s="16" t="s">
        <v>147</v>
      </c>
      <c r="F245" t="s">
        <v>137</v>
      </c>
    </row>
    <row r="246" spans="1:6" x14ac:dyDescent="0.35">
      <c r="A246" s="16" t="s">
        <v>116</v>
      </c>
      <c r="B246" s="16" t="s">
        <v>155</v>
      </c>
      <c r="C246" t="s">
        <v>187</v>
      </c>
      <c r="D246" s="16" t="s">
        <v>146</v>
      </c>
      <c r="E246" s="16" t="s">
        <v>147</v>
      </c>
      <c r="F246">
        <v>66.599999999999994</v>
      </c>
    </row>
    <row r="247" spans="1:6" x14ac:dyDescent="0.35">
      <c r="A247" s="16" t="s">
        <v>116</v>
      </c>
      <c r="B247" s="16" t="s">
        <v>156</v>
      </c>
      <c r="C247" t="s">
        <v>187</v>
      </c>
      <c r="D247" s="16" t="s">
        <v>146</v>
      </c>
      <c r="E247" s="16" t="s">
        <v>147</v>
      </c>
      <c r="F247" t="s">
        <v>137</v>
      </c>
    </row>
    <row r="248" spans="1:6" x14ac:dyDescent="0.35">
      <c r="A248" s="16" t="s">
        <v>118</v>
      </c>
      <c r="B248" s="16" t="s">
        <v>151</v>
      </c>
      <c r="C248" t="s">
        <v>185</v>
      </c>
      <c r="D248" s="16" t="s">
        <v>146</v>
      </c>
      <c r="E248" s="16" t="s">
        <v>147</v>
      </c>
      <c r="F248">
        <v>774.92</v>
      </c>
    </row>
    <row r="249" spans="1:6" x14ac:dyDescent="0.35">
      <c r="A249" s="16" t="s">
        <v>118</v>
      </c>
      <c r="B249" s="16" t="s">
        <v>152</v>
      </c>
      <c r="C249" t="s">
        <v>185</v>
      </c>
      <c r="D249" s="16" t="s">
        <v>146</v>
      </c>
      <c r="E249" s="16" t="s">
        <v>147</v>
      </c>
      <c r="F249" t="s">
        <v>137</v>
      </c>
    </row>
    <row r="250" spans="1:6" x14ac:dyDescent="0.35">
      <c r="A250" s="16" t="s">
        <v>118</v>
      </c>
      <c r="B250" s="16" t="s">
        <v>153</v>
      </c>
      <c r="C250" t="s">
        <v>186</v>
      </c>
      <c r="D250" s="16" t="s">
        <v>146</v>
      </c>
      <c r="E250" s="16" t="s">
        <v>147</v>
      </c>
      <c r="F250">
        <v>245</v>
      </c>
    </row>
    <row r="251" spans="1:6" x14ac:dyDescent="0.35">
      <c r="A251" s="16" t="s">
        <v>118</v>
      </c>
      <c r="B251" s="16" t="s">
        <v>154</v>
      </c>
      <c r="C251" t="s">
        <v>186</v>
      </c>
      <c r="D251" s="16" t="s">
        <v>146</v>
      </c>
      <c r="E251" s="16" t="s">
        <v>147</v>
      </c>
      <c r="F251" t="s">
        <v>137</v>
      </c>
    </row>
    <row r="252" spans="1:6" x14ac:dyDescent="0.35">
      <c r="A252" s="16" t="s">
        <v>118</v>
      </c>
      <c r="B252" s="16" t="s">
        <v>155</v>
      </c>
      <c r="C252" t="s">
        <v>187</v>
      </c>
      <c r="D252" s="16" t="s">
        <v>146</v>
      </c>
      <c r="E252" s="16" t="s">
        <v>147</v>
      </c>
      <c r="F252">
        <v>66</v>
      </c>
    </row>
    <row r="253" spans="1:6" x14ac:dyDescent="0.35">
      <c r="A253" s="16" t="s">
        <v>118</v>
      </c>
      <c r="B253" s="16" t="s">
        <v>156</v>
      </c>
      <c r="C253" t="s">
        <v>187</v>
      </c>
      <c r="D253" s="16" t="s">
        <v>146</v>
      </c>
      <c r="E253" s="16" t="s">
        <v>147</v>
      </c>
      <c r="F253" t="s">
        <v>137</v>
      </c>
    </row>
    <row r="254" spans="1:6" x14ac:dyDescent="0.35">
      <c r="A254" s="16" t="s">
        <v>122</v>
      </c>
      <c r="B254" s="16" t="s">
        <v>151</v>
      </c>
      <c r="C254" t="s">
        <v>185</v>
      </c>
      <c r="D254" s="16" t="s">
        <v>146</v>
      </c>
      <c r="E254" s="16" t="s">
        <v>147</v>
      </c>
      <c r="F254">
        <v>84.52</v>
      </c>
    </row>
    <row r="255" spans="1:6" x14ac:dyDescent="0.35">
      <c r="A255" s="16" t="s">
        <v>122</v>
      </c>
      <c r="B255" s="16" t="s">
        <v>152</v>
      </c>
      <c r="C255" t="s">
        <v>185</v>
      </c>
      <c r="D255" s="16" t="s">
        <v>146</v>
      </c>
      <c r="E255" s="16" t="s">
        <v>147</v>
      </c>
      <c r="F255" t="s">
        <v>137</v>
      </c>
    </row>
    <row r="256" spans="1:6" x14ac:dyDescent="0.35">
      <c r="A256" s="16" t="s">
        <v>122</v>
      </c>
      <c r="B256" s="16" t="s">
        <v>153</v>
      </c>
      <c r="C256" t="s">
        <v>186</v>
      </c>
      <c r="D256" s="16" t="s">
        <v>146</v>
      </c>
      <c r="E256" s="16" t="s">
        <v>147</v>
      </c>
      <c r="F256" t="s">
        <v>137</v>
      </c>
    </row>
    <row r="257" spans="1:6" x14ac:dyDescent="0.35">
      <c r="A257" s="16" t="s">
        <v>122</v>
      </c>
      <c r="B257" s="16" t="s">
        <v>154</v>
      </c>
      <c r="C257" t="s">
        <v>186</v>
      </c>
      <c r="D257" s="16" t="s">
        <v>146</v>
      </c>
      <c r="E257" s="16" t="s">
        <v>147</v>
      </c>
      <c r="F257" t="s">
        <v>137</v>
      </c>
    </row>
    <row r="258" spans="1:6" x14ac:dyDescent="0.35">
      <c r="A258" s="16" t="s">
        <v>122</v>
      </c>
      <c r="B258" s="16" t="s">
        <v>155</v>
      </c>
      <c r="C258" t="s">
        <v>187</v>
      </c>
      <c r="D258" s="16" t="s">
        <v>146</v>
      </c>
      <c r="E258" s="16" t="s">
        <v>147</v>
      </c>
      <c r="F258">
        <v>1637.13</v>
      </c>
    </row>
    <row r="259" spans="1:6" x14ac:dyDescent="0.35">
      <c r="A259" s="16" t="s">
        <v>122</v>
      </c>
      <c r="B259" s="16" t="s">
        <v>156</v>
      </c>
      <c r="C259" t="s">
        <v>187</v>
      </c>
      <c r="D259" s="16" t="s">
        <v>146</v>
      </c>
      <c r="E259" s="16" t="s">
        <v>147</v>
      </c>
      <c r="F259" t="s">
        <v>137</v>
      </c>
    </row>
    <row r="260" spans="1:6" x14ac:dyDescent="0.35">
      <c r="A260" s="16" t="s">
        <v>126</v>
      </c>
      <c r="B260" s="16" t="s">
        <v>151</v>
      </c>
      <c r="C260" t="s">
        <v>185</v>
      </c>
      <c r="D260" s="16" t="s">
        <v>146</v>
      </c>
      <c r="E260" s="16" t="s">
        <v>147</v>
      </c>
      <c r="F260">
        <v>195.84</v>
      </c>
    </row>
    <row r="261" spans="1:6" x14ac:dyDescent="0.35">
      <c r="A261" s="16" t="s">
        <v>126</v>
      </c>
      <c r="B261" s="16" t="s">
        <v>152</v>
      </c>
      <c r="C261" t="s">
        <v>185</v>
      </c>
      <c r="D261" s="16" t="s">
        <v>146</v>
      </c>
      <c r="E261" s="16" t="s">
        <v>147</v>
      </c>
      <c r="F261" t="s">
        <v>137</v>
      </c>
    </row>
    <row r="262" spans="1:6" x14ac:dyDescent="0.35">
      <c r="A262" s="16" t="s">
        <v>126</v>
      </c>
      <c r="B262" s="16" t="s">
        <v>153</v>
      </c>
      <c r="C262" t="s">
        <v>186</v>
      </c>
      <c r="D262" s="16" t="s">
        <v>146</v>
      </c>
      <c r="E262" s="16" t="s">
        <v>147</v>
      </c>
      <c r="F262" t="s">
        <v>137</v>
      </c>
    </row>
    <row r="263" spans="1:6" x14ac:dyDescent="0.35">
      <c r="A263" s="16" t="s">
        <v>126</v>
      </c>
      <c r="B263" s="16" t="s">
        <v>154</v>
      </c>
      <c r="C263" t="s">
        <v>186</v>
      </c>
      <c r="D263" s="16" t="s">
        <v>146</v>
      </c>
      <c r="E263" s="16" t="s">
        <v>147</v>
      </c>
      <c r="F263" t="s">
        <v>137</v>
      </c>
    </row>
    <row r="264" spans="1:6" x14ac:dyDescent="0.35">
      <c r="A264" s="16" t="s">
        <v>126</v>
      </c>
      <c r="B264" s="16" t="s">
        <v>155</v>
      </c>
      <c r="C264" t="s">
        <v>187</v>
      </c>
      <c r="D264" s="16" t="s">
        <v>146</v>
      </c>
      <c r="E264" s="16" t="s">
        <v>147</v>
      </c>
      <c r="F264">
        <v>3165.05</v>
      </c>
    </row>
    <row r="265" spans="1:6" x14ac:dyDescent="0.35">
      <c r="A265" s="16" t="s">
        <v>126</v>
      </c>
      <c r="B265" s="16" t="s">
        <v>156</v>
      </c>
      <c r="C265" t="s">
        <v>187</v>
      </c>
      <c r="D265" s="16" t="s">
        <v>146</v>
      </c>
      <c r="E265" s="16" t="s">
        <v>147</v>
      </c>
      <c r="F265" t="s">
        <v>137</v>
      </c>
    </row>
    <row r="266" spans="1:6" x14ac:dyDescent="0.35">
      <c r="A266" s="16" t="s">
        <v>128</v>
      </c>
      <c r="B266" s="16" t="s">
        <v>151</v>
      </c>
      <c r="C266" t="s">
        <v>185</v>
      </c>
      <c r="D266" s="16" t="s">
        <v>146</v>
      </c>
      <c r="E266" s="16" t="s">
        <v>147</v>
      </c>
      <c r="F266">
        <v>105.18</v>
      </c>
    </row>
    <row r="267" spans="1:6" x14ac:dyDescent="0.35">
      <c r="A267" s="16" t="s">
        <v>128</v>
      </c>
      <c r="B267" s="16" t="s">
        <v>152</v>
      </c>
      <c r="C267" t="s">
        <v>185</v>
      </c>
      <c r="D267" s="16" t="s">
        <v>146</v>
      </c>
      <c r="E267" s="16" t="s">
        <v>147</v>
      </c>
      <c r="F267" t="s">
        <v>137</v>
      </c>
    </row>
    <row r="268" spans="1:6" x14ac:dyDescent="0.35">
      <c r="A268" s="16" t="s">
        <v>128</v>
      </c>
      <c r="B268" s="16" t="s">
        <v>153</v>
      </c>
      <c r="C268" t="s">
        <v>186</v>
      </c>
      <c r="D268" s="16" t="s">
        <v>146</v>
      </c>
      <c r="E268" s="16" t="s">
        <v>147</v>
      </c>
      <c r="F268" t="s">
        <v>137</v>
      </c>
    </row>
    <row r="269" spans="1:6" x14ac:dyDescent="0.35">
      <c r="A269" s="16" t="s">
        <v>128</v>
      </c>
      <c r="B269" s="16" t="s">
        <v>154</v>
      </c>
      <c r="C269" t="s">
        <v>186</v>
      </c>
      <c r="D269" s="16" t="s">
        <v>146</v>
      </c>
      <c r="E269" s="16" t="s">
        <v>147</v>
      </c>
      <c r="F269" t="s">
        <v>137</v>
      </c>
    </row>
    <row r="270" spans="1:6" x14ac:dyDescent="0.35">
      <c r="A270" s="16" t="s">
        <v>128</v>
      </c>
      <c r="B270" s="16" t="s">
        <v>155</v>
      </c>
      <c r="C270" t="s">
        <v>187</v>
      </c>
      <c r="D270" s="16" t="s">
        <v>146</v>
      </c>
      <c r="E270" s="16" t="s">
        <v>147</v>
      </c>
      <c r="F270">
        <v>1080.02</v>
      </c>
    </row>
    <row r="271" spans="1:6" x14ac:dyDescent="0.35">
      <c r="A271" s="16" t="s">
        <v>128</v>
      </c>
      <c r="B271" s="16" t="s">
        <v>156</v>
      </c>
      <c r="C271" t="s">
        <v>187</v>
      </c>
      <c r="D271" s="16" t="s">
        <v>146</v>
      </c>
      <c r="E271" s="16" t="s">
        <v>147</v>
      </c>
      <c r="F271" t="s">
        <v>137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8489-8ADF-44AD-B6B7-474901C8A720}">
  <sheetPr codeName="Sheet5" filterMode="1"/>
  <dimension ref="A1:E49"/>
  <sheetViews>
    <sheetView workbookViewId="0">
      <selection activeCell="G1" sqref="G1:G1048576"/>
    </sheetView>
  </sheetViews>
  <sheetFormatPr defaultRowHeight="14.5" x14ac:dyDescent="0.35"/>
  <cols>
    <col min="1" max="1" width="23.90625" bestFit="1" customWidth="1"/>
    <col min="2" max="2" width="11" bestFit="1" customWidth="1"/>
    <col min="3" max="3" width="7.08984375" customWidth="1"/>
    <col min="4" max="4" width="20.453125" bestFit="1" customWidth="1"/>
  </cols>
  <sheetData>
    <row r="1" spans="1:5" x14ac:dyDescent="0.35">
      <c r="A1" t="s">
        <v>0</v>
      </c>
      <c r="B1" t="s">
        <v>27</v>
      </c>
      <c r="D1" t="s">
        <v>0</v>
      </c>
      <c r="E1" t="s">
        <v>27</v>
      </c>
    </row>
    <row r="2" spans="1:5" x14ac:dyDescent="0.35">
      <c r="A2" t="s">
        <v>83</v>
      </c>
      <c r="B2">
        <v>36</v>
      </c>
      <c r="D2" t="s">
        <v>124</v>
      </c>
      <c r="E2">
        <v>87.7</v>
      </c>
    </row>
    <row r="3" spans="1:5" x14ac:dyDescent="0.35">
      <c r="A3" t="s">
        <v>103</v>
      </c>
      <c r="B3">
        <v>35.5</v>
      </c>
      <c r="D3" t="s">
        <v>61</v>
      </c>
      <c r="E3">
        <v>89.5</v>
      </c>
    </row>
    <row r="4" spans="1:5" x14ac:dyDescent="0.35">
      <c r="A4" t="s">
        <v>71</v>
      </c>
      <c r="B4">
        <v>32.5</v>
      </c>
      <c r="D4" t="s">
        <v>46</v>
      </c>
      <c r="E4">
        <v>89.8</v>
      </c>
    </row>
    <row r="5" spans="1:5" x14ac:dyDescent="0.35">
      <c r="A5" t="s">
        <v>37</v>
      </c>
      <c r="B5">
        <v>21.7</v>
      </c>
      <c r="D5" t="s">
        <v>59</v>
      </c>
      <c r="E5">
        <v>94.1</v>
      </c>
    </row>
    <row r="6" spans="1:5" x14ac:dyDescent="0.35">
      <c r="A6" t="s">
        <v>93</v>
      </c>
      <c r="B6">
        <v>20.100000000000001</v>
      </c>
      <c r="D6" t="s">
        <v>48</v>
      </c>
      <c r="E6">
        <v>98.6</v>
      </c>
    </row>
    <row r="7" spans="1:5" x14ac:dyDescent="0.35">
      <c r="A7" t="s">
        <v>42</v>
      </c>
      <c r="B7">
        <v>17.600000000000001</v>
      </c>
      <c r="D7" t="s">
        <v>53</v>
      </c>
      <c r="E7">
        <v>100</v>
      </c>
    </row>
    <row r="8" spans="1:5" x14ac:dyDescent="0.35">
      <c r="A8" t="s">
        <v>89</v>
      </c>
      <c r="B8">
        <v>15.6</v>
      </c>
      <c r="D8" t="s">
        <v>77</v>
      </c>
      <c r="E8">
        <v>100</v>
      </c>
    </row>
    <row r="9" spans="1:5" x14ac:dyDescent="0.35">
      <c r="A9" t="s">
        <v>114</v>
      </c>
      <c r="B9">
        <v>12</v>
      </c>
      <c r="D9" t="s">
        <v>87</v>
      </c>
      <c r="E9">
        <v>100</v>
      </c>
    </row>
    <row r="10" spans="1:5" x14ac:dyDescent="0.35">
      <c r="A10" t="s">
        <v>32</v>
      </c>
      <c r="B10">
        <v>11.6</v>
      </c>
      <c r="D10" t="s">
        <v>111</v>
      </c>
      <c r="E10">
        <v>100</v>
      </c>
    </row>
    <row r="11" spans="1:5" x14ac:dyDescent="0.35">
      <c r="A11" t="s">
        <v>105</v>
      </c>
      <c r="B11">
        <v>5.4</v>
      </c>
      <c r="D11" t="s">
        <v>118</v>
      </c>
      <c r="E11">
        <v>100</v>
      </c>
    </row>
    <row r="12" spans="1:5" hidden="1" x14ac:dyDescent="0.35">
      <c r="A12" t="s">
        <v>79</v>
      </c>
      <c r="B12">
        <v>39.4</v>
      </c>
      <c r="D12" t="s">
        <v>109</v>
      </c>
      <c r="E12">
        <v>86.4</v>
      </c>
    </row>
    <row r="13" spans="1:5" hidden="1" x14ac:dyDescent="0.35">
      <c r="A13" t="s">
        <v>65</v>
      </c>
      <c r="B13">
        <v>40.5</v>
      </c>
      <c r="D13" t="s">
        <v>107</v>
      </c>
      <c r="E13">
        <v>81.3</v>
      </c>
    </row>
    <row r="14" spans="1:5" hidden="1" x14ac:dyDescent="0.35">
      <c r="A14" t="s">
        <v>120</v>
      </c>
      <c r="B14">
        <v>48.3</v>
      </c>
      <c r="D14" t="s">
        <v>69</v>
      </c>
      <c r="E14">
        <v>76.2</v>
      </c>
    </row>
    <row r="15" spans="1:5" hidden="1" x14ac:dyDescent="0.35">
      <c r="A15" t="s">
        <v>85</v>
      </c>
      <c r="B15">
        <v>50.3</v>
      </c>
      <c r="D15" t="s">
        <v>39</v>
      </c>
      <c r="E15">
        <v>76</v>
      </c>
    </row>
    <row r="16" spans="1:5" hidden="1" x14ac:dyDescent="0.35">
      <c r="A16" t="s">
        <v>28</v>
      </c>
      <c r="B16">
        <v>51.1</v>
      </c>
      <c r="D16" t="s">
        <v>101</v>
      </c>
      <c r="E16">
        <v>74.2</v>
      </c>
    </row>
    <row r="17" spans="1:5" hidden="1" x14ac:dyDescent="0.35">
      <c r="A17" t="s">
        <v>63</v>
      </c>
      <c r="B17">
        <v>51.1</v>
      </c>
      <c r="D17" t="s">
        <v>73</v>
      </c>
      <c r="E17">
        <v>73.2</v>
      </c>
    </row>
    <row r="18" spans="1:5" hidden="1" x14ac:dyDescent="0.35">
      <c r="A18" t="s">
        <v>126</v>
      </c>
      <c r="B18">
        <v>51.1</v>
      </c>
      <c r="D18" t="s">
        <v>44</v>
      </c>
      <c r="E18">
        <v>72</v>
      </c>
    </row>
    <row r="19" spans="1:5" hidden="1" x14ac:dyDescent="0.35">
      <c r="A19" t="s">
        <v>122</v>
      </c>
      <c r="B19">
        <v>51.5</v>
      </c>
      <c r="D19" t="s">
        <v>67</v>
      </c>
      <c r="E19">
        <v>66.900000000000006</v>
      </c>
    </row>
    <row r="20" spans="1:5" hidden="1" x14ac:dyDescent="0.35">
      <c r="A20" t="s">
        <v>55</v>
      </c>
      <c r="B20">
        <v>54.4</v>
      </c>
      <c r="D20" t="s">
        <v>99</v>
      </c>
      <c r="E20">
        <v>66</v>
      </c>
    </row>
    <row r="21" spans="1:5" hidden="1" x14ac:dyDescent="0.35">
      <c r="A21" t="s">
        <v>81</v>
      </c>
      <c r="B21">
        <v>54.5</v>
      </c>
      <c r="D21" t="s">
        <v>50</v>
      </c>
      <c r="E21">
        <v>65.2</v>
      </c>
    </row>
    <row r="22" spans="1:5" hidden="1" x14ac:dyDescent="0.35">
      <c r="A22" t="s">
        <v>57</v>
      </c>
      <c r="B22">
        <v>55.4</v>
      </c>
      <c r="D22" t="s">
        <v>97</v>
      </c>
      <c r="E22">
        <v>63.9</v>
      </c>
    </row>
    <row r="23" spans="1:5" hidden="1" x14ac:dyDescent="0.35">
      <c r="A23" t="s">
        <v>91</v>
      </c>
      <c r="B23">
        <v>56.7</v>
      </c>
      <c r="D23" t="s">
        <v>128</v>
      </c>
      <c r="E23">
        <v>62</v>
      </c>
    </row>
    <row r="24" spans="1:5" hidden="1" x14ac:dyDescent="0.35">
      <c r="A24" t="s">
        <v>35</v>
      </c>
      <c r="B24">
        <v>57</v>
      </c>
      <c r="D24" t="s">
        <v>95</v>
      </c>
      <c r="E24">
        <v>61.2</v>
      </c>
    </row>
    <row r="25" spans="1:5" hidden="1" x14ac:dyDescent="0.35">
      <c r="A25" t="s">
        <v>75</v>
      </c>
      <c r="B25">
        <v>57.3</v>
      </c>
      <c r="D25" t="s">
        <v>116</v>
      </c>
      <c r="E25">
        <v>59.2</v>
      </c>
    </row>
    <row r="26" spans="1:5" hidden="1" x14ac:dyDescent="0.35">
      <c r="A26" t="s">
        <v>116</v>
      </c>
      <c r="B26">
        <v>59.2</v>
      </c>
      <c r="D26" t="s">
        <v>75</v>
      </c>
      <c r="E26">
        <v>57.3</v>
      </c>
    </row>
    <row r="27" spans="1:5" hidden="1" x14ac:dyDescent="0.35">
      <c r="A27" t="s">
        <v>95</v>
      </c>
      <c r="B27">
        <v>61.2</v>
      </c>
      <c r="D27" t="s">
        <v>35</v>
      </c>
      <c r="E27">
        <v>57</v>
      </c>
    </row>
    <row r="28" spans="1:5" hidden="1" x14ac:dyDescent="0.35">
      <c r="A28" t="s">
        <v>128</v>
      </c>
      <c r="B28">
        <v>62</v>
      </c>
      <c r="D28" t="s">
        <v>91</v>
      </c>
      <c r="E28">
        <v>56.7</v>
      </c>
    </row>
    <row r="29" spans="1:5" hidden="1" x14ac:dyDescent="0.35">
      <c r="A29" t="s">
        <v>97</v>
      </c>
      <c r="B29">
        <v>63.9</v>
      </c>
      <c r="D29" t="s">
        <v>57</v>
      </c>
      <c r="E29">
        <v>55.4</v>
      </c>
    </row>
    <row r="30" spans="1:5" hidden="1" x14ac:dyDescent="0.35">
      <c r="A30" t="s">
        <v>50</v>
      </c>
      <c r="B30">
        <v>65.2</v>
      </c>
      <c r="D30" t="s">
        <v>81</v>
      </c>
      <c r="E30">
        <v>54.5</v>
      </c>
    </row>
    <row r="31" spans="1:5" hidden="1" x14ac:dyDescent="0.35">
      <c r="A31" t="s">
        <v>99</v>
      </c>
      <c r="B31">
        <v>66</v>
      </c>
      <c r="D31" t="s">
        <v>55</v>
      </c>
      <c r="E31">
        <v>54.4</v>
      </c>
    </row>
    <row r="32" spans="1:5" hidden="1" x14ac:dyDescent="0.35">
      <c r="A32" t="s">
        <v>67</v>
      </c>
      <c r="B32">
        <v>66.900000000000006</v>
      </c>
      <c r="D32" t="s">
        <v>122</v>
      </c>
      <c r="E32">
        <v>51.5</v>
      </c>
    </row>
    <row r="33" spans="1:5" hidden="1" x14ac:dyDescent="0.35">
      <c r="A33" t="s">
        <v>44</v>
      </c>
      <c r="B33">
        <v>72</v>
      </c>
      <c r="D33" t="s">
        <v>28</v>
      </c>
      <c r="E33">
        <v>51.1</v>
      </c>
    </row>
    <row r="34" spans="1:5" hidden="1" x14ac:dyDescent="0.35">
      <c r="A34" t="s">
        <v>73</v>
      </c>
      <c r="B34">
        <v>73.2</v>
      </c>
      <c r="D34" t="s">
        <v>63</v>
      </c>
      <c r="E34">
        <v>51.1</v>
      </c>
    </row>
    <row r="35" spans="1:5" hidden="1" x14ac:dyDescent="0.35">
      <c r="A35" t="s">
        <v>101</v>
      </c>
      <c r="B35">
        <v>74.2</v>
      </c>
      <c r="D35" t="s">
        <v>126</v>
      </c>
      <c r="E35">
        <v>51.1</v>
      </c>
    </row>
    <row r="36" spans="1:5" hidden="1" x14ac:dyDescent="0.35">
      <c r="A36" t="s">
        <v>39</v>
      </c>
      <c r="B36">
        <v>76</v>
      </c>
      <c r="D36" t="s">
        <v>85</v>
      </c>
      <c r="E36">
        <v>50.3</v>
      </c>
    </row>
    <row r="37" spans="1:5" hidden="1" x14ac:dyDescent="0.35">
      <c r="A37" t="s">
        <v>69</v>
      </c>
      <c r="B37">
        <v>76.2</v>
      </c>
      <c r="D37" t="s">
        <v>120</v>
      </c>
      <c r="E37">
        <v>48.3</v>
      </c>
    </row>
    <row r="38" spans="1:5" hidden="1" x14ac:dyDescent="0.35">
      <c r="A38" t="s">
        <v>107</v>
      </c>
      <c r="B38">
        <v>81.3</v>
      </c>
      <c r="D38" t="s">
        <v>65</v>
      </c>
      <c r="E38">
        <v>40.5</v>
      </c>
    </row>
    <row r="39" spans="1:5" hidden="1" x14ac:dyDescent="0.35">
      <c r="A39" t="s">
        <v>109</v>
      </c>
      <c r="B39">
        <v>86.4</v>
      </c>
      <c r="D39" t="s">
        <v>79</v>
      </c>
      <c r="E39">
        <v>39.4</v>
      </c>
    </row>
    <row r="40" spans="1:5" hidden="1" x14ac:dyDescent="0.35">
      <c r="A40" t="s">
        <v>124</v>
      </c>
      <c r="B40">
        <v>87.7</v>
      </c>
      <c r="D40" t="s">
        <v>83</v>
      </c>
      <c r="E40">
        <v>36</v>
      </c>
    </row>
    <row r="41" spans="1:5" hidden="1" x14ac:dyDescent="0.35">
      <c r="A41" t="s">
        <v>61</v>
      </c>
      <c r="B41">
        <v>89.5</v>
      </c>
      <c r="D41" t="s">
        <v>103</v>
      </c>
      <c r="E41">
        <v>35.5</v>
      </c>
    </row>
    <row r="42" spans="1:5" hidden="1" x14ac:dyDescent="0.35">
      <c r="A42" t="s">
        <v>46</v>
      </c>
      <c r="B42">
        <v>89.8</v>
      </c>
      <c r="D42" t="s">
        <v>71</v>
      </c>
      <c r="E42">
        <v>32.5</v>
      </c>
    </row>
    <row r="43" spans="1:5" hidden="1" x14ac:dyDescent="0.35">
      <c r="A43" t="s">
        <v>59</v>
      </c>
      <c r="B43">
        <v>94.1</v>
      </c>
      <c r="D43" t="s">
        <v>37</v>
      </c>
      <c r="E43">
        <v>21.7</v>
      </c>
    </row>
    <row r="44" spans="1:5" hidden="1" x14ac:dyDescent="0.35">
      <c r="A44" t="s">
        <v>48</v>
      </c>
      <c r="B44">
        <v>98.6</v>
      </c>
      <c r="D44" t="s">
        <v>93</v>
      </c>
      <c r="E44">
        <v>20.100000000000001</v>
      </c>
    </row>
    <row r="45" spans="1:5" hidden="1" x14ac:dyDescent="0.35">
      <c r="A45" t="s">
        <v>53</v>
      </c>
      <c r="B45">
        <v>100</v>
      </c>
      <c r="D45" t="s">
        <v>42</v>
      </c>
      <c r="E45">
        <v>17.600000000000001</v>
      </c>
    </row>
    <row r="46" spans="1:5" hidden="1" x14ac:dyDescent="0.35">
      <c r="A46" t="s">
        <v>77</v>
      </c>
      <c r="B46">
        <v>100</v>
      </c>
      <c r="D46" t="s">
        <v>89</v>
      </c>
      <c r="E46">
        <v>15.6</v>
      </c>
    </row>
    <row r="47" spans="1:5" hidden="1" x14ac:dyDescent="0.35">
      <c r="A47" t="s">
        <v>87</v>
      </c>
      <c r="B47">
        <v>100</v>
      </c>
      <c r="D47" t="s">
        <v>114</v>
      </c>
      <c r="E47">
        <v>12</v>
      </c>
    </row>
    <row r="48" spans="1:5" hidden="1" x14ac:dyDescent="0.35">
      <c r="A48" t="s">
        <v>111</v>
      </c>
      <c r="B48">
        <v>100</v>
      </c>
      <c r="D48" t="s">
        <v>32</v>
      </c>
      <c r="E48">
        <v>11.6</v>
      </c>
    </row>
    <row r="49" spans="1:5" hidden="1" x14ac:dyDescent="0.35">
      <c r="A49" t="s">
        <v>118</v>
      </c>
      <c r="B49">
        <v>100</v>
      </c>
      <c r="D49" t="s">
        <v>105</v>
      </c>
      <c r="E49">
        <v>5.4</v>
      </c>
    </row>
  </sheetData>
  <autoFilter ref="D1:E49" xr:uid="{2B858489-8ADF-44AD-B6B7-474901C8A720}">
    <filterColumn colId="1">
      <top10 val="10" filterVal="87.7"/>
    </filterColumn>
    <sortState xmlns:xlrd2="http://schemas.microsoft.com/office/spreadsheetml/2017/richdata2" ref="D2:E11">
      <sortCondition ref="E2:E49"/>
    </sortState>
  </autoFilter>
  <sortState xmlns:xlrd2="http://schemas.microsoft.com/office/spreadsheetml/2017/richdata2" ref="A2:B11">
    <sortCondition descending="1" ref="B5:B4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118B-82BA-4B68-9FB9-1AD16F688E29}">
  <sheetPr codeName="Sheet6"/>
  <dimension ref="A1:AT1154"/>
  <sheetViews>
    <sheetView workbookViewId="0">
      <selection activeCell="G1" sqref="G1:G1048576"/>
    </sheetView>
  </sheetViews>
  <sheetFormatPr defaultRowHeight="14.5" x14ac:dyDescent="0.35"/>
  <cols>
    <col min="1" max="1" width="19.1796875" bestFit="1" customWidth="1"/>
    <col min="2" max="2" width="29" bestFit="1" customWidth="1"/>
    <col min="3" max="3" width="6.81640625" bestFit="1" customWidth="1"/>
    <col min="4" max="4" width="11.08984375" bestFit="1" customWidth="1"/>
    <col min="5" max="5" width="15.6328125" bestFit="1" customWidth="1"/>
    <col min="6" max="6" width="19.81640625" bestFit="1" customWidth="1"/>
  </cols>
  <sheetData>
    <row r="1" spans="1:6" x14ac:dyDescent="0.35">
      <c r="A1" t="s">
        <v>130</v>
      </c>
      <c r="B1" t="s">
        <v>131</v>
      </c>
      <c r="C1" t="s">
        <v>132</v>
      </c>
      <c r="D1" t="s">
        <v>133</v>
      </c>
      <c r="E1" t="s">
        <v>171</v>
      </c>
      <c r="F1" t="s">
        <v>172</v>
      </c>
    </row>
    <row r="2" spans="1:6" x14ac:dyDescent="0.35">
      <c r="A2" s="16" t="s">
        <v>53</v>
      </c>
      <c r="B2" s="16" t="s">
        <v>134</v>
      </c>
      <c r="C2">
        <v>2000</v>
      </c>
      <c r="D2">
        <v>4.5199999999999996</v>
      </c>
      <c r="E2">
        <f>IF(_2[[#This Row],[Year]]=2000,_2[[#This Row],[Share (%)]],"")</f>
        <v>4.5199999999999996</v>
      </c>
      <c r="F2" s="18" cm="1">
        <f t="array" ref="F2">D2 - _xlfn.XLOOKUP(A2&amp;2000, A:A&amp;C:C, D:D, "No 2000 data")</f>
        <v>0</v>
      </c>
    </row>
    <row r="3" spans="1:6" x14ac:dyDescent="0.35">
      <c r="A3" s="16" t="s">
        <v>53</v>
      </c>
      <c r="B3" s="16" t="s">
        <v>134</v>
      </c>
      <c r="C3">
        <v>2001</v>
      </c>
      <c r="D3">
        <v>4.5199999999999996</v>
      </c>
      <c r="E3" t="str">
        <f>IF(_2[[#This Row],[Year]]=2000,_2[[#This Row],[Share (%)]],"")</f>
        <v/>
      </c>
      <c r="F3" s="16" cm="1">
        <f t="array" ref="F3">D3 - _xlfn.XLOOKUP(A3&amp;2000, A:A&amp;C:C, D:D, "No 2000 data")</f>
        <v>0</v>
      </c>
    </row>
    <row r="4" spans="1:6" x14ac:dyDescent="0.35">
      <c r="A4" s="16" t="s">
        <v>53</v>
      </c>
      <c r="B4" s="16" t="s">
        <v>134</v>
      </c>
      <c r="C4">
        <v>2002</v>
      </c>
      <c r="D4">
        <v>4.18</v>
      </c>
      <c r="E4" t="str">
        <f>IF(_2[[#This Row],[Year]]=2000,_2[[#This Row],[Share (%)]],"")</f>
        <v/>
      </c>
      <c r="F4" s="16" cm="1">
        <f t="array" ref="F4">D4 - _xlfn.XLOOKUP(A4&amp;2000, A:A&amp;C:C, D:D, "No 2000 data")</f>
        <v>-0.33999999999999986</v>
      </c>
    </row>
    <row r="5" spans="1:6" x14ac:dyDescent="0.35">
      <c r="A5" s="16" t="s">
        <v>53</v>
      </c>
      <c r="B5" s="16" t="s">
        <v>134</v>
      </c>
      <c r="C5">
        <v>2003</v>
      </c>
      <c r="D5">
        <v>4.0999999999999996</v>
      </c>
      <c r="E5" t="str">
        <f>IF(_2[[#This Row],[Year]]=2000,_2[[#This Row],[Share (%)]],"")</f>
        <v/>
      </c>
      <c r="F5" s="16" cm="1">
        <f t="array" ref="F5">D5 - _xlfn.XLOOKUP(A5&amp;2000, A:A&amp;C:C, D:D, "No 2000 data")</f>
        <v>-0.41999999999999993</v>
      </c>
    </row>
    <row r="6" spans="1:6" x14ac:dyDescent="0.35">
      <c r="A6" s="16" t="s">
        <v>53</v>
      </c>
      <c r="B6" s="16" t="s">
        <v>134</v>
      </c>
      <c r="C6">
        <v>2004</v>
      </c>
      <c r="D6">
        <v>3.93</v>
      </c>
      <c r="E6" t="str">
        <f>IF(_2[[#This Row],[Year]]=2000,_2[[#This Row],[Share (%)]],"")</f>
        <v/>
      </c>
      <c r="F6" s="16" cm="1">
        <f t="array" ref="F6">D6 - _xlfn.XLOOKUP(A6&amp;2000, A:A&amp;C:C, D:D, "No 2000 data")</f>
        <v>-0.58999999999999941</v>
      </c>
    </row>
    <row r="7" spans="1:6" x14ac:dyDescent="0.35">
      <c r="A7" s="16" t="s">
        <v>53</v>
      </c>
      <c r="B7" s="16" t="s">
        <v>134</v>
      </c>
      <c r="C7">
        <v>2005</v>
      </c>
      <c r="D7">
        <v>3.52</v>
      </c>
      <c r="E7" t="str">
        <f>IF(_2[[#This Row],[Year]]=2000,_2[[#This Row],[Share (%)]],"")</f>
        <v/>
      </c>
      <c r="F7" s="16" cm="1">
        <f t="array" ref="F7">D7 - _xlfn.XLOOKUP(A7&amp;2000, A:A&amp;C:C, D:D, "No 2000 data")</f>
        <v>-0.99999999999999956</v>
      </c>
    </row>
    <row r="8" spans="1:6" x14ac:dyDescent="0.35">
      <c r="A8" s="16" t="s">
        <v>53</v>
      </c>
      <c r="B8" s="16" t="s">
        <v>134</v>
      </c>
      <c r="C8">
        <v>2006</v>
      </c>
      <c r="D8">
        <v>3.02</v>
      </c>
      <c r="E8" t="str">
        <f>IF(_2[[#This Row],[Year]]=2000,_2[[#This Row],[Share (%)]],"")</f>
        <v/>
      </c>
      <c r="F8" s="16" cm="1">
        <f t="array" ref="F8">D8 - _xlfn.XLOOKUP(A8&amp;2000, A:A&amp;C:C, D:D, "No 2000 data")</f>
        <v>-1.4999999999999996</v>
      </c>
    </row>
    <row r="9" spans="1:6" x14ac:dyDescent="0.35">
      <c r="A9" s="16" t="s">
        <v>53</v>
      </c>
      <c r="B9" s="16" t="s">
        <v>134</v>
      </c>
      <c r="C9">
        <v>2007</v>
      </c>
      <c r="D9">
        <v>2.81</v>
      </c>
      <c r="E9" t="str">
        <f>IF(_2[[#This Row],[Year]]=2000,_2[[#This Row],[Share (%)]],"")</f>
        <v/>
      </c>
      <c r="F9" s="16" cm="1">
        <f t="array" ref="F9">D9 - _xlfn.XLOOKUP(A9&amp;2000, A:A&amp;C:C, D:D, "No 2000 data")</f>
        <v>-1.7099999999999995</v>
      </c>
    </row>
    <row r="10" spans="1:6" x14ac:dyDescent="0.35">
      <c r="A10" s="16" t="s">
        <v>53</v>
      </c>
      <c r="B10" s="16" t="s">
        <v>134</v>
      </c>
      <c r="C10">
        <v>2008</v>
      </c>
      <c r="D10">
        <v>2.57</v>
      </c>
      <c r="E10" t="str">
        <f>IF(_2[[#This Row],[Year]]=2000,_2[[#This Row],[Share (%)]],"")</f>
        <v/>
      </c>
      <c r="F10" s="16" cm="1">
        <f t="array" ref="F10">D10 - _xlfn.XLOOKUP(A10&amp;2000, A:A&amp;C:C, D:D, "No 2000 data")</f>
        <v>-1.9499999999999997</v>
      </c>
    </row>
    <row r="11" spans="1:6" x14ac:dyDescent="0.35">
      <c r="A11" s="16" t="s">
        <v>53</v>
      </c>
      <c r="B11" s="16" t="s">
        <v>134</v>
      </c>
      <c r="C11">
        <v>2009</v>
      </c>
      <c r="D11">
        <v>1.93</v>
      </c>
      <c r="E11" t="str">
        <f>IF(_2[[#This Row],[Year]]=2000,_2[[#This Row],[Share (%)]],"")</f>
        <v/>
      </c>
      <c r="F11" s="16" cm="1">
        <f t="array" ref="F11">D11 - _xlfn.XLOOKUP(A11&amp;2000, A:A&amp;C:C, D:D, "No 2000 data")</f>
        <v>-2.59</v>
      </c>
    </row>
    <row r="12" spans="1:6" x14ac:dyDescent="0.35">
      <c r="A12" s="16" t="s">
        <v>53</v>
      </c>
      <c r="B12" s="16" t="s">
        <v>134</v>
      </c>
      <c r="C12">
        <v>2010</v>
      </c>
      <c r="D12">
        <v>2.1</v>
      </c>
      <c r="E12" t="str">
        <f>IF(_2[[#This Row],[Year]]=2000,_2[[#This Row],[Share (%)]],"")</f>
        <v/>
      </c>
      <c r="F12" s="16" cm="1">
        <f t="array" ref="F12">D12 - _xlfn.XLOOKUP(A12&amp;2000, A:A&amp;C:C, D:D, "No 2000 data")</f>
        <v>-2.4199999999999995</v>
      </c>
    </row>
    <row r="13" spans="1:6" x14ac:dyDescent="0.35">
      <c r="A13" s="16" t="s">
        <v>53</v>
      </c>
      <c r="B13" s="16" t="s">
        <v>134</v>
      </c>
      <c r="C13">
        <v>2011</v>
      </c>
      <c r="D13">
        <v>2.09</v>
      </c>
      <c r="E13" t="str">
        <f>IF(_2[[#This Row],[Year]]=2000,_2[[#This Row],[Share (%)]],"")</f>
        <v/>
      </c>
      <c r="F13" s="16" cm="1">
        <f t="array" ref="F13">D13 - _xlfn.XLOOKUP(A13&amp;2000, A:A&amp;C:C, D:D, "No 2000 data")</f>
        <v>-2.4299999999999997</v>
      </c>
    </row>
    <row r="14" spans="1:6" x14ac:dyDescent="0.35">
      <c r="A14" s="16" t="s">
        <v>53</v>
      </c>
      <c r="B14" s="16" t="s">
        <v>134</v>
      </c>
      <c r="C14">
        <v>2012</v>
      </c>
      <c r="D14">
        <v>1.86</v>
      </c>
      <c r="E14" t="str">
        <f>IF(_2[[#This Row],[Year]]=2000,_2[[#This Row],[Share (%)]],"")</f>
        <v/>
      </c>
      <c r="F14" s="16" cm="1">
        <f t="array" ref="F14">D14 - _xlfn.XLOOKUP(A14&amp;2000, A:A&amp;C:C, D:D, "No 2000 data")</f>
        <v>-2.6599999999999993</v>
      </c>
    </row>
    <row r="15" spans="1:6" x14ac:dyDescent="0.35">
      <c r="A15" s="16" t="s">
        <v>53</v>
      </c>
      <c r="B15" s="16" t="s">
        <v>134</v>
      </c>
      <c r="C15">
        <v>2013</v>
      </c>
      <c r="D15">
        <v>1.59</v>
      </c>
      <c r="E15" t="str">
        <f>IF(_2[[#This Row],[Year]]=2000,_2[[#This Row],[Share (%)]],"")</f>
        <v/>
      </c>
      <c r="F15" s="16" cm="1">
        <f t="array" ref="F15">D15 - _xlfn.XLOOKUP(A15&amp;2000, A:A&amp;C:C, D:D, "No 2000 data")</f>
        <v>-2.9299999999999997</v>
      </c>
    </row>
    <row r="16" spans="1:6" x14ac:dyDescent="0.35">
      <c r="A16" s="16" t="s">
        <v>53</v>
      </c>
      <c r="B16" s="16" t="s">
        <v>134</v>
      </c>
      <c r="C16">
        <v>2014</v>
      </c>
      <c r="D16">
        <v>1.59</v>
      </c>
      <c r="E16" t="str">
        <f>IF(_2[[#This Row],[Year]]=2000,_2[[#This Row],[Share (%)]],"")</f>
        <v/>
      </c>
      <c r="F16" s="16" cm="1">
        <f t="array" ref="F16">D16 - _xlfn.XLOOKUP(A16&amp;2000, A:A&amp;C:C, D:D, "No 2000 data")</f>
        <v>-2.9299999999999997</v>
      </c>
    </row>
    <row r="17" spans="1:6" x14ac:dyDescent="0.35">
      <c r="A17" s="16" t="s">
        <v>53</v>
      </c>
      <c r="B17" s="16" t="s">
        <v>134</v>
      </c>
      <c r="C17">
        <v>2015</v>
      </c>
      <c r="D17">
        <v>1.66</v>
      </c>
      <c r="E17" t="str">
        <f>IF(_2[[#This Row],[Year]]=2000,_2[[#This Row],[Share (%)]],"")</f>
        <v/>
      </c>
      <c r="F17" s="16" cm="1">
        <f t="array" ref="F17">D17 - _xlfn.XLOOKUP(A17&amp;2000, A:A&amp;C:C, D:D, "No 2000 data")</f>
        <v>-2.8599999999999994</v>
      </c>
    </row>
    <row r="18" spans="1:6" x14ac:dyDescent="0.35">
      <c r="A18" s="16" t="s">
        <v>53</v>
      </c>
      <c r="B18" s="16" t="s">
        <v>134</v>
      </c>
      <c r="C18">
        <v>2016</v>
      </c>
      <c r="D18">
        <v>2.4900000000000002</v>
      </c>
      <c r="E18" t="str">
        <f>IF(_2[[#This Row],[Year]]=2000,_2[[#This Row],[Share (%)]],"")</f>
        <v/>
      </c>
      <c r="F18" s="16" cm="1">
        <f t="array" ref="F18">D18 - _xlfn.XLOOKUP(A18&amp;2000, A:A&amp;C:C, D:D, "No 2000 data")</f>
        <v>-2.0299999999999994</v>
      </c>
    </row>
    <row r="19" spans="1:6" x14ac:dyDescent="0.35">
      <c r="A19" s="16" t="s">
        <v>53</v>
      </c>
      <c r="B19" s="16" t="s">
        <v>134</v>
      </c>
      <c r="C19">
        <v>2017</v>
      </c>
      <c r="D19">
        <v>2.88</v>
      </c>
      <c r="E19" t="str">
        <f>IF(_2[[#This Row],[Year]]=2000,_2[[#This Row],[Share (%)]],"")</f>
        <v/>
      </c>
      <c r="F19" s="16" cm="1">
        <f t="array" ref="F19">D19 - _xlfn.XLOOKUP(A19&amp;2000, A:A&amp;C:C, D:D, "No 2000 data")</f>
        <v>-1.6399999999999997</v>
      </c>
    </row>
    <row r="20" spans="1:6" x14ac:dyDescent="0.35">
      <c r="A20" s="16" t="s">
        <v>53</v>
      </c>
      <c r="B20" s="16" t="s">
        <v>134</v>
      </c>
      <c r="C20">
        <v>2018</v>
      </c>
      <c r="D20">
        <v>2.73</v>
      </c>
      <c r="E20" t="str">
        <f>IF(_2[[#This Row],[Year]]=2000,_2[[#This Row],[Share (%)]],"")</f>
        <v/>
      </c>
      <c r="F20" s="16" cm="1">
        <f t="array" ref="F20">D20 - _xlfn.XLOOKUP(A20&amp;2000, A:A&amp;C:C, D:D, "No 2000 data")</f>
        <v>-1.7899999999999996</v>
      </c>
    </row>
    <row r="21" spans="1:6" x14ac:dyDescent="0.35">
      <c r="A21" s="16" t="s">
        <v>53</v>
      </c>
      <c r="B21" s="16" t="s">
        <v>134</v>
      </c>
      <c r="C21">
        <v>2019</v>
      </c>
      <c r="D21">
        <v>2.4700000000000002</v>
      </c>
      <c r="E21" t="str">
        <f>IF(_2[[#This Row],[Year]]=2000,_2[[#This Row],[Share (%)]],"")</f>
        <v/>
      </c>
      <c r="F21" s="16" cm="1">
        <f t="array" ref="F21">D21 - _xlfn.XLOOKUP(A21&amp;2000, A:A&amp;C:C, D:D, "No 2000 data")</f>
        <v>-2.0499999999999994</v>
      </c>
    </row>
    <row r="22" spans="1:6" x14ac:dyDescent="0.35">
      <c r="A22" s="16" t="s">
        <v>53</v>
      </c>
      <c r="B22" s="16" t="s">
        <v>134</v>
      </c>
      <c r="C22">
        <v>2020</v>
      </c>
      <c r="D22">
        <v>2.31</v>
      </c>
      <c r="E22" t="str">
        <f>IF(_2[[#This Row],[Year]]=2000,_2[[#This Row],[Share (%)]],"")</f>
        <v/>
      </c>
      <c r="F22" s="16" cm="1">
        <f t="array" ref="F22">D22 - _xlfn.XLOOKUP(A22&amp;2000, A:A&amp;C:C, D:D, "No 2000 data")</f>
        <v>-2.2099999999999995</v>
      </c>
    </row>
    <row r="23" spans="1:6" x14ac:dyDescent="0.35">
      <c r="A23" s="16" t="s">
        <v>53</v>
      </c>
      <c r="B23" s="16" t="s">
        <v>134</v>
      </c>
      <c r="C23">
        <v>2021</v>
      </c>
      <c r="D23">
        <v>1.97</v>
      </c>
      <c r="E23" t="str">
        <f>IF(_2[[#This Row],[Year]]=2000,_2[[#This Row],[Share (%)]],"")</f>
        <v/>
      </c>
      <c r="F23" s="16" cm="1">
        <f t="array" ref="F23">D23 - _xlfn.XLOOKUP(A23&amp;2000, A:A&amp;C:C, D:D, "No 2000 data")</f>
        <v>-2.5499999999999998</v>
      </c>
    </row>
    <row r="24" spans="1:6" x14ac:dyDescent="0.35">
      <c r="A24" s="16" t="s">
        <v>53</v>
      </c>
      <c r="B24" s="16" t="s">
        <v>134</v>
      </c>
      <c r="C24">
        <v>2022</v>
      </c>
      <c r="D24">
        <v>2.2200000000000002</v>
      </c>
      <c r="E24" t="str">
        <f>IF(_2[[#This Row],[Year]]=2000,_2[[#This Row],[Share (%)]],"")</f>
        <v/>
      </c>
      <c r="F24" s="16" cm="1">
        <f t="array" ref="F24">D24 - _xlfn.XLOOKUP(A24&amp;2000, A:A&amp;C:C, D:D, "No 2000 data")</f>
        <v>-2.2999999999999994</v>
      </c>
    </row>
    <row r="25" spans="1:6" x14ac:dyDescent="0.35">
      <c r="A25" s="16" t="s">
        <v>53</v>
      </c>
      <c r="B25" s="16" t="s">
        <v>134</v>
      </c>
      <c r="C25">
        <v>2023</v>
      </c>
      <c r="D25">
        <v>2.16</v>
      </c>
      <c r="E25" t="str">
        <f>IF(_2[[#This Row],[Year]]=2000,_2[[#This Row],[Share (%)]],"")</f>
        <v/>
      </c>
      <c r="F25" s="16" cm="1">
        <f t="array" ref="F25">D25 - _xlfn.XLOOKUP(A25&amp;2000, A:A&amp;C:C, D:D, "No 2000 data")</f>
        <v>-2.3599999999999994</v>
      </c>
    </row>
    <row r="26" spans="1:6" x14ac:dyDescent="0.35">
      <c r="A26" s="16" t="s">
        <v>53</v>
      </c>
      <c r="B26" s="16" t="s">
        <v>134</v>
      </c>
      <c r="C26">
        <v>2024</v>
      </c>
      <c r="D26">
        <v>2.09</v>
      </c>
      <c r="E26" t="str">
        <f>IF(_2[[#This Row],[Year]]=2000,_2[[#This Row],[Share (%)]],"")</f>
        <v/>
      </c>
      <c r="F26" s="16" cm="1">
        <f t="array" ref="F26">D26 - _xlfn.XLOOKUP(A26&amp;2000, A:A&amp;C:C, D:D, "No 2000 data")</f>
        <v>-2.4299999999999997</v>
      </c>
    </row>
    <row r="27" spans="1:6" x14ac:dyDescent="0.35">
      <c r="A27" s="16" t="s">
        <v>28</v>
      </c>
      <c r="B27" s="16" t="s">
        <v>134</v>
      </c>
      <c r="C27">
        <v>2000</v>
      </c>
      <c r="D27">
        <v>61.16</v>
      </c>
      <c r="E27">
        <f>IF(_2[[#This Row],[Year]]=2000,_2[[#This Row],[Share (%)]],"")</f>
        <v>61.16</v>
      </c>
      <c r="F27" s="16" cm="1">
        <f t="array" ref="F27">D27 - _xlfn.XLOOKUP(A27&amp;2000, A:A&amp;C:C, D:D, "No 2000 data")</f>
        <v>0</v>
      </c>
    </row>
    <row r="28" spans="1:6" x14ac:dyDescent="0.35">
      <c r="A28" s="16" t="s">
        <v>28</v>
      </c>
      <c r="B28" s="16" t="s">
        <v>134</v>
      </c>
      <c r="C28">
        <v>2001</v>
      </c>
      <c r="D28">
        <v>54.38</v>
      </c>
      <c r="E28" t="str">
        <f>IF(_2[[#This Row],[Year]]=2000,_2[[#This Row],[Share (%)]],"")</f>
        <v/>
      </c>
      <c r="F28" s="16" cm="1">
        <f t="array" ref="F28">D28 - _xlfn.XLOOKUP(A28&amp;2000, A:A&amp;C:C, D:D, "No 2000 data")</f>
        <v>-6.779999999999994</v>
      </c>
    </row>
    <row r="29" spans="1:6" x14ac:dyDescent="0.35">
      <c r="A29" s="16" t="s">
        <v>28</v>
      </c>
      <c r="B29" s="16" t="s">
        <v>134</v>
      </c>
      <c r="C29">
        <v>2002</v>
      </c>
      <c r="D29">
        <v>54.38</v>
      </c>
      <c r="E29" t="str">
        <f>IF(_2[[#This Row],[Year]]=2000,_2[[#This Row],[Share (%)]],"")</f>
        <v/>
      </c>
      <c r="F29" s="16" cm="1">
        <f t="array" ref="F29">D29 - _xlfn.XLOOKUP(A29&amp;2000, A:A&amp;C:C, D:D, "No 2000 data")</f>
        <v>-6.779999999999994</v>
      </c>
    </row>
    <row r="30" spans="1:6" x14ac:dyDescent="0.35">
      <c r="A30" s="16" t="s">
        <v>28</v>
      </c>
      <c r="B30" s="16" t="s">
        <v>134</v>
      </c>
      <c r="C30">
        <v>2003</v>
      </c>
      <c r="D30">
        <v>54.38</v>
      </c>
      <c r="E30" t="str">
        <f>IF(_2[[#This Row],[Year]]=2000,_2[[#This Row],[Share (%)]],"")</f>
        <v/>
      </c>
      <c r="F30" s="16" cm="1">
        <f t="array" ref="F30">D30 - _xlfn.XLOOKUP(A30&amp;2000, A:A&amp;C:C, D:D, "No 2000 data")</f>
        <v>-6.779999999999994</v>
      </c>
    </row>
    <row r="31" spans="1:6" x14ac:dyDescent="0.35">
      <c r="A31" s="16" t="s">
        <v>28</v>
      </c>
      <c r="B31" s="16" t="s">
        <v>134</v>
      </c>
      <c r="C31">
        <v>2004</v>
      </c>
      <c r="D31">
        <v>71.290000000000006</v>
      </c>
      <c r="E31" t="str">
        <f>IF(_2[[#This Row],[Year]]=2000,_2[[#This Row],[Share (%)]],"")</f>
        <v/>
      </c>
      <c r="F31" s="16" cm="1">
        <f t="array" ref="F31">D31 - _xlfn.XLOOKUP(A31&amp;2000, A:A&amp;C:C, D:D, "No 2000 data")</f>
        <v>10.13000000000001</v>
      </c>
    </row>
    <row r="32" spans="1:6" x14ac:dyDescent="0.35">
      <c r="A32" s="16" t="s">
        <v>28</v>
      </c>
      <c r="B32" s="16" t="s">
        <v>134</v>
      </c>
      <c r="C32">
        <v>2005</v>
      </c>
      <c r="D32">
        <v>71.290000000000006</v>
      </c>
      <c r="E32" t="str">
        <f>IF(_2[[#This Row],[Year]]=2000,_2[[#This Row],[Share (%)]],"")</f>
        <v/>
      </c>
      <c r="F32" s="16" cm="1">
        <f t="array" ref="F32">D32 - _xlfn.XLOOKUP(A32&amp;2000, A:A&amp;C:C, D:D, "No 2000 data")</f>
        <v>10.13000000000001</v>
      </c>
    </row>
    <row r="33" spans="1:6" x14ac:dyDescent="0.35">
      <c r="A33" s="16" t="s">
        <v>28</v>
      </c>
      <c r="B33" s="16" t="s">
        <v>134</v>
      </c>
      <c r="C33">
        <v>2006</v>
      </c>
      <c r="D33">
        <v>71.180000000000007</v>
      </c>
      <c r="E33" t="str">
        <f>IF(_2[[#This Row],[Year]]=2000,_2[[#This Row],[Share (%)]],"")</f>
        <v/>
      </c>
      <c r="F33" s="16" cm="1">
        <f t="array" ref="F33">D33 - _xlfn.XLOOKUP(A33&amp;2000, A:A&amp;C:C, D:D, "No 2000 data")</f>
        <v>10.02000000000001</v>
      </c>
    </row>
    <row r="34" spans="1:6" x14ac:dyDescent="0.35">
      <c r="A34" s="16" t="s">
        <v>28</v>
      </c>
      <c r="B34" s="16" t="s">
        <v>134</v>
      </c>
      <c r="C34">
        <v>2007</v>
      </c>
      <c r="D34">
        <v>76.62</v>
      </c>
      <c r="E34" t="str">
        <f>IF(_2[[#This Row],[Year]]=2000,_2[[#This Row],[Share (%)]],"")</f>
        <v/>
      </c>
      <c r="F34" s="16" cm="1">
        <f t="array" ref="F34">D34 - _xlfn.XLOOKUP(A34&amp;2000, A:A&amp;C:C, D:D, "No 2000 data")</f>
        <v>15.460000000000008</v>
      </c>
    </row>
    <row r="35" spans="1:6" x14ac:dyDescent="0.35">
      <c r="A35" s="16" t="s">
        <v>28</v>
      </c>
      <c r="B35" s="16" t="s">
        <v>134</v>
      </c>
      <c r="C35">
        <v>2008</v>
      </c>
      <c r="D35">
        <v>77.19</v>
      </c>
      <c r="E35" t="str">
        <f>IF(_2[[#This Row],[Year]]=2000,_2[[#This Row],[Share (%)]],"")</f>
        <v/>
      </c>
      <c r="F35" s="16" cm="1">
        <f t="array" ref="F35">D35 - _xlfn.XLOOKUP(A35&amp;2000, A:A&amp;C:C, D:D, "No 2000 data")</f>
        <v>16.03</v>
      </c>
    </row>
    <row r="36" spans="1:6" x14ac:dyDescent="0.35">
      <c r="A36" s="16" t="s">
        <v>28</v>
      </c>
      <c r="B36" s="16" t="s">
        <v>134</v>
      </c>
      <c r="C36">
        <v>2009</v>
      </c>
      <c r="D36">
        <v>77.19</v>
      </c>
      <c r="E36" t="str">
        <f>IF(_2[[#This Row],[Year]]=2000,_2[[#This Row],[Share (%)]],"")</f>
        <v/>
      </c>
      <c r="F36" s="16" cm="1">
        <f t="array" ref="F36">D36 - _xlfn.XLOOKUP(A36&amp;2000, A:A&amp;C:C, D:D, "No 2000 data")</f>
        <v>16.03</v>
      </c>
    </row>
    <row r="37" spans="1:6" x14ac:dyDescent="0.35">
      <c r="A37" s="16" t="s">
        <v>28</v>
      </c>
      <c r="B37" s="16" t="s">
        <v>134</v>
      </c>
      <c r="C37">
        <v>2010</v>
      </c>
      <c r="D37">
        <v>66.95</v>
      </c>
      <c r="E37" t="str">
        <f>IF(_2[[#This Row],[Year]]=2000,_2[[#This Row],[Share (%)]],"")</f>
        <v/>
      </c>
      <c r="F37" s="16" cm="1">
        <f t="array" ref="F37">D37 - _xlfn.XLOOKUP(A37&amp;2000, A:A&amp;C:C, D:D, "No 2000 data")</f>
        <v>5.7900000000000063</v>
      </c>
    </row>
    <row r="38" spans="1:6" x14ac:dyDescent="0.35">
      <c r="A38" s="16" t="s">
        <v>28</v>
      </c>
      <c r="B38" s="16" t="s">
        <v>134</v>
      </c>
      <c r="C38">
        <v>2011</v>
      </c>
      <c r="D38">
        <v>59.15</v>
      </c>
      <c r="E38" t="str">
        <f>IF(_2[[#This Row],[Year]]=2000,_2[[#This Row],[Share (%)]],"")</f>
        <v/>
      </c>
      <c r="F38" s="16" cm="1">
        <f t="array" ref="F38">D38 - _xlfn.XLOOKUP(A38&amp;2000, A:A&amp;C:C, D:D, "No 2000 data")</f>
        <v>-2.009999999999998</v>
      </c>
    </row>
    <row r="39" spans="1:6" x14ac:dyDescent="0.35">
      <c r="A39" s="16" t="s">
        <v>28</v>
      </c>
      <c r="B39" s="16" t="s">
        <v>134</v>
      </c>
      <c r="C39">
        <v>2012</v>
      </c>
      <c r="D39">
        <v>51.22</v>
      </c>
      <c r="E39" t="str">
        <f>IF(_2[[#This Row],[Year]]=2000,_2[[#This Row],[Share (%)]],"")</f>
        <v/>
      </c>
      <c r="F39" s="16" cm="1">
        <f t="array" ref="F39">D39 - _xlfn.XLOOKUP(A39&amp;2000, A:A&amp;C:C, D:D, "No 2000 data")</f>
        <v>-9.9399999999999977</v>
      </c>
    </row>
    <row r="40" spans="1:6" x14ac:dyDescent="0.35">
      <c r="A40" s="16" t="s">
        <v>28</v>
      </c>
      <c r="B40" s="16" t="s">
        <v>134</v>
      </c>
      <c r="C40">
        <v>2013</v>
      </c>
      <c r="D40">
        <v>44.18</v>
      </c>
      <c r="E40" t="str">
        <f>IF(_2[[#This Row],[Year]]=2000,_2[[#This Row],[Share (%)]],"")</f>
        <v/>
      </c>
      <c r="F40" s="16" cm="1">
        <f t="array" ref="F40">D40 - _xlfn.XLOOKUP(A40&amp;2000, A:A&amp;C:C, D:D, "No 2000 data")</f>
        <v>-16.979999999999997</v>
      </c>
    </row>
    <row r="41" spans="1:6" x14ac:dyDescent="0.35">
      <c r="A41" s="16" t="s">
        <v>28</v>
      </c>
      <c r="B41" s="16" t="s">
        <v>134</v>
      </c>
      <c r="C41">
        <v>2014</v>
      </c>
      <c r="D41">
        <v>43.6</v>
      </c>
      <c r="E41" t="str">
        <f>IF(_2[[#This Row],[Year]]=2000,_2[[#This Row],[Share (%)]],"")</f>
        <v/>
      </c>
      <c r="F41" s="16" cm="1">
        <f t="array" ref="F41">D41 - _xlfn.XLOOKUP(A41&amp;2000, A:A&amp;C:C, D:D, "No 2000 data")</f>
        <v>-17.559999999999995</v>
      </c>
    </row>
    <row r="42" spans="1:6" x14ac:dyDescent="0.35">
      <c r="A42" s="16" t="s">
        <v>28</v>
      </c>
      <c r="B42" s="16" t="s">
        <v>134</v>
      </c>
      <c r="C42">
        <v>2015</v>
      </c>
      <c r="D42">
        <v>42.57</v>
      </c>
      <c r="E42" t="str">
        <f>IF(_2[[#This Row],[Year]]=2000,_2[[#This Row],[Share (%)]],"")</f>
        <v/>
      </c>
      <c r="F42" s="16" cm="1">
        <f t="array" ref="F42">D42 - _xlfn.XLOOKUP(A42&amp;2000, A:A&amp;C:C, D:D, "No 2000 data")</f>
        <v>-18.589999999999996</v>
      </c>
    </row>
    <row r="43" spans="1:6" x14ac:dyDescent="0.35">
      <c r="A43" s="16" t="s">
        <v>28</v>
      </c>
      <c r="B43" s="16" t="s">
        <v>134</v>
      </c>
      <c r="C43">
        <v>2016</v>
      </c>
      <c r="D43">
        <v>55.85</v>
      </c>
      <c r="E43" t="str">
        <f>IF(_2[[#This Row],[Year]]=2000,_2[[#This Row],[Share (%)]],"")</f>
        <v/>
      </c>
      <c r="F43" s="16" cm="1">
        <f t="array" ref="F43">D43 - _xlfn.XLOOKUP(A43&amp;2000, A:A&amp;C:C, D:D, "No 2000 data")</f>
        <v>-5.3099999999999952</v>
      </c>
    </row>
    <row r="44" spans="1:6" x14ac:dyDescent="0.35">
      <c r="A44" s="16" t="s">
        <v>28</v>
      </c>
      <c r="B44" s="16" t="s">
        <v>134</v>
      </c>
      <c r="C44">
        <v>2017</v>
      </c>
      <c r="D44">
        <v>51.13</v>
      </c>
      <c r="E44" t="str">
        <f>IF(_2[[#This Row],[Year]]=2000,_2[[#This Row],[Share (%)]],"")</f>
        <v/>
      </c>
      <c r="F44" s="16" cm="1">
        <f t="array" ref="F44">D44 - _xlfn.XLOOKUP(A44&amp;2000, A:A&amp;C:C, D:D, "No 2000 data")</f>
        <v>-10.029999999999994</v>
      </c>
    </row>
    <row r="45" spans="1:6" x14ac:dyDescent="0.35">
      <c r="A45" s="16" t="s">
        <v>28</v>
      </c>
      <c r="B45" s="16" t="s">
        <v>134</v>
      </c>
      <c r="C45">
        <v>2018</v>
      </c>
      <c r="D45">
        <v>57.12</v>
      </c>
      <c r="E45" t="str">
        <f>IF(_2[[#This Row],[Year]]=2000,_2[[#This Row],[Share (%)]],"")</f>
        <v/>
      </c>
      <c r="F45" s="16" cm="1">
        <f t="array" ref="F45">D45 - _xlfn.XLOOKUP(A45&amp;2000, A:A&amp;C:C, D:D, "No 2000 data")</f>
        <v>-4.0399999999999991</v>
      </c>
    </row>
    <row r="46" spans="1:6" x14ac:dyDescent="0.35">
      <c r="A46" s="16" t="s">
        <v>28</v>
      </c>
      <c r="B46" s="16" t="s">
        <v>134</v>
      </c>
      <c r="C46">
        <v>2019</v>
      </c>
      <c r="D46">
        <v>59.39</v>
      </c>
      <c r="E46" t="str">
        <f>IF(_2[[#This Row],[Year]]=2000,_2[[#This Row],[Share (%)]],"")</f>
        <v/>
      </c>
      <c r="F46" s="16" cm="1">
        <f t="array" ref="F46">D46 - _xlfn.XLOOKUP(A46&amp;2000, A:A&amp;C:C, D:D, "No 2000 data")</f>
        <v>-1.769999999999996</v>
      </c>
    </row>
    <row r="47" spans="1:6" x14ac:dyDescent="0.35">
      <c r="A47" s="16" t="s">
        <v>28</v>
      </c>
      <c r="B47" s="16" t="s">
        <v>134</v>
      </c>
      <c r="C47">
        <v>2020</v>
      </c>
      <c r="D47">
        <v>61.6</v>
      </c>
      <c r="E47" t="str">
        <f>IF(_2[[#This Row],[Year]]=2000,_2[[#This Row],[Share (%)]],"")</f>
        <v/>
      </c>
      <c r="F47" s="16" cm="1">
        <f t="array" ref="F47">D47 - _xlfn.XLOOKUP(A47&amp;2000, A:A&amp;C:C, D:D, "No 2000 data")</f>
        <v>0.44000000000000483</v>
      </c>
    </row>
    <row r="48" spans="1:6" x14ac:dyDescent="0.35">
      <c r="A48" s="16" t="s">
        <v>28</v>
      </c>
      <c r="B48" s="16" t="s">
        <v>134</v>
      </c>
      <c r="C48">
        <v>2021</v>
      </c>
      <c r="D48">
        <v>61.6</v>
      </c>
      <c r="E48" t="str">
        <f>IF(_2[[#This Row],[Year]]=2000,_2[[#This Row],[Share (%)]],"")</f>
        <v/>
      </c>
      <c r="F48" s="16" cm="1">
        <f t="array" ref="F48">D48 - _xlfn.XLOOKUP(A48&amp;2000, A:A&amp;C:C, D:D, "No 2000 data")</f>
        <v>0.44000000000000483</v>
      </c>
    </row>
    <row r="49" spans="1:6" x14ac:dyDescent="0.35">
      <c r="A49" s="16" t="s">
        <v>28</v>
      </c>
      <c r="B49" s="16" t="s">
        <v>134</v>
      </c>
      <c r="C49">
        <v>2022</v>
      </c>
      <c r="D49">
        <v>63.3</v>
      </c>
      <c r="E49" t="str">
        <f>IF(_2[[#This Row],[Year]]=2000,_2[[#This Row],[Share (%)]],"")</f>
        <v/>
      </c>
      <c r="F49" s="16" cm="1">
        <f t="array" ref="F49">D49 - _xlfn.XLOOKUP(A49&amp;2000, A:A&amp;C:C, D:D, "No 2000 data")</f>
        <v>2.1400000000000006</v>
      </c>
    </row>
    <row r="50" spans="1:6" x14ac:dyDescent="0.35">
      <c r="A50" s="16" t="s">
        <v>28</v>
      </c>
      <c r="B50" s="16" t="s">
        <v>134</v>
      </c>
      <c r="C50">
        <v>2023</v>
      </c>
      <c r="D50">
        <v>63.44</v>
      </c>
      <c r="E50" t="str">
        <f>IF(_2[[#This Row],[Year]]=2000,_2[[#This Row],[Share (%)]],"")</f>
        <v/>
      </c>
      <c r="F50" s="16" cm="1">
        <f t="array" ref="F50">D50 - _xlfn.XLOOKUP(A50&amp;2000, A:A&amp;C:C, D:D, "No 2000 data")</f>
        <v>2.2800000000000011</v>
      </c>
    </row>
    <row r="51" spans="1:6" x14ac:dyDescent="0.35">
      <c r="A51" s="16" t="s">
        <v>28</v>
      </c>
      <c r="B51" s="16" t="s">
        <v>134</v>
      </c>
      <c r="C51">
        <v>2024</v>
      </c>
      <c r="D51">
        <v>63.73</v>
      </c>
      <c r="E51" t="str">
        <f>IF(_2[[#This Row],[Year]]=2000,_2[[#This Row],[Share (%)]],"")</f>
        <v/>
      </c>
      <c r="F51" s="16" cm="1">
        <f t="array" ref="F51">D51 - _xlfn.XLOOKUP(A51&amp;2000, A:A&amp;C:C, D:D, "No 2000 data")</f>
        <v>2.5700000000000003</v>
      </c>
    </row>
    <row r="52" spans="1:6" x14ac:dyDescent="0.35">
      <c r="A52" s="16" t="s">
        <v>35</v>
      </c>
      <c r="B52" s="16" t="s">
        <v>134</v>
      </c>
      <c r="C52">
        <v>2000</v>
      </c>
      <c r="D52">
        <v>0.88</v>
      </c>
      <c r="E52">
        <f>IF(_2[[#This Row],[Year]]=2000,_2[[#This Row],[Share (%)]],"")</f>
        <v>0.88</v>
      </c>
      <c r="F52" s="16" cm="1">
        <f t="array" ref="F52">D52 - _xlfn.XLOOKUP(A52&amp;2000, A:A&amp;C:C, D:D, "No 2000 data")</f>
        <v>0</v>
      </c>
    </row>
    <row r="53" spans="1:6" x14ac:dyDescent="0.35">
      <c r="A53" s="16" t="s">
        <v>35</v>
      </c>
      <c r="B53" s="16" t="s">
        <v>134</v>
      </c>
      <c r="C53">
        <v>2001</v>
      </c>
      <c r="D53">
        <v>0.83</v>
      </c>
      <c r="E53" t="str">
        <f>IF(_2[[#This Row],[Year]]=2000,_2[[#This Row],[Share (%)]],"")</f>
        <v/>
      </c>
      <c r="F53" s="16" cm="1">
        <f t="array" ref="F53">D53 - _xlfn.XLOOKUP(A53&amp;2000, A:A&amp;C:C, D:D, "No 2000 data")</f>
        <v>-5.0000000000000044E-2</v>
      </c>
    </row>
    <row r="54" spans="1:6" x14ac:dyDescent="0.35">
      <c r="A54" s="16" t="s">
        <v>35</v>
      </c>
      <c r="B54" s="16" t="s">
        <v>134</v>
      </c>
      <c r="C54">
        <v>2002</v>
      </c>
      <c r="D54">
        <v>0.83</v>
      </c>
      <c r="E54" t="str">
        <f>IF(_2[[#This Row],[Year]]=2000,_2[[#This Row],[Share (%)]],"")</f>
        <v/>
      </c>
      <c r="F54" s="16" cm="1">
        <f t="array" ref="F54">D54 - _xlfn.XLOOKUP(A54&amp;2000, A:A&amp;C:C, D:D, "No 2000 data")</f>
        <v>-5.0000000000000044E-2</v>
      </c>
    </row>
    <row r="55" spans="1:6" x14ac:dyDescent="0.35">
      <c r="A55" s="16" t="s">
        <v>35</v>
      </c>
      <c r="B55" s="16" t="s">
        <v>134</v>
      </c>
      <c r="C55">
        <v>2003</v>
      </c>
      <c r="D55">
        <v>0.83</v>
      </c>
      <c r="E55" t="str">
        <f>IF(_2[[#This Row],[Year]]=2000,_2[[#This Row],[Share (%)]],"")</f>
        <v/>
      </c>
      <c r="F55" s="16" cm="1">
        <f t="array" ref="F55">D55 - _xlfn.XLOOKUP(A55&amp;2000, A:A&amp;C:C, D:D, "No 2000 data")</f>
        <v>-5.0000000000000044E-2</v>
      </c>
    </row>
    <row r="56" spans="1:6" x14ac:dyDescent="0.35">
      <c r="A56" s="16" t="s">
        <v>35</v>
      </c>
      <c r="B56" s="16" t="s">
        <v>134</v>
      </c>
      <c r="C56">
        <v>2004</v>
      </c>
      <c r="D56">
        <v>0.83</v>
      </c>
      <c r="E56" t="str">
        <f>IF(_2[[#This Row],[Year]]=2000,_2[[#This Row],[Share (%)]],"")</f>
        <v/>
      </c>
      <c r="F56" s="16" cm="1">
        <f t="array" ref="F56">D56 - _xlfn.XLOOKUP(A56&amp;2000, A:A&amp;C:C, D:D, "No 2000 data")</f>
        <v>-5.0000000000000044E-2</v>
      </c>
    </row>
    <row r="57" spans="1:6" x14ac:dyDescent="0.35">
      <c r="A57" s="16" t="s">
        <v>35</v>
      </c>
      <c r="B57" s="16" t="s">
        <v>134</v>
      </c>
      <c r="C57">
        <v>2005</v>
      </c>
      <c r="D57">
        <v>0.81</v>
      </c>
      <c r="E57" t="str">
        <f>IF(_2[[#This Row],[Year]]=2000,_2[[#This Row],[Share (%)]],"")</f>
        <v/>
      </c>
      <c r="F57" s="16" cm="1">
        <f t="array" ref="F57">D57 - _xlfn.XLOOKUP(A57&amp;2000, A:A&amp;C:C, D:D, "No 2000 data")</f>
        <v>-6.9999999999999951E-2</v>
      </c>
    </row>
    <row r="58" spans="1:6" x14ac:dyDescent="0.35">
      <c r="A58" s="16" t="s">
        <v>35</v>
      </c>
      <c r="B58" s="16" t="s">
        <v>134</v>
      </c>
      <c r="C58">
        <v>2006</v>
      </c>
      <c r="D58">
        <v>0.35</v>
      </c>
      <c r="E58" t="str">
        <f>IF(_2[[#This Row],[Year]]=2000,_2[[#This Row],[Share (%)]],"")</f>
        <v/>
      </c>
      <c r="F58" s="16" cm="1">
        <f t="array" ref="F58">D58 - _xlfn.XLOOKUP(A58&amp;2000, A:A&amp;C:C, D:D, "No 2000 data")</f>
        <v>-0.53</v>
      </c>
    </row>
    <row r="59" spans="1:6" x14ac:dyDescent="0.35">
      <c r="A59" s="16" t="s">
        <v>35</v>
      </c>
      <c r="B59" s="16" t="s">
        <v>134</v>
      </c>
      <c r="C59">
        <v>2007</v>
      </c>
      <c r="D59">
        <v>0.28999999999999998</v>
      </c>
      <c r="E59" t="str">
        <f>IF(_2[[#This Row],[Year]]=2000,_2[[#This Row],[Share (%)]],"")</f>
        <v/>
      </c>
      <c r="F59" s="16" cm="1">
        <f t="array" ref="F59">D59 - _xlfn.XLOOKUP(A59&amp;2000, A:A&amp;C:C, D:D, "No 2000 data")</f>
        <v>-0.59000000000000008</v>
      </c>
    </row>
    <row r="60" spans="1:6" x14ac:dyDescent="0.35">
      <c r="A60" s="16" t="s">
        <v>35</v>
      </c>
      <c r="B60" s="16" t="s">
        <v>134</v>
      </c>
      <c r="C60">
        <v>2008</v>
      </c>
      <c r="D60">
        <v>0.26</v>
      </c>
      <c r="E60" t="str">
        <f>IF(_2[[#This Row],[Year]]=2000,_2[[#This Row],[Share (%)]],"")</f>
        <v/>
      </c>
      <c r="F60" s="16" cm="1">
        <f t="array" ref="F60">D60 - _xlfn.XLOOKUP(A60&amp;2000, A:A&amp;C:C, D:D, "No 2000 data")</f>
        <v>-0.62</v>
      </c>
    </row>
    <row r="61" spans="1:6" x14ac:dyDescent="0.35">
      <c r="A61" s="16" t="s">
        <v>35</v>
      </c>
      <c r="B61" s="16" t="s">
        <v>134</v>
      </c>
      <c r="C61">
        <v>2009</v>
      </c>
      <c r="D61">
        <v>0.35</v>
      </c>
      <c r="E61" t="str">
        <f>IF(_2[[#This Row],[Year]]=2000,_2[[#This Row],[Share (%)]],"")</f>
        <v/>
      </c>
      <c r="F61" s="16" cm="1">
        <f t="array" ref="F61">D61 - _xlfn.XLOOKUP(A61&amp;2000, A:A&amp;C:C, D:D, "No 2000 data")</f>
        <v>-0.53</v>
      </c>
    </row>
    <row r="62" spans="1:6" x14ac:dyDescent="0.35">
      <c r="A62" s="16" t="s">
        <v>35</v>
      </c>
      <c r="B62" s="16" t="s">
        <v>134</v>
      </c>
      <c r="C62">
        <v>2010</v>
      </c>
      <c r="D62">
        <v>0.51</v>
      </c>
      <c r="E62" t="str">
        <f>IF(_2[[#This Row],[Year]]=2000,_2[[#This Row],[Share (%)]],"")</f>
        <v/>
      </c>
      <c r="F62" s="16" cm="1">
        <f t="array" ref="F62">D62 - _xlfn.XLOOKUP(A62&amp;2000, A:A&amp;C:C, D:D, "No 2000 data")</f>
        <v>-0.37</v>
      </c>
    </row>
    <row r="63" spans="1:6" x14ac:dyDescent="0.35">
      <c r="A63" s="16" t="s">
        <v>35</v>
      </c>
      <c r="B63" s="16" t="s">
        <v>134</v>
      </c>
      <c r="C63">
        <v>2011</v>
      </c>
      <c r="D63">
        <v>0.5</v>
      </c>
      <c r="E63" t="str">
        <f>IF(_2[[#This Row],[Year]]=2000,_2[[#This Row],[Share (%)]],"")</f>
        <v/>
      </c>
      <c r="F63" s="16" cm="1">
        <f t="array" ref="F63">D63 - _xlfn.XLOOKUP(A63&amp;2000, A:A&amp;C:C, D:D, "No 2000 data")</f>
        <v>-0.38</v>
      </c>
    </row>
    <row r="64" spans="1:6" x14ac:dyDescent="0.35">
      <c r="A64" s="16" t="s">
        <v>35</v>
      </c>
      <c r="B64" s="16" t="s">
        <v>134</v>
      </c>
      <c r="C64">
        <v>2012</v>
      </c>
      <c r="D64">
        <v>0.81</v>
      </c>
      <c r="E64" t="str">
        <f>IF(_2[[#This Row],[Year]]=2000,_2[[#This Row],[Share (%)]],"")</f>
        <v/>
      </c>
      <c r="F64" s="16" cm="1">
        <f t="array" ref="F64">D64 - _xlfn.XLOOKUP(A64&amp;2000, A:A&amp;C:C, D:D, "No 2000 data")</f>
        <v>-6.9999999999999951E-2</v>
      </c>
    </row>
    <row r="65" spans="1:6" x14ac:dyDescent="0.35">
      <c r="A65" s="16" t="s">
        <v>35</v>
      </c>
      <c r="B65" s="16" t="s">
        <v>134</v>
      </c>
      <c r="C65">
        <v>2013</v>
      </c>
      <c r="D65">
        <v>0.36</v>
      </c>
      <c r="E65" t="str">
        <f>IF(_2[[#This Row],[Year]]=2000,_2[[#This Row],[Share (%)]],"")</f>
        <v/>
      </c>
      <c r="F65" s="16" cm="1">
        <f t="array" ref="F65">D65 - _xlfn.XLOOKUP(A65&amp;2000, A:A&amp;C:C, D:D, "No 2000 data")</f>
        <v>-0.52</v>
      </c>
    </row>
    <row r="66" spans="1:6" x14ac:dyDescent="0.35">
      <c r="A66" s="16" t="s">
        <v>35</v>
      </c>
      <c r="B66" s="16" t="s">
        <v>134</v>
      </c>
      <c r="C66">
        <v>2014</v>
      </c>
      <c r="D66">
        <v>0.74</v>
      </c>
      <c r="E66" t="str">
        <f>IF(_2[[#This Row],[Year]]=2000,_2[[#This Row],[Share (%)]],"")</f>
        <v/>
      </c>
      <c r="F66" s="16" cm="1">
        <f t="array" ref="F66">D66 - _xlfn.XLOOKUP(A66&amp;2000, A:A&amp;C:C, D:D, "No 2000 data")</f>
        <v>-0.14000000000000001</v>
      </c>
    </row>
    <row r="67" spans="1:6" x14ac:dyDescent="0.35">
      <c r="A67" s="16" t="s">
        <v>35</v>
      </c>
      <c r="B67" s="16" t="s">
        <v>134</v>
      </c>
      <c r="C67">
        <v>2015</v>
      </c>
      <c r="D67">
        <v>1.9</v>
      </c>
      <c r="E67" t="str">
        <f>IF(_2[[#This Row],[Year]]=2000,_2[[#This Row],[Share (%)]],"")</f>
        <v/>
      </c>
      <c r="F67" s="16" cm="1">
        <f t="array" ref="F67">D67 - _xlfn.XLOOKUP(A67&amp;2000, A:A&amp;C:C, D:D, "No 2000 data")</f>
        <v>1.02</v>
      </c>
    </row>
    <row r="68" spans="1:6" x14ac:dyDescent="0.35">
      <c r="A68" s="16" t="s">
        <v>35</v>
      </c>
      <c r="B68" s="16" t="s">
        <v>134</v>
      </c>
      <c r="C68">
        <v>2016</v>
      </c>
      <c r="D68">
        <v>1.33</v>
      </c>
      <c r="E68" t="str">
        <f>IF(_2[[#This Row],[Year]]=2000,_2[[#This Row],[Share (%)]],"")</f>
        <v/>
      </c>
      <c r="F68" s="16" cm="1">
        <f t="array" ref="F68">D68 - _xlfn.XLOOKUP(A68&amp;2000, A:A&amp;C:C, D:D, "No 2000 data")</f>
        <v>0.45000000000000007</v>
      </c>
    </row>
    <row r="69" spans="1:6" x14ac:dyDescent="0.35">
      <c r="A69" s="16" t="s">
        <v>35</v>
      </c>
      <c r="B69" s="16" t="s">
        <v>134</v>
      </c>
      <c r="C69">
        <v>2017</v>
      </c>
      <c r="D69">
        <v>1.45</v>
      </c>
      <c r="E69" t="str">
        <f>IF(_2[[#This Row],[Year]]=2000,_2[[#This Row],[Share (%)]],"")</f>
        <v/>
      </c>
      <c r="F69" s="16" cm="1">
        <f t="array" ref="F69">D69 - _xlfn.XLOOKUP(A69&amp;2000, A:A&amp;C:C, D:D, "No 2000 data")</f>
        <v>0.56999999999999995</v>
      </c>
    </row>
    <row r="70" spans="1:6" x14ac:dyDescent="0.35">
      <c r="A70" s="16" t="s">
        <v>35</v>
      </c>
      <c r="B70" s="16" t="s">
        <v>134</v>
      </c>
      <c r="C70">
        <v>2018</v>
      </c>
      <c r="D70">
        <v>1.74</v>
      </c>
      <c r="E70" t="str">
        <f>IF(_2[[#This Row],[Year]]=2000,_2[[#This Row],[Share (%)]],"")</f>
        <v/>
      </c>
      <c r="F70" s="16" cm="1">
        <f t="array" ref="F70">D70 - _xlfn.XLOOKUP(A70&amp;2000, A:A&amp;C:C, D:D, "No 2000 data")</f>
        <v>0.86</v>
      </c>
    </row>
    <row r="71" spans="1:6" x14ac:dyDescent="0.35">
      <c r="A71" s="16" t="s">
        <v>35</v>
      </c>
      <c r="B71" s="16" t="s">
        <v>134</v>
      </c>
      <c r="C71">
        <v>2019</v>
      </c>
      <c r="D71">
        <v>1.41</v>
      </c>
      <c r="E71" t="str">
        <f>IF(_2[[#This Row],[Year]]=2000,_2[[#This Row],[Share (%)]],"")</f>
        <v/>
      </c>
      <c r="F71" s="16" cm="1">
        <f t="array" ref="F71">D71 - _xlfn.XLOOKUP(A71&amp;2000, A:A&amp;C:C, D:D, "No 2000 data")</f>
        <v>0.52999999999999992</v>
      </c>
    </row>
    <row r="72" spans="1:6" x14ac:dyDescent="0.35">
      <c r="A72" s="16" t="s">
        <v>35</v>
      </c>
      <c r="B72" s="16" t="s">
        <v>134</v>
      </c>
      <c r="C72">
        <v>2020</v>
      </c>
      <c r="D72">
        <v>1.75</v>
      </c>
      <c r="E72" t="str">
        <f>IF(_2[[#This Row],[Year]]=2000,_2[[#This Row],[Share (%)]],"")</f>
        <v/>
      </c>
      <c r="F72" s="16" cm="1">
        <f t="array" ref="F72">D72 - _xlfn.XLOOKUP(A72&amp;2000, A:A&amp;C:C, D:D, "No 2000 data")</f>
        <v>0.87</v>
      </c>
    </row>
    <row r="73" spans="1:6" x14ac:dyDescent="0.35">
      <c r="A73" s="16" t="s">
        <v>35</v>
      </c>
      <c r="B73" s="16" t="s">
        <v>134</v>
      </c>
      <c r="C73">
        <v>2021</v>
      </c>
      <c r="D73">
        <v>2.12</v>
      </c>
      <c r="E73" t="str">
        <f>IF(_2[[#This Row],[Year]]=2000,_2[[#This Row],[Share (%)]],"")</f>
        <v/>
      </c>
      <c r="F73" s="16" cm="1">
        <f t="array" ref="F73">D73 - _xlfn.XLOOKUP(A73&amp;2000, A:A&amp;C:C, D:D, "No 2000 data")</f>
        <v>1.2400000000000002</v>
      </c>
    </row>
    <row r="74" spans="1:6" x14ac:dyDescent="0.35">
      <c r="A74" s="16" t="s">
        <v>35</v>
      </c>
      <c r="B74" s="16" t="s">
        <v>134</v>
      </c>
      <c r="C74">
        <v>2022</v>
      </c>
      <c r="D74">
        <v>10.119999999999999</v>
      </c>
      <c r="E74" t="str">
        <f>IF(_2[[#This Row],[Year]]=2000,_2[[#This Row],[Share (%)]],"")</f>
        <v/>
      </c>
      <c r="F74" s="16" cm="1">
        <f t="array" ref="F74">D74 - _xlfn.XLOOKUP(A74&amp;2000, A:A&amp;C:C, D:D, "No 2000 data")</f>
        <v>9.2399999999999984</v>
      </c>
    </row>
    <row r="75" spans="1:6" x14ac:dyDescent="0.35">
      <c r="A75" s="16" t="s">
        <v>35</v>
      </c>
      <c r="B75" s="16" t="s">
        <v>134</v>
      </c>
      <c r="C75">
        <v>2023</v>
      </c>
      <c r="D75">
        <v>10.62</v>
      </c>
      <c r="E75" t="str">
        <f>IF(_2[[#This Row],[Year]]=2000,_2[[#This Row],[Share (%)]],"")</f>
        <v/>
      </c>
      <c r="F75" s="16" cm="1">
        <f t="array" ref="F75">D75 - _xlfn.XLOOKUP(A75&amp;2000, A:A&amp;C:C, D:D, "No 2000 data")</f>
        <v>9.7399999999999984</v>
      </c>
    </row>
    <row r="76" spans="1:6" x14ac:dyDescent="0.35">
      <c r="A76" s="16" t="s">
        <v>35</v>
      </c>
      <c r="B76" s="16" t="s">
        <v>134</v>
      </c>
      <c r="C76">
        <v>2024</v>
      </c>
      <c r="D76">
        <v>10.62</v>
      </c>
      <c r="E76" t="str">
        <f>IF(_2[[#This Row],[Year]]=2000,_2[[#This Row],[Share (%)]],"")</f>
        <v/>
      </c>
      <c r="F76" s="16" cm="1">
        <f t="array" ref="F76">D76 - _xlfn.XLOOKUP(A76&amp;2000, A:A&amp;C:C, D:D, "No 2000 data")</f>
        <v>9.7399999999999984</v>
      </c>
    </row>
    <row r="77" spans="1:6" hidden="1" x14ac:dyDescent="0.35">
      <c r="A77" s="16" t="s">
        <v>39</v>
      </c>
      <c r="B77" s="16" t="s">
        <v>134</v>
      </c>
      <c r="C77">
        <v>2000</v>
      </c>
      <c r="D77" t="s">
        <v>137</v>
      </c>
      <c r="E77" t="str">
        <f>IF(_2[[#This Row],[Year]]=2000,_2[[#This Row],[Share (%)]],"")</f>
        <v>-</v>
      </c>
      <c r="F77" s="16" t="e" cm="1">
        <f t="array" ref="F77">D77 - _xlfn.XLOOKUP(A77&amp;2000, A:A&amp;C:C, D:D, "No 2000 data")</f>
        <v>#VALUE!</v>
      </c>
    </row>
    <row r="78" spans="1:6" hidden="1" x14ac:dyDescent="0.35">
      <c r="A78" s="16" t="s">
        <v>39</v>
      </c>
      <c r="B78" s="16" t="s">
        <v>134</v>
      </c>
      <c r="C78">
        <v>2001</v>
      </c>
      <c r="D78" t="s">
        <v>137</v>
      </c>
      <c r="E78" t="str">
        <f>IF(_2[[#This Row],[Year]]=2000,_2[[#This Row],[Share (%)]],"")</f>
        <v/>
      </c>
      <c r="F78" s="16" t="e" cm="1">
        <f t="array" ref="F78">D78 - _xlfn.XLOOKUP(A78&amp;2000, A:A&amp;C:C, D:D, "No 2000 data")</f>
        <v>#VALUE!</v>
      </c>
    </row>
    <row r="79" spans="1:6" hidden="1" x14ac:dyDescent="0.35">
      <c r="A79" s="16" t="s">
        <v>39</v>
      </c>
      <c r="B79" s="16" t="s">
        <v>134</v>
      </c>
      <c r="C79">
        <v>2002</v>
      </c>
      <c r="D79" t="s">
        <v>137</v>
      </c>
      <c r="E79" t="str">
        <f>IF(_2[[#This Row],[Year]]=2000,_2[[#This Row],[Share (%)]],"")</f>
        <v/>
      </c>
      <c r="F79" s="16" t="e" cm="1">
        <f t="array" ref="F79">D79 - _xlfn.XLOOKUP(A79&amp;2000, A:A&amp;C:C, D:D, "No 2000 data")</f>
        <v>#VALUE!</v>
      </c>
    </row>
    <row r="80" spans="1:6" hidden="1" x14ac:dyDescent="0.35">
      <c r="A80" s="16" t="s">
        <v>39</v>
      </c>
      <c r="B80" s="16" t="s">
        <v>134</v>
      </c>
      <c r="C80">
        <v>2003</v>
      </c>
      <c r="D80" t="s">
        <v>137</v>
      </c>
      <c r="E80" t="str">
        <f>IF(_2[[#This Row],[Year]]=2000,_2[[#This Row],[Share (%)]],"")</f>
        <v/>
      </c>
      <c r="F80" s="16" t="e" cm="1">
        <f t="array" ref="F80">D80 - _xlfn.XLOOKUP(A80&amp;2000, A:A&amp;C:C, D:D, "No 2000 data")</f>
        <v>#VALUE!</v>
      </c>
    </row>
    <row r="81" spans="1:6" hidden="1" x14ac:dyDescent="0.35">
      <c r="A81" s="16" t="s">
        <v>39</v>
      </c>
      <c r="B81" s="16" t="s">
        <v>134</v>
      </c>
      <c r="C81">
        <v>2004</v>
      </c>
      <c r="D81" t="s">
        <v>137</v>
      </c>
      <c r="E81" t="str">
        <f>IF(_2[[#This Row],[Year]]=2000,_2[[#This Row],[Share (%)]],"")</f>
        <v/>
      </c>
      <c r="F81" s="16" t="e" cm="1">
        <f t="array" ref="F81">D81 - _xlfn.XLOOKUP(A81&amp;2000, A:A&amp;C:C, D:D, "No 2000 data")</f>
        <v>#VALUE!</v>
      </c>
    </row>
    <row r="82" spans="1:6" hidden="1" x14ac:dyDescent="0.35">
      <c r="A82" s="16" t="s">
        <v>39</v>
      </c>
      <c r="B82" s="16" t="s">
        <v>134</v>
      </c>
      <c r="C82">
        <v>2005</v>
      </c>
      <c r="D82" t="s">
        <v>137</v>
      </c>
      <c r="E82" t="str">
        <f>IF(_2[[#This Row],[Year]]=2000,_2[[#This Row],[Share (%)]],"")</f>
        <v/>
      </c>
      <c r="F82" s="16" t="e" cm="1">
        <f t="array" ref="F82">D82 - _xlfn.XLOOKUP(A82&amp;2000, A:A&amp;C:C, D:D, "No 2000 data")</f>
        <v>#VALUE!</v>
      </c>
    </row>
    <row r="83" spans="1:6" hidden="1" x14ac:dyDescent="0.35">
      <c r="A83" s="16" t="s">
        <v>39</v>
      </c>
      <c r="B83" s="16" t="s">
        <v>134</v>
      </c>
      <c r="C83">
        <v>2006</v>
      </c>
      <c r="D83" t="s">
        <v>137</v>
      </c>
      <c r="E83" t="str">
        <f>IF(_2[[#This Row],[Year]]=2000,_2[[#This Row],[Share (%)]],"")</f>
        <v/>
      </c>
      <c r="F83" s="16" t="e" cm="1">
        <f t="array" ref="F83">D83 - _xlfn.XLOOKUP(A83&amp;2000, A:A&amp;C:C, D:D, "No 2000 data")</f>
        <v>#VALUE!</v>
      </c>
    </row>
    <row r="84" spans="1:6" hidden="1" x14ac:dyDescent="0.35">
      <c r="A84" s="16" t="s">
        <v>39</v>
      </c>
      <c r="B84" s="16" t="s">
        <v>134</v>
      </c>
      <c r="C84">
        <v>2007</v>
      </c>
      <c r="D84" t="s">
        <v>137</v>
      </c>
      <c r="E84" t="str">
        <f>IF(_2[[#This Row],[Year]]=2000,_2[[#This Row],[Share (%)]],"")</f>
        <v/>
      </c>
      <c r="F84" s="16" t="e" cm="1">
        <f t="array" ref="F84">D84 - _xlfn.XLOOKUP(A84&amp;2000, A:A&amp;C:C, D:D, "No 2000 data")</f>
        <v>#VALUE!</v>
      </c>
    </row>
    <row r="85" spans="1:6" hidden="1" x14ac:dyDescent="0.35">
      <c r="A85" s="16" t="s">
        <v>39</v>
      </c>
      <c r="B85" s="16" t="s">
        <v>134</v>
      </c>
      <c r="C85">
        <v>2008</v>
      </c>
      <c r="D85" t="s">
        <v>137</v>
      </c>
      <c r="E85" t="str">
        <f>IF(_2[[#This Row],[Year]]=2000,_2[[#This Row],[Share (%)]],"")</f>
        <v/>
      </c>
      <c r="F85" s="16" t="e" cm="1">
        <f t="array" ref="F85">D85 - _xlfn.XLOOKUP(A85&amp;2000, A:A&amp;C:C, D:D, "No 2000 data")</f>
        <v>#VALUE!</v>
      </c>
    </row>
    <row r="86" spans="1:6" hidden="1" x14ac:dyDescent="0.35">
      <c r="A86" s="16" t="s">
        <v>39</v>
      </c>
      <c r="B86" s="16" t="s">
        <v>134</v>
      </c>
      <c r="C86">
        <v>2009</v>
      </c>
      <c r="D86">
        <v>0.01</v>
      </c>
      <c r="E86" t="str">
        <f>IF(_2[[#This Row],[Year]]=2000,_2[[#This Row],[Share (%)]],"")</f>
        <v/>
      </c>
      <c r="F86" s="16" t="e" cm="1">
        <f t="array" ref="F86">D86 - _xlfn.XLOOKUP(A86&amp;2000, A:A&amp;C:C, D:D, "No 2000 data")</f>
        <v>#VALUE!</v>
      </c>
    </row>
    <row r="87" spans="1:6" hidden="1" x14ac:dyDescent="0.35">
      <c r="A87" s="16" t="s">
        <v>39</v>
      </c>
      <c r="B87" s="16" t="s">
        <v>134</v>
      </c>
      <c r="C87">
        <v>2010</v>
      </c>
      <c r="D87">
        <v>0.06</v>
      </c>
      <c r="E87" t="str">
        <f>IF(_2[[#This Row],[Year]]=2000,_2[[#This Row],[Share (%)]],"")</f>
        <v/>
      </c>
      <c r="F87" s="16" t="e" cm="1">
        <f t="array" ref="F87">D87 - _xlfn.XLOOKUP(A87&amp;2000, A:A&amp;C:C, D:D, "No 2000 data")</f>
        <v>#VALUE!</v>
      </c>
    </row>
    <row r="88" spans="1:6" hidden="1" x14ac:dyDescent="0.35">
      <c r="A88" s="16" t="s">
        <v>39</v>
      </c>
      <c r="B88" s="16" t="s">
        <v>134</v>
      </c>
      <c r="C88">
        <v>2011</v>
      </c>
      <c r="D88">
        <v>0.05</v>
      </c>
      <c r="E88" t="str">
        <f>IF(_2[[#This Row],[Year]]=2000,_2[[#This Row],[Share (%)]],"")</f>
        <v/>
      </c>
      <c r="F88" s="16" t="e" cm="1">
        <f t="array" ref="F88">D88 - _xlfn.XLOOKUP(A88&amp;2000, A:A&amp;C:C, D:D, "No 2000 data")</f>
        <v>#VALUE!</v>
      </c>
    </row>
    <row r="89" spans="1:6" hidden="1" x14ac:dyDescent="0.35">
      <c r="A89" s="16" t="s">
        <v>39</v>
      </c>
      <c r="B89" s="16" t="s">
        <v>134</v>
      </c>
      <c r="C89">
        <v>2012</v>
      </c>
      <c r="D89">
        <v>0.51</v>
      </c>
      <c r="E89" t="str">
        <f>IF(_2[[#This Row],[Year]]=2000,_2[[#This Row],[Share (%)]],"")</f>
        <v/>
      </c>
      <c r="F89" s="16" t="e" cm="1">
        <f t="array" ref="F89">D89 - _xlfn.XLOOKUP(A89&amp;2000, A:A&amp;C:C, D:D, "No 2000 data")</f>
        <v>#VALUE!</v>
      </c>
    </row>
    <row r="90" spans="1:6" hidden="1" x14ac:dyDescent="0.35">
      <c r="A90" s="16" t="s">
        <v>39</v>
      </c>
      <c r="B90" s="16" t="s">
        <v>134</v>
      </c>
      <c r="C90">
        <v>2013</v>
      </c>
      <c r="D90">
        <v>0.54</v>
      </c>
      <c r="E90" t="str">
        <f>IF(_2[[#This Row],[Year]]=2000,_2[[#This Row],[Share (%)]],"")</f>
        <v/>
      </c>
      <c r="F90" s="16" t="e" cm="1">
        <f t="array" ref="F90">D90 - _xlfn.XLOOKUP(A90&amp;2000, A:A&amp;C:C, D:D, "No 2000 data")</f>
        <v>#VALUE!</v>
      </c>
    </row>
    <row r="91" spans="1:6" hidden="1" x14ac:dyDescent="0.35">
      <c r="A91" s="16" t="s">
        <v>39</v>
      </c>
      <c r="B91" s="16" t="s">
        <v>134</v>
      </c>
      <c r="C91">
        <v>2014</v>
      </c>
      <c r="D91">
        <v>0.2</v>
      </c>
      <c r="E91" t="str">
        <f>IF(_2[[#This Row],[Year]]=2000,_2[[#This Row],[Share (%)]],"")</f>
        <v/>
      </c>
      <c r="F91" s="16" t="e" cm="1">
        <f t="array" ref="F91">D91 - _xlfn.XLOOKUP(A91&amp;2000, A:A&amp;C:C, D:D, "No 2000 data")</f>
        <v>#VALUE!</v>
      </c>
    </row>
    <row r="92" spans="1:6" hidden="1" x14ac:dyDescent="0.35">
      <c r="A92" s="16" t="s">
        <v>39</v>
      </c>
      <c r="B92" s="16" t="s">
        <v>134</v>
      </c>
      <c r="C92">
        <v>2015</v>
      </c>
      <c r="D92">
        <v>0.23</v>
      </c>
      <c r="E92" t="str">
        <f>IF(_2[[#This Row],[Year]]=2000,_2[[#This Row],[Share (%)]],"")</f>
        <v/>
      </c>
      <c r="F92" s="16" t="e" cm="1">
        <f t="array" ref="F92">D92 - _xlfn.XLOOKUP(A92&amp;2000, A:A&amp;C:C, D:D, "No 2000 data")</f>
        <v>#VALUE!</v>
      </c>
    </row>
    <row r="93" spans="1:6" hidden="1" x14ac:dyDescent="0.35">
      <c r="A93" s="16" t="s">
        <v>39</v>
      </c>
      <c r="B93" s="16" t="s">
        <v>134</v>
      </c>
      <c r="C93">
        <v>2016</v>
      </c>
      <c r="D93">
        <v>0.36</v>
      </c>
      <c r="E93" t="str">
        <f>IF(_2[[#This Row],[Year]]=2000,_2[[#This Row],[Share (%)]],"")</f>
        <v/>
      </c>
      <c r="F93" s="16" t="e" cm="1">
        <f t="array" ref="F93">D93 - _xlfn.XLOOKUP(A93&amp;2000, A:A&amp;C:C, D:D, "No 2000 data")</f>
        <v>#VALUE!</v>
      </c>
    </row>
    <row r="94" spans="1:6" hidden="1" x14ac:dyDescent="0.35">
      <c r="A94" s="16" t="s">
        <v>39</v>
      </c>
      <c r="B94" s="16" t="s">
        <v>134</v>
      </c>
      <c r="C94">
        <v>2017</v>
      </c>
      <c r="D94">
        <v>0.37</v>
      </c>
      <c r="E94" t="str">
        <f>IF(_2[[#This Row],[Year]]=2000,_2[[#This Row],[Share (%)]],"")</f>
        <v/>
      </c>
      <c r="F94" s="16" t="e" cm="1">
        <f t="array" ref="F94">D94 - _xlfn.XLOOKUP(A94&amp;2000, A:A&amp;C:C, D:D, "No 2000 data")</f>
        <v>#VALUE!</v>
      </c>
    </row>
    <row r="95" spans="1:6" hidden="1" x14ac:dyDescent="0.35">
      <c r="A95" s="16" t="s">
        <v>39</v>
      </c>
      <c r="B95" s="16" t="s">
        <v>134</v>
      </c>
      <c r="C95">
        <v>2018</v>
      </c>
      <c r="D95">
        <v>0.4</v>
      </c>
      <c r="E95" t="str">
        <f>IF(_2[[#This Row],[Year]]=2000,_2[[#This Row],[Share (%)]],"")</f>
        <v/>
      </c>
      <c r="F95" s="16" t="e" cm="1">
        <f t="array" ref="F95">D95 - _xlfn.XLOOKUP(A95&amp;2000, A:A&amp;C:C, D:D, "No 2000 data")</f>
        <v>#VALUE!</v>
      </c>
    </row>
    <row r="96" spans="1:6" hidden="1" x14ac:dyDescent="0.35">
      <c r="A96" s="16" t="s">
        <v>39</v>
      </c>
      <c r="B96" s="16" t="s">
        <v>134</v>
      </c>
      <c r="C96">
        <v>2019</v>
      </c>
      <c r="D96">
        <v>0.64</v>
      </c>
      <c r="E96" t="str">
        <f>IF(_2[[#This Row],[Year]]=2000,_2[[#This Row],[Share (%)]],"")</f>
        <v/>
      </c>
      <c r="F96" s="16" t="e" cm="1">
        <f t="array" ref="F96">D96 - _xlfn.XLOOKUP(A96&amp;2000, A:A&amp;C:C, D:D, "No 2000 data")</f>
        <v>#VALUE!</v>
      </c>
    </row>
    <row r="97" spans="1:6" hidden="1" x14ac:dyDescent="0.35">
      <c r="A97" s="16" t="s">
        <v>39</v>
      </c>
      <c r="B97" s="16" t="s">
        <v>134</v>
      </c>
      <c r="C97">
        <v>2020</v>
      </c>
      <c r="D97">
        <v>0.64</v>
      </c>
      <c r="E97" t="str">
        <f>IF(_2[[#This Row],[Year]]=2000,_2[[#This Row],[Share (%)]],"")</f>
        <v/>
      </c>
      <c r="F97" s="16" t="e" cm="1">
        <f t="array" ref="F97">D97 - _xlfn.XLOOKUP(A97&amp;2000, A:A&amp;C:C, D:D, "No 2000 data")</f>
        <v>#VALUE!</v>
      </c>
    </row>
    <row r="98" spans="1:6" hidden="1" x14ac:dyDescent="0.35">
      <c r="A98" s="16" t="s">
        <v>39</v>
      </c>
      <c r="B98" s="16" t="s">
        <v>134</v>
      </c>
      <c r="C98">
        <v>2021</v>
      </c>
      <c r="D98">
        <v>0.68</v>
      </c>
      <c r="E98" t="str">
        <f>IF(_2[[#This Row],[Year]]=2000,_2[[#This Row],[Share (%)]],"")</f>
        <v/>
      </c>
      <c r="F98" s="16" t="e" cm="1">
        <f t="array" ref="F98">D98 - _xlfn.XLOOKUP(A98&amp;2000, A:A&amp;C:C, D:D, "No 2000 data")</f>
        <v>#VALUE!</v>
      </c>
    </row>
    <row r="99" spans="1:6" hidden="1" x14ac:dyDescent="0.35">
      <c r="A99" s="16" t="s">
        <v>39</v>
      </c>
      <c r="B99" s="16" t="s">
        <v>134</v>
      </c>
      <c r="C99">
        <v>2022</v>
      </c>
      <c r="D99">
        <v>0.68</v>
      </c>
      <c r="E99" t="str">
        <f>IF(_2[[#This Row],[Year]]=2000,_2[[#This Row],[Share (%)]],"")</f>
        <v/>
      </c>
      <c r="F99" s="16" t="e" cm="1">
        <f t="array" ref="F99">D99 - _xlfn.XLOOKUP(A99&amp;2000, A:A&amp;C:C, D:D, "No 2000 data")</f>
        <v>#VALUE!</v>
      </c>
    </row>
    <row r="100" spans="1:6" hidden="1" x14ac:dyDescent="0.35">
      <c r="A100" s="16" t="s">
        <v>39</v>
      </c>
      <c r="B100" s="16" t="s">
        <v>134</v>
      </c>
      <c r="C100">
        <v>2023</v>
      </c>
      <c r="D100">
        <v>1.1100000000000001</v>
      </c>
      <c r="E100" t="str">
        <f>IF(_2[[#This Row],[Year]]=2000,_2[[#This Row],[Share (%)]],"")</f>
        <v/>
      </c>
      <c r="F100" s="16" t="e" cm="1">
        <f t="array" ref="F100">D100 - _xlfn.XLOOKUP(A100&amp;2000, A:A&amp;C:C, D:D, "No 2000 data")</f>
        <v>#VALUE!</v>
      </c>
    </row>
    <row r="101" spans="1:6" hidden="1" x14ac:dyDescent="0.35">
      <c r="A101" s="16" t="s">
        <v>39</v>
      </c>
      <c r="B101" s="16" t="s">
        <v>134</v>
      </c>
      <c r="C101">
        <v>2024</v>
      </c>
      <c r="D101">
        <v>1.1100000000000001</v>
      </c>
      <c r="E101" t="str">
        <f>IF(_2[[#This Row],[Year]]=2000,_2[[#This Row],[Share (%)]],"")</f>
        <v/>
      </c>
      <c r="F101" s="16" t="e" cm="1">
        <f t="array" ref="F101">D101 - _xlfn.XLOOKUP(A101&amp;2000, A:A&amp;C:C, D:D, "No 2000 data")</f>
        <v>#VALUE!</v>
      </c>
    </row>
    <row r="102" spans="1:6" x14ac:dyDescent="0.35">
      <c r="A102" s="16" t="s">
        <v>37</v>
      </c>
      <c r="B102" s="16" t="s">
        <v>134</v>
      </c>
      <c r="C102">
        <v>2000</v>
      </c>
      <c r="D102">
        <v>40</v>
      </c>
      <c r="E102">
        <f>IF(_2[[#This Row],[Year]]=2000,_2[[#This Row],[Share (%)]],"")</f>
        <v>40</v>
      </c>
      <c r="F102" s="16" cm="1">
        <f t="array" ref="F102">D102 - _xlfn.XLOOKUP(A102&amp;2000, A:A&amp;C:C, D:D, "No 2000 data")</f>
        <v>0</v>
      </c>
    </row>
    <row r="103" spans="1:6" x14ac:dyDescent="0.35">
      <c r="A103" s="16" t="s">
        <v>37</v>
      </c>
      <c r="B103" s="16" t="s">
        <v>134</v>
      </c>
      <c r="C103">
        <v>2001</v>
      </c>
      <c r="D103">
        <v>40</v>
      </c>
      <c r="E103" t="str">
        <f>IF(_2[[#This Row],[Year]]=2000,_2[[#This Row],[Share (%)]],"")</f>
        <v/>
      </c>
      <c r="F103" s="16" cm="1">
        <f t="array" ref="F103">D103 - _xlfn.XLOOKUP(A103&amp;2000, A:A&amp;C:C, D:D, "No 2000 data")</f>
        <v>0</v>
      </c>
    </row>
    <row r="104" spans="1:6" x14ac:dyDescent="0.35">
      <c r="A104" s="16" t="s">
        <v>37</v>
      </c>
      <c r="B104" s="16" t="s">
        <v>134</v>
      </c>
      <c r="C104">
        <v>2002</v>
      </c>
      <c r="D104">
        <v>40</v>
      </c>
      <c r="E104" t="str">
        <f>IF(_2[[#This Row],[Year]]=2000,_2[[#This Row],[Share (%)]],"")</f>
        <v/>
      </c>
      <c r="F104" s="16" cm="1">
        <f t="array" ref="F104">D104 - _xlfn.XLOOKUP(A104&amp;2000, A:A&amp;C:C, D:D, "No 2000 data")</f>
        <v>0</v>
      </c>
    </row>
    <row r="105" spans="1:6" x14ac:dyDescent="0.35">
      <c r="A105" s="16" t="s">
        <v>37</v>
      </c>
      <c r="B105" s="16" t="s">
        <v>134</v>
      </c>
      <c r="C105">
        <v>2003</v>
      </c>
      <c r="D105">
        <v>17.579999999999998</v>
      </c>
      <c r="E105" t="str">
        <f>IF(_2[[#This Row],[Year]]=2000,_2[[#This Row],[Share (%)]],"")</f>
        <v/>
      </c>
      <c r="F105" s="16" cm="1">
        <f t="array" ref="F105">D105 - _xlfn.XLOOKUP(A105&amp;2000, A:A&amp;C:C, D:D, "No 2000 data")</f>
        <v>-22.42</v>
      </c>
    </row>
    <row r="106" spans="1:6" x14ac:dyDescent="0.35">
      <c r="A106" s="16" t="s">
        <v>37</v>
      </c>
      <c r="B106" s="16" t="s">
        <v>134</v>
      </c>
      <c r="C106">
        <v>2004</v>
      </c>
      <c r="D106">
        <v>15.07</v>
      </c>
      <c r="E106" t="str">
        <f>IF(_2[[#This Row],[Year]]=2000,_2[[#This Row],[Share (%)]],"")</f>
        <v/>
      </c>
      <c r="F106" s="16" cm="1">
        <f t="array" ref="F106">D106 - _xlfn.XLOOKUP(A106&amp;2000, A:A&amp;C:C, D:D, "No 2000 data")</f>
        <v>-24.93</v>
      </c>
    </row>
    <row r="107" spans="1:6" x14ac:dyDescent="0.35">
      <c r="A107" s="16" t="s">
        <v>37</v>
      </c>
      <c r="B107" s="16" t="s">
        <v>134</v>
      </c>
      <c r="C107">
        <v>2005</v>
      </c>
      <c r="D107">
        <v>13.6</v>
      </c>
      <c r="E107" t="str">
        <f>IF(_2[[#This Row],[Year]]=2000,_2[[#This Row],[Share (%)]],"")</f>
        <v/>
      </c>
      <c r="F107" s="16" cm="1">
        <f t="array" ref="F107">D107 - _xlfn.XLOOKUP(A107&amp;2000, A:A&amp;C:C, D:D, "No 2000 data")</f>
        <v>-26.4</v>
      </c>
    </row>
    <row r="108" spans="1:6" x14ac:dyDescent="0.35">
      <c r="A108" s="16" t="s">
        <v>37</v>
      </c>
      <c r="B108" s="16" t="s">
        <v>134</v>
      </c>
      <c r="C108">
        <v>2006</v>
      </c>
      <c r="D108">
        <v>12.44</v>
      </c>
      <c r="E108" t="str">
        <f>IF(_2[[#This Row],[Year]]=2000,_2[[#This Row],[Share (%)]],"")</f>
        <v/>
      </c>
      <c r="F108" s="16" cm="1">
        <f t="array" ref="F108">D108 - _xlfn.XLOOKUP(A108&amp;2000, A:A&amp;C:C, D:D, "No 2000 data")</f>
        <v>-27.560000000000002</v>
      </c>
    </row>
    <row r="109" spans="1:6" x14ac:dyDescent="0.35">
      <c r="A109" s="16" t="s">
        <v>37</v>
      </c>
      <c r="B109" s="16" t="s">
        <v>134</v>
      </c>
      <c r="C109">
        <v>2007</v>
      </c>
      <c r="D109">
        <v>12.59</v>
      </c>
      <c r="E109" t="str">
        <f>IF(_2[[#This Row],[Year]]=2000,_2[[#This Row],[Share (%)]],"")</f>
        <v/>
      </c>
      <c r="F109" s="16" cm="1">
        <f t="array" ref="F109">D109 - _xlfn.XLOOKUP(A109&amp;2000, A:A&amp;C:C, D:D, "No 2000 data")</f>
        <v>-27.41</v>
      </c>
    </row>
    <row r="110" spans="1:6" x14ac:dyDescent="0.35">
      <c r="A110" s="16" t="s">
        <v>37</v>
      </c>
      <c r="B110" s="16" t="s">
        <v>134</v>
      </c>
      <c r="C110">
        <v>2008</v>
      </c>
      <c r="D110">
        <v>12.54</v>
      </c>
      <c r="E110" t="str">
        <f>IF(_2[[#This Row],[Year]]=2000,_2[[#This Row],[Share (%)]],"")</f>
        <v/>
      </c>
      <c r="F110" s="16" cm="1">
        <f t="array" ref="F110">D110 - _xlfn.XLOOKUP(A110&amp;2000, A:A&amp;C:C, D:D, "No 2000 data")</f>
        <v>-27.46</v>
      </c>
    </row>
    <row r="111" spans="1:6" x14ac:dyDescent="0.35">
      <c r="A111" s="16" t="s">
        <v>37</v>
      </c>
      <c r="B111" s="16" t="s">
        <v>134</v>
      </c>
      <c r="C111">
        <v>2009</v>
      </c>
      <c r="D111">
        <v>12.54</v>
      </c>
      <c r="E111" t="str">
        <f>IF(_2[[#This Row],[Year]]=2000,_2[[#This Row],[Share (%)]],"")</f>
        <v/>
      </c>
      <c r="F111" s="16" cm="1">
        <f t="array" ref="F111">D111 - _xlfn.XLOOKUP(A111&amp;2000, A:A&amp;C:C, D:D, "No 2000 data")</f>
        <v>-27.46</v>
      </c>
    </row>
    <row r="112" spans="1:6" x14ac:dyDescent="0.35">
      <c r="A112" s="16" t="s">
        <v>37</v>
      </c>
      <c r="B112" s="16" t="s">
        <v>134</v>
      </c>
      <c r="C112">
        <v>2010</v>
      </c>
      <c r="D112">
        <v>13.3</v>
      </c>
      <c r="E112" t="str">
        <f>IF(_2[[#This Row],[Year]]=2000,_2[[#This Row],[Share (%)]],"")</f>
        <v/>
      </c>
      <c r="F112" s="16" cm="1">
        <f t="array" ref="F112">D112 - _xlfn.XLOOKUP(A112&amp;2000, A:A&amp;C:C, D:D, "No 2000 data")</f>
        <v>-26.7</v>
      </c>
    </row>
    <row r="113" spans="1:6" x14ac:dyDescent="0.35">
      <c r="A113" s="16" t="s">
        <v>37</v>
      </c>
      <c r="B113" s="16" t="s">
        <v>134</v>
      </c>
      <c r="C113">
        <v>2011</v>
      </c>
      <c r="D113">
        <v>10.6</v>
      </c>
      <c r="E113" t="str">
        <f>IF(_2[[#This Row],[Year]]=2000,_2[[#This Row],[Share (%)]],"")</f>
        <v/>
      </c>
      <c r="F113" s="16" cm="1">
        <f t="array" ref="F113">D113 - _xlfn.XLOOKUP(A113&amp;2000, A:A&amp;C:C, D:D, "No 2000 data")</f>
        <v>-29.4</v>
      </c>
    </row>
    <row r="114" spans="1:6" x14ac:dyDescent="0.35">
      <c r="A114" s="16" t="s">
        <v>37</v>
      </c>
      <c r="B114" s="16" t="s">
        <v>134</v>
      </c>
      <c r="C114">
        <v>2012</v>
      </c>
      <c r="D114">
        <v>9.07</v>
      </c>
      <c r="E114" t="str">
        <f>IF(_2[[#This Row],[Year]]=2000,_2[[#This Row],[Share (%)]],"")</f>
        <v/>
      </c>
      <c r="F114" s="16" cm="1">
        <f t="array" ref="F114">D114 - _xlfn.XLOOKUP(A114&amp;2000, A:A&amp;C:C, D:D, "No 2000 data")</f>
        <v>-30.93</v>
      </c>
    </row>
    <row r="115" spans="1:6" x14ac:dyDescent="0.35">
      <c r="A115" s="16" t="s">
        <v>37</v>
      </c>
      <c r="B115" s="16" t="s">
        <v>134</v>
      </c>
      <c r="C115">
        <v>2013</v>
      </c>
      <c r="D115">
        <v>13.32</v>
      </c>
      <c r="E115" t="str">
        <f>IF(_2[[#This Row],[Year]]=2000,_2[[#This Row],[Share (%)]],"")</f>
        <v/>
      </c>
      <c r="F115" s="16" cm="1">
        <f t="array" ref="F115">D115 - _xlfn.XLOOKUP(A115&amp;2000, A:A&amp;C:C, D:D, "No 2000 data")</f>
        <v>-26.68</v>
      </c>
    </row>
    <row r="116" spans="1:6" x14ac:dyDescent="0.35">
      <c r="A116" s="16" t="s">
        <v>37</v>
      </c>
      <c r="B116" s="16" t="s">
        <v>134</v>
      </c>
      <c r="C116">
        <v>2014</v>
      </c>
      <c r="D116">
        <v>11.72</v>
      </c>
      <c r="E116" t="str">
        <f>IF(_2[[#This Row],[Year]]=2000,_2[[#This Row],[Share (%)]],"")</f>
        <v/>
      </c>
      <c r="F116" s="16" cm="1">
        <f t="array" ref="F116">D116 - _xlfn.XLOOKUP(A116&amp;2000, A:A&amp;C:C, D:D, "No 2000 data")</f>
        <v>-28.28</v>
      </c>
    </row>
    <row r="117" spans="1:6" x14ac:dyDescent="0.35">
      <c r="A117" s="16" t="s">
        <v>37</v>
      </c>
      <c r="B117" s="16" t="s">
        <v>134</v>
      </c>
      <c r="C117">
        <v>2015</v>
      </c>
      <c r="D117">
        <v>10.75</v>
      </c>
      <c r="E117" t="str">
        <f>IF(_2[[#This Row],[Year]]=2000,_2[[#This Row],[Share (%)]],"")</f>
        <v/>
      </c>
      <c r="F117" s="16" cm="1">
        <f t="array" ref="F117">D117 - _xlfn.XLOOKUP(A117&amp;2000, A:A&amp;C:C, D:D, "No 2000 data")</f>
        <v>-29.25</v>
      </c>
    </row>
    <row r="118" spans="1:6" x14ac:dyDescent="0.35">
      <c r="A118" s="16" t="s">
        <v>37</v>
      </c>
      <c r="B118" s="16" t="s">
        <v>134</v>
      </c>
      <c r="C118">
        <v>2016</v>
      </c>
      <c r="D118">
        <v>10.96</v>
      </c>
      <c r="E118" t="str">
        <f>IF(_2[[#This Row],[Year]]=2000,_2[[#This Row],[Share (%)]],"")</f>
        <v/>
      </c>
      <c r="F118" s="16" cm="1">
        <f t="array" ref="F118">D118 - _xlfn.XLOOKUP(A118&amp;2000, A:A&amp;C:C, D:D, "No 2000 data")</f>
        <v>-29.04</v>
      </c>
    </row>
    <row r="119" spans="1:6" x14ac:dyDescent="0.35">
      <c r="A119" s="16" t="s">
        <v>37</v>
      </c>
      <c r="B119" s="16" t="s">
        <v>134</v>
      </c>
      <c r="C119">
        <v>2017</v>
      </c>
      <c r="D119">
        <v>19.75</v>
      </c>
      <c r="E119" t="str">
        <f>IF(_2[[#This Row],[Year]]=2000,_2[[#This Row],[Share (%)]],"")</f>
        <v/>
      </c>
      <c r="F119" s="16" cm="1">
        <f t="array" ref="F119">D119 - _xlfn.XLOOKUP(A119&amp;2000, A:A&amp;C:C, D:D, "No 2000 data")</f>
        <v>-20.25</v>
      </c>
    </row>
    <row r="120" spans="1:6" x14ac:dyDescent="0.35">
      <c r="A120" s="16" t="s">
        <v>37</v>
      </c>
      <c r="B120" s="16" t="s">
        <v>134</v>
      </c>
      <c r="C120">
        <v>2018</v>
      </c>
      <c r="D120">
        <v>23.05</v>
      </c>
      <c r="E120" t="str">
        <f>IF(_2[[#This Row],[Year]]=2000,_2[[#This Row],[Share (%)]],"")</f>
        <v/>
      </c>
      <c r="F120" s="16" cm="1">
        <f t="array" ref="F120">D120 - _xlfn.XLOOKUP(A120&amp;2000, A:A&amp;C:C, D:D, "No 2000 data")</f>
        <v>-16.95</v>
      </c>
    </row>
    <row r="121" spans="1:6" x14ac:dyDescent="0.35">
      <c r="A121" s="16" t="s">
        <v>37</v>
      </c>
      <c r="B121" s="16" t="s">
        <v>134</v>
      </c>
      <c r="C121">
        <v>2019</v>
      </c>
      <c r="D121">
        <v>21.14</v>
      </c>
      <c r="E121" t="str">
        <f>IF(_2[[#This Row],[Year]]=2000,_2[[#This Row],[Share (%)]],"")</f>
        <v/>
      </c>
      <c r="F121" s="16" cm="1">
        <f t="array" ref="F121">D121 - _xlfn.XLOOKUP(A121&amp;2000, A:A&amp;C:C, D:D, "No 2000 data")</f>
        <v>-18.86</v>
      </c>
    </row>
    <row r="122" spans="1:6" x14ac:dyDescent="0.35">
      <c r="A122" s="16" t="s">
        <v>37</v>
      </c>
      <c r="B122" s="16" t="s">
        <v>134</v>
      </c>
      <c r="C122">
        <v>2020</v>
      </c>
      <c r="D122">
        <v>21.23</v>
      </c>
      <c r="E122" t="str">
        <f>IF(_2[[#This Row],[Year]]=2000,_2[[#This Row],[Share (%)]],"")</f>
        <v/>
      </c>
      <c r="F122" s="16" cm="1">
        <f t="array" ref="F122">D122 - _xlfn.XLOOKUP(A122&amp;2000, A:A&amp;C:C, D:D, "No 2000 data")</f>
        <v>-18.77</v>
      </c>
    </row>
    <row r="123" spans="1:6" x14ac:dyDescent="0.35">
      <c r="A123" s="16" t="s">
        <v>37</v>
      </c>
      <c r="B123" s="16" t="s">
        <v>134</v>
      </c>
      <c r="C123">
        <v>2021</v>
      </c>
      <c r="D123">
        <v>19.149999999999999</v>
      </c>
      <c r="E123" t="str">
        <f>IF(_2[[#This Row],[Year]]=2000,_2[[#This Row],[Share (%)]],"")</f>
        <v/>
      </c>
      <c r="F123" s="16" cm="1">
        <f t="array" ref="F123">D123 - _xlfn.XLOOKUP(A123&amp;2000, A:A&amp;C:C, D:D, "No 2000 data")</f>
        <v>-20.85</v>
      </c>
    </row>
    <row r="124" spans="1:6" x14ac:dyDescent="0.35">
      <c r="A124" s="16" t="s">
        <v>37</v>
      </c>
      <c r="B124" s="16" t="s">
        <v>134</v>
      </c>
      <c r="C124">
        <v>2022</v>
      </c>
      <c r="D124">
        <v>23.99</v>
      </c>
      <c r="E124" t="str">
        <f>IF(_2[[#This Row],[Year]]=2000,_2[[#This Row],[Share (%)]],"")</f>
        <v/>
      </c>
      <c r="F124" s="16" cm="1">
        <f t="array" ref="F124">D124 - _xlfn.XLOOKUP(A124&amp;2000, A:A&amp;C:C, D:D, "No 2000 data")</f>
        <v>-16.010000000000002</v>
      </c>
    </row>
    <row r="125" spans="1:6" x14ac:dyDescent="0.35">
      <c r="A125" s="16" t="s">
        <v>37</v>
      </c>
      <c r="B125" s="16" t="s">
        <v>134</v>
      </c>
      <c r="C125">
        <v>2023</v>
      </c>
      <c r="D125">
        <v>34.92</v>
      </c>
      <c r="E125" t="str">
        <f>IF(_2[[#This Row],[Year]]=2000,_2[[#This Row],[Share (%)]],"")</f>
        <v/>
      </c>
      <c r="F125" s="16" cm="1">
        <f t="array" ref="F125">D125 - _xlfn.XLOOKUP(A125&amp;2000, A:A&amp;C:C, D:D, "No 2000 data")</f>
        <v>-5.0799999999999983</v>
      </c>
    </row>
    <row r="126" spans="1:6" x14ac:dyDescent="0.35">
      <c r="A126" s="16" t="s">
        <v>37</v>
      </c>
      <c r="B126" s="16" t="s">
        <v>134</v>
      </c>
      <c r="C126">
        <v>2024</v>
      </c>
      <c r="D126">
        <v>37.85</v>
      </c>
      <c r="E126" t="str">
        <f>IF(_2[[#This Row],[Year]]=2000,_2[[#This Row],[Share (%)]],"")</f>
        <v/>
      </c>
      <c r="F126" s="16" cm="1">
        <f t="array" ref="F126">D126 - _xlfn.XLOOKUP(A126&amp;2000, A:A&amp;C:C, D:D, "No 2000 data")</f>
        <v>-2.1499999999999986</v>
      </c>
    </row>
    <row r="127" spans="1:6" x14ac:dyDescent="0.35">
      <c r="A127" s="16" t="s">
        <v>32</v>
      </c>
      <c r="B127" s="16" t="s">
        <v>134</v>
      </c>
      <c r="C127">
        <v>2000</v>
      </c>
      <c r="D127">
        <v>90.8</v>
      </c>
      <c r="E127">
        <f>IF(_2[[#This Row],[Year]]=2000,_2[[#This Row],[Share (%)]],"")</f>
        <v>90.8</v>
      </c>
      <c r="F127" s="16" cm="1">
        <f t="array" ref="F127">D127 - _xlfn.XLOOKUP(A127&amp;2000, A:A&amp;C:C, D:D, "No 2000 data")</f>
        <v>0</v>
      </c>
    </row>
    <row r="128" spans="1:6" x14ac:dyDescent="0.35">
      <c r="A128" s="16" t="s">
        <v>32</v>
      </c>
      <c r="B128" s="16" t="s">
        <v>134</v>
      </c>
      <c r="C128">
        <v>2001</v>
      </c>
      <c r="D128">
        <v>90.8</v>
      </c>
      <c r="E128" t="str">
        <f>IF(_2[[#This Row],[Year]]=2000,_2[[#This Row],[Share (%)]],"")</f>
        <v/>
      </c>
      <c r="F128" s="16" cm="1">
        <f t="array" ref="F128">D128 - _xlfn.XLOOKUP(A128&amp;2000, A:A&amp;C:C, D:D, "No 2000 data")</f>
        <v>0</v>
      </c>
    </row>
    <row r="129" spans="1:6" x14ac:dyDescent="0.35">
      <c r="A129" s="16" t="s">
        <v>32</v>
      </c>
      <c r="B129" s="16" t="s">
        <v>134</v>
      </c>
      <c r="C129">
        <v>2002</v>
      </c>
      <c r="D129">
        <v>90.8</v>
      </c>
      <c r="E129" t="str">
        <f>IF(_2[[#This Row],[Year]]=2000,_2[[#This Row],[Share (%)]],"")</f>
        <v/>
      </c>
      <c r="F129" s="16" cm="1">
        <f t="array" ref="F129">D129 - _xlfn.XLOOKUP(A129&amp;2000, A:A&amp;C:C, D:D, "No 2000 data")</f>
        <v>0</v>
      </c>
    </row>
    <row r="130" spans="1:6" x14ac:dyDescent="0.35">
      <c r="A130" s="16" t="s">
        <v>32</v>
      </c>
      <c r="B130" s="16" t="s">
        <v>134</v>
      </c>
      <c r="C130">
        <v>2003</v>
      </c>
      <c r="D130">
        <v>90.8</v>
      </c>
      <c r="E130" t="str">
        <f>IF(_2[[#This Row],[Year]]=2000,_2[[#This Row],[Share (%)]],"")</f>
        <v/>
      </c>
      <c r="F130" s="16" cm="1">
        <f t="array" ref="F130">D130 - _xlfn.XLOOKUP(A130&amp;2000, A:A&amp;C:C, D:D, "No 2000 data")</f>
        <v>0</v>
      </c>
    </row>
    <row r="131" spans="1:6" x14ac:dyDescent="0.35">
      <c r="A131" s="16" t="s">
        <v>32</v>
      </c>
      <c r="B131" s="16" t="s">
        <v>134</v>
      </c>
      <c r="C131">
        <v>2004</v>
      </c>
      <c r="D131">
        <v>90.8</v>
      </c>
      <c r="E131" t="str">
        <f>IF(_2[[#This Row],[Year]]=2000,_2[[#This Row],[Share (%)]],"")</f>
        <v/>
      </c>
      <c r="F131" s="16" cm="1">
        <f t="array" ref="F131">D131 - _xlfn.XLOOKUP(A131&amp;2000, A:A&amp;C:C, D:D, "No 2000 data")</f>
        <v>0</v>
      </c>
    </row>
    <row r="132" spans="1:6" x14ac:dyDescent="0.35">
      <c r="A132" s="16" t="s">
        <v>32</v>
      </c>
      <c r="B132" s="16" t="s">
        <v>134</v>
      </c>
      <c r="C132">
        <v>2005</v>
      </c>
      <c r="D132">
        <v>90.8</v>
      </c>
      <c r="E132" t="str">
        <f>IF(_2[[#This Row],[Year]]=2000,_2[[#This Row],[Share (%)]],"")</f>
        <v/>
      </c>
      <c r="F132" s="16" cm="1">
        <f t="array" ref="F132">D132 - _xlfn.XLOOKUP(A132&amp;2000, A:A&amp;C:C, D:D, "No 2000 data")</f>
        <v>0</v>
      </c>
    </row>
    <row r="133" spans="1:6" x14ac:dyDescent="0.35">
      <c r="A133" s="16" t="s">
        <v>32</v>
      </c>
      <c r="B133" s="16" t="s">
        <v>134</v>
      </c>
      <c r="C133">
        <v>2006</v>
      </c>
      <c r="D133">
        <v>90.8</v>
      </c>
      <c r="E133" t="str">
        <f>IF(_2[[#This Row],[Year]]=2000,_2[[#This Row],[Share (%)]],"")</f>
        <v/>
      </c>
      <c r="F133" s="16" cm="1">
        <f t="array" ref="F133">D133 - _xlfn.XLOOKUP(A133&amp;2000, A:A&amp;C:C, D:D, "No 2000 data")</f>
        <v>0</v>
      </c>
    </row>
    <row r="134" spans="1:6" x14ac:dyDescent="0.35">
      <c r="A134" s="16" t="s">
        <v>32</v>
      </c>
      <c r="B134" s="16" t="s">
        <v>134</v>
      </c>
      <c r="C134">
        <v>2007</v>
      </c>
      <c r="D134">
        <v>90.8</v>
      </c>
      <c r="E134" t="str">
        <f>IF(_2[[#This Row],[Year]]=2000,_2[[#This Row],[Share (%)]],"")</f>
        <v/>
      </c>
      <c r="F134" s="16" cm="1">
        <f t="array" ref="F134">D134 - _xlfn.XLOOKUP(A134&amp;2000, A:A&amp;C:C, D:D, "No 2000 data")</f>
        <v>0</v>
      </c>
    </row>
    <row r="135" spans="1:6" x14ac:dyDescent="0.35">
      <c r="A135" s="16" t="s">
        <v>32</v>
      </c>
      <c r="B135" s="16" t="s">
        <v>134</v>
      </c>
      <c r="C135">
        <v>2008</v>
      </c>
      <c r="D135">
        <v>90.8</v>
      </c>
      <c r="E135" t="str">
        <f>IF(_2[[#This Row],[Year]]=2000,_2[[#This Row],[Share (%)]],"")</f>
        <v/>
      </c>
      <c r="F135" s="16" cm="1">
        <f t="array" ref="F135">D135 - _xlfn.XLOOKUP(A135&amp;2000, A:A&amp;C:C, D:D, "No 2000 data")</f>
        <v>0</v>
      </c>
    </row>
    <row r="136" spans="1:6" x14ac:dyDescent="0.35">
      <c r="A136" s="16" t="s">
        <v>32</v>
      </c>
      <c r="B136" s="16" t="s">
        <v>134</v>
      </c>
      <c r="C136">
        <v>2009</v>
      </c>
      <c r="D136">
        <v>90.8</v>
      </c>
      <c r="E136" t="str">
        <f>IF(_2[[#This Row],[Year]]=2000,_2[[#This Row],[Share (%)]],"")</f>
        <v/>
      </c>
      <c r="F136" s="16" cm="1">
        <f t="array" ref="F136">D136 - _xlfn.XLOOKUP(A136&amp;2000, A:A&amp;C:C, D:D, "No 2000 data")</f>
        <v>0</v>
      </c>
    </row>
    <row r="137" spans="1:6" x14ac:dyDescent="0.35">
      <c r="A137" s="16" t="s">
        <v>32</v>
      </c>
      <c r="B137" s="16" t="s">
        <v>134</v>
      </c>
      <c r="C137">
        <v>2010</v>
      </c>
      <c r="D137">
        <v>90.8</v>
      </c>
      <c r="E137" t="str">
        <f>IF(_2[[#This Row],[Year]]=2000,_2[[#This Row],[Share (%)]],"")</f>
        <v/>
      </c>
      <c r="F137" s="16" cm="1">
        <f t="array" ref="F137">D137 - _xlfn.XLOOKUP(A137&amp;2000, A:A&amp;C:C, D:D, "No 2000 data")</f>
        <v>0</v>
      </c>
    </row>
    <row r="138" spans="1:6" x14ac:dyDescent="0.35">
      <c r="A138" s="16" t="s">
        <v>32</v>
      </c>
      <c r="B138" s="16" t="s">
        <v>134</v>
      </c>
      <c r="C138">
        <v>2011</v>
      </c>
      <c r="D138">
        <v>77.94</v>
      </c>
      <c r="E138" t="str">
        <f>IF(_2[[#This Row],[Year]]=2000,_2[[#This Row],[Share (%)]],"")</f>
        <v/>
      </c>
      <c r="F138" s="16" cm="1">
        <f t="array" ref="F138">D138 - _xlfn.XLOOKUP(A138&amp;2000, A:A&amp;C:C, D:D, "No 2000 data")</f>
        <v>-12.86</v>
      </c>
    </row>
    <row r="139" spans="1:6" x14ac:dyDescent="0.35">
      <c r="A139" s="16" t="s">
        <v>32</v>
      </c>
      <c r="B139" s="16" t="s">
        <v>134</v>
      </c>
      <c r="C139">
        <v>2012</v>
      </c>
      <c r="D139">
        <v>78.06</v>
      </c>
      <c r="E139" t="str">
        <f>IF(_2[[#This Row],[Year]]=2000,_2[[#This Row],[Share (%)]],"")</f>
        <v/>
      </c>
      <c r="F139" s="16" cm="1">
        <f t="array" ref="F139">D139 - _xlfn.XLOOKUP(A139&amp;2000, A:A&amp;C:C, D:D, "No 2000 data")</f>
        <v>-12.739999999999995</v>
      </c>
    </row>
    <row r="140" spans="1:6" x14ac:dyDescent="0.35">
      <c r="A140" s="16" t="s">
        <v>32</v>
      </c>
      <c r="B140" s="16" t="s">
        <v>134</v>
      </c>
      <c r="C140">
        <v>2013</v>
      </c>
      <c r="D140">
        <v>72.91</v>
      </c>
      <c r="E140" t="str">
        <f>IF(_2[[#This Row],[Year]]=2000,_2[[#This Row],[Share (%)]],"")</f>
        <v/>
      </c>
      <c r="F140" s="16" cm="1">
        <f t="array" ref="F140">D140 - _xlfn.XLOOKUP(A140&amp;2000, A:A&amp;C:C, D:D, "No 2000 data")</f>
        <v>-17.89</v>
      </c>
    </row>
    <row r="141" spans="1:6" x14ac:dyDescent="0.35">
      <c r="A141" s="16" t="s">
        <v>32</v>
      </c>
      <c r="B141" s="16" t="s">
        <v>134</v>
      </c>
      <c r="C141">
        <v>2014</v>
      </c>
      <c r="D141">
        <v>72.91</v>
      </c>
      <c r="E141" t="str">
        <f>IF(_2[[#This Row],[Year]]=2000,_2[[#This Row],[Share (%)]],"")</f>
        <v/>
      </c>
      <c r="F141" s="16" cm="1">
        <f t="array" ref="F141">D141 - _xlfn.XLOOKUP(A141&amp;2000, A:A&amp;C:C, D:D, "No 2000 data")</f>
        <v>-17.89</v>
      </c>
    </row>
    <row r="142" spans="1:6" x14ac:dyDescent="0.35">
      <c r="A142" s="16" t="s">
        <v>32</v>
      </c>
      <c r="B142" s="16" t="s">
        <v>134</v>
      </c>
      <c r="C142">
        <v>2015</v>
      </c>
      <c r="D142">
        <v>73.02</v>
      </c>
      <c r="E142" t="str">
        <f>IF(_2[[#This Row],[Year]]=2000,_2[[#This Row],[Share (%)]],"")</f>
        <v/>
      </c>
      <c r="F142" s="16" cm="1">
        <f t="array" ref="F142">D142 - _xlfn.XLOOKUP(A142&amp;2000, A:A&amp;C:C, D:D, "No 2000 data")</f>
        <v>-17.78</v>
      </c>
    </row>
    <row r="143" spans="1:6" x14ac:dyDescent="0.35">
      <c r="A143" s="16" t="s">
        <v>32</v>
      </c>
      <c r="B143" s="16" t="s">
        <v>134</v>
      </c>
      <c r="C143">
        <v>2016</v>
      </c>
      <c r="D143">
        <v>73.3</v>
      </c>
      <c r="E143" t="str">
        <f>IF(_2[[#This Row],[Year]]=2000,_2[[#This Row],[Share (%)]],"")</f>
        <v/>
      </c>
      <c r="F143" s="16" cm="1">
        <f t="array" ref="F143">D143 - _xlfn.XLOOKUP(A143&amp;2000, A:A&amp;C:C, D:D, "No 2000 data")</f>
        <v>-17.5</v>
      </c>
    </row>
    <row r="144" spans="1:6" x14ac:dyDescent="0.35">
      <c r="A144" s="16" t="s">
        <v>32</v>
      </c>
      <c r="B144" s="16" t="s">
        <v>134</v>
      </c>
      <c r="C144">
        <v>2017</v>
      </c>
      <c r="D144">
        <v>51.74</v>
      </c>
      <c r="E144" t="str">
        <f>IF(_2[[#This Row],[Year]]=2000,_2[[#This Row],[Share (%)]],"")</f>
        <v/>
      </c>
      <c r="F144" s="16" cm="1">
        <f t="array" ref="F144">D144 - _xlfn.XLOOKUP(A144&amp;2000, A:A&amp;C:C, D:D, "No 2000 data")</f>
        <v>-39.059999999999995</v>
      </c>
    </row>
    <row r="145" spans="1:6" x14ac:dyDescent="0.35">
      <c r="A145" s="16" t="s">
        <v>32</v>
      </c>
      <c r="B145" s="16" t="s">
        <v>134</v>
      </c>
      <c r="C145">
        <v>2018</v>
      </c>
      <c r="D145">
        <v>51.75</v>
      </c>
      <c r="E145" t="str">
        <f>IF(_2[[#This Row],[Year]]=2000,_2[[#This Row],[Share (%)]],"")</f>
        <v/>
      </c>
      <c r="F145" s="16" cm="1">
        <f t="array" ref="F145">D145 - _xlfn.XLOOKUP(A145&amp;2000, A:A&amp;C:C, D:D, "No 2000 data")</f>
        <v>-39.049999999999997</v>
      </c>
    </row>
    <row r="146" spans="1:6" x14ac:dyDescent="0.35">
      <c r="A146" s="16" t="s">
        <v>32</v>
      </c>
      <c r="B146" s="16" t="s">
        <v>134</v>
      </c>
      <c r="C146">
        <v>2019</v>
      </c>
      <c r="D146">
        <v>51.77</v>
      </c>
      <c r="E146" t="str">
        <f>IF(_2[[#This Row],[Year]]=2000,_2[[#This Row],[Share (%)]],"")</f>
        <v/>
      </c>
      <c r="F146" s="16" cm="1">
        <f t="array" ref="F146">D146 - _xlfn.XLOOKUP(A146&amp;2000, A:A&amp;C:C, D:D, "No 2000 data")</f>
        <v>-39.029999999999994</v>
      </c>
    </row>
    <row r="147" spans="1:6" x14ac:dyDescent="0.35">
      <c r="A147" s="16" t="s">
        <v>32</v>
      </c>
      <c r="B147" s="16" t="s">
        <v>134</v>
      </c>
      <c r="C147">
        <v>2020</v>
      </c>
      <c r="D147">
        <v>51.83</v>
      </c>
      <c r="E147" t="str">
        <f>IF(_2[[#This Row],[Year]]=2000,_2[[#This Row],[Share (%)]],"")</f>
        <v/>
      </c>
      <c r="F147" s="16" cm="1">
        <f t="array" ref="F147">D147 - _xlfn.XLOOKUP(A147&amp;2000, A:A&amp;C:C, D:D, "No 2000 data")</f>
        <v>-38.97</v>
      </c>
    </row>
    <row r="148" spans="1:6" x14ac:dyDescent="0.35">
      <c r="A148" s="16" t="s">
        <v>32</v>
      </c>
      <c r="B148" s="16" t="s">
        <v>134</v>
      </c>
      <c r="C148">
        <v>2021</v>
      </c>
      <c r="D148">
        <v>54.83</v>
      </c>
      <c r="E148" t="str">
        <f>IF(_2[[#This Row],[Year]]=2000,_2[[#This Row],[Share (%)]],"")</f>
        <v/>
      </c>
      <c r="F148" s="16" cm="1">
        <f t="array" ref="F148">D148 - _xlfn.XLOOKUP(A148&amp;2000, A:A&amp;C:C, D:D, "No 2000 data")</f>
        <v>-35.97</v>
      </c>
    </row>
    <row r="149" spans="1:6" x14ac:dyDescent="0.35">
      <c r="A149" s="16" t="s">
        <v>32</v>
      </c>
      <c r="B149" s="16" t="s">
        <v>134</v>
      </c>
      <c r="C149">
        <v>2022</v>
      </c>
      <c r="D149">
        <v>60.13</v>
      </c>
      <c r="E149" t="str">
        <f>IF(_2[[#This Row],[Year]]=2000,_2[[#This Row],[Share (%)]],"")</f>
        <v/>
      </c>
      <c r="F149" s="16" cm="1">
        <f t="array" ref="F149">D149 - _xlfn.XLOOKUP(A149&amp;2000, A:A&amp;C:C, D:D, "No 2000 data")</f>
        <v>-30.669999999999995</v>
      </c>
    </row>
    <row r="150" spans="1:6" x14ac:dyDescent="0.35">
      <c r="A150" s="16" t="s">
        <v>32</v>
      </c>
      <c r="B150" s="16" t="s">
        <v>134</v>
      </c>
      <c r="C150">
        <v>2023</v>
      </c>
      <c r="D150">
        <v>60.33</v>
      </c>
      <c r="E150" t="str">
        <f>IF(_2[[#This Row],[Year]]=2000,_2[[#This Row],[Share (%)]],"")</f>
        <v/>
      </c>
      <c r="F150" s="16" cm="1">
        <f t="array" ref="F150">D150 - _xlfn.XLOOKUP(A150&amp;2000, A:A&amp;C:C, D:D, "No 2000 data")</f>
        <v>-30.47</v>
      </c>
    </row>
    <row r="151" spans="1:6" x14ac:dyDescent="0.35">
      <c r="A151" s="16" t="s">
        <v>32</v>
      </c>
      <c r="B151" s="16" t="s">
        <v>134</v>
      </c>
      <c r="C151">
        <v>2024</v>
      </c>
      <c r="D151">
        <v>60.33</v>
      </c>
      <c r="E151" t="str">
        <f>IF(_2[[#This Row],[Year]]=2000,_2[[#This Row],[Share (%)]],"")</f>
        <v/>
      </c>
      <c r="F151" s="16" cm="1">
        <f t="array" ref="F151">D151 - _xlfn.XLOOKUP(A151&amp;2000, A:A&amp;C:C, D:D, "No 2000 data")</f>
        <v>-30.47</v>
      </c>
    </row>
    <row r="152" spans="1:6" hidden="1" x14ac:dyDescent="0.35">
      <c r="A152" s="16" t="s">
        <v>48</v>
      </c>
      <c r="B152" s="16" t="s">
        <v>134</v>
      </c>
      <c r="C152">
        <v>2000</v>
      </c>
      <c r="D152" t="s">
        <v>137</v>
      </c>
      <c r="E152" t="str">
        <f>IF(_2[[#This Row],[Year]]=2000,_2[[#This Row],[Share (%)]],"")</f>
        <v>-</v>
      </c>
      <c r="F152" s="16" t="e" cm="1">
        <f t="array" ref="F152">D152 - _xlfn.XLOOKUP(A152&amp;2000, A:A&amp;C:C, D:D, "No 2000 data")</f>
        <v>#VALUE!</v>
      </c>
    </row>
    <row r="153" spans="1:6" hidden="1" x14ac:dyDescent="0.35">
      <c r="A153" s="16" t="s">
        <v>48</v>
      </c>
      <c r="B153" s="16" t="s">
        <v>134</v>
      </c>
      <c r="C153">
        <v>2001</v>
      </c>
      <c r="D153" t="s">
        <v>137</v>
      </c>
      <c r="E153" t="str">
        <f>IF(_2[[#This Row],[Year]]=2000,_2[[#This Row],[Share (%)]],"")</f>
        <v/>
      </c>
      <c r="F153" s="16" t="e" cm="1">
        <f t="array" ref="F153">D153 - _xlfn.XLOOKUP(A153&amp;2000, A:A&amp;C:C, D:D, "No 2000 data")</f>
        <v>#VALUE!</v>
      </c>
    </row>
    <row r="154" spans="1:6" hidden="1" x14ac:dyDescent="0.35">
      <c r="A154" s="16" t="s">
        <v>48</v>
      </c>
      <c r="B154" s="16" t="s">
        <v>134</v>
      </c>
      <c r="C154">
        <v>2002</v>
      </c>
      <c r="D154">
        <v>2.69</v>
      </c>
      <c r="E154" t="str">
        <f>IF(_2[[#This Row],[Year]]=2000,_2[[#This Row],[Share (%)]],"")</f>
        <v/>
      </c>
      <c r="F154" s="16" t="e" cm="1">
        <f t="array" ref="F154">D154 - _xlfn.XLOOKUP(A154&amp;2000, A:A&amp;C:C, D:D, "No 2000 data")</f>
        <v>#VALUE!</v>
      </c>
    </row>
    <row r="155" spans="1:6" hidden="1" x14ac:dyDescent="0.35">
      <c r="A155" s="16" t="s">
        <v>48</v>
      </c>
      <c r="B155" s="16" t="s">
        <v>134</v>
      </c>
      <c r="C155">
        <v>2003</v>
      </c>
      <c r="D155">
        <v>3.4</v>
      </c>
      <c r="E155" t="str">
        <f>IF(_2[[#This Row],[Year]]=2000,_2[[#This Row],[Share (%)]],"")</f>
        <v/>
      </c>
      <c r="F155" s="16" t="e" cm="1">
        <f t="array" ref="F155">D155 - _xlfn.XLOOKUP(A155&amp;2000, A:A&amp;C:C, D:D, "No 2000 data")</f>
        <v>#VALUE!</v>
      </c>
    </row>
    <row r="156" spans="1:6" hidden="1" x14ac:dyDescent="0.35">
      <c r="A156" s="16" t="s">
        <v>48</v>
      </c>
      <c r="B156" s="16" t="s">
        <v>134</v>
      </c>
      <c r="C156">
        <v>2004</v>
      </c>
      <c r="D156">
        <v>3.02</v>
      </c>
      <c r="E156" t="str">
        <f>IF(_2[[#This Row],[Year]]=2000,_2[[#This Row],[Share (%)]],"")</f>
        <v/>
      </c>
      <c r="F156" s="16" t="e" cm="1">
        <f t="array" ref="F156">D156 - _xlfn.XLOOKUP(A156&amp;2000, A:A&amp;C:C, D:D, "No 2000 data")</f>
        <v>#VALUE!</v>
      </c>
    </row>
    <row r="157" spans="1:6" hidden="1" x14ac:dyDescent="0.35">
      <c r="A157" s="16" t="s">
        <v>48</v>
      </c>
      <c r="B157" s="16" t="s">
        <v>134</v>
      </c>
      <c r="C157">
        <v>2005</v>
      </c>
      <c r="D157">
        <v>3.02</v>
      </c>
      <c r="E157" t="str">
        <f>IF(_2[[#This Row],[Year]]=2000,_2[[#This Row],[Share (%)]],"")</f>
        <v/>
      </c>
      <c r="F157" s="16" t="e" cm="1">
        <f t="array" ref="F157">D157 - _xlfn.XLOOKUP(A157&amp;2000, A:A&amp;C:C, D:D, "No 2000 data")</f>
        <v>#VALUE!</v>
      </c>
    </row>
    <row r="158" spans="1:6" hidden="1" x14ac:dyDescent="0.35">
      <c r="A158" s="16" t="s">
        <v>48</v>
      </c>
      <c r="B158" s="16" t="s">
        <v>134</v>
      </c>
      <c r="C158">
        <v>2006</v>
      </c>
      <c r="D158">
        <v>2.99</v>
      </c>
      <c r="E158" t="str">
        <f>IF(_2[[#This Row],[Year]]=2000,_2[[#This Row],[Share (%)]],"")</f>
        <v/>
      </c>
      <c r="F158" s="16" t="e" cm="1">
        <f t="array" ref="F158">D158 - _xlfn.XLOOKUP(A158&amp;2000, A:A&amp;C:C, D:D, "No 2000 data")</f>
        <v>#VALUE!</v>
      </c>
    </row>
    <row r="159" spans="1:6" hidden="1" x14ac:dyDescent="0.35">
      <c r="A159" s="16" t="s">
        <v>48</v>
      </c>
      <c r="B159" s="16" t="s">
        <v>134</v>
      </c>
      <c r="C159">
        <v>2007</v>
      </c>
      <c r="D159">
        <v>2.83</v>
      </c>
      <c r="E159" t="str">
        <f>IF(_2[[#This Row],[Year]]=2000,_2[[#This Row],[Share (%)]],"")</f>
        <v/>
      </c>
      <c r="F159" s="16" t="e" cm="1">
        <f t="array" ref="F159">D159 - _xlfn.XLOOKUP(A159&amp;2000, A:A&amp;C:C, D:D, "No 2000 data")</f>
        <v>#VALUE!</v>
      </c>
    </row>
    <row r="160" spans="1:6" hidden="1" x14ac:dyDescent="0.35">
      <c r="A160" s="16" t="s">
        <v>48</v>
      </c>
      <c r="B160" s="16" t="s">
        <v>134</v>
      </c>
      <c r="C160">
        <v>2008</v>
      </c>
      <c r="D160">
        <v>2.37</v>
      </c>
      <c r="E160" t="str">
        <f>IF(_2[[#This Row],[Year]]=2000,_2[[#This Row],[Share (%)]],"")</f>
        <v/>
      </c>
      <c r="F160" s="16" t="e" cm="1">
        <f t="array" ref="F160">D160 - _xlfn.XLOOKUP(A160&amp;2000, A:A&amp;C:C, D:D, "No 2000 data")</f>
        <v>#VALUE!</v>
      </c>
    </row>
    <row r="161" spans="1:6" hidden="1" x14ac:dyDescent="0.35">
      <c r="A161" s="16" t="s">
        <v>48</v>
      </c>
      <c r="B161" s="16" t="s">
        <v>134</v>
      </c>
      <c r="C161">
        <v>2009</v>
      </c>
      <c r="D161">
        <v>2.46</v>
      </c>
      <c r="E161" t="str">
        <f>IF(_2[[#This Row],[Year]]=2000,_2[[#This Row],[Share (%)]],"")</f>
        <v/>
      </c>
      <c r="F161" s="16" t="e" cm="1">
        <f t="array" ref="F161">D161 - _xlfn.XLOOKUP(A161&amp;2000, A:A&amp;C:C, D:D, "No 2000 data")</f>
        <v>#VALUE!</v>
      </c>
    </row>
    <row r="162" spans="1:6" hidden="1" x14ac:dyDescent="0.35">
      <c r="A162" s="16" t="s">
        <v>48</v>
      </c>
      <c r="B162" s="16" t="s">
        <v>134</v>
      </c>
      <c r="C162">
        <v>2010</v>
      </c>
      <c r="D162">
        <v>7.33</v>
      </c>
      <c r="E162" t="str">
        <f>IF(_2[[#This Row],[Year]]=2000,_2[[#This Row],[Share (%)]],"")</f>
        <v/>
      </c>
      <c r="F162" s="16" t="e" cm="1">
        <f t="array" ref="F162">D162 - _xlfn.XLOOKUP(A162&amp;2000, A:A&amp;C:C, D:D, "No 2000 data")</f>
        <v>#VALUE!</v>
      </c>
    </row>
    <row r="163" spans="1:6" hidden="1" x14ac:dyDescent="0.35">
      <c r="A163" s="16" t="s">
        <v>48</v>
      </c>
      <c r="B163" s="16" t="s">
        <v>134</v>
      </c>
      <c r="C163">
        <v>2011</v>
      </c>
      <c r="D163">
        <v>18.420000000000002</v>
      </c>
      <c r="E163" t="str">
        <f>IF(_2[[#This Row],[Year]]=2000,_2[[#This Row],[Share (%)]],"")</f>
        <v/>
      </c>
      <c r="F163" s="16" t="e" cm="1">
        <f t="array" ref="F163">D163 - _xlfn.XLOOKUP(A163&amp;2000, A:A&amp;C:C, D:D, "No 2000 data")</f>
        <v>#VALUE!</v>
      </c>
    </row>
    <row r="164" spans="1:6" hidden="1" x14ac:dyDescent="0.35">
      <c r="A164" s="16" t="s">
        <v>48</v>
      </c>
      <c r="B164" s="16" t="s">
        <v>134</v>
      </c>
      <c r="C164">
        <v>2012</v>
      </c>
      <c r="D164">
        <v>21.03</v>
      </c>
      <c r="E164" t="str">
        <f>IF(_2[[#This Row],[Year]]=2000,_2[[#This Row],[Share (%)]],"")</f>
        <v/>
      </c>
      <c r="F164" s="16" t="e" cm="1">
        <f t="array" ref="F164">D164 - _xlfn.XLOOKUP(A164&amp;2000, A:A&amp;C:C, D:D, "No 2000 data")</f>
        <v>#VALUE!</v>
      </c>
    </row>
    <row r="165" spans="1:6" hidden="1" x14ac:dyDescent="0.35">
      <c r="A165" s="16" t="s">
        <v>48</v>
      </c>
      <c r="B165" s="16" t="s">
        <v>134</v>
      </c>
      <c r="C165">
        <v>2013</v>
      </c>
      <c r="D165">
        <v>23.22</v>
      </c>
      <c r="E165" t="str">
        <f>IF(_2[[#This Row],[Year]]=2000,_2[[#This Row],[Share (%)]],"")</f>
        <v/>
      </c>
      <c r="F165" s="16" t="e" cm="1">
        <f t="array" ref="F165">D165 - _xlfn.XLOOKUP(A165&amp;2000, A:A&amp;C:C, D:D, "No 2000 data")</f>
        <v>#VALUE!</v>
      </c>
    </row>
    <row r="166" spans="1:6" hidden="1" x14ac:dyDescent="0.35">
      <c r="A166" s="16" t="s">
        <v>48</v>
      </c>
      <c r="B166" s="16" t="s">
        <v>134</v>
      </c>
      <c r="C166">
        <v>2014</v>
      </c>
      <c r="D166">
        <v>23.22</v>
      </c>
      <c r="E166" t="str">
        <f>IF(_2[[#This Row],[Year]]=2000,_2[[#This Row],[Share (%)]],"")</f>
        <v/>
      </c>
      <c r="F166" s="16" t="e" cm="1">
        <f t="array" ref="F166">D166 - _xlfn.XLOOKUP(A166&amp;2000, A:A&amp;C:C, D:D, "No 2000 data")</f>
        <v>#VALUE!</v>
      </c>
    </row>
    <row r="167" spans="1:6" hidden="1" x14ac:dyDescent="0.35">
      <c r="A167" s="16" t="s">
        <v>48</v>
      </c>
      <c r="B167" s="16" t="s">
        <v>134</v>
      </c>
      <c r="C167">
        <v>2015</v>
      </c>
      <c r="D167">
        <v>18.579999999999998</v>
      </c>
      <c r="E167" t="str">
        <f>IF(_2[[#This Row],[Year]]=2000,_2[[#This Row],[Share (%)]],"")</f>
        <v/>
      </c>
      <c r="F167" s="16" t="e" cm="1">
        <f t="array" ref="F167">D167 - _xlfn.XLOOKUP(A167&amp;2000, A:A&amp;C:C, D:D, "No 2000 data")</f>
        <v>#VALUE!</v>
      </c>
    </row>
    <row r="168" spans="1:6" hidden="1" x14ac:dyDescent="0.35">
      <c r="A168" s="16" t="s">
        <v>48</v>
      </c>
      <c r="B168" s="16" t="s">
        <v>134</v>
      </c>
      <c r="C168">
        <v>2016</v>
      </c>
      <c r="D168">
        <v>18.829999999999998</v>
      </c>
      <c r="E168" t="str">
        <f>IF(_2[[#This Row],[Year]]=2000,_2[[#This Row],[Share (%)]],"")</f>
        <v/>
      </c>
      <c r="F168" s="16" t="e" cm="1">
        <f t="array" ref="F168">D168 - _xlfn.XLOOKUP(A168&amp;2000, A:A&amp;C:C, D:D, "No 2000 data")</f>
        <v>#VALUE!</v>
      </c>
    </row>
    <row r="169" spans="1:6" hidden="1" x14ac:dyDescent="0.35">
      <c r="A169" s="16" t="s">
        <v>48</v>
      </c>
      <c r="B169" s="16" t="s">
        <v>134</v>
      </c>
      <c r="C169">
        <v>2017</v>
      </c>
      <c r="D169">
        <v>18.91</v>
      </c>
      <c r="E169" t="str">
        <f>IF(_2[[#This Row],[Year]]=2000,_2[[#This Row],[Share (%)]],"")</f>
        <v/>
      </c>
      <c r="F169" s="16" t="e" cm="1">
        <f t="array" ref="F169">D169 - _xlfn.XLOOKUP(A169&amp;2000, A:A&amp;C:C, D:D, "No 2000 data")</f>
        <v>#VALUE!</v>
      </c>
    </row>
    <row r="170" spans="1:6" hidden="1" x14ac:dyDescent="0.35">
      <c r="A170" s="16" t="s">
        <v>48</v>
      </c>
      <c r="B170" s="16" t="s">
        <v>134</v>
      </c>
      <c r="C170">
        <v>2018</v>
      </c>
      <c r="D170">
        <v>21.06</v>
      </c>
      <c r="E170" t="str">
        <f>IF(_2[[#This Row],[Year]]=2000,_2[[#This Row],[Share (%)]],"")</f>
        <v/>
      </c>
      <c r="F170" s="16" t="e" cm="1">
        <f t="array" ref="F170">D170 - _xlfn.XLOOKUP(A170&amp;2000, A:A&amp;C:C, D:D, "No 2000 data")</f>
        <v>#VALUE!</v>
      </c>
    </row>
    <row r="171" spans="1:6" hidden="1" x14ac:dyDescent="0.35">
      <c r="A171" s="16" t="s">
        <v>48</v>
      </c>
      <c r="B171" s="16" t="s">
        <v>134</v>
      </c>
      <c r="C171">
        <v>2019</v>
      </c>
      <c r="D171">
        <v>23.48</v>
      </c>
      <c r="E171" t="str">
        <f>IF(_2[[#This Row],[Year]]=2000,_2[[#This Row],[Share (%)]],"")</f>
        <v/>
      </c>
      <c r="F171" s="16" t="e" cm="1">
        <f t="array" ref="F171">D171 - _xlfn.XLOOKUP(A171&amp;2000, A:A&amp;C:C, D:D, "No 2000 data")</f>
        <v>#VALUE!</v>
      </c>
    </row>
    <row r="172" spans="1:6" hidden="1" x14ac:dyDescent="0.35">
      <c r="A172" s="16" t="s">
        <v>48</v>
      </c>
      <c r="B172" s="16" t="s">
        <v>134</v>
      </c>
      <c r="C172">
        <v>2020</v>
      </c>
      <c r="D172">
        <v>22.75</v>
      </c>
      <c r="E172" t="str">
        <f>IF(_2[[#This Row],[Year]]=2000,_2[[#This Row],[Share (%)]],"")</f>
        <v/>
      </c>
      <c r="F172" s="16" t="e" cm="1">
        <f t="array" ref="F172">D172 - _xlfn.XLOOKUP(A172&amp;2000, A:A&amp;C:C, D:D, "No 2000 data")</f>
        <v>#VALUE!</v>
      </c>
    </row>
    <row r="173" spans="1:6" hidden="1" x14ac:dyDescent="0.35">
      <c r="A173" s="16" t="s">
        <v>48</v>
      </c>
      <c r="B173" s="16" t="s">
        <v>134</v>
      </c>
      <c r="C173">
        <v>2021</v>
      </c>
      <c r="D173">
        <v>23.67</v>
      </c>
      <c r="E173" t="str">
        <f>IF(_2[[#This Row],[Year]]=2000,_2[[#This Row],[Share (%)]],"")</f>
        <v/>
      </c>
      <c r="F173" s="16" t="e" cm="1">
        <f t="array" ref="F173">D173 - _xlfn.XLOOKUP(A173&amp;2000, A:A&amp;C:C, D:D, "No 2000 data")</f>
        <v>#VALUE!</v>
      </c>
    </row>
    <row r="174" spans="1:6" hidden="1" x14ac:dyDescent="0.35">
      <c r="A174" s="16" t="s">
        <v>48</v>
      </c>
      <c r="B174" s="16" t="s">
        <v>134</v>
      </c>
      <c r="C174">
        <v>2022</v>
      </c>
      <c r="D174">
        <v>23.2</v>
      </c>
      <c r="E174" t="str">
        <f>IF(_2[[#This Row],[Year]]=2000,_2[[#This Row],[Share (%)]],"")</f>
        <v/>
      </c>
      <c r="F174" s="16" t="e" cm="1">
        <f t="array" ref="F174">D174 - _xlfn.XLOOKUP(A174&amp;2000, A:A&amp;C:C, D:D, "No 2000 data")</f>
        <v>#VALUE!</v>
      </c>
    </row>
    <row r="175" spans="1:6" hidden="1" x14ac:dyDescent="0.35">
      <c r="A175" s="16" t="s">
        <v>48</v>
      </c>
      <c r="B175" s="16" t="s">
        <v>134</v>
      </c>
      <c r="C175">
        <v>2023</v>
      </c>
      <c r="D175">
        <v>25.1</v>
      </c>
      <c r="E175" t="str">
        <f>IF(_2[[#This Row],[Year]]=2000,_2[[#This Row],[Share (%)]],"")</f>
        <v/>
      </c>
      <c r="F175" s="16" t="e" cm="1">
        <f t="array" ref="F175">D175 - _xlfn.XLOOKUP(A175&amp;2000, A:A&amp;C:C, D:D, "No 2000 data")</f>
        <v>#VALUE!</v>
      </c>
    </row>
    <row r="176" spans="1:6" hidden="1" x14ac:dyDescent="0.35">
      <c r="A176" s="16" t="s">
        <v>48</v>
      </c>
      <c r="B176" s="16" t="s">
        <v>134</v>
      </c>
      <c r="C176">
        <v>2024</v>
      </c>
      <c r="D176">
        <v>26.84</v>
      </c>
      <c r="E176" t="str">
        <f>IF(_2[[#This Row],[Year]]=2000,_2[[#This Row],[Share (%)]],"")</f>
        <v/>
      </c>
      <c r="F176" s="16" t="e" cm="1">
        <f t="array" ref="F176">D176 - _xlfn.XLOOKUP(A176&amp;2000, A:A&amp;C:C, D:D, "No 2000 data")</f>
        <v>#VALUE!</v>
      </c>
    </row>
    <row r="177" spans="1:6" x14ac:dyDescent="0.35">
      <c r="A177" s="16" t="s">
        <v>44</v>
      </c>
      <c r="B177" s="16" t="s">
        <v>134</v>
      </c>
      <c r="C177">
        <v>2000</v>
      </c>
      <c r="D177">
        <v>87.59</v>
      </c>
      <c r="E177">
        <f>IF(_2[[#This Row],[Year]]=2000,_2[[#This Row],[Share (%)]],"")</f>
        <v>87.59</v>
      </c>
      <c r="F177" s="16" cm="1">
        <f t="array" ref="F177">D177 - _xlfn.XLOOKUP(A177&amp;2000, A:A&amp;C:C, D:D, "No 2000 data")</f>
        <v>0</v>
      </c>
    </row>
    <row r="178" spans="1:6" x14ac:dyDescent="0.35">
      <c r="A178" s="16" t="s">
        <v>44</v>
      </c>
      <c r="B178" s="16" t="s">
        <v>134</v>
      </c>
      <c r="C178">
        <v>2001</v>
      </c>
      <c r="D178">
        <v>87.69</v>
      </c>
      <c r="E178" t="str">
        <f>IF(_2[[#This Row],[Year]]=2000,_2[[#This Row],[Share (%)]],"")</f>
        <v/>
      </c>
      <c r="F178" s="16" cm="1">
        <f t="array" ref="F178">D178 - _xlfn.XLOOKUP(A178&amp;2000, A:A&amp;C:C, D:D, "No 2000 data")</f>
        <v>9.9999999999994316E-2</v>
      </c>
    </row>
    <row r="179" spans="1:6" x14ac:dyDescent="0.35">
      <c r="A179" s="16" t="s">
        <v>44</v>
      </c>
      <c r="B179" s="16" t="s">
        <v>134</v>
      </c>
      <c r="C179">
        <v>2002</v>
      </c>
      <c r="D179">
        <v>80.569999999999993</v>
      </c>
      <c r="E179" t="str">
        <f>IF(_2[[#This Row],[Year]]=2000,_2[[#This Row],[Share (%)]],"")</f>
        <v/>
      </c>
      <c r="F179" s="16" cm="1">
        <f t="array" ref="F179">D179 - _xlfn.XLOOKUP(A179&amp;2000, A:A&amp;C:C, D:D, "No 2000 data")</f>
        <v>-7.0200000000000102</v>
      </c>
    </row>
    <row r="180" spans="1:6" x14ac:dyDescent="0.35">
      <c r="A180" s="16" t="s">
        <v>44</v>
      </c>
      <c r="B180" s="16" t="s">
        <v>134</v>
      </c>
      <c r="C180">
        <v>2003</v>
      </c>
      <c r="D180">
        <v>80.47</v>
      </c>
      <c r="E180" t="str">
        <f>IF(_2[[#This Row],[Year]]=2000,_2[[#This Row],[Share (%)]],"")</f>
        <v/>
      </c>
      <c r="F180" s="16" cm="1">
        <f t="array" ref="F180">D180 - _xlfn.XLOOKUP(A180&amp;2000, A:A&amp;C:C, D:D, "No 2000 data")</f>
        <v>-7.1200000000000045</v>
      </c>
    </row>
    <row r="181" spans="1:6" x14ac:dyDescent="0.35">
      <c r="A181" s="16" t="s">
        <v>44</v>
      </c>
      <c r="B181" s="16" t="s">
        <v>134</v>
      </c>
      <c r="C181">
        <v>2004</v>
      </c>
      <c r="D181">
        <v>79.58</v>
      </c>
      <c r="E181" t="str">
        <f>IF(_2[[#This Row],[Year]]=2000,_2[[#This Row],[Share (%)]],"")</f>
        <v/>
      </c>
      <c r="F181" s="16" cm="1">
        <f t="array" ref="F181">D181 - _xlfn.XLOOKUP(A181&amp;2000, A:A&amp;C:C, D:D, "No 2000 data")</f>
        <v>-8.0100000000000051</v>
      </c>
    </row>
    <row r="182" spans="1:6" x14ac:dyDescent="0.35">
      <c r="A182" s="16" t="s">
        <v>44</v>
      </c>
      <c r="B182" s="16" t="s">
        <v>134</v>
      </c>
      <c r="C182">
        <v>2005</v>
      </c>
      <c r="D182">
        <v>79.14</v>
      </c>
      <c r="E182" t="str">
        <f>IF(_2[[#This Row],[Year]]=2000,_2[[#This Row],[Share (%)]],"")</f>
        <v/>
      </c>
      <c r="F182" s="16" cm="1">
        <f t="array" ref="F182">D182 - _xlfn.XLOOKUP(A182&amp;2000, A:A&amp;C:C, D:D, "No 2000 data")</f>
        <v>-8.4500000000000028</v>
      </c>
    </row>
    <row r="183" spans="1:6" x14ac:dyDescent="0.35">
      <c r="A183" s="16" t="s">
        <v>44</v>
      </c>
      <c r="B183" s="16" t="s">
        <v>134</v>
      </c>
      <c r="C183">
        <v>2006</v>
      </c>
      <c r="D183">
        <v>77.02</v>
      </c>
      <c r="E183" t="str">
        <f>IF(_2[[#This Row],[Year]]=2000,_2[[#This Row],[Share (%)]],"")</f>
        <v/>
      </c>
      <c r="F183" s="16" cm="1">
        <f t="array" ref="F183">D183 - _xlfn.XLOOKUP(A183&amp;2000, A:A&amp;C:C, D:D, "No 2000 data")</f>
        <v>-10.570000000000007</v>
      </c>
    </row>
    <row r="184" spans="1:6" x14ac:dyDescent="0.35">
      <c r="A184" s="16" t="s">
        <v>44</v>
      </c>
      <c r="B184" s="16" t="s">
        <v>134</v>
      </c>
      <c r="C184">
        <v>2007</v>
      </c>
      <c r="D184">
        <v>75.41</v>
      </c>
      <c r="E184" t="str">
        <f>IF(_2[[#This Row],[Year]]=2000,_2[[#This Row],[Share (%)]],"")</f>
        <v/>
      </c>
      <c r="F184" s="16" cm="1">
        <f t="array" ref="F184">D184 - _xlfn.XLOOKUP(A184&amp;2000, A:A&amp;C:C, D:D, "No 2000 data")</f>
        <v>-12.180000000000007</v>
      </c>
    </row>
    <row r="185" spans="1:6" x14ac:dyDescent="0.35">
      <c r="A185" s="16" t="s">
        <v>44</v>
      </c>
      <c r="B185" s="16" t="s">
        <v>134</v>
      </c>
      <c r="C185">
        <v>2008</v>
      </c>
      <c r="D185">
        <v>74.209999999999994</v>
      </c>
      <c r="E185" t="str">
        <f>IF(_2[[#This Row],[Year]]=2000,_2[[#This Row],[Share (%)]],"")</f>
        <v/>
      </c>
      <c r="F185" s="16" cm="1">
        <f t="array" ref="F185">D185 - _xlfn.XLOOKUP(A185&amp;2000, A:A&amp;C:C, D:D, "No 2000 data")</f>
        <v>-13.38000000000001</v>
      </c>
    </row>
    <row r="186" spans="1:6" x14ac:dyDescent="0.35">
      <c r="A186" s="16" t="s">
        <v>44</v>
      </c>
      <c r="B186" s="16" t="s">
        <v>134</v>
      </c>
      <c r="C186">
        <v>2009</v>
      </c>
      <c r="D186">
        <v>68.209999999999994</v>
      </c>
      <c r="E186" t="str">
        <f>IF(_2[[#This Row],[Year]]=2000,_2[[#This Row],[Share (%)]],"")</f>
        <v/>
      </c>
      <c r="F186" s="16" cm="1">
        <f t="array" ref="F186">D186 - _xlfn.XLOOKUP(A186&amp;2000, A:A&amp;C:C, D:D, "No 2000 data")</f>
        <v>-19.38000000000001</v>
      </c>
    </row>
    <row r="187" spans="1:6" x14ac:dyDescent="0.35">
      <c r="A187" s="16" t="s">
        <v>44</v>
      </c>
      <c r="B187" s="16" t="s">
        <v>134</v>
      </c>
      <c r="C187">
        <v>2010</v>
      </c>
      <c r="D187">
        <v>69.58</v>
      </c>
      <c r="E187" t="str">
        <f>IF(_2[[#This Row],[Year]]=2000,_2[[#This Row],[Share (%)]],"")</f>
        <v/>
      </c>
      <c r="F187" s="16" cm="1">
        <f t="array" ref="F187">D187 - _xlfn.XLOOKUP(A187&amp;2000, A:A&amp;C:C, D:D, "No 2000 data")</f>
        <v>-18.010000000000005</v>
      </c>
    </row>
    <row r="188" spans="1:6" x14ac:dyDescent="0.35">
      <c r="A188" s="16" t="s">
        <v>44</v>
      </c>
      <c r="B188" s="16" t="s">
        <v>134</v>
      </c>
      <c r="C188">
        <v>2011</v>
      </c>
      <c r="D188">
        <v>70.8</v>
      </c>
      <c r="E188" t="str">
        <f>IF(_2[[#This Row],[Year]]=2000,_2[[#This Row],[Share (%)]],"")</f>
        <v/>
      </c>
      <c r="F188" s="16" cm="1">
        <f t="array" ref="F188">D188 - _xlfn.XLOOKUP(A188&amp;2000, A:A&amp;C:C, D:D, "No 2000 data")</f>
        <v>-16.790000000000006</v>
      </c>
    </row>
    <row r="189" spans="1:6" x14ac:dyDescent="0.35">
      <c r="A189" s="16" t="s">
        <v>44</v>
      </c>
      <c r="B189" s="16" t="s">
        <v>134</v>
      </c>
      <c r="C189">
        <v>2012</v>
      </c>
      <c r="D189">
        <v>64.53</v>
      </c>
      <c r="E189" t="str">
        <f>IF(_2[[#This Row],[Year]]=2000,_2[[#This Row],[Share (%)]],"")</f>
        <v/>
      </c>
      <c r="F189" s="16" cm="1">
        <f t="array" ref="F189">D189 - _xlfn.XLOOKUP(A189&amp;2000, A:A&amp;C:C, D:D, "No 2000 data")</f>
        <v>-23.060000000000002</v>
      </c>
    </row>
    <row r="190" spans="1:6" x14ac:dyDescent="0.35">
      <c r="A190" s="16" t="s">
        <v>44</v>
      </c>
      <c r="B190" s="16" t="s">
        <v>134</v>
      </c>
      <c r="C190">
        <v>2013</v>
      </c>
      <c r="D190">
        <v>56.2</v>
      </c>
      <c r="E190" t="str">
        <f>IF(_2[[#This Row],[Year]]=2000,_2[[#This Row],[Share (%)]],"")</f>
        <v/>
      </c>
      <c r="F190" s="16" cm="1">
        <f t="array" ref="F190">D190 - _xlfn.XLOOKUP(A190&amp;2000, A:A&amp;C:C, D:D, "No 2000 data")</f>
        <v>-31.39</v>
      </c>
    </row>
    <row r="191" spans="1:6" x14ac:dyDescent="0.35">
      <c r="A191" s="16" t="s">
        <v>44</v>
      </c>
      <c r="B191" s="16" t="s">
        <v>134</v>
      </c>
      <c r="C191">
        <v>2014</v>
      </c>
      <c r="D191">
        <v>56.2</v>
      </c>
      <c r="E191" t="str">
        <f>IF(_2[[#This Row],[Year]]=2000,_2[[#This Row],[Share (%)]],"")</f>
        <v/>
      </c>
      <c r="F191" s="16" cm="1">
        <f t="array" ref="F191">D191 - _xlfn.XLOOKUP(A191&amp;2000, A:A&amp;C:C, D:D, "No 2000 data")</f>
        <v>-31.39</v>
      </c>
    </row>
    <row r="192" spans="1:6" x14ac:dyDescent="0.35">
      <c r="A192" s="16" t="s">
        <v>44</v>
      </c>
      <c r="B192" s="16" t="s">
        <v>134</v>
      </c>
      <c r="C192">
        <v>2015</v>
      </c>
      <c r="D192">
        <v>53.94</v>
      </c>
      <c r="E192" t="str">
        <f>IF(_2[[#This Row],[Year]]=2000,_2[[#This Row],[Share (%)]],"")</f>
        <v/>
      </c>
      <c r="F192" s="16" cm="1">
        <f t="array" ref="F192">D192 - _xlfn.XLOOKUP(A192&amp;2000, A:A&amp;C:C, D:D, "No 2000 data")</f>
        <v>-33.650000000000006</v>
      </c>
    </row>
    <row r="193" spans="1:6" x14ac:dyDescent="0.35">
      <c r="A193" s="16" t="s">
        <v>44</v>
      </c>
      <c r="B193" s="16" t="s">
        <v>134</v>
      </c>
      <c r="C193">
        <v>2016</v>
      </c>
      <c r="D193">
        <v>53.94</v>
      </c>
      <c r="E193" t="str">
        <f>IF(_2[[#This Row],[Year]]=2000,_2[[#This Row],[Share (%)]],"")</f>
        <v/>
      </c>
      <c r="F193" s="16" cm="1">
        <f t="array" ref="F193">D193 - _xlfn.XLOOKUP(A193&amp;2000, A:A&amp;C:C, D:D, "No 2000 data")</f>
        <v>-33.650000000000006</v>
      </c>
    </row>
    <row r="194" spans="1:6" x14ac:dyDescent="0.35">
      <c r="A194" s="16" t="s">
        <v>44</v>
      </c>
      <c r="B194" s="16" t="s">
        <v>134</v>
      </c>
      <c r="C194">
        <v>2017</v>
      </c>
      <c r="D194">
        <v>51.69</v>
      </c>
      <c r="E194" t="str">
        <f>IF(_2[[#This Row],[Year]]=2000,_2[[#This Row],[Share (%)]],"")</f>
        <v/>
      </c>
      <c r="F194" s="16" cm="1">
        <f t="array" ref="F194">D194 - _xlfn.XLOOKUP(A194&amp;2000, A:A&amp;C:C, D:D, "No 2000 data")</f>
        <v>-35.900000000000006</v>
      </c>
    </row>
    <row r="195" spans="1:6" x14ac:dyDescent="0.35">
      <c r="A195" s="16" t="s">
        <v>44</v>
      </c>
      <c r="B195" s="16" t="s">
        <v>134</v>
      </c>
      <c r="C195">
        <v>2018</v>
      </c>
      <c r="D195">
        <v>51.48</v>
      </c>
      <c r="E195" t="str">
        <f>IF(_2[[#This Row],[Year]]=2000,_2[[#This Row],[Share (%)]],"")</f>
        <v/>
      </c>
      <c r="F195" s="16" cm="1">
        <f t="array" ref="F195">D195 - _xlfn.XLOOKUP(A195&amp;2000, A:A&amp;C:C, D:D, "No 2000 data")</f>
        <v>-36.110000000000007</v>
      </c>
    </row>
    <row r="196" spans="1:6" x14ac:dyDescent="0.35">
      <c r="A196" s="16" t="s">
        <v>44</v>
      </c>
      <c r="B196" s="16" t="s">
        <v>134</v>
      </c>
      <c r="C196">
        <v>2019</v>
      </c>
      <c r="D196">
        <v>54.06</v>
      </c>
      <c r="E196" t="str">
        <f>IF(_2[[#This Row],[Year]]=2000,_2[[#This Row],[Share (%)]],"")</f>
        <v/>
      </c>
      <c r="F196" s="16" cm="1">
        <f t="array" ref="F196">D196 - _xlfn.XLOOKUP(A196&amp;2000, A:A&amp;C:C, D:D, "No 2000 data")</f>
        <v>-33.53</v>
      </c>
    </row>
    <row r="197" spans="1:6" x14ac:dyDescent="0.35">
      <c r="A197" s="16" t="s">
        <v>44</v>
      </c>
      <c r="B197" s="16" t="s">
        <v>134</v>
      </c>
      <c r="C197">
        <v>2020</v>
      </c>
      <c r="D197">
        <v>54.09</v>
      </c>
      <c r="E197" t="str">
        <f>IF(_2[[#This Row],[Year]]=2000,_2[[#This Row],[Share (%)]],"")</f>
        <v/>
      </c>
      <c r="F197" s="16" cm="1">
        <f t="array" ref="F197">D197 - _xlfn.XLOOKUP(A197&amp;2000, A:A&amp;C:C, D:D, "No 2000 data")</f>
        <v>-33.5</v>
      </c>
    </row>
    <row r="198" spans="1:6" x14ac:dyDescent="0.35">
      <c r="A198" s="16" t="s">
        <v>44</v>
      </c>
      <c r="B198" s="16" t="s">
        <v>134</v>
      </c>
      <c r="C198">
        <v>2021</v>
      </c>
      <c r="D198">
        <v>54.42</v>
      </c>
      <c r="E198" t="str">
        <f>IF(_2[[#This Row],[Year]]=2000,_2[[#This Row],[Share (%)]],"")</f>
        <v/>
      </c>
      <c r="F198" s="16" cm="1">
        <f t="array" ref="F198">D198 - _xlfn.XLOOKUP(A198&amp;2000, A:A&amp;C:C, D:D, "No 2000 data")</f>
        <v>-33.17</v>
      </c>
    </row>
    <row r="199" spans="1:6" x14ac:dyDescent="0.35">
      <c r="A199" s="16" t="s">
        <v>44</v>
      </c>
      <c r="B199" s="16" t="s">
        <v>134</v>
      </c>
      <c r="C199">
        <v>2022</v>
      </c>
      <c r="D199">
        <v>54.46</v>
      </c>
      <c r="E199" t="str">
        <f>IF(_2[[#This Row],[Year]]=2000,_2[[#This Row],[Share (%)]],"")</f>
        <v/>
      </c>
      <c r="F199" s="16" cm="1">
        <f t="array" ref="F199">D199 - _xlfn.XLOOKUP(A199&amp;2000, A:A&amp;C:C, D:D, "No 2000 data")</f>
        <v>-33.130000000000003</v>
      </c>
    </row>
    <row r="200" spans="1:6" x14ac:dyDescent="0.35">
      <c r="A200" s="16" t="s">
        <v>44</v>
      </c>
      <c r="B200" s="16" t="s">
        <v>134</v>
      </c>
      <c r="C200">
        <v>2023</v>
      </c>
      <c r="D200">
        <v>55.51</v>
      </c>
      <c r="E200" t="str">
        <f>IF(_2[[#This Row],[Year]]=2000,_2[[#This Row],[Share (%)]],"")</f>
        <v/>
      </c>
      <c r="F200" s="16" cm="1">
        <f t="array" ref="F200">D200 - _xlfn.XLOOKUP(A200&amp;2000, A:A&amp;C:C, D:D, "No 2000 data")</f>
        <v>-32.080000000000005</v>
      </c>
    </row>
    <row r="201" spans="1:6" x14ac:dyDescent="0.35">
      <c r="A201" s="16" t="s">
        <v>44</v>
      </c>
      <c r="B201" s="16" t="s">
        <v>134</v>
      </c>
      <c r="C201">
        <v>2024</v>
      </c>
      <c r="D201">
        <v>55.51</v>
      </c>
      <c r="E201" t="str">
        <f>IF(_2[[#This Row],[Year]]=2000,_2[[#This Row],[Share (%)]],"")</f>
        <v/>
      </c>
      <c r="F201" s="16" cm="1">
        <f t="array" ref="F201">D201 - _xlfn.XLOOKUP(A201&amp;2000, A:A&amp;C:C, D:D, "No 2000 data")</f>
        <v>-32.080000000000005</v>
      </c>
    </row>
    <row r="202" spans="1:6" x14ac:dyDescent="0.35">
      <c r="A202" s="16" t="s">
        <v>114</v>
      </c>
      <c r="B202" s="16" t="s">
        <v>134</v>
      </c>
      <c r="C202">
        <v>2000</v>
      </c>
      <c r="D202">
        <v>6.45</v>
      </c>
      <c r="E202">
        <f>IF(_2[[#This Row],[Year]]=2000,_2[[#This Row],[Share (%)]],"")</f>
        <v>6.45</v>
      </c>
      <c r="F202" s="16" cm="1">
        <f t="array" ref="F202">D202 - _xlfn.XLOOKUP(A202&amp;2000, A:A&amp;C:C, D:D, "No 2000 data")</f>
        <v>0</v>
      </c>
    </row>
    <row r="203" spans="1:6" x14ac:dyDescent="0.35">
      <c r="A203" s="16" t="s">
        <v>114</v>
      </c>
      <c r="B203" s="16" t="s">
        <v>134</v>
      </c>
      <c r="C203">
        <v>2001</v>
      </c>
      <c r="D203">
        <v>6.45</v>
      </c>
      <c r="E203" t="str">
        <f>IF(_2[[#This Row],[Year]]=2000,_2[[#This Row],[Share (%)]],"")</f>
        <v/>
      </c>
      <c r="F203" s="16" cm="1">
        <f t="array" ref="F203">D203 - _xlfn.XLOOKUP(A203&amp;2000, A:A&amp;C:C, D:D, "No 2000 data")</f>
        <v>0</v>
      </c>
    </row>
    <row r="204" spans="1:6" x14ac:dyDescent="0.35">
      <c r="A204" s="16" t="s">
        <v>114</v>
      </c>
      <c r="B204" s="16" t="s">
        <v>134</v>
      </c>
      <c r="C204">
        <v>2002</v>
      </c>
      <c r="D204">
        <v>6.45</v>
      </c>
      <c r="E204" t="str">
        <f>IF(_2[[#This Row],[Year]]=2000,_2[[#This Row],[Share (%)]],"")</f>
        <v/>
      </c>
      <c r="F204" s="16" cm="1">
        <f t="array" ref="F204">D204 - _xlfn.XLOOKUP(A204&amp;2000, A:A&amp;C:C, D:D, "No 2000 data")</f>
        <v>0</v>
      </c>
    </row>
    <row r="205" spans="1:6" x14ac:dyDescent="0.35">
      <c r="A205" s="16" t="s">
        <v>114</v>
      </c>
      <c r="B205" s="16" t="s">
        <v>134</v>
      </c>
      <c r="C205">
        <v>2003</v>
      </c>
      <c r="D205">
        <v>1.31</v>
      </c>
      <c r="E205" t="str">
        <f>IF(_2[[#This Row],[Year]]=2000,_2[[#This Row],[Share (%)]],"")</f>
        <v/>
      </c>
      <c r="F205" s="16" cm="1">
        <f t="array" ref="F205">D205 - _xlfn.XLOOKUP(A205&amp;2000, A:A&amp;C:C, D:D, "No 2000 data")</f>
        <v>-5.1400000000000006</v>
      </c>
    </row>
    <row r="206" spans="1:6" x14ac:dyDescent="0.35">
      <c r="A206" s="16" t="s">
        <v>114</v>
      </c>
      <c r="B206" s="16" t="s">
        <v>134</v>
      </c>
      <c r="C206">
        <v>2004</v>
      </c>
      <c r="D206">
        <v>1.29</v>
      </c>
      <c r="E206" t="str">
        <f>IF(_2[[#This Row],[Year]]=2000,_2[[#This Row],[Share (%)]],"")</f>
        <v/>
      </c>
      <c r="F206" s="16" cm="1">
        <f t="array" ref="F206">D206 - _xlfn.XLOOKUP(A206&amp;2000, A:A&amp;C:C, D:D, "No 2000 data")</f>
        <v>-5.16</v>
      </c>
    </row>
    <row r="207" spans="1:6" x14ac:dyDescent="0.35">
      <c r="A207" s="16" t="s">
        <v>114</v>
      </c>
      <c r="B207" s="16" t="s">
        <v>134</v>
      </c>
      <c r="C207">
        <v>2005</v>
      </c>
      <c r="D207">
        <v>1.27</v>
      </c>
      <c r="E207" t="str">
        <f>IF(_2[[#This Row],[Year]]=2000,_2[[#This Row],[Share (%)]],"")</f>
        <v/>
      </c>
      <c r="F207" s="16" cm="1">
        <f t="array" ref="F207">D207 - _xlfn.XLOOKUP(A207&amp;2000, A:A&amp;C:C, D:D, "No 2000 data")</f>
        <v>-5.18</v>
      </c>
    </row>
    <row r="208" spans="1:6" x14ac:dyDescent="0.35">
      <c r="A208" s="16" t="s">
        <v>114</v>
      </c>
      <c r="B208" s="16" t="s">
        <v>134</v>
      </c>
      <c r="C208">
        <v>2006</v>
      </c>
      <c r="D208">
        <v>1.27</v>
      </c>
      <c r="E208" t="str">
        <f>IF(_2[[#This Row],[Year]]=2000,_2[[#This Row],[Share (%)]],"")</f>
        <v/>
      </c>
      <c r="F208" s="16" cm="1">
        <f t="array" ref="F208">D208 - _xlfn.XLOOKUP(A208&amp;2000, A:A&amp;C:C, D:D, "No 2000 data")</f>
        <v>-5.18</v>
      </c>
    </row>
    <row r="209" spans="1:6" x14ac:dyDescent="0.35">
      <c r="A209" s="16" t="s">
        <v>114</v>
      </c>
      <c r="B209" s="16" t="s">
        <v>134</v>
      </c>
      <c r="C209">
        <v>2007</v>
      </c>
      <c r="D209">
        <v>1.1200000000000001</v>
      </c>
      <c r="E209" t="str">
        <f>IF(_2[[#This Row],[Year]]=2000,_2[[#This Row],[Share (%)]],"")</f>
        <v/>
      </c>
      <c r="F209" s="16" cm="1">
        <f t="array" ref="F209">D209 - _xlfn.XLOOKUP(A209&amp;2000, A:A&amp;C:C, D:D, "No 2000 data")</f>
        <v>-5.33</v>
      </c>
    </row>
    <row r="210" spans="1:6" x14ac:dyDescent="0.35">
      <c r="A210" s="16" t="s">
        <v>114</v>
      </c>
      <c r="B210" s="16" t="s">
        <v>134</v>
      </c>
      <c r="C210">
        <v>2008</v>
      </c>
      <c r="D210">
        <v>1.1200000000000001</v>
      </c>
      <c r="E210" t="str">
        <f>IF(_2[[#This Row],[Year]]=2000,_2[[#This Row],[Share (%)]],"")</f>
        <v/>
      </c>
      <c r="F210" s="16" cm="1">
        <f t="array" ref="F210">D210 - _xlfn.XLOOKUP(A210&amp;2000, A:A&amp;C:C, D:D, "No 2000 data")</f>
        <v>-5.33</v>
      </c>
    </row>
    <row r="211" spans="1:6" x14ac:dyDescent="0.35">
      <c r="A211" s="16" t="s">
        <v>114</v>
      </c>
      <c r="B211" s="16" t="s">
        <v>134</v>
      </c>
      <c r="C211">
        <v>2009</v>
      </c>
      <c r="D211">
        <v>1.1200000000000001</v>
      </c>
      <c r="E211" t="str">
        <f>IF(_2[[#This Row],[Year]]=2000,_2[[#This Row],[Share (%)]],"")</f>
        <v/>
      </c>
      <c r="F211" s="16" cm="1">
        <f t="array" ref="F211">D211 - _xlfn.XLOOKUP(A211&amp;2000, A:A&amp;C:C, D:D, "No 2000 data")</f>
        <v>-5.33</v>
      </c>
    </row>
    <row r="212" spans="1:6" x14ac:dyDescent="0.35">
      <c r="A212" s="16" t="s">
        <v>114</v>
      </c>
      <c r="B212" s="16" t="s">
        <v>134</v>
      </c>
      <c r="C212">
        <v>2010</v>
      </c>
      <c r="D212">
        <v>1.1200000000000001</v>
      </c>
      <c r="E212" t="str">
        <f>IF(_2[[#This Row],[Year]]=2000,_2[[#This Row],[Share (%)]],"")</f>
        <v/>
      </c>
      <c r="F212" s="16" cm="1">
        <f t="array" ref="F212">D212 - _xlfn.XLOOKUP(A212&amp;2000, A:A&amp;C:C, D:D, "No 2000 data")</f>
        <v>-5.33</v>
      </c>
    </row>
    <row r="213" spans="1:6" x14ac:dyDescent="0.35">
      <c r="A213" s="16" t="s">
        <v>114</v>
      </c>
      <c r="B213" s="16" t="s">
        <v>134</v>
      </c>
      <c r="C213">
        <v>2011</v>
      </c>
      <c r="D213">
        <v>1.1200000000000001</v>
      </c>
      <c r="E213" t="str">
        <f>IF(_2[[#This Row],[Year]]=2000,_2[[#This Row],[Share (%)]],"")</f>
        <v/>
      </c>
      <c r="F213" s="16" cm="1">
        <f t="array" ref="F213">D213 - _xlfn.XLOOKUP(A213&amp;2000, A:A&amp;C:C, D:D, "No 2000 data")</f>
        <v>-5.33</v>
      </c>
    </row>
    <row r="214" spans="1:6" x14ac:dyDescent="0.35">
      <c r="A214" s="16" t="s">
        <v>114</v>
      </c>
      <c r="B214" s="16" t="s">
        <v>134</v>
      </c>
      <c r="C214">
        <v>2012</v>
      </c>
      <c r="D214">
        <v>0.71</v>
      </c>
      <c r="E214" t="str">
        <f>IF(_2[[#This Row],[Year]]=2000,_2[[#This Row],[Share (%)]],"")</f>
        <v/>
      </c>
      <c r="F214" s="16" cm="1">
        <f t="array" ref="F214">D214 - _xlfn.XLOOKUP(A214&amp;2000, A:A&amp;C:C, D:D, "No 2000 data")</f>
        <v>-5.74</v>
      </c>
    </row>
    <row r="215" spans="1:6" x14ac:dyDescent="0.35">
      <c r="A215" s="16" t="s">
        <v>114</v>
      </c>
      <c r="B215" s="16" t="s">
        <v>134</v>
      </c>
      <c r="C215">
        <v>2013</v>
      </c>
      <c r="D215">
        <v>0.72</v>
      </c>
      <c r="E215" t="str">
        <f>IF(_2[[#This Row],[Year]]=2000,_2[[#This Row],[Share (%)]],"")</f>
        <v/>
      </c>
      <c r="F215" s="16" cm="1">
        <f t="array" ref="F215">D215 - _xlfn.XLOOKUP(A215&amp;2000, A:A&amp;C:C, D:D, "No 2000 data")</f>
        <v>-5.73</v>
      </c>
    </row>
    <row r="216" spans="1:6" x14ac:dyDescent="0.35">
      <c r="A216" s="16" t="s">
        <v>114</v>
      </c>
      <c r="B216" s="16" t="s">
        <v>134</v>
      </c>
      <c r="C216">
        <v>2014</v>
      </c>
      <c r="D216">
        <v>0.72</v>
      </c>
      <c r="E216" t="str">
        <f>IF(_2[[#This Row],[Year]]=2000,_2[[#This Row],[Share (%)]],"")</f>
        <v/>
      </c>
      <c r="F216" s="16" cm="1">
        <f t="array" ref="F216">D216 - _xlfn.XLOOKUP(A216&amp;2000, A:A&amp;C:C, D:D, "No 2000 data")</f>
        <v>-5.73</v>
      </c>
    </row>
    <row r="217" spans="1:6" x14ac:dyDescent="0.35">
      <c r="A217" s="16" t="s">
        <v>114</v>
      </c>
      <c r="B217" s="16" t="s">
        <v>134</v>
      </c>
      <c r="C217">
        <v>2015</v>
      </c>
      <c r="D217">
        <v>0.76</v>
      </c>
      <c r="E217" t="str">
        <f>IF(_2[[#This Row],[Year]]=2000,_2[[#This Row],[Share (%)]],"")</f>
        <v/>
      </c>
      <c r="F217" s="16" cm="1">
        <f t="array" ref="F217">D217 - _xlfn.XLOOKUP(A217&amp;2000, A:A&amp;C:C, D:D, "No 2000 data")</f>
        <v>-5.69</v>
      </c>
    </row>
    <row r="218" spans="1:6" x14ac:dyDescent="0.35">
      <c r="A218" s="16" t="s">
        <v>114</v>
      </c>
      <c r="B218" s="16" t="s">
        <v>134</v>
      </c>
      <c r="C218">
        <v>2016</v>
      </c>
      <c r="D218">
        <v>1.1499999999999999</v>
      </c>
      <c r="E218" t="str">
        <f>IF(_2[[#This Row],[Year]]=2000,_2[[#This Row],[Share (%)]],"")</f>
        <v/>
      </c>
      <c r="F218" s="16" cm="1">
        <f t="array" ref="F218">D218 - _xlfn.XLOOKUP(A218&amp;2000, A:A&amp;C:C, D:D, "No 2000 data")</f>
        <v>-5.3000000000000007</v>
      </c>
    </row>
    <row r="219" spans="1:6" x14ac:dyDescent="0.35">
      <c r="A219" s="16" t="s">
        <v>114</v>
      </c>
      <c r="B219" s="16" t="s">
        <v>134</v>
      </c>
      <c r="C219">
        <v>2017</v>
      </c>
      <c r="D219">
        <v>1.1499999999999999</v>
      </c>
      <c r="E219" t="str">
        <f>IF(_2[[#This Row],[Year]]=2000,_2[[#This Row],[Share (%)]],"")</f>
        <v/>
      </c>
      <c r="F219" s="16" cm="1">
        <f t="array" ref="F219">D219 - _xlfn.XLOOKUP(A219&amp;2000, A:A&amp;C:C, D:D, "No 2000 data")</f>
        <v>-5.3000000000000007</v>
      </c>
    </row>
    <row r="220" spans="1:6" x14ac:dyDescent="0.35">
      <c r="A220" s="16" t="s">
        <v>114</v>
      </c>
      <c r="B220" s="16" t="s">
        <v>134</v>
      </c>
      <c r="C220">
        <v>2018</v>
      </c>
      <c r="D220">
        <v>1.28</v>
      </c>
      <c r="E220" t="str">
        <f>IF(_2[[#This Row],[Year]]=2000,_2[[#This Row],[Share (%)]],"")</f>
        <v/>
      </c>
      <c r="F220" s="16" cm="1">
        <f t="array" ref="F220">D220 - _xlfn.XLOOKUP(A220&amp;2000, A:A&amp;C:C, D:D, "No 2000 data")</f>
        <v>-5.17</v>
      </c>
    </row>
    <row r="221" spans="1:6" x14ac:dyDescent="0.35">
      <c r="A221" s="16" t="s">
        <v>114</v>
      </c>
      <c r="B221" s="16" t="s">
        <v>134</v>
      </c>
      <c r="C221">
        <v>2019</v>
      </c>
      <c r="D221">
        <v>1.28</v>
      </c>
      <c r="E221" t="str">
        <f>IF(_2[[#This Row],[Year]]=2000,_2[[#This Row],[Share (%)]],"")</f>
        <v/>
      </c>
      <c r="F221" s="16" cm="1">
        <f t="array" ref="F221">D221 - _xlfn.XLOOKUP(A221&amp;2000, A:A&amp;C:C, D:D, "No 2000 data")</f>
        <v>-5.17</v>
      </c>
    </row>
    <row r="222" spans="1:6" x14ac:dyDescent="0.35">
      <c r="A222" s="16" t="s">
        <v>114</v>
      </c>
      <c r="B222" s="16" t="s">
        <v>134</v>
      </c>
      <c r="C222">
        <v>2020</v>
      </c>
      <c r="D222">
        <v>1.47</v>
      </c>
      <c r="E222" t="str">
        <f>IF(_2[[#This Row],[Year]]=2000,_2[[#This Row],[Share (%)]],"")</f>
        <v/>
      </c>
      <c r="F222" s="16" cm="1">
        <f t="array" ref="F222">D222 - _xlfn.XLOOKUP(A222&amp;2000, A:A&amp;C:C, D:D, "No 2000 data")</f>
        <v>-4.9800000000000004</v>
      </c>
    </row>
    <row r="223" spans="1:6" x14ac:dyDescent="0.35">
      <c r="A223" s="16" t="s">
        <v>114</v>
      </c>
      <c r="B223" s="16" t="s">
        <v>134</v>
      </c>
      <c r="C223">
        <v>2021</v>
      </c>
      <c r="D223">
        <v>1.64</v>
      </c>
      <c r="E223" t="str">
        <f>IF(_2[[#This Row],[Year]]=2000,_2[[#This Row],[Share (%)]],"")</f>
        <v/>
      </c>
      <c r="F223" s="16" cm="1">
        <f t="array" ref="F223">D223 - _xlfn.XLOOKUP(A223&amp;2000, A:A&amp;C:C, D:D, "No 2000 data")</f>
        <v>-4.8100000000000005</v>
      </c>
    </row>
    <row r="224" spans="1:6" x14ac:dyDescent="0.35">
      <c r="A224" s="16" t="s">
        <v>114</v>
      </c>
      <c r="B224" s="16" t="s">
        <v>134</v>
      </c>
      <c r="C224">
        <v>2022</v>
      </c>
      <c r="D224">
        <v>1.65</v>
      </c>
      <c r="E224" t="str">
        <f>IF(_2[[#This Row],[Year]]=2000,_2[[#This Row],[Share (%)]],"")</f>
        <v/>
      </c>
      <c r="F224" s="16" cm="1">
        <f t="array" ref="F224">D224 - _xlfn.XLOOKUP(A224&amp;2000, A:A&amp;C:C, D:D, "No 2000 data")</f>
        <v>-4.8000000000000007</v>
      </c>
    </row>
    <row r="225" spans="1:6" x14ac:dyDescent="0.35">
      <c r="A225" s="16" t="s">
        <v>114</v>
      </c>
      <c r="B225" s="16" t="s">
        <v>134</v>
      </c>
      <c r="C225">
        <v>2023</v>
      </c>
      <c r="D225">
        <v>1.66</v>
      </c>
      <c r="E225" t="str">
        <f>IF(_2[[#This Row],[Year]]=2000,_2[[#This Row],[Share (%)]],"")</f>
        <v/>
      </c>
      <c r="F225" s="16" cm="1">
        <f t="array" ref="F225">D225 - _xlfn.XLOOKUP(A225&amp;2000, A:A&amp;C:C, D:D, "No 2000 data")</f>
        <v>-4.79</v>
      </c>
    </row>
    <row r="226" spans="1:6" x14ac:dyDescent="0.35">
      <c r="A226" s="16" t="s">
        <v>114</v>
      </c>
      <c r="B226" s="16" t="s">
        <v>134</v>
      </c>
      <c r="C226">
        <v>2024</v>
      </c>
      <c r="D226">
        <v>1.69</v>
      </c>
      <c r="E226" t="str">
        <f>IF(_2[[#This Row],[Year]]=2000,_2[[#This Row],[Share (%)]],"")</f>
        <v/>
      </c>
      <c r="F226" s="16" cm="1">
        <f t="array" ref="F226">D226 - _xlfn.XLOOKUP(A226&amp;2000, A:A&amp;C:C, D:D, "No 2000 data")</f>
        <v>-4.76</v>
      </c>
    </row>
    <row r="227" spans="1:6" hidden="1" x14ac:dyDescent="0.35">
      <c r="A227" s="16" t="s">
        <v>50</v>
      </c>
      <c r="B227" s="16" t="s">
        <v>134</v>
      </c>
      <c r="C227">
        <v>2000</v>
      </c>
      <c r="D227" t="s">
        <v>137</v>
      </c>
      <c r="E227" t="str">
        <f>IF(_2[[#This Row],[Year]]=2000,_2[[#This Row],[Share (%)]],"")</f>
        <v>-</v>
      </c>
      <c r="F227" s="16" t="e" cm="1">
        <f t="array" ref="F227">D227 - _xlfn.XLOOKUP(A227&amp;2000, A:A&amp;C:C, D:D, "No 2000 data")</f>
        <v>#VALUE!</v>
      </c>
    </row>
    <row r="228" spans="1:6" hidden="1" x14ac:dyDescent="0.35">
      <c r="A228" s="16" t="s">
        <v>50</v>
      </c>
      <c r="B228" s="16" t="s">
        <v>134</v>
      </c>
      <c r="C228">
        <v>2001</v>
      </c>
      <c r="D228" t="s">
        <v>137</v>
      </c>
      <c r="E228" t="str">
        <f>IF(_2[[#This Row],[Year]]=2000,_2[[#This Row],[Share (%)]],"")</f>
        <v/>
      </c>
      <c r="F228" s="16" t="e" cm="1">
        <f t="array" ref="F228">D228 - _xlfn.XLOOKUP(A228&amp;2000, A:A&amp;C:C, D:D, "No 2000 data")</f>
        <v>#VALUE!</v>
      </c>
    </row>
    <row r="229" spans="1:6" hidden="1" x14ac:dyDescent="0.35">
      <c r="A229" s="16" t="s">
        <v>50</v>
      </c>
      <c r="B229" s="16" t="s">
        <v>134</v>
      </c>
      <c r="C229">
        <v>2002</v>
      </c>
      <c r="D229" t="s">
        <v>137</v>
      </c>
      <c r="E229" t="str">
        <f>IF(_2[[#This Row],[Year]]=2000,_2[[#This Row],[Share (%)]],"")</f>
        <v/>
      </c>
      <c r="F229" s="16" t="e" cm="1">
        <f t="array" ref="F229">D229 - _xlfn.XLOOKUP(A229&amp;2000, A:A&amp;C:C, D:D, "No 2000 data")</f>
        <v>#VALUE!</v>
      </c>
    </row>
    <row r="230" spans="1:6" hidden="1" x14ac:dyDescent="0.35">
      <c r="A230" s="16" t="s">
        <v>50</v>
      </c>
      <c r="B230" s="16" t="s">
        <v>134</v>
      </c>
      <c r="C230">
        <v>2003</v>
      </c>
      <c r="D230" t="s">
        <v>137</v>
      </c>
      <c r="E230" t="str">
        <f>IF(_2[[#This Row],[Year]]=2000,_2[[#This Row],[Share (%)]],"")</f>
        <v/>
      </c>
      <c r="F230" s="16" t="e" cm="1">
        <f t="array" ref="F230">D230 - _xlfn.XLOOKUP(A230&amp;2000, A:A&amp;C:C, D:D, "No 2000 data")</f>
        <v>#VALUE!</v>
      </c>
    </row>
    <row r="231" spans="1:6" hidden="1" x14ac:dyDescent="0.35">
      <c r="A231" s="16" t="s">
        <v>50</v>
      </c>
      <c r="B231" s="16" t="s">
        <v>134</v>
      </c>
      <c r="C231">
        <v>2004</v>
      </c>
      <c r="D231" t="s">
        <v>137</v>
      </c>
      <c r="E231" t="str">
        <f>IF(_2[[#This Row],[Year]]=2000,_2[[#This Row],[Share (%)]],"")</f>
        <v/>
      </c>
      <c r="F231" s="16" t="e" cm="1">
        <f t="array" ref="F231">D231 - _xlfn.XLOOKUP(A231&amp;2000, A:A&amp;C:C, D:D, "No 2000 data")</f>
        <v>#VALUE!</v>
      </c>
    </row>
    <row r="232" spans="1:6" hidden="1" x14ac:dyDescent="0.35">
      <c r="A232" s="16" t="s">
        <v>50</v>
      </c>
      <c r="B232" s="16" t="s">
        <v>134</v>
      </c>
      <c r="C232">
        <v>2005</v>
      </c>
      <c r="D232" t="s">
        <v>137</v>
      </c>
      <c r="E232" t="str">
        <f>IF(_2[[#This Row],[Year]]=2000,_2[[#This Row],[Share (%)]],"")</f>
        <v/>
      </c>
      <c r="F232" s="16" t="e" cm="1">
        <f t="array" ref="F232">D232 - _xlfn.XLOOKUP(A232&amp;2000, A:A&amp;C:C, D:D, "No 2000 data")</f>
        <v>#VALUE!</v>
      </c>
    </row>
    <row r="233" spans="1:6" hidden="1" x14ac:dyDescent="0.35">
      <c r="A233" s="16" t="s">
        <v>50</v>
      </c>
      <c r="B233" s="16" t="s">
        <v>134</v>
      </c>
      <c r="C233">
        <v>2006</v>
      </c>
      <c r="D233" t="s">
        <v>137</v>
      </c>
      <c r="E233" t="str">
        <f>IF(_2[[#This Row],[Year]]=2000,_2[[#This Row],[Share (%)]],"")</f>
        <v/>
      </c>
      <c r="F233" s="16" t="e" cm="1">
        <f t="array" ref="F233">D233 - _xlfn.XLOOKUP(A233&amp;2000, A:A&amp;C:C, D:D, "No 2000 data")</f>
        <v>#VALUE!</v>
      </c>
    </row>
    <row r="234" spans="1:6" hidden="1" x14ac:dyDescent="0.35">
      <c r="A234" s="16" t="s">
        <v>50</v>
      </c>
      <c r="B234" s="16" t="s">
        <v>134</v>
      </c>
      <c r="C234">
        <v>2007</v>
      </c>
      <c r="D234" t="s">
        <v>137</v>
      </c>
      <c r="E234" t="str">
        <f>IF(_2[[#This Row],[Year]]=2000,_2[[#This Row],[Share (%)]],"")</f>
        <v/>
      </c>
      <c r="F234" s="16" t="e" cm="1">
        <f t="array" ref="F234">D234 - _xlfn.XLOOKUP(A234&amp;2000, A:A&amp;C:C, D:D, "No 2000 data")</f>
        <v>#VALUE!</v>
      </c>
    </row>
    <row r="235" spans="1:6" hidden="1" x14ac:dyDescent="0.35">
      <c r="A235" s="16" t="s">
        <v>50</v>
      </c>
      <c r="B235" s="16" t="s">
        <v>134</v>
      </c>
      <c r="C235">
        <v>2008</v>
      </c>
      <c r="D235" t="s">
        <v>137</v>
      </c>
      <c r="E235" t="str">
        <f>IF(_2[[#This Row],[Year]]=2000,_2[[#This Row],[Share (%)]],"")</f>
        <v/>
      </c>
      <c r="F235" s="16" t="e" cm="1">
        <f t="array" ref="F235">D235 - _xlfn.XLOOKUP(A235&amp;2000, A:A&amp;C:C, D:D, "No 2000 data")</f>
        <v>#VALUE!</v>
      </c>
    </row>
    <row r="236" spans="1:6" hidden="1" x14ac:dyDescent="0.35">
      <c r="A236" s="16" t="s">
        <v>50</v>
      </c>
      <c r="B236" s="16" t="s">
        <v>134</v>
      </c>
      <c r="C236">
        <v>2009</v>
      </c>
      <c r="D236" t="s">
        <v>137</v>
      </c>
      <c r="E236" t="str">
        <f>IF(_2[[#This Row],[Year]]=2000,_2[[#This Row],[Share (%)]],"")</f>
        <v/>
      </c>
      <c r="F236" s="16" t="e" cm="1">
        <f t="array" ref="F236">D236 - _xlfn.XLOOKUP(A236&amp;2000, A:A&amp;C:C, D:D, "No 2000 data")</f>
        <v>#VALUE!</v>
      </c>
    </row>
    <row r="237" spans="1:6" hidden="1" x14ac:dyDescent="0.35">
      <c r="A237" s="16" t="s">
        <v>50</v>
      </c>
      <c r="B237" s="16" t="s">
        <v>134</v>
      </c>
      <c r="C237">
        <v>2010</v>
      </c>
      <c r="D237">
        <v>0.01</v>
      </c>
      <c r="E237" t="str">
        <f>IF(_2[[#This Row],[Year]]=2000,_2[[#This Row],[Share (%)]],"")</f>
        <v/>
      </c>
      <c r="F237" s="16" t="e" cm="1">
        <f t="array" ref="F237">D237 - _xlfn.XLOOKUP(A237&amp;2000, A:A&amp;C:C, D:D, "No 2000 data")</f>
        <v>#VALUE!</v>
      </c>
    </row>
    <row r="238" spans="1:6" hidden="1" x14ac:dyDescent="0.35">
      <c r="A238" s="16" t="s">
        <v>50</v>
      </c>
      <c r="B238" s="16" t="s">
        <v>134</v>
      </c>
      <c r="C238">
        <v>2011</v>
      </c>
      <c r="D238">
        <v>0.01</v>
      </c>
      <c r="E238" t="str">
        <f>IF(_2[[#This Row],[Year]]=2000,_2[[#This Row],[Share (%)]],"")</f>
        <v/>
      </c>
      <c r="F238" s="16" t="e" cm="1">
        <f t="array" ref="F238">D238 - _xlfn.XLOOKUP(A238&amp;2000, A:A&amp;C:C, D:D, "No 2000 data")</f>
        <v>#VALUE!</v>
      </c>
    </row>
    <row r="239" spans="1:6" hidden="1" x14ac:dyDescent="0.35">
      <c r="A239" s="16" t="s">
        <v>50</v>
      </c>
      <c r="B239" s="16" t="s">
        <v>134</v>
      </c>
      <c r="C239">
        <v>2012</v>
      </c>
      <c r="D239">
        <v>0.03</v>
      </c>
      <c r="E239" t="str">
        <f>IF(_2[[#This Row],[Year]]=2000,_2[[#This Row],[Share (%)]],"")</f>
        <v/>
      </c>
      <c r="F239" s="16" t="e" cm="1">
        <f t="array" ref="F239">D239 - _xlfn.XLOOKUP(A239&amp;2000, A:A&amp;C:C, D:D, "No 2000 data")</f>
        <v>#VALUE!</v>
      </c>
    </row>
    <row r="240" spans="1:6" hidden="1" x14ac:dyDescent="0.35">
      <c r="A240" s="16" t="s">
        <v>50</v>
      </c>
      <c r="B240" s="16" t="s">
        <v>134</v>
      </c>
      <c r="C240">
        <v>2013</v>
      </c>
      <c r="D240">
        <v>0.08</v>
      </c>
      <c r="E240" t="str">
        <f>IF(_2[[#This Row],[Year]]=2000,_2[[#This Row],[Share (%)]],"")</f>
        <v/>
      </c>
      <c r="F240" s="16" t="e" cm="1">
        <f t="array" ref="F240">D240 - _xlfn.XLOOKUP(A240&amp;2000, A:A&amp;C:C, D:D, "No 2000 data")</f>
        <v>#VALUE!</v>
      </c>
    </row>
    <row r="241" spans="1:6" hidden="1" x14ac:dyDescent="0.35">
      <c r="A241" s="16" t="s">
        <v>50</v>
      </c>
      <c r="B241" s="16" t="s">
        <v>134</v>
      </c>
      <c r="C241">
        <v>2014</v>
      </c>
      <c r="D241">
        <v>0.08</v>
      </c>
      <c r="E241" t="str">
        <f>IF(_2[[#This Row],[Year]]=2000,_2[[#This Row],[Share (%)]],"")</f>
        <v/>
      </c>
      <c r="F241" s="16" t="e" cm="1">
        <f t="array" ref="F241">D241 - _xlfn.XLOOKUP(A241&amp;2000, A:A&amp;C:C, D:D, "No 2000 data")</f>
        <v>#VALUE!</v>
      </c>
    </row>
    <row r="242" spans="1:6" hidden="1" x14ac:dyDescent="0.35">
      <c r="A242" s="16" t="s">
        <v>50</v>
      </c>
      <c r="B242" s="16" t="s">
        <v>134</v>
      </c>
      <c r="C242">
        <v>2015</v>
      </c>
      <c r="D242">
        <v>0.08</v>
      </c>
      <c r="E242" t="str">
        <f>IF(_2[[#This Row],[Year]]=2000,_2[[#This Row],[Share (%)]],"")</f>
        <v/>
      </c>
      <c r="F242" s="16" t="e" cm="1">
        <f t="array" ref="F242">D242 - _xlfn.XLOOKUP(A242&amp;2000, A:A&amp;C:C, D:D, "No 2000 data")</f>
        <v>#VALUE!</v>
      </c>
    </row>
    <row r="243" spans="1:6" hidden="1" x14ac:dyDescent="0.35">
      <c r="A243" s="16" t="s">
        <v>50</v>
      </c>
      <c r="B243" s="16" t="s">
        <v>134</v>
      </c>
      <c r="C243">
        <v>2016</v>
      </c>
      <c r="D243">
        <v>0.31</v>
      </c>
      <c r="E243" t="str">
        <f>IF(_2[[#This Row],[Year]]=2000,_2[[#This Row],[Share (%)]],"")</f>
        <v/>
      </c>
      <c r="F243" s="16" t="e" cm="1">
        <f t="array" ref="F243">D243 - _xlfn.XLOOKUP(A243&amp;2000, A:A&amp;C:C, D:D, "No 2000 data")</f>
        <v>#VALUE!</v>
      </c>
    </row>
    <row r="244" spans="1:6" hidden="1" x14ac:dyDescent="0.35">
      <c r="A244" s="16" t="s">
        <v>50</v>
      </c>
      <c r="B244" s="16" t="s">
        <v>134</v>
      </c>
      <c r="C244">
        <v>2017</v>
      </c>
      <c r="D244">
        <v>0.34</v>
      </c>
      <c r="E244" t="str">
        <f>IF(_2[[#This Row],[Year]]=2000,_2[[#This Row],[Share (%)]],"")</f>
        <v/>
      </c>
      <c r="F244" s="16" t="e" cm="1">
        <f t="array" ref="F244">D244 - _xlfn.XLOOKUP(A244&amp;2000, A:A&amp;C:C, D:D, "No 2000 data")</f>
        <v>#VALUE!</v>
      </c>
    </row>
    <row r="245" spans="1:6" hidden="1" x14ac:dyDescent="0.35">
      <c r="A245" s="16" t="s">
        <v>50</v>
      </c>
      <c r="B245" s="16" t="s">
        <v>134</v>
      </c>
      <c r="C245">
        <v>2018</v>
      </c>
      <c r="D245">
        <v>0.35</v>
      </c>
      <c r="E245" t="str">
        <f>IF(_2[[#This Row],[Year]]=2000,_2[[#This Row],[Share (%)]],"")</f>
        <v/>
      </c>
      <c r="F245" s="16" t="e" cm="1">
        <f t="array" ref="F245">D245 - _xlfn.XLOOKUP(A245&amp;2000, A:A&amp;C:C, D:D, "No 2000 data")</f>
        <v>#VALUE!</v>
      </c>
    </row>
    <row r="246" spans="1:6" hidden="1" x14ac:dyDescent="0.35">
      <c r="A246" s="16" t="s">
        <v>50</v>
      </c>
      <c r="B246" s="16" t="s">
        <v>134</v>
      </c>
      <c r="C246">
        <v>2019</v>
      </c>
      <c r="D246">
        <v>0.35</v>
      </c>
      <c r="E246" t="str">
        <f>IF(_2[[#This Row],[Year]]=2000,_2[[#This Row],[Share (%)]],"")</f>
        <v/>
      </c>
      <c r="F246" s="16" t="e" cm="1">
        <f t="array" ref="F246">D246 - _xlfn.XLOOKUP(A246&amp;2000, A:A&amp;C:C, D:D, "No 2000 data")</f>
        <v>#VALUE!</v>
      </c>
    </row>
    <row r="247" spans="1:6" hidden="1" x14ac:dyDescent="0.35">
      <c r="A247" s="16" t="s">
        <v>50</v>
      </c>
      <c r="B247" s="16" t="s">
        <v>134</v>
      </c>
      <c r="C247">
        <v>2020</v>
      </c>
      <c r="D247">
        <v>0.35</v>
      </c>
      <c r="E247" t="str">
        <f>IF(_2[[#This Row],[Year]]=2000,_2[[#This Row],[Share (%)]],"")</f>
        <v/>
      </c>
      <c r="F247" s="16" t="e" cm="1">
        <f t="array" ref="F247">D247 - _xlfn.XLOOKUP(A247&amp;2000, A:A&amp;C:C, D:D, "No 2000 data")</f>
        <v>#VALUE!</v>
      </c>
    </row>
    <row r="248" spans="1:6" hidden="1" x14ac:dyDescent="0.35">
      <c r="A248" s="16" t="s">
        <v>50</v>
      </c>
      <c r="B248" s="16" t="s">
        <v>134</v>
      </c>
      <c r="C248">
        <v>2021</v>
      </c>
      <c r="D248">
        <v>14.24</v>
      </c>
      <c r="E248" t="str">
        <f>IF(_2[[#This Row],[Year]]=2000,_2[[#This Row],[Share (%)]],"")</f>
        <v/>
      </c>
      <c r="F248" s="16" t="e" cm="1">
        <f t="array" ref="F248">D248 - _xlfn.XLOOKUP(A248&amp;2000, A:A&amp;C:C, D:D, "No 2000 data")</f>
        <v>#VALUE!</v>
      </c>
    </row>
    <row r="249" spans="1:6" hidden="1" x14ac:dyDescent="0.35">
      <c r="A249" s="16" t="s">
        <v>50</v>
      </c>
      <c r="B249" s="16" t="s">
        <v>134</v>
      </c>
      <c r="C249">
        <v>2022</v>
      </c>
      <c r="D249">
        <v>14.24</v>
      </c>
      <c r="E249" t="str">
        <f>IF(_2[[#This Row],[Year]]=2000,_2[[#This Row],[Share (%)]],"")</f>
        <v/>
      </c>
      <c r="F249" s="16" t="e" cm="1">
        <f t="array" ref="F249">D249 - _xlfn.XLOOKUP(A249&amp;2000, A:A&amp;C:C, D:D, "No 2000 data")</f>
        <v>#VALUE!</v>
      </c>
    </row>
    <row r="250" spans="1:6" hidden="1" x14ac:dyDescent="0.35">
      <c r="A250" s="16" t="s">
        <v>50</v>
      </c>
      <c r="B250" s="16" t="s">
        <v>134</v>
      </c>
      <c r="C250">
        <v>2023</v>
      </c>
      <c r="D250">
        <v>39.54</v>
      </c>
      <c r="E250" t="str">
        <f>IF(_2[[#This Row],[Year]]=2000,_2[[#This Row],[Share (%)]],"")</f>
        <v/>
      </c>
      <c r="F250" s="16" t="e" cm="1">
        <f t="array" ref="F250">D250 - _xlfn.XLOOKUP(A250&amp;2000, A:A&amp;C:C, D:D, "No 2000 data")</f>
        <v>#VALUE!</v>
      </c>
    </row>
    <row r="251" spans="1:6" hidden="1" x14ac:dyDescent="0.35">
      <c r="A251" s="16" t="s">
        <v>50</v>
      </c>
      <c r="B251" s="16" t="s">
        <v>134</v>
      </c>
      <c r="C251">
        <v>2024</v>
      </c>
      <c r="D251">
        <v>39.54</v>
      </c>
      <c r="E251" t="str">
        <f>IF(_2[[#This Row],[Year]]=2000,_2[[#This Row],[Share (%)]],"")</f>
        <v/>
      </c>
      <c r="F251" s="16" t="e" cm="1">
        <f t="array" ref="F251">D251 - _xlfn.XLOOKUP(A251&amp;2000, A:A&amp;C:C, D:D, "No 2000 data")</f>
        <v>#VALUE!</v>
      </c>
    </row>
    <row r="252" spans="1:6" x14ac:dyDescent="0.35">
      <c r="A252" s="16" t="s">
        <v>138</v>
      </c>
      <c r="B252" s="16" t="s">
        <v>134</v>
      </c>
      <c r="C252">
        <v>2000</v>
      </c>
      <c r="D252">
        <v>16.940000000000001</v>
      </c>
      <c r="E252">
        <f>IF(_2[[#This Row],[Year]]=2000,_2[[#This Row],[Share (%)]],"")</f>
        <v>16.940000000000001</v>
      </c>
      <c r="F252" s="16" cm="1">
        <f t="array" ref="F252">D252 - _xlfn.XLOOKUP(A252&amp;2000, A:A&amp;C:C, D:D, "No 2000 data")</f>
        <v>0</v>
      </c>
    </row>
    <row r="253" spans="1:6" x14ac:dyDescent="0.35">
      <c r="A253" s="16" t="s">
        <v>138</v>
      </c>
      <c r="B253" s="16" t="s">
        <v>134</v>
      </c>
      <c r="C253">
        <v>2001</v>
      </c>
      <c r="D253">
        <v>16.940000000000001</v>
      </c>
      <c r="E253" t="str">
        <f>IF(_2[[#This Row],[Year]]=2000,_2[[#This Row],[Share (%)]],"")</f>
        <v/>
      </c>
      <c r="F253" s="16" cm="1">
        <f t="array" ref="F253">D253 - _xlfn.XLOOKUP(A253&amp;2000, A:A&amp;C:C, D:D, "No 2000 data")</f>
        <v>0</v>
      </c>
    </row>
    <row r="254" spans="1:6" x14ac:dyDescent="0.35">
      <c r="A254" s="16" t="s">
        <v>138</v>
      </c>
      <c r="B254" s="16" t="s">
        <v>134</v>
      </c>
      <c r="C254">
        <v>2002</v>
      </c>
      <c r="D254">
        <v>17.11</v>
      </c>
      <c r="E254" t="str">
        <f>IF(_2[[#This Row],[Year]]=2000,_2[[#This Row],[Share (%)]],"")</f>
        <v/>
      </c>
      <c r="F254" s="16" cm="1">
        <f t="array" ref="F254">D254 - _xlfn.XLOOKUP(A254&amp;2000, A:A&amp;C:C, D:D, "No 2000 data")</f>
        <v>0.16999999999999815</v>
      </c>
    </row>
    <row r="255" spans="1:6" x14ac:dyDescent="0.35">
      <c r="A255" s="16" t="s">
        <v>138</v>
      </c>
      <c r="B255" s="16" t="s">
        <v>134</v>
      </c>
      <c r="C255">
        <v>2003</v>
      </c>
      <c r="D255">
        <v>15.54</v>
      </c>
      <c r="E255" t="str">
        <f>IF(_2[[#This Row],[Year]]=2000,_2[[#This Row],[Share (%)]],"")</f>
        <v/>
      </c>
      <c r="F255" s="16" cm="1">
        <f t="array" ref="F255">D255 - _xlfn.XLOOKUP(A255&amp;2000, A:A&amp;C:C, D:D, "No 2000 data")</f>
        <v>-1.4000000000000021</v>
      </c>
    </row>
    <row r="256" spans="1:6" x14ac:dyDescent="0.35">
      <c r="A256" s="16" t="s">
        <v>138</v>
      </c>
      <c r="B256" s="16" t="s">
        <v>134</v>
      </c>
      <c r="C256">
        <v>2004</v>
      </c>
      <c r="D256">
        <v>15.38</v>
      </c>
      <c r="E256" t="str">
        <f>IF(_2[[#This Row],[Year]]=2000,_2[[#This Row],[Share (%)]],"")</f>
        <v/>
      </c>
      <c r="F256" s="16" cm="1">
        <f t="array" ref="F256">D256 - _xlfn.XLOOKUP(A256&amp;2000, A:A&amp;C:C, D:D, "No 2000 data")</f>
        <v>-1.5600000000000005</v>
      </c>
    </row>
    <row r="257" spans="1:6" x14ac:dyDescent="0.35">
      <c r="A257" s="16" t="s">
        <v>138</v>
      </c>
      <c r="B257" s="16" t="s">
        <v>134</v>
      </c>
      <c r="C257">
        <v>2005</v>
      </c>
      <c r="D257">
        <v>14.19</v>
      </c>
      <c r="E257" t="str">
        <f>IF(_2[[#This Row],[Year]]=2000,_2[[#This Row],[Share (%)]],"")</f>
        <v/>
      </c>
      <c r="F257" s="16" cm="1">
        <f t="array" ref="F257">D257 - _xlfn.XLOOKUP(A257&amp;2000, A:A&amp;C:C, D:D, "No 2000 data")</f>
        <v>-2.7500000000000018</v>
      </c>
    </row>
    <row r="258" spans="1:6" x14ac:dyDescent="0.35">
      <c r="A258" s="16" t="s">
        <v>138</v>
      </c>
      <c r="B258" s="16" t="s">
        <v>134</v>
      </c>
      <c r="C258">
        <v>2006</v>
      </c>
      <c r="D258">
        <v>13.6</v>
      </c>
      <c r="E258" t="str">
        <f>IF(_2[[#This Row],[Year]]=2000,_2[[#This Row],[Share (%)]],"")</f>
        <v/>
      </c>
      <c r="F258" s="16" cm="1">
        <f t="array" ref="F258">D258 - _xlfn.XLOOKUP(A258&amp;2000, A:A&amp;C:C, D:D, "No 2000 data")</f>
        <v>-3.3400000000000016</v>
      </c>
    </row>
    <row r="259" spans="1:6" x14ac:dyDescent="0.35">
      <c r="A259" s="16" t="s">
        <v>138</v>
      </c>
      <c r="B259" s="16" t="s">
        <v>134</v>
      </c>
      <c r="C259">
        <v>2007</v>
      </c>
      <c r="D259">
        <v>13.61</v>
      </c>
      <c r="E259" t="str">
        <f>IF(_2[[#This Row],[Year]]=2000,_2[[#This Row],[Share (%)]],"")</f>
        <v/>
      </c>
      <c r="F259" s="16" cm="1">
        <f t="array" ref="F259">D259 - _xlfn.XLOOKUP(A259&amp;2000, A:A&amp;C:C, D:D, "No 2000 data")</f>
        <v>-3.3300000000000018</v>
      </c>
    </row>
    <row r="260" spans="1:6" x14ac:dyDescent="0.35">
      <c r="A260" s="16" t="s">
        <v>138</v>
      </c>
      <c r="B260" s="16" t="s">
        <v>134</v>
      </c>
      <c r="C260">
        <v>2008</v>
      </c>
      <c r="D260">
        <v>13.47</v>
      </c>
      <c r="E260" t="str">
        <f>IF(_2[[#This Row],[Year]]=2000,_2[[#This Row],[Share (%)]],"")</f>
        <v/>
      </c>
      <c r="F260" s="16" cm="1">
        <f t="array" ref="F260">D260 - _xlfn.XLOOKUP(A260&amp;2000, A:A&amp;C:C, D:D, "No 2000 data")</f>
        <v>-3.4700000000000006</v>
      </c>
    </row>
    <row r="261" spans="1:6" x14ac:dyDescent="0.35">
      <c r="A261" s="16" t="s">
        <v>138</v>
      </c>
      <c r="B261" s="16" t="s">
        <v>134</v>
      </c>
      <c r="C261">
        <v>2009</v>
      </c>
      <c r="D261">
        <v>13.01</v>
      </c>
      <c r="E261" t="str">
        <f>IF(_2[[#This Row],[Year]]=2000,_2[[#This Row],[Share (%)]],"")</f>
        <v/>
      </c>
      <c r="F261" s="16" cm="1">
        <f t="array" ref="F261">D261 - _xlfn.XLOOKUP(A261&amp;2000, A:A&amp;C:C, D:D, "No 2000 data")</f>
        <v>-3.9300000000000015</v>
      </c>
    </row>
    <row r="262" spans="1:6" x14ac:dyDescent="0.35">
      <c r="A262" s="16" t="s">
        <v>138</v>
      </c>
      <c r="B262" s="16" t="s">
        <v>134</v>
      </c>
      <c r="C262">
        <v>2010</v>
      </c>
      <c r="D262">
        <v>12.42</v>
      </c>
      <c r="E262" t="str">
        <f>IF(_2[[#This Row],[Year]]=2000,_2[[#This Row],[Share (%)]],"")</f>
        <v/>
      </c>
      <c r="F262" s="16" cm="1">
        <f t="array" ref="F262">D262 - _xlfn.XLOOKUP(A262&amp;2000, A:A&amp;C:C, D:D, "No 2000 data")</f>
        <v>-4.5200000000000014</v>
      </c>
    </row>
    <row r="263" spans="1:6" x14ac:dyDescent="0.35">
      <c r="A263" s="16" t="s">
        <v>138</v>
      </c>
      <c r="B263" s="16" t="s">
        <v>134</v>
      </c>
      <c r="C263">
        <v>2011</v>
      </c>
      <c r="D263">
        <v>11.63</v>
      </c>
      <c r="E263" t="str">
        <f>IF(_2[[#This Row],[Year]]=2000,_2[[#This Row],[Share (%)]],"")</f>
        <v/>
      </c>
      <c r="F263" s="16" cm="1">
        <f t="array" ref="F263">D263 - _xlfn.XLOOKUP(A263&amp;2000, A:A&amp;C:C, D:D, "No 2000 data")</f>
        <v>-5.3100000000000005</v>
      </c>
    </row>
    <row r="264" spans="1:6" x14ac:dyDescent="0.35">
      <c r="A264" s="16" t="s">
        <v>138</v>
      </c>
      <c r="B264" s="16" t="s">
        <v>134</v>
      </c>
      <c r="C264">
        <v>2012</v>
      </c>
      <c r="D264">
        <v>10.99</v>
      </c>
      <c r="E264" t="str">
        <f>IF(_2[[#This Row],[Year]]=2000,_2[[#This Row],[Share (%)]],"")</f>
        <v/>
      </c>
      <c r="F264" s="16" cm="1">
        <f t="array" ref="F264">D264 - _xlfn.XLOOKUP(A264&amp;2000, A:A&amp;C:C, D:D, "No 2000 data")</f>
        <v>-5.9500000000000011</v>
      </c>
    </row>
    <row r="265" spans="1:6" x14ac:dyDescent="0.35">
      <c r="A265" s="16" t="s">
        <v>138</v>
      </c>
      <c r="B265" s="16" t="s">
        <v>134</v>
      </c>
      <c r="C265">
        <v>2013</v>
      </c>
      <c r="D265">
        <v>10.58</v>
      </c>
      <c r="E265" t="str">
        <f>IF(_2[[#This Row],[Year]]=2000,_2[[#This Row],[Share (%)]],"")</f>
        <v/>
      </c>
      <c r="F265" s="16" cm="1">
        <f t="array" ref="F265">D265 - _xlfn.XLOOKUP(A265&amp;2000, A:A&amp;C:C, D:D, "No 2000 data")</f>
        <v>-6.3600000000000012</v>
      </c>
    </row>
    <row r="266" spans="1:6" x14ac:dyDescent="0.35">
      <c r="A266" s="16" t="s">
        <v>138</v>
      </c>
      <c r="B266" s="16" t="s">
        <v>134</v>
      </c>
      <c r="C266">
        <v>2014</v>
      </c>
      <c r="D266">
        <v>10.58</v>
      </c>
      <c r="E266" t="str">
        <f>IF(_2[[#This Row],[Year]]=2000,_2[[#This Row],[Share (%)]],"")</f>
        <v/>
      </c>
      <c r="F266" s="16" cm="1">
        <f t="array" ref="F266">D266 - _xlfn.XLOOKUP(A266&amp;2000, A:A&amp;C:C, D:D, "No 2000 data")</f>
        <v>-6.3600000000000012</v>
      </c>
    </row>
    <row r="267" spans="1:6" x14ac:dyDescent="0.35">
      <c r="A267" s="16" t="s">
        <v>138</v>
      </c>
      <c r="B267" s="16" t="s">
        <v>134</v>
      </c>
      <c r="C267">
        <v>2015</v>
      </c>
      <c r="D267">
        <v>10.36</v>
      </c>
      <c r="E267" t="str">
        <f>IF(_2[[#This Row],[Year]]=2000,_2[[#This Row],[Share (%)]],"")</f>
        <v/>
      </c>
      <c r="F267" s="16" cm="1">
        <f t="array" ref="F267">D267 - _xlfn.XLOOKUP(A267&amp;2000, A:A&amp;C:C, D:D, "No 2000 data")</f>
        <v>-6.5800000000000018</v>
      </c>
    </row>
    <row r="268" spans="1:6" x14ac:dyDescent="0.35">
      <c r="A268" s="16" t="s">
        <v>138</v>
      </c>
      <c r="B268" s="16" t="s">
        <v>134</v>
      </c>
      <c r="C268">
        <v>2016</v>
      </c>
      <c r="D268">
        <v>9.4499999999999993</v>
      </c>
      <c r="E268" t="str">
        <f>IF(_2[[#This Row],[Year]]=2000,_2[[#This Row],[Share (%)]],"")</f>
        <v/>
      </c>
      <c r="F268" s="16" cm="1">
        <f t="array" ref="F268">D268 - _xlfn.XLOOKUP(A268&amp;2000, A:A&amp;C:C, D:D, "No 2000 data")</f>
        <v>-7.490000000000002</v>
      </c>
    </row>
    <row r="269" spans="1:6" x14ac:dyDescent="0.35">
      <c r="A269" s="16" t="s">
        <v>138</v>
      </c>
      <c r="B269" s="16" t="s">
        <v>134</v>
      </c>
      <c r="C269">
        <v>2017</v>
      </c>
      <c r="D269">
        <v>8.41</v>
      </c>
      <c r="E269" t="str">
        <f>IF(_2[[#This Row],[Year]]=2000,_2[[#This Row],[Share (%)]],"")</f>
        <v/>
      </c>
      <c r="F269" s="16" cm="1">
        <f t="array" ref="F269">D269 - _xlfn.XLOOKUP(A269&amp;2000, A:A&amp;C:C, D:D, "No 2000 data")</f>
        <v>-8.5300000000000011</v>
      </c>
    </row>
    <row r="270" spans="1:6" x14ac:dyDescent="0.35">
      <c r="A270" s="16" t="s">
        <v>138</v>
      </c>
      <c r="B270" s="16" t="s">
        <v>134</v>
      </c>
      <c r="C270">
        <v>2018</v>
      </c>
      <c r="D270">
        <v>8.6</v>
      </c>
      <c r="E270" t="str">
        <f>IF(_2[[#This Row],[Year]]=2000,_2[[#This Row],[Share (%)]],"")</f>
        <v/>
      </c>
      <c r="F270" s="16" cm="1">
        <f t="array" ref="F270">D270 - _xlfn.XLOOKUP(A270&amp;2000, A:A&amp;C:C, D:D, "No 2000 data")</f>
        <v>-8.3400000000000016</v>
      </c>
    </row>
    <row r="271" spans="1:6" x14ac:dyDescent="0.35">
      <c r="A271" s="16" t="s">
        <v>138</v>
      </c>
      <c r="B271" s="16" t="s">
        <v>134</v>
      </c>
      <c r="C271">
        <v>2019</v>
      </c>
      <c r="D271">
        <v>9.74</v>
      </c>
      <c r="E271" t="str">
        <f>IF(_2[[#This Row],[Year]]=2000,_2[[#This Row],[Share (%)]],"")</f>
        <v/>
      </c>
      <c r="F271" s="16" cm="1">
        <f t="array" ref="F271">D271 - _xlfn.XLOOKUP(A271&amp;2000, A:A&amp;C:C, D:D, "No 2000 data")</f>
        <v>-7.2000000000000011</v>
      </c>
    </row>
    <row r="272" spans="1:6" x14ac:dyDescent="0.35">
      <c r="A272" s="16" t="s">
        <v>138</v>
      </c>
      <c r="B272" s="16" t="s">
        <v>134</v>
      </c>
      <c r="C272">
        <v>2020</v>
      </c>
      <c r="D272">
        <v>10.029999999999999</v>
      </c>
      <c r="E272" t="str">
        <f>IF(_2[[#This Row],[Year]]=2000,_2[[#This Row],[Share (%)]],"")</f>
        <v/>
      </c>
      <c r="F272" s="16" cm="1">
        <f t="array" ref="F272">D272 - _xlfn.XLOOKUP(A272&amp;2000, A:A&amp;C:C, D:D, "No 2000 data")</f>
        <v>-6.9100000000000019</v>
      </c>
    </row>
    <row r="273" spans="1:6" x14ac:dyDescent="0.35">
      <c r="A273" s="16" t="s">
        <v>138</v>
      </c>
      <c r="B273" s="16" t="s">
        <v>134</v>
      </c>
      <c r="C273">
        <v>2021</v>
      </c>
      <c r="D273">
        <v>10.5</v>
      </c>
      <c r="E273" t="str">
        <f>IF(_2[[#This Row],[Year]]=2000,_2[[#This Row],[Share (%)]],"")</f>
        <v/>
      </c>
      <c r="F273" s="16" cm="1">
        <f t="array" ref="F273">D273 - _xlfn.XLOOKUP(A273&amp;2000, A:A&amp;C:C, D:D, "No 2000 data")</f>
        <v>-6.4400000000000013</v>
      </c>
    </row>
    <row r="274" spans="1:6" x14ac:dyDescent="0.35">
      <c r="A274" s="16" t="s">
        <v>138</v>
      </c>
      <c r="B274" s="16" t="s">
        <v>134</v>
      </c>
      <c r="C274">
        <v>2022</v>
      </c>
      <c r="D274">
        <v>10.5</v>
      </c>
      <c r="E274" t="str">
        <f>IF(_2[[#This Row],[Year]]=2000,_2[[#This Row],[Share (%)]],"")</f>
        <v/>
      </c>
      <c r="F274" s="16" cm="1">
        <f t="array" ref="F274">D274 - _xlfn.XLOOKUP(A274&amp;2000, A:A&amp;C:C, D:D, "No 2000 data")</f>
        <v>-6.4400000000000013</v>
      </c>
    </row>
    <row r="275" spans="1:6" x14ac:dyDescent="0.35">
      <c r="A275" s="16" t="s">
        <v>138</v>
      </c>
      <c r="B275" s="16" t="s">
        <v>134</v>
      </c>
      <c r="C275">
        <v>2023</v>
      </c>
      <c r="D275">
        <v>11.16</v>
      </c>
      <c r="E275" t="str">
        <f>IF(_2[[#This Row],[Year]]=2000,_2[[#This Row],[Share (%)]],"")</f>
        <v/>
      </c>
      <c r="F275" s="16" cm="1">
        <f t="array" ref="F275">D275 - _xlfn.XLOOKUP(A275&amp;2000, A:A&amp;C:C, D:D, "No 2000 data")</f>
        <v>-5.7800000000000011</v>
      </c>
    </row>
    <row r="276" spans="1:6" x14ac:dyDescent="0.35">
      <c r="A276" s="16" t="s">
        <v>138</v>
      </c>
      <c r="B276" s="16" t="s">
        <v>134</v>
      </c>
      <c r="C276">
        <v>2024</v>
      </c>
      <c r="D276">
        <v>12.67</v>
      </c>
      <c r="E276" t="str">
        <f>IF(_2[[#This Row],[Year]]=2000,_2[[#This Row],[Share (%)]],"")</f>
        <v/>
      </c>
      <c r="F276" s="16" cm="1">
        <f t="array" ref="F276">D276 - _xlfn.XLOOKUP(A276&amp;2000, A:A&amp;C:C, D:D, "No 2000 data")</f>
        <v>-4.2700000000000014</v>
      </c>
    </row>
    <row r="277" spans="1:6" x14ac:dyDescent="0.35">
      <c r="A277" s="16" t="s">
        <v>67</v>
      </c>
      <c r="B277" s="16" t="s">
        <v>134</v>
      </c>
      <c r="C277">
        <v>2000</v>
      </c>
      <c r="D277">
        <v>15.64</v>
      </c>
      <c r="E277">
        <f>IF(_2[[#This Row],[Year]]=2000,_2[[#This Row],[Share (%)]],"")</f>
        <v>15.64</v>
      </c>
      <c r="F277" s="16" cm="1">
        <f t="array" ref="F277">D277 - _xlfn.XLOOKUP(A277&amp;2000, A:A&amp;C:C, D:D, "No 2000 data")</f>
        <v>0</v>
      </c>
    </row>
    <row r="278" spans="1:6" x14ac:dyDescent="0.35">
      <c r="A278" s="16" t="s">
        <v>67</v>
      </c>
      <c r="B278" s="16" t="s">
        <v>134</v>
      </c>
      <c r="C278">
        <v>2001</v>
      </c>
      <c r="D278">
        <v>15.64</v>
      </c>
      <c r="E278" t="str">
        <f>IF(_2[[#This Row],[Year]]=2000,_2[[#This Row],[Share (%)]],"")</f>
        <v/>
      </c>
      <c r="F278" s="16" cm="1">
        <f t="array" ref="F278">D278 - _xlfn.XLOOKUP(A278&amp;2000, A:A&amp;C:C, D:D, "No 2000 data")</f>
        <v>0</v>
      </c>
    </row>
    <row r="279" spans="1:6" x14ac:dyDescent="0.35">
      <c r="A279" s="16" t="s">
        <v>67</v>
      </c>
      <c r="B279" s="16" t="s">
        <v>134</v>
      </c>
      <c r="C279">
        <v>2002</v>
      </c>
      <c r="D279">
        <v>15.64</v>
      </c>
      <c r="E279" t="str">
        <f>IF(_2[[#This Row],[Year]]=2000,_2[[#This Row],[Share (%)]],"")</f>
        <v/>
      </c>
      <c r="F279" s="16" cm="1">
        <f t="array" ref="F279">D279 - _xlfn.XLOOKUP(A279&amp;2000, A:A&amp;C:C, D:D, "No 2000 data")</f>
        <v>0</v>
      </c>
    </row>
    <row r="280" spans="1:6" x14ac:dyDescent="0.35">
      <c r="A280" s="16" t="s">
        <v>67</v>
      </c>
      <c r="B280" s="16" t="s">
        <v>134</v>
      </c>
      <c r="C280">
        <v>2003</v>
      </c>
      <c r="D280">
        <v>15.64</v>
      </c>
      <c r="E280" t="str">
        <f>IF(_2[[#This Row],[Year]]=2000,_2[[#This Row],[Share (%)]],"")</f>
        <v/>
      </c>
      <c r="F280" s="16" cm="1">
        <f t="array" ref="F280">D280 - _xlfn.XLOOKUP(A280&amp;2000, A:A&amp;C:C, D:D, "No 2000 data")</f>
        <v>0</v>
      </c>
    </row>
    <row r="281" spans="1:6" x14ac:dyDescent="0.35">
      <c r="A281" s="16" t="s">
        <v>67</v>
      </c>
      <c r="B281" s="16" t="s">
        <v>134</v>
      </c>
      <c r="C281">
        <v>2004</v>
      </c>
      <c r="D281">
        <v>15.64</v>
      </c>
      <c r="E281" t="str">
        <f>IF(_2[[#This Row],[Year]]=2000,_2[[#This Row],[Share (%)]],"")</f>
        <v/>
      </c>
      <c r="F281" s="16" cm="1">
        <f t="array" ref="F281">D281 - _xlfn.XLOOKUP(A281&amp;2000, A:A&amp;C:C, D:D, "No 2000 data")</f>
        <v>0</v>
      </c>
    </row>
    <row r="282" spans="1:6" x14ac:dyDescent="0.35">
      <c r="A282" s="16" t="s">
        <v>67</v>
      </c>
      <c r="B282" s="16" t="s">
        <v>134</v>
      </c>
      <c r="C282">
        <v>2005</v>
      </c>
      <c r="D282">
        <v>15.64</v>
      </c>
      <c r="E282" t="str">
        <f>IF(_2[[#This Row],[Year]]=2000,_2[[#This Row],[Share (%)]],"")</f>
        <v/>
      </c>
      <c r="F282" s="16" cm="1">
        <f t="array" ref="F282">D282 - _xlfn.XLOOKUP(A282&amp;2000, A:A&amp;C:C, D:D, "No 2000 data")</f>
        <v>0</v>
      </c>
    </row>
    <row r="283" spans="1:6" x14ac:dyDescent="0.35">
      <c r="A283" s="16" t="s">
        <v>67</v>
      </c>
      <c r="B283" s="16" t="s">
        <v>134</v>
      </c>
      <c r="C283">
        <v>2006</v>
      </c>
      <c r="D283">
        <v>15.64</v>
      </c>
      <c r="E283" t="str">
        <f>IF(_2[[#This Row],[Year]]=2000,_2[[#This Row],[Share (%)]],"")</f>
        <v/>
      </c>
      <c r="F283" s="16" cm="1">
        <f t="array" ref="F283">D283 - _xlfn.XLOOKUP(A283&amp;2000, A:A&amp;C:C, D:D, "No 2000 data")</f>
        <v>0</v>
      </c>
    </row>
    <row r="284" spans="1:6" x14ac:dyDescent="0.35">
      <c r="A284" s="16" t="s">
        <v>67</v>
      </c>
      <c r="B284" s="16" t="s">
        <v>134</v>
      </c>
      <c r="C284">
        <v>2007</v>
      </c>
      <c r="D284">
        <v>9.36</v>
      </c>
      <c r="E284" t="str">
        <f>IF(_2[[#This Row],[Year]]=2000,_2[[#This Row],[Share (%)]],"")</f>
        <v/>
      </c>
      <c r="F284" s="16" cm="1">
        <f t="array" ref="F284">D284 - _xlfn.XLOOKUP(A284&amp;2000, A:A&amp;C:C, D:D, "No 2000 data")</f>
        <v>-6.2800000000000011</v>
      </c>
    </row>
    <row r="285" spans="1:6" x14ac:dyDescent="0.35">
      <c r="A285" s="16" t="s">
        <v>67</v>
      </c>
      <c r="B285" s="16" t="s">
        <v>134</v>
      </c>
      <c r="C285">
        <v>2008</v>
      </c>
      <c r="D285">
        <v>9.36</v>
      </c>
      <c r="E285" t="str">
        <f>IF(_2[[#This Row],[Year]]=2000,_2[[#This Row],[Share (%)]],"")</f>
        <v/>
      </c>
      <c r="F285" s="16" cm="1">
        <f t="array" ref="F285">D285 - _xlfn.XLOOKUP(A285&amp;2000, A:A&amp;C:C, D:D, "No 2000 data")</f>
        <v>-6.2800000000000011</v>
      </c>
    </row>
    <row r="286" spans="1:6" x14ac:dyDescent="0.35">
      <c r="A286" s="16" t="s">
        <v>67</v>
      </c>
      <c r="B286" s="16" t="s">
        <v>134</v>
      </c>
      <c r="C286">
        <v>2009</v>
      </c>
      <c r="D286">
        <v>9.36</v>
      </c>
      <c r="E286" t="str">
        <f>IF(_2[[#This Row],[Year]]=2000,_2[[#This Row],[Share (%)]],"")</f>
        <v/>
      </c>
      <c r="F286" s="16" cm="1">
        <f t="array" ref="F286">D286 - _xlfn.XLOOKUP(A286&amp;2000, A:A&amp;C:C, D:D, "No 2000 data")</f>
        <v>-6.2800000000000011</v>
      </c>
    </row>
    <row r="287" spans="1:6" x14ac:dyDescent="0.35">
      <c r="A287" s="16" t="s">
        <v>67</v>
      </c>
      <c r="B287" s="16" t="s">
        <v>134</v>
      </c>
      <c r="C287">
        <v>2010</v>
      </c>
      <c r="D287">
        <v>7.02</v>
      </c>
      <c r="E287" t="str">
        <f>IF(_2[[#This Row],[Year]]=2000,_2[[#This Row],[Share (%)]],"")</f>
        <v/>
      </c>
      <c r="F287" s="16" cm="1">
        <f t="array" ref="F287">D287 - _xlfn.XLOOKUP(A287&amp;2000, A:A&amp;C:C, D:D, "No 2000 data")</f>
        <v>-8.620000000000001</v>
      </c>
    </row>
    <row r="288" spans="1:6" x14ac:dyDescent="0.35">
      <c r="A288" s="16" t="s">
        <v>67</v>
      </c>
      <c r="B288" s="16" t="s">
        <v>134</v>
      </c>
      <c r="C288">
        <v>2011</v>
      </c>
      <c r="D288">
        <v>7.02</v>
      </c>
      <c r="E288" t="str">
        <f>IF(_2[[#This Row],[Year]]=2000,_2[[#This Row],[Share (%)]],"")</f>
        <v/>
      </c>
      <c r="F288" s="16" cm="1">
        <f t="array" ref="F288">D288 - _xlfn.XLOOKUP(A288&amp;2000, A:A&amp;C:C, D:D, "No 2000 data")</f>
        <v>-8.620000000000001</v>
      </c>
    </row>
    <row r="289" spans="1:6" x14ac:dyDescent="0.35">
      <c r="A289" s="16" t="s">
        <v>67</v>
      </c>
      <c r="B289" s="16" t="s">
        <v>134</v>
      </c>
      <c r="C289">
        <v>2012</v>
      </c>
      <c r="D289">
        <v>36.11</v>
      </c>
      <c r="E289" t="str">
        <f>IF(_2[[#This Row],[Year]]=2000,_2[[#This Row],[Share (%)]],"")</f>
        <v/>
      </c>
      <c r="F289" s="16" cm="1">
        <f t="array" ref="F289">D289 - _xlfn.XLOOKUP(A289&amp;2000, A:A&amp;C:C, D:D, "No 2000 data")</f>
        <v>20.47</v>
      </c>
    </row>
    <row r="290" spans="1:6" x14ac:dyDescent="0.35">
      <c r="A290" s="16" t="s">
        <v>67</v>
      </c>
      <c r="B290" s="16" t="s">
        <v>134</v>
      </c>
      <c r="C290">
        <v>2013</v>
      </c>
      <c r="D290">
        <v>36.11</v>
      </c>
      <c r="E290" t="str">
        <f>IF(_2[[#This Row],[Year]]=2000,_2[[#This Row],[Share (%)]],"")</f>
        <v/>
      </c>
      <c r="F290" s="16" cm="1">
        <f t="array" ref="F290">D290 - _xlfn.XLOOKUP(A290&amp;2000, A:A&amp;C:C, D:D, "No 2000 data")</f>
        <v>20.47</v>
      </c>
    </row>
    <row r="291" spans="1:6" x14ac:dyDescent="0.35">
      <c r="A291" s="16" t="s">
        <v>67</v>
      </c>
      <c r="B291" s="16" t="s">
        <v>134</v>
      </c>
      <c r="C291">
        <v>2014</v>
      </c>
      <c r="D291">
        <v>36.11</v>
      </c>
      <c r="E291" t="str">
        <f>IF(_2[[#This Row],[Year]]=2000,_2[[#This Row],[Share (%)]],"")</f>
        <v/>
      </c>
      <c r="F291" s="16" cm="1">
        <f t="array" ref="F291">D291 - _xlfn.XLOOKUP(A291&amp;2000, A:A&amp;C:C, D:D, "No 2000 data")</f>
        <v>20.47</v>
      </c>
    </row>
    <row r="292" spans="1:6" x14ac:dyDescent="0.35">
      <c r="A292" s="16" t="s">
        <v>67</v>
      </c>
      <c r="B292" s="16" t="s">
        <v>134</v>
      </c>
      <c r="C292">
        <v>2015</v>
      </c>
      <c r="D292">
        <v>36.11</v>
      </c>
      <c r="E292" t="str">
        <f>IF(_2[[#This Row],[Year]]=2000,_2[[#This Row],[Share (%)]],"")</f>
        <v/>
      </c>
      <c r="F292" s="16" cm="1">
        <f t="array" ref="F292">D292 - _xlfn.XLOOKUP(A292&amp;2000, A:A&amp;C:C, D:D, "No 2000 data")</f>
        <v>20.47</v>
      </c>
    </row>
    <row r="293" spans="1:6" x14ac:dyDescent="0.35">
      <c r="A293" s="16" t="s">
        <v>67</v>
      </c>
      <c r="B293" s="16" t="s">
        <v>134</v>
      </c>
      <c r="C293">
        <v>2016</v>
      </c>
      <c r="D293">
        <v>33.81</v>
      </c>
      <c r="E293" t="str">
        <f>IF(_2[[#This Row],[Year]]=2000,_2[[#This Row],[Share (%)]],"")</f>
        <v/>
      </c>
      <c r="F293" s="16" cm="1">
        <f t="array" ref="F293">D293 - _xlfn.XLOOKUP(A293&amp;2000, A:A&amp;C:C, D:D, "No 2000 data")</f>
        <v>18.170000000000002</v>
      </c>
    </row>
    <row r="294" spans="1:6" x14ac:dyDescent="0.35">
      <c r="A294" s="16" t="s">
        <v>67</v>
      </c>
      <c r="B294" s="16" t="s">
        <v>134</v>
      </c>
      <c r="C294">
        <v>2017</v>
      </c>
      <c r="D294">
        <v>31.79</v>
      </c>
      <c r="E294" t="str">
        <f>IF(_2[[#This Row],[Year]]=2000,_2[[#This Row],[Share (%)]],"")</f>
        <v/>
      </c>
      <c r="F294" s="16" cm="1">
        <f t="array" ref="F294">D294 - _xlfn.XLOOKUP(A294&amp;2000, A:A&amp;C:C, D:D, "No 2000 data")</f>
        <v>16.149999999999999</v>
      </c>
    </row>
    <row r="295" spans="1:6" x14ac:dyDescent="0.35">
      <c r="A295" s="16" t="s">
        <v>67</v>
      </c>
      <c r="B295" s="16" t="s">
        <v>134</v>
      </c>
      <c r="C295">
        <v>2018</v>
      </c>
      <c r="D295">
        <v>31.76</v>
      </c>
      <c r="E295" t="str">
        <f>IF(_2[[#This Row],[Year]]=2000,_2[[#This Row],[Share (%)]],"")</f>
        <v/>
      </c>
      <c r="F295" s="16" cm="1">
        <f t="array" ref="F295">D295 - _xlfn.XLOOKUP(A295&amp;2000, A:A&amp;C:C, D:D, "No 2000 data")</f>
        <v>16.12</v>
      </c>
    </row>
    <row r="296" spans="1:6" x14ac:dyDescent="0.35">
      <c r="A296" s="16" t="s">
        <v>67</v>
      </c>
      <c r="B296" s="16" t="s">
        <v>134</v>
      </c>
      <c r="C296">
        <v>2019</v>
      </c>
      <c r="D296">
        <v>31.75</v>
      </c>
      <c r="E296" t="str">
        <f>IF(_2[[#This Row],[Year]]=2000,_2[[#This Row],[Share (%)]],"")</f>
        <v/>
      </c>
      <c r="F296" s="16" cm="1">
        <f t="array" ref="F296">D296 - _xlfn.XLOOKUP(A296&amp;2000, A:A&amp;C:C, D:D, "No 2000 data")</f>
        <v>16.11</v>
      </c>
    </row>
    <row r="297" spans="1:6" x14ac:dyDescent="0.35">
      <c r="A297" s="16" t="s">
        <v>67</v>
      </c>
      <c r="B297" s="16" t="s">
        <v>134</v>
      </c>
      <c r="C297">
        <v>2020</v>
      </c>
      <c r="D297">
        <v>31.75</v>
      </c>
      <c r="E297" t="str">
        <f>IF(_2[[#This Row],[Year]]=2000,_2[[#This Row],[Share (%)]],"")</f>
        <v/>
      </c>
      <c r="F297" s="16" cm="1">
        <f t="array" ref="F297">D297 - _xlfn.XLOOKUP(A297&amp;2000, A:A&amp;C:C, D:D, "No 2000 data")</f>
        <v>16.11</v>
      </c>
    </row>
    <row r="298" spans="1:6" x14ac:dyDescent="0.35">
      <c r="A298" s="16" t="s">
        <v>67</v>
      </c>
      <c r="B298" s="16" t="s">
        <v>134</v>
      </c>
      <c r="C298">
        <v>2021</v>
      </c>
      <c r="D298">
        <v>31.73</v>
      </c>
      <c r="E298" t="str">
        <f>IF(_2[[#This Row],[Year]]=2000,_2[[#This Row],[Share (%)]],"")</f>
        <v/>
      </c>
      <c r="F298" s="16" cm="1">
        <f t="array" ref="F298">D298 - _xlfn.XLOOKUP(A298&amp;2000, A:A&amp;C:C, D:D, "No 2000 data")</f>
        <v>16.09</v>
      </c>
    </row>
    <row r="299" spans="1:6" x14ac:dyDescent="0.35">
      <c r="A299" s="16" t="s">
        <v>67</v>
      </c>
      <c r="B299" s="16" t="s">
        <v>134</v>
      </c>
      <c r="C299">
        <v>2022</v>
      </c>
      <c r="D299">
        <v>31.7</v>
      </c>
      <c r="E299" t="str">
        <f>IF(_2[[#This Row],[Year]]=2000,_2[[#This Row],[Share (%)]],"")</f>
        <v/>
      </c>
      <c r="F299" s="16" cm="1">
        <f t="array" ref="F299">D299 - _xlfn.XLOOKUP(A299&amp;2000, A:A&amp;C:C, D:D, "No 2000 data")</f>
        <v>16.059999999999999</v>
      </c>
    </row>
    <row r="300" spans="1:6" x14ac:dyDescent="0.35">
      <c r="A300" s="16" t="s">
        <v>67</v>
      </c>
      <c r="B300" s="16" t="s">
        <v>134</v>
      </c>
      <c r="C300">
        <v>2023</v>
      </c>
      <c r="D300">
        <v>31.7</v>
      </c>
      <c r="E300" t="str">
        <f>IF(_2[[#This Row],[Year]]=2000,_2[[#This Row],[Share (%)]],"")</f>
        <v/>
      </c>
      <c r="F300" s="16" cm="1">
        <f t="array" ref="F300">D300 - _xlfn.XLOOKUP(A300&amp;2000, A:A&amp;C:C, D:D, "No 2000 data")</f>
        <v>16.059999999999999</v>
      </c>
    </row>
    <row r="301" spans="1:6" x14ac:dyDescent="0.35">
      <c r="A301" s="16" t="s">
        <v>67</v>
      </c>
      <c r="B301" s="16" t="s">
        <v>134</v>
      </c>
      <c r="C301">
        <v>2024</v>
      </c>
      <c r="D301">
        <v>31.7</v>
      </c>
      <c r="E301" t="str">
        <f>IF(_2[[#This Row],[Year]]=2000,_2[[#This Row],[Share (%)]],"")</f>
        <v/>
      </c>
      <c r="F301" s="16" cm="1">
        <f t="array" ref="F301">D301 - _xlfn.XLOOKUP(A301&amp;2000, A:A&amp;C:C, D:D, "No 2000 data")</f>
        <v>16.059999999999999</v>
      </c>
    </row>
    <row r="302" spans="1:6" hidden="1" x14ac:dyDescent="0.35">
      <c r="A302" s="16" t="s">
        <v>55</v>
      </c>
      <c r="B302" s="16" t="s">
        <v>134</v>
      </c>
      <c r="C302">
        <v>2000</v>
      </c>
      <c r="D302" t="s">
        <v>137</v>
      </c>
      <c r="E302" t="str">
        <f>IF(_2[[#This Row],[Year]]=2000,_2[[#This Row],[Share (%)]],"")</f>
        <v>-</v>
      </c>
      <c r="F302" s="16" t="e" cm="1">
        <f t="array" ref="F302">D302 - _xlfn.XLOOKUP(A302&amp;2000, A:A&amp;C:C, D:D, "No 2000 data")</f>
        <v>#VALUE!</v>
      </c>
    </row>
    <row r="303" spans="1:6" hidden="1" x14ac:dyDescent="0.35">
      <c r="A303" s="16" t="s">
        <v>55</v>
      </c>
      <c r="B303" s="16" t="s">
        <v>134</v>
      </c>
      <c r="C303">
        <v>2001</v>
      </c>
      <c r="D303" t="s">
        <v>137</v>
      </c>
      <c r="E303" t="str">
        <f>IF(_2[[#This Row],[Year]]=2000,_2[[#This Row],[Share (%)]],"")</f>
        <v/>
      </c>
      <c r="F303" s="16" t="e" cm="1">
        <f t="array" ref="F303">D303 - _xlfn.XLOOKUP(A303&amp;2000, A:A&amp;C:C, D:D, "No 2000 data")</f>
        <v>#VALUE!</v>
      </c>
    </row>
    <row r="304" spans="1:6" hidden="1" x14ac:dyDescent="0.35">
      <c r="A304" s="16" t="s">
        <v>55</v>
      </c>
      <c r="B304" s="16" t="s">
        <v>134</v>
      </c>
      <c r="C304">
        <v>2002</v>
      </c>
      <c r="D304" t="s">
        <v>137</v>
      </c>
      <c r="E304" t="str">
        <f>IF(_2[[#This Row],[Year]]=2000,_2[[#This Row],[Share (%)]],"")</f>
        <v/>
      </c>
      <c r="F304" s="16" t="e" cm="1">
        <f t="array" ref="F304">D304 - _xlfn.XLOOKUP(A304&amp;2000, A:A&amp;C:C, D:D, "No 2000 data")</f>
        <v>#VALUE!</v>
      </c>
    </row>
    <row r="305" spans="1:6" hidden="1" x14ac:dyDescent="0.35">
      <c r="A305" s="16" t="s">
        <v>55</v>
      </c>
      <c r="B305" s="16" t="s">
        <v>134</v>
      </c>
      <c r="C305">
        <v>2003</v>
      </c>
      <c r="D305" t="s">
        <v>137</v>
      </c>
      <c r="E305" t="str">
        <f>IF(_2[[#This Row],[Year]]=2000,_2[[#This Row],[Share (%)]],"")</f>
        <v/>
      </c>
      <c r="F305" s="16" t="e" cm="1">
        <f t="array" ref="F305">D305 - _xlfn.XLOOKUP(A305&amp;2000, A:A&amp;C:C, D:D, "No 2000 data")</f>
        <v>#VALUE!</v>
      </c>
    </row>
    <row r="306" spans="1:6" hidden="1" x14ac:dyDescent="0.35">
      <c r="A306" s="16" t="s">
        <v>55</v>
      </c>
      <c r="B306" s="16" t="s">
        <v>134</v>
      </c>
      <c r="C306">
        <v>2004</v>
      </c>
      <c r="D306" t="s">
        <v>137</v>
      </c>
      <c r="E306" t="str">
        <f>IF(_2[[#This Row],[Year]]=2000,_2[[#This Row],[Share (%)]],"")</f>
        <v/>
      </c>
      <c r="F306" s="16" t="e" cm="1">
        <f t="array" ref="F306">D306 - _xlfn.XLOOKUP(A306&amp;2000, A:A&amp;C:C, D:D, "No 2000 data")</f>
        <v>#VALUE!</v>
      </c>
    </row>
    <row r="307" spans="1:6" hidden="1" x14ac:dyDescent="0.35">
      <c r="A307" s="16" t="s">
        <v>55</v>
      </c>
      <c r="B307" s="16" t="s">
        <v>134</v>
      </c>
      <c r="C307">
        <v>2005</v>
      </c>
      <c r="D307" t="s">
        <v>137</v>
      </c>
      <c r="E307" t="str">
        <f>IF(_2[[#This Row],[Year]]=2000,_2[[#This Row],[Share (%)]],"")</f>
        <v/>
      </c>
      <c r="F307" s="16" t="e" cm="1">
        <f t="array" ref="F307">D307 - _xlfn.XLOOKUP(A307&amp;2000, A:A&amp;C:C, D:D, "No 2000 data")</f>
        <v>#VALUE!</v>
      </c>
    </row>
    <row r="308" spans="1:6" hidden="1" x14ac:dyDescent="0.35">
      <c r="A308" s="16" t="s">
        <v>55</v>
      </c>
      <c r="B308" s="16" t="s">
        <v>134</v>
      </c>
      <c r="C308">
        <v>2006</v>
      </c>
      <c r="D308" t="s">
        <v>137</v>
      </c>
      <c r="E308" t="str">
        <f>IF(_2[[#This Row],[Year]]=2000,_2[[#This Row],[Share (%)]],"")</f>
        <v/>
      </c>
      <c r="F308" s="16" t="e" cm="1">
        <f t="array" ref="F308">D308 - _xlfn.XLOOKUP(A308&amp;2000, A:A&amp;C:C, D:D, "No 2000 data")</f>
        <v>#VALUE!</v>
      </c>
    </row>
    <row r="309" spans="1:6" hidden="1" x14ac:dyDescent="0.35">
      <c r="A309" s="16" t="s">
        <v>55</v>
      </c>
      <c r="B309" s="16" t="s">
        <v>134</v>
      </c>
      <c r="C309">
        <v>2007</v>
      </c>
      <c r="D309">
        <v>0.5</v>
      </c>
      <c r="E309" t="str">
        <f>IF(_2[[#This Row],[Year]]=2000,_2[[#This Row],[Share (%)]],"")</f>
        <v/>
      </c>
      <c r="F309" s="16" t="e" cm="1">
        <f t="array" ref="F309">D309 - _xlfn.XLOOKUP(A309&amp;2000, A:A&amp;C:C, D:D, "No 2000 data")</f>
        <v>#VALUE!</v>
      </c>
    </row>
    <row r="310" spans="1:6" hidden="1" x14ac:dyDescent="0.35">
      <c r="A310" s="16" t="s">
        <v>55</v>
      </c>
      <c r="B310" s="16" t="s">
        <v>134</v>
      </c>
      <c r="C310">
        <v>2008</v>
      </c>
      <c r="D310">
        <v>0.59</v>
      </c>
      <c r="E310" t="str">
        <f>IF(_2[[#This Row],[Year]]=2000,_2[[#This Row],[Share (%)]],"")</f>
        <v/>
      </c>
      <c r="F310" s="16" t="e" cm="1">
        <f t="array" ref="F310">D310 - _xlfn.XLOOKUP(A310&amp;2000, A:A&amp;C:C, D:D, "No 2000 data")</f>
        <v>#VALUE!</v>
      </c>
    </row>
    <row r="311" spans="1:6" hidden="1" x14ac:dyDescent="0.35">
      <c r="A311" s="16" t="s">
        <v>55</v>
      </c>
      <c r="B311" s="16" t="s">
        <v>134</v>
      </c>
      <c r="C311">
        <v>2009</v>
      </c>
      <c r="D311">
        <v>0.59</v>
      </c>
      <c r="E311" t="str">
        <f>IF(_2[[#This Row],[Year]]=2000,_2[[#This Row],[Share (%)]],"")</f>
        <v/>
      </c>
      <c r="F311" s="16" t="e" cm="1">
        <f t="array" ref="F311">D311 - _xlfn.XLOOKUP(A311&amp;2000, A:A&amp;C:C, D:D, "No 2000 data")</f>
        <v>#VALUE!</v>
      </c>
    </row>
    <row r="312" spans="1:6" hidden="1" x14ac:dyDescent="0.35">
      <c r="A312" s="16" t="s">
        <v>55</v>
      </c>
      <c r="B312" s="16" t="s">
        <v>134</v>
      </c>
      <c r="C312">
        <v>2010</v>
      </c>
      <c r="D312">
        <v>0.59</v>
      </c>
      <c r="E312" t="str">
        <f>IF(_2[[#This Row],[Year]]=2000,_2[[#This Row],[Share (%)]],"")</f>
        <v/>
      </c>
      <c r="F312" s="16" t="e" cm="1">
        <f t="array" ref="F312">D312 - _xlfn.XLOOKUP(A312&amp;2000, A:A&amp;C:C, D:D, "No 2000 data")</f>
        <v>#VALUE!</v>
      </c>
    </row>
    <row r="313" spans="1:6" hidden="1" x14ac:dyDescent="0.35">
      <c r="A313" s="16" t="s">
        <v>55</v>
      </c>
      <c r="B313" s="16" t="s">
        <v>134</v>
      </c>
      <c r="C313">
        <v>2011</v>
      </c>
      <c r="D313">
        <v>0.59</v>
      </c>
      <c r="E313" t="str">
        <f>IF(_2[[#This Row],[Year]]=2000,_2[[#This Row],[Share (%)]],"")</f>
        <v/>
      </c>
      <c r="F313" s="16" t="e" cm="1">
        <f t="array" ref="F313">D313 - _xlfn.XLOOKUP(A313&amp;2000, A:A&amp;C:C, D:D, "No 2000 data")</f>
        <v>#VALUE!</v>
      </c>
    </row>
    <row r="314" spans="1:6" hidden="1" x14ac:dyDescent="0.35">
      <c r="A314" s="16" t="s">
        <v>55</v>
      </c>
      <c r="B314" s="16" t="s">
        <v>134</v>
      </c>
      <c r="C314">
        <v>2012</v>
      </c>
      <c r="D314">
        <v>0.61</v>
      </c>
      <c r="E314" t="str">
        <f>IF(_2[[#This Row],[Year]]=2000,_2[[#This Row],[Share (%)]],"")</f>
        <v/>
      </c>
      <c r="F314" s="16" t="e" cm="1">
        <f t="array" ref="F314">D314 - _xlfn.XLOOKUP(A314&amp;2000, A:A&amp;C:C, D:D, "No 2000 data")</f>
        <v>#VALUE!</v>
      </c>
    </row>
    <row r="315" spans="1:6" hidden="1" x14ac:dyDescent="0.35">
      <c r="A315" s="16" t="s">
        <v>55</v>
      </c>
      <c r="B315" s="16" t="s">
        <v>134</v>
      </c>
      <c r="C315">
        <v>2013</v>
      </c>
      <c r="D315">
        <v>0.61</v>
      </c>
      <c r="E315" t="str">
        <f>IF(_2[[#This Row],[Year]]=2000,_2[[#This Row],[Share (%)]],"")</f>
        <v/>
      </c>
      <c r="F315" s="16" t="e" cm="1">
        <f t="array" ref="F315">D315 - _xlfn.XLOOKUP(A315&amp;2000, A:A&amp;C:C, D:D, "No 2000 data")</f>
        <v>#VALUE!</v>
      </c>
    </row>
    <row r="316" spans="1:6" hidden="1" x14ac:dyDescent="0.35">
      <c r="A316" s="16" t="s">
        <v>55</v>
      </c>
      <c r="B316" s="16" t="s">
        <v>134</v>
      </c>
      <c r="C316">
        <v>2014</v>
      </c>
      <c r="D316">
        <v>5.88</v>
      </c>
      <c r="E316" t="str">
        <f>IF(_2[[#This Row],[Year]]=2000,_2[[#This Row],[Share (%)]],"")</f>
        <v/>
      </c>
      <c r="F316" s="16" t="e" cm="1">
        <f t="array" ref="F316">D316 - _xlfn.XLOOKUP(A316&amp;2000, A:A&amp;C:C, D:D, "No 2000 data")</f>
        <v>#VALUE!</v>
      </c>
    </row>
    <row r="317" spans="1:6" hidden="1" x14ac:dyDescent="0.35">
      <c r="A317" s="16" t="s">
        <v>55</v>
      </c>
      <c r="B317" s="16" t="s">
        <v>134</v>
      </c>
      <c r="C317">
        <v>2015</v>
      </c>
      <c r="D317">
        <v>5.18</v>
      </c>
      <c r="E317" t="str">
        <f>IF(_2[[#This Row],[Year]]=2000,_2[[#This Row],[Share (%)]],"")</f>
        <v/>
      </c>
      <c r="F317" s="16" t="e" cm="1">
        <f t="array" ref="F317">D317 - _xlfn.XLOOKUP(A317&amp;2000, A:A&amp;C:C, D:D, "No 2000 data")</f>
        <v>#VALUE!</v>
      </c>
    </row>
    <row r="318" spans="1:6" hidden="1" x14ac:dyDescent="0.35">
      <c r="A318" s="16" t="s">
        <v>55</v>
      </c>
      <c r="B318" s="16" t="s">
        <v>134</v>
      </c>
      <c r="C318">
        <v>2016</v>
      </c>
      <c r="D318">
        <v>5.83</v>
      </c>
      <c r="E318" t="str">
        <f>IF(_2[[#This Row],[Year]]=2000,_2[[#This Row],[Share (%)]],"")</f>
        <v/>
      </c>
      <c r="F318" s="16" t="e" cm="1">
        <f t="array" ref="F318">D318 - _xlfn.XLOOKUP(A318&amp;2000, A:A&amp;C:C, D:D, "No 2000 data")</f>
        <v>#VALUE!</v>
      </c>
    </row>
    <row r="319" spans="1:6" hidden="1" x14ac:dyDescent="0.35">
      <c r="A319" s="16" t="s">
        <v>55</v>
      </c>
      <c r="B319" s="16" t="s">
        <v>134</v>
      </c>
      <c r="C319">
        <v>2017</v>
      </c>
      <c r="D319">
        <v>10.55</v>
      </c>
      <c r="E319" t="str">
        <f>IF(_2[[#This Row],[Year]]=2000,_2[[#This Row],[Share (%)]],"")</f>
        <v/>
      </c>
      <c r="F319" s="16" t="e" cm="1">
        <f t="array" ref="F319">D319 - _xlfn.XLOOKUP(A319&amp;2000, A:A&amp;C:C, D:D, "No 2000 data")</f>
        <v>#VALUE!</v>
      </c>
    </row>
    <row r="320" spans="1:6" hidden="1" x14ac:dyDescent="0.35">
      <c r="A320" s="16" t="s">
        <v>55</v>
      </c>
      <c r="B320" s="16" t="s">
        <v>134</v>
      </c>
      <c r="C320">
        <v>2018</v>
      </c>
      <c r="D320">
        <v>11.47</v>
      </c>
      <c r="E320" t="str">
        <f>IF(_2[[#This Row],[Year]]=2000,_2[[#This Row],[Share (%)]],"")</f>
        <v/>
      </c>
      <c r="F320" s="16" t="e" cm="1">
        <f t="array" ref="F320">D320 - _xlfn.XLOOKUP(A320&amp;2000, A:A&amp;C:C, D:D, "No 2000 data")</f>
        <v>#VALUE!</v>
      </c>
    </row>
    <row r="321" spans="1:6" hidden="1" x14ac:dyDescent="0.35">
      <c r="A321" s="16" t="s">
        <v>55</v>
      </c>
      <c r="B321" s="16" t="s">
        <v>134</v>
      </c>
      <c r="C321">
        <v>2019</v>
      </c>
      <c r="D321">
        <v>11.49</v>
      </c>
      <c r="E321" t="str">
        <f>IF(_2[[#This Row],[Year]]=2000,_2[[#This Row],[Share (%)]],"")</f>
        <v/>
      </c>
      <c r="F321" s="16" t="e" cm="1">
        <f t="array" ref="F321">D321 - _xlfn.XLOOKUP(A321&amp;2000, A:A&amp;C:C, D:D, "No 2000 data")</f>
        <v>#VALUE!</v>
      </c>
    </row>
    <row r="322" spans="1:6" hidden="1" x14ac:dyDescent="0.35">
      <c r="A322" s="16" t="s">
        <v>55</v>
      </c>
      <c r="B322" s="16" t="s">
        <v>134</v>
      </c>
      <c r="C322">
        <v>2020</v>
      </c>
      <c r="D322">
        <v>11.49</v>
      </c>
      <c r="E322" t="str">
        <f>IF(_2[[#This Row],[Year]]=2000,_2[[#This Row],[Share (%)]],"")</f>
        <v/>
      </c>
      <c r="F322" s="16" t="e" cm="1">
        <f t="array" ref="F322">D322 - _xlfn.XLOOKUP(A322&amp;2000, A:A&amp;C:C, D:D, "No 2000 data")</f>
        <v>#VALUE!</v>
      </c>
    </row>
    <row r="323" spans="1:6" hidden="1" x14ac:dyDescent="0.35">
      <c r="A323" s="16" t="s">
        <v>55</v>
      </c>
      <c r="B323" s="16" t="s">
        <v>134</v>
      </c>
      <c r="C323">
        <v>2021</v>
      </c>
      <c r="D323">
        <v>11.19</v>
      </c>
      <c r="E323" t="str">
        <f>IF(_2[[#This Row],[Year]]=2000,_2[[#This Row],[Share (%)]],"")</f>
        <v/>
      </c>
      <c r="F323" s="16" t="e" cm="1">
        <f t="array" ref="F323">D323 - _xlfn.XLOOKUP(A323&amp;2000, A:A&amp;C:C, D:D, "No 2000 data")</f>
        <v>#VALUE!</v>
      </c>
    </row>
    <row r="324" spans="1:6" hidden="1" x14ac:dyDescent="0.35">
      <c r="A324" s="16" t="s">
        <v>55</v>
      </c>
      <c r="B324" s="16" t="s">
        <v>134</v>
      </c>
      <c r="C324">
        <v>2022</v>
      </c>
      <c r="D324">
        <v>11.06</v>
      </c>
      <c r="E324" t="str">
        <f>IF(_2[[#This Row],[Year]]=2000,_2[[#This Row],[Share (%)]],"")</f>
        <v/>
      </c>
      <c r="F324" s="16" t="e" cm="1">
        <f t="array" ref="F324">D324 - _xlfn.XLOOKUP(A324&amp;2000, A:A&amp;C:C, D:D, "No 2000 data")</f>
        <v>#VALUE!</v>
      </c>
    </row>
    <row r="325" spans="1:6" hidden="1" x14ac:dyDescent="0.35">
      <c r="A325" s="16" t="s">
        <v>55</v>
      </c>
      <c r="B325" s="16" t="s">
        <v>134</v>
      </c>
      <c r="C325">
        <v>2023</v>
      </c>
      <c r="D325">
        <v>11.06</v>
      </c>
      <c r="E325" t="str">
        <f>IF(_2[[#This Row],[Year]]=2000,_2[[#This Row],[Share (%)]],"")</f>
        <v/>
      </c>
      <c r="F325" s="16" t="e" cm="1">
        <f t="array" ref="F325">D325 - _xlfn.XLOOKUP(A325&amp;2000, A:A&amp;C:C, D:D, "No 2000 data")</f>
        <v>#VALUE!</v>
      </c>
    </row>
    <row r="326" spans="1:6" hidden="1" x14ac:dyDescent="0.35">
      <c r="A326" s="16" t="s">
        <v>55</v>
      </c>
      <c r="B326" s="16" t="s">
        <v>134</v>
      </c>
      <c r="C326">
        <v>2024</v>
      </c>
      <c r="D326">
        <v>11.06</v>
      </c>
      <c r="E326" t="str">
        <f>IF(_2[[#This Row],[Year]]=2000,_2[[#This Row],[Share (%)]],"")</f>
        <v/>
      </c>
      <c r="F326" s="16" t="e" cm="1">
        <f t="array" ref="F326">D326 - _xlfn.XLOOKUP(A326&amp;2000, A:A&amp;C:C, D:D, "No 2000 data")</f>
        <v>#VALUE!</v>
      </c>
    </row>
    <row r="327" spans="1:6" x14ac:dyDescent="0.35">
      <c r="A327" s="16" t="s">
        <v>109</v>
      </c>
      <c r="B327" s="16" t="s">
        <v>134</v>
      </c>
      <c r="C327">
        <v>2000</v>
      </c>
      <c r="D327">
        <v>91.3</v>
      </c>
      <c r="E327">
        <f>IF(_2[[#This Row],[Year]]=2000,_2[[#This Row],[Share (%)]],"")</f>
        <v>91.3</v>
      </c>
      <c r="F327" s="16" cm="1">
        <f t="array" ref="F327">D327 - _xlfn.XLOOKUP(A327&amp;2000, A:A&amp;C:C, D:D, "No 2000 data")</f>
        <v>0</v>
      </c>
    </row>
    <row r="328" spans="1:6" x14ac:dyDescent="0.35">
      <c r="A328" s="16" t="s">
        <v>109</v>
      </c>
      <c r="B328" s="16" t="s">
        <v>134</v>
      </c>
      <c r="C328">
        <v>2001</v>
      </c>
      <c r="D328">
        <v>91.3</v>
      </c>
      <c r="E328" t="str">
        <f>IF(_2[[#This Row],[Year]]=2000,_2[[#This Row],[Share (%)]],"")</f>
        <v/>
      </c>
      <c r="F328" s="16" cm="1">
        <f t="array" ref="F328">D328 - _xlfn.XLOOKUP(A328&amp;2000, A:A&amp;C:C, D:D, "No 2000 data")</f>
        <v>0</v>
      </c>
    </row>
    <row r="329" spans="1:6" x14ac:dyDescent="0.35">
      <c r="A329" s="16" t="s">
        <v>109</v>
      </c>
      <c r="B329" s="16" t="s">
        <v>134</v>
      </c>
      <c r="C329">
        <v>2002</v>
      </c>
      <c r="D329">
        <v>91.3</v>
      </c>
      <c r="E329" t="str">
        <f>IF(_2[[#This Row],[Year]]=2000,_2[[#This Row],[Share (%)]],"")</f>
        <v/>
      </c>
      <c r="F329" s="16" cm="1">
        <f t="array" ref="F329">D329 - _xlfn.XLOOKUP(A329&amp;2000, A:A&amp;C:C, D:D, "No 2000 data")</f>
        <v>0</v>
      </c>
    </row>
    <row r="330" spans="1:6" x14ac:dyDescent="0.35">
      <c r="A330" s="16" t="s">
        <v>109</v>
      </c>
      <c r="B330" s="16" t="s">
        <v>134</v>
      </c>
      <c r="C330">
        <v>2003</v>
      </c>
      <c r="D330">
        <v>91.3</v>
      </c>
      <c r="E330" t="str">
        <f>IF(_2[[#This Row],[Year]]=2000,_2[[#This Row],[Share (%)]],"")</f>
        <v/>
      </c>
      <c r="F330" s="16" cm="1">
        <f t="array" ref="F330">D330 - _xlfn.XLOOKUP(A330&amp;2000, A:A&amp;C:C, D:D, "No 2000 data")</f>
        <v>0</v>
      </c>
    </row>
    <row r="331" spans="1:6" x14ac:dyDescent="0.35">
      <c r="A331" s="16" t="s">
        <v>109</v>
      </c>
      <c r="B331" s="16" t="s">
        <v>134</v>
      </c>
      <c r="C331">
        <v>2004</v>
      </c>
      <c r="D331">
        <v>91.3</v>
      </c>
      <c r="E331" t="str">
        <f>IF(_2[[#This Row],[Year]]=2000,_2[[#This Row],[Share (%)]],"")</f>
        <v/>
      </c>
      <c r="F331" s="16" cm="1">
        <f t="array" ref="F331">D331 - _xlfn.XLOOKUP(A331&amp;2000, A:A&amp;C:C, D:D, "No 2000 data")</f>
        <v>0</v>
      </c>
    </row>
    <row r="332" spans="1:6" x14ac:dyDescent="0.35">
      <c r="A332" s="16" t="s">
        <v>109</v>
      </c>
      <c r="B332" s="16" t="s">
        <v>134</v>
      </c>
      <c r="C332">
        <v>2005</v>
      </c>
      <c r="D332">
        <v>91.3</v>
      </c>
      <c r="E332" t="str">
        <f>IF(_2[[#This Row],[Year]]=2000,_2[[#This Row],[Share (%)]],"")</f>
        <v/>
      </c>
      <c r="F332" s="16" cm="1">
        <f t="array" ref="F332">D332 - _xlfn.XLOOKUP(A332&amp;2000, A:A&amp;C:C, D:D, "No 2000 data")</f>
        <v>0</v>
      </c>
    </row>
    <row r="333" spans="1:6" x14ac:dyDescent="0.35">
      <c r="A333" s="16" t="s">
        <v>109</v>
      </c>
      <c r="B333" s="16" t="s">
        <v>134</v>
      </c>
      <c r="C333">
        <v>2006</v>
      </c>
      <c r="D333">
        <v>91.3</v>
      </c>
      <c r="E333" t="str">
        <f>IF(_2[[#This Row],[Year]]=2000,_2[[#This Row],[Share (%)]],"")</f>
        <v/>
      </c>
      <c r="F333" s="16" cm="1">
        <f t="array" ref="F333">D333 - _xlfn.XLOOKUP(A333&amp;2000, A:A&amp;C:C, D:D, "No 2000 data")</f>
        <v>0</v>
      </c>
    </row>
    <row r="334" spans="1:6" x14ac:dyDescent="0.35">
      <c r="A334" s="16" t="s">
        <v>109</v>
      </c>
      <c r="B334" s="16" t="s">
        <v>134</v>
      </c>
      <c r="C334">
        <v>2007</v>
      </c>
      <c r="D334">
        <v>91.3</v>
      </c>
      <c r="E334" t="str">
        <f>IF(_2[[#This Row],[Year]]=2000,_2[[#This Row],[Share (%)]],"")</f>
        <v/>
      </c>
      <c r="F334" s="16" cm="1">
        <f t="array" ref="F334">D334 - _xlfn.XLOOKUP(A334&amp;2000, A:A&amp;C:C, D:D, "No 2000 data")</f>
        <v>0</v>
      </c>
    </row>
    <row r="335" spans="1:6" x14ac:dyDescent="0.35">
      <c r="A335" s="16" t="s">
        <v>109</v>
      </c>
      <c r="B335" s="16" t="s">
        <v>134</v>
      </c>
      <c r="C335">
        <v>2008</v>
      </c>
      <c r="D335">
        <v>92.59</v>
      </c>
      <c r="E335" t="str">
        <f>IF(_2[[#This Row],[Year]]=2000,_2[[#This Row],[Share (%)]],"")</f>
        <v/>
      </c>
      <c r="F335" s="16" cm="1">
        <f t="array" ref="F335">D335 - _xlfn.XLOOKUP(A335&amp;2000, A:A&amp;C:C, D:D, "No 2000 data")</f>
        <v>1.2900000000000063</v>
      </c>
    </row>
    <row r="336" spans="1:6" x14ac:dyDescent="0.35">
      <c r="A336" s="16" t="s">
        <v>109</v>
      </c>
      <c r="B336" s="16" t="s">
        <v>134</v>
      </c>
      <c r="C336">
        <v>2009</v>
      </c>
      <c r="D336">
        <v>92.59</v>
      </c>
      <c r="E336" t="str">
        <f>IF(_2[[#This Row],[Year]]=2000,_2[[#This Row],[Share (%)]],"")</f>
        <v/>
      </c>
      <c r="F336" s="16" cm="1">
        <f t="array" ref="F336">D336 - _xlfn.XLOOKUP(A336&amp;2000, A:A&amp;C:C, D:D, "No 2000 data")</f>
        <v>1.2900000000000063</v>
      </c>
    </row>
    <row r="337" spans="1:6" x14ac:dyDescent="0.35">
      <c r="A337" s="16" t="s">
        <v>109</v>
      </c>
      <c r="B337" s="16" t="s">
        <v>134</v>
      </c>
      <c r="C337">
        <v>2010</v>
      </c>
      <c r="D337">
        <v>92.59</v>
      </c>
      <c r="E337" t="str">
        <f>IF(_2[[#This Row],[Year]]=2000,_2[[#This Row],[Share (%)]],"")</f>
        <v/>
      </c>
      <c r="F337" s="16" cm="1">
        <f t="array" ref="F337">D337 - _xlfn.XLOOKUP(A337&amp;2000, A:A&amp;C:C, D:D, "No 2000 data")</f>
        <v>1.2900000000000063</v>
      </c>
    </row>
    <row r="338" spans="1:6" x14ac:dyDescent="0.35">
      <c r="A338" s="16" t="s">
        <v>109</v>
      </c>
      <c r="B338" s="16" t="s">
        <v>134</v>
      </c>
      <c r="C338">
        <v>2011</v>
      </c>
      <c r="D338">
        <v>94.93</v>
      </c>
      <c r="E338" t="str">
        <f>IF(_2[[#This Row],[Year]]=2000,_2[[#This Row],[Share (%)]],"")</f>
        <v/>
      </c>
      <c r="F338" s="16" cm="1">
        <f t="array" ref="F338">D338 - _xlfn.XLOOKUP(A338&amp;2000, A:A&amp;C:C, D:D, "No 2000 data")</f>
        <v>3.6300000000000097</v>
      </c>
    </row>
    <row r="339" spans="1:6" x14ac:dyDescent="0.35">
      <c r="A339" s="16" t="s">
        <v>109</v>
      </c>
      <c r="B339" s="16" t="s">
        <v>134</v>
      </c>
      <c r="C339">
        <v>2012</v>
      </c>
      <c r="D339">
        <v>94.93</v>
      </c>
      <c r="E339" t="str">
        <f>IF(_2[[#This Row],[Year]]=2000,_2[[#This Row],[Share (%)]],"")</f>
        <v/>
      </c>
      <c r="F339" s="16" cm="1">
        <f t="array" ref="F339">D339 - _xlfn.XLOOKUP(A339&amp;2000, A:A&amp;C:C, D:D, "No 2000 data")</f>
        <v>3.6300000000000097</v>
      </c>
    </row>
    <row r="340" spans="1:6" x14ac:dyDescent="0.35">
      <c r="A340" s="16" t="s">
        <v>109</v>
      </c>
      <c r="B340" s="16" t="s">
        <v>134</v>
      </c>
      <c r="C340">
        <v>2013</v>
      </c>
      <c r="D340">
        <v>94.93</v>
      </c>
      <c r="E340" t="str">
        <f>IF(_2[[#This Row],[Year]]=2000,_2[[#This Row],[Share (%)]],"")</f>
        <v/>
      </c>
      <c r="F340" s="16" cm="1">
        <f t="array" ref="F340">D340 - _xlfn.XLOOKUP(A340&amp;2000, A:A&amp;C:C, D:D, "No 2000 data")</f>
        <v>3.6300000000000097</v>
      </c>
    </row>
    <row r="341" spans="1:6" x14ac:dyDescent="0.35">
      <c r="A341" s="16" t="s">
        <v>109</v>
      </c>
      <c r="B341" s="16" t="s">
        <v>134</v>
      </c>
      <c r="C341">
        <v>2014</v>
      </c>
      <c r="D341">
        <v>94.44</v>
      </c>
      <c r="E341" t="str">
        <f>IF(_2[[#This Row],[Year]]=2000,_2[[#This Row],[Share (%)]],"")</f>
        <v/>
      </c>
      <c r="F341" s="16" cm="1">
        <f t="array" ref="F341">D341 - _xlfn.XLOOKUP(A341&amp;2000, A:A&amp;C:C, D:D, "No 2000 data")</f>
        <v>3.1400000000000006</v>
      </c>
    </row>
    <row r="342" spans="1:6" x14ac:dyDescent="0.35">
      <c r="A342" s="16" t="s">
        <v>109</v>
      </c>
      <c r="B342" s="16" t="s">
        <v>134</v>
      </c>
      <c r="C342">
        <v>2015</v>
      </c>
      <c r="D342">
        <v>94.44</v>
      </c>
      <c r="E342" t="str">
        <f>IF(_2[[#This Row],[Year]]=2000,_2[[#This Row],[Share (%)]],"")</f>
        <v/>
      </c>
      <c r="F342" s="16" cm="1">
        <f t="array" ref="F342">D342 - _xlfn.XLOOKUP(A342&amp;2000, A:A&amp;C:C, D:D, "No 2000 data")</f>
        <v>3.1400000000000006</v>
      </c>
    </row>
    <row r="343" spans="1:6" x14ac:dyDescent="0.35">
      <c r="A343" s="16" t="s">
        <v>109</v>
      </c>
      <c r="B343" s="16" t="s">
        <v>134</v>
      </c>
      <c r="C343">
        <v>2016</v>
      </c>
      <c r="D343">
        <v>94.45</v>
      </c>
      <c r="E343" t="str">
        <f>IF(_2[[#This Row],[Year]]=2000,_2[[#This Row],[Share (%)]],"")</f>
        <v/>
      </c>
      <c r="F343" s="16" cm="1">
        <f t="array" ref="F343">D343 - _xlfn.XLOOKUP(A343&amp;2000, A:A&amp;C:C, D:D, "No 2000 data")</f>
        <v>3.1500000000000057</v>
      </c>
    </row>
    <row r="344" spans="1:6" x14ac:dyDescent="0.35">
      <c r="A344" s="16" t="s">
        <v>109</v>
      </c>
      <c r="B344" s="16" t="s">
        <v>134</v>
      </c>
      <c r="C344">
        <v>2017</v>
      </c>
      <c r="D344">
        <v>94.45</v>
      </c>
      <c r="E344" t="str">
        <f>IF(_2[[#This Row],[Year]]=2000,_2[[#This Row],[Share (%)]],"")</f>
        <v/>
      </c>
      <c r="F344" s="16" cm="1">
        <f t="array" ref="F344">D344 - _xlfn.XLOOKUP(A344&amp;2000, A:A&amp;C:C, D:D, "No 2000 data")</f>
        <v>3.1500000000000057</v>
      </c>
    </row>
    <row r="345" spans="1:6" x14ac:dyDescent="0.35">
      <c r="A345" s="16" t="s">
        <v>109</v>
      </c>
      <c r="B345" s="16" t="s">
        <v>134</v>
      </c>
      <c r="C345">
        <v>2018</v>
      </c>
      <c r="D345">
        <v>94.45</v>
      </c>
      <c r="E345" t="str">
        <f>IF(_2[[#This Row],[Year]]=2000,_2[[#This Row],[Share (%)]],"")</f>
        <v/>
      </c>
      <c r="F345" s="16" cm="1">
        <f t="array" ref="F345">D345 - _xlfn.XLOOKUP(A345&amp;2000, A:A&amp;C:C, D:D, "No 2000 data")</f>
        <v>3.1500000000000057</v>
      </c>
    </row>
    <row r="346" spans="1:6" x14ac:dyDescent="0.35">
      <c r="A346" s="16" t="s">
        <v>109</v>
      </c>
      <c r="B346" s="16" t="s">
        <v>134</v>
      </c>
      <c r="C346">
        <v>2019</v>
      </c>
      <c r="D346">
        <v>94.45</v>
      </c>
      <c r="E346" t="str">
        <f>IF(_2[[#This Row],[Year]]=2000,_2[[#This Row],[Share (%)]],"")</f>
        <v/>
      </c>
      <c r="F346" s="16" cm="1">
        <f t="array" ref="F346">D346 - _xlfn.XLOOKUP(A346&amp;2000, A:A&amp;C:C, D:D, "No 2000 data")</f>
        <v>3.1500000000000057</v>
      </c>
    </row>
    <row r="347" spans="1:6" x14ac:dyDescent="0.35">
      <c r="A347" s="16" t="s">
        <v>109</v>
      </c>
      <c r="B347" s="16" t="s">
        <v>134</v>
      </c>
      <c r="C347">
        <v>2020</v>
      </c>
      <c r="D347">
        <v>94.45</v>
      </c>
      <c r="E347" t="str">
        <f>IF(_2[[#This Row],[Year]]=2000,_2[[#This Row],[Share (%)]],"")</f>
        <v/>
      </c>
      <c r="F347" s="16" cm="1">
        <f t="array" ref="F347">D347 - _xlfn.XLOOKUP(A347&amp;2000, A:A&amp;C:C, D:D, "No 2000 data")</f>
        <v>3.1500000000000057</v>
      </c>
    </row>
    <row r="348" spans="1:6" x14ac:dyDescent="0.35">
      <c r="A348" s="16" t="s">
        <v>109</v>
      </c>
      <c r="B348" s="16" t="s">
        <v>134</v>
      </c>
      <c r="C348">
        <v>2021</v>
      </c>
      <c r="D348">
        <v>94.74</v>
      </c>
      <c r="E348" t="str">
        <f>IF(_2[[#This Row],[Year]]=2000,_2[[#This Row],[Share (%)]],"")</f>
        <v/>
      </c>
      <c r="F348" s="16" cm="1">
        <f t="array" ref="F348">D348 - _xlfn.XLOOKUP(A348&amp;2000, A:A&amp;C:C, D:D, "No 2000 data")</f>
        <v>3.4399999999999977</v>
      </c>
    </row>
    <row r="349" spans="1:6" x14ac:dyDescent="0.35">
      <c r="A349" s="16" t="s">
        <v>109</v>
      </c>
      <c r="B349" s="16" t="s">
        <v>134</v>
      </c>
      <c r="C349">
        <v>2022</v>
      </c>
      <c r="D349">
        <v>94.74</v>
      </c>
      <c r="E349" t="str">
        <f>IF(_2[[#This Row],[Year]]=2000,_2[[#This Row],[Share (%)]],"")</f>
        <v/>
      </c>
      <c r="F349" s="16" cm="1">
        <f t="array" ref="F349">D349 - _xlfn.XLOOKUP(A349&amp;2000, A:A&amp;C:C, D:D, "No 2000 data")</f>
        <v>3.4399999999999977</v>
      </c>
    </row>
    <row r="350" spans="1:6" x14ac:dyDescent="0.35">
      <c r="A350" s="16" t="s">
        <v>109</v>
      </c>
      <c r="B350" s="16" t="s">
        <v>134</v>
      </c>
      <c r="C350">
        <v>2023</v>
      </c>
      <c r="D350">
        <v>95.23</v>
      </c>
      <c r="E350" t="str">
        <f>IF(_2[[#This Row],[Year]]=2000,_2[[#This Row],[Share (%)]],"")</f>
        <v/>
      </c>
      <c r="F350" s="16" cm="1">
        <f t="array" ref="F350">D350 - _xlfn.XLOOKUP(A350&amp;2000, A:A&amp;C:C, D:D, "No 2000 data")</f>
        <v>3.9300000000000068</v>
      </c>
    </row>
    <row r="351" spans="1:6" x14ac:dyDescent="0.35">
      <c r="A351" s="16" t="s">
        <v>109</v>
      </c>
      <c r="B351" s="16" t="s">
        <v>134</v>
      </c>
      <c r="C351">
        <v>2024</v>
      </c>
      <c r="D351">
        <v>95.23</v>
      </c>
      <c r="E351" t="str">
        <f>IF(_2[[#This Row],[Year]]=2000,_2[[#This Row],[Share (%)]],"")</f>
        <v/>
      </c>
      <c r="F351" s="16" cm="1">
        <f t="array" ref="F351">D351 - _xlfn.XLOOKUP(A351&amp;2000, A:A&amp;C:C, D:D, "No 2000 data")</f>
        <v>3.9300000000000068</v>
      </c>
    </row>
    <row r="352" spans="1:6" x14ac:dyDescent="0.35">
      <c r="A352" s="16" t="s">
        <v>57</v>
      </c>
      <c r="B352" s="16" t="s">
        <v>134</v>
      </c>
      <c r="C352">
        <v>2000</v>
      </c>
      <c r="D352">
        <v>71.62</v>
      </c>
      <c r="E352">
        <f>IF(_2[[#This Row],[Year]]=2000,_2[[#This Row],[Share (%)]],"")</f>
        <v>71.62</v>
      </c>
      <c r="F352" s="16" cm="1">
        <f t="array" ref="F352">D352 - _xlfn.XLOOKUP(A352&amp;2000, A:A&amp;C:C, D:D, "No 2000 data")</f>
        <v>0</v>
      </c>
    </row>
    <row r="353" spans="1:6" x14ac:dyDescent="0.35">
      <c r="A353" s="16" t="s">
        <v>57</v>
      </c>
      <c r="B353" s="16" t="s">
        <v>134</v>
      </c>
      <c r="C353">
        <v>2001</v>
      </c>
      <c r="D353">
        <v>69.5</v>
      </c>
      <c r="E353" t="str">
        <f>IF(_2[[#This Row],[Year]]=2000,_2[[#This Row],[Share (%)]],"")</f>
        <v/>
      </c>
      <c r="F353" s="16" cm="1">
        <f t="array" ref="F353">D353 - _xlfn.XLOOKUP(A353&amp;2000, A:A&amp;C:C, D:D, "No 2000 data")</f>
        <v>-2.1200000000000045</v>
      </c>
    </row>
    <row r="354" spans="1:6" x14ac:dyDescent="0.35">
      <c r="A354" s="16" t="s">
        <v>57</v>
      </c>
      <c r="B354" s="16" t="s">
        <v>134</v>
      </c>
      <c r="C354">
        <v>2002</v>
      </c>
      <c r="D354">
        <v>70.98</v>
      </c>
      <c r="E354" t="str">
        <f>IF(_2[[#This Row],[Year]]=2000,_2[[#This Row],[Share (%)]],"")</f>
        <v/>
      </c>
      <c r="F354" s="16" cm="1">
        <f t="array" ref="F354">D354 - _xlfn.XLOOKUP(A354&amp;2000, A:A&amp;C:C, D:D, "No 2000 data")</f>
        <v>-0.64000000000000057</v>
      </c>
    </row>
    <row r="355" spans="1:6" x14ac:dyDescent="0.35">
      <c r="A355" s="16" t="s">
        <v>57</v>
      </c>
      <c r="B355" s="16" t="s">
        <v>134</v>
      </c>
      <c r="C355">
        <v>2003</v>
      </c>
      <c r="D355">
        <v>78.88</v>
      </c>
      <c r="E355" t="str">
        <f>IF(_2[[#This Row],[Year]]=2000,_2[[#This Row],[Share (%)]],"")</f>
        <v/>
      </c>
      <c r="F355" s="16" cm="1">
        <f t="array" ref="F355">D355 - _xlfn.XLOOKUP(A355&amp;2000, A:A&amp;C:C, D:D, "No 2000 data")</f>
        <v>7.2599999999999909</v>
      </c>
    </row>
    <row r="356" spans="1:6" x14ac:dyDescent="0.35">
      <c r="A356" s="16" t="s">
        <v>57</v>
      </c>
      <c r="B356" s="16" t="s">
        <v>134</v>
      </c>
      <c r="C356">
        <v>2004</v>
      </c>
      <c r="D356">
        <v>78.61</v>
      </c>
      <c r="E356" t="str">
        <f>IF(_2[[#This Row],[Year]]=2000,_2[[#This Row],[Share (%)]],"")</f>
        <v/>
      </c>
      <c r="F356" s="16" cm="1">
        <f t="array" ref="F356">D356 - _xlfn.XLOOKUP(A356&amp;2000, A:A&amp;C:C, D:D, "No 2000 data")</f>
        <v>6.9899999999999949</v>
      </c>
    </row>
    <row r="357" spans="1:6" x14ac:dyDescent="0.35">
      <c r="A357" s="16" t="s">
        <v>57</v>
      </c>
      <c r="B357" s="16" t="s">
        <v>134</v>
      </c>
      <c r="C357">
        <v>2005</v>
      </c>
      <c r="D357">
        <v>78.599999999999994</v>
      </c>
      <c r="E357" t="str">
        <f>IF(_2[[#This Row],[Year]]=2000,_2[[#This Row],[Share (%)]],"")</f>
        <v/>
      </c>
      <c r="F357" s="16" cm="1">
        <f t="array" ref="F357">D357 - _xlfn.XLOOKUP(A357&amp;2000, A:A&amp;C:C, D:D, "No 2000 data")</f>
        <v>6.9799999999999898</v>
      </c>
    </row>
    <row r="358" spans="1:6" x14ac:dyDescent="0.35">
      <c r="A358" s="16" t="s">
        <v>57</v>
      </c>
      <c r="B358" s="16" t="s">
        <v>134</v>
      </c>
      <c r="C358">
        <v>2006</v>
      </c>
      <c r="D358">
        <v>78.55</v>
      </c>
      <c r="E358" t="str">
        <f>IF(_2[[#This Row],[Year]]=2000,_2[[#This Row],[Share (%)]],"")</f>
        <v/>
      </c>
      <c r="F358" s="16" cm="1">
        <f t="array" ref="F358">D358 - _xlfn.XLOOKUP(A358&amp;2000, A:A&amp;C:C, D:D, "No 2000 data")</f>
        <v>6.9299999999999926</v>
      </c>
    </row>
    <row r="359" spans="1:6" x14ac:dyDescent="0.35">
      <c r="A359" s="16" t="s">
        <v>57</v>
      </c>
      <c r="B359" s="16" t="s">
        <v>134</v>
      </c>
      <c r="C359">
        <v>2007</v>
      </c>
      <c r="D359">
        <v>82.44</v>
      </c>
      <c r="E359" t="str">
        <f>IF(_2[[#This Row],[Year]]=2000,_2[[#This Row],[Share (%)]],"")</f>
        <v/>
      </c>
      <c r="F359" s="16" cm="1">
        <f t="array" ref="F359">D359 - _xlfn.XLOOKUP(A359&amp;2000, A:A&amp;C:C, D:D, "No 2000 data")</f>
        <v>10.819999999999993</v>
      </c>
    </row>
    <row r="360" spans="1:6" x14ac:dyDescent="0.35">
      <c r="A360" s="16" t="s">
        <v>57</v>
      </c>
      <c r="B360" s="16" t="s">
        <v>134</v>
      </c>
      <c r="C360">
        <v>2008</v>
      </c>
      <c r="D360">
        <v>78.08</v>
      </c>
      <c r="E360" t="str">
        <f>IF(_2[[#This Row],[Year]]=2000,_2[[#This Row],[Share (%)]],"")</f>
        <v/>
      </c>
      <c r="F360" s="16" cm="1">
        <f t="array" ref="F360">D360 - _xlfn.XLOOKUP(A360&amp;2000, A:A&amp;C:C, D:D, "No 2000 data")</f>
        <v>6.4599999999999937</v>
      </c>
    </row>
    <row r="361" spans="1:6" x14ac:dyDescent="0.35">
      <c r="A361" s="16" t="s">
        <v>57</v>
      </c>
      <c r="B361" s="16" t="s">
        <v>134</v>
      </c>
      <c r="C361">
        <v>2009</v>
      </c>
      <c r="D361">
        <v>88.45</v>
      </c>
      <c r="E361" t="str">
        <f>IF(_2[[#This Row],[Year]]=2000,_2[[#This Row],[Share (%)]],"")</f>
        <v/>
      </c>
      <c r="F361" s="16" cm="1">
        <f t="array" ref="F361">D361 - _xlfn.XLOOKUP(A361&amp;2000, A:A&amp;C:C, D:D, "No 2000 data")</f>
        <v>16.829999999999998</v>
      </c>
    </row>
    <row r="362" spans="1:6" x14ac:dyDescent="0.35">
      <c r="A362" s="16" t="s">
        <v>57</v>
      </c>
      <c r="B362" s="16" t="s">
        <v>134</v>
      </c>
      <c r="C362">
        <v>2010</v>
      </c>
      <c r="D362">
        <v>93.65</v>
      </c>
      <c r="E362" t="str">
        <f>IF(_2[[#This Row],[Year]]=2000,_2[[#This Row],[Share (%)]],"")</f>
        <v/>
      </c>
      <c r="F362" s="16" cm="1">
        <f t="array" ref="F362">D362 - _xlfn.XLOOKUP(A362&amp;2000, A:A&amp;C:C, D:D, "No 2000 data")</f>
        <v>22.03</v>
      </c>
    </row>
    <row r="363" spans="1:6" x14ac:dyDescent="0.35">
      <c r="A363" s="16" t="s">
        <v>57</v>
      </c>
      <c r="B363" s="16" t="s">
        <v>134</v>
      </c>
      <c r="C363">
        <v>2011</v>
      </c>
      <c r="D363">
        <v>91.67</v>
      </c>
      <c r="E363" t="str">
        <f>IF(_2[[#This Row],[Year]]=2000,_2[[#This Row],[Share (%)]],"")</f>
        <v/>
      </c>
      <c r="F363" s="16" cm="1">
        <f t="array" ref="F363">D363 - _xlfn.XLOOKUP(A363&amp;2000, A:A&amp;C:C, D:D, "No 2000 data")</f>
        <v>20.049999999999997</v>
      </c>
    </row>
    <row r="364" spans="1:6" x14ac:dyDescent="0.35">
      <c r="A364" s="16" t="s">
        <v>57</v>
      </c>
      <c r="B364" s="16" t="s">
        <v>134</v>
      </c>
      <c r="C364">
        <v>2012</v>
      </c>
      <c r="D364">
        <v>91.67</v>
      </c>
      <c r="E364" t="str">
        <f>IF(_2[[#This Row],[Year]]=2000,_2[[#This Row],[Share (%)]],"")</f>
        <v/>
      </c>
      <c r="F364" s="16" cm="1">
        <f t="array" ref="F364">D364 - _xlfn.XLOOKUP(A364&amp;2000, A:A&amp;C:C, D:D, "No 2000 data")</f>
        <v>20.049999999999997</v>
      </c>
    </row>
    <row r="365" spans="1:6" x14ac:dyDescent="0.35">
      <c r="A365" s="16" t="s">
        <v>57</v>
      </c>
      <c r="B365" s="16" t="s">
        <v>134</v>
      </c>
      <c r="C365">
        <v>2013</v>
      </c>
      <c r="D365">
        <v>92.13</v>
      </c>
      <c r="E365" t="str">
        <f>IF(_2[[#This Row],[Year]]=2000,_2[[#This Row],[Share (%)]],"")</f>
        <v/>
      </c>
      <c r="F365" s="16" cm="1">
        <f t="array" ref="F365">D365 - _xlfn.XLOOKUP(A365&amp;2000, A:A&amp;C:C, D:D, "No 2000 data")</f>
        <v>20.509999999999991</v>
      </c>
    </row>
    <row r="366" spans="1:6" x14ac:dyDescent="0.35">
      <c r="A366" s="16" t="s">
        <v>57</v>
      </c>
      <c r="B366" s="16" t="s">
        <v>134</v>
      </c>
      <c r="C366">
        <v>2014</v>
      </c>
      <c r="D366">
        <v>92.15</v>
      </c>
      <c r="E366" t="str">
        <f>IF(_2[[#This Row],[Year]]=2000,_2[[#This Row],[Share (%)]],"")</f>
        <v/>
      </c>
      <c r="F366" s="16" cm="1">
        <f t="array" ref="F366">D366 - _xlfn.XLOOKUP(A366&amp;2000, A:A&amp;C:C, D:D, "No 2000 data")</f>
        <v>20.53</v>
      </c>
    </row>
    <row r="367" spans="1:6" x14ac:dyDescent="0.35">
      <c r="A367" s="16" t="s">
        <v>57</v>
      </c>
      <c r="B367" s="16" t="s">
        <v>134</v>
      </c>
      <c r="C367">
        <v>2015</v>
      </c>
      <c r="D367">
        <v>94.82</v>
      </c>
      <c r="E367" t="str">
        <f>IF(_2[[#This Row],[Year]]=2000,_2[[#This Row],[Share (%)]],"")</f>
        <v/>
      </c>
      <c r="F367" s="16" cm="1">
        <f t="array" ref="F367">D367 - _xlfn.XLOOKUP(A367&amp;2000, A:A&amp;C:C, D:D, "No 2000 data")</f>
        <v>23.199999999999989</v>
      </c>
    </row>
    <row r="368" spans="1:6" x14ac:dyDescent="0.35">
      <c r="A368" s="16" t="s">
        <v>57</v>
      </c>
      <c r="B368" s="16" t="s">
        <v>134</v>
      </c>
      <c r="C368">
        <v>2016</v>
      </c>
      <c r="D368">
        <v>96.39</v>
      </c>
      <c r="E368" t="str">
        <f>IF(_2[[#This Row],[Year]]=2000,_2[[#This Row],[Share (%)]],"")</f>
        <v/>
      </c>
      <c r="F368" s="16" cm="1">
        <f t="array" ref="F368">D368 - _xlfn.XLOOKUP(A368&amp;2000, A:A&amp;C:C, D:D, "No 2000 data")</f>
        <v>24.769999999999996</v>
      </c>
    </row>
    <row r="369" spans="1:6" x14ac:dyDescent="0.35">
      <c r="A369" s="16" t="s">
        <v>57</v>
      </c>
      <c r="B369" s="16" t="s">
        <v>134</v>
      </c>
      <c r="C369">
        <v>2017</v>
      </c>
      <c r="D369">
        <v>97.78</v>
      </c>
      <c r="E369" t="str">
        <f>IF(_2[[#This Row],[Year]]=2000,_2[[#This Row],[Share (%)]],"")</f>
        <v/>
      </c>
      <c r="F369" s="16" cm="1">
        <f t="array" ref="F369">D369 - _xlfn.XLOOKUP(A369&amp;2000, A:A&amp;C:C, D:D, "No 2000 data")</f>
        <v>26.159999999999997</v>
      </c>
    </row>
    <row r="370" spans="1:6" x14ac:dyDescent="0.35">
      <c r="A370" s="16" t="s">
        <v>57</v>
      </c>
      <c r="B370" s="16" t="s">
        <v>134</v>
      </c>
      <c r="C370">
        <v>2018</v>
      </c>
      <c r="D370">
        <v>98.08</v>
      </c>
      <c r="E370" t="str">
        <f>IF(_2[[#This Row],[Year]]=2000,_2[[#This Row],[Share (%)]],"")</f>
        <v/>
      </c>
      <c r="F370" s="16" cm="1">
        <f t="array" ref="F370">D370 - _xlfn.XLOOKUP(A370&amp;2000, A:A&amp;C:C, D:D, "No 2000 data")</f>
        <v>26.459999999999994</v>
      </c>
    </row>
    <row r="371" spans="1:6" x14ac:dyDescent="0.35">
      <c r="A371" s="16" t="s">
        <v>57</v>
      </c>
      <c r="B371" s="16" t="s">
        <v>134</v>
      </c>
      <c r="C371">
        <v>2019</v>
      </c>
      <c r="D371">
        <v>97.72</v>
      </c>
      <c r="E371" t="str">
        <f>IF(_2[[#This Row],[Year]]=2000,_2[[#This Row],[Share (%)]],"")</f>
        <v/>
      </c>
      <c r="F371" s="16" cm="1">
        <f t="array" ref="F371">D371 - _xlfn.XLOOKUP(A371&amp;2000, A:A&amp;C:C, D:D, "No 2000 data")</f>
        <v>26.099999999999994</v>
      </c>
    </row>
    <row r="372" spans="1:6" x14ac:dyDescent="0.35">
      <c r="A372" s="16" t="s">
        <v>57</v>
      </c>
      <c r="B372" s="16" t="s">
        <v>134</v>
      </c>
      <c r="C372">
        <v>2020</v>
      </c>
      <c r="D372">
        <v>97.84</v>
      </c>
      <c r="E372" t="str">
        <f>IF(_2[[#This Row],[Year]]=2000,_2[[#This Row],[Share (%)]],"")</f>
        <v/>
      </c>
      <c r="F372" s="16" cm="1">
        <f t="array" ref="F372">D372 - _xlfn.XLOOKUP(A372&amp;2000, A:A&amp;C:C, D:D, "No 2000 data")</f>
        <v>26.22</v>
      </c>
    </row>
    <row r="373" spans="1:6" x14ac:dyDescent="0.35">
      <c r="A373" s="16" t="s">
        <v>57</v>
      </c>
      <c r="B373" s="16" t="s">
        <v>134</v>
      </c>
      <c r="C373">
        <v>2021</v>
      </c>
      <c r="D373">
        <v>97.86</v>
      </c>
      <c r="E373" t="str">
        <f>IF(_2[[#This Row],[Year]]=2000,_2[[#This Row],[Share (%)]],"")</f>
        <v/>
      </c>
      <c r="F373" s="16" cm="1">
        <f t="array" ref="F373">D373 - _xlfn.XLOOKUP(A373&amp;2000, A:A&amp;C:C, D:D, "No 2000 data")</f>
        <v>26.239999999999995</v>
      </c>
    </row>
    <row r="374" spans="1:6" x14ac:dyDescent="0.35">
      <c r="A374" s="16" t="s">
        <v>57</v>
      </c>
      <c r="B374" s="16" t="s">
        <v>134</v>
      </c>
      <c r="C374">
        <v>2022</v>
      </c>
      <c r="D374">
        <v>98.17</v>
      </c>
      <c r="E374" t="str">
        <f>IF(_2[[#This Row],[Year]]=2000,_2[[#This Row],[Share (%)]],"")</f>
        <v/>
      </c>
      <c r="F374" s="16" cm="1">
        <f t="array" ref="F374">D374 - _xlfn.XLOOKUP(A374&amp;2000, A:A&amp;C:C, D:D, "No 2000 data")</f>
        <v>26.549999999999997</v>
      </c>
    </row>
    <row r="375" spans="1:6" x14ac:dyDescent="0.35">
      <c r="A375" s="16" t="s">
        <v>57</v>
      </c>
      <c r="B375" s="16" t="s">
        <v>134</v>
      </c>
      <c r="C375">
        <v>2023</v>
      </c>
      <c r="D375">
        <v>98.25</v>
      </c>
      <c r="E375" t="str">
        <f>IF(_2[[#This Row],[Year]]=2000,_2[[#This Row],[Share (%)]],"")</f>
        <v/>
      </c>
      <c r="F375" s="16" cm="1">
        <f t="array" ref="F375">D375 - _xlfn.XLOOKUP(A375&amp;2000, A:A&amp;C:C, D:D, "No 2000 data")</f>
        <v>26.629999999999995</v>
      </c>
    </row>
    <row r="376" spans="1:6" x14ac:dyDescent="0.35">
      <c r="A376" s="16" t="s">
        <v>57</v>
      </c>
      <c r="B376" s="16" t="s">
        <v>134</v>
      </c>
      <c r="C376">
        <v>2024</v>
      </c>
      <c r="D376">
        <v>98.37</v>
      </c>
      <c r="E376" t="str">
        <f>IF(_2[[#This Row],[Year]]=2000,_2[[#This Row],[Share (%)]],"")</f>
        <v/>
      </c>
      <c r="F376" s="16" cm="1">
        <f t="array" ref="F376">D376 - _xlfn.XLOOKUP(A376&amp;2000, A:A&amp;C:C, D:D, "No 2000 data")</f>
        <v>26.75</v>
      </c>
    </row>
    <row r="377" spans="1:6" x14ac:dyDescent="0.35">
      <c r="A377" s="16" t="s">
        <v>59</v>
      </c>
      <c r="B377" s="16" t="s">
        <v>134</v>
      </c>
      <c r="C377">
        <v>2000</v>
      </c>
      <c r="D377">
        <v>49.72</v>
      </c>
      <c r="E377">
        <f>IF(_2[[#This Row],[Year]]=2000,_2[[#This Row],[Share (%)]],"")</f>
        <v>49.72</v>
      </c>
      <c r="F377" s="16" cm="1">
        <f t="array" ref="F377">D377 - _xlfn.XLOOKUP(A377&amp;2000, A:A&amp;C:C, D:D, "No 2000 data")</f>
        <v>0</v>
      </c>
    </row>
    <row r="378" spans="1:6" x14ac:dyDescent="0.35">
      <c r="A378" s="16" t="s">
        <v>59</v>
      </c>
      <c r="B378" s="16" t="s">
        <v>134</v>
      </c>
      <c r="C378">
        <v>2001</v>
      </c>
      <c r="D378">
        <v>49.72</v>
      </c>
      <c r="E378" t="str">
        <f>IF(_2[[#This Row],[Year]]=2000,_2[[#This Row],[Share (%)]],"")</f>
        <v/>
      </c>
      <c r="F378" s="16" cm="1">
        <f t="array" ref="F378">D378 - _xlfn.XLOOKUP(A378&amp;2000, A:A&amp;C:C, D:D, "No 2000 data")</f>
        <v>0</v>
      </c>
    </row>
    <row r="379" spans="1:6" x14ac:dyDescent="0.35">
      <c r="A379" s="16" t="s">
        <v>59</v>
      </c>
      <c r="B379" s="16" t="s">
        <v>134</v>
      </c>
      <c r="C379">
        <v>2002</v>
      </c>
      <c r="D379">
        <v>49.94</v>
      </c>
      <c r="E379" t="str">
        <f>IF(_2[[#This Row],[Year]]=2000,_2[[#This Row],[Share (%)]],"")</f>
        <v/>
      </c>
      <c r="F379" s="16" cm="1">
        <f t="array" ref="F379">D379 - _xlfn.XLOOKUP(A379&amp;2000, A:A&amp;C:C, D:D, "No 2000 data")</f>
        <v>0.21999999999999886</v>
      </c>
    </row>
    <row r="380" spans="1:6" x14ac:dyDescent="0.35">
      <c r="A380" s="16" t="s">
        <v>59</v>
      </c>
      <c r="B380" s="16" t="s">
        <v>134</v>
      </c>
      <c r="C380">
        <v>2003</v>
      </c>
      <c r="D380">
        <v>49.36</v>
      </c>
      <c r="E380" t="str">
        <f>IF(_2[[#This Row],[Year]]=2000,_2[[#This Row],[Share (%)]],"")</f>
        <v/>
      </c>
      <c r="F380" s="16" cm="1">
        <f t="array" ref="F380">D380 - _xlfn.XLOOKUP(A380&amp;2000, A:A&amp;C:C, D:D, "No 2000 data")</f>
        <v>-0.35999999999999943</v>
      </c>
    </row>
    <row r="381" spans="1:6" x14ac:dyDescent="0.35">
      <c r="A381" s="16" t="s">
        <v>59</v>
      </c>
      <c r="B381" s="16" t="s">
        <v>134</v>
      </c>
      <c r="C381">
        <v>2004</v>
      </c>
      <c r="D381">
        <v>49.36</v>
      </c>
      <c r="E381" t="str">
        <f>IF(_2[[#This Row],[Year]]=2000,_2[[#This Row],[Share (%)]],"")</f>
        <v/>
      </c>
      <c r="F381" s="16" cm="1">
        <f t="array" ref="F381">D381 - _xlfn.XLOOKUP(A381&amp;2000, A:A&amp;C:C, D:D, "No 2000 data")</f>
        <v>-0.35999999999999943</v>
      </c>
    </row>
    <row r="382" spans="1:6" x14ac:dyDescent="0.35">
      <c r="A382" s="16" t="s">
        <v>59</v>
      </c>
      <c r="B382" s="16" t="s">
        <v>134</v>
      </c>
      <c r="C382">
        <v>2005</v>
      </c>
      <c r="D382">
        <v>49.5</v>
      </c>
      <c r="E382" t="str">
        <f>IF(_2[[#This Row],[Year]]=2000,_2[[#This Row],[Share (%)]],"")</f>
        <v/>
      </c>
      <c r="F382" s="16" cm="1">
        <f t="array" ref="F382">D382 - _xlfn.XLOOKUP(A382&amp;2000, A:A&amp;C:C, D:D, "No 2000 data")</f>
        <v>-0.21999999999999886</v>
      </c>
    </row>
    <row r="383" spans="1:6" x14ac:dyDescent="0.35">
      <c r="A383" s="16" t="s">
        <v>59</v>
      </c>
      <c r="B383" s="16" t="s">
        <v>134</v>
      </c>
      <c r="C383">
        <v>2006</v>
      </c>
      <c r="D383">
        <v>49.22</v>
      </c>
      <c r="E383" t="str">
        <f>IF(_2[[#This Row],[Year]]=2000,_2[[#This Row],[Share (%)]],"")</f>
        <v/>
      </c>
      <c r="F383" s="16" cm="1">
        <f t="array" ref="F383">D383 - _xlfn.XLOOKUP(A383&amp;2000, A:A&amp;C:C, D:D, "No 2000 data")</f>
        <v>-0.5</v>
      </c>
    </row>
    <row r="384" spans="1:6" x14ac:dyDescent="0.35">
      <c r="A384" s="16" t="s">
        <v>59</v>
      </c>
      <c r="B384" s="16" t="s">
        <v>134</v>
      </c>
      <c r="C384">
        <v>2007</v>
      </c>
      <c r="D384">
        <v>44.82</v>
      </c>
      <c r="E384" t="str">
        <f>IF(_2[[#This Row],[Year]]=2000,_2[[#This Row],[Share (%)]],"")</f>
        <v/>
      </c>
      <c r="F384" s="16" cm="1">
        <f t="array" ref="F384">D384 - _xlfn.XLOOKUP(A384&amp;2000, A:A&amp;C:C, D:D, "No 2000 data")</f>
        <v>-4.8999999999999986</v>
      </c>
    </row>
    <row r="385" spans="1:6" x14ac:dyDescent="0.35">
      <c r="A385" s="16" t="s">
        <v>59</v>
      </c>
      <c r="B385" s="16" t="s">
        <v>134</v>
      </c>
      <c r="C385">
        <v>2008</v>
      </c>
      <c r="D385">
        <v>45.54</v>
      </c>
      <c r="E385" t="str">
        <f>IF(_2[[#This Row],[Year]]=2000,_2[[#This Row],[Share (%)]],"")</f>
        <v/>
      </c>
      <c r="F385" s="16" cm="1">
        <f t="array" ref="F385">D385 - _xlfn.XLOOKUP(A385&amp;2000, A:A&amp;C:C, D:D, "No 2000 data")</f>
        <v>-4.18</v>
      </c>
    </row>
    <row r="386" spans="1:6" x14ac:dyDescent="0.35">
      <c r="A386" s="16" t="s">
        <v>59</v>
      </c>
      <c r="B386" s="16" t="s">
        <v>134</v>
      </c>
      <c r="C386">
        <v>2009</v>
      </c>
      <c r="D386">
        <v>45.66</v>
      </c>
      <c r="E386" t="str">
        <f>IF(_2[[#This Row],[Year]]=2000,_2[[#This Row],[Share (%)]],"")</f>
        <v/>
      </c>
      <c r="F386" s="16" cm="1">
        <f t="array" ref="F386">D386 - _xlfn.XLOOKUP(A386&amp;2000, A:A&amp;C:C, D:D, "No 2000 data")</f>
        <v>-4.0600000000000023</v>
      </c>
    </row>
    <row r="387" spans="1:6" x14ac:dyDescent="0.35">
      <c r="A387" s="16" t="s">
        <v>59</v>
      </c>
      <c r="B387" s="16" t="s">
        <v>134</v>
      </c>
      <c r="C387">
        <v>2010</v>
      </c>
      <c r="D387">
        <v>43.02</v>
      </c>
      <c r="E387" t="str">
        <f>IF(_2[[#This Row],[Year]]=2000,_2[[#This Row],[Share (%)]],"")</f>
        <v/>
      </c>
      <c r="F387" s="16" cm="1">
        <f t="array" ref="F387">D387 - _xlfn.XLOOKUP(A387&amp;2000, A:A&amp;C:C, D:D, "No 2000 data")</f>
        <v>-6.6999999999999957</v>
      </c>
    </row>
    <row r="388" spans="1:6" x14ac:dyDescent="0.35">
      <c r="A388" s="16" t="s">
        <v>59</v>
      </c>
      <c r="B388" s="16" t="s">
        <v>134</v>
      </c>
      <c r="C388">
        <v>2011</v>
      </c>
      <c r="D388">
        <v>42.69</v>
      </c>
      <c r="E388" t="str">
        <f>IF(_2[[#This Row],[Year]]=2000,_2[[#This Row],[Share (%)]],"")</f>
        <v/>
      </c>
      <c r="F388" s="16" cm="1">
        <f t="array" ref="F388">D388 - _xlfn.XLOOKUP(A388&amp;2000, A:A&amp;C:C, D:D, "No 2000 data")</f>
        <v>-7.0300000000000011</v>
      </c>
    </row>
    <row r="389" spans="1:6" x14ac:dyDescent="0.35">
      <c r="A389" s="16" t="s">
        <v>59</v>
      </c>
      <c r="B389" s="16" t="s">
        <v>134</v>
      </c>
      <c r="C389">
        <v>2012</v>
      </c>
      <c r="D389">
        <v>37.86</v>
      </c>
      <c r="E389" t="str">
        <f>IF(_2[[#This Row],[Year]]=2000,_2[[#This Row],[Share (%)]],"")</f>
        <v/>
      </c>
      <c r="F389" s="16" cm="1">
        <f t="array" ref="F389">D389 - _xlfn.XLOOKUP(A389&amp;2000, A:A&amp;C:C, D:D, "No 2000 data")</f>
        <v>-11.86</v>
      </c>
    </row>
    <row r="390" spans="1:6" x14ac:dyDescent="0.35">
      <c r="A390" s="16" t="s">
        <v>59</v>
      </c>
      <c r="B390" s="16" t="s">
        <v>134</v>
      </c>
      <c r="C390">
        <v>2013</v>
      </c>
      <c r="D390">
        <v>38.46</v>
      </c>
      <c r="E390" t="str">
        <f>IF(_2[[#This Row],[Year]]=2000,_2[[#This Row],[Share (%)]],"")</f>
        <v/>
      </c>
      <c r="F390" s="16" cm="1">
        <f t="array" ref="F390">D390 - _xlfn.XLOOKUP(A390&amp;2000, A:A&amp;C:C, D:D, "No 2000 data")</f>
        <v>-11.259999999999998</v>
      </c>
    </row>
    <row r="391" spans="1:6" x14ac:dyDescent="0.35">
      <c r="A391" s="16" t="s">
        <v>59</v>
      </c>
      <c r="B391" s="16" t="s">
        <v>134</v>
      </c>
      <c r="C391">
        <v>2014</v>
      </c>
      <c r="D391">
        <v>38.9</v>
      </c>
      <c r="E391" t="str">
        <f>IF(_2[[#This Row],[Year]]=2000,_2[[#This Row],[Share (%)]],"")</f>
        <v/>
      </c>
      <c r="F391" s="16" cm="1">
        <f t="array" ref="F391">D391 - _xlfn.XLOOKUP(A391&amp;2000, A:A&amp;C:C, D:D, "No 2000 data")</f>
        <v>-10.82</v>
      </c>
    </row>
    <row r="392" spans="1:6" x14ac:dyDescent="0.35">
      <c r="A392" s="16" t="s">
        <v>59</v>
      </c>
      <c r="B392" s="16" t="s">
        <v>134</v>
      </c>
      <c r="C392">
        <v>2015</v>
      </c>
      <c r="D392">
        <v>38.93</v>
      </c>
      <c r="E392" t="str">
        <f>IF(_2[[#This Row],[Year]]=2000,_2[[#This Row],[Share (%)]],"")</f>
        <v/>
      </c>
      <c r="F392" s="16" cm="1">
        <f t="array" ref="F392">D392 - _xlfn.XLOOKUP(A392&amp;2000, A:A&amp;C:C, D:D, "No 2000 data")</f>
        <v>-10.79</v>
      </c>
    </row>
    <row r="393" spans="1:6" x14ac:dyDescent="0.35">
      <c r="A393" s="16" t="s">
        <v>59</v>
      </c>
      <c r="B393" s="16" t="s">
        <v>134</v>
      </c>
      <c r="C393">
        <v>2016</v>
      </c>
      <c r="D393">
        <v>36.75</v>
      </c>
      <c r="E393" t="str">
        <f>IF(_2[[#This Row],[Year]]=2000,_2[[#This Row],[Share (%)]],"")</f>
        <v/>
      </c>
      <c r="F393" s="16" cm="1">
        <f t="array" ref="F393">D393 - _xlfn.XLOOKUP(A393&amp;2000, A:A&amp;C:C, D:D, "No 2000 data")</f>
        <v>-12.969999999999999</v>
      </c>
    </row>
    <row r="394" spans="1:6" x14ac:dyDescent="0.35">
      <c r="A394" s="16" t="s">
        <v>59</v>
      </c>
      <c r="B394" s="16" t="s">
        <v>134</v>
      </c>
      <c r="C394">
        <v>2017</v>
      </c>
      <c r="D394">
        <v>37.43</v>
      </c>
      <c r="E394" t="str">
        <f>IF(_2[[#This Row],[Year]]=2000,_2[[#This Row],[Share (%)]],"")</f>
        <v/>
      </c>
      <c r="F394" s="16" cm="1">
        <f t="array" ref="F394">D394 - _xlfn.XLOOKUP(A394&amp;2000, A:A&amp;C:C, D:D, "No 2000 data")</f>
        <v>-12.29</v>
      </c>
    </row>
    <row r="395" spans="1:6" x14ac:dyDescent="0.35">
      <c r="A395" s="16" t="s">
        <v>59</v>
      </c>
      <c r="B395" s="16" t="s">
        <v>134</v>
      </c>
      <c r="C395">
        <v>2018</v>
      </c>
      <c r="D395">
        <v>38.29</v>
      </c>
      <c r="E395" t="str">
        <f>IF(_2[[#This Row],[Year]]=2000,_2[[#This Row],[Share (%)]],"")</f>
        <v/>
      </c>
      <c r="F395" s="16" cm="1">
        <f t="array" ref="F395">D395 - _xlfn.XLOOKUP(A395&amp;2000, A:A&amp;C:C, D:D, "No 2000 data")</f>
        <v>-11.43</v>
      </c>
    </row>
    <row r="396" spans="1:6" x14ac:dyDescent="0.35">
      <c r="A396" s="16" t="s">
        <v>59</v>
      </c>
      <c r="B396" s="16" t="s">
        <v>134</v>
      </c>
      <c r="C396">
        <v>2019</v>
      </c>
      <c r="D396">
        <v>45.65</v>
      </c>
      <c r="E396" t="str">
        <f>IF(_2[[#This Row],[Year]]=2000,_2[[#This Row],[Share (%)]],"")</f>
        <v/>
      </c>
      <c r="F396" s="16" cm="1">
        <f t="array" ref="F396">D396 - _xlfn.XLOOKUP(A396&amp;2000, A:A&amp;C:C, D:D, "No 2000 data")</f>
        <v>-4.07</v>
      </c>
    </row>
    <row r="397" spans="1:6" x14ac:dyDescent="0.35">
      <c r="A397" s="16" t="s">
        <v>59</v>
      </c>
      <c r="B397" s="16" t="s">
        <v>134</v>
      </c>
      <c r="C397">
        <v>2020</v>
      </c>
      <c r="D397">
        <v>45.65</v>
      </c>
      <c r="E397" t="str">
        <f>IF(_2[[#This Row],[Year]]=2000,_2[[#This Row],[Share (%)]],"")</f>
        <v/>
      </c>
      <c r="F397" s="16" cm="1">
        <f t="array" ref="F397">D397 - _xlfn.XLOOKUP(A397&amp;2000, A:A&amp;C:C, D:D, "No 2000 data")</f>
        <v>-4.07</v>
      </c>
    </row>
    <row r="398" spans="1:6" x14ac:dyDescent="0.35">
      <c r="A398" s="16" t="s">
        <v>59</v>
      </c>
      <c r="B398" s="16" t="s">
        <v>134</v>
      </c>
      <c r="C398">
        <v>2021</v>
      </c>
      <c r="D398">
        <v>45.68</v>
      </c>
      <c r="E398" t="str">
        <f>IF(_2[[#This Row],[Year]]=2000,_2[[#This Row],[Share (%)]],"")</f>
        <v/>
      </c>
      <c r="F398" s="16" cm="1">
        <f t="array" ref="F398">D398 - _xlfn.XLOOKUP(A398&amp;2000, A:A&amp;C:C, D:D, "No 2000 data")</f>
        <v>-4.0399999999999991</v>
      </c>
    </row>
    <row r="399" spans="1:6" x14ac:dyDescent="0.35">
      <c r="A399" s="16" t="s">
        <v>59</v>
      </c>
      <c r="B399" s="16" t="s">
        <v>134</v>
      </c>
      <c r="C399">
        <v>2022</v>
      </c>
      <c r="D399">
        <v>45.68</v>
      </c>
      <c r="E399" t="str">
        <f>IF(_2[[#This Row],[Year]]=2000,_2[[#This Row],[Share (%)]],"")</f>
        <v/>
      </c>
      <c r="F399" s="16" cm="1">
        <f t="array" ref="F399">D399 - _xlfn.XLOOKUP(A399&amp;2000, A:A&amp;C:C, D:D, "No 2000 data")</f>
        <v>-4.0399999999999991</v>
      </c>
    </row>
    <row r="400" spans="1:6" x14ac:dyDescent="0.35">
      <c r="A400" s="16" t="s">
        <v>59</v>
      </c>
      <c r="B400" s="16" t="s">
        <v>134</v>
      </c>
      <c r="C400">
        <v>2023</v>
      </c>
      <c r="D400">
        <v>45.69</v>
      </c>
      <c r="E400" t="str">
        <f>IF(_2[[#This Row],[Year]]=2000,_2[[#This Row],[Share (%)]],"")</f>
        <v/>
      </c>
      <c r="F400" s="16" cm="1">
        <f t="array" ref="F400">D400 - _xlfn.XLOOKUP(A400&amp;2000, A:A&amp;C:C, D:D, "No 2000 data")</f>
        <v>-4.0300000000000011</v>
      </c>
    </row>
    <row r="401" spans="1:6" x14ac:dyDescent="0.35">
      <c r="A401" s="16" t="s">
        <v>59</v>
      </c>
      <c r="B401" s="16" t="s">
        <v>134</v>
      </c>
      <c r="C401">
        <v>2024</v>
      </c>
      <c r="D401">
        <v>46.52</v>
      </c>
      <c r="E401" t="str">
        <f>IF(_2[[#This Row],[Year]]=2000,_2[[#This Row],[Share (%)]],"")</f>
        <v/>
      </c>
      <c r="F401" s="16" cm="1">
        <f t="array" ref="F401">D401 - _xlfn.XLOOKUP(A401&amp;2000, A:A&amp;C:C, D:D, "No 2000 data")</f>
        <v>-3.1999999999999957</v>
      </c>
    </row>
    <row r="402" spans="1:6" x14ac:dyDescent="0.35">
      <c r="A402" s="16" t="s">
        <v>61</v>
      </c>
      <c r="B402" s="16" t="s">
        <v>134</v>
      </c>
      <c r="C402">
        <v>2000</v>
      </c>
      <c r="D402">
        <v>65.010000000000005</v>
      </c>
      <c r="E402">
        <f>IF(_2[[#This Row],[Year]]=2000,_2[[#This Row],[Share (%)]],"")</f>
        <v>65.010000000000005</v>
      </c>
      <c r="F402" s="16" cm="1">
        <f t="array" ref="F402">D402 - _xlfn.XLOOKUP(A402&amp;2000, A:A&amp;C:C, D:D, "No 2000 data")</f>
        <v>0</v>
      </c>
    </row>
    <row r="403" spans="1:6" x14ac:dyDescent="0.35">
      <c r="A403" s="16" t="s">
        <v>61</v>
      </c>
      <c r="B403" s="16" t="s">
        <v>134</v>
      </c>
      <c r="C403">
        <v>2001</v>
      </c>
      <c r="D403">
        <v>65.010000000000005</v>
      </c>
      <c r="E403" t="str">
        <f>IF(_2[[#This Row],[Year]]=2000,_2[[#This Row],[Share (%)]],"")</f>
        <v/>
      </c>
      <c r="F403" s="16" cm="1">
        <f t="array" ref="F403">D403 - _xlfn.XLOOKUP(A403&amp;2000, A:A&amp;C:C, D:D, "No 2000 data")</f>
        <v>0</v>
      </c>
    </row>
    <row r="404" spans="1:6" x14ac:dyDescent="0.35">
      <c r="A404" s="16" t="s">
        <v>61</v>
      </c>
      <c r="B404" s="16" t="s">
        <v>134</v>
      </c>
      <c r="C404">
        <v>2002</v>
      </c>
      <c r="D404">
        <v>65.010000000000005</v>
      </c>
      <c r="E404" t="str">
        <f>IF(_2[[#This Row],[Year]]=2000,_2[[#This Row],[Share (%)]],"")</f>
        <v/>
      </c>
      <c r="F404" s="16" cm="1">
        <f t="array" ref="F404">D404 - _xlfn.XLOOKUP(A404&amp;2000, A:A&amp;C:C, D:D, "No 2000 data")</f>
        <v>0</v>
      </c>
    </row>
    <row r="405" spans="1:6" x14ac:dyDescent="0.35">
      <c r="A405" s="16" t="s">
        <v>61</v>
      </c>
      <c r="B405" s="16" t="s">
        <v>134</v>
      </c>
      <c r="C405">
        <v>2003</v>
      </c>
      <c r="D405">
        <v>65.010000000000005</v>
      </c>
      <c r="E405" t="str">
        <f>IF(_2[[#This Row],[Year]]=2000,_2[[#This Row],[Share (%)]],"")</f>
        <v/>
      </c>
      <c r="F405" s="16" cm="1">
        <f t="array" ref="F405">D405 - _xlfn.XLOOKUP(A405&amp;2000, A:A&amp;C:C, D:D, "No 2000 data")</f>
        <v>0</v>
      </c>
    </row>
    <row r="406" spans="1:6" x14ac:dyDescent="0.35">
      <c r="A406" s="16" t="s">
        <v>61</v>
      </c>
      <c r="B406" s="16" t="s">
        <v>134</v>
      </c>
      <c r="C406">
        <v>2004</v>
      </c>
      <c r="D406">
        <v>68.31</v>
      </c>
      <c r="E406" t="str">
        <f>IF(_2[[#This Row],[Year]]=2000,_2[[#This Row],[Share (%)]],"")</f>
        <v/>
      </c>
      <c r="F406" s="16" cm="1">
        <f t="array" ref="F406">D406 - _xlfn.XLOOKUP(A406&amp;2000, A:A&amp;C:C, D:D, "No 2000 data")</f>
        <v>3.2999999999999972</v>
      </c>
    </row>
    <row r="407" spans="1:6" x14ac:dyDescent="0.35">
      <c r="A407" s="16" t="s">
        <v>61</v>
      </c>
      <c r="B407" s="16" t="s">
        <v>134</v>
      </c>
      <c r="C407">
        <v>2005</v>
      </c>
      <c r="D407">
        <v>68.31</v>
      </c>
      <c r="E407" t="str">
        <f>IF(_2[[#This Row],[Year]]=2000,_2[[#This Row],[Share (%)]],"")</f>
        <v/>
      </c>
      <c r="F407" s="16" cm="1">
        <f t="array" ref="F407">D407 - _xlfn.XLOOKUP(A407&amp;2000, A:A&amp;C:C, D:D, "No 2000 data")</f>
        <v>3.2999999999999972</v>
      </c>
    </row>
    <row r="408" spans="1:6" x14ac:dyDescent="0.35">
      <c r="A408" s="16" t="s">
        <v>61</v>
      </c>
      <c r="B408" s="16" t="s">
        <v>134</v>
      </c>
      <c r="C408">
        <v>2006</v>
      </c>
      <c r="D408">
        <v>68.28</v>
      </c>
      <c r="E408" t="str">
        <f>IF(_2[[#This Row],[Year]]=2000,_2[[#This Row],[Share (%)]],"")</f>
        <v/>
      </c>
      <c r="F408" s="16" cm="1">
        <f t="array" ref="F408">D408 - _xlfn.XLOOKUP(A408&amp;2000, A:A&amp;C:C, D:D, "No 2000 data")</f>
        <v>3.269999999999996</v>
      </c>
    </row>
    <row r="409" spans="1:6" x14ac:dyDescent="0.35">
      <c r="A409" s="16" t="s">
        <v>61</v>
      </c>
      <c r="B409" s="16" t="s">
        <v>134</v>
      </c>
      <c r="C409">
        <v>2007</v>
      </c>
      <c r="D409">
        <v>61.06</v>
      </c>
      <c r="E409" t="str">
        <f>IF(_2[[#This Row],[Year]]=2000,_2[[#This Row],[Share (%)]],"")</f>
        <v/>
      </c>
      <c r="F409" s="16" cm="1">
        <f t="array" ref="F409">D409 - _xlfn.XLOOKUP(A409&amp;2000, A:A&amp;C:C, D:D, "No 2000 data")</f>
        <v>-3.9500000000000028</v>
      </c>
    </row>
    <row r="410" spans="1:6" x14ac:dyDescent="0.35">
      <c r="A410" s="16" t="s">
        <v>61</v>
      </c>
      <c r="B410" s="16" t="s">
        <v>134</v>
      </c>
      <c r="C410">
        <v>2008</v>
      </c>
      <c r="D410">
        <v>59.7</v>
      </c>
      <c r="E410" t="str">
        <f>IF(_2[[#This Row],[Year]]=2000,_2[[#This Row],[Share (%)]],"")</f>
        <v/>
      </c>
      <c r="F410" s="16" cm="1">
        <f t="array" ref="F410">D410 - _xlfn.XLOOKUP(A410&amp;2000, A:A&amp;C:C, D:D, "No 2000 data")</f>
        <v>-5.3100000000000023</v>
      </c>
    </row>
    <row r="411" spans="1:6" x14ac:dyDescent="0.35">
      <c r="A411" s="16" t="s">
        <v>61</v>
      </c>
      <c r="B411" s="16" t="s">
        <v>134</v>
      </c>
      <c r="C411">
        <v>2009</v>
      </c>
      <c r="D411">
        <v>60.04</v>
      </c>
      <c r="E411" t="str">
        <f>IF(_2[[#This Row],[Year]]=2000,_2[[#This Row],[Share (%)]],"")</f>
        <v/>
      </c>
      <c r="F411" s="16" cm="1">
        <f t="array" ref="F411">D411 - _xlfn.XLOOKUP(A411&amp;2000, A:A&amp;C:C, D:D, "No 2000 data")</f>
        <v>-4.970000000000006</v>
      </c>
    </row>
    <row r="412" spans="1:6" x14ac:dyDescent="0.35">
      <c r="A412" s="16" t="s">
        <v>61</v>
      </c>
      <c r="B412" s="16" t="s">
        <v>134</v>
      </c>
      <c r="C412">
        <v>2010</v>
      </c>
      <c r="D412">
        <v>53.43</v>
      </c>
      <c r="E412" t="str">
        <f>IF(_2[[#This Row],[Year]]=2000,_2[[#This Row],[Share (%)]],"")</f>
        <v/>
      </c>
      <c r="F412" s="16" cm="1">
        <f t="array" ref="F412">D412 - _xlfn.XLOOKUP(A412&amp;2000, A:A&amp;C:C, D:D, "No 2000 data")</f>
        <v>-11.580000000000005</v>
      </c>
    </row>
    <row r="413" spans="1:6" x14ac:dyDescent="0.35">
      <c r="A413" s="16" t="s">
        <v>61</v>
      </c>
      <c r="B413" s="16" t="s">
        <v>134</v>
      </c>
      <c r="C413">
        <v>2011</v>
      </c>
      <c r="D413">
        <v>54.53</v>
      </c>
      <c r="E413" t="str">
        <f>IF(_2[[#This Row],[Year]]=2000,_2[[#This Row],[Share (%)]],"")</f>
        <v/>
      </c>
      <c r="F413" s="16" cm="1">
        <f t="array" ref="F413">D413 - _xlfn.XLOOKUP(A413&amp;2000, A:A&amp;C:C, D:D, "No 2000 data")</f>
        <v>-10.480000000000004</v>
      </c>
    </row>
    <row r="414" spans="1:6" x14ac:dyDescent="0.35">
      <c r="A414" s="16" t="s">
        <v>61</v>
      </c>
      <c r="B414" s="16" t="s">
        <v>134</v>
      </c>
      <c r="C414">
        <v>2012</v>
      </c>
      <c r="D414">
        <v>51.91</v>
      </c>
      <c r="E414" t="str">
        <f>IF(_2[[#This Row],[Year]]=2000,_2[[#This Row],[Share (%)]],"")</f>
        <v/>
      </c>
      <c r="F414" s="16" cm="1">
        <f t="array" ref="F414">D414 - _xlfn.XLOOKUP(A414&amp;2000, A:A&amp;C:C, D:D, "No 2000 data")</f>
        <v>-13.100000000000009</v>
      </c>
    </row>
    <row r="415" spans="1:6" x14ac:dyDescent="0.35">
      <c r="A415" s="16" t="s">
        <v>61</v>
      </c>
      <c r="B415" s="16" t="s">
        <v>134</v>
      </c>
      <c r="C415">
        <v>2013</v>
      </c>
      <c r="D415">
        <v>56.35</v>
      </c>
      <c r="E415" t="str">
        <f>IF(_2[[#This Row],[Year]]=2000,_2[[#This Row],[Share (%)]],"")</f>
        <v/>
      </c>
      <c r="F415" s="16" cm="1">
        <f t="array" ref="F415">D415 - _xlfn.XLOOKUP(A415&amp;2000, A:A&amp;C:C, D:D, "No 2000 data")</f>
        <v>-8.6600000000000037</v>
      </c>
    </row>
    <row r="416" spans="1:6" x14ac:dyDescent="0.35">
      <c r="A416" s="16" t="s">
        <v>61</v>
      </c>
      <c r="B416" s="16" t="s">
        <v>134</v>
      </c>
      <c r="C416">
        <v>2014</v>
      </c>
      <c r="D416">
        <v>56.44</v>
      </c>
      <c r="E416" t="str">
        <f>IF(_2[[#This Row],[Year]]=2000,_2[[#This Row],[Share (%)]],"")</f>
        <v/>
      </c>
      <c r="F416" s="16" cm="1">
        <f t="array" ref="F416">D416 - _xlfn.XLOOKUP(A416&amp;2000, A:A&amp;C:C, D:D, "No 2000 data")</f>
        <v>-8.5700000000000074</v>
      </c>
    </row>
    <row r="417" spans="1:6" x14ac:dyDescent="0.35">
      <c r="A417" s="16" t="s">
        <v>61</v>
      </c>
      <c r="B417" s="16" t="s">
        <v>134</v>
      </c>
      <c r="C417">
        <v>2015</v>
      </c>
      <c r="D417">
        <v>50.28</v>
      </c>
      <c r="E417" t="str">
        <f>IF(_2[[#This Row],[Year]]=2000,_2[[#This Row],[Share (%)]],"")</f>
        <v/>
      </c>
      <c r="F417" s="16" cm="1">
        <f t="array" ref="F417">D417 - _xlfn.XLOOKUP(A417&amp;2000, A:A&amp;C:C, D:D, "No 2000 data")</f>
        <v>-14.730000000000004</v>
      </c>
    </row>
    <row r="418" spans="1:6" x14ac:dyDescent="0.35">
      <c r="A418" s="16" t="s">
        <v>61</v>
      </c>
      <c r="B418" s="16" t="s">
        <v>134</v>
      </c>
      <c r="C418">
        <v>2016</v>
      </c>
      <c r="D418">
        <v>42.67</v>
      </c>
      <c r="E418" t="str">
        <f>IF(_2[[#This Row],[Year]]=2000,_2[[#This Row],[Share (%)]],"")</f>
        <v/>
      </c>
      <c r="F418" s="16" cm="1">
        <f t="array" ref="F418">D418 - _xlfn.XLOOKUP(A418&amp;2000, A:A&amp;C:C, D:D, "No 2000 data")</f>
        <v>-22.340000000000003</v>
      </c>
    </row>
    <row r="419" spans="1:6" x14ac:dyDescent="0.35">
      <c r="A419" s="16" t="s">
        <v>61</v>
      </c>
      <c r="B419" s="16" t="s">
        <v>134</v>
      </c>
      <c r="C419">
        <v>2017</v>
      </c>
      <c r="D419">
        <v>35.33</v>
      </c>
      <c r="E419" t="str">
        <f>IF(_2[[#This Row],[Year]]=2000,_2[[#This Row],[Share (%)]],"")</f>
        <v/>
      </c>
      <c r="F419" s="16" cm="1">
        <f t="array" ref="F419">D419 - _xlfn.XLOOKUP(A419&amp;2000, A:A&amp;C:C, D:D, "No 2000 data")</f>
        <v>-29.680000000000007</v>
      </c>
    </row>
    <row r="420" spans="1:6" x14ac:dyDescent="0.35">
      <c r="A420" s="16" t="s">
        <v>61</v>
      </c>
      <c r="B420" s="16" t="s">
        <v>134</v>
      </c>
      <c r="C420">
        <v>2018</v>
      </c>
      <c r="D420">
        <v>34.840000000000003</v>
      </c>
      <c r="E420" t="str">
        <f>IF(_2[[#This Row],[Year]]=2000,_2[[#This Row],[Share (%)]],"")</f>
        <v/>
      </c>
      <c r="F420" s="16" cm="1">
        <f t="array" ref="F420">D420 - _xlfn.XLOOKUP(A420&amp;2000, A:A&amp;C:C, D:D, "No 2000 data")</f>
        <v>-30.17</v>
      </c>
    </row>
    <row r="421" spans="1:6" x14ac:dyDescent="0.35">
      <c r="A421" s="16" t="s">
        <v>61</v>
      </c>
      <c r="B421" s="16" t="s">
        <v>134</v>
      </c>
      <c r="C421">
        <v>2019</v>
      </c>
      <c r="D421">
        <v>32.54</v>
      </c>
      <c r="E421" t="str">
        <f>IF(_2[[#This Row],[Year]]=2000,_2[[#This Row],[Share (%)]],"")</f>
        <v/>
      </c>
      <c r="F421" s="16" cm="1">
        <f t="array" ref="F421">D421 - _xlfn.XLOOKUP(A421&amp;2000, A:A&amp;C:C, D:D, "No 2000 data")</f>
        <v>-32.470000000000006</v>
      </c>
    </row>
    <row r="422" spans="1:6" x14ac:dyDescent="0.35">
      <c r="A422" s="16" t="s">
        <v>61</v>
      </c>
      <c r="B422" s="16" t="s">
        <v>134</v>
      </c>
      <c r="C422">
        <v>2020</v>
      </c>
      <c r="D422">
        <v>31.85</v>
      </c>
      <c r="E422" t="str">
        <f>IF(_2[[#This Row],[Year]]=2000,_2[[#This Row],[Share (%)]],"")</f>
        <v/>
      </c>
      <c r="F422" s="16" cm="1">
        <f t="array" ref="F422">D422 - _xlfn.XLOOKUP(A422&amp;2000, A:A&amp;C:C, D:D, "No 2000 data")</f>
        <v>-33.160000000000004</v>
      </c>
    </row>
    <row r="423" spans="1:6" x14ac:dyDescent="0.35">
      <c r="A423" s="16" t="s">
        <v>61</v>
      </c>
      <c r="B423" s="16" t="s">
        <v>134</v>
      </c>
      <c r="C423">
        <v>2021</v>
      </c>
      <c r="D423">
        <v>31.36</v>
      </c>
      <c r="E423" t="str">
        <f>IF(_2[[#This Row],[Year]]=2000,_2[[#This Row],[Share (%)]],"")</f>
        <v/>
      </c>
      <c r="F423" s="16" cm="1">
        <f t="array" ref="F423">D423 - _xlfn.XLOOKUP(A423&amp;2000, A:A&amp;C:C, D:D, "No 2000 data")</f>
        <v>-33.650000000000006</v>
      </c>
    </row>
    <row r="424" spans="1:6" x14ac:dyDescent="0.35">
      <c r="A424" s="16" t="s">
        <v>61</v>
      </c>
      <c r="B424" s="16" t="s">
        <v>134</v>
      </c>
      <c r="C424">
        <v>2022</v>
      </c>
      <c r="D424">
        <v>31.04</v>
      </c>
      <c r="E424" t="str">
        <f>IF(_2[[#This Row],[Year]]=2000,_2[[#This Row],[Share (%)]],"")</f>
        <v/>
      </c>
      <c r="F424" s="16" cm="1">
        <f t="array" ref="F424">D424 - _xlfn.XLOOKUP(A424&amp;2000, A:A&amp;C:C, D:D, "No 2000 data")</f>
        <v>-33.970000000000006</v>
      </c>
    </row>
    <row r="425" spans="1:6" x14ac:dyDescent="0.35">
      <c r="A425" s="16" t="s">
        <v>61</v>
      </c>
      <c r="B425" s="16" t="s">
        <v>134</v>
      </c>
      <c r="C425">
        <v>2023</v>
      </c>
      <c r="D425">
        <v>31.27</v>
      </c>
      <c r="E425" t="str">
        <f>IF(_2[[#This Row],[Year]]=2000,_2[[#This Row],[Share (%)]],"")</f>
        <v/>
      </c>
      <c r="F425" s="16" cm="1">
        <f t="array" ref="F425">D425 - _xlfn.XLOOKUP(A425&amp;2000, A:A&amp;C:C, D:D, "No 2000 data")</f>
        <v>-33.740000000000009</v>
      </c>
    </row>
    <row r="426" spans="1:6" x14ac:dyDescent="0.35">
      <c r="A426" s="16" t="s">
        <v>61</v>
      </c>
      <c r="B426" s="16" t="s">
        <v>134</v>
      </c>
      <c r="C426">
        <v>2024</v>
      </c>
      <c r="D426">
        <v>30.21</v>
      </c>
      <c r="E426" t="str">
        <f>IF(_2[[#This Row],[Year]]=2000,_2[[#This Row],[Share (%)]],"")</f>
        <v/>
      </c>
      <c r="F426" s="16" cm="1">
        <f t="array" ref="F426">D426 - _xlfn.XLOOKUP(A426&amp;2000, A:A&amp;C:C, D:D, "No 2000 data")</f>
        <v>-34.800000000000004</v>
      </c>
    </row>
    <row r="427" spans="1:6" x14ac:dyDescent="0.35">
      <c r="A427" s="16" t="s">
        <v>63</v>
      </c>
      <c r="B427" s="16" t="s">
        <v>134</v>
      </c>
      <c r="C427">
        <v>2000</v>
      </c>
      <c r="D427">
        <v>38.14</v>
      </c>
      <c r="E427">
        <f>IF(_2[[#This Row],[Year]]=2000,_2[[#This Row],[Share (%)]],"")</f>
        <v>38.14</v>
      </c>
      <c r="F427" s="16" cm="1">
        <f t="array" ref="F427">D427 - _xlfn.XLOOKUP(A427&amp;2000, A:A&amp;C:C, D:D, "No 2000 data")</f>
        <v>0</v>
      </c>
    </row>
    <row r="428" spans="1:6" x14ac:dyDescent="0.35">
      <c r="A428" s="16" t="s">
        <v>63</v>
      </c>
      <c r="B428" s="16" t="s">
        <v>134</v>
      </c>
      <c r="C428">
        <v>2001</v>
      </c>
      <c r="D428">
        <v>38.14</v>
      </c>
      <c r="E428" t="str">
        <f>IF(_2[[#This Row],[Year]]=2000,_2[[#This Row],[Share (%)]],"")</f>
        <v/>
      </c>
      <c r="F428" s="16" cm="1">
        <f t="array" ref="F428">D428 - _xlfn.XLOOKUP(A428&amp;2000, A:A&amp;C:C, D:D, "No 2000 data")</f>
        <v>0</v>
      </c>
    </row>
    <row r="429" spans="1:6" x14ac:dyDescent="0.35">
      <c r="A429" s="16" t="s">
        <v>63</v>
      </c>
      <c r="B429" s="16" t="s">
        <v>134</v>
      </c>
      <c r="C429">
        <v>2002</v>
      </c>
      <c r="D429">
        <v>38.14</v>
      </c>
      <c r="E429" t="str">
        <f>IF(_2[[#This Row],[Year]]=2000,_2[[#This Row],[Share (%)]],"")</f>
        <v/>
      </c>
      <c r="F429" s="16" cm="1">
        <f t="array" ref="F429">D429 - _xlfn.XLOOKUP(A429&amp;2000, A:A&amp;C:C, D:D, "No 2000 data")</f>
        <v>0</v>
      </c>
    </row>
    <row r="430" spans="1:6" x14ac:dyDescent="0.35">
      <c r="A430" s="16" t="s">
        <v>63</v>
      </c>
      <c r="B430" s="16" t="s">
        <v>134</v>
      </c>
      <c r="C430">
        <v>2003</v>
      </c>
      <c r="D430">
        <v>38.14</v>
      </c>
      <c r="E430" t="str">
        <f>IF(_2[[#This Row],[Year]]=2000,_2[[#This Row],[Share (%)]],"")</f>
        <v/>
      </c>
      <c r="F430" s="16" cm="1">
        <f t="array" ref="F430">D430 - _xlfn.XLOOKUP(A430&amp;2000, A:A&amp;C:C, D:D, "No 2000 data")</f>
        <v>0</v>
      </c>
    </row>
    <row r="431" spans="1:6" x14ac:dyDescent="0.35">
      <c r="A431" s="16" t="s">
        <v>63</v>
      </c>
      <c r="B431" s="16" t="s">
        <v>134</v>
      </c>
      <c r="C431">
        <v>2004</v>
      </c>
      <c r="D431">
        <v>38.14</v>
      </c>
      <c r="E431" t="str">
        <f>IF(_2[[#This Row],[Year]]=2000,_2[[#This Row],[Share (%)]],"")</f>
        <v/>
      </c>
      <c r="F431" s="16" cm="1">
        <f t="array" ref="F431">D431 - _xlfn.XLOOKUP(A431&amp;2000, A:A&amp;C:C, D:D, "No 2000 data")</f>
        <v>0</v>
      </c>
    </row>
    <row r="432" spans="1:6" x14ac:dyDescent="0.35">
      <c r="A432" s="16" t="s">
        <v>63</v>
      </c>
      <c r="B432" s="16" t="s">
        <v>134</v>
      </c>
      <c r="C432">
        <v>2005</v>
      </c>
      <c r="D432">
        <v>38.14</v>
      </c>
      <c r="E432" t="str">
        <f>IF(_2[[#This Row],[Year]]=2000,_2[[#This Row],[Share (%)]],"")</f>
        <v/>
      </c>
      <c r="F432" s="16" cm="1">
        <f t="array" ref="F432">D432 - _xlfn.XLOOKUP(A432&amp;2000, A:A&amp;C:C, D:D, "No 2000 data")</f>
        <v>0</v>
      </c>
    </row>
    <row r="433" spans="1:6" x14ac:dyDescent="0.35">
      <c r="A433" s="16" t="s">
        <v>63</v>
      </c>
      <c r="B433" s="16" t="s">
        <v>134</v>
      </c>
      <c r="C433">
        <v>2006</v>
      </c>
      <c r="D433">
        <v>38.14</v>
      </c>
      <c r="E433" t="str">
        <f>IF(_2[[#This Row],[Year]]=2000,_2[[#This Row],[Share (%)]],"")</f>
        <v/>
      </c>
      <c r="F433" s="16" cm="1">
        <f t="array" ref="F433">D433 - _xlfn.XLOOKUP(A433&amp;2000, A:A&amp;C:C, D:D, "No 2000 data")</f>
        <v>0</v>
      </c>
    </row>
    <row r="434" spans="1:6" x14ac:dyDescent="0.35">
      <c r="A434" s="16" t="s">
        <v>63</v>
      </c>
      <c r="B434" s="16" t="s">
        <v>134</v>
      </c>
      <c r="C434">
        <v>2007</v>
      </c>
      <c r="D434">
        <v>37.25</v>
      </c>
      <c r="E434" t="str">
        <f>IF(_2[[#This Row],[Year]]=2000,_2[[#This Row],[Share (%)]],"")</f>
        <v/>
      </c>
      <c r="F434" s="16" cm="1">
        <f t="array" ref="F434">D434 - _xlfn.XLOOKUP(A434&amp;2000, A:A&amp;C:C, D:D, "No 2000 data")</f>
        <v>-0.89000000000000057</v>
      </c>
    </row>
    <row r="435" spans="1:6" x14ac:dyDescent="0.35">
      <c r="A435" s="16" t="s">
        <v>63</v>
      </c>
      <c r="B435" s="16" t="s">
        <v>134</v>
      </c>
      <c r="C435">
        <v>2008</v>
      </c>
      <c r="D435">
        <v>40.17</v>
      </c>
      <c r="E435" t="str">
        <f>IF(_2[[#This Row],[Year]]=2000,_2[[#This Row],[Share (%)]],"")</f>
        <v/>
      </c>
      <c r="F435" s="16" cm="1">
        <f t="array" ref="F435">D435 - _xlfn.XLOOKUP(A435&amp;2000, A:A&amp;C:C, D:D, "No 2000 data")</f>
        <v>2.0300000000000011</v>
      </c>
    </row>
    <row r="436" spans="1:6" x14ac:dyDescent="0.35">
      <c r="A436" s="16" t="s">
        <v>63</v>
      </c>
      <c r="B436" s="16" t="s">
        <v>134</v>
      </c>
      <c r="C436">
        <v>2009</v>
      </c>
      <c r="D436">
        <v>39.67</v>
      </c>
      <c r="E436" t="str">
        <f>IF(_2[[#This Row],[Year]]=2000,_2[[#This Row],[Share (%)]],"")</f>
        <v/>
      </c>
      <c r="F436" s="16" cm="1">
        <f t="array" ref="F436">D436 - _xlfn.XLOOKUP(A436&amp;2000, A:A&amp;C:C, D:D, "No 2000 data")</f>
        <v>1.5300000000000011</v>
      </c>
    </row>
    <row r="437" spans="1:6" x14ac:dyDescent="0.35">
      <c r="A437" s="16" t="s">
        <v>63</v>
      </c>
      <c r="B437" s="16" t="s">
        <v>134</v>
      </c>
      <c r="C437">
        <v>2010</v>
      </c>
      <c r="D437">
        <v>50.84</v>
      </c>
      <c r="E437" t="str">
        <f>IF(_2[[#This Row],[Year]]=2000,_2[[#This Row],[Share (%)]],"")</f>
        <v/>
      </c>
      <c r="F437" s="16" cm="1">
        <f t="array" ref="F437">D437 - _xlfn.XLOOKUP(A437&amp;2000, A:A&amp;C:C, D:D, "No 2000 data")</f>
        <v>12.700000000000003</v>
      </c>
    </row>
    <row r="438" spans="1:6" x14ac:dyDescent="0.35">
      <c r="A438" s="16" t="s">
        <v>63</v>
      </c>
      <c r="B438" s="16" t="s">
        <v>134</v>
      </c>
      <c r="C438">
        <v>2011</v>
      </c>
      <c r="D438">
        <v>62.42</v>
      </c>
      <c r="E438" t="str">
        <f>IF(_2[[#This Row],[Year]]=2000,_2[[#This Row],[Share (%)]],"")</f>
        <v/>
      </c>
      <c r="F438" s="16" cm="1">
        <f t="array" ref="F438">D438 - _xlfn.XLOOKUP(A438&amp;2000, A:A&amp;C:C, D:D, "No 2000 data")</f>
        <v>24.28</v>
      </c>
    </row>
    <row r="439" spans="1:6" x14ac:dyDescent="0.35">
      <c r="A439" s="16" t="s">
        <v>63</v>
      </c>
      <c r="B439" s="16" t="s">
        <v>134</v>
      </c>
      <c r="C439">
        <v>2012</v>
      </c>
      <c r="D439">
        <v>60.06</v>
      </c>
      <c r="E439" t="str">
        <f>IF(_2[[#This Row],[Year]]=2000,_2[[#This Row],[Share (%)]],"")</f>
        <v/>
      </c>
      <c r="F439" s="16" cm="1">
        <f t="array" ref="F439">D439 - _xlfn.XLOOKUP(A439&amp;2000, A:A&amp;C:C, D:D, "No 2000 data")</f>
        <v>21.92</v>
      </c>
    </row>
    <row r="440" spans="1:6" x14ac:dyDescent="0.35">
      <c r="A440" s="16" t="s">
        <v>63</v>
      </c>
      <c r="B440" s="16" t="s">
        <v>134</v>
      </c>
      <c r="C440">
        <v>2013</v>
      </c>
      <c r="D440">
        <v>38.049999999999997</v>
      </c>
      <c r="E440" t="str">
        <f>IF(_2[[#This Row],[Year]]=2000,_2[[#This Row],[Share (%)]],"")</f>
        <v/>
      </c>
      <c r="F440" s="16" cm="1">
        <f t="array" ref="F440">D440 - _xlfn.XLOOKUP(A440&amp;2000, A:A&amp;C:C, D:D, "No 2000 data")</f>
        <v>-9.0000000000003411E-2</v>
      </c>
    </row>
    <row r="441" spans="1:6" x14ac:dyDescent="0.35">
      <c r="A441" s="16" t="s">
        <v>63</v>
      </c>
      <c r="B441" s="16" t="s">
        <v>134</v>
      </c>
      <c r="C441">
        <v>2014</v>
      </c>
      <c r="D441">
        <v>38.049999999999997</v>
      </c>
      <c r="E441" t="str">
        <f>IF(_2[[#This Row],[Year]]=2000,_2[[#This Row],[Share (%)]],"")</f>
        <v/>
      </c>
      <c r="F441" s="16" cm="1">
        <f t="array" ref="F441">D441 - _xlfn.XLOOKUP(A441&amp;2000, A:A&amp;C:C, D:D, "No 2000 data")</f>
        <v>-9.0000000000003411E-2</v>
      </c>
    </row>
    <row r="442" spans="1:6" x14ac:dyDescent="0.35">
      <c r="A442" s="16" t="s">
        <v>63</v>
      </c>
      <c r="B442" s="16" t="s">
        <v>134</v>
      </c>
      <c r="C442">
        <v>2015</v>
      </c>
      <c r="D442">
        <v>61.05</v>
      </c>
      <c r="E442" t="str">
        <f>IF(_2[[#This Row],[Year]]=2000,_2[[#This Row],[Share (%)]],"")</f>
        <v/>
      </c>
      <c r="F442" s="16" cm="1">
        <f t="array" ref="F442">D442 - _xlfn.XLOOKUP(A442&amp;2000, A:A&amp;C:C, D:D, "No 2000 data")</f>
        <v>22.909999999999997</v>
      </c>
    </row>
    <row r="443" spans="1:6" x14ac:dyDescent="0.35">
      <c r="A443" s="16" t="s">
        <v>63</v>
      </c>
      <c r="B443" s="16" t="s">
        <v>134</v>
      </c>
      <c r="C443">
        <v>2016</v>
      </c>
      <c r="D443">
        <v>62.05</v>
      </c>
      <c r="E443" t="str">
        <f>IF(_2[[#This Row],[Year]]=2000,_2[[#This Row],[Share (%)]],"")</f>
        <v/>
      </c>
      <c r="F443" s="16" cm="1">
        <f t="array" ref="F443">D443 - _xlfn.XLOOKUP(A443&amp;2000, A:A&amp;C:C, D:D, "No 2000 data")</f>
        <v>23.909999999999997</v>
      </c>
    </row>
    <row r="444" spans="1:6" x14ac:dyDescent="0.35">
      <c r="A444" s="16" t="s">
        <v>63</v>
      </c>
      <c r="B444" s="16" t="s">
        <v>134</v>
      </c>
      <c r="C444">
        <v>2017</v>
      </c>
      <c r="D444">
        <v>60.34</v>
      </c>
      <c r="E444" t="str">
        <f>IF(_2[[#This Row],[Year]]=2000,_2[[#This Row],[Share (%)]],"")</f>
        <v/>
      </c>
      <c r="F444" s="16" cm="1">
        <f t="array" ref="F444">D444 - _xlfn.XLOOKUP(A444&amp;2000, A:A&amp;C:C, D:D, "No 2000 data")</f>
        <v>22.200000000000003</v>
      </c>
    </row>
    <row r="445" spans="1:6" x14ac:dyDescent="0.35">
      <c r="A445" s="16" t="s">
        <v>63</v>
      </c>
      <c r="B445" s="16" t="s">
        <v>134</v>
      </c>
      <c r="C445">
        <v>2018</v>
      </c>
      <c r="D445">
        <v>60.74</v>
      </c>
      <c r="E445" t="str">
        <f>IF(_2[[#This Row],[Year]]=2000,_2[[#This Row],[Share (%)]],"")</f>
        <v/>
      </c>
      <c r="F445" s="16" cm="1">
        <f t="array" ref="F445">D445 - _xlfn.XLOOKUP(A445&amp;2000, A:A&amp;C:C, D:D, "No 2000 data")</f>
        <v>22.6</v>
      </c>
    </row>
    <row r="446" spans="1:6" x14ac:dyDescent="0.35">
      <c r="A446" s="16" t="s">
        <v>63</v>
      </c>
      <c r="B446" s="16" t="s">
        <v>134</v>
      </c>
      <c r="C446">
        <v>2019</v>
      </c>
      <c r="D446">
        <v>62.52</v>
      </c>
      <c r="E446" t="str">
        <f>IF(_2[[#This Row],[Year]]=2000,_2[[#This Row],[Share (%)]],"")</f>
        <v/>
      </c>
      <c r="F446" s="16" cm="1">
        <f t="array" ref="F446">D446 - _xlfn.XLOOKUP(A446&amp;2000, A:A&amp;C:C, D:D, "No 2000 data")</f>
        <v>24.380000000000003</v>
      </c>
    </row>
    <row r="447" spans="1:6" x14ac:dyDescent="0.35">
      <c r="A447" s="16" t="s">
        <v>63</v>
      </c>
      <c r="B447" s="16" t="s">
        <v>134</v>
      </c>
      <c r="C447">
        <v>2020</v>
      </c>
      <c r="D447">
        <v>61.63</v>
      </c>
      <c r="E447" t="str">
        <f>IF(_2[[#This Row],[Year]]=2000,_2[[#This Row],[Share (%)]],"")</f>
        <v/>
      </c>
      <c r="F447" s="16" cm="1">
        <f t="array" ref="F447">D447 - _xlfn.XLOOKUP(A447&amp;2000, A:A&amp;C:C, D:D, "No 2000 data")</f>
        <v>23.490000000000002</v>
      </c>
    </row>
    <row r="448" spans="1:6" x14ac:dyDescent="0.35">
      <c r="A448" s="16" t="s">
        <v>63</v>
      </c>
      <c r="B448" s="16" t="s">
        <v>134</v>
      </c>
      <c r="C448">
        <v>2021</v>
      </c>
      <c r="D448">
        <v>65.959999999999994</v>
      </c>
      <c r="E448" t="str">
        <f>IF(_2[[#This Row],[Year]]=2000,_2[[#This Row],[Share (%)]],"")</f>
        <v/>
      </c>
      <c r="F448" s="16" cm="1">
        <f t="array" ref="F448">D448 - _xlfn.XLOOKUP(A448&amp;2000, A:A&amp;C:C, D:D, "No 2000 data")</f>
        <v>27.819999999999993</v>
      </c>
    </row>
    <row r="449" spans="1:6" x14ac:dyDescent="0.35">
      <c r="A449" s="16" t="s">
        <v>63</v>
      </c>
      <c r="B449" s="16" t="s">
        <v>134</v>
      </c>
      <c r="C449">
        <v>2022</v>
      </c>
      <c r="D449">
        <v>65.989999999999995</v>
      </c>
      <c r="E449" t="str">
        <f>IF(_2[[#This Row],[Year]]=2000,_2[[#This Row],[Share (%)]],"")</f>
        <v/>
      </c>
      <c r="F449" s="16" cm="1">
        <f t="array" ref="F449">D449 - _xlfn.XLOOKUP(A449&amp;2000, A:A&amp;C:C, D:D, "No 2000 data")</f>
        <v>27.849999999999994</v>
      </c>
    </row>
    <row r="450" spans="1:6" x14ac:dyDescent="0.35">
      <c r="A450" s="16" t="s">
        <v>63</v>
      </c>
      <c r="B450" s="16" t="s">
        <v>134</v>
      </c>
      <c r="C450">
        <v>2023</v>
      </c>
      <c r="D450">
        <v>66.010000000000005</v>
      </c>
      <c r="E450" t="str">
        <f>IF(_2[[#This Row],[Year]]=2000,_2[[#This Row],[Share (%)]],"")</f>
        <v/>
      </c>
      <c r="F450" s="16" cm="1">
        <f t="array" ref="F450">D450 - _xlfn.XLOOKUP(A450&amp;2000, A:A&amp;C:C, D:D, "No 2000 data")</f>
        <v>27.870000000000005</v>
      </c>
    </row>
    <row r="451" spans="1:6" x14ac:dyDescent="0.35">
      <c r="A451" s="16" t="s">
        <v>63</v>
      </c>
      <c r="B451" s="16" t="s">
        <v>134</v>
      </c>
      <c r="C451">
        <v>2024</v>
      </c>
      <c r="D451">
        <v>66.010000000000005</v>
      </c>
      <c r="E451" t="str">
        <f>IF(_2[[#This Row],[Year]]=2000,_2[[#This Row],[Share (%)]],"")</f>
        <v/>
      </c>
      <c r="F451" s="16" cm="1">
        <f t="array" ref="F451">D451 - _xlfn.XLOOKUP(A451&amp;2000, A:A&amp;C:C, D:D, "No 2000 data")</f>
        <v>27.870000000000005</v>
      </c>
    </row>
    <row r="452" spans="1:6" hidden="1" x14ac:dyDescent="0.35">
      <c r="A452" s="16" t="s">
        <v>65</v>
      </c>
      <c r="B452" s="16" t="s">
        <v>134</v>
      </c>
      <c r="C452">
        <v>2000</v>
      </c>
      <c r="D452" t="s">
        <v>137</v>
      </c>
      <c r="E452" t="str">
        <f>IF(_2[[#This Row],[Year]]=2000,_2[[#This Row],[Share (%)]],"")</f>
        <v>-</v>
      </c>
      <c r="F452" s="16" t="e" cm="1">
        <f t="array" ref="F452">D452 - _xlfn.XLOOKUP(A452&amp;2000, A:A&amp;C:C, D:D, "No 2000 data")</f>
        <v>#VALUE!</v>
      </c>
    </row>
    <row r="453" spans="1:6" hidden="1" x14ac:dyDescent="0.35">
      <c r="A453" s="16" t="s">
        <v>65</v>
      </c>
      <c r="B453" s="16" t="s">
        <v>134</v>
      </c>
      <c r="C453">
        <v>2001</v>
      </c>
      <c r="D453" t="s">
        <v>137</v>
      </c>
      <c r="E453" t="str">
        <f>IF(_2[[#This Row],[Year]]=2000,_2[[#This Row],[Share (%)]],"")</f>
        <v/>
      </c>
      <c r="F453" s="16" t="e" cm="1">
        <f t="array" ref="F453">D453 - _xlfn.XLOOKUP(A453&amp;2000, A:A&amp;C:C, D:D, "No 2000 data")</f>
        <v>#VALUE!</v>
      </c>
    </row>
    <row r="454" spans="1:6" hidden="1" x14ac:dyDescent="0.35">
      <c r="A454" s="16" t="s">
        <v>65</v>
      </c>
      <c r="B454" s="16" t="s">
        <v>134</v>
      </c>
      <c r="C454">
        <v>2002</v>
      </c>
      <c r="D454" t="s">
        <v>137</v>
      </c>
      <c r="E454" t="str">
        <f>IF(_2[[#This Row],[Year]]=2000,_2[[#This Row],[Share (%)]],"")</f>
        <v/>
      </c>
      <c r="F454" s="16" t="e" cm="1">
        <f t="array" ref="F454">D454 - _xlfn.XLOOKUP(A454&amp;2000, A:A&amp;C:C, D:D, "No 2000 data")</f>
        <v>#VALUE!</v>
      </c>
    </row>
    <row r="455" spans="1:6" hidden="1" x14ac:dyDescent="0.35">
      <c r="A455" s="16" t="s">
        <v>65</v>
      </c>
      <c r="B455" s="16" t="s">
        <v>134</v>
      </c>
      <c r="C455">
        <v>2003</v>
      </c>
      <c r="D455" t="s">
        <v>137</v>
      </c>
      <c r="E455" t="str">
        <f>IF(_2[[#This Row],[Year]]=2000,_2[[#This Row],[Share (%)]],"")</f>
        <v/>
      </c>
      <c r="F455" s="16" t="e" cm="1">
        <f t="array" ref="F455">D455 - _xlfn.XLOOKUP(A455&amp;2000, A:A&amp;C:C, D:D, "No 2000 data")</f>
        <v>#VALUE!</v>
      </c>
    </row>
    <row r="456" spans="1:6" hidden="1" x14ac:dyDescent="0.35">
      <c r="A456" s="16" t="s">
        <v>65</v>
      </c>
      <c r="B456" s="16" t="s">
        <v>134</v>
      </c>
      <c r="C456">
        <v>2004</v>
      </c>
      <c r="D456" t="s">
        <v>137</v>
      </c>
      <c r="E456" t="str">
        <f>IF(_2[[#This Row],[Year]]=2000,_2[[#This Row],[Share (%)]],"")</f>
        <v/>
      </c>
      <c r="F456" s="16" t="e" cm="1">
        <f t="array" ref="F456">D456 - _xlfn.XLOOKUP(A456&amp;2000, A:A&amp;C:C, D:D, "No 2000 data")</f>
        <v>#VALUE!</v>
      </c>
    </row>
    <row r="457" spans="1:6" hidden="1" x14ac:dyDescent="0.35">
      <c r="A457" s="16" t="s">
        <v>65</v>
      </c>
      <c r="B457" s="16" t="s">
        <v>134</v>
      </c>
      <c r="C457">
        <v>2005</v>
      </c>
      <c r="D457" t="s">
        <v>137</v>
      </c>
      <c r="E457" t="str">
        <f>IF(_2[[#This Row],[Year]]=2000,_2[[#This Row],[Share (%)]],"")</f>
        <v/>
      </c>
      <c r="F457" s="16" t="e" cm="1">
        <f t="array" ref="F457">D457 - _xlfn.XLOOKUP(A457&amp;2000, A:A&amp;C:C, D:D, "No 2000 data")</f>
        <v>#VALUE!</v>
      </c>
    </row>
    <row r="458" spans="1:6" hidden="1" x14ac:dyDescent="0.35">
      <c r="A458" s="16" t="s">
        <v>65</v>
      </c>
      <c r="B458" s="16" t="s">
        <v>134</v>
      </c>
      <c r="C458">
        <v>2006</v>
      </c>
      <c r="D458" t="s">
        <v>137</v>
      </c>
      <c r="E458" t="str">
        <f>IF(_2[[#This Row],[Year]]=2000,_2[[#This Row],[Share (%)]],"")</f>
        <v/>
      </c>
      <c r="F458" s="16" t="e" cm="1">
        <f t="array" ref="F458">D458 - _xlfn.XLOOKUP(A458&amp;2000, A:A&amp;C:C, D:D, "No 2000 data")</f>
        <v>#VALUE!</v>
      </c>
    </row>
    <row r="459" spans="1:6" hidden="1" x14ac:dyDescent="0.35">
      <c r="A459" s="16" t="s">
        <v>65</v>
      </c>
      <c r="B459" s="16" t="s">
        <v>134</v>
      </c>
      <c r="C459">
        <v>2007</v>
      </c>
      <c r="D459" t="s">
        <v>137</v>
      </c>
      <c r="E459" t="str">
        <f>IF(_2[[#This Row],[Year]]=2000,_2[[#This Row],[Share (%)]],"")</f>
        <v/>
      </c>
      <c r="F459" s="16" t="e" cm="1">
        <f t="array" ref="F459">D459 - _xlfn.XLOOKUP(A459&amp;2000, A:A&amp;C:C, D:D, "No 2000 data")</f>
        <v>#VALUE!</v>
      </c>
    </row>
    <row r="460" spans="1:6" hidden="1" x14ac:dyDescent="0.35">
      <c r="A460" s="16" t="s">
        <v>65</v>
      </c>
      <c r="B460" s="16" t="s">
        <v>134</v>
      </c>
      <c r="C460">
        <v>2008</v>
      </c>
      <c r="D460" t="s">
        <v>137</v>
      </c>
      <c r="E460" t="str">
        <f>IF(_2[[#This Row],[Year]]=2000,_2[[#This Row],[Share (%)]],"")</f>
        <v/>
      </c>
      <c r="F460" s="16" t="e" cm="1">
        <f t="array" ref="F460">D460 - _xlfn.XLOOKUP(A460&amp;2000, A:A&amp;C:C, D:D, "No 2000 data")</f>
        <v>#VALUE!</v>
      </c>
    </row>
    <row r="461" spans="1:6" hidden="1" x14ac:dyDescent="0.35">
      <c r="A461" s="16" t="s">
        <v>65</v>
      </c>
      <c r="B461" s="16" t="s">
        <v>134</v>
      </c>
      <c r="C461">
        <v>2009</v>
      </c>
      <c r="D461">
        <v>0</v>
      </c>
      <c r="E461" t="str">
        <f>IF(_2[[#This Row],[Year]]=2000,_2[[#This Row],[Share (%)]],"")</f>
        <v/>
      </c>
      <c r="F461" s="16" t="e" cm="1">
        <f t="array" ref="F461">D461 - _xlfn.XLOOKUP(A461&amp;2000, A:A&amp;C:C, D:D, "No 2000 data")</f>
        <v>#VALUE!</v>
      </c>
    </row>
    <row r="462" spans="1:6" hidden="1" x14ac:dyDescent="0.35">
      <c r="A462" s="16" t="s">
        <v>65</v>
      </c>
      <c r="B462" s="16" t="s">
        <v>134</v>
      </c>
      <c r="C462">
        <v>2010</v>
      </c>
      <c r="D462">
        <v>0.02</v>
      </c>
      <c r="E462" t="str">
        <f>IF(_2[[#This Row],[Year]]=2000,_2[[#This Row],[Share (%)]],"")</f>
        <v/>
      </c>
      <c r="F462" s="16" t="e" cm="1">
        <f t="array" ref="F462">D462 - _xlfn.XLOOKUP(A462&amp;2000, A:A&amp;C:C, D:D, "No 2000 data")</f>
        <v>#VALUE!</v>
      </c>
    </row>
    <row r="463" spans="1:6" hidden="1" x14ac:dyDescent="0.35">
      <c r="A463" s="16" t="s">
        <v>65</v>
      </c>
      <c r="B463" s="16" t="s">
        <v>134</v>
      </c>
      <c r="C463">
        <v>2011</v>
      </c>
      <c r="D463">
        <v>0.06</v>
      </c>
      <c r="E463" t="str">
        <f>IF(_2[[#This Row],[Year]]=2000,_2[[#This Row],[Share (%)]],"")</f>
        <v/>
      </c>
      <c r="F463" s="16" t="e" cm="1">
        <f t="array" ref="F463">D463 - _xlfn.XLOOKUP(A463&amp;2000, A:A&amp;C:C, D:D, "No 2000 data")</f>
        <v>#VALUE!</v>
      </c>
    </row>
    <row r="464" spans="1:6" hidden="1" x14ac:dyDescent="0.35">
      <c r="A464" s="16" t="s">
        <v>65</v>
      </c>
      <c r="B464" s="16" t="s">
        <v>134</v>
      </c>
      <c r="C464">
        <v>2012</v>
      </c>
      <c r="D464">
        <v>0.06</v>
      </c>
      <c r="E464" t="str">
        <f>IF(_2[[#This Row],[Year]]=2000,_2[[#This Row],[Share (%)]],"")</f>
        <v/>
      </c>
      <c r="F464" s="16" t="e" cm="1">
        <f t="array" ref="F464">D464 - _xlfn.XLOOKUP(A464&amp;2000, A:A&amp;C:C, D:D, "No 2000 data")</f>
        <v>#VALUE!</v>
      </c>
    </row>
    <row r="465" spans="1:6" hidden="1" x14ac:dyDescent="0.35">
      <c r="A465" s="16" t="s">
        <v>65</v>
      </c>
      <c r="B465" s="16" t="s">
        <v>134</v>
      </c>
      <c r="C465">
        <v>2013</v>
      </c>
      <c r="D465">
        <v>0.26</v>
      </c>
      <c r="E465" t="str">
        <f>IF(_2[[#This Row],[Year]]=2000,_2[[#This Row],[Share (%)]],"")</f>
        <v/>
      </c>
      <c r="F465" s="16" t="e" cm="1">
        <f t="array" ref="F465">D465 - _xlfn.XLOOKUP(A465&amp;2000, A:A&amp;C:C, D:D, "No 2000 data")</f>
        <v>#VALUE!</v>
      </c>
    </row>
    <row r="466" spans="1:6" hidden="1" x14ac:dyDescent="0.35">
      <c r="A466" s="16" t="s">
        <v>65</v>
      </c>
      <c r="B466" s="16" t="s">
        <v>134</v>
      </c>
      <c r="C466">
        <v>2014</v>
      </c>
      <c r="D466">
        <v>0.43</v>
      </c>
      <c r="E466" t="str">
        <f>IF(_2[[#This Row],[Year]]=2000,_2[[#This Row],[Share (%)]],"")</f>
        <v/>
      </c>
      <c r="F466" s="16" t="e" cm="1">
        <f t="array" ref="F466">D466 - _xlfn.XLOOKUP(A466&amp;2000, A:A&amp;C:C, D:D, "No 2000 data")</f>
        <v>#VALUE!</v>
      </c>
    </row>
    <row r="467" spans="1:6" hidden="1" x14ac:dyDescent="0.35">
      <c r="A467" s="16" t="s">
        <v>65</v>
      </c>
      <c r="B467" s="16" t="s">
        <v>134</v>
      </c>
      <c r="C467">
        <v>2015</v>
      </c>
      <c r="D467">
        <v>0.66</v>
      </c>
      <c r="E467" t="str">
        <f>IF(_2[[#This Row],[Year]]=2000,_2[[#This Row],[Share (%)]],"")</f>
        <v/>
      </c>
      <c r="F467" s="16" t="e" cm="1">
        <f t="array" ref="F467">D467 - _xlfn.XLOOKUP(A467&amp;2000, A:A&amp;C:C, D:D, "No 2000 data")</f>
        <v>#VALUE!</v>
      </c>
    </row>
    <row r="468" spans="1:6" hidden="1" x14ac:dyDescent="0.35">
      <c r="A468" s="16" t="s">
        <v>65</v>
      </c>
      <c r="B468" s="16" t="s">
        <v>134</v>
      </c>
      <c r="C468">
        <v>2016</v>
      </c>
      <c r="D468">
        <v>2.4500000000000002</v>
      </c>
      <c r="E468" t="str">
        <f>IF(_2[[#This Row],[Year]]=2000,_2[[#This Row],[Share (%)]],"")</f>
        <v/>
      </c>
      <c r="F468" s="16" t="e" cm="1">
        <f t="array" ref="F468">D468 - _xlfn.XLOOKUP(A468&amp;2000, A:A&amp;C:C, D:D, "No 2000 data")</f>
        <v>#VALUE!</v>
      </c>
    </row>
    <row r="469" spans="1:6" hidden="1" x14ac:dyDescent="0.35">
      <c r="A469" s="16" t="s">
        <v>65</v>
      </c>
      <c r="B469" s="16" t="s">
        <v>134</v>
      </c>
      <c r="C469">
        <v>2017</v>
      </c>
      <c r="D469">
        <v>3.27</v>
      </c>
      <c r="E469" t="str">
        <f>IF(_2[[#This Row],[Year]]=2000,_2[[#This Row],[Share (%)]],"")</f>
        <v/>
      </c>
      <c r="F469" s="16" t="e" cm="1">
        <f t="array" ref="F469">D469 - _xlfn.XLOOKUP(A469&amp;2000, A:A&amp;C:C, D:D, "No 2000 data")</f>
        <v>#VALUE!</v>
      </c>
    </row>
    <row r="470" spans="1:6" hidden="1" x14ac:dyDescent="0.35">
      <c r="A470" s="16" t="s">
        <v>65</v>
      </c>
      <c r="B470" s="16" t="s">
        <v>134</v>
      </c>
      <c r="C470">
        <v>2018</v>
      </c>
      <c r="D470">
        <v>6.13</v>
      </c>
      <c r="E470" t="str">
        <f>IF(_2[[#This Row],[Year]]=2000,_2[[#This Row],[Share (%)]],"")</f>
        <v/>
      </c>
      <c r="F470" s="16" t="e" cm="1">
        <f t="array" ref="F470">D470 - _xlfn.XLOOKUP(A470&amp;2000, A:A&amp;C:C, D:D, "No 2000 data")</f>
        <v>#VALUE!</v>
      </c>
    </row>
    <row r="471" spans="1:6" hidden="1" x14ac:dyDescent="0.35">
      <c r="A471" s="16" t="s">
        <v>65</v>
      </c>
      <c r="B471" s="16" t="s">
        <v>134</v>
      </c>
      <c r="C471">
        <v>2019</v>
      </c>
      <c r="D471">
        <v>6.12</v>
      </c>
      <c r="E471" t="str">
        <f>IF(_2[[#This Row],[Year]]=2000,_2[[#This Row],[Share (%)]],"")</f>
        <v/>
      </c>
      <c r="F471" s="16" t="e" cm="1">
        <f t="array" ref="F471">D471 - _xlfn.XLOOKUP(A471&amp;2000, A:A&amp;C:C, D:D, "No 2000 data")</f>
        <v>#VALUE!</v>
      </c>
    </row>
    <row r="472" spans="1:6" hidden="1" x14ac:dyDescent="0.35">
      <c r="A472" s="16" t="s">
        <v>65</v>
      </c>
      <c r="B472" s="16" t="s">
        <v>134</v>
      </c>
      <c r="C472">
        <v>2020</v>
      </c>
      <c r="D472">
        <v>5.92</v>
      </c>
      <c r="E472" t="str">
        <f>IF(_2[[#This Row],[Year]]=2000,_2[[#This Row],[Share (%)]],"")</f>
        <v/>
      </c>
      <c r="F472" s="16" t="e" cm="1">
        <f t="array" ref="F472">D472 - _xlfn.XLOOKUP(A472&amp;2000, A:A&amp;C:C, D:D, "No 2000 data")</f>
        <v>#VALUE!</v>
      </c>
    </row>
    <row r="473" spans="1:6" hidden="1" x14ac:dyDescent="0.35">
      <c r="A473" s="16" t="s">
        <v>65</v>
      </c>
      <c r="B473" s="16" t="s">
        <v>134</v>
      </c>
      <c r="C473">
        <v>2021</v>
      </c>
      <c r="D473">
        <v>6.83</v>
      </c>
      <c r="E473" t="str">
        <f>IF(_2[[#This Row],[Year]]=2000,_2[[#This Row],[Share (%)]],"")</f>
        <v/>
      </c>
      <c r="F473" s="16" t="e" cm="1">
        <f t="array" ref="F473">D473 - _xlfn.XLOOKUP(A473&amp;2000, A:A&amp;C:C, D:D, "No 2000 data")</f>
        <v>#VALUE!</v>
      </c>
    </row>
    <row r="474" spans="1:6" hidden="1" x14ac:dyDescent="0.35">
      <c r="A474" s="16" t="s">
        <v>65</v>
      </c>
      <c r="B474" s="16" t="s">
        <v>134</v>
      </c>
      <c r="C474">
        <v>2022</v>
      </c>
      <c r="D474">
        <v>6.06</v>
      </c>
      <c r="E474" t="str">
        <f>IF(_2[[#This Row],[Year]]=2000,_2[[#This Row],[Share (%)]],"")</f>
        <v/>
      </c>
      <c r="F474" s="16" t="e" cm="1">
        <f t="array" ref="F474">D474 - _xlfn.XLOOKUP(A474&amp;2000, A:A&amp;C:C, D:D, "No 2000 data")</f>
        <v>#VALUE!</v>
      </c>
    </row>
    <row r="475" spans="1:6" hidden="1" x14ac:dyDescent="0.35">
      <c r="A475" s="16" t="s">
        <v>65</v>
      </c>
      <c r="B475" s="16" t="s">
        <v>134</v>
      </c>
      <c r="C475">
        <v>2023</v>
      </c>
      <c r="D475">
        <v>6.6</v>
      </c>
      <c r="E475" t="str">
        <f>IF(_2[[#This Row],[Year]]=2000,_2[[#This Row],[Share (%)]],"")</f>
        <v/>
      </c>
      <c r="F475" s="16" t="e" cm="1">
        <f t="array" ref="F475">D475 - _xlfn.XLOOKUP(A475&amp;2000, A:A&amp;C:C, D:D, "No 2000 data")</f>
        <v>#VALUE!</v>
      </c>
    </row>
    <row r="476" spans="1:6" hidden="1" x14ac:dyDescent="0.35">
      <c r="A476" s="16" t="s">
        <v>65</v>
      </c>
      <c r="B476" s="16" t="s">
        <v>134</v>
      </c>
      <c r="C476">
        <v>2024</v>
      </c>
      <c r="D476">
        <v>6.6</v>
      </c>
      <c r="E476" t="str">
        <f>IF(_2[[#This Row],[Year]]=2000,_2[[#This Row],[Share (%)]],"")</f>
        <v/>
      </c>
      <c r="F476" s="16" t="e" cm="1">
        <f t="array" ref="F476">D476 - _xlfn.XLOOKUP(A476&amp;2000, A:A&amp;C:C, D:D, "No 2000 data")</f>
        <v>#VALUE!</v>
      </c>
    </row>
    <row r="477" spans="1:6" x14ac:dyDescent="0.35">
      <c r="A477" s="16" t="s">
        <v>69</v>
      </c>
      <c r="B477" s="16" t="s">
        <v>134</v>
      </c>
      <c r="C477">
        <v>2000</v>
      </c>
      <c r="D477">
        <v>76.930000000000007</v>
      </c>
      <c r="E477">
        <f>IF(_2[[#This Row],[Year]]=2000,_2[[#This Row],[Share (%)]],"")</f>
        <v>76.930000000000007</v>
      </c>
      <c r="F477" s="16" cm="1">
        <f t="array" ref="F477">D477 - _xlfn.XLOOKUP(A477&amp;2000, A:A&amp;C:C, D:D, "No 2000 data")</f>
        <v>0</v>
      </c>
    </row>
    <row r="478" spans="1:6" x14ac:dyDescent="0.35">
      <c r="A478" s="16" t="s">
        <v>69</v>
      </c>
      <c r="B478" s="16" t="s">
        <v>134</v>
      </c>
      <c r="C478">
        <v>2001</v>
      </c>
      <c r="D478">
        <v>76.930000000000007</v>
      </c>
      <c r="E478" t="str">
        <f>IF(_2[[#This Row],[Year]]=2000,_2[[#This Row],[Share (%)]],"")</f>
        <v/>
      </c>
      <c r="F478" s="16" cm="1">
        <f t="array" ref="F478">D478 - _xlfn.XLOOKUP(A478&amp;2000, A:A&amp;C:C, D:D, "No 2000 data")</f>
        <v>0</v>
      </c>
    </row>
    <row r="479" spans="1:6" x14ac:dyDescent="0.35">
      <c r="A479" s="16" t="s">
        <v>69</v>
      </c>
      <c r="B479" s="16" t="s">
        <v>134</v>
      </c>
      <c r="C479">
        <v>2002</v>
      </c>
      <c r="D479">
        <v>76.989999999999995</v>
      </c>
      <c r="E479" t="str">
        <f>IF(_2[[#This Row],[Year]]=2000,_2[[#This Row],[Share (%)]],"")</f>
        <v/>
      </c>
      <c r="F479" s="16" cm="1">
        <f t="array" ref="F479">D479 - _xlfn.XLOOKUP(A479&amp;2000, A:A&amp;C:C, D:D, "No 2000 data")</f>
        <v>5.9999999999988063E-2</v>
      </c>
    </row>
    <row r="480" spans="1:6" x14ac:dyDescent="0.35">
      <c r="A480" s="16" t="s">
        <v>69</v>
      </c>
      <c r="B480" s="16" t="s">
        <v>134</v>
      </c>
      <c r="C480">
        <v>2003</v>
      </c>
      <c r="D480">
        <v>65.709999999999994</v>
      </c>
      <c r="E480" t="str">
        <f>IF(_2[[#This Row],[Year]]=2000,_2[[#This Row],[Share (%)]],"")</f>
        <v/>
      </c>
      <c r="F480" s="16" cm="1">
        <f t="array" ref="F480">D480 - _xlfn.XLOOKUP(A480&amp;2000, A:A&amp;C:C, D:D, "No 2000 data")</f>
        <v>-11.220000000000013</v>
      </c>
    </row>
    <row r="481" spans="1:6" x14ac:dyDescent="0.35">
      <c r="A481" s="16" t="s">
        <v>69</v>
      </c>
      <c r="B481" s="16" t="s">
        <v>134</v>
      </c>
      <c r="C481">
        <v>2004</v>
      </c>
      <c r="D481">
        <v>67.62</v>
      </c>
      <c r="E481" t="str">
        <f>IF(_2[[#This Row],[Year]]=2000,_2[[#This Row],[Share (%)]],"")</f>
        <v/>
      </c>
      <c r="F481" s="16" cm="1">
        <f t="array" ref="F481">D481 - _xlfn.XLOOKUP(A481&amp;2000, A:A&amp;C:C, D:D, "No 2000 data")</f>
        <v>-9.3100000000000023</v>
      </c>
    </row>
    <row r="482" spans="1:6" x14ac:dyDescent="0.35">
      <c r="A482" s="16" t="s">
        <v>69</v>
      </c>
      <c r="B482" s="16" t="s">
        <v>134</v>
      </c>
      <c r="C482">
        <v>2005</v>
      </c>
      <c r="D482">
        <v>70.87</v>
      </c>
      <c r="E482" t="str">
        <f>IF(_2[[#This Row],[Year]]=2000,_2[[#This Row],[Share (%)]],"")</f>
        <v/>
      </c>
      <c r="F482" s="16" cm="1">
        <f t="array" ref="F482">D482 - _xlfn.XLOOKUP(A482&amp;2000, A:A&amp;C:C, D:D, "No 2000 data")</f>
        <v>-6.0600000000000023</v>
      </c>
    </row>
    <row r="483" spans="1:6" x14ac:dyDescent="0.35">
      <c r="A483" s="16" t="s">
        <v>69</v>
      </c>
      <c r="B483" s="16" t="s">
        <v>134</v>
      </c>
      <c r="C483">
        <v>2006</v>
      </c>
      <c r="D483">
        <v>74.569999999999993</v>
      </c>
      <c r="E483" t="str">
        <f>IF(_2[[#This Row],[Year]]=2000,_2[[#This Row],[Share (%)]],"")</f>
        <v/>
      </c>
      <c r="F483" s="16" cm="1">
        <f t="array" ref="F483">D483 - _xlfn.XLOOKUP(A483&amp;2000, A:A&amp;C:C, D:D, "No 2000 data")</f>
        <v>-2.3600000000000136</v>
      </c>
    </row>
    <row r="484" spans="1:6" x14ac:dyDescent="0.35">
      <c r="A484" s="16" t="s">
        <v>69</v>
      </c>
      <c r="B484" s="16" t="s">
        <v>134</v>
      </c>
      <c r="C484">
        <v>2007</v>
      </c>
      <c r="D484">
        <v>68.59</v>
      </c>
      <c r="E484" t="str">
        <f>IF(_2[[#This Row],[Year]]=2000,_2[[#This Row],[Share (%)]],"")</f>
        <v/>
      </c>
      <c r="F484" s="16" cm="1">
        <f t="array" ref="F484">D484 - _xlfn.XLOOKUP(A484&amp;2000, A:A&amp;C:C, D:D, "No 2000 data")</f>
        <v>-8.3400000000000034</v>
      </c>
    </row>
    <row r="485" spans="1:6" x14ac:dyDescent="0.35">
      <c r="A485" s="16" t="s">
        <v>69</v>
      </c>
      <c r="B485" s="16" t="s">
        <v>134</v>
      </c>
      <c r="C485">
        <v>2008</v>
      </c>
      <c r="D485">
        <v>67.28</v>
      </c>
      <c r="E485" t="str">
        <f>IF(_2[[#This Row],[Year]]=2000,_2[[#This Row],[Share (%)]],"")</f>
        <v/>
      </c>
      <c r="F485" s="16" cm="1">
        <f t="array" ref="F485">D485 - _xlfn.XLOOKUP(A485&amp;2000, A:A&amp;C:C, D:D, "No 2000 data")</f>
        <v>-9.6500000000000057</v>
      </c>
    </row>
    <row r="486" spans="1:6" x14ac:dyDescent="0.35">
      <c r="A486" s="16" t="s">
        <v>69</v>
      </c>
      <c r="B486" s="16" t="s">
        <v>134</v>
      </c>
      <c r="C486">
        <v>2009</v>
      </c>
      <c r="D486">
        <v>68.650000000000006</v>
      </c>
      <c r="E486" t="str">
        <f>IF(_2[[#This Row],[Year]]=2000,_2[[#This Row],[Share (%)]],"")</f>
        <v/>
      </c>
      <c r="F486" s="16" cm="1">
        <f t="array" ref="F486">D486 - _xlfn.XLOOKUP(A486&amp;2000, A:A&amp;C:C, D:D, "No 2000 data")</f>
        <v>-8.2800000000000011</v>
      </c>
    </row>
    <row r="487" spans="1:6" x14ac:dyDescent="0.35">
      <c r="A487" s="16" t="s">
        <v>69</v>
      </c>
      <c r="B487" s="16" t="s">
        <v>134</v>
      </c>
      <c r="C487">
        <v>2010</v>
      </c>
      <c r="D487">
        <v>68.09</v>
      </c>
      <c r="E487" t="str">
        <f>IF(_2[[#This Row],[Year]]=2000,_2[[#This Row],[Share (%)]],"")</f>
        <v/>
      </c>
      <c r="F487" s="16" cm="1">
        <f t="array" ref="F487">D487 - _xlfn.XLOOKUP(A487&amp;2000, A:A&amp;C:C, D:D, "No 2000 data")</f>
        <v>-8.8400000000000034</v>
      </c>
    </row>
    <row r="488" spans="1:6" x14ac:dyDescent="0.35">
      <c r="A488" s="16" t="s">
        <v>69</v>
      </c>
      <c r="B488" s="16" t="s">
        <v>134</v>
      </c>
      <c r="C488">
        <v>2011</v>
      </c>
      <c r="D488">
        <v>64.430000000000007</v>
      </c>
      <c r="E488" t="str">
        <f>IF(_2[[#This Row],[Year]]=2000,_2[[#This Row],[Share (%)]],"")</f>
        <v/>
      </c>
      <c r="F488" s="16" cm="1">
        <f t="array" ref="F488">D488 - _xlfn.XLOOKUP(A488&amp;2000, A:A&amp;C:C, D:D, "No 2000 data")</f>
        <v>-12.5</v>
      </c>
    </row>
    <row r="489" spans="1:6" x14ac:dyDescent="0.35">
      <c r="A489" s="16" t="s">
        <v>69</v>
      </c>
      <c r="B489" s="16" t="s">
        <v>134</v>
      </c>
      <c r="C489">
        <v>2012</v>
      </c>
      <c r="D489">
        <v>65.59</v>
      </c>
      <c r="E489" t="str">
        <f>IF(_2[[#This Row],[Year]]=2000,_2[[#This Row],[Share (%)]],"")</f>
        <v/>
      </c>
      <c r="F489" s="16" cm="1">
        <f t="array" ref="F489">D489 - _xlfn.XLOOKUP(A489&amp;2000, A:A&amp;C:C, D:D, "No 2000 data")</f>
        <v>-11.340000000000003</v>
      </c>
    </row>
    <row r="490" spans="1:6" x14ac:dyDescent="0.35">
      <c r="A490" s="16" t="s">
        <v>69</v>
      </c>
      <c r="B490" s="16" t="s">
        <v>134</v>
      </c>
      <c r="C490">
        <v>2013</v>
      </c>
      <c r="D490">
        <v>65.569999999999993</v>
      </c>
      <c r="E490" t="str">
        <f>IF(_2[[#This Row],[Year]]=2000,_2[[#This Row],[Share (%)]],"")</f>
        <v/>
      </c>
      <c r="F490" s="16" cm="1">
        <f t="array" ref="F490">D490 - _xlfn.XLOOKUP(A490&amp;2000, A:A&amp;C:C, D:D, "No 2000 data")</f>
        <v>-11.360000000000014</v>
      </c>
    </row>
    <row r="491" spans="1:6" x14ac:dyDescent="0.35">
      <c r="A491" s="16" t="s">
        <v>69</v>
      </c>
      <c r="B491" s="16" t="s">
        <v>134</v>
      </c>
      <c r="C491">
        <v>2014</v>
      </c>
      <c r="D491">
        <v>65.45</v>
      </c>
      <c r="E491" t="str">
        <f>IF(_2[[#This Row],[Year]]=2000,_2[[#This Row],[Share (%)]],"")</f>
        <v/>
      </c>
      <c r="F491" s="16" cm="1">
        <f t="array" ref="F491">D491 - _xlfn.XLOOKUP(A491&amp;2000, A:A&amp;C:C, D:D, "No 2000 data")</f>
        <v>-11.480000000000004</v>
      </c>
    </row>
    <row r="492" spans="1:6" x14ac:dyDescent="0.35">
      <c r="A492" s="16" t="s">
        <v>69</v>
      </c>
      <c r="B492" s="16" t="s">
        <v>134</v>
      </c>
      <c r="C492">
        <v>2015</v>
      </c>
      <c r="D492">
        <v>65.33</v>
      </c>
      <c r="E492" t="str">
        <f>IF(_2[[#This Row],[Year]]=2000,_2[[#This Row],[Share (%)]],"")</f>
        <v/>
      </c>
      <c r="F492" s="16" cm="1">
        <f t="array" ref="F492">D492 - _xlfn.XLOOKUP(A492&amp;2000, A:A&amp;C:C, D:D, "No 2000 data")</f>
        <v>-11.600000000000009</v>
      </c>
    </row>
    <row r="493" spans="1:6" x14ac:dyDescent="0.35">
      <c r="A493" s="16" t="s">
        <v>69</v>
      </c>
      <c r="B493" s="16" t="s">
        <v>134</v>
      </c>
      <c r="C493">
        <v>2016</v>
      </c>
      <c r="D493">
        <v>66.14</v>
      </c>
      <c r="E493" t="str">
        <f>IF(_2[[#This Row],[Year]]=2000,_2[[#This Row],[Share (%)]],"")</f>
        <v/>
      </c>
      <c r="F493" s="16" cm="1">
        <f t="array" ref="F493">D493 - _xlfn.XLOOKUP(A493&amp;2000, A:A&amp;C:C, D:D, "No 2000 data")</f>
        <v>-10.790000000000006</v>
      </c>
    </row>
    <row r="494" spans="1:6" x14ac:dyDescent="0.35">
      <c r="A494" s="16" t="s">
        <v>69</v>
      </c>
      <c r="B494" s="16" t="s">
        <v>134</v>
      </c>
      <c r="C494">
        <v>2017</v>
      </c>
      <c r="D494">
        <v>67.56</v>
      </c>
      <c r="E494" t="str">
        <f>IF(_2[[#This Row],[Year]]=2000,_2[[#This Row],[Share (%)]],"")</f>
        <v/>
      </c>
      <c r="F494" s="16" cm="1">
        <f t="array" ref="F494">D494 - _xlfn.XLOOKUP(A494&amp;2000, A:A&amp;C:C, D:D, "No 2000 data")</f>
        <v>-9.3700000000000045</v>
      </c>
    </row>
    <row r="495" spans="1:6" x14ac:dyDescent="0.35">
      <c r="A495" s="16" t="s">
        <v>69</v>
      </c>
      <c r="B495" s="16" t="s">
        <v>134</v>
      </c>
      <c r="C495">
        <v>2018</v>
      </c>
      <c r="D495">
        <v>71.84</v>
      </c>
      <c r="E495" t="str">
        <f>IF(_2[[#This Row],[Year]]=2000,_2[[#This Row],[Share (%)]],"")</f>
        <v/>
      </c>
      <c r="F495" s="16" cm="1">
        <f t="array" ref="F495">D495 - _xlfn.XLOOKUP(A495&amp;2000, A:A&amp;C:C, D:D, "No 2000 data")</f>
        <v>-5.0900000000000034</v>
      </c>
    </row>
    <row r="496" spans="1:6" x14ac:dyDescent="0.35">
      <c r="A496" s="16" t="s">
        <v>69</v>
      </c>
      <c r="B496" s="16" t="s">
        <v>134</v>
      </c>
      <c r="C496">
        <v>2019</v>
      </c>
      <c r="D496">
        <v>72.099999999999994</v>
      </c>
      <c r="E496" t="str">
        <f>IF(_2[[#This Row],[Year]]=2000,_2[[#This Row],[Share (%)]],"")</f>
        <v/>
      </c>
      <c r="F496" s="16" cm="1">
        <f t="array" ref="F496">D496 - _xlfn.XLOOKUP(A496&amp;2000, A:A&amp;C:C, D:D, "No 2000 data")</f>
        <v>-4.8300000000000125</v>
      </c>
    </row>
    <row r="497" spans="1:6" x14ac:dyDescent="0.35">
      <c r="A497" s="16" t="s">
        <v>69</v>
      </c>
      <c r="B497" s="16" t="s">
        <v>134</v>
      </c>
      <c r="C497">
        <v>2020</v>
      </c>
      <c r="D497">
        <v>75.41</v>
      </c>
      <c r="E497" t="str">
        <f>IF(_2[[#This Row],[Year]]=2000,_2[[#This Row],[Share (%)]],"")</f>
        <v/>
      </c>
      <c r="F497" s="16" cm="1">
        <f t="array" ref="F497">D497 - _xlfn.XLOOKUP(A497&amp;2000, A:A&amp;C:C, D:D, "No 2000 data")</f>
        <v>-1.5200000000000102</v>
      </c>
    </row>
    <row r="498" spans="1:6" x14ac:dyDescent="0.35">
      <c r="A498" s="16" t="s">
        <v>69</v>
      </c>
      <c r="B498" s="16" t="s">
        <v>134</v>
      </c>
      <c r="C498">
        <v>2021</v>
      </c>
      <c r="D498">
        <v>76.72</v>
      </c>
      <c r="E498" t="str">
        <f>IF(_2[[#This Row],[Year]]=2000,_2[[#This Row],[Share (%)]],"")</f>
        <v/>
      </c>
      <c r="F498" s="16" cm="1">
        <f t="array" ref="F498">D498 - _xlfn.XLOOKUP(A498&amp;2000, A:A&amp;C:C, D:D, "No 2000 data")</f>
        <v>-0.21000000000000796</v>
      </c>
    </row>
    <row r="499" spans="1:6" x14ac:dyDescent="0.35">
      <c r="A499" s="16" t="s">
        <v>69</v>
      </c>
      <c r="B499" s="16" t="s">
        <v>134</v>
      </c>
      <c r="C499">
        <v>2022</v>
      </c>
      <c r="D499">
        <v>79.599999999999994</v>
      </c>
      <c r="E499" t="str">
        <f>IF(_2[[#This Row],[Year]]=2000,_2[[#This Row],[Share (%)]],"")</f>
        <v/>
      </c>
      <c r="F499" s="16" cm="1">
        <f t="array" ref="F499">D499 - _xlfn.XLOOKUP(A499&amp;2000, A:A&amp;C:C, D:D, "No 2000 data")</f>
        <v>2.6699999999999875</v>
      </c>
    </row>
    <row r="500" spans="1:6" x14ac:dyDescent="0.35">
      <c r="A500" s="16" t="s">
        <v>69</v>
      </c>
      <c r="B500" s="16" t="s">
        <v>134</v>
      </c>
      <c r="C500">
        <v>2023</v>
      </c>
      <c r="D500">
        <v>82.89</v>
      </c>
      <c r="E500" t="str">
        <f>IF(_2[[#This Row],[Year]]=2000,_2[[#This Row],[Share (%)]],"")</f>
        <v/>
      </c>
      <c r="F500" s="16" cm="1">
        <f t="array" ref="F500">D500 - _xlfn.XLOOKUP(A500&amp;2000, A:A&amp;C:C, D:D, "No 2000 data")</f>
        <v>5.9599999999999937</v>
      </c>
    </row>
    <row r="501" spans="1:6" x14ac:dyDescent="0.35">
      <c r="A501" s="16" t="s">
        <v>69</v>
      </c>
      <c r="B501" s="16" t="s">
        <v>134</v>
      </c>
      <c r="C501">
        <v>2024</v>
      </c>
      <c r="D501">
        <v>83.23</v>
      </c>
      <c r="E501" t="str">
        <f>IF(_2[[#This Row],[Year]]=2000,_2[[#This Row],[Share (%)]],"")</f>
        <v/>
      </c>
      <c r="F501" s="16" cm="1">
        <f t="array" ref="F501">D501 - _xlfn.XLOOKUP(A501&amp;2000, A:A&amp;C:C, D:D, "No 2000 data")</f>
        <v>6.2999999999999972</v>
      </c>
    </row>
    <row r="502" spans="1:6" x14ac:dyDescent="0.35">
      <c r="A502" s="16" t="s">
        <v>75</v>
      </c>
      <c r="B502" s="16" t="s">
        <v>134</v>
      </c>
      <c r="C502">
        <v>2000</v>
      </c>
      <c r="D502">
        <v>98.43</v>
      </c>
      <c r="E502">
        <f>IF(_2[[#This Row],[Year]]=2000,_2[[#This Row],[Share (%)]],"")</f>
        <v>98.43</v>
      </c>
      <c r="F502" s="16" cm="1">
        <f t="array" ref="F502">D502 - _xlfn.XLOOKUP(A502&amp;2000, A:A&amp;C:C, D:D, "No 2000 data")</f>
        <v>0</v>
      </c>
    </row>
    <row r="503" spans="1:6" x14ac:dyDescent="0.35">
      <c r="A503" s="16" t="s">
        <v>75</v>
      </c>
      <c r="B503" s="16" t="s">
        <v>134</v>
      </c>
      <c r="C503">
        <v>2001</v>
      </c>
      <c r="D503">
        <v>98.43</v>
      </c>
      <c r="E503" t="str">
        <f>IF(_2[[#This Row],[Year]]=2000,_2[[#This Row],[Share (%)]],"")</f>
        <v/>
      </c>
      <c r="F503" s="16" cm="1">
        <f t="array" ref="F503">D503 - _xlfn.XLOOKUP(A503&amp;2000, A:A&amp;C:C, D:D, "No 2000 data")</f>
        <v>0</v>
      </c>
    </row>
    <row r="504" spans="1:6" x14ac:dyDescent="0.35">
      <c r="A504" s="16" t="s">
        <v>75</v>
      </c>
      <c r="B504" s="16" t="s">
        <v>134</v>
      </c>
      <c r="C504">
        <v>2002</v>
      </c>
      <c r="D504">
        <v>98.43</v>
      </c>
      <c r="E504" t="str">
        <f>IF(_2[[#This Row],[Year]]=2000,_2[[#This Row],[Share (%)]],"")</f>
        <v/>
      </c>
      <c r="F504" s="16" cm="1">
        <f t="array" ref="F504">D504 - _xlfn.XLOOKUP(A504&amp;2000, A:A&amp;C:C, D:D, "No 2000 data")</f>
        <v>0</v>
      </c>
    </row>
    <row r="505" spans="1:6" x14ac:dyDescent="0.35">
      <c r="A505" s="16" t="s">
        <v>75</v>
      </c>
      <c r="B505" s="16" t="s">
        <v>134</v>
      </c>
      <c r="C505">
        <v>2003</v>
      </c>
      <c r="D505">
        <v>99.34</v>
      </c>
      <c r="E505" t="str">
        <f>IF(_2[[#This Row],[Year]]=2000,_2[[#This Row],[Share (%)]],"")</f>
        <v/>
      </c>
      <c r="F505" s="16" cm="1">
        <f t="array" ref="F505">D505 - _xlfn.XLOOKUP(A505&amp;2000, A:A&amp;C:C, D:D, "No 2000 data")</f>
        <v>0.90999999999999659</v>
      </c>
    </row>
    <row r="506" spans="1:6" x14ac:dyDescent="0.35">
      <c r="A506" s="16" t="s">
        <v>75</v>
      </c>
      <c r="B506" s="16" t="s">
        <v>134</v>
      </c>
      <c r="C506">
        <v>2004</v>
      </c>
      <c r="D506">
        <v>99.34</v>
      </c>
      <c r="E506" t="str">
        <f>IF(_2[[#This Row],[Year]]=2000,_2[[#This Row],[Share (%)]],"")</f>
        <v/>
      </c>
      <c r="F506" s="16" cm="1">
        <f t="array" ref="F506">D506 - _xlfn.XLOOKUP(A506&amp;2000, A:A&amp;C:C, D:D, "No 2000 data")</f>
        <v>0.90999999999999659</v>
      </c>
    </row>
    <row r="507" spans="1:6" x14ac:dyDescent="0.35">
      <c r="A507" s="16" t="s">
        <v>75</v>
      </c>
      <c r="B507" s="16" t="s">
        <v>134</v>
      </c>
      <c r="C507">
        <v>2005</v>
      </c>
      <c r="D507">
        <v>99.34</v>
      </c>
      <c r="E507" t="str">
        <f>IF(_2[[#This Row],[Year]]=2000,_2[[#This Row],[Share (%)]],"")</f>
        <v/>
      </c>
      <c r="F507" s="16" cm="1">
        <f t="array" ref="F507">D507 - _xlfn.XLOOKUP(A507&amp;2000, A:A&amp;C:C, D:D, "No 2000 data")</f>
        <v>0.90999999999999659</v>
      </c>
    </row>
    <row r="508" spans="1:6" x14ac:dyDescent="0.35">
      <c r="A508" s="16" t="s">
        <v>75</v>
      </c>
      <c r="B508" s="16" t="s">
        <v>134</v>
      </c>
      <c r="C508">
        <v>2006</v>
      </c>
      <c r="D508">
        <v>99.32</v>
      </c>
      <c r="E508" t="str">
        <f>IF(_2[[#This Row],[Year]]=2000,_2[[#This Row],[Share (%)]],"")</f>
        <v/>
      </c>
      <c r="F508" s="16" cm="1">
        <f t="array" ref="F508">D508 - _xlfn.XLOOKUP(A508&amp;2000, A:A&amp;C:C, D:D, "No 2000 data")</f>
        <v>0.88999999999998636</v>
      </c>
    </row>
    <row r="509" spans="1:6" x14ac:dyDescent="0.35">
      <c r="A509" s="16" t="s">
        <v>75</v>
      </c>
      <c r="B509" s="16" t="s">
        <v>134</v>
      </c>
      <c r="C509">
        <v>2007</v>
      </c>
      <c r="D509">
        <v>99.32</v>
      </c>
      <c r="E509" t="str">
        <f>IF(_2[[#This Row],[Year]]=2000,_2[[#This Row],[Share (%)]],"")</f>
        <v/>
      </c>
      <c r="F509" s="16" cm="1">
        <f t="array" ref="F509">D509 - _xlfn.XLOOKUP(A509&amp;2000, A:A&amp;C:C, D:D, "No 2000 data")</f>
        <v>0.88999999999998636</v>
      </c>
    </row>
    <row r="510" spans="1:6" x14ac:dyDescent="0.35">
      <c r="A510" s="16" t="s">
        <v>75</v>
      </c>
      <c r="B510" s="16" t="s">
        <v>134</v>
      </c>
      <c r="C510">
        <v>2008</v>
      </c>
      <c r="D510">
        <v>99.32</v>
      </c>
      <c r="E510" t="str">
        <f>IF(_2[[#This Row],[Year]]=2000,_2[[#This Row],[Share (%)]],"")</f>
        <v/>
      </c>
      <c r="F510" s="16" cm="1">
        <f t="array" ref="F510">D510 - _xlfn.XLOOKUP(A510&amp;2000, A:A&amp;C:C, D:D, "No 2000 data")</f>
        <v>0.88999999999998636</v>
      </c>
    </row>
    <row r="511" spans="1:6" x14ac:dyDescent="0.35">
      <c r="A511" s="16" t="s">
        <v>75</v>
      </c>
      <c r="B511" s="16" t="s">
        <v>134</v>
      </c>
      <c r="C511">
        <v>2009</v>
      </c>
      <c r="D511">
        <v>99.32</v>
      </c>
      <c r="E511" t="str">
        <f>IF(_2[[#This Row],[Year]]=2000,_2[[#This Row],[Share (%)]],"")</f>
        <v/>
      </c>
      <c r="F511" s="16" cm="1">
        <f t="array" ref="F511">D511 - _xlfn.XLOOKUP(A511&amp;2000, A:A&amp;C:C, D:D, "No 2000 data")</f>
        <v>0.88999999999998636</v>
      </c>
    </row>
    <row r="512" spans="1:6" x14ac:dyDescent="0.35">
      <c r="A512" s="16" t="s">
        <v>75</v>
      </c>
      <c r="B512" s="16" t="s">
        <v>134</v>
      </c>
      <c r="C512">
        <v>2010</v>
      </c>
      <c r="D512">
        <v>99.32</v>
      </c>
      <c r="E512" t="str">
        <f>IF(_2[[#This Row],[Year]]=2000,_2[[#This Row],[Share (%)]],"")</f>
        <v/>
      </c>
      <c r="F512" s="16" cm="1">
        <f t="array" ref="F512">D512 - _xlfn.XLOOKUP(A512&amp;2000, A:A&amp;C:C, D:D, "No 2000 data")</f>
        <v>0.88999999999998636</v>
      </c>
    </row>
    <row r="513" spans="1:6" x14ac:dyDescent="0.35">
      <c r="A513" s="16" t="s">
        <v>75</v>
      </c>
      <c r="B513" s="16" t="s">
        <v>134</v>
      </c>
      <c r="C513">
        <v>2011</v>
      </c>
      <c r="D513">
        <v>99.32</v>
      </c>
      <c r="E513" t="str">
        <f>IF(_2[[#This Row],[Year]]=2000,_2[[#This Row],[Share (%)]],"")</f>
        <v/>
      </c>
      <c r="F513" s="16" cm="1">
        <f t="array" ref="F513">D513 - _xlfn.XLOOKUP(A513&amp;2000, A:A&amp;C:C, D:D, "No 2000 data")</f>
        <v>0.88999999999998636</v>
      </c>
    </row>
    <row r="514" spans="1:6" x14ac:dyDescent="0.35">
      <c r="A514" s="16" t="s">
        <v>75</v>
      </c>
      <c r="B514" s="16" t="s">
        <v>134</v>
      </c>
      <c r="C514">
        <v>2012</v>
      </c>
      <c r="D514">
        <v>99.34</v>
      </c>
      <c r="E514" t="str">
        <f>IF(_2[[#This Row],[Year]]=2000,_2[[#This Row],[Share (%)]],"")</f>
        <v/>
      </c>
      <c r="F514" s="16" cm="1">
        <f t="array" ref="F514">D514 - _xlfn.XLOOKUP(A514&amp;2000, A:A&amp;C:C, D:D, "No 2000 data")</f>
        <v>0.90999999999999659</v>
      </c>
    </row>
    <row r="515" spans="1:6" x14ac:dyDescent="0.35">
      <c r="A515" s="16" t="s">
        <v>75</v>
      </c>
      <c r="B515" s="16" t="s">
        <v>134</v>
      </c>
      <c r="C515">
        <v>2013</v>
      </c>
      <c r="D515">
        <v>99.33</v>
      </c>
      <c r="E515" t="str">
        <f>IF(_2[[#This Row],[Year]]=2000,_2[[#This Row],[Share (%)]],"")</f>
        <v/>
      </c>
      <c r="F515" s="16" cm="1">
        <f t="array" ref="F515">D515 - _xlfn.XLOOKUP(A515&amp;2000, A:A&amp;C:C, D:D, "No 2000 data")</f>
        <v>0.89999999999999147</v>
      </c>
    </row>
    <row r="516" spans="1:6" x14ac:dyDescent="0.35">
      <c r="A516" s="16" t="s">
        <v>75</v>
      </c>
      <c r="B516" s="16" t="s">
        <v>134</v>
      </c>
      <c r="C516">
        <v>2014</v>
      </c>
      <c r="D516">
        <v>99.33</v>
      </c>
      <c r="E516" t="str">
        <f>IF(_2[[#This Row],[Year]]=2000,_2[[#This Row],[Share (%)]],"")</f>
        <v/>
      </c>
      <c r="F516" s="16" cm="1">
        <f t="array" ref="F516">D516 - _xlfn.XLOOKUP(A516&amp;2000, A:A&amp;C:C, D:D, "No 2000 data")</f>
        <v>0.89999999999999147</v>
      </c>
    </row>
    <row r="517" spans="1:6" x14ac:dyDescent="0.35">
      <c r="A517" s="16" t="s">
        <v>75</v>
      </c>
      <c r="B517" s="16" t="s">
        <v>134</v>
      </c>
      <c r="C517">
        <v>2015</v>
      </c>
      <c r="D517">
        <v>99.33</v>
      </c>
      <c r="E517" t="str">
        <f>IF(_2[[#This Row],[Year]]=2000,_2[[#This Row],[Share (%)]],"")</f>
        <v/>
      </c>
      <c r="F517" s="16" cm="1">
        <f t="array" ref="F517">D517 - _xlfn.XLOOKUP(A517&amp;2000, A:A&amp;C:C, D:D, "No 2000 data")</f>
        <v>0.89999999999999147</v>
      </c>
    </row>
    <row r="518" spans="1:6" x14ac:dyDescent="0.35">
      <c r="A518" s="16" t="s">
        <v>75</v>
      </c>
      <c r="B518" s="16" t="s">
        <v>134</v>
      </c>
      <c r="C518">
        <v>2016</v>
      </c>
      <c r="D518">
        <v>99.33</v>
      </c>
      <c r="E518" t="str">
        <f>IF(_2[[#This Row],[Year]]=2000,_2[[#This Row],[Share (%)]],"")</f>
        <v/>
      </c>
      <c r="F518" s="16" cm="1">
        <f t="array" ref="F518">D518 - _xlfn.XLOOKUP(A518&amp;2000, A:A&amp;C:C, D:D, "No 2000 data")</f>
        <v>0.89999999999999147</v>
      </c>
    </row>
    <row r="519" spans="1:6" x14ac:dyDescent="0.35">
      <c r="A519" s="16" t="s">
        <v>75</v>
      </c>
      <c r="B519" s="16" t="s">
        <v>134</v>
      </c>
      <c r="C519">
        <v>2017</v>
      </c>
      <c r="D519">
        <v>99.33</v>
      </c>
      <c r="E519" t="str">
        <f>IF(_2[[#This Row],[Year]]=2000,_2[[#This Row],[Share (%)]],"")</f>
        <v/>
      </c>
      <c r="F519" s="16" cm="1">
        <f t="array" ref="F519">D519 - _xlfn.XLOOKUP(A519&amp;2000, A:A&amp;C:C, D:D, "No 2000 data")</f>
        <v>0.89999999999999147</v>
      </c>
    </row>
    <row r="520" spans="1:6" x14ac:dyDescent="0.35">
      <c r="A520" s="16" t="s">
        <v>75</v>
      </c>
      <c r="B520" s="16" t="s">
        <v>134</v>
      </c>
      <c r="C520">
        <v>2018</v>
      </c>
      <c r="D520">
        <v>99.33</v>
      </c>
      <c r="E520" t="str">
        <f>IF(_2[[#This Row],[Year]]=2000,_2[[#This Row],[Share (%)]],"")</f>
        <v/>
      </c>
      <c r="F520" s="16" cm="1">
        <f t="array" ref="F520">D520 - _xlfn.XLOOKUP(A520&amp;2000, A:A&amp;C:C, D:D, "No 2000 data")</f>
        <v>0.89999999999999147</v>
      </c>
    </row>
    <row r="521" spans="1:6" x14ac:dyDescent="0.35">
      <c r="A521" s="16" t="s">
        <v>75</v>
      </c>
      <c r="B521" s="16" t="s">
        <v>134</v>
      </c>
      <c r="C521">
        <v>2019</v>
      </c>
      <c r="D521">
        <v>99.34</v>
      </c>
      <c r="E521" t="str">
        <f>IF(_2[[#This Row],[Year]]=2000,_2[[#This Row],[Share (%)]],"")</f>
        <v/>
      </c>
      <c r="F521" s="16" cm="1">
        <f t="array" ref="F521">D521 - _xlfn.XLOOKUP(A521&amp;2000, A:A&amp;C:C, D:D, "No 2000 data")</f>
        <v>0.90999999999999659</v>
      </c>
    </row>
    <row r="522" spans="1:6" x14ac:dyDescent="0.35">
      <c r="A522" s="16" t="s">
        <v>75</v>
      </c>
      <c r="B522" s="16" t="s">
        <v>134</v>
      </c>
      <c r="C522">
        <v>2020</v>
      </c>
      <c r="D522">
        <v>99.34</v>
      </c>
      <c r="E522" t="str">
        <f>IF(_2[[#This Row],[Year]]=2000,_2[[#This Row],[Share (%)]],"")</f>
        <v/>
      </c>
      <c r="F522" s="16" cm="1">
        <f t="array" ref="F522">D522 - _xlfn.XLOOKUP(A522&amp;2000, A:A&amp;C:C, D:D, "No 2000 data")</f>
        <v>0.90999999999999659</v>
      </c>
    </row>
    <row r="523" spans="1:6" x14ac:dyDescent="0.35">
      <c r="A523" s="16" t="s">
        <v>75</v>
      </c>
      <c r="B523" s="16" t="s">
        <v>134</v>
      </c>
      <c r="C523">
        <v>2021</v>
      </c>
      <c r="D523">
        <v>99.31</v>
      </c>
      <c r="E523" t="str">
        <f>IF(_2[[#This Row],[Year]]=2000,_2[[#This Row],[Share (%)]],"")</f>
        <v/>
      </c>
      <c r="F523" s="16" cm="1">
        <f t="array" ref="F523">D523 - _xlfn.XLOOKUP(A523&amp;2000, A:A&amp;C:C, D:D, "No 2000 data")</f>
        <v>0.87999999999999545</v>
      </c>
    </row>
    <row r="524" spans="1:6" x14ac:dyDescent="0.35">
      <c r="A524" s="16" t="s">
        <v>75</v>
      </c>
      <c r="B524" s="16" t="s">
        <v>134</v>
      </c>
      <c r="C524">
        <v>2022</v>
      </c>
      <c r="D524">
        <v>99.3</v>
      </c>
      <c r="E524" t="str">
        <f>IF(_2[[#This Row],[Year]]=2000,_2[[#This Row],[Share (%)]],"")</f>
        <v/>
      </c>
      <c r="F524" s="16" cm="1">
        <f t="array" ref="F524">D524 - _xlfn.XLOOKUP(A524&amp;2000, A:A&amp;C:C, D:D, "No 2000 data")</f>
        <v>0.86999999999999034</v>
      </c>
    </row>
    <row r="525" spans="1:6" x14ac:dyDescent="0.35">
      <c r="A525" s="16" t="s">
        <v>75</v>
      </c>
      <c r="B525" s="16" t="s">
        <v>134</v>
      </c>
      <c r="C525">
        <v>2023</v>
      </c>
      <c r="D525">
        <v>99.41</v>
      </c>
      <c r="E525" t="str">
        <f>IF(_2[[#This Row],[Year]]=2000,_2[[#This Row],[Share (%)]],"")</f>
        <v/>
      </c>
      <c r="F525" s="16" cm="1">
        <f t="array" ref="F525">D525 - _xlfn.XLOOKUP(A525&amp;2000, A:A&amp;C:C, D:D, "No 2000 data")</f>
        <v>0.97999999999998977</v>
      </c>
    </row>
    <row r="526" spans="1:6" x14ac:dyDescent="0.35">
      <c r="A526" s="16" t="s">
        <v>75</v>
      </c>
      <c r="B526" s="16" t="s">
        <v>134</v>
      </c>
      <c r="C526">
        <v>2024</v>
      </c>
      <c r="D526">
        <v>98.84</v>
      </c>
      <c r="E526" t="str">
        <f>IF(_2[[#This Row],[Year]]=2000,_2[[#This Row],[Share (%)]],"")</f>
        <v/>
      </c>
      <c r="F526" s="16" cm="1">
        <f t="array" ref="F526">D526 - _xlfn.XLOOKUP(A526&amp;2000, A:A&amp;C:C, D:D, "No 2000 data")</f>
        <v>0.40999999999999659</v>
      </c>
    </row>
    <row r="527" spans="1:6" x14ac:dyDescent="0.35">
      <c r="A527" s="16" t="s">
        <v>71</v>
      </c>
      <c r="B527" s="16" t="s">
        <v>134</v>
      </c>
      <c r="C527">
        <v>2000</v>
      </c>
      <c r="D527">
        <v>6.42</v>
      </c>
      <c r="E527">
        <f>IF(_2[[#This Row],[Year]]=2000,_2[[#This Row],[Share (%)]],"")</f>
        <v>6.42</v>
      </c>
      <c r="F527" s="16" cm="1">
        <f t="array" ref="F527">D527 - _xlfn.XLOOKUP(A527&amp;2000, A:A&amp;C:C, D:D, "No 2000 data")</f>
        <v>0</v>
      </c>
    </row>
    <row r="528" spans="1:6" x14ac:dyDescent="0.35">
      <c r="A528" s="16" t="s">
        <v>71</v>
      </c>
      <c r="B528" s="16" t="s">
        <v>134</v>
      </c>
      <c r="C528">
        <v>2001</v>
      </c>
      <c r="D528">
        <v>6.42</v>
      </c>
      <c r="E528" t="str">
        <f>IF(_2[[#This Row],[Year]]=2000,_2[[#This Row],[Share (%)]],"")</f>
        <v/>
      </c>
      <c r="F528" s="16" cm="1">
        <f t="array" ref="F528">D528 - _xlfn.XLOOKUP(A528&amp;2000, A:A&amp;C:C, D:D, "No 2000 data")</f>
        <v>0</v>
      </c>
    </row>
    <row r="529" spans="1:6" x14ac:dyDescent="0.35">
      <c r="A529" s="16" t="s">
        <v>71</v>
      </c>
      <c r="B529" s="16" t="s">
        <v>134</v>
      </c>
      <c r="C529">
        <v>2002</v>
      </c>
      <c r="D529">
        <v>6.42</v>
      </c>
      <c r="E529" t="str">
        <f>IF(_2[[#This Row],[Year]]=2000,_2[[#This Row],[Share (%)]],"")</f>
        <v/>
      </c>
      <c r="F529" s="16" cm="1">
        <f t="array" ref="F529">D529 - _xlfn.XLOOKUP(A529&amp;2000, A:A&amp;C:C, D:D, "No 2000 data")</f>
        <v>0</v>
      </c>
    </row>
    <row r="530" spans="1:6" x14ac:dyDescent="0.35">
      <c r="A530" s="16" t="s">
        <v>71</v>
      </c>
      <c r="B530" s="16" t="s">
        <v>134</v>
      </c>
      <c r="C530">
        <v>2003</v>
      </c>
      <c r="D530">
        <v>6.42</v>
      </c>
      <c r="E530" t="str">
        <f>IF(_2[[#This Row],[Year]]=2000,_2[[#This Row],[Share (%)]],"")</f>
        <v/>
      </c>
      <c r="F530" s="16" cm="1">
        <f t="array" ref="F530">D530 - _xlfn.XLOOKUP(A530&amp;2000, A:A&amp;C:C, D:D, "No 2000 data")</f>
        <v>0</v>
      </c>
    </row>
    <row r="531" spans="1:6" x14ac:dyDescent="0.35">
      <c r="A531" s="16" t="s">
        <v>71</v>
      </c>
      <c r="B531" s="16" t="s">
        <v>134</v>
      </c>
      <c r="C531">
        <v>2004</v>
      </c>
      <c r="D531">
        <v>6.17</v>
      </c>
      <c r="E531" t="str">
        <f>IF(_2[[#This Row],[Year]]=2000,_2[[#This Row],[Share (%)]],"")</f>
        <v/>
      </c>
      <c r="F531" s="16" cm="1">
        <f t="array" ref="F531">D531 - _xlfn.XLOOKUP(A531&amp;2000, A:A&amp;C:C, D:D, "No 2000 data")</f>
        <v>-0.25</v>
      </c>
    </row>
    <row r="532" spans="1:6" x14ac:dyDescent="0.35">
      <c r="A532" s="16" t="s">
        <v>71</v>
      </c>
      <c r="B532" s="16" t="s">
        <v>134</v>
      </c>
      <c r="C532">
        <v>2005</v>
      </c>
      <c r="D532">
        <v>6.17</v>
      </c>
      <c r="E532" t="str">
        <f>IF(_2[[#This Row],[Year]]=2000,_2[[#This Row],[Share (%)]],"")</f>
        <v/>
      </c>
      <c r="F532" s="16" cm="1">
        <f t="array" ref="F532">D532 - _xlfn.XLOOKUP(A532&amp;2000, A:A&amp;C:C, D:D, "No 2000 data")</f>
        <v>-0.25</v>
      </c>
    </row>
    <row r="533" spans="1:6" x14ac:dyDescent="0.35">
      <c r="A533" s="16" t="s">
        <v>71</v>
      </c>
      <c r="B533" s="16" t="s">
        <v>134</v>
      </c>
      <c r="C533">
        <v>2006</v>
      </c>
      <c r="D533">
        <v>6.17</v>
      </c>
      <c r="E533" t="str">
        <f>IF(_2[[#This Row],[Year]]=2000,_2[[#This Row],[Share (%)]],"")</f>
        <v/>
      </c>
      <c r="F533" s="16" cm="1">
        <f t="array" ref="F533">D533 - _xlfn.XLOOKUP(A533&amp;2000, A:A&amp;C:C, D:D, "No 2000 data")</f>
        <v>-0.25</v>
      </c>
    </row>
    <row r="534" spans="1:6" x14ac:dyDescent="0.35">
      <c r="A534" s="16" t="s">
        <v>71</v>
      </c>
      <c r="B534" s="16" t="s">
        <v>134</v>
      </c>
      <c r="C534">
        <v>2007</v>
      </c>
      <c r="D534">
        <v>5.8</v>
      </c>
      <c r="E534" t="str">
        <f>IF(_2[[#This Row],[Year]]=2000,_2[[#This Row],[Share (%)]],"")</f>
        <v/>
      </c>
      <c r="F534" s="16" cm="1">
        <f t="array" ref="F534">D534 - _xlfn.XLOOKUP(A534&amp;2000, A:A&amp;C:C, D:D, "No 2000 data")</f>
        <v>-0.62000000000000011</v>
      </c>
    </row>
    <row r="535" spans="1:6" x14ac:dyDescent="0.35">
      <c r="A535" s="16" t="s">
        <v>71</v>
      </c>
      <c r="B535" s="16" t="s">
        <v>134</v>
      </c>
      <c r="C535">
        <v>2008</v>
      </c>
      <c r="D535">
        <v>5.8</v>
      </c>
      <c r="E535" t="str">
        <f>IF(_2[[#This Row],[Year]]=2000,_2[[#This Row],[Share (%)]],"")</f>
        <v/>
      </c>
      <c r="F535" s="16" cm="1">
        <f t="array" ref="F535">D535 - _xlfn.XLOOKUP(A535&amp;2000, A:A&amp;C:C, D:D, "No 2000 data")</f>
        <v>-0.62000000000000011</v>
      </c>
    </row>
    <row r="536" spans="1:6" x14ac:dyDescent="0.35">
      <c r="A536" s="16" t="s">
        <v>71</v>
      </c>
      <c r="B536" s="16" t="s">
        <v>134</v>
      </c>
      <c r="C536">
        <v>2009</v>
      </c>
      <c r="D536">
        <v>5.8</v>
      </c>
      <c r="E536" t="str">
        <f>IF(_2[[#This Row],[Year]]=2000,_2[[#This Row],[Share (%)]],"")</f>
        <v/>
      </c>
      <c r="F536" s="16" cm="1">
        <f t="array" ref="F536">D536 - _xlfn.XLOOKUP(A536&amp;2000, A:A&amp;C:C, D:D, "No 2000 data")</f>
        <v>-0.62000000000000011</v>
      </c>
    </row>
    <row r="537" spans="1:6" x14ac:dyDescent="0.35">
      <c r="A537" s="16" t="s">
        <v>71</v>
      </c>
      <c r="B537" s="16" t="s">
        <v>134</v>
      </c>
      <c r="C537">
        <v>2010</v>
      </c>
      <c r="D537">
        <v>5.21</v>
      </c>
      <c r="E537" t="str">
        <f>IF(_2[[#This Row],[Year]]=2000,_2[[#This Row],[Share (%)]],"")</f>
        <v/>
      </c>
      <c r="F537" s="16" cm="1">
        <f t="array" ref="F537">D537 - _xlfn.XLOOKUP(A537&amp;2000, A:A&amp;C:C, D:D, "No 2000 data")</f>
        <v>-1.21</v>
      </c>
    </row>
    <row r="538" spans="1:6" x14ac:dyDescent="0.35">
      <c r="A538" s="16" t="s">
        <v>71</v>
      </c>
      <c r="B538" s="16" t="s">
        <v>134</v>
      </c>
      <c r="C538">
        <v>2011</v>
      </c>
      <c r="D538">
        <v>5.09</v>
      </c>
      <c r="E538" t="str">
        <f>IF(_2[[#This Row],[Year]]=2000,_2[[#This Row],[Share (%)]],"")</f>
        <v/>
      </c>
      <c r="F538" s="16" cm="1">
        <f t="array" ref="F538">D538 - _xlfn.XLOOKUP(A538&amp;2000, A:A&amp;C:C, D:D, "No 2000 data")</f>
        <v>-1.33</v>
      </c>
    </row>
    <row r="539" spans="1:6" x14ac:dyDescent="0.35">
      <c r="A539" s="16" t="s">
        <v>71</v>
      </c>
      <c r="B539" s="16" t="s">
        <v>134</v>
      </c>
      <c r="C539">
        <v>2012</v>
      </c>
      <c r="D539">
        <v>5.09</v>
      </c>
      <c r="E539" t="str">
        <f>IF(_2[[#This Row],[Year]]=2000,_2[[#This Row],[Share (%)]],"")</f>
        <v/>
      </c>
      <c r="F539" s="16" cm="1">
        <f t="array" ref="F539">D539 - _xlfn.XLOOKUP(A539&amp;2000, A:A&amp;C:C, D:D, "No 2000 data")</f>
        <v>-1.33</v>
      </c>
    </row>
    <row r="540" spans="1:6" x14ac:dyDescent="0.35">
      <c r="A540" s="16" t="s">
        <v>71</v>
      </c>
      <c r="B540" s="16" t="s">
        <v>134</v>
      </c>
      <c r="C540">
        <v>2013</v>
      </c>
      <c r="D540">
        <v>5.07</v>
      </c>
      <c r="E540" t="str">
        <f>IF(_2[[#This Row],[Year]]=2000,_2[[#This Row],[Share (%)]],"")</f>
        <v/>
      </c>
      <c r="F540" s="16" cm="1">
        <f t="array" ref="F540">D540 - _xlfn.XLOOKUP(A540&amp;2000, A:A&amp;C:C, D:D, "No 2000 data")</f>
        <v>-1.3499999999999996</v>
      </c>
    </row>
    <row r="541" spans="1:6" x14ac:dyDescent="0.35">
      <c r="A541" s="16" t="s">
        <v>71</v>
      </c>
      <c r="B541" s="16" t="s">
        <v>134</v>
      </c>
      <c r="C541">
        <v>2014</v>
      </c>
      <c r="D541">
        <v>5.16</v>
      </c>
      <c r="E541" t="str">
        <f>IF(_2[[#This Row],[Year]]=2000,_2[[#This Row],[Share (%)]],"")</f>
        <v/>
      </c>
      <c r="F541" s="16" cm="1">
        <f t="array" ref="F541">D541 - _xlfn.XLOOKUP(A541&amp;2000, A:A&amp;C:C, D:D, "No 2000 data")</f>
        <v>-1.2599999999999998</v>
      </c>
    </row>
    <row r="542" spans="1:6" x14ac:dyDescent="0.35">
      <c r="A542" s="16" t="s">
        <v>71</v>
      </c>
      <c r="B542" s="16" t="s">
        <v>134</v>
      </c>
      <c r="C542">
        <v>2015</v>
      </c>
      <c r="D542">
        <v>5.18</v>
      </c>
      <c r="E542" t="str">
        <f>IF(_2[[#This Row],[Year]]=2000,_2[[#This Row],[Share (%)]],"")</f>
        <v/>
      </c>
      <c r="F542" s="16" cm="1">
        <f t="array" ref="F542">D542 - _xlfn.XLOOKUP(A542&amp;2000, A:A&amp;C:C, D:D, "No 2000 data")</f>
        <v>-1.2400000000000002</v>
      </c>
    </row>
    <row r="543" spans="1:6" x14ac:dyDescent="0.35">
      <c r="A543" s="16" t="s">
        <v>71</v>
      </c>
      <c r="B543" s="16" t="s">
        <v>134</v>
      </c>
      <c r="C543">
        <v>2016</v>
      </c>
      <c r="D543">
        <v>21.82</v>
      </c>
      <c r="E543" t="str">
        <f>IF(_2[[#This Row],[Year]]=2000,_2[[#This Row],[Share (%)]],"")</f>
        <v/>
      </c>
      <c r="F543" s="16" cm="1">
        <f t="array" ref="F543">D543 - _xlfn.XLOOKUP(A543&amp;2000, A:A&amp;C:C, D:D, "No 2000 data")</f>
        <v>15.4</v>
      </c>
    </row>
    <row r="544" spans="1:6" x14ac:dyDescent="0.35">
      <c r="A544" s="16" t="s">
        <v>71</v>
      </c>
      <c r="B544" s="16" t="s">
        <v>134</v>
      </c>
      <c r="C544">
        <v>2017</v>
      </c>
      <c r="D544">
        <v>48.9</v>
      </c>
      <c r="E544" t="str">
        <f>IF(_2[[#This Row],[Year]]=2000,_2[[#This Row],[Share (%)]],"")</f>
        <v/>
      </c>
      <c r="F544" s="16" cm="1">
        <f t="array" ref="F544">D544 - _xlfn.XLOOKUP(A544&amp;2000, A:A&amp;C:C, D:D, "No 2000 data")</f>
        <v>42.48</v>
      </c>
    </row>
    <row r="545" spans="1:6" x14ac:dyDescent="0.35">
      <c r="A545" s="16" t="s">
        <v>71</v>
      </c>
      <c r="B545" s="16" t="s">
        <v>134</v>
      </c>
      <c r="C545">
        <v>2018</v>
      </c>
      <c r="D545">
        <v>48.99</v>
      </c>
      <c r="E545" t="str">
        <f>IF(_2[[#This Row],[Year]]=2000,_2[[#This Row],[Share (%)]],"")</f>
        <v/>
      </c>
      <c r="F545" s="16" cm="1">
        <f t="array" ref="F545">D545 - _xlfn.XLOOKUP(A545&amp;2000, A:A&amp;C:C, D:D, "No 2000 data")</f>
        <v>42.57</v>
      </c>
    </row>
    <row r="546" spans="1:6" x14ac:dyDescent="0.35">
      <c r="A546" s="16" t="s">
        <v>71</v>
      </c>
      <c r="B546" s="16" t="s">
        <v>134</v>
      </c>
      <c r="C546">
        <v>2019</v>
      </c>
      <c r="D546">
        <v>49.1</v>
      </c>
      <c r="E546" t="str">
        <f>IF(_2[[#This Row],[Year]]=2000,_2[[#This Row],[Share (%)]],"")</f>
        <v/>
      </c>
      <c r="F546" s="16" cm="1">
        <f t="array" ref="F546">D546 - _xlfn.XLOOKUP(A546&amp;2000, A:A&amp;C:C, D:D, "No 2000 data")</f>
        <v>42.68</v>
      </c>
    </row>
    <row r="547" spans="1:6" x14ac:dyDescent="0.35">
      <c r="A547" s="16" t="s">
        <v>71</v>
      </c>
      <c r="B547" s="16" t="s">
        <v>134</v>
      </c>
      <c r="C547">
        <v>2020</v>
      </c>
      <c r="D547">
        <v>49.34</v>
      </c>
      <c r="E547" t="str">
        <f>IF(_2[[#This Row],[Year]]=2000,_2[[#This Row],[Share (%)]],"")</f>
        <v/>
      </c>
      <c r="F547" s="16" cm="1">
        <f t="array" ref="F547">D547 - _xlfn.XLOOKUP(A547&amp;2000, A:A&amp;C:C, D:D, "No 2000 data")</f>
        <v>42.92</v>
      </c>
    </row>
    <row r="548" spans="1:6" x14ac:dyDescent="0.35">
      <c r="A548" s="16" t="s">
        <v>71</v>
      </c>
      <c r="B548" s="16" t="s">
        <v>134</v>
      </c>
      <c r="C548">
        <v>2021</v>
      </c>
      <c r="D548">
        <v>49.26</v>
      </c>
      <c r="E548" t="str">
        <f>IF(_2[[#This Row],[Year]]=2000,_2[[#This Row],[Share (%)]],"")</f>
        <v/>
      </c>
      <c r="F548" s="16" cm="1">
        <f t="array" ref="F548">D548 - _xlfn.XLOOKUP(A548&amp;2000, A:A&amp;C:C, D:D, "No 2000 data")</f>
        <v>42.839999999999996</v>
      </c>
    </row>
    <row r="549" spans="1:6" x14ac:dyDescent="0.35">
      <c r="A549" s="16" t="s">
        <v>71</v>
      </c>
      <c r="B549" s="16" t="s">
        <v>134</v>
      </c>
      <c r="C549">
        <v>2022</v>
      </c>
      <c r="D549">
        <v>49.42</v>
      </c>
      <c r="E549" t="str">
        <f>IF(_2[[#This Row],[Year]]=2000,_2[[#This Row],[Share (%)]],"")</f>
        <v/>
      </c>
      <c r="F549" s="16" cm="1">
        <f t="array" ref="F549">D549 - _xlfn.XLOOKUP(A549&amp;2000, A:A&amp;C:C, D:D, "No 2000 data")</f>
        <v>43</v>
      </c>
    </row>
    <row r="550" spans="1:6" x14ac:dyDescent="0.35">
      <c r="A550" s="16" t="s">
        <v>71</v>
      </c>
      <c r="B550" s="16" t="s">
        <v>134</v>
      </c>
      <c r="C550">
        <v>2023</v>
      </c>
      <c r="D550">
        <v>49.48</v>
      </c>
      <c r="E550" t="str">
        <f>IF(_2[[#This Row],[Year]]=2000,_2[[#This Row],[Share (%)]],"")</f>
        <v/>
      </c>
      <c r="F550" s="16" cm="1">
        <f t="array" ref="F550">D550 - _xlfn.XLOOKUP(A550&amp;2000, A:A&amp;C:C, D:D, "No 2000 data")</f>
        <v>43.059999999999995</v>
      </c>
    </row>
    <row r="551" spans="1:6" x14ac:dyDescent="0.35">
      <c r="A551" s="16" t="s">
        <v>71</v>
      </c>
      <c r="B551" s="16" t="s">
        <v>134</v>
      </c>
      <c r="C551">
        <v>2024</v>
      </c>
      <c r="D551">
        <v>49.48</v>
      </c>
      <c r="E551" t="str">
        <f>IF(_2[[#This Row],[Year]]=2000,_2[[#This Row],[Share (%)]],"")</f>
        <v/>
      </c>
      <c r="F551" s="16" cm="1">
        <f t="array" ref="F551">D551 - _xlfn.XLOOKUP(A551&amp;2000, A:A&amp;C:C, D:D, "No 2000 data")</f>
        <v>43.059999999999995</v>
      </c>
    </row>
    <row r="552" spans="1:6" hidden="1" x14ac:dyDescent="0.35">
      <c r="A552" s="16" t="s">
        <v>73</v>
      </c>
      <c r="B552" s="16" t="s">
        <v>134</v>
      </c>
      <c r="C552">
        <v>2000</v>
      </c>
      <c r="D552" t="s">
        <v>137</v>
      </c>
      <c r="E552" t="str">
        <f>IF(_2[[#This Row],[Year]]=2000,_2[[#This Row],[Share (%)]],"")</f>
        <v>-</v>
      </c>
      <c r="F552" s="16" t="e" cm="1">
        <f t="array" ref="F552">D552 - _xlfn.XLOOKUP(A552&amp;2000, A:A&amp;C:C, D:D, "No 2000 data")</f>
        <v>#VALUE!</v>
      </c>
    </row>
    <row r="553" spans="1:6" hidden="1" x14ac:dyDescent="0.35">
      <c r="A553" s="16" t="s">
        <v>73</v>
      </c>
      <c r="B553" s="16" t="s">
        <v>134</v>
      </c>
      <c r="C553">
        <v>2001</v>
      </c>
      <c r="D553" t="s">
        <v>137</v>
      </c>
      <c r="E553" t="str">
        <f>IF(_2[[#This Row],[Year]]=2000,_2[[#This Row],[Share (%)]],"")</f>
        <v/>
      </c>
      <c r="F553" s="16" t="e" cm="1">
        <f t="array" ref="F553">D553 - _xlfn.XLOOKUP(A553&amp;2000, A:A&amp;C:C, D:D, "No 2000 data")</f>
        <v>#VALUE!</v>
      </c>
    </row>
    <row r="554" spans="1:6" hidden="1" x14ac:dyDescent="0.35">
      <c r="A554" s="16" t="s">
        <v>73</v>
      </c>
      <c r="B554" s="16" t="s">
        <v>134</v>
      </c>
      <c r="C554">
        <v>2002</v>
      </c>
      <c r="D554" t="s">
        <v>137</v>
      </c>
      <c r="E554" t="str">
        <f>IF(_2[[#This Row],[Year]]=2000,_2[[#This Row],[Share (%)]],"")</f>
        <v/>
      </c>
      <c r="F554" s="16" t="e" cm="1">
        <f t="array" ref="F554">D554 - _xlfn.XLOOKUP(A554&amp;2000, A:A&amp;C:C, D:D, "No 2000 data")</f>
        <v>#VALUE!</v>
      </c>
    </row>
    <row r="555" spans="1:6" hidden="1" x14ac:dyDescent="0.35">
      <c r="A555" s="16" t="s">
        <v>73</v>
      </c>
      <c r="B555" s="16" t="s">
        <v>134</v>
      </c>
      <c r="C555">
        <v>2003</v>
      </c>
      <c r="D555">
        <v>0</v>
      </c>
      <c r="E555" t="str">
        <f>IF(_2[[#This Row],[Year]]=2000,_2[[#This Row],[Share (%)]],"")</f>
        <v/>
      </c>
      <c r="F555" s="16" t="e" cm="1">
        <f t="array" ref="F555">D555 - _xlfn.XLOOKUP(A555&amp;2000, A:A&amp;C:C, D:D, "No 2000 data")</f>
        <v>#VALUE!</v>
      </c>
    </row>
    <row r="556" spans="1:6" hidden="1" x14ac:dyDescent="0.35">
      <c r="A556" s="16" t="s">
        <v>73</v>
      </c>
      <c r="B556" s="16" t="s">
        <v>134</v>
      </c>
      <c r="C556">
        <v>2004</v>
      </c>
      <c r="D556">
        <v>0.02</v>
      </c>
      <c r="E556" t="str">
        <f>IF(_2[[#This Row],[Year]]=2000,_2[[#This Row],[Share (%)]],"")</f>
        <v/>
      </c>
      <c r="F556" s="16" t="e" cm="1">
        <f t="array" ref="F556">D556 - _xlfn.XLOOKUP(A556&amp;2000, A:A&amp;C:C, D:D, "No 2000 data")</f>
        <v>#VALUE!</v>
      </c>
    </row>
    <row r="557" spans="1:6" hidden="1" x14ac:dyDescent="0.35">
      <c r="A557" s="16" t="s">
        <v>73</v>
      </c>
      <c r="B557" s="16" t="s">
        <v>134</v>
      </c>
      <c r="C557">
        <v>2005</v>
      </c>
      <c r="D557">
        <v>0.02</v>
      </c>
      <c r="E557" t="str">
        <f>IF(_2[[#This Row],[Year]]=2000,_2[[#This Row],[Share (%)]],"")</f>
        <v/>
      </c>
      <c r="F557" s="16" t="e" cm="1">
        <f t="array" ref="F557">D557 - _xlfn.XLOOKUP(A557&amp;2000, A:A&amp;C:C, D:D, "No 2000 data")</f>
        <v>#VALUE!</v>
      </c>
    </row>
    <row r="558" spans="1:6" hidden="1" x14ac:dyDescent="0.35">
      <c r="A558" s="16" t="s">
        <v>73</v>
      </c>
      <c r="B558" s="16" t="s">
        <v>134</v>
      </c>
      <c r="C558">
        <v>2006</v>
      </c>
      <c r="D558">
        <v>0.03</v>
      </c>
      <c r="E558" t="str">
        <f>IF(_2[[#This Row],[Year]]=2000,_2[[#This Row],[Share (%)]],"")</f>
        <v/>
      </c>
      <c r="F558" s="16" t="e" cm="1">
        <f t="array" ref="F558">D558 - _xlfn.XLOOKUP(A558&amp;2000, A:A&amp;C:C, D:D, "No 2000 data")</f>
        <v>#VALUE!</v>
      </c>
    </row>
    <row r="559" spans="1:6" hidden="1" x14ac:dyDescent="0.35">
      <c r="A559" s="16" t="s">
        <v>73</v>
      </c>
      <c r="B559" s="16" t="s">
        <v>134</v>
      </c>
      <c r="C559">
        <v>2007</v>
      </c>
      <c r="D559">
        <v>0.04</v>
      </c>
      <c r="E559" t="str">
        <f>IF(_2[[#This Row],[Year]]=2000,_2[[#This Row],[Share (%)]],"")</f>
        <v/>
      </c>
      <c r="F559" s="16" t="e" cm="1">
        <f t="array" ref="F559">D559 - _xlfn.XLOOKUP(A559&amp;2000, A:A&amp;C:C, D:D, "No 2000 data")</f>
        <v>#VALUE!</v>
      </c>
    </row>
    <row r="560" spans="1:6" hidden="1" x14ac:dyDescent="0.35">
      <c r="A560" s="16" t="s">
        <v>73</v>
      </c>
      <c r="B560" s="16" t="s">
        <v>134</v>
      </c>
      <c r="C560">
        <v>2008</v>
      </c>
      <c r="D560">
        <v>0.05</v>
      </c>
      <c r="E560" t="str">
        <f>IF(_2[[#This Row],[Year]]=2000,_2[[#This Row],[Share (%)]],"")</f>
        <v/>
      </c>
      <c r="F560" s="16" t="e" cm="1">
        <f t="array" ref="F560">D560 - _xlfn.XLOOKUP(A560&amp;2000, A:A&amp;C:C, D:D, "No 2000 data")</f>
        <v>#VALUE!</v>
      </c>
    </row>
    <row r="561" spans="1:6" hidden="1" x14ac:dyDescent="0.35">
      <c r="A561" s="16" t="s">
        <v>73</v>
      </c>
      <c r="B561" s="16" t="s">
        <v>134</v>
      </c>
      <c r="C561">
        <v>2009</v>
      </c>
      <c r="D561">
        <v>0.06</v>
      </c>
      <c r="E561" t="str">
        <f>IF(_2[[#This Row],[Year]]=2000,_2[[#This Row],[Share (%)]],"")</f>
        <v/>
      </c>
      <c r="F561" s="16" t="e" cm="1">
        <f t="array" ref="F561">D561 - _xlfn.XLOOKUP(A561&amp;2000, A:A&amp;C:C, D:D, "No 2000 data")</f>
        <v>#VALUE!</v>
      </c>
    </row>
    <row r="562" spans="1:6" hidden="1" x14ac:dyDescent="0.35">
      <c r="A562" s="16" t="s">
        <v>73</v>
      </c>
      <c r="B562" s="16" t="s">
        <v>134</v>
      </c>
      <c r="C562">
        <v>2010</v>
      </c>
      <c r="D562">
        <v>0.04</v>
      </c>
      <c r="E562" t="str">
        <f>IF(_2[[#This Row],[Year]]=2000,_2[[#This Row],[Share (%)]],"")</f>
        <v/>
      </c>
      <c r="F562" s="16" t="e" cm="1">
        <f t="array" ref="F562">D562 - _xlfn.XLOOKUP(A562&amp;2000, A:A&amp;C:C, D:D, "No 2000 data")</f>
        <v>#VALUE!</v>
      </c>
    </row>
    <row r="563" spans="1:6" hidden="1" x14ac:dyDescent="0.35">
      <c r="A563" s="16" t="s">
        <v>73</v>
      </c>
      <c r="B563" s="16" t="s">
        <v>134</v>
      </c>
      <c r="C563">
        <v>2011</v>
      </c>
      <c r="D563">
        <v>0.05</v>
      </c>
      <c r="E563" t="str">
        <f>IF(_2[[#This Row],[Year]]=2000,_2[[#This Row],[Share (%)]],"")</f>
        <v/>
      </c>
      <c r="F563" s="16" t="e" cm="1">
        <f t="array" ref="F563">D563 - _xlfn.XLOOKUP(A563&amp;2000, A:A&amp;C:C, D:D, "No 2000 data")</f>
        <v>#VALUE!</v>
      </c>
    </row>
    <row r="564" spans="1:6" hidden="1" x14ac:dyDescent="0.35">
      <c r="A564" s="16" t="s">
        <v>73</v>
      </c>
      <c r="B564" s="16" t="s">
        <v>134</v>
      </c>
      <c r="C564">
        <v>2012</v>
      </c>
      <c r="D564">
        <v>0.06</v>
      </c>
      <c r="E564" t="str">
        <f>IF(_2[[#This Row],[Year]]=2000,_2[[#This Row],[Share (%)]],"")</f>
        <v/>
      </c>
      <c r="F564" s="16" t="e" cm="1">
        <f t="array" ref="F564">D564 - _xlfn.XLOOKUP(A564&amp;2000, A:A&amp;C:C, D:D, "No 2000 data")</f>
        <v>#VALUE!</v>
      </c>
    </row>
    <row r="565" spans="1:6" hidden="1" x14ac:dyDescent="0.35">
      <c r="A565" s="16" t="s">
        <v>73</v>
      </c>
      <c r="B565" s="16" t="s">
        <v>134</v>
      </c>
      <c r="C565">
        <v>2013</v>
      </c>
      <c r="D565">
        <v>0.05</v>
      </c>
      <c r="E565" t="str">
        <f>IF(_2[[#This Row],[Year]]=2000,_2[[#This Row],[Share (%)]],"")</f>
        <v/>
      </c>
      <c r="F565" s="16" t="e" cm="1">
        <f t="array" ref="F565">D565 - _xlfn.XLOOKUP(A565&amp;2000, A:A&amp;C:C, D:D, "No 2000 data")</f>
        <v>#VALUE!</v>
      </c>
    </row>
    <row r="566" spans="1:6" hidden="1" x14ac:dyDescent="0.35">
      <c r="A566" s="16" t="s">
        <v>73</v>
      </c>
      <c r="B566" s="16" t="s">
        <v>134</v>
      </c>
      <c r="C566">
        <v>2014</v>
      </c>
      <c r="D566">
        <v>0.05</v>
      </c>
      <c r="E566" t="str">
        <f>IF(_2[[#This Row],[Year]]=2000,_2[[#This Row],[Share (%)]],"")</f>
        <v/>
      </c>
      <c r="F566" s="16" t="e" cm="1">
        <f t="array" ref="F566">D566 - _xlfn.XLOOKUP(A566&amp;2000, A:A&amp;C:C, D:D, "No 2000 data")</f>
        <v>#VALUE!</v>
      </c>
    </row>
    <row r="567" spans="1:6" hidden="1" x14ac:dyDescent="0.35">
      <c r="A567" s="16" t="s">
        <v>73</v>
      </c>
      <c r="B567" s="16" t="s">
        <v>134</v>
      </c>
      <c r="C567">
        <v>2015</v>
      </c>
      <c r="D567">
        <v>0.05</v>
      </c>
      <c r="E567" t="str">
        <f>IF(_2[[#This Row],[Year]]=2000,_2[[#This Row],[Share (%)]],"")</f>
        <v/>
      </c>
      <c r="F567" s="16" t="e" cm="1">
        <f t="array" ref="F567">D567 - _xlfn.XLOOKUP(A567&amp;2000, A:A&amp;C:C, D:D, "No 2000 data")</f>
        <v>#VALUE!</v>
      </c>
    </row>
    <row r="568" spans="1:6" hidden="1" x14ac:dyDescent="0.35">
      <c r="A568" s="16" t="s">
        <v>73</v>
      </c>
      <c r="B568" s="16" t="s">
        <v>134</v>
      </c>
      <c r="C568">
        <v>2016</v>
      </c>
      <c r="D568">
        <v>0.05</v>
      </c>
      <c r="E568" t="str">
        <f>IF(_2[[#This Row],[Year]]=2000,_2[[#This Row],[Share (%)]],"")</f>
        <v/>
      </c>
      <c r="F568" s="16" t="e" cm="1">
        <f t="array" ref="F568">D568 - _xlfn.XLOOKUP(A568&amp;2000, A:A&amp;C:C, D:D, "No 2000 data")</f>
        <v>#VALUE!</v>
      </c>
    </row>
    <row r="569" spans="1:6" hidden="1" x14ac:dyDescent="0.35">
      <c r="A569" s="16" t="s">
        <v>73</v>
      </c>
      <c r="B569" s="16" t="s">
        <v>134</v>
      </c>
      <c r="C569">
        <v>2017</v>
      </c>
      <c r="D569">
        <v>0.05</v>
      </c>
      <c r="E569" t="str">
        <f>IF(_2[[#This Row],[Year]]=2000,_2[[#This Row],[Share (%)]],"")</f>
        <v/>
      </c>
      <c r="F569" s="16" t="e" cm="1">
        <f t="array" ref="F569">D569 - _xlfn.XLOOKUP(A569&amp;2000, A:A&amp;C:C, D:D, "No 2000 data")</f>
        <v>#VALUE!</v>
      </c>
    </row>
    <row r="570" spans="1:6" hidden="1" x14ac:dyDescent="0.35">
      <c r="A570" s="16" t="s">
        <v>73</v>
      </c>
      <c r="B570" s="16" t="s">
        <v>134</v>
      </c>
      <c r="C570">
        <v>2018</v>
      </c>
      <c r="D570">
        <v>0.05</v>
      </c>
      <c r="E570" t="str">
        <f>IF(_2[[#This Row],[Year]]=2000,_2[[#This Row],[Share (%)]],"")</f>
        <v/>
      </c>
      <c r="F570" s="16" t="e" cm="1">
        <f t="array" ref="F570">D570 - _xlfn.XLOOKUP(A570&amp;2000, A:A&amp;C:C, D:D, "No 2000 data")</f>
        <v>#VALUE!</v>
      </c>
    </row>
    <row r="571" spans="1:6" hidden="1" x14ac:dyDescent="0.35">
      <c r="A571" s="16" t="s">
        <v>73</v>
      </c>
      <c r="B571" s="16" t="s">
        <v>134</v>
      </c>
      <c r="C571">
        <v>2019</v>
      </c>
      <c r="D571">
        <v>0.05</v>
      </c>
      <c r="E571" t="str">
        <f>IF(_2[[#This Row],[Year]]=2000,_2[[#This Row],[Share (%)]],"")</f>
        <v/>
      </c>
      <c r="F571" s="16" t="e" cm="1">
        <f t="array" ref="F571">D571 - _xlfn.XLOOKUP(A571&amp;2000, A:A&amp;C:C, D:D, "No 2000 data")</f>
        <v>#VALUE!</v>
      </c>
    </row>
    <row r="572" spans="1:6" hidden="1" x14ac:dyDescent="0.35">
      <c r="A572" s="16" t="s">
        <v>73</v>
      </c>
      <c r="B572" s="16" t="s">
        <v>134</v>
      </c>
      <c r="C572">
        <v>2020</v>
      </c>
      <c r="D572">
        <v>0.05</v>
      </c>
      <c r="E572" t="str">
        <f>IF(_2[[#This Row],[Year]]=2000,_2[[#This Row],[Share (%)]],"")</f>
        <v/>
      </c>
      <c r="F572" s="16" t="e" cm="1">
        <f t="array" ref="F572">D572 - _xlfn.XLOOKUP(A572&amp;2000, A:A&amp;C:C, D:D, "No 2000 data")</f>
        <v>#VALUE!</v>
      </c>
    </row>
    <row r="573" spans="1:6" hidden="1" x14ac:dyDescent="0.35">
      <c r="A573" s="16" t="s">
        <v>73</v>
      </c>
      <c r="B573" s="16" t="s">
        <v>134</v>
      </c>
      <c r="C573">
        <v>2021</v>
      </c>
      <c r="D573">
        <v>0.06</v>
      </c>
      <c r="E573" t="str">
        <f>IF(_2[[#This Row],[Year]]=2000,_2[[#This Row],[Share (%)]],"")</f>
        <v/>
      </c>
      <c r="F573" s="16" t="e" cm="1">
        <f t="array" ref="F573">D573 - _xlfn.XLOOKUP(A573&amp;2000, A:A&amp;C:C, D:D, "No 2000 data")</f>
        <v>#VALUE!</v>
      </c>
    </row>
    <row r="574" spans="1:6" hidden="1" x14ac:dyDescent="0.35">
      <c r="A574" s="16" t="s">
        <v>73</v>
      </c>
      <c r="B574" s="16" t="s">
        <v>134</v>
      </c>
      <c r="C574">
        <v>2022</v>
      </c>
      <c r="D574">
        <v>0.06</v>
      </c>
      <c r="E574" t="str">
        <f>IF(_2[[#This Row],[Year]]=2000,_2[[#This Row],[Share (%)]],"")</f>
        <v/>
      </c>
      <c r="F574" s="16" t="e" cm="1">
        <f t="array" ref="F574">D574 - _xlfn.XLOOKUP(A574&amp;2000, A:A&amp;C:C, D:D, "No 2000 data")</f>
        <v>#VALUE!</v>
      </c>
    </row>
    <row r="575" spans="1:6" hidden="1" x14ac:dyDescent="0.35">
      <c r="A575" s="16" t="s">
        <v>73</v>
      </c>
      <c r="B575" s="16" t="s">
        <v>134</v>
      </c>
      <c r="C575">
        <v>2023</v>
      </c>
      <c r="D575">
        <v>7.0000000000000007E-2</v>
      </c>
      <c r="E575" t="str">
        <f>IF(_2[[#This Row],[Year]]=2000,_2[[#This Row],[Share (%)]],"")</f>
        <v/>
      </c>
      <c r="F575" s="16" t="e" cm="1">
        <f t="array" ref="F575">D575 - _xlfn.XLOOKUP(A575&amp;2000, A:A&amp;C:C, D:D, "No 2000 data")</f>
        <v>#VALUE!</v>
      </c>
    </row>
    <row r="576" spans="1:6" hidden="1" x14ac:dyDescent="0.35">
      <c r="A576" s="16" t="s">
        <v>73</v>
      </c>
      <c r="B576" s="16" t="s">
        <v>134</v>
      </c>
      <c r="C576">
        <v>2024</v>
      </c>
      <c r="D576">
        <v>7.0000000000000007E-2</v>
      </c>
      <c r="E576" t="str">
        <f>IF(_2[[#This Row],[Year]]=2000,_2[[#This Row],[Share (%)]],"")</f>
        <v/>
      </c>
      <c r="F576" s="16" t="e" cm="1">
        <f t="array" ref="F576">D576 - _xlfn.XLOOKUP(A576&amp;2000, A:A&amp;C:C, D:D, "No 2000 data")</f>
        <v>#VALUE!</v>
      </c>
    </row>
    <row r="577" spans="1:6" x14ac:dyDescent="0.35">
      <c r="A577" s="16" t="s">
        <v>79</v>
      </c>
      <c r="B577" s="16" t="s">
        <v>134</v>
      </c>
      <c r="C577">
        <v>2000</v>
      </c>
      <c r="D577">
        <v>46.4</v>
      </c>
      <c r="E577">
        <f>IF(_2[[#This Row],[Year]]=2000,_2[[#This Row],[Share (%)]],"")</f>
        <v>46.4</v>
      </c>
      <c r="F577" s="16" cm="1">
        <f t="array" ref="F577">D577 - _xlfn.XLOOKUP(A577&amp;2000, A:A&amp;C:C, D:D, "No 2000 data")</f>
        <v>0</v>
      </c>
    </row>
    <row r="578" spans="1:6" x14ac:dyDescent="0.35">
      <c r="A578" s="16" t="s">
        <v>79</v>
      </c>
      <c r="B578" s="16" t="s">
        <v>134</v>
      </c>
      <c r="C578">
        <v>2001</v>
      </c>
      <c r="D578">
        <v>46.4</v>
      </c>
      <c r="E578" t="str">
        <f>IF(_2[[#This Row],[Year]]=2000,_2[[#This Row],[Share (%)]],"")</f>
        <v/>
      </c>
      <c r="F578" s="16" cm="1">
        <f t="array" ref="F578">D578 - _xlfn.XLOOKUP(A578&amp;2000, A:A&amp;C:C, D:D, "No 2000 data")</f>
        <v>0</v>
      </c>
    </row>
    <row r="579" spans="1:6" x14ac:dyDescent="0.35">
      <c r="A579" s="16" t="s">
        <v>79</v>
      </c>
      <c r="B579" s="16" t="s">
        <v>134</v>
      </c>
      <c r="C579">
        <v>2002</v>
      </c>
      <c r="D579">
        <v>46.4</v>
      </c>
      <c r="E579" t="str">
        <f>IF(_2[[#This Row],[Year]]=2000,_2[[#This Row],[Share (%)]],"")</f>
        <v/>
      </c>
      <c r="F579" s="16" cm="1">
        <f t="array" ref="F579">D579 - _xlfn.XLOOKUP(A579&amp;2000, A:A&amp;C:C, D:D, "No 2000 data")</f>
        <v>0</v>
      </c>
    </row>
    <row r="580" spans="1:6" x14ac:dyDescent="0.35">
      <c r="A580" s="16" t="s">
        <v>79</v>
      </c>
      <c r="B580" s="16" t="s">
        <v>134</v>
      </c>
      <c r="C580">
        <v>2003</v>
      </c>
      <c r="D580">
        <v>42.67</v>
      </c>
      <c r="E580" t="str">
        <f>IF(_2[[#This Row],[Year]]=2000,_2[[#This Row],[Share (%)]],"")</f>
        <v/>
      </c>
      <c r="F580" s="16" cm="1">
        <f t="array" ref="F580">D580 - _xlfn.XLOOKUP(A580&amp;2000, A:A&amp;C:C, D:D, "No 2000 data")</f>
        <v>-3.7299999999999969</v>
      </c>
    </row>
    <row r="581" spans="1:6" x14ac:dyDescent="0.35">
      <c r="A581" s="16" t="s">
        <v>79</v>
      </c>
      <c r="B581" s="16" t="s">
        <v>134</v>
      </c>
      <c r="C581">
        <v>2004</v>
      </c>
      <c r="D581">
        <v>38.74</v>
      </c>
      <c r="E581" t="str">
        <f>IF(_2[[#This Row],[Year]]=2000,_2[[#This Row],[Share (%)]],"")</f>
        <v/>
      </c>
      <c r="F581" s="16" cm="1">
        <f t="array" ref="F581">D581 - _xlfn.XLOOKUP(A581&amp;2000, A:A&amp;C:C, D:D, "No 2000 data")</f>
        <v>-7.6599999999999966</v>
      </c>
    </row>
    <row r="582" spans="1:6" x14ac:dyDescent="0.35">
      <c r="A582" s="16" t="s">
        <v>79</v>
      </c>
      <c r="B582" s="16" t="s">
        <v>134</v>
      </c>
      <c r="C582">
        <v>2005</v>
      </c>
      <c r="D582">
        <v>34.9</v>
      </c>
      <c r="E582" t="str">
        <f>IF(_2[[#This Row],[Year]]=2000,_2[[#This Row],[Share (%)]],"")</f>
        <v/>
      </c>
      <c r="F582" s="16" cm="1">
        <f t="array" ref="F582">D582 - _xlfn.XLOOKUP(A582&amp;2000, A:A&amp;C:C, D:D, "No 2000 data")</f>
        <v>-11.5</v>
      </c>
    </row>
    <row r="583" spans="1:6" x14ac:dyDescent="0.35">
      <c r="A583" s="16" t="s">
        <v>79</v>
      </c>
      <c r="B583" s="16" t="s">
        <v>134</v>
      </c>
      <c r="C583">
        <v>2006</v>
      </c>
      <c r="D583">
        <v>30.99</v>
      </c>
      <c r="E583" t="str">
        <f>IF(_2[[#This Row],[Year]]=2000,_2[[#This Row],[Share (%)]],"")</f>
        <v/>
      </c>
      <c r="F583" s="16" cm="1">
        <f t="array" ref="F583">D583 - _xlfn.XLOOKUP(A583&amp;2000, A:A&amp;C:C, D:D, "No 2000 data")</f>
        <v>-15.41</v>
      </c>
    </row>
    <row r="584" spans="1:6" x14ac:dyDescent="0.35">
      <c r="A584" s="16" t="s">
        <v>79</v>
      </c>
      <c r="B584" s="16" t="s">
        <v>134</v>
      </c>
      <c r="C584">
        <v>2007</v>
      </c>
      <c r="D584">
        <v>30.29</v>
      </c>
      <c r="E584" t="str">
        <f>IF(_2[[#This Row],[Year]]=2000,_2[[#This Row],[Share (%)]],"")</f>
        <v/>
      </c>
      <c r="F584" s="16" cm="1">
        <f t="array" ref="F584">D584 - _xlfn.XLOOKUP(A584&amp;2000, A:A&amp;C:C, D:D, "No 2000 data")</f>
        <v>-16.11</v>
      </c>
    </row>
    <row r="585" spans="1:6" x14ac:dyDescent="0.35">
      <c r="A585" s="16" t="s">
        <v>79</v>
      </c>
      <c r="B585" s="16" t="s">
        <v>134</v>
      </c>
      <c r="C585">
        <v>2008</v>
      </c>
      <c r="D585">
        <v>29.95</v>
      </c>
      <c r="E585" t="str">
        <f>IF(_2[[#This Row],[Year]]=2000,_2[[#This Row],[Share (%)]],"")</f>
        <v/>
      </c>
      <c r="F585" s="16" cm="1">
        <f t="array" ref="F585">D585 - _xlfn.XLOOKUP(A585&amp;2000, A:A&amp;C:C, D:D, "No 2000 data")</f>
        <v>-16.45</v>
      </c>
    </row>
    <row r="586" spans="1:6" x14ac:dyDescent="0.35">
      <c r="A586" s="16" t="s">
        <v>79</v>
      </c>
      <c r="B586" s="16" t="s">
        <v>134</v>
      </c>
      <c r="C586">
        <v>2009</v>
      </c>
      <c r="D586">
        <v>30.01</v>
      </c>
      <c r="E586" t="str">
        <f>IF(_2[[#This Row],[Year]]=2000,_2[[#This Row],[Share (%)]],"")</f>
        <v/>
      </c>
      <c r="F586" s="16" cm="1">
        <f t="array" ref="F586">D586 - _xlfn.XLOOKUP(A586&amp;2000, A:A&amp;C:C, D:D, "No 2000 data")</f>
        <v>-16.389999999999997</v>
      </c>
    </row>
    <row r="587" spans="1:6" x14ac:dyDescent="0.35">
      <c r="A587" s="16" t="s">
        <v>79</v>
      </c>
      <c r="B587" s="16" t="s">
        <v>134</v>
      </c>
      <c r="C587">
        <v>2010</v>
      </c>
      <c r="D587">
        <v>25.4</v>
      </c>
      <c r="E587" t="str">
        <f>IF(_2[[#This Row],[Year]]=2000,_2[[#This Row],[Share (%)]],"")</f>
        <v/>
      </c>
      <c r="F587" s="16" cm="1">
        <f t="array" ref="F587">D587 - _xlfn.XLOOKUP(A587&amp;2000, A:A&amp;C:C, D:D, "No 2000 data")</f>
        <v>-21</v>
      </c>
    </row>
    <row r="588" spans="1:6" x14ac:dyDescent="0.35">
      <c r="A588" s="16" t="s">
        <v>79</v>
      </c>
      <c r="B588" s="16" t="s">
        <v>134</v>
      </c>
      <c r="C588">
        <v>2011</v>
      </c>
      <c r="D588">
        <v>25.42</v>
      </c>
      <c r="E588" t="str">
        <f>IF(_2[[#This Row],[Year]]=2000,_2[[#This Row],[Share (%)]],"")</f>
        <v/>
      </c>
      <c r="F588" s="16" cm="1">
        <f t="array" ref="F588">D588 - _xlfn.XLOOKUP(A588&amp;2000, A:A&amp;C:C, D:D, "No 2000 data")</f>
        <v>-20.979999999999997</v>
      </c>
    </row>
    <row r="589" spans="1:6" x14ac:dyDescent="0.35">
      <c r="A589" s="16" t="s">
        <v>79</v>
      </c>
      <c r="B589" s="16" t="s">
        <v>134</v>
      </c>
      <c r="C589">
        <v>2012</v>
      </c>
      <c r="D589">
        <v>30.01</v>
      </c>
      <c r="E589" t="str">
        <f>IF(_2[[#This Row],[Year]]=2000,_2[[#This Row],[Share (%)]],"")</f>
        <v/>
      </c>
      <c r="F589" s="16" cm="1">
        <f t="array" ref="F589">D589 - _xlfn.XLOOKUP(A589&amp;2000, A:A&amp;C:C, D:D, "No 2000 data")</f>
        <v>-16.389999999999997</v>
      </c>
    </row>
    <row r="590" spans="1:6" x14ac:dyDescent="0.35">
      <c r="A590" s="16" t="s">
        <v>79</v>
      </c>
      <c r="B590" s="16" t="s">
        <v>134</v>
      </c>
      <c r="C590">
        <v>2013</v>
      </c>
      <c r="D590">
        <v>30.04</v>
      </c>
      <c r="E590" t="str">
        <f>IF(_2[[#This Row],[Year]]=2000,_2[[#This Row],[Share (%)]],"")</f>
        <v/>
      </c>
      <c r="F590" s="16" cm="1">
        <f t="array" ref="F590">D590 - _xlfn.XLOOKUP(A590&amp;2000, A:A&amp;C:C, D:D, "No 2000 data")</f>
        <v>-16.36</v>
      </c>
    </row>
    <row r="591" spans="1:6" x14ac:dyDescent="0.35">
      <c r="A591" s="16" t="s">
        <v>79</v>
      </c>
      <c r="B591" s="16" t="s">
        <v>134</v>
      </c>
      <c r="C591">
        <v>2014</v>
      </c>
      <c r="D591">
        <v>24.14</v>
      </c>
      <c r="E591" t="str">
        <f>IF(_2[[#This Row],[Year]]=2000,_2[[#This Row],[Share (%)]],"")</f>
        <v/>
      </c>
      <c r="F591" s="16" cm="1">
        <f t="array" ref="F591">D591 - _xlfn.XLOOKUP(A591&amp;2000, A:A&amp;C:C, D:D, "No 2000 data")</f>
        <v>-22.259999999999998</v>
      </c>
    </row>
    <row r="592" spans="1:6" x14ac:dyDescent="0.35">
      <c r="A592" s="16" t="s">
        <v>79</v>
      </c>
      <c r="B592" s="16" t="s">
        <v>134</v>
      </c>
      <c r="C592">
        <v>2015</v>
      </c>
      <c r="D592">
        <v>24.25</v>
      </c>
      <c r="E592" t="str">
        <f>IF(_2[[#This Row],[Year]]=2000,_2[[#This Row],[Share (%)]],"")</f>
        <v/>
      </c>
      <c r="F592" s="16" cm="1">
        <f t="array" ref="F592">D592 - _xlfn.XLOOKUP(A592&amp;2000, A:A&amp;C:C, D:D, "No 2000 data")</f>
        <v>-22.15</v>
      </c>
    </row>
    <row r="593" spans="1:6" x14ac:dyDescent="0.35">
      <c r="A593" s="16" t="s">
        <v>79</v>
      </c>
      <c r="B593" s="16" t="s">
        <v>134</v>
      </c>
      <c r="C593">
        <v>2016</v>
      </c>
      <c r="D593">
        <v>24.34</v>
      </c>
      <c r="E593" t="str">
        <f>IF(_2[[#This Row],[Year]]=2000,_2[[#This Row],[Share (%)]],"")</f>
        <v/>
      </c>
      <c r="F593" s="16" cm="1">
        <f t="array" ref="F593">D593 - _xlfn.XLOOKUP(A593&amp;2000, A:A&amp;C:C, D:D, "No 2000 data")</f>
        <v>-22.06</v>
      </c>
    </row>
    <row r="594" spans="1:6" x14ac:dyDescent="0.35">
      <c r="A594" s="16" t="s">
        <v>79</v>
      </c>
      <c r="B594" s="16" t="s">
        <v>134</v>
      </c>
      <c r="C594">
        <v>2017</v>
      </c>
      <c r="D594">
        <v>22.44</v>
      </c>
      <c r="E594" t="str">
        <f>IF(_2[[#This Row],[Year]]=2000,_2[[#This Row],[Share (%)]],"")</f>
        <v/>
      </c>
      <c r="F594" s="16" cm="1">
        <f t="array" ref="F594">D594 - _xlfn.XLOOKUP(A594&amp;2000, A:A&amp;C:C, D:D, "No 2000 data")</f>
        <v>-23.959999999999997</v>
      </c>
    </row>
    <row r="595" spans="1:6" x14ac:dyDescent="0.35">
      <c r="A595" s="16" t="s">
        <v>79</v>
      </c>
      <c r="B595" s="16" t="s">
        <v>134</v>
      </c>
      <c r="C595">
        <v>2018</v>
      </c>
      <c r="D595">
        <v>23.05</v>
      </c>
      <c r="E595" t="str">
        <f>IF(_2[[#This Row],[Year]]=2000,_2[[#This Row],[Share (%)]],"")</f>
        <v/>
      </c>
      <c r="F595" s="16" cm="1">
        <f t="array" ref="F595">D595 - _xlfn.XLOOKUP(A595&amp;2000, A:A&amp;C:C, D:D, "No 2000 data")</f>
        <v>-23.349999999999998</v>
      </c>
    </row>
    <row r="596" spans="1:6" x14ac:dyDescent="0.35">
      <c r="A596" s="16" t="s">
        <v>79</v>
      </c>
      <c r="B596" s="16" t="s">
        <v>134</v>
      </c>
      <c r="C596">
        <v>2019</v>
      </c>
      <c r="D596">
        <v>23.17</v>
      </c>
      <c r="E596" t="str">
        <f>IF(_2[[#This Row],[Year]]=2000,_2[[#This Row],[Share (%)]],"")</f>
        <v/>
      </c>
      <c r="F596" s="16" cm="1">
        <f t="array" ref="F596">D596 - _xlfn.XLOOKUP(A596&amp;2000, A:A&amp;C:C, D:D, "No 2000 data")</f>
        <v>-23.229999999999997</v>
      </c>
    </row>
    <row r="597" spans="1:6" x14ac:dyDescent="0.35">
      <c r="A597" s="16" t="s">
        <v>79</v>
      </c>
      <c r="B597" s="16" t="s">
        <v>134</v>
      </c>
      <c r="C597">
        <v>2020</v>
      </c>
      <c r="D597">
        <v>23.28</v>
      </c>
      <c r="E597" t="str">
        <f>IF(_2[[#This Row],[Year]]=2000,_2[[#This Row],[Share (%)]],"")</f>
        <v/>
      </c>
      <c r="F597" s="16" cm="1">
        <f t="array" ref="F597">D597 - _xlfn.XLOOKUP(A597&amp;2000, A:A&amp;C:C, D:D, "No 2000 data")</f>
        <v>-23.119999999999997</v>
      </c>
    </row>
    <row r="598" spans="1:6" x14ac:dyDescent="0.35">
      <c r="A598" s="16" t="s">
        <v>79</v>
      </c>
      <c r="B598" s="16" t="s">
        <v>134</v>
      </c>
      <c r="C598">
        <v>2021</v>
      </c>
      <c r="D598">
        <v>23.26</v>
      </c>
      <c r="E598" t="str">
        <f>IF(_2[[#This Row],[Year]]=2000,_2[[#This Row],[Share (%)]],"")</f>
        <v/>
      </c>
      <c r="F598" s="16" cm="1">
        <f t="array" ref="F598">D598 - _xlfn.XLOOKUP(A598&amp;2000, A:A&amp;C:C, D:D, "No 2000 data")</f>
        <v>-23.139999999999997</v>
      </c>
    </row>
    <row r="599" spans="1:6" x14ac:dyDescent="0.35">
      <c r="A599" s="16" t="s">
        <v>79</v>
      </c>
      <c r="B599" s="16" t="s">
        <v>134</v>
      </c>
      <c r="C599">
        <v>2022</v>
      </c>
      <c r="D599">
        <v>28.24</v>
      </c>
      <c r="E599" t="str">
        <f>IF(_2[[#This Row],[Year]]=2000,_2[[#This Row],[Share (%)]],"")</f>
        <v/>
      </c>
      <c r="F599" s="16" cm="1">
        <f t="array" ref="F599">D599 - _xlfn.XLOOKUP(A599&amp;2000, A:A&amp;C:C, D:D, "No 2000 data")</f>
        <v>-18.16</v>
      </c>
    </row>
    <row r="600" spans="1:6" x14ac:dyDescent="0.35">
      <c r="A600" s="16" t="s">
        <v>79</v>
      </c>
      <c r="B600" s="16" t="s">
        <v>134</v>
      </c>
      <c r="C600">
        <v>2023</v>
      </c>
      <c r="D600">
        <v>28.7</v>
      </c>
      <c r="E600" t="str">
        <f>IF(_2[[#This Row],[Year]]=2000,_2[[#This Row],[Share (%)]],"")</f>
        <v/>
      </c>
      <c r="F600" s="16" cm="1">
        <f t="array" ref="F600">D600 - _xlfn.XLOOKUP(A600&amp;2000, A:A&amp;C:C, D:D, "No 2000 data")</f>
        <v>-17.7</v>
      </c>
    </row>
    <row r="601" spans="1:6" x14ac:dyDescent="0.35">
      <c r="A601" s="16" t="s">
        <v>79</v>
      </c>
      <c r="B601" s="16" t="s">
        <v>134</v>
      </c>
      <c r="C601">
        <v>2024</v>
      </c>
      <c r="D601">
        <v>28.7</v>
      </c>
      <c r="E601" t="str">
        <f>IF(_2[[#This Row],[Year]]=2000,_2[[#This Row],[Share (%)]],"")</f>
        <v/>
      </c>
      <c r="F601" s="16" cm="1">
        <f t="array" ref="F601">D601 - _xlfn.XLOOKUP(A601&amp;2000, A:A&amp;C:C, D:D, "No 2000 data")</f>
        <v>-17.7</v>
      </c>
    </row>
    <row r="602" spans="1:6" x14ac:dyDescent="0.35">
      <c r="A602" s="16" t="s">
        <v>89</v>
      </c>
      <c r="B602" s="16" t="s">
        <v>134</v>
      </c>
      <c r="C602">
        <v>2000</v>
      </c>
      <c r="D602">
        <v>89.54</v>
      </c>
      <c r="E602">
        <f>IF(_2[[#This Row],[Year]]=2000,_2[[#This Row],[Share (%)]],"")</f>
        <v>89.54</v>
      </c>
      <c r="F602" s="16" cm="1">
        <f t="array" ref="F602">D602 - _xlfn.XLOOKUP(A602&amp;2000, A:A&amp;C:C, D:D, "No 2000 data")</f>
        <v>0</v>
      </c>
    </row>
    <row r="603" spans="1:6" x14ac:dyDescent="0.35">
      <c r="A603" s="16" t="s">
        <v>89</v>
      </c>
      <c r="B603" s="16" t="s">
        <v>134</v>
      </c>
      <c r="C603">
        <v>2001</v>
      </c>
      <c r="D603">
        <v>89.54</v>
      </c>
      <c r="E603" t="str">
        <f>IF(_2[[#This Row],[Year]]=2000,_2[[#This Row],[Share (%)]],"")</f>
        <v/>
      </c>
      <c r="F603" s="16" cm="1">
        <f t="array" ref="F603">D603 - _xlfn.XLOOKUP(A603&amp;2000, A:A&amp;C:C, D:D, "No 2000 data")</f>
        <v>0</v>
      </c>
    </row>
    <row r="604" spans="1:6" x14ac:dyDescent="0.35">
      <c r="A604" s="16" t="s">
        <v>89</v>
      </c>
      <c r="B604" s="16" t="s">
        <v>134</v>
      </c>
      <c r="C604">
        <v>2002</v>
      </c>
      <c r="D604">
        <v>89.54</v>
      </c>
      <c r="E604" t="str">
        <f>IF(_2[[#This Row],[Year]]=2000,_2[[#This Row],[Share (%)]],"")</f>
        <v/>
      </c>
      <c r="F604" s="16" cm="1">
        <f t="array" ref="F604">D604 - _xlfn.XLOOKUP(A604&amp;2000, A:A&amp;C:C, D:D, "No 2000 data")</f>
        <v>0</v>
      </c>
    </row>
    <row r="605" spans="1:6" x14ac:dyDescent="0.35">
      <c r="A605" s="16" t="s">
        <v>89</v>
      </c>
      <c r="B605" s="16" t="s">
        <v>134</v>
      </c>
      <c r="C605">
        <v>2003</v>
      </c>
      <c r="D605">
        <v>93.39</v>
      </c>
      <c r="E605" t="str">
        <f>IF(_2[[#This Row],[Year]]=2000,_2[[#This Row],[Share (%)]],"")</f>
        <v/>
      </c>
      <c r="F605" s="16" cm="1">
        <f t="array" ref="F605">D605 - _xlfn.XLOOKUP(A605&amp;2000, A:A&amp;C:C, D:D, "No 2000 data")</f>
        <v>3.8499999999999943</v>
      </c>
    </row>
    <row r="606" spans="1:6" x14ac:dyDescent="0.35">
      <c r="A606" s="16" t="s">
        <v>89</v>
      </c>
      <c r="B606" s="16" t="s">
        <v>134</v>
      </c>
      <c r="C606">
        <v>2004</v>
      </c>
      <c r="D606">
        <v>90.61</v>
      </c>
      <c r="E606" t="str">
        <f>IF(_2[[#This Row],[Year]]=2000,_2[[#This Row],[Share (%)]],"")</f>
        <v/>
      </c>
      <c r="F606" s="16" cm="1">
        <f t="array" ref="F606">D606 - _xlfn.XLOOKUP(A606&amp;2000, A:A&amp;C:C, D:D, "No 2000 data")</f>
        <v>1.0699999999999932</v>
      </c>
    </row>
    <row r="607" spans="1:6" x14ac:dyDescent="0.35">
      <c r="A607" s="16" t="s">
        <v>89</v>
      </c>
      <c r="B607" s="16" t="s">
        <v>134</v>
      </c>
      <c r="C607">
        <v>2005</v>
      </c>
      <c r="D607">
        <v>90.61</v>
      </c>
      <c r="E607" t="str">
        <f>IF(_2[[#This Row],[Year]]=2000,_2[[#This Row],[Share (%)]],"")</f>
        <v/>
      </c>
      <c r="F607" s="16" cm="1">
        <f t="array" ref="F607">D607 - _xlfn.XLOOKUP(A607&amp;2000, A:A&amp;C:C, D:D, "No 2000 data")</f>
        <v>1.0699999999999932</v>
      </c>
    </row>
    <row r="608" spans="1:6" x14ac:dyDescent="0.35">
      <c r="A608" s="16" t="s">
        <v>89</v>
      </c>
      <c r="B608" s="16" t="s">
        <v>134</v>
      </c>
      <c r="C608">
        <v>2006</v>
      </c>
      <c r="D608">
        <v>90.61</v>
      </c>
      <c r="E608" t="str">
        <f>IF(_2[[#This Row],[Year]]=2000,_2[[#This Row],[Share (%)]],"")</f>
        <v/>
      </c>
      <c r="F608" s="16" cm="1">
        <f t="array" ref="F608">D608 - _xlfn.XLOOKUP(A608&amp;2000, A:A&amp;C:C, D:D, "No 2000 data")</f>
        <v>1.0699999999999932</v>
      </c>
    </row>
    <row r="609" spans="1:6" x14ac:dyDescent="0.35">
      <c r="A609" s="16" t="s">
        <v>89</v>
      </c>
      <c r="B609" s="16" t="s">
        <v>134</v>
      </c>
      <c r="C609">
        <v>2007</v>
      </c>
      <c r="D609">
        <v>90.61</v>
      </c>
      <c r="E609" t="str">
        <f>IF(_2[[#This Row],[Year]]=2000,_2[[#This Row],[Share (%)]],"")</f>
        <v/>
      </c>
      <c r="F609" s="16" cm="1">
        <f t="array" ref="F609">D609 - _xlfn.XLOOKUP(A609&amp;2000, A:A&amp;C:C, D:D, "No 2000 data")</f>
        <v>1.0699999999999932</v>
      </c>
    </row>
    <row r="610" spans="1:6" x14ac:dyDescent="0.35">
      <c r="A610" s="16" t="s">
        <v>89</v>
      </c>
      <c r="B610" s="16" t="s">
        <v>134</v>
      </c>
      <c r="C610">
        <v>2008</v>
      </c>
      <c r="D610">
        <v>94.55</v>
      </c>
      <c r="E610" t="str">
        <f>IF(_2[[#This Row],[Year]]=2000,_2[[#This Row],[Share (%)]],"")</f>
        <v/>
      </c>
      <c r="F610" s="16" cm="1">
        <f t="array" ref="F610">D610 - _xlfn.XLOOKUP(A610&amp;2000, A:A&amp;C:C, D:D, "No 2000 data")</f>
        <v>5.0099999999999909</v>
      </c>
    </row>
    <row r="611" spans="1:6" x14ac:dyDescent="0.35">
      <c r="A611" s="16" t="s">
        <v>89</v>
      </c>
      <c r="B611" s="16" t="s">
        <v>134</v>
      </c>
      <c r="C611">
        <v>2009</v>
      </c>
      <c r="D611">
        <v>92.36</v>
      </c>
      <c r="E611" t="str">
        <f>IF(_2[[#This Row],[Year]]=2000,_2[[#This Row],[Share (%)]],"")</f>
        <v/>
      </c>
      <c r="F611" s="16" cm="1">
        <f t="array" ref="F611">D611 - _xlfn.XLOOKUP(A611&amp;2000, A:A&amp;C:C, D:D, "No 2000 data")</f>
        <v>2.8199999999999932</v>
      </c>
    </row>
    <row r="612" spans="1:6" x14ac:dyDescent="0.35">
      <c r="A612" s="16" t="s">
        <v>89</v>
      </c>
      <c r="B612" s="16" t="s">
        <v>134</v>
      </c>
      <c r="C612">
        <v>2010</v>
      </c>
      <c r="D612">
        <v>92.36</v>
      </c>
      <c r="E612" t="str">
        <f>IF(_2[[#This Row],[Year]]=2000,_2[[#This Row],[Share (%)]],"")</f>
        <v/>
      </c>
      <c r="F612" s="16" cm="1">
        <f t="array" ref="F612">D612 - _xlfn.XLOOKUP(A612&amp;2000, A:A&amp;C:C, D:D, "No 2000 data")</f>
        <v>2.8199999999999932</v>
      </c>
    </row>
    <row r="613" spans="1:6" x14ac:dyDescent="0.35">
      <c r="A613" s="16" t="s">
        <v>89</v>
      </c>
      <c r="B613" s="16" t="s">
        <v>134</v>
      </c>
      <c r="C613">
        <v>2011</v>
      </c>
      <c r="D613">
        <v>92.16</v>
      </c>
      <c r="E613" t="str">
        <f>IF(_2[[#This Row],[Year]]=2000,_2[[#This Row],[Share (%)]],"")</f>
        <v/>
      </c>
      <c r="F613" s="16" cm="1">
        <f t="array" ref="F613">D613 - _xlfn.XLOOKUP(A613&amp;2000, A:A&amp;C:C, D:D, "No 2000 data")</f>
        <v>2.6199999999999903</v>
      </c>
    </row>
    <row r="614" spans="1:6" x14ac:dyDescent="0.35">
      <c r="A614" s="16" t="s">
        <v>89</v>
      </c>
      <c r="B614" s="16" t="s">
        <v>134</v>
      </c>
      <c r="C614">
        <v>2012</v>
      </c>
      <c r="D614">
        <v>92.16</v>
      </c>
      <c r="E614" t="str">
        <f>IF(_2[[#This Row],[Year]]=2000,_2[[#This Row],[Share (%)]],"")</f>
        <v/>
      </c>
      <c r="F614" s="16" cm="1">
        <f t="array" ref="F614">D614 - _xlfn.XLOOKUP(A614&amp;2000, A:A&amp;C:C, D:D, "No 2000 data")</f>
        <v>2.6199999999999903</v>
      </c>
    </row>
    <row r="615" spans="1:6" x14ac:dyDescent="0.35">
      <c r="A615" s="16" t="s">
        <v>89</v>
      </c>
      <c r="B615" s="16" t="s">
        <v>134</v>
      </c>
      <c r="C615">
        <v>2013</v>
      </c>
      <c r="D615">
        <v>93.38</v>
      </c>
      <c r="E615" t="str">
        <f>IF(_2[[#This Row],[Year]]=2000,_2[[#This Row],[Share (%)]],"")</f>
        <v/>
      </c>
      <c r="F615" s="16" cm="1">
        <f t="array" ref="F615">D615 - _xlfn.XLOOKUP(A615&amp;2000, A:A&amp;C:C, D:D, "No 2000 data")</f>
        <v>3.8399999999999892</v>
      </c>
    </row>
    <row r="616" spans="1:6" x14ac:dyDescent="0.35">
      <c r="A616" s="16" t="s">
        <v>89</v>
      </c>
      <c r="B616" s="16" t="s">
        <v>134</v>
      </c>
      <c r="C616">
        <v>2014</v>
      </c>
      <c r="D616">
        <v>93.39</v>
      </c>
      <c r="E616" t="str">
        <f>IF(_2[[#This Row],[Year]]=2000,_2[[#This Row],[Share (%)]],"")</f>
        <v/>
      </c>
      <c r="F616" s="16" cm="1">
        <f t="array" ref="F616">D616 - _xlfn.XLOOKUP(A616&amp;2000, A:A&amp;C:C, D:D, "No 2000 data")</f>
        <v>3.8499999999999943</v>
      </c>
    </row>
    <row r="617" spans="1:6" x14ac:dyDescent="0.35">
      <c r="A617" s="16" t="s">
        <v>89</v>
      </c>
      <c r="B617" s="16" t="s">
        <v>134</v>
      </c>
      <c r="C617">
        <v>2015</v>
      </c>
      <c r="D617">
        <v>93.61</v>
      </c>
      <c r="E617" t="str">
        <f>IF(_2[[#This Row],[Year]]=2000,_2[[#This Row],[Share (%)]],"")</f>
        <v/>
      </c>
      <c r="F617" s="16" cm="1">
        <f t="array" ref="F617">D617 - _xlfn.XLOOKUP(A617&amp;2000, A:A&amp;C:C, D:D, "No 2000 data")</f>
        <v>4.0699999999999932</v>
      </c>
    </row>
    <row r="618" spans="1:6" x14ac:dyDescent="0.35">
      <c r="A618" s="16" t="s">
        <v>89</v>
      </c>
      <c r="B618" s="16" t="s">
        <v>134</v>
      </c>
      <c r="C618">
        <v>2016</v>
      </c>
      <c r="D618">
        <v>91.66</v>
      </c>
      <c r="E618" t="str">
        <f>IF(_2[[#This Row],[Year]]=2000,_2[[#This Row],[Share (%)]],"")</f>
        <v/>
      </c>
      <c r="F618" s="16" cm="1">
        <f t="array" ref="F618">D618 - _xlfn.XLOOKUP(A618&amp;2000, A:A&amp;C:C, D:D, "No 2000 data")</f>
        <v>2.1199999999999903</v>
      </c>
    </row>
    <row r="619" spans="1:6" x14ac:dyDescent="0.35">
      <c r="A619" s="16" t="s">
        <v>89</v>
      </c>
      <c r="B619" s="16" t="s">
        <v>134</v>
      </c>
      <c r="C619">
        <v>2017</v>
      </c>
      <c r="D619">
        <v>80.72</v>
      </c>
      <c r="E619" t="str">
        <f>IF(_2[[#This Row],[Year]]=2000,_2[[#This Row],[Share (%)]],"")</f>
        <v/>
      </c>
      <c r="F619" s="16" cm="1">
        <f t="array" ref="F619">D619 - _xlfn.XLOOKUP(A619&amp;2000, A:A&amp;C:C, D:D, "No 2000 data")</f>
        <v>-8.8200000000000074</v>
      </c>
    </row>
    <row r="620" spans="1:6" x14ac:dyDescent="0.35">
      <c r="A620" s="16" t="s">
        <v>89</v>
      </c>
      <c r="B620" s="16" t="s">
        <v>134</v>
      </c>
      <c r="C620">
        <v>2018</v>
      </c>
      <c r="D620">
        <v>76.67</v>
      </c>
      <c r="E620" t="str">
        <f>IF(_2[[#This Row],[Year]]=2000,_2[[#This Row],[Share (%)]],"")</f>
        <v/>
      </c>
      <c r="F620" s="16" cm="1">
        <f t="array" ref="F620">D620 - _xlfn.XLOOKUP(A620&amp;2000, A:A&amp;C:C, D:D, "No 2000 data")</f>
        <v>-12.870000000000005</v>
      </c>
    </row>
    <row r="621" spans="1:6" x14ac:dyDescent="0.35">
      <c r="A621" s="16" t="s">
        <v>89</v>
      </c>
      <c r="B621" s="16" t="s">
        <v>134</v>
      </c>
      <c r="C621">
        <v>2019</v>
      </c>
      <c r="D621">
        <v>74.97</v>
      </c>
      <c r="E621" t="str">
        <f>IF(_2[[#This Row],[Year]]=2000,_2[[#This Row],[Share (%)]],"")</f>
        <v/>
      </c>
      <c r="F621" s="16" cm="1">
        <f t="array" ref="F621">D621 - _xlfn.XLOOKUP(A621&amp;2000, A:A&amp;C:C, D:D, "No 2000 data")</f>
        <v>-14.570000000000007</v>
      </c>
    </row>
    <row r="622" spans="1:6" x14ac:dyDescent="0.35">
      <c r="A622" s="16" t="s">
        <v>89</v>
      </c>
      <c r="B622" s="16" t="s">
        <v>134</v>
      </c>
      <c r="C622">
        <v>2020</v>
      </c>
      <c r="D622">
        <v>75.06</v>
      </c>
      <c r="E622" t="str">
        <f>IF(_2[[#This Row],[Year]]=2000,_2[[#This Row],[Share (%)]],"")</f>
        <v/>
      </c>
      <c r="F622" s="16" cm="1">
        <f t="array" ref="F622">D622 - _xlfn.XLOOKUP(A622&amp;2000, A:A&amp;C:C, D:D, "No 2000 data")</f>
        <v>-14.480000000000004</v>
      </c>
    </row>
    <row r="623" spans="1:6" x14ac:dyDescent="0.35">
      <c r="A623" s="16" t="s">
        <v>89</v>
      </c>
      <c r="B623" s="16" t="s">
        <v>134</v>
      </c>
      <c r="C623">
        <v>2021</v>
      </c>
      <c r="D623">
        <v>78.33</v>
      </c>
      <c r="E623" t="str">
        <f>IF(_2[[#This Row],[Year]]=2000,_2[[#This Row],[Share (%)]],"")</f>
        <v/>
      </c>
      <c r="F623" s="16" cm="1">
        <f t="array" ref="F623">D623 - _xlfn.XLOOKUP(A623&amp;2000, A:A&amp;C:C, D:D, "No 2000 data")</f>
        <v>-11.210000000000008</v>
      </c>
    </row>
    <row r="624" spans="1:6" x14ac:dyDescent="0.35">
      <c r="A624" s="16" t="s">
        <v>89</v>
      </c>
      <c r="B624" s="16" t="s">
        <v>134</v>
      </c>
      <c r="C624">
        <v>2022</v>
      </c>
      <c r="D624">
        <v>79.73</v>
      </c>
      <c r="E624" t="str">
        <f>IF(_2[[#This Row],[Year]]=2000,_2[[#This Row],[Share (%)]],"")</f>
        <v/>
      </c>
      <c r="F624" s="16" cm="1">
        <f t="array" ref="F624">D624 - _xlfn.XLOOKUP(A624&amp;2000, A:A&amp;C:C, D:D, "No 2000 data")</f>
        <v>-9.8100000000000023</v>
      </c>
    </row>
    <row r="625" spans="1:6" x14ac:dyDescent="0.35">
      <c r="A625" s="16" t="s">
        <v>89</v>
      </c>
      <c r="B625" s="16" t="s">
        <v>134</v>
      </c>
      <c r="C625">
        <v>2023</v>
      </c>
      <c r="D625">
        <v>79.760000000000005</v>
      </c>
      <c r="E625" t="str">
        <f>IF(_2[[#This Row],[Year]]=2000,_2[[#This Row],[Share (%)]],"")</f>
        <v/>
      </c>
      <c r="F625" s="16" cm="1">
        <f t="array" ref="F625">D625 - _xlfn.XLOOKUP(A625&amp;2000, A:A&amp;C:C, D:D, "No 2000 data")</f>
        <v>-9.7800000000000011</v>
      </c>
    </row>
    <row r="626" spans="1:6" x14ac:dyDescent="0.35">
      <c r="A626" s="16" t="s">
        <v>89</v>
      </c>
      <c r="B626" s="16" t="s">
        <v>134</v>
      </c>
      <c r="C626">
        <v>2024</v>
      </c>
      <c r="D626">
        <v>79.760000000000005</v>
      </c>
      <c r="E626" t="str">
        <f>IF(_2[[#This Row],[Year]]=2000,_2[[#This Row],[Share (%)]],"")</f>
        <v/>
      </c>
      <c r="F626" s="16" cm="1">
        <f t="array" ref="F626">D626 - _xlfn.XLOOKUP(A626&amp;2000, A:A&amp;C:C, D:D, "No 2000 data")</f>
        <v>-9.7800000000000011</v>
      </c>
    </row>
    <row r="627" spans="1:6" x14ac:dyDescent="0.35">
      <c r="A627" s="16" t="s">
        <v>81</v>
      </c>
      <c r="B627" s="16" t="s">
        <v>134</v>
      </c>
      <c r="C627">
        <v>2000</v>
      </c>
      <c r="D627">
        <v>20.93</v>
      </c>
      <c r="E627">
        <f>IF(_2[[#This Row],[Year]]=2000,_2[[#This Row],[Share (%)]],"")</f>
        <v>20.93</v>
      </c>
      <c r="F627" s="16" cm="1">
        <f t="array" ref="F627">D627 - _xlfn.XLOOKUP(A627&amp;2000, A:A&amp;C:C, D:D, "No 2000 data")</f>
        <v>0</v>
      </c>
    </row>
    <row r="628" spans="1:6" x14ac:dyDescent="0.35">
      <c r="A628" s="16" t="s">
        <v>81</v>
      </c>
      <c r="B628" s="16" t="s">
        <v>134</v>
      </c>
      <c r="C628">
        <v>2001</v>
      </c>
      <c r="D628">
        <v>20.93</v>
      </c>
      <c r="E628" t="str">
        <f>IF(_2[[#This Row],[Year]]=2000,_2[[#This Row],[Share (%)]],"")</f>
        <v/>
      </c>
      <c r="F628" s="16" cm="1">
        <f t="array" ref="F628">D628 - _xlfn.XLOOKUP(A628&amp;2000, A:A&amp;C:C, D:D, "No 2000 data")</f>
        <v>0</v>
      </c>
    </row>
    <row r="629" spans="1:6" x14ac:dyDescent="0.35">
      <c r="A629" s="16" t="s">
        <v>81</v>
      </c>
      <c r="B629" s="16" t="s">
        <v>134</v>
      </c>
      <c r="C629">
        <v>2002</v>
      </c>
      <c r="D629">
        <v>55.11</v>
      </c>
      <c r="E629" t="str">
        <f>IF(_2[[#This Row],[Year]]=2000,_2[[#This Row],[Share (%)]],"")</f>
        <v/>
      </c>
      <c r="F629" s="16" cm="1">
        <f t="array" ref="F629">D629 - _xlfn.XLOOKUP(A629&amp;2000, A:A&amp;C:C, D:D, "No 2000 data")</f>
        <v>34.18</v>
      </c>
    </row>
    <row r="630" spans="1:6" x14ac:dyDescent="0.35">
      <c r="A630" s="16" t="s">
        <v>81</v>
      </c>
      <c r="B630" s="16" t="s">
        <v>134</v>
      </c>
      <c r="C630">
        <v>2003</v>
      </c>
      <c r="D630">
        <v>55.11</v>
      </c>
      <c r="E630" t="str">
        <f>IF(_2[[#This Row],[Year]]=2000,_2[[#This Row],[Share (%)]],"")</f>
        <v/>
      </c>
      <c r="F630" s="16" cm="1">
        <f t="array" ref="F630">D630 - _xlfn.XLOOKUP(A630&amp;2000, A:A&amp;C:C, D:D, "No 2000 data")</f>
        <v>34.18</v>
      </c>
    </row>
    <row r="631" spans="1:6" x14ac:dyDescent="0.35">
      <c r="A631" s="16" t="s">
        <v>81</v>
      </c>
      <c r="B631" s="16" t="s">
        <v>134</v>
      </c>
      <c r="C631">
        <v>2004</v>
      </c>
      <c r="D631">
        <v>55.11</v>
      </c>
      <c r="E631" t="str">
        <f>IF(_2[[#This Row],[Year]]=2000,_2[[#This Row],[Share (%)]],"")</f>
        <v/>
      </c>
      <c r="F631" s="16" cm="1">
        <f t="array" ref="F631">D631 - _xlfn.XLOOKUP(A631&amp;2000, A:A&amp;C:C, D:D, "No 2000 data")</f>
        <v>34.18</v>
      </c>
    </row>
    <row r="632" spans="1:6" x14ac:dyDescent="0.35">
      <c r="A632" s="16" t="s">
        <v>81</v>
      </c>
      <c r="B632" s="16" t="s">
        <v>134</v>
      </c>
      <c r="C632">
        <v>2005</v>
      </c>
      <c r="D632">
        <v>55.14</v>
      </c>
      <c r="E632" t="str">
        <f>IF(_2[[#This Row],[Year]]=2000,_2[[#This Row],[Share (%)]],"")</f>
        <v/>
      </c>
      <c r="F632" s="16" cm="1">
        <f t="array" ref="F632">D632 - _xlfn.XLOOKUP(A632&amp;2000, A:A&amp;C:C, D:D, "No 2000 data")</f>
        <v>34.21</v>
      </c>
    </row>
    <row r="633" spans="1:6" x14ac:dyDescent="0.35">
      <c r="A633" s="16" t="s">
        <v>81</v>
      </c>
      <c r="B633" s="16" t="s">
        <v>134</v>
      </c>
      <c r="C633">
        <v>2006</v>
      </c>
      <c r="D633">
        <v>55.15</v>
      </c>
      <c r="E633" t="str">
        <f>IF(_2[[#This Row],[Year]]=2000,_2[[#This Row],[Share (%)]],"")</f>
        <v/>
      </c>
      <c r="F633" s="16" cm="1">
        <f t="array" ref="F633">D633 - _xlfn.XLOOKUP(A633&amp;2000, A:A&amp;C:C, D:D, "No 2000 data")</f>
        <v>34.22</v>
      </c>
    </row>
    <row r="634" spans="1:6" x14ac:dyDescent="0.35">
      <c r="A634" s="16" t="s">
        <v>81</v>
      </c>
      <c r="B634" s="16" t="s">
        <v>134</v>
      </c>
      <c r="C634">
        <v>2007</v>
      </c>
      <c r="D634">
        <v>54.21</v>
      </c>
      <c r="E634" t="str">
        <f>IF(_2[[#This Row],[Year]]=2000,_2[[#This Row],[Share (%)]],"")</f>
        <v/>
      </c>
      <c r="F634" s="16" cm="1">
        <f t="array" ref="F634">D634 - _xlfn.XLOOKUP(A634&amp;2000, A:A&amp;C:C, D:D, "No 2000 data")</f>
        <v>33.28</v>
      </c>
    </row>
    <row r="635" spans="1:6" x14ac:dyDescent="0.35">
      <c r="A635" s="16" t="s">
        <v>81</v>
      </c>
      <c r="B635" s="16" t="s">
        <v>134</v>
      </c>
      <c r="C635">
        <v>2008</v>
      </c>
      <c r="D635">
        <v>57.25</v>
      </c>
      <c r="E635" t="str">
        <f>IF(_2[[#This Row],[Year]]=2000,_2[[#This Row],[Share (%)]],"")</f>
        <v/>
      </c>
      <c r="F635" s="16" cm="1">
        <f t="array" ref="F635">D635 - _xlfn.XLOOKUP(A635&amp;2000, A:A&amp;C:C, D:D, "No 2000 data")</f>
        <v>36.32</v>
      </c>
    </row>
    <row r="636" spans="1:6" x14ac:dyDescent="0.35">
      <c r="A636" s="16" t="s">
        <v>81</v>
      </c>
      <c r="B636" s="16" t="s">
        <v>134</v>
      </c>
      <c r="C636">
        <v>2009</v>
      </c>
      <c r="D636">
        <v>55.33</v>
      </c>
      <c r="E636" t="str">
        <f>IF(_2[[#This Row],[Year]]=2000,_2[[#This Row],[Share (%)]],"")</f>
        <v/>
      </c>
      <c r="F636" s="16" cm="1">
        <f t="array" ref="F636">D636 - _xlfn.XLOOKUP(A636&amp;2000, A:A&amp;C:C, D:D, "No 2000 data")</f>
        <v>34.4</v>
      </c>
    </row>
    <row r="637" spans="1:6" x14ac:dyDescent="0.35">
      <c r="A637" s="16" t="s">
        <v>81</v>
      </c>
      <c r="B637" s="16" t="s">
        <v>134</v>
      </c>
      <c r="C637">
        <v>2010</v>
      </c>
      <c r="D637">
        <v>52.77</v>
      </c>
      <c r="E637" t="str">
        <f>IF(_2[[#This Row],[Year]]=2000,_2[[#This Row],[Share (%)]],"")</f>
        <v/>
      </c>
      <c r="F637" s="16" cm="1">
        <f t="array" ref="F637">D637 - _xlfn.XLOOKUP(A637&amp;2000, A:A&amp;C:C, D:D, "No 2000 data")</f>
        <v>31.840000000000003</v>
      </c>
    </row>
    <row r="638" spans="1:6" x14ac:dyDescent="0.35">
      <c r="A638" s="16" t="s">
        <v>81</v>
      </c>
      <c r="B638" s="16" t="s">
        <v>134</v>
      </c>
      <c r="C638">
        <v>2011</v>
      </c>
      <c r="D638">
        <v>46.9</v>
      </c>
      <c r="E638" t="str">
        <f>IF(_2[[#This Row],[Year]]=2000,_2[[#This Row],[Share (%)]],"")</f>
        <v/>
      </c>
      <c r="F638" s="16" cm="1">
        <f t="array" ref="F638">D638 - _xlfn.XLOOKUP(A638&amp;2000, A:A&amp;C:C, D:D, "No 2000 data")</f>
        <v>25.97</v>
      </c>
    </row>
    <row r="639" spans="1:6" x14ac:dyDescent="0.35">
      <c r="A639" s="16" t="s">
        <v>81</v>
      </c>
      <c r="B639" s="16" t="s">
        <v>134</v>
      </c>
      <c r="C639">
        <v>2012</v>
      </c>
      <c r="D639">
        <v>47.17</v>
      </c>
      <c r="E639" t="str">
        <f>IF(_2[[#This Row],[Year]]=2000,_2[[#This Row],[Share (%)]],"")</f>
        <v/>
      </c>
      <c r="F639" s="16" cm="1">
        <f t="array" ref="F639">D639 - _xlfn.XLOOKUP(A639&amp;2000, A:A&amp;C:C, D:D, "No 2000 data")</f>
        <v>26.240000000000002</v>
      </c>
    </row>
    <row r="640" spans="1:6" x14ac:dyDescent="0.35">
      <c r="A640" s="16" t="s">
        <v>81</v>
      </c>
      <c r="B640" s="16" t="s">
        <v>134</v>
      </c>
      <c r="C640">
        <v>2013</v>
      </c>
      <c r="D640">
        <v>49.33</v>
      </c>
      <c r="E640" t="str">
        <f>IF(_2[[#This Row],[Year]]=2000,_2[[#This Row],[Share (%)]],"")</f>
        <v/>
      </c>
      <c r="F640" s="16" cm="1">
        <f t="array" ref="F640">D640 - _xlfn.XLOOKUP(A640&amp;2000, A:A&amp;C:C, D:D, "No 2000 data")</f>
        <v>28.4</v>
      </c>
    </row>
    <row r="641" spans="1:6" x14ac:dyDescent="0.35">
      <c r="A641" s="16" t="s">
        <v>81</v>
      </c>
      <c r="B641" s="16" t="s">
        <v>134</v>
      </c>
      <c r="C641">
        <v>2014</v>
      </c>
      <c r="D641">
        <v>48.03</v>
      </c>
      <c r="E641" t="str">
        <f>IF(_2[[#This Row],[Year]]=2000,_2[[#This Row],[Share (%)]],"")</f>
        <v/>
      </c>
      <c r="F641" s="16" cm="1">
        <f t="array" ref="F641">D641 - _xlfn.XLOOKUP(A641&amp;2000, A:A&amp;C:C, D:D, "No 2000 data")</f>
        <v>27.1</v>
      </c>
    </row>
    <row r="642" spans="1:6" x14ac:dyDescent="0.35">
      <c r="A642" s="16" t="s">
        <v>81</v>
      </c>
      <c r="B642" s="16" t="s">
        <v>134</v>
      </c>
      <c r="C642">
        <v>2015</v>
      </c>
      <c r="D642">
        <v>47.82</v>
      </c>
      <c r="E642" t="str">
        <f>IF(_2[[#This Row],[Year]]=2000,_2[[#This Row],[Share (%)]],"")</f>
        <v/>
      </c>
      <c r="F642" s="16" cm="1">
        <f t="array" ref="F642">D642 - _xlfn.XLOOKUP(A642&amp;2000, A:A&amp;C:C, D:D, "No 2000 data")</f>
        <v>26.89</v>
      </c>
    </row>
    <row r="643" spans="1:6" x14ac:dyDescent="0.35">
      <c r="A643" s="16" t="s">
        <v>81</v>
      </c>
      <c r="B643" s="16" t="s">
        <v>134</v>
      </c>
      <c r="C643">
        <v>2016</v>
      </c>
      <c r="D643">
        <v>43.89</v>
      </c>
      <c r="E643" t="str">
        <f>IF(_2[[#This Row],[Year]]=2000,_2[[#This Row],[Share (%)]],"")</f>
        <v/>
      </c>
      <c r="F643" s="16" cm="1">
        <f t="array" ref="F643">D643 - _xlfn.XLOOKUP(A643&amp;2000, A:A&amp;C:C, D:D, "No 2000 data")</f>
        <v>22.96</v>
      </c>
    </row>
    <row r="644" spans="1:6" x14ac:dyDescent="0.35">
      <c r="A644" s="16" t="s">
        <v>81</v>
      </c>
      <c r="B644" s="16" t="s">
        <v>134</v>
      </c>
      <c r="C644">
        <v>2017</v>
      </c>
      <c r="D644">
        <v>44.32</v>
      </c>
      <c r="E644" t="str">
        <f>IF(_2[[#This Row],[Year]]=2000,_2[[#This Row],[Share (%)]],"")</f>
        <v/>
      </c>
      <c r="F644" s="16" cm="1">
        <f t="array" ref="F644">D644 - _xlfn.XLOOKUP(A644&amp;2000, A:A&amp;C:C, D:D, "No 2000 data")</f>
        <v>23.39</v>
      </c>
    </row>
    <row r="645" spans="1:6" x14ac:dyDescent="0.35">
      <c r="A645" s="16" t="s">
        <v>81</v>
      </c>
      <c r="B645" s="16" t="s">
        <v>134</v>
      </c>
      <c r="C645">
        <v>2018</v>
      </c>
      <c r="D645">
        <v>44.37</v>
      </c>
      <c r="E645" t="str">
        <f>IF(_2[[#This Row],[Year]]=2000,_2[[#This Row],[Share (%)]],"")</f>
        <v/>
      </c>
      <c r="F645" s="16" cm="1">
        <f t="array" ref="F645">D645 - _xlfn.XLOOKUP(A645&amp;2000, A:A&amp;C:C, D:D, "No 2000 data")</f>
        <v>23.439999999999998</v>
      </c>
    </row>
    <row r="646" spans="1:6" x14ac:dyDescent="0.35">
      <c r="A646" s="16" t="s">
        <v>81</v>
      </c>
      <c r="B646" s="16" t="s">
        <v>134</v>
      </c>
      <c r="C646">
        <v>2019</v>
      </c>
      <c r="D646">
        <v>43.8</v>
      </c>
      <c r="E646" t="str">
        <f>IF(_2[[#This Row],[Year]]=2000,_2[[#This Row],[Share (%)]],"")</f>
        <v/>
      </c>
      <c r="F646" s="16" cm="1">
        <f t="array" ref="F646">D646 - _xlfn.XLOOKUP(A646&amp;2000, A:A&amp;C:C, D:D, "No 2000 data")</f>
        <v>22.869999999999997</v>
      </c>
    </row>
    <row r="647" spans="1:6" x14ac:dyDescent="0.35">
      <c r="A647" s="16" t="s">
        <v>81</v>
      </c>
      <c r="B647" s="16" t="s">
        <v>134</v>
      </c>
      <c r="C647">
        <v>2020</v>
      </c>
      <c r="D647">
        <v>46.41</v>
      </c>
      <c r="E647" t="str">
        <f>IF(_2[[#This Row],[Year]]=2000,_2[[#This Row],[Share (%)]],"")</f>
        <v/>
      </c>
      <c r="F647" s="16" cm="1">
        <f t="array" ref="F647">D647 - _xlfn.XLOOKUP(A647&amp;2000, A:A&amp;C:C, D:D, "No 2000 data")</f>
        <v>25.479999999999997</v>
      </c>
    </row>
    <row r="648" spans="1:6" x14ac:dyDescent="0.35">
      <c r="A648" s="16" t="s">
        <v>81</v>
      </c>
      <c r="B648" s="16" t="s">
        <v>134</v>
      </c>
      <c r="C648">
        <v>2021</v>
      </c>
      <c r="D648">
        <v>47.96</v>
      </c>
      <c r="E648" t="str">
        <f>IF(_2[[#This Row],[Year]]=2000,_2[[#This Row],[Share (%)]],"")</f>
        <v/>
      </c>
      <c r="F648" s="16" cm="1">
        <f t="array" ref="F648">D648 - _xlfn.XLOOKUP(A648&amp;2000, A:A&amp;C:C, D:D, "No 2000 data")</f>
        <v>27.03</v>
      </c>
    </row>
    <row r="649" spans="1:6" x14ac:dyDescent="0.35">
      <c r="A649" s="16" t="s">
        <v>81</v>
      </c>
      <c r="B649" s="16" t="s">
        <v>134</v>
      </c>
      <c r="C649">
        <v>2022</v>
      </c>
      <c r="D649">
        <v>53.78</v>
      </c>
      <c r="E649" t="str">
        <f>IF(_2[[#This Row],[Year]]=2000,_2[[#This Row],[Share (%)]],"")</f>
        <v/>
      </c>
      <c r="F649" s="16" cm="1">
        <f t="array" ref="F649">D649 - _xlfn.XLOOKUP(A649&amp;2000, A:A&amp;C:C, D:D, "No 2000 data")</f>
        <v>32.85</v>
      </c>
    </row>
    <row r="650" spans="1:6" x14ac:dyDescent="0.35">
      <c r="A650" s="16" t="s">
        <v>81</v>
      </c>
      <c r="B650" s="16" t="s">
        <v>134</v>
      </c>
      <c r="C650">
        <v>2023</v>
      </c>
      <c r="D650">
        <v>49.31</v>
      </c>
      <c r="E650" t="str">
        <f>IF(_2[[#This Row],[Year]]=2000,_2[[#This Row],[Share (%)]],"")</f>
        <v/>
      </c>
      <c r="F650" s="16" cm="1">
        <f t="array" ref="F650">D650 - _xlfn.XLOOKUP(A650&amp;2000, A:A&amp;C:C, D:D, "No 2000 data")</f>
        <v>28.380000000000003</v>
      </c>
    </row>
    <row r="651" spans="1:6" x14ac:dyDescent="0.35">
      <c r="A651" s="16" t="s">
        <v>81</v>
      </c>
      <c r="B651" s="16" t="s">
        <v>134</v>
      </c>
      <c r="C651">
        <v>2024</v>
      </c>
      <c r="D651">
        <v>51.02</v>
      </c>
      <c r="E651" t="str">
        <f>IF(_2[[#This Row],[Year]]=2000,_2[[#This Row],[Share (%)]],"")</f>
        <v/>
      </c>
      <c r="F651" s="16" cm="1">
        <f t="array" ref="F651">D651 - _xlfn.XLOOKUP(A651&amp;2000, A:A&amp;C:C, D:D, "No 2000 data")</f>
        <v>30.090000000000003</v>
      </c>
    </row>
    <row r="652" spans="1:6" hidden="1" x14ac:dyDescent="0.35">
      <c r="A652" s="16" t="s">
        <v>85</v>
      </c>
      <c r="B652" s="16" t="s">
        <v>134</v>
      </c>
      <c r="C652">
        <v>2000</v>
      </c>
      <c r="D652" t="s">
        <v>137</v>
      </c>
      <c r="E652" t="str">
        <f>IF(_2[[#This Row],[Year]]=2000,_2[[#This Row],[Share (%)]],"")</f>
        <v>-</v>
      </c>
      <c r="F652" s="16" t="e" cm="1">
        <f t="array" ref="F652">D652 - _xlfn.XLOOKUP(A652&amp;2000, A:A&amp;C:C, D:D, "No 2000 data")</f>
        <v>#VALUE!</v>
      </c>
    </row>
    <row r="653" spans="1:6" hidden="1" x14ac:dyDescent="0.35">
      <c r="A653" s="16" t="s">
        <v>85</v>
      </c>
      <c r="B653" s="16" t="s">
        <v>134</v>
      </c>
      <c r="C653">
        <v>2001</v>
      </c>
      <c r="D653" t="s">
        <v>137</v>
      </c>
      <c r="E653" t="str">
        <f>IF(_2[[#This Row],[Year]]=2000,_2[[#This Row],[Share (%)]],"")</f>
        <v/>
      </c>
      <c r="F653" s="16" t="e" cm="1">
        <f t="array" ref="F653">D653 - _xlfn.XLOOKUP(A653&amp;2000, A:A&amp;C:C, D:D, "No 2000 data")</f>
        <v>#VALUE!</v>
      </c>
    </row>
    <row r="654" spans="1:6" hidden="1" x14ac:dyDescent="0.35">
      <c r="A654" s="16" t="s">
        <v>85</v>
      </c>
      <c r="B654" s="16" t="s">
        <v>134</v>
      </c>
      <c r="C654">
        <v>2002</v>
      </c>
      <c r="D654">
        <v>0</v>
      </c>
      <c r="E654" t="str">
        <f>IF(_2[[#This Row],[Year]]=2000,_2[[#This Row],[Share (%)]],"")</f>
        <v/>
      </c>
      <c r="F654" s="16" t="e" cm="1">
        <f t="array" ref="F654">D654 - _xlfn.XLOOKUP(A654&amp;2000, A:A&amp;C:C, D:D, "No 2000 data")</f>
        <v>#VALUE!</v>
      </c>
    </row>
    <row r="655" spans="1:6" hidden="1" x14ac:dyDescent="0.35">
      <c r="A655" s="16" t="s">
        <v>85</v>
      </c>
      <c r="B655" s="16" t="s">
        <v>134</v>
      </c>
      <c r="C655">
        <v>2003</v>
      </c>
      <c r="D655">
        <v>0</v>
      </c>
      <c r="E655" t="str">
        <f>IF(_2[[#This Row],[Year]]=2000,_2[[#This Row],[Share (%)]],"")</f>
        <v/>
      </c>
      <c r="F655" s="16" t="e" cm="1">
        <f t="array" ref="F655">D655 - _xlfn.XLOOKUP(A655&amp;2000, A:A&amp;C:C, D:D, "No 2000 data")</f>
        <v>#VALUE!</v>
      </c>
    </row>
    <row r="656" spans="1:6" hidden="1" x14ac:dyDescent="0.35">
      <c r="A656" s="16" t="s">
        <v>85</v>
      </c>
      <c r="B656" s="16" t="s">
        <v>134</v>
      </c>
      <c r="C656">
        <v>2004</v>
      </c>
      <c r="D656">
        <v>0</v>
      </c>
      <c r="E656" t="str">
        <f>IF(_2[[#This Row],[Year]]=2000,_2[[#This Row],[Share (%)]],"")</f>
        <v/>
      </c>
      <c r="F656" s="16" t="e" cm="1">
        <f t="array" ref="F656">D656 - _xlfn.XLOOKUP(A656&amp;2000, A:A&amp;C:C, D:D, "No 2000 data")</f>
        <v>#VALUE!</v>
      </c>
    </row>
    <row r="657" spans="1:6" hidden="1" x14ac:dyDescent="0.35">
      <c r="A657" s="16" t="s">
        <v>85</v>
      </c>
      <c r="B657" s="16" t="s">
        <v>134</v>
      </c>
      <c r="C657">
        <v>2005</v>
      </c>
      <c r="D657">
        <v>0</v>
      </c>
      <c r="E657" t="str">
        <f>IF(_2[[#This Row],[Year]]=2000,_2[[#This Row],[Share (%)]],"")</f>
        <v/>
      </c>
      <c r="F657" s="16" t="e" cm="1">
        <f t="array" ref="F657">D657 - _xlfn.XLOOKUP(A657&amp;2000, A:A&amp;C:C, D:D, "No 2000 data")</f>
        <v>#VALUE!</v>
      </c>
    </row>
    <row r="658" spans="1:6" hidden="1" x14ac:dyDescent="0.35">
      <c r="A658" s="16" t="s">
        <v>85</v>
      </c>
      <c r="B658" s="16" t="s">
        <v>134</v>
      </c>
      <c r="C658">
        <v>2006</v>
      </c>
      <c r="D658">
        <v>0</v>
      </c>
      <c r="E658" t="str">
        <f>IF(_2[[#This Row],[Year]]=2000,_2[[#This Row],[Share (%)]],"")</f>
        <v/>
      </c>
      <c r="F658" s="16" t="e" cm="1">
        <f t="array" ref="F658">D658 - _xlfn.XLOOKUP(A658&amp;2000, A:A&amp;C:C, D:D, "No 2000 data")</f>
        <v>#VALUE!</v>
      </c>
    </row>
    <row r="659" spans="1:6" hidden="1" x14ac:dyDescent="0.35">
      <c r="A659" s="16" t="s">
        <v>85</v>
      </c>
      <c r="B659" s="16" t="s">
        <v>134</v>
      </c>
      <c r="C659">
        <v>2007</v>
      </c>
      <c r="D659">
        <v>0</v>
      </c>
      <c r="E659" t="str">
        <f>IF(_2[[#This Row],[Year]]=2000,_2[[#This Row],[Share (%)]],"")</f>
        <v/>
      </c>
      <c r="F659" s="16" t="e" cm="1">
        <f t="array" ref="F659">D659 - _xlfn.XLOOKUP(A659&amp;2000, A:A&amp;C:C, D:D, "No 2000 data")</f>
        <v>#VALUE!</v>
      </c>
    </row>
    <row r="660" spans="1:6" hidden="1" x14ac:dyDescent="0.35">
      <c r="A660" s="16" t="s">
        <v>85</v>
      </c>
      <c r="B660" s="16" t="s">
        <v>134</v>
      </c>
      <c r="C660">
        <v>2008</v>
      </c>
      <c r="D660">
        <v>0</v>
      </c>
      <c r="E660" t="str">
        <f>IF(_2[[#This Row],[Year]]=2000,_2[[#This Row],[Share (%)]],"")</f>
        <v/>
      </c>
      <c r="F660" s="16" t="e" cm="1">
        <f t="array" ref="F660">D660 - _xlfn.XLOOKUP(A660&amp;2000, A:A&amp;C:C, D:D, "No 2000 data")</f>
        <v>#VALUE!</v>
      </c>
    </row>
    <row r="661" spans="1:6" hidden="1" x14ac:dyDescent="0.35">
      <c r="A661" s="16" t="s">
        <v>85</v>
      </c>
      <c r="B661" s="16" t="s">
        <v>134</v>
      </c>
      <c r="C661">
        <v>2009</v>
      </c>
      <c r="D661">
        <v>0</v>
      </c>
      <c r="E661" t="str">
        <f>IF(_2[[#This Row],[Year]]=2000,_2[[#This Row],[Share (%)]],"")</f>
        <v/>
      </c>
      <c r="F661" s="16" t="e" cm="1">
        <f t="array" ref="F661">D661 - _xlfn.XLOOKUP(A661&amp;2000, A:A&amp;C:C, D:D, "No 2000 data")</f>
        <v>#VALUE!</v>
      </c>
    </row>
    <row r="662" spans="1:6" hidden="1" x14ac:dyDescent="0.35">
      <c r="A662" s="16" t="s">
        <v>85</v>
      </c>
      <c r="B662" s="16" t="s">
        <v>134</v>
      </c>
      <c r="C662">
        <v>2010</v>
      </c>
      <c r="D662">
        <v>0</v>
      </c>
      <c r="E662" t="str">
        <f>IF(_2[[#This Row],[Year]]=2000,_2[[#This Row],[Share (%)]],"")</f>
        <v/>
      </c>
      <c r="F662" s="16" t="e" cm="1">
        <f t="array" ref="F662">D662 - _xlfn.XLOOKUP(A662&amp;2000, A:A&amp;C:C, D:D, "No 2000 data")</f>
        <v>#VALUE!</v>
      </c>
    </row>
    <row r="663" spans="1:6" hidden="1" x14ac:dyDescent="0.35">
      <c r="A663" s="16" t="s">
        <v>85</v>
      </c>
      <c r="B663" s="16" t="s">
        <v>134</v>
      </c>
      <c r="C663">
        <v>2011</v>
      </c>
      <c r="D663">
        <v>0</v>
      </c>
      <c r="E663" t="str">
        <f>IF(_2[[#This Row],[Year]]=2000,_2[[#This Row],[Share (%)]],"")</f>
        <v/>
      </c>
      <c r="F663" s="16" t="e" cm="1">
        <f t="array" ref="F663">D663 - _xlfn.XLOOKUP(A663&amp;2000, A:A&amp;C:C, D:D, "No 2000 data")</f>
        <v>#VALUE!</v>
      </c>
    </row>
    <row r="664" spans="1:6" hidden="1" x14ac:dyDescent="0.35">
      <c r="A664" s="16" t="s">
        <v>85</v>
      </c>
      <c r="B664" s="16" t="s">
        <v>134</v>
      </c>
      <c r="C664">
        <v>2012</v>
      </c>
      <c r="D664">
        <v>2.0299999999999998</v>
      </c>
      <c r="E664" t="str">
        <f>IF(_2[[#This Row],[Year]]=2000,_2[[#This Row],[Share (%)]],"")</f>
        <v/>
      </c>
      <c r="F664" s="16" t="e" cm="1">
        <f t="array" ref="F664">D664 - _xlfn.XLOOKUP(A664&amp;2000, A:A&amp;C:C, D:D, "No 2000 data")</f>
        <v>#VALUE!</v>
      </c>
    </row>
    <row r="665" spans="1:6" hidden="1" x14ac:dyDescent="0.35">
      <c r="A665" s="16" t="s">
        <v>85</v>
      </c>
      <c r="B665" s="16" t="s">
        <v>134</v>
      </c>
      <c r="C665">
        <v>2013</v>
      </c>
      <c r="D665">
        <v>9.0500000000000007</v>
      </c>
      <c r="E665" t="str">
        <f>IF(_2[[#This Row],[Year]]=2000,_2[[#This Row],[Share (%)]],"")</f>
        <v/>
      </c>
      <c r="F665" s="16" t="e" cm="1">
        <f t="array" ref="F665">D665 - _xlfn.XLOOKUP(A665&amp;2000, A:A&amp;C:C, D:D, "No 2000 data")</f>
        <v>#VALUE!</v>
      </c>
    </row>
    <row r="666" spans="1:6" hidden="1" x14ac:dyDescent="0.35">
      <c r="A666" s="16" t="s">
        <v>85</v>
      </c>
      <c r="B666" s="16" t="s">
        <v>134</v>
      </c>
      <c r="C666">
        <v>2014</v>
      </c>
      <c r="D666">
        <v>8.8000000000000007</v>
      </c>
      <c r="E666" t="str">
        <f>IF(_2[[#This Row],[Year]]=2000,_2[[#This Row],[Share (%)]],"")</f>
        <v/>
      </c>
      <c r="F666" s="16" t="e" cm="1">
        <f t="array" ref="F666">D666 - _xlfn.XLOOKUP(A666&amp;2000, A:A&amp;C:C, D:D, "No 2000 data")</f>
        <v>#VALUE!</v>
      </c>
    </row>
    <row r="667" spans="1:6" hidden="1" x14ac:dyDescent="0.35">
      <c r="A667" s="16" t="s">
        <v>85</v>
      </c>
      <c r="B667" s="16" t="s">
        <v>134</v>
      </c>
      <c r="C667">
        <v>2015</v>
      </c>
      <c r="D667">
        <v>11.27</v>
      </c>
      <c r="E667" t="str">
        <f>IF(_2[[#This Row],[Year]]=2000,_2[[#This Row],[Share (%)]],"")</f>
        <v/>
      </c>
      <c r="F667" s="16" t="e" cm="1">
        <f t="array" ref="F667">D667 - _xlfn.XLOOKUP(A667&amp;2000, A:A&amp;C:C, D:D, "No 2000 data")</f>
        <v>#VALUE!</v>
      </c>
    </row>
    <row r="668" spans="1:6" hidden="1" x14ac:dyDescent="0.35">
      <c r="A668" s="16" t="s">
        <v>85</v>
      </c>
      <c r="B668" s="16" t="s">
        <v>134</v>
      </c>
      <c r="C668">
        <v>2016</v>
      </c>
      <c r="D668">
        <v>14.32</v>
      </c>
      <c r="E668" t="str">
        <f>IF(_2[[#This Row],[Year]]=2000,_2[[#This Row],[Share (%)]],"")</f>
        <v/>
      </c>
      <c r="F668" s="16" t="e" cm="1">
        <f t="array" ref="F668">D668 - _xlfn.XLOOKUP(A668&amp;2000, A:A&amp;C:C, D:D, "No 2000 data")</f>
        <v>#VALUE!</v>
      </c>
    </row>
    <row r="669" spans="1:6" hidden="1" x14ac:dyDescent="0.35">
      <c r="A669" s="16" t="s">
        <v>85</v>
      </c>
      <c r="B669" s="16" t="s">
        <v>134</v>
      </c>
      <c r="C669">
        <v>2017</v>
      </c>
      <c r="D669">
        <v>14.32</v>
      </c>
      <c r="E669" t="str">
        <f>IF(_2[[#This Row],[Year]]=2000,_2[[#This Row],[Share (%)]],"")</f>
        <v/>
      </c>
      <c r="F669" s="16" t="e" cm="1">
        <f t="array" ref="F669">D669 - _xlfn.XLOOKUP(A669&amp;2000, A:A&amp;C:C, D:D, "No 2000 data")</f>
        <v>#VALUE!</v>
      </c>
    </row>
    <row r="670" spans="1:6" hidden="1" x14ac:dyDescent="0.35">
      <c r="A670" s="16" t="s">
        <v>85</v>
      </c>
      <c r="B670" s="16" t="s">
        <v>134</v>
      </c>
      <c r="C670">
        <v>2018</v>
      </c>
      <c r="D670">
        <v>21.23</v>
      </c>
      <c r="E670" t="str">
        <f>IF(_2[[#This Row],[Year]]=2000,_2[[#This Row],[Share (%)]],"")</f>
        <v/>
      </c>
      <c r="F670" s="16" t="e" cm="1">
        <f t="array" ref="F670">D670 - _xlfn.XLOOKUP(A670&amp;2000, A:A&amp;C:C, D:D, "No 2000 data")</f>
        <v>#VALUE!</v>
      </c>
    </row>
    <row r="671" spans="1:6" hidden="1" x14ac:dyDescent="0.35">
      <c r="A671" s="16" t="s">
        <v>85</v>
      </c>
      <c r="B671" s="16" t="s">
        <v>134</v>
      </c>
      <c r="C671">
        <v>2019</v>
      </c>
      <c r="D671">
        <v>20.78</v>
      </c>
      <c r="E671" t="str">
        <f>IF(_2[[#This Row],[Year]]=2000,_2[[#This Row],[Share (%)]],"")</f>
        <v/>
      </c>
      <c r="F671" s="16" t="e" cm="1">
        <f t="array" ref="F671">D671 - _xlfn.XLOOKUP(A671&amp;2000, A:A&amp;C:C, D:D, "No 2000 data")</f>
        <v>#VALUE!</v>
      </c>
    </row>
    <row r="672" spans="1:6" hidden="1" x14ac:dyDescent="0.35">
      <c r="A672" s="16" t="s">
        <v>85</v>
      </c>
      <c r="B672" s="16" t="s">
        <v>134</v>
      </c>
      <c r="C672">
        <v>2020</v>
      </c>
      <c r="D672">
        <v>20.78</v>
      </c>
      <c r="E672" t="str">
        <f>IF(_2[[#This Row],[Year]]=2000,_2[[#This Row],[Share (%)]],"")</f>
        <v/>
      </c>
      <c r="F672" s="16" t="e" cm="1">
        <f t="array" ref="F672">D672 - _xlfn.XLOOKUP(A672&amp;2000, A:A&amp;C:C, D:D, "No 2000 data")</f>
        <v>#VALUE!</v>
      </c>
    </row>
    <row r="673" spans="1:6" hidden="1" x14ac:dyDescent="0.35">
      <c r="A673" s="16" t="s">
        <v>85</v>
      </c>
      <c r="B673" s="16" t="s">
        <v>134</v>
      </c>
      <c r="C673">
        <v>2021</v>
      </c>
      <c r="D673">
        <v>19.46</v>
      </c>
      <c r="E673" t="str">
        <f>IF(_2[[#This Row],[Year]]=2000,_2[[#This Row],[Share (%)]],"")</f>
        <v/>
      </c>
      <c r="F673" s="16" t="e" cm="1">
        <f t="array" ref="F673">D673 - _xlfn.XLOOKUP(A673&amp;2000, A:A&amp;C:C, D:D, "No 2000 data")</f>
        <v>#VALUE!</v>
      </c>
    </row>
    <row r="674" spans="1:6" hidden="1" x14ac:dyDescent="0.35">
      <c r="A674" s="16" t="s">
        <v>85</v>
      </c>
      <c r="B674" s="16" t="s">
        <v>134</v>
      </c>
      <c r="C674">
        <v>2022</v>
      </c>
      <c r="D674">
        <v>19.649999999999999</v>
      </c>
      <c r="E674" t="str">
        <f>IF(_2[[#This Row],[Year]]=2000,_2[[#This Row],[Share (%)]],"")</f>
        <v/>
      </c>
      <c r="F674" s="16" t="e" cm="1">
        <f t="array" ref="F674">D674 - _xlfn.XLOOKUP(A674&amp;2000, A:A&amp;C:C, D:D, "No 2000 data")</f>
        <v>#VALUE!</v>
      </c>
    </row>
    <row r="675" spans="1:6" hidden="1" x14ac:dyDescent="0.35">
      <c r="A675" s="16" t="s">
        <v>85</v>
      </c>
      <c r="B675" s="16" t="s">
        <v>134</v>
      </c>
      <c r="C675">
        <v>2023</v>
      </c>
      <c r="D675">
        <v>33.979999999999997</v>
      </c>
      <c r="E675" t="str">
        <f>IF(_2[[#This Row],[Year]]=2000,_2[[#This Row],[Share (%)]],"")</f>
        <v/>
      </c>
      <c r="F675" s="16" t="e" cm="1">
        <f t="array" ref="F675">D675 - _xlfn.XLOOKUP(A675&amp;2000, A:A&amp;C:C, D:D, "No 2000 data")</f>
        <v>#VALUE!</v>
      </c>
    </row>
    <row r="676" spans="1:6" hidden="1" x14ac:dyDescent="0.35">
      <c r="A676" s="16" t="s">
        <v>85</v>
      </c>
      <c r="B676" s="16" t="s">
        <v>134</v>
      </c>
      <c r="C676">
        <v>2024</v>
      </c>
      <c r="D676">
        <v>36.799999999999997</v>
      </c>
      <c r="E676" t="str">
        <f>IF(_2[[#This Row],[Year]]=2000,_2[[#This Row],[Share (%)]],"")</f>
        <v/>
      </c>
      <c r="F676" s="16" t="e" cm="1">
        <f t="array" ref="F676">D676 - _xlfn.XLOOKUP(A676&amp;2000, A:A&amp;C:C, D:D, "No 2000 data")</f>
        <v>#VALUE!</v>
      </c>
    </row>
    <row r="677" spans="1:6" x14ac:dyDescent="0.35">
      <c r="A677" s="16" t="s">
        <v>87</v>
      </c>
      <c r="B677" s="16" t="s">
        <v>134</v>
      </c>
      <c r="C677">
        <v>2000</v>
      </c>
      <c r="D677">
        <v>19.170000000000002</v>
      </c>
      <c r="E677">
        <f>IF(_2[[#This Row],[Year]]=2000,_2[[#This Row],[Share (%)]],"")</f>
        <v>19.170000000000002</v>
      </c>
      <c r="F677" s="16" cm="1">
        <f t="array" ref="F677">D677 - _xlfn.XLOOKUP(A677&amp;2000, A:A&amp;C:C, D:D, "No 2000 data")</f>
        <v>0</v>
      </c>
    </row>
    <row r="678" spans="1:6" x14ac:dyDescent="0.35">
      <c r="A678" s="16" t="s">
        <v>87</v>
      </c>
      <c r="B678" s="16" t="s">
        <v>134</v>
      </c>
      <c r="C678">
        <v>2001</v>
      </c>
      <c r="D678">
        <v>19.55</v>
      </c>
      <c r="E678" t="str">
        <f>IF(_2[[#This Row],[Year]]=2000,_2[[#This Row],[Share (%)]],"")</f>
        <v/>
      </c>
      <c r="F678" s="16" cm="1">
        <f t="array" ref="F678">D678 - _xlfn.XLOOKUP(A678&amp;2000, A:A&amp;C:C, D:D, "No 2000 data")</f>
        <v>0.37999999999999901</v>
      </c>
    </row>
    <row r="679" spans="1:6" x14ac:dyDescent="0.35">
      <c r="A679" s="16" t="s">
        <v>87</v>
      </c>
      <c r="B679" s="16" t="s">
        <v>134</v>
      </c>
      <c r="C679">
        <v>2002</v>
      </c>
      <c r="D679">
        <v>19.510000000000002</v>
      </c>
      <c r="E679" t="str">
        <f>IF(_2[[#This Row],[Year]]=2000,_2[[#This Row],[Share (%)]],"")</f>
        <v/>
      </c>
      <c r="F679" s="16" cm="1">
        <f t="array" ref="F679">D679 - _xlfn.XLOOKUP(A679&amp;2000, A:A&amp;C:C, D:D, "No 2000 data")</f>
        <v>0.33999999999999986</v>
      </c>
    </row>
    <row r="680" spans="1:6" x14ac:dyDescent="0.35">
      <c r="A680" s="16" t="s">
        <v>87</v>
      </c>
      <c r="B680" s="16" t="s">
        <v>134</v>
      </c>
      <c r="C680">
        <v>2003</v>
      </c>
      <c r="D680">
        <v>19.36</v>
      </c>
      <c r="E680" t="str">
        <f>IF(_2[[#This Row],[Year]]=2000,_2[[#This Row],[Share (%)]],"")</f>
        <v/>
      </c>
      <c r="F680" s="16" cm="1">
        <f t="array" ref="F680">D680 - _xlfn.XLOOKUP(A680&amp;2000, A:A&amp;C:C, D:D, "No 2000 data")</f>
        <v>0.18999999999999773</v>
      </c>
    </row>
    <row r="681" spans="1:6" x14ac:dyDescent="0.35">
      <c r="A681" s="16" t="s">
        <v>87</v>
      </c>
      <c r="B681" s="16" t="s">
        <v>134</v>
      </c>
      <c r="C681">
        <v>2004</v>
      </c>
      <c r="D681">
        <v>19.239999999999998</v>
      </c>
      <c r="E681" t="str">
        <f>IF(_2[[#This Row],[Year]]=2000,_2[[#This Row],[Share (%)]],"")</f>
        <v/>
      </c>
      <c r="F681" s="16" cm="1">
        <f t="array" ref="F681">D681 - _xlfn.XLOOKUP(A681&amp;2000, A:A&amp;C:C, D:D, "No 2000 data")</f>
        <v>6.9999999999996732E-2</v>
      </c>
    </row>
    <row r="682" spans="1:6" x14ac:dyDescent="0.35">
      <c r="A682" s="16" t="s">
        <v>87</v>
      </c>
      <c r="B682" s="16" t="s">
        <v>134</v>
      </c>
      <c r="C682">
        <v>2005</v>
      </c>
      <c r="D682">
        <v>27.86</v>
      </c>
      <c r="E682" t="str">
        <f>IF(_2[[#This Row],[Year]]=2000,_2[[#This Row],[Share (%)]],"")</f>
        <v/>
      </c>
      <c r="F682" s="16" cm="1">
        <f t="array" ref="F682">D682 - _xlfn.XLOOKUP(A682&amp;2000, A:A&amp;C:C, D:D, "No 2000 data")</f>
        <v>8.6899999999999977</v>
      </c>
    </row>
    <row r="683" spans="1:6" x14ac:dyDescent="0.35">
      <c r="A683" s="16" t="s">
        <v>87</v>
      </c>
      <c r="B683" s="16" t="s">
        <v>134</v>
      </c>
      <c r="C683">
        <v>2006</v>
      </c>
      <c r="D683">
        <v>18.350000000000001</v>
      </c>
      <c r="E683" t="str">
        <f>IF(_2[[#This Row],[Year]]=2000,_2[[#This Row],[Share (%)]],"")</f>
        <v/>
      </c>
      <c r="F683" s="16" cm="1">
        <f t="array" ref="F683">D683 - _xlfn.XLOOKUP(A683&amp;2000, A:A&amp;C:C, D:D, "No 2000 data")</f>
        <v>-0.82000000000000028</v>
      </c>
    </row>
    <row r="684" spans="1:6" x14ac:dyDescent="0.35">
      <c r="A684" s="16" t="s">
        <v>87</v>
      </c>
      <c r="B684" s="16" t="s">
        <v>134</v>
      </c>
      <c r="C684">
        <v>2007</v>
      </c>
      <c r="D684">
        <v>18.739999999999998</v>
      </c>
      <c r="E684" t="str">
        <f>IF(_2[[#This Row],[Year]]=2000,_2[[#This Row],[Share (%)]],"")</f>
        <v/>
      </c>
      <c r="F684" s="16" cm="1">
        <f t="array" ref="F684">D684 - _xlfn.XLOOKUP(A684&amp;2000, A:A&amp;C:C, D:D, "No 2000 data")</f>
        <v>-0.43000000000000327</v>
      </c>
    </row>
    <row r="685" spans="1:6" x14ac:dyDescent="0.35">
      <c r="A685" s="16" t="s">
        <v>87</v>
      </c>
      <c r="B685" s="16" t="s">
        <v>134</v>
      </c>
      <c r="C685">
        <v>2008</v>
      </c>
      <c r="D685">
        <v>18.489999999999998</v>
      </c>
      <c r="E685" t="str">
        <f>IF(_2[[#This Row],[Year]]=2000,_2[[#This Row],[Share (%)]],"")</f>
        <v/>
      </c>
      <c r="F685" s="16" cm="1">
        <f t="array" ref="F685">D685 - _xlfn.XLOOKUP(A685&amp;2000, A:A&amp;C:C, D:D, "No 2000 data")</f>
        <v>-0.68000000000000327</v>
      </c>
    </row>
    <row r="686" spans="1:6" x14ac:dyDescent="0.35">
      <c r="A686" s="16" t="s">
        <v>87</v>
      </c>
      <c r="B686" s="16" t="s">
        <v>134</v>
      </c>
      <c r="C686">
        <v>2009</v>
      </c>
      <c r="D686">
        <v>21.86</v>
      </c>
      <c r="E686" t="str">
        <f>IF(_2[[#This Row],[Year]]=2000,_2[[#This Row],[Share (%)]],"")</f>
        <v/>
      </c>
      <c r="F686" s="16" cm="1">
        <f t="array" ref="F686">D686 - _xlfn.XLOOKUP(A686&amp;2000, A:A&amp;C:C, D:D, "No 2000 data")</f>
        <v>2.6899999999999977</v>
      </c>
    </row>
    <row r="687" spans="1:6" x14ac:dyDescent="0.35">
      <c r="A687" s="16" t="s">
        <v>87</v>
      </c>
      <c r="B687" s="16" t="s">
        <v>134</v>
      </c>
      <c r="C687">
        <v>2010</v>
      </c>
      <c r="D687">
        <v>21.1</v>
      </c>
      <c r="E687" t="str">
        <f>IF(_2[[#This Row],[Year]]=2000,_2[[#This Row],[Share (%)]],"")</f>
        <v/>
      </c>
      <c r="F687" s="16" cm="1">
        <f t="array" ref="F687">D687 - _xlfn.XLOOKUP(A687&amp;2000, A:A&amp;C:C, D:D, "No 2000 data")</f>
        <v>1.9299999999999997</v>
      </c>
    </row>
    <row r="688" spans="1:6" x14ac:dyDescent="0.35">
      <c r="A688" s="16" t="s">
        <v>87</v>
      </c>
      <c r="B688" s="16" t="s">
        <v>134</v>
      </c>
      <c r="C688">
        <v>2011</v>
      </c>
      <c r="D688">
        <v>20.29</v>
      </c>
      <c r="E688" t="str">
        <f>IF(_2[[#This Row],[Year]]=2000,_2[[#This Row],[Share (%)]],"")</f>
        <v/>
      </c>
      <c r="F688" s="16" cm="1">
        <f t="array" ref="F688">D688 - _xlfn.XLOOKUP(A688&amp;2000, A:A&amp;C:C, D:D, "No 2000 data")</f>
        <v>1.1199999999999974</v>
      </c>
    </row>
    <row r="689" spans="1:6" x14ac:dyDescent="0.35">
      <c r="A689" s="16" t="s">
        <v>87</v>
      </c>
      <c r="B689" s="16" t="s">
        <v>134</v>
      </c>
      <c r="C689">
        <v>2012</v>
      </c>
      <c r="D689">
        <v>18.350000000000001</v>
      </c>
      <c r="E689" t="str">
        <f>IF(_2[[#This Row],[Year]]=2000,_2[[#This Row],[Share (%)]],"")</f>
        <v/>
      </c>
      <c r="F689" s="16" cm="1">
        <f t="array" ref="F689">D689 - _xlfn.XLOOKUP(A689&amp;2000, A:A&amp;C:C, D:D, "No 2000 data")</f>
        <v>-0.82000000000000028</v>
      </c>
    </row>
    <row r="690" spans="1:6" x14ac:dyDescent="0.35">
      <c r="A690" s="16" t="s">
        <v>87</v>
      </c>
      <c r="B690" s="16" t="s">
        <v>134</v>
      </c>
      <c r="C690">
        <v>2013</v>
      </c>
      <c r="D690">
        <v>18.73</v>
      </c>
      <c r="E690" t="str">
        <f>IF(_2[[#This Row],[Year]]=2000,_2[[#This Row],[Share (%)]],"")</f>
        <v/>
      </c>
      <c r="F690" s="16" cm="1">
        <f t="array" ref="F690">D690 - _xlfn.XLOOKUP(A690&amp;2000, A:A&amp;C:C, D:D, "No 2000 data")</f>
        <v>-0.44000000000000128</v>
      </c>
    </row>
    <row r="691" spans="1:6" x14ac:dyDescent="0.35">
      <c r="A691" s="16" t="s">
        <v>87</v>
      </c>
      <c r="B691" s="16" t="s">
        <v>134</v>
      </c>
      <c r="C691">
        <v>2014</v>
      </c>
      <c r="D691">
        <v>18.96</v>
      </c>
      <c r="E691" t="str">
        <f>IF(_2[[#This Row],[Year]]=2000,_2[[#This Row],[Share (%)]],"")</f>
        <v/>
      </c>
      <c r="F691" s="16" cm="1">
        <f t="array" ref="F691">D691 - _xlfn.XLOOKUP(A691&amp;2000, A:A&amp;C:C, D:D, "No 2000 data")</f>
        <v>-0.21000000000000085</v>
      </c>
    </row>
    <row r="692" spans="1:6" x14ac:dyDescent="0.35">
      <c r="A692" s="16" t="s">
        <v>87</v>
      </c>
      <c r="B692" s="16" t="s">
        <v>134</v>
      </c>
      <c r="C692">
        <v>2015</v>
      </c>
      <c r="D692">
        <v>21.67</v>
      </c>
      <c r="E692" t="str">
        <f>IF(_2[[#This Row],[Year]]=2000,_2[[#This Row],[Share (%)]],"")</f>
        <v/>
      </c>
      <c r="F692" s="16" cm="1">
        <f t="array" ref="F692">D692 - _xlfn.XLOOKUP(A692&amp;2000, A:A&amp;C:C, D:D, "No 2000 data")</f>
        <v>2.5</v>
      </c>
    </row>
    <row r="693" spans="1:6" x14ac:dyDescent="0.35">
      <c r="A693" s="16" t="s">
        <v>87</v>
      </c>
      <c r="B693" s="16" t="s">
        <v>134</v>
      </c>
      <c r="C693">
        <v>2016</v>
      </c>
      <c r="D693">
        <v>22.66</v>
      </c>
      <c r="E693" t="str">
        <f>IF(_2[[#This Row],[Year]]=2000,_2[[#This Row],[Share (%)]],"")</f>
        <v/>
      </c>
      <c r="F693" s="16" cm="1">
        <f t="array" ref="F693">D693 - _xlfn.XLOOKUP(A693&amp;2000, A:A&amp;C:C, D:D, "No 2000 data")</f>
        <v>3.4899999999999984</v>
      </c>
    </row>
    <row r="694" spans="1:6" x14ac:dyDescent="0.35">
      <c r="A694" s="16" t="s">
        <v>87</v>
      </c>
      <c r="B694" s="16" t="s">
        <v>134</v>
      </c>
      <c r="C694">
        <v>2017</v>
      </c>
      <c r="D694">
        <v>21.52</v>
      </c>
      <c r="E694" t="str">
        <f>IF(_2[[#This Row],[Year]]=2000,_2[[#This Row],[Share (%)]],"")</f>
        <v/>
      </c>
      <c r="F694" s="16" cm="1">
        <f t="array" ref="F694">D694 - _xlfn.XLOOKUP(A694&amp;2000, A:A&amp;C:C, D:D, "No 2000 data")</f>
        <v>2.3499999999999979</v>
      </c>
    </row>
    <row r="695" spans="1:6" x14ac:dyDescent="0.35">
      <c r="A695" s="16" t="s">
        <v>87</v>
      </c>
      <c r="B695" s="16" t="s">
        <v>134</v>
      </c>
      <c r="C695">
        <v>2018</v>
      </c>
      <c r="D695">
        <v>27.11</v>
      </c>
      <c r="E695" t="str">
        <f>IF(_2[[#This Row],[Year]]=2000,_2[[#This Row],[Share (%)]],"")</f>
        <v/>
      </c>
      <c r="F695" s="16" cm="1">
        <f t="array" ref="F695">D695 - _xlfn.XLOOKUP(A695&amp;2000, A:A&amp;C:C, D:D, "No 2000 data")</f>
        <v>7.9399999999999977</v>
      </c>
    </row>
    <row r="696" spans="1:6" x14ac:dyDescent="0.35">
      <c r="A696" s="16" t="s">
        <v>87</v>
      </c>
      <c r="B696" s="16" t="s">
        <v>134</v>
      </c>
      <c r="C696">
        <v>2019</v>
      </c>
      <c r="D696">
        <v>29.11</v>
      </c>
      <c r="E696" t="str">
        <f>IF(_2[[#This Row],[Year]]=2000,_2[[#This Row],[Share (%)]],"")</f>
        <v/>
      </c>
      <c r="F696" s="16" cm="1">
        <f t="array" ref="F696">D696 - _xlfn.XLOOKUP(A696&amp;2000, A:A&amp;C:C, D:D, "No 2000 data")</f>
        <v>9.9399999999999977</v>
      </c>
    </row>
    <row r="697" spans="1:6" x14ac:dyDescent="0.35">
      <c r="A697" s="16" t="s">
        <v>87</v>
      </c>
      <c r="B697" s="16" t="s">
        <v>134</v>
      </c>
      <c r="C697">
        <v>2020</v>
      </c>
      <c r="D697">
        <v>29.77</v>
      </c>
      <c r="E697" t="str">
        <f>IF(_2[[#This Row],[Year]]=2000,_2[[#This Row],[Share (%)]],"")</f>
        <v/>
      </c>
      <c r="F697" s="16" cm="1">
        <f t="array" ref="F697">D697 - _xlfn.XLOOKUP(A697&amp;2000, A:A&amp;C:C, D:D, "No 2000 data")</f>
        <v>10.599999999999998</v>
      </c>
    </row>
    <row r="698" spans="1:6" x14ac:dyDescent="0.35">
      <c r="A698" s="16" t="s">
        <v>87</v>
      </c>
      <c r="B698" s="16" t="s">
        <v>134</v>
      </c>
      <c r="C698">
        <v>2021</v>
      </c>
      <c r="D698">
        <v>29.99</v>
      </c>
      <c r="E698" t="str">
        <f>IF(_2[[#This Row],[Year]]=2000,_2[[#This Row],[Share (%)]],"")</f>
        <v/>
      </c>
      <c r="F698" s="16" cm="1">
        <f t="array" ref="F698">D698 - _xlfn.XLOOKUP(A698&amp;2000, A:A&amp;C:C, D:D, "No 2000 data")</f>
        <v>10.819999999999997</v>
      </c>
    </row>
    <row r="699" spans="1:6" x14ac:dyDescent="0.35">
      <c r="A699" s="16" t="s">
        <v>87</v>
      </c>
      <c r="B699" s="16" t="s">
        <v>134</v>
      </c>
      <c r="C699">
        <v>2022</v>
      </c>
      <c r="D699">
        <v>29.83</v>
      </c>
      <c r="E699" t="str">
        <f>IF(_2[[#This Row],[Year]]=2000,_2[[#This Row],[Share (%)]],"")</f>
        <v/>
      </c>
      <c r="F699" s="16" cm="1">
        <f t="array" ref="F699">D699 - _xlfn.XLOOKUP(A699&amp;2000, A:A&amp;C:C, D:D, "No 2000 data")</f>
        <v>10.659999999999997</v>
      </c>
    </row>
    <row r="700" spans="1:6" x14ac:dyDescent="0.35">
      <c r="A700" s="16" t="s">
        <v>87</v>
      </c>
      <c r="B700" s="16" t="s">
        <v>134</v>
      </c>
      <c r="C700">
        <v>2023</v>
      </c>
      <c r="D700">
        <v>31.05</v>
      </c>
      <c r="E700" t="str">
        <f>IF(_2[[#This Row],[Year]]=2000,_2[[#This Row],[Share (%)]],"")</f>
        <v/>
      </c>
      <c r="F700" s="16" cm="1">
        <f t="array" ref="F700">D700 - _xlfn.XLOOKUP(A700&amp;2000, A:A&amp;C:C, D:D, "No 2000 data")</f>
        <v>11.879999999999999</v>
      </c>
    </row>
    <row r="701" spans="1:6" x14ac:dyDescent="0.35">
      <c r="A701" s="16" t="s">
        <v>87</v>
      </c>
      <c r="B701" s="16" t="s">
        <v>134</v>
      </c>
      <c r="C701">
        <v>2024</v>
      </c>
      <c r="D701">
        <v>32.07</v>
      </c>
      <c r="E701" t="str">
        <f>IF(_2[[#This Row],[Year]]=2000,_2[[#This Row],[Share (%)]],"")</f>
        <v/>
      </c>
      <c r="F701" s="16" cm="1">
        <f t="array" ref="F701">D701 - _xlfn.XLOOKUP(A701&amp;2000, A:A&amp;C:C, D:D, "No 2000 data")</f>
        <v>12.899999999999999</v>
      </c>
    </row>
    <row r="702" spans="1:6" x14ac:dyDescent="0.35">
      <c r="A702" s="16" t="s">
        <v>77</v>
      </c>
      <c r="B702" s="16" t="s">
        <v>134</v>
      </c>
      <c r="C702">
        <v>2000</v>
      </c>
      <c r="D702">
        <v>27.92</v>
      </c>
      <c r="E702">
        <f>IF(_2[[#This Row],[Year]]=2000,_2[[#This Row],[Share (%)]],"")</f>
        <v>27.92</v>
      </c>
      <c r="F702" s="16" cm="1">
        <f t="array" ref="F702">D702 - _xlfn.XLOOKUP(A702&amp;2000, A:A&amp;C:C, D:D, "No 2000 data")</f>
        <v>0</v>
      </c>
    </row>
    <row r="703" spans="1:6" x14ac:dyDescent="0.35">
      <c r="A703" s="16" t="s">
        <v>77</v>
      </c>
      <c r="B703" s="16" t="s">
        <v>134</v>
      </c>
      <c r="C703">
        <v>2001</v>
      </c>
      <c r="D703">
        <v>27.93</v>
      </c>
      <c r="E703" t="str">
        <f>IF(_2[[#This Row],[Year]]=2000,_2[[#This Row],[Share (%)]],"")</f>
        <v/>
      </c>
      <c r="F703" s="16" cm="1">
        <f t="array" ref="F703">D703 - _xlfn.XLOOKUP(A703&amp;2000, A:A&amp;C:C, D:D, "No 2000 data")</f>
        <v>9.9999999999980105E-3</v>
      </c>
    </row>
    <row r="704" spans="1:6" x14ac:dyDescent="0.35">
      <c r="A704" s="16" t="s">
        <v>77</v>
      </c>
      <c r="B704" s="16" t="s">
        <v>134</v>
      </c>
      <c r="C704">
        <v>2002</v>
      </c>
      <c r="D704">
        <v>27.81</v>
      </c>
      <c r="E704" t="str">
        <f>IF(_2[[#This Row],[Year]]=2000,_2[[#This Row],[Share (%)]],"")</f>
        <v/>
      </c>
      <c r="F704" s="16" cm="1">
        <f t="array" ref="F704">D704 - _xlfn.XLOOKUP(A704&amp;2000, A:A&amp;C:C, D:D, "No 2000 data")</f>
        <v>-0.11000000000000298</v>
      </c>
    </row>
    <row r="705" spans="1:6" x14ac:dyDescent="0.35">
      <c r="A705" s="16" t="s">
        <v>77</v>
      </c>
      <c r="B705" s="16" t="s">
        <v>134</v>
      </c>
      <c r="C705">
        <v>2003</v>
      </c>
      <c r="D705">
        <v>29.39</v>
      </c>
      <c r="E705" t="str">
        <f>IF(_2[[#This Row],[Year]]=2000,_2[[#This Row],[Share (%)]],"")</f>
        <v/>
      </c>
      <c r="F705" s="16" cm="1">
        <f t="array" ref="F705">D705 - _xlfn.XLOOKUP(A705&amp;2000, A:A&amp;C:C, D:D, "No 2000 data")</f>
        <v>1.4699999999999989</v>
      </c>
    </row>
    <row r="706" spans="1:6" x14ac:dyDescent="0.35">
      <c r="A706" s="16" t="s">
        <v>77</v>
      </c>
      <c r="B706" s="16" t="s">
        <v>134</v>
      </c>
      <c r="C706">
        <v>2004</v>
      </c>
      <c r="D706">
        <v>28.69</v>
      </c>
      <c r="E706" t="str">
        <f>IF(_2[[#This Row],[Year]]=2000,_2[[#This Row],[Share (%)]],"")</f>
        <v/>
      </c>
      <c r="F706" s="16" cm="1">
        <f t="array" ref="F706">D706 - _xlfn.XLOOKUP(A706&amp;2000, A:A&amp;C:C, D:D, "No 2000 data")</f>
        <v>0.76999999999999957</v>
      </c>
    </row>
    <row r="707" spans="1:6" x14ac:dyDescent="0.35">
      <c r="A707" s="16" t="s">
        <v>77</v>
      </c>
      <c r="B707" s="16" t="s">
        <v>134</v>
      </c>
      <c r="C707">
        <v>2005</v>
      </c>
      <c r="D707">
        <v>25.34</v>
      </c>
      <c r="E707" t="str">
        <f>IF(_2[[#This Row],[Year]]=2000,_2[[#This Row],[Share (%)]],"")</f>
        <v/>
      </c>
      <c r="F707" s="16" cm="1">
        <f t="array" ref="F707">D707 - _xlfn.XLOOKUP(A707&amp;2000, A:A&amp;C:C, D:D, "No 2000 data")</f>
        <v>-2.5800000000000018</v>
      </c>
    </row>
    <row r="708" spans="1:6" x14ac:dyDescent="0.35">
      <c r="A708" s="16" t="s">
        <v>77</v>
      </c>
      <c r="B708" s="16" t="s">
        <v>134</v>
      </c>
      <c r="C708">
        <v>2006</v>
      </c>
      <c r="D708">
        <v>25.35</v>
      </c>
      <c r="E708" t="str">
        <f>IF(_2[[#This Row],[Year]]=2000,_2[[#This Row],[Share (%)]],"")</f>
        <v/>
      </c>
      <c r="F708" s="16" cm="1">
        <f t="array" ref="F708">D708 - _xlfn.XLOOKUP(A708&amp;2000, A:A&amp;C:C, D:D, "No 2000 data")</f>
        <v>-2.5700000000000003</v>
      </c>
    </row>
    <row r="709" spans="1:6" x14ac:dyDescent="0.35">
      <c r="A709" s="16" t="s">
        <v>77</v>
      </c>
      <c r="B709" s="16" t="s">
        <v>134</v>
      </c>
      <c r="C709">
        <v>2007</v>
      </c>
      <c r="D709">
        <v>26.21</v>
      </c>
      <c r="E709" t="str">
        <f>IF(_2[[#This Row],[Year]]=2000,_2[[#This Row],[Share (%)]],"")</f>
        <v/>
      </c>
      <c r="F709" s="16" cm="1">
        <f t="array" ref="F709">D709 - _xlfn.XLOOKUP(A709&amp;2000, A:A&amp;C:C, D:D, "No 2000 data")</f>
        <v>-1.7100000000000009</v>
      </c>
    </row>
    <row r="710" spans="1:6" x14ac:dyDescent="0.35">
      <c r="A710" s="16" t="s">
        <v>77</v>
      </c>
      <c r="B710" s="16" t="s">
        <v>134</v>
      </c>
      <c r="C710">
        <v>2008</v>
      </c>
      <c r="D710">
        <v>26.22</v>
      </c>
      <c r="E710" t="str">
        <f>IF(_2[[#This Row],[Year]]=2000,_2[[#This Row],[Share (%)]],"")</f>
        <v/>
      </c>
      <c r="F710" s="16" cm="1">
        <f t="array" ref="F710">D710 - _xlfn.XLOOKUP(A710&amp;2000, A:A&amp;C:C, D:D, "No 2000 data")</f>
        <v>-1.7000000000000028</v>
      </c>
    </row>
    <row r="711" spans="1:6" x14ac:dyDescent="0.35">
      <c r="A711" s="16" t="s">
        <v>77</v>
      </c>
      <c r="B711" s="16" t="s">
        <v>134</v>
      </c>
      <c r="C711">
        <v>2009</v>
      </c>
      <c r="D711">
        <v>24.7</v>
      </c>
      <c r="E711" t="str">
        <f>IF(_2[[#This Row],[Year]]=2000,_2[[#This Row],[Share (%)]],"")</f>
        <v/>
      </c>
      <c r="F711" s="16" cm="1">
        <f t="array" ref="F711">D711 - _xlfn.XLOOKUP(A711&amp;2000, A:A&amp;C:C, D:D, "No 2000 data")</f>
        <v>-3.2200000000000024</v>
      </c>
    </row>
    <row r="712" spans="1:6" x14ac:dyDescent="0.35">
      <c r="A712" s="16" t="s">
        <v>77</v>
      </c>
      <c r="B712" s="16" t="s">
        <v>134</v>
      </c>
      <c r="C712">
        <v>2010</v>
      </c>
      <c r="D712">
        <v>24.54</v>
      </c>
      <c r="E712" t="str">
        <f>IF(_2[[#This Row],[Year]]=2000,_2[[#This Row],[Share (%)]],"")</f>
        <v/>
      </c>
      <c r="F712" s="16" cm="1">
        <f t="array" ref="F712">D712 - _xlfn.XLOOKUP(A712&amp;2000, A:A&amp;C:C, D:D, "No 2000 data")</f>
        <v>-3.3800000000000026</v>
      </c>
    </row>
    <row r="713" spans="1:6" x14ac:dyDescent="0.35">
      <c r="A713" s="16" t="s">
        <v>77</v>
      </c>
      <c r="B713" s="16" t="s">
        <v>134</v>
      </c>
      <c r="C713">
        <v>2011</v>
      </c>
      <c r="D713">
        <v>24.95</v>
      </c>
      <c r="E713" t="str">
        <f>IF(_2[[#This Row],[Year]]=2000,_2[[#This Row],[Share (%)]],"")</f>
        <v/>
      </c>
      <c r="F713" s="16" cm="1">
        <f t="array" ref="F713">D713 - _xlfn.XLOOKUP(A713&amp;2000, A:A&amp;C:C, D:D, "No 2000 data")</f>
        <v>-2.9700000000000024</v>
      </c>
    </row>
    <row r="714" spans="1:6" x14ac:dyDescent="0.35">
      <c r="A714" s="16" t="s">
        <v>77</v>
      </c>
      <c r="B714" s="16" t="s">
        <v>134</v>
      </c>
      <c r="C714">
        <v>2012</v>
      </c>
      <c r="D714">
        <v>23.79</v>
      </c>
      <c r="E714" t="str">
        <f>IF(_2[[#This Row],[Year]]=2000,_2[[#This Row],[Share (%)]],"")</f>
        <v/>
      </c>
      <c r="F714" s="16" cm="1">
        <f t="array" ref="F714">D714 - _xlfn.XLOOKUP(A714&amp;2000, A:A&amp;C:C, D:D, "No 2000 data")</f>
        <v>-4.1300000000000026</v>
      </c>
    </row>
    <row r="715" spans="1:6" x14ac:dyDescent="0.35">
      <c r="A715" s="16" t="s">
        <v>77</v>
      </c>
      <c r="B715" s="16" t="s">
        <v>134</v>
      </c>
      <c r="C715">
        <v>2013</v>
      </c>
      <c r="D715">
        <v>24.95</v>
      </c>
      <c r="E715" t="str">
        <f>IF(_2[[#This Row],[Year]]=2000,_2[[#This Row],[Share (%)]],"")</f>
        <v/>
      </c>
      <c r="F715" s="16" cm="1">
        <f t="array" ref="F715">D715 - _xlfn.XLOOKUP(A715&amp;2000, A:A&amp;C:C, D:D, "No 2000 data")</f>
        <v>-2.9700000000000024</v>
      </c>
    </row>
    <row r="716" spans="1:6" x14ac:dyDescent="0.35">
      <c r="A716" s="16" t="s">
        <v>77</v>
      </c>
      <c r="B716" s="16" t="s">
        <v>134</v>
      </c>
      <c r="C716">
        <v>2014</v>
      </c>
      <c r="D716">
        <v>26.73</v>
      </c>
      <c r="E716" t="str">
        <f>IF(_2[[#This Row],[Year]]=2000,_2[[#This Row],[Share (%)]],"")</f>
        <v/>
      </c>
      <c r="F716" s="16" cm="1">
        <f t="array" ref="F716">D716 - _xlfn.XLOOKUP(A716&amp;2000, A:A&amp;C:C, D:D, "No 2000 data")</f>
        <v>-1.1900000000000013</v>
      </c>
    </row>
    <row r="717" spans="1:6" x14ac:dyDescent="0.35">
      <c r="A717" s="16" t="s">
        <v>77</v>
      </c>
      <c r="B717" s="16" t="s">
        <v>134</v>
      </c>
      <c r="C717">
        <v>2015</v>
      </c>
      <c r="D717">
        <v>28.2</v>
      </c>
      <c r="E717" t="str">
        <f>IF(_2[[#This Row],[Year]]=2000,_2[[#This Row],[Share (%)]],"")</f>
        <v/>
      </c>
      <c r="F717" s="16" cm="1">
        <f t="array" ref="F717">D717 - _xlfn.XLOOKUP(A717&amp;2000, A:A&amp;C:C, D:D, "No 2000 data")</f>
        <v>0.27999999999999758</v>
      </c>
    </row>
    <row r="718" spans="1:6" x14ac:dyDescent="0.35">
      <c r="A718" s="16" t="s">
        <v>77</v>
      </c>
      <c r="B718" s="16" t="s">
        <v>134</v>
      </c>
      <c r="C718">
        <v>2016</v>
      </c>
      <c r="D718">
        <v>28.9</v>
      </c>
      <c r="E718" t="str">
        <f>IF(_2[[#This Row],[Year]]=2000,_2[[#This Row],[Share (%)]],"")</f>
        <v/>
      </c>
      <c r="F718" s="16" cm="1">
        <f t="array" ref="F718">D718 - _xlfn.XLOOKUP(A718&amp;2000, A:A&amp;C:C, D:D, "No 2000 data")</f>
        <v>0.97999999999999687</v>
      </c>
    </row>
    <row r="719" spans="1:6" x14ac:dyDescent="0.35">
      <c r="A719" s="16" t="s">
        <v>77</v>
      </c>
      <c r="B719" s="16" t="s">
        <v>134</v>
      </c>
      <c r="C719">
        <v>2017</v>
      </c>
      <c r="D719">
        <v>28.68</v>
      </c>
      <c r="E719" t="str">
        <f>IF(_2[[#This Row],[Year]]=2000,_2[[#This Row],[Share (%)]],"")</f>
        <v/>
      </c>
      <c r="F719" s="16" cm="1">
        <f t="array" ref="F719">D719 - _xlfn.XLOOKUP(A719&amp;2000, A:A&amp;C:C, D:D, "No 2000 data")</f>
        <v>0.75999999999999801</v>
      </c>
    </row>
    <row r="720" spans="1:6" x14ac:dyDescent="0.35">
      <c r="A720" s="16" t="s">
        <v>77</v>
      </c>
      <c r="B720" s="16" t="s">
        <v>134</v>
      </c>
      <c r="C720">
        <v>2018</v>
      </c>
      <c r="D720">
        <v>29.82</v>
      </c>
      <c r="E720" t="str">
        <f>IF(_2[[#This Row],[Year]]=2000,_2[[#This Row],[Share (%)]],"")</f>
        <v/>
      </c>
      <c r="F720" s="16" cm="1">
        <f t="array" ref="F720">D720 - _xlfn.XLOOKUP(A720&amp;2000, A:A&amp;C:C, D:D, "No 2000 data")</f>
        <v>1.8999999999999986</v>
      </c>
    </row>
    <row r="721" spans="1:6" x14ac:dyDescent="0.35">
      <c r="A721" s="16" t="s">
        <v>77</v>
      </c>
      <c r="B721" s="16" t="s">
        <v>134</v>
      </c>
      <c r="C721">
        <v>2019</v>
      </c>
      <c r="D721">
        <v>30.54</v>
      </c>
      <c r="E721" t="str">
        <f>IF(_2[[#This Row],[Year]]=2000,_2[[#This Row],[Share (%)]],"")</f>
        <v/>
      </c>
      <c r="F721" s="16" cm="1">
        <f t="array" ref="F721">D721 - _xlfn.XLOOKUP(A721&amp;2000, A:A&amp;C:C, D:D, "No 2000 data")</f>
        <v>2.6199999999999974</v>
      </c>
    </row>
    <row r="722" spans="1:6" x14ac:dyDescent="0.35">
      <c r="A722" s="16" t="s">
        <v>77</v>
      </c>
      <c r="B722" s="16" t="s">
        <v>134</v>
      </c>
      <c r="C722">
        <v>2020</v>
      </c>
      <c r="D722">
        <v>33.03</v>
      </c>
      <c r="E722" t="str">
        <f>IF(_2[[#This Row],[Year]]=2000,_2[[#This Row],[Share (%)]],"")</f>
        <v/>
      </c>
      <c r="F722" s="16" cm="1">
        <f t="array" ref="F722">D722 - _xlfn.XLOOKUP(A722&amp;2000, A:A&amp;C:C, D:D, "No 2000 data")</f>
        <v>5.1099999999999994</v>
      </c>
    </row>
    <row r="723" spans="1:6" x14ac:dyDescent="0.35">
      <c r="A723" s="16" t="s">
        <v>77</v>
      </c>
      <c r="B723" s="16" t="s">
        <v>134</v>
      </c>
      <c r="C723">
        <v>2021</v>
      </c>
      <c r="D723">
        <v>33.06</v>
      </c>
      <c r="E723" t="str">
        <f>IF(_2[[#This Row],[Year]]=2000,_2[[#This Row],[Share (%)]],"")</f>
        <v/>
      </c>
      <c r="F723" s="16" cm="1">
        <f t="array" ref="F723">D723 - _xlfn.XLOOKUP(A723&amp;2000, A:A&amp;C:C, D:D, "No 2000 data")</f>
        <v>5.1400000000000006</v>
      </c>
    </row>
    <row r="724" spans="1:6" x14ac:dyDescent="0.35">
      <c r="A724" s="16" t="s">
        <v>77</v>
      </c>
      <c r="B724" s="16" t="s">
        <v>134</v>
      </c>
      <c r="C724">
        <v>2022</v>
      </c>
      <c r="D724">
        <v>34.28</v>
      </c>
      <c r="E724" t="str">
        <f>IF(_2[[#This Row],[Year]]=2000,_2[[#This Row],[Share (%)]],"")</f>
        <v/>
      </c>
      <c r="F724" s="16" cm="1">
        <f t="array" ref="F724">D724 - _xlfn.XLOOKUP(A724&amp;2000, A:A&amp;C:C, D:D, "No 2000 data")</f>
        <v>6.3599999999999994</v>
      </c>
    </row>
    <row r="725" spans="1:6" x14ac:dyDescent="0.35">
      <c r="A725" s="16" t="s">
        <v>77</v>
      </c>
      <c r="B725" s="16" t="s">
        <v>134</v>
      </c>
      <c r="C725">
        <v>2023</v>
      </c>
      <c r="D725">
        <v>36.869999999999997</v>
      </c>
      <c r="E725" t="str">
        <f>IF(_2[[#This Row],[Year]]=2000,_2[[#This Row],[Share (%)]],"")</f>
        <v/>
      </c>
      <c r="F725" s="16" cm="1">
        <f t="array" ref="F725">D725 - _xlfn.XLOOKUP(A725&amp;2000, A:A&amp;C:C, D:D, "No 2000 data")</f>
        <v>8.9499999999999957</v>
      </c>
    </row>
    <row r="726" spans="1:6" x14ac:dyDescent="0.35">
      <c r="A726" s="16" t="s">
        <v>77</v>
      </c>
      <c r="B726" s="16" t="s">
        <v>134</v>
      </c>
      <c r="C726">
        <v>2024</v>
      </c>
      <c r="D726">
        <v>38.659999999999997</v>
      </c>
      <c r="E726" t="str">
        <f>IF(_2[[#This Row],[Year]]=2000,_2[[#This Row],[Share (%)]],"")</f>
        <v/>
      </c>
      <c r="F726" s="16" cm="1">
        <f t="array" ref="F726">D726 - _xlfn.XLOOKUP(A726&amp;2000, A:A&amp;C:C, D:D, "No 2000 data")</f>
        <v>10.739999999999995</v>
      </c>
    </row>
    <row r="727" spans="1:6" x14ac:dyDescent="0.35">
      <c r="A727" s="16" t="s">
        <v>83</v>
      </c>
      <c r="B727" s="16" t="s">
        <v>134</v>
      </c>
      <c r="C727">
        <v>2000</v>
      </c>
      <c r="D727">
        <v>98.9</v>
      </c>
      <c r="E727">
        <f>IF(_2[[#This Row],[Year]]=2000,_2[[#This Row],[Share (%)]],"")</f>
        <v>98.9</v>
      </c>
      <c r="F727" s="16" cm="1">
        <f t="array" ref="F727">D727 - _xlfn.XLOOKUP(A727&amp;2000, A:A&amp;C:C, D:D, "No 2000 data")</f>
        <v>0</v>
      </c>
    </row>
    <row r="728" spans="1:6" x14ac:dyDescent="0.35">
      <c r="A728" s="16" t="s">
        <v>83</v>
      </c>
      <c r="B728" s="16" t="s">
        <v>134</v>
      </c>
      <c r="C728">
        <v>2001</v>
      </c>
      <c r="D728">
        <v>98.91</v>
      </c>
      <c r="E728" t="str">
        <f>IF(_2[[#This Row],[Year]]=2000,_2[[#This Row],[Share (%)]],"")</f>
        <v/>
      </c>
      <c r="F728" s="16" cm="1">
        <f t="array" ref="F728">D728 - _xlfn.XLOOKUP(A728&amp;2000, A:A&amp;C:C, D:D, "No 2000 data")</f>
        <v>9.9999999999909051E-3</v>
      </c>
    </row>
    <row r="729" spans="1:6" x14ac:dyDescent="0.35">
      <c r="A729" s="16" t="s">
        <v>83</v>
      </c>
      <c r="B729" s="16" t="s">
        <v>134</v>
      </c>
      <c r="C729">
        <v>2002</v>
      </c>
      <c r="D729">
        <v>98.84</v>
      </c>
      <c r="E729" t="str">
        <f>IF(_2[[#This Row],[Year]]=2000,_2[[#This Row],[Share (%)]],"")</f>
        <v/>
      </c>
      <c r="F729" s="16" cm="1">
        <f t="array" ref="F729">D729 - _xlfn.XLOOKUP(A729&amp;2000, A:A&amp;C:C, D:D, "No 2000 data")</f>
        <v>-6.0000000000002274E-2</v>
      </c>
    </row>
    <row r="730" spans="1:6" x14ac:dyDescent="0.35">
      <c r="A730" s="16" t="s">
        <v>83</v>
      </c>
      <c r="B730" s="16" t="s">
        <v>134</v>
      </c>
      <c r="C730">
        <v>2003</v>
      </c>
      <c r="D730">
        <v>98.78</v>
      </c>
      <c r="E730" t="str">
        <f>IF(_2[[#This Row],[Year]]=2000,_2[[#This Row],[Share (%)]],"")</f>
        <v/>
      </c>
      <c r="F730" s="16" cm="1">
        <f t="array" ref="F730">D730 - _xlfn.XLOOKUP(A730&amp;2000, A:A&amp;C:C, D:D, "No 2000 data")</f>
        <v>-0.12000000000000455</v>
      </c>
    </row>
    <row r="731" spans="1:6" x14ac:dyDescent="0.35">
      <c r="A731" s="16" t="s">
        <v>83</v>
      </c>
      <c r="B731" s="16" t="s">
        <v>134</v>
      </c>
      <c r="C731">
        <v>2004</v>
      </c>
      <c r="D731">
        <v>98.78</v>
      </c>
      <c r="E731" t="str">
        <f>IF(_2[[#This Row],[Year]]=2000,_2[[#This Row],[Share (%)]],"")</f>
        <v/>
      </c>
      <c r="F731" s="16" cm="1">
        <f t="array" ref="F731">D731 - _xlfn.XLOOKUP(A731&amp;2000, A:A&amp;C:C, D:D, "No 2000 data")</f>
        <v>-0.12000000000000455</v>
      </c>
    </row>
    <row r="732" spans="1:6" x14ac:dyDescent="0.35">
      <c r="A732" s="16" t="s">
        <v>83</v>
      </c>
      <c r="B732" s="16" t="s">
        <v>134</v>
      </c>
      <c r="C732">
        <v>2005</v>
      </c>
      <c r="D732">
        <v>98.78</v>
      </c>
      <c r="E732" t="str">
        <f>IF(_2[[#This Row],[Year]]=2000,_2[[#This Row],[Share (%)]],"")</f>
        <v/>
      </c>
      <c r="F732" s="16" cm="1">
        <f t="array" ref="F732">D732 - _xlfn.XLOOKUP(A732&amp;2000, A:A&amp;C:C, D:D, "No 2000 data")</f>
        <v>-0.12000000000000455</v>
      </c>
    </row>
    <row r="733" spans="1:6" x14ac:dyDescent="0.35">
      <c r="A733" s="16" t="s">
        <v>83</v>
      </c>
      <c r="B733" s="16" t="s">
        <v>134</v>
      </c>
      <c r="C733">
        <v>2006</v>
      </c>
      <c r="D733">
        <v>98.78</v>
      </c>
      <c r="E733" t="str">
        <f>IF(_2[[#This Row],[Year]]=2000,_2[[#This Row],[Share (%)]],"")</f>
        <v/>
      </c>
      <c r="F733" s="16" cm="1">
        <f t="array" ref="F733">D733 - _xlfn.XLOOKUP(A733&amp;2000, A:A&amp;C:C, D:D, "No 2000 data")</f>
        <v>-0.12000000000000455</v>
      </c>
    </row>
    <row r="734" spans="1:6" x14ac:dyDescent="0.35">
      <c r="A734" s="16" t="s">
        <v>83</v>
      </c>
      <c r="B734" s="16" t="s">
        <v>134</v>
      </c>
      <c r="C734">
        <v>2007</v>
      </c>
      <c r="D734">
        <v>98.23</v>
      </c>
      <c r="E734" t="str">
        <f>IF(_2[[#This Row],[Year]]=2000,_2[[#This Row],[Share (%)]],"")</f>
        <v/>
      </c>
      <c r="F734" s="16" cm="1">
        <f t="array" ref="F734">D734 - _xlfn.XLOOKUP(A734&amp;2000, A:A&amp;C:C, D:D, "No 2000 data")</f>
        <v>-0.67000000000000171</v>
      </c>
    </row>
    <row r="735" spans="1:6" x14ac:dyDescent="0.35">
      <c r="A735" s="16" t="s">
        <v>83</v>
      </c>
      <c r="B735" s="16" t="s">
        <v>134</v>
      </c>
      <c r="C735">
        <v>2008</v>
      </c>
      <c r="D735">
        <v>98.08</v>
      </c>
      <c r="E735" t="str">
        <f>IF(_2[[#This Row],[Year]]=2000,_2[[#This Row],[Share (%)]],"")</f>
        <v/>
      </c>
      <c r="F735" s="16" cm="1">
        <f t="array" ref="F735">D735 - _xlfn.XLOOKUP(A735&amp;2000, A:A&amp;C:C, D:D, "No 2000 data")</f>
        <v>-0.82000000000000739</v>
      </c>
    </row>
    <row r="736" spans="1:6" x14ac:dyDescent="0.35">
      <c r="A736" s="16" t="s">
        <v>83</v>
      </c>
      <c r="B736" s="16" t="s">
        <v>134</v>
      </c>
      <c r="C736">
        <v>2009</v>
      </c>
      <c r="D736">
        <v>98.08</v>
      </c>
      <c r="E736" t="str">
        <f>IF(_2[[#This Row],[Year]]=2000,_2[[#This Row],[Share (%)]],"")</f>
        <v/>
      </c>
      <c r="F736" s="16" cm="1">
        <f t="array" ref="F736">D736 - _xlfn.XLOOKUP(A736&amp;2000, A:A&amp;C:C, D:D, "No 2000 data")</f>
        <v>-0.82000000000000739</v>
      </c>
    </row>
    <row r="737" spans="1:6" x14ac:dyDescent="0.35">
      <c r="A737" s="16" t="s">
        <v>83</v>
      </c>
      <c r="B737" s="16" t="s">
        <v>134</v>
      </c>
      <c r="C737">
        <v>2010</v>
      </c>
      <c r="D737">
        <v>98.08</v>
      </c>
      <c r="E737" t="str">
        <f>IF(_2[[#This Row],[Year]]=2000,_2[[#This Row],[Share (%)]],"")</f>
        <v/>
      </c>
      <c r="F737" s="16" cm="1">
        <f t="array" ref="F737">D737 - _xlfn.XLOOKUP(A737&amp;2000, A:A&amp;C:C, D:D, "No 2000 data")</f>
        <v>-0.82000000000000739</v>
      </c>
    </row>
    <row r="738" spans="1:6" x14ac:dyDescent="0.35">
      <c r="A738" s="16" t="s">
        <v>83</v>
      </c>
      <c r="B738" s="16" t="s">
        <v>134</v>
      </c>
      <c r="C738">
        <v>2011</v>
      </c>
      <c r="D738">
        <v>97.07</v>
      </c>
      <c r="E738" t="str">
        <f>IF(_2[[#This Row],[Year]]=2000,_2[[#This Row],[Share (%)]],"")</f>
        <v/>
      </c>
      <c r="F738" s="16" cm="1">
        <f t="array" ref="F738">D738 - _xlfn.XLOOKUP(A738&amp;2000, A:A&amp;C:C, D:D, "No 2000 data")</f>
        <v>-1.8300000000000125</v>
      </c>
    </row>
    <row r="739" spans="1:6" x14ac:dyDescent="0.35">
      <c r="A739" s="16" t="s">
        <v>83</v>
      </c>
      <c r="B739" s="16" t="s">
        <v>134</v>
      </c>
      <c r="C739">
        <v>2012</v>
      </c>
      <c r="D739">
        <v>92.79</v>
      </c>
      <c r="E739" t="str">
        <f>IF(_2[[#This Row],[Year]]=2000,_2[[#This Row],[Share (%)]],"")</f>
        <v/>
      </c>
      <c r="F739" s="16" cm="1">
        <f t="array" ref="F739">D739 - _xlfn.XLOOKUP(A739&amp;2000, A:A&amp;C:C, D:D, "No 2000 data")</f>
        <v>-6.1099999999999994</v>
      </c>
    </row>
    <row r="740" spans="1:6" x14ac:dyDescent="0.35">
      <c r="A740" s="16" t="s">
        <v>83</v>
      </c>
      <c r="B740" s="16" t="s">
        <v>134</v>
      </c>
      <c r="C740">
        <v>2013</v>
      </c>
      <c r="D740">
        <v>91.74</v>
      </c>
      <c r="E740" t="str">
        <f>IF(_2[[#This Row],[Year]]=2000,_2[[#This Row],[Share (%)]],"")</f>
        <v/>
      </c>
      <c r="F740" s="16" cm="1">
        <f t="array" ref="F740">D740 - _xlfn.XLOOKUP(A740&amp;2000, A:A&amp;C:C, D:D, "No 2000 data")</f>
        <v>-7.1600000000000108</v>
      </c>
    </row>
    <row r="741" spans="1:6" x14ac:dyDescent="0.35">
      <c r="A741" s="16" t="s">
        <v>83</v>
      </c>
      <c r="B741" s="16" t="s">
        <v>134</v>
      </c>
      <c r="C741">
        <v>2014</v>
      </c>
      <c r="D741">
        <v>85.37</v>
      </c>
      <c r="E741" t="str">
        <f>IF(_2[[#This Row],[Year]]=2000,_2[[#This Row],[Share (%)]],"")</f>
        <v/>
      </c>
      <c r="F741" s="16" cm="1">
        <f t="array" ref="F741">D741 - _xlfn.XLOOKUP(A741&amp;2000, A:A&amp;C:C, D:D, "No 2000 data")</f>
        <v>-13.530000000000001</v>
      </c>
    </row>
    <row r="742" spans="1:6" x14ac:dyDescent="0.35">
      <c r="A742" s="16" t="s">
        <v>83</v>
      </c>
      <c r="B742" s="16" t="s">
        <v>134</v>
      </c>
      <c r="C742">
        <v>2015</v>
      </c>
      <c r="D742">
        <v>79.930000000000007</v>
      </c>
      <c r="E742" t="str">
        <f>IF(_2[[#This Row],[Year]]=2000,_2[[#This Row],[Share (%)]],"")</f>
        <v/>
      </c>
      <c r="F742" s="16" cm="1">
        <f t="array" ref="F742">D742 - _xlfn.XLOOKUP(A742&amp;2000, A:A&amp;C:C, D:D, "No 2000 data")</f>
        <v>-18.97</v>
      </c>
    </row>
    <row r="743" spans="1:6" x14ac:dyDescent="0.35">
      <c r="A743" s="16" t="s">
        <v>83</v>
      </c>
      <c r="B743" s="16" t="s">
        <v>134</v>
      </c>
      <c r="C743">
        <v>2016</v>
      </c>
      <c r="D743">
        <v>79.849999999999994</v>
      </c>
      <c r="E743" t="str">
        <f>IF(_2[[#This Row],[Year]]=2000,_2[[#This Row],[Share (%)]],"")</f>
        <v/>
      </c>
      <c r="F743" s="16" cm="1">
        <f t="array" ref="F743">D743 - _xlfn.XLOOKUP(A743&amp;2000, A:A&amp;C:C, D:D, "No 2000 data")</f>
        <v>-19.050000000000011</v>
      </c>
    </row>
    <row r="744" spans="1:6" x14ac:dyDescent="0.35">
      <c r="A744" s="16" t="s">
        <v>83</v>
      </c>
      <c r="B744" s="16" t="s">
        <v>134</v>
      </c>
      <c r="C744">
        <v>2017</v>
      </c>
      <c r="D744">
        <v>80.36</v>
      </c>
      <c r="E744" t="str">
        <f>IF(_2[[#This Row],[Year]]=2000,_2[[#This Row],[Share (%)]],"")</f>
        <v/>
      </c>
      <c r="F744" s="16" cm="1">
        <f t="array" ref="F744">D744 - _xlfn.XLOOKUP(A744&amp;2000, A:A&amp;C:C, D:D, "No 2000 data")</f>
        <v>-18.540000000000006</v>
      </c>
    </row>
    <row r="745" spans="1:6" x14ac:dyDescent="0.35">
      <c r="A745" s="16" t="s">
        <v>83</v>
      </c>
      <c r="B745" s="16" t="s">
        <v>134</v>
      </c>
      <c r="C745">
        <v>2018</v>
      </c>
      <c r="D745">
        <v>77.45</v>
      </c>
      <c r="E745" t="str">
        <f>IF(_2[[#This Row],[Year]]=2000,_2[[#This Row],[Share (%)]],"")</f>
        <v/>
      </c>
      <c r="F745" s="16" cm="1">
        <f t="array" ref="F745">D745 - _xlfn.XLOOKUP(A745&amp;2000, A:A&amp;C:C, D:D, "No 2000 data")</f>
        <v>-21.450000000000003</v>
      </c>
    </row>
    <row r="746" spans="1:6" x14ac:dyDescent="0.35">
      <c r="A746" s="16" t="s">
        <v>83</v>
      </c>
      <c r="B746" s="16" t="s">
        <v>134</v>
      </c>
      <c r="C746">
        <v>2019</v>
      </c>
      <c r="D746">
        <v>77.78</v>
      </c>
      <c r="E746" t="str">
        <f>IF(_2[[#This Row],[Year]]=2000,_2[[#This Row],[Share (%)]],"")</f>
        <v/>
      </c>
      <c r="F746" s="16" cm="1">
        <f t="array" ref="F746">D746 - _xlfn.XLOOKUP(A746&amp;2000, A:A&amp;C:C, D:D, "No 2000 data")</f>
        <v>-21.120000000000005</v>
      </c>
    </row>
    <row r="747" spans="1:6" x14ac:dyDescent="0.35">
      <c r="A747" s="16" t="s">
        <v>83</v>
      </c>
      <c r="B747" s="16" t="s">
        <v>134</v>
      </c>
      <c r="C747">
        <v>2020</v>
      </c>
      <c r="D747">
        <v>78.430000000000007</v>
      </c>
      <c r="E747" t="str">
        <f>IF(_2[[#This Row],[Year]]=2000,_2[[#This Row],[Share (%)]],"")</f>
        <v/>
      </c>
      <c r="F747" s="16" cm="1">
        <f t="array" ref="F747">D747 - _xlfn.XLOOKUP(A747&amp;2000, A:A&amp;C:C, D:D, "No 2000 data")</f>
        <v>-20.47</v>
      </c>
    </row>
    <row r="748" spans="1:6" x14ac:dyDescent="0.35">
      <c r="A748" s="16" t="s">
        <v>83</v>
      </c>
      <c r="B748" s="16" t="s">
        <v>134</v>
      </c>
      <c r="C748">
        <v>2021</v>
      </c>
      <c r="D748">
        <v>78.44</v>
      </c>
      <c r="E748" t="str">
        <f>IF(_2[[#This Row],[Year]]=2000,_2[[#This Row],[Share (%)]],"")</f>
        <v/>
      </c>
      <c r="F748" s="16" cm="1">
        <f t="array" ref="F748">D748 - _xlfn.XLOOKUP(A748&amp;2000, A:A&amp;C:C, D:D, "No 2000 data")</f>
        <v>-20.460000000000008</v>
      </c>
    </row>
    <row r="749" spans="1:6" x14ac:dyDescent="0.35">
      <c r="A749" s="16" t="s">
        <v>83</v>
      </c>
      <c r="B749" s="16" t="s">
        <v>134</v>
      </c>
      <c r="C749">
        <v>2022</v>
      </c>
      <c r="D749">
        <v>77.459999999999994</v>
      </c>
      <c r="E749" t="str">
        <f>IF(_2[[#This Row],[Year]]=2000,_2[[#This Row],[Share (%)]],"")</f>
        <v/>
      </c>
      <c r="F749" s="16" cm="1">
        <f t="array" ref="F749">D749 - _xlfn.XLOOKUP(A749&amp;2000, A:A&amp;C:C, D:D, "No 2000 data")</f>
        <v>-21.440000000000012</v>
      </c>
    </row>
    <row r="750" spans="1:6" x14ac:dyDescent="0.35">
      <c r="A750" s="16" t="s">
        <v>83</v>
      </c>
      <c r="B750" s="16" t="s">
        <v>134</v>
      </c>
      <c r="C750">
        <v>2023</v>
      </c>
      <c r="D750">
        <v>77.61</v>
      </c>
      <c r="E750" t="str">
        <f>IF(_2[[#This Row],[Year]]=2000,_2[[#This Row],[Share (%)]],"")</f>
        <v/>
      </c>
      <c r="F750" s="16" cm="1">
        <f t="array" ref="F750">D750 - _xlfn.XLOOKUP(A750&amp;2000, A:A&amp;C:C, D:D, "No 2000 data")</f>
        <v>-21.290000000000006</v>
      </c>
    </row>
    <row r="751" spans="1:6" x14ac:dyDescent="0.35">
      <c r="A751" s="16" t="s">
        <v>83</v>
      </c>
      <c r="B751" s="16" t="s">
        <v>134</v>
      </c>
      <c r="C751">
        <v>2024</v>
      </c>
      <c r="D751">
        <v>77.650000000000006</v>
      </c>
      <c r="E751" t="str">
        <f>IF(_2[[#This Row],[Year]]=2000,_2[[#This Row],[Share (%)]],"")</f>
        <v/>
      </c>
      <c r="F751" s="16" cm="1">
        <f t="array" ref="F751">D751 - _xlfn.XLOOKUP(A751&amp;2000, A:A&amp;C:C, D:D, "No 2000 data")</f>
        <v>-21.25</v>
      </c>
    </row>
    <row r="752" spans="1:6" x14ac:dyDescent="0.35">
      <c r="A752" s="16" t="s">
        <v>91</v>
      </c>
      <c r="B752" s="16" t="s">
        <v>134</v>
      </c>
      <c r="C752">
        <v>2000</v>
      </c>
      <c r="D752">
        <v>62.24</v>
      </c>
      <c r="E752">
        <f>IF(_2[[#This Row],[Year]]=2000,_2[[#This Row],[Share (%)]],"")</f>
        <v>62.24</v>
      </c>
      <c r="F752" s="16" cm="1">
        <f t="array" ref="F752">D752 - _xlfn.XLOOKUP(A752&amp;2000, A:A&amp;C:C, D:D, "No 2000 data")</f>
        <v>0</v>
      </c>
    </row>
    <row r="753" spans="1:6" x14ac:dyDescent="0.35">
      <c r="A753" s="16" t="s">
        <v>91</v>
      </c>
      <c r="B753" s="16" t="s">
        <v>134</v>
      </c>
      <c r="C753">
        <v>2001</v>
      </c>
      <c r="D753">
        <v>62.25</v>
      </c>
      <c r="E753" t="str">
        <f>IF(_2[[#This Row],[Year]]=2000,_2[[#This Row],[Share (%)]],"")</f>
        <v/>
      </c>
      <c r="F753" s="16" cm="1">
        <f t="array" ref="F753">D753 - _xlfn.XLOOKUP(A753&amp;2000, A:A&amp;C:C, D:D, "No 2000 data")</f>
        <v>9.9999999999980105E-3</v>
      </c>
    </row>
    <row r="754" spans="1:6" x14ac:dyDescent="0.35">
      <c r="A754" s="16" t="s">
        <v>91</v>
      </c>
      <c r="B754" s="16" t="s">
        <v>134</v>
      </c>
      <c r="C754">
        <v>2002</v>
      </c>
      <c r="D754">
        <v>62.27</v>
      </c>
      <c r="E754" t="str">
        <f>IF(_2[[#This Row],[Year]]=2000,_2[[#This Row],[Share (%)]],"")</f>
        <v/>
      </c>
      <c r="F754" s="16" cm="1">
        <f t="array" ref="F754">D754 - _xlfn.XLOOKUP(A754&amp;2000, A:A&amp;C:C, D:D, "No 2000 data")</f>
        <v>3.0000000000001137E-2</v>
      </c>
    </row>
    <row r="755" spans="1:6" x14ac:dyDescent="0.35">
      <c r="A755" s="16" t="s">
        <v>91</v>
      </c>
      <c r="B755" s="16" t="s">
        <v>134</v>
      </c>
      <c r="C755">
        <v>2003</v>
      </c>
      <c r="D755">
        <v>62.27</v>
      </c>
      <c r="E755" t="str">
        <f>IF(_2[[#This Row],[Year]]=2000,_2[[#This Row],[Share (%)]],"")</f>
        <v/>
      </c>
      <c r="F755" s="16" cm="1">
        <f t="array" ref="F755">D755 - _xlfn.XLOOKUP(A755&amp;2000, A:A&amp;C:C, D:D, "No 2000 data")</f>
        <v>3.0000000000001137E-2</v>
      </c>
    </row>
    <row r="756" spans="1:6" x14ac:dyDescent="0.35">
      <c r="A756" s="16" t="s">
        <v>91</v>
      </c>
      <c r="B756" s="16" t="s">
        <v>134</v>
      </c>
      <c r="C756">
        <v>2004</v>
      </c>
      <c r="D756">
        <v>62.29</v>
      </c>
      <c r="E756" t="str">
        <f>IF(_2[[#This Row],[Year]]=2000,_2[[#This Row],[Share (%)]],"")</f>
        <v/>
      </c>
      <c r="F756" s="16" cm="1">
        <f t="array" ref="F756">D756 - _xlfn.XLOOKUP(A756&amp;2000, A:A&amp;C:C, D:D, "No 2000 data")</f>
        <v>4.9999999999997158E-2</v>
      </c>
    </row>
    <row r="757" spans="1:6" x14ac:dyDescent="0.35">
      <c r="A757" s="16" t="s">
        <v>91</v>
      </c>
      <c r="B757" s="16" t="s">
        <v>134</v>
      </c>
      <c r="C757">
        <v>2005</v>
      </c>
      <c r="D757">
        <v>62.34</v>
      </c>
      <c r="E757" t="str">
        <f>IF(_2[[#This Row],[Year]]=2000,_2[[#This Row],[Share (%)]],"")</f>
        <v/>
      </c>
      <c r="F757" s="16" cm="1">
        <f t="array" ref="F757">D757 - _xlfn.XLOOKUP(A757&amp;2000, A:A&amp;C:C, D:D, "No 2000 data")</f>
        <v>0.10000000000000142</v>
      </c>
    </row>
    <row r="758" spans="1:6" x14ac:dyDescent="0.35">
      <c r="A758" s="16" t="s">
        <v>91</v>
      </c>
      <c r="B758" s="16" t="s">
        <v>134</v>
      </c>
      <c r="C758">
        <v>2006</v>
      </c>
      <c r="D758">
        <v>62.34</v>
      </c>
      <c r="E758" t="str">
        <f>IF(_2[[#This Row],[Year]]=2000,_2[[#This Row],[Share (%)]],"")</f>
        <v/>
      </c>
      <c r="F758" s="16" cm="1">
        <f t="array" ref="F758">D758 - _xlfn.XLOOKUP(A758&amp;2000, A:A&amp;C:C, D:D, "No 2000 data")</f>
        <v>0.10000000000000142</v>
      </c>
    </row>
    <row r="759" spans="1:6" x14ac:dyDescent="0.35">
      <c r="A759" s="16" t="s">
        <v>91</v>
      </c>
      <c r="B759" s="16" t="s">
        <v>134</v>
      </c>
      <c r="C759">
        <v>2007</v>
      </c>
      <c r="D759">
        <v>62.34</v>
      </c>
      <c r="E759" t="str">
        <f>IF(_2[[#This Row],[Year]]=2000,_2[[#This Row],[Share (%)]],"")</f>
        <v/>
      </c>
      <c r="F759" s="16" cm="1">
        <f t="array" ref="F759">D759 - _xlfn.XLOOKUP(A759&amp;2000, A:A&amp;C:C, D:D, "No 2000 data")</f>
        <v>0.10000000000000142</v>
      </c>
    </row>
    <row r="760" spans="1:6" x14ac:dyDescent="0.35">
      <c r="A760" s="16" t="s">
        <v>91</v>
      </c>
      <c r="B760" s="16" t="s">
        <v>134</v>
      </c>
      <c r="C760">
        <v>2008</v>
      </c>
      <c r="D760">
        <v>62.34</v>
      </c>
      <c r="E760" t="str">
        <f>IF(_2[[#This Row],[Year]]=2000,_2[[#This Row],[Share (%)]],"")</f>
        <v/>
      </c>
      <c r="F760" s="16" cm="1">
        <f t="array" ref="F760">D760 - _xlfn.XLOOKUP(A760&amp;2000, A:A&amp;C:C, D:D, "No 2000 data")</f>
        <v>0.10000000000000142</v>
      </c>
    </row>
    <row r="761" spans="1:6" x14ac:dyDescent="0.35">
      <c r="A761" s="16" t="s">
        <v>91</v>
      </c>
      <c r="B761" s="16" t="s">
        <v>134</v>
      </c>
      <c r="C761">
        <v>2009</v>
      </c>
      <c r="D761">
        <v>59.79</v>
      </c>
      <c r="E761" t="str">
        <f>IF(_2[[#This Row],[Year]]=2000,_2[[#This Row],[Share (%)]],"")</f>
        <v/>
      </c>
      <c r="F761" s="16" cm="1">
        <f t="array" ref="F761">D761 - _xlfn.XLOOKUP(A761&amp;2000, A:A&amp;C:C, D:D, "No 2000 data")</f>
        <v>-2.4500000000000028</v>
      </c>
    </row>
    <row r="762" spans="1:6" x14ac:dyDescent="0.35">
      <c r="A762" s="16" t="s">
        <v>91</v>
      </c>
      <c r="B762" s="16" t="s">
        <v>134</v>
      </c>
      <c r="C762">
        <v>2010</v>
      </c>
      <c r="D762">
        <v>59.82</v>
      </c>
      <c r="E762" t="str">
        <f>IF(_2[[#This Row],[Year]]=2000,_2[[#This Row],[Share (%)]],"")</f>
        <v/>
      </c>
      <c r="F762" s="16" cm="1">
        <f t="array" ref="F762">D762 - _xlfn.XLOOKUP(A762&amp;2000, A:A&amp;C:C, D:D, "No 2000 data")</f>
        <v>-2.4200000000000017</v>
      </c>
    </row>
    <row r="763" spans="1:6" x14ac:dyDescent="0.35">
      <c r="A763" s="16" t="s">
        <v>91</v>
      </c>
      <c r="B763" s="16" t="s">
        <v>134</v>
      </c>
      <c r="C763">
        <v>2011</v>
      </c>
      <c r="D763">
        <v>56.52</v>
      </c>
      <c r="E763" t="str">
        <f>IF(_2[[#This Row],[Year]]=2000,_2[[#This Row],[Share (%)]],"")</f>
        <v/>
      </c>
      <c r="F763" s="16" cm="1">
        <f t="array" ref="F763">D763 - _xlfn.XLOOKUP(A763&amp;2000, A:A&amp;C:C, D:D, "No 2000 data")</f>
        <v>-5.7199999999999989</v>
      </c>
    </row>
    <row r="764" spans="1:6" x14ac:dyDescent="0.35">
      <c r="A764" s="16" t="s">
        <v>91</v>
      </c>
      <c r="B764" s="16" t="s">
        <v>134</v>
      </c>
      <c r="C764">
        <v>2012</v>
      </c>
      <c r="D764">
        <v>64.11</v>
      </c>
      <c r="E764" t="str">
        <f>IF(_2[[#This Row],[Year]]=2000,_2[[#This Row],[Share (%)]],"")</f>
        <v/>
      </c>
      <c r="F764" s="16" cm="1">
        <f t="array" ref="F764">D764 - _xlfn.XLOOKUP(A764&amp;2000, A:A&amp;C:C, D:D, "No 2000 data")</f>
        <v>1.8699999999999974</v>
      </c>
    </row>
    <row r="765" spans="1:6" x14ac:dyDescent="0.35">
      <c r="A765" s="16" t="s">
        <v>91</v>
      </c>
      <c r="B765" s="16" t="s">
        <v>134</v>
      </c>
      <c r="C765">
        <v>2013</v>
      </c>
      <c r="D765">
        <v>64.17</v>
      </c>
      <c r="E765" t="str">
        <f>IF(_2[[#This Row],[Year]]=2000,_2[[#This Row],[Share (%)]],"")</f>
        <v/>
      </c>
      <c r="F765" s="16" cm="1">
        <f t="array" ref="F765">D765 - _xlfn.XLOOKUP(A765&amp;2000, A:A&amp;C:C, D:D, "No 2000 data")</f>
        <v>1.9299999999999997</v>
      </c>
    </row>
    <row r="766" spans="1:6" x14ac:dyDescent="0.35">
      <c r="A766" s="16" t="s">
        <v>91</v>
      </c>
      <c r="B766" s="16" t="s">
        <v>134</v>
      </c>
      <c r="C766">
        <v>2014</v>
      </c>
      <c r="D766">
        <v>61.44</v>
      </c>
      <c r="E766" t="str">
        <f>IF(_2[[#This Row],[Year]]=2000,_2[[#This Row],[Share (%)]],"")</f>
        <v/>
      </c>
      <c r="F766" s="16" cm="1">
        <f t="array" ref="F766">D766 - _xlfn.XLOOKUP(A766&amp;2000, A:A&amp;C:C, D:D, "No 2000 data")</f>
        <v>-0.80000000000000426</v>
      </c>
    </row>
    <row r="767" spans="1:6" x14ac:dyDescent="0.35">
      <c r="A767" s="16" t="s">
        <v>91</v>
      </c>
      <c r="B767" s="16" t="s">
        <v>134</v>
      </c>
      <c r="C767">
        <v>2015</v>
      </c>
      <c r="D767">
        <v>62.2</v>
      </c>
      <c r="E767" t="str">
        <f>IF(_2[[#This Row],[Year]]=2000,_2[[#This Row],[Share (%)]],"")</f>
        <v/>
      </c>
      <c r="F767" s="16" cm="1">
        <f t="array" ref="F767">D767 - _xlfn.XLOOKUP(A767&amp;2000, A:A&amp;C:C, D:D, "No 2000 data")</f>
        <v>-3.9999999999999147E-2</v>
      </c>
    </row>
    <row r="768" spans="1:6" x14ac:dyDescent="0.35">
      <c r="A768" s="16" t="s">
        <v>91</v>
      </c>
      <c r="B768" s="16" t="s">
        <v>134</v>
      </c>
      <c r="C768">
        <v>2016</v>
      </c>
      <c r="D768">
        <v>67.03</v>
      </c>
      <c r="E768" t="str">
        <f>IF(_2[[#This Row],[Year]]=2000,_2[[#This Row],[Share (%)]],"")</f>
        <v/>
      </c>
      <c r="F768" s="16" cm="1">
        <f t="array" ref="F768">D768 - _xlfn.XLOOKUP(A768&amp;2000, A:A&amp;C:C, D:D, "No 2000 data")</f>
        <v>4.7899999999999991</v>
      </c>
    </row>
    <row r="769" spans="1:6" x14ac:dyDescent="0.35">
      <c r="A769" s="16" t="s">
        <v>91</v>
      </c>
      <c r="B769" s="16" t="s">
        <v>134</v>
      </c>
      <c r="C769">
        <v>2017</v>
      </c>
      <c r="D769">
        <v>69.53</v>
      </c>
      <c r="E769" t="str">
        <f>IF(_2[[#This Row],[Year]]=2000,_2[[#This Row],[Share (%)]],"")</f>
        <v/>
      </c>
      <c r="F769" s="16" cm="1">
        <f t="array" ref="F769">D769 - _xlfn.XLOOKUP(A769&amp;2000, A:A&amp;C:C, D:D, "No 2000 data")</f>
        <v>7.2899999999999991</v>
      </c>
    </row>
    <row r="770" spans="1:6" x14ac:dyDescent="0.35">
      <c r="A770" s="16" t="s">
        <v>91</v>
      </c>
      <c r="B770" s="16" t="s">
        <v>134</v>
      </c>
      <c r="C770">
        <v>2018</v>
      </c>
      <c r="D770">
        <v>72.17</v>
      </c>
      <c r="E770" t="str">
        <f>IF(_2[[#This Row],[Year]]=2000,_2[[#This Row],[Share (%)]],"")</f>
        <v/>
      </c>
      <c r="F770" s="16" cm="1">
        <f t="array" ref="F770">D770 - _xlfn.XLOOKUP(A770&amp;2000, A:A&amp;C:C, D:D, "No 2000 data")</f>
        <v>9.93</v>
      </c>
    </row>
    <row r="771" spans="1:6" x14ac:dyDescent="0.35">
      <c r="A771" s="16" t="s">
        <v>91</v>
      </c>
      <c r="B771" s="16" t="s">
        <v>134</v>
      </c>
      <c r="C771">
        <v>2019</v>
      </c>
      <c r="D771">
        <v>74.62</v>
      </c>
      <c r="E771" t="str">
        <f>IF(_2[[#This Row],[Year]]=2000,_2[[#This Row],[Share (%)]],"")</f>
        <v/>
      </c>
      <c r="F771" s="16" cm="1">
        <f t="array" ref="F771">D771 - _xlfn.XLOOKUP(A771&amp;2000, A:A&amp;C:C, D:D, "No 2000 data")</f>
        <v>12.380000000000003</v>
      </c>
    </row>
    <row r="772" spans="1:6" x14ac:dyDescent="0.35">
      <c r="A772" s="16" t="s">
        <v>91</v>
      </c>
      <c r="B772" s="16" t="s">
        <v>134</v>
      </c>
      <c r="C772">
        <v>2020</v>
      </c>
      <c r="D772">
        <v>71.5</v>
      </c>
      <c r="E772" t="str">
        <f>IF(_2[[#This Row],[Year]]=2000,_2[[#This Row],[Share (%)]],"")</f>
        <v/>
      </c>
      <c r="F772" s="16" cm="1">
        <f t="array" ref="F772">D772 - _xlfn.XLOOKUP(A772&amp;2000, A:A&amp;C:C, D:D, "No 2000 data")</f>
        <v>9.259999999999998</v>
      </c>
    </row>
    <row r="773" spans="1:6" x14ac:dyDescent="0.35">
      <c r="A773" s="16" t="s">
        <v>91</v>
      </c>
      <c r="B773" s="16" t="s">
        <v>134</v>
      </c>
      <c r="C773">
        <v>2021</v>
      </c>
      <c r="D773">
        <v>71.59</v>
      </c>
      <c r="E773" t="str">
        <f>IF(_2[[#This Row],[Year]]=2000,_2[[#This Row],[Share (%)]],"")</f>
        <v/>
      </c>
      <c r="F773" s="16" cm="1">
        <f t="array" ref="F773">D773 - _xlfn.XLOOKUP(A773&amp;2000, A:A&amp;C:C, D:D, "No 2000 data")</f>
        <v>9.3500000000000014</v>
      </c>
    </row>
    <row r="774" spans="1:6" x14ac:dyDescent="0.35">
      <c r="A774" s="16" t="s">
        <v>91</v>
      </c>
      <c r="B774" s="16" t="s">
        <v>134</v>
      </c>
      <c r="C774">
        <v>2022</v>
      </c>
      <c r="D774">
        <v>75.510000000000005</v>
      </c>
      <c r="E774" t="str">
        <f>IF(_2[[#This Row],[Year]]=2000,_2[[#This Row],[Share (%)]],"")</f>
        <v/>
      </c>
      <c r="F774" s="16" cm="1">
        <f t="array" ref="F774">D774 - _xlfn.XLOOKUP(A774&amp;2000, A:A&amp;C:C, D:D, "No 2000 data")</f>
        <v>13.270000000000003</v>
      </c>
    </row>
    <row r="775" spans="1:6" x14ac:dyDescent="0.35">
      <c r="A775" s="16" t="s">
        <v>91</v>
      </c>
      <c r="B775" s="16" t="s">
        <v>134</v>
      </c>
      <c r="C775">
        <v>2023</v>
      </c>
      <c r="D775">
        <v>75.510000000000005</v>
      </c>
      <c r="E775" t="str">
        <f>IF(_2[[#This Row],[Year]]=2000,_2[[#This Row],[Share (%)]],"")</f>
        <v/>
      </c>
      <c r="F775" s="16" cm="1">
        <f t="array" ref="F775">D775 - _xlfn.XLOOKUP(A775&amp;2000, A:A&amp;C:C, D:D, "No 2000 data")</f>
        <v>13.270000000000003</v>
      </c>
    </row>
    <row r="776" spans="1:6" x14ac:dyDescent="0.35">
      <c r="A776" s="16" t="s">
        <v>91</v>
      </c>
      <c r="B776" s="16" t="s">
        <v>134</v>
      </c>
      <c r="C776">
        <v>2024</v>
      </c>
      <c r="D776">
        <v>75.510000000000005</v>
      </c>
      <c r="E776" t="str">
        <f>IF(_2[[#This Row],[Year]]=2000,_2[[#This Row],[Share (%)]],"")</f>
        <v/>
      </c>
      <c r="F776" s="16" cm="1">
        <f t="array" ref="F776">D776 - _xlfn.XLOOKUP(A776&amp;2000, A:A&amp;C:C, D:D, "No 2000 data")</f>
        <v>13.270000000000003</v>
      </c>
    </row>
    <row r="777" spans="1:6" x14ac:dyDescent="0.35">
      <c r="A777" s="16" t="s">
        <v>95</v>
      </c>
      <c r="B777" s="16" t="s">
        <v>134</v>
      </c>
      <c r="C777">
        <v>2000</v>
      </c>
      <c r="D777">
        <v>37.33</v>
      </c>
      <c r="E777">
        <f>IF(_2[[#This Row],[Year]]=2000,_2[[#This Row],[Share (%)]],"")</f>
        <v>37.33</v>
      </c>
      <c r="F777" s="16" cm="1">
        <f t="array" ref="F777">D777 - _xlfn.XLOOKUP(A777&amp;2000, A:A&amp;C:C, D:D, "No 2000 data")</f>
        <v>0</v>
      </c>
    </row>
    <row r="778" spans="1:6" x14ac:dyDescent="0.35">
      <c r="A778" s="16" t="s">
        <v>95</v>
      </c>
      <c r="B778" s="16" t="s">
        <v>134</v>
      </c>
      <c r="C778">
        <v>2001</v>
      </c>
      <c r="D778">
        <v>37.33</v>
      </c>
      <c r="E778" t="str">
        <f>IF(_2[[#This Row],[Year]]=2000,_2[[#This Row],[Share (%)]],"")</f>
        <v/>
      </c>
      <c r="F778" s="16" cm="1">
        <f t="array" ref="F778">D778 - _xlfn.XLOOKUP(A778&amp;2000, A:A&amp;C:C, D:D, "No 2000 data")</f>
        <v>0</v>
      </c>
    </row>
    <row r="779" spans="1:6" x14ac:dyDescent="0.35">
      <c r="A779" s="16" t="s">
        <v>95</v>
      </c>
      <c r="B779" s="16" t="s">
        <v>134</v>
      </c>
      <c r="C779">
        <v>2002</v>
      </c>
      <c r="D779">
        <v>37.33</v>
      </c>
      <c r="E779" t="str">
        <f>IF(_2[[#This Row],[Year]]=2000,_2[[#This Row],[Share (%)]],"")</f>
        <v/>
      </c>
      <c r="F779" s="16" cm="1">
        <f t="array" ref="F779">D779 - _xlfn.XLOOKUP(A779&amp;2000, A:A&amp;C:C, D:D, "No 2000 data")</f>
        <v>0</v>
      </c>
    </row>
    <row r="780" spans="1:6" x14ac:dyDescent="0.35">
      <c r="A780" s="16" t="s">
        <v>95</v>
      </c>
      <c r="B780" s="16" t="s">
        <v>134</v>
      </c>
      <c r="C780">
        <v>2003</v>
      </c>
      <c r="D780">
        <v>30.73</v>
      </c>
      <c r="E780" t="str">
        <f>IF(_2[[#This Row],[Year]]=2000,_2[[#This Row],[Share (%)]],"")</f>
        <v/>
      </c>
      <c r="F780" s="16" cm="1">
        <f t="array" ref="F780">D780 - _xlfn.XLOOKUP(A780&amp;2000, A:A&amp;C:C, D:D, "No 2000 data")</f>
        <v>-6.5999999999999979</v>
      </c>
    </row>
    <row r="781" spans="1:6" x14ac:dyDescent="0.35">
      <c r="A781" s="16" t="s">
        <v>95</v>
      </c>
      <c r="B781" s="16" t="s">
        <v>134</v>
      </c>
      <c r="C781">
        <v>2004</v>
      </c>
      <c r="D781">
        <v>30.73</v>
      </c>
      <c r="E781" t="str">
        <f>IF(_2[[#This Row],[Year]]=2000,_2[[#This Row],[Share (%)]],"")</f>
        <v/>
      </c>
      <c r="F781" s="16" cm="1">
        <f t="array" ref="F781">D781 - _xlfn.XLOOKUP(A781&amp;2000, A:A&amp;C:C, D:D, "No 2000 data")</f>
        <v>-6.5999999999999979</v>
      </c>
    </row>
    <row r="782" spans="1:6" x14ac:dyDescent="0.35">
      <c r="A782" s="16" t="s">
        <v>95</v>
      </c>
      <c r="B782" s="16" t="s">
        <v>134</v>
      </c>
      <c r="C782">
        <v>2005</v>
      </c>
      <c r="D782">
        <v>29.85</v>
      </c>
      <c r="E782" t="str">
        <f>IF(_2[[#This Row],[Year]]=2000,_2[[#This Row],[Share (%)]],"")</f>
        <v/>
      </c>
      <c r="F782" s="16" cm="1">
        <f t="array" ref="F782">D782 - _xlfn.XLOOKUP(A782&amp;2000, A:A&amp;C:C, D:D, "No 2000 data")</f>
        <v>-7.4799999999999969</v>
      </c>
    </row>
    <row r="783" spans="1:6" x14ac:dyDescent="0.35">
      <c r="A783" s="16" t="s">
        <v>95</v>
      </c>
      <c r="B783" s="16" t="s">
        <v>134</v>
      </c>
      <c r="C783">
        <v>2006</v>
      </c>
      <c r="D783">
        <v>27.48</v>
      </c>
      <c r="E783" t="str">
        <f>IF(_2[[#This Row],[Year]]=2000,_2[[#This Row],[Share (%)]],"")</f>
        <v/>
      </c>
      <c r="F783" s="16" cm="1">
        <f t="array" ref="F783">D783 - _xlfn.XLOOKUP(A783&amp;2000, A:A&amp;C:C, D:D, "No 2000 data")</f>
        <v>-9.8499999999999979</v>
      </c>
    </row>
    <row r="784" spans="1:6" x14ac:dyDescent="0.35">
      <c r="A784" s="16" t="s">
        <v>95</v>
      </c>
      <c r="B784" s="16" t="s">
        <v>134</v>
      </c>
      <c r="C784">
        <v>2007</v>
      </c>
      <c r="D784">
        <v>25.72</v>
      </c>
      <c r="E784" t="str">
        <f>IF(_2[[#This Row],[Year]]=2000,_2[[#This Row],[Share (%)]],"")</f>
        <v/>
      </c>
      <c r="F784" s="16" cm="1">
        <f t="array" ref="F784">D784 - _xlfn.XLOOKUP(A784&amp;2000, A:A&amp;C:C, D:D, "No 2000 data")</f>
        <v>-11.61</v>
      </c>
    </row>
    <row r="785" spans="1:6" x14ac:dyDescent="0.35">
      <c r="A785" s="16" t="s">
        <v>95</v>
      </c>
      <c r="B785" s="16" t="s">
        <v>134</v>
      </c>
      <c r="C785">
        <v>2008</v>
      </c>
      <c r="D785">
        <v>24.2</v>
      </c>
      <c r="E785" t="str">
        <f>IF(_2[[#This Row],[Year]]=2000,_2[[#This Row],[Share (%)]],"")</f>
        <v/>
      </c>
      <c r="F785" s="16" cm="1">
        <f t="array" ref="F785">D785 - _xlfn.XLOOKUP(A785&amp;2000, A:A&amp;C:C, D:D, "No 2000 data")</f>
        <v>-13.129999999999999</v>
      </c>
    </row>
    <row r="786" spans="1:6" x14ac:dyDescent="0.35">
      <c r="A786" s="16" t="s">
        <v>95</v>
      </c>
      <c r="B786" s="16" t="s">
        <v>134</v>
      </c>
      <c r="C786">
        <v>2009</v>
      </c>
      <c r="D786">
        <v>23.57</v>
      </c>
      <c r="E786" t="str">
        <f>IF(_2[[#This Row],[Year]]=2000,_2[[#This Row],[Share (%)]],"")</f>
        <v/>
      </c>
      <c r="F786" s="16" cm="1">
        <f t="array" ref="F786">D786 - _xlfn.XLOOKUP(A786&amp;2000, A:A&amp;C:C, D:D, "No 2000 data")</f>
        <v>-13.759999999999998</v>
      </c>
    </row>
    <row r="787" spans="1:6" x14ac:dyDescent="0.35">
      <c r="A787" s="16" t="s">
        <v>95</v>
      </c>
      <c r="B787" s="16" t="s">
        <v>134</v>
      </c>
      <c r="C787">
        <v>2010</v>
      </c>
      <c r="D787">
        <v>24.34</v>
      </c>
      <c r="E787" t="str">
        <f>IF(_2[[#This Row],[Year]]=2000,_2[[#This Row],[Share (%)]],"")</f>
        <v/>
      </c>
      <c r="F787" s="16" cm="1">
        <f t="array" ref="F787">D787 - _xlfn.XLOOKUP(A787&amp;2000, A:A&amp;C:C, D:D, "No 2000 data")</f>
        <v>-12.989999999999998</v>
      </c>
    </row>
    <row r="788" spans="1:6" x14ac:dyDescent="0.35">
      <c r="A788" s="16" t="s">
        <v>95</v>
      </c>
      <c r="B788" s="16" t="s">
        <v>134</v>
      </c>
      <c r="C788">
        <v>2011</v>
      </c>
      <c r="D788">
        <v>23.3</v>
      </c>
      <c r="E788" t="str">
        <f>IF(_2[[#This Row],[Year]]=2000,_2[[#This Row],[Share (%)]],"")</f>
        <v/>
      </c>
      <c r="F788" s="16" cm="1">
        <f t="array" ref="F788">D788 - _xlfn.XLOOKUP(A788&amp;2000, A:A&amp;C:C, D:D, "No 2000 data")</f>
        <v>-14.029999999999998</v>
      </c>
    </row>
    <row r="789" spans="1:6" x14ac:dyDescent="0.35">
      <c r="A789" s="16" t="s">
        <v>95</v>
      </c>
      <c r="B789" s="16" t="s">
        <v>134</v>
      </c>
      <c r="C789">
        <v>2012</v>
      </c>
      <c r="D789">
        <v>23.3</v>
      </c>
      <c r="E789" t="str">
        <f>IF(_2[[#This Row],[Year]]=2000,_2[[#This Row],[Share (%)]],"")</f>
        <v/>
      </c>
      <c r="F789" s="16" cm="1">
        <f t="array" ref="F789">D789 - _xlfn.XLOOKUP(A789&amp;2000, A:A&amp;C:C, D:D, "No 2000 data")</f>
        <v>-14.029999999999998</v>
      </c>
    </row>
    <row r="790" spans="1:6" x14ac:dyDescent="0.35">
      <c r="A790" s="16" t="s">
        <v>95</v>
      </c>
      <c r="B790" s="16" t="s">
        <v>134</v>
      </c>
      <c r="C790">
        <v>2013</v>
      </c>
      <c r="D790">
        <v>21.17</v>
      </c>
      <c r="E790" t="str">
        <f>IF(_2[[#This Row],[Year]]=2000,_2[[#This Row],[Share (%)]],"")</f>
        <v/>
      </c>
      <c r="F790" s="16" cm="1">
        <f t="array" ref="F790">D790 - _xlfn.XLOOKUP(A790&amp;2000, A:A&amp;C:C, D:D, "No 2000 data")</f>
        <v>-16.159999999999997</v>
      </c>
    </row>
    <row r="791" spans="1:6" x14ac:dyDescent="0.35">
      <c r="A791" s="16" t="s">
        <v>95</v>
      </c>
      <c r="B791" s="16" t="s">
        <v>134</v>
      </c>
      <c r="C791">
        <v>2014</v>
      </c>
      <c r="D791">
        <v>20.059999999999999</v>
      </c>
      <c r="E791" t="str">
        <f>IF(_2[[#This Row],[Year]]=2000,_2[[#This Row],[Share (%)]],"")</f>
        <v/>
      </c>
      <c r="F791" s="16" cm="1">
        <f t="array" ref="F791">D791 - _xlfn.XLOOKUP(A791&amp;2000, A:A&amp;C:C, D:D, "No 2000 data")</f>
        <v>-17.27</v>
      </c>
    </row>
    <row r="792" spans="1:6" x14ac:dyDescent="0.35">
      <c r="A792" s="16" t="s">
        <v>95</v>
      </c>
      <c r="B792" s="16" t="s">
        <v>134</v>
      </c>
      <c r="C792">
        <v>2015</v>
      </c>
      <c r="D792">
        <v>20.149999999999999</v>
      </c>
      <c r="E792" t="str">
        <f>IF(_2[[#This Row],[Year]]=2000,_2[[#This Row],[Share (%)]],"")</f>
        <v/>
      </c>
      <c r="F792" s="16" cm="1">
        <f t="array" ref="F792">D792 - _xlfn.XLOOKUP(A792&amp;2000, A:A&amp;C:C, D:D, "No 2000 data")</f>
        <v>-17.18</v>
      </c>
    </row>
    <row r="793" spans="1:6" x14ac:dyDescent="0.35">
      <c r="A793" s="16" t="s">
        <v>95</v>
      </c>
      <c r="B793" s="16" t="s">
        <v>134</v>
      </c>
      <c r="C793">
        <v>2016</v>
      </c>
      <c r="D793">
        <v>17.07</v>
      </c>
      <c r="E793" t="str">
        <f>IF(_2[[#This Row],[Year]]=2000,_2[[#This Row],[Share (%)]],"")</f>
        <v/>
      </c>
      <c r="F793" s="16" cm="1">
        <f t="array" ref="F793">D793 - _xlfn.XLOOKUP(A793&amp;2000, A:A&amp;C:C, D:D, "No 2000 data")</f>
        <v>-20.259999999999998</v>
      </c>
    </row>
    <row r="794" spans="1:6" x14ac:dyDescent="0.35">
      <c r="A794" s="16" t="s">
        <v>95</v>
      </c>
      <c r="B794" s="16" t="s">
        <v>134</v>
      </c>
      <c r="C794">
        <v>2017</v>
      </c>
      <c r="D794">
        <v>17.07</v>
      </c>
      <c r="E794" t="str">
        <f>IF(_2[[#This Row],[Year]]=2000,_2[[#This Row],[Share (%)]],"")</f>
        <v/>
      </c>
      <c r="F794" s="16" cm="1">
        <f t="array" ref="F794">D794 - _xlfn.XLOOKUP(A794&amp;2000, A:A&amp;C:C, D:D, "No 2000 data")</f>
        <v>-20.259999999999998</v>
      </c>
    </row>
    <row r="795" spans="1:6" x14ac:dyDescent="0.35">
      <c r="A795" s="16" t="s">
        <v>95</v>
      </c>
      <c r="B795" s="16" t="s">
        <v>134</v>
      </c>
      <c r="C795">
        <v>2018</v>
      </c>
      <c r="D795">
        <v>16.5</v>
      </c>
      <c r="E795" t="str">
        <f>IF(_2[[#This Row],[Year]]=2000,_2[[#This Row],[Share (%)]],"")</f>
        <v/>
      </c>
      <c r="F795" s="16" cm="1">
        <f t="array" ref="F795">D795 - _xlfn.XLOOKUP(A795&amp;2000, A:A&amp;C:C, D:D, "No 2000 data")</f>
        <v>-20.83</v>
      </c>
    </row>
    <row r="796" spans="1:6" x14ac:dyDescent="0.35">
      <c r="A796" s="16" t="s">
        <v>95</v>
      </c>
      <c r="B796" s="16" t="s">
        <v>134</v>
      </c>
      <c r="C796">
        <v>2019</v>
      </c>
      <c r="D796">
        <v>16.57</v>
      </c>
      <c r="E796" t="str">
        <f>IF(_2[[#This Row],[Year]]=2000,_2[[#This Row],[Share (%)]],"")</f>
        <v/>
      </c>
      <c r="F796" s="16" cm="1">
        <f t="array" ref="F796">D796 - _xlfn.XLOOKUP(A796&amp;2000, A:A&amp;C:C, D:D, "No 2000 data")</f>
        <v>-20.759999999999998</v>
      </c>
    </row>
    <row r="797" spans="1:6" x14ac:dyDescent="0.35">
      <c r="A797" s="16" t="s">
        <v>95</v>
      </c>
      <c r="B797" s="16" t="s">
        <v>134</v>
      </c>
      <c r="C797">
        <v>2020</v>
      </c>
      <c r="D797">
        <v>16.68</v>
      </c>
      <c r="E797" t="str">
        <f>IF(_2[[#This Row],[Year]]=2000,_2[[#This Row],[Share (%)]],"")</f>
        <v/>
      </c>
      <c r="F797" s="16" cm="1">
        <f t="array" ref="F797">D797 - _xlfn.XLOOKUP(A797&amp;2000, A:A&amp;C:C, D:D, "No 2000 data")</f>
        <v>-20.65</v>
      </c>
    </row>
    <row r="798" spans="1:6" x14ac:dyDescent="0.35">
      <c r="A798" s="16" t="s">
        <v>95</v>
      </c>
      <c r="B798" s="16" t="s">
        <v>134</v>
      </c>
      <c r="C798">
        <v>2021</v>
      </c>
      <c r="D798">
        <v>16.93</v>
      </c>
      <c r="E798" t="str">
        <f>IF(_2[[#This Row],[Year]]=2000,_2[[#This Row],[Share (%)]],"")</f>
        <v/>
      </c>
      <c r="F798" s="16" cm="1">
        <f t="array" ref="F798">D798 - _xlfn.XLOOKUP(A798&amp;2000, A:A&amp;C:C, D:D, "No 2000 data")</f>
        <v>-20.399999999999999</v>
      </c>
    </row>
    <row r="799" spans="1:6" x14ac:dyDescent="0.35">
      <c r="A799" s="16" t="s">
        <v>95</v>
      </c>
      <c r="B799" s="16" t="s">
        <v>134</v>
      </c>
      <c r="C799">
        <v>2022</v>
      </c>
      <c r="D799">
        <v>17.11</v>
      </c>
      <c r="E799" t="str">
        <f>IF(_2[[#This Row],[Year]]=2000,_2[[#This Row],[Share (%)]],"")</f>
        <v/>
      </c>
      <c r="F799" s="16" cm="1">
        <f t="array" ref="F799">D799 - _xlfn.XLOOKUP(A799&amp;2000, A:A&amp;C:C, D:D, "No 2000 data")</f>
        <v>-20.22</v>
      </c>
    </row>
    <row r="800" spans="1:6" x14ac:dyDescent="0.35">
      <c r="A800" s="16" t="s">
        <v>95</v>
      </c>
      <c r="B800" s="16" t="s">
        <v>134</v>
      </c>
      <c r="C800">
        <v>2023</v>
      </c>
      <c r="D800">
        <v>21.29</v>
      </c>
      <c r="E800" t="str">
        <f>IF(_2[[#This Row],[Year]]=2000,_2[[#This Row],[Share (%)]],"")</f>
        <v/>
      </c>
      <c r="F800" s="16" cm="1">
        <f t="array" ref="F800">D800 - _xlfn.XLOOKUP(A800&amp;2000, A:A&amp;C:C, D:D, "No 2000 data")</f>
        <v>-16.04</v>
      </c>
    </row>
    <row r="801" spans="1:6" x14ac:dyDescent="0.35">
      <c r="A801" s="16" t="s">
        <v>95</v>
      </c>
      <c r="B801" s="16" t="s">
        <v>134</v>
      </c>
      <c r="C801">
        <v>2024</v>
      </c>
      <c r="D801">
        <v>21.16</v>
      </c>
      <c r="E801" t="str">
        <f>IF(_2[[#This Row],[Year]]=2000,_2[[#This Row],[Share (%)]],"")</f>
        <v/>
      </c>
      <c r="F801" s="16" cm="1">
        <f t="array" ref="F801">D801 - _xlfn.XLOOKUP(A801&amp;2000, A:A&amp;C:C, D:D, "No 2000 data")</f>
        <v>-16.169999999999998</v>
      </c>
    </row>
    <row r="802" spans="1:6" x14ac:dyDescent="0.35">
      <c r="A802" s="16" t="s">
        <v>97</v>
      </c>
      <c r="B802" s="16" t="s">
        <v>134</v>
      </c>
      <c r="C802">
        <v>2000</v>
      </c>
      <c r="D802">
        <v>93.96</v>
      </c>
      <c r="E802">
        <f>IF(_2[[#This Row],[Year]]=2000,_2[[#This Row],[Share (%)]],"")</f>
        <v>93.96</v>
      </c>
      <c r="F802" s="16" cm="1">
        <f t="array" ref="F802">D802 - _xlfn.XLOOKUP(A802&amp;2000, A:A&amp;C:C, D:D, "No 2000 data")</f>
        <v>0</v>
      </c>
    </row>
    <row r="803" spans="1:6" x14ac:dyDescent="0.35">
      <c r="A803" s="16" t="s">
        <v>97</v>
      </c>
      <c r="B803" s="16" t="s">
        <v>134</v>
      </c>
      <c r="C803">
        <v>2001</v>
      </c>
      <c r="D803">
        <v>93.96</v>
      </c>
      <c r="E803" t="str">
        <f>IF(_2[[#This Row],[Year]]=2000,_2[[#This Row],[Share (%)]],"")</f>
        <v/>
      </c>
      <c r="F803" s="16" cm="1">
        <f t="array" ref="F803">D803 - _xlfn.XLOOKUP(A803&amp;2000, A:A&amp;C:C, D:D, "No 2000 data")</f>
        <v>0</v>
      </c>
    </row>
    <row r="804" spans="1:6" x14ac:dyDescent="0.35">
      <c r="A804" s="16" t="s">
        <v>97</v>
      </c>
      <c r="B804" s="16" t="s">
        <v>134</v>
      </c>
      <c r="C804">
        <v>2002</v>
      </c>
      <c r="D804">
        <v>93.96</v>
      </c>
      <c r="E804" t="str">
        <f>IF(_2[[#This Row],[Year]]=2000,_2[[#This Row],[Share (%)]],"")</f>
        <v/>
      </c>
      <c r="F804" s="16" cm="1">
        <f t="array" ref="F804">D804 - _xlfn.XLOOKUP(A804&amp;2000, A:A&amp;C:C, D:D, "No 2000 data")</f>
        <v>0</v>
      </c>
    </row>
    <row r="805" spans="1:6" x14ac:dyDescent="0.35">
      <c r="A805" s="16" t="s">
        <v>97</v>
      </c>
      <c r="B805" s="16" t="s">
        <v>134</v>
      </c>
      <c r="C805">
        <v>2003</v>
      </c>
      <c r="D805">
        <v>93.96</v>
      </c>
      <c r="E805" t="str">
        <f>IF(_2[[#This Row],[Year]]=2000,_2[[#This Row],[Share (%)]],"")</f>
        <v/>
      </c>
      <c r="F805" s="16" cm="1">
        <f t="array" ref="F805">D805 - _xlfn.XLOOKUP(A805&amp;2000, A:A&amp;C:C, D:D, "No 2000 data")</f>
        <v>0</v>
      </c>
    </row>
    <row r="806" spans="1:6" x14ac:dyDescent="0.35">
      <c r="A806" s="16" t="s">
        <v>97</v>
      </c>
      <c r="B806" s="16" t="s">
        <v>134</v>
      </c>
      <c r="C806">
        <v>2004</v>
      </c>
      <c r="D806">
        <v>93.96</v>
      </c>
      <c r="E806" t="str">
        <f>IF(_2[[#This Row],[Year]]=2000,_2[[#This Row],[Share (%)]],"")</f>
        <v/>
      </c>
      <c r="F806" s="16" cm="1">
        <f t="array" ref="F806">D806 - _xlfn.XLOOKUP(A806&amp;2000, A:A&amp;C:C, D:D, "No 2000 data")</f>
        <v>0</v>
      </c>
    </row>
    <row r="807" spans="1:6" x14ac:dyDescent="0.35">
      <c r="A807" s="16" t="s">
        <v>97</v>
      </c>
      <c r="B807" s="16" t="s">
        <v>134</v>
      </c>
      <c r="C807">
        <v>2005</v>
      </c>
      <c r="D807">
        <v>73.08</v>
      </c>
      <c r="E807" t="str">
        <f>IF(_2[[#This Row],[Year]]=2000,_2[[#This Row],[Share (%)]],"")</f>
        <v/>
      </c>
      <c r="F807" s="16" cm="1">
        <f t="array" ref="F807">D807 - _xlfn.XLOOKUP(A807&amp;2000, A:A&amp;C:C, D:D, "No 2000 data")</f>
        <v>-20.879999999999995</v>
      </c>
    </row>
    <row r="808" spans="1:6" x14ac:dyDescent="0.35">
      <c r="A808" s="16" t="s">
        <v>97</v>
      </c>
      <c r="B808" s="16" t="s">
        <v>134</v>
      </c>
      <c r="C808">
        <v>2006</v>
      </c>
      <c r="D808">
        <v>57.53</v>
      </c>
      <c r="E808" t="str">
        <f>IF(_2[[#This Row],[Year]]=2000,_2[[#This Row],[Share (%)]],"")</f>
        <v/>
      </c>
      <c r="F808" s="16" cm="1">
        <f t="array" ref="F808">D808 - _xlfn.XLOOKUP(A808&amp;2000, A:A&amp;C:C, D:D, "No 2000 data")</f>
        <v>-36.429999999999993</v>
      </c>
    </row>
    <row r="809" spans="1:6" x14ac:dyDescent="0.35">
      <c r="A809" s="16" t="s">
        <v>97</v>
      </c>
      <c r="B809" s="16" t="s">
        <v>134</v>
      </c>
      <c r="C809">
        <v>2007</v>
      </c>
      <c r="D809">
        <v>57.68</v>
      </c>
      <c r="E809" t="str">
        <f>IF(_2[[#This Row],[Year]]=2000,_2[[#This Row],[Share (%)]],"")</f>
        <v/>
      </c>
      <c r="F809" s="16" cm="1">
        <f t="array" ref="F809">D809 - _xlfn.XLOOKUP(A809&amp;2000, A:A&amp;C:C, D:D, "No 2000 data")</f>
        <v>-36.279999999999994</v>
      </c>
    </row>
    <row r="810" spans="1:6" x14ac:dyDescent="0.35">
      <c r="A810" s="16" t="s">
        <v>97</v>
      </c>
      <c r="B810" s="16" t="s">
        <v>134</v>
      </c>
      <c r="C810">
        <v>2008</v>
      </c>
      <c r="D810">
        <v>57.68</v>
      </c>
      <c r="E810" t="str">
        <f>IF(_2[[#This Row],[Year]]=2000,_2[[#This Row],[Share (%)]],"")</f>
        <v/>
      </c>
      <c r="F810" s="16" cm="1">
        <f t="array" ref="F810">D810 - _xlfn.XLOOKUP(A810&amp;2000, A:A&amp;C:C, D:D, "No 2000 data")</f>
        <v>-36.279999999999994</v>
      </c>
    </row>
    <row r="811" spans="1:6" x14ac:dyDescent="0.35">
      <c r="A811" s="16" t="s">
        <v>97</v>
      </c>
      <c r="B811" s="16" t="s">
        <v>134</v>
      </c>
      <c r="C811">
        <v>2009</v>
      </c>
      <c r="D811">
        <v>43.33</v>
      </c>
      <c r="E811" t="str">
        <f>IF(_2[[#This Row],[Year]]=2000,_2[[#This Row],[Share (%)]],"")</f>
        <v/>
      </c>
      <c r="F811" s="16" cm="1">
        <f t="array" ref="F811">D811 - _xlfn.XLOOKUP(A811&amp;2000, A:A&amp;C:C, D:D, "No 2000 data")</f>
        <v>-50.629999999999995</v>
      </c>
    </row>
    <row r="812" spans="1:6" x14ac:dyDescent="0.35">
      <c r="A812" s="16" t="s">
        <v>97</v>
      </c>
      <c r="B812" s="16" t="s">
        <v>134</v>
      </c>
      <c r="C812">
        <v>2010</v>
      </c>
      <c r="D812">
        <v>48.48</v>
      </c>
      <c r="E812" t="str">
        <f>IF(_2[[#This Row],[Year]]=2000,_2[[#This Row],[Share (%)]],"")</f>
        <v/>
      </c>
      <c r="F812" s="16" cm="1">
        <f t="array" ref="F812">D812 - _xlfn.XLOOKUP(A812&amp;2000, A:A&amp;C:C, D:D, "No 2000 data")</f>
        <v>-45.48</v>
      </c>
    </row>
    <row r="813" spans="1:6" x14ac:dyDescent="0.35">
      <c r="A813" s="16" t="s">
        <v>97</v>
      </c>
      <c r="B813" s="16" t="s">
        <v>134</v>
      </c>
      <c r="C813">
        <v>2011</v>
      </c>
      <c r="D813">
        <v>51.03</v>
      </c>
      <c r="E813" t="str">
        <f>IF(_2[[#This Row],[Year]]=2000,_2[[#This Row],[Share (%)]],"")</f>
        <v/>
      </c>
      <c r="F813" s="16" cm="1">
        <f t="array" ref="F813">D813 - _xlfn.XLOOKUP(A813&amp;2000, A:A&amp;C:C, D:D, "No 2000 data")</f>
        <v>-42.929999999999993</v>
      </c>
    </row>
    <row r="814" spans="1:6" x14ac:dyDescent="0.35">
      <c r="A814" s="16" t="s">
        <v>97</v>
      </c>
      <c r="B814" s="16" t="s">
        <v>134</v>
      </c>
      <c r="C814">
        <v>2012</v>
      </c>
      <c r="D814">
        <v>51.5</v>
      </c>
      <c r="E814" t="str">
        <f>IF(_2[[#This Row],[Year]]=2000,_2[[#This Row],[Share (%)]],"")</f>
        <v/>
      </c>
      <c r="F814" s="16" cm="1">
        <f t="array" ref="F814">D814 - _xlfn.XLOOKUP(A814&amp;2000, A:A&amp;C:C, D:D, "No 2000 data")</f>
        <v>-42.459999999999994</v>
      </c>
    </row>
    <row r="815" spans="1:6" x14ac:dyDescent="0.35">
      <c r="A815" s="16" t="s">
        <v>97</v>
      </c>
      <c r="B815" s="16" t="s">
        <v>134</v>
      </c>
      <c r="C815">
        <v>2013</v>
      </c>
      <c r="D815">
        <v>53.2</v>
      </c>
      <c r="E815" t="str">
        <f>IF(_2[[#This Row],[Year]]=2000,_2[[#This Row],[Share (%)]],"")</f>
        <v/>
      </c>
      <c r="F815" s="16" cm="1">
        <f t="array" ref="F815">D815 - _xlfn.XLOOKUP(A815&amp;2000, A:A&amp;C:C, D:D, "No 2000 data")</f>
        <v>-40.759999999999991</v>
      </c>
    </row>
    <row r="816" spans="1:6" x14ac:dyDescent="0.35">
      <c r="A816" s="16" t="s">
        <v>97</v>
      </c>
      <c r="B816" s="16" t="s">
        <v>134</v>
      </c>
      <c r="C816">
        <v>2014</v>
      </c>
      <c r="D816">
        <v>58.77</v>
      </c>
      <c r="E816" t="str">
        <f>IF(_2[[#This Row],[Year]]=2000,_2[[#This Row],[Share (%)]],"")</f>
        <v/>
      </c>
      <c r="F816" s="16" cm="1">
        <f t="array" ref="F816">D816 - _xlfn.XLOOKUP(A816&amp;2000, A:A&amp;C:C, D:D, "No 2000 data")</f>
        <v>-35.189999999999991</v>
      </c>
    </row>
    <row r="817" spans="1:6" x14ac:dyDescent="0.35">
      <c r="A817" s="16" t="s">
        <v>97</v>
      </c>
      <c r="B817" s="16" t="s">
        <v>134</v>
      </c>
      <c r="C817">
        <v>2015</v>
      </c>
      <c r="D817">
        <v>51.49</v>
      </c>
      <c r="E817" t="str">
        <f>IF(_2[[#This Row],[Year]]=2000,_2[[#This Row],[Share (%)]],"")</f>
        <v/>
      </c>
      <c r="F817" s="16" cm="1">
        <f t="array" ref="F817">D817 - _xlfn.XLOOKUP(A817&amp;2000, A:A&amp;C:C, D:D, "No 2000 data")</f>
        <v>-42.469999999999992</v>
      </c>
    </row>
    <row r="818" spans="1:6" x14ac:dyDescent="0.35">
      <c r="A818" s="16" t="s">
        <v>97</v>
      </c>
      <c r="B818" s="16" t="s">
        <v>134</v>
      </c>
      <c r="C818">
        <v>2016</v>
      </c>
      <c r="D818">
        <v>49.18</v>
      </c>
      <c r="E818" t="str">
        <f>IF(_2[[#This Row],[Year]]=2000,_2[[#This Row],[Share (%)]],"")</f>
        <v/>
      </c>
      <c r="F818" s="16" cm="1">
        <f t="array" ref="F818">D818 - _xlfn.XLOOKUP(A818&amp;2000, A:A&amp;C:C, D:D, "No 2000 data")</f>
        <v>-44.779999999999994</v>
      </c>
    </row>
    <row r="819" spans="1:6" x14ac:dyDescent="0.35">
      <c r="A819" s="16" t="s">
        <v>97</v>
      </c>
      <c r="B819" s="16" t="s">
        <v>134</v>
      </c>
      <c r="C819">
        <v>2017</v>
      </c>
      <c r="D819">
        <v>50.23</v>
      </c>
      <c r="E819" t="str">
        <f>IF(_2[[#This Row],[Year]]=2000,_2[[#This Row],[Share (%)]],"")</f>
        <v/>
      </c>
      <c r="F819" s="16" cm="1">
        <f t="array" ref="F819">D819 - _xlfn.XLOOKUP(A819&amp;2000, A:A&amp;C:C, D:D, "No 2000 data")</f>
        <v>-43.73</v>
      </c>
    </row>
    <row r="820" spans="1:6" x14ac:dyDescent="0.35">
      <c r="A820" s="16" t="s">
        <v>97</v>
      </c>
      <c r="B820" s="16" t="s">
        <v>134</v>
      </c>
      <c r="C820">
        <v>2018</v>
      </c>
      <c r="D820">
        <v>50.6</v>
      </c>
      <c r="E820" t="str">
        <f>IF(_2[[#This Row],[Year]]=2000,_2[[#This Row],[Share (%)]],"")</f>
        <v/>
      </c>
      <c r="F820" s="16" cm="1">
        <f t="array" ref="F820">D820 - _xlfn.XLOOKUP(A820&amp;2000, A:A&amp;C:C, D:D, "No 2000 data")</f>
        <v>-43.359999999999992</v>
      </c>
    </row>
    <row r="821" spans="1:6" x14ac:dyDescent="0.35">
      <c r="A821" s="16" t="s">
        <v>97</v>
      </c>
      <c r="B821" s="16" t="s">
        <v>134</v>
      </c>
      <c r="C821">
        <v>2019</v>
      </c>
      <c r="D821">
        <v>53.5</v>
      </c>
      <c r="E821" t="str">
        <f>IF(_2[[#This Row],[Year]]=2000,_2[[#This Row],[Share (%)]],"")</f>
        <v/>
      </c>
      <c r="F821" s="16" cm="1">
        <f t="array" ref="F821">D821 - _xlfn.XLOOKUP(A821&amp;2000, A:A&amp;C:C, D:D, "No 2000 data")</f>
        <v>-40.459999999999994</v>
      </c>
    </row>
    <row r="822" spans="1:6" x14ac:dyDescent="0.35">
      <c r="A822" s="16" t="s">
        <v>97</v>
      </c>
      <c r="B822" s="16" t="s">
        <v>134</v>
      </c>
      <c r="C822">
        <v>2020</v>
      </c>
      <c r="D822">
        <v>55.57</v>
      </c>
      <c r="E822" t="str">
        <f>IF(_2[[#This Row],[Year]]=2000,_2[[#This Row],[Share (%)]],"")</f>
        <v/>
      </c>
      <c r="F822" s="16" cm="1">
        <f t="array" ref="F822">D822 - _xlfn.XLOOKUP(A822&amp;2000, A:A&amp;C:C, D:D, "No 2000 data")</f>
        <v>-38.389999999999993</v>
      </c>
    </row>
    <row r="823" spans="1:6" x14ac:dyDescent="0.35">
      <c r="A823" s="16" t="s">
        <v>97</v>
      </c>
      <c r="B823" s="16" t="s">
        <v>134</v>
      </c>
      <c r="C823">
        <v>2021</v>
      </c>
      <c r="D823">
        <v>55.81</v>
      </c>
      <c r="E823" t="str">
        <f>IF(_2[[#This Row],[Year]]=2000,_2[[#This Row],[Share (%)]],"")</f>
        <v/>
      </c>
      <c r="F823" s="16" cm="1">
        <f t="array" ref="F823">D823 - _xlfn.XLOOKUP(A823&amp;2000, A:A&amp;C:C, D:D, "No 2000 data")</f>
        <v>-38.149999999999991</v>
      </c>
    </row>
    <row r="824" spans="1:6" x14ac:dyDescent="0.35">
      <c r="A824" s="16" t="s">
        <v>97</v>
      </c>
      <c r="B824" s="16" t="s">
        <v>134</v>
      </c>
      <c r="C824">
        <v>2022</v>
      </c>
      <c r="D824">
        <v>50.29</v>
      </c>
      <c r="E824" t="str">
        <f>IF(_2[[#This Row],[Year]]=2000,_2[[#This Row],[Share (%)]],"")</f>
        <v/>
      </c>
      <c r="F824" s="16" cm="1">
        <f t="array" ref="F824">D824 - _xlfn.XLOOKUP(A824&amp;2000, A:A&amp;C:C, D:D, "No 2000 data")</f>
        <v>-43.669999999999995</v>
      </c>
    </row>
    <row r="825" spans="1:6" x14ac:dyDescent="0.35">
      <c r="A825" s="16" t="s">
        <v>97</v>
      </c>
      <c r="B825" s="16" t="s">
        <v>134</v>
      </c>
      <c r="C825">
        <v>2023</v>
      </c>
      <c r="D825">
        <v>50.47</v>
      </c>
      <c r="E825" t="str">
        <f>IF(_2[[#This Row],[Year]]=2000,_2[[#This Row],[Share (%)]],"")</f>
        <v/>
      </c>
      <c r="F825" s="16" cm="1">
        <f t="array" ref="F825">D825 - _xlfn.XLOOKUP(A825&amp;2000, A:A&amp;C:C, D:D, "No 2000 data")</f>
        <v>-43.489999999999995</v>
      </c>
    </row>
    <row r="826" spans="1:6" x14ac:dyDescent="0.35">
      <c r="A826" s="16" t="s">
        <v>97</v>
      </c>
      <c r="B826" s="16" t="s">
        <v>134</v>
      </c>
      <c r="C826">
        <v>2024</v>
      </c>
      <c r="D826">
        <v>45.96</v>
      </c>
      <c r="E826" t="str">
        <f>IF(_2[[#This Row],[Year]]=2000,_2[[#This Row],[Share (%)]],"")</f>
        <v/>
      </c>
      <c r="F826" s="16" cm="1">
        <f t="array" ref="F826">D826 - _xlfn.XLOOKUP(A826&amp;2000, A:A&amp;C:C, D:D, "No 2000 data")</f>
        <v>-47.999999999999993</v>
      </c>
    </row>
    <row r="827" spans="1:6" x14ac:dyDescent="0.35">
      <c r="A827" s="16" t="s">
        <v>107</v>
      </c>
      <c r="B827" s="16" t="s">
        <v>134</v>
      </c>
      <c r="C827">
        <v>2000</v>
      </c>
      <c r="D827">
        <v>60</v>
      </c>
      <c r="E827">
        <f>IF(_2[[#This Row],[Year]]=2000,_2[[#This Row],[Share (%)]],"")</f>
        <v>60</v>
      </c>
      <c r="F827" s="16" cm="1">
        <f t="array" ref="F827">D827 - _xlfn.XLOOKUP(A827&amp;2000, A:A&amp;C:C, D:D, "No 2000 data")</f>
        <v>0</v>
      </c>
    </row>
    <row r="828" spans="1:6" x14ac:dyDescent="0.35">
      <c r="A828" s="16" t="s">
        <v>107</v>
      </c>
      <c r="B828" s="16" t="s">
        <v>134</v>
      </c>
      <c r="C828">
        <v>2001</v>
      </c>
      <c r="D828">
        <v>31.48</v>
      </c>
      <c r="E828" t="str">
        <f>IF(_2[[#This Row],[Year]]=2000,_2[[#This Row],[Share (%)]],"")</f>
        <v/>
      </c>
      <c r="F828" s="16" cm="1">
        <f t="array" ref="F828">D828 - _xlfn.XLOOKUP(A828&amp;2000, A:A&amp;C:C, D:D, "No 2000 data")</f>
        <v>-28.52</v>
      </c>
    </row>
    <row r="829" spans="1:6" x14ac:dyDescent="0.35">
      <c r="A829" s="16" t="s">
        <v>107</v>
      </c>
      <c r="B829" s="16" t="s">
        <v>134</v>
      </c>
      <c r="C829">
        <v>2002</v>
      </c>
      <c r="D829">
        <v>31.48</v>
      </c>
      <c r="E829" t="str">
        <f>IF(_2[[#This Row],[Year]]=2000,_2[[#This Row],[Share (%)]],"")</f>
        <v/>
      </c>
      <c r="F829" s="16" cm="1">
        <f t="array" ref="F829">D829 - _xlfn.XLOOKUP(A829&amp;2000, A:A&amp;C:C, D:D, "No 2000 data")</f>
        <v>-28.52</v>
      </c>
    </row>
    <row r="830" spans="1:6" x14ac:dyDescent="0.35">
      <c r="A830" s="16" t="s">
        <v>107</v>
      </c>
      <c r="B830" s="16" t="s">
        <v>134</v>
      </c>
      <c r="C830">
        <v>2003</v>
      </c>
      <c r="D830">
        <v>31.48</v>
      </c>
      <c r="E830" t="str">
        <f>IF(_2[[#This Row],[Year]]=2000,_2[[#This Row],[Share (%)]],"")</f>
        <v/>
      </c>
      <c r="F830" s="16" cm="1">
        <f t="array" ref="F830">D830 - _xlfn.XLOOKUP(A830&amp;2000, A:A&amp;C:C, D:D, "No 2000 data")</f>
        <v>-28.52</v>
      </c>
    </row>
    <row r="831" spans="1:6" x14ac:dyDescent="0.35">
      <c r="A831" s="16" t="s">
        <v>107</v>
      </c>
      <c r="B831" s="16" t="s">
        <v>134</v>
      </c>
      <c r="C831">
        <v>2004</v>
      </c>
      <c r="D831">
        <v>31.48</v>
      </c>
      <c r="E831" t="str">
        <f>IF(_2[[#This Row],[Year]]=2000,_2[[#This Row],[Share (%)]],"")</f>
        <v/>
      </c>
      <c r="F831" s="16" cm="1">
        <f t="array" ref="F831">D831 - _xlfn.XLOOKUP(A831&amp;2000, A:A&amp;C:C, D:D, "No 2000 data")</f>
        <v>-28.52</v>
      </c>
    </row>
    <row r="832" spans="1:6" x14ac:dyDescent="0.35">
      <c r="A832" s="16" t="s">
        <v>107</v>
      </c>
      <c r="B832" s="16" t="s">
        <v>134</v>
      </c>
      <c r="C832">
        <v>2005</v>
      </c>
      <c r="D832">
        <v>31.48</v>
      </c>
      <c r="E832" t="str">
        <f>IF(_2[[#This Row],[Year]]=2000,_2[[#This Row],[Share (%)]],"")</f>
        <v/>
      </c>
      <c r="F832" s="16" cm="1">
        <f t="array" ref="F832">D832 - _xlfn.XLOOKUP(A832&amp;2000, A:A&amp;C:C, D:D, "No 2000 data")</f>
        <v>-28.52</v>
      </c>
    </row>
    <row r="833" spans="1:6" x14ac:dyDescent="0.35">
      <c r="A833" s="16" t="s">
        <v>107</v>
      </c>
      <c r="B833" s="16" t="s">
        <v>134</v>
      </c>
      <c r="C833">
        <v>2006</v>
      </c>
      <c r="D833">
        <v>31.48</v>
      </c>
      <c r="E833" t="str">
        <f>IF(_2[[#This Row],[Year]]=2000,_2[[#This Row],[Share (%)]],"")</f>
        <v/>
      </c>
      <c r="F833" s="16" cm="1">
        <f t="array" ref="F833">D833 - _xlfn.XLOOKUP(A833&amp;2000, A:A&amp;C:C, D:D, "No 2000 data")</f>
        <v>-28.52</v>
      </c>
    </row>
    <row r="834" spans="1:6" x14ac:dyDescent="0.35">
      <c r="A834" s="16" t="s">
        <v>107</v>
      </c>
      <c r="B834" s="16" t="s">
        <v>134</v>
      </c>
      <c r="C834">
        <v>2007</v>
      </c>
      <c r="D834">
        <v>31.48</v>
      </c>
      <c r="E834" t="str">
        <f>IF(_2[[#This Row],[Year]]=2000,_2[[#This Row],[Share (%)]],"")</f>
        <v/>
      </c>
      <c r="F834" s="16" cm="1">
        <f t="array" ref="F834">D834 - _xlfn.XLOOKUP(A834&amp;2000, A:A&amp;C:C, D:D, "No 2000 data")</f>
        <v>-28.52</v>
      </c>
    </row>
    <row r="835" spans="1:6" x14ac:dyDescent="0.35">
      <c r="A835" s="16" t="s">
        <v>107</v>
      </c>
      <c r="B835" s="16" t="s">
        <v>134</v>
      </c>
      <c r="C835">
        <v>2008</v>
      </c>
      <c r="D835">
        <v>31.48</v>
      </c>
      <c r="E835" t="str">
        <f>IF(_2[[#This Row],[Year]]=2000,_2[[#This Row],[Share (%)]],"")</f>
        <v/>
      </c>
      <c r="F835" s="16" cm="1">
        <f t="array" ref="F835">D835 - _xlfn.XLOOKUP(A835&amp;2000, A:A&amp;C:C, D:D, "No 2000 data")</f>
        <v>-28.52</v>
      </c>
    </row>
    <row r="836" spans="1:6" x14ac:dyDescent="0.35">
      <c r="A836" s="16" t="s">
        <v>107</v>
      </c>
      <c r="B836" s="16" t="s">
        <v>134</v>
      </c>
      <c r="C836">
        <v>2009</v>
      </c>
      <c r="D836">
        <v>25.95</v>
      </c>
      <c r="E836" t="str">
        <f>IF(_2[[#This Row],[Year]]=2000,_2[[#This Row],[Share (%)]],"")</f>
        <v/>
      </c>
      <c r="F836" s="16" cm="1">
        <f t="array" ref="F836">D836 - _xlfn.XLOOKUP(A836&amp;2000, A:A&amp;C:C, D:D, "No 2000 data")</f>
        <v>-34.049999999999997</v>
      </c>
    </row>
    <row r="837" spans="1:6" x14ac:dyDescent="0.35">
      <c r="A837" s="16" t="s">
        <v>107</v>
      </c>
      <c r="B837" s="16" t="s">
        <v>134</v>
      </c>
      <c r="C837">
        <v>2010</v>
      </c>
      <c r="D837">
        <v>13.52</v>
      </c>
      <c r="E837" t="str">
        <f>IF(_2[[#This Row],[Year]]=2000,_2[[#This Row],[Share (%)]],"")</f>
        <v/>
      </c>
      <c r="F837" s="16" cm="1">
        <f t="array" ref="F837">D837 - _xlfn.XLOOKUP(A837&amp;2000, A:A&amp;C:C, D:D, "No 2000 data")</f>
        <v>-46.480000000000004</v>
      </c>
    </row>
    <row r="838" spans="1:6" x14ac:dyDescent="0.35">
      <c r="A838" s="16" t="s">
        <v>107</v>
      </c>
      <c r="B838" s="16" t="s">
        <v>134</v>
      </c>
      <c r="C838">
        <v>2011</v>
      </c>
      <c r="D838">
        <v>11.56</v>
      </c>
      <c r="E838" t="str">
        <f>IF(_2[[#This Row],[Year]]=2000,_2[[#This Row],[Share (%)]],"")</f>
        <v/>
      </c>
      <c r="F838" s="16" cm="1">
        <f t="array" ref="F838">D838 - _xlfn.XLOOKUP(A838&amp;2000, A:A&amp;C:C, D:D, "No 2000 data")</f>
        <v>-48.44</v>
      </c>
    </row>
    <row r="839" spans="1:6" x14ac:dyDescent="0.35">
      <c r="A839" s="16" t="s">
        <v>107</v>
      </c>
      <c r="B839" s="16" t="s">
        <v>134</v>
      </c>
      <c r="C839">
        <v>2012</v>
      </c>
      <c r="D839">
        <v>11.56</v>
      </c>
      <c r="E839" t="str">
        <f>IF(_2[[#This Row],[Year]]=2000,_2[[#This Row],[Share (%)]],"")</f>
        <v/>
      </c>
      <c r="F839" s="16" cm="1">
        <f t="array" ref="F839">D839 - _xlfn.XLOOKUP(A839&amp;2000, A:A&amp;C:C, D:D, "No 2000 data")</f>
        <v>-48.44</v>
      </c>
    </row>
    <row r="840" spans="1:6" x14ac:dyDescent="0.35">
      <c r="A840" s="16" t="s">
        <v>107</v>
      </c>
      <c r="B840" s="16" t="s">
        <v>134</v>
      </c>
      <c r="C840">
        <v>2013</v>
      </c>
      <c r="D840">
        <v>11.56</v>
      </c>
      <c r="E840" t="str">
        <f>IF(_2[[#This Row],[Year]]=2000,_2[[#This Row],[Share (%)]],"")</f>
        <v/>
      </c>
      <c r="F840" s="16" cm="1">
        <f t="array" ref="F840">D840 - _xlfn.XLOOKUP(A840&amp;2000, A:A&amp;C:C, D:D, "No 2000 data")</f>
        <v>-48.44</v>
      </c>
    </row>
    <row r="841" spans="1:6" x14ac:dyDescent="0.35">
      <c r="A841" s="16" t="s">
        <v>107</v>
      </c>
      <c r="B841" s="16" t="s">
        <v>134</v>
      </c>
      <c r="C841">
        <v>2014</v>
      </c>
      <c r="D841">
        <v>10.27</v>
      </c>
      <c r="E841" t="str">
        <f>IF(_2[[#This Row],[Year]]=2000,_2[[#This Row],[Share (%)]],"")</f>
        <v/>
      </c>
      <c r="F841" s="16" cm="1">
        <f t="array" ref="F841">D841 - _xlfn.XLOOKUP(A841&amp;2000, A:A&amp;C:C, D:D, "No 2000 data")</f>
        <v>-49.730000000000004</v>
      </c>
    </row>
    <row r="842" spans="1:6" x14ac:dyDescent="0.35">
      <c r="A842" s="16" t="s">
        <v>107</v>
      </c>
      <c r="B842" s="16" t="s">
        <v>134</v>
      </c>
      <c r="C842">
        <v>2015</v>
      </c>
      <c r="D842">
        <v>8.16</v>
      </c>
      <c r="E842" t="str">
        <f>IF(_2[[#This Row],[Year]]=2000,_2[[#This Row],[Share (%)]],"")</f>
        <v/>
      </c>
      <c r="F842" s="16" cm="1">
        <f t="array" ref="F842">D842 - _xlfn.XLOOKUP(A842&amp;2000, A:A&amp;C:C, D:D, "No 2000 data")</f>
        <v>-51.84</v>
      </c>
    </row>
    <row r="843" spans="1:6" x14ac:dyDescent="0.35">
      <c r="A843" s="16" t="s">
        <v>107</v>
      </c>
      <c r="B843" s="16" t="s">
        <v>134</v>
      </c>
      <c r="C843">
        <v>2016</v>
      </c>
      <c r="D843">
        <v>6.99</v>
      </c>
      <c r="E843" t="str">
        <f>IF(_2[[#This Row],[Year]]=2000,_2[[#This Row],[Share (%)]],"")</f>
        <v/>
      </c>
      <c r="F843" s="16" cm="1">
        <f t="array" ref="F843">D843 - _xlfn.XLOOKUP(A843&amp;2000, A:A&amp;C:C, D:D, "No 2000 data")</f>
        <v>-53.01</v>
      </c>
    </row>
    <row r="844" spans="1:6" x14ac:dyDescent="0.35">
      <c r="A844" s="16" t="s">
        <v>107</v>
      </c>
      <c r="B844" s="16" t="s">
        <v>134</v>
      </c>
      <c r="C844">
        <v>2017</v>
      </c>
      <c r="D844">
        <v>7.59</v>
      </c>
      <c r="E844" t="str">
        <f>IF(_2[[#This Row],[Year]]=2000,_2[[#This Row],[Share (%)]],"")</f>
        <v/>
      </c>
      <c r="F844" s="16" cm="1">
        <f t="array" ref="F844">D844 - _xlfn.XLOOKUP(A844&amp;2000, A:A&amp;C:C, D:D, "No 2000 data")</f>
        <v>-52.41</v>
      </c>
    </row>
    <row r="845" spans="1:6" x14ac:dyDescent="0.35">
      <c r="A845" s="16" t="s">
        <v>107</v>
      </c>
      <c r="B845" s="16" t="s">
        <v>134</v>
      </c>
      <c r="C845">
        <v>2018</v>
      </c>
      <c r="D845">
        <v>7.59</v>
      </c>
      <c r="E845" t="str">
        <f>IF(_2[[#This Row],[Year]]=2000,_2[[#This Row],[Share (%)]],"")</f>
        <v/>
      </c>
      <c r="F845" s="16" cm="1">
        <f t="array" ref="F845">D845 - _xlfn.XLOOKUP(A845&amp;2000, A:A&amp;C:C, D:D, "No 2000 data")</f>
        <v>-52.41</v>
      </c>
    </row>
    <row r="846" spans="1:6" x14ac:dyDescent="0.35">
      <c r="A846" s="16" t="s">
        <v>107</v>
      </c>
      <c r="B846" s="16" t="s">
        <v>134</v>
      </c>
      <c r="C846">
        <v>2019</v>
      </c>
      <c r="D846">
        <v>7.42</v>
      </c>
      <c r="E846" t="str">
        <f>IF(_2[[#This Row],[Year]]=2000,_2[[#This Row],[Share (%)]],"")</f>
        <v/>
      </c>
      <c r="F846" s="16" cm="1">
        <f t="array" ref="F846">D846 - _xlfn.XLOOKUP(A846&amp;2000, A:A&amp;C:C, D:D, "No 2000 data")</f>
        <v>-52.58</v>
      </c>
    </row>
    <row r="847" spans="1:6" x14ac:dyDescent="0.35">
      <c r="A847" s="16" t="s">
        <v>107</v>
      </c>
      <c r="B847" s="16" t="s">
        <v>134</v>
      </c>
      <c r="C847">
        <v>2020</v>
      </c>
      <c r="D847">
        <v>7.39</v>
      </c>
      <c r="E847" t="str">
        <f>IF(_2[[#This Row],[Year]]=2000,_2[[#This Row],[Share (%)]],"")</f>
        <v/>
      </c>
      <c r="F847" s="16" cm="1">
        <f t="array" ref="F847">D847 - _xlfn.XLOOKUP(A847&amp;2000, A:A&amp;C:C, D:D, "No 2000 data")</f>
        <v>-52.61</v>
      </c>
    </row>
    <row r="848" spans="1:6" x14ac:dyDescent="0.35">
      <c r="A848" s="16" t="s">
        <v>107</v>
      </c>
      <c r="B848" s="16" t="s">
        <v>134</v>
      </c>
      <c r="C848">
        <v>2021</v>
      </c>
      <c r="D848">
        <v>6.98</v>
      </c>
      <c r="E848" t="str">
        <f>IF(_2[[#This Row],[Year]]=2000,_2[[#This Row],[Share (%)]],"")</f>
        <v/>
      </c>
      <c r="F848" s="16" cm="1">
        <f t="array" ref="F848">D848 - _xlfn.XLOOKUP(A848&amp;2000, A:A&amp;C:C, D:D, "No 2000 data")</f>
        <v>-53.019999999999996</v>
      </c>
    </row>
    <row r="849" spans="1:6" x14ac:dyDescent="0.35">
      <c r="A849" s="16" t="s">
        <v>107</v>
      </c>
      <c r="B849" s="16" t="s">
        <v>134</v>
      </c>
      <c r="C849">
        <v>2022</v>
      </c>
      <c r="D849">
        <v>6.39</v>
      </c>
      <c r="E849" t="str">
        <f>IF(_2[[#This Row],[Year]]=2000,_2[[#This Row],[Share (%)]],"")</f>
        <v/>
      </c>
      <c r="F849" s="16" cm="1">
        <f t="array" ref="F849">D849 - _xlfn.XLOOKUP(A849&amp;2000, A:A&amp;C:C, D:D, "No 2000 data")</f>
        <v>-53.61</v>
      </c>
    </row>
    <row r="850" spans="1:6" x14ac:dyDescent="0.35">
      <c r="A850" s="16" t="s">
        <v>107</v>
      </c>
      <c r="B850" s="16" t="s">
        <v>134</v>
      </c>
      <c r="C850">
        <v>2023</v>
      </c>
      <c r="D850">
        <v>8.0399999999999991</v>
      </c>
      <c r="E850" t="str">
        <f>IF(_2[[#This Row],[Year]]=2000,_2[[#This Row],[Share (%)]],"")</f>
        <v/>
      </c>
      <c r="F850" s="16" cm="1">
        <f t="array" ref="F850">D850 - _xlfn.XLOOKUP(A850&amp;2000, A:A&amp;C:C, D:D, "No 2000 data")</f>
        <v>-51.96</v>
      </c>
    </row>
    <row r="851" spans="1:6" x14ac:dyDescent="0.35">
      <c r="A851" s="16" t="s">
        <v>107</v>
      </c>
      <c r="B851" s="16" t="s">
        <v>134</v>
      </c>
      <c r="C851">
        <v>2024</v>
      </c>
      <c r="D851">
        <v>8.0399999999999991</v>
      </c>
      <c r="E851" t="str">
        <f>IF(_2[[#This Row],[Year]]=2000,_2[[#This Row],[Share (%)]],"")</f>
        <v/>
      </c>
      <c r="F851" s="16" cm="1">
        <f t="array" ref="F851">D851 - _xlfn.XLOOKUP(A851&amp;2000, A:A&amp;C:C, D:D, "No 2000 data")</f>
        <v>-51.96</v>
      </c>
    </row>
    <row r="852" spans="1:6" x14ac:dyDescent="0.35">
      <c r="A852" s="16" t="s">
        <v>101</v>
      </c>
      <c r="B852" s="16" t="s">
        <v>134</v>
      </c>
      <c r="C852">
        <v>2000</v>
      </c>
      <c r="D852">
        <v>0</v>
      </c>
      <c r="E852">
        <f>IF(_2[[#This Row],[Year]]=2000,_2[[#This Row],[Share (%)]],"")</f>
        <v>0</v>
      </c>
      <c r="F852" s="16" cm="1">
        <f t="array" ref="F852">D852 - _xlfn.XLOOKUP(A852&amp;2000, A:A&amp;C:C, D:D, "No 2000 data")</f>
        <v>0</v>
      </c>
    </row>
    <row r="853" spans="1:6" x14ac:dyDescent="0.35">
      <c r="A853" s="16" t="s">
        <v>101</v>
      </c>
      <c r="B853" s="16" t="s">
        <v>134</v>
      </c>
      <c r="C853">
        <v>2001</v>
      </c>
      <c r="D853">
        <v>0</v>
      </c>
      <c r="E853" t="str">
        <f>IF(_2[[#This Row],[Year]]=2000,_2[[#This Row],[Share (%)]],"")</f>
        <v/>
      </c>
      <c r="F853" s="16" cm="1">
        <f t="array" ref="F853">D853 - _xlfn.XLOOKUP(A853&amp;2000, A:A&amp;C:C, D:D, "No 2000 data")</f>
        <v>0</v>
      </c>
    </row>
    <row r="854" spans="1:6" x14ac:dyDescent="0.35">
      <c r="A854" s="16" t="s">
        <v>101</v>
      </c>
      <c r="B854" s="16" t="s">
        <v>134</v>
      </c>
      <c r="C854">
        <v>2002</v>
      </c>
      <c r="D854">
        <v>0</v>
      </c>
      <c r="E854" t="str">
        <f>IF(_2[[#This Row],[Year]]=2000,_2[[#This Row],[Share (%)]],"")</f>
        <v/>
      </c>
      <c r="F854" s="16" cm="1">
        <f t="array" ref="F854">D854 - _xlfn.XLOOKUP(A854&amp;2000, A:A&amp;C:C, D:D, "No 2000 data")</f>
        <v>0</v>
      </c>
    </row>
    <row r="855" spans="1:6" x14ac:dyDescent="0.35">
      <c r="A855" s="16" t="s">
        <v>101</v>
      </c>
      <c r="B855" s="16" t="s">
        <v>134</v>
      </c>
      <c r="C855">
        <v>2003</v>
      </c>
      <c r="D855">
        <v>0</v>
      </c>
      <c r="E855" t="str">
        <f>IF(_2[[#This Row],[Year]]=2000,_2[[#This Row],[Share (%)]],"")</f>
        <v/>
      </c>
      <c r="F855" s="16" cm="1">
        <f t="array" ref="F855">D855 - _xlfn.XLOOKUP(A855&amp;2000, A:A&amp;C:C, D:D, "No 2000 data")</f>
        <v>0</v>
      </c>
    </row>
    <row r="856" spans="1:6" x14ac:dyDescent="0.35">
      <c r="A856" s="16" t="s">
        <v>101</v>
      </c>
      <c r="B856" s="16" t="s">
        <v>134</v>
      </c>
      <c r="C856">
        <v>2004</v>
      </c>
      <c r="D856">
        <v>0</v>
      </c>
      <c r="E856" t="str">
        <f>IF(_2[[#This Row],[Year]]=2000,_2[[#This Row],[Share (%)]],"")</f>
        <v/>
      </c>
      <c r="F856" s="16" cm="1">
        <f t="array" ref="F856">D856 - _xlfn.XLOOKUP(A856&amp;2000, A:A&amp;C:C, D:D, "No 2000 data")</f>
        <v>0</v>
      </c>
    </row>
    <row r="857" spans="1:6" x14ac:dyDescent="0.35">
      <c r="A857" s="16" t="s">
        <v>101</v>
      </c>
      <c r="B857" s="16" t="s">
        <v>134</v>
      </c>
      <c r="C857">
        <v>2005</v>
      </c>
      <c r="D857">
        <v>0</v>
      </c>
      <c r="E857" t="str">
        <f>IF(_2[[#This Row],[Year]]=2000,_2[[#This Row],[Share (%)]],"")</f>
        <v/>
      </c>
      <c r="F857" s="16" cm="1">
        <f t="array" ref="F857">D857 - _xlfn.XLOOKUP(A857&amp;2000, A:A&amp;C:C, D:D, "No 2000 data")</f>
        <v>0</v>
      </c>
    </row>
    <row r="858" spans="1:6" x14ac:dyDescent="0.35">
      <c r="A858" s="16" t="s">
        <v>101</v>
      </c>
      <c r="B858" s="16" t="s">
        <v>134</v>
      </c>
      <c r="C858">
        <v>2006</v>
      </c>
      <c r="D858">
        <v>0</v>
      </c>
      <c r="E858" t="str">
        <f>IF(_2[[#This Row],[Year]]=2000,_2[[#This Row],[Share (%)]],"")</f>
        <v/>
      </c>
      <c r="F858" s="16" cm="1">
        <f t="array" ref="F858">D858 - _xlfn.XLOOKUP(A858&amp;2000, A:A&amp;C:C, D:D, "No 2000 data")</f>
        <v>0</v>
      </c>
    </row>
    <row r="859" spans="1:6" x14ac:dyDescent="0.35">
      <c r="A859" s="16" t="s">
        <v>101</v>
      </c>
      <c r="B859" s="16" t="s">
        <v>134</v>
      </c>
      <c r="C859">
        <v>2007</v>
      </c>
      <c r="D859">
        <v>0</v>
      </c>
      <c r="E859" t="str">
        <f>IF(_2[[#This Row],[Year]]=2000,_2[[#This Row],[Share (%)]],"")</f>
        <v/>
      </c>
      <c r="F859" s="16" cm="1">
        <f t="array" ref="F859">D859 - _xlfn.XLOOKUP(A859&amp;2000, A:A&amp;C:C, D:D, "No 2000 data")</f>
        <v>0</v>
      </c>
    </row>
    <row r="860" spans="1:6" x14ac:dyDescent="0.35">
      <c r="A860" s="16" t="s">
        <v>101</v>
      </c>
      <c r="B860" s="16" t="s">
        <v>134</v>
      </c>
      <c r="C860">
        <v>2008</v>
      </c>
      <c r="D860">
        <v>0</v>
      </c>
      <c r="E860" t="str">
        <f>IF(_2[[#This Row],[Year]]=2000,_2[[#This Row],[Share (%)]],"")</f>
        <v/>
      </c>
      <c r="F860" s="16" cm="1">
        <f t="array" ref="F860">D860 - _xlfn.XLOOKUP(A860&amp;2000, A:A&amp;C:C, D:D, "No 2000 data")</f>
        <v>0</v>
      </c>
    </row>
    <row r="861" spans="1:6" x14ac:dyDescent="0.35">
      <c r="A861" s="16" t="s">
        <v>101</v>
      </c>
      <c r="B861" s="16" t="s">
        <v>134</v>
      </c>
      <c r="C861">
        <v>2009</v>
      </c>
      <c r="D861">
        <v>0</v>
      </c>
      <c r="E861" t="str">
        <f>IF(_2[[#This Row],[Year]]=2000,_2[[#This Row],[Share (%)]],"")</f>
        <v/>
      </c>
      <c r="F861" s="16" cm="1">
        <f t="array" ref="F861">D861 - _xlfn.XLOOKUP(A861&amp;2000, A:A&amp;C:C, D:D, "No 2000 data")</f>
        <v>0</v>
      </c>
    </row>
    <row r="862" spans="1:6" x14ac:dyDescent="0.35">
      <c r="A862" s="16" t="s">
        <v>101</v>
      </c>
      <c r="B862" s="16" t="s">
        <v>134</v>
      </c>
      <c r="C862">
        <v>2010</v>
      </c>
      <c r="D862">
        <v>9.5299999999999994</v>
      </c>
      <c r="E862" t="str">
        <f>IF(_2[[#This Row],[Year]]=2000,_2[[#This Row],[Share (%)]],"")</f>
        <v/>
      </c>
      <c r="F862" s="16" cm="1">
        <f t="array" ref="F862">D862 - _xlfn.XLOOKUP(A862&amp;2000, A:A&amp;C:C, D:D, "No 2000 data")</f>
        <v>9.5299999999999994</v>
      </c>
    </row>
    <row r="863" spans="1:6" x14ac:dyDescent="0.35">
      <c r="A863" s="16" t="s">
        <v>101</v>
      </c>
      <c r="B863" s="16" t="s">
        <v>134</v>
      </c>
      <c r="C863">
        <v>2011</v>
      </c>
      <c r="D863">
        <v>9.51</v>
      </c>
      <c r="E863" t="str">
        <f>IF(_2[[#This Row],[Year]]=2000,_2[[#This Row],[Share (%)]],"")</f>
        <v/>
      </c>
      <c r="F863" s="16" cm="1">
        <f t="array" ref="F863">D863 - _xlfn.XLOOKUP(A863&amp;2000, A:A&amp;C:C, D:D, "No 2000 data")</f>
        <v>9.51</v>
      </c>
    </row>
    <row r="864" spans="1:6" x14ac:dyDescent="0.35">
      <c r="A864" s="16" t="s">
        <v>101</v>
      </c>
      <c r="B864" s="16" t="s">
        <v>134</v>
      </c>
      <c r="C864">
        <v>2012</v>
      </c>
      <c r="D864">
        <v>9.42</v>
      </c>
      <c r="E864" t="str">
        <f>IF(_2[[#This Row],[Year]]=2000,_2[[#This Row],[Share (%)]],"")</f>
        <v/>
      </c>
      <c r="F864" s="16" cm="1">
        <f t="array" ref="F864">D864 - _xlfn.XLOOKUP(A864&amp;2000, A:A&amp;C:C, D:D, "No 2000 data")</f>
        <v>9.42</v>
      </c>
    </row>
    <row r="865" spans="1:6" x14ac:dyDescent="0.35">
      <c r="A865" s="16" t="s">
        <v>101</v>
      </c>
      <c r="B865" s="16" t="s">
        <v>134</v>
      </c>
      <c r="C865">
        <v>2013</v>
      </c>
      <c r="D865">
        <v>9.09</v>
      </c>
      <c r="E865" t="str">
        <f>IF(_2[[#This Row],[Year]]=2000,_2[[#This Row],[Share (%)]],"")</f>
        <v/>
      </c>
      <c r="F865" s="16" cm="1">
        <f t="array" ref="F865">D865 - _xlfn.XLOOKUP(A865&amp;2000, A:A&amp;C:C, D:D, "No 2000 data")</f>
        <v>9.09</v>
      </c>
    </row>
    <row r="866" spans="1:6" x14ac:dyDescent="0.35">
      <c r="A866" s="16" t="s">
        <v>101</v>
      </c>
      <c r="B866" s="16" t="s">
        <v>134</v>
      </c>
      <c r="C866">
        <v>2014</v>
      </c>
      <c r="D866">
        <v>8.8699999999999992</v>
      </c>
      <c r="E866" t="str">
        <f>IF(_2[[#This Row],[Year]]=2000,_2[[#This Row],[Share (%)]],"")</f>
        <v/>
      </c>
      <c r="F866" s="16" cm="1">
        <f t="array" ref="F866">D866 - _xlfn.XLOOKUP(A866&amp;2000, A:A&amp;C:C, D:D, "No 2000 data")</f>
        <v>8.8699999999999992</v>
      </c>
    </row>
    <row r="867" spans="1:6" x14ac:dyDescent="0.35">
      <c r="A867" s="16" t="s">
        <v>101</v>
      </c>
      <c r="B867" s="16" t="s">
        <v>134</v>
      </c>
      <c r="C867">
        <v>2015</v>
      </c>
      <c r="D867">
        <v>8.89</v>
      </c>
      <c r="E867" t="str">
        <f>IF(_2[[#This Row],[Year]]=2000,_2[[#This Row],[Share (%)]],"")</f>
        <v/>
      </c>
      <c r="F867" s="16" cm="1">
        <f t="array" ref="F867">D867 - _xlfn.XLOOKUP(A867&amp;2000, A:A&amp;C:C, D:D, "No 2000 data")</f>
        <v>8.89</v>
      </c>
    </row>
    <row r="868" spans="1:6" x14ac:dyDescent="0.35">
      <c r="A868" s="16" t="s">
        <v>101</v>
      </c>
      <c r="B868" s="16" t="s">
        <v>134</v>
      </c>
      <c r="C868">
        <v>2016</v>
      </c>
      <c r="D868">
        <v>12.54</v>
      </c>
      <c r="E868" t="str">
        <f>IF(_2[[#This Row],[Year]]=2000,_2[[#This Row],[Share (%)]],"")</f>
        <v/>
      </c>
      <c r="F868" s="16" cm="1">
        <f t="array" ref="F868">D868 - _xlfn.XLOOKUP(A868&amp;2000, A:A&amp;C:C, D:D, "No 2000 data")</f>
        <v>12.54</v>
      </c>
    </row>
    <row r="869" spans="1:6" x14ac:dyDescent="0.35">
      <c r="A869" s="16" t="s">
        <v>101</v>
      </c>
      <c r="B869" s="16" t="s">
        <v>134</v>
      </c>
      <c r="C869">
        <v>2017</v>
      </c>
      <c r="D869">
        <v>16.760000000000002</v>
      </c>
      <c r="E869" t="str">
        <f>IF(_2[[#This Row],[Year]]=2000,_2[[#This Row],[Share (%)]],"")</f>
        <v/>
      </c>
      <c r="F869" s="16" cm="1">
        <f t="array" ref="F869">D869 - _xlfn.XLOOKUP(A869&amp;2000, A:A&amp;C:C, D:D, "No 2000 data")</f>
        <v>16.760000000000002</v>
      </c>
    </row>
    <row r="870" spans="1:6" x14ac:dyDescent="0.35">
      <c r="A870" s="16" t="s">
        <v>101</v>
      </c>
      <c r="B870" s="16" t="s">
        <v>134</v>
      </c>
      <c r="C870">
        <v>2018</v>
      </c>
      <c r="D870">
        <v>15.8</v>
      </c>
      <c r="E870" t="str">
        <f>IF(_2[[#This Row],[Year]]=2000,_2[[#This Row],[Share (%)]],"")</f>
        <v/>
      </c>
      <c r="F870" s="16" cm="1">
        <f t="array" ref="F870">D870 - _xlfn.XLOOKUP(A870&amp;2000, A:A&amp;C:C, D:D, "No 2000 data")</f>
        <v>15.8</v>
      </c>
    </row>
    <row r="871" spans="1:6" x14ac:dyDescent="0.35">
      <c r="A871" s="16" t="s">
        <v>101</v>
      </c>
      <c r="B871" s="16" t="s">
        <v>134</v>
      </c>
      <c r="C871">
        <v>2019</v>
      </c>
      <c r="D871">
        <v>21.45</v>
      </c>
      <c r="E871" t="str">
        <f>IF(_2[[#This Row],[Year]]=2000,_2[[#This Row],[Share (%)]],"")</f>
        <v/>
      </c>
      <c r="F871" s="16" cm="1">
        <f t="array" ref="F871">D871 - _xlfn.XLOOKUP(A871&amp;2000, A:A&amp;C:C, D:D, "No 2000 data")</f>
        <v>21.45</v>
      </c>
    </row>
    <row r="872" spans="1:6" x14ac:dyDescent="0.35">
      <c r="A872" s="16" t="s">
        <v>101</v>
      </c>
      <c r="B872" s="16" t="s">
        <v>134</v>
      </c>
      <c r="C872">
        <v>2020</v>
      </c>
      <c r="D872">
        <v>27.57</v>
      </c>
      <c r="E872" t="str">
        <f>IF(_2[[#This Row],[Year]]=2000,_2[[#This Row],[Share (%)]],"")</f>
        <v/>
      </c>
      <c r="F872" s="16" cm="1">
        <f t="array" ref="F872">D872 - _xlfn.XLOOKUP(A872&amp;2000, A:A&amp;C:C, D:D, "No 2000 data")</f>
        <v>27.57</v>
      </c>
    </row>
    <row r="873" spans="1:6" x14ac:dyDescent="0.35">
      <c r="A873" s="16" t="s">
        <v>101</v>
      </c>
      <c r="B873" s="16" t="s">
        <v>134</v>
      </c>
      <c r="C873">
        <v>2021</v>
      </c>
      <c r="D873">
        <v>31.05</v>
      </c>
      <c r="E873" t="str">
        <f>IF(_2[[#This Row],[Year]]=2000,_2[[#This Row],[Share (%)]],"")</f>
        <v/>
      </c>
      <c r="F873" s="16" cm="1">
        <f t="array" ref="F873">D873 - _xlfn.XLOOKUP(A873&amp;2000, A:A&amp;C:C, D:D, "No 2000 data")</f>
        <v>31.05</v>
      </c>
    </row>
    <row r="874" spans="1:6" x14ac:dyDescent="0.35">
      <c r="A874" s="16" t="s">
        <v>101</v>
      </c>
      <c r="B874" s="16" t="s">
        <v>134</v>
      </c>
      <c r="C874">
        <v>2022</v>
      </c>
      <c r="D874">
        <v>28.73</v>
      </c>
      <c r="E874" t="str">
        <f>IF(_2[[#This Row],[Year]]=2000,_2[[#This Row],[Share (%)]],"")</f>
        <v/>
      </c>
      <c r="F874" s="16" cm="1">
        <f t="array" ref="F874">D874 - _xlfn.XLOOKUP(A874&amp;2000, A:A&amp;C:C, D:D, "No 2000 data")</f>
        <v>28.73</v>
      </c>
    </row>
    <row r="875" spans="1:6" x14ac:dyDescent="0.35">
      <c r="A875" s="16" t="s">
        <v>101</v>
      </c>
      <c r="B875" s="16" t="s">
        <v>134</v>
      </c>
      <c r="C875">
        <v>2023</v>
      </c>
      <c r="D875">
        <v>28.68</v>
      </c>
      <c r="E875" t="str">
        <f>IF(_2[[#This Row],[Year]]=2000,_2[[#This Row],[Share (%)]],"")</f>
        <v/>
      </c>
      <c r="F875" s="16" cm="1">
        <f t="array" ref="F875">D875 - _xlfn.XLOOKUP(A875&amp;2000, A:A&amp;C:C, D:D, "No 2000 data")</f>
        <v>28.68</v>
      </c>
    </row>
    <row r="876" spans="1:6" x14ac:dyDescent="0.35">
      <c r="A876" s="16" t="s">
        <v>101</v>
      </c>
      <c r="B876" s="16" t="s">
        <v>134</v>
      </c>
      <c r="C876">
        <v>2024</v>
      </c>
      <c r="D876">
        <v>25.29</v>
      </c>
      <c r="E876" t="str">
        <f>IF(_2[[#This Row],[Year]]=2000,_2[[#This Row],[Share (%)]],"")</f>
        <v/>
      </c>
      <c r="F876" s="16" cm="1">
        <f t="array" ref="F876">D876 - _xlfn.XLOOKUP(A876&amp;2000, A:A&amp;C:C, D:D, "No 2000 data")</f>
        <v>25.29</v>
      </c>
    </row>
    <row r="877" spans="1:6" hidden="1" x14ac:dyDescent="0.35">
      <c r="A877" s="16" t="s">
        <v>111</v>
      </c>
      <c r="B877" s="16" t="s">
        <v>134</v>
      </c>
      <c r="C877">
        <v>2000</v>
      </c>
      <c r="D877" t="s">
        <v>137</v>
      </c>
      <c r="E877" t="str">
        <f>IF(_2[[#This Row],[Year]]=2000,_2[[#This Row],[Share (%)]],"")</f>
        <v>-</v>
      </c>
      <c r="F877" s="16" t="e" cm="1">
        <f t="array" ref="F877">D877 - _xlfn.XLOOKUP(A877&amp;2000, A:A&amp;C:C, D:D, "No 2000 data")</f>
        <v>#VALUE!</v>
      </c>
    </row>
    <row r="878" spans="1:6" hidden="1" x14ac:dyDescent="0.35">
      <c r="A878" s="16" t="s">
        <v>111</v>
      </c>
      <c r="B878" s="16" t="s">
        <v>134</v>
      </c>
      <c r="C878">
        <v>2001</v>
      </c>
      <c r="D878" t="s">
        <v>137</v>
      </c>
      <c r="E878" t="str">
        <f>IF(_2[[#This Row],[Year]]=2000,_2[[#This Row],[Share (%)]],"")</f>
        <v/>
      </c>
      <c r="F878" s="16" t="e" cm="1">
        <f t="array" ref="F878">D878 - _xlfn.XLOOKUP(A878&amp;2000, A:A&amp;C:C, D:D, "No 2000 data")</f>
        <v>#VALUE!</v>
      </c>
    </row>
    <row r="879" spans="1:6" hidden="1" x14ac:dyDescent="0.35">
      <c r="A879" s="16" t="s">
        <v>111</v>
      </c>
      <c r="B879" s="16" t="s">
        <v>134</v>
      </c>
      <c r="C879">
        <v>2002</v>
      </c>
      <c r="D879" t="s">
        <v>137</v>
      </c>
      <c r="E879" t="str">
        <f>IF(_2[[#This Row],[Year]]=2000,_2[[#This Row],[Share (%)]],"")</f>
        <v/>
      </c>
      <c r="F879" s="16" t="e" cm="1">
        <f t="array" ref="F879">D879 - _xlfn.XLOOKUP(A879&amp;2000, A:A&amp;C:C, D:D, "No 2000 data")</f>
        <v>#VALUE!</v>
      </c>
    </row>
    <row r="880" spans="1:6" hidden="1" x14ac:dyDescent="0.35">
      <c r="A880" s="16" t="s">
        <v>111</v>
      </c>
      <c r="B880" s="16" t="s">
        <v>134</v>
      </c>
      <c r="C880">
        <v>2003</v>
      </c>
      <c r="D880" t="s">
        <v>137</v>
      </c>
      <c r="E880" t="str">
        <f>IF(_2[[#This Row],[Year]]=2000,_2[[#This Row],[Share (%)]],"")</f>
        <v/>
      </c>
      <c r="F880" s="16" t="e" cm="1">
        <f t="array" ref="F880">D880 - _xlfn.XLOOKUP(A880&amp;2000, A:A&amp;C:C, D:D, "No 2000 data")</f>
        <v>#VALUE!</v>
      </c>
    </row>
    <row r="881" spans="1:6" hidden="1" x14ac:dyDescent="0.35">
      <c r="A881" s="16" t="s">
        <v>111</v>
      </c>
      <c r="B881" s="16" t="s">
        <v>134</v>
      </c>
      <c r="C881">
        <v>2004</v>
      </c>
      <c r="D881" t="s">
        <v>137</v>
      </c>
      <c r="E881" t="str">
        <f>IF(_2[[#This Row],[Year]]=2000,_2[[#This Row],[Share (%)]],"")</f>
        <v/>
      </c>
      <c r="F881" s="16" t="e" cm="1">
        <f t="array" ref="F881">D881 - _xlfn.XLOOKUP(A881&amp;2000, A:A&amp;C:C, D:D, "No 2000 data")</f>
        <v>#VALUE!</v>
      </c>
    </row>
    <row r="882" spans="1:6" hidden="1" x14ac:dyDescent="0.35">
      <c r="A882" s="16" t="s">
        <v>111</v>
      </c>
      <c r="B882" s="16" t="s">
        <v>134</v>
      </c>
      <c r="C882">
        <v>2005</v>
      </c>
      <c r="D882" t="s">
        <v>137</v>
      </c>
      <c r="E882" t="str">
        <f>IF(_2[[#This Row],[Year]]=2000,_2[[#This Row],[Share (%)]],"")</f>
        <v/>
      </c>
      <c r="F882" s="16" t="e" cm="1">
        <f t="array" ref="F882">D882 - _xlfn.XLOOKUP(A882&amp;2000, A:A&amp;C:C, D:D, "No 2000 data")</f>
        <v>#VALUE!</v>
      </c>
    </row>
    <row r="883" spans="1:6" hidden="1" x14ac:dyDescent="0.35">
      <c r="A883" s="16" t="s">
        <v>111</v>
      </c>
      <c r="B883" s="16" t="s">
        <v>134</v>
      </c>
      <c r="C883">
        <v>2006</v>
      </c>
      <c r="D883" t="s">
        <v>137</v>
      </c>
      <c r="E883" t="str">
        <f>IF(_2[[#This Row],[Year]]=2000,_2[[#This Row],[Share (%)]],"")</f>
        <v/>
      </c>
      <c r="F883" s="16" t="e" cm="1">
        <f t="array" ref="F883">D883 - _xlfn.XLOOKUP(A883&amp;2000, A:A&amp;C:C, D:D, "No 2000 data")</f>
        <v>#VALUE!</v>
      </c>
    </row>
    <row r="884" spans="1:6" hidden="1" x14ac:dyDescent="0.35">
      <c r="A884" s="16" t="s">
        <v>111</v>
      </c>
      <c r="B884" s="16" t="s">
        <v>134</v>
      </c>
      <c r="C884">
        <v>2007</v>
      </c>
      <c r="D884" t="s">
        <v>137</v>
      </c>
      <c r="E884" t="str">
        <f>IF(_2[[#This Row],[Year]]=2000,_2[[#This Row],[Share (%)]],"")</f>
        <v/>
      </c>
      <c r="F884" s="16" t="e" cm="1">
        <f t="array" ref="F884">D884 - _xlfn.XLOOKUP(A884&amp;2000, A:A&amp;C:C, D:D, "No 2000 data")</f>
        <v>#VALUE!</v>
      </c>
    </row>
    <row r="885" spans="1:6" hidden="1" x14ac:dyDescent="0.35">
      <c r="A885" s="16" t="s">
        <v>111</v>
      </c>
      <c r="B885" s="16" t="s">
        <v>134</v>
      </c>
      <c r="C885">
        <v>2008</v>
      </c>
      <c r="D885" t="s">
        <v>137</v>
      </c>
      <c r="E885" t="str">
        <f>IF(_2[[#This Row],[Year]]=2000,_2[[#This Row],[Share (%)]],"")</f>
        <v/>
      </c>
      <c r="F885" s="16" t="e" cm="1">
        <f t="array" ref="F885">D885 - _xlfn.XLOOKUP(A885&amp;2000, A:A&amp;C:C, D:D, "No 2000 data")</f>
        <v>#VALUE!</v>
      </c>
    </row>
    <row r="886" spans="1:6" hidden="1" x14ac:dyDescent="0.35">
      <c r="A886" s="16" t="s">
        <v>111</v>
      </c>
      <c r="B886" s="16" t="s">
        <v>134</v>
      </c>
      <c r="C886">
        <v>2009</v>
      </c>
      <c r="D886" t="s">
        <v>137</v>
      </c>
      <c r="E886" t="str">
        <f>IF(_2[[#This Row],[Year]]=2000,_2[[#This Row],[Share (%)]],"")</f>
        <v/>
      </c>
      <c r="F886" s="16" t="e" cm="1">
        <f t="array" ref="F886">D886 - _xlfn.XLOOKUP(A886&amp;2000, A:A&amp;C:C, D:D, "No 2000 data")</f>
        <v>#VALUE!</v>
      </c>
    </row>
    <row r="887" spans="1:6" hidden="1" x14ac:dyDescent="0.35">
      <c r="A887" s="16" t="s">
        <v>111</v>
      </c>
      <c r="B887" s="16" t="s">
        <v>134</v>
      </c>
      <c r="C887">
        <v>2010</v>
      </c>
      <c r="D887" t="s">
        <v>137</v>
      </c>
      <c r="E887" t="str">
        <f>IF(_2[[#This Row],[Year]]=2000,_2[[#This Row],[Share (%)]],"")</f>
        <v/>
      </c>
      <c r="F887" s="16" t="e" cm="1">
        <f t="array" ref="F887">D887 - _xlfn.XLOOKUP(A887&amp;2000, A:A&amp;C:C, D:D, "No 2000 data")</f>
        <v>#VALUE!</v>
      </c>
    </row>
    <row r="888" spans="1:6" hidden="1" x14ac:dyDescent="0.35">
      <c r="A888" s="16" t="s">
        <v>111</v>
      </c>
      <c r="B888" s="16" t="s">
        <v>134</v>
      </c>
      <c r="C888">
        <v>2011</v>
      </c>
      <c r="D888" t="s">
        <v>137</v>
      </c>
      <c r="E888" t="str">
        <f>IF(_2[[#This Row],[Year]]=2000,_2[[#This Row],[Share (%)]],"")</f>
        <v/>
      </c>
      <c r="F888" s="16" t="e" cm="1">
        <f t="array" ref="F888">D888 - _xlfn.XLOOKUP(A888&amp;2000, A:A&amp;C:C, D:D, "No 2000 data")</f>
        <v>#VALUE!</v>
      </c>
    </row>
    <row r="889" spans="1:6" hidden="1" x14ac:dyDescent="0.35">
      <c r="A889" s="16" t="s">
        <v>111</v>
      </c>
      <c r="B889" s="16" t="s">
        <v>134</v>
      </c>
      <c r="C889">
        <v>2012</v>
      </c>
      <c r="D889" t="s">
        <v>137</v>
      </c>
      <c r="E889" t="str">
        <f>IF(_2[[#This Row],[Year]]=2000,_2[[#This Row],[Share (%)]],"")</f>
        <v/>
      </c>
      <c r="F889" s="16" t="e" cm="1">
        <f t="array" ref="F889">D889 - _xlfn.XLOOKUP(A889&amp;2000, A:A&amp;C:C, D:D, "No 2000 data")</f>
        <v>#VALUE!</v>
      </c>
    </row>
    <row r="890" spans="1:6" hidden="1" x14ac:dyDescent="0.35">
      <c r="A890" s="16" t="s">
        <v>111</v>
      </c>
      <c r="B890" s="16" t="s">
        <v>134</v>
      </c>
      <c r="C890">
        <v>2013</v>
      </c>
      <c r="D890">
        <v>6.93</v>
      </c>
      <c r="E890" t="str">
        <f>IF(_2[[#This Row],[Year]]=2000,_2[[#This Row],[Share (%)]],"")</f>
        <v/>
      </c>
      <c r="F890" s="16" t="e" cm="1">
        <f t="array" ref="F890">D890 - _xlfn.XLOOKUP(A890&amp;2000, A:A&amp;C:C, D:D, "No 2000 data")</f>
        <v>#VALUE!</v>
      </c>
    </row>
    <row r="891" spans="1:6" hidden="1" x14ac:dyDescent="0.35">
      <c r="A891" s="16" t="s">
        <v>111</v>
      </c>
      <c r="B891" s="16" t="s">
        <v>134</v>
      </c>
      <c r="C891">
        <v>2014</v>
      </c>
      <c r="D891">
        <v>7.62</v>
      </c>
      <c r="E891" t="str">
        <f>IF(_2[[#This Row],[Year]]=2000,_2[[#This Row],[Share (%)]],"")</f>
        <v/>
      </c>
      <c r="F891" s="16" t="e" cm="1">
        <f t="array" ref="F891">D891 - _xlfn.XLOOKUP(A891&amp;2000, A:A&amp;C:C, D:D, "No 2000 data")</f>
        <v>#VALUE!</v>
      </c>
    </row>
    <row r="892" spans="1:6" hidden="1" x14ac:dyDescent="0.35">
      <c r="A892" s="16" t="s">
        <v>111</v>
      </c>
      <c r="B892" s="16" t="s">
        <v>134</v>
      </c>
      <c r="C892">
        <v>2015</v>
      </c>
      <c r="D892">
        <v>7.84</v>
      </c>
      <c r="E892" t="str">
        <f>IF(_2[[#This Row],[Year]]=2000,_2[[#This Row],[Share (%)]],"")</f>
        <v/>
      </c>
      <c r="F892" s="16" t="e" cm="1">
        <f t="array" ref="F892">D892 - _xlfn.XLOOKUP(A892&amp;2000, A:A&amp;C:C, D:D, "No 2000 data")</f>
        <v>#VALUE!</v>
      </c>
    </row>
    <row r="893" spans="1:6" hidden="1" x14ac:dyDescent="0.35">
      <c r="A893" s="16" t="s">
        <v>111</v>
      </c>
      <c r="B893" s="16" t="s">
        <v>134</v>
      </c>
      <c r="C893">
        <v>2016</v>
      </c>
      <c r="D893">
        <v>7.77</v>
      </c>
      <c r="E893" t="str">
        <f>IF(_2[[#This Row],[Year]]=2000,_2[[#This Row],[Share (%)]],"")</f>
        <v/>
      </c>
      <c r="F893" s="16" t="e" cm="1">
        <f t="array" ref="F893">D893 - _xlfn.XLOOKUP(A893&amp;2000, A:A&amp;C:C, D:D, "No 2000 data")</f>
        <v>#VALUE!</v>
      </c>
    </row>
    <row r="894" spans="1:6" hidden="1" x14ac:dyDescent="0.35">
      <c r="A894" s="16" t="s">
        <v>111</v>
      </c>
      <c r="B894" s="16" t="s">
        <v>134</v>
      </c>
      <c r="C894">
        <v>2017</v>
      </c>
      <c r="D894">
        <v>8.57</v>
      </c>
      <c r="E894" t="str">
        <f>IF(_2[[#This Row],[Year]]=2000,_2[[#This Row],[Share (%)]],"")</f>
        <v/>
      </c>
      <c r="F894" s="16" t="e" cm="1">
        <f t="array" ref="F894">D894 - _xlfn.XLOOKUP(A894&amp;2000, A:A&amp;C:C, D:D, "No 2000 data")</f>
        <v>#VALUE!</v>
      </c>
    </row>
    <row r="895" spans="1:6" hidden="1" x14ac:dyDescent="0.35">
      <c r="A895" s="16" t="s">
        <v>111</v>
      </c>
      <c r="B895" s="16" t="s">
        <v>134</v>
      </c>
      <c r="C895">
        <v>2018</v>
      </c>
      <c r="D895">
        <v>9.82</v>
      </c>
      <c r="E895" t="str">
        <f>IF(_2[[#This Row],[Year]]=2000,_2[[#This Row],[Share (%)]],"")</f>
        <v/>
      </c>
      <c r="F895" s="16" t="e" cm="1">
        <f t="array" ref="F895">D895 - _xlfn.XLOOKUP(A895&amp;2000, A:A&amp;C:C, D:D, "No 2000 data")</f>
        <v>#VALUE!</v>
      </c>
    </row>
    <row r="896" spans="1:6" hidden="1" x14ac:dyDescent="0.35">
      <c r="A896" s="16" t="s">
        <v>111</v>
      </c>
      <c r="B896" s="16" t="s">
        <v>134</v>
      </c>
      <c r="C896">
        <v>2019</v>
      </c>
      <c r="D896">
        <v>9.2899999999999991</v>
      </c>
      <c r="E896" t="str">
        <f>IF(_2[[#This Row],[Year]]=2000,_2[[#This Row],[Share (%)]],"")</f>
        <v/>
      </c>
      <c r="F896" s="16" t="e" cm="1">
        <f t="array" ref="F896">D896 - _xlfn.XLOOKUP(A896&amp;2000, A:A&amp;C:C, D:D, "No 2000 data")</f>
        <v>#VALUE!</v>
      </c>
    </row>
    <row r="897" spans="1:6" hidden="1" x14ac:dyDescent="0.35">
      <c r="A897" s="16" t="s">
        <v>111</v>
      </c>
      <c r="B897" s="16" t="s">
        <v>134</v>
      </c>
      <c r="C897">
        <v>2020</v>
      </c>
      <c r="D897">
        <v>11.6</v>
      </c>
      <c r="E897" t="str">
        <f>IF(_2[[#This Row],[Year]]=2000,_2[[#This Row],[Share (%)]],"")</f>
        <v/>
      </c>
      <c r="F897" s="16" t="e" cm="1">
        <f t="array" ref="F897">D897 - _xlfn.XLOOKUP(A897&amp;2000, A:A&amp;C:C, D:D, "No 2000 data")</f>
        <v>#VALUE!</v>
      </c>
    </row>
    <row r="898" spans="1:6" hidden="1" x14ac:dyDescent="0.35">
      <c r="A898" s="16" t="s">
        <v>111</v>
      </c>
      <c r="B898" s="16" t="s">
        <v>134</v>
      </c>
      <c r="C898">
        <v>2021</v>
      </c>
      <c r="D898">
        <v>17.95</v>
      </c>
      <c r="E898" t="str">
        <f>IF(_2[[#This Row],[Year]]=2000,_2[[#This Row],[Share (%)]],"")</f>
        <v/>
      </c>
      <c r="F898" s="16" t="e" cm="1">
        <f t="array" ref="F898">D898 - _xlfn.XLOOKUP(A898&amp;2000, A:A&amp;C:C, D:D, "No 2000 data")</f>
        <v>#VALUE!</v>
      </c>
    </row>
    <row r="899" spans="1:6" hidden="1" x14ac:dyDescent="0.35">
      <c r="A899" s="16" t="s">
        <v>111</v>
      </c>
      <c r="B899" s="16" t="s">
        <v>134</v>
      </c>
      <c r="C899">
        <v>2022</v>
      </c>
      <c r="D899">
        <v>18.29</v>
      </c>
      <c r="E899" t="str">
        <f>IF(_2[[#This Row],[Year]]=2000,_2[[#This Row],[Share (%)]],"")</f>
        <v/>
      </c>
      <c r="F899" s="16" t="e" cm="1">
        <f t="array" ref="F899">D899 - _xlfn.XLOOKUP(A899&amp;2000, A:A&amp;C:C, D:D, "No 2000 data")</f>
        <v>#VALUE!</v>
      </c>
    </row>
    <row r="900" spans="1:6" hidden="1" x14ac:dyDescent="0.35">
      <c r="A900" s="16" t="s">
        <v>111</v>
      </c>
      <c r="B900" s="16" t="s">
        <v>134</v>
      </c>
      <c r="C900">
        <v>2023</v>
      </c>
      <c r="D900">
        <v>18.29</v>
      </c>
      <c r="E900" t="str">
        <f>IF(_2[[#This Row],[Year]]=2000,_2[[#This Row],[Share (%)]],"")</f>
        <v/>
      </c>
      <c r="F900" s="16" t="e" cm="1">
        <f t="array" ref="F900">D900 - _xlfn.XLOOKUP(A900&amp;2000, A:A&amp;C:C, D:D, "No 2000 data")</f>
        <v>#VALUE!</v>
      </c>
    </row>
    <row r="901" spans="1:6" hidden="1" x14ac:dyDescent="0.35">
      <c r="A901" s="16" t="s">
        <v>111</v>
      </c>
      <c r="B901" s="16" t="s">
        <v>134</v>
      </c>
      <c r="C901">
        <v>2024</v>
      </c>
      <c r="D901">
        <v>18.11</v>
      </c>
      <c r="E901" t="str">
        <f>IF(_2[[#This Row],[Year]]=2000,_2[[#This Row],[Share (%)]],"")</f>
        <v/>
      </c>
      <c r="F901" s="16" t="e" cm="1">
        <f t="array" ref="F901">D901 - _xlfn.XLOOKUP(A901&amp;2000, A:A&amp;C:C, D:D, "No 2000 data")</f>
        <v>#VALUE!</v>
      </c>
    </row>
    <row r="902" spans="1:6" x14ac:dyDescent="0.35">
      <c r="A902" s="16" t="s">
        <v>103</v>
      </c>
      <c r="B902" s="16" t="s">
        <v>134</v>
      </c>
      <c r="C902">
        <v>2000</v>
      </c>
      <c r="D902">
        <v>20</v>
      </c>
      <c r="E902">
        <f>IF(_2[[#This Row],[Year]]=2000,_2[[#This Row],[Share (%)]],"")</f>
        <v>20</v>
      </c>
      <c r="F902" s="16" cm="1">
        <f t="array" ref="F902">D902 - _xlfn.XLOOKUP(A902&amp;2000, A:A&amp;C:C, D:D, "No 2000 data")</f>
        <v>0</v>
      </c>
    </row>
    <row r="903" spans="1:6" x14ac:dyDescent="0.35">
      <c r="A903" s="16" t="s">
        <v>103</v>
      </c>
      <c r="B903" s="16" t="s">
        <v>134</v>
      </c>
      <c r="C903">
        <v>2001</v>
      </c>
      <c r="D903">
        <v>20</v>
      </c>
      <c r="E903" t="str">
        <f>IF(_2[[#This Row],[Year]]=2000,_2[[#This Row],[Share (%)]],"")</f>
        <v/>
      </c>
      <c r="F903" s="16" cm="1">
        <f t="array" ref="F903">D903 - _xlfn.XLOOKUP(A903&amp;2000, A:A&amp;C:C, D:D, "No 2000 data")</f>
        <v>0</v>
      </c>
    </row>
    <row r="904" spans="1:6" x14ac:dyDescent="0.35">
      <c r="A904" s="16" t="s">
        <v>103</v>
      </c>
      <c r="B904" s="16" t="s">
        <v>134</v>
      </c>
      <c r="C904">
        <v>2002</v>
      </c>
      <c r="D904">
        <v>20</v>
      </c>
      <c r="E904" t="str">
        <f>IF(_2[[#This Row],[Year]]=2000,_2[[#This Row],[Share (%)]],"")</f>
        <v/>
      </c>
      <c r="F904" s="16" cm="1">
        <f t="array" ref="F904">D904 - _xlfn.XLOOKUP(A904&amp;2000, A:A&amp;C:C, D:D, "No 2000 data")</f>
        <v>0</v>
      </c>
    </row>
    <row r="905" spans="1:6" x14ac:dyDescent="0.35">
      <c r="A905" s="16" t="s">
        <v>103</v>
      </c>
      <c r="B905" s="16" t="s">
        <v>134</v>
      </c>
      <c r="C905">
        <v>2003</v>
      </c>
      <c r="D905">
        <v>20</v>
      </c>
      <c r="E905" t="str">
        <f>IF(_2[[#This Row],[Year]]=2000,_2[[#This Row],[Share (%)]],"")</f>
        <v/>
      </c>
      <c r="F905" s="16" cm="1">
        <f t="array" ref="F905">D905 - _xlfn.XLOOKUP(A905&amp;2000, A:A&amp;C:C, D:D, "No 2000 data")</f>
        <v>0</v>
      </c>
    </row>
    <row r="906" spans="1:6" x14ac:dyDescent="0.35">
      <c r="A906" s="16" t="s">
        <v>103</v>
      </c>
      <c r="B906" s="16" t="s">
        <v>134</v>
      </c>
      <c r="C906">
        <v>2004</v>
      </c>
      <c r="D906">
        <v>20.010000000000002</v>
      </c>
      <c r="E906" t="str">
        <f>IF(_2[[#This Row],[Year]]=2000,_2[[#This Row],[Share (%)]],"")</f>
        <v/>
      </c>
      <c r="F906" s="16" cm="1">
        <f t="array" ref="F906">D906 - _xlfn.XLOOKUP(A906&amp;2000, A:A&amp;C:C, D:D, "No 2000 data")</f>
        <v>1.0000000000001563E-2</v>
      </c>
    </row>
    <row r="907" spans="1:6" x14ac:dyDescent="0.35">
      <c r="A907" s="16" t="s">
        <v>103</v>
      </c>
      <c r="B907" s="16" t="s">
        <v>134</v>
      </c>
      <c r="C907">
        <v>2005</v>
      </c>
      <c r="D907">
        <v>20.02</v>
      </c>
      <c r="E907" t="str">
        <f>IF(_2[[#This Row],[Year]]=2000,_2[[#This Row],[Share (%)]],"")</f>
        <v/>
      </c>
      <c r="F907" s="16" cm="1">
        <f t="array" ref="F907">D907 - _xlfn.XLOOKUP(A907&amp;2000, A:A&amp;C:C, D:D, "No 2000 data")</f>
        <v>1.9999999999999574E-2</v>
      </c>
    </row>
    <row r="908" spans="1:6" x14ac:dyDescent="0.35">
      <c r="A908" s="16" t="s">
        <v>103</v>
      </c>
      <c r="B908" s="16" t="s">
        <v>134</v>
      </c>
      <c r="C908">
        <v>2006</v>
      </c>
      <c r="D908">
        <v>20.02</v>
      </c>
      <c r="E908" t="str">
        <f>IF(_2[[#This Row],[Year]]=2000,_2[[#This Row],[Share (%)]],"")</f>
        <v/>
      </c>
      <c r="F908" s="16" cm="1">
        <f t="array" ref="F908">D908 - _xlfn.XLOOKUP(A908&amp;2000, A:A&amp;C:C, D:D, "No 2000 data")</f>
        <v>1.9999999999999574E-2</v>
      </c>
    </row>
    <row r="909" spans="1:6" x14ac:dyDescent="0.35">
      <c r="A909" s="16" t="s">
        <v>103</v>
      </c>
      <c r="B909" s="16" t="s">
        <v>134</v>
      </c>
      <c r="C909">
        <v>2007</v>
      </c>
      <c r="D909">
        <v>20.13</v>
      </c>
      <c r="E909" t="str">
        <f>IF(_2[[#This Row],[Year]]=2000,_2[[#This Row],[Share (%)]],"")</f>
        <v/>
      </c>
      <c r="F909" s="16" cm="1">
        <f t="array" ref="F909">D909 - _xlfn.XLOOKUP(A909&amp;2000, A:A&amp;C:C, D:D, "No 2000 data")</f>
        <v>0.12999999999999901</v>
      </c>
    </row>
    <row r="910" spans="1:6" x14ac:dyDescent="0.35">
      <c r="A910" s="16" t="s">
        <v>103</v>
      </c>
      <c r="B910" s="16" t="s">
        <v>134</v>
      </c>
      <c r="C910">
        <v>2008</v>
      </c>
      <c r="D910">
        <v>64.48</v>
      </c>
      <c r="E910" t="str">
        <f>IF(_2[[#This Row],[Year]]=2000,_2[[#This Row],[Share (%)]],"")</f>
        <v/>
      </c>
      <c r="F910" s="16" cm="1">
        <f t="array" ref="F910">D910 - _xlfn.XLOOKUP(A910&amp;2000, A:A&amp;C:C, D:D, "No 2000 data")</f>
        <v>44.480000000000004</v>
      </c>
    </row>
    <row r="911" spans="1:6" x14ac:dyDescent="0.35">
      <c r="A911" s="16" t="s">
        <v>103</v>
      </c>
      <c r="B911" s="16" t="s">
        <v>134</v>
      </c>
      <c r="C911">
        <v>2009</v>
      </c>
      <c r="D911">
        <v>64.5</v>
      </c>
      <c r="E911" t="str">
        <f>IF(_2[[#This Row],[Year]]=2000,_2[[#This Row],[Share (%)]],"")</f>
        <v/>
      </c>
      <c r="F911" s="16" cm="1">
        <f t="array" ref="F911">D911 - _xlfn.XLOOKUP(A911&amp;2000, A:A&amp;C:C, D:D, "No 2000 data")</f>
        <v>44.5</v>
      </c>
    </row>
    <row r="912" spans="1:6" x14ac:dyDescent="0.35">
      <c r="A912" s="16" t="s">
        <v>103</v>
      </c>
      <c r="B912" s="16" t="s">
        <v>134</v>
      </c>
      <c r="C912">
        <v>2010</v>
      </c>
      <c r="D912">
        <v>71.77</v>
      </c>
      <c r="E912" t="str">
        <f>IF(_2[[#This Row],[Year]]=2000,_2[[#This Row],[Share (%)]],"")</f>
        <v/>
      </c>
      <c r="F912" s="16" cm="1">
        <f t="array" ref="F912">D912 - _xlfn.XLOOKUP(A912&amp;2000, A:A&amp;C:C, D:D, "No 2000 data")</f>
        <v>51.769999999999996</v>
      </c>
    </row>
    <row r="913" spans="1:6" x14ac:dyDescent="0.35">
      <c r="A913" s="16" t="s">
        <v>103</v>
      </c>
      <c r="B913" s="16" t="s">
        <v>134</v>
      </c>
      <c r="C913">
        <v>2011</v>
      </c>
      <c r="D913">
        <v>59.65</v>
      </c>
      <c r="E913" t="str">
        <f>IF(_2[[#This Row],[Year]]=2000,_2[[#This Row],[Share (%)]],"")</f>
        <v/>
      </c>
      <c r="F913" s="16" cm="1">
        <f t="array" ref="F913">D913 - _xlfn.XLOOKUP(A913&amp;2000, A:A&amp;C:C, D:D, "No 2000 data")</f>
        <v>39.65</v>
      </c>
    </row>
    <row r="914" spans="1:6" x14ac:dyDescent="0.35">
      <c r="A914" s="16" t="s">
        <v>103</v>
      </c>
      <c r="B914" s="16" t="s">
        <v>134</v>
      </c>
      <c r="C914">
        <v>2012</v>
      </c>
      <c r="D914">
        <v>59.77</v>
      </c>
      <c r="E914" t="str">
        <f>IF(_2[[#This Row],[Year]]=2000,_2[[#This Row],[Share (%)]],"")</f>
        <v/>
      </c>
      <c r="F914" s="16" cm="1">
        <f t="array" ref="F914">D914 - _xlfn.XLOOKUP(A914&amp;2000, A:A&amp;C:C, D:D, "No 2000 data")</f>
        <v>39.770000000000003</v>
      </c>
    </row>
    <row r="915" spans="1:6" x14ac:dyDescent="0.35">
      <c r="A915" s="16" t="s">
        <v>103</v>
      </c>
      <c r="B915" s="16" t="s">
        <v>134</v>
      </c>
      <c r="C915">
        <v>2013</v>
      </c>
      <c r="D915">
        <v>59.78</v>
      </c>
      <c r="E915" t="str">
        <f>IF(_2[[#This Row],[Year]]=2000,_2[[#This Row],[Share (%)]],"")</f>
        <v/>
      </c>
      <c r="F915" s="16" cm="1">
        <f t="array" ref="F915">D915 - _xlfn.XLOOKUP(A915&amp;2000, A:A&amp;C:C, D:D, "No 2000 data")</f>
        <v>39.78</v>
      </c>
    </row>
    <row r="916" spans="1:6" x14ac:dyDescent="0.35">
      <c r="A916" s="16" t="s">
        <v>103</v>
      </c>
      <c r="B916" s="16" t="s">
        <v>134</v>
      </c>
      <c r="C916">
        <v>2014</v>
      </c>
      <c r="D916">
        <v>66.599999999999994</v>
      </c>
      <c r="E916" t="str">
        <f>IF(_2[[#This Row],[Year]]=2000,_2[[#This Row],[Share (%)]],"")</f>
        <v/>
      </c>
      <c r="F916" s="16" cm="1">
        <f t="array" ref="F916">D916 - _xlfn.XLOOKUP(A916&amp;2000, A:A&amp;C:C, D:D, "No 2000 data")</f>
        <v>46.599999999999994</v>
      </c>
    </row>
    <row r="917" spans="1:6" x14ac:dyDescent="0.35">
      <c r="A917" s="16" t="s">
        <v>103</v>
      </c>
      <c r="B917" s="16" t="s">
        <v>134</v>
      </c>
      <c r="C917">
        <v>2015</v>
      </c>
      <c r="D917">
        <v>55.38</v>
      </c>
      <c r="E917" t="str">
        <f>IF(_2[[#This Row],[Year]]=2000,_2[[#This Row],[Share (%)]],"")</f>
        <v/>
      </c>
      <c r="F917" s="16" cm="1">
        <f t="array" ref="F917">D917 - _xlfn.XLOOKUP(A917&amp;2000, A:A&amp;C:C, D:D, "No 2000 data")</f>
        <v>35.380000000000003</v>
      </c>
    </row>
    <row r="918" spans="1:6" x14ac:dyDescent="0.35">
      <c r="A918" s="16" t="s">
        <v>103</v>
      </c>
      <c r="B918" s="16" t="s">
        <v>134</v>
      </c>
      <c r="C918">
        <v>2016</v>
      </c>
      <c r="D918">
        <v>55.49</v>
      </c>
      <c r="E918" t="str">
        <f>IF(_2[[#This Row],[Year]]=2000,_2[[#This Row],[Share (%)]],"")</f>
        <v/>
      </c>
      <c r="F918" s="16" cm="1">
        <f t="array" ref="F918">D918 - _xlfn.XLOOKUP(A918&amp;2000, A:A&amp;C:C, D:D, "No 2000 data")</f>
        <v>35.49</v>
      </c>
    </row>
    <row r="919" spans="1:6" x14ac:dyDescent="0.35">
      <c r="A919" s="16" t="s">
        <v>103</v>
      </c>
      <c r="B919" s="16" t="s">
        <v>134</v>
      </c>
      <c r="C919">
        <v>2017</v>
      </c>
      <c r="D919">
        <v>56.93</v>
      </c>
      <c r="E919" t="str">
        <f>IF(_2[[#This Row],[Year]]=2000,_2[[#This Row],[Share (%)]],"")</f>
        <v/>
      </c>
      <c r="F919" s="16" cm="1">
        <f t="array" ref="F919">D919 - _xlfn.XLOOKUP(A919&amp;2000, A:A&amp;C:C, D:D, "No 2000 data")</f>
        <v>36.93</v>
      </c>
    </row>
    <row r="920" spans="1:6" x14ac:dyDescent="0.35">
      <c r="A920" s="16" t="s">
        <v>103</v>
      </c>
      <c r="B920" s="16" t="s">
        <v>134</v>
      </c>
      <c r="C920">
        <v>2018</v>
      </c>
      <c r="D920">
        <v>48.36</v>
      </c>
      <c r="E920" t="str">
        <f>IF(_2[[#This Row],[Year]]=2000,_2[[#This Row],[Share (%)]],"")</f>
        <v/>
      </c>
      <c r="F920" s="16" cm="1">
        <f t="array" ref="F920">D920 - _xlfn.XLOOKUP(A920&amp;2000, A:A&amp;C:C, D:D, "No 2000 data")</f>
        <v>28.36</v>
      </c>
    </row>
    <row r="921" spans="1:6" x14ac:dyDescent="0.35">
      <c r="A921" s="16" t="s">
        <v>103</v>
      </c>
      <c r="B921" s="16" t="s">
        <v>134</v>
      </c>
      <c r="C921">
        <v>2019</v>
      </c>
      <c r="D921">
        <v>41.71</v>
      </c>
      <c r="E921" t="str">
        <f>IF(_2[[#This Row],[Year]]=2000,_2[[#This Row],[Share (%)]],"")</f>
        <v/>
      </c>
      <c r="F921" s="16" cm="1">
        <f t="array" ref="F921">D921 - _xlfn.XLOOKUP(A921&amp;2000, A:A&amp;C:C, D:D, "No 2000 data")</f>
        <v>21.71</v>
      </c>
    </row>
    <row r="922" spans="1:6" x14ac:dyDescent="0.35">
      <c r="A922" s="16" t="s">
        <v>103</v>
      </c>
      <c r="B922" s="16" t="s">
        <v>134</v>
      </c>
      <c r="C922">
        <v>2020</v>
      </c>
      <c r="D922">
        <v>42.22</v>
      </c>
      <c r="E922" t="str">
        <f>IF(_2[[#This Row],[Year]]=2000,_2[[#This Row],[Share (%)]],"")</f>
        <v/>
      </c>
      <c r="F922" s="16" cm="1">
        <f t="array" ref="F922">D922 - _xlfn.XLOOKUP(A922&amp;2000, A:A&amp;C:C, D:D, "No 2000 data")</f>
        <v>22.22</v>
      </c>
    </row>
    <row r="923" spans="1:6" x14ac:dyDescent="0.35">
      <c r="A923" s="16" t="s">
        <v>103</v>
      </c>
      <c r="B923" s="16" t="s">
        <v>134</v>
      </c>
      <c r="C923">
        <v>2021</v>
      </c>
      <c r="D923">
        <v>44.11</v>
      </c>
      <c r="E923" t="str">
        <f>IF(_2[[#This Row],[Year]]=2000,_2[[#This Row],[Share (%)]],"")</f>
        <v/>
      </c>
      <c r="F923" s="16" cm="1">
        <f t="array" ref="F923">D923 - _xlfn.XLOOKUP(A923&amp;2000, A:A&amp;C:C, D:D, "No 2000 data")</f>
        <v>24.11</v>
      </c>
    </row>
    <row r="924" spans="1:6" x14ac:dyDescent="0.35">
      <c r="A924" s="16" t="s">
        <v>103</v>
      </c>
      <c r="B924" s="16" t="s">
        <v>134</v>
      </c>
      <c r="C924">
        <v>2022</v>
      </c>
      <c r="D924">
        <v>45.28</v>
      </c>
      <c r="E924" t="str">
        <f>IF(_2[[#This Row],[Year]]=2000,_2[[#This Row],[Share (%)]],"")</f>
        <v/>
      </c>
      <c r="F924" s="16" cm="1">
        <f t="array" ref="F924">D924 - _xlfn.XLOOKUP(A924&amp;2000, A:A&amp;C:C, D:D, "No 2000 data")</f>
        <v>25.28</v>
      </c>
    </row>
    <row r="925" spans="1:6" x14ac:dyDescent="0.35">
      <c r="A925" s="16" t="s">
        <v>103</v>
      </c>
      <c r="B925" s="16" t="s">
        <v>134</v>
      </c>
      <c r="C925">
        <v>2023</v>
      </c>
      <c r="D925">
        <v>45.35</v>
      </c>
      <c r="E925" t="str">
        <f>IF(_2[[#This Row],[Year]]=2000,_2[[#This Row],[Share (%)]],"")</f>
        <v/>
      </c>
      <c r="F925" s="16" cm="1">
        <f t="array" ref="F925">D925 - _xlfn.XLOOKUP(A925&amp;2000, A:A&amp;C:C, D:D, "No 2000 data")</f>
        <v>25.35</v>
      </c>
    </row>
    <row r="926" spans="1:6" x14ac:dyDescent="0.35">
      <c r="A926" s="16" t="s">
        <v>103</v>
      </c>
      <c r="B926" s="16" t="s">
        <v>134</v>
      </c>
      <c r="C926">
        <v>2024</v>
      </c>
      <c r="D926">
        <v>45.35</v>
      </c>
      <c r="E926" t="str">
        <f>IF(_2[[#This Row],[Year]]=2000,_2[[#This Row],[Share (%)]],"")</f>
        <v/>
      </c>
      <c r="F926" s="16" cm="1">
        <f t="array" ref="F926">D926 - _xlfn.XLOOKUP(A926&amp;2000, A:A&amp;C:C, D:D, "No 2000 data")</f>
        <v>25.35</v>
      </c>
    </row>
    <row r="927" spans="1:6" hidden="1" x14ac:dyDescent="0.35">
      <c r="A927" s="16" t="s">
        <v>139</v>
      </c>
      <c r="B927" s="16" t="s">
        <v>134</v>
      </c>
      <c r="C927">
        <v>2000</v>
      </c>
      <c r="D927" t="s">
        <v>137</v>
      </c>
      <c r="E927" t="str">
        <f>IF(_2[[#This Row],[Year]]=2000,_2[[#This Row],[Share (%)]],"")</f>
        <v>-</v>
      </c>
      <c r="F927" s="16" t="e" cm="1">
        <f t="array" ref="F927">D927 - _xlfn.XLOOKUP(A927&amp;2000, A:A&amp;C:C, D:D, "No 2000 data")</f>
        <v>#VALUE!</v>
      </c>
    </row>
    <row r="928" spans="1:6" hidden="1" x14ac:dyDescent="0.35">
      <c r="A928" s="16" t="s">
        <v>139</v>
      </c>
      <c r="B928" s="16" t="s">
        <v>134</v>
      </c>
      <c r="C928">
        <v>2001</v>
      </c>
      <c r="D928" t="s">
        <v>137</v>
      </c>
      <c r="E928" t="str">
        <f>IF(_2[[#This Row],[Year]]=2000,_2[[#This Row],[Share (%)]],"")</f>
        <v/>
      </c>
      <c r="F928" s="16" t="e" cm="1">
        <f t="array" ref="F928">D928 - _xlfn.XLOOKUP(A928&amp;2000, A:A&amp;C:C, D:D, "No 2000 data")</f>
        <v>#VALUE!</v>
      </c>
    </row>
    <row r="929" spans="1:6" hidden="1" x14ac:dyDescent="0.35">
      <c r="A929" s="16" t="s">
        <v>139</v>
      </c>
      <c r="B929" s="16" t="s">
        <v>134</v>
      </c>
      <c r="C929">
        <v>2002</v>
      </c>
      <c r="D929" t="s">
        <v>137</v>
      </c>
      <c r="E929" t="str">
        <f>IF(_2[[#This Row],[Year]]=2000,_2[[#This Row],[Share (%)]],"")</f>
        <v/>
      </c>
      <c r="F929" s="16" t="e" cm="1">
        <f t="array" ref="F929">D929 - _xlfn.XLOOKUP(A929&amp;2000, A:A&amp;C:C, D:D, "No 2000 data")</f>
        <v>#VALUE!</v>
      </c>
    </row>
    <row r="930" spans="1:6" hidden="1" x14ac:dyDescent="0.35">
      <c r="A930" s="16" t="s">
        <v>139</v>
      </c>
      <c r="B930" s="16" t="s">
        <v>134</v>
      </c>
      <c r="C930">
        <v>2003</v>
      </c>
      <c r="D930" t="s">
        <v>137</v>
      </c>
      <c r="E930" t="str">
        <f>IF(_2[[#This Row],[Year]]=2000,_2[[#This Row],[Share (%)]],"")</f>
        <v/>
      </c>
      <c r="F930" s="16" t="e" cm="1">
        <f t="array" ref="F930">D930 - _xlfn.XLOOKUP(A930&amp;2000, A:A&amp;C:C, D:D, "No 2000 data")</f>
        <v>#VALUE!</v>
      </c>
    </row>
    <row r="931" spans="1:6" hidden="1" x14ac:dyDescent="0.35">
      <c r="A931" s="16" t="s">
        <v>139</v>
      </c>
      <c r="B931" s="16" t="s">
        <v>134</v>
      </c>
      <c r="C931">
        <v>2004</v>
      </c>
      <c r="D931" t="s">
        <v>137</v>
      </c>
      <c r="E931" t="str">
        <f>IF(_2[[#This Row],[Year]]=2000,_2[[#This Row],[Share (%)]],"")</f>
        <v/>
      </c>
      <c r="F931" s="16" t="e" cm="1">
        <f t="array" ref="F931">D931 - _xlfn.XLOOKUP(A931&amp;2000, A:A&amp;C:C, D:D, "No 2000 data")</f>
        <v>#VALUE!</v>
      </c>
    </row>
    <row r="932" spans="1:6" hidden="1" x14ac:dyDescent="0.35">
      <c r="A932" s="16" t="s">
        <v>139</v>
      </c>
      <c r="B932" s="16" t="s">
        <v>134</v>
      </c>
      <c r="C932">
        <v>2005</v>
      </c>
      <c r="D932" t="s">
        <v>137</v>
      </c>
      <c r="E932" t="str">
        <f>IF(_2[[#This Row],[Year]]=2000,_2[[#This Row],[Share (%)]],"")</f>
        <v/>
      </c>
      <c r="F932" s="16" t="e" cm="1">
        <f t="array" ref="F932">D932 - _xlfn.XLOOKUP(A932&amp;2000, A:A&amp;C:C, D:D, "No 2000 data")</f>
        <v>#VALUE!</v>
      </c>
    </row>
    <row r="933" spans="1:6" hidden="1" x14ac:dyDescent="0.35">
      <c r="A933" s="16" t="s">
        <v>139</v>
      </c>
      <c r="B933" s="16" t="s">
        <v>134</v>
      </c>
      <c r="C933">
        <v>2006</v>
      </c>
      <c r="D933" t="s">
        <v>137</v>
      </c>
      <c r="E933" t="str">
        <f>IF(_2[[#This Row],[Year]]=2000,_2[[#This Row],[Share (%)]],"")</f>
        <v/>
      </c>
      <c r="F933" s="16" t="e" cm="1">
        <f t="array" ref="F933">D933 - _xlfn.XLOOKUP(A933&amp;2000, A:A&amp;C:C, D:D, "No 2000 data")</f>
        <v>#VALUE!</v>
      </c>
    </row>
    <row r="934" spans="1:6" hidden="1" x14ac:dyDescent="0.35">
      <c r="A934" s="16" t="s">
        <v>139</v>
      </c>
      <c r="B934" s="16" t="s">
        <v>134</v>
      </c>
      <c r="C934">
        <v>2007</v>
      </c>
      <c r="D934" t="s">
        <v>137</v>
      </c>
      <c r="E934" t="str">
        <f>IF(_2[[#This Row],[Year]]=2000,_2[[#This Row],[Share (%)]],"")</f>
        <v/>
      </c>
      <c r="F934" s="16" t="e" cm="1">
        <f t="array" ref="F934">D934 - _xlfn.XLOOKUP(A934&amp;2000, A:A&amp;C:C, D:D, "No 2000 data")</f>
        <v>#VALUE!</v>
      </c>
    </row>
    <row r="935" spans="1:6" hidden="1" x14ac:dyDescent="0.35">
      <c r="A935" s="16" t="s">
        <v>139</v>
      </c>
      <c r="B935" s="16" t="s">
        <v>134</v>
      </c>
      <c r="C935">
        <v>2008</v>
      </c>
      <c r="D935">
        <v>0.02</v>
      </c>
      <c r="E935" t="str">
        <f>IF(_2[[#This Row],[Year]]=2000,_2[[#This Row],[Share (%)]],"")</f>
        <v/>
      </c>
      <c r="F935" s="16" t="e" cm="1">
        <f t="array" ref="F935">D935 - _xlfn.XLOOKUP(A935&amp;2000, A:A&amp;C:C, D:D, "No 2000 data")</f>
        <v>#VALUE!</v>
      </c>
    </row>
    <row r="936" spans="1:6" hidden="1" x14ac:dyDescent="0.35">
      <c r="A936" s="16" t="s">
        <v>139</v>
      </c>
      <c r="B936" s="16" t="s">
        <v>134</v>
      </c>
      <c r="C936">
        <v>2009</v>
      </c>
      <c r="D936">
        <v>0.02</v>
      </c>
      <c r="E936" t="str">
        <f>IF(_2[[#This Row],[Year]]=2000,_2[[#This Row],[Share (%)]],"")</f>
        <v/>
      </c>
      <c r="F936" s="16" t="e" cm="1">
        <f t="array" ref="F936">D936 - _xlfn.XLOOKUP(A936&amp;2000, A:A&amp;C:C, D:D, "No 2000 data")</f>
        <v>#VALUE!</v>
      </c>
    </row>
    <row r="937" spans="1:6" hidden="1" x14ac:dyDescent="0.35">
      <c r="A937" s="16" t="s">
        <v>139</v>
      </c>
      <c r="B937" s="16" t="s">
        <v>134</v>
      </c>
      <c r="C937">
        <v>2010</v>
      </c>
      <c r="D937">
        <v>0.02</v>
      </c>
      <c r="E937" t="str">
        <f>IF(_2[[#This Row],[Year]]=2000,_2[[#This Row],[Share (%)]],"")</f>
        <v/>
      </c>
      <c r="F937" s="16" t="e" cm="1">
        <f t="array" ref="F937">D937 - _xlfn.XLOOKUP(A937&amp;2000, A:A&amp;C:C, D:D, "No 2000 data")</f>
        <v>#VALUE!</v>
      </c>
    </row>
    <row r="938" spans="1:6" hidden="1" x14ac:dyDescent="0.35">
      <c r="A938" s="16" t="s">
        <v>139</v>
      </c>
      <c r="B938" s="16" t="s">
        <v>134</v>
      </c>
      <c r="C938">
        <v>2011</v>
      </c>
      <c r="D938">
        <v>0.02</v>
      </c>
      <c r="E938" t="str">
        <f>IF(_2[[#This Row],[Year]]=2000,_2[[#This Row],[Share (%)]],"")</f>
        <v/>
      </c>
      <c r="F938" s="16" t="e" cm="1">
        <f t="array" ref="F938">D938 - _xlfn.XLOOKUP(A938&amp;2000, A:A&amp;C:C, D:D, "No 2000 data")</f>
        <v>#VALUE!</v>
      </c>
    </row>
    <row r="939" spans="1:6" hidden="1" x14ac:dyDescent="0.35">
      <c r="A939" s="16" t="s">
        <v>139</v>
      </c>
      <c r="B939" s="16" t="s">
        <v>134</v>
      </c>
      <c r="C939">
        <v>2012</v>
      </c>
      <c r="D939">
        <v>2.7</v>
      </c>
      <c r="E939" t="str">
        <f>IF(_2[[#This Row],[Year]]=2000,_2[[#This Row],[Share (%)]],"")</f>
        <v/>
      </c>
      <c r="F939" s="16" t="e" cm="1">
        <f t="array" ref="F939">D939 - _xlfn.XLOOKUP(A939&amp;2000, A:A&amp;C:C, D:D, "No 2000 data")</f>
        <v>#VALUE!</v>
      </c>
    </row>
    <row r="940" spans="1:6" hidden="1" x14ac:dyDescent="0.35">
      <c r="A940" s="16" t="s">
        <v>139</v>
      </c>
      <c r="B940" s="16" t="s">
        <v>134</v>
      </c>
      <c r="C940">
        <v>2013</v>
      </c>
      <c r="D940">
        <v>2.7</v>
      </c>
      <c r="E940" t="str">
        <f>IF(_2[[#This Row],[Year]]=2000,_2[[#This Row],[Share (%)]],"")</f>
        <v/>
      </c>
      <c r="F940" s="16" t="e" cm="1">
        <f t="array" ref="F940">D940 - _xlfn.XLOOKUP(A940&amp;2000, A:A&amp;C:C, D:D, "No 2000 data")</f>
        <v>#VALUE!</v>
      </c>
    </row>
    <row r="941" spans="1:6" hidden="1" x14ac:dyDescent="0.35">
      <c r="A941" s="16" t="s">
        <v>139</v>
      </c>
      <c r="B941" s="16" t="s">
        <v>134</v>
      </c>
      <c r="C941">
        <v>2014</v>
      </c>
      <c r="D941">
        <v>2.83</v>
      </c>
      <c r="E941" t="str">
        <f>IF(_2[[#This Row],[Year]]=2000,_2[[#This Row],[Share (%)]],"")</f>
        <v/>
      </c>
      <c r="F941" s="16" t="e" cm="1">
        <f t="array" ref="F941">D941 - _xlfn.XLOOKUP(A941&amp;2000, A:A&amp;C:C, D:D, "No 2000 data")</f>
        <v>#VALUE!</v>
      </c>
    </row>
    <row r="942" spans="1:6" hidden="1" x14ac:dyDescent="0.35">
      <c r="A942" s="16" t="s">
        <v>139</v>
      </c>
      <c r="B942" s="16" t="s">
        <v>134</v>
      </c>
      <c r="C942">
        <v>2015</v>
      </c>
      <c r="D942">
        <v>3.57</v>
      </c>
      <c r="E942" t="str">
        <f>IF(_2[[#This Row],[Year]]=2000,_2[[#This Row],[Share (%)]],"")</f>
        <v/>
      </c>
      <c r="F942" s="16" t="e" cm="1">
        <f t="array" ref="F942">D942 - _xlfn.XLOOKUP(A942&amp;2000, A:A&amp;C:C, D:D, "No 2000 data")</f>
        <v>#VALUE!</v>
      </c>
    </row>
    <row r="943" spans="1:6" hidden="1" x14ac:dyDescent="0.35">
      <c r="A943" s="16" t="s">
        <v>139</v>
      </c>
      <c r="B943" s="16" t="s">
        <v>134</v>
      </c>
      <c r="C943">
        <v>2016</v>
      </c>
      <c r="D943">
        <v>4.6500000000000004</v>
      </c>
      <c r="E943" t="str">
        <f>IF(_2[[#This Row],[Year]]=2000,_2[[#This Row],[Share (%)]],"")</f>
        <v/>
      </c>
      <c r="F943" s="16" t="e" cm="1">
        <f t="array" ref="F943">D943 - _xlfn.XLOOKUP(A943&amp;2000, A:A&amp;C:C, D:D, "No 2000 data")</f>
        <v>#VALUE!</v>
      </c>
    </row>
    <row r="944" spans="1:6" hidden="1" x14ac:dyDescent="0.35">
      <c r="A944" s="16" t="s">
        <v>139</v>
      </c>
      <c r="B944" s="16" t="s">
        <v>134</v>
      </c>
      <c r="C944">
        <v>2017</v>
      </c>
      <c r="D944">
        <v>6.03</v>
      </c>
      <c r="E944" t="str">
        <f>IF(_2[[#This Row],[Year]]=2000,_2[[#This Row],[Share (%)]],"")</f>
        <v/>
      </c>
      <c r="F944" s="16" t="e" cm="1">
        <f t="array" ref="F944">D944 - _xlfn.XLOOKUP(A944&amp;2000, A:A&amp;C:C, D:D, "No 2000 data")</f>
        <v>#VALUE!</v>
      </c>
    </row>
    <row r="945" spans="1:6" hidden="1" x14ac:dyDescent="0.35">
      <c r="A945" s="16" t="s">
        <v>139</v>
      </c>
      <c r="B945" s="16" t="s">
        <v>134</v>
      </c>
      <c r="C945">
        <v>2018</v>
      </c>
      <c r="D945">
        <v>5.5</v>
      </c>
      <c r="E945" t="str">
        <f>IF(_2[[#This Row],[Year]]=2000,_2[[#This Row],[Share (%)]],"")</f>
        <v/>
      </c>
      <c r="F945" s="16" t="e" cm="1">
        <f t="array" ref="F945">D945 - _xlfn.XLOOKUP(A945&amp;2000, A:A&amp;C:C, D:D, "No 2000 data")</f>
        <v>#VALUE!</v>
      </c>
    </row>
    <row r="946" spans="1:6" hidden="1" x14ac:dyDescent="0.35">
      <c r="A946" s="16" t="s">
        <v>139</v>
      </c>
      <c r="B946" s="16" t="s">
        <v>134</v>
      </c>
      <c r="C946">
        <v>2019</v>
      </c>
      <c r="D946">
        <v>5.65</v>
      </c>
      <c r="E946" t="str">
        <f>IF(_2[[#This Row],[Year]]=2000,_2[[#This Row],[Share (%)]],"")</f>
        <v/>
      </c>
      <c r="F946" s="16" t="e" cm="1">
        <f t="array" ref="F946">D946 - _xlfn.XLOOKUP(A946&amp;2000, A:A&amp;C:C, D:D, "No 2000 data")</f>
        <v>#VALUE!</v>
      </c>
    </row>
    <row r="947" spans="1:6" hidden="1" x14ac:dyDescent="0.35">
      <c r="A947" s="16" t="s">
        <v>139</v>
      </c>
      <c r="B947" s="16" t="s">
        <v>134</v>
      </c>
      <c r="C947">
        <v>2020</v>
      </c>
      <c r="D947">
        <v>12.63</v>
      </c>
      <c r="E947" t="str">
        <f>IF(_2[[#This Row],[Year]]=2000,_2[[#This Row],[Share (%)]],"")</f>
        <v/>
      </c>
      <c r="F947" s="16" t="e" cm="1">
        <f t="array" ref="F947">D947 - _xlfn.XLOOKUP(A947&amp;2000, A:A&amp;C:C, D:D, "No 2000 data")</f>
        <v>#VALUE!</v>
      </c>
    </row>
    <row r="948" spans="1:6" hidden="1" x14ac:dyDescent="0.35">
      <c r="A948" s="16" t="s">
        <v>139</v>
      </c>
      <c r="B948" s="16" t="s">
        <v>134</v>
      </c>
      <c r="C948">
        <v>2021</v>
      </c>
      <c r="D948">
        <v>17.48</v>
      </c>
      <c r="E948" t="str">
        <f>IF(_2[[#This Row],[Year]]=2000,_2[[#This Row],[Share (%)]],"")</f>
        <v/>
      </c>
      <c r="F948" s="16" t="e" cm="1">
        <f t="array" ref="F948">D948 - _xlfn.XLOOKUP(A948&amp;2000, A:A&amp;C:C, D:D, "No 2000 data")</f>
        <v>#VALUE!</v>
      </c>
    </row>
    <row r="949" spans="1:6" hidden="1" x14ac:dyDescent="0.35">
      <c r="A949" s="16" t="s">
        <v>139</v>
      </c>
      <c r="B949" s="16" t="s">
        <v>134</v>
      </c>
      <c r="C949">
        <v>2022</v>
      </c>
      <c r="D949">
        <v>30.24</v>
      </c>
      <c r="E949" t="str">
        <f>IF(_2[[#This Row],[Year]]=2000,_2[[#This Row],[Share (%)]],"")</f>
        <v/>
      </c>
      <c r="F949" s="16" t="e" cm="1">
        <f t="array" ref="F949">D949 - _xlfn.XLOOKUP(A949&amp;2000, A:A&amp;C:C, D:D, "No 2000 data")</f>
        <v>#VALUE!</v>
      </c>
    </row>
    <row r="950" spans="1:6" hidden="1" x14ac:dyDescent="0.35">
      <c r="A950" s="16" t="s">
        <v>139</v>
      </c>
      <c r="B950" s="16" t="s">
        <v>134</v>
      </c>
      <c r="C950">
        <v>2023</v>
      </c>
      <c r="D950">
        <v>31.81</v>
      </c>
      <c r="E950" t="str">
        <f>IF(_2[[#This Row],[Year]]=2000,_2[[#This Row],[Share (%)]],"")</f>
        <v/>
      </c>
      <c r="F950" s="16" t="e" cm="1">
        <f t="array" ref="F950">D950 - _xlfn.XLOOKUP(A950&amp;2000, A:A&amp;C:C, D:D, "No 2000 data")</f>
        <v>#VALUE!</v>
      </c>
    </row>
    <row r="951" spans="1:6" hidden="1" x14ac:dyDescent="0.35">
      <c r="A951" s="16" t="s">
        <v>139</v>
      </c>
      <c r="B951" s="16" t="s">
        <v>134</v>
      </c>
      <c r="C951">
        <v>2024</v>
      </c>
      <c r="D951">
        <v>31.81</v>
      </c>
      <c r="E951" t="str">
        <f>IF(_2[[#This Row],[Year]]=2000,_2[[#This Row],[Share (%)]],"")</f>
        <v/>
      </c>
      <c r="F951" s="16" t="e" cm="1">
        <f t="array" ref="F951">D951 - _xlfn.XLOOKUP(A951&amp;2000, A:A&amp;C:C, D:D, "No 2000 data")</f>
        <v>#VALUE!</v>
      </c>
    </row>
    <row r="952" spans="1:6" x14ac:dyDescent="0.35">
      <c r="A952" s="16" t="s">
        <v>124</v>
      </c>
      <c r="B952" s="16" t="s">
        <v>134</v>
      </c>
      <c r="C952">
        <v>2000</v>
      </c>
      <c r="D952">
        <v>3.47</v>
      </c>
      <c r="E952">
        <f>IF(_2[[#This Row],[Year]]=2000,_2[[#This Row],[Share (%)]],"")</f>
        <v>3.47</v>
      </c>
      <c r="F952" s="16" cm="1">
        <f t="array" ref="F952">D952 - _xlfn.XLOOKUP(A952&amp;2000, A:A&amp;C:C, D:D, "No 2000 data")</f>
        <v>0</v>
      </c>
    </row>
    <row r="953" spans="1:6" x14ac:dyDescent="0.35">
      <c r="A953" s="16" t="s">
        <v>124</v>
      </c>
      <c r="B953" s="16" t="s">
        <v>134</v>
      </c>
      <c r="C953">
        <v>2001</v>
      </c>
      <c r="D953">
        <v>3.37</v>
      </c>
      <c r="E953" t="str">
        <f>IF(_2[[#This Row],[Year]]=2000,_2[[#This Row],[Share (%)]],"")</f>
        <v/>
      </c>
      <c r="F953" s="16" cm="1">
        <f t="array" ref="F953">D953 - _xlfn.XLOOKUP(A953&amp;2000, A:A&amp;C:C, D:D, "No 2000 data")</f>
        <v>-0.10000000000000009</v>
      </c>
    </row>
    <row r="954" spans="1:6" x14ac:dyDescent="0.35">
      <c r="A954" s="16" t="s">
        <v>124</v>
      </c>
      <c r="B954" s="16" t="s">
        <v>134</v>
      </c>
      <c r="C954">
        <v>2002</v>
      </c>
      <c r="D954">
        <v>3.37</v>
      </c>
      <c r="E954" t="str">
        <f>IF(_2[[#This Row],[Year]]=2000,_2[[#This Row],[Share (%)]],"")</f>
        <v/>
      </c>
      <c r="F954" s="16" cm="1">
        <f t="array" ref="F954">D954 - _xlfn.XLOOKUP(A954&amp;2000, A:A&amp;C:C, D:D, "No 2000 data")</f>
        <v>-0.10000000000000009</v>
      </c>
    </row>
    <row r="955" spans="1:6" x14ac:dyDescent="0.35">
      <c r="A955" s="16" t="s">
        <v>124</v>
      </c>
      <c r="B955" s="16" t="s">
        <v>134</v>
      </c>
      <c r="C955">
        <v>2003</v>
      </c>
      <c r="D955">
        <v>4.13</v>
      </c>
      <c r="E955" t="str">
        <f>IF(_2[[#This Row],[Year]]=2000,_2[[#This Row],[Share (%)]],"")</f>
        <v/>
      </c>
      <c r="F955" s="16" cm="1">
        <f t="array" ref="F955">D955 - _xlfn.XLOOKUP(A955&amp;2000, A:A&amp;C:C, D:D, "No 2000 data")</f>
        <v>0.6599999999999997</v>
      </c>
    </row>
    <row r="956" spans="1:6" x14ac:dyDescent="0.35">
      <c r="A956" s="16" t="s">
        <v>124</v>
      </c>
      <c r="B956" s="16" t="s">
        <v>134</v>
      </c>
      <c r="C956">
        <v>2004</v>
      </c>
      <c r="D956">
        <v>2.5099999999999998</v>
      </c>
      <c r="E956" t="str">
        <f>IF(_2[[#This Row],[Year]]=2000,_2[[#This Row],[Share (%)]],"")</f>
        <v/>
      </c>
      <c r="F956" s="16" cm="1">
        <f t="array" ref="F956">D956 - _xlfn.XLOOKUP(A956&amp;2000, A:A&amp;C:C, D:D, "No 2000 data")</f>
        <v>-0.96000000000000041</v>
      </c>
    </row>
    <row r="957" spans="1:6" x14ac:dyDescent="0.35">
      <c r="A957" s="16" t="s">
        <v>124</v>
      </c>
      <c r="B957" s="16" t="s">
        <v>134</v>
      </c>
      <c r="C957">
        <v>2005</v>
      </c>
      <c r="D957">
        <v>2.4700000000000002</v>
      </c>
      <c r="E957" t="str">
        <f>IF(_2[[#This Row],[Year]]=2000,_2[[#This Row],[Share (%)]],"")</f>
        <v/>
      </c>
      <c r="F957" s="16" cm="1">
        <f t="array" ref="F957">D957 - _xlfn.XLOOKUP(A957&amp;2000, A:A&amp;C:C, D:D, "No 2000 data")</f>
        <v>-1</v>
      </c>
    </row>
    <row r="958" spans="1:6" x14ac:dyDescent="0.35">
      <c r="A958" s="16" t="s">
        <v>124</v>
      </c>
      <c r="B958" s="16" t="s">
        <v>134</v>
      </c>
      <c r="C958">
        <v>2006</v>
      </c>
      <c r="D958">
        <v>2.46</v>
      </c>
      <c r="E958" t="str">
        <f>IF(_2[[#This Row],[Year]]=2000,_2[[#This Row],[Share (%)]],"")</f>
        <v/>
      </c>
      <c r="F958" s="16" cm="1">
        <f t="array" ref="F958">D958 - _xlfn.XLOOKUP(A958&amp;2000, A:A&amp;C:C, D:D, "No 2000 data")</f>
        <v>-1.0100000000000002</v>
      </c>
    </row>
    <row r="959" spans="1:6" x14ac:dyDescent="0.35">
      <c r="A959" s="16" t="s">
        <v>124</v>
      </c>
      <c r="B959" s="16" t="s">
        <v>134</v>
      </c>
      <c r="C959">
        <v>2007</v>
      </c>
      <c r="D959">
        <v>2.31</v>
      </c>
      <c r="E959" t="str">
        <f>IF(_2[[#This Row],[Year]]=2000,_2[[#This Row],[Share (%)]],"")</f>
        <v/>
      </c>
      <c r="F959" s="16" cm="1">
        <f t="array" ref="F959">D959 - _xlfn.XLOOKUP(A959&amp;2000, A:A&amp;C:C, D:D, "No 2000 data")</f>
        <v>-1.1600000000000001</v>
      </c>
    </row>
    <row r="960" spans="1:6" x14ac:dyDescent="0.35">
      <c r="A960" s="16" t="s">
        <v>124</v>
      </c>
      <c r="B960" s="16" t="s">
        <v>134</v>
      </c>
      <c r="C960">
        <v>2008</v>
      </c>
      <c r="D960">
        <v>2.2599999999999998</v>
      </c>
      <c r="E960" t="str">
        <f>IF(_2[[#This Row],[Year]]=2000,_2[[#This Row],[Share (%)]],"")</f>
        <v/>
      </c>
      <c r="F960" s="16" cm="1">
        <f t="array" ref="F960">D960 - _xlfn.XLOOKUP(A960&amp;2000, A:A&amp;C:C, D:D, "No 2000 data")</f>
        <v>-1.2100000000000004</v>
      </c>
    </row>
    <row r="961" spans="1:6" x14ac:dyDescent="0.35">
      <c r="A961" s="16" t="s">
        <v>124</v>
      </c>
      <c r="B961" s="16" t="s">
        <v>134</v>
      </c>
      <c r="C961">
        <v>2009</v>
      </c>
      <c r="D961">
        <v>2.2999999999999998</v>
      </c>
      <c r="E961" t="str">
        <f>IF(_2[[#This Row],[Year]]=2000,_2[[#This Row],[Share (%)]],"")</f>
        <v/>
      </c>
      <c r="F961" s="16" cm="1">
        <f t="array" ref="F961">D961 - _xlfn.XLOOKUP(A961&amp;2000, A:A&amp;C:C, D:D, "No 2000 data")</f>
        <v>-1.1700000000000004</v>
      </c>
    </row>
    <row r="962" spans="1:6" x14ac:dyDescent="0.35">
      <c r="A962" s="16" t="s">
        <v>124</v>
      </c>
      <c r="B962" s="16" t="s">
        <v>134</v>
      </c>
      <c r="C962">
        <v>2010</v>
      </c>
      <c r="D962">
        <v>2.33</v>
      </c>
      <c r="E962" t="str">
        <f>IF(_2[[#This Row],[Year]]=2000,_2[[#This Row],[Share (%)]],"")</f>
        <v/>
      </c>
      <c r="F962" s="16" cm="1">
        <f t="array" ref="F962">D962 - _xlfn.XLOOKUP(A962&amp;2000, A:A&amp;C:C, D:D, "No 2000 data")</f>
        <v>-1.1400000000000001</v>
      </c>
    </row>
    <row r="963" spans="1:6" x14ac:dyDescent="0.35">
      <c r="A963" s="16" t="s">
        <v>124</v>
      </c>
      <c r="B963" s="16" t="s">
        <v>134</v>
      </c>
      <c r="C963">
        <v>2011</v>
      </c>
      <c r="D963">
        <v>2.31</v>
      </c>
      <c r="E963" t="str">
        <f>IF(_2[[#This Row],[Year]]=2000,_2[[#This Row],[Share (%)]],"")</f>
        <v/>
      </c>
      <c r="F963" s="16" cm="1">
        <f t="array" ref="F963">D963 - _xlfn.XLOOKUP(A963&amp;2000, A:A&amp;C:C, D:D, "No 2000 data")</f>
        <v>-1.1600000000000001</v>
      </c>
    </row>
    <row r="964" spans="1:6" x14ac:dyDescent="0.35">
      <c r="A964" s="16" t="s">
        <v>124</v>
      </c>
      <c r="B964" s="16" t="s">
        <v>134</v>
      </c>
      <c r="C964">
        <v>2012</v>
      </c>
      <c r="D964">
        <v>2.31</v>
      </c>
      <c r="E964" t="str">
        <f>IF(_2[[#This Row],[Year]]=2000,_2[[#This Row],[Share (%)]],"")</f>
        <v/>
      </c>
      <c r="F964" s="16" cm="1">
        <f t="array" ref="F964">D964 - _xlfn.XLOOKUP(A964&amp;2000, A:A&amp;C:C, D:D, "No 2000 data")</f>
        <v>-1.1600000000000001</v>
      </c>
    </row>
    <row r="965" spans="1:6" x14ac:dyDescent="0.35">
      <c r="A965" s="16" t="s">
        <v>124</v>
      </c>
      <c r="B965" s="16" t="s">
        <v>134</v>
      </c>
      <c r="C965">
        <v>2013</v>
      </c>
      <c r="D965">
        <v>3.41</v>
      </c>
      <c r="E965" t="str">
        <f>IF(_2[[#This Row],[Year]]=2000,_2[[#This Row],[Share (%)]],"")</f>
        <v/>
      </c>
      <c r="F965" s="16" cm="1">
        <f t="array" ref="F965">D965 - _xlfn.XLOOKUP(A965&amp;2000, A:A&amp;C:C, D:D, "No 2000 data")</f>
        <v>-6.0000000000000053E-2</v>
      </c>
    </row>
    <row r="966" spans="1:6" x14ac:dyDescent="0.35">
      <c r="A966" s="16" t="s">
        <v>124</v>
      </c>
      <c r="B966" s="16" t="s">
        <v>134</v>
      </c>
      <c r="C966">
        <v>2014</v>
      </c>
      <c r="D966">
        <v>5.77</v>
      </c>
      <c r="E966" t="str">
        <f>IF(_2[[#This Row],[Year]]=2000,_2[[#This Row],[Share (%)]],"")</f>
        <v/>
      </c>
      <c r="F966" s="16" cm="1">
        <f t="array" ref="F966">D966 - _xlfn.XLOOKUP(A966&amp;2000, A:A&amp;C:C, D:D, "No 2000 data")</f>
        <v>2.2999999999999994</v>
      </c>
    </row>
    <row r="967" spans="1:6" x14ac:dyDescent="0.35">
      <c r="A967" s="16" t="s">
        <v>124</v>
      </c>
      <c r="B967" s="16" t="s">
        <v>134</v>
      </c>
      <c r="C967">
        <v>2015</v>
      </c>
      <c r="D967">
        <v>7.18</v>
      </c>
      <c r="E967" t="str">
        <f>IF(_2[[#This Row],[Year]]=2000,_2[[#This Row],[Share (%)]],"")</f>
        <v/>
      </c>
      <c r="F967" s="16" cm="1">
        <f t="array" ref="F967">D967 - _xlfn.XLOOKUP(A967&amp;2000, A:A&amp;C:C, D:D, "No 2000 data")</f>
        <v>3.7099999999999995</v>
      </c>
    </row>
    <row r="968" spans="1:6" x14ac:dyDescent="0.35">
      <c r="A968" s="16" t="s">
        <v>124</v>
      </c>
      <c r="B968" s="16" t="s">
        <v>134</v>
      </c>
      <c r="C968">
        <v>2016</v>
      </c>
      <c r="D968">
        <v>8.7100000000000009</v>
      </c>
      <c r="E968" t="str">
        <f>IF(_2[[#This Row],[Year]]=2000,_2[[#This Row],[Share (%)]],"")</f>
        <v/>
      </c>
      <c r="F968" s="16" cm="1">
        <f t="array" ref="F968">D968 - _xlfn.XLOOKUP(A968&amp;2000, A:A&amp;C:C, D:D, "No 2000 data")</f>
        <v>5.24</v>
      </c>
    </row>
    <row r="969" spans="1:6" x14ac:dyDescent="0.35">
      <c r="A969" s="16" t="s">
        <v>124</v>
      </c>
      <c r="B969" s="16" t="s">
        <v>134</v>
      </c>
      <c r="C969">
        <v>2017</v>
      </c>
      <c r="D969">
        <v>10.16</v>
      </c>
      <c r="E969" t="str">
        <f>IF(_2[[#This Row],[Year]]=2000,_2[[#This Row],[Share (%)]],"")</f>
        <v/>
      </c>
      <c r="F969" s="16" cm="1">
        <f t="array" ref="F969">D969 - _xlfn.XLOOKUP(A969&amp;2000, A:A&amp;C:C, D:D, "No 2000 data")</f>
        <v>6.6899999999999995</v>
      </c>
    </row>
    <row r="970" spans="1:6" x14ac:dyDescent="0.35">
      <c r="A970" s="16" t="s">
        <v>124</v>
      </c>
      <c r="B970" s="16" t="s">
        <v>134</v>
      </c>
      <c r="C970">
        <v>2018</v>
      </c>
      <c r="D970">
        <v>10.41</v>
      </c>
      <c r="E970" t="str">
        <f>IF(_2[[#This Row],[Year]]=2000,_2[[#This Row],[Share (%)]],"")</f>
        <v/>
      </c>
      <c r="F970" s="16" cm="1">
        <f t="array" ref="F970">D970 - _xlfn.XLOOKUP(A970&amp;2000, A:A&amp;C:C, D:D, "No 2000 data")</f>
        <v>6.9399999999999995</v>
      </c>
    </row>
    <row r="971" spans="1:6" x14ac:dyDescent="0.35">
      <c r="A971" s="16" t="s">
        <v>124</v>
      </c>
      <c r="B971" s="16" t="s">
        <v>134</v>
      </c>
      <c r="C971">
        <v>2019</v>
      </c>
      <c r="D971">
        <v>10.91</v>
      </c>
      <c r="E971" t="str">
        <f>IF(_2[[#This Row],[Year]]=2000,_2[[#This Row],[Share (%)]],"")</f>
        <v/>
      </c>
      <c r="F971" s="16" cm="1">
        <f t="array" ref="F971">D971 - _xlfn.XLOOKUP(A971&amp;2000, A:A&amp;C:C, D:D, "No 2000 data")</f>
        <v>7.4399999999999995</v>
      </c>
    </row>
    <row r="972" spans="1:6" x14ac:dyDescent="0.35">
      <c r="A972" s="16" t="s">
        <v>124</v>
      </c>
      <c r="B972" s="16" t="s">
        <v>134</v>
      </c>
      <c r="C972">
        <v>2020</v>
      </c>
      <c r="D972">
        <v>12.51</v>
      </c>
      <c r="E972" t="str">
        <f>IF(_2[[#This Row],[Year]]=2000,_2[[#This Row],[Share (%)]],"")</f>
        <v/>
      </c>
      <c r="F972" s="16" cm="1">
        <f t="array" ref="F972">D972 - _xlfn.XLOOKUP(A972&amp;2000, A:A&amp;C:C, D:D, "No 2000 data")</f>
        <v>9.0399999999999991</v>
      </c>
    </row>
    <row r="973" spans="1:6" x14ac:dyDescent="0.35">
      <c r="A973" s="16" t="s">
        <v>124</v>
      </c>
      <c r="B973" s="16" t="s">
        <v>134</v>
      </c>
      <c r="C973">
        <v>2021</v>
      </c>
      <c r="D973">
        <v>12.9</v>
      </c>
      <c r="E973" t="str">
        <f>IF(_2[[#This Row],[Year]]=2000,_2[[#This Row],[Share (%)]],"")</f>
        <v/>
      </c>
      <c r="F973" s="16" cm="1">
        <f t="array" ref="F973">D973 - _xlfn.XLOOKUP(A973&amp;2000, A:A&amp;C:C, D:D, "No 2000 data")</f>
        <v>9.43</v>
      </c>
    </row>
    <row r="974" spans="1:6" x14ac:dyDescent="0.35">
      <c r="A974" s="16" t="s">
        <v>124</v>
      </c>
      <c r="B974" s="16" t="s">
        <v>134</v>
      </c>
      <c r="C974">
        <v>2022</v>
      </c>
      <c r="D974">
        <v>15.94</v>
      </c>
      <c r="E974" t="str">
        <f>IF(_2[[#This Row],[Year]]=2000,_2[[#This Row],[Share (%)]],"")</f>
        <v/>
      </c>
      <c r="F974" s="16" cm="1">
        <f t="array" ref="F974">D974 - _xlfn.XLOOKUP(A974&amp;2000, A:A&amp;C:C, D:D, "No 2000 data")</f>
        <v>12.469999999999999</v>
      </c>
    </row>
    <row r="975" spans="1:6" x14ac:dyDescent="0.35">
      <c r="A975" s="16" t="s">
        <v>124</v>
      </c>
      <c r="B975" s="16" t="s">
        <v>134</v>
      </c>
      <c r="C975">
        <v>2023</v>
      </c>
      <c r="D975">
        <v>19.420000000000002</v>
      </c>
      <c r="E975" t="str">
        <f>IF(_2[[#This Row],[Year]]=2000,_2[[#This Row],[Share (%)]],"")</f>
        <v/>
      </c>
      <c r="F975" s="16" cm="1">
        <f t="array" ref="F975">D975 - _xlfn.XLOOKUP(A975&amp;2000, A:A&amp;C:C, D:D, "No 2000 data")</f>
        <v>15.950000000000001</v>
      </c>
    </row>
    <row r="976" spans="1:6" x14ac:dyDescent="0.35">
      <c r="A976" s="16" t="s">
        <v>124</v>
      </c>
      <c r="B976" s="16" t="s">
        <v>134</v>
      </c>
      <c r="C976">
        <v>2024</v>
      </c>
      <c r="D976">
        <v>20.72</v>
      </c>
      <c r="E976" t="str">
        <f>IF(_2[[#This Row],[Year]]=2000,_2[[#This Row],[Share (%)]],"")</f>
        <v/>
      </c>
      <c r="F976" s="16" cm="1">
        <f t="array" ref="F976">D976 - _xlfn.XLOOKUP(A976&amp;2000, A:A&amp;C:C, D:D, "No 2000 data")</f>
        <v>17.25</v>
      </c>
    </row>
    <row r="977" spans="1:6" hidden="1" x14ac:dyDescent="0.35">
      <c r="A977" s="16" t="s">
        <v>105</v>
      </c>
      <c r="B977" s="16" t="s">
        <v>134</v>
      </c>
      <c r="C977">
        <v>2000</v>
      </c>
      <c r="D977" t="s">
        <v>137</v>
      </c>
      <c r="E977" t="str">
        <f>IF(_2[[#This Row],[Year]]=2000,_2[[#This Row],[Share (%)]],"")</f>
        <v>-</v>
      </c>
      <c r="F977" s="16" t="e" cm="1">
        <f t="array" ref="F977">D977 - _xlfn.XLOOKUP(A977&amp;2000, A:A&amp;C:C, D:D, "No 2000 data")</f>
        <v>#VALUE!</v>
      </c>
    </row>
    <row r="978" spans="1:6" hidden="1" x14ac:dyDescent="0.35">
      <c r="A978" s="16" t="s">
        <v>105</v>
      </c>
      <c r="B978" s="16" t="s">
        <v>134</v>
      </c>
      <c r="C978">
        <v>2001</v>
      </c>
      <c r="D978" t="s">
        <v>137</v>
      </c>
      <c r="E978" t="str">
        <f>IF(_2[[#This Row],[Year]]=2000,_2[[#This Row],[Share (%)]],"")</f>
        <v/>
      </c>
      <c r="F978" s="16" t="e" cm="1">
        <f t="array" ref="F978">D978 - _xlfn.XLOOKUP(A978&amp;2000, A:A&amp;C:C, D:D, "No 2000 data")</f>
        <v>#VALUE!</v>
      </c>
    </row>
    <row r="979" spans="1:6" hidden="1" x14ac:dyDescent="0.35">
      <c r="A979" s="16" t="s">
        <v>105</v>
      </c>
      <c r="B979" s="16" t="s">
        <v>134</v>
      </c>
      <c r="C979">
        <v>2002</v>
      </c>
      <c r="D979" t="s">
        <v>137</v>
      </c>
      <c r="E979" t="str">
        <f>IF(_2[[#This Row],[Year]]=2000,_2[[#This Row],[Share (%)]],"")</f>
        <v/>
      </c>
      <c r="F979" s="16" t="e" cm="1">
        <f t="array" ref="F979">D979 - _xlfn.XLOOKUP(A979&amp;2000, A:A&amp;C:C, D:D, "No 2000 data")</f>
        <v>#VALUE!</v>
      </c>
    </row>
    <row r="980" spans="1:6" hidden="1" x14ac:dyDescent="0.35">
      <c r="A980" s="16" t="s">
        <v>105</v>
      </c>
      <c r="B980" s="16" t="s">
        <v>134</v>
      </c>
      <c r="C980">
        <v>2003</v>
      </c>
      <c r="D980" t="s">
        <v>137</v>
      </c>
      <c r="E980" t="str">
        <f>IF(_2[[#This Row],[Year]]=2000,_2[[#This Row],[Share (%)]],"")</f>
        <v/>
      </c>
      <c r="F980" s="16" t="e" cm="1">
        <f t="array" ref="F980">D980 - _xlfn.XLOOKUP(A980&amp;2000, A:A&amp;C:C, D:D, "No 2000 data")</f>
        <v>#VALUE!</v>
      </c>
    </row>
    <row r="981" spans="1:6" hidden="1" x14ac:dyDescent="0.35">
      <c r="A981" s="16" t="s">
        <v>105</v>
      </c>
      <c r="B981" s="16" t="s">
        <v>134</v>
      </c>
      <c r="C981">
        <v>2004</v>
      </c>
      <c r="D981" t="s">
        <v>137</v>
      </c>
      <c r="E981" t="str">
        <f>IF(_2[[#This Row],[Year]]=2000,_2[[#This Row],[Share (%)]],"")</f>
        <v/>
      </c>
      <c r="F981" s="16" t="e" cm="1">
        <f t="array" ref="F981">D981 - _xlfn.XLOOKUP(A981&amp;2000, A:A&amp;C:C, D:D, "No 2000 data")</f>
        <v>#VALUE!</v>
      </c>
    </row>
    <row r="982" spans="1:6" hidden="1" x14ac:dyDescent="0.35">
      <c r="A982" s="16" t="s">
        <v>105</v>
      </c>
      <c r="B982" s="16" t="s">
        <v>134</v>
      </c>
      <c r="C982">
        <v>2005</v>
      </c>
      <c r="D982" t="s">
        <v>137</v>
      </c>
      <c r="E982" t="str">
        <f>IF(_2[[#This Row],[Year]]=2000,_2[[#This Row],[Share (%)]],"")</f>
        <v/>
      </c>
      <c r="F982" s="16" t="e" cm="1">
        <f t="array" ref="F982">D982 - _xlfn.XLOOKUP(A982&amp;2000, A:A&amp;C:C, D:D, "No 2000 data")</f>
        <v>#VALUE!</v>
      </c>
    </row>
    <row r="983" spans="1:6" hidden="1" x14ac:dyDescent="0.35">
      <c r="A983" s="16" t="s">
        <v>105</v>
      </c>
      <c r="B983" s="16" t="s">
        <v>134</v>
      </c>
      <c r="C983">
        <v>2006</v>
      </c>
      <c r="D983" t="s">
        <v>137</v>
      </c>
      <c r="E983" t="str">
        <f>IF(_2[[#This Row],[Year]]=2000,_2[[#This Row],[Share (%)]],"")</f>
        <v/>
      </c>
      <c r="F983" s="16" t="e" cm="1">
        <f t="array" ref="F983">D983 - _xlfn.XLOOKUP(A983&amp;2000, A:A&amp;C:C, D:D, "No 2000 data")</f>
        <v>#VALUE!</v>
      </c>
    </row>
    <row r="984" spans="1:6" hidden="1" x14ac:dyDescent="0.35">
      <c r="A984" s="16" t="s">
        <v>105</v>
      </c>
      <c r="B984" s="16" t="s">
        <v>134</v>
      </c>
      <c r="C984">
        <v>2007</v>
      </c>
      <c r="D984" t="s">
        <v>137</v>
      </c>
      <c r="E984" t="str">
        <f>IF(_2[[#This Row],[Year]]=2000,_2[[#This Row],[Share (%)]],"")</f>
        <v/>
      </c>
      <c r="F984" s="16" t="e" cm="1">
        <f t="array" ref="F984">D984 - _xlfn.XLOOKUP(A984&amp;2000, A:A&amp;C:C, D:D, "No 2000 data")</f>
        <v>#VALUE!</v>
      </c>
    </row>
    <row r="985" spans="1:6" hidden="1" x14ac:dyDescent="0.35">
      <c r="A985" s="16" t="s">
        <v>105</v>
      </c>
      <c r="B985" s="16" t="s">
        <v>134</v>
      </c>
      <c r="C985">
        <v>2008</v>
      </c>
      <c r="D985" t="s">
        <v>137</v>
      </c>
      <c r="E985" t="str">
        <f>IF(_2[[#This Row],[Year]]=2000,_2[[#This Row],[Share (%)]],"")</f>
        <v/>
      </c>
      <c r="F985" s="16" t="e" cm="1">
        <f t="array" ref="F985">D985 - _xlfn.XLOOKUP(A985&amp;2000, A:A&amp;C:C, D:D, "No 2000 data")</f>
        <v>#VALUE!</v>
      </c>
    </row>
    <row r="986" spans="1:6" hidden="1" x14ac:dyDescent="0.35">
      <c r="A986" s="16" t="s">
        <v>105</v>
      </c>
      <c r="B986" s="16" t="s">
        <v>134</v>
      </c>
      <c r="C986">
        <v>2009</v>
      </c>
      <c r="D986" t="s">
        <v>137</v>
      </c>
      <c r="E986" t="str">
        <f>IF(_2[[#This Row],[Year]]=2000,_2[[#This Row],[Share (%)]],"")</f>
        <v/>
      </c>
      <c r="F986" s="16" t="e" cm="1">
        <f t="array" ref="F986">D986 - _xlfn.XLOOKUP(A986&amp;2000, A:A&amp;C:C, D:D, "No 2000 data")</f>
        <v>#VALUE!</v>
      </c>
    </row>
    <row r="987" spans="1:6" hidden="1" x14ac:dyDescent="0.35">
      <c r="A987" s="16" t="s">
        <v>105</v>
      </c>
      <c r="B987" s="16" t="s">
        <v>134</v>
      </c>
      <c r="C987">
        <v>2010</v>
      </c>
      <c r="D987" t="s">
        <v>137</v>
      </c>
      <c r="E987" t="str">
        <f>IF(_2[[#This Row],[Year]]=2000,_2[[#This Row],[Share (%)]],"")</f>
        <v/>
      </c>
      <c r="F987" s="16" t="e" cm="1">
        <f t="array" ref="F987">D987 - _xlfn.XLOOKUP(A987&amp;2000, A:A&amp;C:C, D:D, "No 2000 data")</f>
        <v>#VALUE!</v>
      </c>
    </row>
    <row r="988" spans="1:6" hidden="1" x14ac:dyDescent="0.35">
      <c r="A988" s="16" t="s">
        <v>105</v>
      </c>
      <c r="B988" s="16" t="s">
        <v>134</v>
      </c>
      <c r="C988">
        <v>2011</v>
      </c>
      <c r="D988">
        <v>100</v>
      </c>
      <c r="E988" t="str">
        <f>IF(_2[[#This Row],[Year]]=2000,_2[[#This Row],[Share (%)]],"")</f>
        <v/>
      </c>
      <c r="F988" s="16" t="e" cm="1">
        <f t="array" ref="F988">D988 - _xlfn.XLOOKUP(A988&amp;2000, A:A&amp;C:C, D:D, "No 2000 data")</f>
        <v>#VALUE!</v>
      </c>
    </row>
    <row r="989" spans="1:6" hidden="1" x14ac:dyDescent="0.35">
      <c r="A989" s="16" t="s">
        <v>105</v>
      </c>
      <c r="B989" s="16" t="s">
        <v>134</v>
      </c>
      <c r="C989">
        <v>2012</v>
      </c>
      <c r="D989">
        <v>0.05</v>
      </c>
      <c r="E989" t="str">
        <f>IF(_2[[#This Row],[Year]]=2000,_2[[#This Row],[Share (%)]],"")</f>
        <v/>
      </c>
      <c r="F989" s="16" t="e" cm="1">
        <f t="array" ref="F989">D989 - _xlfn.XLOOKUP(A989&amp;2000, A:A&amp;C:C, D:D, "No 2000 data")</f>
        <v>#VALUE!</v>
      </c>
    </row>
    <row r="990" spans="1:6" hidden="1" x14ac:dyDescent="0.35">
      <c r="A990" s="16" t="s">
        <v>105</v>
      </c>
      <c r="B990" s="16" t="s">
        <v>134</v>
      </c>
      <c r="C990">
        <v>2013</v>
      </c>
      <c r="D990">
        <v>0.12</v>
      </c>
      <c r="E990" t="str">
        <f>IF(_2[[#This Row],[Year]]=2000,_2[[#This Row],[Share (%)]],"")</f>
        <v/>
      </c>
      <c r="F990" s="16" t="e" cm="1">
        <f t="array" ref="F990">D990 - _xlfn.XLOOKUP(A990&amp;2000, A:A&amp;C:C, D:D, "No 2000 data")</f>
        <v>#VALUE!</v>
      </c>
    </row>
    <row r="991" spans="1:6" hidden="1" x14ac:dyDescent="0.35">
      <c r="A991" s="16" t="s">
        <v>105</v>
      </c>
      <c r="B991" s="16" t="s">
        <v>134</v>
      </c>
      <c r="C991">
        <v>2014</v>
      </c>
      <c r="D991">
        <v>0.12</v>
      </c>
      <c r="E991" t="str">
        <f>IF(_2[[#This Row],[Year]]=2000,_2[[#This Row],[Share (%)]],"")</f>
        <v/>
      </c>
      <c r="F991" s="16" t="e" cm="1">
        <f t="array" ref="F991">D991 - _xlfn.XLOOKUP(A991&amp;2000, A:A&amp;C:C, D:D, "No 2000 data")</f>
        <v>#VALUE!</v>
      </c>
    </row>
    <row r="992" spans="1:6" hidden="1" x14ac:dyDescent="0.35">
      <c r="A992" s="16" t="s">
        <v>105</v>
      </c>
      <c r="B992" s="16" t="s">
        <v>134</v>
      </c>
      <c r="C992">
        <v>2015</v>
      </c>
      <c r="D992">
        <v>0.13</v>
      </c>
      <c r="E992" t="str">
        <f>IF(_2[[#This Row],[Year]]=2000,_2[[#This Row],[Share (%)]],"")</f>
        <v/>
      </c>
      <c r="F992" s="16" t="e" cm="1">
        <f t="array" ref="F992">D992 - _xlfn.XLOOKUP(A992&amp;2000, A:A&amp;C:C, D:D, "No 2000 data")</f>
        <v>#VALUE!</v>
      </c>
    </row>
    <row r="993" spans="1:6" hidden="1" x14ac:dyDescent="0.35">
      <c r="A993" s="16" t="s">
        <v>105</v>
      </c>
      <c r="B993" s="16" t="s">
        <v>134</v>
      </c>
      <c r="C993">
        <v>2016</v>
      </c>
      <c r="D993">
        <v>1.52</v>
      </c>
      <c r="E993" t="str">
        <f>IF(_2[[#This Row],[Year]]=2000,_2[[#This Row],[Share (%)]],"")</f>
        <v/>
      </c>
      <c r="F993" s="16" t="e" cm="1">
        <f t="array" ref="F993">D993 - _xlfn.XLOOKUP(A993&amp;2000, A:A&amp;C:C, D:D, "No 2000 data")</f>
        <v>#VALUE!</v>
      </c>
    </row>
    <row r="994" spans="1:6" hidden="1" x14ac:dyDescent="0.35">
      <c r="A994" s="16" t="s">
        <v>105</v>
      </c>
      <c r="B994" s="16" t="s">
        <v>134</v>
      </c>
      <c r="C994">
        <v>2017</v>
      </c>
      <c r="D994">
        <v>1.46</v>
      </c>
      <c r="E994" t="str">
        <f>IF(_2[[#This Row],[Year]]=2000,_2[[#This Row],[Share (%)]],"")</f>
        <v/>
      </c>
      <c r="F994" s="16" t="e" cm="1">
        <f t="array" ref="F994">D994 - _xlfn.XLOOKUP(A994&amp;2000, A:A&amp;C:C, D:D, "No 2000 data")</f>
        <v>#VALUE!</v>
      </c>
    </row>
    <row r="995" spans="1:6" hidden="1" x14ac:dyDescent="0.35">
      <c r="A995" s="16" t="s">
        <v>105</v>
      </c>
      <c r="B995" s="16" t="s">
        <v>134</v>
      </c>
      <c r="C995">
        <v>2018</v>
      </c>
      <c r="D995">
        <v>1.67</v>
      </c>
      <c r="E995" t="str">
        <f>IF(_2[[#This Row],[Year]]=2000,_2[[#This Row],[Share (%)]],"")</f>
        <v/>
      </c>
      <c r="F995" s="16" t="e" cm="1">
        <f t="array" ref="F995">D995 - _xlfn.XLOOKUP(A995&amp;2000, A:A&amp;C:C, D:D, "No 2000 data")</f>
        <v>#VALUE!</v>
      </c>
    </row>
    <row r="996" spans="1:6" hidden="1" x14ac:dyDescent="0.35">
      <c r="A996" s="16" t="s">
        <v>105</v>
      </c>
      <c r="B996" s="16" t="s">
        <v>134</v>
      </c>
      <c r="C996">
        <v>2019</v>
      </c>
      <c r="D996">
        <v>1.49</v>
      </c>
      <c r="E996" t="str">
        <f>IF(_2[[#This Row],[Year]]=2000,_2[[#This Row],[Share (%)]],"")</f>
        <v/>
      </c>
      <c r="F996" s="16" t="e" cm="1">
        <f t="array" ref="F996">D996 - _xlfn.XLOOKUP(A996&amp;2000, A:A&amp;C:C, D:D, "No 2000 data")</f>
        <v>#VALUE!</v>
      </c>
    </row>
    <row r="997" spans="1:6" hidden="1" x14ac:dyDescent="0.35">
      <c r="A997" s="16" t="s">
        <v>105</v>
      </c>
      <c r="B997" s="16" t="s">
        <v>134</v>
      </c>
      <c r="C997">
        <v>2020</v>
      </c>
      <c r="D997">
        <v>2.2200000000000002</v>
      </c>
      <c r="E997" t="str">
        <f>IF(_2[[#This Row],[Year]]=2000,_2[[#This Row],[Share (%)]],"")</f>
        <v/>
      </c>
      <c r="F997" s="16" t="e" cm="1">
        <f t="array" ref="F997">D997 - _xlfn.XLOOKUP(A997&amp;2000, A:A&amp;C:C, D:D, "No 2000 data")</f>
        <v>#VALUE!</v>
      </c>
    </row>
    <row r="998" spans="1:6" hidden="1" x14ac:dyDescent="0.35">
      <c r="A998" s="16" t="s">
        <v>105</v>
      </c>
      <c r="B998" s="16" t="s">
        <v>134</v>
      </c>
      <c r="C998">
        <v>2021</v>
      </c>
      <c r="D998">
        <v>2.09</v>
      </c>
      <c r="E998" t="str">
        <f>IF(_2[[#This Row],[Year]]=2000,_2[[#This Row],[Share (%)]],"")</f>
        <v/>
      </c>
      <c r="F998" s="16" t="e" cm="1">
        <f t="array" ref="F998">D998 - _xlfn.XLOOKUP(A998&amp;2000, A:A&amp;C:C, D:D, "No 2000 data")</f>
        <v>#VALUE!</v>
      </c>
    </row>
    <row r="999" spans="1:6" hidden="1" x14ac:dyDescent="0.35">
      <c r="A999" s="16" t="s">
        <v>105</v>
      </c>
      <c r="B999" s="16" t="s">
        <v>134</v>
      </c>
      <c r="C999">
        <v>2022</v>
      </c>
      <c r="D999">
        <v>2.34</v>
      </c>
      <c r="E999" t="str">
        <f>IF(_2[[#This Row],[Year]]=2000,_2[[#This Row],[Share (%)]],"")</f>
        <v/>
      </c>
      <c r="F999" s="16" t="e" cm="1">
        <f t="array" ref="F999">D999 - _xlfn.XLOOKUP(A999&amp;2000, A:A&amp;C:C, D:D, "No 2000 data")</f>
        <v>#VALUE!</v>
      </c>
    </row>
    <row r="1000" spans="1:6" hidden="1" x14ac:dyDescent="0.35">
      <c r="A1000" s="16" t="s">
        <v>105</v>
      </c>
      <c r="B1000" s="16" t="s">
        <v>134</v>
      </c>
      <c r="C1000">
        <v>2023</v>
      </c>
      <c r="D1000">
        <v>8.2799999999999994</v>
      </c>
      <c r="E1000" t="str">
        <f>IF(_2[[#This Row],[Year]]=2000,_2[[#This Row],[Share (%)]],"")</f>
        <v/>
      </c>
      <c r="F1000" s="16" t="e" cm="1">
        <f t="array" ref="F1000">D1000 - _xlfn.XLOOKUP(A1000&amp;2000, A:A&amp;C:C, D:D, "No 2000 data")</f>
        <v>#VALUE!</v>
      </c>
    </row>
    <row r="1001" spans="1:6" hidden="1" x14ac:dyDescent="0.35">
      <c r="A1001" s="16" t="s">
        <v>105</v>
      </c>
      <c r="B1001" s="16" t="s">
        <v>134</v>
      </c>
      <c r="C1001">
        <v>2024</v>
      </c>
      <c r="D1001">
        <v>13.91</v>
      </c>
      <c r="E1001" t="str">
        <f>IF(_2[[#This Row],[Year]]=2000,_2[[#This Row],[Share (%)]],"")</f>
        <v/>
      </c>
      <c r="F1001" s="16" t="e" cm="1">
        <f t="array" ref="F1001">D1001 - _xlfn.XLOOKUP(A1001&amp;2000, A:A&amp;C:C, D:D, "No 2000 data")</f>
        <v>#VALUE!</v>
      </c>
    </row>
    <row r="1002" spans="1:6" x14ac:dyDescent="0.35">
      <c r="A1002" s="16" t="s">
        <v>116</v>
      </c>
      <c r="B1002" s="16" t="s">
        <v>134</v>
      </c>
      <c r="C1002">
        <v>2000</v>
      </c>
      <c r="D1002">
        <v>77.12</v>
      </c>
      <c r="E1002">
        <f>IF(_2[[#This Row],[Year]]=2000,_2[[#This Row],[Share (%)]],"")</f>
        <v>77.12</v>
      </c>
      <c r="F1002" s="16" cm="1">
        <f t="array" ref="F1002">D1002 - _xlfn.XLOOKUP(A1002&amp;2000, A:A&amp;C:C, D:D, "No 2000 data")</f>
        <v>0</v>
      </c>
    </row>
    <row r="1003" spans="1:6" x14ac:dyDescent="0.35">
      <c r="A1003" s="16" t="s">
        <v>116</v>
      </c>
      <c r="B1003" s="16" t="s">
        <v>134</v>
      </c>
      <c r="C1003">
        <v>2001</v>
      </c>
      <c r="D1003">
        <v>77.12</v>
      </c>
      <c r="E1003" t="str">
        <f>IF(_2[[#This Row],[Year]]=2000,_2[[#This Row],[Share (%)]],"")</f>
        <v/>
      </c>
      <c r="F1003" s="16" cm="1">
        <f t="array" ref="F1003">D1003 - _xlfn.XLOOKUP(A1003&amp;2000, A:A&amp;C:C, D:D, "No 2000 data")</f>
        <v>0</v>
      </c>
    </row>
    <row r="1004" spans="1:6" x14ac:dyDescent="0.35">
      <c r="A1004" s="16" t="s">
        <v>116</v>
      </c>
      <c r="B1004" s="16" t="s">
        <v>134</v>
      </c>
      <c r="C1004">
        <v>2002</v>
      </c>
      <c r="D1004">
        <v>77.12</v>
      </c>
      <c r="E1004" t="str">
        <f>IF(_2[[#This Row],[Year]]=2000,_2[[#This Row],[Share (%)]],"")</f>
        <v/>
      </c>
      <c r="F1004" s="16" cm="1">
        <f t="array" ref="F1004">D1004 - _xlfn.XLOOKUP(A1004&amp;2000, A:A&amp;C:C, D:D, "No 2000 data")</f>
        <v>0</v>
      </c>
    </row>
    <row r="1005" spans="1:6" x14ac:dyDescent="0.35">
      <c r="A1005" s="16" t="s">
        <v>116</v>
      </c>
      <c r="B1005" s="16" t="s">
        <v>134</v>
      </c>
      <c r="C1005">
        <v>2003</v>
      </c>
      <c r="D1005">
        <v>76.91</v>
      </c>
      <c r="E1005" t="str">
        <f>IF(_2[[#This Row],[Year]]=2000,_2[[#This Row],[Share (%)]],"")</f>
        <v/>
      </c>
      <c r="F1005" s="16" cm="1">
        <f t="array" ref="F1005">D1005 - _xlfn.XLOOKUP(A1005&amp;2000, A:A&amp;C:C, D:D, "No 2000 data")</f>
        <v>-0.21000000000000796</v>
      </c>
    </row>
    <row r="1006" spans="1:6" x14ac:dyDescent="0.35">
      <c r="A1006" s="16" t="s">
        <v>116</v>
      </c>
      <c r="B1006" s="16" t="s">
        <v>134</v>
      </c>
      <c r="C1006">
        <v>2004</v>
      </c>
      <c r="D1006">
        <v>61.75</v>
      </c>
      <c r="E1006" t="str">
        <f>IF(_2[[#This Row],[Year]]=2000,_2[[#This Row],[Share (%)]],"")</f>
        <v/>
      </c>
      <c r="F1006" s="16" cm="1">
        <f t="array" ref="F1006">D1006 - _xlfn.XLOOKUP(A1006&amp;2000, A:A&amp;C:C, D:D, "No 2000 data")</f>
        <v>-15.370000000000005</v>
      </c>
    </row>
    <row r="1007" spans="1:6" x14ac:dyDescent="0.35">
      <c r="A1007" s="16" t="s">
        <v>116</v>
      </c>
      <c r="B1007" s="16" t="s">
        <v>134</v>
      </c>
      <c r="C1007">
        <v>2005</v>
      </c>
      <c r="D1007">
        <v>61.14</v>
      </c>
      <c r="E1007" t="str">
        <f>IF(_2[[#This Row],[Year]]=2000,_2[[#This Row],[Share (%)]],"")</f>
        <v/>
      </c>
      <c r="F1007" s="16" cm="1">
        <f t="array" ref="F1007">D1007 - _xlfn.XLOOKUP(A1007&amp;2000, A:A&amp;C:C, D:D, "No 2000 data")</f>
        <v>-15.980000000000004</v>
      </c>
    </row>
    <row r="1008" spans="1:6" x14ac:dyDescent="0.35">
      <c r="A1008" s="16" t="s">
        <v>116</v>
      </c>
      <c r="B1008" s="16" t="s">
        <v>134</v>
      </c>
      <c r="C1008">
        <v>2006</v>
      </c>
      <c r="D1008">
        <v>61.14</v>
      </c>
      <c r="E1008" t="str">
        <f>IF(_2[[#This Row],[Year]]=2000,_2[[#This Row],[Share (%)]],"")</f>
        <v/>
      </c>
      <c r="F1008" s="16" cm="1">
        <f t="array" ref="F1008">D1008 - _xlfn.XLOOKUP(A1008&amp;2000, A:A&amp;C:C, D:D, "No 2000 data")</f>
        <v>-15.980000000000004</v>
      </c>
    </row>
    <row r="1009" spans="1:6" x14ac:dyDescent="0.35">
      <c r="A1009" s="16" t="s">
        <v>116</v>
      </c>
      <c r="B1009" s="16" t="s">
        <v>134</v>
      </c>
      <c r="C1009">
        <v>2007</v>
      </c>
      <c r="D1009">
        <v>61.14</v>
      </c>
      <c r="E1009" t="str">
        <f>IF(_2[[#This Row],[Year]]=2000,_2[[#This Row],[Share (%)]],"")</f>
        <v/>
      </c>
      <c r="F1009" s="16" cm="1">
        <f t="array" ref="F1009">D1009 - _xlfn.XLOOKUP(A1009&amp;2000, A:A&amp;C:C, D:D, "No 2000 data")</f>
        <v>-15.980000000000004</v>
      </c>
    </row>
    <row r="1010" spans="1:6" x14ac:dyDescent="0.35">
      <c r="A1010" s="16" t="s">
        <v>116</v>
      </c>
      <c r="B1010" s="16" t="s">
        <v>134</v>
      </c>
      <c r="C1010">
        <v>2008</v>
      </c>
      <c r="D1010">
        <v>61.14</v>
      </c>
      <c r="E1010" t="str">
        <f>IF(_2[[#This Row],[Year]]=2000,_2[[#This Row],[Share (%)]],"")</f>
        <v/>
      </c>
      <c r="F1010" s="16" cm="1">
        <f t="array" ref="F1010">D1010 - _xlfn.XLOOKUP(A1010&amp;2000, A:A&amp;C:C, D:D, "No 2000 data")</f>
        <v>-15.980000000000004</v>
      </c>
    </row>
    <row r="1011" spans="1:6" x14ac:dyDescent="0.35">
      <c r="A1011" s="16" t="s">
        <v>116</v>
      </c>
      <c r="B1011" s="16" t="s">
        <v>134</v>
      </c>
      <c r="C1011">
        <v>2009</v>
      </c>
      <c r="D1011">
        <v>61.14</v>
      </c>
      <c r="E1011" t="str">
        <f>IF(_2[[#This Row],[Year]]=2000,_2[[#This Row],[Share (%)]],"")</f>
        <v/>
      </c>
      <c r="F1011" s="16" cm="1">
        <f t="array" ref="F1011">D1011 - _xlfn.XLOOKUP(A1011&amp;2000, A:A&amp;C:C, D:D, "No 2000 data")</f>
        <v>-15.980000000000004</v>
      </c>
    </row>
    <row r="1012" spans="1:6" x14ac:dyDescent="0.35">
      <c r="A1012" s="16" t="s">
        <v>116</v>
      </c>
      <c r="B1012" s="16" t="s">
        <v>134</v>
      </c>
      <c r="C1012">
        <v>2010</v>
      </c>
      <c r="D1012">
        <v>27.87</v>
      </c>
      <c r="E1012" t="str">
        <f>IF(_2[[#This Row],[Year]]=2000,_2[[#This Row],[Share (%)]],"")</f>
        <v/>
      </c>
      <c r="F1012" s="16" cm="1">
        <f t="array" ref="F1012">D1012 - _xlfn.XLOOKUP(A1012&amp;2000, A:A&amp;C:C, D:D, "No 2000 data")</f>
        <v>-49.25</v>
      </c>
    </row>
    <row r="1013" spans="1:6" x14ac:dyDescent="0.35">
      <c r="A1013" s="16" t="s">
        <v>116</v>
      </c>
      <c r="B1013" s="16" t="s">
        <v>134</v>
      </c>
      <c r="C1013">
        <v>2011</v>
      </c>
      <c r="D1013">
        <v>27.87</v>
      </c>
      <c r="E1013" t="str">
        <f>IF(_2[[#This Row],[Year]]=2000,_2[[#This Row],[Share (%)]],"")</f>
        <v/>
      </c>
      <c r="F1013" s="16" cm="1">
        <f t="array" ref="F1013">D1013 - _xlfn.XLOOKUP(A1013&amp;2000, A:A&amp;C:C, D:D, "No 2000 data")</f>
        <v>-49.25</v>
      </c>
    </row>
    <row r="1014" spans="1:6" x14ac:dyDescent="0.35">
      <c r="A1014" s="16" t="s">
        <v>116</v>
      </c>
      <c r="B1014" s="16" t="s">
        <v>134</v>
      </c>
      <c r="C1014">
        <v>2012</v>
      </c>
      <c r="D1014">
        <v>27.88</v>
      </c>
      <c r="E1014" t="str">
        <f>IF(_2[[#This Row],[Year]]=2000,_2[[#This Row],[Share (%)]],"")</f>
        <v/>
      </c>
      <c r="F1014" s="16" cm="1">
        <f t="array" ref="F1014">D1014 - _xlfn.XLOOKUP(A1014&amp;2000, A:A&amp;C:C, D:D, "No 2000 data")</f>
        <v>-49.240000000000009</v>
      </c>
    </row>
    <row r="1015" spans="1:6" x14ac:dyDescent="0.35">
      <c r="A1015" s="16" t="s">
        <v>116</v>
      </c>
      <c r="B1015" s="16" t="s">
        <v>134</v>
      </c>
      <c r="C1015">
        <v>2013</v>
      </c>
      <c r="D1015">
        <v>27.88</v>
      </c>
      <c r="E1015" t="str">
        <f>IF(_2[[#This Row],[Year]]=2000,_2[[#This Row],[Share (%)]],"")</f>
        <v/>
      </c>
      <c r="F1015" s="16" cm="1">
        <f t="array" ref="F1015">D1015 - _xlfn.XLOOKUP(A1015&amp;2000, A:A&amp;C:C, D:D, "No 2000 data")</f>
        <v>-49.240000000000009</v>
      </c>
    </row>
    <row r="1016" spans="1:6" x14ac:dyDescent="0.35">
      <c r="A1016" s="16" t="s">
        <v>116</v>
      </c>
      <c r="B1016" s="16" t="s">
        <v>134</v>
      </c>
      <c r="C1016">
        <v>2014</v>
      </c>
      <c r="D1016">
        <v>27.88</v>
      </c>
      <c r="E1016" t="str">
        <f>IF(_2[[#This Row],[Year]]=2000,_2[[#This Row],[Share (%)]],"")</f>
        <v/>
      </c>
      <c r="F1016" s="16" cm="1">
        <f t="array" ref="F1016">D1016 - _xlfn.XLOOKUP(A1016&amp;2000, A:A&amp;C:C, D:D, "No 2000 data")</f>
        <v>-49.240000000000009</v>
      </c>
    </row>
    <row r="1017" spans="1:6" x14ac:dyDescent="0.35">
      <c r="A1017" s="16" t="s">
        <v>116</v>
      </c>
      <c r="B1017" s="16" t="s">
        <v>134</v>
      </c>
      <c r="C1017">
        <v>2015</v>
      </c>
      <c r="D1017">
        <v>27.9</v>
      </c>
      <c r="E1017" t="str">
        <f>IF(_2[[#This Row],[Year]]=2000,_2[[#This Row],[Share (%)]],"")</f>
        <v/>
      </c>
      <c r="F1017" s="16" cm="1">
        <f t="array" ref="F1017">D1017 - _xlfn.XLOOKUP(A1017&amp;2000, A:A&amp;C:C, D:D, "No 2000 data")</f>
        <v>-49.220000000000006</v>
      </c>
    </row>
    <row r="1018" spans="1:6" x14ac:dyDescent="0.35">
      <c r="A1018" s="16" t="s">
        <v>116</v>
      </c>
      <c r="B1018" s="16" t="s">
        <v>134</v>
      </c>
      <c r="C1018">
        <v>2016</v>
      </c>
      <c r="D1018">
        <v>27.9</v>
      </c>
      <c r="E1018" t="str">
        <f>IF(_2[[#This Row],[Year]]=2000,_2[[#This Row],[Share (%)]],"")</f>
        <v/>
      </c>
      <c r="F1018" s="16" cm="1">
        <f t="array" ref="F1018">D1018 - _xlfn.XLOOKUP(A1018&amp;2000, A:A&amp;C:C, D:D, "No 2000 data")</f>
        <v>-49.220000000000006</v>
      </c>
    </row>
    <row r="1019" spans="1:6" x14ac:dyDescent="0.35">
      <c r="A1019" s="16" t="s">
        <v>116</v>
      </c>
      <c r="B1019" s="16" t="s">
        <v>134</v>
      </c>
      <c r="C1019">
        <v>2017</v>
      </c>
      <c r="D1019">
        <v>28.05</v>
      </c>
      <c r="E1019" t="str">
        <f>IF(_2[[#This Row],[Year]]=2000,_2[[#This Row],[Share (%)]],"")</f>
        <v/>
      </c>
      <c r="F1019" s="16" cm="1">
        <f t="array" ref="F1019">D1019 - _xlfn.XLOOKUP(A1019&amp;2000, A:A&amp;C:C, D:D, "No 2000 data")</f>
        <v>-49.070000000000007</v>
      </c>
    </row>
    <row r="1020" spans="1:6" x14ac:dyDescent="0.35">
      <c r="A1020" s="16" t="s">
        <v>116</v>
      </c>
      <c r="B1020" s="16" t="s">
        <v>134</v>
      </c>
      <c r="C1020">
        <v>2018</v>
      </c>
      <c r="D1020">
        <v>29.18</v>
      </c>
      <c r="E1020" t="str">
        <f>IF(_2[[#This Row],[Year]]=2000,_2[[#This Row],[Share (%)]],"")</f>
        <v/>
      </c>
      <c r="F1020" s="16" cm="1">
        <f t="array" ref="F1020">D1020 - _xlfn.XLOOKUP(A1020&amp;2000, A:A&amp;C:C, D:D, "No 2000 data")</f>
        <v>-47.940000000000005</v>
      </c>
    </row>
    <row r="1021" spans="1:6" x14ac:dyDescent="0.35">
      <c r="A1021" s="16" t="s">
        <v>116</v>
      </c>
      <c r="B1021" s="16" t="s">
        <v>134</v>
      </c>
      <c r="C1021">
        <v>2019</v>
      </c>
      <c r="D1021">
        <v>30.01</v>
      </c>
      <c r="E1021" t="str">
        <f>IF(_2[[#This Row],[Year]]=2000,_2[[#This Row],[Share (%)]],"")</f>
        <v/>
      </c>
      <c r="F1021" s="16" cm="1">
        <f t="array" ref="F1021">D1021 - _xlfn.XLOOKUP(A1021&amp;2000, A:A&amp;C:C, D:D, "No 2000 data")</f>
        <v>-47.11</v>
      </c>
    </row>
    <row r="1022" spans="1:6" x14ac:dyDescent="0.35">
      <c r="A1022" s="16" t="s">
        <v>116</v>
      </c>
      <c r="B1022" s="16" t="s">
        <v>134</v>
      </c>
      <c r="C1022">
        <v>2020</v>
      </c>
      <c r="D1022">
        <v>30.99</v>
      </c>
      <c r="E1022" t="str">
        <f>IF(_2[[#This Row],[Year]]=2000,_2[[#This Row],[Share (%)]],"")</f>
        <v/>
      </c>
      <c r="F1022" s="16" cm="1">
        <f t="array" ref="F1022">D1022 - _xlfn.XLOOKUP(A1022&amp;2000, A:A&amp;C:C, D:D, "No 2000 data")</f>
        <v>-46.13000000000001</v>
      </c>
    </row>
    <row r="1023" spans="1:6" x14ac:dyDescent="0.35">
      <c r="A1023" s="16" t="s">
        <v>116</v>
      </c>
      <c r="B1023" s="16" t="s">
        <v>134</v>
      </c>
      <c r="C1023">
        <v>2021</v>
      </c>
      <c r="D1023">
        <v>37.369999999999997</v>
      </c>
      <c r="E1023" t="str">
        <f>IF(_2[[#This Row],[Year]]=2000,_2[[#This Row],[Share (%)]],"")</f>
        <v/>
      </c>
      <c r="F1023" s="16" cm="1">
        <f t="array" ref="F1023">D1023 - _xlfn.XLOOKUP(A1023&amp;2000, A:A&amp;C:C, D:D, "No 2000 data")</f>
        <v>-39.750000000000007</v>
      </c>
    </row>
    <row r="1024" spans="1:6" x14ac:dyDescent="0.35">
      <c r="A1024" s="16" t="s">
        <v>116</v>
      </c>
      <c r="B1024" s="16" t="s">
        <v>134</v>
      </c>
      <c r="C1024">
        <v>2022</v>
      </c>
      <c r="D1024">
        <v>37.71</v>
      </c>
      <c r="E1024" t="str">
        <f>IF(_2[[#This Row],[Year]]=2000,_2[[#This Row],[Share (%)]],"")</f>
        <v/>
      </c>
      <c r="F1024" s="16" cm="1">
        <f t="array" ref="F1024">D1024 - _xlfn.XLOOKUP(A1024&amp;2000, A:A&amp;C:C, D:D, "No 2000 data")</f>
        <v>-39.410000000000004</v>
      </c>
    </row>
    <row r="1025" spans="1:6" x14ac:dyDescent="0.35">
      <c r="A1025" s="16" t="s">
        <v>116</v>
      </c>
      <c r="B1025" s="16" t="s">
        <v>134</v>
      </c>
      <c r="C1025">
        <v>2023</v>
      </c>
      <c r="D1025">
        <v>37.840000000000003</v>
      </c>
      <c r="E1025" t="str">
        <f>IF(_2[[#This Row],[Year]]=2000,_2[[#This Row],[Share (%)]],"")</f>
        <v/>
      </c>
      <c r="F1025" s="16" cm="1">
        <f t="array" ref="F1025">D1025 - _xlfn.XLOOKUP(A1025&amp;2000, A:A&amp;C:C, D:D, "No 2000 data")</f>
        <v>-39.28</v>
      </c>
    </row>
    <row r="1026" spans="1:6" x14ac:dyDescent="0.35">
      <c r="A1026" s="16" t="s">
        <v>116</v>
      </c>
      <c r="B1026" s="16" t="s">
        <v>134</v>
      </c>
      <c r="C1026">
        <v>2024</v>
      </c>
      <c r="D1026">
        <v>37.840000000000003</v>
      </c>
      <c r="E1026" t="str">
        <f>IF(_2[[#This Row],[Year]]=2000,_2[[#This Row],[Share (%)]],"")</f>
        <v/>
      </c>
      <c r="F1026" s="16" cm="1">
        <f t="array" ref="F1026">D1026 - _xlfn.XLOOKUP(A1026&amp;2000, A:A&amp;C:C, D:D, "No 2000 data")</f>
        <v>-39.28</v>
      </c>
    </row>
    <row r="1027" spans="1:6" x14ac:dyDescent="0.35">
      <c r="A1027" s="16" t="s">
        <v>118</v>
      </c>
      <c r="B1027" s="16" t="s">
        <v>134</v>
      </c>
      <c r="C1027">
        <v>2000</v>
      </c>
      <c r="D1027">
        <v>2.57</v>
      </c>
      <c r="E1027">
        <f>IF(_2[[#This Row],[Year]]=2000,_2[[#This Row],[Share (%)]],"")</f>
        <v>2.57</v>
      </c>
      <c r="F1027" s="16" cm="1">
        <f t="array" ref="F1027">D1027 - _xlfn.XLOOKUP(A1027&amp;2000, A:A&amp;C:C, D:D, "No 2000 data")</f>
        <v>0</v>
      </c>
    </row>
    <row r="1028" spans="1:6" x14ac:dyDescent="0.35">
      <c r="A1028" s="16" t="s">
        <v>118</v>
      </c>
      <c r="B1028" s="16" t="s">
        <v>134</v>
      </c>
      <c r="C1028">
        <v>2001</v>
      </c>
      <c r="D1028">
        <v>2.58</v>
      </c>
      <c r="E1028" t="str">
        <f>IF(_2[[#This Row],[Year]]=2000,_2[[#This Row],[Share (%)]],"")</f>
        <v/>
      </c>
      <c r="F1028" s="16" cm="1">
        <f t="array" ref="F1028">D1028 - _xlfn.XLOOKUP(A1028&amp;2000, A:A&amp;C:C, D:D, "No 2000 data")</f>
        <v>1.0000000000000231E-2</v>
      </c>
    </row>
    <row r="1029" spans="1:6" x14ac:dyDescent="0.35">
      <c r="A1029" s="16" t="s">
        <v>118</v>
      </c>
      <c r="B1029" s="16" t="s">
        <v>134</v>
      </c>
      <c r="C1029">
        <v>2002</v>
      </c>
      <c r="D1029">
        <v>2.58</v>
      </c>
      <c r="E1029" t="str">
        <f>IF(_2[[#This Row],[Year]]=2000,_2[[#This Row],[Share (%)]],"")</f>
        <v/>
      </c>
      <c r="F1029" s="16" cm="1">
        <f t="array" ref="F1029">D1029 - _xlfn.XLOOKUP(A1029&amp;2000, A:A&amp;C:C, D:D, "No 2000 data")</f>
        <v>1.0000000000000231E-2</v>
      </c>
    </row>
    <row r="1030" spans="1:6" x14ac:dyDescent="0.35">
      <c r="A1030" s="16" t="s">
        <v>118</v>
      </c>
      <c r="B1030" s="16" t="s">
        <v>134</v>
      </c>
      <c r="C1030">
        <v>2003</v>
      </c>
      <c r="D1030">
        <v>2.8</v>
      </c>
      <c r="E1030" t="str">
        <f>IF(_2[[#This Row],[Year]]=2000,_2[[#This Row],[Share (%)]],"")</f>
        <v/>
      </c>
      <c r="F1030" s="16" cm="1">
        <f t="array" ref="F1030">D1030 - _xlfn.XLOOKUP(A1030&amp;2000, A:A&amp;C:C, D:D, "No 2000 data")</f>
        <v>0.22999999999999998</v>
      </c>
    </row>
    <row r="1031" spans="1:6" x14ac:dyDescent="0.35">
      <c r="A1031" s="16" t="s">
        <v>118</v>
      </c>
      <c r="B1031" s="16" t="s">
        <v>134</v>
      </c>
      <c r="C1031">
        <v>2004</v>
      </c>
      <c r="D1031">
        <v>2.7</v>
      </c>
      <c r="E1031" t="str">
        <f>IF(_2[[#This Row],[Year]]=2000,_2[[#This Row],[Share (%)]],"")</f>
        <v/>
      </c>
      <c r="F1031" s="16" cm="1">
        <f t="array" ref="F1031">D1031 - _xlfn.XLOOKUP(A1031&amp;2000, A:A&amp;C:C, D:D, "No 2000 data")</f>
        <v>0.13000000000000034</v>
      </c>
    </row>
    <row r="1032" spans="1:6" x14ac:dyDescent="0.35">
      <c r="A1032" s="16" t="s">
        <v>118</v>
      </c>
      <c r="B1032" s="16" t="s">
        <v>134</v>
      </c>
      <c r="C1032">
        <v>2005</v>
      </c>
      <c r="D1032">
        <v>2.5</v>
      </c>
      <c r="E1032" t="str">
        <f>IF(_2[[#This Row],[Year]]=2000,_2[[#This Row],[Share (%)]],"")</f>
        <v/>
      </c>
      <c r="F1032" s="16" cm="1">
        <f t="array" ref="F1032">D1032 - _xlfn.XLOOKUP(A1032&amp;2000, A:A&amp;C:C, D:D, "No 2000 data")</f>
        <v>-6.999999999999984E-2</v>
      </c>
    </row>
    <row r="1033" spans="1:6" x14ac:dyDescent="0.35">
      <c r="A1033" s="16" t="s">
        <v>118</v>
      </c>
      <c r="B1033" s="16" t="s">
        <v>134</v>
      </c>
      <c r="C1033">
        <v>2006</v>
      </c>
      <c r="D1033">
        <v>2.48</v>
      </c>
      <c r="E1033" t="str">
        <f>IF(_2[[#This Row],[Year]]=2000,_2[[#This Row],[Share (%)]],"")</f>
        <v/>
      </c>
      <c r="F1033" s="16" cm="1">
        <f t="array" ref="F1033">D1033 - _xlfn.XLOOKUP(A1033&amp;2000, A:A&amp;C:C, D:D, "No 2000 data")</f>
        <v>-8.9999999999999858E-2</v>
      </c>
    </row>
    <row r="1034" spans="1:6" x14ac:dyDescent="0.35">
      <c r="A1034" s="16" t="s">
        <v>118</v>
      </c>
      <c r="B1034" s="16" t="s">
        <v>134</v>
      </c>
      <c r="C1034">
        <v>2007</v>
      </c>
      <c r="D1034">
        <v>2.4900000000000002</v>
      </c>
      <c r="E1034" t="str">
        <f>IF(_2[[#This Row],[Year]]=2000,_2[[#This Row],[Share (%)]],"")</f>
        <v/>
      </c>
      <c r="F1034" s="16" cm="1">
        <f t="array" ref="F1034">D1034 - _xlfn.XLOOKUP(A1034&amp;2000, A:A&amp;C:C, D:D, "No 2000 data")</f>
        <v>-7.9999999999999627E-2</v>
      </c>
    </row>
    <row r="1035" spans="1:6" x14ac:dyDescent="0.35">
      <c r="A1035" s="16" t="s">
        <v>118</v>
      </c>
      <c r="B1035" s="16" t="s">
        <v>134</v>
      </c>
      <c r="C1035">
        <v>2008</v>
      </c>
      <c r="D1035">
        <v>2.2599999999999998</v>
      </c>
      <c r="E1035" t="str">
        <f>IF(_2[[#This Row],[Year]]=2000,_2[[#This Row],[Share (%)]],"")</f>
        <v/>
      </c>
      <c r="F1035" s="16" cm="1">
        <f t="array" ref="F1035">D1035 - _xlfn.XLOOKUP(A1035&amp;2000, A:A&amp;C:C, D:D, "No 2000 data")</f>
        <v>-0.31000000000000005</v>
      </c>
    </row>
    <row r="1036" spans="1:6" x14ac:dyDescent="0.35">
      <c r="A1036" s="16" t="s">
        <v>118</v>
      </c>
      <c r="B1036" s="16" t="s">
        <v>134</v>
      </c>
      <c r="C1036">
        <v>2009</v>
      </c>
      <c r="D1036">
        <v>3.08</v>
      </c>
      <c r="E1036" t="str">
        <f>IF(_2[[#This Row],[Year]]=2000,_2[[#This Row],[Share (%)]],"")</f>
        <v/>
      </c>
      <c r="F1036" s="16" cm="1">
        <f t="array" ref="F1036">D1036 - _xlfn.XLOOKUP(A1036&amp;2000, A:A&amp;C:C, D:D, "No 2000 data")</f>
        <v>0.51000000000000023</v>
      </c>
    </row>
    <row r="1037" spans="1:6" x14ac:dyDescent="0.35">
      <c r="A1037" s="16" t="s">
        <v>118</v>
      </c>
      <c r="B1037" s="16" t="s">
        <v>134</v>
      </c>
      <c r="C1037">
        <v>2010</v>
      </c>
      <c r="D1037">
        <v>3.08</v>
      </c>
      <c r="E1037" t="str">
        <f>IF(_2[[#This Row],[Year]]=2000,_2[[#This Row],[Share (%)]],"")</f>
        <v/>
      </c>
      <c r="F1037" s="16" cm="1">
        <f t="array" ref="F1037">D1037 - _xlfn.XLOOKUP(A1037&amp;2000, A:A&amp;C:C, D:D, "No 2000 data")</f>
        <v>0.51000000000000023</v>
      </c>
    </row>
    <row r="1038" spans="1:6" x14ac:dyDescent="0.35">
      <c r="A1038" s="16" t="s">
        <v>118</v>
      </c>
      <c r="B1038" s="16" t="s">
        <v>134</v>
      </c>
      <c r="C1038">
        <v>2011</v>
      </c>
      <c r="D1038">
        <v>2.81</v>
      </c>
      <c r="E1038" t="str">
        <f>IF(_2[[#This Row],[Year]]=2000,_2[[#This Row],[Share (%)]],"")</f>
        <v/>
      </c>
      <c r="F1038" s="16" cm="1">
        <f t="array" ref="F1038">D1038 - _xlfn.XLOOKUP(A1038&amp;2000, A:A&amp;C:C, D:D, "No 2000 data")</f>
        <v>0.24000000000000021</v>
      </c>
    </row>
    <row r="1039" spans="1:6" x14ac:dyDescent="0.35">
      <c r="A1039" s="16" t="s">
        <v>118</v>
      </c>
      <c r="B1039" s="16" t="s">
        <v>134</v>
      </c>
      <c r="C1039">
        <v>2012</v>
      </c>
      <c r="D1039">
        <v>5.62</v>
      </c>
      <c r="E1039" t="str">
        <f>IF(_2[[#This Row],[Year]]=2000,_2[[#This Row],[Share (%)]],"")</f>
        <v/>
      </c>
      <c r="F1039" s="16" cm="1">
        <f t="array" ref="F1039">D1039 - _xlfn.XLOOKUP(A1039&amp;2000, A:A&amp;C:C, D:D, "No 2000 data")</f>
        <v>3.0500000000000003</v>
      </c>
    </row>
    <row r="1040" spans="1:6" x14ac:dyDescent="0.35">
      <c r="A1040" s="16" t="s">
        <v>118</v>
      </c>
      <c r="B1040" s="16" t="s">
        <v>134</v>
      </c>
      <c r="C1040">
        <v>2013</v>
      </c>
      <c r="D1040">
        <v>5.98</v>
      </c>
      <c r="E1040" t="str">
        <f>IF(_2[[#This Row],[Year]]=2000,_2[[#This Row],[Share (%)]],"")</f>
        <v/>
      </c>
      <c r="F1040" s="16" cm="1">
        <f t="array" ref="F1040">D1040 - _xlfn.XLOOKUP(A1040&amp;2000, A:A&amp;C:C, D:D, "No 2000 data")</f>
        <v>3.4100000000000006</v>
      </c>
    </row>
    <row r="1041" spans="1:6" x14ac:dyDescent="0.35">
      <c r="A1041" s="16" t="s">
        <v>118</v>
      </c>
      <c r="B1041" s="16" t="s">
        <v>134</v>
      </c>
      <c r="C1041">
        <v>2014</v>
      </c>
      <c r="D1041">
        <v>6.23</v>
      </c>
      <c r="E1041" t="str">
        <f>IF(_2[[#This Row],[Year]]=2000,_2[[#This Row],[Share (%)]],"")</f>
        <v/>
      </c>
      <c r="F1041" s="16" cm="1">
        <f t="array" ref="F1041">D1041 - _xlfn.XLOOKUP(A1041&amp;2000, A:A&amp;C:C, D:D, "No 2000 data")</f>
        <v>3.6600000000000006</v>
      </c>
    </row>
    <row r="1042" spans="1:6" x14ac:dyDescent="0.35">
      <c r="A1042" s="16" t="s">
        <v>118</v>
      </c>
      <c r="B1042" s="16" t="s">
        <v>134</v>
      </c>
      <c r="C1042">
        <v>2015</v>
      </c>
      <c r="D1042">
        <v>6.62</v>
      </c>
      <c r="E1042" t="str">
        <f>IF(_2[[#This Row],[Year]]=2000,_2[[#This Row],[Share (%)]],"")</f>
        <v/>
      </c>
      <c r="F1042" s="16" cm="1">
        <f t="array" ref="F1042">D1042 - _xlfn.XLOOKUP(A1042&amp;2000, A:A&amp;C:C, D:D, "No 2000 data")</f>
        <v>4.0500000000000007</v>
      </c>
    </row>
    <row r="1043" spans="1:6" x14ac:dyDescent="0.35">
      <c r="A1043" s="16" t="s">
        <v>118</v>
      </c>
      <c r="B1043" s="16" t="s">
        <v>134</v>
      </c>
      <c r="C1043">
        <v>2016</v>
      </c>
      <c r="D1043">
        <v>6.49</v>
      </c>
      <c r="E1043" t="str">
        <f>IF(_2[[#This Row],[Year]]=2000,_2[[#This Row],[Share (%)]],"")</f>
        <v/>
      </c>
      <c r="F1043" s="16" cm="1">
        <f t="array" ref="F1043">D1043 - _xlfn.XLOOKUP(A1043&amp;2000, A:A&amp;C:C, D:D, "No 2000 data")</f>
        <v>3.9200000000000004</v>
      </c>
    </row>
    <row r="1044" spans="1:6" x14ac:dyDescent="0.35">
      <c r="A1044" s="16" t="s">
        <v>118</v>
      </c>
      <c r="B1044" s="16" t="s">
        <v>134</v>
      </c>
      <c r="C1044">
        <v>2017</v>
      </c>
      <c r="D1044">
        <v>6.52</v>
      </c>
      <c r="E1044" t="str">
        <f>IF(_2[[#This Row],[Year]]=2000,_2[[#This Row],[Share (%)]],"")</f>
        <v/>
      </c>
      <c r="F1044" s="16" cm="1">
        <f t="array" ref="F1044">D1044 - _xlfn.XLOOKUP(A1044&amp;2000, A:A&amp;C:C, D:D, "No 2000 data")</f>
        <v>3.9499999999999997</v>
      </c>
    </row>
    <row r="1045" spans="1:6" x14ac:dyDescent="0.35">
      <c r="A1045" s="16" t="s">
        <v>118</v>
      </c>
      <c r="B1045" s="16" t="s">
        <v>134</v>
      </c>
      <c r="C1045">
        <v>2018</v>
      </c>
      <c r="D1045">
        <v>7.28</v>
      </c>
      <c r="E1045" t="str">
        <f>IF(_2[[#This Row],[Year]]=2000,_2[[#This Row],[Share (%)]],"")</f>
        <v/>
      </c>
      <c r="F1045" s="16" cm="1">
        <f t="array" ref="F1045">D1045 - _xlfn.XLOOKUP(A1045&amp;2000, A:A&amp;C:C, D:D, "No 2000 data")</f>
        <v>4.7100000000000009</v>
      </c>
    </row>
    <row r="1046" spans="1:6" x14ac:dyDescent="0.35">
      <c r="A1046" s="16" t="s">
        <v>118</v>
      </c>
      <c r="B1046" s="16" t="s">
        <v>134</v>
      </c>
      <c r="C1046">
        <v>2019</v>
      </c>
      <c r="D1046">
        <v>7.16</v>
      </c>
      <c r="E1046" t="str">
        <f>IF(_2[[#This Row],[Year]]=2000,_2[[#This Row],[Share (%)]],"")</f>
        <v/>
      </c>
      <c r="F1046" s="16" cm="1">
        <f t="array" ref="F1046">D1046 - _xlfn.XLOOKUP(A1046&amp;2000, A:A&amp;C:C, D:D, "No 2000 data")</f>
        <v>4.59</v>
      </c>
    </row>
    <row r="1047" spans="1:6" x14ac:dyDescent="0.35">
      <c r="A1047" s="16" t="s">
        <v>118</v>
      </c>
      <c r="B1047" s="16" t="s">
        <v>134</v>
      </c>
      <c r="C1047">
        <v>2020</v>
      </c>
      <c r="D1047">
        <v>6.76</v>
      </c>
      <c r="E1047" t="str">
        <f>IF(_2[[#This Row],[Year]]=2000,_2[[#This Row],[Share (%)]],"")</f>
        <v/>
      </c>
      <c r="F1047" s="16" cm="1">
        <f t="array" ref="F1047">D1047 - _xlfn.XLOOKUP(A1047&amp;2000, A:A&amp;C:C, D:D, "No 2000 data")</f>
        <v>4.1899999999999995</v>
      </c>
    </row>
    <row r="1048" spans="1:6" x14ac:dyDescent="0.35">
      <c r="A1048" s="16" t="s">
        <v>118</v>
      </c>
      <c r="B1048" s="16" t="s">
        <v>134</v>
      </c>
      <c r="C1048">
        <v>2021</v>
      </c>
      <c r="D1048">
        <v>6.76</v>
      </c>
      <c r="E1048" t="str">
        <f>IF(_2[[#This Row],[Year]]=2000,_2[[#This Row],[Share (%)]],"")</f>
        <v/>
      </c>
      <c r="F1048" s="16" cm="1">
        <f t="array" ref="F1048">D1048 - _xlfn.XLOOKUP(A1048&amp;2000, A:A&amp;C:C, D:D, "No 2000 data")</f>
        <v>4.1899999999999995</v>
      </c>
    </row>
    <row r="1049" spans="1:6" x14ac:dyDescent="0.35">
      <c r="A1049" s="16" t="s">
        <v>118</v>
      </c>
      <c r="B1049" s="16" t="s">
        <v>134</v>
      </c>
      <c r="C1049">
        <v>2022</v>
      </c>
      <c r="D1049">
        <v>7.75</v>
      </c>
      <c r="E1049" t="str">
        <f>IF(_2[[#This Row],[Year]]=2000,_2[[#This Row],[Share (%)]],"")</f>
        <v/>
      </c>
      <c r="F1049" s="16" cm="1">
        <f t="array" ref="F1049">D1049 - _xlfn.XLOOKUP(A1049&amp;2000, A:A&amp;C:C, D:D, "No 2000 data")</f>
        <v>5.18</v>
      </c>
    </row>
    <row r="1050" spans="1:6" x14ac:dyDescent="0.35">
      <c r="A1050" s="16" t="s">
        <v>118</v>
      </c>
      <c r="B1050" s="16" t="s">
        <v>134</v>
      </c>
      <c r="C1050">
        <v>2023</v>
      </c>
      <c r="D1050">
        <v>11.88</v>
      </c>
      <c r="E1050" t="str">
        <f>IF(_2[[#This Row],[Year]]=2000,_2[[#This Row],[Share (%)]],"")</f>
        <v/>
      </c>
      <c r="F1050" s="16" cm="1">
        <f t="array" ref="F1050">D1050 - _xlfn.XLOOKUP(A1050&amp;2000, A:A&amp;C:C, D:D, "No 2000 data")</f>
        <v>9.31</v>
      </c>
    </row>
    <row r="1051" spans="1:6" x14ac:dyDescent="0.35">
      <c r="A1051" s="16" t="s">
        <v>118</v>
      </c>
      <c r="B1051" s="16" t="s">
        <v>134</v>
      </c>
      <c r="C1051">
        <v>2024</v>
      </c>
      <c r="D1051">
        <v>15.17</v>
      </c>
      <c r="E1051" t="str">
        <f>IF(_2[[#This Row],[Year]]=2000,_2[[#This Row],[Share (%)]],"")</f>
        <v/>
      </c>
      <c r="F1051" s="16" cm="1">
        <f t="array" ref="F1051">D1051 - _xlfn.XLOOKUP(A1051&amp;2000, A:A&amp;C:C, D:D, "No 2000 data")</f>
        <v>12.6</v>
      </c>
    </row>
    <row r="1052" spans="1:6" x14ac:dyDescent="0.35">
      <c r="A1052" s="16" t="s">
        <v>122</v>
      </c>
      <c r="B1052" s="16" t="s">
        <v>134</v>
      </c>
      <c r="C1052">
        <v>2000</v>
      </c>
      <c r="D1052">
        <v>98.86</v>
      </c>
      <c r="E1052">
        <f>IF(_2[[#This Row],[Year]]=2000,_2[[#This Row],[Share (%)]],"")</f>
        <v>98.86</v>
      </c>
      <c r="F1052" s="16" cm="1">
        <f t="array" ref="F1052">D1052 - _xlfn.XLOOKUP(A1052&amp;2000, A:A&amp;C:C, D:D, "No 2000 data")</f>
        <v>0</v>
      </c>
    </row>
    <row r="1053" spans="1:6" x14ac:dyDescent="0.35">
      <c r="A1053" s="16" t="s">
        <v>122</v>
      </c>
      <c r="B1053" s="16" t="s">
        <v>134</v>
      </c>
      <c r="C1053">
        <v>2001</v>
      </c>
      <c r="D1053">
        <v>98.86</v>
      </c>
      <c r="E1053" t="str">
        <f>IF(_2[[#This Row],[Year]]=2000,_2[[#This Row],[Share (%)]],"")</f>
        <v/>
      </c>
      <c r="F1053" s="16" cm="1">
        <f t="array" ref="F1053">D1053 - _xlfn.XLOOKUP(A1053&amp;2000, A:A&amp;C:C, D:D, "No 2000 data")</f>
        <v>0</v>
      </c>
    </row>
    <row r="1054" spans="1:6" x14ac:dyDescent="0.35">
      <c r="A1054" s="16" t="s">
        <v>122</v>
      </c>
      <c r="B1054" s="16" t="s">
        <v>134</v>
      </c>
      <c r="C1054">
        <v>2002</v>
      </c>
      <c r="D1054">
        <v>99.01</v>
      </c>
      <c r="E1054" t="str">
        <f>IF(_2[[#This Row],[Year]]=2000,_2[[#This Row],[Share (%)]],"")</f>
        <v/>
      </c>
      <c r="F1054" s="16" cm="1">
        <f t="array" ref="F1054">D1054 - _xlfn.XLOOKUP(A1054&amp;2000, A:A&amp;C:C, D:D, "No 2000 data")</f>
        <v>0.15000000000000568</v>
      </c>
    </row>
    <row r="1055" spans="1:6" x14ac:dyDescent="0.35">
      <c r="A1055" s="16" t="s">
        <v>122</v>
      </c>
      <c r="B1055" s="16" t="s">
        <v>134</v>
      </c>
      <c r="C1055">
        <v>2003</v>
      </c>
      <c r="D1055">
        <v>99.01</v>
      </c>
      <c r="E1055" t="str">
        <f>IF(_2[[#This Row],[Year]]=2000,_2[[#This Row],[Share (%)]],"")</f>
        <v/>
      </c>
      <c r="F1055" s="16" cm="1">
        <f t="array" ref="F1055">D1055 - _xlfn.XLOOKUP(A1055&amp;2000, A:A&amp;C:C, D:D, "No 2000 data")</f>
        <v>0.15000000000000568</v>
      </c>
    </row>
    <row r="1056" spans="1:6" x14ac:dyDescent="0.35">
      <c r="A1056" s="16" t="s">
        <v>122</v>
      </c>
      <c r="B1056" s="16" t="s">
        <v>134</v>
      </c>
      <c r="C1056">
        <v>2004</v>
      </c>
      <c r="D1056">
        <v>99.01</v>
      </c>
      <c r="E1056" t="str">
        <f>IF(_2[[#This Row],[Year]]=2000,_2[[#This Row],[Share (%)]],"")</f>
        <v/>
      </c>
      <c r="F1056" s="16" cm="1">
        <f t="array" ref="F1056">D1056 - _xlfn.XLOOKUP(A1056&amp;2000, A:A&amp;C:C, D:D, "No 2000 data")</f>
        <v>0.15000000000000568</v>
      </c>
    </row>
    <row r="1057" spans="1:6" x14ac:dyDescent="0.35">
      <c r="A1057" s="16" t="s">
        <v>122</v>
      </c>
      <c r="B1057" s="16" t="s">
        <v>134</v>
      </c>
      <c r="C1057">
        <v>2005</v>
      </c>
      <c r="D1057">
        <v>86.3</v>
      </c>
      <c r="E1057" t="str">
        <f>IF(_2[[#This Row],[Year]]=2000,_2[[#This Row],[Share (%)]],"")</f>
        <v/>
      </c>
      <c r="F1057" s="16" cm="1">
        <f t="array" ref="F1057">D1057 - _xlfn.XLOOKUP(A1057&amp;2000, A:A&amp;C:C, D:D, "No 2000 data")</f>
        <v>-12.560000000000002</v>
      </c>
    </row>
    <row r="1058" spans="1:6" x14ac:dyDescent="0.35">
      <c r="A1058" s="16" t="s">
        <v>122</v>
      </c>
      <c r="B1058" s="16" t="s">
        <v>134</v>
      </c>
      <c r="C1058">
        <v>2006</v>
      </c>
      <c r="D1058">
        <v>75.900000000000006</v>
      </c>
      <c r="E1058" t="str">
        <f>IF(_2[[#This Row],[Year]]=2000,_2[[#This Row],[Share (%)]],"")</f>
        <v/>
      </c>
      <c r="F1058" s="16" cm="1">
        <f t="array" ref="F1058">D1058 - _xlfn.XLOOKUP(A1058&amp;2000, A:A&amp;C:C, D:D, "No 2000 data")</f>
        <v>-22.959999999999994</v>
      </c>
    </row>
    <row r="1059" spans="1:6" x14ac:dyDescent="0.35">
      <c r="A1059" s="16" t="s">
        <v>122</v>
      </c>
      <c r="B1059" s="16" t="s">
        <v>134</v>
      </c>
      <c r="C1059">
        <v>2007</v>
      </c>
      <c r="D1059">
        <v>75.900000000000006</v>
      </c>
      <c r="E1059" t="str">
        <f>IF(_2[[#This Row],[Year]]=2000,_2[[#This Row],[Share (%)]],"")</f>
        <v/>
      </c>
      <c r="F1059" s="16" cm="1">
        <f t="array" ref="F1059">D1059 - _xlfn.XLOOKUP(A1059&amp;2000, A:A&amp;C:C, D:D, "No 2000 data")</f>
        <v>-22.959999999999994</v>
      </c>
    </row>
    <row r="1060" spans="1:6" x14ac:dyDescent="0.35">
      <c r="A1060" s="16" t="s">
        <v>122</v>
      </c>
      <c r="B1060" s="16" t="s">
        <v>134</v>
      </c>
      <c r="C1060">
        <v>2008</v>
      </c>
      <c r="D1060">
        <v>67.27</v>
      </c>
      <c r="E1060" t="str">
        <f>IF(_2[[#This Row],[Year]]=2000,_2[[#This Row],[Share (%)]],"")</f>
        <v/>
      </c>
      <c r="F1060" s="16" cm="1">
        <f t="array" ref="F1060">D1060 - _xlfn.XLOOKUP(A1060&amp;2000, A:A&amp;C:C, D:D, "No 2000 data")</f>
        <v>-31.590000000000003</v>
      </c>
    </row>
    <row r="1061" spans="1:6" x14ac:dyDescent="0.35">
      <c r="A1061" s="16" t="s">
        <v>122</v>
      </c>
      <c r="B1061" s="16" t="s">
        <v>134</v>
      </c>
      <c r="C1061">
        <v>2009</v>
      </c>
      <c r="D1061">
        <v>73.87</v>
      </c>
      <c r="E1061" t="str">
        <f>IF(_2[[#This Row],[Year]]=2000,_2[[#This Row],[Share (%)]],"")</f>
        <v/>
      </c>
      <c r="F1061" s="16" cm="1">
        <f t="array" ref="F1061">D1061 - _xlfn.XLOOKUP(A1061&amp;2000, A:A&amp;C:C, D:D, "No 2000 data")</f>
        <v>-24.989999999999995</v>
      </c>
    </row>
    <row r="1062" spans="1:6" x14ac:dyDescent="0.35">
      <c r="A1062" s="16" t="s">
        <v>122</v>
      </c>
      <c r="B1062" s="16" t="s">
        <v>134</v>
      </c>
      <c r="C1062">
        <v>2010</v>
      </c>
      <c r="D1062">
        <v>72.510000000000005</v>
      </c>
      <c r="E1062" t="str">
        <f>IF(_2[[#This Row],[Year]]=2000,_2[[#This Row],[Share (%)]],"")</f>
        <v/>
      </c>
      <c r="F1062" s="16" cm="1">
        <f t="array" ref="F1062">D1062 - _xlfn.XLOOKUP(A1062&amp;2000, A:A&amp;C:C, D:D, "No 2000 data")</f>
        <v>-26.349999999999994</v>
      </c>
    </row>
    <row r="1063" spans="1:6" x14ac:dyDescent="0.35">
      <c r="A1063" s="16" t="s">
        <v>122</v>
      </c>
      <c r="B1063" s="16" t="s">
        <v>134</v>
      </c>
      <c r="C1063">
        <v>2011</v>
      </c>
      <c r="D1063">
        <v>72.540000000000006</v>
      </c>
      <c r="E1063" t="str">
        <f>IF(_2[[#This Row],[Year]]=2000,_2[[#This Row],[Share (%)]],"")</f>
        <v/>
      </c>
      <c r="F1063" s="16" cm="1">
        <f t="array" ref="F1063">D1063 - _xlfn.XLOOKUP(A1063&amp;2000, A:A&amp;C:C, D:D, "No 2000 data")</f>
        <v>-26.319999999999993</v>
      </c>
    </row>
    <row r="1064" spans="1:6" x14ac:dyDescent="0.35">
      <c r="A1064" s="16" t="s">
        <v>122</v>
      </c>
      <c r="B1064" s="16" t="s">
        <v>134</v>
      </c>
      <c r="C1064">
        <v>2012</v>
      </c>
      <c r="D1064">
        <v>83.32</v>
      </c>
      <c r="E1064" t="str">
        <f>IF(_2[[#This Row],[Year]]=2000,_2[[#This Row],[Share (%)]],"")</f>
        <v/>
      </c>
      <c r="F1064" s="16" cm="1">
        <f t="array" ref="F1064">D1064 - _xlfn.XLOOKUP(A1064&amp;2000, A:A&amp;C:C, D:D, "No 2000 data")</f>
        <v>-15.540000000000006</v>
      </c>
    </row>
    <row r="1065" spans="1:6" x14ac:dyDescent="0.35">
      <c r="A1065" s="16" t="s">
        <v>122</v>
      </c>
      <c r="B1065" s="16" t="s">
        <v>134</v>
      </c>
      <c r="C1065">
        <v>2013</v>
      </c>
      <c r="D1065">
        <v>87.95</v>
      </c>
      <c r="E1065" t="str">
        <f>IF(_2[[#This Row],[Year]]=2000,_2[[#This Row],[Share (%)]],"")</f>
        <v/>
      </c>
      <c r="F1065" s="16" cm="1">
        <f t="array" ref="F1065">D1065 - _xlfn.XLOOKUP(A1065&amp;2000, A:A&amp;C:C, D:D, "No 2000 data")</f>
        <v>-10.909999999999997</v>
      </c>
    </row>
    <row r="1066" spans="1:6" x14ac:dyDescent="0.35">
      <c r="A1066" s="16" t="s">
        <v>122</v>
      </c>
      <c r="B1066" s="16" t="s">
        <v>134</v>
      </c>
      <c r="C1066">
        <v>2014</v>
      </c>
      <c r="D1066">
        <v>84.62</v>
      </c>
      <c r="E1066" t="str">
        <f>IF(_2[[#This Row],[Year]]=2000,_2[[#This Row],[Share (%)]],"")</f>
        <v/>
      </c>
      <c r="F1066" s="16" cm="1">
        <f t="array" ref="F1066">D1066 - _xlfn.XLOOKUP(A1066&amp;2000, A:A&amp;C:C, D:D, "No 2000 data")</f>
        <v>-14.239999999999995</v>
      </c>
    </row>
    <row r="1067" spans="1:6" x14ac:dyDescent="0.35">
      <c r="A1067" s="16" t="s">
        <v>122</v>
      </c>
      <c r="B1067" s="16" t="s">
        <v>134</v>
      </c>
      <c r="C1067">
        <v>2015</v>
      </c>
      <c r="D1067">
        <v>84.9</v>
      </c>
      <c r="E1067" t="str">
        <f>IF(_2[[#This Row],[Year]]=2000,_2[[#This Row],[Share (%)]],"")</f>
        <v/>
      </c>
      <c r="F1067" s="16" cm="1">
        <f t="array" ref="F1067">D1067 - _xlfn.XLOOKUP(A1067&amp;2000, A:A&amp;C:C, D:D, "No 2000 data")</f>
        <v>-13.959999999999994</v>
      </c>
    </row>
    <row r="1068" spans="1:6" x14ac:dyDescent="0.35">
      <c r="A1068" s="16" t="s">
        <v>122</v>
      </c>
      <c r="B1068" s="16" t="s">
        <v>134</v>
      </c>
      <c r="C1068">
        <v>2016</v>
      </c>
      <c r="D1068">
        <v>84.94</v>
      </c>
      <c r="E1068" t="str">
        <f>IF(_2[[#This Row],[Year]]=2000,_2[[#This Row],[Share (%)]],"")</f>
        <v/>
      </c>
      <c r="F1068" s="16" cm="1">
        <f t="array" ref="F1068">D1068 - _xlfn.XLOOKUP(A1068&amp;2000, A:A&amp;C:C, D:D, "No 2000 data")</f>
        <v>-13.920000000000002</v>
      </c>
    </row>
    <row r="1069" spans="1:6" x14ac:dyDescent="0.35">
      <c r="A1069" s="16" t="s">
        <v>122</v>
      </c>
      <c r="B1069" s="16" t="s">
        <v>134</v>
      </c>
      <c r="C1069">
        <v>2017</v>
      </c>
      <c r="D1069">
        <v>85.54</v>
      </c>
      <c r="E1069" t="str">
        <f>IF(_2[[#This Row],[Year]]=2000,_2[[#This Row],[Share (%)]],"")</f>
        <v/>
      </c>
      <c r="F1069" s="16" cm="1">
        <f t="array" ref="F1069">D1069 - _xlfn.XLOOKUP(A1069&amp;2000, A:A&amp;C:C, D:D, "No 2000 data")</f>
        <v>-13.319999999999993</v>
      </c>
    </row>
    <row r="1070" spans="1:6" x14ac:dyDescent="0.35">
      <c r="A1070" s="16" t="s">
        <v>122</v>
      </c>
      <c r="B1070" s="16" t="s">
        <v>134</v>
      </c>
      <c r="C1070">
        <v>2018</v>
      </c>
      <c r="D1070">
        <v>89.71</v>
      </c>
      <c r="E1070" t="str">
        <f>IF(_2[[#This Row],[Year]]=2000,_2[[#This Row],[Share (%)]],"")</f>
        <v/>
      </c>
      <c r="F1070" s="16" cm="1">
        <f t="array" ref="F1070">D1070 - _xlfn.XLOOKUP(A1070&amp;2000, A:A&amp;C:C, D:D, "No 2000 data")</f>
        <v>-9.1500000000000057</v>
      </c>
    </row>
    <row r="1071" spans="1:6" x14ac:dyDescent="0.35">
      <c r="A1071" s="16" t="s">
        <v>122</v>
      </c>
      <c r="B1071" s="16" t="s">
        <v>134</v>
      </c>
      <c r="C1071">
        <v>2019</v>
      </c>
      <c r="D1071">
        <v>91.92</v>
      </c>
      <c r="E1071" t="str">
        <f>IF(_2[[#This Row],[Year]]=2000,_2[[#This Row],[Share (%)]],"")</f>
        <v/>
      </c>
      <c r="F1071" s="16" cm="1">
        <f t="array" ref="F1071">D1071 - _xlfn.XLOOKUP(A1071&amp;2000, A:A&amp;C:C, D:D, "No 2000 data")</f>
        <v>-6.9399999999999977</v>
      </c>
    </row>
    <row r="1072" spans="1:6" x14ac:dyDescent="0.35">
      <c r="A1072" s="16" t="s">
        <v>122</v>
      </c>
      <c r="B1072" s="16" t="s">
        <v>134</v>
      </c>
      <c r="C1072">
        <v>2020</v>
      </c>
      <c r="D1072">
        <v>92.14</v>
      </c>
      <c r="E1072" t="str">
        <f>IF(_2[[#This Row],[Year]]=2000,_2[[#This Row],[Share (%)]],"")</f>
        <v/>
      </c>
      <c r="F1072" s="16" cm="1">
        <f t="array" ref="F1072">D1072 - _xlfn.XLOOKUP(A1072&amp;2000, A:A&amp;C:C, D:D, "No 2000 data")</f>
        <v>-6.7199999999999989</v>
      </c>
    </row>
    <row r="1073" spans="1:6" x14ac:dyDescent="0.35">
      <c r="A1073" s="16" t="s">
        <v>122</v>
      </c>
      <c r="B1073" s="16" t="s">
        <v>134</v>
      </c>
      <c r="C1073">
        <v>2021</v>
      </c>
      <c r="D1073">
        <v>92.15</v>
      </c>
      <c r="E1073" t="str">
        <f>IF(_2[[#This Row],[Year]]=2000,_2[[#This Row],[Share (%)]],"")</f>
        <v/>
      </c>
      <c r="F1073" s="16" cm="1">
        <f t="array" ref="F1073">D1073 - _xlfn.XLOOKUP(A1073&amp;2000, A:A&amp;C:C, D:D, "No 2000 data")</f>
        <v>-6.7099999999999937</v>
      </c>
    </row>
    <row r="1074" spans="1:6" x14ac:dyDescent="0.35">
      <c r="A1074" s="16" t="s">
        <v>122</v>
      </c>
      <c r="B1074" s="16" t="s">
        <v>134</v>
      </c>
      <c r="C1074">
        <v>2022</v>
      </c>
      <c r="D1074">
        <v>92.31</v>
      </c>
      <c r="E1074" t="str">
        <f>IF(_2[[#This Row],[Year]]=2000,_2[[#This Row],[Share (%)]],"")</f>
        <v/>
      </c>
      <c r="F1074" s="16" cm="1">
        <f t="array" ref="F1074">D1074 - _xlfn.XLOOKUP(A1074&amp;2000, A:A&amp;C:C, D:D, "No 2000 data")</f>
        <v>-6.5499999999999972</v>
      </c>
    </row>
    <row r="1075" spans="1:6" x14ac:dyDescent="0.35">
      <c r="A1075" s="16" t="s">
        <v>122</v>
      </c>
      <c r="B1075" s="16" t="s">
        <v>134</v>
      </c>
      <c r="C1075">
        <v>2023</v>
      </c>
      <c r="D1075">
        <v>94.11</v>
      </c>
      <c r="E1075" t="str">
        <f>IF(_2[[#This Row],[Year]]=2000,_2[[#This Row],[Share (%)]],"")</f>
        <v/>
      </c>
      <c r="F1075" s="16" cm="1">
        <f t="array" ref="F1075">D1075 - _xlfn.XLOOKUP(A1075&amp;2000, A:A&amp;C:C, D:D, "No 2000 data")</f>
        <v>-4.75</v>
      </c>
    </row>
    <row r="1076" spans="1:6" x14ac:dyDescent="0.35">
      <c r="A1076" s="16" t="s">
        <v>122</v>
      </c>
      <c r="B1076" s="16" t="s">
        <v>134</v>
      </c>
      <c r="C1076">
        <v>2024</v>
      </c>
      <c r="D1076">
        <v>94.63</v>
      </c>
      <c r="E1076" t="str">
        <f>IF(_2[[#This Row],[Year]]=2000,_2[[#This Row],[Share (%)]],"")</f>
        <v/>
      </c>
      <c r="F1076" s="16" cm="1">
        <f t="array" ref="F1076">D1076 - _xlfn.XLOOKUP(A1076&amp;2000, A:A&amp;C:C, D:D, "No 2000 data")</f>
        <v>-4.230000000000004</v>
      </c>
    </row>
    <row r="1077" spans="1:6" x14ac:dyDescent="0.35">
      <c r="A1077" s="16" t="s">
        <v>126</v>
      </c>
      <c r="B1077" s="16" t="s">
        <v>134</v>
      </c>
      <c r="C1077">
        <v>2000</v>
      </c>
      <c r="D1077">
        <v>95.43</v>
      </c>
      <c r="E1077">
        <f>IF(_2[[#This Row],[Year]]=2000,_2[[#This Row],[Share (%)]],"")</f>
        <v>95.43</v>
      </c>
      <c r="F1077" s="16" cm="1">
        <f t="array" ref="F1077">D1077 - _xlfn.XLOOKUP(A1077&amp;2000, A:A&amp;C:C, D:D, "No 2000 data")</f>
        <v>0</v>
      </c>
    </row>
    <row r="1078" spans="1:6" x14ac:dyDescent="0.35">
      <c r="A1078" s="16" t="s">
        <v>126</v>
      </c>
      <c r="B1078" s="16" t="s">
        <v>134</v>
      </c>
      <c r="C1078">
        <v>2001</v>
      </c>
      <c r="D1078">
        <v>95.43</v>
      </c>
      <c r="E1078" t="str">
        <f>IF(_2[[#This Row],[Year]]=2000,_2[[#This Row],[Share (%)]],"")</f>
        <v/>
      </c>
      <c r="F1078" s="16" cm="1">
        <f t="array" ref="F1078">D1078 - _xlfn.XLOOKUP(A1078&amp;2000, A:A&amp;C:C, D:D, "No 2000 data")</f>
        <v>0</v>
      </c>
    </row>
    <row r="1079" spans="1:6" x14ac:dyDescent="0.35">
      <c r="A1079" s="16" t="s">
        <v>126</v>
      </c>
      <c r="B1079" s="16" t="s">
        <v>134</v>
      </c>
      <c r="C1079">
        <v>2002</v>
      </c>
      <c r="D1079">
        <v>95.43</v>
      </c>
      <c r="E1079" t="str">
        <f>IF(_2[[#This Row],[Year]]=2000,_2[[#This Row],[Share (%)]],"")</f>
        <v/>
      </c>
      <c r="F1079" s="16" cm="1">
        <f t="array" ref="F1079">D1079 - _xlfn.XLOOKUP(A1079&amp;2000, A:A&amp;C:C, D:D, "No 2000 data")</f>
        <v>0</v>
      </c>
    </row>
    <row r="1080" spans="1:6" x14ac:dyDescent="0.35">
      <c r="A1080" s="16" t="s">
        <v>126</v>
      </c>
      <c r="B1080" s="16" t="s">
        <v>134</v>
      </c>
      <c r="C1080">
        <v>2003</v>
      </c>
      <c r="D1080">
        <v>95.28</v>
      </c>
      <c r="E1080" t="str">
        <f>IF(_2[[#This Row],[Year]]=2000,_2[[#This Row],[Share (%)]],"")</f>
        <v/>
      </c>
      <c r="F1080" s="16" cm="1">
        <f t="array" ref="F1080">D1080 - _xlfn.XLOOKUP(A1080&amp;2000, A:A&amp;C:C, D:D, "No 2000 data")</f>
        <v>-0.15000000000000568</v>
      </c>
    </row>
    <row r="1081" spans="1:6" x14ac:dyDescent="0.35">
      <c r="A1081" s="16" t="s">
        <v>126</v>
      </c>
      <c r="B1081" s="16" t="s">
        <v>134</v>
      </c>
      <c r="C1081">
        <v>2004</v>
      </c>
      <c r="D1081">
        <v>95.28</v>
      </c>
      <c r="E1081" t="str">
        <f>IF(_2[[#This Row],[Year]]=2000,_2[[#This Row],[Share (%)]],"")</f>
        <v/>
      </c>
      <c r="F1081" s="16" cm="1">
        <f t="array" ref="F1081">D1081 - _xlfn.XLOOKUP(A1081&amp;2000, A:A&amp;C:C, D:D, "No 2000 data")</f>
        <v>-0.15000000000000568</v>
      </c>
    </row>
    <row r="1082" spans="1:6" x14ac:dyDescent="0.35">
      <c r="A1082" s="16" t="s">
        <v>126</v>
      </c>
      <c r="B1082" s="16" t="s">
        <v>134</v>
      </c>
      <c r="C1082">
        <v>2005</v>
      </c>
      <c r="D1082">
        <v>95.28</v>
      </c>
      <c r="E1082" t="str">
        <f>IF(_2[[#This Row],[Year]]=2000,_2[[#This Row],[Share (%)]],"")</f>
        <v/>
      </c>
      <c r="F1082" s="16" cm="1">
        <f t="array" ref="F1082">D1082 - _xlfn.XLOOKUP(A1082&amp;2000, A:A&amp;C:C, D:D, "No 2000 data")</f>
        <v>-0.15000000000000568</v>
      </c>
    </row>
    <row r="1083" spans="1:6" x14ac:dyDescent="0.35">
      <c r="A1083" s="16" t="s">
        <v>126</v>
      </c>
      <c r="B1083" s="16" t="s">
        <v>134</v>
      </c>
      <c r="C1083">
        <v>2006</v>
      </c>
      <c r="D1083">
        <v>95.28</v>
      </c>
      <c r="E1083" t="str">
        <f>IF(_2[[#This Row],[Year]]=2000,_2[[#This Row],[Share (%)]],"")</f>
        <v/>
      </c>
      <c r="F1083" s="16" cm="1">
        <f t="array" ref="F1083">D1083 - _xlfn.XLOOKUP(A1083&amp;2000, A:A&amp;C:C, D:D, "No 2000 data")</f>
        <v>-0.15000000000000568</v>
      </c>
    </row>
    <row r="1084" spans="1:6" x14ac:dyDescent="0.35">
      <c r="A1084" s="16" t="s">
        <v>126</v>
      </c>
      <c r="B1084" s="16" t="s">
        <v>134</v>
      </c>
      <c r="C1084">
        <v>2007</v>
      </c>
      <c r="D1084">
        <v>95.09</v>
      </c>
      <c r="E1084" t="str">
        <f>IF(_2[[#This Row],[Year]]=2000,_2[[#This Row],[Share (%)]],"")</f>
        <v/>
      </c>
      <c r="F1084" s="16" cm="1">
        <f t="array" ref="F1084">D1084 - _xlfn.XLOOKUP(A1084&amp;2000, A:A&amp;C:C, D:D, "No 2000 data")</f>
        <v>-0.34000000000000341</v>
      </c>
    </row>
    <row r="1085" spans="1:6" x14ac:dyDescent="0.35">
      <c r="A1085" s="16" t="s">
        <v>126</v>
      </c>
      <c r="B1085" s="16" t="s">
        <v>134</v>
      </c>
      <c r="C1085">
        <v>2008</v>
      </c>
      <c r="D1085">
        <v>95.19</v>
      </c>
      <c r="E1085" t="str">
        <f>IF(_2[[#This Row],[Year]]=2000,_2[[#This Row],[Share (%)]],"")</f>
        <v/>
      </c>
      <c r="F1085" s="16" cm="1">
        <f t="array" ref="F1085">D1085 - _xlfn.XLOOKUP(A1085&amp;2000, A:A&amp;C:C, D:D, "No 2000 data")</f>
        <v>-0.24000000000000909</v>
      </c>
    </row>
    <row r="1086" spans="1:6" x14ac:dyDescent="0.35">
      <c r="A1086" s="16" t="s">
        <v>126</v>
      </c>
      <c r="B1086" s="16" t="s">
        <v>134</v>
      </c>
      <c r="C1086">
        <v>2009</v>
      </c>
      <c r="D1086">
        <v>95.21</v>
      </c>
      <c r="E1086" t="str">
        <f>IF(_2[[#This Row],[Year]]=2000,_2[[#This Row],[Share (%)]],"")</f>
        <v/>
      </c>
      <c r="F1086" s="16" cm="1">
        <f t="array" ref="F1086">D1086 - _xlfn.XLOOKUP(A1086&amp;2000, A:A&amp;C:C, D:D, "No 2000 data")</f>
        <v>-0.22000000000001307</v>
      </c>
    </row>
    <row r="1087" spans="1:6" x14ac:dyDescent="0.35">
      <c r="A1087" s="16" t="s">
        <v>126</v>
      </c>
      <c r="B1087" s="16" t="s">
        <v>134</v>
      </c>
      <c r="C1087">
        <v>2010</v>
      </c>
      <c r="D1087">
        <v>95.72</v>
      </c>
      <c r="E1087" t="str">
        <f>IF(_2[[#This Row],[Year]]=2000,_2[[#This Row],[Share (%)]],"")</f>
        <v/>
      </c>
      <c r="F1087" s="16" cm="1">
        <f t="array" ref="F1087">D1087 - _xlfn.XLOOKUP(A1087&amp;2000, A:A&amp;C:C, D:D, "No 2000 data")</f>
        <v>0.28999999999999204</v>
      </c>
    </row>
    <row r="1088" spans="1:6" x14ac:dyDescent="0.35">
      <c r="A1088" s="16" t="s">
        <v>126</v>
      </c>
      <c r="B1088" s="16" t="s">
        <v>134</v>
      </c>
      <c r="C1088">
        <v>2011</v>
      </c>
      <c r="D1088">
        <v>95.72</v>
      </c>
      <c r="E1088" t="str">
        <f>IF(_2[[#This Row],[Year]]=2000,_2[[#This Row],[Share (%)]],"")</f>
        <v/>
      </c>
      <c r="F1088" s="16" cm="1">
        <f t="array" ref="F1088">D1088 - _xlfn.XLOOKUP(A1088&amp;2000, A:A&amp;C:C, D:D, "No 2000 data")</f>
        <v>0.28999999999999204</v>
      </c>
    </row>
    <row r="1089" spans="1:6" x14ac:dyDescent="0.35">
      <c r="A1089" s="16" t="s">
        <v>126</v>
      </c>
      <c r="B1089" s="16" t="s">
        <v>134</v>
      </c>
      <c r="C1089">
        <v>2012</v>
      </c>
      <c r="D1089">
        <v>95.73</v>
      </c>
      <c r="E1089" t="str">
        <f>IF(_2[[#This Row],[Year]]=2000,_2[[#This Row],[Share (%)]],"")</f>
        <v/>
      </c>
      <c r="F1089" s="16" cm="1">
        <f t="array" ref="F1089">D1089 - _xlfn.XLOOKUP(A1089&amp;2000, A:A&amp;C:C, D:D, "No 2000 data")</f>
        <v>0.29999999999999716</v>
      </c>
    </row>
    <row r="1090" spans="1:6" x14ac:dyDescent="0.35">
      <c r="A1090" s="16" t="s">
        <v>126</v>
      </c>
      <c r="B1090" s="16" t="s">
        <v>134</v>
      </c>
      <c r="C1090">
        <v>2013</v>
      </c>
      <c r="D1090">
        <v>97.03</v>
      </c>
      <c r="E1090" t="str">
        <f>IF(_2[[#This Row],[Year]]=2000,_2[[#This Row],[Share (%)]],"")</f>
        <v/>
      </c>
      <c r="F1090" s="16" cm="1">
        <f t="array" ref="F1090">D1090 - _xlfn.XLOOKUP(A1090&amp;2000, A:A&amp;C:C, D:D, "No 2000 data")</f>
        <v>1.5999999999999943</v>
      </c>
    </row>
    <row r="1091" spans="1:6" x14ac:dyDescent="0.35">
      <c r="A1091" s="16" t="s">
        <v>126</v>
      </c>
      <c r="B1091" s="16" t="s">
        <v>134</v>
      </c>
      <c r="C1091">
        <v>2014</v>
      </c>
      <c r="D1091">
        <v>94.24</v>
      </c>
      <c r="E1091" t="str">
        <f>IF(_2[[#This Row],[Year]]=2000,_2[[#This Row],[Share (%)]],"")</f>
        <v/>
      </c>
      <c r="F1091" s="16" cm="1">
        <f t="array" ref="F1091">D1091 - _xlfn.XLOOKUP(A1091&amp;2000, A:A&amp;C:C, D:D, "No 2000 data")</f>
        <v>-1.1900000000000119</v>
      </c>
    </row>
    <row r="1092" spans="1:6" x14ac:dyDescent="0.35">
      <c r="A1092" s="16" t="s">
        <v>126</v>
      </c>
      <c r="B1092" s="16" t="s">
        <v>134</v>
      </c>
      <c r="C1092">
        <v>2015</v>
      </c>
      <c r="D1092">
        <v>93.08</v>
      </c>
      <c r="E1092" t="str">
        <f>IF(_2[[#This Row],[Year]]=2000,_2[[#This Row],[Share (%)]],"")</f>
        <v/>
      </c>
      <c r="F1092" s="16" cm="1">
        <f t="array" ref="F1092">D1092 - _xlfn.XLOOKUP(A1092&amp;2000, A:A&amp;C:C, D:D, "No 2000 data")</f>
        <v>-2.3500000000000085</v>
      </c>
    </row>
    <row r="1093" spans="1:6" x14ac:dyDescent="0.35">
      <c r="A1093" s="16" t="s">
        <v>126</v>
      </c>
      <c r="B1093" s="16" t="s">
        <v>134</v>
      </c>
      <c r="C1093">
        <v>2016</v>
      </c>
      <c r="D1093">
        <v>83.85</v>
      </c>
      <c r="E1093" t="str">
        <f>IF(_2[[#This Row],[Year]]=2000,_2[[#This Row],[Share (%)]],"")</f>
        <v/>
      </c>
      <c r="F1093" s="16" cm="1">
        <f t="array" ref="F1093">D1093 - _xlfn.XLOOKUP(A1093&amp;2000, A:A&amp;C:C, D:D, "No 2000 data")</f>
        <v>-11.580000000000013</v>
      </c>
    </row>
    <row r="1094" spans="1:6" x14ac:dyDescent="0.35">
      <c r="A1094" s="16" t="s">
        <v>126</v>
      </c>
      <c r="B1094" s="16" t="s">
        <v>134</v>
      </c>
      <c r="C1094">
        <v>2017</v>
      </c>
      <c r="D1094">
        <v>82.21</v>
      </c>
      <c r="E1094" t="str">
        <f>IF(_2[[#This Row],[Year]]=2000,_2[[#This Row],[Share (%)]],"")</f>
        <v/>
      </c>
      <c r="F1094" s="16" cm="1">
        <f t="array" ref="F1094">D1094 - _xlfn.XLOOKUP(A1094&amp;2000, A:A&amp;C:C, D:D, "No 2000 data")</f>
        <v>-13.220000000000013</v>
      </c>
    </row>
    <row r="1095" spans="1:6" x14ac:dyDescent="0.35">
      <c r="A1095" s="16" t="s">
        <v>126</v>
      </c>
      <c r="B1095" s="16" t="s">
        <v>134</v>
      </c>
      <c r="C1095">
        <v>2018</v>
      </c>
      <c r="D1095">
        <v>82.37</v>
      </c>
      <c r="E1095" t="str">
        <f>IF(_2[[#This Row],[Year]]=2000,_2[[#This Row],[Share (%)]],"")</f>
        <v/>
      </c>
      <c r="F1095" s="16" cm="1">
        <f t="array" ref="F1095">D1095 - _xlfn.XLOOKUP(A1095&amp;2000, A:A&amp;C:C, D:D, "No 2000 data")</f>
        <v>-13.060000000000002</v>
      </c>
    </row>
    <row r="1096" spans="1:6" x14ac:dyDescent="0.35">
      <c r="A1096" s="16" t="s">
        <v>126</v>
      </c>
      <c r="B1096" s="16" t="s">
        <v>134</v>
      </c>
      <c r="C1096">
        <v>2019</v>
      </c>
      <c r="D1096">
        <v>82.89</v>
      </c>
      <c r="E1096" t="str">
        <f>IF(_2[[#This Row],[Year]]=2000,_2[[#This Row],[Share (%)]],"")</f>
        <v/>
      </c>
      <c r="F1096" s="16" cm="1">
        <f t="array" ref="F1096">D1096 - _xlfn.XLOOKUP(A1096&amp;2000, A:A&amp;C:C, D:D, "No 2000 data")</f>
        <v>-12.540000000000006</v>
      </c>
    </row>
    <row r="1097" spans="1:6" x14ac:dyDescent="0.35">
      <c r="A1097" s="16" t="s">
        <v>126</v>
      </c>
      <c r="B1097" s="16" t="s">
        <v>134</v>
      </c>
      <c r="C1097">
        <v>2020</v>
      </c>
      <c r="D1097">
        <v>82.9</v>
      </c>
      <c r="E1097" t="str">
        <f>IF(_2[[#This Row],[Year]]=2000,_2[[#This Row],[Share (%)]],"")</f>
        <v/>
      </c>
      <c r="F1097" s="16" cm="1">
        <f t="array" ref="F1097">D1097 - _xlfn.XLOOKUP(A1097&amp;2000, A:A&amp;C:C, D:D, "No 2000 data")</f>
        <v>-12.530000000000001</v>
      </c>
    </row>
    <row r="1098" spans="1:6" x14ac:dyDescent="0.35">
      <c r="A1098" s="16" t="s">
        <v>126</v>
      </c>
      <c r="B1098" s="16" t="s">
        <v>134</v>
      </c>
      <c r="C1098">
        <v>2021</v>
      </c>
      <c r="D1098">
        <v>84.43</v>
      </c>
      <c r="E1098" t="str">
        <f>IF(_2[[#This Row],[Year]]=2000,_2[[#This Row],[Share (%)]],"")</f>
        <v/>
      </c>
      <c r="F1098" s="16" cm="1">
        <f t="array" ref="F1098">D1098 - _xlfn.XLOOKUP(A1098&amp;2000, A:A&amp;C:C, D:D, "No 2000 data")</f>
        <v>-11</v>
      </c>
    </row>
    <row r="1099" spans="1:6" x14ac:dyDescent="0.35">
      <c r="A1099" s="16" t="s">
        <v>126</v>
      </c>
      <c r="B1099" s="16" t="s">
        <v>134</v>
      </c>
      <c r="C1099">
        <v>2022</v>
      </c>
      <c r="D1099">
        <v>86.3</v>
      </c>
      <c r="E1099" t="str">
        <f>IF(_2[[#This Row],[Year]]=2000,_2[[#This Row],[Share (%)]],"")</f>
        <v/>
      </c>
      <c r="F1099" s="16" cm="1">
        <f t="array" ref="F1099">D1099 - _xlfn.XLOOKUP(A1099&amp;2000, A:A&amp;C:C, D:D, "No 2000 data")</f>
        <v>-9.1300000000000097</v>
      </c>
    </row>
    <row r="1100" spans="1:6" x14ac:dyDescent="0.35">
      <c r="A1100" s="16" t="s">
        <v>126</v>
      </c>
      <c r="B1100" s="16" t="s">
        <v>134</v>
      </c>
      <c r="C1100">
        <v>2023</v>
      </c>
      <c r="D1100">
        <v>86.43</v>
      </c>
      <c r="E1100" t="str">
        <f>IF(_2[[#This Row],[Year]]=2000,_2[[#This Row],[Share (%)]],"")</f>
        <v/>
      </c>
      <c r="F1100" s="16" cm="1">
        <f t="array" ref="F1100">D1100 - _xlfn.XLOOKUP(A1100&amp;2000, A:A&amp;C:C, D:D, "No 2000 data")</f>
        <v>-9</v>
      </c>
    </row>
    <row r="1101" spans="1:6" x14ac:dyDescent="0.35">
      <c r="A1101" s="16" t="s">
        <v>126</v>
      </c>
      <c r="B1101" s="16" t="s">
        <v>134</v>
      </c>
      <c r="C1101">
        <v>2024</v>
      </c>
      <c r="D1101">
        <v>86.64</v>
      </c>
      <c r="E1101" t="str">
        <f>IF(_2[[#This Row],[Year]]=2000,_2[[#This Row],[Share (%)]],"")</f>
        <v/>
      </c>
      <c r="F1101" s="16" cm="1">
        <f t="array" ref="F1101">D1101 - _xlfn.XLOOKUP(A1101&amp;2000, A:A&amp;C:C, D:D, "No 2000 data")</f>
        <v>-8.7900000000000063</v>
      </c>
    </row>
    <row r="1102" spans="1:6" x14ac:dyDescent="0.35">
      <c r="A1102" s="16" t="s">
        <v>128</v>
      </c>
      <c r="B1102" s="16" t="s">
        <v>134</v>
      </c>
      <c r="C1102">
        <v>2000</v>
      </c>
      <c r="D1102">
        <v>37.979999999999997</v>
      </c>
      <c r="E1102">
        <f>IF(_2[[#This Row],[Year]]=2000,_2[[#This Row],[Share (%)]],"")</f>
        <v>37.979999999999997</v>
      </c>
      <c r="F1102" s="16" cm="1">
        <f t="array" ref="F1102">D1102 - _xlfn.XLOOKUP(A1102&amp;2000, A:A&amp;C:C, D:D, "No 2000 data")</f>
        <v>0</v>
      </c>
    </row>
    <row r="1103" spans="1:6" x14ac:dyDescent="0.35">
      <c r="A1103" s="16" t="s">
        <v>128</v>
      </c>
      <c r="B1103" s="16" t="s">
        <v>134</v>
      </c>
      <c r="C1103">
        <v>2001</v>
      </c>
      <c r="D1103">
        <v>37.979999999999997</v>
      </c>
      <c r="E1103" t="str">
        <f>IF(_2[[#This Row],[Year]]=2000,_2[[#This Row],[Share (%)]],"")</f>
        <v/>
      </c>
      <c r="F1103" s="16" cm="1">
        <f t="array" ref="F1103">D1103 - _xlfn.XLOOKUP(A1103&amp;2000, A:A&amp;C:C, D:D, "No 2000 data")</f>
        <v>0</v>
      </c>
    </row>
    <row r="1104" spans="1:6" x14ac:dyDescent="0.35">
      <c r="A1104" s="16" t="s">
        <v>128</v>
      </c>
      <c r="B1104" s="16" t="s">
        <v>134</v>
      </c>
      <c r="C1104">
        <v>2002</v>
      </c>
      <c r="D1104">
        <v>38.619999999999997</v>
      </c>
      <c r="E1104" t="str">
        <f>IF(_2[[#This Row],[Year]]=2000,_2[[#This Row],[Share (%)]],"")</f>
        <v/>
      </c>
      <c r="F1104" s="16" cm="1">
        <f t="array" ref="F1104">D1104 - _xlfn.XLOOKUP(A1104&amp;2000, A:A&amp;C:C, D:D, "No 2000 data")</f>
        <v>0.64000000000000057</v>
      </c>
    </row>
    <row r="1105" spans="1:6" x14ac:dyDescent="0.35">
      <c r="A1105" s="16" t="s">
        <v>128</v>
      </c>
      <c r="B1105" s="16" t="s">
        <v>134</v>
      </c>
      <c r="C1105">
        <v>2003</v>
      </c>
      <c r="D1105">
        <v>38.619999999999997</v>
      </c>
      <c r="E1105" t="str">
        <f>IF(_2[[#This Row],[Year]]=2000,_2[[#This Row],[Share (%)]],"")</f>
        <v/>
      </c>
      <c r="F1105" s="16" cm="1">
        <f t="array" ref="F1105">D1105 - _xlfn.XLOOKUP(A1105&amp;2000, A:A&amp;C:C, D:D, "No 2000 data")</f>
        <v>0.64000000000000057</v>
      </c>
    </row>
    <row r="1106" spans="1:6" x14ac:dyDescent="0.35">
      <c r="A1106" s="16" t="s">
        <v>128</v>
      </c>
      <c r="B1106" s="16" t="s">
        <v>134</v>
      </c>
      <c r="C1106">
        <v>2004</v>
      </c>
      <c r="D1106">
        <v>38.619999999999997</v>
      </c>
      <c r="E1106" t="str">
        <f>IF(_2[[#This Row],[Year]]=2000,_2[[#This Row],[Share (%)]],"")</f>
        <v/>
      </c>
      <c r="F1106" s="16" cm="1">
        <f t="array" ref="F1106">D1106 - _xlfn.XLOOKUP(A1106&amp;2000, A:A&amp;C:C, D:D, "No 2000 data")</f>
        <v>0.64000000000000057</v>
      </c>
    </row>
    <row r="1107" spans="1:6" x14ac:dyDescent="0.35">
      <c r="A1107" s="16" t="s">
        <v>128</v>
      </c>
      <c r="B1107" s="16" t="s">
        <v>134</v>
      </c>
      <c r="C1107">
        <v>2005</v>
      </c>
      <c r="D1107">
        <v>38.619999999999997</v>
      </c>
      <c r="E1107" t="str">
        <f>IF(_2[[#This Row],[Year]]=2000,_2[[#This Row],[Share (%)]],"")</f>
        <v/>
      </c>
      <c r="F1107" s="16" cm="1">
        <f t="array" ref="F1107">D1107 - _xlfn.XLOOKUP(A1107&amp;2000, A:A&amp;C:C, D:D, "No 2000 data")</f>
        <v>0.64000000000000057</v>
      </c>
    </row>
    <row r="1108" spans="1:6" x14ac:dyDescent="0.35">
      <c r="A1108" s="16" t="s">
        <v>128</v>
      </c>
      <c r="B1108" s="16" t="s">
        <v>134</v>
      </c>
      <c r="C1108">
        <v>2006</v>
      </c>
      <c r="D1108">
        <v>38.619999999999997</v>
      </c>
      <c r="E1108" t="str">
        <f>IF(_2[[#This Row],[Year]]=2000,_2[[#This Row],[Share (%)]],"")</f>
        <v/>
      </c>
      <c r="F1108" s="16" cm="1">
        <f t="array" ref="F1108">D1108 - _xlfn.XLOOKUP(A1108&amp;2000, A:A&amp;C:C, D:D, "No 2000 data")</f>
        <v>0.64000000000000057</v>
      </c>
    </row>
    <row r="1109" spans="1:6" x14ac:dyDescent="0.35">
      <c r="A1109" s="16" t="s">
        <v>128</v>
      </c>
      <c r="B1109" s="16" t="s">
        <v>134</v>
      </c>
      <c r="C1109">
        <v>2007</v>
      </c>
      <c r="D1109">
        <v>38.619999999999997</v>
      </c>
      <c r="E1109" t="str">
        <f>IF(_2[[#This Row],[Year]]=2000,_2[[#This Row],[Share (%)]],"")</f>
        <v/>
      </c>
      <c r="F1109" s="16" cm="1">
        <f t="array" ref="F1109">D1109 - _xlfn.XLOOKUP(A1109&amp;2000, A:A&amp;C:C, D:D, "No 2000 data")</f>
        <v>0.64000000000000057</v>
      </c>
    </row>
    <row r="1110" spans="1:6" x14ac:dyDescent="0.35">
      <c r="A1110" s="16" t="s">
        <v>128</v>
      </c>
      <c r="B1110" s="16" t="s">
        <v>134</v>
      </c>
      <c r="C1110">
        <v>2008</v>
      </c>
      <c r="D1110">
        <v>41.17</v>
      </c>
      <c r="E1110" t="str">
        <f>IF(_2[[#This Row],[Year]]=2000,_2[[#This Row],[Share (%)]],"")</f>
        <v/>
      </c>
      <c r="F1110" s="16" cm="1">
        <f t="array" ref="F1110">D1110 - _xlfn.XLOOKUP(A1110&amp;2000, A:A&amp;C:C, D:D, "No 2000 data")</f>
        <v>3.1900000000000048</v>
      </c>
    </row>
    <row r="1111" spans="1:6" x14ac:dyDescent="0.35">
      <c r="A1111" s="16" t="s">
        <v>128</v>
      </c>
      <c r="B1111" s="16" t="s">
        <v>134</v>
      </c>
      <c r="C1111">
        <v>2009</v>
      </c>
      <c r="D1111">
        <v>41.18</v>
      </c>
      <c r="E1111" t="str">
        <f>IF(_2[[#This Row],[Year]]=2000,_2[[#This Row],[Share (%)]],"")</f>
        <v/>
      </c>
      <c r="F1111" s="16" cm="1">
        <f t="array" ref="F1111">D1111 - _xlfn.XLOOKUP(A1111&amp;2000, A:A&amp;C:C, D:D, "No 2000 data")</f>
        <v>3.2000000000000028</v>
      </c>
    </row>
    <row r="1112" spans="1:6" x14ac:dyDescent="0.35">
      <c r="A1112" s="16" t="s">
        <v>128</v>
      </c>
      <c r="B1112" s="16" t="s">
        <v>134</v>
      </c>
      <c r="C1112">
        <v>2010</v>
      </c>
      <c r="D1112">
        <v>41.21</v>
      </c>
      <c r="E1112" t="str">
        <f>IF(_2[[#This Row],[Year]]=2000,_2[[#This Row],[Share (%)]],"")</f>
        <v/>
      </c>
      <c r="F1112" s="16" cm="1">
        <f t="array" ref="F1112">D1112 - _xlfn.XLOOKUP(A1112&amp;2000, A:A&amp;C:C, D:D, "No 2000 data")</f>
        <v>3.230000000000004</v>
      </c>
    </row>
    <row r="1113" spans="1:6" x14ac:dyDescent="0.35">
      <c r="A1113" s="16" t="s">
        <v>128</v>
      </c>
      <c r="B1113" s="16" t="s">
        <v>134</v>
      </c>
      <c r="C1113">
        <v>2011</v>
      </c>
      <c r="D1113">
        <v>41.53</v>
      </c>
      <c r="E1113" t="str">
        <f>IF(_2[[#This Row],[Year]]=2000,_2[[#This Row],[Share (%)]],"")</f>
        <v/>
      </c>
      <c r="F1113" s="16" cm="1">
        <f t="array" ref="F1113">D1113 - _xlfn.XLOOKUP(A1113&amp;2000, A:A&amp;C:C, D:D, "No 2000 data")</f>
        <v>3.5500000000000043</v>
      </c>
    </row>
    <row r="1114" spans="1:6" x14ac:dyDescent="0.35">
      <c r="A1114" s="16" t="s">
        <v>128</v>
      </c>
      <c r="B1114" s="16" t="s">
        <v>134</v>
      </c>
      <c r="C1114">
        <v>2012</v>
      </c>
      <c r="D1114">
        <v>41.56</v>
      </c>
      <c r="E1114" t="str">
        <f>IF(_2[[#This Row],[Year]]=2000,_2[[#This Row],[Share (%)]],"")</f>
        <v/>
      </c>
      <c r="F1114" s="16" cm="1">
        <f t="array" ref="F1114">D1114 - _xlfn.XLOOKUP(A1114&amp;2000, A:A&amp;C:C, D:D, "No 2000 data")</f>
        <v>3.5800000000000054</v>
      </c>
    </row>
    <row r="1115" spans="1:6" x14ac:dyDescent="0.35">
      <c r="A1115" s="16" t="s">
        <v>128</v>
      </c>
      <c r="B1115" s="16" t="s">
        <v>134</v>
      </c>
      <c r="C1115">
        <v>2013</v>
      </c>
      <c r="D1115">
        <v>41.73</v>
      </c>
      <c r="E1115" t="str">
        <f>IF(_2[[#This Row],[Year]]=2000,_2[[#This Row],[Share (%)]],"")</f>
        <v/>
      </c>
      <c r="F1115" s="16" cm="1">
        <f t="array" ref="F1115">D1115 - _xlfn.XLOOKUP(A1115&amp;2000, A:A&amp;C:C, D:D, "No 2000 data")</f>
        <v>3.75</v>
      </c>
    </row>
    <row r="1116" spans="1:6" x14ac:dyDescent="0.35">
      <c r="A1116" s="16" t="s">
        <v>128</v>
      </c>
      <c r="B1116" s="16" t="s">
        <v>134</v>
      </c>
      <c r="C1116">
        <v>2014</v>
      </c>
      <c r="D1116">
        <v>41.75</v>
      </c>
      <c r="E1116" t="str">
        <f>IF(_2[[#This Row],[Year]]=2000,_2[[#This Row],[Share (%)]],"")</f>
        <v/>
      </c>
      <c r="F1116" s="16" cm="1">
        <f t="array" ref="F1116">D1116 - _xlfn.XLOOKUP(A1116&amp;2000, A:A&amp;C:C, D:D, "No 2000 data")</f>
        <v>3.7700000000000031</v>
      </c>
    </row>
    <row r="1117" spans="1:6" x14ac:dyDescent="0.35">
      <c r="A1117" s="16" t="s">
        <v>128</v>
      </c>
      <c r="B1117" s="16" t="s">
        <v>134</v>
      </c>
      <c r="C1117">
        <v>2015</v>
      </c>
      <c r="D1117">
        <v>42.17</v>
      </c>
      <c r="E1117" t="str">
        <f>IF(_2[[#This Row],[Year]]=2000,_2[[#This Row],[Share (%)]],"")</f>
        <v/>
      </c>
      <c r="F1117" s="16" cm="1">
        <f t="array" ref="F1117">D1117 - _xlfn.XLOOKUP(A1117&amp;2000, A:A&amp;C:C, D:D, "No 2000 data")</f>
        <v>4.1900000000000048</v>
      </c>
    </row>
    <row r="1118" spans="1:6" x14ac:dyDescent="0.35">
      <c r="A1118" s="16" t="s">
        <v>128</v>
      </c>
      <c r="B1118" s="16" t="s">
        <v>134</v>
      </c>
      <c r="C1118">
        <v>2016</v>
      </c>
      <c r="D1118">
        <v>42.28</v>
      </c>
      <c r="E1118" t="str">
        <f>IF(_2[[#This Row],[Year]]=2000,_2[[#This Row],[Share (%)]],"")</f>
        <v/>
      </c>
      <c r="F1118" s="16" cm="1">
        <f t="array" ref="F1118">D1118 - _xlfn.XLOOKUP(A1118&amp;2000, A:A&amp;C:C, D:D, "No 2000 data")</f>
        <v>4.3000000000000043</v>
      </c>
    </row>
    <row r="1119" spans="1:6" x14ac:dyDescent="0.35">
      <c r="A1119" s="16" t="s">
        <v>128</v>
      </c>
      <c r="B1119" s="16" t="s">
        <v>134</v>
      </c>
      <c r="C1119">
        <v>2017</v>
      </c>
      <c r="D1119">
        <v>42.43</v>
      </c>
      <c r="E1119" t="str">
        <f>IF(_2[[#This Row],[Year]]=2000,_2[[#This Row],[Share (%)]],"")</f>
        <v/>
      </c>
      <c r="F1119" s="16" cm="1">
        <f t="array" ref="F1119">D1119 - _xlfn.XLOOKUP(A1119&amp;2000, A:A&amp;C:C, D:D, "No 2000 data")</f>
        <v>4.4500000000000028</v>
      </c>
    </row>
    <row r="1120" spans="1:6" x14ac:dyDescent="0.35">
      <c r="A1120" s="16" t="s">
        <v>128</v>
      </c>
      <c r="B1120" s="16" t="s">
        <v>134</v>
      </c>
      <c r="C1120">
        <v>2018</v>
      </c>
      <c r="D1120">
        <v>49.75</v>
      </c>
      <c r="E1120" t="str">
        <f>IF(_2[[#This Row],[Year]]=2000,_2[[#This Row],[Share (%)]],"")</f>
        <v/>
      </c>
      <c r="F1120" s="16" cm="1">
        <f t="array" ref="F1120">D1120 - _xlfn.XLOOKUP(A1120&amp;2000, A:A&amp;C:C, D:D, "No 2000 data")</f>
        <v>11.770000000000003</v>
      </c>
    </row>
    <row r="1121" spans="1:46" x14ac:dyDescent="0.35">
      <c r="A1121" s="16" t="s">
        <v>128</v>
      </c>
      <c r="B1121" s="16" t="s">
        <v>134</v>
      </c>
      <c r="C1121">
        <v>2019</v>
      </c>
      <c r="D1121">
        <v>49.81</v>
      </c>
      <c r="E1121" t="str">
        <f>IF(_2[[#This Row],[Year]]=2000,_2[[#This Row],[Share (%)]],"")</f>
        <v/>
      </c>
      <c r="F1121" s="16" cm="1">
        <f t="array" ref="F1121">D1121 - _xlfn.XLOOKUP(A1121&amp;2000, A:A&amp;C:C, D:D, "No 2000 data")</f>
        <v>11.830000000000005</v>
      </c>
    </row>
    <row r="1122" spans="1:46" x14ac:dyDescent="0.35">
      <c r="A1122" s="16" t="s">
        <v>128</v>
      </c>
      <c r="B1122" s="16" t="s">
        <v>134</v>
      </c>
      <c r="C1122">
        <v>2020</v>
      </c>
      <c r="D1122">
        <v>49.86</v>
      </c>
      <c r="E1122" t="str">
        <f>IF(_2[[#This Row],[Year]]=2000,_2[[#This Row],[Share (%)]],"")</f>
        <v/>
      </c>
      <c r="F1122" s="16" cm="1">
        <f t="array" ref="F1122">D1122 - _xlfn.XLOOKUP(A1122&amp;2000, A:A&amp;C:C, D:D, "No 2000 data")</f>
        <v>11.880000000000003</v>
      </c>
    </row>
    <row r="1123" spans="1:46" x14ac:dyDescent="0.35">
      <c r="A1123" s="16" t="s">
        <v>128</v>
      </c>
      <c r="B1123" s="16" t="s">
        <v>134</v>
      </c>
      <c r="C1123">
        <v>2021</v>
      </c>
      <c r="D1123">
        <v>50.14</v>
      </c>
      <c r="E1123" t="str">
        <f>IF(_2[[#This Row],[Year]]=2000,_2[[#This Row],[Share (%)]],"")</f>
        <v/>
      </c>
      <c r="F1123" s="16" cm="1">
        <f t="array" ref="F1123">D1123 - _xlfn.XLOOKUP(A1123&amp;2000, A:A&amp;C:C, D:D, "No 2000 data")</f>
        <v>12.160000000000004</v>
      </c>
    </row>
    <row r="1124" spans="1:46" x14ac:dyDescent="0.35">
      <c r="A1124" s="16" t="s">
        <v>128</v>
      </c>
      <c r="B1124" s="16" t="s">
        <v>134</v>
      </c>
      <c r="C1124">
        <v>2022</v>
      </c>
      <c r="D1124">
        <v>49.39</v>
      </c>
      <c r="E1124" t="str">
        <f>IF(_2[[#This Row],[Year]]=2000,_2[[#This Row],[Share (%)]],"")</f>
        <v/>
      </c>
      <c r="F1124" s="16" cm="1">
        <f t="array" ref="F1124">D1124 - _xlfn.XLOOKUP(A1124&amp;2000, A:A&amp;C:C, D:D, "No 2000 data")</f>
        <v>11.410000000000004</v>
      </c>
    </row>
    <row r="1125" spans="1:46" x14ac:dyDescent="0.35">
      <c r="A1125" s="16" t="s">
        <v>128</v>
      </c>
      <c r="B1125" s="16" t="s">
        <v>134</v>
      </c>
      <c r="C1125">
        <v>2023</v>
      </c>
      <c r="D1125">
        <v>39.85</v>
      </c>
      <c r="E1125" t="str">
        <f>IF(_2[[#This Row],[Year]]=2000,_2[[#This Row],[Share (%)]],"")</f>
        <v/>
      </c>
      <c r="F1125" s="16" cm="1">
        <f t="array" ref="F1125">D1125 - _xlfn.XLOOKUP(A1125&amp;2000, A:A&amp;C:C, D:D, "No 2000 data")</f>
        <v>1.8700000000000045</v>
      </c>
    </row>
    <row r="1126" spans="1:46" x14ac:dyDescent="0.35">
      <c r="A1126" s="16" t="s">
        <v>128</v>
      </c>
      <c r="B1126" s="16" t="s">
        <v>134</v>
      </c>
      <c r="C1126">
        <v>2024</v>
      </c>
      <c r="D1126">
        <v>40.97</v>
      </c>
      <c r="E1126" t="str">
        <f>IF(_2[[#This Row],[Year]]=2000,_2[[#This Row],[Share (%)]],"")</f>
        <v/>
      </c>
      <c r="F1126" s="16" cm="1">
        <f t="array" ref="F1126">D1126 - _xlfn.XLOOKUP(A1126&amp;2000, A:A&amp;C:C, D:D, "No 2000 data")</f>
        <v>2.990000000000002</v>
      </c>
    </row>
    <row r="1130" spans="1:46" x14ac:dyDescent="0.35">
      <c r="A1130" s="19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</row>
    <row r="1131" spans="1:46" x14ac:dyDescent="0.35">
      <c r="A1131" s="19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</row>
    <row r="1132" spans="1:46" x14ac:dyDescent="0.35">
      <c r="A1132" s="19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</row>
    <row r="1133" spans="1:46" x14ac:dyDescent="0.35">
      <c r="A1133" s="19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</row>
    <row r="1134" spans="1:46" x14ac:dyDescent="0.35">
      <c r="A1134" s="19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</row>
    <row r="1135" spans="1:46" x14ac:dyDescent="0.35">
      <c r="A1135" s="19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</row>
    <row r="1136" spans="1:46" x14ac:dyDescent="0.35">
      <c r="A1136" s="19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</row>
    <row r="1137" spans="1:46" x14ac:dyDescent="0.35">
      <c r="A1137" s="19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</row>
    <row r="1138" spans="1:46" x14ac:dyDescent="0.35">
      <c r="A1138" s="19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</row>
    <row r="1139" spans="1:46" x14ac:dyDescent="0.35">
      <c r="A1139" s="19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</row>
    <row r="1140" spans="1:46" x14ac:dyDescent="0.35">
      <c r="A1140" s="19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</row>
    <row r="1141" spans="1:46" x14ac:dyDescent="0.35">
      <c r="A1141" s="19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</row>
    <row r="1142" spans="1:46" x14ac:dyDescent="0.35">
      <c r="A1142" s="19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</row>
    <row r="1143" spans="1:46" x14ac:dyDescent="0.35">
      <c r="A1143" s="19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</row>
    <row r="1144" spans="1:46" x14ac:dyDescent="0.35">
      <c r="A1144" s="19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</row>
    <row r="1145" spans="1:46" x14ac:dyDescent="0.35">
      <c r="A1145" s="19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</row>
    <row r="1146" spans="1:46" x14ac:dyDescent="0.35">
      <c r="A1146" s="19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</row>
    <row r="1147" spans="1:46" x14ac:dyDescent="0.35">
      <c r="A1147" s="19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</row>
    <row r="1148" spans="1:46" x14ac:dyDescent="0.35">
      <c r="A1148" s="19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</row>
    <row r="1149" spans="1:46" x14ac:dyDescent="0.35">
      <c r="A1149" s="19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</row>
    <row r="1150" spans="1:46" x14ac:dyDescent="0.35">
      <c r="A1150" s="19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</row>
    <row r="1151" spans="1:46" x14ac:dyDescent="0.35">
      <c r="A1151" s="19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</row>
    <row r="1152" spans="1:46" x14ac:dyDescent="0.35">
      <c r="A1152" s="19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</row>
    <row r="1153" spans="1:46" x14ac:dyDescent="0.35">
      <c r="A1153" s="19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</row>
    <row r="1154" spans="1:46" x14ac:dyDescent="0.35">
      <c r="A1154" s="19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7F28-5B89-4E93-BA2D-7F8E06699C4B}">
  <sheetPr codeName="Sheet7"/>
  <dimension ref="A1:AY6"/>
  <sheetViews>
    <sheetView workbookViewId="0">
      <selection activeCell="G1" sqref="G1:G1048576"/>
    </sheetView>
  </sheetViews>
  <sheetFormatPr defaultRowHeight="14.5" x14ac:dyDescent="0.35"/>
  <cols>
    <col min="1" max="1" width="18.08984375" bestFit="1" customWidth="1"/>
    <col min="2" max="2" width="12.7265625" bestFit="1" customWidth="1"/>
    <col min="51" max="51" width="11.54296875" customWidth="1"/>
  </cols>
  <sheetData>
    <row r="1" spans="1:51" x14ac:dyDescent="0.35">
      <c r="A1" s="26" t="s">
        <v>179</v>
      </c>
      <c r="B1" s="26" t="s">
        <v>180</v>
      </c>
      <c r="C1" s="26"/>
      <c r="D1" s="26"/>
      <c r="E1" s="26"/>
      <c r="F1" s="26" t="s">
        <v>183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</row>
    <row r="2" spans="1:51" s="24" customFormat="1" x14ac:dyDescent="0.35">
      <c r="A2" s="44" t="s">
        <v>178</v>
      </c>
      <c r="B2" s="44" t="s">
        <v>53</v>
      </c>
      <c r="C2" s="44" t="s">
        <v>118</v>
      </c>
      <c r="D2" s="44" t="s">
        <v>87</v>
      </c>
      <c r="E2" s="44" t="s">
        <v>77</v>
      </c>
      <c r="F2" s="44" t="s">
        <v>111</v>
      </c>
      <c r="G2" s="44" t="s">
        <v>48</v>
      </c>
      <c r="H2" s="44" t="s">
        <v>59</v>
      </c>
      <c r="I2" s="44" t="s">
        <v>46</v>
      </c>
      <c r="J2" s="44" t="s">
        <v>61</v>
      </c>
      <c r="K2" s="44" t="s">
        <v>124</v>
      </c>
      <c r="L2" s="44" t="s">
        <v>109</v>
      </c>
      <c r="M2" s="44" t="s">
        <v>107</v>
      </c>
      <c r="N2" s="44" t="s">
        <v>69</v>
      </c>
      <c r="O2" s="44" t="s">
        <v>39</v>
      </c>
      <c r="P2" s="44" t="s">
        <v>101</v>
      </c>
      <c r="Q2" s="44" t="s">
        <v>73</v>
      </c>
      <c r="R2" s="44" t="s">
        <v>44</v>
      </c>
      <c r="S2" s="44" t="s">
        <v>67</v>
      </c>
      <c r="T2" s="44" t="s">
        <v>99</v>
      </c>
      <c r="U2" s="44" t="s">
        <v>50</v>
      </c>
      <c r="V2" s="44" t="s">
        <v>97</v>
      </c>
      <c r="W2" s="44" t="s">
        <v>128</v>
      </c>
      <c r="X2" s="44" t="s">
        <v>95</v>
      </c>
      <c r="Y2" s="44" t="s">
        <v>116</v>
      </c>
      <c r="Z2" s="44" t="s">
        <v>75</v>
      </c>
      <c r="AA2" s="44" t="s">
        <v>35</v>
      </c>
      <c r="AB2" s="44" t="s">
        <v>91</v>
      </c>
      <c r="AC2" s="44" t="s">
        <v>57</v>
      </c>
      <c r="AD2" s="44" t="s">
        <v>81</v>
      </c>
      <c r="AE2" s="44" t="s">
        <v>55</v>
      </c>
      <c r="AF2" s="44" t="s">
        <v>122</v>
      </c>
      <c r="AG2" s="44" t="s">
        <v>126</v>
      </c>
      <c r="AH2" s="44" t="s">
        <v>28</v>
      </c>
      <c r="AI2" s="44" t="s">
        <v>63</v>
      </c>
      <c r="AJ2" s="44" t="s">
        <v>85</v>
      </c>
      <c r="AK2" s="44" t="s">
        <v>120</v>
      </c>
      <c r="AL2" s="44" t="s">
        <v>65</v>
      </c>
      <c r="AM2" s="44" t="s">
        <v>79</v>
      </c>
      <c r="AN2" s="44" t="s">
        <v>83</v>
      </c>
      <c r="AO2" s="44" t="s">
        <v>103</v>
      </c>
      <c r="AP2" s="44" t="s">
        <v>71</v>
      </c>
      <c r="AQ2" s="44" t="s">
        <v>37</v>
      </c>
      <c r="AR2" s="44" t="s">
        <v>93</v>
      </c>
      <c r="AS2" s="44" t="s">
        <v>42</v>
      </c>
      <c r="AT2" s="44" t="s">
        <v>89</v>
      </c>
      <c r="AU2" s="44" t="s">
        <v>114</v>
      </c>
      <c r="AV2" s="44" t="s">
        <v>32</v>
      </c>
      <c r="AW2" s="44" t="s">
        <v>105</v>
      </c>
      <c r="AX2" s="44" t="s">
        <v>182</v>
      </c>
      <c r="AY2" s="44" t="s">
        <v>181</v>
      </c>
    </row>
    <row r="3" spans="1:51" x14ac:dyDescent="0.35">
      <c r="A3" s="26" t="s">
        <v>113</v>
      </c>
      <c r="B3" s="26"/>
      <c r="C3" s="26"/>
      <c r="D3" s="26"/>
      <c r="E3" s="26">
        <v>0</v>
      </c>
      <c r="F3" s="26">
        <v>100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>
        <v>100</v>
      </c>
      <c r="AY3" s="26">
        <v>0</v>
      </c>
    </row>
    <row r="4" spans="1:51" x14ac:dyDescent="0.35">
      <c r="A4" s="26" t="s">
        <v>41</v>
      </c>
      <c r="B4" s="26">
        <v>100</v>
      </c>
      <c r="C4" s="26"/>
      <c r="D4" s="26">
        <v>100</v>
      </c>
      <c r="E4" s="26"/>
      <c r="F4" s="26"/>
      <c r="G4" s="26">
        <v>98.6</v>
      </c>
      <c r="H4" s="26">
        <v>94.1</v>
      </c>
      <c r="I4" s="26"/>
      <c r="J4" s="26"/>
      <c r="K4" s="26">
        <v>87.7</v>
      </c>
      <c r="L4" s="26"/>
      <c r="M4" s="26"/>
      <c r="N4" s="26"/>
      <c r="O4" s="26">
        <v>76</v>
      </c>
      <c r="P4" s="26"/>
      <c r="Q4" s="26">
        <v>73.2</v>
      </c>
      <c r="R4" s="26"/>
      <c r="S4" s="26">
        <v>66.900000000000006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>
        <v>87.0625</v>
      </c>
      <c r="AY4" s="26">
        <v>0</v>
      </c>
    </row>
    <row r="5" spans="1:51" x14ac:dyDescent="0.35">
      <c r="A5" s="26" t="s">
        <v>31</v>
      </c>
      <c r="B5" s="26"/>
      <c r="C5" s="26">
        <v>100</v>
      </c>
      <c r="D5" s="26"/>
      <c r="E5" s="26">
        <v>100</v>
      </c>
      <c r="F5" s="26"/>
      <c r="G5" s="26"/>
      <c r="H5" s="26"/>
      <c r="I5" s="26">
        <v>89.8</v>
      </c>
      <c r="J5" s="26">
        <v>89.5</v>
      </c>
      <c r="K5" s="26"/>
      <c r="L5" s="26">
        <v>86.4</v>
      </c>
      <c r="M5" s="26">
        <v>81.3</v>
      </c>
      <c r="N5" s="26">
        <v>76.2</v>
      </c>
      <c r="O5" s="26"/>
      <c r="P5" s="26">
        <v>74.2</v>
      </c>
      <c r="Q5" s="26"/>
      <c r="R5" s="26">
        <v>72</v>
      </c>
      <c r="S5" s="26"/>
      <c r="T5" s="26"/>
      <c r="U5" s="26">
        <v>65.2</v>
      </c>
      <c r="V5" s="26"/>
      <c r="W5" s="26">
        <v>62</v>
      </c>
      <c r="X5" s="26">
        <v>61.2</v>
      </c>
      <c r="Y5" s="26"/>
      <c r="Z5" s="26">
        <v>57.3</v>
      </c>
      <c r="AA5" s="26">
        <v>57</v>
      </c>
      <c r="AB5" s="26">
        <v>56.7</v>
      </c>
      <c r="AC5" s="26"/>
      <c r="AD5" s="26"/>
      <c r="AE5" s="26"/>
      <c r="AF5" s="26"/>
      <c r="AG5" s="26">
        <v>51.1</v>
      </c>
      <c r="AH5" s="26">
        <v>51.1</v>
      </c>
      <c r="AI5" s="26">
        <v>51.1</v>
      </c>
      <c r="AJ5" s="26">
        <v>50.3</v>
      </c>
      <c r="AK5" s="26">
        <v>48.3</v>
      </c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>
        <v>69.034999999999997</v>
      </c>
      <c r="AY5" s="26">
        <v>0</v>
      </c>
    </row>
    <row r="6" spans="1:51" x14ac:dyDescent="0.35">
      <c r="A6" s="26" t="s">
        <v>34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>
        <v>66</v>
      </c>
      <c r="U6" s="26"/>
      <c r="V6" s="26">
        <v>63.9</v>
      </c>
      <c r="W6" s="26"/>
      <c r="X6" s="26"/>
      <c r="Y6" s="26">
        <v>59.2</v>
      </c>
      <c r="Z6" s="26"/>
      <c r="AA6" s="26"/>
      <c r="AB6" s="26"/>
      <c r="AC6" s="26">
        <v>55.4</v>
      </c>
      <c r="AD6" s="26">
        <v>54.5</v>
      </c>
      <c r="AE6" s="26">
        <v>54.4</v>
      </c>
      <c r="AF6" s="26">
        <v>51.5</v>
      </c>
      <c r="AG6" s="26"/>
      <c r="AH6" s="26"/>
      <c r="AI6" s="26"/>
      <c r="AJ6" s="26"/>
      <c r="AK6" s="26"/>
      <c r="AL6" s="26">
        <v>40.5</v>
      </c>
      <c r="AM6" s="26">
        <v>39.4</v>
      </c>
      <c r="AN6" s="26">
        <v>36</v>
      </c>
      <c r="AO6" s="26">
        <v>35.5</v>
      </c>
      <c r="AP6" s="26">
        <v>32.5</v>
      </c>
      <c r="AQ6" s="26">
        <v>21.7</v>
      </c>
      <c r="AR6" s="26">
        <v>20.100000000000001</v>
      </c>
      <c r="AS6" s="26">
        <v>17.600000000000001</v>
      </c>
      <c r="AT6" s="26">
        <v>15.6</v>
      </c>
      <c r="AU6" s="26">
        <v>12</v>
      </c>
      <c r="AV6" s="26">
        <v>11.6</v>
      </c>
      <c r="AW6" s="26">
        <v>5.4</v>
      </c>
      <c r="AX6" s="26">
        <v>36.463157894736845</v>
      </c>
      <c r="AY6" s="2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4FBC-198A-4D40-82D4-7D1C729B4AB8}">
  <sheetPr codeName="Sheet8"/>
  <dimension ref="A1:F876"/>
  <sheetViews>
    <sheetView workbookViewId="0">
      <selection activeCell="G1" sqref="G1:G1048576"/>
    </sheetView>
  </sheetViews>
  <sheetFormatPr defaultRowHeight="14.5" x14ac:dyDescent="0.35"/>
  <sheetData>
    <row r="1" spans="1:6" x14ac:dyDescent="0.35">
      <c r="A1" s="12" t="s">
        <v>130</v>
      </c>
      <c r="B1" s="13" t="s">
        <v>131</v>
      </c>
      <c r="C1" s="13" t="s">
        <v>132</v>
      </c>
      <c r="D1" s="13" t="s">
        <v>133</v>
      </c>
      <c r="E1" s="13" t="s">
        <v>171</v>
      </c>
      <c r="F1" s="17" t="s">
        <v>172</v>
      </c>
    </row>
    <row r="2" spans="1:6" x14ac:dyDescent="0.35">
      <c r="A2" s="20" t="s">
        <v>53</v>
      </c>
      <c r="B2" s="21" t="s">
        <v>134</v>
      </c>
      <c r="C2" s="14">
        <v>2000</v>
      </c>
      <c r="D2" s="14">
        <v>4.5199999999999996</v>
      </c>
      <c r="E2" s="14">
        <v>4.5199999999999996</v>
      </c>
      <c r="F2" s="18">
        <v>0</v>
      </c>
    </row>
    <row r="3" spans="1:6" x14ac:dyDescent="0.35">
      <c r="A3" s="22" t="s">
        <v>53</v>
      </c>
      <c r="B3" s="23" t="s">
        <v>134</v>
      </c>
      <c r="C3" s="15">
        <v>2001</v>
      </c>
      <c r="D3" s="15">
        <v>4.5199999999999996</v>
      </c>
      <c r="E3" s="15" t="s">
        <v>135</v>
      </c>
      <c r="F3" s="16">
        <v>0</v>
      </c>
    </row>
    <row r="4" spans="1:6" x14ac:dyDescent="0.35">
      <c r="A4" s="20" t="s">
        <v>53</v>
      </c>
      <c r="B4" s="21" t="s">
        <v>134</v>
      </c>
      <c r="C4" s="14">
        <v>2002</v>
      </c>
      <c r="D4" s="14">
        <v>4.18</v>
      </c>
      <c r="E4" s="14" t="s">
        <v>135</v>
      </c>
      <c r="F4" s="16">
        <v>-0.33999999999999986</v>
      </c>
    </row>
    <row r="5" spans="1:6" x14ac:dyDescent="0.35">
      <c r="A5" s="22" t="s">
        <v>53</v>
      </c>
      <c r="B5" s="23" t="s">
        <v>134</v>
      </c>
      <c r="C5" s="15">
        <v>2003</v>
      </c>
      <c r="D5" s="15">
        <v>4.0999999999999996</v>
      </c>
      <c r="E5" s="15" t="s">
        <v>135</v>
      </c>
      <c r="F5" s="16">
        <v>-0.41999999999999993</v>
      </c>
    </row>
    <row r="6" spans="1:6" x14ac:dyDescent="0.35">
      <c r="A6" s="20" t="s">
        <v>53</v>
      </c>
      <c r="B6" s="21" t="s">
        <v>134</v>
      </c>
      <c r="C6" s="14">
        <v>2004</v>
      </c>
      <c r="D6" s="14">
        <v>3.93</v>
      </c>
      <c r="E6" s="14" t="s">
        <v>135</v>
      </c>
      <c r="F6" s="16">
        <v>-0.58999999999999941</v>
      </c>
    </row>
    <row r="7" spans="1:6" x14ac:dyDescent="0.35">
      <c r="A7" s="22" t="s">
        <v>53</v>
      </c>
      <c r="B7" s="23" t="s">
        <v>134</v>
      </c>
      <c r="C7" s="15">
        <v>2005</v>
      </c>
      <c r="D7" s="15">
        <v>3.52</v>
      </c>
      <c r="E7" s="15" t="s">
        <v>135</v>
      </c>
      <c r="F7" s="16">
        <v>-0.99999999999999956</v>
      </c>
    </row>
    <row r="8" spans="1:6" x14ac:dyDescent="0.35">
      <c r="A8" s="20" t="s">
        <v>53</v>
      </c>
      <c r="B8" s="21" t="s">
        <v>134</v>
      </c>
      <c r="C8" s="14">
        <v>2006</v>
      </c>
      <c r="D8" s="14">
        <v>3.02</v>
      </c>
      <c r="E8" s="14" t="s">
        <v>135</v>
      </c>
      <c r="F8" s="16">
        <v>-1.4999999999999996</v>
      </c>
    </row>
    <row r="9" spans="1:6" x14ac:dyDescent="0.35">
      <c r="A9" s="22" t="s">
        <v>53</v>
      </c>
      <c r="B9" s="23" t="s">
        <v>134</v>
      </c>
      <c r="C9" s="15">
        <v>2007</v>
      </c>
      <c r="D9" s="15">
        <v>2.81</v>
      </c>
      <c r="E9" s="15" t="s">
        <v>135</v>
      </c>
      <c r="F9" s="16">
        <v>-1.7099999999999995</v>
      </c>
    </row>
    <row r="10" spans="1:6" x14ac:dyDescent="0.35">
      <c r="A10" s="20" t="s">
        <v>53</v>
      </c>
      <c r="B10" s="21" t="s">
        <v>134</v>
      </c>
      <c r="C10" s="14">
        <v>2008</v>
      </c>
      <c r="D10" s="14">
        <v>2.57</v>
      </c>
      <c r="E10" s="14" t="s">
        <v>135</v>
      </c>
      <c r="F10" s="16">
        <v>-1.9499999999999997</v>
      </c>
    </row>
    <row r="11" spans="1:6" x14ac:dyDescent="0.35">
      <c r="A11" s="22" t="s">
        <v>53</v>
      </c>
      <c r="B11" s="23" t="s">
        <v>134</v>
      </c>
      <c r="C11" s="15">
        <v>2009</v>
      </c>
      <c r="D11" s="15">
        <v>1.93</v>
      </c>
      <c r="E11" s="15" t="s">
        <v>135</v>
      </c>
      <c r="F11" s="16">
        <v>-2.59</v>
      </c>
    </row>
    <row r="12" spans="1:6" x14ac:dyDescent="0.35">
      <c r="A12" s="20" t="s">
        <v>53</v>
      </c>
      <c r="B12" s="21" t="s">
        <v>134</v>
      </c>
      <c r="C12" s="14">
        <v>2010</v>
      </c>
      <c r="D12" s="14">
        <v>2.1</v>
      </c>
      <c r="E12" s="14" t="s">
        <v>135</v>
      </c>
      <c r="F12" s="16">
        <v>-2.4199999999999995</v>
      </c>
    </row>
    <row r="13" spans="1:6" x14ac:dyDescent="0.35">
      <c r="A13" s="22" t="s">
        <v>53</v>
      </c>
      <c r="B13" s="23" t="s">
        <v>134</v>
      </c>
      <c r="C13" s="15">
        <v>2011</v>
      </c>
      <c r="D13" s="15">
        <v>2.09</v>
      </c>
      <c r="E13" s="15" t="s">
        <v>135</v>
      </c>
      <c r="F13" s="16">
        <v>-2.4299999999999997</v>
      </c>
    </row>
    <row r="14" spans="1:6" x14ac:dyDescent="0.35">
      <c r="A14" s="20" t="s">
        <v>53</v>
      </c>
      <c r="B14" s="21" t="s">
        <v>134</v>
      </c>
      <c r="C14" s="14">
        <v>2012</v>
      </c>
      <c r="D14" s="14">
        <v>1.86</v>
      </c>
      <c r="E14" s="14" t="s">
        <v>135</v>
      </c>
      <c r="F14" s="16">
        <v>-2.6599999999999993</v>
      </c>
    </row>
    <row r="15" spans="1:6" x14ac:dyDescent="0.35">
      <c r="A15" s="22" t="s">
        <v>53</v>
      </c>
      <c r="B15" s="23" t="s">
        <v>134</v>
      </c>
      <c r="C15" s="15">
        <v>2013</v>
      </c>
      <c r="D15" s="15">
        <v>1.59</v>
      </c>
      <c r="E15" s="15" t="s">
        <v>135</v>
      </c>
      <c r="F15" s="16">
        <v>-2.9299999999999997</v>
      </c>
    </row>
    <row r="16" spans="1:6" x14ac:dyDescent="0.35">
      <c r="A16" s="20" t="s">
        <v>53</v>
      </c>
      <c r="B16" s="21" t="s">
        <v>134</v>
      </c>
      <c r="C16" s="14">
        <v>2014</v>
      </c>
      <c r="D16" s="14">
        <v>1.59</v>
      </c>
      <c r="E16" s="14" t="s">
        <v>135</v>
      </c>
      <c r="F16" s="16">
        <v>-2.9299999999999997</v>
      </c>
    </row>
    <row r="17" spans="1:6" x14ac:dyDescent="0.35">
      <c r="A17" s="22" t="s">
        <v>53</v>
      </c>
      <c r="B17" s="23" t="s">
        <v>134</v>
      </c>
      <c r="C17" s="15">
        <v>2015</v>
      </c>
      <c r="D17" s="15">
        <v>1.66</v>
      </c>
      <c r="E17" s="15" t="s">
        <v>135</v>
      </c>
      <c r="F17" s="16">
        <v>-2.8599999999999994</v>
      </c>
    </row>
    <row r="18" spans="1:6" x14ac:dyDescent="0.35">
      <c r="A18" s="20" t="s">
        <v>53</v>
      </c>
      <c r="B18" s="21" t="s">
        <v>134</v>
      </c>
      <c r="C18" s="14">
        <v>2016</v>
      </c>
      <c r="D18" s="14">
        <v>2.4900000000000002</v>
      </c>
      <c r="E18" s="14" t="s">
        <v>135</v>
      </c>
      <c r="F18" s="16">
        <v>-2.0299999999999994</v>
      </c>
    </row>
    <row r="19" spans="1:6" x14ac:dyDescent="0.35">
      <c r="A19" s="22" t="s">
        <v>53</v>
      </c>
      <c r="B19" s="23" t="s">
        <v>134</v>
      </c>
      <c r="C19" s="15">
        <v>2017</v>
      </c>
      <c r="D19" s="15">
        <v>2.88</v>
      </c>
      <c r="E19" s="15" t="s">
        <v>135</v>
      </c>
      <c r="F19" s="16">
        <v>-1.6399999999999997</v>
      </c>
    </row>
    <row r="20" spans="1:6" x14ac:dyDescent="0.35">
      <c r="A20" s="20" t="s">
        <v>53</v>
      </c>
      <c r="B20" s="21" t="s">
        <v>134</v>
      </c>
      <c r="C20" s="14">
        <v>2018</v>
      </c>
      <c r="D20" s="14">
        <v>2.73</v>
      </c>
      <c r="E20" s="14" t="s">
        <v>135</v>
      </c>
      <c r="F20" s="16">
        <v>-1.7899999999999996</v>
      </c>
    </row>
    <row r="21" spans="1:6" x14ac:dyDescent="0.35">
      <c r="A21" s="22" t="s">
        <v>53</v>
      </c>
      <c r="B21" s="23" t="s">
        <v>134</v>
      </c>
      <c r="C21" s="15">
        <v>2019</v>
      </c>
      <c r="D21" s="15">
        <v>2.4700000000000002</v>
      </c>
      <c r="E21" s="15" t="s">
        <v>135</v>
      </c>
      <c r="F21" s="16">
        <v>-2.0499999999999994</v>
      </c>
    </row>
    <row r="22" spans="1:6" x14ac:dyDescent="0.35">
      <c r="A22" s="20" t="s">
        <v>53</v>
      </c>
      <c r="B22" s="21" t="s">
        <v>134</v>
      </c>
      <c r="C22" s="14">
        <v>2020</v>
      </c>
      <c r="D22" s="14">
        <v>2.31</v>
      </c>
      <c r="E22" s="14" t="s">
        <v>135</v>
      </c>
      <c r="F22" s="16">
        <v>-2.2099999999999995</v>
      </c>
    </row>
    <row r="23" spans="1:6" x14ac:dyDescent="0.35">
      <c r="A23" s="22" t="s">
        <v>53</v>
      </c>
      <c r="B23" s="23" t="s">
        <v>134</v>
      </c>
      <c r="C23" s="15">
        <v>2021</v>
      </c>
      <c r="D23" s="15">
        <v>1.97</v>
      </c>
      <c r="E23" s="15" t="s">
        <v>135</v>
      </c>
      <c r="F23" s="16">
        <v>-2.5499999999999998</v>
      </c>
    </row>
    <row r="24" spans="1:6" x14ac:dyDescent="0.35">
      <c r="A24" s="20" t="s">
        <v>53</v>
      </c>
      <c r="B24" s="21" t="s">
        <v>134</v>
      </c>
      <c r="C24" s="14">
        <v>2022</v>
      </c>
      <c r="D24" s="14">
        <v>2.2200000000000002</v>
      </c>
      <c r="E24" s="14" t="s">
        <v>135</v>
      </c>
      <c r="F24" s="16">
        <v>-2.2999999999999994</v>
      </c>
    </row>
    <row r="25" spans="1:6" x14ac:dyDescent="0.35">
      <c r="A25" s="22" t="s">
        <v>53</v>
      </c>
      <c r="B25" s="23" t="s">
        <v>134</v>
      </c>
      <c r="C25" s="15">
        <v>2023</v>
      </c>
      <c r="D25" s="15">
        <v>2.16</v>
      </c>
      <c r="E25" s="15" t="s">
        <v>135</v>
      </c>
      <c r="F25" s="16">
        <v>-2.3599999999999994</v>
      </c>
    </row>
    <row r="26" spans="1:6" x14ac:dyDescent="0.35">
      <c r="A26" s="20" t="s">
        <v>53</v>
      </c>
      <c r="B26" s="21" t="s">
        <v>134</v>
      </c>
      <c r="C26" s="14">
        <v>2024</v>
      </c>
      <c r="D26" s="14">
        <v>2.09</v>
      </c>
      <c r="E26" s="14" t="s">
        <v>135</v>
      </c>
      <c r="F26" s="16">
        <v>-2.4299999999999997</v>
      </c>
    </row>
    <row r="27" spans="1:6" x14ac:dyDescent="0.35">
      <c r="A27" s="22" t="s">
        <v>28</v>
      </c>
      <c r="B27" s="23" t="s">
        <v>134</v>
      </c>
      <c r="C27" s="15">
        <v>2000</v>
      </c>
      <c r="D27" s="15">
        <v>61.16</v>
      </c>
      <c r="E27" s="15">
        <v>61.16</v>
      </c>
      <c r="F27" s="16">
        <v>0</v>
      </c>
    </row>
    <row r="28" spans="1:6" x14ac:dyDescent="0.35">
      <c r="A28" s="20" t="s">
        <v>28</v>
      </c>
      <c r="B28" s="21" t="s">
        <v>134</v>
      </c>
      <c r="C28" s="14">
        <v>2001</v>
      </c>
      <c r="D28" s="14">
        <v>54.38</v>
      </c>
      <c r="E28" s="14" t="s">
        <v>135</v>
      </c>
      <c r="F28" s="16">
        <v>-6.779999999999994</v>
      </c>
    </row>
    <row r="29" spans="1:6" x14ac:dyDescent="0.35">
      <c r="A29" s="22" t="s">
        <v>28</v>
      </c>
      <c r="B29" s="23" t="s">
        <v>134</v>
      </c>
      <c r="C29" s="15">
        <v>2002</v>
      </c>
      <c r="D29" s="15">
        <v>54.38</v>
      </c>
      <c r="E29" s="15" t="s">
        <v>135</v>
      </c>
      <c r="F29" s="16">
        <v>-6.779999999999994</v>
      </c>
    </row>
    <row r="30" spans="1:6" x14ac:dyDescent="0.35">
      <c r="A30" s="20" t="s">
        <v>28</v>
      </c>
      <c r="B30" s="21" t="s">
        <v>134</v>
      </c>
      <c r="C30" s="14">
        <v>2003</v>
      </c>
      <c r="D30" s="14">
        <v>54.38</v>
      </c>
      <c r="E30" s="14" t="s">
        <v>135</v>
      </c>
      <c r="F30" s="16">
        <v>-6.779999999999994</v>
      </c>
    </row>
    <row r="31" spans="1:6" x14ac:dyDescent="0.35">
      <c r="A31" s="22" t="s">
        <v>28</v>
      </c>
      <c r="B31" s="23" t="s">
        <v>134</v>
      </c>
      <c r="C31" s="15">
        <v>2004</v>
      </c>
      <c r="D31" s="15">
        <v>71.290000000000006</v>
      </c>
      <c r="E31" s="15" t="s">
        <v>135</v>
      </c>
      <c r="F31" s="16">
        <v>10.13000000000001</v>
      </c>
    </row>
    <row r="32" spans="1:6" x14ac:dyDescent="0.35">
      <c r="A32" s="20" t="s">
        <v>28</v>
      </c>
      <c r="B32" s="21" t="s">
        <v>134</v>
      </c>
      <c r="C32" s="14">
        <v>2005</v>
      </c>
      <c r="D32" s="14">
        <v>71.290000000000006</v>
      </c>
      <c r="E32" s="14" t="s">
        <v>135</v>
      </c>
      <c r="F32" s="16">
        <v>10.13000000000001</v>
      </c>
    </row>
    <row r="33" spans="1:6" x14ac:dyDescent="0.35">
      <c r="A33" s="22" t="s">
        <v>28</v>
      </c>
      <c r="B33" s="23" t="s">
        <v>134</v>
      </c>
      <c r="C33" s="15">
        <v>2006</v>
      </c>
      <c r="D33" s="15">
        <v>71.180000000000007</v>
      </c>
      <c r="E33" s="15" t="s">
        <v>135</v>
      </c>
      <c r="F33" s="16">
        <v>10.02000000000001</v>
      </c>
    </row>
    <row r="34" spans="1:6" x14ac:dyDescent="0.35">
      <c r="A34" s="20" t="s">
        <v>28</v>
      </c>
      <c r="B34" s="21" t="s">
        <v>134</v>
      </c>
      <c r="C34" s="14">
        <v>2007</v>
      </c>
      <c r="D34" s="14">
        <v>76.62</v>
      </c>
      <c r="E34" s="14" t="s">
        <v>135</v>
      </c>
      <c r="F34" s="16">
        <v>15.460000000000008</v>
      </c>
    </row>
    <row r="35" spans="1:6" x14ac:dyDescent="0.35">
      <c r="A35" s="22" t="s">
        <v>28</v>
      </c>
      <c r="B35" s="23" t="s">
        <v>134</v>
      </c>
      <c r="C35" s="15">
        <v>2008</v>
      </c>
      <c r="D35" s="15">
        <v>77.19</v>
      </c>
      <c r="E35" s="15" t="s">
        <v>135</v>
      </c>
      <c r="F35" s="16">
        <v>16.03</v>
      </c>
    </row>
    <row r="36" spans="1:6" x14ac:dyDescent="0.35">
      <c r="A36" s="20" t="s">
        <v>28</v>
      </c>
      <c r="B36" s="21" t="s">
        <v>134</v>
      </c>
      <c r="C36" s="14">
        <v>2009</v>
      </c>
      <c r="D36" s="14">
        <v>77.19</v>
      </c>
      <c r="E36" s="14" t="s">
        <v>135</v>
      </c>
      <c r="F36" s="16">
        <v>16.03</v>
      </c>
    </row>
    <row r="37" spans="1:6" x14ac:dyDescent="0.35">
      <c r="A37" s="22" t="s">
        <v>28</v>
      </c>
      <c r="B37" s="23" t="s">
        <v>134</v>
      </c>
      <c r="C37" s="15">
        <v>2010</v>
      </c>
      <c r="D37" s="15">
        <v>66.95</v>
      </c>
      <c r="E37" s="15" t="s">
        <v>135</v>
      </c>
      <c r="F37" s="16">
        <v>5.7900000000000063</v>
      </c>
    </row>
    <row r="38" spans="1:6" x14ac:dyDescent="0.35">
      <c r="A38" s="20" t="s">
        <v>28</v>
      </c>
      <c r="B38" s="21" t="s">
        <v>134</v>
      </c>
      <c r="C38" s="14">
        <v>2011</v>
      </c>
      <c r="D38" s="14">
        <v>59.15</v>
      </c>
      <c r="E38" s="14" t="s">
        <v>135</v>
      </c>
      <c r="F38" s="16">
        <v>-2.009999999999998</v>
      </c>
    </row>
    <row r="39" spans="1:6" x14ac:dyDescent="0.35">
      <c r="A39" s="22" t="s">
        <v>28</v>
      </c>
      <c r="B39" s="23" t="s">
        <v>134</v>
      </c>
      <c r="C39" s="15">
        <v>2012</v>
      </c>
      <c r="D39" s="15">
        <v>51.22</v>
      </c>
      <c r="E39" s="15" t="s">
        <v>135</v>
      </c>
      <c r="F39" s="16">
        <v>-9.9399999999999977</v>
      </c>
    </row>
    <row r="40" spans="1:6" x14ac:dyDescent="0.35">
      <c r="A40" s="20" t="s">
        <v>28</v>
      </c>
      <c r="B40" s="21" t="s">
        <v>134</v>
      </c>
      <c r="C40" s="14">
        <v>2013</v>
      </c>
      <c r="D40" s="14">
        <v>44.18</v>
      </c>
      <c r="E40" s="14" t="s">
        <v>135</v>
      </c>
      <c r="F40" s="16">
        <v>-16.979999999999997</v>
      </c>
    </row>
    <row r="41" spans="1:6" x14ac:dyDescent="0.35">
      <c r="A41" s="22" t="s">
        <v>28</v>
      </c>
      <c r="B41" s="23" t="s">
        <v>134</v>
      </c>
      <c r="C41" s="15">
        <v>2014</v>
      </c>
      <c r="D41" s="15">
        <v>43.6</v>
      </c>
      <c r="E41" s="15" t="s">
        <v>135</v>
      </c>
      <c r="F41" s="16">
        <v>-17.559999999999995</v>
      </c>
    </row>
    <row r="42" spans="1:6" x14ac:dyDescent="0.35">
      <c r="A42" s="20" t="s">
        <v>28</v>
      </c>
      <c r="B42" s="21" t="s">
        <v>134</v>
      </c>
      <c r="C42" s="14">
        <v>2015</v>
      </c>
      <c r="D42" s="14">
        <v>42.57</v>
      </c>
      <c r="E42" s="14" t="s">
        <v>135</v>
      </c>
      <c r="F42" s="16">
        <v>-18.589999999999996</v>
      </c>
    </row>
    <row r="43" spans="1:6" x14ac:dyDescent="0.35">
      <c r="A43" s="22" t="s">
        <v>28</v>
      </c>
      <c r="B43" s="23" t="s">
        <v>134</v>
      </c>
      <c r="C43" s="15">
        <v>2016</v>
      </c>
      <c r="D43" s="15">
        <v>55.85</v>
      </c>
      <c r="E43" s="15" t="s">
        <v>135</v>
      </c>
      <c r="F43" s="16">
        <v>-5.3099999999999952</v>
      </c>
    </row>
    <row r="44" spans="1:6" x14ac:dyDescent="0.35">
      <c r="A44" s="20" t="s">
        <v>28</v>
      </c>
      <c r="B44" s="21" t="s">
        <v>134</v>
      </c>
      <c r="C44" s="14">
        <v>2017</v>
      </c>
      <c r="D44" s="14">
        <v>51.13</v>
      </c>
      <c r="E44" s="14" t="s">
        <v>135</v>
      </c>
      <c r="F44" s="16">
        <v>-10.029999999999994</v>
      </c>
    </row>
    <row r="45" spans="1:6" x14ac:dyDescent="0.35">
      <c r="A45" s="22" t="s">
        <v>28</v>
      </c>
      <c r="B45" s="23" t="s">
        <v>134</v>
      </c>
      <c r="C45" s="15">
        <v>2018</v>
      </c>
      <c r="D45" s="15">
        <v>57.12</v>
      </c>
      <c r="E45" s="15" t="s">
        <v>135</v>
      </c>
      <c r="F45" s="16">
        <v>-4.0399999999999991</v>
      </c>
    </row>
    <row r="46" spans="1:6" x14ac:dyDescent="0.35">
      <c r="A46" s="20" t="s">
        <v>28</v>
      </c>
      <c r="B46" s="21" t="s">
        <v>134</v>
      </c>
      <c r="C46" s="14">
        <v>2019</v>
      </c>
      <c r="D46" s="14">
        <v>59.39</v>
      </c>
      <c r="E46" s="14" t="s">
        <v>135</v>
      </c>
      <c r="F46" s="16">
        <v>-1.769999999999996</v>
      </c>
    </row>
    <row r="47" spans="1:6" x14ac:dyDescent="0.35">
      <c r="A47" s="22" t="s">
        <v>28</v>
      </c>
      <c r="B47" s="23" t="s">
        <v>134</v>
      </c>
      <c r="C47" s="15">
        <v>2020</v>
      </c>
      <c r="D47" s="15">
        <v>61.6</v>
      </c>
      <c r="E47" s="15" t="s">
        <v>135</v>
      </c>
      <c r="F47" s="16">
        <v>0.44000000000000483</v>
      </c>
    </row>
    <row r="48" spans="1:6" x14ac:dyDescent="0.35">
      <c r="A48" s="20" t="s">
        <v>28</v>
      </c>
      <c r="B48" s="21" t="s">
        <v>134</v>
      </c>
      <c r="C48" s="14">
        <v>2021</v>
      </c>
      <c r="D48" s="14">
        <v>61.6</v>
      </c>
      <c r="E48" s="14" t="s">
        <v>135</v>
      </c>
      <c r="F48" s="16">
        <v>0.44000000000000483</v>
      </c>
    </row>
    <row r="49" spans="1:6" x14ac:dyDescent="0.35">
      <c r="A49" s="22" t="s">
        <v>28</v>
      </c>
      <c r="B49" s="23" t="s">
        <v>134</v>
      </c>
      <c r="C49" s="15">
        <v>2022</v>
      </c>
      <c r="D49" s="15">
        <v>63.3</v>
      </c>
      <c r="E49" s="15" t="s">
        <v>135</v>
      </c>
      <c r="F49" s="16">
        <v>2.1400000000000006</v>
      </c>
    </row>
    <row r="50" spans="1:6" x14ac:dyDescent="0.35">
      <c r="A50" s="20" t="s">
        <v>28</v>
      </c>
      <c r="B50" s="21" t="s">
        <v>134</v>
      </c>
      <c r="C50" s="14">
        <v>2023</v>
      </c>
      <c r="D50" s="14">
        <v>63.44</v>
      </c>
      <c r="E50" s="14" t="s">
        <v>135</v>
      </c>
      <c r="F50" s="16">
        <v>2.2800000000000011</v>
      </c>
    </row>
    <row r="51" spans="1:6" x14ac:dyDescent="0.35">
      <c r="A51" s="22" t="s">
        <v>28</v>
      </c>
      <c r="B51" s="23" t="s">
        <v>134</v>
      </c>
      <c r="C51" s="15">
        <v>2024</v>
      </c>
      <c r="D51" s="15">
        <v>63.73</v>
      </c>
      <c r="E51" s="15" t="s">
        <v>135</v>
      </c>
      <c r="F51" s="16">
        <v>2.5700000000000003</v>
      </c>
    </row>
    <row r="52" spans="1:6" x14ac:dyDescent="0.35">
      <c r="A52" s="20" t="s">
        <v>35</v>
      </c>
      <c r="B52" s="21" t="s">
        <v>134</v>
      </c>
      <c r="C52" s="14">
        <v>2000</v>
      </c>
      <c r="D52" s="14">
        <v>0.88</v>
      </c>
      <c r="E52" s="14">
        <v>0.88</v>
      </c>
      <c r="F52" s="16">
        <v>0</v>
      </c>
    </row>
    <row r="53" spans="1:6" x14ac:dyDescent="0.35">
      <c r="A53" s="22" t="s">
        <v>35</v>
      </c>
      <c r="B53" s="23" t="s">
        <v>134</v>
      </c>
      <c r="C53" s="15">
        <v>2001</v>
      </c>
      <c r="D53" s="15">
        <v>0.83</v>
      </c>
      <c r="E53" s="15" t="s">
        <v>135</v>
      </c>
      <c r="F53" s="16">
        <v>-5.0000000000000044E-2</v>
      </c>
    </row>
    <row r="54" spans="1:6" x14ac:dyDescent="0.35">
      <c r="A54" s="20" t="s">
        <v>35</v>
      </c>
      <c r="B54" s="21" t="s">
        <v>134</v>
      </c>
      <c r="C54" s="14">
        <v>2002</v>
      </c>
      <c r="D54" s="14">
        <v>0.83</v>
      </c>
      <c r="E54" s="14" t="s">
        <v>135</v>
      </c>
      <c r="F54" s="16">
        <v>-5.0000000000000044E-2</v>
      </c>
    </row>
    <row r="55" spans="1:6" x14ac:dyDescent="0.35">
      <c r="A55" s="22" t="s">
        <v>35</v>
      </c>
      <c r="B55" s="23" t="s">
        <v>134</v>
      </c>
      <c r="C55" s="15">
        <v>2003</v>
      </c>
      <c r="D55" s="15">
        <v>0.83</v>
      </c>
      <c r="E55" s="15" t="s">
        <v>135</v>
      </c>
      <c r="F55" s="16">
        <v>-5.0000000000000044E-2</v>
      </c>
    </row>
    <row r="56" spans="1:6" x14ac:dyDescent="0.35">
      <c r="A56" s="20" t="s">
        <v>35</v>
      </c>
      <c r="B56" s="21" t="s">
        <v>134</v>
      </c>
      <c r="C56" s="14">
        <v>2004</v>
      </c>
      <c r="D56" s="14">
        <v>0.83</v>
      </c>
      <c r="E56" s="14" t="s">
        <v>135</v>
      </c>
      <c r="F56" s="16">
        <v>-5.0000000000000044E-2</v>
      </c>
    </row>
    <row r="57" spans="1:6" x14ac:dyDescent="0.35">
      <c r="A57" s="22" t="s">
        <v>35</v>
      </c>
      <c r="B57" s="23" t="s">
        <v>134</v>
      </c>
      <c r="C57" s="15">
        <v>2005</v>
      </c>
      <c r="D57" s="15">
        <v>0.81</v>
      </c>
      <c r="E57" s="15" t="s">
        <v>135</v>
      </c>
      <c r="F57" s="16">
        <v>-6.9999999999999951E-2</v>
      </c>
    </row>
    <row r="58" spans="1:6" x14ac:dyDescent="0.35">
      <c r="A58" s="20" t="s">
        <v>35</v>
      </c>
      <c r="B58" s="21" t="s">
        <v>134</v>
      </c>
      <c r="C58" s="14">
        <v>2006</v>
      </c>
      <c r="D58" s="14">
        <v>0.35</v>
      </c>
      <c r="E58" s="14" t="s">
        <v>135</v>
      </c>
      <c r="F58" s="16">
        <v>-0.53</v>
      </c>
    </row>
    <row r="59" spans="1:6" x14ac:dyDescent="0.35">
      <c r="A59" s="22" t="s">
        <v>35</v>
      </c>
      <c r="B59" s="23" t="s">
        <v>134</v>
      </c>
      <c r="C59" s="15">
        <v>2007</v>
      </c>
      <c r="D59" s="15">
        <v>0.28999999999999998</v>
      </c>
      <c r="E59" s="15" t="s">
        <v>135</v>
      </c>
      <c r="F59" s="16">
        <v>-0.59000000000000008</v>
      </c>
    </row>
    <row r="60" spans="1:6" x14ac:dyDescent="0.35">
      <c r="A60" s="20" t="s">
        <v>35</v>
      </c>
      <c r="B60" s="21" t="s">
        <v>134</v>
      </c>
      <c r="C60" s="14">
        <v>2008</v>
      </c>
      <c r="D60" s="14">
        <v>0.26</v>
      </c>
      <c r="E60" s="14" t="s">
        <v>135</v>
      </c>
      <c r="F60" s="16">
        <v>-0.62</v>
      </c>
    </row>
    <row r="61" spans="1:6" x14ac:dyDescent="0.35">
      <c r="A61" s="22" t="s">
        <v>35</v>
      </c>
      <c r="B61" s="23" t="s">
        <v>134</v>
      </c>
      <c r="C61" s="15">
        <v>2009</v>
      </c>
      <c r="D61" s="15">
        <v>0.35</v>
      </c>
      <c r="E61" s="15" t="s">
        <v>135</v>
      </c>
      <c r="F61" s="16">
        <v>-0.53</v>
      </c>
    </row>
    <row r="62" spans="1:6" x14ac:dyDescent="0.35">
      <c r="A62" s="20" t="s">
        <v>35</v>
      </c>
      <c r="B62" s="21" t="s">
        <v>134</v>
      </c>
      <c r="C62" s="14">
        <v>2010</v>
      </c>
      <c r="D62" s="14">
        <v>0.51</v>
      </c>
      <c r="E62" s="14" t="s">
        <v>135</v>
      </c>
      <c r="F62" s="16">
        <v>-0.37</v>
      </c>
    </row>
    <row r="63" spans="1:6" x14ac:dyDescent="0.35">
      <c r="A63" s="22" t="s">
        <v>35</v>
      </c>
      <c r="B63" s="23" t="s">
        <v>134</v>
      </c>
      <c r="C63" s="15">
        <v>2011</v>
      </c>
      <c r="D63" s="15">
        <v>0.5</v>
      </c>
      <c r="E63" s="15" t="s">
        <v>135</v>
      </c>
      <c r="F63" s="16">
        <v>-0.38</v>
      </c>
    </row>
    <row r="64" spans="1:6" x14ac:dyDescent="0.35">
      <c r="A64" s="20" t="s">
        <v>35</v>
      </c>
      <c r="B64" s="21" t="s">
        <v>134</v>
      </c>
      <c r="C64" s="14">
        <v>2012</v>
      </c>
      <c r="D64" s="14">
        <v>0.81</v>
      </c>
      <c r="E64" s="14" t="s">
        <v>135</v>
      </c>
      <c r="F64" s="16">
        <v>-6.9999999999999951E-2</v>
      </c>
    </row>
    <row r="65" spans="1:6" x14ac:dyDescent="0.35">
      <c r="A65" s="22" t="s">
        <v>35</v>
      </c>
      <c r="B65" s="23" t="s">
        <v>134</v>
      </c>
      <c r="C65" s="15">
        <v>2013</v>
      </c>
      <c r="D65" s="15">
        <v>0.36</v>
      </c>
      <c r="E65" s="15" t="s">
        <v>135</v>
      </c>
      <c r="F65" s="16">
        <v>-0.52</v>
      </c>
    </row>
    <row r="66" spans="1:6" x14ac:dyDescent="0.35">
      <c r="A66" s="20" t="s">
        <v>35</v>
      </c>
      <c r="B66" s="21" t="s">
        <v>134</v>
      </c>
      <c r="C66" s="14">
        <v>2014</v>
      </c>
      <c r="D66" s="14">
        <v>0.74</v>
      </c>
      <c r="E66" s="14" t="s">
        <v>135</v>
      </c>
      <c r="F66" s="16">
        <v>-0.14000000000000001</v>
      </c>
    </row>
    <row r="67" spans="1:6" x14ac:dyDescent="0.35">
      <c r="A67" s="22" t="s">
        <v>35</v>
      </c>
      <c r="B67" s="23" t="s">
        <v>134</v>
      </c>
      <c r="C67" s="15">
        <v>2015</v>
      </c>
      <c r="D67" s="15">
        <v>1.9</v>
      </c>
      <c r="E67" s="15" t="s">
        <v>135</v>
      </c>
      <c r="F67" s="16">
        <v>1.02</v>
      </c>
    </row>
    <row r="68" spans="1:6" x14ac:dyDescent="0.35">
      <c r="A68" s="20" t="s">
        <v>35</v>
      </c>
      <c r="B68" s="21" t="s">
        <v>134</v>
      </c>
      <c r="C68" s="14">
        <v>2016</v>
      </c>
      <c r="D68" s="14">
        <v>1.33</v>
      </c>
      <c r="E68" s="14" t="s">
        <v>135</v>
      </c>
      <c r="F68" s="16">
        <v>0.45000000000000007</v>
      </c>
    </row>
    <row r="69" spans="1:6" x14ac:dyDescent="0.35">
      <c r="A69" s="22" t="s">
        <v>35</v>
      </c>
      <c r="B69" s="23" t="s">
        <v>134</v>
      </c>
      <c r="C69" s="15">
        <v>2017</v>
      </c>
      <c r="D69" s="15">
        <v>1.45</v>
      </c>
      <c r="E69" s="15" t="s">
        <v>135</v>
      </c>
      <c r="F69" s="16">
        <v>0.56999999999999995</v>
      </c>
    </row>
    <row r="70" spans="1:6" x14ac:dyDescent="0.35">
      <c r="A70" s="20" t="s">
        <v>35</v>
      </c>
      <c r="B70" s="21" t="s">
        <v>134</v>
      </c>
      <c r="C70" s="14">
        <v>2018</v>
      </c>
      <c r="D70" s="14">
        <v>1.74</v>
      </c>
      <c r="E70" s="14" t="s">
        <v>135</v>
      </c>
      <c r="F70" s="16">
        <v>0.86</v>
      </c>
    </row>
    <row r="71" spans="1:6" x14ac:dyDescent="0.35">
      <c r="A71" s="22" t="s">
        <v>35</v>
      </c>
      <c r="B71" s="23" t="s">
        <v>134</v>
      </c>
      <c r="C71" s="15">
        <v>2019</v>
      </c>
      <c r="D71" s="15">
        <v>1.41</v>
      </c>
      <c r="E71" s="15" t="s">
        <v>135</v>
      </c>
      <c r="F71" s="16">
        <v>0.52999999999999992</v>
      </c>
    </row>
    <row r="72" spans="1:6" x14ac:dyDescent="0.35">
      <c r="A72" s="20" t="s">
        <v>35</v>
      </c>
      <c r="B72" s="21" t="s">
        <v>134</v>
      </c>
      <c r="C72" s="14">
        <v>2020</v>
      </c>
      <c r="D72" s="14">
        <v>1.75</v>
      </c>
      <c r="E72" s="14" t="s">
        <v>135</v>
      </c>
      <c r="F72" s="16">
        <v>0.87</v>
      </c>
    </row>
    <row r="73" spans="1:6" x14ac:dyDescent="0.35">
      <c r="A73" s="22" t="s">
        <v>35</v>
      </c>
      <c r="B73" s="23" t="s">
        <v>134</v>
      </c>
      <c r="C73" s="15">
        <v>2021</v>
      </c>
      <c r="D73" s="15">
        <v>2.12</v>
      </c>
      <c r="E73" s="15" t="s">
        <v>135</v>
      </c>
      <c r="F73" s="16">
        <v>1.2400000000000002</v>
      </c>
    </row>
    <row r="74" spans="1:6" x14ac:dyDescent="0.35">
      <c r="A74" s="20" t="s">
        <v>35</v>
      </c>
      <c r="B74" s="21" t="s">
        <v>134</v>
      </c>
      <c r="C74" s="14">
        <v>2022</v>
      </c>
      <c r="D74" s="14">
        <v>10.119999999999999</v>
      </c>
      <c r="E74" s="14" t="s">
        <v>135</v>
      </c>
      <c r="F74" s="16">
        <v>9.2399999999999984</v>
      </c>
    </row>
    <row r="75" spans="1:6" x14ac:dyDescent="0.35">
      <c r="A75" s="22" t="s">
        <v>35</v>
      </c>
      <c r="B75" s="23" t="s">
        <v>134</v>
      </c>
      <c r="C75" s="15">
        <v>2023</v>
      </c>
      <c r="D75" s="15">
        <v>10.62</v>
      </c>
      <c r="E75" s="15" t="s">
        <v>135</v>
      </c>
      <c r="F75" s="16">
        <v>9.7399999999999984</v>
      </c>
    </row>
    <row r="76" spans="1:6" x14ac:dyDescent="0.35">
      <c r="A76" s="20" t="s">
        <v>35</v>
      </c>
      <c r="B76" s="21" t="s">
        <v>134</v>
      </c>
      <c r="C76" s="14">
        <v>2024</v>
      </c>
      <c r="D76" s="14">
        <v>10.62</v>
      </c>
      <c r="E76" s="14" t="s">
        <v>135</v>
      </c>
      <c r="F76" s="16">
        <v>9.7399999999999984</v>
      </c>
    </row>
    <row r="77" spans="1:6" x14ac:dyDescent="0.35">
      <c r="A77" s="22" t="s">
        <v>37</v>
      </c>
      <c r="B77" s="23" t="s">
        <v>134</v>
      </c>
      <c r="C77" s="15">
        <v>2000</v>
      </c>
      <c r="D77" s="15">
        <v>40</v>
      </c>
      <c r="E77" s="15">
        <v>40</v>
      </c>
      <c r="F77" s="16">
        <v>0</v>
      </c>
    </row>
    <row r="78" spans="1:6" x14ac:dyDescent="0.35">
      <c r="A78" s="20" t="s">
        <v>37</v>
      </c>
      <c r="B78" s="21" t="s">
        <v>134</v>
      </c>
      <c r="C78" s="14">
        <v>2001</v>
      </c>
      <c r="D78" s="14">
        <v>40</v>
      </c>
      <c r="E78" s="14" t="s">
        <v>135</v>
      </c>
      <c r="F78" s="16">
        <v>0</v>
      </c>
    </row>
    <row r="79" spans="1:6" x14ac:dyDescent="0.35">
      <c r="A79" s="22" t="s">
        <v>37</v>
      </c>
      <c r="B79" s="23" t="s">
        <v>134</v>
      </c>
      <c r="C79" s="15">
        <v>2002</v>
      </c>
      <c r="D79" s="15">
        <v>40</v>
      </c>
      <c r="E79" s="15" t="s">
        <v>135</v>
      </c>
      <c r="F79" s="16">
        <v>0</v>
      </c>
    </row>
    <row r="80" spans="1:6" x14ac:dyDescent="0.35">
      <c r="A80" s="20" t="s">
        <v>37</v>
      </c>
      <c r="B80" s="21" t="s">
        <v>134</v>
      </c>
      <c r="C80" s="14">
        <v>2003</v>
      </c>
      <c r="D80" s="14">
        <v>17.579999999999998</v>
      </c>
      <c r="E80" s="14" t="s">
        <v>135</v>
      </c>
      <c r="F80" s="16">
        <v>-22.42</v>
      </c>
    </row>
    <row r="81" spans="1:6" x14ac:dyDescent="0.35">
      <c r="A81" s="22" t="s">
        <v>37</v>
      </c>
      <c r="B81" s="23" t="s">
        <v>134</v>
      </c>
      <c r="C81" s="15">
        <v>2004</v>
      </c>
      <c r="D81" s="15">
        <v>15.07</v>
      </c>
      <c r="E81" s="15" t="s">
        <v>135</v>
      </c>
      <c r="F81" s="16">
        <v>-24.93</v>
      </c>
    </row>
    <row r="82" spans="1:6" x14ac:dyDescent="0.35">
      <c r="A82" s="20" t="s">
        <v>37</v>
      </c>
      <c r="B82" s="21" t="s">
        <v>134</v>
      </c>
      <c r="C82" s="14">
        <v>2005</v>
      </c>
      <c r="D82" s="14">
        <v>13.6</v>
      </c>
      <c r="E82" s="14" t="s">
        <v>135</v>
      </c>
      <c r="F82" s="16">
        <v>-26.4</v>
      </c>
    </row>
    <row r="83" spans="1:6" x14ac:dyDescent="0.35">
      <c r="A83" s="22" t="s">
        <v>37</v>
      </c>
      <c r="B83" s="23" t="s">
        <v>134</v>
      </c>
      <c r="C83" s="15">
        <v>2006</v>
      </c>
      <c r="D83" s="15">
        <v>12.44</v>
      </c>
      <c r="E83" s="15" t="s">
        <v>135</v>
      </c>
      <c r="F83" s="16">
        <v>-27.560000000000002</v>
      </c>
    </row>
    <row r="84" spans="1:6" x14ac:dyDescent="0.35">
      <c r="A84" s="20" t="s">
        <v>37</v>
      </c>
      <c r="B84" s="21" t="s">
        <v>134</v>
      </c>
      <c r="C84" s="14">
        <v>2007</v>
      </c>
      <c r="D84" s="14">
        <v>12.59</v>
      </c>
      <c r="E84" s="14" t="s">
        <v>135</v>
      </c>
      <c r="F84" s="16">
        <v>-27.41</v>
      </c>
    </row>
    <row r="85" spans="1:6" x14ac:dyDescent="0.35">
      <c r="A85" s="22" t="s">
        <v>37</v>
      </c>
      <c r="B85" s="23" t="s">
        <v>134</v>
      </c>
      <c r="C85" s="15">
        <v>2008</v>
      </c>
      <c r="D85" s="15">
        <v>12.54</v>
      </c>
      <c r="E85" s="15" t="s">
        <v>135</v>
      </c>
      <c r="F85" s="16">
        <v>-27.46</v>
      </c>
    </row>
    <row r="86" spans="1:6" x14ac:dyDescent="0.35">
      <c r="A86" s="20" t="s">
        <v>37</v>
      </c>
      <c r="B86" s="21" t="s">
        <v>134</v>
      </c>
      <c r="C86" s="14">
        <v>2009</v>
      </c>
      <c r="D86" s="14">
        <v>12.54</v>
      </c>
      <c r="E86" s="14" t="s">
        <v>135</v>
      </c>
      <c r="F86" s="16">
        <v>-27.46</v>
      </c>
    </row>
    <row r="87" spans="1:6" x14ac:dyDescent="0.35">
      <c r="A87" s="22" t="s">
        <v>37</v>
      </c>
      <c r="B87" s="23" t="s">
        <v>134</v>
      </c>
      <c r="C87" s="15">
        <v>2010</v>
      </c>
      <c r="D87" s="15">
        <v>13.3</v>
      </c>
      <c r="E87" s="15" t="s">
        <v>135</v>
      </c>
      <c r="F87" s="16">
        <v>-26.7</v>
      </c>
    </row>
    <row r="88" spans="1:6" x14ac:dyDescent="0.35">
      <c r="A88" s="20" t="s">
        <v>37</v>
      </c>
      <c r="B88" s="21" t="s">
        <v>134</v>
      </c>
      <c r="C88" s="14">
        <v>2011</v>
      </c>
      <c r="D88" s="14">
        <v>10.6</v>
      </c>
      <c r="E88" s="14" t="s">
        <v>135</v>
      </c>
      <c r="F88" s="16">
        <v>-29.4</v>
      </c>
    </row>
    <row r="89" spans="1:6" x14ac:dyDescent="0.35">
      <c r="A89" s="22" t="s">
        <v>37</v>
      </c>
      <c r="B89" s="23" t="s">
        <v>134</v>
      </c>
      <c r="C89" s="15">
        <v>2012</v>
      </c>
      <c r="D89" s="15">
        <v>9.07</v>
      </c>
      <c r="E89" s="15" t="s">
        <v>135</v>
      </c>
      <c r="F89" s="16">
        <v>-30.93</v>
      </c>
    </row>
    <row r="90" spans="1:6" x14ac:dyDescent="0.35">
      <c r="A90" s="20" t="s">
        <v>37</v>
      </c>
      <c r="B90" s="21" t="s">
        <v>134</v>
      </c>
      <c r="C90" s="14">
        <v>2013</v>
      </c>
      <c r="D90" s="14">
        <v>13.32</v>
      </c>
      <c r="E90" s="14" t="s">
        <v>135</v>
      </c>
      <c r="F90" s="16">
        <v>-26.68</v>
      </c>
    </row>
    <row r="91" spans="1:6" x14ac:dyDescent="0.35">
      <c r="A91" s="22" t="s">
        <v>37</v>
      </c>
      <c r="B91" s="23" t="s">
        <v>134</v>
      </c>
      <c r="C91" s="15">
        <v>2014</v>
      </c>
      <c r="D91" s="15">
        <v>11.72</v>
      </c>
      <c r="E91" s="15" t="s">
        <v>135</v>
      </c>
      <c r="F91" s="16">
        <v>-28.28</v>
      </c>
    </row>
    <row r="92" spans="1:6" x14ac:dyDescent="0.35">
      <c r="A92" s="20" t="s">
        <v>37</v>
      </c>
      <c r="B92" s="21" t="s">
        <v>134</v>
      </c>
      <c r="C92" s="14">
        <v>2015</v>
      </c>
      <c r="D92" s="14">
        <v>10.75</v>
      </c>
      <c r="E92" s="14" t="s">
        <v>135</v>
      </c>
      <c r="F92" s="16">
        <v>-29.25</v>
      </c>
    </row>
    <row r="93" spans="1:6" x14ac:dyDescent="0.35">
      <c r="A93" s="22" t="s">
        <v>37</v>
      </c>
      <c r="B93" s="23" t="s">
        <v>134</v>
      </c>
      <c r="C93" s="15">
        <v>2016</v>
      </c>
      <c r="D93" s="15">
        <v>10.96</v>
      </c>
      <c r="E93" s="15" t="s">
        <v>135</v>
      </c>
      <c r="F93" s="16">
        <v>-29.04</v>
      </c>
    </row>
    <row r="94" spans="1:6" x14ac:dyDescent="0.35">
      <c r="A94" s="20" t="s">
        <v>37</v>
      </c>
      <c r="B94" s="21" t="s">
        <v>134</v>
      </c>
      <c r="C94" s="14">
        <v>2017</v>
      </c>
      <c r="D94" s="14">
        <v>19.75</v>
      </c>
      <c r="E94" s="14" t="s">
        <v>135</v>
      </c>
      <c r="F94" s="16">
        <v>-20.25</v>
      </c>
    </row>
    <row r="95" spans="1:6" x14ac:dyDescent="0.35">
      <c r="A95" s="22" t="s">
        <v>37</v>
      </c>
      <c r="B95" s="23" t="s">
        <v>134</v>
      </c>
      <c r="C95" s="15">
        <v>2018</v>
      </c>
      <c r="D95" s="15">
        <v>23.05</v>
      </c>
      <c r="E95" s="15" t="s">
        <v>135</v>
      </c>
      <c r="F95" s="16">
        <v>-16.95</v>
      </c>
    </row>
    <row r="96" spans="1:6" x14ac:dyDescent="0.35">
      <c r="A96" s="20" t="s">
        <v>37</v>
      </c>
      <c r="B96" s="21" t="s">
        <v>134</v>
      </c>
      <c r="C96" s="14">
        <v>2019</v>
      </c>
      <c r="D96" s="14">
        <v>21.14</v>
      </c>
      <c r="E96" s="14" t="s">
        <v>135</v>
      </c>
      <c r="F96" s="16">
        <v>-18.86</v>
      </c>
    </row>
    <row r="97" spans="1:6" x14ac:dyDescent="0.35">
      <c r="A97" s="22" t="s">
        <v>37</v>
      </c>
      <c r="B97" s="23" t="s">
        <v>134</v>
      </c>
      <c r="C97" s="15">
        <v>2020</v>
      </c>
      <c r="D97" s="15">
        <v>21.23</v>
      </c>
      <c r="E97" s="15" t="s">
        <v>135</v>
      </c>
      <c r="F97" s="16">
        <v>-18.77</v>
      </c>
    </row>
    <row r="98" spans="1:6" x14ac:dyDescent="0.35">
      <c r="A98" s="20" t="s">
        <v>37</v>
      </c>
      <c r="B98" s="21" t="s">
        <v>134</v>
      </c>
      <c r="C98" s="14">
        <v>2021</v>
      </c>
      <c r="D98" s="14">
        <v>19.149999999999999</v>
      </c>
      <c r="E98" s="14" t="s">
        <v>135</v>
      </c>
      <c r="F98" s="16">
        <v>-20.85</v>
      </c>
    </row>
    <row r="99" spans="1:6" x14ac:dyDescent="0.35">
      <c r="A99" s="22" t="s">
        <v>37</v>
      </c>
      <c r="B99" s="23" t="s">
        <v>134</v>
      </c>
      <c r="C99" s="15">
        <v>2022</v>
      </c>
      <c r="D99" s="15">
        <v>23.99</v>
      </c>
      <c r="E99" s="15" t="s">
        <v>135</v>
      </c>
      <c r="F99" s="16">
        <v>-16.010000000000002</v>
      </c>
    </row>
    <row r="100" spans="1:6" x14ac:dyDescent="0.35">
      <c r="A100" s="20" t="s">
        <v>37</v>
      </c>
      <c r="B100" s="21" t="s">
        <v>134</v>
      </c>
      <c r="C100" s="14">
        <v>2023</v>
      </c>
      <c r="D100" s="14">
        <v>34.92</v>
      </c>
      <c r="E100" s="14" t="s">
        <v>135</v>
      </c>
      <c r="F100" s="16">
        <v>-5.0799999999999983</v>
      </c>
    </row>
    <row r="101" spans="1:6" x14ac:dyDescent="0.35">
      <c r="A101" s="22" t="s">
        <v>37</v>
      </c>
      <c r="B101" s="23" t="s">
        <v>134</v>
      </c>
      <c r="C101" s="15">
        <v>2024</v>
      </c>
      <c r="D101" s="15">
        <v>37.85</v>
      </c>
      <c r="E101" s="15" t="s">
        <v>135</v>
      </c>
      <c r="F101" s="16">
        <v>-2.1499999999999986</v>
      </c>
    </row>
    <row r="102" spans="1:6" x14ac:dyDescent="0.35">
      <c r="A102" s="20" t="s">
        <v>32</v>
      </c>
      <c r="B102" s="21" t="s">
        <v>134</v>
      </c>
      <c r="C102" s="14">
        <v>2000</v>
      </c>
      <c r="D102" s="14">
        <v>90.8</v>
      </c>
      <c r="E102" s="14">
        <v>90.8</v>
      </c>
      <c r="F102" s="16">
        <v>0</v>
      </c>
    </row>
    <row r="103" spans="1:6" x14ac:dyDescent="0.35">
      <c r="A103" s="22" t="s">
        <v>32</v>
      </c>
      <c r="B103" s="23" t="s">
        <v>134</v>
      </c>
      <c r="C103" s="15">
        <v>2001</v>
      </c>
      <c r="D103" s="15">
        <v>90.8</v>
      </c>
      <c r="E103" s="15" t="s">
        <v>135</v>
      </c>
      <c r="F103" s="16">
        <v>0</v>
      </c>
    </row>
    <row r="104" spans="1:6" x14ac:dyDescent="0.35">
      <c r="A104" s="20" t="s">
        <v>32</v>
      </c>
      <c r="B104" s="21" t="s">
        <v>134</v>
      </c>
      <c r="C104" s="14">
        <v>2002</v>
      </c>
      <c r="D104" s="14">
        <v>90.8</v>
      </c>
      <c r="E104" s="14" t="s">
        <v>135</v>
      </c>
      <c r="F104" s="16">
        <v>0</v>
      </c>
    </row>
    <row r="105" spans="1:6" x14ac:dyDescent="0.35">
      <c r="A105" s="22" t="s">
        <v>32</v>
      </c>
      <c r="B105" s="23" t="s">
        <v>134</v>
      </c>
      <c r="C105" s="15">
        <v>2003</v>
      </c>
      <c r="D105" s="15">
        <v>90.8</v>
      </c>
      <c r="E105" s="15" t="s">
        <v>135</v>
      </c>
      <c r="F105" s="16">
        <v>0</v>
      </c>
    </row>
    <row r="106" spans="1:6" x14ac:dyDescent="0.35">
      <c r="A106" s="20" t="s">
        <v>32</v>
      </c>
      <c r="B106" s="21" t="s">
        <v>134</v>
      </c>
      <c r="C106" s="14">
        <v>2004</v>
      </c>
      <c r="D106" s="14">
        <v>90.8</v>
      </c>
      <c r="E106" s="14" t="s">
        <v>135</v>
      </c>
      <c r="F106" s="16">
        <v>0</v>
      </c>
    </row>
    <row r="107" spans="1:6" x14ac:dyDescent="0.35">
      <c r="A107" s="22" t="s">
        <v>32</v>
      </c>
      <c r="B107" s="23" t="s">
        <v>134</v>
      </c>
      <c r="C107" s="15">
        <v>2005</v>
      </c>
      <c r="D107" s="15">
        <v>90.8</v>
      </c>
      <c r="E107" s="15" t="s">
        <v>135</v>
      </c>
      <c r="F107" s="16">
        <v>0</v>
      </c>
    </row>
    <row r="108" spans="1:6" x14ac:dyDescent="0.35">
      <c r="A108" s="20" t="s">
        <v>32</v>
      </c>
      <c r="B108" s="21" t="s">
        <v>134</v>
      </c>
      <c r="C108" s="14">
        <v>2006</v>
      </c>
      <c r="D108" s="14">
        <v>90.8</v>
      </c>
      <c r="E108" s="14" t="s">
        <v>135</v>
      </c>
      <c r="F108" s="16">
        <v>0</v>
      </c>
    </row>
    <row r="109" spans="1:6" x14ac:dyDescent="0.35">
      <c r="A109" s="22" t="s">
        <v>32</v>
      </c>
      <c r="B109" s="23" t="s">
        <v>134</v>
      </c>
      <c r="C109" s="15">
        <v>2007</v>
      </c>
      <c r="D109" s="15">
        <v>90.8</v>
      </c>
      <c r="E109" s="15" t="s">
        <v>135</v>
      </c>
      <c r="F109" s="16">
        <v>0</v>
      </c>
    </row>
    <row r="110" spans="1:6" x14ac:dyDescent="0.35">
      <c r="A110" s="20" t="s">
        <v>32</v>
      </c>
      <c r="B110" s="21" t="s">
        <v>134</v>
      </c>
      <c r="C110" s="14">
        <v>2008</v>
      </c>
      <c r="D110" s="14">
        <v>90.8</v>
      </c>
      <c r="E110" s="14" t="s">
        <v>135</v>
      </c>
      <c r="F110" s="16">
        <v>0</v>
      </c>
    </row>
    <row r="111" spans="1:6" x14ac:dyDescent="0.35">
      <c r="A111" s="22" t="s">
        <v>32</v>
      </c>
      <c r="B111" s="23" t="s">
        <v>134</v>
      </c>
      <c r="C111" s="15">
        <v>2009</v>
      </c>
      <c r="D111" s="15">
        <v>90.8</v>
      </c>
      <c r="E111" s="15" t="s">
        <v>135</v>
      </c>
      <c r="F111" s="16">
        <v>0</v>
      </c>
    </row>
    <row r="112" spans="1:6" x14ac:dyDescent="0.35">
      <c r="A112" s="20" t="s">
        <v>32</v>
      </c>
      <c r="B112" s="21" t="s">
        <v>134</v>
      </c>
      <c r="C112" s="14">
        <v>2010</v>
      </c>
      <c r="D112" s="14">
        <v>90.8</v>
      </c>
      <c r="E112" s="14" t="s">
        <v>135</v>
      </c>
      <c r="F112" s="16">
        <v>0</v>
      </c>
    </row>
    <row r="113" spans="1:6" x14ac:dyDescent="0.35">
      <c r="A113" s="22" t="s">
        <v>32</v>
      </c>
      <c r="B113" s="23" t="s">
        <v>134</v>
      </c>
      <c r="C113" s="15">
        <v>2011</v>
      </c>
      <c r="D113" s="15">
        <v>77.94</v>
      </c>
      <c r="E113" s="15" t="s">
        <v>135</v>
      </c>
      <c r="F113" s="16">
        <v>-12.86</v>
      </c>
    </row>
    <row r="114" spans="1:6" x14ac:dyDescent="0.35">
      <c r="A114" s="20" t="s">
        <v>32</v>
      </c>
      <c r="B114" s="21" t="s">
        <v>134</v>
      </c>
      <c r="C114" s="14">
        <v>2012</v>
      </c>
      <c r="D114" s="14">
        <v>78.06</v>
      </c>
      <c r="E114" s="14" t="s">
        <v>135</v>
      </c>
      <c r="F114" s="16">
        <v>-12.739999999999995</v>
      </c>
    </row>
    <row r="115" spans="1:6" x14ac:dyDescent="0.35">
      <c r="A115" s="22" t="s">
        <v>32</v>
      </c>
      <c r="B115" s="23" t="s">
        <v>134</v>
      </c>
      <c r="C115" s="15">
        <v>2013</v>
      </c>
      <c r="D115" s="15">
        <v>72.91</v>
      </c>
      <c r="E115" s="15" t="s">
        <v>135</v>
      </c>
      <c r="F115" s="16">
        <v>-17.89</v>
      </c>
    </row>
    <row r="116" spans="1:6" x14ac:dyDescent="0.35">
      <c r="A116" s="20" t="s">
        <v>32</v>
      </c>
      <c r="B116" s="21" t="s">
        <v>134</v>
      </c>
      <c r="C116" s="14">
        <v>2014</v>
      </c>
      <c r="D116" s="14">
        <v>72.91</v>
      </c>
      <c r="E116" s="14" t="s">
        <v>135</v>
      </c>
      <c r="F116" s="16">
        <v>-17.89</v>
      </c>
    </row>
    <row r="117" spans="1:6" x14ac:dyDescent="0.35">
      <c r="A117" s="22" t="s">
        <v>32</v>
      </c>
      <c r="B117" s="23" t="s">
        <v>134</v>
      </c>
      <c r="C117" s="15">
        <v>2015</v>
      </c>
      <c r="D117" s="15">
        <v>73.02</v>
      </c>
      <c r="E117" s="15" t="s">
        <v>135</v>
      </c>
      <c r="F117" s="16">
        <v>-17.78</v>
      </c>
    </row>
    <row r="118" spans="1:6" x14ac:dyDescent="0.35">
      <c r="A118" s="20" t="s">
        <v>32</v>
      </c>
      <c r="B118" s="21" t="s">
        <v>134</v>
      </c>
      <c r="C118" s="14">
        <v>2016</v>
      </c>
      <c r="D118" s="14">
        <v>73.3</v>
      </c>
      <c r="E118" s="14" t="s">
        <v>135</v>
      </c>
      <c r="F118" s="16">
        <v>-17.5</v>
      </c>
    </row>
    <row r="119" spans="1:6" x14ac:dyDescent="0.35">
      <c r="A119" s="22" t="s">
        <v>32</v>
      </c>
      <c r="B119" s="23" t="s">
        <v>134</v>
      </c>
      <c r="C119" s="15">
        <v>2017</v>
      </c>
      <c r="D119" s="15">
        <v>51.74</v>
      </c>
      <c r="E119" s="15" t="s">
        <v>135</v>
      </c>
      <c r="F119" s="16">
        <v>-39.059999999999995</v>
      </c>
    </row>
    <row r="120" spans="1:6" x14ac:dyDescent="0.35">
      <c r="A120" s="20" t="s">
        <v>32</v>
      </c>
      <c r="B120" s="21" t="s">
        <v>134</v>
      </c>
      <c r="C120" s="14">
        <v>2018</v>
      </c>
      <c r="D120" s="14">
        <v>51.75</v>
      </c>
      <c r="E120" s="14" t="s">
        <v>135</v>
      </c>
      <c r="F120" s="16">
        <v>-39.049999999999997</v>
      </c>
    </row>
    <row r="121" spans="1:6" x14ac:dyDescent="0.35">
      <c r="A121" s="22" t="s">
        <v>32</v>
      </c>
      <c r="B121" s="23" t="s">
        <v>134</v>
      </c>
      <c r="C121" s="15">
        <v>2019</v>
      </c>
      <c r="D121" s="15">
        <v>51.77</v>
      </c>
      <c r="E121" s="15" t="s">
        <v>135</v>
      </c>
      <c r="F121" s="16">
        <v>-39.029999999999994</v>
      </c>
    </row>
    <row r="122" spans="1:6" x14ac:dyDescent="0.35">
      <c r="A122" s="20" t="s">
        <v>32</v>
      </c>
      <c r="B122" s="21" t="s">
        <v>134</v>
      </c>
      <c r="C122" s="14">
        <v>2020</v>
      </c>
      <c r="D122" s="14">
        <v>51.83</v>
      </c>
      <c r="E122" s="14" t="s">
        <v>135</v>
      </c>
      <c r="F122" s="16">
        <v>-38.97</v>
      </c>
    </row>
    <row r="123" spans="1:6" x14ac:dyDescent="0.35">
      <c r="A123" s="22" t="s">
        <v>32</v>
      </c>
      <c r="B123" s="23" t="s">
        <v>134</v>
      </c>
      <c r="C123" s="15">
        <v>2021</v>
      </c>
      <c r="D123" s="15">
        <v>54.83</v>
      </c>
      <c r="E123" s="15" t="s">
        <v>135</v>
      </c>
      <c r="F123" s="16">
        <v>-35.97</v>
      </c>
    </row>
    <row r="124" spans="1:6" x14ac:dyDescent="0.35">
      <c r="A124" s="20" t="s">
        <v>32</v>
      </c>
      <c r="B124" s="21" t="s">
        <v>134</v>
      </c>
      <c r="C124" s="14">
        <v>2022</v>
      </c>
      <c r="D124" s="14">
        <v>60.13</v>
      </c>
      <c r="E124" s="14" t="s">
        <v>135</v>
      </c>
      <c r="F124" s="16">
        <v>-30.669999999999995</v>
      </c>
    </row>
    <row r="125" spans="1:6" x14ac:dyDescent="0.35">
      <c r="A125" s="22" t="s">
        <v>32</v>
      </c>
      <c r="B125" s="23" t="s">
        <v>134</v>
      </c>
      <c r="C125" s="15">
        <v>2023</v>
      </c>
      <c r="D125" s="15">
        <v>60.33</v>
      </c>
      <c r="E125" s="15" t="s">
        <v>135</v>
      </c>
      <c r="F125" s="16">
        <v>-30.47</v>
      </c>
    </row>
    <row r="126" spans="1:6" x14ac:dyDescent="0.35">
      <c r="A126" s="20" t="s">
        <v>32</v>
      </c>
      <c r="B126" s="21" t="s">
        <v>134</v>
      </c>
      <c r="C126" s="14">
        <v>2024</v>
      </c>
      <c r="D126" s="14">
        <v>60.33</v>
      </c>
      <c r="E126" s="14" t="s">
        <v>135</v>
      </c>
      <c r="F126" s="16">
        <v>-30.47</v>
      </c>
    </row>
    <row r="127" spans="1:6" x14ac:dyDescent="0.35">
      <c r="A127" s="22" t="s">
        <v>44</v>
      </c>
      <c r="B127" s="23" t="s">
        <v>134</v>
      </c>
      <c r="C127" s="15">
        <v>2000</v>
      </c>
      <c r="D127" s="15">
        <v>87.59</v>
      </c>
      <c r="E127" s="15">
        <v>87.59</v>
      </c>
      <c r="F127" s="16">
        <v>0</v>
      </c>
    </row>
    <row r="128" spans="1:6" x14ac:dyDescent="0.35">
      <c r="A128" s="20" t="s">
        <v>44</v>
      </c>
      <c r="B128" s="21" t="s">
        <v>134</v>
      </c>
      <c r="C128" s="14">
        <v>2001</v>
      </c>
      <c r="D128" s="14">
        <v>87.69</v>
      </c>
      <c r="E128" s="14" t="s">
        <v>135</v>
      </c>
      <c r="F128" s="16">
        <v>9.9999999999994316E-2</v>
      </c>
    </row>
    <row r="129" spans="1:6" x14ac:dyDescent="0.35">
      <c r="A129" s="22" t="s">
        <v>44</v>
      </c>
      <c r="B129" s="23" t="s">
        <v>134</v>
      </c>
      <c r="C129" s="15">
        <v>2002</v>
      </c>
      <c r="D129" s="15">
        <v>80.569999999999993</v>
      </c>
      <c r="E129" s="15" t="s">
        <v>135</v>
      </c>
      <c r="F129" s="16">
        <v>-7.0200000000000102</v>
      </c>
    </row>
    <row r="130" spans="1:6" x14ac:dyDescent="0.35">
      <c r="A130" s="20" t="s">
        <v>44</v>
      </c>
      <c r="B130" s="21" t="s">
        <v>134</v>
      </c>
      <c r="C130" s="14">
        <v>2003</v>
      </c>
      <c r="D130" s="14">
        <v>80.47</v>
      </c>
      <c r="E130" s="14" t="s">
        <v>135</v>
      </c>
      <c r="F130" s="16">
        <v>-7.1200000000000045</v>
      </c>
    </row>
    <row r="131" spans="1:6" x14ac:dyDescent="0.35">
      <c r="A131" s="22" t="s">
        <v>44</v>
      </c>
      <c r="B131" s="23" t="s">
        <v>134</v>
      </c>
      <c r="C131" s="15">
        <v>2004</v>
      </c>
      <c r="D131" s="15">
        <v>79.58</v>
      </c>
      <c r="E131" s="15" t="s">
        <v>135</v>
      </c>
      <c r="F131" s="16">
        <v>-8.0100000000000051</v>
      </c>
    </row>
    <row r="132" spans="1:6" x14ac:dyDescent="0.35">
      <c r="A132" s="20" t="s">
        <v>44</v>
      </c>
      <c r="B132" s="21" t="s">
        <v>134</v>
      </c>
      <c r="C132" s="14">
        <v>2005</v>
      </c>
      <c r="D132" s="14">
        <v>79.14</v>
      </c>
      <c r="E132" s="14" t="s">
        <v>135</v>
      </c>
      <c r="F132" s="16">
        <v>-8.4500000000000028</v>
      </c>
    </row>
    <row r="133" spans="1:6" x14ac:dyDescent="0.35">
      <c r="A133" s="22" t="s">
        <v>44</v>
      </c>
      <c r="B133" s="23" t="s">
        <v>134</v>
      </c>
      <c r="C133" s="15">
        <v>2006</v>
      </c>
      <c r="D133" s="15">
        <v>77.02</v>
      </c>
      <c r="E133" s="15" t="s">
        <v>135</v>
      </c>
      <c r="F133" s="16">
        <v>-10.570000000000007</v>
      </c>
    </row>
    <row r="134" spans="1:6" x14ac:dyDescent="0.35">
      <c r="A134" s="20" t="s">
        <v>44</v>
      </c>
      <c r="B134" s="21" t="s">
        <v>134</v>
      </c>
      <c r="C134" s="14">
        <v>2007</v>
      </c>
      <c r="D134" s="14">
        <v>75.41</v>
      </c>
      <c r="E134" s="14" t="s">
        <v>135</v>
      </c>
      <c r="F134" s="16">
        <v>-12.180000000000007</v>
      </c>
    </row>
    <row r="135" spans="1:6" x14ac:dyDescent="0.35">
      <c r="A135" s="22" t="s">
        <v>44</v>
      </c>
      <c r="B135" s="23" t="s">
        <v>134</v>
      </c>
      <c r="C135" s="15">
        <v>2008</v>
      </c>
      <c r="D135" s="15">
        <v>74.209999999999994</v>
      </c>
      <c r="E135" s="15" t="s">
        <v>135</v>
      </c>
      <c r="F135" s="16">
        <v>-13.38000000000001</v>
      </c>
    </row>
    <row r="136" spans="1:6" x14ac:dyDescent="0.35">
      <c r="A136" s="20" t="s">
        <v>44</v>
      </c>
      <c r="B136" s="21" t="s">
        <v>134</v>
      </c>
      <c r="C136" s="14">
        <v>2009</v>
      </c>
      <c r="D136" s="14">
        <v>68.209999999999994</v>
      </c>
      <c r="E136" s="14" t="s">
        <v>135</v>
      </c>
      <c r="F136" s="16">
        <v>-19.38000000000001</v>
      </c>
    </row>
    <row r="137" spans="1:6" x14ac:dyDescent="0.35">
      <c r="A137" s="22" t="s">
        <v>44</v>
      </c>
      <c r="B137" s="23" t="s">
        <v>134</v>
      </c>
      <c r="C137" s="15">
        <v>2010</v>
      </c>
      <c r="D137" s="15">
        <v>69.58</v>
      </c>
      <c r="E137" s="15" t="s">
        <v>135</v>
      </c>
      <c r="F137" s="16">
        <v>-18.010000000000005</v>
      </c>
    </row>
    <row r="138" spans="1:6" x14ac:dyDescent="0.35">
      <c r="A138" s="20" t="s">
        <v>44</v>
      </c>
      <c r="B138" s="21" t="s">
        <v>134</v>
      </c>
      <c r="C138" s="14">
        <v>2011</v>
      </c>
      <c r="D138" s="14">
        <v>70.8</v>
      </c>
      <c r="E138" s="14" t="s">
        <v>135</v>
      </c>
      <c r="F138" s="16">
        <v>-16.790000000000006</v>
      </c>
    </row>
    <row r="139" spans="1:6" x14ac:dyDescent="0.35">
      <c r="A139" s="22" t="s">
        <v>44</v>
      </c>
      <c r="B139" s="23" t="s">
        <v>134</v>
      </c>
      <c r="C139" s="15">
        <v>2012</v>
      </c>
      <c r="D139" s="15">
        <v>64.53</v>
      </c>
      <c r="E139" s="15" t="s">
        <v>135</v>
      </c>
      <c r="F139" s="16">
        <v>-23.060000000000002</v>
      </c>
    </row>
    <row r="140" spans="1:6" x14ac:dyDescent="0.35">
      <c r="A140" s="20" t="s">
        <v>44</v>
      </c>
      <c r="B140" s="21" t="s">
        <v>134</v>
      </c>
      <c r="C140" s="14">
        <v>2013</v>
      </c>
      <c r="D140" s="14">
        <v>56.2</v>
      </c>
      <c r="E140" s="14" t="s">
        <v>135</v>
      </c>
      <c r="F140" s="16">
        <v>-31.39</v>
      </c>
    </row>
    <row r="141" spans="1:6" x14ac:dyDescent="0.35">
      <c r="A141" s="22" t="s">
        <v>44</v>
      </c>
      <c r="B141" s="23" t="s">
        <v>134</v>
      </c>
      <c r="C141" s="15">
        <v>2014</v>
      </c>
      <c r="D141" s="15">
        <v>56.2</v>
      </c>
      <c r="E141" s="15" t="s">
        <v>135</v>
      </c>
      <c r="F141" s="16">
        <v>-31.39</v>
      </c>
    </row>
    <row r="142" spans="1:6" x14ac:dyDescent="0.35">
      <c r="A142" s="20" t="s">
        <v>44</v>
      </c>
      <c r="B142" s="21" t="s">
        <v>134</v>
      </c>
      <c r="C142" s="14">
        <v>2015</v>
      </c>
      <c r="D142" s="14">
        <v>53.94</v>
      </c>
      <c r="E142" s="14" t="s">
        <v>135</v>
      </c>
      <c r="F142" s="16">
        <v>-33.650000000000006</v>
      </c>
    </row>
    <row r="143" spans="1:6" x14ac:dyDescent="0.35">
      <c r="A143" s="22" t="s">
        <v>44</v>
      </c>
      <c r="B143" s="23" t="s">
        <v>134</v>
      </c>
      <c r="C143" s="15">
        <v>2016</v>
      </c>
      <c r="D143" s="15">
        <v>53.94</v>
      </c>
      <c r="E143" s="15" t="s">
        <v>135</v>
      </c>
      <c r="F143" s="16">
        <v>-33.650000000000006</v>
      </c>
    </row>
    <row r="144" spans="1:6" x14ac:dyDescent="0.35">
      <c r="A144" s="20" t="s">
        <v>44</v>
      </c>
      <c r="B144" s="21" t="s">
        <v>134</v>
      </c>
      <c r="C144" s="14">
        <v>2017</v>
      </c>
      <c r="D144" s="14">
        <v>51.69</v>
      </c>
      <c r="E144" s="14" t="s">
        <v>135</v>
      </c>
      <c r="F144" s="16">
        <v>-35.900000000000006</v>
      </c>
    </row>
    <row r="145" spans="1:6" x14ac:dyDescent="0.35">
      <c r="A145" s="22" t="s">
        <v>44</v>
      </c>
      <c r="B145" s="23" t="s">
        <v>134</v>
      </c>
      <c r="C145" s="15">
        <v>2018</v>
      </c>
      <c r="D145" s="15">
        <v>51.48</v>
      </c>
      <c r="E145" s="15" t="s">
        <v>135</v>
      </c>
      <c r="F145" s="16">
        <v>-36.110000000000007</v>
      </c>
    </row>
    <row r="146" spans="1:6" x14ac:dyDescent="0.35">
      <c r="A146" s="20" t="s">
        <v>44</v>
      </c>
      <c r="B146" s="21" t="s">
        <v>134</v>
      </c>
      <c r="C146" s="14">
        <v>2019</v>
      </c>
      <c r="D146" s="14">
        <v>54.06</v>
      </c>
      <c r="E146" s="14" t="s">
        <v>135</v>
      </c>
      <c r="F146" s="16">
        <v>-33.53</v>
      </c>
    </row>
    <row r="147" spans="1:6" x14ac:dyDescent="0.35">
      <c r="A147" s="22" t="s">
        <v>44</v>
      </c>
      <c r="B147" s="23" t="s">
        <v>134</v>
      </c>
      <c r="C147" s="15">
        <v>2020</v>
      </c>
      <c r="D147" s="15">
        <v>54.09</v>
      </c>
      <c r="E147" s="15" t="s">
        <v>135</v>
      </c>
      <c r="F147" s="16">
        <v>-33.5</v>
      </c>
    </row>
    <row r="148" spans="1:6" x14ac:dyDescent="0.35">
      <c r="A148" s="20" t="s">
        <v>44</v>
      </c>
      <c r="B148" s="21" t="s">
        <v>134</v>
      </c>
      <c r="C148" s="14">
        <v>2021</v>
      </c>
      <c r="D148" s="14">
        <v>54.42</v>
      </c>
      <c r="E148" s="14" t="s">
        <v>135</v>
      </c>
      <c r="F148" s="16">
        <v>-33.17</v>
      </c>
    </row>
    <row r="149" spans="1:6" x14ac:dyDescent="0.35">
      <c r="A149" s="22" t="s">
        <v>44</v>
      </c>
      <c r="B149" s="23" t="s">
        <v>134</v>
      </c>
      <c r="C149" s="15">
        <v>2022</v>
      </c>
      <c r="D149" s="15">
        <v>54.46</v>
      </c>
      <c r="E149" s="15" t="s">
        <v>135</v>
      </c>
      <c r="F149" s="16">
        <v>-33.130000000000003</v>
      </c>
    </row>
    <row r="150" spans="1:6" x14ac:dyDescent="0.35">
      <c r="A150" s="20" t="s">
        <v>44</v>
      </c>
      <c r="B150" s="21" t="s">
        <v>134</v>
      </c>
      <c r="C150" s="14">
        <v>2023</v>
      </c>
      <c r="D150" s="14">
        <v>55.51</v>
      </c>
      <c r="E150" s="14" t="s">
        <v>135</v>
      </c>
      <c r="F150" s="16">
        <v>-32.080000000000005</v>
      </c>
    </row>
    <row r="151" spans="1:6" x14ac:dyDescent="0.35">
      <c r="A151" s="22" t="s">
        <v>44</v>
      </c>
      <c r="B151" s="23" t="s">
        <v>134</v>
      </c>
      <c r="C151" s="15">
        <v>2024</v>
      </c>
      <c r="D151" s="15">
        <v>55.51</v>
      </c>
      <c r="E151" s="15" t="s">
        <v>135</v>
      </c>
      <c r="F151" s="16">
        <v>-32.080000000000005</v>
      </c>
    </row>
    <row r="152" spans="1:6" x14ac:dyDescent="0.35">
      <c r="A152" s="20" t="s">
        <v>114</v>
      </c>
      <c r="B152" s="21" t="s">
        <v>134</v>
      </c>
      <c r="C152" s="14">
        <v>2000</v>
      </c>
      <c r="D152" s="14">
        <v>6.45</v>
      </c>
      <c r="E152" s="14">
        <v>6.45</v>
      </c>
      <c r="F152" s="16">
        <v>0</v>
      </c>
    </row>
    <row r="153" spans="1:6" x14ac:dyDescent="0.35">
      <c r="A153" s="22" t="s">
        <v>114</v>
      </c>
      <c r="B153" s="23" t="s">
        <v>134</v>
      </c>
      <c r="C153" s="15">
        <v>2001</v>
      </c>
      <c r="D153" s="15">
        <v>6.45</v>
      </c>
      <c r="E153" s="15" t="s">
        <v>135</v>
      </c>
      <c r="F153" s="16">
        <v>0</v>
      </c>
    </row>
    <row r="154" spans="1:6" x14ac:dyDescent="0.35">
      <c r="A154" s="20" t="s">
        <v>114</v>
      </c>
      <c r="B154" s="21" t="s">
        <v>134</v>
      </c>
      <c r="C154" s="14">
        <v>2002</v>
      </c>
      <c r="D154" s="14">
        <v>6.45</v>
      </c>
      <c r="E154" s="14" t="s">
        <v>135</v>
      </c>
      <c r="F154" s="16">
        <v>0</v>
      </c>
    </row>
    <row r="155" spans="1:6" x14ac:dyDescent="0.35">
      <c r="A155" s="22" t="s">
        <v>114</v>
      </c>
      <c r="B155" s="23" t="s">
        <v>134</v>
      </c>
      <c r="C155" s="15">
        <v>2003</v>
      </c>
      <c r="D155" s="15">
        <v>1.31</v>
      </c>
      <c r="E155" s="15" t="s">
        <v>135</v>
      </c>
      <c r="F155" s="16">
        <v>-5.1400000000000006</v>
      </c>
    </row>
    <row r="156" spans="1:6" x14ac:dyDescent="0.35">
      <c r="A156" s="20" t="s">
        <v>114</v>
      </c>
      <c r="B156" s="21" t="s">
        <v>134</v>
      </c>
      <c r="C156" s="14">
        <v>2004</v>
      </c>
      <c r="D156" s="14">
        <v>1.29</v>
      </c>
      <c r="E156" s="14" t="s">
        <v>135</v>
      </c>
      <c r="F156" s="16">
        <v>-5.16</v>
      </c>
    </row>
    <row r="157" spans="1:6" x14ac:dyDescent="0.35">
      <c r="A157" s="22" t="s">
        <v>114</v>
      </c>
      <c r="B157" s="23" t="s">
        <v>134</v>
      </c>
      <c r="C157" s="15">
        <v>2005</v>
      </c>
      <c r="D157" s="15">
        <v>1.27</v>
      </c>
      <c r="E157" s="15" t="s">
        <v>135</v>
      </c>
      <c r="F157" s="16">
        <v>-5.18</v>
      </c>
    </row>
    <row r="158" spans="1:6" x14ac:dyDescent="0.35">
      <c r="A158" s="20" t="s">
        <v>114</v>
      </c>
      <c r="B158" s="21" t="s">
        <v>134</v>
      </c>
      <c r="C158" s="14">
        <v>2006</v>
      </c>
      <c r="D158" s="14">
        <v>1.27</v>
      </c>
      <c r="E158" s="14" t="s">
        <v>135</v>
      </c>
      <c r="F158" s="16">
        <v>-5.18</v>
      </c>
    </row>
    <row r="159" spans="1:6" x14ac:dyDescent="0.35">
      <c r="A159" s="22" t="s">
        <v>114</v>
      </c>
      <c r="B159" s="23" t="s">
        <v>134</v>
      </c>
      <c r="C159" s="15">
        <v>2007</v>
      </c>
      <c r="D159" s="15">
        <v>1.1200000000000001</v>
      </c>
      <c r="E159" s="15" t="s">
        <v>135</v>
      </c>
      <c r="F159" s="16">
        <v>-5.33</v>
      </c>
    </row>
    <row r="160" spans="1:6" x14ac:dyDescent="0.35">
      <c r="A160" s="20" t="s">
        <v>114</v>
      </c>
      <c r="B160" s="21" t="s">
        <v>134</v>
      </c>
      <c r="C160" s="14">
        <v>2008</v>
      </c>
      <c r="D160" s="14">
        <v>1.1200000000000001</v>
      </c>
      <c r="E160" s="14" t="s">
        <v>135</v>
      </c>
      <c r="F160" s="16">
        <v>-5.33</v>
      </c>
    </row>
    <row r="161" spans="1:6" x14ac:dyDescent="0.35">
      <c r="A161" s="22" t="s">
        <v>114</v>
      </c>
      <c r="B161" s="23" t="s">
        <v>134</v>
      </c>
      <c r="C161" s="15">
        <v>2009</v>
      </c>
      <c r="D161" s="15">
        <v>1.1200000000000001</v>
      </c>
      <c r="E161" s="15" t="s">
        <v>135</v>
      </c>
      <c r="F161" s="16">
        <v>-5.33</v>
      </c>
    </row>
    <row r="162" spans="1:6" x14ac:dyDescent="0.35">
      <c r="A162" s="20" t="s">
        <v>114</v>
      </c>
      <c r="B162" s="21" t="s">
        <v>134</v>
      </c>
      <c r="C162" s="14">
        <v>2010</v>
      </c>
      <c r="D162" s="14">
        <v>1.1200000000000001</v>
      </c>
      <c r="E162" s="14" t="s">
        <v>135</v>
      </c>
      <c r="F162" s="16">
        <v>-5.33</v>
      </c>
    </row>
    <row r="163" spans="1:6" x14ac:dyDescent="0.35">
      <c r="A163" s="22" t="s">
        <v>114</v>
      </c>
      <c r="B163" s="23" t="s">
        <v>134</v>
      </c>
      <c r="C163" s="15">
        <v>2011</v>
      </c>
      <c r="D163" s="15">
        <v>1.1200000000000001</v>
      </c>
      <c r="E163" s="15" t="s">
        <v>135</v>
      </c>
      <c r="F163" s="16">
        <v>-5.33</v>
      </c>
    </row>
    <row r="164" spans="1:6" x14ac:dyDescent="0.35">
      <c r="A164" s="20" t="s">
        <v>114</v>
      </c>
      <c r="B164" s="21" t="s">
        <v>134</v>
      </c>
      <c r="C164" s="14">
        <v>2012</v>
      </c>
      <c r="D164" s="14">
        <v>0.71</v>
      </c>
      <c r="E164" s="14" t="s">
        <v>135</v>
      </c>
      <c r="F164" s="16">
        <v>-5.74</v>
      </c>
    </row>
    <row r="165" spans="1:6" x14ac:dyDescent="0.35">
      <c r="A165" s="22" t="s">
        <v>114</v>
      </c>
      <c r="B165" s="23" t="s">
        <v>134</v>
      </c>
      <c r="C165" s="15">
        <v>2013</v>
      </c>
      <c r="D165" s="15">
        <v>0.72</v>
      </c>
      <c r="E165" s="15" t="s">
        <v>135</v>
      </c>
      <c r="F165" s="16">
        <v>-5.73</v>
      </c>
    </row>
    <row r="166" spans="1:6" x14ac:dyDescent="0.35">
      <c r="A166" s="20" t="s">
        <v>114</v>
      </c>
      <c r="B166" s="21" t="s">
        <v>134</v>
      </c>
      <c r="C166" s="14">
        <v>2014</v>
      </c>
      <c r="D166" s="14">
        <v>0.72</v>
      </c>
      <c r="E166" s="14" t="s">
        <v>135</v>
      </c>
      <c r="F166" s="16">
        <v>-5.73</v>
      </c>
    </row>
    <row r="167" spans="1:6" x14ac:dyDescent="0.35">
      <c r="A167" s="22" t="s">
        <v>114</v>
      </c>
      <c r="B167" s="23" t="s">
        <v>134</v>
      </c>
      <c r="C167" s="15">
        <v>2015</v>
      </c>
      <c r="D167" s="15">
        <v>0.76</v>
      </c>
      <c r="E167" s="15" t="s">
        <v>135</v>
      </c>
      <c r="F167" s="16">
        <v>-5.69</v>
      </c>
    </row>
    <row r="168" spans="1:6" x14ac:dyDescent="0.35">
      <c r="A168" s="20" t="s">
        <v>114</v>
      </c>
      <c r="B168" s="21" t="s">
        <v>134</v>
      </c>
      <c r="C168" s="14">
        <v>2016</v>
      </c>
      <c r="D168" s="14">
        <v>1.1499999999999999</v>
      </c>
      <c r="E168" s="14" t="s">
        <v>135</v>
      </c>
      <c r="F168" s="16">
        <v>-5.3000000000000007</v>
      </c>
    </row>
    <row r="169" spans="1:6" x14ac:dyDescent="0.35">
      <c r="A169" s="22" t="s">
        <v>114</v>
      </c>
      <c r="B169" s="23" t="s">
        <v>134</v>
      </c>
      <c r="C169" s="15">
        <v>2017</v>
      </c>
      <c r="D169" s="15">
        <v>1.1499999999999999</v>
      </c>
      <c r="E169" s="15" t="s">
        <v>135</v>
      </c>
      <c r="F169" s="16">
        <v>-5.3000000000000007</v>
      </c>
    </row>
    <row r="170" spans="1:6" x14ac:dyDescent="0.35">
      <c r="A170" s="20" t="s">
        <v>114</v>
      </c>
      <c r="B170" s="21" t="s">
        <v>134</v>
      </c>
      <c r="C170" s="14">
        <v>2018</v>
      </c>
      <c r="D170" s="14">
        <v>1.28</v>
      </c>
      <c r="E170" s="14" t="s">
        <v>135</v>
      </c>
      <c r="F170" s="16">
        <v>-5.17</v>
      </c>
    </row>
    <row r="171" spans="1:6" x14ac:dyDescent="0.35">
      <c r="A171" s="22" t="s">
        <v>114</v>
      </c>
      <c r="B171" s="23" t="s">
        <v>134</v>
      </c>
      <c r="C171" s="15">
        <v>2019</v>
      </c>
      <c r="D171" s="15">
        <v>1.28</v>
      </c>
      <c r="E171" s="15" t="s">
        <v>135</v>
      </c>
      <c r="F171" s="16">
        <v>-5.17</v>
      </c>
    </row>
    <row r="172" spans="1:6" x14ac:dyDescent="0.35">
      <c r="A172" s="20" t="s">
        <v>114</v>
      </c>
      <c r="B172" s="21" t="s">
        <v>134</v>
      </c>
      <c r="C172" s="14">
        <v>2020</v>
      </c>
      <c r="D172" s="14">
        <v>1.47</v>
      </c>
      <c r="E172" s="14" t="s">
        <v>135</v>
      </c>
      <c r="F172" s="16">
        <v>-4.9800000000000004</v>
      </c>
    </row>
    <row r="173" spans="1:6" x14ac:dyDescent="0.35">
      <c r="A173" s="22" t="s">
        <v>114</v>
      </c>
      <c r="B173" s="23" t="s">
        <v>134</v>
      </c>
      <c r="C173" s="15">
        <v>2021</v>
      </c>
      <c r="D173" s="15">
        <v>1.64</v>
      </c>
      <c r="E173" s="15" t="s">
        <v>135</v>
      </c>
      <c r="F173" s="16">
        <v>-4.8100000000000005</v>
      </c>
    </row>
    <row r="174" spans="1:6" x14ac:dyDescent="0.35">
      <c r="A174" s="20" t="s">
        <v>114</v>
      </c>
      <c r="B174" s="21" t="s">
        <v>134</v>
      </c>
      <c r="C174" s="14">
        <v>2022</v>
      </c>
      <c r="D174" s="14">
        <v>1.65</v>
      </c>
      <c r="E174" s="14" t="s">
        <v>135</v>
      </c>
      <c r="F174" s="16">
        <v>-4.8000000000000007</v>
      </c>
    </row>
    <row r="175" spans="1:6" x14ac:dyDescent="0.35">
      <c r="A175" s="22" t="s">
        <v>114</v>
      </c>
      <c r="B175" s="23" t="s">
        <v>134</v>
      </c>
      <c r="C175" s="15">
        <v>2023</v>
      </c>
      <c r="D175" s="15">
        <v>1.66</v>
      </c>
      <c r="E175" s="15" t="s">
        <v>135</v>
      </c>
      <c r="F175" s="16">
        <v>-4.79</v>
      </c>
    </row>
    <row r="176" spans="1:6" x14ac:dyDescent="0.35">
      <c r="A176" s="20" t="s">
        <v>114</v>
      </c>
      <c r="B176" s="21" t="s">
        <v>134</v>
      </c>
      <c r="C176" s="14">
        <v>2024</v>
      </c>
      <c r="D176" s="14">
        <v>1.69</v>
      </c>
      <c r="E176" s="14" t="s">
        <v>135</v>
      </c>
      <c r="F176" s="16">
        <v>-4.76</v>
      </c>
    </row>
    <row r="177" spans="1:6" x14ac:dyDescent="0.35">
      <c r="A177" s="22" t="s">
        <v>138</v>
      </c>
      <c r="B177" s="23" t="s">
        <v>134</v>
      </c>
      <c r="C177" s="15">
        <v>2000</v>
      </c>
      <c r="D177" s="15">
        <v>16.940000000000001</v>
      </c>
      <c r="E177" s="15">
        <v>16.940000000000001</v>
      </c>
      <c r="F177" s="16">
        <v>0</v>
      </c>
    </row>
    <row r="178" spans="1:6" x14ac:dyDescent="0.35">
      <c r="A178" s="20" t="s">
        <v>138</v>
      </c>
      <c r="B178" s="21" t="s">
        <v>134</v>
      </c>
      <c r="C178" s="14">
        <v>2001</v>
      </c>
      <c r="D178" s="14">
        <v>16.940000000000001</v>
      </c>
      <c r="E178" s="14" t="s">
        <v>135</v>
      </c>
      <c r="F178" s="16">
        <v>0</v>
      </c>
    </row>
    <row r="179" spans="1:6" x14ac:dyDescent="0.35">
      <c r="A179" s="22" t="s">
        <v>138</v>
      </c>
      <c r="B179" s="23" t="s">
        <v>134</v>
      </c>
      <c r="C179" s="15">
        <v>2002</v>
      </c>
      <c r="D179" s="15">
        <v>17.11</v>
      </c>
      <c r="E179" s="15" t="s">
        <v>135</v>
      </c>
      <c r="F179" s="16">
        <v>0.16999999999999815</v>
      </c>
    </row>
    <row r="180" spans="1:6" x14ac:dyDescent="0.35">
      <c r="A180" s="20" t="s">
        <v>138</v>
      </c>
      <c r="B180" s="21" t="s">
        <v>134</v>
      </c>
      <c r="C180" s="14">
        <v>2003</v>
      </c>
      <c r="D180" s="14">
        <v>15.54</v>
      </c>
      <c r="E180" s="14" t="s">
        <v>135</v>
      </c>
      <c r="F180" s="16">
        <v>-1.4000000000000021</v>
      </c>
    </row>
    <row r="181" spans="1:6" x14ac:dyDescent="0.35">
      <c r="A181" s="22" t="s">
        <v>138</v>
      </c>
      <c r="B181" s="23" t="s">
        <v>134</v>
      </c>
      <c r="C181" s="15">
        <v>2004</v>
      </c>
      <c r="D181" s="15">
        <v>15.38</v>
      </c>
      <c r="E181" s="15" t="s">
        <v>135</v>
      </c>
      <c r="F181" s="16">
        <v>-1.5600000000000005</v>
      </c>
    </row>
    <row r="182" spans="1:6" x14ac:dyDescent="0.35">
      <c r="A182" s="20" t="s">
        <v>138</v>
      </c>
      <c r="B182" s="21" t="s">
        <v>134</v>
      </c>
      <c r="C182" s="14">
        <v>2005</v>
      </c>
      <c r="D182" s="14">
        <v>14.19</v>
      </c>
      <c r="E182" s="14" t="s">
        <v>135</v>
      </c>
      <c r="F182" s="16">
        <v>-2.7500000000000018</v>
      </c>
    </row>
    <row r="183" spans="1:6" x14ac:dyDescent="0.35">
      <c r="A183" s="22" t="s">
        <v>138</v>
      </c>
      <c r="B183" s="23" t="s">
        <v>134</v>
      </c>
      <c r="C183" s="15">
        <v>2006</v>
      </c>
      <c r="D183" s="15">
        <v>13.6</v>
      </c>
      <c r="E183" s="15" t="s">
        <v>135</v>
      </c>
      <c r="F183" s="16">
        <v>-3.3400000000000016</v>
      </c>
    </row>
    <row r="184" spans="1:6" x14ac:dyDescent="0.35">
      <c r="A184" s="20" t="s">
        <v>138</v>
      </c>
      <c r="B184" s="21" t="s">
        <v>134</v>
      </c>
      <c r="C184" s="14">
        <v>2007</v>
      </c>
      <c r="D184" s="14">
        <v>13.61</v>
      </c>
      <c r="E184" s="14" t="s">
        <v>135</v>
      </c>
      <c r="F184" s="16">
        <v>-3.3300000000000018</v>
      </c>
    </row>
    <row r="185" spans="1:6" x14ac:dyDescent="0.35">
      <c r="A185" s="22" t="s">
        <v>138</v>
      </c>
      <c r="B185" s="23" t="s">
        <v>134</v>
      </c>
      <c r="C185" s="15">
        <v>2008</v>
      </c>
      <c r="D185" s="15">
        <v>13.47</v>
      </c>
      <c r="E185" s="15" t="s">
        <v>135</v>
      </c>
      <c r="F185" s="16">
        <v>-3.4700000000000006</v>
      </c>
    </row>
    <row r="186" spans="1:6" x14ac:dyDescent="0.35">
      <c r="A186" s="20" t="s">
        <v>138</v>
      </c>
      <c r="B186" s="21" t="s">
        <v>134</v>
      </c>
      <c r="C186" s="14">
        <v>2009</v>
      </c>
      <c r="D186" s="14">
        <v>13.01</v>
      </c>
      <c r="E186" s="14" t="s">
        <v>135</v>
      </c>
      <c r="F186" s="16">
        <v>-3.9300000000000015</v>
      </c>
    </row>
    <row r="187" spans="1:6" x14ac:dyDescent="0.35">
      <c r="A187" s="22" t="s">
        <v>138</v>
      </c>
      <c r="B187" s="23" t="s">
        <v>134</v>
      </c>
      <c r="C187" s="15">
        <v>2010</v>
      </c>
      <c r="D187" s="15">
        <v>12.42</v>
      </c>
      <c r="E187" s="15" t="s">
        <v>135</v>
      </c>
      <c r="F187" s="16">
        <v>-4.5200000000000014</v>
      </c>
    </row>
    <row r="188" spans="1:6" x14ac:dyDescent="0.35">
      <c r="A188" s="20" t="s">
        <v>138</v>
      </c>
      <c r="B188" s="21" t="s">
        <v>134</v>
      </c>
      <c r="C188" s="14">
        <v>2011</v>
      </c>
      <c r="D188" s="14">
        <v>11.63</v>
      </c>
      <c r="E188" s="14" t="s">
        <v>135</v>
      </c>
      <c r="F188" s="16">
        <v>-5.3100000000000005</v>
      </c>
    </row>
    <row r="189" spans="1:6" x14ac:dyDescent="0.35">
      <c r="A189" s="22" t="s">
        <v>138</v>
      </c>
      <c r="B189" s="23" t="s">
        <v>134</v>
      </c>
      <c r="C189" s="15">
        <v>2012</v>
      </c>
      <c r="D189" s="15">
        <v>10.99</v>
      </c>
      <c r="E189" s="15" t="s">
        <v>135</v>
      </c>
      <c r="F189" s="16">
        <v>-5.9500000000000011</v>
      </c>
    </row>
    <row r="190" spans="1:6" x14ac:dyDescent="0.35">
      <c r="A190" s="20" t="s">
        <v>138</v>
      </c>
      <c r="B190" s="21" t="s">
        <v>134</v>
      </c>
      <c r="C190" s="14">
        <v>2013</v>
      </c>
      <c r="D190" s="14">
        <v>10.58</v>
      </c>
      <c r="E190" s="14" t="s">
        <v>135</v>
      </c>
      <c r="F190" s="16">
        <v>-6.3600000000000012</v>
      </c>
    </row>
    <row r="191" spans="1:6" x14ac:dyDescent="0.35">
      <c r="A191" s="22" t="s">
        <v>138</v>
      </c>
      <c r="B191" s="23" t="s">
        <v>134</v>
      </c>
      <c r="C191" s="15">
        <v>2014</v>
      </c>
      <c r="D191" s="15">
        <v>10.58</v>
      </c>
      <c r="E191" s="15" t="s">
        <v>135</v>
      </c>
      <c r="F191" s="16">
        <v>-6.3600000000000012</v>
      </c>
    </row>
    <row r="192" spans="1:6" x14ac:dyDescent="0.35">
      <c r="A192" s="20" t="s">
        <v>138</v>
      </c>
      <c r="B192" s="21" t="s">
        <v>134</v>
      </c>
      <c r="C192" s="14">
        <v>2015</v>
      </c>
      <c r="D192" s="14">
        <v>10.36</v>
      </c>
      <c r="E192" s="14" t="s">
        <v>135</v>
      </c>
      <c r="F192" s="16">
        <v>-6.5800000000000018</v>
      </c>
    </row>
    <row r="193" spans="1:6" x14ac:dyDescent="0.35">
      <c r="A193" s="22" t="s">
        <v>138</v>
      </c>
      <c r="B193" s="23" t="s">
        <v>134</v>
      </c>
      <c r="C193" s="15">
        <v>2016</v>
      </c>
      <c r="D193" s="15">
        <v>9.4499999999999993</v>
      </c>
      <c r="E193" s="15" t="s">
        <v>135</v>
      </c>
      <c r="F193" s="16">
        <v>-7.490000000000002</v>
      </c>
    </row>
    <row r="194" spans="1:6" x14ac:dyDescent="0.35">
      <c r="A194" s="20" t="s">
        <v>138</v>
      </c>
      <c r="B194" s="21" t="s">
        <v>134</v>
      </c>
      <c r="C194" s="14">
        <v>2017</v>
      </c>
      <c r="D194" s="14">
        <v>8.41</v>
      </c>
      <c r="E194" s="14" t="s">
        <v>135</v>
      </c>
      <c r="F194" s="16">
        <v>-8.5300000000000011</v>
      </c>
    </row>
    <row r="195" spans="1:6" x14ac:dyDescent="0.35">
      <c r="A195" s="22" t="s">
        <v>138</v>
      </c>
      <c r="B195" s="23" t="s">
        <v>134</v>
      </c>
      <c r="C195" s="15">
        <v>2018</v>
      </c>
      <c r="D195" s="15">
        <v>8.6</v>
      </c>
      <c r="E195" s="15" t="s">
        <v>135</v>
      </c>
      <c r="F195" s="16">
        <v>-8.3400000000000016</v>
      </c>
    </row>
    <row r="196" spans="1:6" x14ac:dyDescent="0.35">
      <c r="A196" s="20" t="s">
        <v>138</v>
      </c>
      <c r="B196" s="21" t="s">
        <v>134</v>
      </c>
      <c r="C196" s="14">
        <v>2019</v>
      </c>
      <c r="D196" s="14">
        <v>9.74</v>
      </c>
      <c r="E196" s="14" t="s">
        <v>135</v>
      </c>
      <c r="F196" s="16">
        <v>-7.2000000000000011</v>
      </c>
    </row>
    <row r="197" spans="1:6" x14ac:dyDescent="0.35">
      <c r="A197" s="22" t="s">
        <v>138</v>
      </c>
      <c r="B197" s="23" t="s">
        <v>134</v>
      </c>
      <c r="C197" s="15">
        <v>2020</v>
      </c>
      <c r="D197" s="15">
        <v>10.029999999999999</v>
      </c>
      <c r="E197" s="15" t="s">
        <v>135</v>
      </c>
      <c r="F197" s="16">
        <v>-6.9100000000000019</v>
      </c>
    </row>
    <row r="198" spans="1:6" x14ac:dyDescent="0.35">
      <c r="A198" s="20" t="s">
        <v>138</v>
      </c>
      <c r="B198" s="21" t="s">
        <v>134</v>
      </c>
      <c r="C198" s="14">
        <v>2021</v>
      </c>
      <c r="D198" s="14">
        <v>10.5</v>
      </c>
      <c r="E198" s="14" t="s">
        <v>135</v>
      </c>
      <c r="F198" s="16">
        <v>-6.4400000000000013</v>
      </c>
    </row>
    <row r="199" spans="1:6" x14ac:dyDescent="0.35">
      <c r="A199" s="22" t="s">
        <v>138</v>
      </c>
      <c r="B199" s="23" t="s">
        <v>134</v>
      </c>
      <c r="C199" s="15">
        <v>2022</v>
      </c>
      <c r="D199" s="15">
        <v>10.5</v>
      </c>
      <c r="E199" s="15" t="s">
        <v>135</v>
      </c>
      <c r="F199" s="16">
        <v>-6.4400000000000013</v>
      </c>
    </row>
    <row r="200" spans="1:6" x14ac:dyDescent="0.35">
      <c r="A200" s="20" t="s">
        <v>138</v>
      </c>
      <c r="B200" s="21" t="s">
        <v>134</v>
      </c>
      <c r="C200" s="14">
        <v>2023</v>
      </c>
      <c r="D200" s="14">
        <v>11.16</v>
      </c>
      <c r="E200" s="14" t="s">
        <v>135</v>
      </c>
      <c r="F200" s="16">
        <v>-5.7800000000000011</v>
      </c>
    </row>
    <row r="201" spans="1:6" x14ac:dyDescent="0.35">
      <c r="A201" s="22" t="s">
        <v>138</v>
      </c>
      <c r="B201" s="23" t="s">
        <v>134</v>
      </c>
      <c r="C201" s="15">
        <v>2024</v>
      </c>
      <c r="D201" s="15">
        <v>12.67</v>
      </c>
      <c r="E201" s="15" t="s">
        <v>135</v>
      </c>
      <c r="F201" s="16">
        <v>-4.2700000000000014</v>
      </c>
    </row>
    <row r="202" spans="1:6" x14ac:dyDescent="0.35">
      <c r="A202" s="20" t="s">
        <v>67</v>
      </c>
      <c r="B202" s="21" t="s">
        <v>134</v>
      </c>
      <c r="C202" s="14">
        <v>2000</v>
      </c>
      <c r="D202" s="14">
        <v>15.64</v>
      </c>
      <c r="E202" s="14">
        <v>15.64</v>
      </c>
      <c r="F202" s="16">
        <v>0</v>
      </c>
    </row>
    <row r="203" spans="1:6" x14ac:dyDescent="0.35">
      <c r="A203" s="22" t="s">
        <v>67</v>
      </c>
      <c r="B203" s="23" t="s">
        <v>134</v>
      </c>
      <c r="C203" s="15">
        <v>2001</v>
      </c>
      <c r="D203" s="15">
        <v>15.64</v>
      </c>
      <c r="E203" s="15" t="s">
        <v>135</v>
      </c>
      <c r="F203" s="16">
        <v>0</v>
      </c>
    </row>
    <row r="204" spans="1:6" x14ac:dyDescent="0.35">
      <c r="A204" s="20" t="s">
        <v>67</v>
      </c>
      <c r="B204" s="21" t="s">
        <v>134</v>
      </c>
      <c r="C204" s="14">
        <v>2002</v>
      </c>
      <c r="D204" s="14">
        <v>15.64</v>
      </c>
      <c r="E204" s="14" t="s">
        <v>135</v>
      </c>
      <c r="F204" s="16">
        <v>0</v>
      </c>
    </row>
    <row r="205" spans="1:6" x14ac:dyDescent="0.35">
      <c r="A205" s="22" t="s">
        <v>67</v>
      </c>
      <c r="B205" s="23" t="s">
        <v>134</v>
      </c>
      <c r="C205" s="15">
        <v>2003</v>
      </c>
      <c r="D205" s="15">
        <v>15.64</v>
      </c>
      <c r="E205" s="15" t="s">
        <v>135</v>
      </c>
      <c r="F205" s="16">
        <v>0</v>
      </c>
    </row>
    <row r="206" spans="1:6" x14ac:dyDescent="0.35">
      <c r="A206" s="20" t="s">
        <v>67</v>
      </c>
      <c r="B206" s="21" t="s">
        <v>134</v>
      </c>
      <c r="C206" s="14">
        <v>2004</v>
      </c>
      <c r="D206" s="14">
        <v>15.64</v>
      </c>
      <c r="E206" s="14" t="s">
        <v>135</v>
      </c>
      <c r="F206" s="16">
        <v>0</v>
      </c>
    </row>
    <row r="207" spans="1:6" x14ac:dyDescent="0.35">
      <c r="A207" s="22" t="s">
        <v>67</v>
      </c>
      <c r="B207" s="23" t="s">
        <v>134</v>
      </c>
      <c r="C207" s="15">
        <v>2005</v>
      </c>
      <c r="D207" s="15">
        <v>15.64</v>
      </c>
      <c r="E207" s="15" t="s">
        <v>135</v>
      </c>
      <c r="F207" s="16">
        <v>0</v>
      </c>
    </row>
    <row r="208" spans="1:6" x14ac:dyDescent="0.35">
      <c r="A208" s="20" t="s">
        <v>67</v>
      </c>
      <c r="B208" s="21" t="s">
        <v>134</v>
      </c>
      <c r="C208" s="14">
        <v>2006</v>
      </c>
      <c r="D208" s="14">
        <v>15.64</v>
      </c>
      <c r="E208" s="14" t="s">
        <v>135</v>
      </c>
      <c r="F208" s="16">
        <v>0</v>
      </c>
    </row>
    <row r="209" spans="1:6" x14ac:dyDescent="0.35">
      <c r="A209" s="22" t="s">
        <v>67</v>
      </c>
      <c r="B209" s="23" t="s">
        <v>134</v>
      </c>
      <c r="C209" s="15">
        <v>2007</v>
      </c>
      <c r="D209" s="15">
        <v>9.36</v>
      </c>
      <c r="E209" s="15" t="s">
        <v>135</v>
      </c>
      <c r="F209" s="16">
        <v>-6.2800000000000011</v>
      </c>
    </row>
    <row r="210" spans="1:6" x14ac:dyDescent="0.35">
      <c r="A210" s="20" t="s">
        <v>67</v>
      </c>
      <c r="B210" s="21" t="s">
        <v>134</v>
      </c>
      <c r="C210" s="14">
        <v>2008</v>
      </c>
      <c r="D210" s="14">
        <v>9.36</v>
      </c>
      <c r="E210" s="14" t="s">
        <v>135</v>
      </c>
      <c r="F210" s="16">
        <v>-6.2800000000000011</v>
      </c>
    </row>
    <row r="211" spans="1:6" x14ac:dyDescent="0.35">
      <c r="A211" s="22" t="s">
        <v>67</v>
      </c>
      <c r="B211" s="23" t="s">
        <v>134</v>
      </c>
      <c r="C211" s="15">
        <v>2009</v>
      </c>
      <c r="D211" s="15">
        <v>9.36</v>
      </c>
      <c r="E211" s="15" t="s">
        <v>135</v>
      </c>
      <c r="F211" s="16">
        <v>-6.2800000000000011</v>
      </c>
    </row>
    <row r="212" spans="1:6" x14ac:dyDescent="0.35">
      <c r="A212" s="20" t="s">
        <v>67</v>
      </c>
      <c r="B212" s="21" t="s">
        <v>134</v>
      </c>
      <c r="C212" s="14">
        <v>2010</v>
      </c>
      <c r="D212" s="14">
        <v>7.02</v>
      </c>
      <c r="E212" s="14" t="s">
        <v>135</v>
      </c>
      <c r="F212" s="16">
        <v>-8.620000000000001</v>
      </c>
    </row>
    <row r="213" spans="1:6" x14ac:dyDescent="0.35">
      <c r="A213" s="22" t="s">
        <v>67</v>
      </c>
      <c r="B213" s="23" t="s">
        <v>134</v>
      </c>
      <c r="C213" s="15">
        <v>2011</v>
      </c>
      <c r="D213" s="15">
        <v>7.02</v>
      </c>
      <c r="E213" s="15" t="s">
        <v>135</v>
      </c>
      <c r="F213" s="16">
        <v>-8.620000000000001</v>
      </c>
    </row>
    <row r="214" spans="1:6" x14ac:dyDescent="0.35">
      <c r="A214" s="20" t="s">
        <v>67</v>
      </c>
      <c r="B214" s="21" t="s">
        <v>134</v>
      </c>
      <c r="C214" s="14">
        <v>2012</v>
      </c>
      <c r="D214" s="14">
        <v>36.11</v>
      </c>
      <c r="E214" s="14" t="s">
        <v>135</v>
      </c>
      <c r="F214" s="16">
        <v>20.47</v>
      </c>
    </row>
    <row r="215" spans="1:6" x14ac:dyDescent="0.35">
      <c r="A215" s="22" t="s">
        <v>67</v>
      </c>
      <c r="B215" s="23" t="s">
        <v>134</v>
      </c>
      <c r="C215" s="15">
        <v>2013</v>
      </c>
      <c r="D215" s="15">
        <v>36.11</v>
      </c>
      <c r="E215" s="15" t="s">
        <v>135</v>
      </c>
      <c r="F215" s="16">
        <v>20.47</v>
      </c>
    </row>
    <row r="216" spans="1:6" x14ac:dyDescent="0.35">
      <c r="A216" s="20" t="s">
        <v>67</v>
      </c>
      <c r="B216" s="21" t="s">
        <v>134</v>
      </c>
      <c r="C216" s="14">
        <v>2014</v>
      </c>
      <c r="D216" s="14">
        <v>36.11</v>
      </c>
      <c r="E216" s="14" t="s">
        <v>135</v>
      </c>
      <c r="F216" s="16">
        <v>20.47</v>
      </c>
    </row>
    <row r="217" spans="1:6" x14ac:dyDescent="0.35">
      <c r="A217" s="22" t="s">
        <v>67</v>
      </c>
      <c r="B217" s="23" t="s">
        <v>134</v>
      </c>
      <c r="C217" s="15">
        <v>2015</v>
      </c>
      <c r="D217" s="15">
        <v>36.11</v>
      </c>
      <c r="E217" s="15" t="s">
        <v>135</v>
      </c>
      <c r="F217" s="16">
        <v>20.47</v>
      </c>
    </row>
    <row r="218" spans="1:6" x14ac:dyDescent="0.35">
      <c r="A218" s="20" t="s">
        <v>67</v>
      </c>
      <c r="B218" s="21" t="s">
        <v>134</v>
      </c>
      <c r="C218" s="14">
        <v>2016</v>
      </c>
      <c r="D218" s="14">
        <v>33.81</v>
      </c>
      <c r="E218" s="14" t="s">
        <v>135</v>
      </c>
      <c r="F218" s="16">
        <v>18.170000000000002</v>
      </c>
    </row>
    <row r="219" spans="1:6" x14ac:dyDescent="0.35">
      <c r="A219" s="22" t="s">
        <v>67</v>
      </c>
      <c r="B219" s="23" t="s">
        <v>134</v>
      </c>
      <c r="C219" s="15">
        <v>2017</v>
      </c>
      <c r="D219" s="15">
        <v>31.79</v>
      </c>
      <c r="E219" s="15" t="s">
        <v>135</v>
      </c>
      <c r="F219" s="16">
        <v>16.149999999999999</v>
      </c>
    </row>
    <row r="220" spans="1:6" x14ac:dyDescent="0.35">
      <c r="A220" s="20" t="s">
        <v>67</v>
      </c>
      <c r="B220" s="21" t="s">
        <v>134</v>
      </c>
      <c r="C220" s="14">
        <v>2018</v>
      </c>
      <c r="D220" s="14">
        <v>31.76</v>
      </c>
      <c r="E220" s="14" t="s">
        <v>135</v>
      </c>
      <c r="F220" s="16">
        <v>16.12</v>
      </c>
    </row>
    <row r="221" spans="1:6" x14ac:dyDescent="0.35">
      <c r="A221" s="22" t="s">
        <v>67</v>
      </c>
      <c r="B221" s="23" t="s">
        <v>134</v>
      </c>
      <c r="C221" s="15">
        <v>2019</v>
      </c>
      <c r="D221" s="15">
        <v>31.75</v>
      </c>
      <c r="E221" s="15" t="s">
        <v>135</v>
      </c>
      <c r="F221" s="16">
        <v>16.11</v>
      </c>
    </row>
    <row r="222" spans="1:6" x14ac:dyDescent="0.35">
      <c r="A222" s="20" t="s">
        <v>67</v>
      </c>
      <c r="B222" s="21" t="s">
        <v>134</v>
      </c>
      <c r="C222" s="14">
        <v>2020</v>
      </c>
      <c r="D222" s="14">
        <v>31.75</v>
      </c>
      <c r="E222" s="14" t="s">
        <v>135</v>
      </c>
      <c r="F222" s="16">
        <v>16.11</v>
      </c>
    </row>
    <row r="223" spans="1:6" x14ac:dyDescent="0.35">
      <c r="A223" s="22" t="s">
        <v>67</v>
      </c>
      <c r="B223" s="23" t="s">
        <v>134</v>
      </c>
      <c r="C223" s="15">
        <v>2021</v>
      </c>
      <c r="D223" s="15">
        <v>31.73</v>
      </c>
      <c r="E223" s="15" t="s">
        <v>135</v>
      </c>
      <c r="F223" s="16">
        <v>16.09</v>
      </c>
    </row>
    <row r="224" spans="1:6" x14ac:dyDescent="0.35">
      <c r="A224" s="20" t="s">
        <v>67</v>
      </c>
      <c r="B224" s="21" t="s">
        <v>134</v>
      </c>
      <c r="C224" s="14">
        <v>2022</v>
      </c>
      <c r="D224" s="14">
        <v>31.7</v>
      </c>
      <c r="E224" s="14" t="s">
        <v>135</v>
      </c>
      <c r="F224" s="16">
        <v>16.059999999999999</v>
      </c>
    </row>
    <row r="225" spans="1:6" x14ac:dyDescent="0.35">
      <c r="A225" s="22" t="s">
        <v>67</v>
      </c>
      <c r="B225" s="23" t="s">
        <v>134</v>
      </c>
      <c r="C225" s="15">
        <v>2023</v>
      </c>
      <c r="D225" s="15">
        <v>31.7</v>
      </c>
      <c r="E225" s="15" t="s">
        <v>135</v>
      </c>
      <c r="F225" s="16">
        <v>16.059999999999999</v>
      </c>
    </row>
    <row r="226" spans="1:6" x14ac:dyDescent="0.35">
      <c r="A226" s="20" t="s">
        <v>67</v>
      </c>
      <c r="B226" s="21" t="s">
        <v>134</v>
      </c>
      <c r="C226" s="14">
        <v>2024</v>
      </c>
      <c r="D226" s="14">
        <v>31.7</v>
      </c>
      <c r="E226" s="14" t="s">
        <v>135</v>
      </c>
      <c r="F226" s="16">
        <v>16.059999999999999</v>
      </c>
    </row>
    <row r="227" spans="1:6" x14ac:dyDescent="0.35">
      <c r="A227" s="22" t="s">
        <v>109</v>
      </c>
      <c r="B227" s="23" t="s">
        <v>134</v>
      </c>
      <c r="C227" s="15">
        <v>2000</v>
      </c>
      <c r="D227" s="15">
        <v>91.3</v>
      </c>
      <c r="E227" s="15">
        <v>91.3</v>
      </c>
      <c r="F227" s="16">
        <v>0</v>
      </c>
    </row>
    <row r="228" spans="1:6" x14ac:dyDescent="0.35">
      <c r="A228" s="20" t="s">
        <v>109</v>
      </c>
      <c r="B228" s="21" t="s">
        <v>134</v>
      </c>
      <c r="C228" s="14">
        <v>2001</v>
      </c>
      <c r="D228" s="14">
        <v>91.3</v>
      </c>
      <c r="E228" s="14" t="s">
        <v>135</v>
      </c>
      <c r="F228" s="16">
        <v>0</v>
      </c>
    </row>
    <row r="229" spans="1:6" x14ac:dyDescent="0.35">
      <c r="A229" s="22" t="s">
        <v>109</v>
      </c>
      <c r="B229" s="23" t="s">
        <v>134</v>
      </c>
      <c r="C229" s="15">
        <v>2002</v>
      </c>
      <c r="D229" s="15">
        <v>91.3</v>
      </c>
      <c r="E229" s="15" t="s">
        <v>135</v>
      </c>
      <c r="F229" s="16">
        <v>0</v>
      </c>
    </row>
    <row r="230" spans="1:6" x14ac:dyDescent="0.35">
      <c r="A230" s="20" t="s">
        <v>109</v>
      </c>
      <c r="B230" s="21" t="s">
        <v>134</v>
      </c>
      <c r="C230" s="14">
        <v>2003</v>
      </c>
      <c r="D230" s="14">
        <v>91.3</v>
      </c>
      <c r="E230" s="14" t="s">
        <v>135</v>
      </c>
      <c r="F230" s="16">
        <v>0</v>
      </c>
    </row>
    <row r="231" spans="1:6" x14ac:dyDescent="0.35">
      <c r="A231" s="22" t="s">
        <v>109</v>
      </c>
      <c r="B231" s="23" t="s">
        <v>134</v>
      </c>
      <c r="C231" s="15">
        <v>2004</v>
      </c>
      <c r="D231" s="15">
        <v>91.3</v>
      </c>
      <c r="E231" s="15" t="s">
        <v>135</v>
      </c>
      <c r="F231" s="16">
        <v>0</v>
      </c>
    </row>
    <row r="232" spans="1:6" x14ac:dyDescent="0.35">
      <c r="A232" s="20" t="s">
        <v>109</v>
      </c>
      <c r="B232" s="21" t="s">
        <v>134</v>
      </c>
      <c r="C232" s="14">
        <v>2005</v>
      </c>
      <c r="D232" s="14">
        <v>91.3</v>
      </c>
      <c r="E232" s="14" t="s">
        <v>135</v>
      </c>
      <c r="F232" s="16">
        <v>0</v>
      </c>
    </row>
    <row r="233" spans="1:6" x14ac:dyDescent="0.35">
      <c r="A233" s="22" t="s">
        <v>109</v>
      </c>
      <c r="B233" s="23" t="s">
        <v>134</v>
      </c>
      <c r="C233" s="15">
        <v>2006</v>
      </c>
      <c r="D233" s="15">
        <v>91.3</v>
      </c>
      <c r="E233" s="15" t="s">
        <v>135</v>
      </c>
      <c r="F233" s="16">
        <v>0</v>
      </c>
    </row>
    <row r="234" spans="1:6" x14ac:dyDescent="0.35">
      <c r="A234" s="20" t="s">
        <v>109</v>
      </c>
      <c r="B234" s="21" t="s">
        <v>134</v>
      </c>
      <c r="C234" s="14">
        <v>2007</v>
      </c>
      <c r="D234" s="14">
        <v>91.3</v>
      </c>
      <c r="E234" s="14" t="s">
        <v>135</v>
      </c>
      <c r="F234" s="16">
        <v>0</v>
      </c>
    </row>
    <row r="235" spans="1:6" x14ac:dyDescent="0.35">
      <c r="A235" s="22" t="s">
        <v>109</v>
      </c>
      <c r="B235" s="23" t="s">
        <v>134</v>
      </c>
      <c r="C235" s="15">
        <v>2008</v>
      </c>
      <c r="D235" s="15">
        <v>92.59</v>
      </c>
      <c r="E235" s="15" t="s">
        <v>135</v>
      </c>
      <c r="F235" s="16">
        <v>1.2900000000000063</v>
      </c>
    </row>
    <row r="236" spans="1:6" x14ac:dyDescent="0.35">
      <c r="A236" s="20" t="s">
        <v>109</v>
      </c>
      <c r="B236" s="21" t="s">
        <v>134</v>
      </c>
      <c r="C236" s="14">
        <v>2009</v>
      </c>
      <c r="D236" s="14">
        <v>92.59</v>
      </c>
      <c r="E236" s="14" t="s">
        <v>135</v>
      </c>
      <c r="F236" s="16">
        <v>1.2900000000000063</v>
      </c>
    </row>
    <row r="237" spans="1:6" x14ac:dyDescent="0.35">
      <c r="A237" s="22" t="s">
        <v>109</v>
      </c>
      <c r="B237" s="23" t="s">
        <v>134</v>
      </c>
      <c r="C237" s="15">
        <v>2010</v>
      </c>
      <c r="D237" s="15">
        <v>92.59</v>
      </c>
      <c r="E237" s="15" t="s">
        <v>135</v>
      </c>
      <c r="F237" s="16">
        <v>1.2900000000000063</v>
      </c>
    </row>
    <row r="238" spans="1:6" x14ac:dyDescent="0.35">
      <c r="A238" s="20" t="s">
        <v>109</v>
      </c>
      <c r="B238" s="21" t="s">
        <v>134</v>
      </c>
      <c r="C238" s="14">
        <v>2011</v>
      </c>
      <c r="D238" s="14">
        <v>94.93</v>
      </c>
      <c r="E238" s="14" t="s">
        <v>135</v>
      </c>
      <c r="F238" s="16">
        <v>3.6300000000000097</v>
      </c>
    </row>
    <row r="239" spans="1:6" x14ac:dyDescent="0.35">
      <c r="A239" s="22" t="s">
        <v>109</v>
      </c>
      <c r="B239" s="23" t="s">
        <v>134</v>
      </c>
      <c r="C239" s="15">
        <v>2012</v>
      </c>
      <c r="D239" s="15">
        <v>94.93</v>
      </c>
      <c r="E239" s="15" t="s">
        <v>135</v>
      </c>
      <c r="F239" s="16">
        <v>3.6300000000000097</v>
      </c>
    </row>
    <row r="240" spans="1:6" x14ac:dyDescent="0.35">
      <c r="A240" s="20" t="s">
        <v>109</v>
      </c>
      <c r="B240" s="21" t="s">
        <v>134</v>
      </c>
      <c r="C240" s="14">
        <v>2013</v>
      </c>
      <c r="D240" s="14">
        <v>94.93</v>
      </c>
      <c r="E240" s="14" t="s">
        <v>135</v>
      </c>
      <c r="F240" s="16">
        <v>3.6300000000000097</v>
      </c>
    </row>
    <row r="241" spans="1:6" x14ac:dyDescent="0.35">
      <c r="A241" s="22" t="s">
        <v>109</v>
      </c>
      <c r="B241" s="23" t="s">
        <v>134</v>
      </c>
      <c r="C241" s="15">
        <v>2014</v>
      </c>
      <c r="D241" s="15">
        <v>94.44</v>
      </c>
      <c r="E241" s="15" t="s">
        <v>135</v>
      </c>
      <c r="F241" s="16">
        <v>3.1400000000000006</v>
      </c>
    </row>
    <row r="242" spans="1:6" x14ac:dyDescent="0.35">
      <c r="A242" s="20" t="s">
        <v>109</v>
      </c>
      <c r="B242" s="21" t="s">
        <v>134</v>
      </c>
      <c r="C242" s="14">
        <v>2015</v>
      </c>
      <c r="D242" s="14">
        <v>94.44</v>
      </c>
      <c r="E242" s="14" t="s">
        <v>135</v>
      </c>
      <c r="F242" s="16">
        <v>3.1400000000000006</v>
      </c>
    </row>
    <row r="243" spans="1:6" x14ac:dyDescent="0.35">
      <c r="A243" s="22" t="s">
        <v>109</v>
      </c>
      <c r="B243" s="23" t="s">
        <v>134</v>
      </c>
      <c r="C243" s="15">
        <v>2016</v>
      </c>
      <c r="D243" s="15">
        <v>94.45</v>
      </c>
      <c r="E243" s="15" t="s">
        <v>135</v>
      </c>
      <c r="F243" s="16">
        <v>3.1500000000000057</v>
      </c>
    </row>
    <row r="244" spans="1:6" x14ac:dyDescent="0.35">
      <c r="A244" s="20" t="s">
        <v>109</v>
      </c>
      <c r="B244" s="21" t="s">
        <v>134</v>
      </c>
      <c r="C244" s="14">
        <v>2017</v>
      </c>
      <c r="D244" s="14">
        <v>94.45</v>
      </c>
      <c r="E244" s="14" t="s">
        <v>135</v>
      </c>
      <c r="F244" s="16">
        <v>3.1500000000000057</v>
      </c>
    </row>
    <row r="245" spans="1:6" x14ac:dyDescent="0.35">
      <c r="A245" s="22" t="s">
        <v>109</v>
      </c>
      <c r="B245" s="23" t="s">
        <v>134</v>
      </c>
      <c r="C245" s="15">
        <v>2018</v>
      </c>
      <c r="D245" s="15">
        <v>94.45</v>
      </c>
      <c r="E245" s="15" t="s">
        <v>135</v>
      </c>
      <c r="F245" s="16">
        <v>3.1500000000000057</v>
      </c>
    </row>
    <row r="246" spans="1:6" x14ac:dyDescent="0.35">
      <c r="A246" s="20" t="s">
        <v>109</v>
      </c>
      <c r="B246" s="21" t="s">
        <v>134</v>
      </c>
      <c r="C246" s="14">
        <v>2019</v>
      </c>
      <c r="D246" s="14">
        <v>94.45</v>
      </c>
      <c r="E246" s="14" t="s">
        <v>135</v>
      </c>
      <c r="F246" s="16">
        <v>3.1500000000000057</v>
      </c>
    </row>
    <row r="247" spans="1:6" x14ac:dyDescent="0.35">
      <c r="A247" s="22" t="s">
        <v>109</v>
      </c>
      <c r="B247" s="23" t="s">
        <v>134</v>
      </c>
      <c r="C247" s="15">
        <v>2020</v>
      </c>
      <c r="D247" s="15">
        <v>94.45</v>
      </c>
      <c r="E247" s="15" t="s">
        <v>135</v>
      </c>
      <c r="F247" s="16">
        <v>3.1500000000000057</v>
      </c>
    </row>
    <row r="248" spans="1:6" x14ac:dyDescent="0.35">
      <c r="A248" s="20" t="s">
        <v>109</v>
      </c>
      <c r="B248" s="21" t="s">
        <v>134</v>
      </c>
      <c r="C248" s="14">
        <v>2021</v>
      </c>
      <c r="D248" s="14">
        <v>94.74</v>
      </c>
      <c r="E248" s="14" t="s">
        <v>135</v>
      </c>
      <c r="F248" s="16">
        <v>3.4399999999999977</v>
      </c>
    </row>
    <row r="249" spans="1:6" x14ac:dyDescent="0.35">
      <c r="A249" s="22" t="s">
        <v>109</v>
      </c>
      <c r="B249" s="23" t="s">
        <v>134</v>
      </c>
      <c r="C249" s="15">
        <v>2022</v>
      </c>
      <c r="D249" s="15">
        <v>94.74</v>
      </c>
      <c r="E249" s="15" t="s">
        <v>135</v>
      </c>
      <c r="F249" s="16">
        <v>3.4399999999999977</v>
      </c>
    </row>
    <row r="250" spans="1:6" x14ac:dyDescent="0.35">
      <c r="A250" s="20" t="s">
        <v>109</v>
      </c>
      <c r="B250" s="21" t="s">
        <v>134</v>
      </c>
      <c r="C250" s="14">
        <v>2023</v>
      </c>
      <c r="D250" s="14">
        <v>95.23</v>
      </c>
      <c r="E250" s="14" t="s">
        <v>135</v>
      </c>
      <c r="F250" s="16">
        <v>3.9300000000000068</v>
      </c>
    </row>
    <row r="251" spans="1:6" x14ac:dyDescent="0.35">
      <c r="A251" s="22" t="s">
        <v>109</v>
      </c>
      <c r="B251" s="23" t="s">
        <v>134</v>
      </c>
      <c r="C251" s="15">
        <v>2024</v>
      </c>
      <c r="D251" s="15">
        <v>95.23</v>
      </c>
      <c r="E251" s="15" t="s">
        <v>135</v>
      </c>
      <c r="F251" s="16">
        <v>3.9300000000000068</v>
      </c>
    </row>
    <row r="252" spans="1:6" x14ac:dyDescent="0.35">
      <c r="A252" s="20" t="s">
        <v>57</v>
      </c>
      <c r="B252" s="21" t="s">
        <v>134</v>
      </c>
      <c r="C252" s="14">
        <v>2000</v>
      </c>
      <c r="D252" s="14">
        <v>71.62</v>
      </c>
      <c r="E252" s="14">
        <v>71.62</v>
      </c>
      <c r="F252" s="16">
        <v>0</v>
      </c>
    </row>
    <row r="253" spans="1:6" x14ac:dyDescent="0.35">
      <c r="A253" s="22" t="s">
        <v>57</v>
      </c>
      <c r="B253" s="23" t="s">
        <v>134</v>
      </c>
      <c r="C253" s="15">
        <v>2001</v>
      </c>
      <c r="D253" s="15">
        <v>69.5</v>
      </c>
      <c r="E253" s="15" t="s">
        <v>135</v>
      </c>
      <c r="F253" s="16">
        <v>-2.1200000000000045</v>
      </c>
    </row>
    <row r="254" spans="1:6" x14ac:dyDescent="0.35">
      <c r="A254" s="20" t="s">
        <v>57</v>
      </c>
      <c r="B254" s="21" t="s">
        <v>134</v>
      </c>
      <c r="C254" s="14">
        <v>2002</v>
      </c>
      <c r="D254" s="14">
        <v>70.98</v>
      </c>
      <c r="E254" s="14" t="s">
        <v>135</v>
      </c>
      <c r="F254" s="16">
        <v>-0.64000000000000057</v>
      </c>
    </row>
    <row r="255" spans="1:6" x14ac:dyDescent="0.35">
      <c r="A255" s="22" t="s">
        <v>57</v>
      </c>
      <c r="B255" s="23" t="s">
        <v>134</v>
      </c>
      <c r="C255" s="15">
        <v>2003</v>
      </c>
      <c r="D255" s="15">
        <v>78.88</v>
      </c>
      <c r="E255" s="15" t="s">
        <v>135</v>
      </c>
      <c r="F255" s="16">
        <v>7.2599999999999909</v>
      </c>
    </row>
    <row r="256" spans="1:6" x14ac:dyDescent="0.35">
      <c r="A256" s="20" t="s">
        <v>57</v>
      </c>
      <c r="B256" s="21" t="s">
        <v>134</v>
      </c>
      <c r="C256" s="14">
        <v>2004</v>
      </c>
      <c r="D256" s="14">
        <v>78.61</v>
      </c>
      <c r="E256" s="14" t="s">
        <v>135</v>
      </c>
      <c r="F256" s="16">
        <v>6.9899999999999949</v>
      </c>
    </row>
    <row r="257" spans="1:6" x14ac:dyDescent="0.35">
      <c r="A257" s="22" t="s">
        <v>57</v>
      </c>
      <c r="B257" s="23" t="s">
        <v>134</v>
      </c>
      <c r="C257" s="15">
        <v>2005</v>
      </c>
      <c r="D257" s="15">
        <v>78.599999999999994</v>
      </c>
      <c r="E257" s="15" t="s">
        <v>135</v>
      </c>
      <c r="F257" s="16">
        <v>6.9799999999999898</v>
      </c>
    </row>
    <row r="258" spans="1:6" x14ac:dyDescent="0.35">
      <c r="A258" s="20" t="s">
        <v>57</v>
      </c>
      <c r="B258" s="21" t="s">
        <v>134</v>
      </c>
      <c r="C258" s="14">
        <v>2006</v>
      </c>
      <c r="D258" s="14">
        <v>78.55</v>
      </c>
      <c r="E258" s="14" t="s">
        <v>135</v>
      </c>
      <c r="F258" s="16">
        <v>6.9299999999999926</v>
      </c>
    </row>
    <row r="259" spans="1:6" x14ac:dyDescent="0.35">
      <c r="A259" s="22" t="s">
        <v>57</v>
      </c>
      <c r="B259" s="23" t="s">
        <v>134</v>
      </c>
      <c r="C259" s="15">
        <v>2007</v>
      </c>
      <c r="D259" s="15">
        <v>82.44</v>
      </c>
      <c r="E259" s="15" t="s">
        <v>135</v>
      </c>
      <c r="F259" s="16">
        <v>10.819999999999993</v>
      </c>
    </row>
    <row r="260" spans="1:6" x14ac:dyDescent="0.35">
      <c r="A260" s="20" t="s">
        <v>57</v>
      </c>
      <c r="B260" s="21" t="s">
        <v>134</v>
      </c>
      <c r="C260" s="14">
        <v>2008</v>
      </c>
      <c r="D260" s="14">
        <v>78.08</v>
      </c>
      <c r="E260" s="14" t="s">
        <v>135</v>
      </c>
      <c r="F260" s="16">
        <v>6.4599999999999937</v>
      </c>
    </row>
    <row r="261" spans="1:6" x14ac:dyDescent="0.35">
      <c r="A261" s="22" t="s">
        <v>57</v>
      </c>
      <c r="B261" s="23" t="s">
        <v>134</v>
      </c>
      <c r="C261" s="15">
        <v>2009</v>
      </c>
      <c r="D261" s="15">
        <v>88.45</v>
      </c>
      <c r="E261" s="15" t="s">
        <v>135</v>
      </c>
      <c r="F261" s="16">
        <v>16.829999999999998</v>
      </c>
    </row>
    <row r="262" spans="1:6" x14ac:dyDescent="0.35">
      <c r="A262" s="20" t="s">
        <v>57</v>
      </c>
      <c r="B262" s="21" t="s">
        <v>134</v>
      </c>
      <c r="C262" s="14">
        <v>2010</v>
      </c>
      <c r="D262" s="14">
        <v>93.65</v>
      </c>
      <c r="E262" s="14" t="s">
        <v>135</v>
      </c>
      <c r="F262" s="16">
        <v>22.03</v>
      </c>
    </row>
    <row r="263" spans="1:6" x14ac:dyDescent="0.35">
      <c r="A263" s="22" t="s">
        <v>57</v>
      </c>
      <c r="B263" s="23" t="s">
        <v>134</v>
      </c>
      <c r="C263" s="15">
        <v>2011</v>
      </c>
      <c r="D263" s="15">
        <v>91.67</v>
      </c>
      <c r="E263" s="15" t="s">
        <v>135</v>
      </c>
      <c r="F263" s="16">
        <v>20.049999999999997</v>
      </c>
    </row>
    <row r="264" spans="1:6" x14ac:dyDescent="0.35">
      <c r="A264" s="20" t="s">
        <v>57</v>
      </c>
      <c r="B264" s="21" t="s">
        <v>134</v>
      </c>
      <c r="C264" s="14">
        <v>2012</v>
      </c>
      <c r="D264" s="14">
        <v>91.67</v>
      </c>
      <c r="E264" s="14" t="s">
        <v>135</v>
      </c>
      <c r="F264" s="16">
        <v>20.049999999999997</v>
      </c>
    </row>
    <row r="265" spans="1:6" x14ac:dyDescent="0.35">
      <c r="A265" s="22" t="s">
        <v>57</v>
      </c>
      <c r="B265" s="23" t="s">
        <v>134</v>
      </c>
      <c r="C265" s="15">
        <v>2013</v>
      </c>
      <c r="D265" s="15">
        <v>92.13</v>
      </c>
      <c r="E265" s="15" t="s">
        <v>135</v>
      </c>
      <c r="F265" s="16">
        <v>20.509999999999991</v>
      </c>
    </row>
    <row r="266" spans="1:6" x14ac:dyDescent="0.35">
      <c r="A266" s="20" t="s">
        <v>57</v>
      </c>
      <c r="B266" s="21" t="s">
        <v>134</v>
      </c>
      <c r="C266" s="14">
        <v>2014</v>
      </c>
      <c r="D266" s="14">
        <v>92.15</v>
      </c>
      <c r="E266" s="14" t="s">
        <v>135</v>
      </c>
      <c r="F266" s="16">
        <v>20.53</v>
      </c>
    </row>
    <row r="267" spans="1:6" x14ac:dyDescent="0.35">
      <c r="A267" s="22" t="s">
        <v>57</v>
      </c>
      <c r="B267" s="23" t="s">
        <v>134</v>
      </c>
      <c r="C267" s="15">
        <v>2015</v>
      </c>
      <c r="D267" s="15">
        <v>94.82</v>
      </c>
      <c r="E267" s="15" t="s">
        <v>135</v>
      </c>
      <c r="F267" s="16">
        <v>23.199999999999989</v>
      </c>
    </row>
    <row r="268" spans="1:6" x14ac:dyDescent="0.35">
      <c r="A268" s="20" t="s">
        <v>57</v>
      </c>
      <c r="B268" s="21" t="s">
        <v>134</v>
      </c>
      <c r="C268" s="14">
        <v>2016</v>
      </c>
      <c r="D268" s="14">
        <v>96.39</v>
      </c>
      <c r="E268" s="14" t="s">
        <v>135</v>
      </c>
      <c r="F268" s="16">
        <v>24.769999999999996</v>
      </c>
    </row>
    <row r="269" spans="1:6" x14ac:dyDescent="0.35">
      <c r="A269" s="22" t="s">
        <v>57</v>
      </c>
      <c r="B269" s="23" t="s">
        <v>134</v>
      </c>
      <c r="C269" s="15">
        <v>2017</v>
      </c>
      <c r="D269" s="15">
        <v>97.78</v>
      </c>
      <c r="E269" s="15" t="s">
        <v>135</v>
      </c>
      <c r="F269" s="16">
        <v>26.159999999999997</v>
      </c>
    </row>
    <row r="270" spans="1:6" x14ac:dyDescent="0.35">
      <c r="A270" s="20" t="s">
        <v>57</v>
      </c>
      <c r="B270" s="21" t="s">
        <v>134</v>
      </c>
      <c r="C270" s="14">
        <v>2018</v>
      </c>
      <c r="D270" s="14">
        <v>98.08</v>
      </c>
      <c r="E270" s="14" t="s">
        <v>135</v>
      </c>
      <c r="F270" s="16">
        <v>26.459999999999994</v>
      </c>
    </row>
    <row r="271" spans="1:6" x14ac:dyDescent="0.35">
      <c r="A271" s="22" t="s">
        <v>57</v>
      </c>
      <c r="B271" s="23" t="s">
        <v>134</v>
      </c>
      <c r="C271" s="15">
        <v>2019</v>
      </c>
      <c r="D271" s="15">
        <v>97.72</v>
      </c>
      <c r="E271" s="15" t="s">
        <v>135</v>
      </c>
      <c r="F271" s="16">
        <v>26.099999999999994</v>
      </c>
    </row>
    <row r="272" spans="1:6" x14ac:dyDescent="0.35">
      <c r="A272" s="20" t="s">
        <v>57</v>
      </c>
      <c r="B272" s="21" t="s">
        <v>134</v>
      </c>
      <c r="C272" s="14">
        <v>2020</v>
      </c>
      <c r="D272" s="14">
        <v>97.84</v>
      </c>
      <c r="E272" s="14" t="s">
        <v>135</v>
      </c>
      <c r="F272" s="16">
        <v>26.22</v>
      </c>
    </row>
    <row r="273" spans="1:6" x14ac:dyDescent="0.35">
      <c r="A273" s="22" t="s">
        <v>57</v>
      </c>
      <c r="B273" s="23" t="s">
        <v>134</v>
      </c>
      <c r="C273" s="15">
        <v>2021</v>
      </c>
      <c r="D273" s="15">
        <v>97.86</v>
      </c>
      <c r="E273" s="15" t="s">
        <v>135</v>
      </c>
      <c r="F273" s="16">
        <v>26.239999999999995</v>
      </c>
    </row>
    <row r="274" spans="1:6" x14ac:dyDescent="0.35">
      <c r="A274" s="20" t="s">
        <v>57</v>
      </c>
      <c r="B274" s="21" t="s">
        <v>134</v>
      </c>
      <c r="C274" s="14">
        <v>2022</v>
      </c>
      <c r="D274" s="14">
        <v>98.17</v>
      </c>
      <c r="E274" s="14" t="s">
        <v>135</v>
      </c>
      <c r="F274" s="16">
        <v>26.549999999999997</v>
      </c>
    </row>
    <row r="275" spans="1:6" x14ac:dyDescent="0.35">
      <c r="A275" s="22" t="s">
        <v>57</v>
      </c>
      <c r="B275" s="23" t="s">
        <v>134</v>
      </c>
      <c r="C275" s="15">
        <v>2023</v>
      </c>
      <c r="D275" s="15">
        <v>98.25</v>
      </c>
      <c r="E275" s="15" t="s">
        <v>135</v>
      </c>
      <c r="F275" s="16">
        <v>26.629999999999995</v>
      </c>
    </row>
    <row r="276" spans="1:6" x14ac:dyDescent="0.35">
      <c r="A276" s="20" t="s">
        <v>57</v>
      </c>
      <c r="B276" s="21" t="s">
        <v>134</v>
      </c>
      <c r="C276" s="14">
        <v>2024</v>
      </c>
      <c r="D276" s="14">
        <v>98.37</v>
      </c>
      <c r="E276" s="14" t="s">
        <v>135</v>
      </c>
      <c r="F276" s="16">
        <v>26.75</v>
      </c>
    </row>
    <row r="277" spans="1:6" x14ac:dyDescent="0.35">
      <c r="A277" s="22" t="s">
        <v>59</v>
      </c>
      <c r="B277" s="23" t="s">
        <v>134</v>
      </c>
      <c r="C277" s="15">
        <v>2000</v>
      </c>
      <c r="D277" s="15">
        <v>49.72</v>
      </c>
      <c r="E277" s="15">
        <v>49.72</v>
      </c>
      <c r="F277" s="16">
        <v>0</v>
      </c>
    </row>
    <row r="278" spans="1:6" x14ac:dyDescent="0.35">
      <c r="A278" s="20" t="s">
        <v>59</v>
      </c>
      <c r="B278" s="21" t="s">
        <v>134</v>
      </c>
      <c r="C278" s="14">
        <v>2001</v>
      </c>
      <c r="D278" s="14">
        <v>49.72</v>
      </c>
      <c r="E278" s="14" t="s">
        <v>135</v>
      </c>
      <c r="F278" s="16">
        <v>0</v>
      </c>
    </row>
    <row r="279" spans="1:6" x14ac:dyDescent="0.35">
      <c r="A279" s="22" t="s">
        <v>59</v>
      </c>
      <c r="B279" s="23" t="s">
        <v>134</v>
      </c>
      <c r="C279" s="15">
        <v>2002</v>
      </c>
      <c r="D279" s="15">
        <v>49.94</v>
      </c>
      <c r="E279" s="15" t="s">
        <v>135</v>
      </c>
      <c r="F279" s="16">
        <v>0.21999999999999886</v>
      </c>
    </row>
    <row r="280" spans="1:6" x14ac:dyDescent="0.35">
      <c r="A280" s="20" t="s">
        <v>59</v>
      </c>
      <c r="B280" s="21" t="s">
        <v>134</v>
      </c>
      <c r="C280" s="14">
        <v>2003</v>
      </c>
      <c r="D280" s="14">
        <v>49.36</v>
      </c>
      <c r="E280" s="14" t="s">
        <v>135</v>
      </c>
      <c r="F280" s="16">
        <v>-0.35999999999999943</v>
      </c>
    </row>
    <row r="281" spans="1:6" x14ac:dyDescent="0.35">
      <c r="A281" s="22" t="s">
        <v>59</v>
      </c>
      <c r="B281" s="23" t="s">
        <v>134</v>
      </c>
      <c r="C281" s="15">
        <v>2004</v>
      </c>
      <c r="D281" s="15">
        <v>49.36</v>
      </c>
      <c r="E281" s="15" t="s">
        <v>135</v>
      </c>
      <c r="F281" s="16">
        <v>-0.35999999999999943</v>
      </c>
    </row>
    <row r="282" spans="1:6" x14ac:dyDescent="0.35">
      <c r="A282" s="20" t="s">
        <v>59</v>
      </c>
      <c r="B282" s="21" t="s">
        <v>134</v>
      </c>
      <c r="C282" s="14">
        <v>2005</v>
      </c>
      <c r="D282" s="14">
        <v>49.5</v>
      </c>
      <c r="E282" s="14" t="s">
        <v>135</v>
      </c>
      <c r="F282" s="16">
        <v>-0.21999999999999886</v>
      </c>
    </row>
    <row r="283" spans="1:6" x14ac:dyDescent="0.35">
      <c r="A283" s="22" t="s">
        <v>59</v>
      </c>
      <c r="B283" s="23" t="s">
        <v>134</v>
      </c>
      <c r="C283" s="15">
        <v>2006</v>
      </c>
      <c r="D283" s="15">
        <v>49.22</v>
      </c>
      <c r="E283" s="15" t="s">
        <v>135</v>
      </c>
      <c r="F283" s="16">
        <v>-0.5</v>
      </c>
    </row>
    <row r="284" spans="1:6" x14ac:dyDescent="0.35">
      <c r="A284" s="20" t="s">
        <v>59</v>
      </c>
      <c r="B284" s="21" t="s">
        <v>134</v>
      </c>
      <c r="C284" s="14">
        <v>2007</v>
      </c>
      <c r="D284" s="14">
        <v>44.82</v>
      </c>
      <c r="E284" s="14" t="s">
        <v>135</v>
      </c>
      <c r="F284" s="16">
        <v>-4.8999999999999986</v>
      </c>
    </row>
    <row r="285" spans="1:6" x14ac:dyDescent="0.35">
      <c r="A285" s="22" t="s">
        <v>59</v>
      </c>
      <c r="B285" s="23" t="s">
        <v>134</v>
      </c>
      <c r="C285" s="15">
        <v>2008</v>
      </c>
      <c r="D285" s="15">
        <v>45.54</v>
      </c>
      <c r="E285" s="15" t="s">
        <v>135</v>
      </c>
      <c r="F285" s="16">
        <v>-4.18</v>
      </c>
    </row>
    <row r="286" spans="1:6" x14ac:dyDescent="0.35">
      <c r="A286" s="20" t="s">
        <v>59</v>
      </c>
      <c r="B286" s="21" t="s">
        <v>134</v>
      </c>
      <c r="C286" s="14">
        <v>2009</v>
      </c>
      <c r="D286" s="14">
        <v>45.66</v>
      </c>
      <c r="E286" s="14" t="s">
        <v>135</v>
      </c>
      <c r="F286" s="16">
        <v>-4.0600000000000023</v>
      </c>
    </row>
    <row r="287" spans="1:6" x14ac:dyDescent="0.35">
      <c r="A287" s="22" t="s">
        <v>59</v>
      </c>
      <c r="B287" s="23" t="s">
        <v>134</v>
      </c>
      <c r="C287" s="15">
        <v>2010</v>
      </c>
      <c r="D287" s="15">
        <v>43.02</v>
      </c>
      <c r="E287" s="15" t="s">
        <v>135</v>
      </c>
      <c r="F287" s="16">
        <v>-6.6999999999999957</v>
      </c>
    </row>
    <row r="288" spans="1:6" x14ac:dyDescent="0.35">
      <c r="A288" s="20" t="s">
        <v>59</v>
      </c>
      <c r="B288" s="21" t="s">
        <v>134</v>
      </c>
      <c r="C288" s="14">
        <v>2011</v>
      </c>
      <c r="D288" s="14">
        <v>42.69</v>
      </c>
      <c r="E288" s="14" t="s">
        <v>135</v>
      </c>
      <c r="F288" s="16">
        <v>-7.0300000000000011</v>
      </c>
    </row>
    <row r="289" spans="1:6" x14ac:dyDescent="0.35">
      <c r="A289" s="22" t="s">
        <v>59</v>
      </c>
      <c r="B289" s="23" t="s">
        <v>134</v>
      </c>
      <c r="C289" s="15">
        <v>2012</v>
      </c>
      <c r="D289" s="15">
        <v>37.86</v>
      </c>
      <c r="E289" s="15" t="s">
        <v>135</v>
      </c>
      <c r="F289" s="16">
        <v>-11.86</v>
      </c>
    </row>
    <row r="290" spans="1:6" x14ac:dyDescent="0.35">
      <c r="A290" s="20" t="s">
        <v>59</v>
      </c>
      <c r="B290" s="21" t="s">
        <v>134</v>
      </c>
      <c r="C290" s="14">
        <v>2013</v>
      </c>
      <c r="D290" s="14">
        <v>38.46</v>
      </c>
      <c r="E290" s="14" t="s">
        <v>135</v>
      </c>
      <c r="F290" s="16">
        <v>-11.259999999999998</v>
      </c>
    </row>
    <row r="291" spans="1:6" x14ac:dyDescent="0.35">
      <c r="A291" s="22" t="s">
        <v>59</v>
      </c>
      <c r="B291" s="23" t="s">
        <v>134</v>
      </c>
      <c r="C291" s="15">
        <v>2014</v>
      </c>
      <c r="D291" s="15">
        <v>38.9</v>
      </c>
      <c r="E291" s="15" t="s">
        <v>135</v>
      </c>
      <c r="F291" s="16">
        <v>-10.82</v>
      </c>
    </row>
    <row r="292" spans="1:6" x14ac:dyDescent="0.35">
      <c r="A292" s="20" t="s">
        <v>59</v>
      </c>
      <c r="B292" s="21" t="s">
        <v>134</v>
      </c>
      <c r="C292" s="14">
        <v>2015</v>
      </c>
      <c r="D292" s="14">
        <v>38.93</v>
      </c>
      <c r="E292" s="14" t="s">
        <v>135</v>
      </c>
      <c r="F292" s="16">
        <v>-10.79</v>
      </c>
    </row>
    <row r="293" spans="1:6" x14ac:dyDescent="0.35">
      <c r="A293" s="22" t="s">
        <v>59</v>
      </c>
      <c r="B293" s="23" t="s">
        <v>134</v>
      </c>
      <c r="C293" s="15">
        <v>2016</v>
      </c>
      <c r="D293" s="15">
        <v>36.75</v>
      </c>
      <c r="E293" s="15" t="s">
        <v>135</v>
      </c>
      <c r="F293" s="16">
        <v>-12.969999999999999</v>
      </c>
    </row>
    <row r="294" spans="1:6" x14ac:dyDescent="0.35">
      <c r="A294" s="20" t="s">
        <v>59</v>
      </c>
      <c r="B294" s="21" t="s">
        <v>134</v>
      </c>
      <c r="C294" s="14">
        <v>2017</v>
      </c>
      <c r="D294" s="14">
        <v>37.43</v>
      </c>
      <c r="E294" s="14" t="s">
        <v>135</v>
      </c>
      <c r="F294" s="16">
        <v>-12.29</v>
      </c>
    </row>
    <row r="295" spans="1:6" x14ac:dyDescent="0.35">
      <c r="A295" s="22" t="s">
        <v>59</v>
      </c>
      <c r="B295" s="23" t="s">
        <v>134</v>
      </c>
      <c r="C295" s="15">
        <v>2018</v>
      </c>
      <c r="D295" s="15">
        <v>38.29</v>
      </c>
      <c r="E295" s="15" t="s">
        <v>135</v>
      </c>
      <c r="F295" s="16">
        <v>-11.43</v>
      </c>
    </row>
    <row r="296" spans="1:6" x14ac:dyDescent="0.35">
      <c r="A296" s="20" t="s">
        <v>59</v>
      </c>
      <c r="B296" s="21" t="s">
        <v>134</v>
      </c>
      <c r="C296" s="14">
        <v>2019</v>
      </c>
      <c r="D296" s="14">
        <v>45.65</v>
      </c>
      <c r="E296" s="14" t="s">
        <v>135</v>
      </c>
      <c r="F296" s="16">
        <v>-4.07</v>
      </c>
    </row>
    <row r="297" spans="1:6" x14ac:dyDescent="0.35">
      <c r="A297" s="22" t="s">
        <v>59</v>
      </c>
      <c r="B297" s="23" t="s">
        <v>134</v>
      </c>
      <c r="C297" s="15">
        <v>2020</v>
      </c>
      <c r="D297" s="15">
        <v>45.65</v>
      </c>
      <c r="E297" s="15" t="s">
        <v>135</v>
      </c>
      <c r="F297" s="16">
        <v>-4.07</v>
      </c>
    </row>
    <row r="298" spans="1:6" x14ac:dyDescent="0.35">
      <c r="A298" s="20" t="s">
        <v>59</v>
      </c>
      <c r="B298" s="21" t="s">
        <v>134</v>
      </c>
      <c r="C298" s="14">
        <v>2021</v>
      </c>
      <c r="D298" s="14">
        <v>45.68</v>
      </c>
      <c r="E298" s="14" t="s">
        <v>135</v>
      </c>
      <c r="F298" s="16">
        <v>-4.0399999999999991</v>
      </c>
    </row>
    <row r="299" spans="1:6" x14ac:dyDescent="0.35">
      <c r="A299" s="22" t="s">
        <v>59</v>
      </c>
      <c r="B299" s="23" t="s">
        <v>134</v>
      </c>
      <c r="C299" s="15">
        <v>2022</v>
      </c>
      <c r="D299" s="15">
        <v>45.68</v>
      </c>
      <c r="E299" s="15" t="s">
        <v>135</v>
      </c>
      <c r="F299" s="16">
        <v>-4.0399999999999991</v>
      </c>
    </row>
    <row r="300" spans="1:6" x14ac:dyDescent="0.35">
      <c r="A300" s="20" t="s">
        <v>59</v>
      </c>
      <c r="B300" s="21" t="s">
        <v>134</v>
      </c>
      <c r="C300" s="14">
        <v>2023</v>
      </c>
      <c r="D300" s="14">
        <v>45.69</v>
      </c>
      <c r="E300" s="14" t="s">
        <v>135</v>
      </c>
      <c r="F300" s="16">
        <v>-4.0300000000000011</v>
      </c>
    </row>
    <row r="301" spans="1:6" x14ac:dyDescent="0.35">
      <c r="A301" s="22" t="s">
        <v>59</v>
      </c>
      <c r="B301" s="23" t="s">
        <v>134</v>
      </c>
      <c r="C301" s="15">
        <v>2024</v>
      </c>
      <c r="D301" s="15">
        <v>46.52</v>
      </c>
      <c r="E301" s="15" t="s">
        <v>135</v>
      </c>
      <c r="F301" s="16">
        <v>-3.1999999999999957</v>
      </c>
    </row>
    <row r="302" spans="1:6" x14ac:dyDescent="0.35">
      <c r="A302" s="20" t="s">
        <v>61</v>
      </c>
      <c r="B302" s="21" t="s">
        <v>134</v>
      </c>
      <c r="C302" s="14">
        <v>2000</v>
      </c>
      <c r="D302" s="14">
        <v>65.010000000000005</v>
      </c>
      <c r="E302" s="14">
        <v>65.010000000000005</v>
      </c>
      <c r="F302" s="16">
        <v>0</v>
      </c>
    </row>
    <row r="303" spans="1:6" x14ac:dyDescent="0.35">
      <c r="A303" s="22" t="s">
        <v>61</v>
      </c>
      <c r="B303" s="23" t="s">
        <v>134</v>
      </c>
      <c r="C303" s="15">
        <v>2001</v>
      </c>
      <c r="D303" s="15">
        <v>65.010000000000005</v>
      </c>
      <c r="E303" s="15" t="s">
        <v>135</v>
      </c>
      <c r="F303" s="16">
        <v>0</v>
      </c>
    </row>
    <row r="304" spans="1:6" x14ac:dyDescent="0.35">
      <c r="A304" s="20" t="s">
        <v>61</v>
      </c>
      <c r="B304" s="21" t="s">
        <v>134</v>
      </c>
      <c r="C304" s="14">
        <v>2002</v>
      </c>
      <c r="D304" s="14">
        <v>65.010000000000005</v>
      </c>
      <c r="E304" s="14" t="s">
        <v>135</v>
      </c>
      <c r="F304" s="16">
        <v>0</v>
      </c>
    </row>
    <row r="305" spans="1:6" x14ac:dyDescent="0.35">
      <c r="A305" s="22" t="s">
        <v>61</v>
      </c>
      <c r="B305" s="23" t="s">
        <v>134</v>
      </c>
      <c r="C305" s="15">
        <v>2003</v>
      </c>
      <c r="D305" s="15">
        <v>65.010000000000005</v>
      </c>
      <c r="E305" s="15" t="s">
        <v>135</v>
      </c>
      <c r="F305" s="16">
        <v>0</v>
      </c>
    </row>
    <row r="306" spans="1:6" x14ac:dyDescent="0.35">
      <c r="A306" s="20" t="s">
        <v>61</v>
      </c>
      <c r="B306" s="21" t="s">
        <v>134</v>
      </c>
      <c r="C306" s="14">
        <v>2004</v>
      </c>
      <c r="D306" s="14">
        <v>68.31</v>
      </c>
      <c r="E306" s="14" t="s">
        <v>135</v>
      </c>
      <c r="F306" s="16">
        <v>3.2999999999999972</v>
      </c>
    </row>
    <row r="307" spans="1:6" x14ac:dyDescent="0.35">
      <c r="A307" s="22" t="s">
        <v>61</v>
      </c>
      <c r="B307" s="23" t="s">
        <v>134</v>
      </c>
      <c r="C307" s="15">
        <v>2005</v>
      </c>
      <c r="D307" s="15">
        <v>68.31</v>
      </c>
      <c r="E307" s="15" t="s">
        <v>135</v>
      </c>
      <c r="F307" s="16">
        <v>3.2999999999999972</v>
      </c>
    </row>
    <row r="308" spans="1:6" x14ac:dyDescent="0.35">
      <c r="A308" s="20" t="s">
        <v>61</v>
      </c>
      <c r="B308" s="21" t="s">
        <v>134</v>
      </c>
      <c r="C308" s="14">
        <v>2006</v>
      </c>
      <c r="D308" s="14">
        <v>68.28</v>
      </c>
      <c r="E308" s="14" t="s">
        <v>135</v>
      </c>
      <c r="F308" s="16">
        <v>3.269999999999996</v>
      </c>
    </row>
    <row r="309" spans="1:6" x14ac:dyDescent="0.35">
      <c r="A309" s="22" t="s">
        <v>61</v>
      </c>
      <c r="B309" s="23" t="s">
        <v>134</v>
      </c>
      <c r="C309" s="15">
        <v>2007</v>
      </c>
      <c r="D309" s="15">
        <v>61.06</v>
      </c>
      <c r="E309" s="15" t="s">
        <v>135</v>
      </c>
      <c r="F309" s="16">
        <v>-3.9500000000000028</v>
      </c>
    </row>
    <row r="310" spans="1:6" x14ac:dyDescent="0.35">
      <c r="A310" s="20" t="s">
        <v>61</v>
      </c>
      <c r="B310" s="21" t="s">
        <v>134</v>
      </c>
      <c r="C310" s="14">
        <v>2008</v>
      </c>
      <c r="D310" s="14">
        <v>59.7</v>
      </c>
      <c r="E310" s="14" t="s">
        <v>135</v>
      </c>
      <c r="F310" s="16">
        <v>-5.3100000000000023</v>
      </c>
    </row>
    <row r="311" spans="1:6" x14ac:dyDescent="0.35">
      <c r="A311" s="22" t="s">
        <v>61</v>
      </c>
      <c r="B311" s="23" t="s">
        <v>134</v>
      </c>
      <c r="C311" s="15">
        <v>2009</v>
      </c>
      <c r="D311" s="15">
        <v>60.04</v>
      </c>
      <c r="E311" s="15" t="s">
        <v>135</v>
      </c>
      <c r="F311" s="16">
        <v>-4.970000000000006</v>
      </c>
    </row>
    <row r="312" spans="1:6" x14ac:dyDescent="0.35">
      <c r="A312" s="20" t="s">
        <v>61</v>
      </c>
      <c r="B312" s="21" t="s">
        <v>134</v>
      </c>
      <c r="C312" s="14">
        <v>2010</v>
      </c>
      <c r="D312" s="14">
        <v>53.43</v>
      </c>
      <c r="E312" s="14" t="s">
        <v>135</v>
      </c>
      <c r="F312" s="16">
        <v>-11.580000000000005</v>
      </c>
    </row>
    <row r="313" spans="1:6" x14ac:dyDescent="0.35">
      <c r="A313" s="22" t="s">
        <v>61</v>
      </c>
      <c r="B313" s="23" t="s">
        <v>134</v>
      </c>
      <c r="C313" s="15">
        <v>2011</v>
      </c>
      <c r="D313" s="15">
        <v>54.53</v>
      </c>
      <c r="E313" s="15" t="s">
        <v>135</v>
      </c>
      <c r="F313" s="16">
        <v>-10.480000000000004</v>
      </c>
    </row>
    <row r="314" spans="1:6" x14ac:dyDescent="0.35">
      <c r="A314" s="20" t="s">
        <v>61</v>
      </c>
      <c r="B314" s="21" t="s">
        <v>134</v>
      </c>
      <c r="C314" s="14">
        <v>2012</v>
      </c>
      <c r="D314" s="14">
        <v>51.91</v>
      </c>
      <c r="E314" s="14" t="s">
        <v>135</v>
      </c>
      <c r="F314" s="16">
        <v>-13.100000000000009</v>
      </c>
    </row>
    <row r="315" spans="1:6" x14ac:dyDescent="0.35">
      <c r="A315" s="22" t="s">
        <v>61</v>
      </c>
      <c r="B315" s="23" t="s">
        <v>134</v>
      </c>
      <c r="C315" s="15">
        <v>2013</v>
      </c>
      <c r="D315" s="15">
        <v>56.35</v>
      </c>
      <c r="E315" s="15" t="s">
        <v>135</v>
      </c>
      <c r="F315" s="16">
        <v>-8.6600000000000037</v>
      </c>
    </row>
    <row r="316" spans="1:6" x14ac:dyDescent="0.35">
      <c r="A316" s="20" t="s">
        <v>61</v>
      </c>
      <c r="B316" s="21" t="s">
        <v>134</v>
      </c>
      <c r="C316" s="14">
        <v>2014</v>
      </c>
      <c r="D316" s="14">
        <v>56.44</v>
      </c>
      <c r="E316" s="14" t="s">
        <v>135</v>
      </c>
      <c r="F316" s="16">
        <v>-8.5700000000000074</v>
      </c>
    </row>
    <row r="317" spans="1:6" x14ac:dyDescent="0.35">
      <c r="A317" s="22" t="s">
        <v>61</v>
      </c>
      <c r="B317" s="23" t="s">
        <v>134</v>
      </c>
      <c r="C317" s="15">
        <v>2015</v>
      </c>
      <c r="D317" s="15">
        <v>50.28</v>
      </c>
      <c r="E317" s="15" t="s">
        <v>135</v>
      </c>
      <c r="F317" s="16">
        <v>-14.730000000000004</v>
      </c>
    </row>
    <row r="318" spans="1:6" x14ac:dyDescent="0.35">
      <c r="A318" s="20" t="s">
        <v>61</v>
      </c>
      <c r="B318" s="21" t="s">
        <v>134</v>
      </c>
      <c r="C318" s="14">
        <v>2016</v>
      </c>
      <c r="D318" s="14">
        <v>42.67</v>
      </c>
      <c r="E318" s="14" t="s">
        <v>135</v>
      </c>
      <c r="F318" s="16">
        <v>-22.340000000000003</v>
      </c>
    </row>
    <row r="319" spans="1:6" x14ac:dyDescent="0.35">
      <c r="A319" s="22" t="s">
        <v>61</v>
      </c>
      <c r="B319" s="23" t="s">
        <v>134</v>
      </c>
      <c r="C319" s="15">
        <v>2017</v>
      </c>
      <c r="D319" s="15">
        <v>35.33</v>
      </c>
      <c r="E319" s="15" t="s">
        <v>135</v>
      </c>
      <c r="F319" s="16">
        <v>-29.680000000000007</v>
      </c>
    </row>
    <row r="320" spans="1:6" x14ac:dyDescent="0.35">
      <c r="A320" s="20" t="s">
        <v>61</v>
      </c>
      <c r="B320" s="21" t="s">
        <v>134</v>
      </c>
      <c r="C320" s="14">
        <v>2018</v>
      </c>
      <c r="D320" s="14">
        <v>34.840000000000003</v>
      </c>
      <c r="E320" s="14" t="s">
        <v>135</v>
      </c>
      <c r="F320" s="16">
        <v>-30.17</v>
      </c>
    </row>
    <row r="321" spans="1:6" x14ac:dyDescent="0.35">
      <c r="A321" s="22" t="s">
        <v>61</v>
      </c>
      <c r="B321" s="23" t="s">
        <v>134</v>
      </c>
      <c r="C321" s="15">
        <v>2019</v>
      </c>
      <c r="D321" s="15">
        <v>32.54</v>
      </c>
      <c r="E321" s="15" t="s">
        <v>135</v>
      </c>
      <c r="F321" s="16">
        <v>-32.470000000000006</v>
      </c>
    </row>
    <row r="322" spans="1:6" x14ac:dyDescent="0.35">
      <c r="A322" s="20" t="s">
        <v>61</v>
      </c>
      <c r="B322" s="21" t="s">
        <v>134</v>
      </c>
      <c r="C322" s="14">
        <v>2020</v>
      </c>
      <c r="D322" s="14">
        <v>31.85</v>
      </c>
      <c r="E322" s="14" t="s">
        <v>135</v>
      </c>
      <c r="F322" s="16">
        <v>-33.160000000000004</v>
      </c>
    </row>
    <row r="323" spans="1:6" x14ac:dyDescent="0.35">
      <c r="A323" s="22" t="s">
        <v>61</v>
      </c>
      <c r="B323" s="23" t="s">
        <v>134</v>
      </c>
      <c r="C323" s="15">
        <v>2021</v>
      </c>
      <c r="D323" s="15">
        <v>31.36</v>
      </c>
      <c r="E323" s="15" t="s">
        <v>135</v>
      </c>
      <c r="F323" s="16">
        <v>-33.650000000000006</v>
      </c>
    </row>
    <row r="324" spans="1:6" x14ac:dyDescent="0.35">
      <c r="A324" s="20" t="s">
        <v>61</v>
      </c>
      <c r="B324" s="21" t="s">
        <v>134</v>
      </c>
      <c r="C324" s="14">
        <v>2022</v>
      </c>
      <c r="D324" s="14">
        <v>31.04</v>
      </c>
      <c r="E324" s="14" t="s">
        <v>135</v>
      </c>
      <c r="F324" s="16">
        <v>-33.970000000000006</v>
      </c>
    </row>
    <row r="325" spans="1:6" x14ac:dyDescent="0.35">
      <c r="A325" s="22" t="s">
        <v>61</v>
      </c>
      <c r="B325" s="23" t="s">
        <v>134</v>
      </c>
      <c r="C325" s="15">
        <v>2023</v>
      </c>
      <c r="D325" s="15">
        <v>31.27</v>
      </c>
      <c r="E325" s="15" t="s">
        <v>135</v>
      </c>
      <c r="F325" s="16">
        <v>-33.740000000000009</v>
      </c>
    </row>
    <row r="326" spans="1:6" x14ac:dyDescent="0.35">
      <c r="A326" s="20" t="s">
        <v>61</v>
      </c>
      <c r="B326" s="21" t="s">
        <v>134</v>
      </c>
      <c r="C326" s="14">
        <v>2024</v>
      </c>
      <c r="D326" s="14">
        <v>30.21</v>
      </c>
      <c r="E326" s="14" t="s">
        <v>135</v>
      </c>
      <c r="F326" s="16">
        <v>-34.800000000000004</v>
      </c>
    </row>
    <row r="327" spans="1:6" x14ac:dyDescent="0.35">
      <c r="A327" s="22" t="s">
        <v>63</v>
      </c>
      <c r="B327" s="23" t="s">
        <v>134</v>
      </c>
      <c r="C327" s="15">
        <v>2000</v>
      </c>
      <c r="D327" s="15">
        <v>38.14</v>
      </c>
      <c r="E327" s="15">
        <v>38.14</v>
      </c>
      <c r="F327" s="16">
        <v>0</v>
      </c>
    </row>
    <row r="328" spans="1:6" x14ac:dyDescent="0.35">
      <c r="A328" s="20" t="s">
        <v>63</v>
      </c>
      <c r="B328" s="21" t="s">
        <v>134</v>
      </c>
      <c r="C328" s="14">
        <v>2001</v>
      </c>
      <c r="D328" s="14">
        <v>38.14</v>
      </c>
      <c r="E328" s="14" t="s">
        <v>135</v>
      </c>
      <c r="F328" s="16">
        <v>0</v>
      </c>
    </row>
    <row r="329" spans="1:6" x14ac:dyDescent="0.35">
      <c r="A329" s="22" t="s">
        <v>63</v>
      </c>
      <c r="B329" s="23" t="s">
        <v>134</v>
      </c>
      <c r="C329" s="15">
        <v>2002</v>
      </c>
      <c r="D329" s="15">
        <v>38.14</v>
      </c>
      <c r="E329" s="15" t="s">
        <v>135</v>
      </c>
      <c r="F329" s="16">
        <v>0</v>
      </c>
    </row>
    <row r="330" spans="1:6" x14ac:dyDescent="0.35">
      <c r="A330" s="20" t="s">
        <v>63</v>
      </c>
      <c r="B330" s="21" t="s">
        <v>134</v>
      </c>
      <c r="C330" s="14">
        <v>2003</v>
      </c>
      <c r="D330" s="14">
        <v>38.14</v>
      </c>
      <c r="E330" s="14" t="s">
        <v>135</v>
      </c>
      <c r="F330" s="16">
        <v>0</v>
      </c>
    </row>
    <row r="331" spans="1:6" x14ac:dyDescent="0.35">
      <c r="A331" s="22" t="s">
        <v>63</v>
      </c>
      <c r="B331" s="23" t="s">
        <v>134</v>
      </c>
      <c r="C331" s="15">
        <v>2004</v>
      </c>
      <c r="D331" s="15">
        <v>38.14</v>
      </c>
      <c r="E331" s="15" t="s">
        <v>135</v>
      </c>
      <c r="F331" s="16">
        <v>0</v>
      </c>
    </row>
    <row r="332" spans="1:6" x14ac:dyDescent="0.35">
      <c r="A332" s="20" t="s">
        <v>63</v>
      </c>
      <c r="B332" s="21" t="s">
        <v>134</v>
      </c>
      <c r="C332" s="14">
        <v>2005</v>
      </c>
      <c r="D332" s="14">
        <v>38.14</v>
      </c>
      <c r="E332" s="14" t="s">
        <v>135</v>
      </c>
      <c r="F332" s="16">
        <v>0</v>
      </c>
    </row>
    <row r="333" spans="1:6" x14ac:dyDescent="0.35">
      <c r="A333" s="22" t="s">
        <v>63</v>
      </c>
      <c r="B333" s="23" t="s">
        <v>134</v>
      </c>
      <c r="C333" s="15">
        <v>2006</v>
      </c>
      <c r="D333" s="15">
        <v>38.14</v>
      </c>
      <c r="E333" s="15" t="s">
        <v>135</v>
      </c>
      <c r="F333" s="16">
        <v>0</v>
      </c>
    </row>
    <row r="334" spans="1:6" x14ac:dyDescent="0.35">
      <c r="A334" s="20" t="s">
        <v>63</v>
      </c>
      <c r="B334" s="21" t="s">
        <v>134</v>
      </c>
      <c r="C334" s="14">
        <v>2007</v>
      </c>
      <c r="D334" s="14">
        <v>37.25</v>
      </c>
      <c r="E334" s="14" t="s">
        <v>135</v>
      </c>
      <c r="F334" s="16">
        <v>-0.89000000000000057</v>
      </c>
    </row>
    <row r="335" spans="1:6" x14ac:dyDescent="0.35">
      <c r="A335" s="22" t="s">
        <v>63</v>
      </c>
      <c r="B335" s="23" t="s">
        <v>134</v>
      </c>
      <c r="C335" s="15">
        <v>2008</v>
      </c>
      <c r="D335" s="15">
        <v>40.17</v>
      </c>
      <c r="E335" s="15" t="s">
        <v>135</v>
      </c>
      <c r="F335" s="16">
        <v>2.0300000000000011</v>
      </c>
    </row>
    <row r="336" spans="1:6" x14ac:dyDescent="0.35">
      <c r="A336" s="20" t="s">
        <v>63</v>
      </c>
      <c r="B336" s="21" t="s">
        <v>134</v>
      </c>
      <c r="C336" s="14">
        <v>2009</v>
      </c>
      <c r="D336" s="14">
        <v>39.67</v>
      </c>
      <c r="E336" s="14" t="s">
        <v>135</v>
      </c>
      <c r="F336" s="16">
        <v>1.5300000000000011</v>
      </c>
    </row>
    <row r="337" spans="1:6" x14ac:dyDescent="0.35">
      <c r="A337" s="22" t="s">
        <v>63</v>
      </c>
      <c r="B337" s="23" t="s">
        <v>134</v>
      </c>
      <c r="C337" s="15">
        <v>2010</v>
      </c>
      <c r="D337" s="15">
        <v>50.84</v>
      </c>
      <c r="E337" s="15" t="s">
        <v>135</v>
      </c>
      <c r="F337" s="16">
        <v>12.700000000000003</v>
      </c>
    </row>
    <row r="338" spans="1:6" x14ac:dyDescent="0.35">
      <c r="A338" s="20" t="s">
        <v>63</v>
      </c>
      <c r="B338" s="21" t="s">
        <v>134</v>
      </c>
      <c r="C338" s="14">
        <v>2011</v>
      </c>
      <c r="D338" s="14">
        <v>62.42</v>
      </c>
      <c r="E338" s="14" t="s">
        <v>135</v>
      </c>
      <c r="F338" s="16">
        <v>24.28</v>
      </c>
    </row>
    <row r="339" spans="1:6" x14ac:dyDescent="0.35">
      <c r="A339" s="22" t="s">
        <v>63</v>
      </c>
      <c r="B339" s="23" t="s">
        <v>134</v>
      </c>
      <c r="C339" s="15">
        <v>2012</v>
      </c>
      <c r="D339" s="15">
        <v>60.06</v>
      </c>
      <c r="E339" s="15" t="s">
        <v>135</v>
      </c>
      <c r="F339" s="16">
        <v>21.92</v>
      </c>
    </row>
    <row r="340" spans="1:6" x14ac:dyDescent="0.35">
      <c r="A340" s="20" t="s">
        <v>63</v>
      </c>
      <c r="B340" s="21" t="s">
        <v>134</v>
      </c>
      <c r="C340" s="14">
        <v>2013</v>
      </c>
      <c r="D340" s="14">
        <v>38.049999999999997</v>
      </c>
      <c r="E340" s="14" t="s">
        <v>135</v>
      </c>
      <c r="F340" s="16">
        <v>-9.0000000000003411E-2</v>
      </c>
    </row>
    <row r="341" spans="1:6" x14ac:dyDescent="0.35">
      <c r="A341" s="22" t="s">
        <v>63</v>
      </c>
      <c r="B341" s="23" t="s">
        <v>134</v>
      </c>
      <c r="C341" s="15">
        <v>2014</v>
      </c>
      <c r="D341" s="15">
        <v>38.049999999999997</v>
      </c>
      <c r="E341" s="15" t="s">
        <v>135</v>
      </c>
      <c r="F341" s="16">
        <v>-9.0000000000003411E-2</v>
      </c>
    </row>
    <row r="342" spans="1:6" x14ac:dyDescent="0.35">
      <c r="A342" s="20" t="s">
        <v>63</v>
      </c>
      <c r="B342" s="21" t="s">
        <v>134</v>
      </c>
      <c r="C342" s="14">
        <v>2015</v>
      </c>
      <c r="D342" s="14">
        <v>61.05</v>
      </c>
      <c r="E342" s="14" t="s">
        <v>135</v>
      </c>
      <c r="F342" s="16">
        <v>22.909999999999997</v>
      </c>
    </row>
    <row r="343" spans="1:6" x14ac:dyDescent="0.35">
      <c r="A343" s="22" t="s">
        <v>63</v>
      </c>
      <c r="B343" s="23" t="s">
        <v>134</v>
      </c>
      <c r="C343" s="15">
        <v>2016</v>
      </c>
      <c r="D343" s="15">
        <v>62.05</v>
      </c>
      <c r="E343" s="15" t="s">
        <v>135</v>
      </c>
      <c r="F343" s="16">
        <v>23.909999999999997</v>
      </c>
    </row>
    <row r="344" spans="1:6" x14ac:dyDescent="0.35">
      <c r="A344" s="20" t="s">
        <v>63</v>
      </c>
      <c r="B344" s="21" t="s">
        <v>134</v>
      </c>
      <c r="C344" s="14">
        <v>2017</v>
      </c>
      <c r="D344" s="14">
        <v>60.34</v>
      </c>
      <c r="E344" s="14" t="s">
        <v>135</v>
      </c>
      <c r="F344" s="16">
        <v>22.200000000000003</v>
      </c>
    </row>
    <row r="345" spans="1:6" x14ac:dyDescent="0.35">
      <c r="A345" s="22" t="s">
        <v>63</v>
      </c>
      <c r="B345" s="23" t="s">
        <v>134</v>
      </c>
      <c r="C345" s="15">
        <v>2018</v>
      </c>
      <c r="D345" s="15">
        <v>60.74</v>
      </c>
      <c r="E345" s="15" t="s">
        <v>135</v>
      </c>
      <c r="F345" s="16">
        <v>22.6</v>
      </c>
    </row>
    <row r="346" spans="1:6" x14ac:dyDescent="0.35">
      <c r="A346" s="20" t="s">
        <v>63</v>
      </c>
      <c r="B346" s="21" t="s">
        <v>134</v>
      </c>
      <c r="C346" s="14">
        <v>2019</v>
      </c>
      <c r="D346" s="14">
        <v>62.52</v>
      </c>
      <c r="E346" s="14" t="s">
        <v>135</v>
      </c>
      <c r="F346" s="16">
        <v>24.380000000000003</v>
      </c>
    </row>
    <row r="347" spans="1:6" x14ac:dyDescent="0.35">
      <c r="A347" s="22" t="s">
        <v>63</v>
      </c>
      <c r="B347" s="23" t="s">
        <v>134</v>
      </c>
      <c r="C347" s="15">
        <v>2020</v>
      </c>
      <c r="D347" s="15">
        <v>61.63</v>
      </c>
      <c r="E347" s="15" t="s">
        <v>135</v>
      </c>
      <c r="F347" s="16">
        <v>23.490000000000002</v>
      </c>
    </row>
    <row r="348" spans="1:6" x14ac:dyDescent="0.35">
      <c r="A348" s="20" t="s">
        <v>63</v>
      </c>
      <c r="B348" s="21" t="s">
        <v>134</v>
      </c>
      <c r="C348" s="14">
        <v>2021</v>
      </c>
      <c r="D348" s="14">
        <v>65.959999999999994</v>
      </c>
      <c r="E348" s="14" t="s">
        <v>135</v>
      </c>
      <c r="F348" s="16">
        <v>27.819999999999993</v>
      </c>
    </row>
    <row r="349" spans="1:6" x14ac:dyDescent="0.35">
      <c r="A349" s="22" t="s">
        <v>63</v>
      </c>
      <c r="B349" s="23" t="s">
        <v>134</v>
      </c>
      <c r="C349" s="15">
        <v>2022</v>
      </c>
      <c r="D349" s="15">
        <v>65.989999999999995</v>
      </c>
      <c r="E349" s="15" t="s">
        <v>135</v>
      </c>
      <c r="F349" s="16">
        <v>27.849999999999994</v>
      </c>
    </row>
    <row r="350" spans="1:6" x14ac:dyDescent="0.35">
      <c r="A350" s="20" t="s">
        <v>63</v>
      </c>
      <c r="B350" s="21" t="s">
        <v>134</v>
      </c>
      <c r="C350" s="14">
        <v>2023</v>
      </c>
      <c r="D350" s="14">
        <v>66.010000000000005</v>
      </c>
      <c r="E350" s="14" t="s">
        <v>135</v>
      </c>
      <c r="F350" s="16">
        <v>27.870000000000005</v>
      </c>
    </row>
    <row r="351" spans="1:6" x14ac:dyDescent="0.35">
      <c r="A351" s="22" t="s">
        <v>63</v>
      </c>
      <c r="B351" s="23" t="s">
        <v>134</v>
      </c>
      <c r="C351" s="15">
        <v>2024</v>
      </c>
      <c r="D351" s="15">
        <v>66.010000000000005</v>
      </c>
      <c r="E351" s="15" t="s">
        <v>135</v>
      </c>
      <c r="F351" s="16">
        <v>27.870000000000005</v>
      </c>
    </row>
    <row r="352" spans="1:6" x14ac:dyDescent="0.35">
      <c r="A352" s="20" t="s">
        <v>69</v>
      </c>
      <c r="B352" s="21" t="s">
        <v>134</v>
      </c>
      <c r="C352" s="14">
        <v>2000</v>
      </c>
      <c r="D352" s="14">
        <v>76.930000000000007</v>
      </c>
      <c r="E352" s="14">
        <v>76.930000000000007</v>
      </c>
      <c r="F352" s="16">
        <v>0</v>
      </c>
    </row>
    <row r="353" spans="1:6" x14ac:dyDescent="0.35">
      <c r="A353" s="22" t="s">
        <v>69</v>
      </c>
      <c r="B353" s="23" t="s">
        <v>134</v>
      </c>
      <c r="C353" s="15">
        <v>2001</v>
      </c>
      <c r="D353" s="15">
        <v>76.930000000000007</v>
      </c>
      <c r="E353" s="15" t="s">
        <v>135</v>
      </c>
      <c r="F353" s="16">
        <v>0</v>
      </c>
    </row>
    <row r="354" spans="1:6" x14ac:dyDescent="0.35">
      <c r="A354" s="20" t="s">
        <v>69</v>
      </c>
      <c r="B354" s="21" t="s">
        <v>134</v>
      </c>
      <c r="C354" s="14">
        <v>2002</v>
      </c>
      <c r="D354" s="14">
        <v>76.989999999999995</v>
      </c>
      <c r="E354" s="14" t="s">
        <v>135</v>
      </c>
      <c r="F354" s="16">
        <v>5.9999999999988063E-2</v>
      </c>
    </row>
    <row r="355" spans="1:6" x14ac:dyDescent="0.35">
      <c r="A355" s="22" t="s">
        <v>69</v>
      </c>
      <c r="B355" s="23" t="s">
        <v>134</v>
      </c>
      <c r="C355" s="15">
        <v>2003</v>
      </c>
      <c r="D355" s="15">
        <v>65.709999999999994</v>
      </c>
      <c r="E355" s="15" t="s">
        <v>135</v>
      </c>
      <c r="F355" s="16">
        <v>-11.220000000000013</v>
      </c>
    </row>
    <row r="356" spans="1:6" x14ac:dyDescent="0.35">
      <c r="A356" s="20" t="s">
        <v>69</v>
      </c>
      <c r="B356" s="21" t="s">
        <v>134</v>
      </c>
      <c r="C356" s="14">
        <v>2004</v>
      </c>
      <c r="D356" s="14">
        <v>67.62</v>
      </c>
      <c r="E356" s="14" t="s">
        <v>135</v>
      </c>
      <c r="F356" s="16">
        <v>-9.3100000000000023</v>
      </c>
    </row>
    <row r="357" spans="1:6" x14ac:dyDescent="0.35">
      <c r="A357" s="22" t="s">
        <v>69</v>
      </c>
      <c r="B357" s="23" t="s">
        <v>134</v>
      </c>
      <c r="C357" s="15">
        <v>2005</v>
      </c>
      <c r="D357" s="15">
        <v>70.87</v>
      </c>
      <c r="E357" s="15" t="s">
        <v>135</v>
      </c>
      <c r="F357" s="16">
        <v>-6.0600000000000023</v>
      </c>
    </row>
    <row r="358" spans="1:6" x14ac:dyDescent="0.35">
      <c r="A358" s="20" t="s">
        <v>69</v>
      </c>
      <c r="B358" s="21" t="s">
        <v>134</v>
      </c>
      <c r="C358" s="14">
        <v>2006</v>
      </c>
      <c r="D358" s="14">
        <v>74.569999999999993</v>
      </c>
      <c r="E358" s="14" t="s">
        <v>135</v>
      </c>
      <c r="F358" s="16">
        <v>-2.3600000000000136</v>
      </c>
    </row>
    <row r="359" spans="1:6" x14ac:dyDescent="0.35">
      <c r="A359" s="22" t="s">
        <v>69</v>
      </c>
      <c r="B359" s="23" t="s">
        <v>134</v>
      </c>
      <c r="C359" s="15">
        <v>2007</v>
      </c>
      <c r="D359" s="15">
        <v>68.59</v>
      </c>
      <c r="E359" s="15" t="s">
        <v>135</v>
      </c>
      <c r="F359" s="16">
        <v>-8.3400000000000034</v>
      </c>
    </row>
    <row r="360" spans="1:6" x14ac:dyDescent="0.35">
      <c r="A360" s="20" t="s">
        <v>69</v>
      </c>
      <c r="B360" s="21" t="s">
        <v>134</v>
      </c>
      <c r="C360" s="14">
        <v>2008</v>
      </c>
      <c r="D360" s="14">
        <v>67.28</v>
      </c>
      <c r="E360" s="14" t="s">
        <v>135</v>
      </c>
      <c r="F360" s="16">
        <v>-9.6500000000000057</v>
      </c>
    </row>
    <row r="361" spans="1:6" x14ac:dyDescent="0.35">
      <c r="A361" s="22" t="s">
        <v>69</v>
      </c>
      <c r="B361" s="23" t="s">
        <v>134</v>
      </c>
      <c r="C361" s="15">
        <v>2009</v>
      </c>
      <c r="D361" s="15">
        <v>68.650000000000006</v>
      </c>
      <c r="E361" s="15" t="s">
        <v>135</v>
      </c>
      <c r="F361" s="16">
        <v>-8.2800000000000011</v>
      </c>
    </row>
    <row r="362" spans="1:6" x14ac:dyDescent="0.35">
      <c r="A362" s="20" t="s">
        <v>69</v>
      </c>
      <c r="B362" s="21" t="s">
        <v>134</v>
      </c>
      <c r="C362" s="14">
        <v>2010</v>
      </c>
      <c r="D362" s="14">
        <v>68.09</v>
      </c>
      <c r="E362" s="14" t="s">
        <v>135</v>
      </c>
      <c r="F362" s="16">
        <v>-8.8400000000000034</v>
      </c>
    </row>
    <row r="363" spans="1:6" x14ac:dyDescent="0.35">
      <c r="A363" s="22" t="s">
        <v>69</v>
      </c>
      <c r="B363" s="23" t="s">
        <v>134</v>
      </c>
      <c r="C363" s="15">
        <v>2011</v>
      </c>
      <c r="D363" s="15">
        <v>64.430000000000007</v>
      </c>
      <c r="E363" s="15" t="s">
        <v>135</v>
      </c>
      <c r="F363" s="16">
        <v>-12.5</v>
      </c>
    </row>
    <row r="364" spans="1:6" x14ac:dyDescent="0.35">
      <c r="A364" s="20" t="s">
        <v>69</v>
      </c>
      <c r="B364" s="21" t="s">
        <v>134</v>
      </c>
      <c r="C364" s="14">
        <v>2012</v>
      </c>
      <c r="D364" s="14">
        <v>65.59</v>
      </c>
      <c r="E364" s="14" t="s">
        <v>135</v>
      </c>
      <c r="F364" s="16">
        <v>-11.340000000000003</v>
      </c>
    </row>
    <row r="365" spans="1:6" x14ac:dyDescent="0.35">
      <c r="A365" s="22" t="s">
        <v>69</v>
      </c>
      <c r="B365" s="23" t="s">
        <v>134</v>
      </c>
      <c r="C365" s="15">
        <v>2013</v>
      </c>
      <c r="D365" s="15">
        <v>65.569999999999993</v>
      </c>
      <c r="E365" s="15" t="s">
        <v>135</v>
      </c>
      <c r="F365" s="16">
        <v>-11.360000000000014</v>
      </c>
    </row>
    <row r="366" spans="1:6" x14ac:dyDescent="0.35">
      <c r="A366" s="20" t="s">
        <v>69</v>
      </c>
      <c r="B366" s="21" t="s">
        <v>134</v>
      </c>
      <c r="C366" s="14">
        <v>2014</v>
      </c>
      <c r="D366" s="14">
        <v>65.45</v>
      </c>
      <c r="E366" s="14" t="s">
        <v>135</v>
      </c>
      <c r="F366" s="16">
        <v>-11.480000000000004</v>
      </c>
    </row>
    <row r="367" spans="1:6" x14ac:dyDescent="0.35">
      <c r="A367" s="22" t="s">
        <v>69</v>
      </c>
      <c r="B367" s="23" t="s">
        <v>134</v>
      </c>
      <c r="C367" s="15">
        <v>2015</v>
      </c>
      <c r="D367" s="15">
        <v>65.33</v>
      </c>
      <c r="E367" s="15" t="s">
        <v>135</v>
      </c>
      <c r="F367" s="16">
        <v>-11.600000000000009</v>
      </c>
    </row>
    <row r="368" spans="1:6" x14ac:dyDescent="0.35">
      <c r="A368" s="20" t="s">
        <v>69</v>
      </c>
      <c r="B368" s="21" t="s">
        <v>134</v>
      </c>
      <c r="C368" s="14">
        <v>2016</v>
      </c>
      <c r="D368" s="14">
        <v>66.14</v>
      </c>
      <c r="E368" s="14" t="s">
        <v>135</v>
      </c>
      <c r="F368" s="16">
        <v>-10.790000000000006</v>
      </c>
    </row>
    <row r="369" spans="1:6" x14ac:dyDescent="0.35">
      <c r="A369" s="22" t="s">
        <v>69</v>
      </c>
      <c r="B369" s="23" t="s">
        <v>134</v>
      </c>
      <c r="C369" s="15">
        <v>2017</v>
      </c>
      <c r="D369" s="15">
        <v>67.56</v>
      </c>
      <c r="E369" s="15" t="s">
        <v>135</v>
      </c>
      <c r="F369" s="16">
        <v>-9.3700000000000045</v>
      </c>
    </row>
    <row r="370" spans="1:6" x14ac:dyDescent="0.35">
      <c r="A370" s="20" t="s">
        <v>69</v>
      </c>
      <c r="B370" s="21" t="s">
        <v>134</v>
      </c>
      <c r="C370" s="14">
        <v>2018</v>
      </c>
      <c r="D370" s="14">
        <v>71.84</v>
      </c>
      <c r="E370" s="14" t="s">
        <v>135</v>
      </c>
      <c r="F370" s="16">
        <v>-5.0900000000000034</v>
      </c>
    </row>
    <row r="371" spans="1:6" x14ac:dyDescent="0.35">
      <c r="A371" s="22" t="s">
        <v>69</v>
      </c>
      <c r="B371" s="23" t="s">
        <v>134</v>
      </c>
      <c r="C371" s="15">
        <v>2019</v>
      </c>
      <c r="D371" s="15">
        <v>72.099999999999994</v>
      </c>
      <c r="E371" s="15" t="s">
        <v>135</v>
      </c>
      <c r="F371" s="16">
        <v>-4.8300000000000125</v>
      </c>
    </row>
    <row r="372" spans="1:6" x14ac:dyDescent="0.35">
      <c r="A372" s="20" t="s">
        <v>69</v>
      </c>
      <c r="B372" s="21" t="s">
        <v>134</v>
      </c>
      <c r="C372" s="14">
        <v>2020</v>
      </c>
      <c r="D372" s="14">
        <v>75.41</v>
      </c>
      <c r="E372" s="14" t="s">
        <v>135</v>
      </c>
      <c r="F372" s="16">
        <v>-1.5200000000000102</v>
      </c>
    </row>
    <row r="373" spans="1:6" x14ac:dyDescent="0.35">
      <c r="A373" s="22" t="s">
        <v>69</v>
      </c>
      <c r="B373" s="23" t="s">
        <v>134</v>
      </c>
      <c r="C373" s="15">
        <v>2021</v>
      </c>
      <c r="D373" s="15">
        <v>76.72</v>
      </c>
      <c r="E373" s="15" t="s">
        <v>135</v>
      </c>
      <c r="F373" s="16">
        <v>-0.21000000000000796</v>
      </c>
    </row>
    <row r="374" spans="1:6" x14ac:dyDescent="0.35">
      <c r="A374" s="20" t="s">
        <v>69</v>
      </c>
      <c r="B374" s="21" t="s">
        <v>134</v>
      </c>
      <c r="C374" s="14">
        <v>2022</v>
      </c>
      <c r="D374" s="14">
        <v>79.599999999999994</v>
      </c>
      <c r="E374" s="14" t="s">
        <v>135</v>
      </c>
      <c r="F374" s="16">
        <v>2.6699999999999875</v>
      </c>
    </row>
    <row r="375" spans="1:6" x14ac:dyDescent="0.35">
      <c r="A375" s="22" t="s">
        <v>69</v>
      </c>
      <c r="B375" s="23" t="s">
        <v>134</v>
      </c>
      <c r="C375" s="15">
        <v>2023</v>
      </c>
      <c r="D375" s="15">
        <v>82.89</v>
      </c>
      <c r="E375" s="15" t="s">
        <v>135</v>
      </c>
      <c r="F375" s="16">
        <v>5.9599999999999937</v>
      </c>
    </row>
    <row r="376" spans="1:6" x14ac:dyDescent="0.35">
      <c r="A376" s="20" t="s">
        <v>69</v>
      </c>
      <c r="B376" s="21" t="s">
        <v>134</v>
      </c>
      <c r="C376" s="14">
        <v>2024</v>
      </c>
      <c r="D376" s="14">
        <v>83.23</v>
      </c>
      <c r="E376" s="14" t="s">
        <v>135</v>
      </c>
      <c r="F376" s="16">
        <v>6.2999999999999972</v>
      </c>
    </row>
    <row r="377" spans="1:6" x14ac:dyDescent="0.35">
      <c r="A377" s="22" t="s">
        <v>75</v>
      </c>
      <c r="B377" s="23" t="s">
        <v>134</v>
      </c>
      <c r="C377" s="15">
        <v>2000</v>
      </c>
      <c r="D377" s="15">
        <v>98.43</v>
      </c>
      <c r="E377" s="15">
        <v>98.43</v>
      </c>
      <c r="F377" s="16">
        <v>0</v>
      </c>
    </row>
    <row r="378" spans="1:6" x14ac:dyDescent="0.35">
      <c r="A378" s="20" t="s">
        <v>75</v>
      </c>
      <c r="B378" s="21" t="s">
        <v>134</v>
      </c>
      <c r="C378" s="14">
        <v>2001</v>
      </c>
      <c r="D378" s="14">
        <v>98.43</v>
      </c>
      <c r="E378" s="14" t="s">
        <v>135</v>
      </c>
      <c r="F378" s="16">
        <v>0</v>
      </c>
    </row>
    <row r="379" spans="1:6" x14ac:dyDescent="0.35">
      <c r="A379" s="22" t="s">
        <v>75</v>
      </c>
      <c r="B379" s="23" t="s">
        <v>134</v>
      </c>
      <c r="C379" s="15">
        <v>2002</v>
      </c>
      <c r="D379" s="15">
        <v>98.43</v>
      </c>
      <c r="E379" s="15" t="s">
        <v>135</v>
      </c>
      <c r="F379" s="16">
        <v>0</v>
      </c>
    </row>
    <row r="380" spans="1:6" x14ac:dyDescent="0.35">
      <c r="A380" s="20" t="s">
        <v>75</v>
      </c>
      <c r="B380" s="21" t="s">
        <v>134</v>
      </c>
      <c r="C380" s="14">
        <v>2003</v>
      </c>
      <c r="D380" s="14">
        <v>99.34</v>
      </c>
      <c r="E380" s="14" t="s">
        <v>135</v>
      </c>
      <c r="F380" s="16">
        <v>0.90999999999999659</v>
      </c>
    </row>
    <row r="381" spans="1:6" x14ac:dyDescent="0.35">
      <c r="A381" s="22" t="s">
        <v>75</v>
      </c>
      <c r="B381" s="23" t="s">
        <v>134</v>
      </c>
      <c r="C381" s="15">
        <v>2004</v>
      </c>
      <c r="D381" s="15">
        <v>99.34</v>
      </c>
      <c r="E381" s="15" t="s">
        <v>135</v>
      </c>
      <c r="F381" s="16">
        <v>0.90999999999999659</v>
      </c>
    </row>
    <row r="382" spans="1:6" x14ac:dyDescent="0.35">
      <c r="A382" s="20" t="s">
        <v>75</v>
      </c>
      <c r="B382" s="21" t="s">
        <v>134</v>
      </c>
      <c r="C382" s="14">
        <v>2005</v>
      </c>
      <c r="D382" s="14">
        <v>99.34</v>
      </c>
      <c r="E382" s="14" t="s">
        <v>135</v>
      </c>
      <c r="F382" s="16">
        <v>0.90999999999999659</v>
      </c>
    </row>
    <row r="383" spans="1:6" x14ac:dyDescent="0.35">
      <c r="A383" s="22" t="s">
        <v>75</v>
      </c>
      <c r="B383" s="23" t="s">
        <v>134</v>
      </c>
      <c r="C383" s="15">
        <v>2006</v>
      </c>
      <c r="D383" s="15">
        <v>99.32</v>
      </c>
      <c r="E383" s="15" t="s">
        <v>135</v>
      </c>
      <c r="F383" s="16">
        <v>0.88999999999998636</v>
      </c>
    </row>
    <row r="384" spans="1:6" x14ac:dyDescent="0.35">
      <c r="A384" s="20" t="s">
        <v>75</v>
      </c>
      <c r="B384" s="21" t="s">
        <v>134</v>
      </c>
      <c r="C384" s="14">
        <v>2007</v>
      </c>
      <c r="D384" s="14">
        <v>99.32</v>
      </c>
      <c r="E384" s="14" t="s">
        <v>135</v>
      </c>
      <c r="F384" s="16">
        <v>0.88999999999998636</v>
      </c>
    </row>
    <row r="385" spans="1:6" x14ac:dyDescent="0.35">
      <c r="A385" s="22" t="s">
        <v>75</v>
      </c>
      <c r="B385" s="23" t="s">
        <v>134</v>
      </c>
      <c r="C385" s="15">
        <v>2008</v>
      </c>
      <c r="D385" s="15">
        <v>99.32</v>
      </c>
      <c r="E385" s="15" t="s">
        <v>135</v>
      </c>
      <c r="F385" s="16">
        <v>0.88999999999998636</v>
      </c>
    </row>
    <row r="386" spans="1:6" x14ac:dyDescent="0.35">
      <c r="A386" s="20" t="s">
        <v>75</v>
      </c>
      <c r="B386" s="21" t="s">
        <v>134</v>
      </c>
      <c r="C386" s="14">
        <v>2009</v>
      </c>
      <c r="D386" s="14">
        <v>99.32</v>
      </c>
      <c r="E386" s="14" t="s">
        <v>135</v>
      </c>
      <c r="F386" s="16">
        <v>0.88999999999998636</v>
      </c>
    </row>
    <row r="387" spans="1:6" x14ac:dyDescent="0.35">
      <c r="A387" s="22" t="s">
        <v>75</v>
      </c>
      <c r="B387" s="23" t="s">
        <v>134</v>
      </c>
      <c r="C387" s="15">
        <v>2010</v>
      </c>
      <c r="D387" s="15">
        <v>99.32</v>
      </c>
      <c r="E387" s="15" t="s">
        <v>135</v>
      </c>
      <c r="F387" s="16">
        <v>0.88999999999998636</v>
      </c>
    </row>
    <row r="388" spans="1:6" x14ac:dyDescent="0.35">
      <c r="A388" s="20" t="s">
        <v>75</v>
      </c>
      <c r="B388" s="21" t="s">
        <v>134</v>
      </c>
      <c r="C388" s="14">
        <v>2011</v>
      </c>
      <c r="D388" s="14">
        <v>99.32</v>
      </c>
      <c r="E388" s="14" t="s">
        <v>135</v>
      </c>
      <c r="F388" s="16">
        <v>0.88999999999998636</v>
      </c>
    </row>
    <row r="389" spans="1:6" x14ac:dyDescent="0.35">
      <c r="A389" s="22" t="s">
        <v>75</v>
      </c>
      <c r="B389" s="23" t="s">
        <v>134</v>
      </c>
      <c r="C389" s="15">
        <v>2012</v>
      </c>
      <c r="D389" s="15">
        <v>99.34</v>
      </c>
      <c r="E389" s="15" t="s">
        <v>135</v>
      </c>
      <c r="F389" s="16">
        <v>0.90999999999999659</v>
      </c>
    </row>
    <row r="390" spans="1:6" x14ac:dyDescent="0.35">
      <c r="A390" s="20" t="s">
        <v>75</v>
      </c>
      <c r="B390" s="21" t="s">
        <v>134</v>
      </c>
      <c r="C390" s="14">
        <v>2013</v>
      </c>
      <c r="D390" s="14">
        <v>99.33</v>
      </c>
      <c r="E390" s="14" t="s">
        <v>135</v>
      </c>
      <c r="F390" s="16">
        <v>0.89999999999999147</v>
      </c>
    </row>
    <row r="391" spans="1:6" x14ac:dyDescent="0.35">
      <c r="A391" s="22" t="s">
        <v>75</v>
      </c>
      <c r="B391" s="23" t="s">
        <v>134</v>
      </c>
      <c r="C391" s="15">
        <v>2014</v>
      </c>
      <c r="D391" s="15">
        <v>99.33</v>
      </c>
      <c r="E391" s="15" t="s">
        <v>135</v>
      </c>
      <c r="F391" s="16">
        <v>0.89999999999999147</v>
      </c>
    </row>
    <row r="392" spans="1:6" x14ac:dyDescent="0.35">
      <c r="A392" s="20" t="s">
        <v>75</v>
      </c>
      <c r="B392" s="21" t="s">
        <v>134</v>
      </c>
      <c r="C392" s="14">
        <v>2015</v>
      </c>
      <c r="D392" s="14">
        <v>99.33</v>
      </c>
      <c r="E392" s="14" t="s">
        <v>135</v>
      </c>
      <c r="F392" s="16">
        <v>0.89999999999999147</v>
      </c>
    </row>
    <row r="393" spans="1:6" x14ac:dyDescent="0.35">
      <c r="A393" s="22" t="s">
        <v>75</v>
      </c>
      <c r="B393" s="23" t="s">
        <v>134</v>
      </c>
      <c r="C393" s="15">
        <v>2016</v>
      </c>
      <c r="D393" s="15">
        <v>99.33</v>
      </c>
      <c r="E393" s="15" t="s">
        <v>135</v>
      </c>
      <c r="F393" s="16">
        <v>0.89999999999999147</v>
      </c>
    </row>
    <row r="394" spans="1:6" x14ac:dyDescent="0.35">
      <c r="A394" s="20" t="s">
        <v>75</v>
      </c>
      <c r="B394" s="21" t="s">
        <v>134</v>
      </c>
      <c r="C394" s="14">
        <v>2017</v>
      </c>
      <c r="D394" s="14">
        <v>99.33</v>
      </c>
      <c r="E394" s="14" t="s">
        <v>135</v>
      </c>
      <c r="F394" s="16">
        <v>0.89999999999999147</v>
      </c>
    </row>
    <row r="395" spans="1:6" x14ac:dyDescent="0.35">
      <c r="A395" s="22" t="s">
        <v>75</v>
      </c>
      <c r="B395" s="23" t="s">
        <v>134</v>
      </c>
      <c r="C395" s="15">
        <v>2018</v>
      </c>
      <c r="D395" s="15">
        <v>99.33</v>
      </c>
      <c r="E395" s="15" t="s">
        <v>135</v>
      </c>
      <c r="F395" s="16">
        <v>0.89999999999999147</v>
      </c>
    </row>
    <row r="396" spans="1:6" x14ac:dyDescent="0.35">
      <c r="A396" s="20" t="s">
        <v>75</v>
      </c>
      <c r="B396" s="21" t="s">
        <v>134</v>
      </c>
      <c r="C396" s="14">
        <v>2019</v>
      </c>
      <c r="D396" s="14">
        <v>99.34</v>
      </c>
      <c r="E396" s="14" t="s">
        <v>135</v>
      </c>
      <c r="F396" s="16">
        <v>0.90999999999999659</v>
      </c>
    </row>
    <row r="397" spans="1:6" x14ac:dyDescent="0.35">
      <c r="A397" s="22" t="s">
        <v>75</v>
      </c>
      <c r="B397" s="23" t="s">
        <v>134</v>
      </c>
      <c r="C397" s="15">
        <v>2020</v>
      </c>
      <c r="D397" s="15">
        <v>99.34</v>
      </c>
      <c r="E397" s="15" t="s">
        <v>135</v>
      </c>
      <c r="F397" s="16">
        <v>0.90999999999999659</v>
      </c>
    </row>
    <row r="398" spans="1:6" x14ac:dyDescent="0.35">
      <c r="A398" s="20" t="s">
        <v>75</v>
      </c>
      <c r="B398" s="21" t="s">
        <v>134</v>
      </c>
      <c r="C398" s="14">
        <v>2021</v>
      </c>
      <c r="D398" s="14">
        <v>99.31</v>
      </c>
      <c r="E398" s="14" t="s">
        <v>135</v>
      </c>
      <c r="F398" s="16">
        <v>0.87999999999999545</v>
      </c>
    </row>
    <row r="399" spans="1:6" x14ac:dyDescent="0.35">
      <c r="A399" s="22" t="s">
        <v>75</v>
      </c>
      <c r="B399" s="23" t="s">
        <v>134</v>
      </c>
      <c r="C399" s="15">
        <v>2022</v>
      </c>
      <c r="D399" s="15">
        <v>99.3</v>
      </c>
      <c r="E399" s="15" t="s">
        <v>135</v>
      </c>
      <c r="F399" s="16">
        <v>0.86999999999999034</v>
      </c>
    </row>
    <row r="400" spans="1:6" x14ac:dyDescent="0.35">
      <c r="A400" s="20" t="s">
        <v>75</v>
      </c>
      <c r="B400" s="21" t="s">
        <v>134</v>
      </c>
      <c r="C400" s="14">
        <v>2023</v>
      </c>
      <c r="D400" s="14">
        <v>99.41</v>
      </c>
      <c r="E400" s="14" t="s">
        <v>135</v>
      </c>
      <c r="F400" s="16">
        <v>0.97999999999998977</v>
      </c>
    </row>
    <row r="401" spans="1:6" x14ac:dyDescent="0.35">
      <c r="A401" s="22" t="s">
        <v>75</v>
      </c>
      <c r="B401" s="23" t="s">
        <v>134</v>
      </c>
      <c r="C401" s="15">
        <v>2024</v>
      </c>
      <c r="D401" s="15">
        <v>98.84</v>
      </c>
      <c r="E401" s="15" t="s">
        <v>135</v>
      </c>
      <c r="F401" s="16">
        <v>0.40999999999999659</v>
      </c>
    </row>
    <row r="402" spans="1:6" x14ac:dyDescent="0.35">
      <c r="A402" s="20" t="s">
        <v>71</v>
      </c>
      <c r="B402" s="21" t="s">
        <v>134</v>
      </c>
      <c r="C402" s="14">
        <v>2000</v>
      </c>
      <c r="D402" s="14">
        <v>6.42</v>
      </c>
      <c r="E402" s="14">
        <v>6.42</v>
      </c>
      <c r="F402" s="16">
        <v>0</v>
      </c>
    </row>
    <row r="403" spans="1:6" x14ac:dyDescent="0.35">
      <c r="A403" s="22" t="s">
        <v>71</v>
      </c>
      <c r="B403" s="23" t="s">
        <v>134</v>
      </c>
      <c r="C403" s="15">
        <v>2001</v>
      </c>
      <c r="D403" s="15">
        <v>6.42</v>
      </c>
      <c r="E403" s="15" t="s">
        <v>135</v>
      </c>
      <c r="F403" s="16">
        <v>0</v>
      </c>
    </row>
    <row r="404" spans="1:6" x14ac:dyDescent="0.35">
      <c r="A404" s="20" t="s">
        <v>71</v>
      </c>
      <c r="B404" s="21" t="s">
        <v>134</v>
      </c>
      <c r="C404" s="14">
        <v>2002</v>
      </c>
      <c r="D404" s="14">
        <v>6.42</v>
      </c>
      <c r="E404" s="14" t="s">
        <v>135</v>
      </c>
      <c r="F404" s="16">
        <v>0</v>
      </c>
    </row>
    <row r="405" spans="1:6" x14ac:dyDescent="0.35">
      <c r="A405" s="22" t="s">
        <v>71</v>
      </c>
      <c r="B405" s="23" t="s">
        <v>134</v>
      </c>
      <c r="C405" s="15">
        <v>2003</v>
      </c>
      <c r="D405" s="15">
        <v>6.42</v>
      </c>
      <c r="E405" s="15" t="s">
        <v>135</v>
      </c>
      <c r="F405" s="16">
        <v>0</v>
      </c>
    </row>
    <row r="406" spans="1:6" x14ac:dyDescent="0.35">
      <c r="A406" s="20" t="s">
        <v>71</v>
      </c>
      <c r="B406" s="21" t="s">
        <v>134</v>
      </c>
      <c r="C406" s="14">
        <v>2004</v>
      </c>
      <c r="D406" s="14">
        <v>6.17</v>
      </c>
      <c r="E406" s="14" t="s">
        <v>135</v>
      </c>
      <c r="F406" s="16">
        <v>-0.25</v>
      </c>
    </row>
    <row r="407" spans="1:6" x14ac:dyDescent="0.35">
      <c r="A407" s="22" t="s">
        <v>71</v>
      </c>
      <c r="B407" s="23" t="s">
        <v>134</v>
      </c>
      <c r="C407" s="15">
        <v>2005</v>
      </c>
      <c r="D407" s="15">
        <v>6.17</v>
      </c>
      <c r="E407" s="15" t="s">
        <v>135</v>
      </c>
      <c r="F407" s="16">
        <v>-0.25</v>
      </c>
    </row>
    <row r="408" spans="1:6" x14ac:dyDescent="0.35">
      <c r="A408" s="20" t="s">
        <v>71</v>
      </c>
      <c r="B408" s="21" t="s">
        <v>134</v>
      </c>
      <c r="C408" s="14">
        <v>2006</v>
      </c>
      <c r="D408" s="14">
        <v>6.17</v>
      </c>
      <c r="E408" s="14" t="s">
        <v>135</v>
      </c>
      <c r="F408" s="16">
        <v>-0.25</v>
      </c>
    </row>
    <row r="409" spans="1:6" x14ac:dyDescent="0.35">
      <c r="A409" s="22" t="s">
        <v>71</v>
      </c>
      <c r="B409" s="23" t="s">
        <v>134</v>
      </c>
      <c r="C409" s="15">
        <v>2007</v>
      </c>
      <c r="D409" s="15">
        <v>5.8</v>
      </c>
      <c r="E409" s="15" t="s">
        <v>135</v>
      </c>
      <c r="F409" s="16">
        <v>-0.62000000000000011</v>
      </c>
    </row>
    <row r="410" spans="1:6" x14ac:dyDescent="0.35">
      <c r="A410" s="20" t="s">
        <v>71</v>
      </c>
      <c r="B410" s="21" t="s">
        <v>134</v>
      </c>
      <c r="C410" s="14">
        <v>2008</v>
      </c>
      <c r="D410" s="14">
        <v>5.8</v>
      </c>
      <c r="E410" s="14" t="s">
        <v>135</v>
      </c>
      <c r="F410" s="16">
        <v>-0.62000000000000011</v>
      </c>
    </row>
    <row r="411" spans="1:6" x14ac:dyDescent="0.35">
      <c r="A411" s="22" t="s">
        <v>71</v>
      </c>
      <c r="B411" s="23" t="s">
        <v>134</v>
      </c>
      <c r="C411" s="15">
        <v>2009</v>
      </c>
      <c r="D411" s="15">
        <v>5.8</v>
      </c>
      <c r="E411" s="15" t="s">
        <v>135</v>
      </c>
      <c r="F411" s="16">
        <v>-0.62000000000000011</v>
      </c>
    </row>
    <row r="412" spans="1:6" x14ac:dyDescent="0.35">
      <c r="A412" s="20" t="s">
        <v>71</v>
      </c>
      <c r="B412" s="21" t="s">
        <v>134</v>
      </c>
      <c r="C412" s="14">
        <v>2010</v>
      </c>
      <c r="D412" s="14">
        <v>5.21</v>
      </c>
      <c r="E412" s="14" t="s">
        <v>135</v>
      </c>
      <c r="F412" s="16">
        <v>-1.21</v>
      </c>
    </row>
    <row r="413" spans="1:6" x14ac:dyDescent="0.35">
      <c r="A413" s="22" t="s">
        <v>71</v>
      </c>
      <c r="B413" s="23" t="s">
        <v>134</v>
      </c>
      <c r="C413" s="15">
        <v>2011</v>
      </c>
      <c r="D413" s="15">
        <v>5.09</v>
      </c>
      <c r="E413" s="15" t="s">
        <v>135</v>
      </c>
      <c r="F413" s="16">
        <v>-1.33</v>
      </c>
    </row>
    <row r="414" spans="1:6" x14ac:dyDescent="0.35">
      <c r="A414" s="20" t="s">
        <v>71</v>
      </c>
      <c r="B414" s="21" t="s">
        <v>134</v>
      </c>
      <c r="C414" s="14">
        <v>2012</v>
      </c>
      <c r="D414" s="14">
        <v>5.09</v>
      </c>
      <c r="E414" s="14" t="s">
        <v>135</v>
      </c>
      <c r="F414" s="16">
        <v>-1.33</v>
      </c>
    </row>
    <row r="415" spans="1:6" x14ac:dyDescent="0.35">
      <c r="A415" s="22" t="s">
        <v>71</v>
      </c>
      <c r="B415" s="23" t="s">
        <v>134</v>
      </c>
      <c r="C415" s="15">
        <v>2013</v>
      </c>
      <c r="D415" s="15">
        <v>5.07</v>
      </c>
      <c r="E415" s="15" t="s">
        <v>135</v>
      </c>
      <c r="F415" s="16">
        <v>-1.3499999999999996</v>
      </c>
    </row>
    <row r="416" spans="1:6" x14ac:dyDescent="0.35">
      <c r="A416" s="20" t="s">
        <v>71</v>
      </c>
      <c r="B416" s="21" t="s">
        <v>134</v>
      </c>
      <c r="C416" s="14">
        <v>2014</v>
      </c>
      <c r="D416" s="14">
        <v>5.16</v>
      </c>
      <c r="E416" s="14" t="s">
        <v>135</v>
      </c>
      <c r="F416" s="16">
        <v>-1.2599999999999998</v>
      </c>
    </row>
    <row r="417" spans="1:6" x14ac:dyDescent="0.35">
      <c r="A417" s="22" t="s">
        <v>71</v>
      </c>
      <c r="B417" s="23" t="s">
        <v>134</v>
      </c>
      <c r="C417" s="15">
        <v>2015</v>
      </c>
      <c r="D417" s="15">
        <v>5.18</v>
      </c>
      <c r="E417" s="15" t="s">
        <v>135</v>
      </c>
      <c r="F417" s="16">
        <v>-1.2400000000000002</v>
      </c>
    </row>
    <row r="418" spans="1:6" x14ac:dyDescent="0.35">
      <c r="A418" s="20" t="s">
        <v>71</v>
      </c>
      <c r="B418" s="21" t="s">
        <v>134</v>
      </c>
      <c r="C418" s="14">
        <v>2016</v>
      </c>
      <c r="D418" s="14">
        <v>21.82</v>
      </c>
      <c r="E418" s="14" t="s">
        <v>135</v>
      </c>
      <c r="F418" s="16">
        <v>15.4</v>
      </c>
    </row>
    <row r="419" spans="1:6" x14ac:dyDescent="0.35">
      <c r="A419" s="22" t="s">
        <v>71</v>
      </c>
      <c r="B419" s="23" t="s">
        <v>134</v>
      </c>
      <c r="C419" s="15">
        <v>2017</v>
      </c>
      <c r="D419" s="15">
        <v>48.9</v>
      </c>
      <c r="E419" s="15" t="s">
        <v>135</v>
      </c>
      <c r="F419" s="16">
        <v>42.48</v>
      </c>
    </row>
    <row r="420" spans="1:6" x14ac:dyDescent="0.35">
      <c r="A420" s="20" t="s">
        <v>71</v>
      </c>
      <c r="B420" s="21" t="s">
        <v>134</v>
      </c>
      <c r="C420" s="14">
        <v>2018</v>
      </c>
      <c r="D420" s="14">
        <v>48.99</v>
      </c>
      <c r="E420" s="14" t="s">
        <v>135</v>
      </c>
      <c r="F420" s="16">
        <v>42.57</v>
      </c>
    </row>
    <row r="421" spans="1:6" x14ac:dyDescent="0.35">
      <c r="A421" s="22" t="s">
        <v>71</v>
      </c>
      <c r="B421" s="23" t="s">
        <v>134</v>
      </c>
      <c r="C421" s="15">
        <v>2019</v>
      </c>
      <c r="D421" s="15">
        <v>49.1</v>
      </c>
      <c r="E421" s="15" t="s">
        <v>135</v>
      </c>
      <c r="F421" s="16">
        <v>42.68</v>
      </c>
    </row>
    <row r="422" spans="1:6" x14ac:dyDescent="0.35">
      <c r="A422" s="20" t="s">
        <v>71</v>
      </c>
      <c r="B422" s="21" t="s">
        <v>134</v>
      </c>
      <c r="C422" s="14">
        <v>2020</v>
      </c>
      <c r="D422" s="14">
        <v>49.34</v>
      </c>
      <c r="E422" s="14" t="s">
        <v>135</v>
      </c>
      <c r="F422" s="16">
        <v>42.92</v>
      </c>
    </row>
    <row r="423" spans="1:6" x14ac:dyDescent="0.35">
      <c r="A423" s="22" t="s">
        <v>71</v>
      </c>
      <c r="B423" s="23" t="s">
        <v>134</v>
      </c>
      <c r="C423" s="15">
        <v>2021</v>
      </c>
      <c r="D423" s="15">
        <v>49.26</v>
      </c>
      <c r="E423" s="15" t="s">
        <v>135</v>
      </c>
      <c r="F423" s="16">
        <v>42.839999999999996</v>
      </c>
    </row>
    <row r="424" spans="1:6" x14ac:dyDescent="0.35">
      <c r="A424" s="20" t="s">
        <v>71</v>
      </c>
      <c r="B424" s="21" t="s">
        <v>134</v>
      </c>
      <c r="C424" s="14">
        <v>2022</v>
      </c>
      <c r="D424" s="14">
        <v>49.42</v>
      </c>
      <c r="E424" s="14" t="s">
        <v>135</v>
      </c>
      <c r="F424" s="16">
        <v>43</v>
      </c>
    </row>
    <row r="425" spans="1:6" x14ac:dyDescent="0.35">
      <c r="A425" s="22" t="s">
        <v>71</v>
      </c>
      <c r="B425" s="23" t="s">
        <v>134</v>
      </c>
      <c r="C425" s="15">
        <v>2023</v>
      </c>
      <c r="D425" s="15">
        <v>49.48</v>
      </c>
      <c r="E425" s="15" t="s">
        <v>135</v>
      </c>
      <c r="F425" s="16">
        <v>43.059999999999995</v>
      </c>
    </row>
    <row r="426" spans="1:6" x14ac:dyDescent="0.35">
      <c r="A426" s="20" t="s">
        <v>71</v>
      </c>
      <c r="B426" s="21" t="s">
        <v>134</v>
      </c>
      <c r="C426" s="14">
        <v>2024</v>
      </c>
      <c r="D426" s="14">
        <v>49.48</v>
      </c>
      <c r="E426" s="14" t="s">
        <v>135</v>
      </c>
      <c r="F426" s="16">
        <v>43.059999999999995</v>
      </c>
    </row>
    <row r="427" spans="1:6" x14ac:dyDescent="0.35">
      <c r="A427" s="22" t="s">
        <v>79</v>
      </c>
      <c r="B427" s="23" t="s">
        <v>134</v>
      </c>
      <c r="C427" s="15">
        <v>2000</v>
      </c>
      <c r="D427" s="15">
        <v>46.4</v>
      </c>
      <c r="E427" s="15">
        <v>46.4</v>
      </c>
      <c r="F427" s="16">
        <v>0</v>
      </c>
    </row>
    <row r="428" spans="1:6" x14ac:dyDescent="0.35">
      <c r="A428" s="20" t="s">
        <v>79</v>
      </c>
      <c r="B428" s="21" t="s">
        <v>134</v>
      </c>
      <c r="C428" s="14">
        <v>2001</v>
      </c>
      <c r="D428" s="14">
        <v>46.4</v>
      </c>
      <c r="E428" s="14" t="s">
        <v>135</v>
      </c>
      <c r="F428" s="16">
        <v>0</v>
      </c>
    </row>
    <row r="429" spans="1:6" x14ac:dyDescent="0.35">
      <c r="A429" s="22" t="s">
        <v>79</v>
      </c>
      <c r="B429" s="23" t="s">
        <v>134</v>
      </c>
      <c r="C429" s="15">
        <v>2002</v>
      </c>
      <c r="D429" s="15">
        <v>46.4</v>
      </c>
      <c r="E429" s="15" t="s">
        <v>135</v>
      </c>
      <c r="F429" s="16">
        <v>0</v>
      </c>
    </row>
    <row r="430" spans="1:6" x14ac:dyDescent="0.35">
      <c r="A430" s="20" t="s">
        <v>79</v>
      </c>
      <c r="B430" s="21" t="s">
        <v>134</v>
      </c>
      <c r="C430" s="14">
        <v>2003</v>
      </c>
      <c r="D430" s="14">
        <v>42.67</v>
      </c>
      <c r="E430" s="14" t="s">
        <v>135</v>
      </c>
      <c r="F430" s="16">
        <v>-3.7299999999999969</v>
      </c>
    </row>
    <row r="431" spans="1:6" x14ac:dyDescent="0.35">
      <c r="A431" s="22" t="s">
        <v>79</v>
      </c>
      <c r="B431" s="23" t="s">
        <v>134</v>
      </c>
      <c r="C431" s="15">
        <v>2004</v>
      </c>
      <c r="D431" s="15">
        <v>38.74</v>
      </c>
      <c r="E431" s="15" t="s">
        <v>135</v>
      </c>
      <c r="F431" s="16">
        <v>-7.6599999999999966</v>
      </c>
    </row>
    <row r="432" spans="1:6" x14ac:dyDescent="0.35">
      <c r="A432" s="20" t="s">
        <v>79</v>
      </c>
      <c r="B432" s="21" t="s">
        <v>134</v>
      </c>
      <c r="C432" s="14">
        <v>2005</v>
      </c>
      <c r="D432" s="14">
        <v>34.9</v>
      </c>
      <c r="E432" s="14" t="s">
        <v>135</v>
      </c>
      <c r="F432" s="16">
        <v>-11.5</v>
      </c>
    </row>
    <row r="433" spans="1:6" x14ac:dyDescent="0.35">
      <c r="A433" s="22" t="s">
        <v>79</v>
      </c>
      <c r="B433" s="23" t="s">
        <v>134</v>
      </c>
      <c r="C433" s="15">
        <v>2006</v>
      </c>
      <c r="D433" s="15">
        <v>30.99</v>
      </c>
      <c r="E433" s="15" t="s">
        <v>135</v>
      </c>
      <c r="F433" s="16">
        <v>-15.41</v>
      </c>
    </row>
    <row r="434" spans="1:6" x14ac:dyDescent="0.35">
      <c r="A434" s="20" t="s">
        <v>79</v>
      </c>
      <c r="B434" s="21" t="s">
        <v>134</v>
      </c>
      <c r="C434" s="14">
        <v>2007</v>
      </c>
      <c r="D434" s="14">
        <v>30.29</v>
      </c>
      <c r="E434" s="14" t="s">
        <v>135</v>
      </c>
      <c r="F434" s="16">
        <v>-16.11</v>
      </c>
    </row>
    <row r="435" spans="1:6" x14ac:dyDescent="0.35">
      <c r="A435" s="22" t="s">
        <v>79</v>
      </c>
      <c r="B435" s="23" t="s">
        <v>134</v>
      </c>
      <c r="C435" s="15">
        <v>2008</v>
      </c>
      <c r="D435" s="15">
        <v>29.95</v>
      </c>
      <c r="E435" s="15" t="s">
        <v>135</v>
      </c>
      <c r="F435" s="16">
        <v>-16.45</v>
      </c>
    </row>
    <row r="436" spans="1:6" x14ac:dyDescent="0.35">
      <c r="A436" s="20" t="s">
        <v>79</v>
      </c>
      <c r="B436" s="21" t="s">
        <v>134</v>
      </c>
      <c r="C436" s="14">
        <v>2009</v>
      </c>
      <c r="D436" s="14">
        <v>30.01</v>
      </c>
      <c r="E436" s="14" t="s">
        <v>135</v>
      </c>
      <c r="F436" s="16">
        <v>-16.389999999999997</v>
      </c>
    </row>
    <row r="437" spans="1:6" x14ac:dyDescent="0.35">
      <c r="A437" s="22" t="s">
        <v>79</v>
      </c>
      <c r="B437" s="23" t="s">
        <v>134</v>
      </c>
      <c r="C437" s="15">
        <v>2010</v>
      </c>
      <c r="D437" s="15">
        <v>25.4</v>
      </c>
      <c r="E437" s="15" t="s">
        <v>135</v>
      </c>
      <c r="F437" s="16">
        <v>-21</v>
      </c>
    </row>
    <row r="438" spans="1:6" x14ac:dyDescent="0.35">
      <c r="A438" s="20" t="s">
        <v>79</v>
      </c>
      <c r="B438" s="21" t="s">
        <v>134</v>
      </c>
      <c r="C438" s="14">
        <v>2011</v>
      </c>
      <c r="D438" s="14">
        <v>25.42</v>
      </c>
      <c r="E438" s="14" t="s">
        <v>135</v>
      </c>
      <c r="F438" s="16">
        <v>-20.979999999999997</v>
      </c>
    </row>
    <row r="439" spans="1:6" x14ac:dyDescent="0.35">
      <c r="A439" s="22" t="s">
        <v>79</v>
      </c>
      <c r="B439" s="23" t="s">
        <v>134</v>
      </c>
      <c r="C439" s="15">
        <v>2012</v>
      </c>
      <c r="D439" s="15">
        <v>30.01</v>
      </c>
      <c r="E439" s="15" t="s">
        <v>135</v>
      </c>
      <c r="F439" s="16">
        <v>-16.389999999999997</v>
      </c>
    </row>
    <row r="440" spans="1:6" x14ac:dyDescent="0.35">
      <c r="A440" s="20" t="s">
        <v>79</v>
      </c>
      <c r="B440" s="21" t="s">
        <v>134</v>
      </c>
      <c r="C440" s="14">
        <v>2013</v>
      </c>
      <c r="D440" s="14">
        <v>30.04</v>
      </c>
      <c r="E440" s="14" t="s">
        <v>135</v>
      </c>
      <c r="F440" s="16">
        <v>-16.36</v>
      </c>
    </row>
    <row r="441" spans="1:6" x14ac:dyDescent="0.35">
      <c r="A441" s="22" t="s">
        <v>79</v>
      </c>
      <c r="B441" s="23" t="s">
        <v>134</v>
      </c>
      <c r="C441" s="15">
        <v>2014</v>
      </c>
      <c r="D441" s="15">
        <v>24.14</v>
      </c>
      <c r="E441" s="15" t="s">
        <v>135</v>
      </c>
      <c r="F441" s="16">
        <v>-22.259999999999998</v>
      </c>
    </row>
    <row r="442" spans="1:6" x14ac:dyDescent="0.35">
      <c r="A442" s="20" t="s">
        <v>79</v>
      </c>
      <c r="B442" s="21" t="s">
        <v>134</v>
      </c>
      <c r="C442" s="14">
        <v>2015</v>
      </c>
      <c r="D442" s="14">
        <v>24.25</v>
      </c>
      <c r="E442" s="14" t="s">
        <v>135</v>
      </c>
      <c r="F442" s="16">
        <v>-22.15</v>
      </c>
    </row>
    <row r="443" spans="1:6" x14ac:dyDescent="0.35">
      <c r="A443" s="22" t="s">
        <v>79</v>
      </c>
      <c r="B443" s="23" t="s">
        <v>134</v>
      </c>
      <c r="C443" s="15">
        <v>2016</v>
      </c>
      <c r="D443" s="15">
        <v>24.34</v>
      </c>
      <c r="E443" s="15" t="s">
        <v>135</v>
      </c>
      <c r="F443" s="16">
        <v>-22.06</v>
      </c>
    </row>
    <row r="444" spans="1:6" x14ac:dyDescent="0.35">
      <c r="A444" s="20" t="s">
        <v>79</v>
      </c>
      <c r="B444" s="21" t="s">
        <v>134</v>
      </c>
      <c r="C444" s="14">
        <v>2017</v>
      </c>
      <c r="D444" s="14">
        <v>22.44</v>
      </c>
      <c r="E444" s="14" t="s">
        <v>135</v>
      </c>
      <c r="F444" s="16">
        <v>-23.959999999999997</v>
      </c>
    </row>
    <row r="445" spans="1:6" x14ac:dyDescent="0.35">
      <c r="A445" s="22" t="s">
        <v>79</v>
      </c>
      <c r="B445" s="23" t="s">
        <v>134</v>
      </c>
      <c r="C445" s="15">
        <v>2018</v>
      </c>
      <c r="D445" s="15">
        <v>23.05</v>
      </c>
      <c r="E445" s="15" t="s">
        <v>135</v>
      </c>
      <c r="F445" s="16">
        <v>-23.349999999999998</v>
      </c>
    </row>
    <row r="446" spans="1:6" x14ac:dyDescent="0.35">
      <c r="A446" s="20" t="s">
        <v>79</v>
      </c>
      <c r="B446" s="21" t="s">
        <v>134</v>
      </c>
      <c r="C446" s="14">
        <v>2019</v>
      </c>
      <c r="D446" s="14">
        <v>23.17</v>
      </c>
      <c r="E446" s="14" t="s">
        <v>135</v>
      </c>
      <c r="F446" s="16">
        <v>-23.229999999999997</v>
      </c>
    </row>
    <row r="447" spans="1:6" x14ac:dyDescent="0.35">
      <c r="A447" s="22" t="s">
        <v>79</v>
      </c>
      <c r="B447" s="23" t="s">
        <v>134</v>
      </c>
      <c r="C447" s="15">
        <v>2020</v>
      </c>
      <c r="D447" s="15">
        <v>23.28</v>
      </c>
      <c r="E447" s="15" t="s">
        <v>135</v>
      </c>
      <c r="F447" s="16">
        <v>-23.119999999999997</v>
      </c>
    </row>
    <row r="448" spans="1:6" x14ac:dyDescent="0.35">
      <c r="A448" s="20" t="s">
        <v>79</v>
      </c>
      <c r="B448" s="21" t="s">
        <v>134</v>
      </c>
      <c r="C448" s="14">
        <v>2021</v>
      </c>
      <c r="D448" s="14">
        <v>23.26</v>
      </c>
      <c r="E448" s="14" t="s">
        <v>135</v>
      </c>
      <c r="F448" s="16">
        <v>-23.139999999999997</v>
      </c>
    </row>
    <row r="449" spans="1:6" x14ac:dyDescent="0.35">
      <c r="A449" s="22" t="s">
        <v>79</v>
      </c>
      <c r="B449" s="23" t="s">
        <v>134</v>
      </c>
      <c r="C449" s="15">
        <v>2022</v>
      </c>
      <c r="D449" s="15">
        <v>28.24</v>
      </c>
      <c r="E449" s="15" t="s">
        <v>135</v>
      </c>
      <c r="F449" s="16">
        <v>-18.16</v>
      </c>
    </row>
    <row r="450" spans="1:6" x14ac:dyDescent="0.35">
      <c r="A450" s="20" t="s">
        <v>79</v>
      </c>
      <c r="B450" s="21" t="s">
        <v>134</v>
      </c>
      <c r="C450" s="14">
        <v>2023</v>
      </c>
      <c r="D450" s="14">
        <v>28.7</v>
      </c>
      <c r="E450" s="14" t="s">
        <v>135</v>
      </c>
      <c r="F450" s="16">
        <v>-17.7</v>
      </c>
    </row>
    <row r="451" spans="1:6" x14ac:dyDescent="0.35">
      <c r="A451" s="22" t="s">
        <v>79</v>
      </c>
      <c r="B451" s="23" t="s">
        <v>134</v>
      </c>
      <c r="C451" s="15">
        <v>2024</v>
      </c>
      <c r="D451" s="15">
        <v>28.7</v>
      </c>
      <c r="E451" s="15" t="s">
        <v>135</v>
      </c>
      <c r="F451" s="16">
        <v>-17.7</v>
      </c>
    </row>
    <row r="452" spans="1:6" x14ac:dyDescent="0.35">
      <c r="A452" s="20" t="s">
        <v>89</v>
      </c>
      <c r="B452" s="21" t="s">
        <v>134</v>
      </c>
      <c r="C452" s="14">
        <v>2000</v>
      </c>
      <c r="D452" s="14">
        <v>89.54</v>
      </c>
      <c r="E452" s="14">
        <v>89.54</v>
      </c>
      <c r="F452" s="16">
        <v>0</v>
      </c>
    </row>
    <row r="453" spans="1:6" x14ac:dyDescent="0.35">
      <c r="A453" s="22" t="s">
        <v>89</v>
      </c>
      <c r="B453" s="23" t="s">
        <v>134</v>
      </c>
      <c r="C453" s="15">
        <v>2001</v>
      </c>
      <c r="D453" s="15">
        <v>89.54</v>
      </c>
      <c r="E453" s="15" t="s">
        <v>135</v>
      </c>
      <c r="F453" s="16">
        <v>0</v>
      </c>
    </row>
    <row r="454" spans="1:6" x14ac:dyDescent="0.35">
      <c r="A454" s="20" t="s">
        <v>89</v>
      </c>
      <c r="B454" s="21" t="s">
        <v>134</v>
      </c>
      <c r="C454" s="14">
        <v>2002</v>
      </c>
      <c r="D454" s="14">
        <v>89.54</v>
      </c>
      <c r="E454" s="14" t="s">
        <v>135</v>
      </c>
      <c r="F454" s="16">
        <v>0</v>
      </c>
    </row>
    <row r="455" spans="1:6" x14ac:dyDescent="0.35">
      <c r="A455" s="22" t="s">
        <v>89</v>
      </c>
      <c r="B455" s="23" t="s">
        <v>134</v>
      </c>
      <c r="C455" s="15">
        <v>2003</v>
      </c>
      <c r="D455" s="15">
        <v>93.39</v>
      </c>
      <c r="E455" s="15" t="s">
        <v>135</v>
      </c>
      <c r="F455" s="16">
        <v>3.8499999999999943</v>
      </c>
    </row>
    <row r="456" spans="1:6" x14ac:dyDescent="0.35">
      <c r="A456" s="20" t="s">
        <v>89</v>
      </c>
      <c r="B456" s="21" t="s">
        <v>134</v>
      </c>
      <c r="C456" s="14">
        <v>2004</v>
      </c>
      <c r="D456" s="14">
        <v>90.61</v>
      </c>
      <c r="E456" s="14" t="s">
        <v>135</v>
      </c>
      <c r="F456" s="16">
        <v>1.0699999999999932</v>
      </c>
    </row>
    <row r="457" spans="1:6" x14ac:dyDescent="0.35">
      <c r="A457" s="22" t="s">
        <v>89</v>
      </c>
      <c r="B457" s="23" t="s">
        <v>134</v>
      </c>
      <c r="C457" s="15">
        <v>2005</v>
      </c>
      <c r="D457" s="15">
        <v>90.61</v>
      </c>
      <c r="E457" s="15" t="s">
        <v>135</v>
      </c>
      <c r="F457" s="16">
        <v>1.0699999999999932</v>
      </c>
    </row>
    <row r="458" spans="1:6" x14ac:dyDescent="0.35">
      <c r="A458" s="20" t="s">
        <v>89</v>
      </c>
      <c r="B458" s="21" t="s">
        <v>134</v>
      </c>
      <c r="C458" s="14">
        <v>2006</v>
      </c>
      <c r="D458" s="14">
        <v>90.61</v>
      </c>
      <c r="E458" s="14" t="s">
        <v>135</v>
      </c>
      <c r="F458" s="16">
        <v>1.0699999999999932</v>
      </c>
    </row>
    <row r="459" spans="1:6" x14ac:dyDescent="0.35">
      <c r="A459" s="22" t="s">
        <v>89</v>
      </c>
      <c r="B459" s="23" t="s">
        <v>134</v>
      </c>
      <c r="C459" s="15">
        <v>2007</v>
      </c>
      <c r="D459" s="15">
        <v>90.61</v>
      </c>
      <c r="E459" s="15" t="s">
        <v>135</v>
      </c>
      <c r="F459" s="16">
        <v>1.0699999999999932</v>
      </c>
    </row>
    <row r="460" spans="1:6" x14ac:dyDescent="0.35">
      <c r="A460" s="20" t="s">
        <v>89</v>
      </c>
      <c r="B460" s="21" t="s">
        <v>134</v>
      </c>
      <c r="C460" s="14">
        <v>2008</v>
      </c>
      <c r="D460" s="14">
        <v>94.55</v>
      </c>
      <c r="E460" s="14" t="s">
        <v>135</v>
      </c>
      <c r="F460" s="16">
        <v>5.0099999999999909</v>
      </c>
    </row>
    <row r="461" spans="1:6" x14ac:dyDescent="0.35">
      <c r="A461" s="22" t="s">
        <v>89</v>
      </c>
      <c r="B461" s="23" t="s">
        <v>134</v>
      </c>
      <c r="C461" s="15">
        <v>2009</v>
      </c>
      <c r="D461" s="15">
        <v>92.36</v>
      </c>
      <c r="E461" s="15" t="s">
        <v>135</v>
      </c>
      <c r="F461" s="16">
        <v>2.8199999999999932</v>
      </c>
    </row>
    <row r="462" spans="1:6" x14ac:dyDescent="0.35">
      <c r="A462" s="20" t="s">
        <v>89</v>
      </c>
      <c r="B462" s="21" t="s">
        <v>134</v>
      </c>
      <c r="C462" s="14">
        <v>2010</v>
      </c>
      <c r="D462" s="14">
        <v>92.36</v>
      </c>
      <c r="E462" s="14" t="s">
        <v>135</v>
      </c>
      <c r="F462" s="16">
        <v>2.8199999999999932</v>
      </c>
    </row>
    <row r="463" spans="1:6" x14ac:dyDescent="0.35">
      <c r="A463" s="22" t="s">
        <v>89</v>
      </c>
      <c r="B463" s="23" t="s">
        <v>134</v>
      </c>
      <c r="C463" s="15">
        <v>2011</v>
      </c>
      <c r="D463" s="15">
        <v>92.16</v>
      </c>
      <c r="E463" s="15" t="s">
        <v>135</v>
      </c>
      <c r="F463" s="16">
        <v>2.6199999999999903</v>
      </c>
    </row>
    <row r="464" spans="1:6" x14ac:dyDescent="0.35">
      <c r="A464" s="20" t="s">
        <v>89</v>
      </c>
      <c r="B464" s="21" t="s">
        <v>134</v>
      </c>
      <c r="C464" s="14">
        <v>2012</v>
      </c>
      <c r="D464" s="14">
        <v>92.16</v>
      </c>
      <c r="E464" s="14" t="s">
        <v>135</v>
      </c>
      <c r="F464" s="16">
        <v>2.6199999999999903</v>
      </c>
    </row>
    <row r="465" spans="1:6" x14ac:dyDescent="0.35">
      <c r="A465" s="22" t="s">
        <v>89</v>
      </c>
      <c r="B465" s="23" t="s">
        <v>134</v>
      </c>
      <c r="C465" s="15">
        <v>2013</v>
      </c>
      <c r="D465" s="15">
        <v>93.38</v>
      </c>
      <c r="E465" s="15" t="s">
        <v>135</v>
      </c>
      <c r="F465" s="16">
        <v>3.8399999999999892</v>
      </c>
    </row>
    <row r="466" spans="1:6" x14ac:dyDescent="0.35">
      <c r="A466" s="20" t="s">
        <v>89</v>
      </c>
      <c r="B466" s="21" t="s">
        <v>134</v>
      </c>
      <c r="C466" s="14">
        <v>2014</v>
      </c>
      <c r="D466" s="14">
        <v>93.39</v>
      </c>
      <c r="E466" s="14" t="s">
        <v>135</v>
      </c>
      <c r="F466" s="16">
        <v>3.8499999999999943</v>
      </c>
    </row>
    <row r="467" spans="1:6" x14ac:dyDescent="0.35">
      <c r="A467" s="22" t="s">
        <v>89</v>
      </c>
      <c r="B467" s="23" t="s">
        <v>134</v>
      </c>
      <c r="C467" s="15">
        <v>2015</v>
      </c>
      <c r="D467" s="15">
        <v>93.61</v>
      </c>
      <c r="E467" s="15" t="s">
        <v>135</v>
      </c>
      <c r="F467" s="16">
        <v>4.0699999999999932</v>
      </c>
    </row>
    <row r="468" spans="1:6" x14ac:dyDescent="0.35">
      <c r="A468" s="20" t="s">
        <v>89</v>
      </c>
      <c r="B468" s="21" t="s">
        <v>134</v>
      </c>
      <c r="C468" s="14">
        <v>2016</v>
      </c>
      <c r="D468" s="14">
        <v>91.66</v>
      </c>
      <c r="E468" s="14" t="s">
        <v>135</v>
      </c>
      <c r="F468" s="16">
        <v>2.1199999999999903</v>
      </c>
    </row>
    <row r="469" spans="1:6" x14ac:dyDescent="0.35">
      <c r="A469" s="22" t="s">
        <v>89</v>
      </c>
      <c r="B469" s="23" t="s">
        <v>134</v>
      </c>
      <c r="C469" s="15">
        <v>2017</v>
      </c>
      <c r="D469" s="15">
        <v>80.72</v>
      </c>
      <c r="E469" s="15" t="s">
        <v>135</v>
      </c>
      <c r="F469" s="16">
        <v>-8.8200000000000074</v>
      </c>
    </row>
    <row r="470" spans="1:6" x14ac:dyDescent="0.35">
      <c r="A470" s="20" t="s">
        <v>89</v>
      </c>
      <c r="B470" s="21" t="s">
        <v>134</v>
      </c>
      <c r="C470" s="14">
        <v>2018</v>
      </c>
      <c r="D470" s="14">
        <v>76.67</v>
      </c>
      <c r="E470" s="14" t="s">
        <v>135</v>
      </c>
      <c r="F470" s="16">
        <v>-12.870000000000005</v>
      </c>
    </row>
    <row r="471" spans="1:6" x14ac:dyDescent="0.35">
      <c r="A471" s="22" t="s">
        <v>89</v>
      </c>
      <c r="B471" s="23" t="s">
        <v>134</v>
      </c>
      <c r="C471" s="15">
        <v>2019</v>
      </c>
      <c r="D471" s="15">
        <v>74.97</v>
      </c>
      <c r="E471" s="15" t="s">
        <v>135</v>
      </c>
      <c r="F471" s="16">
        <v>-14.570000000000007</v>
      </c>
    </row>
    <row r="472" spans="1:6" x14ac:dyDescent="0.35">
      <c r="A472" s="20" t="s">
        <v>89</v>
      </c>
      <c r="B472" s="21" t="s">
        <v>134</v>
      </c>
      <c r="C472" s="14">
        <v>2020</v>
      </c>
      <c r="D472" s="14">
        <v>75.06</v>
      </c>
      <c r="E472" s="14" t="s">
        <v>135</v>
      </c>
      <c r="F472" s="16">
        <v>-14.480000000000004</v>
      </c>
    </row>
    <row r="473" spans="1:6" x14ac:dyDescent="0.35">
      <c r="A473" s="22" t="s">
        <v>89</v>
      </c>
      <c r="B473" s="23" t="s">
        <v>134</v>
      </c>
      <c r="C473" s="15">
        <v>2021</v>
      </c>
      <c r="D473" s="15">
        <v>78.33</v>
      </c>
      <c r="E473" s="15" t="s">
        <v>135</v>
      </c>
      <c r="F473" s="16">
        <v>-11.210000000000008</v>
      </c>
    </row>
    <row r="474" spans="1:6" x14ac:dyDescent="0.35">
      <c r="A474" s="20" t="s">
        <v>89</v>
      </c>
      <c r="B474" s="21" t="s">
        <v>134</v>
      </c>
      <c r="C474" s="14">
        <v>2022</v>
      </c>
      <c r="D474" s="14">
        <v>79.73</v>
      </c>
      <c r="E474" s="14" t="s">
        <v>135</v>
      </c>
      <c r="F474" s="16">
        <v>-9.8100000000000023</v>
      </c>
    </row>
    <row r="475" spans="1:6" x14ac:dyDescent="0.35">
      <c r="A475" s="22" t="s">
        <v>89</v>
      </c>
      <c r="B475" s="23" t="s">
        <v>134</v>
      </c>
      <c r="C475" s="15">
        <v>2023</v>
      </c>
      <c r="D475" s="15">
        <v>79.760000000000005</v>
      </c>
      <c r="E475" s="15" t="s">
        <v>135</v>
      </c>
      <c r="F475" s="16">
        <v>-9.7800000000000011</v>
      </c>
    </row>
    <row r="476" spans="1:6" x14ac:dyDescent="0.35">
      <c r="A476" s="20" t="s">
        <v>89</v>
      </c>
      <c r="B476" s="21" t="s">
        <v>134</v>
      </c>
      <c r="C476" s="14">
        <v>2024</v>
      </c>
      <c r="D476" s="14">
        <v>79.760000000000005</v>
      </c>
      <c r="E476" s="14" t="s">
        <v>135</v>
      </c>
      <c r="F476" s="16">
        <v>-9.7800000000000011</v>
      </c>
    </row>
    <row r="477" spans="1:6" x14ac:dyDescent="0.35">
      <c r="A477" s="22" t="s">
        <v>81</v>
      </c>
      <c r="B477" s="23" t="s">
        <v>134</v>
      </c>
      <c r="C477" s="15">
        <v>2000</v>
      </c>
      <c r="D477" s="15">
        <v>20.93</v>
      </c>
      <c r="E477" s="15">
        <v>20.93</v>
      </c>
      <c r="F477" s="16">
        <v>0</v>
      </c>
    </row>
    <row r="478" spans="1:6" x14ac:dyDescent="0.35">
      <c r="A478" s="20" t="s">
        <v>81</v>
      </c>
      <c r="B478" s="21" t="s">
        <v>134</v>
      </c>
      <c r="C478" s="14">
        <v>2001</v>
      </c>
      <c r="D478" s="14">
        <v>20.93</v>
      </c>
      <c r="E478" s="14" t="s">
        <v>135</v>
      </c>
      <c r="F478" s="16">
        <v>0</v>
      </c>
    </row>
    <row r="479" spans="1:6" x14ac:dyDescent="0.35">
      <c r="A479" s="22" t="s">
        <v>81</v>
      </c>
      <c r="B479" s="23" t="s">
        <v>134</v>
      </c>
      <c r="C479" s="15">
        <v>2002</v>
      </c>
      <c r="D479" s="15">
        <v>55.11</v>
      </c>
      <c r="E479" s="15" t="s">
        <v>135</v>
      </c>
      <c r="F479" s="16">
        <v>34.18</v>
      </c>
    </row>
    <row r="480" spans="1:6" x14ac:dyDescent="0.35">
      <c r="A480" s="20" t="s">
        <v>81</v>
      </c>
      <c r="B480" s="21" t="s">
        <v>134</v>
      </c>
      <c r="C480" s="14">
        <v>2003</v>
      </c>
      <c r="D480" s="14">
        <v>55.11</v>
      </c>
      <c r="E480" s="14" t="s">
        <v>135</v>
      </c>
      <c r="F480" s="16">
        <v>34.18</v>
      </c>
    </row>
    <row r="481" spans="1:6" x14ac:dyDescent="0.35">
      <c r="A481" s="22" t="s">
        <v>81</v>
      </c>
      <c r="B481" s="23" t="s">
        <v>134</v>
      </c>
      <c r="C481" s="15">
        <v>2004</v>
      </c>
      <c r="D481" s="15">
        <v>55.11</v>
      </c>
      <c r="E481" s="15" t="s">
        <v>135</v>
      </c>
      <c r="F481" s="16">
        <v>34.18</v>
      </c>
    </row>
    <row r="482" spans="1:6" x14ac:dyDescent="0.35">
      <c r="A482" s="20" t="s">
        <v>81</v>
      </c>
      <c r="B482" s="21" t="s">
        <v>134</v>
      </c>
      <c r="C482" s="14">
        <v>2005</v>
      </c>
      <c r="D482" s="14">
        <v>55.14</v>
      </c>
      <c r="E482" s="14" t="s">
        <v>135</v>
      </c>
      <c r="F482" s="16">
        <v>34.21</v>
      </c>
    </row>
    <row r="483" spans="1:6" x14ac:dyDescent="0.35">
      <c r="A483" s="22" t="s">
        <v>81</v>
      </c>
      <c r="B483" s="23" t="s">
        <v>134</v>
      </c>
      <c r="C483" s="15">
        <v>2006</v>
      </c>
      <c r="D483" s="15">
        <v>55.15</v>
      </c>
      <c r="E483" s="15" t="s">
        <v>135</v>
      </c>
      <c r="F483" s="16">
        <v>34.22</v>
      </c>
    </row>
    <row r="484" spans="1:6" x14ac:dyDescent="0.35">
      <c r="A484" s="20" t="s">
        <v>81</v>
      </c>
      <c r="B484" s="21" t="s">
        <v>134</v>
      </c>
      <c r="C484" s="14">
        <v>2007</v>
      </c>
      <c r="D484" s="14">
        <v>54.21</v>
      </c>
      <c r="E484" s="14" t="s">
        <v>135</v>
      </c>
      <c r="F484" s="16">
        <v>33.28</v>
      </c>
    </row>
    <row r="485" spans="1:6" x14ac:dyDescent="0.35">
      <c r="A485" s="22" t="s">
        <v>81</v>
      </c>
      <c r="B485" s="23" t="s">
        <v>134</v>
      </c>
      <c r="C485" s="15">
        <v>2008</v>
      </c>
      <c r="D485" s="15">
        <v>57.25</v>
      </c>
      <c r="E485" s="15" t="s">
        <v>135</v>
      </c>
      <c r="F485" s="16">
        <v>36.32</v>
      </c>
    </row>
    <row r="486" spans="1:6" x14ac:dyDescent="0.35">
      <c r="A486" s="20" t="s">
        <v>81</v>
      </c>
      <c r="B486" s="21" t="s">
        <v>134</v>
      </c>
      <c r="C486" s="14">
        <v>2009</v>
      </c>
      <c r="D486" s="14">
        <v>55.33</v>
      </c>
      <c r="E486" s="14" t="s">
        <v>135</v>
      </c>
      <c r="F486" s="16">
        <v>34.4</v>
      </c>
    </row>
    <row r="487" spans="1:6" x14ac:dyDescent="0.35">
      <c r="A487" s="22" t="s">
        <v>81</v>
      </c>
      <c r="B487" s="23" t="s">
        <v>134</v>
      </c>
      <c r="C487" s="15">
        <v>2010</v>
      </c>
      <c r="D487" s="15">
        <v>52.77</v>
      </c>
      <c r="E487" s="15" t="s">
        <v>135</v>
      </c>
      <c r="F487" s="16">
        <v>31.840000000000003</v>
      </c>
    </row>
    <row r="488" spans="1:6" x14ac:dyDescent="0.35">
      <c r="A488" s="20" t="s">
        <v>81</v>
      </c>
      <c r="B488" s="21" t="s">
        <v>134</v>
      </c>
      <c r="C488" s="14">
        <v>2011</v>
      </c>
      <c r="D488" s="14">
        <v>46.9</v>
      </c>
      <c r="E488" s="14" t="s">
        <v>135</v>
      </c>
      <c r="F488" s="16">
        <v>25.97</v>
      </c>
    </row>
    <row r="489" spans="1:6" x14ac:dyDescent="0.35">
      <c r="A489" s="22" t="s">
        <v>81</v>
      </c>
      <c r="B489" s="23" t="s">
        <v>134</v>
      </c>
      <c r="C489" s="15">
        <v>2012</v>
      </c>
      <c r="D489" s="15">
        <v>47.17</v>
      </c>
      <c r="E489" s="15" t="s">
        <v>135</v>
      </c>
      <c r="F489" s="16">
        <v>26.240000000000002</v>
      </c>
    </row>
    <row r="490" spans="1:6" x14ac:dyDescent="0.35">
      <c r="A490" s="20" t="s">
        <v>81</v>
      </c>
      <c r="B490" s="21" t="s">
        <v>134</v>
      </c>
      <c r="C490" s="14">
        <v>2013</v>
      </c>
      <c r="D490" s="14">
        <v>49.33</v>
      </c>
      <c r="E490" s="14" t="s">
        <v>135</v>
      </c>
      <c r="F490" s="16">
        <v>28.4</v>
      </c>
    </row>
    <row r="491" spans="1:6" x14ac:dyDescent="0.35">
      <c r="A491" s="22" t="s">
        <v>81</v>
      </c>
      <c r="B491" s="23" t="s">
        <v>134</v>
      </c>
      <c r="C491" s="15">
        <v>2014</v>
      </c>
      <c r="D491" s="15">
        <v>48.03</v>
      </c>
      <c r="E491" s="15" t="s">
        <v>135</v>
      </c>
      <c r="F491" s="16">
        <v>27.1</v>
      </c>
    </row>
    <row r="492" spans="1:6" x14ac:dyDescent="0.35">
      <c r="A492" s="20" t="s">
        <v>81</v>
      </c>
      <c r="B492" s="21" t="s">
        <v>134</v>
      </c>
      <c r="C492" s="14">
        <v>2015</v>
      </c>
      <c r="D492" s="14">
        <v>47.82</v>
      </c>
      <c r="E492" s="14" t="s">
        <v>135</v>
      </c>
      <c r="F492" s="16">
        <v>26.89</v>
      </c>
    </row>
    <row r="493" spans="1:6" x14ac:dyDescent="0.35">
      <c r="A493" s="22" t="s">
        <v>81</v>
      </c>
      <c r="B493" s="23" t="s">
        <v>134</v>
      </c>
      <c r="C493" s="15">
        <v>2016</v>
      </c>
      <c r="D493" s="15">
        <v>43.89</v>
      </c>
      <c r="E493" s="15" t="s">
        <v>135</v>
      </c>
      <c r="F493" s="16">
        <v>22.96</v>
      </c>
    </row>
    <row r="494" spans="1:6" x14ac:dyDescent="0.35">
      <c r="A494" s="20" t="s">
        <v>81</v>
      </c>
      <c r="B494" s="21" t="s">
        <v>134</v>
      </c>
      <c r="C494" s="14">
        <v>2017</v>
      </c>
      <c r="D494" s="14">
        <v>44.32</v>
      </c>
      <c r="E494" s="14" t="s">
        <v>135</v>
      </c>
      <c r="F494" s="16">
        <v>23.39</v>
      </c>
    </row>
    <row r="495" spans="1:6" x14ac:dyDescent="0.35">
      <c r="A495" s="22" t="s">
        <v>81</v>
      </c>
      <c r="B495" s="23" t="s">
        <v>134</v>
      </c>
      <c r="C495" s="15">
        <v>2018</v>
      </c>
      <c r="D495" s="15">
        <v>44.37</v>
      </c>
      <c r="E495" s="15" t="s">
        <v>135</v>
      </c>
      <c r="F495" s="16">
        <v>23.439999999999998</v>
      </c>
    </row>
    <row r="496" spans="1:6" x14ac:dyDescent="0.35">
      <c r="A496" s="20" t="s">
        <v>81</v>
      </c>
      <c r="B496" s="21" t="s">
        <v>134</v>
      </c>
      <c r="C496" s="14">
        <v>2019</v>
      </c>
      <c r="D496" s="14">
        <v>43.8</v>
      </c>
      <c r="E496" s="14" t="s">
        <v>135</v>
      </c>
      <c r="F496" s="16">
        <v>22.869999999999997</v>
      </c>
    </row>
    <row r="497" spans="1:6" x14ac:dyDescent="0.35">
      <c r="A497" s="22" t="s">
        <v>81</v>
      </c>
      <c r="B497" s="23" t="s">
        <v>134</v>
      </c>
      <c r="C497" s="15">
        <v>2020</v>
      </c>
      <c r="D497" s="15">
        <v>46.41</v>
      </c>
      <c r="E497" s="15" t="s">
        <v>135</v>
      </c>
      <c r="F497" s="16">
        <v>25.479999999999997</v>
      </c>
    </row>
    <row r="498" spans="1:6" x14ac:dyDescent="0.35">
      <c r="A498" s="20" t="s">
        <v>81</v>
      </c>
      <c r="B498" s="21" t="s">
        <v>134</v>
      </c>
      <c r="C498" s="14">
        <v>2021</v>
      </c>
      <c r="D498" s="14">
        <v>47.96</v>
      </c>
      <c r="E498" s="14" t="s">
        <v>135</v>
      </c>
      <c r="F498" s="16">
        <v>27.03</v>
      </c>
    </row>
    <row r="499" spans="1:6" x14ac:dyDescent="0.35">
      <c r="A499" s="22" t="s">
        <v>81</v>
      </c>
      <c r="B499" s="23" t="s">
        <v>134</v>
      </c>
      <c r="C499" s="15">
        <v>2022</v>
      </c>
      <c r="D499" s="15">
        <v>53.78</v>
      </c>
      <c r="E499" s="15" t="s">
        <v>135</v>
      </c>
      <c r="F499" s="16">
        <v>32.85</v>
      </c>
    </row>
    <row r="500" spans="1:6" x14ac:dyDescent="0.35">
      <c r="A500" s="20" t="s">
        <v>81</v>
      </c>
      <c r="B500" s="21" t="s">
        <v>134</v>
      </c>
      <c r="C500" s="14">
        <v>2023</v>
      </c>
      <c r="D500" s="14">
        <v>49.31</v>
      </c>
      <c r="E500" s="14" t="s">
        <v>135</v>
      </c>
      <c r="F500" s="16">
        <v>28.380000000000003</v>
      </c>
    </row>
    <row r="501" spans="1:6" x14ac:dyDescent="0.35">
      <c r="A501" s="22" t="s">
        <v>81</v>
      </c>
      <c r="B501" s="23" t="s">
        <v>134</v>
      </c>
      <c r="C501" s="15">
        <v>2024</v>
      </c>
      <c r="D501" s="15">
        <v>51.02</v>
      </c>
      <c r="E501" s="15" t="s">
        <v>135</v>
      </c>
      <c r="F501" s="16">
        <v>30.090000000000003</v>
      </c>
    </row>
    <row r="502" spans="1:6" x14ac:dyDescent="0.35">
      <c r="A502" s="20" t="s">
        <v>87</v>
      </c>
      <c r="B502" s="21" t="s">
        <v>134</v>
      </c>
      <c r="C502" s="14">
        <v>2000</v>
      </c>
      <c r="D502" s="14">
        <v>19.170000000000002</v>
      </c>
      <c r="E502" s="14">
        <v>19.170000000000002</v>
      </c>
      <c r="F502" s="16">
        <v>0</v>
      </c>
    </row>
    <row r="503" spans="1:6" x14ac:dyDescent="0.35">
      <c r="A503" s="22" t="s">
        <v>87</v>
      </c>
      <c r="B503" s="23" t="s">
        <v>134</v>
      </c>
      <c r="C503" s="15">
        <v>2001</v>
      </c>
      <c r="D503" s="15">
        <v>19.55</v>
      </c>
      <c r="E503" s="15" t="s">
        <v>135</v>
      </c>
      <c r="F503" s="16">
        <v>0.37999999999999901</v>
      </c>
    </row>
    <row r="504" spans="1:6" x14ac:dyDescent="0.35">
      <c r="A504" s="20" t="s">
        <v>87</v>
      </c>
      <c r="B504" s="21" t="s">
        <v>134</v>
      </c>
      <c r="C504" s="14">
        <v>2002</v>
      </c>
      <c r="D504" s="14">
        <v>19.510000000000002</v>
      </c>
      <c r="E504" s="14" t="s">
        <v>135</v>
      </c>
      <c r="F504" s="16">
        <v>0.33999999999999986</v>
      </c>
    </row>
    <row r="505" spans="1:6" x14ac:dyDescent="0.35">
      <c r="A505" s="22" t="s">
        <v>87</v>
      </c>
      <c r="B505" s="23" t="s">
        <v>134</v>
      </c>
      <c r="C505" s="15">
        <v>2003</v>
      </c>
      <c r="D505" s="15">
        <v>19.36</v>
      </c>
      <c r="E505" s="15" t="s">
        <v>135</v>
      </c>
      <c r="F505" s="16">
        <v>0.18999999999999773</v>
      </c>
    </row>
    <row r="506" spans="1:6" x14ac:dyDescent="0.35">
      <c r="A506" s="20" t="s">
        <v>87</v>
      </c>
      <c r="B506" s="21" t="s">
        <v>134</v>
      </c>
      <c r="C506" s="14">
        <v>2004</v>
      </c>
      <c r="D506" s="14">
        <v>19.239999999999998</v>
      </c>
      <c r="E506" s="14" t="s">
        <v>135</v>
      </c>
      <c r="F506" s="16">
        <v>6.9999999999996732E-2</v>
      </c>
    </row>
    <row r="507" spans="1:6" x14ac:dyDescent="0.35">
      <c r="A507" s="22" t="s">
        <v>87</v>
      </c>
      <c r="B507" s="23" t="s">
        <v>134</v>
      </c>
      <c r="C507" s="15">
        <v>2005</v>
      </c>
      <c r="D507" s="15">
        <v>27.86</v>
      </c>
      <c r="E507" s="15" t="s">
        <v>135</v>
      </c>
      <c r="F507" s="16">
        <v>8.6899999999999977</v>
      </c>
    </row>
    <row r="508" spans="1:6" x14ac:dyDescent="0.35">
      <c r="A508" s="20" t="s">
        <v>87</v>
      </c>
      <c r="B508" s="21" t="s">
        <v>134</v>
      </c>
      <c r="C508" s="14">
        <v>2006</v>
      </c>
      <c r="D508" s="14">
        <v>18.350000000000001</v>
      </c>
      <c r="E508" s="14" t="s">
        <v>135</v>
      </c>
      <c r="F508" s="16">
        <v>-0.82000000000000028</v>
      </c>
    </row>
    <row r="509" spans="1:6" x14ac:dyDescent="0.35">
      <c r="A509" s="22" t="s">
        <v>87</v>
      </c>
      <c r="B509" s="23" t="s">
        <v>134</v>
      </c>
      <c r="C509" s="15">
        <v>2007</v>
      </c>
      <c r="D509" s="15">
        <v>18.739999999999998</v>
      </c>
      <c r="E509" s="15" t="s">
        <v>135</v>
      </c>
      <c r="F509" s="16">
        <v>-0.43000000000000327</v>
      </c>
    </row>
    <row r="510" spans="1:6" x14ac:dyDescent="0.35">
      <c r="A510" s="20" t="s">
        <v>87</v>
      </c>
      <c r="B510" s="21" t="s">
        <v>134</v>
      </c>
      <c r="C510" s="14">
        <v>2008</v>
      </c>
      <c r="D510" s="14">
        <v>18.489999999999998</v>
      </c>
      <c r="E510" s="14" t="s">
        <v>135</v>
      </c>
      <c r="F510" s="16">
        <v>-0.68000000000000327</v>
      </c>
    </row>
    <row r="511" spans="1:6" x14ac:dyDescent="0.35">
      <c r="A511" s="22" t="s">
        <v>87</v>
      </c>
      <c r="B511" s="23" t="s">
        <v>134</v>
      </c>
      <c r="C511" s="15">
        <v>2009</v>
      </c>
      <c r="D511" s="15">
        <v>21.86</v>
      </c>
      <c r="E511" s="15" t="s">
        <v>135</v>
      </c>
      <c r="F511" s="16">
        <v>2.6899999999999977</v>
      </c>
    </row>
    <row r="512" spans="1:6" x14ac:dyDescent="0.35">
      <c r="A512" s="20" t="s">
        <v>87</v>
      </c>
      <c r="B512" s="21" t="s">
        <v>134</v>
      </c>
      <c r="C512" s="14">
        <v>2010</v>
      </c>
      <c r="D512" s="14">
        <v>21.1</v>
      </c>
      <c r="E512" s="14" t="s">
        <v>135</v>
      </c>
      <c r="F512" s="16">
        <v>1.9299999999999997</v>
      </c>
    </row>
    <row r="513" spans="1:6" x14ac:dyDescent="0.35">
      <c r="A513" s="22" t="s">
        <v>87</v>
      </c>
      <c r="B513" s="23" t="s">
        <v>134</v>
      </c>
      <c r="C513" s="15">
        <v>2011</v>
      </c>
      <c r="D513" s="15">
        <v>20.29</v>
      </c>
      <c r="E513" s="15" t="s">
        <v>135</v>
      </c>
      <c r="F513" s="16">
        <v>1.1199999999999974</v>
      </c>
    </row>
    <row r="514" spans="1:6" x14ac:dyDescent="0.35">
      <c r="A514" s="20" t="s">
        <v>87</v>
      </c>
      <c r="B514" s="21" t="s">
        <v>134</v>
      </c>
      <c r="C514" s="14">
        <v>2012</v>
      </c>
      <c r="D514" s="14">
        <v>18.350000000000001</v>
      </c>
      <c r="E514" s="14" t="s">
        <v>135</v>
      </c>
      <c r="F514" s="16">
        <v>-0.82000000000000028</v>
      </c>
    </row>
    <row r="515" spans="1:6" x14ac:dyDescent="0.35">
      <c r="A515" s="22" t="s">
        <v>87</v>
      </c>
      <c r="B515" s="23" t="s">
        <v>134</v>
      </c>
      <c r="C515" s="15">
        <v>2013</v>
      </c>
      <c r="D515" s="15">
        <v>18.73</v>
      </c>
      <c r="E515" s="15" t="s">
        <v>135</v>
      </c>
      <c r="F515" s="16">
        <v>-0.44000000000000128</v>
      </c>
    </row>
    <row r="516" spans="1:6" x14ac:dyDescent="0.35">
      <c r="A516" s="20" t="s">
        <v>87</v>
      </c>
      <c r="B516" s="21" t="s">
        <v>134</v>
      </c>
      <c r="C516" s="14">
        <v>2014</v>
      </c>
      <c r="D516" s="14">
        <v>18.96</v>
      </c>
      <c r="E516" s="14" t="s">
        <v>135</v>
      </c>
      <c r="F516" s="16">
        <v>-0.21000000000000085</v>
      </c>
    </row>
    <row r="517" spans="1:6" x14ac:dyDescent="0.35">
      <c r="A517" s="22" t="s">
        <v>87</v>
      </c>
      <c r="B517" s="23" t="s">
        <v>134</v>
      </c>
      <c r="C517" s="15">
        <v>2015</v>
      </c>
      <c r="D517" s="15">
        <v>21.67</v>
      </c>
      <c r="E517" s="15" t="s">
        <v>135</v>
      </c>
      <c r="F517" s="16">
        <v>2.5</v>
      </c>
    </row>
    <row r="518" spans="1:6" x14ac:dyDescent="0.35">
      <c r="A518" s="20" t="s">
        <v>87</v>
      </c>
      <c r="B518" s="21" t="s">
        <v>134</v>
      </c>
      <c r="C518" s="14">
        <v>2016</v>
      </c>
      <c r="D518" s="14">
        <v>22.66</v>
      </c>
      <c r="E518" s="14" t="s">
        <v>135</v>
      </c>
      <c r="F518" s="16">
        <v>3.4899999999999984</v>
      </c>
    </row>
    <row r="519" spans="1:6" x14ac:dyDescent="0.35">
      <c r="A519" s="22" t="s">
        <v>87</v>
      </c>
      <c r="B519" s="23" t="s">
        <v>134</v>
      </c>
      <c r="C519" s="15">
        <v>2017</v>
      </c>
      <c r="D519" s="15">
        <v>21.52</v>
      </c>
      <c r="E519" s="15" t="s">
        <v>135</v>
      </c>
      <c r="F519" s="16">
        <v>2.3499999999999979</v>
      </c>
    </row>
    <row r="520" spans="1:6" x14ac:dyDescent="0.35">
      <c r="A520" s="20" t="s">
        <v>87</v>
      </c>
      <c r="B520" s="21" t="s">
        <v>134</v>
      </c>
      <c r="C520" s="14">
        <v>2018</v>
      </c>
      <c r="D520" s="14">
        <v>27.11</v>
      </c>
      <c r="E520" s="14" t="s">
        <v>135</v>
      </c>
      <c r="F520" s="16">
        <v>7.9399999999999977</v>
      </c>
    </row>
    <row r="521" spans="1:6" x14ac:dyDescent="0.35">
      <c r="A521" s="22" t="s">
        <v>87</v>
      </c>
      <c r="B521" s="23" t="s">
        <v>134</v>
      </c>
      <c r="C521" s="15">
        <v>2019</v>
      </c>
      <c r="D521" s="15">
        <v>29.11</v>
      </c>
      <c r="E521" s="15" t="s">
        <v>135</v>
      </c>
      <c r="F521" s="16">
        <v>9.9399999999999977</v>
      </c>
    </row>
    <row r="522" spans="1:6" x14ac:dyDescent="0.35">
      <c r="A522" s="20" t="s">
        <v>87</v>
      </c>
      <c r="B522" s="21" t="s">
        <v>134</v>
      </c>
      <c r="C522" s="14">
        <v>2020</v>
      </c>
      <c r="D522" s="14">
        <v>29.77</v>
      </c>
      <c r="E522" s="14" t="s">
        <v>135</v>
      </c>
      <c r="F522" s="16">
        <v>10.599999999999998</v>
      </c>
    </row>
    <row r="523" spans="1:6" x14ac:dyDescent="0.35">
      <c r="A523" s="22" t="s">
        <v>87</v>
      </c>
      <c r="B523" s="23" t="s">
        <v>134</v>
      </c>
      <c r="C523" s="15">
        <v>2021</v>
      </c>
      <c r="D523" s="15">
        <v>29.99</v>
      </c>
      <c r="E523" s="15" t="s">
        <v>135</v>
      </c>
      <c r="F523" s="16">
        <v>10.819999999999997</v>
      </c>
    </row>
    <row r="524" spans="1:6" x14ac:dyDescent="0.35">
      <c r="A524" s="20" t="s">
        <v>87</v>
      </c>
      <c r="B524" s="21" t="s">
        <v>134</v>
      </c>
      <c r="C524" s="14">
        <v>2022</v>
      </c>
      <c r="D524" s="14">
        <v>29.83</v>
      </c>
      <c r="E524" s="14" t="s">
        <v>135</v>
      </c>
      <c r="F524" s="16">
        <v>10.659999999999997</v>
      </c>
    </row>
    <row r="525" spans="1:6" x14ac:dyDescent="0.35">
      <c r="A525" s="22" t="s">
        <v>87</v>
      </c>
      <c r="B525" s="23" t="s">
        <v>134</v>
      </c>
      <c r="C525" s="15">
        <v>2023</v>
      </c>
      <c r="D525" s="15">
        <v>31.05</v>
      </c>
      <c r="E525" s="15" t="s">
        <v>135</v>
      </c>
      <c r="F525" s="16">
        <v>11.879999999999999</v>
      </c>
    </row>
    <row r="526" spans="1:6" x14ac:dyDescent="0.35">
      <c r="A526" s="20" t="s">
        <v>87</v>
      </c>
      <c r="B526" s="21" t="s">
        <v>134</v>
      </c>
      <c r="C526" s="14">
        <v>2024</v>
      </c>
      <c r="D526" s="14">
        <v>32.07</v>
      </c>
      <c r="E526" s="14" t="s">
        <v>135</v>
      </c>
      <c r="F526" s="16">
        <v>12.899999999999999</v>
      </c>
    </row>
    <row r="527" spans="1:6" x14ac:dyDescent="0.35">
      <c r="A527" s="22" t="s">
        <v>77</v>
      </c>
      <c r="B527" s="23" t="s">
        <v>134</v>
      </c>
      <c r="C527" s="15">
        <v>2000</v>
      </c>
      <c r="D527" s="15">
        <v>27.92</v>
      </c>
      <c r="E527" s="15">
        <v>27.92</v>
      </c>
      <c r="F527" s="16">
        <v>0</v>
      </c>
    </row>
    <row r="528" spans="1:6" x14ac:dyDescent="0.35">
      <c r="A528" s="20" t="s">
        <v>77</v>
      </c>
      <c r="B528" s="21" t="s">
        <v>134</v>
      </c>
      <c r="C528" s="14">
        <v>2001</v>
      </c>
      <c r="D528" s="14">
        <v>27.93</v>
      </c>
      <c r="E528" s="14" t="s">
        <v>135</v>
      </c>
      <c r="F528" s="16">
        <v>9.9999999999980105E-3</v>
      </c>
    </row>
    <row r="529" spans="1:6" x14ac:dyDescent="0.35">
      <c r="A529" s="22" t="s">
        <v>77</v>
      </c>
      <c r="B529" s="23" t="s">
        <v>134</v>
      </c>
      <c r="C529" s="15">
        <v>2002</v>
      </c>
      <c r="D529" s="15">
        <v>27.81</v>
      </c>
      <c r="E529" s="15" t="s">
        <v>135</v>
      </c>
      <c r="F529" s="16">
        <v>-0.11000000000000298</v>
      </c>
    </row>
    <row r="530" spans="1:6" x14ac:dyDescent="0.35">
      <c r="A530" s="20" t="s">
        <v>77</v>
      </c>
      <c r="B530" s="21" t="s">
        <v>134</v>
      </c>
      <c r="C530" s="14">
        <v>2003</v>
      </c>
      <c r="D530" s="14">
        <v>29.39</v>
      </c>
      <c r="E530" s="14" t="s">
        <v>135</v>
      </c>
      <c r="F530" s="16">
        <v>1.4699999999999989</v>
      </c>
    </row>
    <row r="531" spans="1:6" x14ac:dyDescent="0.35">
      <c r="A531" s="22" t="s">
        <v>77</v>
      </c>
      <c r="B531" s="23" t="s">
        <v>134</v>
      </c>
      <c r="C531" s="15">
        <v>2004</v>
      </c>
      <c r="D531" s="15">
        <v>28.69</v>
      </c>
      <c r="E531" s="15" t="s">
        <v>135</v>
      </c>
      <c r="F531" s="16">
        <v>0.76999999999999957</v>
      </c>
    </row>
    <row r="532" spans="1:6" x14ac:dyDescent="0.35">
      <c r="A532" s="20" t="s">
        <v>77</v>
      </c>
      <c r="B532" s="21" t="s">
        <v>134</v>
      </c>
      <c r="C532" s="14">
        <v>2005</v>
      </c>
      <c r="D532" s="14">
        <v>25.34</v>
      </c>
      <c r="E532" s="14" t="s">
        <v>135</v>
      </c>
      <c r="F532" s="16">
        <v>-2.5800000000000018</v>
      </c>
    </row>
    <row r="533" spans="1:6" x14ac:dyDescent="0.35">
      <c r="A533" s="22" t="s">
        <v>77</v>
      </c>
      <c r="B533" s="23" t="s">
        <v>134</v>
      </c>
      <c r="C533" s="15">
        <v>2006</v>
      </c>
      <c r="D533" s="15">
        <v>25.35</v>
      </c>
      <c r="E533" s="15" t="s">
        <v>135</v>
      </c>
      <c r="F533" s="16">
        <v>-2.5700000000000003</v>
      </c>
    </row>
    <row r="534" spans="1:6" x14ac:dyDescent="0.35">
      <c r="A534" s="20" t="s">
        <v>77</v>
      </c>
      <c r="B534" s="21" t="s">
        <v>134</v>
      </c>
      <c r="C534" s="14">
        <v>2007</v>
      </c>
      <c r="D534" s="14">
        <v>26.21</v>
      </c>
      <c r="E534" s="14" t="s">
        <v>135</v>
      </c>
      <c r="F534" s="16">
        <v>-1.7100000000000009</v>
      </c>
    </row>
    <row r="535" spans="1:6" x14ac:dyDescent="0.35">
      <c r="A535" s="22" t="s">
        <v>77</v>
      </c>
      <c r="B535" s="23" t="s">
        <v>134</v>
      </c>
      <c r="C535" s="15">
        <v>2008</v>
      </c>
      <c r="D535" s="15">
        <v>26.22</v>
      </c>
      <c r="E535" s="15" t="s">
        <v>135</v>
      </c>
      <c r="F535" s="16">
        <v>-1.7000000000000028</v>
      </c>
    </row>
    <row r="536" spans="1:6" x14ac:dyDescent="0.35">
      <c r="A536" s="20" t="s">
        <v>77</v>
      </c>
      <c r="B536" s="21" t="s">
        <v>134</v>
      </c>
      <c r="C536" s="14">
        <v>2009</v>
      </c>
      <c r="D536" s="14">
        <v>24.7</v>
      </c>
      <c r="E536" s="14" t="s">
        <v>135</v>
      </c>
      <c r="F536" s="16">
        <v>-3.2200000000000024</v>
      </c>
    </row>
    <row r="537" spans="1:6" x14ac:dyDescent="0.35">
      <c r="A537" s="22" t="s">
        <v>77</v>
      </c>
      <c r="B537" s="23" t="s">
        <v>134</v>
      </c>
      <c r="C537" s="15">
        <v>2010</v>
      </c>
      <c r="D537" s="15">
        <v>24.54</v>
      </c>
      <c r="E537" s="15" t="s">
        <v>135</v>
      </c>
      <c r="F537" s="16">
        <v>-3.3800000000000026</v>
      </c>
    </row>
    <row r="538" spans="1:6" x14ac:dyDescent="0.35">
      <c r="A538" s="20" t="s">
        <v>77</v>
      </c>
      <c r="B538" s="21" t="s">
        <v>134</v>
      </c>
      <c r="C538" s="14">
        <v>2011</v>
      </c>
      <c r="D538" s="14">
        <v>24.95</v>
      </c>
      <c r="E538" s="14" t="s">
        <v>135</v>
      </c>
      <c r="F538" s="16">
        <v>-2.9700000000000024</v>
      </c>
    </row>
    <row r="539" spans="1:6" x14ac:dyDescent="0.35">
      <c r="A539" s="22" t="s">
        <v>77</v>
      </c>
      <c r="B539" s="23" t="s">
        <v>134</v>
      </c>
      <c r="C539" s="15">
        <v>2012</v>
      </c>
      <c r="D539" s="15">
        <v>23.79</v>
      </c>
      <c r="E539" s="15" t="s">
        <v>135</v>
      </c>
      <c r="F539" s="16">
        <v>-4.1300000000000026</v>
      </c>
    </row>
    <row r="540" spans="1:6" x14ac:dyDescent="0.35">
      <c r="A540" s="20" t="s">
        <v>77</v>
      </c>
      <c r="B540" s="21" t="s">
        <v>134</v>
      </c>
      <c r="C540" s="14">
        <v>2013</v>
      </c>
      <c r="D540" s="14">
        <v>24.95</v>
      </c>
      <c r="E540" s="14" t="s">
        <v>135</v>
      </c>
      <c r="F540" s="16">
        <v>-2.9700000000000024</v>
      </c>
    </row>
    <row r="541" spans="1:6" x14ac:dyDescent="0.35">
      <c r="A541" s="22" t="s">
        <v>77</v>
      </c>
      <c r="B541" s="23" t="s">
        <v>134</v>
      </c>
      <c r="C541" s="15">
        <v>2014</v>
      </c>
      <c r="D541" s="15">
        <v>26.73</v>
      </c>
      <c r="E541" s="15" t="s">
        <v>135</v>
      </c>
      <c r="F541" s="16">
        <v>-1.1900000000000013</v>
      </c>
    </row>
    <row r="542" spans="1:6" x14ac:dyDescent="0.35">
      <c r="A542" s="20" t="s">
        <v>77</v>
      </c>
      <c r="B542" s="21" t="s">
        <v>134</v>
      </c>
      <c r="C542" s="14">
        <v>2015</v>
      </c>
      <c r="D542" s="14">
        <v>28.2</v>
      </c>
      <c r="E542" s="14" t="s">
        <v>135</v>
      </c>
      <c r="F542" s="16">
        <v>0.27999999999999758</v>
      </c>
    </row>
    <row r="543" spans="1:6" x14ac:dyDescent="0.35">
      <c r="A543" s="22" t="s">
        <v>77</v>
      </c>
      <c r="B543" s="23" t="s">
        <v>134</v>
      </c>
      <c r="C543" s="15">
        <v>2016</v>
      </c>
      <c r="D543" s="15">
        <v>28.9</v>
      </c>
      <c r="E543" s="15" t="s">
        <v>135</v>
      </c>
      <c r="F543" s="16">
        <v>0.97999999999999687</v>
      </c>
    </row>
    <row r="544" spans="1:6" x14ac:dyDescent="0.35">
      <c r="A544" s="20" t="s">
        <v>77</v>
      </c>
      <c r="B544" s="21" t="s">
        <v>134</v>
      </c>
      <c r="C544" s="14">
        <v>2017</v>
      </c>
      <c r="D544" s="14">
        <v>28.68</v>
      </c>
      <c r="E544" s="14" t="s">
        <v>135</v>
      </c>
      <c r="F544" s="16">
        <v>0.75999999999999801</v>
      </c>
    </row>
    <row r="545" spans="1:6" x14ac:dyDescent="0.35">
      <c r="A545" s="22" t="s">
        <v>77</v>
      </c>
      <c r="B545" s="23" t="s">
        <v>134</v>
      </c>
      <c r="C545" s="15">
        <v>2018</v>
      </c>
      <c r="D545" s="15">
        <v>29.82</v>
      </c>
      <c r="E545" s="15" t="s">
        <v>135</v>
      </c>
      <c r="F545" s="16">
        <v>1.8999999999999986</v>
      </c>
    </row>
    <row r="546" spans="1:6" x14ac:dyDescent="0.35">
      <c r="A546" s="20" t="s">
        <v>77</v>
      </c>
      <c r="B546" s="21" t="s">
        <v>134</v>
      </c>
      <c r="C546" s="14">
        <v>2019</v>
      </c>
      <c r="D546" s="14">
        <v>30.54</v>
      </c>
      <c r="E546" s="14" t="s">
        <v>135</v>
      </c>
      <c r="F546" s="16">
        <v>2.6199999999999974</v>
      </c>
    </row>
    <row r="547" spans="1:6" x14ac:dyDescent="0.35">
      <c r="A547" s="22" t="s">
        <v>77</v>
      </c>
      <c r="B547" s="23" t="s">
        <v>134</v>
      </c>
      <c r="C547" s="15">
        <v>2020</v>
      </c>
      <c r="D547" s="15">
        <v>33.03</v>
      </c>
      <c r="E547" s="15" t="s">
        <v>135</v>
      </c>
      <c r="F547" s="16">
        <v>5.1099999999999994</v>
      </c>
    </row>
    <row r="548" spans="1:6" x14ac:dyDescent="0.35">
      <c r="A548" s="20" t="s">
        <v>77</v>
      </c>
      <c r="B548" s="21" t="s">
        <v>134</v>
      </c>
      <c r="C548" s="14">
        <v>2021</v>
      </c>
      <c r="D548" s="14">
        <v>33.06</v>
      </c>
      <c r="E548" s="14" t="s">
        <v>135</v>
      </c>
      <c r="F548" s="16">
        <v>5.1400000000000006</v>
      </c>
    </row>
    <row r="549" spans="1:6" x14ac:dyDescent="0.35">
      <c r="A549" s="22" t="s">
        <v>77</v>
      </c>
      <c r="B549" s="23" t="s">
        <v>134</v>
      </c>
      <c r="C549" s="15">
        <v>2022</v>
      </c>
      <c r="D549" s="15">
        <v>34.28</v>
      </c>
      <c r="E549" s="15" t="s">
        <v>135</v>
      </c>
      <c r="F549" s="16">
        <v>6.3599999999999994</v>
      </c>
    </row>
    <row r="550" spans="1:6" x14ac:dyDescent="0.35">
      <c r="A550" s="20" t="s">
        <v>77</v>
      </c>
      <c r="B550" s="21" t="s">
        <v>134</v>
      </c>
      <c r="C550" s="14">
        <v>2023</v>
      </c>
      <c r="D550" s="14">
        <v>36.869999999999997</v>
      </c>
      <c r="E550" s="14" t="s">
        <v>135</v>
      </c>
      <c r="F550" s="16">
        <v>8.9499999999999957</v>
      </c>
    </row>
    <row r="551" spans="1:6" x14ac:dyDescent="0.35">
      <c r="A551" s="22" t="s">
        <v>77</v>
      </c>
      <c r="B551" s="23" t="s">
        <v>134</v>
      </c>
      <c r="C551" s="15">
        <v>2024</v>
      </c>
      <c r="D551" s="15">
        <v>38.659999999999997</v>
      </c>
      <c r="E551" s="15" t="s">
        <v>135</v>
      </c>
      <c r="F551" s="16">
        <v>10.739999999999995</v>
      </c>
    </row>
    <row r="552" spans="1:6" x14ac:dyDescent="0.35">
      <c r="A552" s="20" t="s">
        <v>83</v>
      </c>
      <c r="B552" s="21" t="s">
        <v>134</v>
      </c>
      <c r="C552" s="14">
        <v>2000</v>
      </c>
      <c r="D552" s="14">
        <v>98.9</v>
      </c>
      <c r="E552" s="14">
        <v>98.9</v>
      </c>
      <c r="F552" s="16">
        <v>0</v>
      </c>
    </row>
    <row r="553" spans="1:6" x14ac:dyDescent="0.35">
      <c r="A553" s="22" t="s">
        <v>83</v>
      </c>
      <c r="B553" s="23" t="s">
        <v>134</v>
      </c>
      <c r="C553" s="15">
        <v>2001</v>
      </c>
      <c r="D553" s="15">
        <v>98.91</v>
      </c>
      <c r="E553" s="15" t="s">
        <v>135</v>
      </c>
      <c r="F553" s="16">
        <v>9.9999999999909051E-3</v>
      </c>
    </row>
    <row r="554" spans="1:6" x14ac:dyDescent="0.35">
      <c r="A554" s="20" t="s">
        <v>83</v>
      </c>
      <c r="B554" s="21" t="s">
        <v>134</v>
      </c>
      <c r="C554" s="14">
        <v>2002</v>
      </c>
      <c r="D554" s="14">
        <v>98.84</v>
      </c>
      <c r="E554" s="14" t="s">
        <v>135</v>
      </c>
      <c r="F554" s="16">
        <v>-6.0000000000002274E-2</v>
      </c>
    </row>
    <row r="555" spans="1:6" x14ac:dyDescent="0.35">
      <c r="A555" s="22" t="s">
        <v>83</v>
      </c>
      <c r="B555" s="23" t="s">
        <v>134</v>
      </c>
      <c r="C555" s="15">
        <v>2003</v>
      </c>
      <c r="D555" s="15">
        <v>98.78</v>
      </c>
      <c r="E555" s="15" t="s">
        <v>135</v>
      </c>
      <c r="F555" s="16">
        <v>-0.12000000000000455</v>
      </c>
    </row>
    <row r="556" spans="1:6" x14ac:dyDescent="0.35">
      <c r="A556" s="20" t="s">
        <v>83</v>
      </c>
      <c r="B556" s="21" t="s">
        <v>134</v>
      </c>
      <c r="C556" s="14">
        <v>2004</v>
      </c>
      <c r="D556" s="14">
        <v>98.78</v>
      </c>
      <c r="E556" s="14" t="s">
        <v>135</v>
      </c>
      <c r="F556" s="16">
        <v>-0.12000000000000455</v>
      </c>
    </row>
    <row r="557" spans="1:6" x14ac:dyDescent="0.35">
      <c r="A557" s="22" t="s">
        <v>83</v>
      </c>
      <c r="B557" s="23" t="s">
        <v>134</v>
      </c>
      <c r="C557" s="15">
        <v>2005</v>
      </c>
      <c r="D557" s="15">
        <v>98.78</v>
      </c>
      <c r="E557" s="15" t="s">
        <v>135</v>
      </c>
      <c r="F557" s="16">
        <v>-0.12000000000000455</v>
      </c>
    </row>
    <row r="558" spans="1:6" x14ac:dyDescent="0.35">
      <c r="A558" s="20" t="s">
        <v>83</v>
      </c>
      <c r="B558" s="21" t="s">
        <v>134</v>
      </c>
      <c r="C558" s="14">
        <v>2006</v>
      </c>
      <c r="D558" s="14">
        <v>98.78</v>
      </c>
      <c r="E558" s="14" t="s">
        <v>135</v>
      </c>
      <c r="F558" s="16">
        <v>-0.12000000000000455</v>
      </c>
    </row>
    <row r="559" spans="1:6" x14ac:dyDescent="0.35">
      <c r="A559" s="22" t="s">
        <v>83</v>
      </c>
      <c r="B559" s="23" t="s">
        <v>134</v>
      </c>
      <c r="C559" s="15">
        <v>2007</v>
      </c>
      <c r="D559" s="15">
        <v>98.23</v>
      </c>
      <c r="E559" s="15" t="s">
        <v>135</v>
      </c>
      <c r="F559" s="16">
        <v>-0.67000000000000171</v>
      </c>
    </row>
    <row r="560" spans="1:6" x14ac:dyDescent="0.35">
      <c r="A560" s="20" t="s">
        <v>83</v>
      </c>
      <c r="B560" s="21" t="s">
        <v>134</v>
      </c>
      <c r="C560" s="14">
        <v>2008</v>
      </c>
      <c r="D560" s="14">
        <v>98.08</v>
      </c>
      <c r="E560" s="14" t="s">
        <v>135</v>
      </c>
      <c r="F560" s="16">
        <v>-0.82000000000000739</v>
      </c>
    </row>
    <row r="561" spans="1:6" x14ac:dyDescent="0.35">
      <c r="A561" s="22" t="s">
        <v>83</v>
      </c>
      <c r="B561" s="23" t="s">
        <v>134</v>
      </c>
      <c r="C561" s="15">
        <v>2009</v>
      </c>
      <c r="D561" s="15">
        <v>98.08</v>
      </c>
      <c r="E561" s="15" t="s">
        <v>135</v>
      </c>
      <c r="F561" s="16">
        <v>-0.82000000000000739</v>
      </c>
    </row>
    <row r="562" spans="1:6" x14ac:dyDescent="0.35">
      <c r="A562" s="20" t="s">
        <v>83</v>
      </c>
      <c r="B562" s="21" t="s">
        <v>134</v>
      </c>
      <c r="C562" s="14">
        <v>2010</v>
      </c>
      <c r="D562" s="14">
        <v>98.08</v>
      </c>
      <c r="E562" s="14" t="s">
        <v>135</v>
      </c>
      <c r="F562" s="16">
        <v>-0.82000000000000739</v>
      </c>
    </row>
    <row r="563" spans="1:6" x14ac:dyDescent="0.35">
      <c r="A563" s="22" t="s">
        <v>83</v>
      </c>
      <c r="B563" s="23" t="s">
        <v>134</v>
      </c>
      <c r="C563" s="15">
        <v>2011</v>
      </c>
      <c r="D563" s="15">
        <v>97.07</v>
      </c>
      <c r="E563" s="15" t="s">
        <v>135</v>
      </c>
      <c r="F563" s="16">
        <v>-1.8300000000000125</v>
      </c>
    </row>
    <row r="564" spans="1:6" x14ac:dyDescent="0.35">
      <c r="A564" s="20" t="s">
        <v>83</v>
      </c>
      <c r="B564" s="21" t="s">
        <v>134</v>
      </c>
      <c r="C564" s="14">
        <v>2012</v>
      </c>
      <c r="D564" s="14">
        <v>92.79</v>
      </c>
      <c r="E564" s="14" t="s">
        <v>135</v>
      </c>
      <c r="F564" s="16">
        <v>-6.1099999999999994</v>
      </c>
    </row>
    <row r="565" spans="1:6" x14ac:dyDescent="0.35">
      <c r="A565" s="22" t="s">
        <v>83</v>
      </c>
      <c r="B565" s="23" t="s">
        <v>134</v>
      </c>
      <c r="C565" s="15">
        <v>2013</v>
      </c>
      <c r="D565" s="15">
        <v>91.74</v>
      </c>
      <c r="E565" s="15" t="s">
        <v>135</v>
      </c>
      <c r="F565" s="16">
        <v>-7.1600000000000108</v>
      </c>
    </row>
    <row r="566" spans="1:6" x14ac:dyDescent="0.35">
      <c r="A566" s="20" t="s">
        <v>83</v>
      </c>
      <c r="B566" s="21" t="s">
        <v>134</v>
      </c>
      <c r="C566" s="14">
        <v>2014</v>
      </c>
      <c r="D566" s="14">
        <v>85.37</v>
      </c>
      <c r="E566" s="14" t="s">
        <v>135</v>
      </c>
      <c r="F566" s="16">
        <v>-13.530000000000001</v>
      </c>
    </row>
    <row r="567" spans="1:6" x14ac:dyDescent="0.35">
      <c r="A567" s="22" t="s">
        <v>83</v>
      </c>
      <c r="B567" s="23" t="s">
        <v>134</v>
      </c>
      <c r="C567" s="15">
        <v>2015</v>
      </c>
      <c r="D567" s="15">
        <v>79.930000000000007</v>
      </c>
      <c r="E567" s="15" t="s">
        <v>135</v>
      </c>
      <c r="F567" s="16">
        <v>-18.97</v>
      </c>
    </row>
    <row r="568" spans="1:6" x14ac:dyDescent="0.35">
      <c r="A568" s="20" t="s">
        <v>83</v>
      </c>
      <c r="B568" s="21" t="s">
        <v>134</v>
      </c>
      <c r="C568" s="14">
        <v>2016</v>
      </c>
      <c r="D568" s="14">
        <v>79.849999999999994</v>
      </c>
      <c r="E568" s="14" t="s">
        <v>135</v>
      </c>
      <c r="F568" s="16">
        <v>-19.050000000000011</v>
      </c>
    </row>
    <row r="569" spans="1:6" x14ac:dyDescent="0.35">
      <c r="A569" s="22" t="s">
        <v>83</v>
      </c>
      <c r="B569" s="23" t="s">
        <v>134</v>
      </c>
      <c r="C569" s="15">
        <v>2017</v>
      </c>
      <c r="D569" s="15">
        <v>80.36</v>
      </c>
      <c r="E569" s="15" t="s">
        <v>135</v>
      </c>
      <c r="F569" s="16">
        <v>-18.540000000000006</v>
      </c>
    </row>
    <row r="570" spans="1:6" x14ac:dyDescent="0.35">
      <c r="A570" s="20" t="s">
        <v>83</v>
      </c>
      <c r="B570" s="21" t="s">
        <v>134</v>
      </c>
      <c r="C570" s="14">
        <v>2018</v>
      </c>
      <c r="D570" s="14">
        <v>77.45</v>
      </c>
      <c r="E570" s="14" t="s">
        <v>135</v>
      </c>
      <c r="F570" s="16">
        <v>-21.450000000000003</v>
      </c>
    </row>
    <row r="571" spans="1:6" x14ac:dyDescent="0.35">
      <c r="A571" s="22" t="s">
        <v>83</v>
      </c>
      <c r="B571" s="23" t="s">
        <v>134</v>
      </c>
      <c r="C571" s="15">
        <v>2019</v>
      </c>
      <c r="D571" s="15">
        <v>77.78</v>
      </c>
      <c r="E571" s="15" t="s">
        <v>135</v>
      </c>
      <c r="F571" s="16">
        <v>-21.120000000000005</v>
      </c>
    </row>
    <row r="572" spans="1:6" x14ac:dyDescent="0.35">
      <c r="A572" s="20" t="s">
        <v>83</v>
      </c>
      <c r="B572" s="21" t="s">
        <v>134</v>
      </c>
      <c r="C572" s="14">
        <v>2020</v>
      </c>
      <c r="D572" s="14">
        <v>78.430000000000007</v>
      </c>
      <c r="E572" s="14" t="s">
        <v>135</v>
      </c>
      <c r="F572" s="16">
        <v>-20.47</v>
      </c>
    </row>
    <row r="573" spans="1:6" x14ac:dyDescent="0.35">
      <c r="A573" s="22" t="s">
        <v>83</v>
      </c>
      <c r="B573" s="23" t="s">
        <v>134</v>
      </c>
      <c r="C573" s="15">
        <v>2021</v>
      </c>
      <c r="D573" s="15">
        <v>78.44</v>
      </c>
      <c r="E573" s="15" t="s">
        <v>135</v>
      </c>
      <c r="F573" s="16">
        <v>-20.460000000000008</v>
      </c>
    </row>
    <row r="574" spans="1:6" x14ac:dyDescent="0.35">
      <c r="A574" s="20" t="s">
        <v>83</v>
      </c>
      <c r="B574" s="21" t="s">
        <v>134</v>
      </c>
      <c r="C574" s="14">
        <v>2022</v>
      </c>
      <c r="D574" s="14">
        <v>77.459999999999994</v>
      </c>
      <c r="E574" s="14" t="s">
        <v>135</v>
      </c>
      <c r="F574" s="16">
        <v>-21.440000000000012</v>
      </c>
    </row>
    <row r="575" spans="1:6" x14ac:dyDescent="0.35">
      <c r="A575" s="22" t="s">
        <v>83</v>
      </c>
      <c r="B575" s="23" t="s">
        <v>134</v>
      </c>
      <c r="C575" s="15">
        <v>2023</v>
      </c>
      <c r="D575" s="15">
        <v>77.61</v>
      </c>
      <c r="E575" s="15" t="s">
        <v>135</v>
      </c>
      <c r="F575" s="16">
        <v>-21.290000000000006</v>
      </c>
    </row>
    <row r="576" spans="1:6" x14ac:dyDescent="0.35">
      <c r="A576" s="20" t="s">
        <v>83</v>
      </c>
      <c r="B576" s="21" t="s">
        <v>134</v>
      </c>
      <c r="C576" s="14">
        <v>2024</v>
      </c>
      <c r="D576" s="14">
        <v>77.650000000000006</v>
      </c>
      <c r="E576" s="14" t="s">
        <v>135</v>
      </c>
      <c r="F576" s="16">
        <v>-21.25</v>
      </c>
    </row>
    <row r="577" spans="1:6" x14ac:dyDescent="0.35">
      <c r="A577" s="22" t="s">
        <v>91</v>
      </c>
      <c r="B577" s="23" t="s">
        <v>134</v>
      </c>
      <c r="C577" s="15">
        <v>2000</v>
      </c>
      <c r="D577" s="15">
        <v>62.24</v>
      </c>
      <c r="E577" s="15">
        <v>62.24</v>
      </c>
      <c r="F577" s="16">
        <v>0</v>
      </c>
    </row>
    <row r="578" spans="1:6" x14ac:dyDescent="0.35">
      <c r="A578" s="20" t="s">
        <v>91</v>
      </c>
      <c r="B578" s="21" t="s">
        <v>134</v>
      </c>
      <c r="C578" s="14">
        <v>2001</v>
      </c>
      <c r="D578" s="14">
        <v>62.25</v>
      </c>
      <c r="E578" s="14" t="s">
        <v>135</v>
      </c>
      <c r="F578" s="16">
        <v>9.9999999999980105E-3</v>
      </c>
    </row>
    <row r="579" spans="1:6" x14ac:dyDescent="0.35">
      <c r="A579" s="22" t="s">
        <v>91</v>
      </c>
      <c r="B579" s="23" t="s">
        <v>134</v>
      </c>
      <c r="C579" s="15">
        <v>2002</v>
      </c>
      <c r="D579" s="15">
        <v>62.27</v>
      </c>
      <c r="E579" s="15" t="s">
        <v>135</v>
      </c>
      <c r="F579" s="16">
        <v>3.0000000000001137E-2</v>
      </c>
    </row>
    <row r="580" spans="1:6" x14ac:dyDescent="0.35">
      <c r="A580" s="20" t="s">
        <v>91</v>
      </c>
      <c r="B580" s="21" t="s">
        <v>134</v>
      </c>
      <c r="C580" s="14">
        <v>2003</v>
      </c>
      <c r="D580" s="14">
        <v>62.27</v>
      </c>
      <c r="E580" s="14" t="s">
        <v>135</v>
      </c>
      <c r="F580" s="16">
        <v>3.0000000000001137E-2</v>
      </c>
    </row>
    <row r="581" spans="1:6" x14ac:dyDescent="0.35">
      <c r="A581" s="22" t="s">
        <v>91</v>
      </c>
      <c r="B581" s="23" t="s">
        <v>134</v>
      </c>
      <c r="C581" s="15">
        <v>2004</v>
      </c>
      <c r="D581" s="15">
        <v>62.29</v>
      </c>
      <c r="E581" s="15" t="s">
        <v>135</v>
      </c>
      <c r="F581" s="16">
        <v>4.9999999999997158E-2</v>
      </c>
    </row>
    <row r="582" spans="1:6" x14ac:dyDescent="0.35">
      <c r="A582" s="20" t="s">
        <v>91</v>
      </c>
      <c r="B582" s="21" t="s">
        <v>134</v>
      </c>
      <c r="C582" s="14">
        <v>2005</v>
      </c>
      <c r="D582" s="14">
        <v>62.34</v>
      </c>
      <c r="E582" s="14" t="s">
        <v>135</v>
      </c>
      <c r="F582" s="16">
        <v>0.10000000000000142</v>
      </c>
    </row>
    <row r="583" spans="1:6" x14ac:dyDescent="0.35">
      <c r="A583" s="22" t="s">
        <v>91</v>
      </c>
      <c r="B583" s="23" t="s">
        <v>134</v>
      </c>
      <c r="C583" s="15">
        <v>2006</v>
      </c>
      <c r="D583" s="15">
        <v>62.34</v>
      </c>
      <c r="E583" s="15" t="s">
        <v>135</v>
      </c>
      <c r="F583" s="16">
        <v>0.10000000000000142</v>
      </c>
    </row>
    <row r="584" spans="1:6" x14ac:dyDescent="0.35">
      <c r="A584" s="20" t="s">
        <v>91</v>
      </c>
      <c r="B584" s="21" t="s">
        <v>134</v>
      </c>
      <c r="C584" s="14">
        <v>2007</v>
      </c>
      <c r="D584" s="14">
        <v>62.34</v>
      </c>
      <c r="E584" s="14" t="s">
        <v>135</v>
      </c>
      <c r="F584" s="16">
        <v>0.10000000000000142</v>
      </c>
    </row>
    <row r="585" spans="1:6" x14ac:dyDescent="0.35">
      <c r="A585" s="22" t="s">
        <v>91</v>
      </c>
      <c r="B585" s="23" t="s">
        <v>134</v>
      </c>
      <c r="C585" s="15">
        <v>2008</v>
      </c>
      <c r="D585" s="15">
        <v>62.34</v>
      </c>
      <c r="E585" s="15" t="s">
        <v>135</v>
      </c>
      <c r="F585" s="16">
        <v>0.10000000000000142</v>
      </c>
    </row>
    <row r="586" spans="1:6" x14ac:dyDescent="0.35">
      <c r="A586" s="20" t="s">
        <v>91</v>
      </c>
      <c r="B586" s="21" t="s">
        <v>134</v>
      </c>
      <c r="C586" s="14">
        <v>2009</v>
      </c>
      <c r="D586" s="14">
        <v>59.79</v>
      </c>
      <c r="E586" s="14" t="s">
        <v>135</v>
      </c>
      <c r="F586" s="16">
        <v>-2.4500000000000028</v>
      </c>
    </row>
    <row r="587" spans="1:6" x14ac:dyDescent="0.35">
      <c r="A587" s="22" t="s">
        <v>91</v>
      </c>
      <c r="B587" s="23" t="s">
        <v>134</v>
      </c>
      <c r="C587" s="15">
        <v>2010</v>
      </c>
      <c r="D587" s="15">
        <v>59.82</v>
      </c>
      <c r="E587" s="15" t="s">
        <v>135</v>
      </c>
      <c r="F587" s="16">
        <v>-2.4200000000000017</v>
      </c>
    </row>
    <row r="588" spans="1:6" x14ac:dyDescent="0.35">
      <c r="A588" s="20" t="s">
        <v>91</v>
      </c>
      <c r="B588" s="21" t="s">
        <v>134</v>
      </c>
      <c r="C588" s="14">
        <v>2011</v>
      </c>
      <c r="D588" s="14">
        <v>56.52</v>
      </c>
      <c r="E588" s="14" t="s">
        <v>135</v>
      </c>
      <c r="F588" s="16">
        <v>-5.7199999999999989</v>
      </c>
    </row>
    <row r="589" spans="1:6" x14ac:dyDescent="0.35">
      <c r="A589" s="22" t="s">
        <v>91</v>
      </c>
      <c r="B589" s="23" t="s">
        <v>134</v>
      </c>
      <c r="C589" s="15">
        <v>2012</v>
      </c>
      <c r="D589" s="15">
        <v>64.11</v>
      </c>
      <c r="E589" s="15" t="s">
        <v>135</v>
      </c>
      <c r="F589" s="16">
        <v>1.8699999999999974</v>
      </c>
    </row>
    <row r="590" spans="1:6" x14ac:dyDescent="0.35">
      <c r="A590" s="20" t="s">
        <v>91</v>
      </c>
      <c r="B590" s="21" t="s">
        <v>134</v>
      </c>
      <c r="C590" s="14">
        <v>2013</v>
      </c>
      <c r="D590" s="14">
        <v>64.17</v>
      </c>
      <c r="E590" s="14" t="s">
        <v>135</v>
      </c>
      <c r="F590" s="16">
        <v>1.9299999999999997</v>
      </c>
    </row>
    <row r="591" spans="1:6" x14ac:dyDescent="0.35">
      <c r="A591" s="22" t="s">
        <v>91</v>
      </c>
      <c r="B591" s="23" t="s">
        <v>134</v>
      </c>
      <c r="C591" s="15">
        <v>2014</v>
      </c>
      <c r="D591" s="15">
        <v>61.44</v>
      </c>
      <c r="E591" s="15" t="s">
        <v>135</v>
      </c>
      <c r="F591" s="16">
        <v>-0.80000000000000426</v>
      </c>
    </row>
    <row r="592" spans="1:6" x14ac:dyDescent="0.35">
      <c r="A592" s="20" t="s">
        <v>91</v>
      </c>
      <c r="B592" s="21" t="s">
        <v>134</v>
      </c>
      <c r="C592" s="14">
        <v>2015</v>
      </c>
      <c r="D592" s="14">
        <v>62.2</v>
      </c>
      <c r="E592" s="14" t="s">
        <v>135</v>
      </c>
      <c r="F592" s="16">
        <v>-3.9999999999999147E-2</v>
      </c>
    </row>
    <row r="593" spans="1:6" x14ac:dyDescent="0.35">
      <c r="A593" s="22" t="s">
        <v>91</v>
      </c>
      <c r="B593" s="23" t="s">
        <v>134</v>
      </c>
      <c r="C593" s="15">
        <v>2016</v>
      </c>
      <c r="D593" s="15">
        <v>67.03</v>
      </c>
      <c r="E593" s="15" t="s">
        <v>135</v>
      </c>
      <c r="F593" s="16">
        <v>4.7899999999999991</v>
      </c>
    </row>
    <row r="594" spans="1:6" x14ac:dyDescent="0.35">
      <c r="A594" s="20" t="s">
        <v>91</v>
      </c>
      <c r="B594" s="21" t="s">
        <v>134</v>
      </c>
      <c r="C594" s="14">
        <v>2017</v>
      </c>
      <c r="D594" s="14">
        <v>69.53</v>
      </c>
      <c r="E594" s="14" t="s">
        <v>135</v>
      </c>
      <c r="F594" s="16">
        <v>7.2899999999999991</v>
      </c>
    </row>
    <row r="595" spans="1:6" x14ac:dyDescent="0.35">
      <c r="A595" s="22" t="s">
        <v>91</v>
      </c>
      <c r="B595" s="23" t="s">
        <v>134</v>
      </c>
      <c r="C595" s="15">
        <v>2018</v>
      </c>
      <c r="D595" s="15">
        <v>72.17</v>
      </c>
      <c r="E595" s="15" t="s">
        <v>135</v>
      </c>
      <c r="F595" s="16">
        <v>9.93</v>
      </c>
    </row>
    <row r="596" spans="1:6" x14ac:dyDescent="0.35">
      <c r="A596" s="20" t="s">
        <v>91</v>
      </c>
      <c r="B596" s="21" t="s">
        <v>134</v>
      </c>
      <c r="C596" s="14">
        <v>2019</v>
      </c>
      <c r="D596" s="14">
        <v>74.62</v>
      </c>
      <c r="E596" s="14" t="s">
        <v>135</v>
      </c>
      <c r="F596" s="16">
        <v>12.380000000000003</v>
      </c>
    </row>
    <row r="597" spans="1:6" x14ac:dyDescent="0.35">
      <c r="A597" s="22" t="s">
        <v>91</v>
      </c>
      <c r="B597" s="23" t="s">
        <v>134</v>
      </c>
      <c r="C597" s="15">
        <v>2020</v>
      </c>
      <c r="D597" s="15">
        <v>71.5</v>
      </c>
      <c r="E597" s="15" t="s">
        <v>135</v>
      </c>
      <c r="F597" s="16">
        <v>9.259999999999998</v>
      </c>
    </row>
    <row r="598" spans="1:6" x14ac:dyDescent="0.35">
      <c r="A598" s="20" t="s">
        <v>91</v>
      </c>
      <c r="B598" s="21" t="s">
        <v>134</v>
      </c>
      <c r="C598" s="14">
        <v>2021</v>
      </c>
      <c r="D598" s="14">
        <v>71.59</v>
      </c>
      <c r="E598" s="14" t="s">
        <v>135</v>
      </c>
      <c r="F598" s="16">
        <v>9.3500000000000014</v>
      </c>
    </row>
    <row r="599" spans="1:6" x14ac:dyDescent="0.35">
      <c r="A599" s="22" t="s">
        <v>91</v>
      </c>
      <c r="B599" s="23" t="s">
        <v>134</v>
      </c>
      <c r="C599" s="15">
        <v>2022</v>
      </c>
      <c r="D599" s="15">
        <v>75.510000000000005</v>
      </c>
      <c r="E599" s="15" t="s">
        <v>135</v>
      </c>
      <c r="F599" s="16">
        <v>13.270000000000003</v>
      </c>
    </row>
    <row r="600" spans="1:6" x14ac:dyDescent="0.35">
      <c r="A600" s="20" t="s">
        <v>91</v>
      </c>
      <c r="B600" s="21" t="s">
        <v>134</v>
      </c>
      <c r="C600" s="14">
        <v>2023</v>
      </c>
      <c r="D600" s="14">
        <v>75.510000000000005</v>
      </c>
      <c r="E600" s="14" t="s">
        <v>135</v>
      </c>
      <c r="F600" s="16">
        <v>13.270000000000003</v>
      </c>
    </row>
    <row r="601" spans="1:6" x14ac:dyDescent="0.35">
      <c r="A601" s="22" t="s">
        <v>91</v>
      </c>
      <c r="B601" s="23" t="s">
        <v>134</v>
      </c>
      <c r="C601" s="15">
        <v>2024</v>
      </c>
      <c r="D601" s="15">
        <v>75.510000000000005</v>
      </c>
      <c r="E601" s="15" t="s">
        <v>135</v>
      </c>
      <c r="F601" s="16">
        <v>13.270000000000003</v>
      </c>
    </row>
    <row r="602" spans="1:6" x14ac:dyDescent="0.35">
      <c r="A602" s="20" t="s">
        <v>95</v>
      </c>
      <c r="B602" s="21" t="s">
        <v>134</v>
      </c>
      <c r="C602" s="14">
        <v>2000</v>
      </c>
      <c r="D602" s="14">
        <v>37.33</v>
      </c>
      <c r="E602" s="14">
        <v>37.33</v>
      </c>
      <c r="F602" s="16">
        <v>0</v>
      </c>
    </row>
    <row r="603" spans="1:6" x14ac:dyDescent="0.35">
      <c r="A603" s="22" t="s">
        <v>95</v>
      </c>
      <c r="B603" s="23" t="s">
        <v>134</v>
      </c>
      <c r="C603" s="15">
        <v>2001</v>
      </c>
      <c r="D603" s="15">
        <v>37.33</v>
      </c>
      <c r="E603" s="15" t="s">
        <v>135</v>
      </c>
      <c r="F603" s="16">
        <v>0</v>
      </c>
    </row>
    <row r="604" spans="1:6" x14ac:dyDescent="0.35">
      <c r="A604" s="20" t="s">
        <v>95</v>
      </c>
      <c r="B604" s="21" t="s">
        <v>134</v>
      </c>
      <c r="C604" s="14">
        <v>2002</v>
      </c>
      <c r="D604" s="14">
        <v>37.33</v>
      </c>
      <c r="E604" s="14" t="s">
        <v>135</v>
      </c>
      <c r="F604" s="16">
        <v>0</v>
      </c>
    </row>
    <row r="605" spans="1:6" x14ac:dyDescent="0.35">
      <c r="A605" s="22" t="s">
        <v>95</v>
      </c>
      <c r="B605" s="23" t="s">
        <v>134</v>
      </c>
      <c r="C605" s="15">
        <v>2003</v>
      </c>
      <c r="D605" s="15">
        <v>30.73</v>
      </c>
      <c r="E605" s="15" t="s">
        <v>135</v>
      </c>
      <c r="F605" s="16">
        <v>-6.5999999999999979</v>
      </c>
    </row>
    <row r="606" spans="1:6" x14ac:dyDescent="0.35">
      <c r="A606" s="20" t="s">
        <v>95</v>
      </c>
      <c r="B606" s="21" t="s">
        <v>134</v>
      </c>
      <c r="C606" s="14">
        <v>2004</v>
      </c>
      <c r="D606" s="14">
        <v>30.73</v>
      </c>
      <c r="E606" s="14" t="s">
        <v>135</v>
      </c>
      <c r="F606" s="16">
        <v>-6.5999999999999979</v>
      </c>
    </row>
    <row r="607" spans="1:6" x14ac:dyDescent="0.35">
      <c r="A607" s="22" t="s">
        <v>95</v>
      </c>
      <c r="B607" s="23" t="s">
        <v>134</v>
      </c>
      <c r="C607" s="15">
        <v>2005</v>
      </c>
      <c r="D607" s="15">
        <v>29.85</v>
      </c>
      <c r="E607" s="15" t="s">
        <v>135</v>
      </c>
      <c r="F607" s="16">
        <v>-7.4799999999999969</v>
      </c>
    </row>
    <row r="608" spans="1:6" x14ac:dyDescent="0.35">
      <c r="A608" s="20" t="s">
        <v>95</v>
      </c>
      <c r="B608" s="21" t="s">
        <v>134</v>
      </c>
      <c r="C608" s="14">
        <v>2006</v>
      </c>
      <c r="D608" s="14">
        <v>27.48</v>
      </c>
      <c r="E608" s="14" t="s">
        <v>135</v>
      </c>
      <c r="F608" s="16">
        <v>-9.8499999999999979</v>
      </c>
    </row>
    <row r="609" spans="1:6" x14ac:dyDescent="0.35">
      <c r="A609" s="22" t="s">
        <v>95</v>
      </c>
      <c r="B609" s="23" t="s">
        <v>134</v>
      </c>
      <c r="C609" s="15">
        <v>2007</v>
      </c>
      <c r="D609" s="15">
        <v>25.72</v>
      </c>
      <c r="E609" s="15" t="s">
        <v>135</v>
      </c>
      <c r="F609" s="16">
        <v>-11.61</v>
      </c>
    </row>
    <row r="610" spans="1:6" x14ac:dyDescent="0.35">
      <c r="A610" s="20" t="s">
        <v>95</v>
      </c>
      <c r="B610" s="21" t="s">
        <v>134</v>
      </c>
      <c r="C610" s="14">
        <v>2008</v>
      </c>
      <c r="D610" s="14">
        <v>24.2</v>
      </c>
      <c r="E610" s="14" t="s">
        <v>135</v>
      </c>
      <c r="F610" s="16">
        <v>-13.129999999999999</v>
      </c>
    </row>
    <row r="611" spans="1:6" x14ac:dyDescent="0.35">
      <c r="A611" s="22" t="s">
        <v>95</v>
      </c>
      <c r="B611" s="23" t="s">
        <v>134</v>
      </c>
      <c r="C611" s="15">
        <v>2009</v>
      </c>
      <c r="D611" s="15">
        <v>23.57</v>
      </c>
      <c r="E611" s="15" t="s">
        <v>135</v>
      </c>
      <c r="F611" s="16">
        <v>-13.759999999999998</v>
      </c>
    </row>
    <row r="612" spans="1:6" x14ac:dyDescent="0.35">
      <c r="A612" s="20" t="s">
        <v>95</v>
      </c>
      <c r="B612" s="21" t="s">
        <v>134</v>
      </c>
      <c r="C612" s="14">
        <v>2010</v>
      </c>
      <c r="D612" s="14">
        <v>24.34</v>
      </c>
      <c r="E612" s="14" t="s">
        <v>135</v>
      </c>
      <c r="F612" s="16">
        <v>-12.989999999999998</v>
      </c>
    </row>
    <row r="613" spans="1:6" x14ac:dyDescent="0.35">
      <c r="A613" s="22" t="s">
        <v>95</v>
      </c>
      <c r="B613" s="23" t="s">
        <v>134</v>
      </c>
      <c r="C613" s="15">
        <v>2011</v>
      </c>
      <c r="D613" s="15">
        <v>23.3</v>
      </c>
      <c r="E613" s="15" t="s">
        <v>135</v>
      </c>
      <c r="F613" s="16">
        <v>-14.029999999999998</v>
      </c>
    </row>
    <row r="614" spans="1:6" x14ac:dyDescent="0.35">
      <c r="A614" s="20" t="s">
        <v>95</v>
      </c>
      <c r="B614" s="21" t="s">
        <v>134</v>
      </c>
      <c r="C614" s="14">
        <v>2012</v>
      </c>
      <c r="D614" s="14">
        <v>23.3</v>
      </c>
      <c r="E614" s="14" t="s">
        <v>135</v>
      </c>
      <c r="F614" s="16">
        <v>-14.029999999999998</v>
      </c>
    </row>
    <row r="615" spans="1:6" x14ac:dyDescent="0.35">
      <c r="A615" s="22" t="s">
        <v>95</v>
      </c>
      <c r="B615" s="23" t="s">
        <v>134</v>
      </c>
      <c r="C615" s="15">
        <v>2013</v>
      </c>
      <c r="D615" s="15">
        <v>21.17</v>
      </c>
      <c r="E615" s="15" t="s">
        <v>135</v>
      </c>
      <c r="F615" s="16">
        <v>-16.159999999999997</v>
      </c>
    </row>
    <row r="616" spans="1:6" x14ac:dyDescent="0.35">
      <c r="A616" s="20" t="s">
        <v>95</v>
      </c>
      <c r="B616" s="21" t="s">
        <v>134</v>
      </c>
      <c r="C616" s="14">
        <v>2014</v>
      </c>
      <c r="D616" s="14">
        <v>20.059999999999999</v>
      </c>
      <c r="E616" s="14" t="s">
        <v>135</v>
      </c>
      <c r="F616" s="16">
        <v>-17.27</v>
      </c>
    </row>
    <row r="617" spans="1:6" x14ac:dyDescent="0.35">
      <c r="A617" s="22" t="s">
        <v>95</v>
      </c>
      <c r="B617" s="23" t="s">
        <v>134</v>
      </c>
      <c r="C617" s="15">
        <v>2015</v>
      </c>
      <c r="D617" s="15">
        <v>20.149999999999999</v>
      </c>
      <c r="E617" s="15" t="s">
        <v>135</v>
      </c>
      <c r="F617" s="16">
        <v>-17.18</v>
      </c>
    </row>
    <row r="618" spans="1:6" x14ac:dyDescent="0.35">
      <c r="A618" s="20" t="s">
        <v>95</v>
      </c>
      <c r="B618" s="21" t="s">
        <v>134</v>
      </c>
      <c r="C618" s="14">
        <v>2016</v>
      </c>
      <c r="D618" s="14">
        <v>17.07</v>
      </c>
      <c r="E618" s="14" t="s">
        <v>135</v>
      </c>
      <c r="F618" s="16">
        <v>-20.259999999999998</v>
      </c>
    </row>
    <row r="619" spans="1:6" x14ac:dyDescent="0.35">
      <c r="A619" s="22" t="s">
        <v>95</v>
      </c>
      <c r="B619" s="23" t="s">
        <v>134</v>
      </c>
      <c r="C619" s="15">
        <v>2017</v>
      </c>
      <c r="D619" s="15">
        <v>17.07</v>
      </c>
      <c r="E619" s="15" t="s">
        <v>135</v>
      </c>
      <c r="F619" s="16">
        <v>-20.259999999999998</v>
      </c>
    </row>
    <row r="620" spans="1:6" x14ac:dyDescent="0.35">
      <c r="A620" s="20" t="s">
        <v>95</v>
      </c>
      <c r="B620" s="21" t="s">
        <v>134</v>
      </c>
      <c r="C620" s="14">
        <v>2018</v>
      </c>
      <c r="D620" s="14">
        <v>16.5</v>
      </c>
      <c r="E620" s="14" t="s">
        <v>135</v>
      </c>
      <c r="F620" s="16">
        <v>-20.83</v>
      </c>
    </row>
    <row r="621" spans="1:6" x14ac:dyDescent="0.35">
      <c r="A621" s="22" t="s">
        <v>95</v>
      </c>
      <c r="B621" s="23" t="s">
        <v>134</v>
      </c>
      <c r="C621" s="15">
        <v>2019</v>
      </c>
      <c r="D621" s="15">
        <v>16.57</v>
      </c>
      <c r="E621" s="15" t="s">
        <v>135</v>
      </c>
      <c r="F621" s="16">
        <v>-20.759999999999998</v>
      </c>
    </row>
    <row r="622" spans="1:6" x14ac:dyDescent="0.35">
      <c r="A622" s="20" t="s">
        <v>95</v>
      </c>
      <c r="B622" s="21" t="s">
        <v>134</v>
      </c>
      <c r="C622" s="14">
        <v>2020</v>
      </c>
      <c r="D622" s="14">
        <v>16.68</v>
      </c>
      <c r="E622" s="14" t="s">
        <v>135</v>
      </c>
      <c r="F622" s="16">
        <v>-20.65</v>
      </c>
    </row>
    <row r="623" spans="1:6" x14ac:dyDescent="0.35">
      <c r="A623" s="22" t="s">
        <v>95</v>
      </c>
      <c r="B623" s="23" t="s">
        <v>134</v>
      </c>
      <c r="C623" s="15">
        <v>2021</v>
      </c>
      <c r="D623" s="15">
        <v>16.93</v>
      </c>
      <c r="E623" s="15" t="s">
        <v>135</v>
      </c>
      <c r="F623" s="16">
        <v>-20.399999999999999</v>
      </c>
    </row>
    <row r="624" spans="1:6" x14ac:dyDescent="0.35">
      <c r="A624" s="20" t="s">
        <v>95</v>
      </c>
      <c r="B624" s="21" t="s">
        <v>134</v>
      </c>
      <c r="C624" s="14">
        <v>2022</v>
      </c>
      <c r="D624" s="14">
        <v>17.11</v>
      </c>
      <c r="E624" s="14" t="s">
        <v>135</v>
      </c>
      <c r="F624" s="16">
        <v>-20.22</v>
      </c>
    </row>
    <row r="625" spans="1:6" x14ac:dyDescent="0.35">
      <c r="A625" s="22" t="s">
        <v>95</v>
      </c>
      <c r="B625" s="23" t="s">
        <v>134</v>
      </c>
      <c r="C625" s="15">
        <v>2023</v>
      </c>
      <c r="D625" s="15">
        <v>21.29</v>
      </c>
      <c r="E625" s="15" t="s">
        <v>135</v>
      </c>
      <c r="F625" s="16">
        <v>-16.04</v>
      </c>
    </row>
    <row r="626" spans="1:6" x14ac:dyDescent="0.35">
      <c r="A626" s="20" t="s">
        <v>95</v>
      </c>
      <c r="B626" s="21" t="s">
        <v>134</v>
      </c>
      <c r="C626" s="14">
        <v>2024</v>
      </c>
      <c r="D626" s="14">
        <v>21.16</v>
      </c>
      <c r="E626" s="14" t="s">
        <v>135</v>
      </c>
      <c r="F626" s="16">
        <v>-16.169999999999998</v>
      </c>
    </row>
    <row r="627" spans="1:6" x14ac:dyDescent="0.35">
      <c r="A627" s="22" t="s">
        <v>97</v>
      </c>
      <c r="B627" s="23" t="s">
        <v>134</v>
      </c>
      <c r="C627" s="15">
        <v>2000</v>
      </c>
      <c r="D627" s="15">
        <v>93.96</v>
      </c>
      <c r="E627" s="15">
        <v>93.96</v>
      </c>
      <c r="F627" s="16">
        <v>0</v>
      </c>
    </row>
    <row r="628" spans="1:6" x14ac:dyDescent="0.35">
      <c r="A628" s="20" t="s">
        <v>97</v>
      </c>
      <c r="B628" s="21" t="s">
        <v>134</v>
      </c>
      <c r="C628" s="14">
        <v>2001</v>
      </c>
      <c r="D628" s="14">
        <v>93.96</v>
      </c>
      <c r="E628" s="14" t="s">
        <v>135</v>
      </c>
      <c r="F628" s="16">
        <v>0</v>
      </c>
    </row>
    <row r="629" spans="1:6" x14ac:dyDescent="0.35">
      <c r="A629" s="22" t="s">
        <v>97</v>
      </c>
      <c r="B629" s="23" t="s">
        <v>134</v>
      </c>
      <c r="C629" s="15">
        <v>2002</v>
      </c>
      <c r="D629" s="15">
        <v>93.96</v>
      </c>
      <c r="E629" s="15" t="s">
        <v>135</v>
      </c>
      <c r="F629" s="16">
        <v>0</v>
      </c>
    </row>
    <row r="630" spans="1:6" x14ac:dyDescent="0.35">
      <c r="A630" s="20" t="s">
        <v>97</v>
      </c>
      <c r="B630" s="21" t="s">
        <v>134</v>
      </c>
      <c r="C630" s="14">
        <v>2003</v>
      </c>
      <c r="D630" s="14">
        <v>93.96</v>
      </c>
      <c r="E630" s="14" t="s">
        <v>135</v>
      </c>
      <c r="F630" s="16">
        <v>0</v>
      </c>
    </row>
    <row r="631" spans="1:6" x14ac:dyDescent="0.35">
      <c r="A631" s="22" t="s">
        <v>97</v>
      </c>
      <c r="B631" s="23" t="s">
        <v>134</v>
      </c>
      <c r="C631" s="15">
        <v>2004</v>
      </c>
      <c r="D631" s="15">
        <v>93.96</v>
      </c>
      <c r="E631" s="15" t="s">
        <v>135</v>
      </c>
      <c r="F631" s="16">
        <v>0</v>
      </c>
    </row>
    <row r="632" spans="1:6" x14ac:dyDescent="0.35">
      <c r="A632" s="20" t="s">
        <v>97</v>
      </c>
      <c r="B632" s="21" t="s">
        <v>134</v>
      </c>
      <c r="C632" s="14">
        <v>2005</v>
      </c>
      <c r="D632" s="14">
        <v>73.08</v>
      </c>
      <c r="E632" s="14" t="s">
        <v>135</v>
      </c>
      <c r="F632" s="16">
        <v>-20.879999999999995</v>
      </c>
    </row>
    <row r="633" spans="1:6" x14ac:dyDescent="0.35">
      <c r="A633" s="22" t="s">
        <v>97</v>
      </c>
      <c r="B633" s="23" t="s">
        <v>134</v>
      </c>
      <c r="C633" s="15">
        <v>2006</v>
      </c>
      <c r="D633" s="15">
        <v>57.53</v>
      </c>
      <c r="E633" s="15" t="s">
        <v>135</v>
      </c>
      <c r="F633" s="16">
        <v>-36.429999999999993</v>
      </c>
    </row>
    <row r="634" spans="1:6" x14ac:dyDescent="0.35">
      <c r="A634" s="20" t="s">
        <v>97</v>
      </c>
      <c r="B634" s="21" t="s">
        <v>134</v>
      </c>
      <c r="C634" s="14">
        <v>2007</v>
      </c>
      <c r="D634" s="14">
        <v>57.68</v>
      </c>
      <c r="E634" s="14" t="s">
        <v>135</v>
      </c>
      <c r="F634" s="16">
        <v>-36.279999999999994</v>
      </c>
    </row>
    <row r="635" spans="1:6" x14ac:dyDescent="0.35">
      <c r="A635" s="22" t="s">
        <v>97</v>
      </c>
      <c r="B635" s="23" t="s">
        <v>134</v>
      </c>
      <c r="C635" s="15">
        <v>2008</v>
      </c>
      <c r="D635" s="15">
        <v>57.68</v>
      </c>
      <c r="E635" s="15" t="s">
        <v>135</v>
      </c>
      <c r="F635" s="16">
        <v>-36.279999999999994</v>
      </c>
    </row>
    <row r="636" spans="1:6" x14ac:dyDescent="0.35">
      <c r="A636" s="20" t="s">
        <v>97</v>
      </c>
      <c r="B636" s="21" t="s">
        <v>134</v>
      </c>
      <c r="C636" s="14">
        <v>2009</v>
      </c>
      <c r="D636" s="14">
        <v>43.33</v>
      </c>
      <c r="E636" s="14" t="s">
        <v>135</v>
      </c>
      <c r="F636" s="16">
        <v>-50.629999999999995</v>
      </c>
    </row>
    <row r="637" spans="1:6" x14ac:dyDescent="0.35">
      <c r="A637" s="22" t="s">
        <v>97</v>
      </c>
      <c r="B637" s="23" t="s">
        <v>134</v>
      </c>
      <c r="C637" s="15">
        <v>2010</v>
      </c>
      <c r="D637" s="15">
        <v>48.48</v>
      </c>
      <c r="E637" s="15" t="s">
        <v>135</v>
      </c>
      <c r="F637" s="16">
        <v>-45.48</v>
      </c>
    </row>
    <row r="638" spans="1:6" x14ac:dyDescent="0.35">
      <c r="A638" s="20" t="s">
        <v>97</v>
      </c>
      <c r="B638" s="21" t="s">
        <v>134</v>
      </c>
      <c r="C638" s="14">
        <v>2011</v>
      </c>
      <c r="D638" s="14">
        <v>51.03</v>
      </c>
      <c r="E638" s="14" t="s">
        <v>135</v>
      </c>
      <c r="F638" s="16">
        <v>-42.929999999999993</v>
      </c>
    </row>
    <row r="639" spans="1:6" x14ac:dyDescent="0.35">
      <c r="A639" s="22" t="s">
        <v>97</v>
      </c>
      <c r="B639" s="23" t="s">
        <v>134</v>
      </c>
      <c r="C639" s="15">
        <v>2012</v>
      </c>
      <c r="D639" s="15">
        <v>51.5</v>
      </c>
      <c r="E639" s="15" t="s">
        <v>135</v>
      </c>
      <c r="F639" s="16">
        <v>-42.459999999999994</v>
      </c>
    </row>
    <row r="640" spans="1:6" x14ac:dyDescent="0.35">
      <c r="A640" s="20" t="s">
        <v>97</v>
      </c>
      <c r="B640" s="21" t="s">
        <v>134</v>
      </c>
      <c r="C640" s="14">
        <v>2013</v>
      </c>
      <c r="D640" s="14">
        <v>53.2</v>
      </c>
      <c r="E640" s="14" t="s">
        <v>135</v>
      </c>
      <c r="F640" s="16">
        <v>-40.759999999999991</v>
      </c>
    </row>
    <row r="641" spans="1:6" x14ac:dyDescent="0.35">
      <c r="A641" s="22" t="s">
        <v>97</v>
      </c>
      <c r="B641" s="23" t="s">
        <v>134</v>
      </c>
      <c r="C641" s="15">
        <v>2014</v>
      </c>
      <c r="D641" s="15">
        <v>58.77</v>
      </c>
      <c r="E641" s="15" t="s">
        <v>135</v>
      </c>
      <c r="F641" s="16">
        <v>-35.189999999999991</v>
      </c>
    </row>
    <row r="642" spans="1:6" x14ac:dyDescent="0.35">
      <c r="A642" s="20" t="s">
        <v>97</v>
      </c>
      <c r="B642" s="21" t="s">
        <v>134</v>
      </c>
      <c r="C642" s="14">
        <v>2015</v>
      </c>
      <c r="D642" s="14">
        <v>51.49</v>
      </c>
      <c r="E642" s="14" t="s">
        <v>135</v>
      </c>
      <c r="F642" s="16">
        <v>-42.469999999999992</v>
      </c>
    </row>
    <row r="643" spans="1:6" x14ac:dyDescent="0.35">
      <c r="A643" s="22" t="s">
        <v>97</v>
      </c>
      <c r="B643" s="23" t="s">
        <v>134</v>
      </c>
      <c r="C643" s="15">
        <v>2016</v>
      </c>
      <c r="D643" s="15">
        <v>49.18</v>
      </c>
      <c r="E643" s="15" t="s">
        <v>135</v>
      </c>
      <c r="F643" s="16">
        <v>-44.779999999999994</v>
      </c>
    </row>
    <row r="644" spans="1:6" x14ac:dyDescent="0.35">
      <c r="A644" s="20" t="s">
        <v>97</v>
      </c>
      <c r="B644" s="21" t="s">
        <v>134</v>
      </c>
      <c r="C644" s="14">
        <v>2017</v>
      </c>
      <c r="D644" s="14">
        <v>50.23</v>
      </c>
      <c r="E644" s="14" t="s">
        <v>135</v>
      </c>
      <c r="F644" s="16">
        <v>-43.73</v>
      </c>
    </row>
    <row r="645" spans="1:6" x14ac:dyDescent="0.35">
      <c r="A645" s="22" t="s">
        <v>97</v>
      </c>
      <c r="B645" s="23" t="s">
        <v>134</v>
      </c>
      <c r="C645" s="15">
        <v>2018</v>
      </c>
      <c r="D645" s="15">
        <v>50.6</v>
      </c>
      <c r="E645" s="15" t="s">
        <v>135</v>
      </c>
      <c r="F645" s="16">
        <v>-43.359999999999992</v>
      </c>
    </row>
    <row r="646" spans="1:6" x14ac:dyDescent="0.35">
      <c r="A646" s="20" t="s">
        <v>97</v>
      </c>
      <c r="B646" s="21" t="s">
        <v>134</v>
      </c>
      <c r="C646" s="14">
        <v>2019</v>
      </c>
      <c r="D646" s="14">
        <v>53.5</v>
      </c>
      <c r="E646" s="14" t="s">
        <v>135</v>
      </c>
      <c r="F646" s="16">
        <v>-40.459999999999994</v>
      </c>
    </row>
    <row r="647" spans="1:6" x14ac:dyDescent="0.35">
      <c r="A647" s="22" t="s">
        <v>97</v>
      </c>
      <c r="B647" s="23" t="s">
        <v>134</v>
      </c>
      <c r="C647" s="15">
        <v>2020</v>
      </c>
      <c r="D647" s="15">
        <v>55.57</v>
      </c>
      <c r="E647" s="15" t="s">
        <v>135</v>
      </c>
      <c r="F647" s="16">
        <v>-38.389999999999993</v>
      </c>
    </row>
    <row r="648" spans="1:6" x14ac:dyDescent="0.35">
      <c r="A648" s="20" t="s">
        <v>97</v>
      </c>
      <c r="B648" s="21" t="s">
        <v>134</v>
      </c>
      <c r="C648" s="14">
        <v>2021</v>
      </c>
      <c r="D648" s="14">
        <v>55.81</v>
      </c>
      <c r="E648" s="14" t="s">
        <v>135</v>
      </c>
      <c r="F648" s="16">
        <v>-38.149999999999991</v>
      </c>
    </row>
    <row r="649" spans="1:6" x14ac:dyDescent="0.35">
      <c r="A649" s="22" t="s">
        <v>97</v>
      </c>
      <c r="B649" s="23" t="s">
        <v>134</v>
      </c>
      <c r="C649" s="15">
        <v>2022</v>
      </c>
      <c r="D649" s="15">
        <v>50.29</v>
      </c>
      <c r="E649" s="15" t="s">
        <v>135</v>
      </c>
      <c r="F649" s="16">
        <v>-43.669999999999995</v>
      </c>
    </row>
    <row r="650" spans="1:6" x14ac:dyDescent="0.35">
      <c r="A650" s="20" t="s">
        <v>97</v>
      </c>
      <c r="B650" s="21" t="s">
        <v>134</v>
      </c>
      <c r="C650" s="14">
        <v>2023</v>
      </c>
      <c r="D650" s="14">
        <v>50.47</v>
      </c>
      <c r="E650" s="14" t="s">
        <v>135</v>
      </c>
      <c r="F650" s="16">
        <v>-43.489999999999995</v>
      </c>
    </row>
    <row r="651" spans="1:6" x14ac:dyDescent="0.35">
      <c r="A651" s="22" t="s">
        <v>97</v>
      </c>
      <c r="B651" s="23" t="s">
        <v>134</v>
      </c>
      <c r="C651" s="15">
        <v>2024</v>
      </c>
      <c r="D651" s="15">
        <v>45.96</v>
      </c>
      <c r="E651" s="15" t="s">
        <v>135</v>
      </c>
      <c r="F651" s="16">
        <v>-47.999999999999993</v>
      </c>
    </row>
    <row r="652" spans="1:6" x14ac:dyDescent="0.35">
      <c r="A652" s="20" t="s">
        <v>107</v>
      </c>
      <c r="B652" s="21" t="s">
        <v>134</v>
      </c>
      <c r="C652" s="14">
        <v>2000</v>
      </c>
      <c r="D652" s="14">
        <v>60</v>
      </c>
      <c r="E652" s="14">
        <v>60</v>
      </c>
      <c r="F652" s="16">
        <v>0</v>
      </c>
    </row>
    <row r="653" spans="1:6" x14ac:dyDescent="0.35">
      <c r="A653" s="22" t="s">
        <v>107</v>
      </c>
      <c r="B653" s="23" t="s">
        <v>134</v>
      </c>
      <c r="C653" s="15">
        <v>2001</v>
      </c>
      <c r="D653" s="15">
        <v>31.48</v>
      </c>
      <c r="E653" s="15" t="s">
        <v>135</v>
      </c>
      <c r="F653" s="16">
        <v>-28.52</v>
      </c>
    </row>
    <row r="654" spans="1:6" x14ac:dyDescent="0.35">
      <c r="A654" s="20" t="s">
        <v>107</v>
      </c>
      <c r="B654" s="21" t="s">
        <v>134</v>
      </c>
      <c r="C654" s="14">
        <v>2002</v>
      </c>
      <c r="D654" s="14">
        <v>31.48</v>
      </c>
      <c r="E654" s="14" t="s">
        <v>135</v>
      </c>
      <c r="F654" s="16">
        <v>-28.52</v>
      </c>
    </row>
    <row r="655" spans="1:6" x14ac:dyDescent="0.35">
      <c r="A655" s="22" t="s">
        <v>107</v>
      </c>
      <c r="B655" s="23" t="s">
        <v>134</v>
      </c>
      <c r="C655" s="15">
        <v>2003</v>
      </c>
      <c r="D655" s="15">
        <v>31.48</v>
      </c>
      <c r="E655" s="15" t="s">
        <v>135</v>
      </c>
      <c r="F655" s="16">
        <v>-28.52</v>
      </c>
    </row>
    <row r="656" spans="1:6" x14ac:dyDescent="0.35">
      <c r="A656" s="20" t="s">
        <v>107</v>
      </c>
      <c r="B656" s="21" t="s">
        <v>134</v>
      </c>
      <c r="C656" s="14">
        <v>2004</v>
      </c>
      <c r="D656" s="14">
        <v>31.48</v>
      </c>
      <c r="E656" s="14" t="s">
        <v>135</v>
      </c>
      <c r="F656" s="16">
        <v>-28.52</v>
      </c>
    </row>
    <row r="657" spans="1:6" x14ac:dyDescent="0.35">
      <c r="A657" s="22" t="s">
        <v>107</v>
      </c>
      <c r="B657" s="23" t="s">
        <v>134</v>
      </c>
      <c r="C657" s="15">
        <v>2005</v>
      </c>
      <c r="D657" s="15">
        <v>31.48</v>
      </c>
      <c r="E657" s="15" t="s">
        <v>135</v>
      </c>
      <c r="F657" s="16">
        <v>-28.52</v>
      </c>
    </row>
    <row r="658" spans="1:6" x14ac:dyDescent="0.35">
      <c r="A658" s="20" t="s">
        <v>107</v>
      </c>
      <c r="B658" s="21" t="s">
        <v>134</v>
      </c>
      <c r="C658" s="14">
        <v>2006</v>
      </c>
      <c r="D658" s="14">
        <v>31.48</v>
      </c>
      <c r="E658" s="14" t="s">
        <v>135</v>
      </c>
      <c r="F658" s="16">
        <v>-28.52</v>
      </c>
    </row>
    <row r="659" spans="1:6" x14ac:dyDescent="0.35">
      <c r="A659" s="22" t="s">
        <v>107</v>
      </c>
      <c r="B659" s="23" t="s">
        <v>134</v>
      </c>
      <c r="C659" s="15">
        <v>2007</v>
      </c>
      <c r="D659" s="15">
        <v>31.48</v>
      </c>
      <c r="E659" s="15" t="s">
        <v>135</v>
      </c>
      <c r="F659" s="16">
        <v>-28.52</v>
      </c>
    </row>
    <row r="660" spans="1:6" x14ac:dyDescent="0.35">
      <c r="A660" s="20" t="s">
        <v>107</v>
      </c>
      <c r="B660" s="21" t="s">
        <v>134</v>
      </c>
      <c r="C660" s="14">
        <v>2008</v>
      </c>
      <c r="D660" s="14">
        <v>31.48</v>
      </c>
      <c r="E660" s="14" t="s">
        <v>135</v>
      </c>
      <c r="F660" s="16">
        <v>-28.52</v>
      </c>
    </row>
    <row r="661" spans="1:6" x14ac:dyDescent="0.35">
      <c r="A661" s="22" t="s">
        <v>107</v>
      </c>
      <c r="B661" s="23" t="s">
        <v>134</v>
      </c>
      <c r="C661" s="15">
        <v>2009</v>
      </c>
      <c r="D661" s="15">
        <v>25.95</v>
      </c>
      <c r="E661" s="15" t="s">
        <v>135</v>
      </c>
      <c r="F661" s="16">
        <v>-34.049999999999997</v>
      </c>
    </row>
    <row r="662" spans="1:6" x14ac:dyDescent="0.35">
      <c r="A662" s="20" t="s">
        <v>107</v>
      </c>
      <c r="B662" s="21" t="s">
        <v>134</v>
      </c>
      <c r="C662" s="14">
        <v>2010</v>
      </c>
      <c r="D662" s="14">
        <v>13.52</v>
      </c>
      <c r="E662" s="14" t="s">
        <v>135</v>
      </c>
      <c r="F662" s="16">
        <v>-46.480000000000004</v>
      </c>
    </row>
    <row r="663" spans="1:6" x14ac:dyDescent="0.35">
      <c r="A663" s="22" t="s">
        <v>107</v>
      </c>
      <c r="B663" s="23" t="s">
        <v>134</v>
      </c>
      <c r="C663" s="15">
        <v>2011</v>
      </c>
      <c r="D663" s="15">
        <v>11.56</v>
      </c>
      <c r="E663" s="15" t="s">
        <v>135</v>
      </c>
      <c r="F663" s="16">
        <v>-48.44</v>
      </c>
    </row>
    <row r="664" spans="1:6" x14ac:dyDescent="0.35">
      <c r="A664" s="20" t="s">
        <v>107</v>
      </c>
      <c r="B664" s="21" t="s">
        <v>134</v>
      </c>
      <c r="C664" s="14">
        <v>2012</v>
      </c>
      <c r="D664" s="14">
        <v>11.56</v>
      </c>
      <c r="E664" s="14" t="s">
        <v>135</v>
      </c>
      <c r="F664" s="16">
        <v>-48.44</v>
      </c>
    </row>
    <row r="665" spans="1:6" x14ac:dyDescent="0.35">
      <c r="A665" s="22" t="s">
        <v>107</v>
      </c>
      <c r="B665" s="23" t="s">
        <v>134</v>
      </c>
      <c r="C665" s="15">
        <v>2013</v>
      </c>
      <c r="D665" s="15">
        <v>11.56</v>
      </c>
      <c r="E665" s="15" t="s">
        <v>135</v>
      </c>
      <c r="F665" s="16">
        <v>-48.44</v>
      </c>
    </row>
    <row r="666" spans="1:6" x14ac:dyDescent="0.35">
      <c r="A666" s="20" t="s">
        <v>107</v>
      </c>
      <c r="B666" s="21" t="s">
        <v>134</v>
      </c>
      <c r="C666" s="14">
        <v>2014</v>
      </c>
      <c r="D666" s="14">
        <v>10.27</v>
      </c>
      <c r="E666" s="14" t="s">
        <v>135</v>
      </c>
      <c r="F666" s="16">
        <v>-49.730000000000004</v>
      </c>
    </row>
    <row r="667" spans="1:6" x14ac:dyDescent="0.35">
      <c r="A667" s="22" t="s">
        <v>107</v>
      </c>
      <c r="B667" s="23" t="s">
        <v>134</v>
      </c>
      <c r="C667" s="15">
        <v>2015</v>
      </c>
      <c r="D667" s="15">
        <v>8.16</v>
      </c>
      <c r="E667" s="15" t="s">
        <v>135</v>
      </c>
      <c r="F667" s="16">
        <v>-51.84</v>
      </c>
    </row>
    <row r="668" spans="1:6" x14ac:dyDescent="0.35">
      <c r="A668" s="20" t="s">
        <v>107</v>
      </c>
      <c r="B668" s="21" t="s">
        <v>134</v>
      </c>
      <c r="C668" s="14">
        <v>2016</v>
      </c>
      <c r="D668" s="14">
        <v>6.99</v>
      </c>
      <c r="E668" s="14" t="s">
        <v>135</v>
      </c>
      <c r="F668" s="16">
        <v>-53.01</v>
      </c>
    </row>
    <row r="669" spans="1:6" x14ac:dyDescent="0.35">
      <c r="A669" s="22" t="s">
        <v>107</v>
      </c>
      <c r="B669" s="23" t="s">
        <v>134</v>
      </c>
      <c r="C669" s="15">
        <v>2017</v>
      </c>
      <c r="D669" s="15">
        <v>7.59</v>
      </c>
      <c r="E669" s="15" t="s">
        <v>135</v>
      </c>
      <c r="F669" s="16">
        <v>-52.41</v>
      </c>
    </row>
    <row r="670" spans="1:6" x14ac:dyDescent="0.35">
      <c r="A670" s="20" t="s">
        <v>107</v>
      </c>
      <c r="B670" s="21" t="s">
        <v>134</v>
      </c>
      <c r="C670" s="14">
        <v>2018</v>
      </c>
      <c r="D670" s="14">
        <v>7.59</v>
      </c>
      <c r="E670" s="14" t="s">
        <v>135</v>
      </c>
      <c r="F670" s="16">
        <v>-52.41</v>
      </c>
    </row>
    <row r="671" spans="1:6" x14ac:dyDescent="0.35">
      <c r="A671" s="22" t="s">
        <v>107</v>
      </c>
      <c r="B671" s="23" t="s">
        <v>134</v>
      </c>
      <c r="C671" s="15">
        <v>2019</v>
      </c>
      <c r="D671" s="15">
        <v>7.42</v>
      </c>
      <c r="E671" s="15" t="s">
        <v>135</v>
      </c>
      <c r="F671" s="16">
        <v>-52.58</v>
      </c>
    </row>
    <row r="672" spans="1:6" x14ac:dyDescent="0.35">
      <c r="A672" s="20" t="s">
        <v>107</v>
      </c>
      <c r="B672" s="21" t="s">
        <v>134</v>
      </c>
      <c r="C672" s="14">
        <v>2020</v>
      </c>
      <c r="D672" s="14">
        <v>7.39</v>
      </c>
      <c r="E672" s="14" t="s">
        <v>135</v>
      </c>
      <c r="F672" s="16">
        <v>-52.61</v>
      </c>
    </row>
    <row r="673" spans="1:6" x14ac:dyDescent="0.35">
      <c r="A673" s="22" t="s">
        <v>107</v>
      </c>
      <c r="B673" s="23" t="s">
        <v>134</v>
      </c>
      <c r="C673" s="15">
        <v>2021</v>
      </c>
      <c r="D673" s="15">
        <v>6.98</v>
      </c>
      <c r="E673" s="15" t="s">
        <v>135</v>
      </c>
      <c r="F673" s="16">
        <v>-53.019999999999996</v>
      </c>
    </row>
    <row r="674" spans="1:6" x14ac:dyDescent="0.35">
      <c r="A674" s="20" t="s">
        <v>107</v>
      </c>
      <c r="B674" s="21" t="s">
        <v>134</v>
      </c>
      <c r="C674" s="14">
        <v>2022</v>
      </c>
      <c r="D674" s="14">
        <v>6.39</v>
      </c>
      <c r="E674" s="14" t="s">
        <v>135</v>
      </c>
      <c r="F674" s="16">
        <v>-53.61</v>
      </c>
    </row>
    <row r="675" spans="1:6" x14ac:dyDescent="0.35">
      <c r="A675" s="22" t="s">
        <v>107</v>
      </c>
      <c r="B675" s="23" t="s">
        <v>134</v>
      </c>
      <c r="C675" s="15">
        <v>2023</v>
      </c>
      <c r="D675" s="15">
        <v>8.0399999999999991</v>
      </c>
      <c r="E675" s="15" t="s">
        <v>135</v>
      </c>
      <c r="F675" s="16">
        <v>-51.96</v>
      </c>
    </row>
    <row r="676" spans="1:6" x14ac:dyDescent="0.35">
      <c r="A676" s="20" t="s">
        <v>107</v>
      </c>
      <c r="B676" s="21" t="s">
        <v>134</v>
      </c>
      <c r="C676" s="14">
        <v>2024</v>
      </c>
      <c r="D676" s="14">
        <v>8.0399999999999991</v>
      </c>
      <c r="E676" s="14" t="s">
        <v>135</v>
      </c>
      <c r="F676" s="16">
        <v>-51.96</v>
      </c>
    </row>
    <row r="677" spans="1:6" x14ac:dyDescent="0.35">
      <c r="A677" s="22" t="s">
        <v>101</v>
      </c>
      <c r="B677" s="23" t="s">
        <v>134</v>
      </c>
      <c r="C677" s="15">
        <v>2000</v>
      </c>
      <c r="D677" s="15">
        <v>0</v>
      </c>
      <c r="E677" s="15">
        <v>0</v>
      </c>
      <c r="F677" s="16">
        <v>0</v>
      </c>
    </row>
    <row r="678" spans="1:6" x14ac:dyDescent="0.35">
      <c r="A678" s="20" t="s">
        <v>101</v>
      </c>
      <c r="B678" s="21" t="s">
        <v>134</v>
      </c>
      <c r="C678" s="14">
        <v>2001</v>
      </c>
      <c r="D678" s="14">
        <v>0</v>
      </c>
      <c r="E678" s="14" t="s">
        <v>135</v>
      </c>
      <c r="F678" s="16">
        <v>0</v>
      </c>
    </row>
    <row r="679" spans="1:6" x14ac:dyDescent="0.35">
      <c r="A679" s="22" t="s">
        <v>101</v>
      </c>
      <c r="B679" s="23" t="s">
        <v>134</v>
      </c>
      <c r="C679" s="15">
        <v>2002</v>
      </c>
      <c r="D679" s="15">
        <v>0</v>
      </c>
      <c r="E679" s="15" t="s">
        <v>135</v>
      </c>
      <c r="F679" s="16">
        <v>0</v>
      </c>
    </row>
    <row r="680" spans="1:6" x14ac:dyDescent="0.35">
      <c r="A680" s="20" t="s">
        <v>101</v>
      </c>
      <c r="B680" s="21" t="s">
        <v>134</v>
      </c>
      <c r="C680" s="14">
        <v>2003</v>
      </c>
      <c r="D680" s="14">
        <v>0</v>
      </c>
      <c r="E680" s="14" t="s">
        <v>135</v>
      </c>
      <c r="F680" s="16">
        <v>0</v>
      </c>
    </row>
    <row r="681" spans="1:6" x14ac:dyDescent="0.35">
      <c r="A681" s="22" t="s">
        <v>101</v>
      </c>
      <c r="B681" s="23" t="s">
        <v>134</v>
      </c>
      <c r="C681" s="15">
        <v>2004</v>
      </c>
      <c r="D681" s="15">
        <v>0</v>
      </c>
      <c r="E681" s="15" t="s">
        <v>135</v>
      </c>
      <c r="F681" s="16">
        <v>0</v>
      </c>
    </row>
    <row r="682" spans="1:6" x14ac:dyDescent="0.35">
      <c r="A682" s="20" t="s">
        <v>101</v>
      </c>
      <c r="B682" s="21" t="s">
        <v>134</v>
      </c>
      <c r="C682" s="14">
        <v>2005</v>
      </c>
      <c r="D682" s="14">
        <v>0</v>
      </c>
      <c r="E682" s="14" t="s">
        <v>135</v>
      </c>
      <c r="F682" s="16">
        <v>0</v>
      </c>
    </row>
    <row r="683" spans="1:6" x14ac:dyDescent="0.35">
      <c r="A683" s="22" t="s">
        <v>101</v>
      </c>
      <c r="B683" s="23" t="s">
        <v>134</v>
      </c>
      <c r="C683" s="15">
        <v>2006</v>
      </c>
      <c r="D683" s="15">
        <v>0</v>
      </c>
      <c r="E683" s="15" t="s">
        <v>135</v>
      </c>
      <c r="F683" s="16">
        <v>0</v>
      </c>
    </row>
    <row r="684" spans="1:6" x14ac:dyDescent="0.35">
      <c r="A684" s="20" t="s">
        <v>101</v>
      </c>
      <c r="B684" s="21" t="s">
        <v>134</v>
      </c>
      <c r="C684" s="14">
        <v>2007</v>
      </c>
      <c r="D684" s="14">
        <v>0</v>
      </c>
      <c r="E684" s="14" t="s">
        <v>135</v>
      </c>
      <c r="F684" s="16">
        <v>0</v>
      </c>
    </row>
    <row r="685" spans="1:6" x14ac:dyDescent="0.35">
      <c r="A685" s="22" t="s">
        <v>101</v>
      </c>
      <c r="B685" s="23" t="s">
        <v>134</v>
      </c>
      <c r="C685" s="15">
        <v>2008</v>
      </c>
      <c r="D685" s="15">
        <v>0</v>
      </c>
      <c r="E685" s="15" t="s">
        <v>135</v>
      </c>
      <c r="F685" s="16">
        <v>0</v>
      </c>
    </row>
    <row r="686" spans="1:6" x14ac:dyDescent="0.35">
      <c r="A686" s="20" t="s">
        <v>101</v>
      </c>
      <c r="B686" s="21" t="s">
        <v>134</v>
      </c>
      <c r="C686" s="14">
        <v>2009</v>
      </c>
      <c r="D686" s="14">
        <v>0</v>
      </c>
      <c r="E686" s="14" t="s">
        <v>135</v>
      </c>
      <c r="F686" s="16">
        <v>0</v>
      </c>
    </row>
    <row r="687" spans="1:6" x14ac:dyDescent="0.35">
      <c r="A687" s="22" t="s">
        <v>101</v>
      </c>
      <c r="B687" s="23" t="s">
        <v>134</v>
      </c>
      <c r="C687" s="15">
        <v>2010</v>
      </c>
      <c r="D687" s="15">
        <v>9.5299999999999994</v>
      </c>
      <c r="E687" s="15" t="s">
        <v>135</v>
      </c>
      <c r="F687" s="16">
        <v>9.5299999999999994</v>
      </c>
    </row>
    <row r="688" spans="1:6" x14ac:dyDescent="0.35">
      <c r="A688" s="20" t="s">
        <v>101</v>
      </c>
      <c r="B688" s="21" t="s">
        <v>134</v>
      </c>
      <c r="C688" s="14">
        <v>2011</v>
      </c>
      <c r="D688" s="14">
        <v>9.51</v>
      </c>
      <c r="E688" s="14" t="s">
        <v>135</v>
      </c>
      <c r="F688" s="16">
        <v>9.51</v>
      </c>
    </row>
    <row r="689" spans="1:6" x14ac:dyDescent="0.35">
      <c r="A689" s="22" t="s">
        <v>101</v>
      </c>
      <c r="B689" s="23" t="s">
        <v>134</v>
      </c>
      <c r="C689" s="15">
        <v>2012</v>
      </c>
      <c r="D689" s="15">
        <v>9.42</v>
      </c>
      <c r="E689" s="15" t="s">
        <v>135</v>
      </c>
      <c r="F689" s="16">
        <v>9.42</v>
      </c>
    </row>
    <row r="690" spans="1:6" x14ac:dyDescent="0.35">
      <c r="A690" s="20" t="s">
        <v>101</v>
      </c>
      <c r="B690" s="21" t="s">
        <v>134</v>
      </c>
      <c r="C690" s="14">
        <v>2013</v>
      </c>
      <c r="D690" s="14">
        <v>9.09</v>
      </c>
      <c r="E690" s="14" t="s">
        <v>135</v>
      </c>
      <c r="F690" s="16">
        <v>9.09</v>
      </c>
    </row>
    <row r="691" spans="1:6" x14ac:dyDescent="0.35">
      <c r="A691" s="22" t="s">
        <v>101</v>
      </c>
      <c r="B691" s="23" t="s">
        <v>134</v>
      </c>
      <c r="C691" s="15">
        <v>2014</v>
      </c>
      <c r="D691" s="15">
        <v>8.8699999999999992</v>
      </c>
      <c r="E691" s="15" t="s">
        <v>135</v>
      </c>
      <c r="F691" s="16">
        <v>8.8699999999999992</v>
      </c>
    </row>
    <row r="692" spans="1:6" x14ac:dyDescent="0.35">
      <c r="A692" s="20" t="s">
        <v>101</v>
      </c>
      <c r="B692" s="21" t="s">
        <v>134</v>
      </c>
      <c r="C692" s="14">
        <v>2015</v>
      </c>
      <c r="D692" s="14">
        <v>8.89</v>
      </c>
      <c r="E692" s="14" t="s">
        <v>135</v>
      </c>
      <c r="F692" s="16">
        <v>8.89</v>
      </c>
    </row>
    <row r="693" spans="1:6" x14ac:dyDescent="0.35">
      <c r="A693" s="22" t="s">
        <v>101</v>
      </c>
      <c r="B693" s="23" t="s">
        <v>134</v>
      </c>
      <c r="C693" s="15">
        <v>2016</v>
      </c>
      <c r="D693" s="15">
        <v>12.54</v>
      </c>
      <c r="E693" s="15" t="s">
        <v>135</v>
      </c>
      <c r="F693" s="16">
        <v>12.54</v>
      </c>
    </row>
    <row r="694" spans="1:6" x14ac:dyDescent="0.35">
      <c r="A694" s="20" t="s">
        <v>101</v>
      </c>
      <c r="B694" s="21" t="s">
        <v>134</v>
      </c>
      <c r="C694" s="14">
        <v>2017</v>
      </c>
      <c r="D694" s="14">
        <v>16.760000000000002</v>
      </c>
      <c r="E694" s="14" t="s">
        <v>135</v>
      </c>
      <c r="F694" s="16">
        <v>16.760000000000002</v>
      </c>
    </row>
    <row r="695" spans="1:6" x14ac:dyDescent="0.35">
      <c r="A695" s="22" t="s">
        <v>101</v>
      </c>
      <c r="B695" s="23" t="s">
        <v>134</v>
      </c>
      <c r="C695" s="15">
        <v>2018</v>
      </c>
      <c r="D695" s="15">
        <v>15.8</v>
      </c>
      <c r="E695" s="15" t="s">
        <v>135</v>
      </c>
      <c r="F695" s="16">
        <v>15.8</v>
      </c>
    </row>
    <row r="696" spans="1:6" x14ac:dyDescent="0.35">
      <c r="A696" s="20" t="s">
        <v>101</v>
      </c>
      <c r="B696" s="21" t="s">
        <v>134</v>
      </c>
      <c r="C696" s="14">
        <v>2019</v>
      </c>
      <c r="D696" s="14">
        <v>21.45</v>
      </c>
      <c r="E696" s="14" t="s">
        <v>135</v>
      </c>
      <c r="F696" s="16">
        <v>21.45</v>
      </c>
    </row>
    <row r="697" spans="1:6" x14ac:dyDescent="0.35">
      <c r="A697" s="22" t="s">
        <v>101</v>
      </c>
      <c r="B697" s="23" t="s">
        <v>134</v>
      </c>
      <c r="C697" s="15">
        <v>2020</v>
      </c>
      <c r="D697" s="15">
        <v>27.57</v>
      </c>
      <c r="E697" s="15" t="s">
        <v>135</v>
      </c>
      <c r="F697" s="16">
        <v>27.57</v>
      </c>
    </row>
    <row r="698" spans="1:6" x14ac:dyDescent="0.35">
      <c r="A698" s="20" t="s">
        <v>101</v>
      </c>
      <c r="B698" s="21" t="s">
        <v>134</v>
      </c>
      <c r="C698" s="14">
        <v>2021</v>
      </c>
      <c r="D698" s="14">
        <v>31.05</v>
      </c>
      <c r="E698" s="14" t="s">
        <v>135</v>
      </c>
      <c r="F698" s="16">
        <v>31.05</v>
      </c>
    </row>
    <row r="699" spans="1:6" x14ac:dyDescent="0.35">
      <c r="A699" s="22" t="s">
        <v>101</v>
      </c>
      <c r="B699" s="23" t="s">
        <v>134</v>
      </c>
      <c r="C699" s="15">
        <v>2022</v>
      </c>
      <c r="D699" s="15">
        <v>28.73</v>
      </c>
      <c r="E699" s="15" t="s">
        <v>135</v>
      </c>
      <c r="F699" s="16">
        <v>28.73</v>
      </c>
    </row>
    <row r="700" spans="1:6" x14ac:dyDescent="0.35">
      <c r="A700" s="20" t="s">
        <v>101</v>
      </c>
      <c r="B700" s="21" t="s">
        <v>134</v>
      </c>
      <c r="C700" s="14">
        <v>2023</v>
      </c>
      <c r="D700" s="14">
        <v>28.68</v>
      </c>
      <c r="E700" s="14" t="s">
        <v>135</v>
      </c>
      <c r="F700" s="16">
        <v>28.68</v>
      </c>
    </row>
    <row r="701" spans="1:6" x14ac:dyDescent="0.35">
      <c r="A701" s="22" t="s">
        <v>101</v>
      </c>
      <c r="B701" s="23" t="s">
        <v>134</v>
      </c>
      <c r="C701" s="15">
        <v>2024</v>
      </c>
      <c r="D701" s="15">
        <v>25.29</v>
      </c>
      <c r="E701" s="15" t="s">
        <v>135</v>
      </c>
      <c r="F701" s="16">
        <v>25.29</v>
      </c>
    </row>
    <row r="702" spans="1:6" x14ac:dyDescent="0.35">
      <c r="A702" s="20" t="s">
        <v>103</v>
      </c>
      <c r="B702" s="21" t="s">
        <v>134</v>
      </c>
      <c r="C702" s="14">
        <v>2000</v>
      </c>
      <c r="D702" s="14">
        <v>20</v>
      </c>
      <c r="E702" s="14">
        <v>20</v>
      </c>
      <c r="F702" s="16">
        <v>0</v>
      </c>
    </row>
    <row r="703" spans="1:6" x14ac:dyDescent="0.35">
      <c r="A703" s="22" t="s">
        <v>103</v>
      </c>
      <c r="B703" s="23" t="s">
        <v>134</v>
      </c>
      <c r="C703" s="15">
        <v>2001</v>
      </c>
      <c r="D703" s="15">
        <v>20</v>
      </c>
      <c r="E703" s="15" t="s">
        <v>135</v>
      </c>
      <c r="F703" s="16">
        <v>0</v>
      </c>
    </row>
    <row r="704" spans="1:6" x14ac:dyDescent="0.35">
      <c r="A704" s="20" t="s">
        <v>103</v>
      </c>
      <c r="B704" s="21" t="s">
        <v>134</v>
      </c>
      <c r="C704" s="14">
        <v>2002</v>
      </c>
      <c r="D704" s="14">
        <v>20</v>
      </c>
      <c r="E704" s="14" t="s">
        <v>135</v>
      </c>
      <c r="F704" s="16">
        <v>0</v>
      </c>
    </row>
    <row r="705" spans="1:6" x14ac:dyDescent="0.35">
      <c r="A705" s="22" t="s">
        <v>103</v>
      </c>
      <c r="B705" s="23" t="s">
        <v>134</v>
      </c>
      <c r="C705" s="15">
        <v>2003</v>
      </c>
      <c r="D705" s="15">
        <v>20</v>
      </c>
      <c r="E705" s="15" t="s">
        <v>135</v>
      </c>
      <c r="F705" s="16">
        <v>0</v>
      </c>
    </row>
    <row r="706" spans="1:6" x14ac:dyDescent="0.35">
      <c r="A706" s="20" t="s">
        <v>103</v>
      </c>
      <c r="B706" s="21" t="s">
        <v>134</v>
      </c>
      <c r="C706" s="14">
        <v>2004</v>
      </c>
      <c r="D706" s="14">
        <v>20.010000000000002</v>
      </c>
      <c r="E706" s="14" t="s">
        <v>135</v>
      </c>
      <c r="F706" s="16">
        <v>1.0000000000001563E-2</v>
      </c>
    </row>
    <row r="707" spans="1:6" x14ac:dyDescent="0.35">
      <c r="A707" s="22" t="s">
        <v>103</v>
      </c>
      <c r="B707" s="23" t="s">
        <v>134</v>
      </c>
      <c r="C707" s="15">
        <v>2005</v>
      </c>
      <c r="D707" s="15">
        <v>20.02</v>
      </c>
      <c r="E707" s="15" t="s">
        <v>135</v>
      </c>
      <c r="F707" s="16">
        <v>1.9999999999999574E-2</v>
      </c>
    </row>
    <row r="708" spans="1:6" x14ac:dyDescent="0.35">
      <c r="A708" s="20" t="s">
        <v>103</v>
      </c>
      <c r="B708" s="21" t="s">
        <v>134</v>
      </c>
      <c r="C708" s="14">
        <v>2006</v>
      </c>
      <c r="D708" s="14">
        <v>20.02</v>
      </c>
      <c r="E708" s="14" t="s">
        <v>135</v>
      </c>
      <c r="F708" s="16">
        <v>1.9999999999999574E-2</v>
      </c>
    </row>
    <row r="709" spans="1:6" x14ac:dyDescent="0.35">
      <c r="A709" s="22" t="s">
        <v>103</v>
      </c>
      <c r="B709" s="23" t="s">
        <v>134</v>
      </c>
      <c r="C709" s="15">
        <v>2007</v>
      </c>
      <c r="D709" s="15">
        <v>20.13</v>
      </c>
      <c r="E709" s="15" t="s">
        <v>135</v>
      </c>
      <c r="F709" s="16">
        <v>0.12999999999999901</v>
      </c>
    </row>
    <row r="710" spans="1:6" x14ac:dyDescent="0.35">
      <c r="A710" s="20" t="s">
        <v>103</v>
      </c>
      <c r="B710" s="21" t="s">
        <v>134</v>
      </c>
      <c r="C710" s="14">
        <v>2008</v>
      </c>
      <c r="D710" s="14">
        <v>64.48</v>
      </c>
      <c r="E710" s="14" t="s">
        <v>135</v>
      </c>
      <c r="F710" s="16">
        <v>44.480000000000004</v>
      </c>
    </row>
    <row r="711" spans="1:6" x14ac:dyDescent="0.35">
      <c r="A711" s="22" t="s">
        <v>103</v>
      </c>
      <c r="B711" s="23" t="s">
        <v>134</v>
      </c>
      <c r="C711" s="15">
        <v>2009</v>
      </c>
      <c r="D711" s="15">
        <v>64.5</v>
      </c>
      <c r="E711" s="15" t="s">
        <v>135</v>
      </c>
      <c r="F711" s="16">
        <v>44.5</v>
      </c>
    </row>
    <row r="712" spans="1:6" x14ac:dyDescent="0.35">
      <c r="A712" s="20" t="s">
        <v>103</v>
      </c>
      <c r="B712" s="21" t="s">
        <v>134</v>
      </c>
      <c r="C712" s="14">
        <v>2010</v>
      </c>
      <c r="D712" s="14">
        <v>71.77</v>
      </c>
      <c r="E712" s="14" t="s">
        <v>135</v>
      </c>
      <c r="F712" s="16">
        <v>51.769999999999996</v>
      </c>
    </row>
    <row r="713" spans="1:6" x14ac:dyDescent="0.35">
      <c r="A713" s="22" t="s">
        <v>103</v>
      </c>
      <c r="B713" s="23" t="s">
        <v>134</v>
      </c>
      <c r="C713" s="15">
        <v>2011</v>
      </c>
      <c r="D713" s="15">
        <v>59.65</v>
      </c>
      <c r="E713" s="15" t="s">
        <v>135</v>
      </c>
      <c r="F713" s="16">
        <v>39.65</v>
      </c>
    </row>
    <row r="714" spans="1:6" x14ac:dyDescent="0.35">
      <c r="A714" s="20" t="s">
        <v>103</v>
      </c>
      <c r="B714" s="21" t="s">
        <v>134</v>
      </c>
      <c r="C714" s="14">
        <v>2012</v>
      </c>
      <c r="D714" s="14">
        <v>59.77</v>
      </c>
      <c r="E714" s="14" t="s">
        <v>135</v>
      </c>
      <c r="F714" s="16">
        <v>39.770000000000003</v>
      </c>
    </row>
    <row r="715" spans="1:6" x14ac:dyDescent="0.35">
      <c r="A715" s="22" t="s">
        <v>103</v>
      </c>
      <c r="B715" s="23" t="s">
        <v>134</v>
      </c>
      <c r="C715" s="15">
        <v>2013</v>
      </c>
      <c r="D715" s="15">
        <v>59.78</v>
      </c>
      <c r="E715" s="15" t="s">
        <v>135</v>
      </c>
      <c r="F715" s="16">
        <v>39.78</v>
      </c>
    </row>
    <row r="716" spans="1:6" x14ac:dyDescent="0.35">
      <c r="A716" s="20" t="s">
        <v>103</v>
      </c>
      <c r="B716" s="21" t="s">
        <v>134</v>
      </c>
      <c r="C716" s="14">
        <v>2014</v>
      </c>
      <c r="D716" s="14">
        <v>66.599999999999994</v>
      </c>
      <c r="E716" s="14" t="s">
        <v>135</v>
      </c>
      <c r="F716" s="16">
        <v>46.599999999999994</v>
      </c>
    </row>
    <row r="717" spans="1:6" x14ac:dyDescent="0.35">
      <c r="A717" s="22" t="s">
        <v>103</v>
      </c>
      <c r="B717" s="23" t="s">
        <v>134</v>
      </c>
      <c r="C717" s="15">
        <v>2015</v>
      </c>
      <c r="D717" s="15">
        <v>55.38</v>
      </c>
      <c r="E717" s="15" t="s">
        <v>135</v>
      </c>
      <c r="F717" s="16">
        <v>35.380000000000003</v>
      </c>
    </row>
    <row r="718" spans="1:6" x14ac:dyDescent="0.35">
      <c r="A718" s="20" t="s">
        <v>103</v>
      </c>
      <c r="B718" s="21" t="s">
        <v>134</v>
      </c>
      <c r="C718" s="14">
        <v>2016</v>
      </c>
      <c r="D718" s="14">
        <v>55.49</v>
      </c>
      <c r="E718" s="14" t="s">
        <v>135</v>
      </c>
      <c r="F718" s="16">
        <v>35.49</v>
      </c>
    </row>
    <row r="719" spans="1:6" x14ac:dyDescent="0.35">
      <c r="A719" s="22" t="s">
        <v>103</v>
      </c>
      <c r="B719" s="23" t="s">
        <v>134</v>
      </c>
      <c r="C719" s="15">
        <v>2017</v>
      </c>
      <c r="D719" s="15">
        <v>56.93</v>
      </c>
      <c r="E719" s="15" t="s">
        <v>135</v>
      </c>
      <c r="F719" s="16">
        <v>36.93</v>
      </c>
    </row>
    <row r="720" spans="1:6" x14ac:dyDescent="0.35">
      <c r="A720" s="20" t="s">
        <v>103</v>
      </c>
      <c r="B720" s="21" t="s">
        <v>134</v>
      </c>
      <c r="C720" s="14">
        <v>2018</v>
      </c>
      <c r="D720" s="14">
        <v>48.36</v>
      </c>
      <c r="E720" s="14" t="s">
        <v>135</v>
      </c>
      <c r="F720" s="16">
        <v>28.36</v>
      </c>
    </row>
    <row r="721" spans="1:6" x14ac:dyDescent="0.35">
      <c r="A721" s="22" t="s">
        <v>103</v>
      </c>
      <c r="B721" s="23" t="s">
        <v>134</v>
      </c>
      <c r="C721" s="15">
        <v>2019</v>
      </c>
      <c r="D721" s="15">
        <v>41.71</v>
      </c>
      <c r="E721" s="15" t="s">
        <v>135</v>
      </c>
      <c r="F721" s="16">
        <v>21.71</v>
      </c>
    </row>
    <row r="722" spans="1:6" x14ac:dyDescent="0.35">
      <c r="A722" s="20" t="s">
        <v>103</v>
      </c>
      <c r="B722" s="21" t="s">
        <v>134</v>
      </c>
      <c r="C722" s="14">
        <v>2020</v>
      </c>
      <c r="D722" s="14">
        <v>42.22</v>
      </c>
      <c r="E722" s="14" t="s">
        <v>135</v>
      </c>
      <c r="F722" s="16">
        <v>22.22</v>
      </c>
    </row>
    <row r="723" spans="1:6" x14ac:dyDescent="0.35">
      <c r="A723" s="22" t="s">
        <v>103</v>
      </c>
      <c r="B723" s="23" t="s">
        <v>134</v>
      </c>
      <c r="C723" s="15">
        <v>2021</v>
      </c>
      <c r="D723" s="15">
        <v>44.11</v>
      </c>
      <c r="E723" s="15" t="s">
        <v>135</v>
      </c>
      <c r="F723" s="16">
        <v>24.11</v>
      </c>
    </row>
    <row r="724" spans="1:6" x14ac:dyDescent="0.35">
      <c r="A724" s="20" t="s">
        <v>103</v>
      </c>
      <c r="B724" s="21" t="s">
        <v>134</v>
      </c>
      <c r="C724" s="14">
        <v>2022</v>
      </c>
      <c r="D724" s="14">
        <v>45.28</v>
      </c>
      <c r="E724" s="14" t="s">
        <v>135</v>
      </c>
      <c r="F724" s="16">
        <v>25.28</v>
      </c>
    </row>
    <row r="725" spans="1:6" x14ac:dyDescent="0.35">
      <c r="A725" s="22" t="s">
        <v>103</v>
      </c>
      <c r="B725" s="23" t="s">
        <v>134</v>
      </c>
      <c r="C725" s="15">
        <v>2023</v>
      </c>
      <c r="D725" s="15">
        <v>45.35</v>
      </c>
      <c r="E725" s="15" t="s">
        <v>135</v>
      </c>
      <c r="F725" s="16">
        <v>25.35</v>
      </c>
    </row>
    <row r="726" spans="1:6" x14ac:dyDescent="0.35">
      <c r="A726" s="20" t="s">
        <v>103</v>
      </c>
      <c r="B726" s="21" t="s">
        <v>134</v>
      </c>
      <c r="C726" s="14">
        <v>2024</v>
      </c>
      <c r="D726" s="14">
        <v>45.35</v>
      </c>
      <c r="E726" s="14" t="s">
        <v>135</v>
      </c>
      <c r="F726" s="16">
        <v>25.35</v>
      </c>
    </row>
    <row r="727" spans="1:6" x14ac:dyDescent="0.35">
      <c r="A727" s="22" t="s">
        <v>124</v>
      </c>
      <c r="B727" s="23" t="s">
        <v>134</v>
      </c>
      <c r="C727" s="15">
        <v>2000</v>
      </c>
      <c r="D727" s="15">
        <v>3.47</v>
      </c>
      <c r="E727" s="15">
        <v>3.47</v>
      </c>
      <c r="F727" s="16">
        <v>0</v>
      </c>
    </row>
    <row r="728" spans="1:6" x14ac:dyDescent="0.35">
      <c r="A728" s="20" t="s">
        <v>124</v>
      </c>
      <c r="B728" s="21" t="s">
        <v>134</v>
      </c>
      <c r="C728" s="14">
        <v>2001</v>
      </c>
      <c r="D728" s="14">
        <v>3.37</v>
      </c>
      <c r="E728" s="14" t="s">
        <v>135</v>
      </c>
      <c r="F728" s="16">
        <v>-0.10000000000000009</v>
      </c>
    </row>
    <row r="729" spans="1:6" x14ac:dyDescent="0.35">
      <c r="A729" s="22" t="s">
        <v>124</v>
      </c>
      <c r="B729" s="23" t="s">
        <v>134</v>
      </c>
      <c r="C729" s="15">
        <v>2002</v>
      </c>
      <c r="D729" s="15">
        <v>3.37</v>
      </c>
      <c r="E729" s="15" t="s">
        <v>135</v>
      </c>
      <c r="F729" s="16">
        <v>-0.10000000000000009</v>
      </c>
    </row>
    <row r="730" spans="1:6" x14ac:dyDescent="0.35">
      <c r="A730" s="20" t="s">
        <v>124</v>
      </c>
      <c r="B730" s="21" t="s">
        <v>134</v>
      </c>
      <c r="C730" s="14">
        <v>2003</v>
      </c>
      <c r="D730" s="14">
        <v>4.13</v>
      </c>
      <c r="E730" s="14" t="s">
        <v>135</v>
      </c>
      <c r="F730" s="16">
        <v>0.6599999999999997</v>
      </c>
    </row>
    <row r="731" spans="1:6" x14ac:dyDescent="0.35">
      <c r="A731" s="22" t="s">
        <v>124</v>
      </c>
      <c r="B731" s="23" t="s">
        <v>134</v>
      </c>
      <c r="C731" s="15">
        <v>2004</v>
      </c>
      <c r="D731" s="15">
        <v>2.5099999999999998</v>
      </c>
      <c r="E731" s="15" t="s">
        <v>135</v>
      </c>
      <c r="F731" s="16">
        <v>-0.96000000000000041</v>
      </c>
    </row>
    <row r="732" spans="1:6" x14ac:dyDescent="0.35">
      <c r="A732" s="20" t="s">
        <v>124</v>
      </c>
      <c r="B732" s="21" t="s">
        <v>134</v>
      </c>
      <c r="C732" s="14">
        <v>2005</v>
      </c>
      <c r="D732" s="14">
        <v>2.4700000000000002</v>
      </c>
      <c r="E732" s="14" t="s">
        <v>135</v>
      </c>
      <c r="F732" s="16">
        <v>-1</v>
      </c>
    </row>
    <row r="733" spans="1:6" x14ac:dyDescent="0.35">
      <c r="A733" s="22" t="s">
        <v>124</v>
      </c>
      <c r="B733" s="23" t="s">
        <v>134</v>
      </c>
      <c r="C733" s="15">
        <v>2006</v>
      </c>
      <c r="D733" s="15">
        <v>2.46</v>
      </c>
      <c r="E733" s="15" t="s">
        <v>135</v>
      </c>
      <c r="F733" s="16">
        <v>-1.0100000000000002</v>
      </c>
    </row>
    <row r="734" spans="1:6" x14ac:dyDescent="0.35">
      <c r="A734" s="20" t="s">
        <v>124</v>
      </c>
      <c r="B734" s="21" t="s">
        <v>134</v>
      </c>
      <c r="C734" s="14">
        <v>2007</v>
      </c>
      <c r="D734" s="14">
        <v>2.31</v>
      </c>
      <c r="E734" s="14" t="s">
        <v>135</v>
      </c>
      <c r="F734" s="16">
        <v>-1.1600000000000001</v>
      </c>
    </row>
    <row r="735" spans="1:6" x14ac:dyDescent="0.35">
      <c r="A735" s="22" t="s">
        <v>124</v>
      </c>
      <c r="B735" s="23" t="s">
        <v>134</v>
      </c>
      <c r="C735" s="15">
        <v>2008</v>
      </c>
      <c r="D735" s="15">
        <v>2.2599999999999998</v>
      </c>
      <c r="E735" s="15" t="s">
        <v>135</v>
      </c>
      <c r="F735" s="16">
        <v>-1.2100000000000004</v>
      </c>
    </row>
    <row r="736" spans="1:6" x14ac:dyDescent="0.35">
      <c r="A736" s="20" t="s">
        <v>124</v>
      </c>
      <c r="B736" s="21" t="s">
        <v>134</v>
      </c>
      <c r="C736" s="14">
        <v>2009</v>
      </c>
      <c r="D736" s="14">
        <v>2.2999999999999998</v>
      </c>
      <c r="E736" s="14" t="s">
        <v>135</v>
      </c>
      <c r="F736" s="16">
        <v>-1.1700000000000004</v>
      </c>
    </row>
    <row r="737" spans="1:6" x14ac:dyDescent="0.35">
      <c r="A737" s="22" t="s">
        <v>124</v>
      </c>
      <c r="B737" s="23" t="s">
        <v>134</v>
      </c>
      <c r="C737" s="15">
        <v>2010</v>
      </c>
      <c r="D737" s="15">
        <v>2.33</v>
      </c>
      <c r="E737" s="15" t="s">
        <v>135</v>
      </c>
      <c r="F737" s="16">
        <v>-1.1400000000000001</v>
      </c>
    </row>
    <row r="738" spans="1:6" x14ac:dyDescent="0.35">
      <c r="A738" s="20" t="s">
        <v>124</v>
      </c>
      <c r="B738" s="21" t="s">
        <v>134</v>
      </c>
      <c r="C738" s="14">
        <v>2011</v>
      </c>
      <c r="D738" s="14">
        <v>2.31</v>
      </c>
      <c r="E738" s="14" t="s">
        <v>135</v>
      </c>
      <c r="F738" s="16">
        <v>-1.1600000000000001</v>
      </c>
    </row>
    <row r="739" spans="1:6" x14ac:dyDescent="0.35">
      <c r="A739" s="22" t="s">
        <v>124</v>
      </c>
      <c r="B739" s="23" t="s">
        <v>134</v>
      </c>
      <c r="C739" s="15">
        <v>2012</v>
      </c>
      <c r="D739" s="15">
        <v>2.31</v>
      </c>
      <c r="E739" s="15" t="s">
        <v>135</v>
      </c>
      <c r="F739" s="16">
        <v>-1.1600000000000001</v>
      </c>
    </row>
    <row r="740" spans="1:6" x14ac:dyDescent="0.35">
      <c r="A740" s="20" t="s">
        <v>124</v>
      </c>
      <c r="B740" s="21" t="s">
        <v>134</v>
      </c>
      <c r="C740" s="14">
        <v>2013</v>
      </c>
      <c r="D740" s="14">
        <v>3.41</v>
      </c>
      <c r="E740" s="14" t="s">
        <v>135</v>
      </c>
      <c r="F740" s="16">
        <v>-6.0000000000000053E-2</v>
      </c>
    </row>
    <row r="741" spans="1:6" x14ac:dyDescent="0.35">
      <c r="A741" s="22" t="s">
        <v>124</v>
      </c>
      <c r="B741" s="23" t="s">
        <v>134</v>
      </c>
      <c r="C741" s="15">
        <v>2014</v>
      </c>
      <c r="D741" s="15">
        <v>5.77</v>
      </c>
      <c r="E741" s="15" t="s">
        <v>135</v>
      </c>
      <c r="F741" s="16">
        <v>2.2999999999999994</v>
      </c>
    </row>
    <row r="742" spans="1:6" x14ac:dyDescent="0.35">
      <c r="A742" s="20" t="s">
        <v>124</v>
      </c>
      <c r="B742" s="21" t="s">
        <v>134</v>
      </c>
      <c r="C742" s="14">
        <v>2015</v>
      </c>
      <c r="D742" s="14">
        <v>7.18</v>
      </c>
      <c r="E742" s="14" t="s">
        <v>135</v>
      </c>
      <c r="F742" s="16">
        <v>3.7099999999999995</v>
      </c>
    </row>
    <row r="743" spans="1:6" x14ac:dyDescent="0.35">
      <c r="A743" s="22" t="s">
        <v>124</v>
      </c>
      <c r="B743" s="23" t="s">
        <v>134</v>
      </c>
      <c r="C743" s="15">
        <v>2016</v>
      </c>
      <c r="D743" s="15">
        <v>8.7100000000000009</v>
      </c>
      <c r="E743" s="15" t="s">
        <v>135</v>
      </c>
      <c r="F743" s="16">
        <v>5.24</v>
      </c>
    </row>
    <row r="744" spans="1:6" x14ac:dyDescent="0.35">
      <c r="A744" s="20" t="s">
        <v>124</v>
      </c>
      <c r="B744" s="21" t="s">
        <v>134</v>
      </c>
      <c r="C744" s="14">
        <v>2017</v>
      </c>
      <c r="D744" s="14">
        <v>10.16</v>
      </c>
      <c r="E744" s="14" t="s">
        <v>135</v>
      </c>
      <c r="F744" s="16">
        <v>6.6899999999999995</v>
      </c>
    </row>
    <row r="745" spans="1:6" x14ac:dyDescent="0.35">
      <c r="A745" s="22" t="s">
        <v>124</v>
      </c>
      <c r="B745" s="23" t="s">
        <v>134</v>
      </c>
      <c r="C745" s="15">
        <v>2018</v>
      </c>
      <c r="D745" s="15">
        <v>10.41</v>
      </c>
      <c r="E745" s="15" t="s">
        <v>135</v>
      </c>
      <c r="F745" s="16">
        <v>6.9399999999999995</v>
      </c>
    </row>
    <row r="746" spans="1:6" x14ac:dyDescent="0.35">
      <c r="A746" s="20" t="s">
        <v>124</v>
      </c>
      <c r="B746" s="21" t="s">
        <v>134</v>
      </c>
      <c r="C746" s="14">
        <v>2019</v>
      </c>
      <c r="D746" s="14">
        <v>10.91</v>
      </c>
      <c r="E746" s="14" t="s">
        <v>135</v>
      </c>
      <c r="F746" s="16">
        <v>7.4399999999999995</v>
      </c>
    </row>
    <row r="747" spans="1:6" x14ac:dyDescent="0.35">
      <c r="A747" s="22" t="s">
        <v>124</v>
      </c>
      <c r="B747" s="23" t="s">
        <v>134</v>
      </c>
      <c r="C747" s="15">
        <v>2020</v>
      </c>
      <c r="D747" s="15">
        <v>12.51</v>
      </c>
      <c r="E747" s="15" t="s">
        <v>135</v>
      </c>
      <c r="F747" s="16">
        <v>9.0399999999999991</v>
      </c>
    </row>
    <row r="748" spans="1:6" x14ac:dyDescent="0.35">
      <c r="A748" s="20" t="s">
        <v>124</v>
      </c>
      <c r="B748" s="21" t="s">
        <v>134</v>
      </c>
      <c r="C748" s="14">
        <v>2021</v>
      </c>
      <c r="D748" s="14">
        <v>12.9</v>
      </c>
      <c r="E748" s="14" t="s">
        <v>135</v>
      </c>
      <c r="F748" s="16">
        <v>9.43</v>
      </c>
    </row>
    <row r="749" spans="1:6" x14ac:dyDescent="0.35">
      <c r="A749" s="22" t="s">
        <v>124</v>
      </c>
      <c r="B749" s="23" t="s">
        <v>134</v>
      </c>
      <c r="C749" s="15">
        <v>2022</v>
      </c>
      <c r="D749" s="15">
        <v>15.94</v>
      </c>
      <c r="E749" s="15" t="s">
        <v>135</v>
      </c>
      <c r="F749" s="16">
        <v>12.469999999999999</v>
      </c>
    </row>
    <row r="750" spans="1:6" x14ac:dyDescent="0.35">
      <c r="A750" s="20" t="s">
        <v>124</v>
      </c>
      <c r="B750" s="21" t="s">
        <v>134</v>
      </c>
      <c r="C750" s="14">
        <v>2023</v>
      </c>
      <c r="D750" s="14">
        <v>19.420000000000002</v>
      </c>
      <c r="E750" s="14" t="s">
        <v>135</v>
      </c>
      <c r="F750" s="16">
        <v>15.950000000000001</v>
      </c>
    </row>
    <row r="751" spans="1:6" x14ac:dyDescent="0.35">
      <c r="A751" s="22" t="s">
        <v>124</v>
      </c>
      <c r="B751" s="23" t="s">
        <v>134</v>
      </c>
      <c r="C751" s="15">
        <v>2024</v>
      </c>
      <c r="D751" s="15">
        <v>20.72</v>
      </c>
      <c r="E751" s="15" t="s">
        <v>135</v>
      </c>
      <c r="F751" s="16">
        <v>17.25</v>
      </c>
    </row>
    <row r="752" spans="1:6" x14ac:dyDescent="0.35">
      <c r="A752" s="20" t="s">
        <v>116</v>
      </c>
      <c r="B752" s="21" t="s">
        <v>134</v>
      </c>
      <c r="C752" s="14">
        <v>2000</v>
      </c>
      <c r="D752" s="14">
        <v>77.12</v>
      </c>
      <c r="E752" s="14">
        <v>77.12</v>
      </c>
      <c r="F752" s="16">
        <v>0</v>
      </c>
    </row>
    <row r="753" spans="1:6" x14ac:dyDescent="0.35">
      <c r="A753" s="22" t="s">
        <v>116</v>
      </c>
      <c r="B753" s="23" t="s">
        <v>134</v>
      </c>
      <c r="C753" s="15">
        <v>2001</v>
      </c>
      <c r="D753" s="15">
        <v>77.12</v>
      </c>
      <c r="E753" s="15" t="s">
        <v>135</v>
      </c>
      <c r="F753" s="16">
        <v>0</v>
      </c>
    </row>
    <row r="754" spans="1:6" x14ac:dyDescent="0.35">
      <c r="A754" s="20" t="s">
        <v>116</v>
      </c>
      <c r="B754" s="21" t="s">
        <v>134</v>
      </c>
      <c r="C754" s="14">
        <v>2002</v>
      </c>
      <c r="D754" s="14">
        <v>77.12</v>
      </c>
      <c r="E754" s="14" t="s">
        <v>135</v>
      </c>
      <c r="F754" s="16">
        <v>0</v>
      </c>
    </row>
    <row r="755" spans="1:6" x14ac:dyDescent="0.35">
      <c r="A755" s="22" t="s">
        <v>116</v>
      </c>
      <c r="B755" s="23" t="s">
        <v>134</v>
      </c>
      <c r="C755" s="15">
        <v>2003</v>
      </c>
      <c r="D755" s="15">
        <v>76.91</v>
      </c>
      <c r="E755" s="15" t="s">
        <v>135</v>
      </c>
      <c r="F755" s="16">
        <v>-0.21000000000000796</v>
      </c>
    </row>
    <row r="756" spans="1:6" x14ac:dyDescent="0.35">
      <c r="A756" s="20" t="s">
        <v>116</v>
      </c>
      <c r="B756" s="21" t="s">
        <v>134</v>
      </c>
      <c r="C756" s="14">
        <v>2004</v>
      </c>
      <c r="D756" s="14">
        <v>61.75</v>
      </c>
      <c r="E756" s="14" t="s">
        <v>135</v>
      </c>
      <c r="F756" s="16">
        <v>-15.370000000000005</v>
      </c>
    </row>
    <row r="757" spans="1:6" x14ac:dyDescent="0.35">
      <c r="A757" s="22" t="s">
        <v>116</v>
      </c>
      <c r="B757" s="23" t="s">
        <v>134</v>
      </c>
      <c r="C757" s="15">
        <v>2005</v>
      </c>
      <c r="D757" s="15">
        <v>61.14</v>
      </c>
      <c r="E757" s="15" t="s">
        <v>135</v>
      </c>
      <c r="F757" s="16">
        <v>-15.980000000000004</v>
      </c>
    </row>
    <row r="758" spans="1:6" x14ac:dyDescent="0.35">
      <c r="A758" s="20" t="s">
        <v>116</v>
      </c>
      <c r="B758" s="21" t="s">
        <v>134</v>
      </c>
      <c r="C758" s="14">
        <v>2006</v>
      </c>
      <c r="D758" s="14">
        <v>61.14</v>
      </c>
      <c r="E758" s="14" t="s">
        <v>135</v>
      </c>
      <c r="F758" s="16">
        <v>-15.980000000000004</v>
      </c>
    </row>
    <row r="759" spans="1:6" x14ac:dyDescent="0.35">
      <c r="A759" s="22" t="s">
        <v>116</v>
      </c>
      <c r="B759" s="23" t="s">
        <v>134</v>
      </c>
      <c r="C759" s="15">
        <v>2007</v>
      </c>
      <c r="D759" s="15">
        <v>61.14</v>
      </c>
      <c r="E759" s="15" t="s">
        <v>135</v>
      </c>
      <c r="F759" s="16">
        <v>-15.980000000000004</v>
      </c>
    </row>
    <row r="760" spans="1:6" x14ac:dyDescent="0.35">
      <c r="A760" s="20" t="s">
        <v>116</v>
      </c>
      <c r="B760" s="21" t="s">
        <v>134</v>
      </c>
      <c r="C760" s="14">
        <v>2008</v>
      </c>
      <c r="D760" s="14">
        <v>61.14</v>
      </c>
      <c r="E760" s="14" t="s">
        <v>135</v>
      </c>
      <c r="F760" s="16">
        <v>-15.980000000000004</v>
      </c>
    </row>
    <row r="761" spans="1:6" x14ac:dyDescent="0.35">
      <c r="A761" s="22" t="s">
        <v>116</v>
      </c>
      <c r="B761" s="23" t="s">
        <v>134</v>
      </c>
      <c r="C761" s="15">
        <v>2009</v>
      </c>
      <c r="D761" s="15">
        <v>61.14</v>
      </c>
      <c r="E761" s="15" t="s">
        <v>135</v>
      </c>
      <c r="F761" s="16">
        <v>-15.980000000000004</v>
      </c>
    </row>
    <row r="762" spans="1:6" x14ac:dyDescent="0.35">
      <c r="A762" s="20" t="s">
        <v>116</v>
      </c>
      <c r="B762" s="21" t="s">
        <v>134</v>
      </c>
      <c r="C762" s="14">
        <v>2010</v>
      </c>
      <c r="D762" s="14">
        <v>27.87</v>
      </c>
      <c r="E762" s="14" t="s">
        <v>135</v>
      </c>
      <c r="F762" s="16">
        <v>-49.25</v>
      </c>
    </row>
    <row r="763" spans="1:6" x14ac:dyDescent="0.35">
      <c r="A763" s="22" t="s">
        <v>116</v>
      </c>
      <c r="B763" s="23" t="s">
        <v>134</v>
      </c>
      <c r="C763" s="15">
        <v>2011</v>
      </c>
      <c r="D763" s="15">
        <v>27.87</v>
      </c>
      <c r="E763" s="15" t="s">
        <v>135</v>
      </c>
      <c r="F763" s="16">
        <v>-49.25</v>
      </c>
    </row>
    <row r="764" spans="1:6" x14ac:dyDescent="0.35">
      <c r="A764" s="20" t="s">
        <v>116</v>
      </c>
      <c r="B764" s="21" t="s">
        <v>134</v>
      </c>
      <c r="C764" s="14">
        <v>2012</v>
      </c>
      <c r="D764" s="14">
        <v>27.88</v>
      </c>
      <c r="E764" s="14" t="s">
        <v>135</v>
      </c>
      <c r="F764" s="16">
        <v>-49.240000000000009</v>
      </c>
    </row>
    <row r="765" spans="1:6" x14ac:dyDescent="0.35">
      <c r="A765" s="22" t="s">
        <v>116</v>
      </c>
      <c r="B765" s="23" t="s">
        <v>134</v>
      </c>
      <c r="C765" s="15">
        <v>2013</v>
      </c>
      <c r="D765" s="15">
        <v>27.88</v>
      </c>
      <c r="E765" s="15" t="s">
        <v>135</v>
      </c>
      <c r="F765" s="16">
        <v>-49.240000000000009</v>
      </c>
    </row>
    <row r="766" spans="1:6" x14ac:dyDescent="0.35">
      <c r="A766" s="20" t="s">
        <v>116</v>
      </c>
      <c r="B766" s="21" t="s">
        <v>134</v>
      </c>
      <c r="C766" s="14">
        <v>2014</v>
      </c>
      <c r="D766" s="14">
        <v>27.88</v>
      </c>
      <c r="E766" s="14" t="s">
        <v>135</v>
      </c>
      <c r="F766" s="16">
        <v>-49.240000000000009</v>
      </c>
    </row>
    <row r="767" spans="1:6" x14ac:dyDescent="0.35">
      <c r="A767" s="22" t="s">
        <v>116</v>
      </c>
      <c r="B767" s="23" t="s">
        <v>134</v>
      </c>
      <c r="C767" s="15">
        <v>2015</v>
      </c>
      <c r="D767" s="15">
        <v>27.9</v>
      </c>
      <c r="E767" s="15" t="s">
        <v>135</v>
      </c>
      <c r="F767" s="16">
        <v>-49.220000000000006</v>
      </c>
    </row>
    <row r="768" spans="1:6" x14ac:dyDescent="0.35">
      <c r="A768" s="20" t="s">
        <v>116</v>
      </c>
      <c r="B768" s="21" t="s">
        <v>134</v>
      </c>
      <c r="C768" s="14">
        <v>2016</v>
      </c>
      <c r="D768" s="14">
        <v>27.9</v>
      </c>
      <c r="E768" s="14" t="s">
        <v>135</v>
      </c>
      <c r="F768" s="16">
        <v>-49.220000000000006</v>
      </c>
    </row>
    <row r="769" spans="1:6" x14ac:dyDescent="0.35">
      <c r="A769" s="22" t="s">
        <v>116</v>
      </c>
      <c r="B769" s="23" t="s">
        <v>134</v>
      </c>
      <c r="C769" s="15">
        <v>2017</v>
      </c>
      <c r="D769" s="15">
        <v>28.05</v>
      </c>
      <c r="E769" s="15" t="s">
        <v>135</v>
      </c>
      <c r="F769" s="16">
        <v>-49.070000000000007</v>
      </c>
    </row>
    <row r="770" spans="1:6" x14ac:dyDescent="0.35">
      <c r="A770" s="20" t="s">
        <v>116</v>
      </c>
      <c r="B770" s="21" t="s">
        <v>134</v>
      </c>
      <c r="C770" s="14">
        <v>2018</v>
      </c>
      <c r="D770" s="14">
        <v>29.18</v>
      </c>
      <c r="E770" s="14" t="s">
        <v>135</v>
      </c>
      <c r="F770" s="16">
        <v>-47.940000000000005</v>
      </c>
    </row>
    <row r="771" spans="1:6" x14ac:dyDescent="0.35">
      <c r="A771" s="22" t="s">
        <v>116</v>
      </c>
      <c r="B771" s="23" t="s">
        <v>134</v>
      </c>
      <c r="C771" s="15">
        <v>2019</v>
      </c>
      <c r="D771" s="15">
        <v>30.01</v>
      </c>
      <c r="E771" s="15" t="s">
        <v>135</v>
      </c>
      <c r="F771" s="16">
        <v>-47.11</v>
      </c>
    </row>
    <row r="772" spans="1:6" x14ac:dyDescent="0.35">
      <c r="A772" s="20" t="s">
        <v>116</v>
      </c>
      <c r="B772" s="21" t="s">
        <v>134</v>
      </c>
      <c r="C772" s="14">
        <v>2020</v>
      </c>
      <c r="D772" s="14">
        <v>30.99</v>
      </c>
      <c r="E772" s="14" t="s">
        <v>135</v>
      </c>
      <c r="F772" s="16">
        <v>-46.13000000000001</v>
      </c>
    </row>
    <row r="773" spans="1:6" x14ac:dyDescent="0.35">
      <c r="A773" s="22" t="s">
        <v>116</v>
      </c>
      <c r="B773" s="23" t="s">
        <v>134</v>
      </c>
      <c r="C773" s="15">
        <v>2021</v>
      </c>
      <c r="D773" s="15">
        <v>37.369999999999997</v>
      </c>
      <c r="E773" s="15" t="s">
        <v>135</v>
      </c>
      <c r="F773" s="16">
        <v>-39.750000000000007</v>
      </c>
    </row>
    <row r="774" spans="1:6" x14ac:dyDescent="0.35">
      <c r="A774" s="20" t="s">
        <v>116</v>
      </c>
      <c r="B774" s="21" t="s">
        <v>134</v>
      </c>
      <c r="C774" s="14">
        <v>2022</v>
      </c>
      <c r="D774" s="14">
        <v>37.71</v>
      </c>
      <c r="E774" s="14" t="s">
        <v>135</v>
      </c>
      <c r="F774" s="16">
        <v>-39.410000000000004</v>
      </c>
    </row>
    <row r="775" spans="1:6" x14ac:dyDescent="0.35">
      <c r="A775" s="22" t="s">
        <v>116</v>
      </c>
      <c r="B775" s="23" t="s">
        <v>134</v>
      </c>
      <c r="C775" s="15">
        <v>2023</v>
      </c>
      <c r="D775" s="15">
        <v>37.840000000000003</v>
      </c>
      <c r="E775" s="15" t="s">
        <v>135</v>
      </c>
      <c r="F775" s="16">
        <v>-39.28</v>
      </c>
    </row>
    <row r="776" spans="1:6" x14ac:dyDescent="0.35">
      <c r="A776" s="20" t="s">
        <v>116</v>
      </c>
      <c r="B776" s="21" t="s">
        <v>134</v>
      </c>
      <c r="C776" s="14">
        <v>2024</v>
      </c>
      <c r="D776" s="14">
        <v>37.840000000000003</v>
      </c>
      <c r="E776" s="14" t="s">
        <v>135</v>
      </c>
      <c r="F776" s="16">
        <v>-39.28</v>
      </c>
    </row>
    <row r="777" spans="1:6" x14ac:dyDescent="0.35">
      <c r="A777" s="22" t="s">
        <v>118</v>
      </c>
      <c r="B777" s="23" t="s">
        <v>134</v>
      </c>
      <c r="C777" s="15">
        <v>2000</v>
      </c>
      <c r="D777" s="15">
        <v>2.57</v>
      </c>
      <c r="E777" s="15">
        <v>2.57</v>
      </c>
      <c r="F777" s="16">
        <v>0</v>
      </c>
    </row>
    <row r="778" spans="1:6" x14ac:dyDescent="0.35">
      <c r="A778" s="20" t="s">
        <v>118</v>
      </c>
      <c r="B778" s="21" t="s">
        <v>134</v>
      </c>
      <c r="C778" s="14">
        <v>2001</v>
      </c>
      <c r="D778" s="14">
        <v>2.58</v>
      </c>
      <c r="E778" s="14" t="s">
        <v>135</v>
      </c>
      <c r="F778" s="16">
        <v>1.0000000000000231E-2</v>
      </c>
    </row>
    <row r="779" spans="1:6" x14ac:dyDescent="0.35">
      <c r="A779" s="22" t="s">
        <v>118</v>
      </c>
      <c r="B779" s="23" t="s">
        <v>134</v>
      </c>
      <c r="C779" s="15">
        <v>2002</v>
      </c>
      <c r="D779" s="15">
        <v>2.58</v>
      </c>
      <c r="E779" s="15" t="s">
        <v>135</v>
      </c>
      <c r="F779" s="16">
        <v>1.0000000000000231E-2</v>
      </c>
    </row>
    <row r="780" spans="1:6" x14ac:dyDescent="0.35">
      <c r="A780" s="20" t="s">
        <v>118</v>
      </c>
      <c r="B780" s="21" t="s">
        <v>134</v>
      </c>
      <c r="C780" s="14">
        <v>2003</v>
      </c>
      <c r="D780" s="14">
        <v>2.8</v>
      </c>
      <c r="E780" s="14" t="s">
        <v>135</v>
      </c>
      <c r="F780" s="16">
        <v>0.22999999999999998</v>
      </c>
    </row>
    <row r="781" spans="1:6" x14ac:dyDescent="0.35">
      <c r="A781" s="22" t="s">
        <v>118</v>
      </c>
      <c r="B781" s="23" t="s">
        <v>134</v>
      </c>
      <c r="C781" s="15">
        <v>2004</v>
      </c>
      <c r="D781" s="15">
        <v>2.7</v>
      </c>
      <c r="E781" s="15" t="s">
        <v>135</v>
      </c>
      <c r="F781" s="16">
        <v>0.13000000000000034</v>
      </c>
    </row>
    <row r="782" spans="1:6" x14ac:dyDescent="0.35">
      <c r="A782" s="20" t="s">
        <v>118</v>
      </c>
      <c r="B782" s="21" t="s">
        <v>134</v>
      </c>
      <c r="C782" s="14">
        <v>2005</v>
      </c>
      <c r="D782" s="14">
        <v>2.5</v>
      </c>
      <c r="E782" s="14" t="s">
        <v>135</v>
      </c>
      <c r="F782" s="16">
        <v>-6.999999999999984E-2</v>
      </c>
    </row>
    <row r="783" spans="1:6" x14ac:dyDescent="0.35">
      <c r="A783" s="22" t="s">
        <v>118</v>
      </c>
      <c r="B783" s="23" t="s">
        <v>134</v>
      </c>
      <c r="C783" s="15">
        <v>2006</v>
      </c>
      <c r="D783" s="15">
        <v>2.48</v>
      </c>
      <c r="E783" s="15" t="s">
        <v>135</v>
      </c>
      <c r="F783" s="16">
        <v>-8.9999999999999858E-2</v>
      </c>
    </row>
    <row r="784" spans="1:6" x14ac:dyDescent="0.35">
      <c r="A784" s="20" t="s">
        <v>118</v>
      </c>
      <c r="B784" s="21" t="s">
        <v>134</v>
      </c>
      <c r="C784" s="14">
        <v>2007</v>
      </c>
      <c r="D784" s="14">
        <v>2.4900000000000002</v>
      </c>
      <c r="E784" s="14" t="s">
        <v>135</v>
      </c>
      <c r="F784" s="16">
        <v>-7.9999999999999627E-2</v>
      </c>
    </row>
    <row r="785" spans="1:6" x14ac:dyDescent="0.35">
      <c r="A785" s="22" t="s">
        <v>118</v>
      </c>
      <c r="B785" s="23" t="s">
        <v>134</v>
      </c>
      <c r="C785" s="15">
        <v>2008</v>
      </c>
      <c r="D785" s="15">
        <v>2.2599999999999998</v>
      </c>
      <c r="E785" s="15" t="s">
        <v>135</v>
      </c>
      <c r="F785" s="16">
        <v>-0.31000000000000005</v>
      </c>
    </row>
    <row r="786" spans="1:6" x14ac:dyDescent="0.35">
      <c r="A786" s="20" t="s">
        <v>118</v>
      </c>
      <c r="B786" s="21" t="s">
        <v>134</v>
      </c>
      <c r="C786" s="14">
        <v>2009</v>
      </c>
      <c r="D786" s="14">
        <v>3.08</v>
      </c>
      <c r="E786" s="14" t="s">
        <v>135</v>
      </c>
      <c r="F786" s="16">
        <v>0.51000000000000023</v>
      </c>
    </row>
    <row r="787" spans="1:6" x14ac:dyDescent="0.35">
      <c r="A787" s="22" t="s">
        <v>118</v>
      </c>
      <c r="B787" s="23" t="s">
        <v>134</v>
      </c>
      <c r="C787" s="15">
        <v>2010</v>
      </c>
      <c r="D787" s="15">
        <v>3.08</v>
      </c>
      <c r="E787" s="15" t="s">
        <v>135</v>
      </c>
      <c r="F787" s="16">
        <v>0.51000000000000023</v>
      </c>
    </row>
    <row r="788" spans="1:6" x14ac:dyDescent="0.35">
      <c r="A788" s="20" t="s">
        <v>118</v>
      </c>
      <c r="B788" s="21" t="s">
        <v>134</v>
      </c>
      <c r="C788" s="14">
        <v>2011</v>
      </c>
      <c r="D788" s="14">
        <v>2.81</v>
      </c>
      <c r="E788" s="14" t="s">
        <v>135</v>
      </c>
      <c r="F788" s="16">
        <v>0.24000000000000021</v>
      </c>
    </row>
    <row r="789" spans="1:6" x14ac:dyDescent="0.35">
      <c r="A789" s="22" t="s">
        <v>118</v>
      </c>
      <c r="B789" s="23" t="s">
        <v>134</v>
      </c>
      <c r="C789" s="15">
        <v>2012</v>
      </c>
      <c r="D789" s="15">
        <v>5.62</v>
      </c>
      <c r="E789" s="15" t="s">
        <v>135</v>
      </c>
      <c r="F789" s="16">
        <v>3.0500000000000003</v>
      </c>
    </row>
    <row r="790" spans="1:6" x14ac:dyDescent="0.35">
      <c r="A790" s="20" t="s">
        <v>118</v>
      </c>
      <c r="B790" s="21" t="s">
        <v>134</v>
      </c>
      <c r="C790" s="14">
        <v>2013</v>
      </c>
      <c r="D790" s="14">
        <v>5.98</v>
      </c>
      <c r="E790" s="14" t="s">
        <v>135</v>
      </c>
      <c r="F790" s="16">
        <v>3.4100000000000006</v>
      </c>
    </row>
    <row r="791" spans="1:6" x14ac:dyDescent="0.35">
      <c r="A791" s="22" t="s">
        <v>118</v>
      </c>
      <c r="B791" s="23" t="s">
        <v>134</v>
      </c>
      <c r="C791" s="15">
        <v>2014</v>
      </c>
      <c r="D791" s="15">
        <v>6.23</v>
      </c>
      <c r="E791" s="15" t="s">
        <v>135</v>
      </c>
      <c r="F791" s="16">
        <v>3.6600000000000006</v>
      </c>
    </row>
    <row r="792" spans="1:6" x14ac:dyDescent="0.35">
      <c r="A792" s="20" t="s">
        <v>118</v>
      </c>
      <c r="B792" s="21" t="s">
        <v>134</v>
      </c>
      <c r="C792" s="14">
        <v>2015</v>
      </c>
      <c r="D792" s="14">
        <v>6.62</v>
      </c>
      <c r="E792" s="14" t="s">
        <v>135</v>
      </c>
      <c r="F792" s="16">
        <v>4.0500000000000007</v>
      </c>
    </row>
    <row r="793" spans="1:6" x14ac:dyDescent="0.35">
      <c r="A793" s="22" t="s">
        <v>118</v>
      </c>
      <c r="B793" s="23" t="s">
        <v>134</v>
      </c>
      <c r="C793" s="15">
        <v>2016</v>
      </c>
      <c r="D793" s="15">
        <v>6.49</v>
      </c>
      <c r="E793" s="15" t="s">
        <v>135</v>
      </c>
      <c r="F793" s="16">
        <v>3.9200000000000004</v>
      </c>
    </row>
    <row r="794" spans="1:6" x14ac:dyDescent="0.35">
      <c r="A794" s="20" t="s">
        <v>118</v>
      </c>
      <c r="B794" s="21" t="s">
        <v>134</v>
      </c>
      <c r="C794" s="14">
        <v>2017</v>
      </c>
      <c r="D794" s="14">
        <v>6.52</v>
      </c>
      <c r="E794" s="14" t="s">
        <v>135</v>
      </c>
      <c r="F794" s="16">
        <v>3.9499999999999997</v>
      </c>
    </row>
    <row r="795" spans="1:6" x14ac:dyDescent="0.35">
      <c r="A795" s="22" t="s">
        <v>118</v>
      </c>
      <c r="B795" s="23" t="s">
        <v>134</v>
      </c>
      <c r="C795" s="15">
        <v>2018</v>
      </c>
      <c r="D795" s="15">
        <v>7.28</v>
      </c>
      <c r="E795" s="15" t="s">
        <v>135</v>
      </c>
      <c r="F795" s="16">
        <v>4.7100000000000009</v>
      </c>
    </row>
    <row r="796" spans="1:6" x14ac:dyDescent="0.35">
      <c r="A796" s="20" t="s">
        <v>118</v>
      </c>
      <c r="B796" s="21" t="s">
        <v>134</v>
      </c>
      <c r="C796" s="14">
        <v>2019</v>
      </c>
      <c r="D796" s="14">
        <v>7.16</v>
      </c>
      <c r="E796" s="14" t="s">
        <v>135</v>
      </c>
      <c r="F796" s="16">
        <v>4.59</v>
      </c>
    </row>
    <row r="797" spans="1:6" x14ac:dyDescent="0.35">
      <c r="A797" s="22" t="s">
        <v>118</v>
      </c>
      <c r="B797" s="23" t="s">
        <v>134</v>
      </c>
      <c r="C797" s="15">
        <v>2020</v>
      </c>
      <c r="D797" s="15">
        <v>6.76</v>
      </c>
      <c r="E797" s="15" t="s">
        <v>135</v>
      </c>
      <c r="F797" s="16">
        <v>4.1899999999999995</v>
      </c>
    </row>
    <row r="798" spans="1:6" x14ac:dyDescent="0.35">
      <c r="A798" s="20" t="s">
        <v>118</v>
      </c>
      <c r="B798" s="21" t="s">
        <v>134</v>
      </c>
      <c r="C798" s="14">
        <v>2021</v>
      </c>
      <c r="D798" s="14">
        <v>6.76</v>
      </c>
      <c r="E798" s="14" t="s">
        <v>135</v>
      </c>
      <c r="F798" s="16">
        <v>4.1899999999999995</v>
      </c>
    </row>
    <row r="799" spans="1:6" x14ac:dyDescent="0.35">
      <c r="A799" s="22" t="s">
        <v>118</v>
      </c>
      <c r="B799" s="23" t="s">
        <v>134</v>
      </c>
      <c r="C799" s="15">
        <v>2022</v>
      </c>
      <c r="D799" s="15">
        <v>7.75</v>
      </c>
      <c r="E799" s="15" t="s">
        <v>135</v>
      </c>
      <c r="F799" s="16">
        <v>5.18</v>
      </c>
    </row>
    <row r="800" spans="1:6" x14ac:dyDescent="0.35">
      <c r="A800" s="20" t="s">
        <v>118</v>
      </c>
      <c r="B800" s="21" t="s">
        <v>134</v>
      </c>
      <c r="C800" s="14">
        <v>2023</v>
      </c>
      <c r="D800" s="14">
        <v>11.88</v>
      </c>
      <c r="E800" s="14" t="s">
        <v>135</v>
      </c>
      <c r="F800" s="16">
        <v>9.31</v>
      </c>
    </row>
    <row r="801" spans="1:6" x14ac:dyDescent="0.35">
      <c r="A801" s="22" t="s">
        <v>118</v>
      </c>
      <c r="B801" s="23" t="s">
        <v>134</v>
      </c>
      <c r="C801" s="15">
        <v>2024</v>
      </c>
      <c r="D801" s="15">
        <v>15.17</v>
      </c>
      <c r="E801" s="15" t="s">
        <v>135</v>
      </c>
      <c r="F801" s="16">
        <v>12.6</v>
      </c>
    </row>
    <row r="802" spans="1:6" x14ac:dyDescent="0.35">
      <c r="A802" s="20" t="s">
        <v>122</v>
      </c>
      <c r="B802" s="21" t="s">
        <v>134</v>
      </c>
      <c r="C802" s="14">
        <v>2000</v>
      </c>
      <c r="D802" s="14">
        <v>98.86</v>
      </c>
      <c r="E802" s="14">
        <v>98.86</v>
      </c>
      <c r="F802" s="16">
        <v>0</v>
      </c>
    </row>
    <row r="803" spans="1:6" x14ac:dyDescent="0.35">
      <c r="A803" s="22" t="s">
        <v>122</v>
      </c>
      <c r="B803" s="23" t="s">
        <v>134</v>
      </c>
      <c r="C803" s="15">
        <v>2001</v>
      </c>
      <c r="D803" s="15">
        <v>98.86</v>
      </c>
      <c r="E803" s="15" t="s">
        <v>135</v>
      </c>
      <c r="F803" s="16">
        <v>0</v>
      </c>
    </row>
    <row r="804" spans="1:6" x14ac:dyDescent="0.35">
      <c r="A804" s="20" t="s">
        <v>122</v>
      </c>
      <c r="B804" s="21" t="s">
        <v>134</v>
      </c>
      <c r="C804" s="14">
        <v>2002</v>
      </c>
      <c r="D804" s="14">
        <v>99.01</v>
      </c>
      <c r="E804" s="14" t="s">
        <v>135</v>
      </c>
      <c r="F804" s="16">
        <v>0.15000000000000568</v>
      </c>
    </row>
    <row r="805" spans="1:6" x14ac:dyDescent="0.35">
      <c r="A805" s="22" t="s">
        <v>122</v>
      </c>
      <c r="B805" s="23" t="s">
        <v>134</v>
      </c>
      <c r="C805" s="15">
        <v>2003</v>
      </c>
      <c r="D805" s="15">
        <v>99.01</v>
      </c>
      <c r="E805" s="15" t="s">
        <v>135</v>
      </c>
      <c r="F805" s="16">
        <v>0.15000000000000568</v>
      </c>
    </row>
    <row r="806" spans="1:6" x14ac:dyDescent="0.35">
      <c r="A806" s="20" t="s">
        <v>122</v>
      </c>
      <c r="B806" s="21" t="s">
        <v>134</v>
      </c>
      <c r="C806" s="14">
        <v>2004</v>
      </c>
      <c r="D806" s="14">
        <v>99.01</v>
      </c>
      <c r="E806" s="14" t="s">
        <v>135</v>
      </c>
      <c r="F806" s="16">
        <v>0.15000000000000568</v>
      </c>
    </row>
    <row r="807" spans="1:6" x14ac:dyDescent="0.35">
      <c r="A807" s="22" t="s">
        <v>122</v>
      </c>
      <c r="B807" s="23" t="s">
        <v>134</v>
      </c>
      <c r="C807" s="15">
        <v>2005</v>
      </c>
      <c r="D807" s="15">
        <v>86.3</v>
      </c>
      <c r="E807" s="15" t="s">
        <v>135</v>
      </c>
      <c r="F807" s="16">
        <v>-12.560000000000002</v>
      </c>
    </row>
    <row r="808" spans="1:6" x14ac:dyDescent="0.35">
      <c r="A808" s="20" t="s">
        <v>122</v>
      </c>
      <c r="B808" s="21" t="s">
        <v>134</v>
      </c>
      <c r="C808" s="14">
        <v>2006</v>
      </c>
      <c r="D808" s="14">
        <v>75.900000000000006</v>
      </c>
      <c r="E808" s="14" t="s">
        <v>135</v>
      </c>
      <c r="F808" s="16">
        <v>-22.959999999999994</v>
      </c>
    </row>
    <row r="809" spans="1:6" x14ac:dyDescent="0.35">
      <c r="A809" s="22" t="s">
        <v>122</v>
      </c>
      <c r="B809" s="23" t="s">
        <v>134</v>
      </c>
      <c r="C809" s="15">
        <v>2007</v>
      </c>
      <c r="D809" s="15">
        <v>75.900000000000006</v>
      </c>
      <c r="E809" s="15" t="s">
        <v>135</v>
      </c>
      <c r="F809" s="16">
        <v>-22.959999999999994</v>
      </c>
    </row>
    <row r="810" spans="1:6" x14ac:dyDescent="0.35">
      <c r="A810" s="20" t="s">
        <v>122</v>
      </c>
      <c r="B810" s="21" t="s">
        <v>134</v>
      </c>
      <c r="C810" s="14">
        <v>2008</v>
      </c>
      <c r="D810" s="14">
        <v>67.27</v>
      </c>
      <c r="E810" s="14" t="s">
        <v>135</v>
      </c>
      <c r="F810" s="16">
        <v>-31.590000000000003</v>
      </c>
    </row>
    <row r="811" spans="1:6" x14ac:dyDescent="0.35">
      <c r="A811" s="22" t="s">
        <v>122</v>
      </c>
      <c r="B811" s="23" t="s">
        <v>134</v>
      </c>
      <c r="C811" s="15">
        <v>2009</v>
      </c>
      <c r="D811" s="15">
        <v>73.87</v>
      </c>
      <c r="E811" s="15" t="s">
        <v>135</v>
      </c>
      <c r="F811" s="16">
        <v>-24.989999999999995</v>
      </c>
    </row>
    <row r="812" spans="1:6" x14ac:dyDescent="0.35">
      <c r="A812" s="20" t="s">
        <v>122</v>
      </c>
      <c r="B812" s="21" t="s">
        <v>134</v>
      </c>
      <c r="C812" s="14">
        <v>2010</v>
      </c>
      <c r="D812" s="14">
        <v>72.510000000000005</v>
      </c>
      <c r="E812" s="14" t="s">
        <v>135</v>
      </c>
      <c r="F812" s="16">
        <v>-26.349999999999994</v>
      </c>
    </row>
    <row r="813" spans="1:6" x14ac:dyDescent="0.35">
      <c r="A813" s="22" t="s">
        <v>122</v>
      </c>
      <c r="B813" s="23" t="s">
        <v>134</v>
      </c>
      <c r="C813" s="15">
        <v>2011</v>
      </c>
      <c r="D813" s="15">
        <v>72.540000000000006</v>
      </c>
      <c r="E813" s="15" t="s">
        <v>135</v>
      </c>
      <c r="F813" s="16">
        <v>-26.319999999999993</v>
      </c>
    </row>
    <row r="814" spans="1:6" x14ac:dyDescent="0.35">
      <c r="A814" s="20" t="s">
        <v>122</v>
      </c>
      <c r="B814" s="21" t="s">
        <v>134</v>
      </c>
      <c r="C814" s="14">
        <v>2012</v>
      </c>
      <c r="D814" s="14">
        <v>83.32</v>
      </c>
      <c r="E814" s="14" t="s">
        <v>135</v>
      </c>
      <c r="F814" s="16">
        <v>-15.540000000000006</v>
      </c>
    </row>
    <row r="815" spans="1:6" x14ac:dyDescent="0.35">
      <c r="A815" s="22" t="s">
        <v>122</v>
      </c>
      <c r="B815" s="23" t="s">
        <v>134</v>
      </c>
      <c r="C815" s="15">
        <v>2013</v>
      </c>
      <c r="D815" s="15">
        <v>87.95</v>
      </c>
      <c r="E815" s="15" t="s">
        <v>135</v>
      </c>
      <c r="F815" s="16">
        <v>-10.909999999999997</v>
      </c>
    </row>
    <row r="816" spans="1:6" x14ac:dyDescent="0.35">
      <c r="A816" s="20" t="s">
        <v>122</v>
      </c>
      <c r="B816" s="21" t="s">
        <v>134</v>
      </c>
      <c r="C816" s="14">
        <v>2014</v>
      </c>
      <c r="D816" s="14">
        <v>84.62</v>
      </c>
      <c r="E816" s="14" t="s">
        <v>135</v>
      </c>
      <c r="F816" s="16">
        <v>-14.239999999999995</v>
      </c>
    </row>
    <row r="817" spans="1:6" x14ac:dyDescent="0.35">
      <c r="A817" s="22" t="s">
        <v>122</v>
      </c>
      <c r="B817" s="23" t="s">
        <v>134</v>
      </c>
      <c r="C817" s="15">
        <v>2015</v>
      </c>
      <c r="D817" s="15">
        <v>84.9</v>
      </c>
      <c r="E817" s="15" t="s">
        <v>135</v>
      </c>
      <c r="F817" s="16">
        <v>-13.959999999999994</v>
      </c>
    </row>
    <row r="818" spans="1:6" x14ac:dyDescent="0.35">
      <c r="A818" s="20" t="s">
        <v>122</v>
      </c>
      <c r="B818" s="21" t="s">
        <v>134</v>
      </c>
      <c r="C818" s="14">
        <v>2016</v>
      </c>
      <c r="D818" s="14">
        <v>84.94</v>
      </c>
      <c r="E818" s="14" t="s">
        <v>135</v>
      </c>
      <c r="F818" s="16">
        <v>-13.920000000000002</v>
      </c>
    </row>
    <row r="819" spans="1:6" x14ac:dyDescent="0.35">
      <c r="A819" s="22" t="s">
        <v>122</v>
      </c>
      <c r="B819" s="23" t="s">
        <v>134</v>
      </c>
      <c r="C819" s="15">
        <v>2017</v>
      </c>
      <c r="D819" s="15">
        <v>85.54</v>
      </c>
      <c r="E819" s="15" t="s">
        <v>135</v>
      </c>
      <c r="F819" s="16">
        <v>-13.319999999999993</v>
      </c>
    </row>
    <row r="820" spans="1:6" x14ac:dyDescent="0.35">
      <c r="A820" s="20" t="s">
        <v>122</v>
      </c>
      <c r="B820" s="21" t="s">
        <v>134</v>
      </c>
      <c r="C820" s="14">
        <v>2018</v>
      </c>
      <c r="D820" s="14">
        <v>89.71</v>
      </c>
      <c r="E820" s="14" t="s">
        <v>135</v>
      </c>
      <c r="F820" s="16">
        <v>-9.1500000000000057</v>
      </c>
    </row>
    <row r="821" spans="1:6" x14ac:dyDescent="0.35">
      <c r="A821" s="22" t="s">
        <v>122</v>
      </c>
      <c r="B821" s="23" t="s">
        <v>134</v>
      </c>
      <c r="C821" s="15">
        <v>2019</v>
      </c>
      <c r="D821" s="15">
        <v>91.92</v>
      </c>
      <c r="E821" s="15" t="s">
        <v>135</v>
      </c>
      <c r="F821" s="16">
        <v>-6.9399999999999977</v>
      </c>
    </row>
    <row r="822" spans="1:6" x14ac:dyDescent="0.35">
      <c r="A822" s="20" t="s">
        <v>122</v>
      </c>
      <c r="B822" s="21" t="s">
        <v>134</v>
      </c>
      <c r="C822" s="14">
        <v>2020</v>
      </c>
      <c r="D822" s="14">
        <v>92.14</v>
      </c>
      <c r="E822" s="14" t="s">
        <v>135</v>
      </c>
      <c r="F822" s="16">
        <v>-6.7199999999999989</v>
      </c>
    </row>
    <row r="823" spans="1:6" x14ac:dyDescent="0.35">
      <c r="A823" s="22" t="s">
        <v>122</v>
      </c>
      <c r="B823" s="23" t="s">
        <v>134</v>
      </c>
      <c r="C823" s="15">
        <v>2021</v>
      </c>
      <c r="D823" s="15">
        <v>92.15</v>
      </c>
      <c r="E823" s="15" t="s">
        <v>135</v>
      </c>
      <c r="F823" s="16">
        <v>-6.7099999999999937</v>
      </c>
    </row>
    <row r="824" spans="1:6" x14ac:dyDescent="0.35">
      <c r="A824" s="20" t="s">
        <v>122</v>
      </c>
      <c r="B824" s="21" t="s">
        <v>134</v>
      </c>
      <c r="C824" s="14">
        <v>2022</v>
      </c>
      <c r="D824" s="14">
        <v>92.31</v>
      </c>
      <c r="E824" s="14" t="s">
        <v>135</v>
      </c>
      <c r="F824" s="16">
        <v>-6.5499999999999972</v>
      </c>
    </row>
    <row r="825" spans="1:6" x14ac:dyDescent="0.35">
      <c r="A825" s="22" t="s">
        <v>122</v>
      </c>
      <c r="B825" s="23" t="s">
        <v>134</v>
      </c>
      <c r="C825" s="15">
        <v>2023</v>
      </c>
      <c r="D825" s="15">
        <v>94.11</v>
      </c>
      <c r="E825" s="15" t="s">
        <v>135</v>
      </c>
      <c r="F825" s="16">
        <v>-4.75</v>
      </c>
    </row>
    <row r="826" spans="1:6" x14ac:dyDescent="0.35">
      <c r="A826" s="20" t="s">
        <v>122</v>
      </c>
      <c r="B826" s="21" t="s">
        <v>134</v>
      </c>
      <c r="C826" s="14">
        <v>2024</v>
      </c>
      <c r="D826" s="14">
        <v>94.63</v>
      </c>
      <c r="E826" s="14" t="s">
        <v>135</v>
      </c>
      <c r="F826" s="16">
        <v>-4.230000000000004</v>
      </c>
    </row>
    <row r="827" spans="1:6" x14ac:dyDescent="0.35">
      <c r="A827" s="22" t="s">
        <v>126</v>
      </c>
      <c r="B827" s="23" t="s">
        <v>134</v>
      </c>
      <c r="C827" s="15">
        <v>2000</v>
      </c>
      <c r="D827" s="15">
        <v>95.43</v>
      </c>
      <c r="E827" s="15">
        <v>95.43</v>
      </c>
      <c r="F827" s="16">
        <v>0</v>
      </c>
    </row>
    <row r="828" spans="1:6" x14ac:dyDescent="0.35">
      <c r="A828" s="20" t="s">
        <v>126</v>
      </c>
      <c r="B828" s="21" t="s">
        <v>134</v>
      </c>
      <c r="C828" s="14">
        <v>2001</v>
      </c>
      <c r="D828" s="14">
        <v>95.43</v>
      </c>
      <c r="E828" s="14" t="s">
        <v>135</v>
      </c>
      <c r="F828" s="16">
        <v>0</v>
      </c>
    </row>
    <row r="829" spans="1:6" x14ac:dyDescent="0.35">
      <c r="A829" s="22" t="s">
        <v>126</v>
      </c>
      <c r="B829" s="23" t="s">
        <v>134</v>
      </c>
      <c r="C829" s="15">
        <v>2002</v>
      </c>
      <c r="D829" s="15">
        <v>95.43</v>
      </c>
      <c r="E829" s="15" t="s">
        <v>135</v>
      </c>
      <c r="F829" s="16">
        <v>0</v>
      </c>
    </row>
    <row r="830" spans="1:6" x14ac:dyDescent="0.35">
      <c r="A830" s="20" t="s">
        <v>126</v>
      </c>
      <c r="B830" s="21" t="s">
        <v>134</v>
      </c>
      <c r="C830" s="14">
        <v>2003</v>
      </c>
      <c r="D830" s="14">
        <v>95.28</v>
      </c>
      <c r="E830" s="14" t="s">
        <v>135</v>
      </c>
      <c r="F830" s="16">
        <v>-0.15000000000000568</v>
      </c>
    </row>
    <row r="831" spans="1:6" x14ac:dyDescent="0.35">
      <c r="A831" s="22" t="s">
        <v>126</v>
      </c>
      <c r="B831" s="23" t="s">
        <v>134</v>
      </c>
      <c r="C831" s="15">
        <v>2004</v>
      </c>
      <c r="D831" s="15">
        <v>95.28</v>
      </c>
      <c r="E831" s="15" t="s">
        <v>135</v>
      </c>
      <c r="F831" s="16">
        <v>-0.15000000000000568</v>
      </c>
    </row>
    <row r="832" spans="1:6" x14ac:dyDescent="0.35">
      <c r="A832" s="20" t="s">
        <v>126</v>
      </c>
      <c r="B832" s="21" t="s">
        <v>134</v>
      </c>
      <c r="C832" s="14">
        <v>2005</v>
      </c>
      <c r="D832" s="14">
        <v>95.28</v>
      </c>
      <c r="E832" s="14" t="s">
        <v>135</v>
      </c>
      <c r="F832" s="16">
        <v>-0.15000000000000568</v>
      </c>
    </row>
    <row r="833" spans="1:6" x14ac:dyDescent="0.35">
      <c r="A833" s="22" t="s">
        <v>126</v>
      </c>
      <c r="B833" s="23" t="s">
        <v>134</v>
      </c>
      <c r="C833" s="15">
        <v>2006</v>
      </c>
      <c r="D833" s="15">
        <v>95.28</v>
      </c>
      <c r="E833" s="15" t="s">
        <v>135</v>
      </c>
      <c r="F833" s="16">
        <v>-0.15000000000000568</v>
      </c>
    </row>
    <row r="834" spans="1:6" x14ac:dyDescent="0.35">
      <c r="A834" s="20" t="s">
        <v>126</v>
      </c>
      <c r="B834" s="21" t="s">
        <v>134</v>
      </c>
      <c r="C834" s="14">
        <v>2007</v>
      </c>
      <c r="D834" s="14">
        <v>95.09</v>
      </c>
      <c r="E834" s="14" t="s">
        <v>135</v>
      </c>
      <c r="F834" s="16">
        <v>-0.34000000000000341</v>
      </c>
    </row>
    <row r="835" spans="1:6" x14ac:dyDescent="0.35">
      <c r="A835" s="22" t="s">
        <v>126</v>
      </c>
      <c r="B835" s="23" t="s">
        <v>134</v>
      </c>
      <c r="C835" s="15">
        <v>2008</v>
      </c>
      <c r="D835" s="15">
        <v>95.19</v>
      </c>
      <c r="E835" s="15" t="s">
        <v>135</v>
      </c>
      <c r="F835" s="16">
        <v>-0.24000000000000909</v>
      </c>
    </row>
    <row r="836" spans="1:6" x14ac:dyDescent="0.35">
      <c r="A836" s="20" t="s">
        <v>126</v>
      </c>
      <c r="B836" s="21" t="s">
        <v>134</v>
      </c>
      <c r="C836" s="14">
        <v>2009</v>
      </c>
      <c r="D836" s="14">
        <v>95.21</v>
      </c>
      <c r="E836" s="14" t="s">
        <v>135</v>
      </c>
      <c r="F836" s="16">
        <v>-0.22000000000001307</v>
      </c>
    </row>
    <row r="837" spans="1:6" x14ac:dyDescent="0.35">
      <c r="A837" s="22" t="s">
        <v>126</v>
      </c>
      <c r="B837" s="23" t="s">
        <v>134</v>
      </c>
      <c r="C837" s="15">
        <v>2010</v>
      </c>
      <c r="D837" s="15">
        <v>95.72</v>
      </c>
      <c r="E837" s="15" t="s">
        <v>135</v>
      </c>
      <c r="F837" s="16">
        <v>0.28999999999999204</v>
      </c>
    </row>
    <row r="838" spans="1:6" x14ac:dyDescent="0.35">
      <c r="A838" s="20" t="s">
        <v>126</v>
      </c>
      <c r="B838" s="21" t="s">
        <v>134</v>
      </c>
      <c r="C838" s="14">
        <v>2011</v>
      </c>
      <c r="D838" s="14">
        <v>95.72</v>
      </c>
      <c r="E838" s="14" t="s">
        <v>135</v>
      </c>
      <c r="F838" s="16">
        <v>0.28999999999999204</v>
      </c>
    </row>
    <row r="839" spans="1:6" x14ac:dyDescent="0.35">
      <c r="A839" s="22" t="s">
        <v>126</v>
      </c>
      <c r="B839" s="23" t="s">
        <v>134</v>
      </c>
      <c r="C839" s="15">
        <v>2012</v>
      </c>
      <c r="D839" s="15">
        <v>95.73</v>
      </c>
      <c r="E839" s="15" t="s">
        <v>135</v>
      </c>
      <c r="F839" s="16">
        <v>0.29999999999999716</v>
      </c>
    </row>
    <row r="840" spans="1:6" x14ac:dyDescent="0.35">
      <c r="A840" s="20" t="s">
        <v>126</v>
      </c>
      <c r="B840" s="21" t="s">
        <v>134</v>
      </c>
      <c r="C840" s="14">
        <v>2013</v>
      </c>
      <c r="D840" s="14">
        <v>97.03</v>
      </c>
      <c r="E840" s="14" t="s">
        <v>135</v>
      </c>
      <c r="F840" s="16">
        <v>1.5999999999999943</v>
      </c>
    </row>
    <row r="841" spans="1:6" x14ac:dyDescent="0.35">
      <c r="A841" s="22" t="s">
        <v>126</v>
      </c>
      <c r="B841" s="23" t="s">
        <v>134</v>
      </c>
      <c r="C841" s="15">
        <v>2014</v>
      </c>
      <c r="D841" s="15">
        <v>94.24</v>
      </c>
      <c r="E841" s="15" t="s">
        <v>135</v>
      </c>
      <c r="F841" s="16">
        <v>-1.1900000000000119</v>
      </c>
    </row>
    <row r="842" spans="1:6" x14ac:dyDescent="0.35">
      <c r="A842" s="20" t="s">
        <v>126</v>
      </c>
      <c r="B842" s="21" t="s">
        <v>134</v>
      </c>
      <c r="C842" s="14">
        <v>2015</v>
      </c>
      <c r="D842" s="14">
        <v>93.08</v>
      </c>
      <c r="E842" s="14" t="s">
        <v>135</v>
      </c>
      <c r="F842" s="16">
        <v>-2.3500000000000085</v>
      </c>
    </row>
    <row r="843" spans="1:6" x14ac:dyDescent="0.35">
      <c r="A843" s="22" t="s">
        <v>126</v>
      </c>
      <c r="B843" s="23" t="s">
        <v>134</v>
      </c>
      <c r="C843" s="15">
        <v>2016</v>
      </c>
      <c r="D843" s="15">
        <v>83.85</v>
      </c>
      <c r="E843" s="15" t="s">
        <v>135</v>
      </c>
      <c r="F843" s="16">
        <v>-11.580000000000013</v>
      </c>
    </row>
    <row r="844" spans="1:6" x14ac:dyDescent="0.35">
      <c r="A844" s="20" t="s">
        <v>126</v>
      </c>
      <c r="B844" s="21" t="s">
        <v>134</v>
      </c>
      <c r="C844" s="14">
        <v>2017</v>
      </c>
      <c r="D844" s="14">
        <v>82.21</v>
      </c>
      <c r="E844" s="14" t="s">
        <v>135</v>
      </c>
      <c r="F844" s="16">
        <v>-13.220000000000013</v>
      </c>
    </row>
    <row r="845" spans="1:6" x14ac:dyDescent="0.35">
      <c r="A845" s="22" t="s">
        <v>126</v>
      </c>
      <c r="B845" s="23" t="s">
        <v>134</v>
      </c>
      <c r="C845" s="15">
        <v>2018</v>
      </c>
      <c r="D845" s="15">
        <v>82.37</v>
      </c>
      <c r="E845" s="15" t="s">
        <v>135</v>
      </c>
      <c r="F845" s="16">
        <v>-13.060000000000002</v>
      </c>
    </row>
    <row r="846" spans="1:6" x14ac:dyDescent="0.35">
      <c r="A846" s="20" t="s">
        <v>126</v>
      </c>
      <c r="B846" s="21" t="s">
        <v>134</v>
      </c>
      <c r="C846" s="14">
        <v>2019</v>
      </c>
      <c r="D846" s="14">
        <v>82.89</v>
      </c>
      <c r="E846" s="14" t="s">
        <v>135</v>
      </c>
      <c r="F846" s="16">
        <v>-12.540000000000006</v>
      </c>
    </row>
    <row r="847" spans="1:6" x14ac:dyDescent="0.35">
      <c r="A847" s="22" t="s">
        <v>126</v>
      </c>
      <c r="B847" s="23" t="s">
        <v>134</v>
      </c>
      <c r="C847" s="15">
        <v>2020</v>
      </c>
      <c r="D847" s="15">
        <v>82.9</v>
      </c>
      <c r="E847" s="15" t="s">
        <v>135</v>
      </c>
      <c r="F847" s="16">
        <v>-12.530000000000001</v>
      </c>
    </row>
    <row r="848" spans="1:6" x14ac:dyDescent="0.35">
      <c r="A848" s="20" t="s">
        <v>126</v>
      </c>
      <c r="B848" s="21" t="s">
        <v>134</v>
      </c>
      <c r="C848" s="14">
        <v>2021</v>
      </c>
      <c r="D848" s="14">
        <v>84.43</v>
      </c>
      <c r="E848" s="14" t="s">
        <v>135</v>
      </c>
      <c r="F848" s="16">
        <v>-11</v>
      </c>
    </row>
    <row r="849" spans="1:6" x14ac:dyDescent="0.35">
      <c r="A849" s="22" t="s">
        <v>126</v>
      </c>
      <c r="B849" s="23" t="s">
        <v>134</v>
      </c>
      <c r="C849" s="15">
        <v>2022</v>
      </c>
      <c r="D849" s="15">
        <v>86.3</v>
      </c>
      <c r="E849" s="15" t="s">
        <v>135</v>
      </c>
      <c r="F849" s="16">
        <v>-9.1300000000000097</v>
      </c>
    </row>
    <row r="850" spans="1:6" x14ac:dyDescent="0.35">
      <c r="A850" s="20" t="s">
        <v>126</v>
      </c>
      <c r="B850" s="21" t="s">
        <v>134</v>
      </c>
      <c r="C850" s="14">
        <v>2023</v>
      </c>
      <c r="D850" s="14">
        <v>86.43</v>
      </c>
      <c r="E850" s="14" t="s">
        <v>135</v>
      </c>
      <c r="F850" s="16">
        <v>-9</v>
      </c>
    </row>
    <row r="851" spans="1:6" x14ac:dyDescent="0.35">
      <c r="A851" s="22" t="s">
        <v>126</v>
      </c>
      <c r="B851" s="23" t="s">
        <v>134</v>
      </c>
      <c r="C851" s="15">
        <v>2024</v>
      </c>
      <c r="D851" s="15">
        <v>86.64</v>
      </c>
      <c r="E851" s="15" t="s">
        <v>135</v>
      </c>
      <c r="F851" s="16">
        <v>-8.7900000000000063</v>
      </c>
    </row>
    <row r="852" spans="1:6" x14ac:dyDescent="0.35">
      <c r="A852" s="20" t="s">
        <v>128</v>
      </c>
      <c r="B852" s="21" t="s">
        <v>134</v>
      </c>
      <c r="C852" s="14">
        <v>2000</v>
      </c>
      <c r="D852" s="14">
        <v>37.979999999999997</v>
      </c>
      <c r="E852" s="14">
        <v>37.979999999999997</v>
      </c>
      <c r="F852" s="16">
        <v>0</v>
      </c>
    </row>
    <row r="853" spans="1:6" x14ac:dyDescent="0.35">
      <c r="A853" s="22" t="s">
        <v>128</v>
      </c>
      <c r="B853" s="23" t="s">
        <v>134</v>
      </c>
      <c r="C853" s="15">
        <v>2001</v>
      </c>
      <c r="D853" s="15">
        <v>37.979999999999997</v>
      </c>
      <c r="E853" s="15" t="s">
        <v>135</v>
      </c>
      <c r="F853" s="16">
        <v>0</v>
      </c>
    </row>
    <row r="854" spans="1:6" x14ac:dyDescent="0.35">
      <c r="A854" s="20" t="s">
        <v>128</v>
      </c>
      <c r="B854" s="21" t="s">
        <v>134</v>
      </c>
      <c r="C854" s="14">
        <v>2002</v>
      </c>
      <c r="D854" s="14">
        <v>38.619999999999997</v>
      </c>
      <c r="E854" s="14" t="s">
        <v>135</v>
      </c>
      <c r="F854" s="16">
        <v>0.64000000000000057</v>
      </c>
    </row>
    <row r="855" spans="1:6" x14ac:dyDescent="0.35">
      <c r="A855" s="22" t="s">
        <v>128</v>
      </c>
      <c r="B855" s="23" t="s">
        <v>134</v>
      </c>
      <c r="C855" s="15">
        <v>2003</v>
      </c>
      <c r="D855" s="15">
        <v>38.619999999999997</v>
      </c>
      <c r="E855" s="15" t="s">
        <v>135</v>
      </c>
      <c r="F855" s="16">
        <v>0.64000000000000057</v>
      </c>
    </row>
    <row r="856" spans="1:6" x14ac:dyDescent="0.35">
      <c r="A856" s="20" t="s">
        <v>128</v>
      </c>
      <c r="B856" s="21" t="s">
        <v>134</v>
      </c>
      <c r="C856" s="14">
        <v>2004</v>
      </c>
      <c r="D856" s="14">
        <v>38.619999999999997</v>
      </c>
      <c r="E856" s="14" t="s">
        <v>135</v>
      </c>
      <c r="F856" s="16">
        <v>0.64000000000000057</v>
      </c>
    </row>
    <row r="857" spans="1:6" x14ac:dyDescent="0.35">
      <c r="A857" s="22" t="s">
        <v>128</v>
      </c>
      <c r="B857" s="23" t="s">
        <v>134</v>
      </c>
      <c r="C857" s="15">
        <v>2005</v>
      </c>
      <c r="D857" s="15">
        <v>38.619999999999997</v>
      </c>
      <c r="E857" s="15" t="s">
        <v>135</v>
      </c>
      <c r="F857" s="16">
        <v>0.64000000000000057</v>
      </c>
    </row>
    <row r="858" spans="1:6" x14ac:dyDescent="0.35">
      <c r="A858" s="20" t="s">
        <v>128</v>
      </c>
      <c r="B858" s="21" t="s">
        <v>134</v>
      </c>
      <c r="C858" s="14">
        <v>2006</v>
      </c>
      <c r="D858" s="14">
        <v>38.619999999999997</v>
      </c>
      <c r="E858" s="14" t="s">
        <v>135</v>
      </c>
      <c r="F858" s="16">
        <v>0.64000000000000057</v>
      </c>
    </row>
    <row r="859" spans="1:6" x14ac:dyDescent="0.35">
      <c r="A859" s="22" t="s">
        <v>128</v>
      </c>
      <c r="B859" s="23" t="s">
        <v>134</v>
      </c>
      <c r="C859" s="15">
        <v>2007</v>
      </c>
      <c r="D859" s="15">
        <v>38.619999999999997</v>
      </c>
      <c r="E859" s="15" t="s">
        <v>135</v>
      </c>
      <c r="F859" s="16">
        <v>0.64000000000000057</v>
      </c>
    </row>
    <row r="860" spans="1:6" x14ac:dyDescent="0.35">
      <c r="A860" s="20" t="s">
        <v>128</v>
      </c>
      <c r="B860" s="21" t="s">
        <v>134</v>
      </c>
      <c r="C860" s="14">
        <v>2008</v>
      </c>
      <c r="D860" s="14">
        <v>41.17</v>
      </c>
      <c r="E860" s="14" t="s">
        <v>135</v>
      </c>
      <c r="F860" s="16">
        <v>3.1900000000000048</v>
      </c>
    </row>
    <row r="861" spans="1:6" x14ac:dyDescent="0.35">
      <c r="A861" s="22" t="s">
        <v>128</v>
      </c>
      <c r="B861" s="23" t="s">
        <v>134</v>
      </c>
      <c r="C861" s="15">
        <v>2009</v>
      </c>
      <c r="D861" s="15">
        <v>41.18</v>
      </c>
      <c r="E861" s="15" t="s">
        <v>135</v>
      </c>
      <c r="F861" s="16">
        <v>3.2000000000000028</v>
      </c>
    </row>
    <row r="862" spans="1:6" x14ac:dyDescent="0.35">
      <c r="A862" s="20" t="s">
        <v>128</v>
      </c>
      <c r="B862" s="21" t="s">
        <v>134</v>
      </c>
      <c r="C862" s="14">
        <v>2010</v>
      </c>
      <c r="D862" s="14">
        <v>41.21</v>
      </c>
      <c r="E862" s="14" t="s">
        <v>135</v>
      </c>
      <c r="F862" s="16">
        <v>3.230000000000004</v>
      </c>
    </row>
    <row r="863" spans="1:6" x14ac:dyDescent="0.35">
      <c r="A863" s="22" t="s">
        <v>128</v>
      </c>
      <c r="B863" s="23" t="s">
        <v>134</v>
      </c>
      <c r="C863" s="15">
        <v>2011</v>
      </c>
      <c r="D863" s="15">
        <v>41.53</v>
      </c>
      <c r="E863" s="15" t="s">
        <v>135</v>
      </c>
      <c r="F863" s="16">
        <v>3.5500000000000043</v>
      </c>
    </row>
    <row r="864" spans="1:6" x14ac:dyDescent="0.35">
      <c r="A864" s="20" t="s">
        <v>128</v>
      </c>
      <c r="B864" s="21" t="s">
        <v>134</v>
      </c>
      <c r="C864" s="14">
        <v>2012</v>
      </c>
      <c r="D864" s="14">
        <v>41.56</v>
      </c>
      <c r="E864" s="14" t="s">
        <v>135</v>
      </c>
      <c r="F864" s="16">
        <v>3.5800000000000054</v>
      </c>
    </row>
    <row r="865" spans="1:6" x14ac:dyDescent="0.35">
      <c r="A865" s="22" t="s">
        <v>128</v>
      </c>
      <c r="B865" s="23" t="s">
        <v>134</v>
      </c>
      <c r="C865" s="15">
        <v>2013</v>
      </c>
      <c r="D865" s="15">
        <v>41.73</v>
      </c>
      <c r="E865" s="15" t="s">
        <v>135</v>
      </c>
      <c r="F865" s="16">
        <v>3.75</v>
      </c>
    </row>
    <row r="866" spans="1:6" x14ac:dyDescent="0.35">
      <c r="A866" s="20" t="s">
        <v>128</v>
      </c>
      <c r="B866" s="21" t="s">
        <v>134</v>
      </c>
      <c r="C866" s="14">
        <v>2014</v>
      </c>
      <c r="D866" s="14">
        <v>41.75</v>
      </c>
      <c r="E866" s="14" t="s">
        <v>135</v>
      </c>
      <c r="F866" s="16">
        <v>3.7700000000000031</v>
      </c>
    </row>
    <row r="867" spans="1:6" x14ac:dyDescent="0.35">
      <c r="A867" s="22" t="s">
        <v>128</v>
      </c>
      <c r="B867" s="23" t="s">
        <v>134</v>
      </c>
      <c r="C867" s="15">
        <v>2015</v>
      </c>
      <c r="D867" s="15">
        <v>42.17</v>
      </c>
      <c r="E867" s="15" t="s">
        <v>135</v>
      </c>
      <c r="F867" s="16">
        <v>4.1900000000000048</v>
      </c>
    </row>
    <row r="868" spans="1:6" x14ac:dyDescent="0.35">
      <c r="A868" s="20" t="s">
        <v>128</v>
      </c>
      <c r="B868" s="21" t="s">
        <v>134</v>
      </c>
      <c r="C868" s="14">
        <v>2016</v>
      </c>
      <c r="D868" s="14">
        <v>42.28</v>
      </c>
      <c r="E868" s="14" t="s">
        <v>135</v>
      </c>
      <c r="F868" s="16">
        <v>4.3000000000000043</v>
      </c>
    </row>
    <row r="869" spans="1:6" x14ac:dyDescent="0.35">
      <c r="A869" s="22" t="s">
        <v>128</v>
      </c>
      <c r="B869" s="23" t="s">
        <v>134</v>
      </c>
      <c r="C869" s="15">
        <v>2017</v>
      </c>
      <c r="D869" s="15">
        <v>42.43</v>
      </c>
      <c r="E869" s="15" t="s">
        <v>135</v>
      </c>
      <c r="F869" s="16">
        <v>4.4500000000000028</v>
      </c>
    </row>
    <row r="870" spans="1:6" x14ac:dyDescent="0.35">
      <c r="A870" s="20" t="s">
        <v>128</v>
      </c>
      <c r="B870" s="21" t="s">
        <v>134</v>
      </c>
      <c r="C870" s="14">
        <v>2018</v>
      </c>
      <c r="D870" s="14">
        <v>49.75</v>
      </c>
      <c r="E870" s="14" t="s">
        <v>135</v>
      </c>
      <c r="F870" s="16">
        <v>11.770000000000003</v>
      </c>
    </row>
    <row r="871" spans="1:6" x14ac:dyDescent="0.35">
      <c r="A871" s="22" t="s">
        <v>128</v>
      </c>
      <c r="B871" s="23" t="s">
        <v>134</v>
      </c>
      <c r="C871" s="15">
        <v>2019</v>
      </c>
      <c r="D871" s="15">
        <v>49.81</v>
      </c>
      <c r="E871" s="15" t="s">
        <v>135</v>
      </c>
      <c r="F871" s="16">
        <v>11.830000000000005</v>
      </c>
    </row>
    <row r="872" spans="1:6" x14ac:dyDescent="0.35">
      <c r="A872" s="20" t="s">
        <v>128</v>
      </c>
      <c r="B872" s="21" t="s">
        <v>134</v>
      </c>
      <c r="C872" s="14">
        <v>2020</v>
      </c>
      <c r="D872" s="14">
        <v>49.86</v>
      </c>
      <c r="E872" s="14" t="s">
        <v>135</v>
      </c>
      <c r="F872" s="16">
        <v>11.880000000000003</v>
      </c>
    </row>
    <row r="873" spans="1:6" x14ac:dyDescent="0.35">
      <c r="A873" s="22" t="s">
        <v>128</v>
      </c>
      <c r="B873" s="23" t="s">
        <v>134</v>
      </c>
      <c r="C873" s="15">
        <v>2021</v>
      </c>
      <c r="D873" s="15">
        <v>50.14</v>
      </c>
      <c r="E873" s="15" t="s">
        <v>135</v>
      </c>
      <c r="F873" s="16">
        <v>12.160000000000004</v>
      </c>
    </row>
    <row r="874" spans="1:6" x14ac:dyDescent="0.35">
      <c r="A874" s="20" t="s">
        <v>128</v>
      </c>
      <c r="B874" s="21" t="s">
        <v>134</v>
      </c>
      <c r="C874" s="14">
        <v>2022</v>
      </c>
      <c r="D874" s="14">
        <v>49.39</v>
      </c>
      <c r="E874" s="14" t="s">
        <v>135</v>
      </c>
      <c r="F874" s="16">
        <v>11.410000000000004</v>
      </c>
    </row>
    <row r="875" spans="1:6" x14ac:dyDescent="0.35">
      <c r="A875" s="22" t="s">
        <v>128</v>
      </c>
      <c r="B875" s="23" t="s">
        <v>134</v>
      </c>
      <c r="C875" s="15">
        <v>2023</v>
      </c>
      <c r="D875" s="15">
        <v>39.85</v>
      </c>
      <c r="E875" s="15" t="s">
        <v>135</v>
      </c>
      <c r="F875" s="16">
        <v>1.8700000000000045</v>
      </c>
    </row>
    <row r="876" spans="1:6" x14ac:dyDescent="0.35">
      <c r="A876" s="20" t="s">
        <v>128</v>
      </c>
      <c r="B876" s="21" t="s">
        <v>134</v>
      </c>
      <c r="C876" s="14">
        <v>2024</v>
      </c>
      <c r="D876" s="14">
        <v>40.97</v>
      </c>
      <c r="E876" s="14" t="s">
        <v>135</v>
      </c>
      <c r="F876" s="16">
        <v>2.990000000000002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414C-22B3-4786-9C18-4F16C0766827}">
  <sheetPr codeName="Sheet9"/>
  <dimension ref="A1:AU2248"/>
  <sheetViews>
    <sheetView topLeftCell="A24" zoomScale="86" workbookViewId="0">
      <selection activeCell="G1" sqref="G1:G1048576"/>
    </sheetView>
  </sheetViews>
  <sheetFormatPr defaultRowHeight="14.5" x14ac:dyDescent="0.35"/>
  <cols>
    <col min="1" max="1" width="19.90625" style="25" bestFit="1" customWidth="1"/>
    <col min="2" max="2" width="10.54296875" style="1" customWidth="1"/>
    <col min="3" max="3" width="8.81640625" style="1" customWidth="1"/>
    <col min="4" max="4" width="11.36328125" style="1" customWidth="1"/>
    <col min="5" max="5" width="10.81640625" style="1" customWidth="1"/>
    <col min="6" max="6" width="11" style="1" customWidth="1"/>
    <col min="7" max="10" width="8.7265625" style="1"/>
    <col min="11" max="11" width="12.7265625" style="1" customWidth="1"/>
    <col min="12" max="12" width="12.36328125" style="1" customWidth="1"/>
    <col min="13" max="16384" width="8.7265625" style="1"/>
  </cols>
  <sheetData>
    <row r="1" spans="1:47" s="25" customFormat="1" ht="15" thickBot="1" x14ac:dyDescent="0.4">
      <c r="A1" s="35"/>
      <c r="B1" s="36" t="str" cm="1">
        <f t="array" ref="B1:AJ1">TRANSPOSE(_xlfn.UNIQUE('1.4'!A2:A876))</f>
        <v>Algeria</v>
      </c>
      <c r="C1" s="37" t="str">
        <v>Angola</v>
      </c>
      <c r="D1" s="37" t="str">
        <v>Benin</v>
      </c>
      <c r="E1" s="37" t="str">
        <v>Burkina Faso</v>
      </c>
      <c r="F1" s="37" t="str">
        <v>Burundi</v>
      </c>
      <c r="G1" s="37" t="str">
        <v>Cameroon</v>
      </c>
      <c r="H1" s="37" t="str">
        <v>Chad</v>
      </c>
      <c r="I1" s="37" t="str">
        <v>Egypt</v>
      </c>
      <c r="J1" s="37" t="str">
        <v>Equatorial Guinea</v>
      </c>
      <c r="K1" s="37" t="str">
        <v>Eswatini</v>
      </c>
      <c r="L1" s="37" t="str">
        <v>Ethiopia</v>
      </c>
      <c r="M1" s="37" t="str">
        <v>Gabon</v>
      </c>
      <c r="N1" s="37" t="str">
        <v>Ghana</v>
      </c>
      <c r="O1" s="37" t="str">
        <v>Guinea</v>
      </c>
      <c r="P1" s="37" t="str">
        <v>Kenya</v>
      </c>
      <c r="Q1" s="37" t="str">
        <v>Lesotho</v>
      </c>
      <c r="R1" s="37" t="str">
        <v>Liberia</v>
      </c>
      <c r="S1" s="37" t="str">
        <v>Madagascar</v>
      </c>
      <c r="T1" s="37" t="str">
        <v>Malawi</v>
      </c>
      <c r="U1" s="37" t="str">
        <v>Mali</v>
      </c>
      <c r="V1" s="37" t="str">
        <v>Mauritius</v>
      </c>
      <c r="W1" s="37" t="str">
        <v>Morocco</v>
      </c>
      <c r="X1" s="37" t="str">
        <v>Mozambique</v>
      </c>
      <c r="Y1" s="37" t="str">
        <v>Namibia</v>
      </c>
      <c r="Z1" s="37" t="str">
        <v>Nigeria</v>
      </c>
      <c r="AA1" s="37" t="str">
        <v>Rwanda</v>
      </c>
      <c r="AB1" s="37" t="str">
        <v>Sao Tome and Principe</v>
      </c>
      <c r="AC1" s="37" t="str">
        <v>Senegal</v>
      </c>
      <c r="AD1" s="37" t="str">
        <v>Sierra Leone</v>
      </c>
      <c r="AE1" s="37" t="str">
        <v>South Africa</v>
      </c>
      <c r="AF1" s="37" t="str">
        <v>Togo</v>
      </c>
      <c r="AG1" s="37" t="str">
        <v>Tunisia</v>
      </c>
      <c r="AH1" s="37" t="str">
        <v>Uganda</v>
      </c>
      <c r="AI1" s="37" t="str">
        <v>Zambia</v>
      </c>
      <c r="AJ1" s="38" t="str">
        <v>Zimbabwe</v>
      </c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</row>
    <row r="2" spans="1:47" x14ac:dyDescent="0.35">
      <c r="A2" s="31">
        <v>2000</v>
      </c>
      <c r="B2" s="32" cm="1">
        <f t="array" ref="B2">_xlfn.XLOOKUP(B$1&amp;$A2,_2[Country]&amp;_2[Year],_2[Growth_Calculation],"Not Found")</f>
        <v>0</v>
      </c>
      <c r="C2" s="33" cm="1">
        <f t="array" ref="C2">_xlfn.XLOOKUP(C$1&amp;$A2,_2[Country]&amp;_2[Year],_2[Growth_Calculation],"Not Found")</f>
        <v>0</v>
      </c>
      <c r="D2" s="33" cm="1">
        <f t="array" ref="D2">_xlfn.XLOOKUP(D$1&amp;$A2,_2[Country]&amp;_2[Year],_2[Growth_Calculation],"Not Found")</f>
        <v>0</v>
      </c>
      <c r="E2" s="33" cm="1">
        <f t="array" ref="E2">_xlfn.XLOOKUP(E$1&amp;$A2,_2[Country]&amp;_2[Year],_2[Growth_Calculation],"Not Found")</f>
        <v>0</v>
      </c>
      <c r="F2" s="33" cm="1">
        <f t="array" ref="F2">_xlfn.XLOOKUP(F$1&amp;$A2,_2[Country]&amp;_2[Year],_2[Growth_Calculation],"Not Found")</f>
        <v>0</v>
      </c>
      <c r="G2" s="33" cm="1">
        <f t="array" ref="G2">_xlfn.XLOOKUP(G$1&amp;$A2,_2[Country]&amp;_2[Year],_2[Growth_Calculation],"Not Found")</f>
        <v>0</v>
      </c>
      <c r="H2" s="33" cm="1">
        <f t="array" ref="H2">_xlfn.XLOOKUP(H$1&amp;$A2,_2[Country]&amp;_2[Year],_2[Growth_Calculation],"Not Found")</f>
        <v>0</v>
      </c>
      <c r="I2" s="34" cm="1">
        <f t="array" ref="I2">_xlfn.XLOOKUP(I$1&amp;$A2,_2[Country]&amp;_2[Year],_2[Growth_Calculation],"Not Found")</f>
        <v>0</v>
      </c>
      <c r="J2" s="34" cm="1">
        <f t="array" ref="J2">_xlfn.XLOOKUP(J$1&amp;$A2,_2[Country]&amp;_2[Year],_2[Growth_Calculation],"Not Found")</f>
        <v>0</v>
      </c>
      <c r="K2" s="34" cm="1">
        <f t="array" ref="K2">_xlfn.XLOOKUP(K$1&amp;$A2,_2[Country]&amp;_2[Year],_2[Growth_Calculation],"Not Found")</f>
        <v>0</v>
      </c>
      <c r="L2" s="34" cm="1">
        <f t="array" ref="L2">_xlfn.XLOOKUP(L$1&amp;$A2,_2[Country]&amp;_2[Year],_2[Growth_Calculation],"Not Found")</f>
        <v>0</v>
      </c>
      <c r="M2" s="34" cm="1">
        <f t="array" ref="M2">_xlfn.XLOOKUP(M$1&amp;$A2,_2[Country]&amp;_2[Year],_2[Growth_Calculation],"Not Found")</f>
        <v>0</v>
      </c>
      <c r="N2" s="34" cm="1">
        <f t="array" ref="N2">_xlfn.XLOOKUP(N$1&amp;$A2,_2[Country]&amp;_2[Year],_2[Growth_Calculation],"Not Found")</f>
        <v>0</v>
      </c>
      <c r="O2" s="34" cm="1">
        <f t="array" ref="O2">_xlfn.XLOOKUP(O$1&amp;$A2,_2[Country]&amp;_2[Year],_2[Growth_Calculation],"Not Found")</f>
        <v>0</v>
      </c>
      <c r="P2" s="34" cm="1">
        <f t="array" ref="P2">_xlfn.XLOOKUP(P$1&amp;$A2,_2[Country]&amp;_2[Year],_2[Growth_Calculation],"Not Found")</f>
        <v>0</v>
      </c>
      <c r="Q2" s="34" cm="1">
        <f t="array" ref="Q2">_xlfn.XLOOKUP(Q$1&amp;$A2,_2[Country]&amp;_2[Year],_2[Growth_Calculation],"Not Found")</f>
        <v>0</v>
      </c>
      <c r="R2" s="34" cm="1">
        <f t="array" ref="R2">_xlfn.XLOOKUP(R$1&amp;$A2,_2[Country]&amp;_2[Year],_2[Growth_Calculation],"Not Found")</f>
        <v>0</v>
      </c>
      <c r="S2" s="34" cm="1">
        <f t="array" ref="S2">_xlfn.XLOOKUP(S$1&amp;$A2,_2[Country]&amp;_2[Year],_2[Growth_Calculation],"Not Found")</f>
        <v>0</v>
      </c>
      <c r="T2" s="34" cm="1">
        <f t="array" ref="T2">_xlfn.XLOOKUP(T$1&amp;$A2,_2[Country]&amp;_2[Year],_2[Growth_Calculation],"Not Found")</f>
        <v>0</v>
      </c>
      <c r="U2" s="34" cm="1">
        <f t="array" ref="U2">_xlfn.XLOOKUP(U$1&amp;$A2,_2[Country]&amp;_2[Year],_2[Growth_Calculation],"Not Found")</f>
        <v>0</v>
      </c>
      <c r="V2" s="34" cm="1">
        <f t="array" ref="V2">_xlfn.XLOOKUP(V$1&amp;$A2,_2[Country]&amp;_2[Year],_2[Growth_Calculation],"Not Found")</f>
        <v>0</v>
      </c>
      <c r="W2" s="34" cm="1">
        <f t="array" ref="W2">_xlfn.XLOOKUP(W$1&amp;$A2,_2[Country]&amp;_2[Year],_2[Growth_Calculation],"Not Found")</f>
        <v>0</v>
      </c>
      <c r="X2" s="34" cm="1">
        <f t="array" ref="X2">_xlfn.XLOOKUP(X$1&amp;$A2,_2[Country]&amp;_2[Year],_2[Growth_Calculation],"Not Found")</f>
        <v>0</v>
      </c>
      <c r="Y2" s="34" cm="1">
        <f t="array" ref="Y2">_xlfn.XLOOKUP(Y$1&amp;$A2,_2[Country]&amp;_2[Year],_2[Growth_Calculation],"Not Found")</f>
        <v>0</v>
      </c>
      <c r="Z2" s="34" cm="1">
        <f t="array" ref="Z2">_xlfn.XLOOKUP(Z$1&amp;$A2,_2[Country]&amp;_2[Year],_2[Growth_Calculation],"Not Found")</f>
        <v>0</v>
      </c>
      <c r="AA2" s="34" cm="1">
        <f t="array" ref="AA2">_xlfn.XLOOKUP(AA$1&amp;$A2,_2[Country]&amp;_2[Year],_2[Growth_Calculation],"Not Found")</f>
        <v>0</v>
      </c>
      <c r="AB2" s="34" cm="1">
        <f t="array" ref="AB2">_xlfn.XLOOKUP(AB$1&amp;$A2,_2[Country]&amp;_2[Year],_2[Growth_Calculation],"Not Found")</f>
        <v>0</v>
      </c>
      <c r="AC2" s="34" cm="1">
        <f t="array" ref="AC2">_xlfn.XLOOKUP(AC$1&amp;$A2,_2[Country]&amp;_2[Year],_2[Growth_Calculation],"Not Found")</f>
        <v>0</v>
      </c>
      <c r="AD2" s="34" cm="1">
        <f t="array" ref="AD2">_xlfn.XLOOKUP(AD$1&amp;$A2,_2[Country]&amp;_2[Year],_2[Growth_Calculation],"Not Found")</f>
        <v>0</v>
      </c>
      <c r="AE2" s="34" cm="1">
        <f t="array" ref="AE2">_xlfn.XLOOKUP(AE$1&amp;$A2,_2[Country]&amp;_2[Year],_2[Growth_Calculation],"Not Found")</f>
        <v>0</v>
      </c>
      <c r="AF2" s="34" cm="1">
        <f t="array" ref="AF2">_xlfn.XLOOKUP(AF$1&amp;$A2,_2[Country]&amp;_2[Year],_2[Growth_Calculation],"Not Found")</f>
        <v>0</v>
      </c>
      <c r="AG2" s="34" cm="1">
        <f t="array" ref="AG2">_xlfn.XLOOKUP(AG$1&amp;$A2,_2[Country]&amp;_2[Year],_2[Growth_Calculation],"Not Found")</f>
        <v>0</v>
      </c>
      <c r="AH2" s="34" cm="1">
        <f t="array" ref="AH2">_xlfn.XLOOKUP(AH$1&amp;$A2,_2[Country]&amp;_2[Year],_2[Growth_Calculation],"Not Found")</f>
        <v>0</v>
      </c>
      <c r="AI2" s="34" cm="1">
        <f t="array" ref="AI2">_xlfn.XLOOKUP(AI$1&amp;$A2,_2[Country]&amp;_2[Year],_2[Growth_Calculation],"Not Found")</f>
        <v>0</v>
      </c>
      <c r="AJ2" s="34" cm="1">
        <f t="array" ref="AJ2">_xlfn.XLOOKUP(AJ$1&amp;$A2,_2[Country]&amp;_2[Year],_2[Growth_Calculation],"Not Found")</f>
        <v>0</v>
      </c>
    </row>
    <row r="3" spans="1:47" x14ac:dyDescent="0.35">
      <c r="A3" s="29">
        <v>2001</v>
      </c>
      <c r="B3" s="28" cm="1">
        <f t="array" ref="B3">_xlfn.XLOOKUP(B$1&amp;$A3,_2[Country]&amp;_2[Year],_2[Growth_Calculation],"Not Found")</f>
        <v>0</v>
      </c>
      <c r="C3" s="26" cm="1">
        <f t="array" ref="C3">_xlfn.XLOOKUP(C$1&amp;$A3,_2[Country]&amp;_2[Year],_2[Growth_Calculation],"Not Found")</f>
        <v>-6.779999999999994</v>
      </c>
      <c r="D3" s="26" cm="1">
        <f t="array" ref="D3">_xlfn.XLOOKUP(D$1&amp;$A3,_2[Country]&amp;_2[Year],_2[Growth_Calculation],"Not Found")</f>
        <v>-5.0000000000000044E-2</v>
      </c>
      <c r="E3" s="27" cm="1">
        <f t="array" ref="E3">_xlfn.XLOOKUP(E$1&amp;$A3,_2[Country]&amp;_2[Year],_2[Growth_Calculation],"Not Found")</f>
        <v>0</v>
      </c>
      <c r="F3" s="27" cm="1">
        <f t="array" ref="F3">_xlfn.XLOOKUP(F$1&amp;$A3,_2[Country]&amp;_2[Year],_2[Growth_Calculation],"Not Found")</f>
        <v>0</v>
      </c>
      <c r="G3" s="27" cm="1">
        <f t="array" ref="G3">_xlfn.XLOOKUP(G$1&amp;$A3,_2[Country]&amp;_2[Year],_2[Growth_Calculation],"Not Found")</f>
        <v>9.9999999999994316E-2</v>
      </c>
      <c r="H3" s="27" cm="1">
        <f t="array" ref="H3">_xlfn.XLOOKUP(H$1&amp;$A3,_2[Country]&amp;_2[Year],_2[Growth_Calculation],"Not Found")</f>
        <v>0</v>
      </c>
      <c r="I3" s="27" cm="1">
        <f t="array" ref="I3">_xlfn.XLOOKUP(I$1&amp;$A3,_2[Country]&amp;_2[Year],_2[Growth_Calculation],"Not Found")</f>
        <v>0</v>
      </c>
      <c r="J3" s="27" cm="1">
        <f t="array" ref="J3">_xlfn.XLOOKUP(J$1&amp;$A3,_2[Country]&amp;_2[Year],_2[Growth_Calculation],"Not Found")</f>
        <v>0</v>
      </c>
      <c r="K3" s="27" cm="1">
        <f t="array" ref="K3">_xlfn.XLOOKUP(K$1&amp;$A3,_2[Country]&amp;_2[Year],_2[Growth_Calculation],"Not Found")</f>
        <v>0</v>
      </c>
      <c r="L3" s="27" cm="1">
        <f t="array" ref="L3">_xlfn.XLOOKUP(L$1&amp;$A3,_2[Country]&amp;_2[Year],_2[Growth_Calculation],"Not Found")</f>
        <v>-2.1200000000000045</v>
      </c>
      <c r="M3" s="27" cm="1">
        <f t="array" ref="M3">_xlfn.XLOOKUP(M$1&amp;$A3,_2[Country]&amp;_2[Year],_2[Growth_Calculation],"Not Found")</f>
        <v>0</v>
      </c>
      <c r="N3" s="27" cm="1">
        <f t="array" ref="N3">_xlfn.XLOOKUP(N$1&amp;$A3,_2[Country]&amp;_2[Year],_2[Growth_Calculation],"Not Found")</f>
        <v>0</v>
      </c>
      <c r="O3" s="27" cm="1">
        <f t="array" ref="O3">_xlfn.XLOOKUP(O$1&amp;$A3,_2[Country]&amp;_2[Year],_2[Growth_Calculation],"Not Found")</f>
        <v>0</v>
      </c>
      <c r="P3" s="27" cm="1">
        <f t="array" ref="P3">_xlfn.XLOOKUP(P$1&amp;$A3,_2[Country]&amp;_2[Year],_2[Growth_Calculation],"Not Found")</f>
        <v>0</v>
      </c>
      <c r="Q3" s="27" cm="1">
        <f t="array" ref="Q3">_xlfn.XLOOKUP(Q$1&amp;$A3,_2[Country]&amp;_2[Year],_2[Growth_Calculation],"Not Found")</f>
        <v>0</v>
      </c>
      <c r="R3" s="27" cm="1">
        <f t="array" ref="R3">_xlfn.XLOOKUP(R$1&amp;$A3,_2[Country]&amp;_2[Year],_2[Growth_Calculation],"Not Found")</f>
        <v>0</v>
      </c>
      <c r="S3" s="27" cm="1">
        <f t="array" ref="S3">_xlfn.XLOOKUP(S$1&amp;$A3,_2[Country]&amp;_2[Year],_2[Growth_Calculation],"Not Found")</f>
        <v>0</v>
      </c>
      <c r="T3" s="27" cm="1">
        <f t="array" ref="T3">_xlfn.XLOOKUP(T$1&amp;$A3,_2[Country]&amp;_2[Year],_2[Growth_Calculation],"Not Found")</f>
        <v>0</v>
      </c>
      <c r="U3" s="27" cm="1">
        <f t="array" ref="U3">_xlfn.XLOOKUP(U$1&amp;$A3,_2[Country]&amp;_2[Year],_2[Growth_Calculation],"Not Found")</f>
        <v>0</v>
      </c>
      <c r="V3" s="27" cm="1">
        <f t="array" ref="V3">_xlfn.XLOOKUP(V$1&amp;$A3,_2[Country]&amp;_2[Year],_2[Growth_Calculation],"Not Found")</f>
        <v>0.37999999999999901</v>
      </c>
      <c r="W3" s="27" cm="1">
        <f t="array" ref="W3">_xlfn.XLOOKUP(W$1&amp;$A3,_2[Country]&amp;_2[Year],_2[Growth_Calculation],"Not Found")</f>
        <v>9.9999999999980105E-3</v>
      </c>
      <c r="X3" s="27" cm="1">
        <f t="array" ref="X3">_xlfn.XLOOKUP(X$1&amp;$A3,_2[Country]&amp;_2[Year],_2[Growth_Calculation],"Not Found")</f>
        <v>9.9999999999909051E-3</v>
      </c>
      <c r="Y3" s="27" cm="1">
        <f t="array" ref="Y3">_xlfn.XLOOKUP(Y$1&amp;$A3,_2[Country]&amp;_2[Year],_2[Growth_Calculation],"Not Found")</f>
        <v>9.9999999999980105E-3</v>
      </c>
      <c r="Z3" s="27" cm="1">
        <f t="array" ref="Z3">_xlfn.XLOOKUP(Z$1&amp;$A3,_2[Country]&amp;_2[Year],_2[Growth_Calculation],"Not Found")</f>
        <v>0</v>
      </c>
      <c r="AA3" s="27" cm="1">
        <f t="array" ref="AA3">_xlfn.XLOOKUP(AA$1&amp;$A3,_2[Country]&amp;_2[Year],_2[Growth_Calculation],"Not Found")</f>
        <v>0</v>
      </c>
      <c r="AB3" s="27" cm="1">
        <f t="array" ref="AB3">_xlfn.XLOOKUP(AB$1&amp;$A3,_2[Country]&amp;_2[Year],_2[Growth_Calculation],"Not Found")</f>
        <v>-28.52</v>
      </c>
      <c r="AC3" s="27" cm="1">
        <f t="array" ref="AC3">_xlfn.XLOOKUP(AC$1&amp;$A3,_2[Country]&amp;_2[Year],_2[Growth_Calculation],"Not Found")</f>
        <v>0</v>
      </c>
      <c r="AD3" s="27" cm="1">
        <f t="array" ref="AD3">_xlfn.XLOOKUP(AD$1&amp;$A3,_2[Country]&amp;_2[Year],_2[Growth_Calculation],"Not Found")</f>
        <v>0</v>
      </c>
      <c r="AE3" s="27" cm="1">
        <f t="array" ref="AE3">_xlfn.XLOOKUP(AE$1&amp;$A3,_2[Country]&amp;_2[Year],_2[Growth_Calculation],"Not Found")</f>
        <v>-0.10000000000000009</v>
      </c>
      <c r="AF3" s="27" cm="1">
        <f t="array" ref="AF3">_xlfn.XLOOKUP(AF$1&amp;$A3,_2[Country]&amp;_2[Year],_2[Growth_Calculation],"Not Found")</f>
        <v>0</v>
      </c>
      <c r="AG3" s="27" cm="1">
        <f t="array" ref="AG3">_xlfn.XLOOKUP(AG$1&amp;$A3,_2[Country]&amp;_2[Year],_2[Growth_Calculation],"Not Found")</f>
        <v>1.0000000000000231E-2</v>
      </c>
      <c r="AH3" s="27" cm="1">
        <f t="array" ref="AH3">_xlfn.XLOOKUP(AH$1&amp;$A3,_2[Country]&amp;_2[Year],_2[Growth_Calculation],"Not Found")</f>
        <v>0</v>
      </c>
      <c r="AI3" s="27" cm="1">
        <f t="array" ref="AI3">_xlfn.XLOOKUP(AI$1&amp;$A3,_2[Country]&amp;_2[Year],_2[Growth_Calculation],"Not Found")</f>
        <v>0</v>
      </c>
      <c r="AJ3" s="27" cm="1">
        <f t="array" ref="AJ3">_xlfn.XLOOKUP(AJ$1&amp;$A3,_2[Country]&amp;_2[Year],_2[Growth_Calculation],"Not Found")</f>
        <v>0</v>
      </c>
    </row>
    <row r="4" spans="1:47" x14ac:dyDescent="0.35">
      <c r="A4" s="29">
        <v>2002</v>
      </c>
      <c r="B4" s="28" cm="1">
        <f t="array" ref="B4">_xlfn.XLOOKUP(B$1&amp;$A4,_2[Country]&amp;_2[Year],_2[Growth_Calculation],"Not Found")</f>
        <v>-0.33999999999999986</v>
      </c>
      <c r="C4" s="26" cm="1">
        <f t="array" ref="C4">_xlfn.XLOOKUP(C$1&amp;$A4,_2[Country]&amp;_2[Year],_2[Growth_Calculation],"Not Found")</f>
        <v>-6.779999999999994</v>
      </c>
      <c r="D4" s="26" cm="1">
        <f t="array" ref="D4">_xlfn.XLOOKUP(D$1&amp;$A4,_2[Country]&amp;_2[Year],_2[Growth_Calculation],"Not Found")</f>
        <v>-5.0000000000000044E-2</v>
      </c>
      <c r="E4" s="27" cm="1">
        <f t="array" ref="E4">_xlfn.XLOOKUP(E$1&amp;$A4,_2[Country]&amp;_2[Year],_2[Growth_Calculation],"Not Found")</f>
        <v>0</v>
      </c>
      <c r="F4" s="27" cm="1">
        <f t="array" ref="F4">_xlfn.XLOOKUP(F$1&amp;$A4,_2[Country]&amp;_2[Year],_2[Growth_Calculation],"Not Found")</f>
        <v>0</v>
      </c>
      <c r="G4" s="27" cm="1">
        <f t="array" ref="G4">_xlfn.XLOOKUP(G$1&amp;$A4,_2[Country]&amp;_2[Year],_2[Growth_Calculation],"Not Found")</f>
        <v>-7.0200000000000102</v>
      </c>
      <c r="H4" s="27" cm="1">
        <f t="array" ref="H4">_xlfn.XLOOKUP(H$1&amp;$A4,_2[Country]&amp;_2[Year],_2[Growth_Calculation],"Not Found")</f>
        <v>0</v>
      </c>
      <c r="I4" s="27" cm="1">
        <f t="array" ref="I4">_xlfn.XLOOKUP(I$1&amp;$A4,_2[Country]&amp;_2[Year],_2[Growth_Calculation],"Not Found")</f>
        <v>0.16999999999999815</v>
      </c>
      <c r="J4" s="27" cm="1">
        <f t="array" ref="J4">_xlfn.XLOOKUP(J$1&amp;$A4,_2[Country]&amp;_2[Year],_2[Growth_Calculation],"Not Found")</f>
        <v>0</v>
      </c>
      <c r="K4" s="27" cm="1">
        <f t="array" ref="K4">_xlfn.XLOOKUP(K$1&amp;$A4,_2[Country]&amp;_2[Year],_2[Growth_Calculation],"Not Found")</f>
        <v>0</v>
      </c>
      <c r="L4" s="27" cm="1">
        <f t="array" ref="L4">_xlfn.XLOOKUP(L$1&amp;$A4,_2[Country]&amp;_2[Year],_2[Growth_Calculation],"Not Found")</f>
        <v>-0.64000000000000057</v>
      </c>
      <c r="M4" s="27" cm="1">
        <f t="array" ref="M4">_xlfn.XLOOKUP(M$1&amp;$A4,_2[Country]&amp;_2[Year],_2[Growth_Calculation],"Not Found")</f>
        <v>0.21999999999999886</v>
      </c>
      <c r="N4" s="27" cm="1">
        <f t="array" ref="N4">_xlfn.XLOOKUP(N$1&amp;$A4,_2[Country]&amp;_2[Year],_2[Growth_Calculation],"Not Found")</f>
        <v>0</v>
      </c>
      <c r="O4" s="27" cm="1">
        <f t="array" ref="O4">_xlfn.XLOOKUP(O$1&amp;$A4,_2[Country]&amp;_2[Year],_2[Growth_Calculation],"Not Found")</f>
        <v>0</v>
      </c>
      <c r="P4" s="27" cm="1">
        <f t="array" ref="P4">_xlfn.XLOOKUP(P$1&amp;$A4,_2[Country]&amp;_2[Year],_2[Growth_Calculation],"Not Found")</f>
        <v>5.9999999999988063E-2</v>
      </c>
      <c r="Q4" s="27" cm="1">
        <f t="array" ref="Q4">_xlfn.XLOOKUP(Q$1&amp;$A4,_2[Country]&amp;_2[Year],_2[Growth_Calculation],"Not Found")</f>
        <v>0</v>
      </c>
      <c r="R4" s="27" cm="1">
        <f t="array" ref="R4">_xlfn.XLOOKUP(R$1&amp;$A4,_2[Country]&amp;_2[Year],_2[Growth_Calculation],"Not Found")</f>
        <v>0</v>
      </c>
      <c r="S4" s="27" cm="1">
        <f t="array" ref="S4">_xlfn.XLOOKUP(S$1&amp;$A4,_2[Country]&amp;_2[Year],_2[Growth_Calculation],"Not Found")</f>
        <v>0</v>
      </c>
      <c r="T4" s="27" cm="1">
        <f t="array" ref="T4">_xlfn.XLOOKUP(T$1&amp;$A4,_2[Country]&amp;_2[Year],_2[Growth_Calculation],"Not Found")</f>
        <v>0</v>
      </c>
      <c r="U4" s="27" cm="1">
        <f t="array" ref="U4">_xlfn.XLOOKUP(U$1&amp;$A4,_2[Country]&amp;_2[Year],_2[Growth_Calculation],"Not Found")</f>
        <v>34.18</v>
      </c>
      <c r="V4" s="27" cm="1">
        <f t="array" ref="V4">_xlfn.XLOOKUP(V$1&amp;$A4,_2[Country]&amp;_2[Year],_2[Growth_Calculation],"Not Found")</f>
        <v>0.33999999999999986</v>
      </c>
      <c r="W4" s="27" cm="1">
        <f t="array" ref="W4">_xlfn.XLOOKUP(W$1&amp;$A4,_2[Country]&amp;_2[Year],_2[Growth_Calculation],"Not Found")</f>
        <v>-0.11000000000000298</v>
      </c>
      <c r="X4" s="27" cm="1">
        <f t="array" ref="X4">_xlfn.XLOOKUP(X$1&amp;$A4,_2[Country]&amp;_2[Year],_2[Growth_Calculation],"Not Found")</f>
        <v>-6.0000000000002274E-2</v>
      </c>
      <c r="Y4" s="27" cm="1">
        <f t="array" ref="Y4">_xlfn.XLOOKUP(Y$1&amp;$A4,_2[Country]&amp;_2[Year],_2[Growth_Calculation],"Not Found")</f>
        <v>3.0000000000001137E-2</v>
      </c>
      <c r="Z4" s="27" cm="1">
        <f t="array" ref="Z4">_xlfn.XLOOKUP(Z$1&amp;$A4,_2[Country]&amp;_2[Year],_2[Growth_Calculation],"Not Found")</f>
        <v>0</v>
      </c>
      <c r="AA4" s="27" cm="1">
        <f t="array" ref="AA4">_xlfn.XLOOKUP(AA$1&amp;$A4,_2[Country]&amp;_2[Year],_2[Growth_Calculation],"Not Found")</f>
        <v>0</v>
      </c>
      <c r="AB4" s="27" cm="1">
        <f t="array" ref="AB4">_xlfn.XLOOKUP(AB$1&amp;$A4,_2[Country]&amp;_2[Year],_2[Growth_Calculation],"Not Found")</f>
        <v>-28.52</v>
      </c>
      <c r="AC4" s="27" cm="1">
        <f t="array" ref="AC4">_xlfn.XLOOKUP(AC$1&amp;$A4,_2[Country]&amp;_2[Year],_2[Growth_Calculation],"Not Found")</f>
        <v>0</v>
      </c>
      <c r="AD4" s="27" cm="1">
        <f t="array" ref="AD4">_xlfn.XLOOKUP(AD$1&amp;$A4,_2[Country]&amp;_2[Year],_2[Growth_Calculation],"Not Found")</f>
        <v>0</v>
      </c>
      <c r="AE4" s="27" cm="1">
        <f t="array" ref="AE4">_xlfn.XLOOKUP(AE$1&amp;$A4,_2[Country]&amp;_2[Year],_2[Growth_Calculation],"Not Found")</f>
        <v>-0.10000000000000009</v>
      </c>
      <c r="AF4" s="27" cm="1">
        <f t="array" ref="AF4">_xlfn.XLOOKUP(AF$1&amp;$A4,_2[Country]&amp;_2[Year],_2[Growth_Calculation],"Not Found")</f>
        <v>0</v>
      </c>
      <c r="AG4" s="27" cm="1">
        <f t="array" ref="AG4">_xlfn.XLOOKUP(AG$1&amp;$A4,_2[Country]&amp;_2[Year],_2[Growth_Calculation],"Not Found")</f>
        <v>1.0000000000000231E-2</v>
      </c>
      <c r="AH4" s="27" cm="1">
        <f t="array" ref="AH4">_xlfn.XLOOKUP(AH$1&amp;$A4,_2[Country]&amp;_2[Year],_2[Growth_Calculation],"Not Found")</f>
        <v>0.15000000000000568</v>
      </c>
      <c r="AI4" s="27" cm="1">
        <f t="array" ref="AI4">_xlfn.XLOOKUP(AI$1&amp;$A4,_2[Country]&amp;_2[Year],_2[Growth_Calculation],"Not Found")</f>
        <v>0</v>
      </c>
      <c r="AJ4" s="27" cm="1">
        <f t="array" ref="AJ4">_xlfn.XLOOKUP(AJ$1&amp;$A4,_2[Country]&amp;_2[Year],_2[Growth_Calculation],"Not Found")</f>
        <v>0.64000000000000057</v>
      </c>
    </row>
    <row r="5" spans="1:47" x14ac:dyDescent="0.35">
      <c r="A5" s="29">
        <v>2003</v>
      </c>
      <c r="B5" s="28" cm="1">
        <f t="array" ref="B5">_xlfn.XLOOKUP(B$1&amp;$A5,_2[Country]&amp;_2[Year],_2[Growth_Calculation],"Not Found")</f>
        <v>-0.41999999999999993</v>
      </c>
      <c r="C5" s="26" cm="1">
        <f t="array" ref="C5">_xlfn.XLOOKUP(C$1&amp;$A5,_2[Country]&amp;_2[Year],_2[Growth_Calculation],"Not Found")</f>
        <v>-6.779999999999994</v>
      </c>
      <c r="D5" s="26" cm="1">
        <f t="array" ref="D5">_xlfn.XLOOKUP(D$1&amp;$A5,_2[Country]&amp;_2[Year],_2[Growth_Calculation],"Not Found")</f>
        <v>-5.0000000000000044E-2</v>
      </c>
      <c r="E5" s="27" cm="1">
        <f t="array" ref="E5">_xlfn.XLOOKUP(E$1&amp;$A5,_2[Country]&amp;_2[Year],_2[Growth_Calculation],"Not Found")</f>
        <v>-22.42</v>
      </c>
      <c r="F5" s="27" cm="1">
        <f t="array" ref="F5">_xlfn.XLOOKUP(F$1&amp;$A5,_2[Country]&amp;_2[Year],_2[Growth_Calculation],"Not Found")</f>
        <v>0</v>
      </c>
      <c r="G5" s="27" cm="1">
        <f t="array" ref="G5">_xlfn.XLOOKUP(G$1&amp;$A5,_2[Country]&amp;_2[Year],_2[Growth_Calculation],"Not Found")</f>
        <v>-7.1200000000000045</v>
      </c>
      <c r="H5" s="27" cm="1">
        <f t="array" ref="H5">_xlfn.XLOOKUP(H$1&amp;$A5,_2[Country]&amp;_2[Year],_2[Growth_Calculation],"Not Found")</f>
        <v>-5.1400000000000006</v>
      </c>
      <c r="I5" s="27" cm="1">
        <f t="array" ref="I5">_xlfn.XLOOKUP(I$1&amp;$A5,_2[Country]&amp;_2[Year],_2[Growth_Calculation],"Not Found")</f>
        <v>-1.4000000000000021</v>
      </c>
      <c r="J5" s="27" cm="1">
        <f t="array" ref="J5">_xlfn.XLOOKUP(J$1&amp;$A5,_2[Country]&amp;_2[Year],_2[Growth_Calculation],"Not Found")</f>
        <v>0</v>
      </c>
      <c r="K5" s="27" cm="1">
        <f t="array" ref="K5">_xlfn.XLOOKUP(K$1&amp;$A5,_2[Country]&amp;_2[Year],_2[Growth_Calculation],"Not Found")</f>
        <v>0</v>
      </c>
      <c r="L5" s="27" cm="1">
        <f t="array" ref="L5">_xlfn.XLOOKUP(L$1&amp;$A5,_2[Country]&amp;_2[Year],_2[Growth_Calculation],"Not Found")</f>
        <v>7.2599999999999909</v>
      </c>
      <c r="M5" s="27" cm="1">
        <f t="array" ref="M5">_xlfn.XLOOKUP(M$1&amp;$A5,_2[Country]&amp;_2[Year],_2[Growth_Calculation],"Not Found")</f>
        <v>-0.35999999999999943</v>
      </c>
      <c r="N5" s="27" cm="1">
        <f t="array" ref="N5">_xlfn.XLOOKUP(N$1&amp;$A5,_2[Country]&amp;_2[Year],_2[Growth_Calculation],"Not Found")</f>
        <v>0</v>
      </c>
      <c r="O5" s="27" cm="1">
        <f t="array" ref="O5">_xlfn.XLOOKUP(O$1&amp;$A5,_2[Country]&amp;_2[Year],_2[Growth_Calculation],"Not Found")</f>
        <v>0</v>
      </c>
      <c r="P5" s="27" cm="1">
        <f t="array" ref="P5">_xlfn.XLOOKUP(P$1&amp;$A5,_2[Country]&amp;_2[Year],_2[Growth_Calculation],"Not Found")</f>
        <v>-11.220000000000013</v>
      </c>
      <c r="Q5" s="27" cm="1">
        <f t="array" ref="Q5">_xlfn.XLOOKUP(Q$1&amp;$A5,_2[Country]&amp;_2[Year],_2[Growth_Calculation],"Not Found")</f>
        <v>0.90999999999999659</v>
      </c>
      <c r="R5" s="27" cm="1">
        <f t="array" ref="R5">_xlfn.XLOOKUP(R$1&amp;$A5,_2[Country]&amp;_2[Year],_2[Growth_Calculation],"Not Found")</f>
        <v>0</v>
      </c>
      <c r="S5" s="27" cm="1">
        <f t="array" ref="S5">_xlfn.XLOOKUP(S$1&amp;$A5,_2[Country]&amp;_2[Year],_2[Growth_Calculation],"Not Found")</f>
        <v>-3.7299999999999969</v>
      </c>
      <c r="T5" s="27" cm="1">
        <f t="array" ref="T5">_xlfn.XLOOKUP(T$1&amp;$A5,_2[Country]&amp;_2[Year],_2[Growth_Calculation],"Not Found")</f>
        <v>3.8499999999999943</v>
      </c>
      <c r="U5" s="27" cm="1">
        <f t="array" ref="U5">_xlfn.XLOOKUP(U$1&amp;$A5,_2[Country]&amp;_2[Year],_2[Growth_Calculation],"Not Found")</f>
        <v>34.18</v>
      </c>
      <c r="V5" s="27" cm="1">
        <f t="array" ref="V5">_xlfn.XLOOKUP(V$1&amp;$A5,_2[Country]&amp;_2[Year],_2[Growth_Calculation],"Not Found")</f>
        <v>0.18999999999999773</v>
      </c>
      <c r="W5" s="27" cm="1">
        <f t="array" ref="W5">_xlfn.XLOOKUP(W$1&amp;$A5,_2[Country]&amp;_2[Year],_2[Growth_Calculation],"Not Found")</f>
        <v>1.4699999999999989</v>
      </c>
      <c r="X5" s="27" cm="1">
        <f t="array" ref="X5">_xlfn.XLOOKUP(X$1&amp;$A5,_2[Country]&amp;_2[Year],_2[Growth_Calculation],"Not Found")</f>
        <v>-0.12000000000000455</v>
      </c>
      <c r="Y5" s="27" cm="1">
        <f t="array" ref="Y5">_xlfn.XLOOKUP(Y$1&amp;$A5,_2[Country]&amp;_2[Year],_2[Growth_Calculation],"Not Found")</f>
        <v>3.0000000000001137E-2</v>
      </c>
      <c r="Z5" s="27" cm="1">
        <f t="array" ref="Z5">_xlfn.XLOOKUP(Z$1&amp;$A5,_2[Country]&amp;_2[Year],_2[Growth_Calculation],"Not Found")</f>
        <v>-6.5999999999999979</v>
      </c>
      <c r="AA5" s="27" cm="1">
        <f t="array" ref="AA5">_xlfn.XLOOKUP(AA$1&amp;$A5,_2[Country]&amp;_2[Year],_2[Growth_Calculation],"Not Found")</f>
        <v>0</v>
      </c>
      <c r="AB5" s="27" cm="1">
        <f t="array" ref="AB5">_xlfn.XLOOKUP(AB$1&amp;$A5,_2[Country]&amp;_2[Year],_2[Growth_Calculation],"Not Found")</f>
        <v>-28.52</v>
      </c>
      <c r="AC5" s="27" cm="1">
        <f t="array" ref="AC5">_xlfn.XLOOKUP(AC$1&amp;$A5,_2[Country]&amp;_2[Year],_2[Growth_Calculation],"Not Found")</f>
        <v>0</v>
      </c>
      <c r="AD5" s="27" cm="1">
        <f t="array" ref="AD5">_xlfn.XLOOKUP(AD$1&amp;$A5,_2[Country]&amp;_2[Year],_2[Growth_Calculation],"Not Found")</f>
        <v>0</v>
      </c>
      <c r="AE5" s="27" cm="1">
        <f t="array" ref="AE5">_xlfn.XLOOKUP(AE$1&amp;$A5,_2[Country]&amp;_2[Year],_2[Growth_Calculation],"Not Found")</f>
        <v>0.6599999999999997</v>
      </c>
      <c r="AF5" s="27" cm="1">
        <f t="array" ref="AF5">_xlfn.XLOOKUP(AF$1&amp;$A5,_2[Country]&amp;_2[Year],_2[Growth_Calculation],"Not Found")</f>
        <v>-0.21000000000000796</v>
      </c>
      <c r="AG5" s="27" cm="1">
        <f t="array" ref="AG5">_xlfn.XLOOKUP(AG$1&amp;$A5,_2[Country]&amp;_2[Year],_2[Growth_Calculation],"Not Found")</f>
        <v>0.22999999999999998</v>
      </c>
      <c r="AH5" s="27" cm="1">
        <f t="array" ref="AH5">_xlfn.XLOOKUP(AH$1&amp;$A5,_2[Country]&amp;_2[Year],_2[Growth_Calculation],"Not Found")</f>
        <v>0.15000000000000568</v>
      </c>
      <c r="AI5" s="27" cm="1">
        <f t="array" ref="AI5">_xlfn.XLOOKUP(AI$1&amp;$A5,_2[Country]&amp;_2[Year],_2[Growth_Calculation],"Not Found")</f>
        <v>-0.15000000000000568</v>
      </c>
      <c r="AJ5" s="27" cm="1">
        <f t="array" ref="AJ5">_xlfn.XLOOKUP(AJ$1&amp;$A5,_2[Country]&amp;_2[Year],_2[Growth_Calculation],"Not Found")</f>
        <v>0.64000000000000057</v>
      </c>
    </row>
    <row r="6" spans="1:47" x14ac:dyDescent="0.35">
      <c r="A6" s="29">
        <v>2004</v>
      </c>
      <c r="B6" s="28" cm="1">
        <f t="array" ref="B6">_xlfn.XLOOKUP(B$1&amp;$A6,_2[Country]&amp;_2[Year],_2[Growth_Calculation],"Not Found")</f>
        <v>-0.58999999999999941</v>
      </c>
      <c r="C6" s="26" cm="1">
        <f t="array" ref="C6">_xlfn.XLOOKUP(C$1&amp;$A6,_2[Country]&amp;_2[Year],_2[Growth_Calculation],"Not Found")</f>
        <v>10.13000000000001</v>
      </c>
      <c r="D6" s="26" cm="1">
        <f t="array" ref="D6">_xlfn.XLOOKUP(D$1&amp;$A6,_2[Country]&amp;_2[Year],_2[Growth_Calculation],"Not Found")</f>
        <v>-5.0000000000000044E-2</v>
      </c>
      <c r="E6" s="27" cm="1">
        <f t="array" ref="E6">_xlfn.XLOOKUP(E$1&amp;$A6,_2[Country]&amp;_2[Year],_2[Growth_Calculation],"Not Found")</f>
        <v>-24.93</v>
      </c>
      <c r="F6" s="27" cm="1">
        <f t="array" ref="F6">_xlfn.XLOOKUP(F$1&amp;$A6,_2[Country]&amp;_2[Year],_2[Growth_Calculation],"Not Found")</f>
        <v>0</v>
      </c>
      <c r="G6" s="27" cm="1">
        <f t="array" ref="G6">_xlfn.XLOOKUP(G$1&amp;$A6,_2[Country]&amp;_2[Year],_2[Growth_Calculation],"Not Found")</f>
        <v>-8.0100000000000051</v>
      </c>
      <c r="H6" s="27" cm="1">
        <f t="array" ref="H6">_xlfn.XLOOKUP(H$1&amp;$A6,_2[Country]&amp;_2[Year],_2[Growth_Calculation],"Not Found")</f>
        <v>-5.16</v>
      </c>
      <c r="I6" s="27" cm="1">
        <f t="array" ref="I6">_xlfn.XLOOKUP(I$1&amp;$A6,_2[Country]&amp;_2[Year],_2[Growth_Calculation],"Not Found")</f>
        <v>-1.5600000000000005</v>
      </c>
      <c r="J6" s="27" cm="1">
        <f t="array" ref="J6">_xlfn.XLOOKUP(J$1&amp;$A6,_2[Country]&amp;_2[Year],_2[Growth_Calculation],"Not Found")</f>
        <v>0</v>
      </c>
      <c r="K6" s="27" cm="1">
        <f t="array" ref="K6">_xlfn.XLOOKUP(K$1&amp;$A6,_2[Country]&amp;_2[Year],_2[Growth_Calculation],"Not Found")</f>
        <v>0</v>
      </c>
      <c r="L6" s="27" cm="1">
        <f t="array" ref="L6">_xlfn.XLOOKUP(L$1&amp;$A6,_2[Country]&amp;_2[Year],_2[Growth_Calculation],"Not Found")</f>
        <v>6.9899999999999949</v>
      </c>
      <c r="M6" s="27" cm="1">
        <f t="array" ref="M6">_xlfn.XLOOKUP(M$1&amp;$A6,_2[Country]&amp;_2[Year],_2[Growth_Calculation],"Not Found")</f>
        <v>-0.35999999999999943</v>
      </c>
      <c r="N6" s="27" cm="1">
        <f t="array" ref="N6">_xlfn.XLOOKUP(N$1&amp;$A6,_2[Country]&amp;_2[Year],_2[Growth_Calculation],"Not Found")</f>
        <v>3.2999999999999972</v>
      </c>
      <c r="O6" s="27" cm="1">
        <f t="array" ref="O6">_xlfn.XLOOKUP(O$1&amp;$A6,_2[Country]&amp;_2[Year],_2[Growth_Calculation],"Not Found")</f>
        <v>0</v>
      </c>
      <c r="P6" s="27" cm="1">
        <f t="array" ref="P6">_xlfn.XLOOKUP(P$1&amp;$A6,_2[Country]&amp;_2[Year],_2[Growth_Calculation],"Not Found")</f>
        <v>-9.3100000000000023</v>
      </c>
      <c r="Q6" s="27" cm="1">
        <f t="array" ref="Q6">_xlfn.XLOOKUP(Q$1&amp;$A6,_2[Country]&amp;_2[Year],_2[Growth_Calculation],"Not Found")</f>
        <v>0.90999999999999659</v>
      </c>
      <c r="R6" s="27" cm="1">
        <f t="array" ref="R6">_xlfn.XLOOKUP(R$1&amp;$A6,_2[Country]&amp;_2[Year],_2[Growth_Calculation],"Not Found")</f>
        <v>-0.25</v>
      </c>
      <c r="S6" s="27" cm="1">
        <f t="array" ref="S6">_xlfn.XLOOKUP(S$1&amp;$A6,_2[Country]&amp;_2[Year],_2[Growth_Calculation],"Not Found")</f>
        <v>-7.6599999999999966</v>
      </c>
      <c r="T6" s="27" cm="1">
        <f t="array" ref="T6">_xlfn.XLOOKUP(T$1&amp;$A6,_2[Country]&amp;_2[Year],_2[Growth_Calculation],"Not Found")</f>
        <v>1.0699999999999932</v>
      </c>
      <c r="U6" s="27" cm="1">
        <f t="array" ref="U6">_xlfn.XLOOKUP(U$1&amp;$A6,_2[Country]&amp;_2[Year],_2[Growth_Calculation],"Not Found")</f>
        <v>34.18</v>
      </c>
      <c r="V6" s="27" cm="1">
        <f t="array" ref="V6">_xlfn.XLOOKUP(V$1&amp;$A6,_2[Country]&amp;_2[Year],_2[Growth_Calculation],"Not Found")</f>
        <v>6.9999999999996732E-2</v>
      </c>
      <c r="W6" s="27" cm="1">
        <f t="array" ref="W6">_xlfn.XLOOKUP(W$1&amp;$A6,_2[Country]&amp;_2[Year],_2[Growth_Calculation],"Not Found")</f>
        <v>0.76999999999999957</v>
      </c>
      <c r="X6" s="27" cm="1">
        <f t="array" ref="X6">_xlfn.XLOOKUP(X$1&amp;$A6,_2[Country]&amp;_2[Year],_2[Growth_Calculation],"Not Found")</f>
        <v>-0.12000000000000455</v>
      </c>
      <c r="Y6" s="27" cm="1">
        <f t="array" ref="Y6">_xlfn.XLOOKUP(Y$1&amp;$A6,_2[Country]&amp;_2[Year],_2[Growth_Calculation],"Not Found")</f>
        <v>4.9999999999997158E-2</v>
      </c>
      <c r="Z6" s="27" cm="1">
        <f t="array" ref="Z6">_xlfn.XLOOKUP(Z$1&amp;$A6,_2[Country]&amp;_2[Year],_2[Growth_Calculation],"Not Found")</f>
        <v>-6.5999999999999979</v>
      </c>
      <c r="AA6" s="27" cm="1">
        <f t="array" ref="AA6">_xlfn.XLOOKUP(AA$1&amp;$A6,_2[Country]&amp;_2[Year],_2[Growth_Calculation],"Not Found")</f>
        <v>0</v>
      </c>
      <c r="AB6" s="27" cm="1">
        <f t="array" ref="AB6">_xlfn.XLOOKUP(AB$1&amp;$A6,_2[Country]&amp;_2[Year],_2[Growth_Calculation],"Not Found")</f>
        <v>-28.52</v>
      </c>
      <c r="AC6" s="27" cm="1">
        <f t="array" ref="AC6">_xlfn.XLOOKUP(AC$1&amp;$A6,_2[Country]&amp;_2[Year],_2[Growth_Calculation],"Not Found")</f>
        <v>0</v>
      </c>
      <c r="AD6" s="27" cm="1">
        <f t="array" ref="AD6">_xlfn.XLOOKUP(AD$1&amp;$A6,_2[Country]&amp;_2[Year],_2[Growth_Calculation],"Not Found")</f>
        <v>1.0000000000001563E-2</v>
      </c>
      <c r="AE6" s="27" cm="1">
        <f t="array" ref="AE6">_xlfn.XLOOKUP(AE$1&amp;$A6,_2[Country]&amp;_2[Year],_2[Growth_Calculation],"Not Found")</f>
        <v>-0.96000000000000041</v>
      </c>
      <c r="AF6" s="27" cm="1">
        <f t="array" ref="AF6">_xlfn.XLOOKUP(AF$1&amp;$A6,_2[Country]&amp;_2[Year],_2[Growth_Calculation],"Not Found")</f>
        <v>-15.370000000000005</v>
      </c>
      <c r="AG6" s="27" cm="1">
        <f t="array" ref="AG6">_xlfn.XLOOKUP(AG$1&amp;$A6,_2[Country]&amp;_2[Year],_2[Growth_Calculation],"Not Found")</f>
        <v>0.13000000000000034</v>
      </c>
      <c r="AH6" s="27" cm="1">
        <f t="array" ref="AH6">_xlfn.XLOOKUP(AH$1&amp;$A6,_2[Country]&amp;_2[Year],_2[Growth_Calculation],"Not Found")</f>
        <v>0.15000000000000568</v>
      </c>
      <c r="AI6" s="27" cm="1">
        <f t="array" ref="AI6">_xlfn.XLOOKUP(AI$1&amp;$A6,_2[Country]&amp;_2[Year],_2[Growth_Calculation],"Not Found")</f>
        <v>-0.15000000000000568</v>
      </c>
      <c r="AJ6" s="27" cm="1">
        <f t="array" ref="AJ6">_xlfn.XLOOKUP(AJ$1&amp;$A6,_2[Country]&amp;_2[Year],_2[Growth_Calculation],"Not Found")</f>
        <v>0.64000000000000057</v>
      </c>
    </row>
    <row r="7" spans="1:47" x14ac:dyDescent="0.35">
      <c r="A7" s="29">
        <v>2005</v>
      </c>
      <c r="B7" s="28" cm="1">
        <f t="array" ref="B7">_xlfn.XLOOKUP(B$1&amp;$A7,_2[Country]&amp;_2[Year],_2[Growth_Calculation],"Not Found")</f>
        <v>-0.99999999999999956</v>
      </c>
      <c r="C7" s="26" cm="1">
        <f t="array" ref="C7">_xlfn.XLOOKUP(C$1&amp;$A7,_2[Country]&amp;_2[Year],_2[Growth_Calculation],"Not Found")</f>
        <v>10.13000000000001</v>
      </c>
      <c r="D7" s="26" cm="1">
        <f t="array" ref="D7">_xlfn.XLOOKUP(D$1&amp;$A7,_2[Country]&amp;_2[Year],_2[Growth_Calculation],"Not Found")</f>
        <v>-6.9999999999999951E-2</v>
      </c>
      <c r="E7" s="27" cm="1">
        <f t="array" ref="E7">_xlfn.XLOOKUP(E$1&amp;$A7,_2[Country]&amp;_2[Year],_2[Growth_Calculation],"Not Found")</f>
        <v>-26.4</v>
      </c>
      <c r="F7" s="27" cm="1">
        <f t="array" ref="F7">_xlfn.XLOOKUP(F$1&amp;$A7,_2[Country]&amp;_2[Year],_2[Growth_Calculation],"Not Found")</f>
        <v>0</v>
      </c>
      <c r="G7" s="27" cm="1">
        <f t="array" ref="G7">_xlfn.XLOOKUP(G$1&amp;$A7,_2[Country]&amp;_2[Year],_2[Growth_Calculation],"Not Found")</f>
        <v>-8.4500000000000028</v>
      </c>
      <c r="H7" s="27" cm="1">
        <f t="array" ref="H7">_xlfn.XLOOKUP(H$1&amp;$A7,_2[Country]&amp;_2[Year],_2[Growth_Calculation],"Not Found")</f>
        <v>-5.18</v>
      </c>
      <c r="I7" s="27" cm="1">
        <f t="array" ref="I7">_xlfn.XLOOKUP(I$1&amp;$A7,_2[Country]&amp;_2[Year],_2[Growth_Calculation],"Not Found")</f>
        <v>-2.7500000000000018</v>
      </c>
      <c r="J7" s="27" cm="1">
        <f t="array" ref="J7">_xlfn.XLOOKUP(J$1&amp;$A7,_2[Country]&amp;_2[Year],_2[Growth_Calculation],"Not Found")</f>
        <v>0</v>
      </c>
      <c r="K7" s="27" cm="1">
        <f t="array" ref="K7">_xlfn.XLOOKUP(K$1&amp;$A7,_2[Country]&amp;_2[Year],_2[Growth_Calculation],"Not Found")</f>
        <v>0</v>
      </c>
      <c r="L7" s="27" cm="1">
        <f t="array" ref="L7">_xlfn.XLOOKUP(L$1&amp;$A7,_2[Country]&amp;_2[Year],_2[Growth_Calculation],"Not Found")</f>
        <v>6.9799999999999898</v>
      </c>
      <c r="M7" s="27" cm="1">
        <f t="array" ref="M7">_xlfn.XLOOKUP(M$1&amp;$A7,_2[Country]&amp;_2[Year],_2[Growth_Calculation],"Not Found")</f>
        <v>-0.21999999999999886</v>
      </c>
      <c r="N7" s="27" cm="1">
        <f t="array" ref="N7">_xlfn.XLOOKUP(N$1&amp;$A7,_2[Country]&amp;_2[Year],_2[Growth_Calculation],"Not Found")</f>
        <v>3.2999999999999972</v>
      </c>
      <c r="O7" s="27" cm="1">
        <f t="array" ref="O7">_xlfn.XLOOKUP(O$1&amp;$A7,_2[Country]&amp;_2[Year],_2[Growth_Calculation],"Not Found")</f>
        <v>0</v>
      </c>
      <c r="P7" s="27" cm="1">
        <f t="array" ref="P7">_xlfn.XLOOKUP(P$1&amp;$A7,_2[Country]&amp;_2[Year],_2[Growth_Calculation],"Not Found")</f>
        <v>-6.0600000000000023</v>
      </c>
      <c r="Q7" s="27" cm="1">
        <f t="array" ref="Q7">_xlfn.XLOOKUP(Q$1&amp;$A7,_2[Country]&amp;_2[Year],_2[Growth_Calculation],"Not Found")</f>
        <v>0.90999999999999659</v>
      </c>
      <c r="R7" s="27" cm="1">
        <f t="array" ref="R7">_xlfn.XLOOKUP(R$1&amp;$A7,_2[Country]&amp;_2[Year],_2[Growth_Calculation],"Not Found")</f>
        <v>-0.25</v>
      </c>
      <c r="S7" s="27" cm="1">
        <f t="array" ref="S7">_xlfn.XLOOKUP(S$1&amp;$A7,_2[Country]&amp;_2[Year],_2[Growth_Calculation],"Not Found")</f>
        <v>-11.5</v>
      </c>
      <c r="T7" s="27" cm="1">
        <f t="array" ref="T7">_xlfn.XLOOKUP(T$1&amp;$A7,_2[Country]&amp;_2[Year],_2[Growth_Calculation],"Not Found")</f>
        <v>1.0699999999999932</v>
      </c>
      <c r="U7" s="27" cm="1">
        <f t="array" ref="U7">_xlfn.XLOOKUP(U$1&amp;$A7,_2[Country]&amp;_2[Year],_2[Growth_Calculation],"Not Found")</f>
        <v>34.21</v>
      </c>
      <c r="V7" s="27" cm="1">
        <f t="array" ref="V7">_xlfn.XLOOKUP(V$1&amp;$A7,_2[Country]&amp;_2[Year],_2[Growth_Calculation],"Not Found")</f>
        <v>8.6899999999999977</v>
      </c>
      <c r="W7" s="27" cm="1">
        <f t="array" ref="W7">_xlfn.XLOOKUP(W$1&amp;$A7,_2[Country]&amp;_2[Year],_2[Growth_Calculation],"Not Found")</f>
        <v>-2.5800000000000018</v>
      </c>
      <c r="X7" s="27" cm="1">
        <f t="array" ref="X7">_xlfn.XLOOKUP(X$1&amp;$A7,_2[Country]&amp;_2[Year],_2[Growth_Calculation],"Not Found")</f>
        <v>-0.12000000000000455</v>
      </c>
      <c r="Y7" s="27" cm="1">
        <f t="array" ref="Y7">_xlfn.XLOOKUP(Y$1&amp;$A7,_2[Country]&amp;_2[Year],_2[Growth_Calculation],"Not Found")</f>
        <v>0.10000000000000142</v>
      </c>
      <c r="Z7" s="27" cm="1">
        <f t="array" ref="Z7">_xlfn.XLOOKUP(Z$1&amp;$A7,_2[Country]&amp;_2[Year],_2[Growth_Calculation],"Not Found")</f>
        <v>-7.4799999999999969</v>
      </c>
      <c r="AA7" s="27" cm="1">
        <f t="array" ref="AA7">_xlfn.XLOOKUP(AA$1&amp;$A7,_2[Country]&amp;_2[Year],_2[Growth_Calculation],"Not Found")</f>
        <v>-20.879999999999995</v>
      </c>
      <c r="AB7" s="27" cm="1">
        <f t="array" ref="AB7">_xlfn.XLOOKUP(AB$1&amp;$A7,_2[Country]&amp;_2[Year],_2[Growth_Calculation],"Not Found")</f>
        <v>-28.52</v>
      </c>
      <c r="AC7" s="27" cm="1">
        <f t="array" ref="AC7">_xlfn.XLOOKUP(AC$1&amp;$A7,_2[Country]&amp;_2[Year],_2[Growth_Calculation],"Not Found")</f>
        <v>0</v>
      </c>
      <c r="AD7" s="27" cm="1">
        <f t="array" ref="AD7">_xlfn.XLOOKUP(AD$1&amp;$A7,_2[Country]&amp;_2[Year],_2[Growth_Calculation],"Not Found")</f>
        <v>1.9999999999999574E-2</v>
      </c>
      <c r="AE7" s="27" cm="1">
        <f t="array" ref="AE7">_xlfn.XLOOKUP(AE$1&amp;$A7,_2[Country]&amp;_2[Year],_2[Growth_Calculation],"Not Found")</f>
        <v>-1</v>
      </c>
      <c r="AF7" s="27" cm="1">
        <f t="array" ref="AF7">_xlfn.XLOOKUP(AF$1&amp;$A7,_2[Country]&amp;_2[Year],_2[Growth_Calculation],"Not Found")</f>
        <v>-15.980000000000004</v>
      </c>
      <c r="AG7" s="27" cm="1">
        <f t="array" ref="AG7">_xlfn.XLOOKUP(AG$1&amp;$A7,_2[Country]&amp;_2[Year],_2[Growth_Calculation],"Not Found")</f>
        <v>-6.999999999999984E-2</v>
      </c>
      <c r="AH7" s="27" cm="1">
        <f t="array" ref="AH7">_xlfn.XLOOKUP(AH$1&amp;$A7,_2[Country]&amp;_2[Year],_2[Growth_Calculation],"Not Found")</f>
        <v>-12.560000000000002</v>
      </c>
      <c r="AI7" s="27" cm="1">
        <f t="array" ref="AI7">_xlfn.XLOOKUP(AI$1&amp;$A7,_2[Country]&amp;_2[Year],_2[Growth_Calculation],"Not Found")</f>
        <v>-0.15000000000000568</v>
      </c>
      <c r="AJ7" s="27" cm="1">
        <f t="array" ref="AJ7">_xlfn.XLOOKUP(AJ$1&amp;$A7,_2[Country]&amp;_2[Year],_2[Growth_Calculation],"Not Found")</f>
        <v>0.64000000000000057</v>
      </c>
    </row>
    <row r="8" spans="1:47" x14ac:dyDescent="0.35">
      <c r="A8" s="29">
        <v>2006</v>
      </c>
      <c r="B8" s="28" cm="1">
        <f t="array" ref="B8">_xlfn.XLOOKUP(B$1&amp;$A8,_2[Country]&amp;_2[Year],_2[Growth_Calculation],"Not Found")</f>
        <v>-1.4999999999999996</v>
      </c>
      <c r="C8" s="26" cm="1">
        <f t="array" ref="C8">_xlfn.XLOOKUP(C$1&amp;$A8,_2[Country]&amp;_2[Year],_2[Growth_Calculation],"Not Found")</f>
        <v>10.02000000000001</v>
      </c>
      <c r="D8" s="26" cm="1">
        <f t="array" ref="D8">_xlfn.XLOOKUP(D$1&amp;$A8,_2[Country]&amp;_2[Year],_2[Growth_Calculation],"Not Found")</f>
        <v>-0.53</v>
      </c>
      <c r="E8" s="27" cm="1">
        <f t="array" ref="E8">_xlfn.XLOOKUP(E$1&amp;$A8,_2[Country]&amp;_2[Year],_2[Growth_Calculation],"Not Found")</f>
        <v>-27.560000000000002</v>
      </c>
      <c r="F8" s="27" cm="1">
        <f t="array" ref="F8">_xlfn.XLOOKUP(F$1&amp;$A8,_2[Country]&amp;_2[Year],_2[Growth_Calculation],"Not Found")</f>
        <v>0</v>
      </c>
      <c r="G8" s="27" cm="1">
        <f t="array" ref="G8">_xlfn.XLOOKUP(G$1&amp;$A8,_2[Country]&amp;_2[Year],_2[Growth_Calculation],"Not Found")</f>
        <v>-10.570000000000007</v>
      </c>
      <c r="H8" s="27" cm="1">
        <f t="array" ref="H8">_xlfn.XLOOKUP(H$1&amp;$A8,_2[Country]&amp;_2[Year],_2[Growth_Calculation],"Not Found")</f>
        <v>-5.18</v>
      </c>
      <c r="I8" s="27" cm="1">
        <f t="array" ref="I8">_xlfn.XLOOKUP(I$1&amp;$A8,_2[Country]&amp;_2[Year],_2[Growth_Calculation],"Not Found")</f>
        <v>-3.3400000000000016</v>
      </c>
      <c r="J8" s="27" cm="1">
        <f t="array" ref="J8">_xlfn.XLOOKUP(J$1&amp;$A8,_2[Country]&amp;_2[Year],_2[Growth_Calculation],"Not Found")</f>
        <v>0</v>
      </c>
      <c r="K8" s="27" cm="1">
        <f t="array" ref="K8">_xlfn.XLOOKUP(K$1&amp;$A8,_2[Country]&amp;_2[Year],_2[Growth_Calculation],"Not Found")</f>
        <v>0</v>
      </c>
      <c r="L8" s="27" cm="1">
        <f t="array" ref="L8">_xlfn.XLOOKUP(L$1&amp;$A8,_2[Country]&amp;_2[Year],_2[Growth_Calculation],"Not Found")</f>
        <v>6.9299999999999926</v>
      </c>
      <c r="M8" s="27" cm="1">
        <f t="array" ref="M8">_xlfn.XLOOKUP(M$1&amp;$A8,_2[Country]&amp;_2[Year],_2[Growth_Calculation],"Not Found")</f>
        <v>-0.5</v>
      </c>
      <c r="N8" s="27" cm="1">
        <f t="array" ref="N8">_xlfn.XLOOKUP(N$1&amp;$A8,_2[Country]&amp;_2[Year],_2[Growth_Calculation],"Not Found")</f>
        <v>3.269999999999996</v>
      </c>
      <c r="O8" s="27" cm="1">
        <f t="array" ref="O8">_xlfn.XLOOKUP(O$1&amp;$A8,_2[Country]&amp;_2[Year],_2[Growth_Calculation],"Not Found")</f>
        <v>0</v>
      </c>
      <c r="P8" s="27" cm="1">
        <f t="array" ref="P8">_xlfn.XLOOKUP(P$1&amp;$A8,_2[Country]&amp;_2[Year],_2[Growth_Calculation],"Not Found")</f>
        <v>-2.3600000000000136</v>
      </c>
      <c r="Q8" s="27" cm="1">
        <f t="array" ref="Q8">_xlfn.XLOOKUP(Q$1&amp;$A8,_2[Country]&amp;_2[Year],_2[Growth_Calculation],"Not Found")</f>
        <v>0.88999999999998636</v>
      </c>
      <c r="R8" s="27" cm="1">
        <f t="array" ref="R8">_xlfn.XLOOKUP(R$1&amp;$A8,_2[Country]&amp;_2[Year],_2[Growth_Calculation],"Not Found")</f>
        <v>-0.25</v>
      </c>
      <c r="S8" s="27" cm="1">
        <f t="array" ref="S8">_xlfn.XLOOKUP(S$1&amp;$A8,_2[Country]&amp;_2[Year],_2[Growth_Calculation],"Not Found")</f>
        <v>-15.41</v>
      </c>
      <c r="T8" s="27" cm="1">
        <f t="array" ref="T8">_xlfn.XLOOKUP(T$1&amp;$A8,_2[Country]&amp;_2[Year],_2[Growth_Calculation],"Not Found")</f>
        <v>1.0699999999999932</v>
      </c>
      <c r="U8" s="27" cm="1">
        <f t="array" ref="U8">_xlfn.XLOOKUP(U$1&amp;$A8,_2[Country]&amp;_2[Year],_2[Growth_Calculation],"Not Found")</f>
        <v>34.22</v>
      </c>
      <c r="V8" s="27" cm="1">
        <f t="array" ref="V8">_xlfn.XLOOKUP(V$1&amp;$A8,_2[Country]&amp;_2[Year],_2[Growth_Calculation],"Not Found")</f>
        <v>-0.82000000000000028</v>
      </c>
      <c r="W8" s="27" cm="1">
        <f t="array" ref="W8">_xlfn.XLOOKUP(W$1&amp;$A8,_2[Country]&amp;_2[Year],_2[Growth_Calculation],"Not Found")</f>
        <v>-2.5700000000000003</v>
      </c>
      <c r="X8" s="27" cm="1">
        <f t="array" ref="X8">_xlfn.XLOOKUP(X$1&amp;$A8,_2[Country]&amp;_2[Year],_2[Growth_Calculation],"Not Found")</f>
        <v>-0.12000000000000455</v>
      </c>
      <c r="Y8" s="27" cm="1">
        <f t="array" ref="Y8">_xlfn.XLOOKUP(Y$1&amp;$A8,_2[Country]&amp;_2[Year],_2[Growth_Calculation],"Not Found")</f>
        <v>0.10000000000000142</v>
      </c>
      <c r="Z8" s="27" cm="1">
        <f t="array" ref="Z8">_xlfn.XLOOKUP(Z$1&amp;$A8,_2[Country]&amp;_2[Year],_2[Growth_Calculation],"Not Found")</f>
        <v>-9.8499999999999979</v>
      </c>
      <c r="AA8" s="27" cm="1">
        <f t="array" ref="AA8">_xlfn.XLOOKUP(AA$1&amp;$A8,_2[Country]&amp;_2[Year],_2[Growth_Calculation],"Not Found")</f>
        <v>-36.429999999999993</v>
      </c>
      <c r="AB8" s="27" cm="1">
        <f t="array" ref="AB8">_xlfn.XLOOKUP(AB$1&amp;$A8,_2[Country]&amp;_2[Year],_2[Growth_Calculation],"Not Found")</f>
        <v>-28.52</v>
      </c>
      <c r="AC8" s="27" cm="1">
        <f t="array" ref="AC8">_xlfn.XLOOKUP(AC$1&amp;$A8,_2[Country]&amp;_2[Year],_2[Growth_Calculation],"Not Found")</f>
        <v>0</v>
      </c>
      <c r="AD8" s="27" cm="1">
        <f t="array" ref="AD8">_xlfn.XLOOKUP(AD$1&amp;$A8,_2[Country]&amp;_2[Year],_2[Growth_Calculation],"Not Found")</f>
        <v>1.9999999999999574E-2</v>
      </c>
      <c r="AE8" s="27" cm="1">
        <f t="array" ref="AE8">_xlfn.XLOOKUP(AE$1&amp;$A8,_2[Country]&amp;_2[Year],_2[Growth_Calculation],"Not Found")</f>
        <v>-1.0100000000000002</v>
      </c>
      <c r="AF8" s="27" cm="1">
        <f t="array" ref="AF8">_xlfn.XLOOKUP(AF$1&amp;$A8,_2[Country]&amp;_2[Year],_2[Growth_Calculation],"Not Found")</f>
        <v>-15.980000000000004</v>
      </c>
      <c r="AG8" s="27" cm="1">
        <f t="array" ref="AG8">_xlfn.XLOOKUP(AG$1&amp;$A8,_2[Country]&amp;_2[Year],_2[Growth_Calculation],"Not Found")</f>
        <v>-8.9999999999999858E-2</v>
      </c>
      <c r="AH8" s="27" cm="1">
        <f t="array" ref="AH8">_xlfn.XLOOKUP(AH$1&amp;$A8,_2[Country]&amp;_2[Year],_2[Growth_Calculation],"Not Found")</f>
        <v>-22.959999999999994</v>
      </c>
      <c r="AI8" s="27" cm="1">
        <f t="array" ref="AI8">_xlfn.XLOOKUP(AI$1&amp;$A8,_2[Country]&amp;_2[Year],_2[Growth_Calculation],"Not Found")</f>
        <v>-0.15000000000000568</v>
      </c>
      <c r="AJ8" s="27" cm="1">
        <f t="array" ref="AJ8">_xlfn.XLOOKUP(AJ$1&amp;$A8,_2[Country]&amp;_2[Year],_2[Growth_Calculation],"Not Found")</f>
        <v>0.64000000000000057</v>
      </c>
    </row>
    <row r="9" spans="1:47" x14ac:dyDescent="0.35">
      <c r="A9" s="29">
        <v>2007</v>
      </c>
      <c r="B9" s="28" cm="1">
        <f t="array" ref="B9">_xlfn.XLOOKUP(B$1&amp;$A9,_2[Country]&amp;_2[Year],_2[Growth_Calculation],"Not Found")</f>
        <v>-1.7099999999999995</v>
      </c>
      <c r="C9" s="26" cm="1">
        <f t="array" ref="C9">_xlfn.XLOOKUP(C$1&amp;$A9,_2[Country]&amp;_2[Year],_2[Growth_Calculation],"Not Found")</f>
        <v>15.460000000000008</v>
      </c>
      <c r="D9" s="26" cm="1">
        <f t="array" ref="D9">_xlfn.XLOOKUP(D$1&amp;$A9,_2[Country]&amp;_2[Year],_2[Growth_Calculation],"Not Found")</f>
        <v>-0.59000000000000008</v>
      </c>
      <c r="E9" s="27" cm="1">
        <f t="array" ref="E9">_xlfn.XLOOKUP(E$1&amp;$A9,_2[Country]&amp;_2[Year],_2[Growth_Calculation],"Not Found")</f>
        <v>-27.41</v>
      </c>
      <c r="F9" s="27" cm="1">
        <f t="array" ref="F9">_xlfn.XLOOKUP(F$1&amp;$A9,_2[Country]&amp;_2[Year],_2[Growth_Calculation],"Not Found")</f>
        <v>0</v>
      </c>
      <c r="G9" s="27" cm="1">
        <f t="array" ref="G9">_xlfn.XLOOKUP(G$1&amp;$A9,_2[Country]&amp;_2[Year],_2[Growth_Calculation],"Not Found")</f>
        <v>-12.180000000000007</v>
      </c>
      <c r="H9" s="27" cm="1">
        <f t="array" ref="H9">_xlfn.XLOOKUP(H$1&amp;$A9,_2[Country]&amp;_2[Year],_2[Growth_Calculation],"Not Found")</f>
        <v>-5.33</v>
      </c>
      <c r="I9" s="27" cm="1">
        <f t="array" ref="I9">_xlfn.XLOOKUP(I$1&amp;$A9,_2[Country]&amp;_2[Year],_2[Growth_Calculation],"Not Found")</f>
        <v>-3.3300000000000018</v>
      </c>
      <c r="J9" s="27" cm="1">
        <f t="array" ref="J9">_xlfn.XLOOKUP(J$1&amp;$A9,_2[Country]&amp;_2[Year],_2[Growth_Calculation],"Not Found")</f>
        <v>-6.2800000000000011</v>
      </c>
      <c r="K9" s="27" cm="1">
        <f t="array" ref="K9">_xlfn.XLOOKUP(K$1&amp;$A9,_2[Country]&amp;_2[Year],_2[Growth_Calculation],"Not Found")</f>
        <v>0</v>
      </c>
      <c r="L9" s="27" cm="1">
        <f t="array" ref="L9">_xlfn.XLOOKUP(L$1&amp;$A9,_2[Country]&amp;_2[Year],_2[Growth_Calculation],"Not Found")</f>
        <v>10.819999999999993</v>
      </c>
      <c r="M9" s="27" cm="1">
        <f t="array" ref="M9">_xlfn.XLOOKUP(M$1&amp;$A9,_2[Country]&amp;_2[Year],_2[Growth_Calculation],"Not Found")</f>
        <v>-4.8999999999999986</v>
      </c>
      <c r="N9" s="27" cm="1">
        <f t="array" ref="N9">_xlfn.XLOOKUP(N$1&amp;$A9,_2[Country]&amp;_2[Year],_2[Growth_Calculation],"Not Found")</f>
        <v>-3.9500000000000028</v>
      </c>
      <c r="O9" s="27" cm="1">
        <f t="array" ref="O9">_xlfn.XLOOKUP(O$1&amp;$A9,_2[Country]&amp;_2[Year],_2[Growth_Calculation],"Not Found")</f>
        <v>-0.89000000000000057</v>
      </c>
      <c r="P9" s="27" cm="1">
        <f t="array" ref="P9">_xlfn.XLOOKUP(P$1&amp;$A9,_2[Country]&amp;_2[Year],_2[Growth_Calculation],"Not Found")</f>
        <v>-8.3400000000000034</v>
      </c>
      <c r="Q9" s="27" cm="1">
        <f t="array" ref="Q9">_xlfn.XLOOKUP(Q$1&amp;$A9,_2[Country]&amp;_2[Year],_2[Growth_Calculation],"Not Found")</f>
        <v>0.88999999999998636</v>
      </c>
      <c r="R9" s="27" cm="1">
        <f t="array" ref="R9">_xlfn.XLOOKUP(R$1&amp;$A9,_2[Country]&amp;_2[Year],_2[Growth_Calculation],"Not Found")</f>
        <v>-0.62000000000000011</v>
      </c>
      <c r="S9" s="27" cm="1">
        <f t="array" ref="S9">_xlfn.XLOOKUP(S$1&amp;$A9,_2[Country]&amp;_2[Year],_2[Growth_Calculation],"Not Found")</f>
        <v>-16.11</v>
      </c>
      <c r="T9" s="27" cm="1">
        <f t="array" ref="T9">_xlfn.XLOOKUP(T$1&amp;$A9,_2[Country]&amp;_2[Year],_2[Growth_Calculation],"Not Found")</f>
        <v>1.0699999999999932</v>
      </c>
      <c r="U9" s="27" cm="1">
        <f t="array" ref="U9">_xlfn.XLOOKUP(U$1&amp;$A9,_2[Country]&amp;_2[Year],_2[Growth_Calculation],"Not Found")</f>
        <v>33.28</v>
      </c>
      <c r="V9" s="27" cm="1">
        <f t="array" ref="V9">_xlfn.XLOOKUP(V$1&amp;$A9,_2[Country]&amp;_2[Year],_2[Growth_Calculation],"Not Found")</f>
        <v>-0.43000000000000327</v>
      </c>
      <c r="W9" s="27" cm="1">
        <f t="array" ref="W9">_xlfn.XLOOKUP(W$1&amp;$A9,_2[Country]&amp;_2[Year],_2[Growth_Calculation],"Not Found")</f>
        <v>-1.7100000000000009</v>
      </c>
      <c r="X9" s="27" cm="1">
        <f t="array" ref="X9">_xlfn.XLOOKUP(X$1&amp;$A9,_2[Country]&amp;_2[Year],_2[Growth_Calculation],"Not Found")</f>
        <v>-0.67000000000000171</v>
      </c>
      <c r="Y9" s="27" cm="1">
        <f t="array" ref="Y9">_xlfn.XLOOKUP(Y$1&amp;$A9,_2[Country]&amp;_2[Year],_2[Growth_Calculation],"Not Found")</f>
        <v>0.10000000000000142</v>
      </c>
      <c r="Z9" s="27" cm="1">
        <f t="array" ref="Z9">_xlfn.XLOOKUP(Z$1&amp;$A9,_2[Country]&amp;_2[Year],_2[Growth_Calculation],"Not Found")</f>
        <v>-11.61</v>
      </c>
      <c r="AA9" s="27" cm="1">
        <f t="array" ref="AA9">_xlfn.XLOOKUP(AA$1&amp;$A9,_2[Country]&amp;_2[Year],_2[Growth_Calculation],"Not Found")</f>
        <v>-36.279999999999994</v>
      </c>
      <c r="AB9" s="27" cm="1">
        <f t="array" ref="AB9">_xlfn.XLOOKUP(AB$1&amp;$A9,_2[Country]&amp;_2[Year],_2[Growth_Calculation],"Not Found")</f>
        <v>-28.52</v>
      </c>
      <c r="AC9" s="27" cm="1">
        <f t="array" ref="AC9">_xlfn.XLOOKUP(AC$1&amp;$A9,_2[Country]&amp;_2[Year],_2[Growth_Calculation],"Not Found")</f>
        <v>0</v>
      </c>
      <c r="AD9" s="27" cm="1">
        <f t="array" ref="AD9">_xlfn.XLOOKUP(AD$1&amp;$A9,_2[Country]&amp;_2[Year],_2[Growth_Calculation],"Not Found")</f>
        <v>0.12999999999999901</v>
      </c>
      <c r="AE9" s="27" cm="1">
        <f t="array" ref="AE9">_xlfn.XLOOKUP(AE$1&amp;$A9,_2[Country]&amp;_2[Year],_2[Growth_Calculation],"Not Found")</f>
        <v>-1.1600000000000001</v>
      </c>
      <c r="AF9" s="27" cm="1">
        <f t="array" ref="AF9">_xlfn.XLOOKUP(AF$1&amp;$A9,_2[Country]&amp;_2[Year],_2[Growth_Calculation],"Not Found")</f>
        <v>-15.980000000000004</v>
      </c>
      <c r="AG9" s="27" cm="1">
        <f t="array" ref="AG9">_xlfn.XLOOKUP(AG$1&amp;$A9,_2[Country]&amp;_2[Year],_2[Growth_Calculation],"Not Found")</f>
        <v>-7.9999999999999627E-2</v>
      </c>
      <c r="AH9" s="27" cm="1">
        <f t="array" ref="AH9">_xlfn.XLOOKUP(AH$1&amp;$A9,_2[Country]&amp;_2[Year],_2[Growth_Calculation],"Not Found")</f>
        <v>-22.959999999999994</v>
      </c>
      <c r="AI9" s="27" cm="1">
        <f t="array" ref="AI9">_xlfn.XLOOKUP(AI$1&amp;$A9,_2[Country]&amp;_2[Year],_2[Growth_Calculation],"Not Found")</f>
        <v>-0.34000000000000341</v>
      </c>
      <c r="AJ9" s="27" cm="1">
        <f t="array" ref="AJ9">_xlfn.XLOOKUP(AJ$1&amp;$A9,_2[Country]&amp;_2[Year],_2[Growth_Calculation],"Not Found")</f>
        <v>0.64000000000000057</v>
      </c>
    </row>
    <row r="10" spans="1:47" x14ac:dyDescent="0.35">
      <c r="A10" s="29">
        <v>2008</v>
      </c>
      <c r="B10" s="28" cm="1">
        <f t="array" ref="B10">_xlfn.XLOOKUP(B$1&amp;$A10,_2[Country]&amp;_2[Year],_2[Growth_Calculation],"Not Found")</f>
        <v>-1.9499999999999997</v>
      </c>
      <c r="C10" s="26" cm="1">
        <f t="array" ref="C10">_xlfn.XLOOKUP(C$1&amp;$A10,_2[Country]&amp;_2[Year],_2[Growth_Calculation],"Not Found")</f>
        <v>16.03</v>
      </c>
      <c r="D10" s="26" cm="1">
        <f t="array" ref="D10">_xlfn.XLOOKUP(D$1&amp;$A10,_2[Country]&amp;_2[Year],_2[Growth_Calculation],"Not Found")</f>
        <v>-0.62</v>
      </c>
      <c r="E10" s="27" cm="1">
        <f t="array" ref="E10">_xlfn.XLOOKUP(E$1&amp;$A10,_2[Country]&amp;_2[Year],_2[Growth_Calculation],"Not Found")</f>
        <v>-27.46</v>
      </c>
      <c r="F10" s="27" cm="1">
        <f t="array" ref="F10">_xlfn.XLOOKUP(F$1&amp;$A10,_2[Country]&amp;_2[Year],_2[Growth_Calculation],"Not Found")</f>
        <v>0</v>
      </c>
      <c r="G10" s="27" cm="1">
        <f t="array" ref="G10">_xlfn.XLOOKUP(G$1&amp;$A10,_2[Country]&amp;_2[Year],_2[Growth_Calculation],"Not Found")</f>
        <v>-13.38000000000001</v>
      </c>
      <c r="H10" s="27" cm="1">
        <f t="array" ref="H10">_xlfn.XLOOKUP(H$1&amp;$A10,_2[Country]&amp;_2[Year],_2[Growth_Calculation],"Not Found")</f>
        <v>-5.33</v>
      </c>
      <c r="I10" s="27" cm="1">
        <f t="array" ref="I10">_xlfn.XLOOKUP(I$1&amp;$A10,_2[Country]&amp;_2[Year],_2[Growth_Calculation],"Not Found")</f>
        <v>-3.4700000000000006</v>
      </c>
      <c r="J10" s="27" cm="1">
        <f t="array" ref="J10">_xlfn.XLOOKUP(J$1&amp;$A10,_2[Country]&amp;_2[Year],_2[Growth_Calculation],"Not Found")</f>
        <v>-6.2800000000000011</v>
      </c>
      <c r="K10" s="27" cm="1">
        <f t="array" ref="K10">_xlfn.XLOOKUP(K$1&amp;$A10,_2[Country]&amp;_2[Year],_2[Growth_Calculation],"Not Found")</f>
        <v>1.2900000000000063</v>
      </c>
      <c r="L10" s="27" cm="1">
        <f t="array" ref="L10">_xlfn.XLOOKUP(L$1&amp;$A10,_2[Country]&amp;_2[Year],_2[Growth_Calculation],"Not Found")</f>
        <v>6.4599999999999937</v>
      </c>
      <c r="M10" s="27" cm="1">
        <f t="array" ref="M10">_xlfn.XLOOKUP(M$1&amp;$A10,_2[Country]&amp;_2[Year],_2[Growth_Calculation],"Not Found")</f>
        <v>-4.18</v>
      </c>
      <c r="N10" s="27" cm="1">
        <f t="array" ref="N10">_xlfn.XLOOKUP(N$1&amp;$A10,_2[Country]&amp;_2[Year],_2[Growth_Calculation],"Not Found")</f>
        <v>-5.3100000000000023</v>
      </c>
      <c r="O10" s="27" cm="1">
        <f t="array" ref="O10">_xlfn.XLOOKUP(O$1&amp;$A10,_2[Country]&amp;_2[Year],_2[Growth_Calculation],"Not Found")</f>
        <v>2.0300000000000011</v>
      </c>
      <c r="P10" s="27" cm="1">
        <f t="array" ref="P10">_xlfn.XLOOKUP(P$1&amp;$A10,_2[Country]&amp;_2[Year],_2[Growth_Calculation],"Not Found")</f>
        <v>-9.6500000000000057</v>
      </c>
      <c r="Q10" s="27" cm="1">
        <f t="array" ref="Q10">_xlfn.XLOOKUP(Q$1&amp;$A10,_2[Country]&amp;_2[Year],_2[Growth_Calculation],"Not Found")</f>
        <v>0.88999999999998636</v>
      </c>
      <c r="R10" s="27" cm="1">
        <f t="array" ref="R10">_xlfn.XLOOKUP(R$1&amp;$A10,_2[Country]&amp;_2[Year],_2[Growth_Calculation],"Not Found")</f>
        <v>-0.62000000000000011</v>
      </c>
      <c r="S10" s="27" cm="1">
        <f t="array" ref="S10">_xlfn.XLOOKUP(S$1&amp;$A10,_2[Country]&amp;_2[Year],_2[Growth_Calculation],"Not Found")</f>
        <v>-16.45</v>
      </c>
      <c r="T10" s="27" cm="1">
        <f t="array" ref="T10">_xlfn.XLOOKUP(T$1&amp;$A10,_2[Country]&amp;_2[Year],_2[Growth_Calculation],"Not Found")</f>
        <v>5.0099999999999909</v>
      </c>
      <c r="U10" s="27" cm="1">
        <f t="array" ref="U10">_xlfn.XLOOKUP(U$1&amp;$A10,_2[Country]&amp;_2[Year],_2[Growth_Calculation],"Not Found")</f>
        <v>36.32</v>
      </c>
      <c r="V10" s="27" cm="1">
        <f t="array" ref="V10">_xlfn.XLOOKUP(V$1&amp;$A10,_2[Country]&amp;_2[Year],_2[Growth_Calculation],"Not Found")</f>
        <v>-0.68000000000000327</v>
      </c>
      <c r="W10" s="27" cm="1">
        <f t="array" ref="W10">_xlfn.XLOOKUP(W$1&amp;$A10,_2[Country]&amp;_2[Year],_2[Growth_Calculation],"Not Found")</f>
        <v>-1.7000000000000028</v>
      </c>
      <c r="X10" s="27" cm="1">
        <f t="array" ref="X10">_xlfn.XLOOKUP(X$1&amp;$A10,_2[Country]&amp;_2[Year],_2[Growth_Calculation],"Not Found")</f>
        <v>-0.82000000000000739</v>
      </c>
      <c r="Y10" s="27" cm="1">
        <f t="array" ref="Y10">_xlfn.XLOOKUP(Y$1&amp;$A10,_2[Country]&amp;_2[Year],_2[Growth_Calculation],"Not Found")</f>
        <v>0.10000000000000142</v>
      </c>
      <c r="Z10" s="27" cm="1">
        <f t="array" ref="Z10">_xlfn.XLOOKUP(Z$1&amp;$A10,_2[Country]&amp;_2[Year],_2[Growth_Calculation],"Not Found")</f>
        <v>-13.129999999999999</v>
      </c>
      <c r="AA10" s="27" cm="1">
        <f t="array" ref="AA10">_xlfn.XLOOKUP(AA$1&amp;$A10,_2[Country]&amp;_2[Year],_2[Growth_Calculation],"Not Found")</f>
        <v>-36.279999999999994</v>
      </c>
      <c r="AB10" s="27" cm="1">
        <f t="array" ref="AB10">_xlfn.XLOOKUP(AB$1&amp;$A10,_2[Country]&amp;_2[Year],_2[Growth_Calculation],"Not Found")</f>
        <v>-28.52</v>
      </c>
      <c r="AC10" s="27" cm="1">
        <f t="array" ref="AC10">_xlfn.XLOOKUP(AC$1&amp;$A10,_2[Country]&amp;_2[Year],_2[Growth_Calculation],"Not Found")</f>
        <v>0</v>
      </c>
      <c r="AD10" s="27" cm="1">
        <f t="array" ref="AD10">_xlfn.XLOOKUP(AD$1&amp;$A10,_2[Country]&amp;_2[Year],_2[Growth_Calculation],"Not Found")</f>
        <v>44.480000000000004</v>
      </c>
      <c r="AE10" s="27" cm="1">
        <f t="array" ref="AE10">_xlfn.XLOOKUP(AE$1&amp;$A10,_2[Country]&amp;_2[Year],_2[Growth_Calculation],"Not Found")</f>
        <v>-1.2100000000000004</v>
      </c>
      <c r="AF10" s="27" cm="1">
        <f t="array" ref="AF10">_xlfn.XLOOKUP(AF$1&amp;$A10,_2[Country]&amp;_2[Year],_2[Growth_Calculation],"Not Found")</f>
        <v>-15.980000000000004</v>
      </c>
      <c r="AG10" s="27" cm="1">
        <f t="array" ref="AG10">_xlfn.XLOOKUP(AG$1&amp;$A10,_2[Country]&amp;_2[Year],_2[Growth_Calculation],"Not Found")</f>
        <v>-0.31000000000000005</v>
      </c>
      <c r="AH10" s="27" cm="1">
        <f t="array" ref="AH10">_xlfn.XLOOKUP(AH$1&amp;$A10,_2[Country]&amp;_2[Year],_2[Growth_Calculation],"Not Found")</f>
        <v>-31.590000000000003</v>
      </c>
      <c r="AI10" s="27" cm="1">
        <f t="array" ref="AI10">_xlfn.XLOOKUP(AI$1&amp;$A10,_2[Country]&amp;_2[Year],_2[Growth_Calculation],"Not Found")</f>
        <v>-0.24000000000000909</v>
      </c>
      <c r="AJ10" s="27" cm="1">
        <f t="array" ref="AJ10">_xlfn.XLOOKUP(AJ$1&amp;$A10,_2[Country]&amp;_2[Year],_2[Growth_Calculation],"Not Found")</f>
        <v>3.1900000000000048</v>
      </c>
    </row>
    <row r="11" spans="1:47" x14ac:dyDescent="0.35">
      <c r="A11" s="29">
        <v>2009</v>
      </c>
      <c r="B11" s="28" cm="1">
        <f t="array" ref="B11">_xlfn.XLOOKUP(B$1&amp;$A11,_2[Country]&amp;_2[Year],_2[Growth_Calculation],"Not Found")</f>
        <v>-2.59</v>
      </c>
      <c r="C11" s="26" cm="1">
        <f t="array" ref="C11">_xlfn.XLOOKUP(C$1&amp;$A11,_2[Country]&amp;_2[Year],_2[Growth_Calculation],"Not Found")</f>
        <v>16.03</v>
      </c>
      <c r="D11" s="26" cm="1">
        <f t="array" ref="D11">_xlfn.XLOOKUP(D$1&amp;$A11,_2[Country]&amp;_2[Year],_2[Growth_Calculation],"Not Found")</f>
        <v>-0.53</v>
      </c>
      <c r="E11" s="27" cm="1">
        <f t="array" ref="E11">_xlfn.XLOOKUP(E$1&amp;$A11,_2[Country]&amp;_2[Year],_2[Growth_Calculation],"Not Found")</f>
        <v>-27.46</v>
      </c>
      <c r="F11" s="27" cm="1">
        <f t="array" ref="F11">_xlfn.XLOOKUP(F$1&amp;$A11,_2[Country]&amp;_2[Year],_2[Growth_Calculation],"Not Found")</f>
        <v>0</v>
      </c>
      <c r="G11" s="27" cm="1">
        <f t="array" ref="G11">_xlfn.XLOOKUP(G$1&amp;$A11,_2[Country]&amp;_2[Year],_2[Growth_Calculation],"Not Found")</f>
        <v>-19.38000000000001</v>
      </c>
      <c r="H11" s="27" cm="1">
        <f t="array" ref="H11">_xlfn.XLOOKUP(H$1&amp;$A11,_2[Country]&amp;_2[Year],_2[Growth_Calculation],"Not Found")</f>
        <v>-5.33</v>
      </c>
      <c r="I11" s="27" cm="1">
        <f t="array" ref="I11">_xlfn.XLOOKUP(I$1&amp;$A11,_2[Country]&amp;_2[Year],_2[Growth_Calculation],"Not Found")</f>
        <v>-3.9300000000000015</v>
      </c>
      <c r="J11" s="27" cm="1">
        <f t="array" ref="J11">_xlfn.XLOOKUP(J$1&amp;$A11,_2[Country]&amp;_2[Year],_2[Growth_Calculation],"Not Found")</f>
        <v>-6.2800000000000011</v>
      </c>
      <c r="K11" s="27" cm="1">
        <f t="array" ref="K11">_xlfn.XLOOKUP(K$1&amp;$A11,_2[Country]&amp;_2[Year],_2[Growth_Calculation],"Not Found")</f>
        <v>1.2900000000000063</v>
      </c>
      <c r="L11" s="27" cm="1">
        <f t="array" ref="L11">_xlfn.XLOOKUP(L$1&amp;$A11,_2[Country]&amp;_2[Year],_2[Growth_Calculation],"Not Found")</f>
        <v>16.829999999999998</v>
      </c>
      <c r="M11" s="27" cm="1">
        <f t="array" ref="M11">_xlfn.XLOOKUP(M$1&amp;$A11,_2[Country]&amp;_2[Year],_2[Growth_Calculation],"Not Found")</f>
        <v>-4.0600000000000023</v>
      </c>
      <c r="N11" s="27" cm="1">
        <f t="array" ref="N11">_xlfn.XLOOKUP(N$1&amp;$A11,_2[Country]&amp;_2[Year],_2[Growth_Calculation],"Not Found")</f>
        <v>-4.970000000000006</v>
      </c>
      <c r="O11" s="27" cm="1">
        <f t="array" ref="O11">_xlfn.XLOOKUP(O$1&amp;$A11,_2[Country]&amp;_2[Year],_2[Growth_Calculation],"Not Found")</f>
        <v>1.5300000000000011</v>
      </c>
      <c r="P11" s="27" cm="1">
        <f t="array" ref="P11">_xlfn.XLOOKUP(P$1&amp;$A11,_2[Country]&amp;_2[Year],_2[Growth_Calculation],"Not Found")</f>
        <v>-8.2800000000000011</v>
      </c>
      <c r="Q11" s="27" cm="1">
        <f t="array" ref="Q11">_xlfn.XLOOKUP(Q$1&amp;$A11,_2[Country]&amp;_2[Year],_2[Growth_Calculation],"Not Found")</f>
        <v>0.88999999999998636</v>
      </c>
      <c r="R11" s="27" cm="1">
        <f t="array" ref="R11">_xlfn.XLOOKUP(R$1&amp;$A11,_2[Country]&amp;_2[Year],_2[Growth_Calculation],"Not Found")</f>
        <v>-0.62000000000000011</v>
      </c>
      <c r="S11" s="27" cm="1">
        <f t="array" ref="S11">_xlfn.XLOOKUP(S$1&amp;$A11,_2[Country]&amp;_2[Year],_2[Growth_Calculation],"Not Found")</f>
        <v>-16.389999999999997</v>
      </c>
      <c r="T11" s="27" cm="1">
        <f t="array" ref="T11">_xlfn.XLOOKUP(T$1&amp;$A11,_2[Country]&amp;_2[Year],_2[Growth_Calculation],"Not Found")</f>
        <v>2.8199999999999932</v>
      </c>
      <c r="U11" s="27" cm="1">
        <f t="array" ref="U11">_xlfn.XLOOKUP(U$1&amp;$A11,_2[Country]&amp;_2[Year],_2[Growth_Calculation],"Not Found")</f>
        <v>34.4</v>
      </c>
      <c r="V11" s="27" cm="1">
        <f t="array" ref="V11">_xlfn.XLOOKUP(V$1&amp;$A11,_2[Country]&amp;_2[Year],_2[Growth_Calculation],"Not Found")</f>
        <v>2.6899999999999977</v>
      </c>
      <c r="W11" s="27" cm="1">
        <f t="array" ref="W11">_xlfn.XLOOKUP(W$1&amp;$A11,_2[Country]&amp;_2[Year],_2[Growth_Calculation],"Not Found")</f>
        <v>-3.2200000000000024</v>
      </c>
      <c r="X11" s="27" cm="1">
        <f t="array" ref="X11">_xlfn.XLOOKUP(X$1&amp;$A11,_2[Country]&amp;_2[Year],_2[Growth_Calculation],"Not Found")</f>
        <v>-0.82000000000000739</v>
      </c>
      <c r="Y11" s="27" cm="1">
        <f t="array" ref="Y11">_xlfn.XLOOKUP(Y$1&amp;$A11,_2[Country]&amp;_2[Year],_2[Growth_Calculation],"Not Found")</f>
        <v>-2.4500000000000028</v>
      </c>
      <c r="Z11" s="27" cm="1">
        <f t="array" ref="Z11">_xlfn.XLOOKUP(Z$1&amp;$A11,_2[Country]&amp;_2[Year],_2[Growth_Calculation],"Not Found")</f>
        <v>-13.759999999999998</v>
      </c>
      <c r="AA11" s="27" cm="1">
        <f t="array" ref="AA11">_xlfn.XLOOKUP(AA$1&amp;$A11,_2[Country]&amp;_2[Year],_2[Growth_Calculation],"Not Found")</f>
        <v>-50.629999999999995</v>
      </c>
      <c r="AB11" s="27" cm="1">
        <f t="array" ref="AB11">_xlfn.XLOOKUP(AB$1&amp;$A11,_2[Country]&amp;_2[Year],_2[Growth_Calculation],"Not Found")</f>
        <v>-34.049999999999997</v>
      </c>
      <c r="AC11" s="27" cm="1">
        <f t="array" ref="AC11">_xlfn.XLOOKUP(AC$1&amp;$A11,_2[Country]&amp;_2[Year],_2[Growth_Calculation],"Not Found")</f>
        <v>0</v>
      </c>
      <c r="AD11" s="27" cm="1">
        <f t="array" ref="AD11">_xlfn.XLOOKUP(AD$1&amp;$A11,_2[Country]&amp;_2[Year],_2[Growth_Calculation],"Not Found")</f>
        <v>44.5</v>
      </c>
      <c r="AE11" s="27" cm="1">
        <f t="array" ref="AE11">_xlfn.XLOOKUP(AE$1&amp;$A11,_2[Country]&amp;_2[Year],_2[Growth_Calculation],"Not Found")</f>
        <v>-1.1700000000000004</v>
      </c>
      <c r="AF11" s="27" cm="1">
        <f t="array" ref="AF11">_xlfn.XLOOKUP(AF$1&amp;$A11,_2[Country]&amp;_2[Year],_2[Growth_Calculation],"Not Found")</f>
        <v>-15.980000000000004</v>
      </c>
      <c r="AG11" s="27" cm="1">
        <f t="array" ref="AG11">_xlfn.XLOOKUP(AG$1&amp;$A11,_2[Country]&amp;_2[Year],_2[Growth_Calculation],"Not Found")</f>
        <v>0.51000000000000023</v>
      </c>
      <c r="AH11" s="27" cm="1">
        <f t="array" ref="AH11">_xlfn.XLOOKUP(AH$1&amp;$A11,_2[Country]&amp;_2[Year],_2[Growth_Calculation],"Not Found")</f>
        <v>-24.989999999999995</v>
      </c>
      <c r="AI11" s="27" cm="1">
        <f t="array" ref="AI11">_xlfn.XLOOKUP(AI$1&amp;$A11,_2[Country]&amp;_2[Year],_2[Growth_Calculation],"Not Found")</f>
        <v>-0.22000000000001307</v>
      </c>
      <c r="AJ11" s="27" cm="1">
        <f t="array" ref="AJ11">_xlfn.XLOOKUP(AJ$1&amp;$A11,_2[Country]&amp;_2[Year],_2[Growth_Calculation],"Not Found")</f>
        <v>3.2000000000000028</v>
      </c>
    </row>
    <row r="12" spans="1:47" x14ac:dyDescent="0.35">
      <c r="A12" s="29">
        <v>2010</v>
      </c>
      <c r="B12" s="28" cm="1">
        <f t="array" ref="B12">_xlfn.XLOOKUP(B$1&amp;$A12,_2[Country]&amp;_2[Year],_2[Growth_Calculation],"Not Found")</f>
        <v>-2.4199999999999995</v>
      </c>
      <c r="C12" s="26" cm="1">
        <f t="array" ref="C12">_xlfn.XLOOKUP(C$1&amp;$A12,_2[Country]&amp;_2[Year],_2[Growth_Calculation],"Not Found")</f>
        <v>5.7900000000000063</v>
      </c>
      <c r="D12" s="26" cm="1">
        <f t="array" ref="D12">_xlfn.XLOOKUP(D$1&amp;$A12,_2[Country]&amp;_2[Year],_2[Growth_Calculation],"Not Found")</f>
        <v>-0.37</v>
      </c>
      <c r="E12" s="27" cm="1">
        <f t="array" ref="E12">_xlfn.XLOOKUP(E$1&amp;$A12,_2[Country]&amp;_2[Year],_2[Growth_Calculation],"Not Found")</f>
        <v>-26.7</v>
      </c>
      <c r="F12" s="27" cm="1">
        <f t="array" ref="F12">_xlfn.XLOOKUP(F$1&amp;$A12,_2[Country]&amp;_2[Year],_2[Growth_Calculation],"Not Found")</f>
        <v>0</v>
      </c>
      <c r="G12" s="27" cm="1">
        <f t="array" ref="G12">_xlfn.XLOOKUP(G$1&amp;$A12,_2[Country]&amp;_2[Year],_2[Growth_Calculation],"Not Found")</f>
        <v>-18.010000000000005</v>
      </c>
      <c r="H12" s="27" cm="1">
        <f t="array" ref="H12">_xlfn.XLOOKUP(H$1&amp;$A12,_2[Country]&amp;_2[Year],_2[Growth_Calculation],"Not Found")</f>
        <v>-5.33</v>
      </c>
      <c r="I12" s="27" cm="1">
        <f t="array" ref="I12">_xlfn.XLOOKUP(I$1&amp;$A12,_2[Country]&amp;_2[Year],_2[Growth_Calculation],"Not Found")</f>
        <v>-4.5200000000000014</v>
      </c>
      <c r="J12" s="27" cm="1">
        <f t="array" ref="J12">_xlfn.XLOOKUP(J$1&amp;$A12,_2[Country]&amp;_2[Year],_2[Growth_Calculation],"Not Found")</f>
        <v>-8.620000000000001</v>
      </c>
      <c r="K12" s="27" cm="1">
        <f t="array" ref="K12">_xlfn.XLOOKUP(K$1&amp;$A12,_2[Country]&amp;_2[Year],_2[Growth_Calculation],"Not Found")</f>
        <v>1.2900000000000063</v>
      </c>
      <c r="L12" s="27" cm="1">
        <f t="array" ref="L12">_xlfn.XLOOKUP(L$1&amp;$A12,_2[Country]&amp;_2[Year],_2[Growth_Calculation],"Not Found")</f>
        <v>22.03</v>
      </c>
      <c r="M12" s="27" cm="1">
        <f t="array" ref="M12">_xlfn.XLOOKUP(M$1&amp;$A12,_2[Country]&amp;_2[Year],_2[Growth_Calculation],"Not Found")</f>
        <v>-6.6999999999999957</v>
      </c>
      <c r="N12" s="27" cm="1">
        <f t="array" ref="N12">_xlfn.XLOOKUP(N$1&amp;$A12,_2[Country]&amp;_2[Year],_2[Growth_Calculation],"Not Found")</f>
        <v>-11.580000000000005</v>
      </c>
      <c r="O12" s="27" cm="1">
        <f t="array" ref="O12">_xlfn.XLOOKUP(O$1&amp;$A12,_2[Country]&amp;_2[Year],_2[Growth_Calculation],"Not Found")</f>
        <v>12.700000000000003</v>
      </c>
      <c r="P12" s="27" cm="1">
        <f t="array" ref="P12">_xlfn.XLOOKUP(P$1&amp;$A12,_2[Country]&amp;_2[Year],_2[Growth_Calculation],"Not Found")</f>
        <v>-8.8400000000000034</v>
      </c>
      <c r="Q12" s="27" cm="1">
        <f t="array" ref="Q12">_xlfn.XLOOKUP(Q$1&amp;$A12,_2[Country]&amp;_2[Year],_2[Growth_Calculation],"Not Found")</f>
        <v>0.88999999999998636</v>
      </c>
      <c r="R12" s="27" cm="1">
        <f t="array" ref="R12">_xlfn.XLOOKUP(R$1&amp;$A12,_2[Country]&amp;_2[Year],_2[Growth_Calculation],"Not Found")</f>
        <v>-1.21</v>
      </c>
      <c r="S12" s="27" cm="1">
        <f t="array" ref="S12">_xlfn.XLOOKUP(S$1&amp;$A12,_2[Country]&amp;_2[Year],_2[Growth_Calculation],"Not Found")</f>
        <v>-21</v>
      </c>
      <c r="T12" s="27" cm="1">
        <f t="array" ref="T12">_xlfn.XLOOKUP(T$1&amp;$A12,_2[Country]&amp;_2[Year],_2[Growth_Calculation],"Not Found")</f>
        <v>2.8199999999999932</v>
      </c>
      <c r="U12" s="27" cm="1">
        <f t="array" ref="U12">_xlfn.XLOOKUP(U$1&amp;$A12,_2[Country]&amp;_2[Year],_2[Growth_Calculation],"Not Found")</f>
        <v>31.840000000000003</v>
      </c>
      <c r="V12" s="27" cm="1">
        <f t="array" ref="V12">_xlfn.XLOOKUP(V$1&amp;$A12,_2[Country]&amp;_2[Year],_2[Growth_Calculation],"Not Found")</f>
        <v>1.9299999999999997</v>
      </c>
      <c r="W12" s="27" cm="1">
        <f t="array" ref="W12">_xlfn.XLOOKUP(W$1&amp;$A12,_2[Country]&amp;_2[Year],_2[Growth_Calculation],"Not Found")</f>
        <v>-3.3800000000000026</v>
      </c>
      <c r="X12" s="27" cm="1">
        <f t="array" ref="X12">_xlfn.XLOOKUP(X$1&amp;$A12,_2[Country]&amp;_2[Year],_2[Growth_Calculation],"Not Found")</f>
        <v>-0.82000000000000739</v>
      </c>
      <c r="Y12" s="27" cm="1">
        <f t="array" ref="Y12">_xlfn.XLOOKUP(Y$1&amp;$A12,_2[Country]&amp;_2[Year],_2[Growth_Calculation],"Not Found")</f>
        <v>-2.4200000000000017</v>
      </c>
      <c r="Z12" s="27" cm="1">
        <f t="array" ref="Z12">_xlfn.XLOOKUP(Z$1&amp;$A12,_2[Country]&amp;_2[Year],_2[Growth_Calculation],"Not Found")</f>
        <v>-12.989999999999998</v>
      </c>
      <c r="AA12" s="27" cm="1">
        <f t="array" ref="AA12">_xlfn.XLOOKUP(AA$1&amp;$A12,_2[Country]&amp;_2[Year],_2[Growth_Calculation],"Not Found")</f>
        <v>-45.48</v>
      </c>
      <c r="AB12" s="27" cm="1">
        <f t="array" ref="AB12">_xlfn.XLOOKUP(AB$1&amp;$A12,_2[Country]&amp;_2[Year],_2[Growth_Calculation],"Not Found")</f>
        <v>-46.480000000000004</v>
      </c>
      <c r="AC12" s="27" cm="1">
        <f t="array" ref="AC12">_xlfn.XLOOKUP(AC$1&amp;$A12,_2[Country]&amp;_2[Year],_2[Growth_Calculation],"Not Found")</f>
        <v>9.5299999999999994</v>
      </c>
      <c r="AD12" s="27" cm="1">
        <f t="array" ref="AD12">_xlfn.XLOOKUP(AD$1&amp;$A12,_2[Country]&amp;_2[Year],_2[Growth_Calculation],"Not Found")</f>
        <v>51.769999999999996</v>
      </c>
      <c r="AE12" s="27" cm="1">
        <f t="array" ref="AE12">_xlfn.XLOOKUP(AE$1&amp;$A12,_2[Country]&amp;_2[Year],_2[Growth_Calculation],"Not Found")</f>
        <v>-1.1400000000000001</v>
      </c>
      <c r="AF12" s="27" cm="1">
        <f t="array" ref="AF12">_xlfn.XLOOKUP(AF$1&amp;$A12,_2[Country]&amp;_2[Year],_2[Growth_Calculation],"Not Found")</f>
        <v>-49.25</v>
      </c>
      <c r="AG12" s="27" cm="1">
        <f t="array" ref="AG12">_xlfn.XLOOKUP(AG$1&amp;$A12,_2[Country]&amp;_2[Year],_2[Growth_Calculation],"Not Found")</f>
        <v>0.51000000000000023</v>
      </c>
      <c r="AH12" s="27" cm="1">
        <f t="array" ref="AH12">_xlfn.XLOOKUP(AH$1&amp;$A12,_2[Country]&amp;_2[Year],_2[Growth_Calculation],"Not Found")</f>
        <v>-26.349999999999994</v>
      </c>
      <c r="AI12" s="27" cm="1">
        <f t="array" ref="AI12">_xlfn.XLOOKUP(AI$1&amp;$A12,_2[Country]&amp;_2[Year],_2[Growth_Calculation],"Not Found")</f>
        <v>0.28999999999999204</v>
      </c>
      <c r="AJ12" s="27" cm="1">
        <f t="array" ref="AJ12">_xlfn.XLOOKUP(AJ$1&amp;$A12,_2[Country]&amp;_2[Year],_2[Growth_Calculation],"Not Found")</f>
        <v>3.230000000000004</v>
      </c>
    </row>
    <row r="13" spans="1:47" x14ac:dyDescent="0.35">
      <c r="A13" s="29">
        <v>2011</v>
      </c>
      <c r="B13" s="28" cm="1">
        <f t="array" ref="B13">_xlfn.XLOOKUP(B$1&amp;$A13,_2[Country]&amp;_2[Year],_2[Growth_Calculation],"Not Found")</f>
        <v>-2.4299999999999997</v>
      </c>
      <c r="C13" s="26" cm="1">
        <f t="array" ref="C13">_xlfn.XLOOKUP(C$1&amp;$A13,_2[Country]&amp;_2[Year],_2[Growth_Calculation],"Not Found")</f>
        <v>-2.009999999999998</v>
      </c>
      <c r="D13" s="26" cm="1">
        <f t="array" ref="D13">_xlfn.XLOOKUP(D$1&amp;$A13,_2[Country]&amp;_2[Year],_2[Growth_Calculation],"Not Found")</f>
        <v>-0.38</v>
      </c>
      <c r="E13" s="27" cm="1">
        <f t="array" ref="E13">_xlfn.XLOOKUP(E$1&amp;$A13,_2[Country]&amp;_2[Year],_2[Growth_Calculation],"Not Found")</f>
        <v>-29.4</v>
      </c>
      <c r="F13" s="27" cm="1">
        <f t="array" ref="F13">_xlfn.XLOOKUP(F$1&amp;$A13,_2[Country]&amp;_2[Year],_2[Growth_Calculation],"Not Found")</f>
        <v>-12.86</v>
      </c>
      <c r="G13" s="27" cm="1">
        <f t="array" ref="G13">_xlfn.XLOOKUP(G$1&amp;$A13,_2[Country]&amp;_2[Year],_2[Growth_Calculation],"Not Found")</f>
        <v>-16.790000000000006</v>
      </c>
      <c r="H13" s="27" cm="1">
        <f t="array" ref="H13">_xlfn.XLOOKUP(H$1&amp;$A13,_2[Country]&amp;_2[Year],_2[Growth_Calculation],"Not Found")</f>
        <v>-5.33</v>
      </c>
      <c r="I13" s="27" cm="1">
        <f t="array" ref="I13">_xlfn.XLOOKUP(I$1&amp;$A13,_2[Country]&amp;_2[Year],_2[Growth_Calculation],"Not Found")</f>
        <v>-5.3100000000000005</v>
      </c>
      <c r="J13" s="27" cm="1">
        <f t="array" ref="J13">_xlfn.XLOOKUP(J$1&amp;$A13,_2[Country]&amp;_2[Year],_2[Growth_Calculation],"Not Found")</f>
        <v>-8.620000000000001</v>
      </c>
      <c r="K13" s="27" cm="1">
        <f t="array" ref="K13">_xlfn.XLOOKUP(K$1&amp;$A13,_2[Country]&amp;_2[Year],_2[Growth_Calculation],"Not Found")</f>
        <v>3.6300000000000097</v>
      </c>
      <c r="L13" s="27" cm="1">
        <f t="array" ref="L13">_xlfn.XLOOKUP(L$1&amp;$A13,_2[Country]&amp;_2[Year],_2[Growth_Calculation],"Not Found")</f>
        <v>20.049999999999997</v>
      </c>
      <c r="M13" s="27" cm="1">
        <f t="array" ref="M13">_xlfn.XLOOKUP(M$1&amp;$A13,_2[Country]&amp;_2[Year],_2[Growth_Calculation],"Not Found")</f>
        <v>-7.0300000000000011</v>
      </c>
      <c r="N13" s="27" cm="1">
        <f t="array" ref="N13">_xlfn.XLOOKUP(N$1&amp;$A13,_2[Country]&amp;_2[Year],_2[Growth_Calculation],"Not Found")</f>
        <v>-10.480000000000004</v>
      </c>
      <c r="O13" s="27" cm="1">
        <f t="array" ref="O13">_xlfn.XLOOKUP(O$1&amp;$A13,_2[Country]&amp;_2[Year],_2[Growth_Calculation],"Not Found")</f>
        <v>24.28</v>
      </c>
      <c r="P13" s="27" cm="1">
        <f t="array" ref="P13">_xlfn.XLOOKUP(P$1&amp;$A13,_2[Country]&amp;_2[Year],_2[Growth_Calculation],"Not Found")</f>
        <v>-12.5</v>
      </c>
      <c r="Q13" s="27" cm="1">
        <f t="array" ref="Q13">_xlfn.XLOOKUP(Q$1&amp;$A13,_2[Country]&amp;_2[Year],_2[Growth_Calculation],"Not Found")</f>
        <v>0.88999999999998636</v>
      </c>
      <c r="R13" s="27" cm="1">
        <f t="array" ref="R13">_xlfn.XLOOKUP(R$1&amp;$A13,_2[Country]&amp;_2[Year],_2[Growth_Calculation],"Not Found")</f>
        <v>-1.33</v>
      </c>
      <c r="S13" s="27" cm="1">
        <f t="array" ref="S13">_xlfn.XLOOKUP(S$1&amp;$A13,_2[Country]&amp;_2[Year],_2[Growth_Calculation],"Not Found")</f>
        <v>-20.979999999999997</v>
      </c>
      <c r="T13" s="27" cm="1">
        <f t="array" ref="T13">_xlfn.XLOOKUP(T$1&amp;$A13,_2[Country]&amp;_2[Year],_2[Growth_Calculation],"Not Found")</f>
        <v>2.6199999999999903</v>
      </c>
      <c r="U13" s="27" cm="1">
        <f t="array" ref="U13">_xlfn.XLOOKUP(U$1&amp;$A13,_2[Country]&amp;_2[Year],_2[Growth_Calculation],"Not Found")</f>
        <v>25.97</v>
      </c>
      <c r="V13" s="27" cm="1">
        <f t="array" ref="V13">_xlfn.XLOOKUP(V$1&amp;$A13,_2[Country]&amp;_2[Year],_2[Growth_Calculation],"Not Found")</f>
        <v>1.1199999999999974</v>
      </c>
      <c r="W13" s="27" cm="1">
        <f t="array" ref="W13">_xlfn.XLOOKUP(W$1&amp;$A13,_2[Country]&amp;_2[Year],_2[Growth_Calculation],"Not Found")</f>
        <v>-2.9700000000000024</v>
      </c>
      <c r="X13" s="27" cm="1">
        <f t="array" ref="X13">_xlfn.XLOOKUP(X$1&amp;$A13,_2[Country]&amp;_2[Year],_2[Growth_Calculation],"Not Found")</f>
        <v>-1.8300000000000125</v>
      </c>
      <c r="Y13" s="27" cm="1">
        <f t="array" ref="Y13">_xlfn.XLOOKUP(Y$1&amp;$A13,_2[Country]&amp;_2[Year],_2[Growth_Calculation],"Not Found")</f>
        <v>-5.7199999999999989</v>
      </c>
      <c r="Z13" s="27" cm="1">
        <f t="array" ref="Z13">_xlfn.XLOOKUP(Z$1&amp;$A13,_2[Country]&amp;_2[Year],_2[Growth_Calculation],"Not Found")</f>
        <v>-14.029999999999998</v>
      </c>
      <c r="AA13" s="27" cm="1">
        <f t="array" ref="AA13">_xlfn.XLOOKUP(AA$1&amp;$A13,_2[Country]&amp;_2[Year],_2[Growth_Calculation],"Not Found")</f>
        <v>-42.929999999999993</v>
      </c>
      <c r="AB13" s="27" cm="1">
        <f t="array" ref="AB13">_xlfn.XLOOKUP(AB$1&amp;$A13,_2[Country]&amp;_2[Year],_2[Growth_Calculation],"Not Found")</f>
        <v>-48.44</v>
      </c>
      <c r="AC13" s="27" cm="1">
        <f t="array" ref="AC13">_xlfn.XLOOKUP(AC$1&amp;$A13,_2[Country]&amp;_2[Year],_2[Growth_Calculation],"Not Found")</f>
        <v>9.51</v>
      </c>
      <c r="AD13" s="27" cm="1">
        <f t="array" ref="AD13">_xlfn.XLOOKUP(AD$1&amp;$A13,_2[Country]&amp;_2[Year],_2[Growth_Calculation],"Not Found")</f>
        <v>39.65</v>
      </c>
      <c r="AE13" s="27" cm="1">
        <f t="array" ref="AE13">_xlfn.XLOOKUP(AE$1&amp;$A13,_2[Country]&amp;_2[Year],_2[Growth_Calculation],"Not Found")</f>
        <v>-1.1600000000000001</v>
      </c>
      <c r="AF13" s="27" cm="1">
        <f t="array" ref="AF13">_xlfn.XLOOKUP(AF$1&amp;$A13,_2[Country]&amp;_2[Year],_2[Growth_Calculation],"Not Found")</f>
        <v>-49.25</v>
      </c>
      <c r="AG13" s="27" cm="1">
        <f t="array" ref="AG13">_xlfn.XLOOKUP(AG$1&amp;$A13,_2[Country]&amp;_2[Year],_2[Growth_Calculation],"Not Found")</f>
        <v>0.24000000000000021</v>
      </c>
      <c r="AH13" s="27" cm="1">
        <f t="array" ref="AH13">_xlfn.XLOOKUP(AH$1&amp;$A13,_2[Country]&amp;_2[Year],_2[Growth_Calculation],"Not Found")</f>
        <v>-26.319999999999993</v>
      </c>
      <c r="AI13" s="27" cm="1">
        <f t="array" ref="AI13">_xlfn.XLOOKUP(AI$1&amp;$A13,_2[Country]&amp;_2[Year],_2[Growth_Calculation],"Not Found")</f>
        <v>0.28999999999999204</v>
      </c>
      <c r="AJ13" s="27" cm="1">
        <f t="array" ref="AJ13">_xlfn.XLOOKUP(AJ$1&amp;$A13,_2[Country]&amp;_2[Year],_2[Growth_Calculation],"Not Found")</f>
        <v>3.5500000000000043</v>
      </c>
    </row>
    <row r="14" spans="1:47" x14ac:dyDescent="0.35">
      <c r="A14" s="29">
        <v>2012</v>
      </c>
      <c r="B14" s="28" cm="1">
        <f t="array" ref="B14">_xlfn.XLOOKUP(B$1&amp;$A14,_2[Country]&amp;_2[Year],_2[Growth_Calculation],"Not Found")</f>
        <v>-2.6599999999999993</v>
      </c>
      <c r="C14" s="26" cm="1">
        <f t="array" ref="C14">_xlfn.XLOOKUP(C$1&amp;$A14,_2[Country]&amp;_2[Year],_2[Growth_Calculation],"Not Found")</f>
        <v>-9.9399999999999977</v>
      </c>
      <c r="D14" s="26" cm="1">
        <f t="array" ref="D14">_xlfn.XLOOKUP(D$1&amp;$A14,_2[Country]&amp;_2[Year],_2[Growth_Calculation],"Not Found")</f>
        <v>-6.9999999999999951E-2</v>
      </c>
      <c r="E14" s="27" cm="1">
        <f t="array" ref="E14">_xlfn.XLOOKUP(E$1&amp;$A14,_2[Country]&amp;_2[Year],_2[Growth_Calculation],"Not Found")</f>
        <v>-30.93</v>
      </c>
      <c r="F14" s="27" cm="1">
        <f t="array" ref="F14">_xlfn.XLOOKUP(F$1&amp;$A14,_2[Country]&amp;_2[Year],_2[Growth_Calculation],"Not Found")</f>
        <v>-12.739999999999995</v>
      </c>
      <c r="G14" s="27" cm="1">
        <f t="array" ref="G14">_xlfn.XLOOKUP(G$1&amp;$A14,_2[Country]&amp;_2[Year],_2[Growth_Calculation],"Not Found")</f>
        <v>-23.060000000000002</v>
      </c>
      <c r="H14" s="27" cm="1">
        <f t="array" ref="H14">_xlfn.XLOOKUP(H$1&amp;$A14,_2[Country]&amp;_2[Year],_2[Growth_Calculation],"Not Found")</f>
        <v>-5.74</v>
      </c>
      <c r="I14" s="27" cm="1">
        <f t="array" ref="I14">_xlfn.XLOOKUP(I$1&amp;$A14,_2[Country]&amp;_2[Year],_2[Growth_Calculation],"Not Found")</f>
        <v>-5.9500000000000011</v>
      </c>
      <c r="J14" s="27" cm="1">
        <f t="array" ref="J14">_xlfn.XLOOKUP(J$1&amp;$A14,_2[Country]&amp;_2[Year],_2[Growth_Calculation],"Not Found")</f>
        <v>20.47</v>
      </c>
      <c r="K14" s="27" cm="1">
        <f t="array" ref="K14">_xlfn.XLOOKUP(K$1&amp;$A14,_2[Country]&amp;_2[Year],_2[Growth_Calculation],"Not Found")</f>
        <v>3.6300000000000097</v>
      </c>
      <c r="L14" s="27" cm="1">
        <f t="array" ref="L14">_xlfn.XLOOKUP(L$1&amp;$A14,_2[Country]&amp;_2[Year],_2[Growth_Calculation],"Not Found")</f>
        <v>20.049999999999997</v>
      </c>
      <c r="M14" s="27" cm="1">
        <f t="array" ref="M14">_xlfn.XLOOKUP(M$1&amp;$A14,_2[Country]&amp;_2[Year],_2[Growth_Calculation],"Not Found")</f>
        <v>-11.86</v>
      </c>
      <c r="N14" s="27" cm="1">
        <f t="array" ref="N14">_xlfn.XLOOKUP(N$1&amp;$A14,_2[Country]&amp;_2[Year],_2[Growth_Calculation],"Not Found")</f>
        <v>-13.100000000000009</v>
      </c>
      <c r="O14" s="27" cm="1">
        <f t="array" ref="O14">_xlfn.XLOOKUP(O$1&amp;$A14,_2[Country]&amp;_2[Year],_2[Growth_Calculation],"Not Found")</f>
        <v>21.92</v>
      </c>
      <c r="P14" s="27" cm="1">
        <f t="array" ref="P14">_xlfn.XLOOKUP(P$1&amp;$A14,_2[Country]&amp;_2[Year],_2[Growth_Calculation],"Not Found")</f>
        <v>-11.340000000000003</v>
      </c>
      <c r="Q14" s="27" cm="1">
        <f t="array" ref="Q14">_xlfn.XLOOKUP(Q$1&amp;$A14,_2[Country]&amp;_2[Year],_2[Growth_Calculation],"Not Found")</f>
        <v>0.90999999999999659</v>
      </c>
      <c r="R14" s="27" cm="1">
        <f t="array" ref="R14">_xlfn.XLOOKUP(R$1&amp;$A14,_2[Country]&amp;_2[Year],_2[Growth_Calculation],"Not Found")</f>
        <v>-1.33</v>
      </c>
      <c r="S14" s="27" cm="1">
        <f t="array" ref="S14">_xlfn.XLOOKUP(S$1&amp;$A14,_2[Country]&amp;_2[Year],_2[Growth_Calculation],"Not Found")</f>
        <v>-16.389999999999997</v>
      </c>
      <c r="T14" s="27" cm="1">
        <f t="array" ref="T14">_xlfn.XLOOKUP(T$1&amp;$A14,_2[Country]&amp;_2[Year],_2[Growth_Calculation],"Not Found")</f>
        <v>2.6199999999999903</v>
      </c>
      <c r="U14" s="27" cm="1">
        <f t="array" ref="U14">_xlfn.XLOOKUP(U$1&amp;$A14,_2[Country]&amp;_2[Year],_2[Growth_Calculation],"Not Found")</f>
        <v>26.240000000000002</v>
      </c>
      <c r="V14" s="27" cm="1">
        <f t="array" ref="V14">_xlfn.XLOOKUP(V$1&amp;$A14,_2[Country]&amp;_2[Year],_2[Growth_Calculation],"Not Found")</f>
        <v>-0.82000000000000028</v>
      </c>
      <c r="W14" s="27" cm="1">
        <f t="array" ref="W14">_xlfn.XLOOKUP(W$1&amp;$A14,_2[Country]&amp;_2[Year],_2[Growth_Calculation],"Not Found")</f>
        <v>-4.1300000000000026</v>
      </c>
      <c r="X14" s="27" cm="1">
        <f t="array" ref="X14">_xlfn.XLOOKUP(X$1&amp;$A14,_2[Country]&amp;_2[Year],_2[Growth_Calculation],"Not Found")</f>
        <v>-6.1099999999999994</v>
      </c>
      <c r="Y14" s="27" cm="1">
        <f t="array" ref="Y14">_xlfn.XLOOKUP(Y$1&amp;$A14,_2[Country]&amp;_2[Year],_2[Growth_Calculation],"Not Found")</f>
        <v>1.8699999999999974</v>
      </c>
      <c r="Z14" s="27" cm="1">
        <f t="array" ref="Z14">_xlfn.XLOOKUP(Z$1&amp;$A14,_2[Country]&amp;_2[Year],_2[Growth_Calculation],"Not Found")</f>
        <v>-14.029999999999998</v>
      </c>
      <c r="AA14" s="27" cm="1">
        <f t="array" ref="AA14">_xlfn.XLOOKUP(AA$1&amp;$A14,_2[Country]&amp;_2[Year],_2[Growth_Calculation],"Not Found")</f>
        <v>-42.459999999999994</v>
      </c>
      <c r="AB14" s="27" cm="1">
        <f t="array" ref="AB14">_xlfn.XLOOKUP(AB$1&amp;$A14,_2[Country]&amp;_2[Year],_2[Growth_Calculation],"Not Found")</f>
        <v>-48.44</v>
      </c>
      <c r="AC14" s="27" cm="1">
        <f t="array" ref="AC14">_xlfn.XLOOKUP(AC$1&amp;$A14,_2[Country]&amp;_2[Year],_2[Growth_Calculation],"Not Found")</f>
        <v>9.42</v>
      </c>
      <c r="AD14" s="27" cm="1">
        <f t="array" ref="AD14">_xlfn.XLOOKUP(AD$1&amp;$A14,_2[Country]&amp;_2[Year],_2[Growth_Calculation],"Not Found")</f>
        <v>39.770000000000003</v>
      </c>
      <c r="AE14" s="27" cm="1">
        <f t="array" ref="AE14">_xlfn.XLOOKUP(AE$1&amp;$A14,_2[Country]&amp;_2[Year],_2[Growth_Calculation],"Not Found")</f>
        <v>-1.1600000000000001</v>
      </c>
      <c r="AF14" s="27" cm="1">
        <f t="array" ref="AF14">_xlfn.XLOOKUP(AF$1&amp;$A14,_2[Country]&amp;_2[Year],_2[Growth_Calculation],"Not Found")</f>
        <v>-49.240000000000009</v>
      </c>
      <c r="AG14" s="27" cm="1">
        <f t="array" ref="AG14">_xlfn.XLOOKUP(AG$1&amp;$A14,_2[Country]&amp;_2[Year],_2[Growth_Calculation],"Not Found")</f>
        <v>3.0500000000000003</v>
      </c>
      <c r="AH14" s="27" cm="1">
        <f t="array" ref="AH14">_xlfn.XLOOKUP(AH$1&amp;$A14,_2[Country]&amp;_2[Year],_2[Growth_Calculation],"Not Found")</f>
        <v>-15.540000000000006</v>
      </c>
      <c r="AI14" s="27" cm="1">
        <f t="array" ref="AI14">_xlfn.XLOOKUP(AI$1&amp;$A14,_2[Country]&amp;_2[Year],_2[Growth_Calculation],"Not Found")</f>
        <v>0.29999999999999716</v>
      </c>
      <c r="AJ14" s="27" cm="1">
        <f t="array" ref="AJ14">_xlfn.XLOOKUP(AJ$1&amp;$A14,_2[Country]&amp;_2[Year],_2[Growth_Calculation],"Not Found")</f>
        <v>3.5800000000000054</v>
      </c>
    </row>
    <row r="15" spans="1:47" x14ac:dyDescent="0.35">
      <c r="A15" s="29">
        <v>2013</v>
      </c>
      <c r="B15" s="28" cm="1">
        <f t="array" ref="B15">_xlfn.XLOOKUP(B$1&amp;$A15,_2[Country]&amp;_2[Year],_2[Growth_Calculation],"Not Found")</f>
        <v>-2.9299999999999997</v>
      </c>
      <c r="C15" s="26" cm="1">
        <f t="array" ref="C15">_xlfn.XLOOKUP(C$1&amp;$A15,_2[Country]&amp;_2[Year],_2[Growth_Calculation],"Not Found")</f>
        <v>-16.979999999999997</v>
      </c>
      <c r="D15" s="26" cm="1">
        <f t="array" ref="D15">_xlfn.XLOOKUP(D$1&amp;$A15,_2[Country]&amp;_2[Year],_2[Growth_Calculation],"Not Found")</f>
        <v>-0.52</v>
      </c>
      <c r="E15" s="27" cm="1">
        <f t="array" ref="E15">_xlfn.XLOOKUP(E$1&amp;$A15,_2[Country]&amp;_2[Year],_2[Growth_Calculation],"Not Found")</f>
        <v>-26.68</v>
      </c>
      <c r="F15" s="27" cm="1">
        <f t="array" ref="F15">_xlfn.XLOOKUP(F$1&amp;$A15,_2[Country]&amp;_2[Year],_2[Growth_Calculation],"Not Found")</f>
        <v>-17.89</v>
      </c>
      <c r="G15" s="27" cm="1">
        <f t="array" ref="G15">_xlfn.XLOOKUP(G$1&amp;$A15,_2[Country]&amp;_2[Year],_2[Growth_Calculation],"Not Found")</f>
        <v>-31.39</v>
      </c>
      <c r="H15" s="27" cm="1">
        <f t="array" ref="H15">_xlfn.XLOOKUP(H$1&amp;$A15,_2[Country]&amp;_2[Year],_2[Growth_Calculation],"Not Found")</f>
        <v>-5.73</v>
      </c>
      <c r="I15" s="27" cm="1">
        <f t="array" ref="I15">_xlfn.XLOOKUP(I$1&amp;$A15,_2[Country]&amp;_2[Year],_2[Growth_Calculation],"Not Found")</f>
        <v>-6.3600000000000012</v>
      </c>
      <c r="J15" s="27" cm="1">
        <f t="array" ref="J15">_xlfn.XLOOKUP(J$1&amp;$A15,_2[Country]&amp;_2[Year],_2[Growth_Calculation],"Not Found")</f>
        <v>20.47</v>
      </c>
      <c r="K15" s="27" cm="1">
        <f t="array" ref="K15">_xlfn.XLOOKUP(K$1&amp;$A15,_2[Country]&amp;_2[Year],_2[Growth_Calculation],"Not Found")</f>
        <v>3.6300000000000097</v>
      </c>
      <c r="L15" s="27" cm="1">
        <f t="array" ref="L15">_xlfn.XLOOKUP(L$1&amp;$A15,_2[Country]&amp;_2[Year],_2[Growth_Calculation],"Not Found")</f>
        <v>20.509999999999991</v>
      </c>
      <c r="M15" s="27" cm="1">
        <f t="array" ref="M15">_xlfn.XLOOKUP(M$1&amp;$A15,_2[Country]&amp;_2[Year],_2[Growth_Calculation],"Not Found")</f>
        <v>-11.259999999999998</v>
      </c>
      <c r="N15" s="27" cm="1">
        <f t="array" ref="N15">_xlfn.XLOOKUP(N$1&amp;$A15,_2[Country]&amp;_2[Year],_2[Growth_Calculation],"Not Found")</f>
        <v>-8.6600000000000037</v>
      </c>
      <c r="O15" s="27" cm="1">
        <f t="array" ref="O15">_xlfn.XLOOKUP(O$1&amp;$A15,_2[Country]&amp;_2[Year],_2[Growth_Calculation],"Not Found")</f>
        <v>-9.0000000000003411E-2</v>
      </c>
      <c r="P15" s="27" cm="1">
        <f t="array" ref="P15">_xlfn.XLOOKUP(P$1&amp;$A15,_2[Country]&amp;_2[Year],_2[Growth_Calculation],"Not Found")</f>
        <v>-11.360000000000014</v>
      </c>
      <c r="Q15" s="27" cm="1">
        <f t="array" ref="Q15">_xlfn.XLOOKUP(Q$1&amp;$A15,_2[Country]&amp;_2[Year],_2[Growth_Calculation],"Not Found")</f>
        <v>0.89999999999999147</v>
      </c>
      <c r="R15" s="27" cm="1">
        <f t="array" ref="R15">_xlfn.XLOOKUP(R$1&amp;$A15,_2[Country]&amp;_2[Year],_2[Growth_Calculation],"Not Found")</f>
        <v>-1.3499999999999996</v>
      </c>
      <c r="S15" s="27" cm="1">
        <f t="array" ref="S15">_xlfn.XLOOKUP(S$1&amp;$A15,_2[Country]&amp;_2[Year],_2[Growth_Calculation],"Not Found")</f>
        <v>-16.36</v>
      </c>
      <c r="T15" s="27" cm="1">
        <f t="array" ref="T15">_xlfn.XLOOKUP(T$1&amp;$A15,_2[Country]&amp;_2[Year],_2[Growth_Calculation],"Not Found")</f>
        <v>3.8399999999999892</v>
      </c>
      <c r="U15" s="27" cm="1">
        <f t="array" ref="U15">_xlfn.XLOOKUP(U$1&amp;$A15,_2[Country]&amp;_2[Year],_2[Growth_Calculation],"Not Found")</f>
        <v>28.4</v>
      </c>
      <c r="V15" s="27" cm="1">
        <f t="array" ref="V15">_xlfn.XLOOKUP(V$1&amp;$A15,_2[Country]&amp;_2[Year],_2[Growth_Calculation],"Not Found")</f>
        <v>-0.44000000000000128</v>
      </c>
      <c r="W15" s="27" cm="1">
        <f t="array" ref="W15">_xlfn.XLOOKUP(W$1&amp;$A15,_2[Country]&amp;_2[Year],_2[Growth_Calculation],"Not Found")</f>
        <v>-2.9700000000000024</v>
      </c>
      <c r="X15" s="27" cm="1">
        <f t="array" ref="X15">_xlfn.XLOOKUP(X$1&amp;$A15,_2[Country]&amp;_2[Year],_2[Growth_Calculation],"Not Found")</f>
        <v>-7.1600000000000108</v>
      </c>
      <c r="Y15" s="27" cm="1">
        <f t="array" ref="Y15">_xlfn.XLOOKUP(Y$1&amp;$A15,_2[Country]&amp;_2[Year],_2[Growth_Calculation],"Not Found")</f>
        <v>1.9299999999999997</v>
      </c>
      <c r="Z15" s="27" cm="1">
        <f t="array" ref="Z15">_xlfn.XLOOKUP(Z$1&amp;$A15,_2[Country]&amp;_2[Year],_2[Growth_Calculation],"Not Found")</f>
        <v>-16.159999999999997</v>
      </c>
      <c r="AA15" s="27" cm="1">
        <f t="array" ref="AA15">_xlfn.XLOOKUP(AA$1&amp;$A15,_2[Country]&amp;_2[Year],_2[Growth_Calculation],"Not Found")</f>
        <v>-40.759999999999991</v>
      </c>
      <c r="AB15" s="27" cm="1">
        <f t="array" ref="AB15">_xlfn.XLOOKUP(AB$1&amp;$A15,_2[Country]&amp;_2[Year],_2[Growth_Calculation],"Not Found")</f>
        <v>-48.44</v>
      </c>
      <c r="AC15" s="27" cm="1">
        <f t="array" ref="AC15">_xlfn.XLOOKUP(AC$1&amp;$A15,_2[Country]&amp;_2[Year],_2[Growth_Calculation],"Not Found")</f>
        <v>9.09</v>
      </c>
      <c r="AD15" s="27" cm="1">
        <f t="array" ref="AD15">_xlfn.XLOOKUP(AD$1&amp;$A15,_2[Country]&amp;_2[Year],_2[Growth_Calculation],"Not Found")</f>
        <v>39.78</v>
      </c>
      <c r="AE15" s="27" cm="1">
        <f t="array" ref="AE15">_xlfn.XLOOKUP(AE$1&amp;$A15,_2[Country]&amp;_2[Year],_2[Growth_Calculation],"Not Found")</f>
        <v>-6.0000000000000053E-2</v>
      </c>
      <c r="AF15" s="27" cm="1">
        <f t="array" ref="AF15">_xlfn.XLOOKUP(AF$1&amp;$A15,_2[Country]&amp;_2[Year],_2[Growth_Calculation],"Not Found")</f>
        <v>-49.240000000000009</v>
      </c>
      <c r="AG15" s="27" cm="1">
        <f t="array" ref="AG15">_xlfn.XLOOKUP(AG$1&amp;$A15,_2[Country]&amp;_2[Year],_2[Growth_Calculation],"Not Found")</f>
        <v>3.4100000000000006</v>
      </c>
      <c r="AH15" s="27" cm="1">
        <f t="array" ref="AH15">_xlfn.XLOOKUP(AH$1&amp;$A15,_2[Country]&amp;_2[Year],_2[Growth_Calculation],"Not Found")</f>
        <v>-10.909999999999997</v>
      </c>
      <c r="AI15" s="27" cm="1">
        <f t="array" ref="AI15">_xlfn.XLOOKUP(AI$1&amp;$A15,_2[Country]&amp;_2[Year],_2[Growth_Calculation],"Not Found")</f>
        <v>1.5999999999999943</v>
      </c>
      <c r="AJ15" s="27" cm="1">
        <f t="array" ref="AJ15">_xlfn.XLOOKUP(AJ$1&amp;$A15,_2[Country]&amp;_2[Year],_2[Growth_Calculation],"Not Found")</f>
        <v>3.75</v>
      </c>
    </row>
    <row r="16" spans="1:47" x14ac:dyDescent="0.35">
      <c r="A16" s="29">
        <v>2014</v>
      </c>
      <c r="B16" s="28" cm="1">
        <f t="array" ref="B16">_xlfn.XLOOKUP(B$1&amp;$A16,_2[Country]&amp;_2[Year],_2[Growth_Calculation],"Not Found")</f>
        <v>-2.9299999999999997</v>
      </c>
      <c r="C16" s="26" cm="1">
        <f t="array" ref="C16">_xlfn.XLOOKUP(C$1&amp;$A16,_2[Country]&amp;_2[Year],_2[Growth_Calculation],"Not Found")</f>
        <v>-17.559999999999995</v>
      </c>
      <c r="D16" s="26" cm="1">
        <f t="array" ref="D16">_xlfn.XLOOKUP(D$1&amp;$A16,_2[Country]&amp;_2[Year],_2[Growth_Calculation],"Not Found")</f>
        <v>-0.14000000000000001</v>
      </c>
      <c r="E16" s="27" cm="1">
        <f t="array" ref="E16">_xlfn.XLOOKUP(E$1&amp;$A16,_2[Country]&amp;_2[Year],_2[Growth_Calculation],"Not Found")</f>
        <v>-28.28</v>
      </c>
      <c r="F16" s="27" cm="1">
        <f t="array" ref="F16">_xlfn.XLOOKUP(F$1&amp;$A16,_2[Country]&amp;_2[Year],_2[Growth_Calculation],"Not Found")</f>
        <v>-17.89</v>
      </c>
      <c r="G16" s="27" cm="1">
        <f t="array" ref="G16">_xlfn.XLOOKUP(G$1&amp;$A16,_2[Country]&amp;_2[Year],_2[Growth_Calculation],"Not Found")</f>
        <v>-31.39</v>
      </c>
      <c r="H16" s="27" cm="1">
        <f t="array" ref="H16">_xlfn.XLOOKUP(H$1&amp;$A16,_2[Country]&amp;_2[Year],_2[Growth_Calculation],"Not Found")</f>
        <v>-5.73</v>
      </c>
      <c r="I16" s="27" cm="1">
        <f t="array" ref="I16">_xlfn.XLOOKUP(I$1&amp;$A16,_2[Country]&amp;_2[Year],_2[Growth_Calculation],"Not Found")</f>
        <v>-6.3600000000000012</v>
      </c>
      <c r="J16" s="27" cm="1">
        <f t="array" ref="J16">_xlfn.XLOOKUP(J$1&amp;$A16,_2[Country]&amp;_2[Year],_2[Growth_Calculation],"Not Found")</f>
        <v>20.47</v>
      </c>
      <c r="K16" s="27" cm="1">
        <f t="array" ref="K16">_xlfn.XLOOKUP(K$1&amp;$A16,_2[Country]&amp;_2[Year],_2[Growth_Calculation],"Not Found")</f>
        <v>3.1400000000000006</v>
      </c>
      <c r="L16" s="27" cm="1">
        <f t="array" ref="L16">_xlfn.XLOOKUP(L$1&amp;$A16,_2[Country]&amp;_2[Year],_2[Growth_Calculation],"Not Found")</f>
        <v>20.53</v>
      </c>
      <c r="M16" s="27" cm="1">
        <f t="array" ref="M16">_xlfn.XLOOKUP(M$1&amp;$A16,_2[Country]&amp;_2[Year],_2[Growth_Calculation],"Not Found")</f>
        <v>-10.82</v>
      </c>
      <c r="N16" s="27" cm="1">
        <f t="array" ref="N16">_xlfn.XLOOKUP(N$1&amp;$A16,_2[Country]&amp;_2[Year],_2[Growth_Calculation],"Not Found")</f>
        <v>-8.5700000000000074</v>
      </c>
      <c r="O16" s="27" cm="1">
        <f t="array" ref="O16">_xlfn.XLOOKUP(O$1&amp;$A16,_2[Country]&amp;_2[Year],_2[Growth_Calculation],"Not Found")</f>
        <v>-9.0000000000003411E-2</v>
      </c>
      <c r="P16" s="27" cm="1">
        <f t="array" ref="P16">_xlfn.XLOOKUP(P$1&amp;$A16,_2[Country]&amp;_2[Year],_2[Growth_Calculation],"Not Found")</f>
        <v>-11.480000000000004</v>
      </c>
      <c r="Q16" s="27" cm="1">
        <f t="array" ref="Q16">_xlfn.XLOOKUP(Q$1&amp;$A16,_2[Country]&amp;_2[Year],_2[Growth_Calculation],"Not Found")</f>
        <v>0.89999999999999147</v>
      </c>
      <c r="R16" s="27" cm="1">
        <f t="array" ref="R16">_xlfn.XLOOKUP(R$1&amp;$A16,_2[Country]&amp;_2[Year],_2[Growth_Calculation],"Not Found")</f>
        <v>-1.2599999999999998</v>
      </c>
      <c r="S16" s="27" cm="1">
        <f t="array" ref="S16">_xlfn.XLOOKUP(S$1&amp;$A16,_2[Country]&amp;_2[Year],_2[Growth_Calculation],"Not Found")</f>
        <v>-22.259999999999998</v>
      </c>
      <c r="T16" s="27" cm="1">
        <f t="array" ref="T16">_xlfn.XLOOKUP(T$1&amp;$A16,_2[Country]&amp;_2[Year],_2[Growth_Calculation],"Not Found")</f>
        <v>3.8499999999999943</v>
      </c>
      <c r="U16" s="27" cm="1">
        <f t="array" ref="U16">_xlfn.XLOOKUP(U$1&amp;$A16,_2[Country]&amp;_2[Year],_2[Growth_Calculation],"Not Found")</f>
        <v>27.1</v>
      </c>
      <c r="V16" s="27" cm="1">
        <f t="array" ref="V16">_xlfn.XLOOKUP(V$1&amp;$A16,_2[Country]&amp;_2[Year],_2[Growth_Calculation],"Not Found")</f>
        <v>-0.21000000000000085</v>
      </c>
      <c r="W16" s="27" cm="1">
        <f t="array" ref="W16">_xlfn.XLOOKUP(W$1&amp;$A16,_2[Country]&amp;_2[Year],_2[Growth_Calculation],"Not Found")</f>
        <v>-1.1900000000000013</v>
      </c>
      <c r="X16" s="27" cm="1">
        <f t="array" ref="X16">_xlfn.XLOOKUP(X$1&amp;$A16,_2[Country]&amp;_2[Year],_2[Growth_Calculation],"Not Found")</f>
        <v>-13.530000000000001</v>
      </c>
      <c r="Y16" s="27" cm="1">
        <f t="array" ref="Y16">_xlfn.XLOOKUP(Y$1&amp;$A16,_2[Country]&amp;_2[Year],_2[Growth_Calculation],"Not Found")</f>
        <v>-0.80000000000000426</v>
      </c>
      <c r="Z16" s="27" cm="1">
        <f t="array" ref="Z16">_xlfn.XLOOKUP(Z$1&amp;$A16,_2[Country]&amp;_2[Year],_2[Growth_Calculation],"Not Found")</f>
        <v>-17.27</v>
      </c>
      <c r="AA16" s="27" cm="1">
        <f t="array" ref="AA16">_xlfn.XLOOKUP(AA$1&amp;$A16,_2[Country]&amp;_2[Year],_2[Growth_Calculation],"Not Found")</f>
        <v>-35.189999999999991</v>
      </c>
      <c r="AB16" s="27" cm="1">
        <f t="array" ref="AB16">_xlfn.XLOOKUP(AB$1&amp;$A16,_2[Country]&amp;_2[Year],_2[Growth_Calculation],"Not Found")</f>
        <v>-49.730000000000004</v>
      </c>
      <c r="AC16" s="27" cm="1">
        <f t="array" ref="AC16">_xlfn.XLOOKUP(AC$1&amp;$A16,_2[Country]&amp;_2[Year],_2[Growth_Calculation],"Not Found")</f>
        <v>8.8699999999999992</v>
      </c>
      <c r="AD16" s="27" cm="1">
        <f t="array" ref="AD16">_xlfn.XLOOKUP(AD$1&amp;$A16,_2[Country]&amp;_2[Year],_2[Growth_Calculation],"Not Found")</f>
        <v>46.599999999999994</v>
      </c>
      <c r="AE16" s="27" cm="1">
        <f t="array" ref="AE16">_xlfn.XLOOKUP(AE$1&amp;$A16,_2[Country]&amp;_2[Year],_2[Growth_Calculation],"Not Found")</f>
        <v>2.2999999999999994</v>
      </c>
      <c r="AF16" s="27" cm="1">
        <f t="array" ref="AF16">_xlfn.XLOOKUP(AF$1&amp;$A16,_2[Country]&amp;_2[Year],_2[Growth_Calculation],"Not Found")</f>
        <v>-49.240000000000009</v>
      </c>
      <c r="AG16" s="27" cm="1">
        <f t="array" ref="AG16">_xlfn.XLOOKUP(AG$1&amp;$A16,_2[Country]&amp;_2[Year],_2[Growth_Calculation],"Not Found")</f>
        <v>3.6600000000000006</v>
      </c>
      <c r="AH16" s="27" cm="1">
        <f t="array" ref="AH16">_xlfn.XLOOKUP(AH$1&amp;$A16,_2[Country]&amp;_2[Year],_2[Growth_Calculation],"Not Found")</f>
        <v>-14.239999999999995</v>
      </c>
      <c r="AI16" s="27" cm="1">
        <f t="array" ref="AI16">_xlfn.XLOOKUP(AI$1&amp;$A16,_2[Country]&amp;_2[Year],_2[Growth_Calculation],"Not Found")</f>
        <v>-1.1900000000000119</v>
      </c>
      <c r="AJ16" s="27" cm="1">
        <f t="array" ref="AJ16">_xlfn.XLOOKUP(AJ$1&amp;$A16,_2[Country]&amp;_2[Year],_2[Growth_Calculation],"Not Found")</f>
        <v>3.7700000000000031</v>
      </c>
    </row>
    <row r="17" spans="1:36" x14ac:dyDescent="0.35">
      <c r="A17" s="29">
        <v>2015</v>
      </c>
      <c r="B17" s="28" cm="1">
        <f t="array" ref="B17">_xlfn.XLOOKUP(B$1&amp;$A17,_2[Country]&amp;_2[Year],_2[Growth_Calculation],"Not Found")</f>
        <v>-2.8599999999999994</v>
      </c>
      <c r="C17" s="26" cm="1">
        <f t="array" ref="C17">_xlfn.XLOOKUP(C$1&amp;$A17,_2[Country]&amp;_2[Year],_2[Growth_Calculation],"Not Found")</f>
        <v>-18.589999999999996</v>
      </c>
      <c r="D17" s="26" cm="1">
        <f t="array" ref="D17">_xlfn.XLOOKUP(D$1&amp;$A17,_2[Country]&amp;_2[Year],_2[Growth_Calculation],"Not Found")</f>
        <v>1.02</v>
      </c>
      <c r="E17" s="27" cm="1">
        <f t="array" ref="E17">_xlfn.XLOOKUP(E$1&amp;$A17,_2[Country]&amp;_2[Year],_2[Growth_Calculation],"Not Found")</f>
        <v>-29.25</v>
      </c>
      <c r="F17" s="27" cm="1">
        <f t="array" ref="F17">_xlfn.XLOOKUP(F$1&amp;$A17,_2[Country]&amp;_2[Year],_2[Growth_Calculation],"Not Found")</f>
        <v>-17.78</v>
      </c>
      <c r="G17" s="27" cm="1">
        <f t="array" ref="G17">_xlfn.XLOOKUP(G$1&amp;$A17,_2[Country]&amp;_2[Year],_2[Growth_Calculation],"Not Found")</f>
        <v>-33.650000000000006</v>
      </c>
      <c r="H17" s="27" cm="1">
        <f t="array" ref="H17">_xlfn.XLOOKUP(H$1&amp;$A17,_2[Country]&amp;_2[Year],_2[Growth_Calculation],"Not Found")</f>
        <v>-5.69</v>
      </c>
      <c r="I17" s="27" cm="1">
        <f t="array" ref="I17">_xlfn.XLOOKUP(I$1&amp;$A17,_2[Country]&amp;_2[Year],_2[Growth_Calculation],"Not Found")</f>
        <v>-6.5800000000000018</v>
      </c>
      <c r="J17" s="27" cm="1">
        <f t="array" ref="J17">_xlfn.XLOOKUP(J$1&amp;$A17,_2[Country]&amp;_2[Year],_2[Growth_Calculation],"Not Found")</f>
        <v>20.47</v>
      </c>
      <c r="K17" s="27" cm="1">
        <f t="array" ref="K17">_xlfn.XLOOKUP(K$1&amp;$A17,_2[Country]&amp;_2[Year],_2[Growth_Calculation],"Not Found")</f>
        <v>3.1400000000000006</v>
      </c>
      <c r="L17" s="27" cm="1">
        <f t="array" ref="L17">_xlfn.XLOOKUP(L$1&amp;$A17,_2[Country]&amp;_2[Year],_2[Growth_Calculation],"Not Found")</f>
        <v>23.199999999999989</v>
      </c>
      <c r="M17" s="27" cm="1">
        <f t="array" ref="M17">_xlfn.XLOOKUP(M$1&amp;$A17,_2[Country]&amp;_2[Year],_2[Growth_Calculation],"Not Found")</f>
        <v>-10.79</v>
      </c>
      <c r="N17" s="27" cm="1">
        <f t="array" ref="N17">_xlfn.XLOOKUP(N$1&amp;$A17,_2[Country]&amp;_2[Year],_2[Growth_Calculation],"Not Found")</f>
        <v>-14.730000000000004</v>
      </c>
      <c r="O17" s="27" cm="1">
        <f t="array" ref="O17">_xlfn.XLOOKUP(O$1&amp;$A17,_2[Country]&amp;_2[Year],_2[Growth_Calculation],"Not Found")</f>
        <v>22.909999999999997</v>
      </c>
      <c r="P17" s="27" cm="1">
        <f t="array" ref="P17">_xlfn.XLOOKUP(P$1&amp;$A17,_2[Country]&amp;_2[Year],_2[Growth_Calculation],"Not Found")</f>
        <v>-11.600000000000009</v>
      </c>
      <c r="Q17" s="27" cm="1">
        <f t="array" ref="Q17">_xlfn.XLOOKUP(Q$1&amp;$A17,_2[Country]&amp;_2[Year],_2[Growth_Calculation],"Not Found")</f>
        <v>0.89999999999999147</v>
      </c>
      <c r="R17" s="27" cm="1">
        <f t="array" ref="R17">_xlfn.XLOOKUP(R$1&amp;$A17,_2[Country]&amp;_2[Year],_2[Growth_Calculation],"Not Found")</f>
        <v>-1.2400000000000002</v>
      </c>
      <c r="S17" s="27" cm="1">
        <f t="array" ref="S17">_xlfn.XLOOKUP(S$1&amp;$A17,_2[Country]&amp;_2[Year],_2[Growth_Calculation],"Not Found")</f>
        <v>-22.15</v>
      </c>
      <c r="T17" s="27" cm="1">
        <f t="array" ref="T17">_xlfn.XLOOKUP(T$1&amp;$A17,_2[Country]&amp;_2[Year],_2[Growth_Calculation],"Not Found")</f>
        <v>4.0699999999999932</v>
      </c>
      <c r="U17" s="27" cm="1">
        <f t="array" ref="U17">_xlfn.XLOOKUP(U$1&amp;$A17,_2[Country]&amp;_2[Year],_2[Growth_Calculation],"Not Found")</f>
        <v>26.89</v>
      </c>
      <c r="V17" s="27" cm="1">
        <f t="array" ref="V17">_xlfn.XLOOKUP(V$1&amp;$A17,_2[Country]&amp;_2[Year],_2[Growth_Calculation],"Not Found")</f>
        <v>2.5</v>
      </c>
      <c r="W17" s="27" cm="1">
        <f t="array" ref="W17">_xlfn.XLOOKUP(W$1&amp;$A17,_2[Country]&amp;_2[Year],_2[Growth_Calculation],"Not Found")</f>
        <v>0.27999999999999758</v>
      </c>
      <c r="X17" s="27" cm="1">
        <f t="array" ref="X17">_xlfn.XLOOKUP(X$1&amp;$A17,_2[Country]&amp;_2[Year],_2[Growth_Calculation],"Not Found")</f>
        <v>-18.97</v>
      </c>
      <c r="Y17" s="27" cm="1">
        <f t="array" ref="Y17">_xlfn.XLOOKUP(Y$1&amp;$A17,_2[Country]&amp;_2[Year],_2[Growth_Calculation],"Not Found")</f>
        <v>-3.9999999999999147E-2</v>
      </c>
      <c r="Z17" s="27" cm="1">
        <f t="array" ref="Z17">_xlfn.XLOOKUP(Z$1&amp;$A17,_2[Country]&amp;_2[Year],_2[Growth_Calculation],"Not Found")</f>
        <v>-17.18</v>
      </c>
      <c r="AA17" s="27" cm="1">
        <f t="array" ref="AA17">_xlfn.XLOOKUP(AA$1&amp;$A17,_2[Country]&amp;_2[Year],_2[Growth_Calculation],"Not Found")</f>
        <v>-42.469999999999992</v>
      </c>
      <c r="AB17" s="27" cm="1">
        <f t="array" ref="AB17">_xlfn.XLOOKUP(AB$1&amp;$A17,_2[Country]&amp;_2[Year],_2[Growth_Calculation],"Not Found")</f>
        <v>-51.84</v>
      </c>
      <c r="AC17" s="27" cm="1">
        <f t="array" ref="AC17">_xlfn.XLOOKUP(AC$1&amp;$A17,_2[Country]&amp;_2[Year],_2[Growth_Calculation],"Not Found")</f>
        <v>8.89</v>
      </c>
      <c r="AD17" s="27" cm="1">
        <f t="array" ref="AD17">_xlfn.XLOOKUP(AD$1&amp;$A17,_2[Country]&amp;_2[Year],_2[Growth_Calculation],"Not Found")</f>
        <v>35.380000000000003</v>
      </c>
      <c r="AE17" s="27" cm="1">
        <f t="array" ref="AE17">_xlfn.XLOOKUP(AE$1&amp;$A17,_2[Country]&amp;_2[Year],_2[Growth_Calculation],"Not Found")</f>
        <v>3.7099999999999995</v>
      </c>
      <c r="AF17" s="27" cm="1">
        <f t="array" ref="AF17">_xlfn.XLOOKUP(AF$1&amp;$A17,_2[Country]&amp;_2[Year],_2[Growth_Calculation],"Not Found")</f>
        <v>-49.220000000000006</v>
      </c>
      <c r="AG17" s="27" cm="1">
        <f t="array" ref="AG17">_xlfn.XLOOKUP(AG$1&amp;$A17,_2[Country]&amp;_2[Year],_2[Growth_Calculation],"Not Found")</f>
        <v>4.0500000000000007</v>
      </c>
      <c r="AH17" s="27" cm="1">
        <f t="array" ref="AH17">_xlfn.XLOOKUP(AH$1&amp;$A17,_2[Country]&amp;_2[Year],_2[Growth_Calculation],"Not Found")</f>
        <v>-13.959999999999994</v>
      </c>
      <c r="AI17" s="27" cm="1">
        <f t="array" ref="AI17">_xlfn.XLOOKUP(AI$1&amp;$A17,_2[Country]&amp;_2[Year],_2[Growth_Calculation],"Not Found")</f>
        <v>-2.3500000000000085</v>
      </c>
      <c r="AJ17" s="27" cm="1">
        <f t="array" ref="AJ17">_xlfn.XLOOKUP(AJ$1&amp;$A17,_2[Country]&amp;_2[Year],_2[Growth_Calculation],"Not Found")</f>
        <v>4.1900000000000048</v>
      </c>
    </row>
    <row r="18" spans="1:36" x14ac:dyDescent="0.35">
      <c r="A18" s="29">
        <v>2016</v>
      </c>
      <c r="B18" s="28" cm="1">
        <f t="array" ref="B18">_xlfn.XLOOKUP(B$1&amp;$A18,_2[Country]&amp;_2[Year],_2[Growth_Calculation],"Not Found")</f>
        <v>-2.0299999999999994</v>
      </c>
      <c r="C18" s="26" cm="1">
        <f t="array" ref="C18">_xlfn.XLOOKUP(C$1&amp;$A18,_2[Country]&amp;_2[Year],_2[Growth_Calculation],"Not Found")</f>
        <v>-5.3099999999999952</v>
      </c>
      <c r="D18" s="26" cm="1">
        <f t="array" ref="D18">_xlfn.XLOOKUP(D$1&amp;$A18,_2[Country]&amp;_2[Year],_2[Growth_Calculation],"Not Found")</f>
        <v>0.45000000000000007</v>
      </c>
      <c r="E18" s="27" cm="1">
        <f t="array" ref="E18">_xlfn.XLOOKUP(E$1&amp;$A18,_2[Country]&amp;_2[Year],_2[Growth_Calculation],"Not Found")</f>
        <v>-29.04</v>
      </c>
      <c r="F18" s="27" cm="1">
        <f t="array" ref="F18">_xlfn.XLOOKUP(F$1&amp;$A18,_2[Country]&amp;_2[Year],_2[Growth_Calculation],"Not Found")</f>
        <v>-17.5</v>
      </c>
      <c r="G18" s="27" cm="1">
        <f t="array" ref="G18">_xlfn.XLOOKUP(G$1&amp;$A18,_2[Country]&amp;_2[Year],_2[Growth_Calculation],"Not Found")</f>
        <v>-33.650000000000006</v>
      </c>
      <c r="H18" s="27" cm="1">
        <f t="array" ref="H18">_xlfn.XLOOKUP(H$1&amp;$A18,_2[Country]&amp;_2[Year],_2[Growth_Calculation],"Not Found")</f>
        <v>-5.3000000000000007</v>
      </c>
      <c r="I18" s="27" cm="1">
        <f t="array" ref="I18">_xlfn.XLOOKUP(I$1&amp;$A18,_2[Country]&amp;_2[Year],_2[Growth_Calculation],"Not Found")</f>
        <v>-7.490000000000002</v>
      </c>
      <c r="J18" s="27" cm="1">
        <f t="array" ref="J18">_xlfn.XLOOKUP(J$1&amp;$A18,_2[Country]&amp;_2[Year],_2[Growth_Calculation],"Not Found")</f>
        <v>18.170000000000002</v>
      </c>
      <c r="K18" s="27" cm="1">
        <f t="array" ref="K18">_xlfn.XLOOKUP(K$1&amp;$A18,_2[Country]&amp;_2[Year],_2[Growth_Calculation],"Not Found")</f>
        <v>3.1500000000000057</v>
      </c>
      <c r="L18" s="27" cm="1">
        <f t="array" ref="L18">_xlfn.XLOOKUP(L$1&amp;$A18,_2[Country]&amp;_2[Year],_2[Growth_Calculation],"Not Found")</f>
        <v>24.769999999999996</v>
      </c>
      <c r="M18" s="27" cm="1">
        <f t="array" ref="M18">_xlfn.XLOOKUP(M$1&amp;$A18,_2[Country]&amp;_2[Year],_2[Growth_Calculation],"Not Found")</f>
        <v>-12.969999999999999</v>
      </c>
      <c r="N18" s="27" cm="1">
        <f t="array" ref="N18">_xlfn.XLOOKUP(N$1&amp;$A18,_2[Country]&amp;_2[Year],_2[Growth_Calculation],"Not Found")</f>
        <v>-22.340000000000003</v>
      </c>
      <c r="O18" s="27" cm="1">
        <f t="array" ref="O18">_xlfn.XLOOKUP(O$1&amp;$A18,_2[Country]&amp;_2[Year],_2[Growth_Calculation],"Not Found")</f>
        <v>23.909999999999997</v>
      </c>
      <c r="P18" s="27" cm="1">
        <f t="array" ref="P18">_xlfn.XLOOKUP(P$1&amp;$A18,_2[Country]&amp;_2[Year],_2[Growth_Calculation],"Not Found")</f>
        <v>-10.790000000000006</v>
      </c>
      <c r="Q18" s="27" cm="1">
        <f t="array" ref="Q18">_xlfn.XLOOKUP(Q$1&amp;$A18,_2[Country]&amp;_2[Year],_2[Growth_Calculation],"Not Found")</f>
        <v>0.89999999999999147</v>
      </c>
      <c r="R18" s="27" cm="1">
        <f t="array" ref="R18">_xlfn.XLOOKUP(R$1&amp;$A18,_2[Country]&amp;_2[Year],_2[Growth_Calculation],"Not Found")</f>
        <v>15.4</v>
      </c>
      <c r="S18" s="27" cm="1">
        <f t="array" ref="S18">_xlfn.XLOOKUP(S$1&amp;$A18,_2[Country]&amp;_2[Year],_2[Growth_Calculation],"Not Found")</f>
        <v>-22.06</v>
      </c>
      <c r="T18" s="27" cm="1">
        <f t="array" ref="T18">_xlfn.XLOOKUP(T$1&amp;$A18,_2[Country]&amp;_2[Year],_2[Growth_Calculation],"Not Found")</f>
        <v>2.1199999999999903</v>
      </c>
      <c r="U18" s="27" cm="1">
        <f t="array" ref="U18">_xlfn.XLOOKUP(U$1&amp;$A18,_2[Country]&amp;_2[Year],_2[Growth_Calculation],"Not Found")</f>
        <v>22.96</v>
      </c>
      <c r="V18" s="27" cm="1">
        <f t="array" ref="V18">_xlfn.XLOOKUP(V$1&amp;$A18,_2[Country]&amp;_2[Year],_2[Growth_Calculation],"Not Found")</f>
        <v>3.4899999999999984</v>
      </c>
      <c r="W18" s="27" cm="1">
        <f t="array" ref="W18">_xlfn.XLOOKUP(W$1&amp;$A18,_2[Country]&amp;_2[Year],_2[Growth_Calculation],"Not Found")</f>
        <v>0.97999999999999687</v>
      </c>
      <c r="X18" s="27" cm="1">
        <f t="array" ref="X18">_xlfn.XLOOKUP(X$1&amp;$A18,_2[Country]&amp;_2[Year],_2[Growth_Calculation],"Not Found")</f>
        <v>-19.050000000000011</v>
      </c>
      <c r="Y18" s="27" cm="1">
        <f t="array" ref="Y18">_xlfn.XLOOKUP(Y$1&amp;$A18,_2[Country]&amp;_2[Year],_2[Growth_Calculation],"Not Found")</f>
        <v>4.7899999999999991</v>
      </c>
      <c r="Z18" s="27" cm="1">
        <f t="array" ref="Z18">_xlfn.XLOOKUP(Z$1&amp;$A18,_2[Country]&amp;_2[Year],_2[Growth_Calculation],"Not Found")</f>
        <v>-20.259999999999998</v>
      </c>
      <c r="AA18" s="27" cm="1">
        <f t="array" ref="AA18">_xlfn.XLOOKUP(AA$1&amp;$A18,_2[Country]&amp;_2[Year],_2[Growth_Calculation],"Not Found")</f>
        <v>-44.779999999999994</v>
      </c>
      <c r="AB18" s="27" cm="1">
        <f t="array" ref="AB18">_xlfn.XLOOKUP(AB$1&amp;$A18,_2[Country]&amp;_2[Year],_2[Growth_Calculation],"Not Found")</f>
        <v>-53.01</v>
      </c>
      <c r="AC18" s="27" cm="1">
        <f t="array" ref="AC18">_xlfn.XLOOKUP(AC$1&amp;$A18,_2[Country]&amp;_2[Year],_2[Growth_Calculation],"Not Found")</f>
        <v>12.54</v>
      </c>
      <c r="AD18" s="27" cm="1">
        <f t="array" ref="AD18">_xlfn.XLOOKUP(AD$1&amp;$A18,_2[Country]&amp;_2[Year],_2[Growth_Calculation],"Not Found")</f>
        <v>35.49</v>
      </c>
      <c r="AE18" s="27" cm="1">
        <f t="array" ref="AE18">_xlfn.XLOOKUP(AE$1&amp;$A18,_2[Country]&amp;_2[Year],_2[Growth_Calculation],"Not Found")</f>
        <v>5.24</v>
      </c>
      <c r="AF18" s="27" cm="1">
        <f t="array" ref="AF18">_xlfn.XLOOKUP(AF$1&amp;$A18,_2[Country]&amp;_2[Year],_2[Growth_Calculation],"Not Found")</f>
        <v>-49.220000000000006</v>
      </c>
      <c r="AG18" s="27" cm="1">
        <f t="array" ref="AG18">_xlfn.XLOOKUP(AG$1&amp;$A18,_2[Country]&amp;_2[Year],_2[Growth_Calculation],"Not Found")</f>
        <v>3.9200000000000004</v>
      </c>
      <c r="AH18" s="27" cm="1">
        <f t="array" ref="AH18">_xlfn.XLOOKUP(AH$1&amp;$A18,_2[Country]&amp;_2[Year],_2[Growth_Calculation],"Not Found")</f>
        <v>-13.920000000000002</v>
      </c>
      <c r="AI18" s="27" cm="1">
        <f t="array" ref="AI18">_xlfn.XLOOKUP(AI$1&amp;$A18,_2[Country]&amp;_2[Year],_2[Growth_Calculation],"Not Found")</f>
        <v>-11.580000000000013</v>
      </c>
      <c r="AJ18" s="27" cm="1">
        <f t="array" ref="AJ18">_xlfn.XLOOKUP(AJ$1&amp;$A18,_2[Country]&amp;_2[Year],_2[Growth_Calculation],"Not Found")</f>
        <v>4.3000000000000043</v>
      </c>
    </row>
    <row r="19" spans="1:36" x14ac:dyDescent="0.35">
      <c r="A19" s="29">
        <v>2017</v>
      </c>
      <c r="B19" s="28" cm="1">
        <f t="array" ref="B19">_xlfn.XLOOKUP(B$1&amp;$A19,_2[Country]&amp;_2[Year],_2[Growth_Calculation],"Not Found")</f>
        <v>-1.6399999999999997</v>
      </c>
      <c r="C19" s="26" cm="1">
        <f t="array" ref="C19">_xlfn.XLOOKUP(C$1&amp;$A19,_2[Country]&amp;_2[Year],_2[Growth_Calculation],"Not Found")</f>
        <v>-10.029999999999994</v>
      </c>
      <c r="D19" s="26" cm="1">
        <f t="array" ref="D19">_xlfn.XLOOKUP(D$1&amp;$A19,_2[Country]&amp;_2[Year],_2[Growth_Calculation],"Not Found")</f>
        <v>0.56999999999999995</v>
      </c>
      <c r="E19" s="27" cm="1">
        <f t="array" ref="E19">_xlfn.XLOOKUP(E$1&amp;$A19,_2[Country]&amp;_2[Year],_2[Growth_Calculation],"Not Found")</f>
        <v>-20.25</v>
      </c>
      <c r="F19" s="27" cm="1">
        <f t="array" ref="F19">_xlfn.XLOOKUP(F$1&amp;$A19,_2[Country]&amp;_2[Year],_2[Growth_Calculation],"Not Found")</f>
        <v>-39.059999999999995</v>
      </c>
      <c r="G19" s="27" cm="1">
        <f t="array" ref="G19">_xlfn.XLOOKUP(G$1&amp;$A19,_2[Country]&amp;_2[Year],_2[Growth_Calculation],"Not Found")</f>
        <v>-35.900000000000006</v>
      </c>
      <c r="H19" s="27" cm="1">
        <f t="array" ref="H19">_xlfn.XLOOKUP(H$1&amp;$A19,_2[Country]&amp;_2[Year],_2[Growth_Calculation],"Not Found")</f>
        <v>-5.3000000000000007</v>
      </c>
      <c r="I19" s="27" cm="1">
        <f t="array" ref="I19">_xlfn.XLOOKUP(I$1&amp;$A19,_2[Country]&amp;_2[Year],_2[Growth_Calculation],"Not Found")</f>
        <v>-8.5300000000000011</v>
      </c>
      <c r="J19" s="27" cm="1">
        <f t="array" ref="J19">_xlfn.XLOOKUP(J$1&amp;$A19,_2[Country]&amp;_2[Year],_2[Growth_Calculation],"Not Found")</f>
        <v>16.149999999999999</v>
      </c>
      <c r="K19" s="27" cm="1">
        <f t="array" ref="K19">_xlfn.XLOOKUP(K$1&amp;$A19,_2[Country]&amp;_2[Year],_2[Growth_Calculation],"Not Found")</f>
        <v>3.1500000000000057</v>
      </c>
      <c r="L19" s="27" cm="1">
        <f t="array" ref="L19">_xlfn.XLOOKUP(L$1&amp;$A19,_2[Country]&amp;_2[Year],_2[Growth_Calculation],"Not Found")</f>
        <v>26.159999999999997</v>
      </c>
      <c r="M19" s="27" cm="1">
        <f t="array" ref="M19">_xlfn.XLOOKUP(M$1&amp;$A19,_2[Country]&amp;_2[Year],_2[Growth_Calculation],"Not Found")</f>
        <v>-12.29</v>
      </c>
      <c r="N19" s="27" cm="1">
        <f t="array" ref="N19">_xlfn.XLOOKUP(N$1&amp;$A19,_2[Country]&amp;_2[Year],_2[Growth_Calculation],"Not Found")</f>
        <v>-29.680000000000007</v>
      </c>
      <c r="O19" s="27" cm="1">
        <f t="array" ref="O19">_xlfn.XLOOKUP(O$1&amp;$A19,_2[Country]&amp;_2[Year],_2[Growth_Calculation],"Not Found")</f>
        <v>22.200000000000003</v>
      </c>
      <c r="P19" s="27" cm="1">
        <f t="array" ref="P19">_xlfn.XLOOKUP(P$1&amp;$A19,_2[Country]&amp;_2[Year],_2[Growth_Calculation],"Not Found")</f>
        <v>-9.3700000000000045</v>
      </c>
      <c r="Q19" s="27" cm="1">
        <f t="array" ref="Q19">_xlfn.XLOOKUP(Q$1&amp;$A19,_2[Country]&amp;_2[Year],_2[Growth_Calculation],"Not Found")</f>
        <v>0.89999999999999147</v>
      </c>
      <c r="R19" s="27" cm="1">
        <f t="array" ref="R19">_xlfn.XLOOKUP(R$1&amp;$A19,_2[Country]&amp;_2[Year],_2[Growth_Calculation],"Not Found")</f>
        <v>42.48</v>
      </c>
      <c r="S19" s="27" cm="1">
        <f t="array" ref="S19">_xlfn.XLOOKUP(S$1&amp;$A19,_2[Country]&amp;_2[Year],_2[Growth_Calculation],"Not Found")</f>
        <v>-23.959999999999997</v>
      </c>
      <c r="T19" s="27" cm="1">
        <f t="array" ref="T19">_xlfn.XLOOKUP(T$1&amp;$A19,_2[Country]&amp;_2[Year],_2[Growth_Calculation],"Not Found")</f>
        <v>-8.8200000000000074</v>
      </c>
      <c r="U19" s="27" cm="1">
        <f t="array" ref="U19">_xlfn.XLOOKUP(U$1&amp;$A19,_2[Country]&amp;_2[Year],_2[Growth_Calculation],"Not Found")</f>
        <v>23.39</v>
      </c>
      <c r="V19" s="27" cm="1">
        <f t="array" ref="V19">_xlfn.XLOOKUP(V$1&amp;$A19,_2[Country]&amp;_2[Year],_2[Growth_Calculation],"Not Found")</f>
        <v>2.3499999999999979</v>
      </c>
      <c r="W19" s="27" cm="1">
        <f t="array" ref="W19">_xlfn.XLOOKUP(W$1&amp;$A19,_2[Country]&amp;_2[Year],_2[Growth_Calculation],"Not Found")</f>
        <v>0.75999999999999801</v>
      </c>
      <c r="X19" s="27" cm="1">
        <f t="array" ref="X19">_xlfn.XLOOKUP(X$1&amp;$A19,_2[Country]&amp;_2[Year],_2[Growth_Calculation],"Not Found")</f>
        <v>-18.540000000000006</v>
      </c>
      <c r="Y19" s="27" cm="1">
        <f t="array" ref="Y19">_xlfn.XLOOKUP(Y$1&amp;$A19,_2[Country]&amp;_2[Year],_2[Growth_Calculation],"Not Found")</f>
        <v>7.2899999999999991</v>
      </c>
      <c r="Z19" s="27" cm="1">
        <f t="array" ref="Z19">_xlfn.XLOOKUP(Z$1&amp;$A19,_2[Country]&amp;_2[Year],_2[Growth_Calculation],"Not Found")</f>
        <v>-20.259999999999998</v>
      </c>
      <c r="AA19" s="27" cm="1">
        <f t="array" ref="AA19">_xlfn.XLOOKUP(AA$1&amp;$A19,_2[Country]&amp;_2[Year],_2[Growth_Calculation],"Not Found")</f>
        <v>-43.73</v>
      </c>
      <c r="AB19" s="27" cm="1">
        <f t="array" ref="AB19">_xlfn.XLOOKUP(AB$1&amp;$A19,_2[Country]&amp;_2[Year],_2[Growth_Calculation],"Not Found")</f>
        <v>-52.41</v>
      </c>
      <c r="AC19" s="27" cm="1">
        <f t="array" ref="AC19">_xlfn.XLOOKUP(AC$1&amp;$A19,_2[Country]&amp;_2[Year],_2[Growth_Calculation],"Not Found")</f>
        <v>16.760000000000002</v>
      </c>
      <c r="AD19" s="27" cm="1">
        <f t="array" ref="AD19">_xlfn.XLOOKUP(AD$1&amp;$A19,_2[Country]&amp;_2[Year],_2[Growth_Calculation],"Not Found")</f>
        <v>36.93</v>
      </c>
      <c r="AE19" s="27" cm="1">
        <f t="array" ref="AE19">_xlfn.XLOOKUP(AE$1&amp;$A19,_2[Country]&amp;_2[Year],_2[Growth_Calculation],"Not Found")</f>
        <v>6.6899999999999995</v>
      </c>
      <c r="AF19" s="27" cm="1">
        <f t="array" ref="AF19">_xlfn.XLOOKUP(AF$1&amp;$A19,_2[Country]&amp;_2[Year],_2[Growth_Calculation],"Not Found")</f>
        <v>-49.070000000000007</v>
      </c>
      <c r="AG19" s="27" cm="1">
        <f t="array" ref="AG19">_xlfn.XLOOKUP(AG$1&amp;$A19,_2[Country]&amp;_2[Year],_2[Growth_Calculation],"Not Found")</f>
        <v>3.9499999999999997</v>
      </c>
      <c r="AH19" s="27" cm="1">
        <f t="array" ref="AH19">_xlfn.XLOOKUP(AH$1&amp;$A19,_2[Country]&amp;_2[Year],_2[Growth_Calculation],"Not Found")</f>
        <v>-13.319999999999993</v>
      </c>
      <c r="AI19" s="27" cm="1">
        <f t="array" ref="AI19">_xlfn.XLOOKUP(AI$1&amp;$A19,_2[Country]&amp;_2[Year],_2[Growth_Calculation],"Not Found")</f>
        <v>-13.220000000000013</v>
      </c>
      <c r="AJ19" s="27" cm="1">
        <f t="array" ref="AJ19">_xlfn.XLOOKUP(AJ$1&amp;$A19,_2[Country]&amp;_2[Year],_2[Growth_Calculation],"Not Found")</f>
        <v>4.4500000000000028</v>
      </c>
    </row>
    <row r="20" spans="1:36" x14ac:dyDescent="0.35">
      <c r="A20" s="29">
        <v>2018</v>
      </c>
      <c r="B20" s="28" cm="1">
        <f t="array" ref="B20">_xlfn.XLOOKUP(B$1&amp;$A20,_2[Country]&amp;_2[Year],_2[Growth_Calculation],"Not Found")</f>
        <v>-1.7899999999999996</v>
      </c>
      <c r="C20" s="26" cm="1">
        <f t="array" ref="C20">_xlfn.XLOOKUP(C$1&amp;$A20,_2[Country]&amp;_2[Year],_2[Growth_Calculation],"Not Found")</f>
        <v>-4.0399999999999991</v>
      </c>
      <c r="D20" s="26" cm="1">
        <f t="array" ref="D20">_xlfn.XLOOKUP(D$1&amp;$A20,_2[Country]&amp;_2[Year],_2[Growth_Calculation],"Not Found")</f>
        <v>0.86</v>
      </c>
      <c r="E20" s="27" cm="1">
        <f t="array" ref="E20">_xlfn.XLOOKUP(E$1&amp;$A20,_2[Country]&amp;_2[Year],_2[Growth_Calculation],"Not Found")</f>
        <v>-16.95</v>
      </c>
      <c r="F20" s="27" cm="1">
        <f t="array" ref="F20">_xlfn.XLOOKUP(F$1&amp;$A20,_2[Country]&amp;_2[Year],_2[Growth_Calculation],"Not Found")</f>
        <v>-39.049999999999997</v>
      </c>
      <c r="G20" s="27" cm="1">
        <f t="array" ref="G20">_xlfn.XLOOKUP(G$1&amp;$A20,_2[Country]&amp;_2[Year],_2[Growth_Calculation],"Not Found")</f>
        <v>-36.110000000000007</v>
      </c>
      <c r="H20" s="27" cm="1">
        <f t="array" ref="H20">_xlfn.XLOOKUP(H$1&amp;$A20,_2[Country]&amp;_2[Year],_2[Growth_Calculation],"Not Found")</f>
        <v>-5.17</v>
      </c>
      <c r="I20" s="27" cm="1">
        <f t="array" ref="I20">_xlfn.XLOOKUP(I$1&amp;$A20,_2[Country]&amp;_2[Year],_2[Growth_Calculation],"Not Found")</f>
        <v>-8.3400000000000016</v>
      </c>
      <c r="J20" s="27" cm="1">
        <f t="array" ref="J20">_xlfn.XLOOKUP(J$1&amp;$A20,_2[Country]&amp;_2[Year],_2[Growth_Calculation],"Not Found")</f>
        <v>16.12</v>
      </c>
      <c r="K20" s="27" cm="1">
        <f t="array" ref="K20">_xlfn.XLOOKUP(K$1&amp;$A20,_2[Country]&amp;_2[Year],_2[Growth_Calculation],"Not Found")</f>
        <v>3.1500000000000057</v>
      </c>
      <c r="L20" s="27" cm="1">
        <f t="array" ref="L20">_xlfn.XLOOKUP(L$1&amp;$A20,_2[Country]&amp;_2[Year],_2[Growth_Calculation],"Not Found")</f>
        <v>26.459999999999994</v>
      </c>
      <c r="M20" s="27" cm="1">
        <f t="array" ref="M20">_xlfn.XLOOKUP(M$1&amp;$A20,_2[Country]&amp;_2[Year],_2[Growth_Calculation],"Not Found")</f>
        <v>-11.43</v>
      </c>
      <c r="N20" s="27" cm="1">
        <f t="array" ref="N20">_xlfn.XLOOKUP(N$1&amp;$A20,_2[Country]&amp;_2[Year],_2[Growth_Calculation],"Not Found")</f>
        <v>-30.17</v>
      </c>
      <c r="O20" s="27" cm="1">
        <f t="array" ref="O20">_xlfn.XLOOKUP(O$1&amp;$A20,_2[Country]&amp;_2[Year],_2[Growth_Calculation],"Not Found")</f>
        <v>22.6</v>
      </c>
      <c r="P20" s="27" cm="1">
        <f t="array" ref="P20">_xlfn.XLOOKUP(P$1&amp;$A20,_2[Country]&amp;_2[Year],_2[Growth_Calculation],"Not Found")</f>
        <v>-5.0900000000000034</v>
      </c>
      <c r="Q20" s="27" cm="1">
        <f t="array" ref="Q20">_xlfn.XLOOKUP(Q$1&amp;$A20,_2[Country]&amp;_2[Year],_2[Growth_Calculation],"Not Found")</f>
        <v>0.89999999999999147</v>
      </c>
      <c r="R20" s="27" cm="1">
        <f t="array" ref="R20">_xlfn.XLOOKUP(R$1&amp;$A20,_2[Country]&amp;_2[Year],_2[Growth_Calculation],"Not Found")</f>
        <v>42.57</v>
      </c>
      <c r="S20" s="27" cm="1">
        <f t="array" ref="S20">_xlfn.XLOOKUP(S$1&amp;$A20,_2[Country]&amp;_2[Year],_2[Growth_Calculation],"Not Found")</f>
        <v>-23.349999999999998</v>
      </c>
      <c r="T20" s="27" cm="1">
        <f t="array" ref="T20">_xlfn.XLOOKUP(T$1&amp;$A20,_2[Country]&amp;_2[Year],_2[Growth_Calculation],"Not Found")</f>
        <v>-12.870000000000005</v>
      </c>
      <c r="U20" s="27" cm="1">
        <f t="array" ref="U20">_xlfn.XLOOKUP(U$1&amp;$A20,_2[Country]&amp;_2[Year],_2[Growth_Calculation],"Not Found")</f>
        <v>23.439999999999998</v>
      </c>
      <c r="V20" s="27" cm="1">
        <f t="array" ref="V20">_xlfn.XLOOKUP(V$1&amp;$A20,_2[Country]&amp;_2[Year],_2[Growth_Calculation],"Not Found")</f>
        <v>7.9399999999999977</v>
      </c>
      <c r="W20" s="27" cm="1">
        <f t="array" ref="W20">_xlfn.XLOOKUP(W$1&amp;$A20,_2[Country]&amp;_2[Year],_2[Growth_Calculation],"Not Found")</f>
        <v>1.8999999999999986</v>
      </c>
      <c r="X20" s="27" cm="1">
        <f t="array" ref="X20">_xlfn.XLOOKUP(X$1&amp;$A20,_2[Country]&amp;_2[Year],_2[Growth_Calculation],"Not Found")</f>
        <v>-21.450000000000003</v>
      </c>
      <c r="Y20" s="27" cm="1">
        <f t="array" ref="Y20">_xlfn.XLOOKUP(Y$1&amp;$A20,_2[Country]&amp;_2[Year],_2[Growth_Calculation],"Not Found")</f>
        <v>9.93</v>
      </c>
      <c r="Z20" s="27" cm="1">
        <f t="array" ref="Z20">_xlfn.XLOOKUP(Z$1&amp;$A20,_2[Country]&amp;_2[Year],_2[Growth_Calculation],"Not Found")</f>
        <v>-20.83</v>
      </c>
      <c r="AA20" s="27" cm="1">
        <f t="array" ref="AA20">_xlfn.XLOOKUP(AA$1&amp;$A20,_2[Country]&amp;_2[Year],_2[Growth_Calculation],"Not Found")</f>
        <v>-43.359999999999992</v>
      </c>
      <c r="AB20" s="27" cm="1">
        <f t="array" ref="AB20">_xlfn.XLOOKUP(AB$1&amp;$A20,_2[Country]&amp;_2[Year],_2[Growth_Calculation],"Not Found")</f>
        <v>-52.41</v>
      </c>
      <c r="AC20" s="27" cm="1">
        <f t="array" ref="AC20">_xlfn.XLOOKUP(AC$1&amp;$A20,_2[Country]&amp;_2[Year],_2[Growth_Calculation],"Not Found")</f>
        <v>15.8</v>
      </c>
      <c r="AD20" s="27" cm="1">
        <f t="array" ref="AD20">_xlfn.XLOOKUP(AD$1&amp;$A20,_2[Country]&amp;_2[Year],_2[Growth_Calculation],"Not Found")</f>
        <v>28.36</v>
      </c>
      <c r="AE20" s="27" cm="1">
        <f t="array" ref="AE20">_xlfn.XLOOKUP(AE$1&amp;$A20,_2[Country]&amp;_2[Year],_2[Growth_Calculation],"Not Found")</f>
        <v>6.9399999999999995</v>
      </c>
      <c r="AF20" s="27" cm="1">
        <f t="array" ref="AF20">_xlfn.XLOOKUP(AF$1&amp;$A20,_2[Country]&amp;_2[Year],_2[Growth_Calculation],"Not Found")</f>
        <v>-47.940000000000005</v>
      </c>
      <c r="AG20" s="27" cm="1">
        <f t="array" ref="AG20">_xlfn.XLOOKUP(AG$1&amp;$A20,_2[Country]&amp;_2[Year],_2[Growth_Calculation],"Not Found")</f>
        <v>4.7100000000000009</v>
      </c>
      <c r="AH20" s="27" cm="1">
        <f t="array" ref="AH20">_xlfn.XLOOKUP(AH$1&amp;$A20,_2[Country]&amp;_2[Year],_2[Growth_Calculation],"Not Found")</f>
        <v>-9.1500000000000057</v>
      </c>
      <c r="AI20" s="27" cm="1">
        <f t="array" ref="AI20">_xlfn.XLOOKUP(AI$1&amp;$A20,_2[Country]&amp;_2[Year],_2[Growth_Calculation],"Not Found")</f>
        <v>-13.060000000000002</v>
      </c>
      <c r="AJ20" s="27" cm="1">
        <f t="array" ref="AJ20">_xlfn.XLOOKUP(AJ$1&amp;$A20,_2[Country]&amp;_2[Year],_2[Growth_Calculation],"Not Found")</f>
        <v>11.770000000000003</v>
      </c>
    </row>
    <row r="21" spans="1:36" x14ac:dyDescent="0.35">
      <c r="A21" s="29">
        <v>2019</v>
      </c>
      <c r="B21" s="28" cm="1">
        <f t="array" ref="B21">_xlfn.XLOOKUP(B$1&amp;$A21,_2[Country]&amp;_2[Year],_2[Growth_Calculation],"Not Found")</f>
        <v>-2.0499999999999994</v>
      </c>
      <c r="C21" s="26" cm="1">
        <f t="array" ref="C21">_xlfn.XLOOKUP(C$1&amp;$A21,_2[Country]&amp;_2[Year],_2[Growth_Calculation],"Not Found")</f>
        <v>-1.769999999999996</v>
      </c>
      <c r="D21" s="26" cm="1">
        <f t="array" ref="D21">_xlfn.XLOOKUP(D$1&amp;$A21,_2[Country]&amp;_2[Year],_2[Growth_Calculation],"Not Found")</f>
        <v>0.52999999999999992</v>
      </c>
      <c r="E21" s="27" cm="1">
        <f t="array" ref="E21">_xlfn.XLOOKUP(E$1&amp;$A21,_2[Country]&amp;_2[Year],_2[Growth_Calculation],"Not Found")</f>
        <v>-18.86</v>
      </c>
      <c r="F21" s="27" cm="1">
        <f t="array" ref="F21">_xlfn.XLOOKUP(F$1&amp;$A21,_2[Country]&amp;_2[Year],_2[Growth_Calculation],"Not Found")</f>
        <v>-39.029999999999994</v>
      </c>
      <c r="G21" s="27" cm="1">
        <f t="array" ref="G21">_xlfn.XLOOKUP(G$1&amp;$A21,_2[Country]&amp;_2[Year],_2[Growth_Calculation],"Not Found")</f>
        <v>-33.53</v>
      </c>
      <c r="H21" s="27" cm="1">
        <f t="array" ref="H21">_xlfn.XLOOKUP(H$1&amp;$A21,_2[Country]&amp;_2[Year],_2[Growth_Calculation],"Not Found")</f>
        <v>-5.17</v>
      </c>
      <c r="I21" s="27" cm="1">
        <f t="array" ref="I21">_xlfn.XLOOKUP(I$1&amp;$A21,_2[Country]&amp;_2[Year],_2[Growth_Calculation],"Not Found")</f>
        <v>-7.2000000000000011</v>
      </c>
      <c r="J21" s="27" cm="1">
        <f t="array" ref="J21">_xlfn.XLOOKUP(J$1&amp;$A21,_2[Country]&amp;_2[Year],_2[Growth_Calculation],"Not Found")</f>
        <v>16.11</v>
      </c>
      <c r="K21" s="27" cm="1">
        <f t="array" ref="K21">_xlfn.XLOOKUP(K$1&amp;$A21,_2[Country]&amp;_2[Year],_2[Growth_Calculation],"Not Found")</f>
        <v>3.1500000000000057</v>
      </c>
      <c r="L21" s="27" cm="1">
        <f t="array" ref="L21">_xlfn.XLOOKUP(L$1&amp;$A21,_2[Country]&amp;_2[Year],_2[Growth_Calculation],"Not Found")</f>
        <v>26.099999999999994</v>
      </c>
      <c r="M21" s="27" cm="1">
        <f t="array" ref="M21">_xlfn.XLOOKUP(M$1&amp;$A21,_2[Country]&amp;_2[Year],_2[Growth_Calculation],"Not Found")</f>
        <v>-4.07</v>
      </c>
      <c r="N21" s="27" cm="1">
        <f t="array" ref="N21">_xlfn.XLOOKUP(N$1&amp;$A21,_2[Country]&amp;_2[Year],_2[Growth_Calculation],"Not Found")</f>
        <v>-32.470000000000006</v>
      </c>
      <c r="O21" s="27" cm="1">
        <f t="array" ref="O21">_xlfn.XLOOKUP(O$1&amp;$A21,_2[Country]&amp;_2[Year],_2[Growth_Calculation],"Not Found")</f>
        <v>24.380000000000003</v>
      </c>
      <c r="P21" s="27" cm="1">
        <f t="array" ref="P21">_xlfn.XLOOKUP(P$1&amp;$A21,_2[Country]&amp;_2[Year],_2[Growth_Calculation],"Not Found")</f>
        <v>-4.8300000000000125</v>
      </c>
      <c r="Q21" s="27" cm="1">
        <f t="array" ref="Q21">_xlfn.XLOOKUP(Q$1&amp;$A21,_2[Country]&amp;_2[Year],_2[Growth_Calculation],"Not Found")</f>
        <v>0.90999999999999659</v>
      </c>
      <c r="R21" s="27" cm="1">
        <f t="array" ref="R21">_xlfn.XLOOKUP(R$1&amp;$A21,_2[Country]&amp;_2[Year],_2[Growth_Calculation],"Not Found")</f>
        <v>42.68</v>
      </c>
      <c r="S21" s="27" cm="1">
        <f t="array" ref="S21">_xlfn.XLOOKUP(S$1&amp;$A21,_2[Country]&amp;_2[Year],_2[Growth_Calculation],"Not Found")</f>
        <v>-23.229999999999997</v>
      </c>
      <c r="T21" s="27" cm="1">
        <f t="array" ref="T21">_xlfn.XLOOKUP(T$1&amp;$A21,_2[Country]&amp;_2[Year],_2[Growth_Calculation],"Not Found")</f>
        <v>-14.570000000000007</v>
      </c>
      <c r="U21" s="27" cm="1">
        <f t="array" ref="U21">_xlfn.XLOOKUP(U$1&amp;$A21,_2[Country]&amp;_2[Year],_2[Growth_Calculation],"Not Found")</f>
        <v>22.869999999999997</v>
      </c>
      <c r="V21" s="27" cm="1">
        <f t="array" ref="V21">_xlfn.XLOOKUP(V$1&amp;$A21,_2[Country]&amp;_2[Year],_2[Growth_Calculation],"Not Found")</f>
        <v>9.9399999999999977</v>
      </c>
      <c r="W21" s="27" cm="1">
        <f t="array" ref="W21">_xlfn.XLOOKUP(W$1&amp;$A21,_2[Country]&amp;_2[Year],_2[Growth_Calculation],"Not Found")</f>
        <v>2.6199999999999974</v>
      </c>
      <c r="X21" s="27" cm="1">
        <f t="array" ref="X21">_xlfn.XLOOKUP(X$1&amp;$A21,_2[Country]&amp;_2[Year],_2[Growth_Calculation],"Not Found")</f>
        <v>-21.120000000000005</v>
      </c>
      <c r="Y21" s="27" cm="1">
        <f t="array" ref="Y21">_xlfn.XLOOKUP(Y$1&amp;$A21,_2[Country]&amp;_2[Year],_2[Growth_Calculation],"Not Found")</f>
        <v>12.380000000000003</v>
      </c>
      <c r="Z21" s="27" cm="1">
        <f t="array" ref="Z21">_xlfn.XLOOKUP(Z$1&amp;$A21,_2[Country]&amp;_2[Year],_2[Growth_Calculation],"Not Found")</f>
        <v>-20.759999999999998</v>
      </c>
      <c r="AA21" s="27" cm="1">
        <f t="array" ref="AA21">_xlfn.XLOOKUP(AA$1&amp;$A21,_2[Country]&amp;_2[Year],_2[Growth_Calculation],"Not Found")</f>
        <v>-40.459999999999994</v>
      </c>
      <c r="AB21" s="27" cm="1">
        <f t="array" ref="AB21">_xlfn.XLOOKUP(AB$1&amp;$A21,_2[Country]&amp;_2[Year],_2[Growth_Calculation],"Not Found")</f>
        <v>-52.58</v>
      </c>
      <c r="AC21" s="27" cm="1">
        <f t="array" ref="AC21">_xlfn.XLOOKUP(AC$1&amp;$A21,_2[Country]&amp;_2[Year],_2[Growth_Calculation],"Not Found")</f>
        <v>21.45</v>
      </c>
      <c r="AD21" s="27" cm="1">
        <f t="array" ref="AD21">_xlfn.XLOOKUP(AD$1&amp;$A21,_2[Country]&amp;_2[Year],_2[Growth_Calculation],"Not Found")</f>
        <v>21.71</v>
      </c>
      <c r="AE21" s="27" cm="1">
        <f t="array" ref="AE21">_xlfn.XLOOKUP(AE$1&amp;$A21,_2[Country]&amp;_2[Year],_2[Growth_Calculation],"Not Found")</f>
        <v>7.4399999999999995</v>
      </c>
      <c r="AF21" s="27" cm="1">
        <f t="array" ref="AF21">_xlfn.XLOOKUP(AF$1&amp;$A21,_2[Country]&amp;_2[Year],_2[Growth_Calculation],"Not Found")</f>
        <v>-47.11</v>
      </c>
      <c r="AG21" s="27" cm="1">
        <f t="array" ref="AG21">_xlfn.XLOOKUP(AG$1&amp;$A21,_2[Country]&amp;_2[Year],_2[Growth_Calculation],"Not Found")</f>
        <v>4.59</v>
      </c>
      <c r="AH21" s="27" cm="1">
        <f t="array" ref="AH21">_xlfn.XLOOKUP(AH$1&amp;$A21,_2[Country]&amp;_2[Year],_2[Growth_Calculation],"Not Found")</f>
        <v>-6.9399999999999977</v>
      </c>
      <c r="AI21" s="27" cm="1">
        <f t="array" ref="AI21">_xlfn.XLOOKUP(AI$1&amp;$A21,_2[Country]&amp;_2[Year],_2[Growth_Calculation],"Not Found")</f>
        <v>-12.540000000000006</v>
      </c>
      <c r="AJ21" s="27" cm="1">
        <f t="array" ref="AJ21">_xlfn.XLOOKUP(AJ$1&amp;$A21,_2[Country]&amp;_2[Year],_2[Growth_Calculation],"Not Found")</f>
        <v>11.830000000000005</v>
      </c>
    </row>
    <row r="22" spans="1:36" x14ac:dyDescent="0.35">
      <c r="A22" s="29">
        <v>2020</v>
      </c>
      <c r="B22" s="28" cm="1">
        <f t="array" ref="B22">_xlfn.XLOOKUP(B$1&amp;$A22,_2[Country]&amp;_2[Year],_2[Growth_Calculation],"Not Found")</f>
        <v>-2.2099999999999995</v>
      </c>
      <c r="C22" s="26" cm="1">
        <f t="array" ref="C22">_xlfn.XLOOKUP(C$1&amp;$A22,_2[Country]&amp;_2[Year],_2[Growth_Calculation],"Not Found")</f>
        <v>0.44000000000000483</v>
      </c>
      <c r="D22" s="26" cm="1">
        <f t="array" ref="D22">_xlfn.XLOOKUP(D$1&amp;$A22,_2[Country]&amp;_2[Year],_2[Growth_Calculation],"Not Found")</f>
        <v>0.87</v>
      </c>
      <c r="E22" s="27" cm="1">
        <f t="array" ref="E22">_xlfn.XLOOKUP(E$1&amp;$A22,_2[Country]&amp;_2[Year],_2[Growth_Calculation],"Not Found")</f>
        <v>-18.77</v>
      </c>
      <c r="F22" s="27" cm="1">
        <f t="array" ref="F22">_xlfn.XLOOKUP(F$1&amp;$A22,_2[Country]&amp;_2[Year],_2[Growth_Calculation],"Not Found")</f>
        <v>-38.97</v>
      </c>
      <c r="G22" s="27" cm="1">
        <f t="array" ref="G22">_xlfn.XLOOKUP(G$1&amp;$A22,_2[Country]&amp;_2[Year],_2[Growth_Calculation],"Not Found")</f>
        <v>-33.5</v>
      </c>
      <c r="H22" s="27" cm="1">
        <f t="array" ref="H22">_xlfn.XLOOKUP(H$1&amp;$A22,_2[Country]&amp;_2[Year],_2[Growth_Calculation],"Not Found")</f>
        <v>-4.9800000000000004</v>
      </c>
      <c r="I22" s="27" cm="1">
        <f t="array" ref="I22">_xlfn.XLOOKUP(I$1&amp;$A22,_2[Country]&amp;_2[Year],_2[Growth_Calculation],"Not Found")</f>
        <v>-6.9100000000000019</v>
      </c>
      <c r="J22" s="27" cm="1">
        <f t="array" ref="J22">_xlfn.XLOOKUP(J$1&amp;$A22,_2[Country]&amp;_2[Year],_2[Growth_Calculation],"Not Found")</f>
        <v>16.11</v>
      </c>
      <c r="K22" s="27" cm="1">
        <f t="array" ref="K22">_xlfn.XLOOKUP(K$1&amp;$A22,_2[Country]&amp;_2[Year],_2[Growth_Calculation],"Not Found")</f>
        <v>3.1500000000000057</v>
      </c>
      <c r="L22" s="27" cm="1">
        <f t="array" ref="L22">_xlfn.XLOOKUP(L$1&amp;$A22,_2[Country]&amp;_2[Year],_2[Growth_Calculation],"Not Found")</f>
        <v>26.22</v>
      </c>
      <c r="M22" s="27" cm="1">
        <f t="array" ref="M22">_xlfn.XLOOKUP(M$1&amp;$A22,_2[Country]&amp;_2[Year],_2[Growth_Calculation],"Not Found")</f>
        <v>-4.07</v>
      </c>
      <c r="N22" s="27" cm="1">
        <f t="array" ref="N22">_xlfn.XLOOKUP(N$1&amp;$A22,_2[Country]&amp;_2[Year],_2[Growth_Calculation],"Not Found")</f>
        <v>-33.160000000000004</v>
      </c>
      <c r="O22" s="27" cm="1">
        <f t="array" ref="O22">_xlfn.XLOOKUP(O$1&amp;$A22,_2[Country]&amp;_2[Year],_2[Growth_Calculation],"Not Found")</f>
        <v>23.490000000000002</v>
      </c>
      <c r="P22" s="27" cm="1">
        <f t="array" ref="P22">_xlfn.XLOOKUP(P$1&amp;$A22,_2[Country]&amp;_2[Year],_2[Growth_Calculation],"Not Found")</f>
        <v>-1.5200000000000102</v>
      </c>
      <c r="Q22" s="27" cm="1">
        <f t="array" ref="Q22">_xlfn.XLOOKUP(Q$1&amp;$A22,_2[Country]&amp;_2[Year],_2[Growth_Calculation],"Not Found")</f>
        <v>0.90999999999999659</v>
      </c>
      <c r="R22" s="27" cm="1">
        <f t="array" ref="R22">_xlfn.XLOOKUP(R$1&amp;$A22,_2[Country]&amp;_2[Year],_2[Growth_Calculation],"Not Found")</f>
        <v>42.92</v>
      </c>
      <c r="S22" s="27" cm="1">
        <f t="array" ref="S22">_xlfn.XLOOKUP(S$1&amp;$A22,_2[Country]&amp;_2[Year],_2[Growth_Calculation],"Not Found")</f>
        <v>-23.119999999999997</v>
      </c>
      <c r="T22" s="27" cm="1">
        <f t="array" ref="T22">_xlfn.XLOOKUP(T$1&amp;$A22,_2[Country]&amp;_2[Year],_2[Growth_Calculation],"Not Found")</f>
        <v>-14.480000000000004</v>
      </c>
      <c r="U22" s="27" cm="1">
        <f t="array" ref="U22">_xlfn.XLOOKUP(U$1&amp;$A22,_2[Country]&amp;_2[Year],_2[Growth_Calculation],"Not Found")</f>
        <v>25.479999999999997</v>
      </c>
      <c r="V22" s="27" cm="1">
        <f t="array" ref="V22">_xlfn.XLOOKUP(V$1&amp;$A22,_2[Country]&amp;_2[Year],_2[Growth_Calculation],"Not Found")</f>
        <v>10.599999999999998</v>
      </c>
      <c r="W22" s="27" cm="1">
        <f t="array" ref="W22">_xlfn.XLOOKUP(W$1&amp;$A22,_2[Country]&amp;_2[Year],_2[Growth_Calculation],"Not Found")</f>
        <v>5.1099999999999994</v>
      </c>
      <c r="X22" s="27" cm="1">
        <f t="array" ref="X22">_xlfn.XLOOKUP(X$1&amp;$A22,_2[Country]&amp;_2[Year],_2[Growth_Calculation],"Not Found")</f>
        <v>-20.47</v>
      </c>
      <c r="Y22" s="27" cm="1">
        <f t="array" ref="Y22">_xlfn.XLOOKUP(Y$1&amp;$A22,_2[Country]&amp;_2[Year],_2[Growth_Calculation],"Not Found")</f>
        <v>9.259999999999998</v>
      </c>
      <c r="Z22" s="27" cm="1">
        <f t="array" ref="Z22">_xlfn.XLOOKUP(Z$1&amp;$A22,_2[Country]&amp;_2[Year],_2[Growth_Calculation],"Not Found")</f>
        <v>-20.65</v>
      </c>
      <c r="AA22" s="27" cm="1">
        <f t="array" ref="AA22">_xlfn.XLOOKUP(AA$1&amp;$A22,_2[Country]&amp;_2[Year],_2[Growth_Calculation],"Not Found")</f>
        <v>-38.389999999999993</v>
      </c>
      <c r="AB22" s="27" cm="1">
        <f t="array" ref="AB22">_xlfn.XLOOKUP(AB$1&amp;$A22,_2[Country]&amp;_2[Year],_2[Growth_Calculation],"Not Found")</f>
        <v>-52.61</v>
      </c>
      <c r="AC22" s="27" cm="1">
        <f t="array" ref="AC22">_xlfn.XLOOKUP(AC$1&amp;$A22,_2[Country]&amp;_2[Year],_2[Growth_Calculation],"Not Found")</f>
        <v>27.57</v>
      </c>
      <c r="AD22" s="27" cm="1">
        <f t="array" ref="AD22">_xlfn.XLOOKUP(AD$1&amp;$A22,_2[Country]&amp;_2[Year],_2[Growth_Calculation],"Not Found")</f>
        <v>22.22</v>
      </c>
      <c r="AE22" s="27" cm="1">
        <f t="array" ref="AE22">_xlfn.XLOOKUP(AE$1&amp;$A22,_2[Country]&amp;_2[Year],_2[Growth_Calculation],"Not Found")</f>
        <v>9.0399999999999991</v>
      </c>
      <c r="AF22" s="27" cm="1">
        <f t="array" ref="AF22">_xlfn.XLOOKUP(AF$1&amp;$A22,_2[Country]&amp;_2[Year],_2[Growth_Calculation],"Not Found")</f>
        <v>-46.13000000000001</v>
      </c>
      <c r="AG22" s="27" cm="1">
        <f t="array" ref="AG22">_xlfn.XLOOKUP(AG$1&amp;$A22,_2[Country]&amp;_2[Year],_2[Growth_Calculation],"Not Found")</f>
        <v>4.1899999999999995</v>
      </c>
      <c r="AH22" s="27" cm="1">
        <f t="array" ref="AH22">_xlfn.XLOOKUP(AH$1&amp;$A22,_2[Country]&amp;_2[Year],_2[Growth_Calculation],"Not Found")</f>
        <v>-6.7199999999999989</v>
      </c>
      <c r="AI22" s="27" cm="1">
        <f t="array" ref="AI22">_xlfn.XLOOKUP(AI$1&amp;$A22,_2[Country]&amp;_2[Year],_2[Growth_Calculation],"Not Found")</f>
        <v>-12.530000000000001</v>
      </c>
      <c r="AJ22" s="27" cm="1">
        <f t="array" ref="AJ22">_xlfn.XLOOKUP(AJ$1&amp;$A22,_2[Country]&amp;_2[Year],_2[Growth_Calculation],"Not Found")</f>
        <v>11.880000000000003</v>
      </c>
    </row>
    <row r="23" spans="1:36" x14ac:dyDescent="0.35">
      <c r="A23" s="29">
        <v>2021</v>
      </c>
      <c r="B23" s="28" cm="1">
        <f t="array" ref="B23">_xlfn.XLOOKUP(B$1&amp;$A23,_2[Country]&amp;_2[Year],_2[Growth_Calculation],"Not Found")</f>
        <v>-2.5499999999999998</v>
      </c>
      <c r="C23" s="26" cm="1">
        <f t="array" ref="C23">_xlfn.XLOOKUP(C$1&amp;$A23,_2[Country]&amp;_2[Year],_2[Growth_Calculation],"Not Found")</f>
        <v>0.44000000000000483</v>
      </c>
      <c r="D23" s="26" cm="1">
        <f t="array" ref="D23">_xlfn.XLOOKUP(D$1&amp;$A23,_2[Country]&amp;_2[Year],_2[Growth_Calculation],"Not Found")</f>
        <v>1.2400000000000002</v>
      </c>
      <c r="E23" s="27" cm="1">
        <f t="array" ref="E23">_xlfn.XLOOKUP(E$1&amp;$A23,_2[Country]&amp;_2[Year],_2[Growth_Calculation],"Not Found")</f>
        <v>-20.85</v>
      </c>
      <c r="F23" s="27" cm="1">
        <f t="array" ref="F23">_xlfn.XLOOKUP(F$1&amp;$A23,_2[Country]&amp;_2[Year],_2[Growth_Calculation],"Not Found")</f>
        <v>-35.97</v>
      </c>
      <c r="G23" s="27" cm="1">
        <f t="array" ref="G23">_xlfn.XLOOKUP(G$1&amp;$A23,_2[Country]&amp;_2[Year],_2[Growth_Calculation],"Not Found")</f>
        <v>-33.17</v>
      </c>
      <c r="H23" s="27" cm="1">
        <f t="array" ref="H23">_xlfn.XLOOKUP(H$1&amp;$A23,_2[Country]&amp;_2[Year],_2[Growth_Calculation],"Not Found")</f>
        <v>-4.8100000000000005</v>
      </c>
      <c r="I23" s="27" cm="1">
        <f t="array" ref="I23">_xlfn.XLOOKUP(I$1&amp;$A23,_2[Country]&amp;_2[Year],_2[Growth_Calculation],"Not Found")</f>
        <v>-6.4400000000000013</v>
      </c>
      <c r="J23" s="27" cm="1">
        <f t="array" ref="J23">_xlfn.XLOOKUP(J$1&amp;$A23,_2[Country]&amp;_2[Year],_2[Growth_Calculation],"Not Found")</f>
        <v>16.09</v>
      </c>
      <c r="K23" s="27" cm="1">
        <f t="array" ref="K23">_xlfn.XLOOKUP(K$1&amp;$A23,_2[Country]&amp;_2[Year],_2[Growth_Calculation],"Not Found")</f>
        <v>3.4399999999999977</v>
      </c>
      <c r="L23" s="27" cm="1">
        <f t="array" ref="L23">_xlfn.XLOOKUP(L$1&amp;$A23,_2[Country]&amp;_2[Year],_2[Growth_Calculation],"Not Found")</f>
        <v>26.239999999999995</v>
      </c>
      <c r="M23" s="27" cm="1">
        <f t="array" ref="M23">_xlfn.XLOOKUP(M$1&amp;$A23,_2[Country]&amp;_2[Year],_2[Growth_Calculation],"Not Found")</f>
        <v>-4.0399999999999991</v>
      </c>
      <c r="N23" s="27" cm="1">
        <f t="array" ref="N23">_xlfn.XLOOKUP(N$1&amp;$A23,_2[Country]&amp;_2[Year],_2[Growth_Calculation],"Not Found")</f>
        <v>-33.650000000000006</v>
      </c>
      <c r="O23" s="27" cm="1">
        <f t="array" ref="O23">_xlfn.XLOOKUP(O$1&amp;$A23,_2[Country]&amp;_2[Year],_2[Growth_Calculation],"Not Found")</f>
        <v>27.819999999999993</v>
      </c>
      <c r="P23" s="27" cm="1">
        <f t="array" ref="P23">_xlfn.XLOOKUP(P$1&amp;$A23,_2[Country]&amp;_2[Year],_2[Growth_Calculation],"Not Found")</f>
        <v>-0.21000000000000796</v>
      </c>
      <c r="Q23" s="27" cm="1">
        <f t="array" ref="Q23">_xlfn.XLOOKUP(Q$1&amp;$A23,_2[Country]&amp;_2[Year],_2[Growth_Calculation],"Not Found")</f>
        <v>0.87999999999999545</v>
      </c>
      <c r="R23" s="27" cm="1">
        <f t="array" ref="R23">_xlfn.XLOOKUP(R$1&amp;$A23,_2[Country]&amp;_2[Year],_2[Growth_Calculation],"Not Found")</f>
        <v>42.839999999999996</v>
      </c>
      <c r="S23" s="27" cm="1">
        <f t="array" ref="S23">_xlfn.XLOOKUP(S$1&amp;$A23,_2[Country]&amp;_2[Year],_2[Growth_Calculation],"Not Found")</f>
        <v>-23.139999999999997</v>
      </c>
      <c r="T23" s="27" cm="1">
        <f t="array" ref="T23">_xlfn.XLOOKUP(T$1&amp;$A23,_2[Country]&amp;_2[Year],_2[Growth_Calculation],"Not Found")</f>
        <v>-11.210000000000008</v>
      </c>
      <c r="U23" s="27" cm="1">
        <f t="array" ref="U23">_xlfn.XLOOKUP(U$1&amp;$A23,_2[Country]&amp;_2[Year],_2[Growth_Calculation],"Not Found")</f>
        <v>27.03</v>
      </c>
      <c r="V23" s="27" cm="1">
        <f t="array" ref="V23">_xlfn.XLOOKUP(V$1&amp;$A23,_2[Country]&amp;_2[Year],_2[Growth_Calculation],"Not Found")</f>
        <v>10.819999999999997</v>
      </c>
      <c r="W23" s="27" cm="1">
        <f t="array" ref="W23">_xlfn.XLOOKUP(W$1&amp;$A23,_2[Country]&amp;_2[Year],_2[Growth_Calculation],"Not Found")</f>
        <v>5.1400000000000006</v>
      </c>
      <c r="X23" s="27" cm="1">
        <f t="array" ref="X23">_xlfn.XLOOKUP(X$1&amp;$A23,_2[Country]&amp;_2[Year],_2[Growth_Calculation],"Not Found")</f>
        <v>-20.460000000000008</v>
      </c>
      <c r="Y23" s="27" cm="1">
        <f t="array" ref="Y23">_xlfn.XLOOKUP(Y$1&amp;$A23,_2[Country]&amp;_2[Year],_2[Growth_Calculation],"Not Found")</f>
        <v>9.3500000000000014</v>
      </c>
      <c r="Z23" s="27" cm="1">
        <f t="array" ref="Z23">_xlfn.XLOOKUP(Z$1&amp;$A23,_2[Country]&amp;_2[Year],_2[Growth_Calculation],"Not Found")</f>
        <v>-20.399999999999999</v>
      </c>
      <c r="AA23" s="27" cm="1">
        <f t="array" ref="AA23">_xlfn.XLOOKUP(AA$1&amp;$A23,_2[Country]&amp;_2[Year],_2[Growth_Calculation],"Not Found")</f>
        <v>-38.149999999999991</v>
      </c>
      <c r="AB23" s="27" cm="1">
        <f t="array" ref="AB23">_xlfn.XLOOKUP(AB$1&amp;$A23,_2[Country]&amp;_2[Year],_2[Growth_Calculation],"Not Found")</f>
        <v>-53.019999999999996</v>
      </c>
      <c r="AC23" s="27" cm="1">
        <f t="array" ref="AC23">_xlfn.XLOOKUP(AC$1&amp;$A23,_2[Country]&amp;_2[Year],_2[Growth_Calculation],"Not Found")</f>
        <v>31.05</v>
      </c>
      <c r="AD23" s="27" cm="1">
        <f t="array" ref="AD23">_xlfn.XLOOKUP(AD$1&amp;$A23,_2[Country]&amp;_2[Year],_2[Growth_Calculation],"Not Found")</f>
        <v>24.11</v>
      </c>
      <c r="AE23" s="27" cm="1">
        <f t="array" ref="AE23">_xlfn.XLOOKUP(AE$1&amp;$A23,_2[Country]&amp;_2[Year],_2[Growth_Calculation],"Not Found")</f>
        <v>9.43</v>
      </c>
      <c r="AF23" s="27" cm="1">
        <f t="array" ref="AF23">_xlfn.XLOOKUP(AF$1&amp;$A23,_2[Country]&amp;_2[Year],_2[Growth_Calculation],"Not Found")</f>
        <v>-39.750000000000007</v>
      </c>
      <c r="AG23" s="27" cm="1">
        <f t="array" ref="AG23">_xlfn.XLOOKUP(AG$1&amp;$A23,_2[Country]&amp;_2[Year],_2[Growth_Calculation],"Not Found")</f>
        <v>4.1899999999999995</v>
      </c>
      <c r="AH23" s="27" cm="1">
        <f t="array" ref="AH23">_xlfn.XLOOKUP(AH$1&amp;$A23,_2[Country]&amp;_2[Year],_2[Growth_Calculation],"Not Found")</f>
        <v>-6.7099999999999937</v>
      </c>
      <c r="AI23" s="27" cm="1">
        <f t="array" ref="AI23">_xlfn.XLOOKUP(AI$1&amp;$A23,_2[Country]&amp;_2[Year],_2[Growth_Calculation],"Not Found")</f>
        <v>-11</v>
      </c>
      <c r="AJ23" s="27" cm="1">
        <f t="array" ref="AJ23">_xlfn.XLOOKUP(AJ$1&amp;$A23,_2[Country]&amp;_2[Year],_2[Growth_Calculation],"Not Found")</f>
        <v>12.160000000000004</v>
      </c>
    </row>
    <row r="24" spans="1:36" x14ac:dyDescent="0.35">
      <c r="A24" s="29">
        <v>2022</v>
      </c>
      <c r="B24" s="28" cm="1">
        <f t="array" ref="B24">_xlfn.XLOOKUP(B$1&amp;$A24,_2[Country]&amp;_2[Year],_2[Growth_Calculation],"Not Found")</f>
        <v>-2.2999999999999994</v>
      </c>
      <c r="C24" s="26" cm="1">
        <f t="array" ref="C24">_xlfn.XLOOKUP(C$1&amp;$A24,_2[Country]&amp;_2[Year],_2[Growth_Calculation],"Not Found")</f>
        <v>2.1400000000000006</v>
      </c>
      <c r="D24" s="26" cm="1">
        <f t="array" ref="D24">_xlfn.XLOOKUP(D$1&amp;$A24,_2[Country]&amp;_2[Year],_2[Growth_Calculation],"Not Found")</f>
        <v>9.2399999999999984</v>
      </c>
      <c r="E24" s="27" cm="1">
        <f t="array" ref="E24">_xlfn.XLOOKUP(E$1&amp;$A24,_2[Country]&amp;_2[Year],_2[Growth_Calculation],"Not Found")</f>
        <v>-16.010000000000002</v>
      </c>
      <c r="F24" s="27" cm="1">
        <f t="array" ref="F24">_xlfn.XLOOKUP(F$1&amp;$A24,_2[Country]&amp;_2[Year],_2[Growth_Calculation],"Not Found")</f>
        <v>-30.669999999999995</v>
      </c>
      <c r="G24" s="27" cm="1">
        <f t="array" ref="G24">_xlfn.XLOOKUP(G$1&amp;$A24,_2[Country]&amp;_2[Year],_2[Growth_Calculation],"Not Found")</f>
        <v>-33.130000000000003</v>
      </c>
      <c r="H24" s="27" cm="1">
        <f t="array" ref="H24">_xlfn.XLOOKUP(H$1&amp;$A24,_2[Country]&amp;_2[Year],_2[Growth_Calculation],"Not Found")</f>
        <v>-4.8000000000000007</v>
      </c>
      <c r="I24" s="27" cm="1">
        <f t="array" ref="I24">_xlfn.XLOOKUP(I$1&amp;$A24,_2[Country]&amp;_2[Year],_2[Growth_Calculation],"Not Found")</f>
        <v>-6.4400000000000013</v>
      </c>
      <c r="J24" s="27" cm="1">
        <f t="array" ref="J24">_xlfn.XLOOKUP(J$1&amp;$A24,_2[Country]&amp;_2[Year],_2[Growth_Calculation],"Not Found")</f>
        <v>16.059999999999999</v>
      </c>
      <c r="K24" s="27" cm="1">
        <f t="array" ref="K24">_xlfn.XLOOKUP(K$1&amp;$A24,_2[Country]&amp;_2[Year],_2[Growth_Calculation],"Not Found")</f>
        <v>3.4399999999999977</v>
      </c>
      <c r="L24" s="27" cm="1">
        <f t="array" ref="L24">_xlfn.XLOOKUP(L$1&amp;$A24,_2[Country]&amp;_2[Year],_2[Growth_Calculation],"Not Found")</f>
        <v>26.549999999999997</v>
      </c>
      <c r="M24" s="27" cm="1">
        <f t="array" ref="M24">_xlfn.XLOOKUP(M$1&amp;$A24,_2[Country]&amp;_2[Year],_2[Growth_Calculation],"Not Found")</f>
        <v>-4.0399999999999991</v>
      </c>
      <c r="N24" s="27" cm="1">
        <f t="array" ref="N24">_xlfn.XLOOKUP(N$1&amp;$A24,_2[Country]&amp;_2[Year],_2[Growth_Calculation],"Not Found")</f>
        <v>-33.970000000000006</v>
      </c>
      <c r="O24" s="27" cm="1">
        <f t="array" ref="O24">_xlfn.XLOOKUP(O$1&amp;$A24,_2[Country]&amp;_2[Year],_2[Growth_Calculation],"Not Found")</f>
        <v>27.849999999999994</v>
      </c>
      <c r="P24" s="27" cm="1">
        <f t="array" ref="P24">_xlfn.XLOOKUP(P$1&amp;$A24,_2[Country]&amp;_2[Year],_2[Growth_Calculation],"Not Found")</f>
        <v>2.6699999999999875</v>
      </c>
      <c r="Q24" s="27" cm="1">
        <f t="array" ref="Q24">_xlfn.XLOOKUP(Q$1&amp;$A24,_2[Country]&amp;_2[Year],_2[Growth_Calculation],"Not Found")</f>
        <v>0.86999999999999034</v>
      </c>
      <c r="R24" s="27" cm="1">
        <f t="array" ref="R24">_xlfn.XLOOKUP(R$1&amp;$A24,_2[Country]&amp;_2[Year],_2[Growth_Calculation],"Not Found")</f>
        <v>43</v>
      </c>
      <c r="S24" s="27" cm="1">
        <f t="array" ref="S24">_xlfn.XLOOKUP(S$1&amp;$A24,_2[Country]&amp;_2[Year],_2[Growth_Calculation],"Not Found")</f>
        <v>-18.16</v>
      </c>
      <c r="T24" s="27" cm="1">
        <f t="array" ref="T24">_xlfn.XLOOKUP(T$1&amp;$A24,_2[Country]&amp;_2[Year],_2[Growth_Calculation],"Not Found")</f>
        <v>-9.8100000000000023</v>
      </c>
      <c r="U24" s="27" cm="1">
        <f t="array" ref="U24">_xlfn.XLOOKUP(U$1&amp;$A24,_2[Country]&amp;_2[Year],_2[Growth_Calculation],"Not Found")</f>
        <v>32.85</v>
      </c>
      <c r="V24" s="27" cm="1">
        <f t="array" ref="V24">_xlfn.XLOOKUP(V$1&amp;$A24,_2[Country]&amp;_2[Year],_2[Growth_Calculation],"Not Found")</f>
        <v>10.659999999999997</v>
      </c>
      <c r="W24" s="27" cm="1">
        <f t="array" ref="W24">_xlfn.XLOOKUP(W$1&amp;$A24,_2[Country]&amp;_2[Year],_2[Growth_Calculation],"Not Found")</f>
        <v>6.3599999999999994</v>
      </c>
      <c r="X24" s="27" cm="1">
        <f t="array" ref="X24">_xlfn.XLOOKUP(X$1&amp;$A24,_2[Country]&amp;_2[Year],_2[Growth_Calculation],"Not Found")</f>
        <v>-21.440000000000012</v>
      </c>
      <c r="Y24" s="27" cm="1">
        <f t="array" ref="Y24">_xlfn.XLOOKUP(Y$1&amp;$A24,_2[Country]&amp;_2[Year],_2[Growth_Calculation],"Not Found")</f>
        <v>13.270000000000003</v>
      </c>
      <c r="Z24" s="27" cm="1">
        <f t="array" ref="Z24">_xlfn.XLOOKUP(Z$1&amp;$A24,_2[Country]&amp;_2[Year],_2[Growth_Calculation],"Not Found")</f>
        <v>-20.22</v>
      </c>
      <c r="AA24" s="27" cm="1">
        <f t="array" ref="AA24">_xlfn.XLOOKUP(AA$1&amp;$A24,_2[Country]&amp;_2[Year],_2[Growth_Calculation],"Not Found")</f>
        <v>-43.669999999999995</v>
      </c>
      <c r="AB24" s="27" cm="1">
        <f t="array" ref="AB24">_xlfn.XLOOKUP(AB$1&amp;$A24,_2[Country]&amp;_2[Year],_2[Growth_Calculation],"Not Found")</f>
        <v>-53.61</v>
      </c>
      <c r="AC24" s="27" cm="1">
        <f t="array" ref="AC24">_xlfn.XLOOKUP(AC$1&amp;$A24,_2[Country]&amp;_2[Year],_2[Growth_Calculation],"Not Found")</f>
        <v>28.73</v>
      </c>
      <c r="AD24" s="27" cm="1">
        <f t="array" ref="AD24">_xlfn.XLOOKUP(AD$1&amp;$A24,_2[Country]&amp;_2[Year],_2[Growth_Calculation],"Not Found")</f>
        <v>25.28</v>
      </c>
      <c r="AE24" s="27" cm="1">
        <f t="array" ref="AE24">_xlfn.XLOOKUP(AE$1&amp;$A24,_2[Country]&amp;_2[Year],_2[Growth_Calculation],"Not Found")</f>
        <v>12.469999999999999</v>
      </c>
      <c r="AF24" s="27" cm="1">
        <f t="array" ref="AF24">_xlfn.XLOOKUP(AF$1&amp;$A24,_2[Country]&amp;_2[Year],_2[Growth_Calculation],"Not Found")</f>
        <v>-39.410000000000004</v>
      </c>
      <c r="AG24" s="27" cm="1">
        <f t="array" ref="AG24">_xlfn.XLOOKUP(AG$1&amp;$A24,_2[Country]&amp;_2[Year],_2[Growth_Calculation],"Not Found")</f>
        <v>5.18</v>
      </c>
      <c r="AH24" s="27" cm="1">
        <f t="array" ref="AH24">_xlfn.XLOOKUP(AH$1&amp;$A24,_2[Country]&amp;_2[Year],_2[Growth_Calculation],"Not Found")</f>
        <v>-6.5499999999999972</v>
      </c>
      <c r="AI24" s="27" cm="1">
        <f t="array" ref="AI24">_xlfn.XLOOKUP(AI$1&amp;$A24,_2[Country]&amp;_2[Year],_2[Growth_Calculation],"Not Found")</f>
        <v>-9.1300000000000097</v>
      </c>
      <c r="AJ24" s="27" cm="1">
        <f t="array" ref="AJ24">_xlfn.XLOOKUP(AJ$1&amp;$A24,_2[Country]&amp;_2[Year],_2[Growth_Calculation],"Not Found")</f>
        <v>11.410000000000004</v>
      </c>
    </row>
    <row r="25" spans="1:36" x14ac:dyDescent="0.35">
      <c r="A25" s="29">
        <v>2023</v>
      </c>
      <c r="B25" s="28" cm="1">
        <f t="array" ref="B25">_xlfn.XLOOKUP(B$1&amp;$A25,_2[Country]&amp;_2[Year],_2[Growth_Calculation],"Not Found")</f>
        <v>-2.3599999999999994</v>
      </c>
      <c r="C25" s="26" cm="1">
        <f t="array" ref="C25">_xlfn.XLOOKUP(C$1&amp;$A25,_2[Country]&amp;_2[Year],_2[Growth_Calculation],"Not Found")</f>
        <v>2.2800000000000011</v>
      </c>
      <c r="D25" s="26" cm="1">
        <f t="array" ref="D25">_xlfn.XLOOKUP(D$1&amp;$A25,_2[Country]&amp;_2[Year],_2[Growth_Calculation],"Not Found")</f>
        <v>9.7399999999999984</v>
      </c>
      <c r="E25" s="27" cm="1">
        <f t="array" ref="E25">_xlfn.XLOOKUP(E$1&amp;$A25,_2[Country]&amp;_2[Year],_2[Growth_Calculation],"Not Found")</f>
        <v>-5.0799999999999983</v>
      </c>
      <c r="F25" s="27" cm="1">
        <f t="array" ref="F25">_xlfn.XLOOKUP(F$1&amp;$A25,_2[Country]&amp;_2[Year],_2[Growth_Calculation],"Not Found")</f>
        <v>-30.47</v>
      </c>
      <c r="G25" s="27" cm="1">
        <f t="array" ref="G25">_xlfn.XLOOKUP(G$1&amp;$A25,_2[Country]&amp;_2[Year],_2[Growth_Calculation],"Not Found")</f>
        <v>-32.080000000000005</v>
      </c>
      <c r="H25" s="27" cm="1">
        <f t="array" ref="H25">_xlfn.XLOOKUP(H$1&amp;$A25,_2[Country]&amp;_2[Year],_2[Growth_Calculation],"Not Found")</f>
        <v>-4.79</v>
      </c>
      <c r="I25" s="27" cm="1">
        <f t="array" ref="I25">_xlfn.XLOOKUP(I$1&amp;$A25,_2[Country]&amp;_2[Year],_2[Growth_Calculation],"Not Found")</f>
        <v>-5.7800000000000011</v>
      </c>
      <c r="J25" s="27" cm="1">
        <f t="array" ref="J25">_xlfn.XLOOKUP(J$1&amp;$A25,_2[Country]&amp;_2[Year],_2[Growth_Calculation],"Not Found")</f>
        <v>16.059999999999999</v>
      </c>
      <c r="K25" s="27" cm="1">
        <f t="array" ref="K25">_xlfn.XLOOKUP(K$1&amp;$A25,_2[Country]&amp;_2[Year],_2[Growth_Calculation],"Not Found")</f>
        <v>3.9300000000000068</v>
      </c>
      <c r="L25" s="27" cm="1">
        <f t="array" ref="L25">_xlfn.XLOOKUP(L$1&amp;$A25,_2[Country]&amp;_2[Year],_2[Growth_Calculation],"Not Found")</f>
        <v>26.629999999999995</v>
      </c>
      <c r="M25" s="27" cm="1">
        <f t="array" ref="M25">_xlfn.XLOOKUP(M$1&amp;$A25,_2[Country]&amp;_2[Year],_2[Growth_Calculation],"Not Found")</f>
        <v>-4.0300000000000011</v>
      </c>
      <c r="N25" s="27" cm="1">
        <f t="array" ref="N25">_xlfn.XLOOKUP(N$1&amp;$A25,_2[Country]&amp;_2[Year],_2[Growth_Calculation],"Not Found")</f>
        <v>-33.740000000000009</v>
      </c>
      <c r="O25" s="27" cm="1">
        <f t="array" ref="O25">_xlfn.XLOOKUP(O$1&amp;$A25,_2[Country]&amp;_2[Year],_2[Growth_Calculation],"Not Found")</f>
        <v>27.870000000000005</v>
      </c>
      <c r="P25" s="27" cm="1">
        <f t="array" ref="P25">_xlfn.XLOOKUP(P$1&amp;$A25,_2[Country]&amp;_2[Year],_2[Growth_Calculation],"Not Found")</f>
        <v>5.9599999999999937</v>
      </c>
      <c r="Q25" s="27" cm="1">
        <f t="array" ref="Q25">_xlfn.XLOOKUP(Q$1&amp;$A25,_2[Country]&amp;_2[Year],_2[Growth_Calculation],"Not Found")</f>
        <v>0.97999999999998977</v>
      </c>
      <c r="R25" s="27" cm="1">
        <f t="array" ref="R25">_xlfn.XLOOKUP(R$1&amp;$A25,_2[Country]&amp;_2[Year],_2[Growth_Calculation],"Not Found")</f>
        <v>43.059999999999995</v>
      </c>
      <c r="S25" s="27" cm="1">
        <f t="array" ref="S25">_xlfn.XLOOKUP(S$1&amp;$A25,_2[Country]&amp;_2[Year],_2[Growth_Calculation],"Not Found")</f>
        <v>-17.7</v>
      </c>
      <c r="T25" s="27" cm="1">
        <f t="array" ref="T25">_xlfn.XLOOKUP(T$1&amp;$A25,_2[Country]&amp;_2[Year],_2[Growth_Calculation],"Not Found")</f>
        <v>-9.7800000000000011</v>
      </c>
      <c r="U25" s="27" cm="1">
        <f t="array" ref="U25">_xlfn.XLOOKUP(U$1&amp;$A25,_2[Country]&amp;_2[Year],_2[Growth_Calculation],"Not Found")</f>
        <v>28.380000000000003</v>
      </c>
      <c r="V25" s="27" cm="1">
        <f t="array" ref="V25">_xlfn.XLOOKUP(V$1&amp;$A25,_2[Country]&amp;_2[Year],_2[Growth_Calculation],"Not Found")</f>
        <v>11.879999999999999</v>
      </c>
      <c r="W25" s="27" cm="1">
        <f t="array" ref="W25">_xlfn.XLOOKUP(W$1&amp;$A25,_2[Country]&amp;_2[Year],_2[Growth_Calculation],"Not Found")</f>
        <v>8.9499999999999957</v>
      </c>
      <c r="X25" s="27" cm="1">
        <f t="array" ref="X25">_xlfn.XLOOKUP(X$1&amp;$A25,_2[Country]&amp;_2[Year],_2[Growth_Calculation],"Not Found")</f>
        <v>-21.290000000000006</v>
      </c>
      <c r="Y25" s="27" cm="1">
        <f t="array" ref="Y25">_xlfn.XLOOKUP(Y$1&amp;$A25,_2[Country]&amp;_2[Year],_2[Growth_Calculation],"Not Found")</f>
        <v>13.270000000000003</v>
      </c>
      <c r="Z25" s="27" cm="1">
        <f t="array" ref="Z25">_xlfn.XLOOKUP(Z$1&amp;$A25,_2[Country]&amp;_2[Year],_2[Growth_Calculation],"Not Found")</f>
        <v>-16.04</v>
      </c>
      <c r="AA25" s="27" cm="1">
        <f t="array" ref="AA25">_xlfn.XLOOKUP(AA$1&amp;$A25,_2[Country]&amp;_2[Year],_2[Growth_Calculation],"Not Found")</f>
        <v>-43.489999999999995</v>
      </c>
      <c r="AB25" s="27" cm="1">
        <f t="array" ref="AB25">_xlfn.XLOOKUP(AB$1&amp;$A25,_2[Country]&amp;_2[Year],_2[Growth_Calculation],"Not Found")</f>
        <v>-51.96</v>
      </c>
      <c r="AC25" s="27" cm="1">
        <f t="array" ref="AC25">_xlfn.XLOOKUP(AC$1&amp;$A25,_2[Country]&amp;_2[Year],_2[Growth_Calculation],"Not Found")</f>
        <v>28.68</v>
      </c>
      <c r="AD25" s="27" cm="1">
        <f t="array" ref="AD25">_xlfn.XLOOKUP(AD$1&amp;$A25,_2[Country]&amp;_2[Year],_2[Growth_Calculation],"Not Found")</f>
        <v>25.35</v>
      </c>
      <c r="AE25" s="27" cm="1">
        <f t="array" ref="AE25">_xlfn.XLOOKUP(AE$1&amp;$A25,_2[Country]&amp;_2[Year],_2[Growth_Calculation],"Not Found")</f>
        <v>15.950000000000001</v>
      </c>
      <c r="AF25" s="27" cm="1">
        <f t="array" ref="AF25">_xlfn.XLOOKUP(AF$1&amp;$A25,_2[Country]&amp;_2[Year],_2[Growth_Calculation],"Not Found")</f>
        <v>-39.28</v>
      </c>
      <c r="AG25" s="27" cm="1">
        <f t="array" ref="AG25">_xlfn.XLOOKUP(AG$1&amp;$A25,_2[Country]&amp;_2[Year],_2[Growth_Calculation],"Not Found")</f>
        <v>9.31</v>
      </c>
      <c r="AH25" s="27" cm="1">
        <f t="array" ref="AH25">_xlfn.XLOOKUP(AH$1&amp;$A25,_2[Country]&amp;_2[Year],_2[Growth_Calculation],"Not Found")</f>
        <v>-4.75</v>
      </c>
      <c r="AI25" s="27" cm="1">
        <f t="array" ref="AI25">_xlfn.XLOOKUP(AI$1&amp;$A25,_2[Country]&amp;_2[Year],_2[Growth_Calculation],"Not Found")</f>
        <v>-9</v>
      </c>
      <c r="AJ25" s="27" cm="1">
        <f t="array" ref="AJ25">_xlfn.XLOOKUP(AJ$1&amp;$A25,_2[Country]&amp;_2[Year],_2[Growth_Calculation],"Not Found")</f>
        <v>1.8700000000000045</v>
      </c>
    </row>
    <row r="26" spans="1:36" ht="15" thickBot="1" x14ac:dyDescent="0.4">
      <c r="A26" s="30">
        <v>2024</v>
      </c>
      <c r="B26" s="28" cm="1">
        <f t="array" ref="B26">_xlfn.XLOOKUP(B$1&amp;$A26,_2[Country]&amp;_2[Year],_2[Growth_Calculation],"Not Found")</f>
        <v>-2.4299999999999997</v>
      </c>
      <c r="C26" s="26" cm="1">
        <f t="array" ref="C26">_xlfn.XLOOKUP(C$1&amp;$A26,_2[Country]&amp;_2[Year],_2[Growth_Calculation],"Not Found")</f>
        <v>2.5700000000000003</v>
      </c>
      <c r="D26" s="26" cm="1">
        <f t="array" ref="D26">_xlfn.XLOOKUP(D$1&amp;$A26,_2[Country]&amp;_2[Year],_2[Growth_Calculation],"Not Found")</f>
        <v>9.7399999999999984</v>
      </c>
      <c r="E26" s="27" cm="1">
        <f t="array" ref="E26">_xlfn.XLOOKUP(E$1&amp;$A26,_2[Country]&amp;_2[Year],_2[Growth_Calculation],"Not Found")</f>
        <v>-2.1499999999999986</v>
      </c>
      <c r="F26" s="27" cm="1">
        <f t="array" ref="F26">_xlfn.XLOOKUP(F$1&amp;$A26,_2[Country]&amp;_2[Year],_2[Growth_Calculation],"Not Found")</f>
        <v>-30.47</v>
      </c>
      <c r="G26" s="27" cm="1">
        <f t="array" ref="G26">_xlfn.XLOOKUP(G$1&amp;$A26,_2[Country]&amp;_2[Year],_2[Growth_Calculation],"Not Found")</f>
        <v>-32.080000000000005</v>
      </c>
      <c r="H26" s="27" cm="1">
        <f t="array" ref="H26">_xlfn.XLOOKUP(H$1&amp;$A26,_2[Country]&amp;_2[Year],_2[Growth_Calculation],"Not Found")</f>
        <v>-4.76</v>
      </c>
      <c r="I26" s="27" cm="1">
        <f t="array" ref="I26">_xlfn.XLOOKUP(I$1&amp;$A26,_2[Country]&amp;_2[Year],_2[Growth_Calculation],"Not Found")</f>
        <v>-4.2700000000000014</v>
      </c>
      <c r="J26" s="27" cm="1">
        <f t="array" ref="J26">_xlfn.XLOOKUP(J$1&amp;$A26,_2[Country]&amp;_2[Year],_2[Growth_Calculation],"Not Found")</f>
        <v>16.059999999999999</v>
      </c>
      <c r="K26" s="27" cm="1">
        <f t="array" ref="K26">_xlfn.XLOOKUP(K$1&amp;$A26,_2[Country]&amp;_2[Year],_2[Growth_Calculation],"Not Found")</f>
        <v>3.9300000000000068</v>
      </c>
      <c r="L26" s="27" cm="1">
        <f t="array" ref="L26">_xlfn.XLOOKUP(L$1&amp;$A26,_2[Country]&amp;_2[Year],_2[Growth_Calculation],"Not Found")</f>
        <v>26.75</v>
      </c>
      <c r="M26" s="27" cm="1">
        <f t="array" ref="M26">_xlfn.XLOOKUP(M$1&amp;$A26,_2[Country]&amp;_2[Year],_2[Growth_Calculation],"Not Found")</f>
        <v>-3.1999999999999957</v>
      </c>
      <c r="N26" s="27" cm="1">
        <f t="array" ref="N26">_xlfn.XLOOKUP(N$1&amp;$A26,_2[Country]&amp;_2[Year],_2[Growth_Calculation],"Not Found")</f>
        <v>-34.800000000000004</v>
      </c>
      <c r="O26" s="27" cm="1">
        <f t="array" ref="O26">_xlfn.XLOOKUP(O$1&amp;$A26,_2[Country]&amp;_2[Year],_2[Growth_Calculation],"Not Found")</f>
        <v>27.870000000000005</v>
      </c>
      <c r="P26" s="27" cm="1">
        <f t="array" ref="P26">_xlfn.XLOOKUP(P$1&amp;$A26,_2[Country]&amp;_2[Year],_2[Growth_Calculation],"Not Found")</f>
        <v>6.2999999999999972</v>
      </c>
      <c r="Q26" s="27" cm="1">
        <f t="array" ref="Q26">_xlfn.XLOOKUP(Q$1&amp;$A26,_2[Country]&amp;_2[Year],_2[Growth_Calculation],"Not Found")</f>
        <v>0.40999999999999659</v>
      </c>
      <c r="R26" s="27" cm="1">
        <f t="array" ref="R26">_xlfn.XLOOKUP(R$1&amp;$A26,_2[Country]&amp;_2[Year],_2[Growth_Calculation],"Not Found")</f>
        <v>43.059999999999995</v>
      </c>
      <c r="S26" s="27" cm="1">
        <f t="array" ref="S26">_xlfn.XLOOKUP(S$1&amp;$A26,_2[Country]&amp;_2[Year],_2[Growth_Calculation],"Not Found")</f>
        <v>-17.7</v>
      </c>
      <c r="T26" s="27" cm="1">
        <f t="array" ref="T26">_xlfn.XLOOKUP(T$1&amp;$A26,_2[Country]&amp;_2[Year],_2[Growth_Calculation],"Not Found")</f>
        <v>-9.7800000000000011</v>
      </c>
      <c r="U26" s="27" cm="1">
        <f t="array" ref="U26">_xlfn.XLOOKUP(U$1&amp;$A26,_2[Country]&amp;_2[Year],_2[Growth_Calculation],"Not Found")</f>
        <v>30.090000000000003</v>
      </c>
      <c r="V26" s="27" cm="1">
        <f t="array" ref="V26">_xlfn.XLOOKUP(V$1&amp;$A26,_2[Country]&amp;_2[Year],_2[Growth_Calculation],"Not Found")</f>
        <v>12.899999999999999</v>
      </c>
      <c r="W26" s="27" cm="1">
        <f t="array" ref="W26">_xlfn.XLOOKUP(W$1&amp;$A26,_2[Country]&amp;_2[Year],_2[Growth_Calculation],"Not Found")</f>
        <v>10.739999999999995</v>
      </c>
      <c r="X26" s="27" cm="1">
        <f t="array" ref="X26">_xlfn.XLOOKUP(X$1&amp;$A26,_2[Country]&amp;_2[Year],_2[Growth_Calculation],"Not Found")</f>
        <v>-21.25</v>
      </c>
      <c r="Y26" s="27" cm="1">
        <f t="array" ref="Y26">_xlfn.XLOOKUP(Y$1&amp;$A26,_2[Country]&amp;_2[Year],_2[Growth_Calculation],"Not Found")</f>
        <v>13.270000000000003</v>
      </c>
      <c r="Z26" s="27" cm="1">
        <f t="array" ref="Z26">_xlfn.XLOOKUP(Z$1&amp;$A26,_2[Country]&amp;_2[Year],_2[Growth_Calculation],"Not Found")</f>
        <v>-16.169999999999998</v>
      </c>
      <c r="AA26" s="27" cm="1">
        <f t="array" ref="AA26">_xlfn.XLOOKUP(AA$1&amp;$A26,_2[Country]&amp;_2[Year],_2[Growth_Calculation],"Not Found")</f>
        <v>-47.999999999999993</v>
      </c>
      <c r="AB26" s="27" cm="1">
        <f t="array" ref="AB26">_xlfn.XLOOKUP(AB$1&amp;$A26,_2[Country]&amp;_2[Year],_2[Growth_Calculation],"Not Found")</f>
        <v>-51.96</v>
      </c>
      <c r="AC26" s="27" cm="1">
        <f t="array" ref="AC26">_xlfn.XLOOKUP(AC$1&amp;$A26,_2[Country]&amp;_2[Year],_2[Growth_Calculation],"Not Found")</f>
        <v>25.29</v>
      </c>
      <c r="AD26" s="27" cm="1">
        <f t="array" ref="AD26">_xlfn.XLOOKUP(AD$1&amp;$A26,_2[Country]&amp;_2[Year],_2[Growth_Calculation],"Not Found")</f>
        <v>25.35</v>
      </c>
      <c r="AE26" s="27" cm="1">
        <f t="array" ref="AE26">_xlfn.XLOOKUP(AE$1&amp;$A26,_2[Country]&amp;_2[Year],_2[Growth_Calculation],"Not Found")</f>
        <v>17.25</v>
      </c>
      <c r="AF26" s="27" cm="1">
        <f t="array" ref="AF26">_xlfn.XLOOKUP(AF$1&amp;$A26,_2[Country]&amp;_2[Year],_2[Growth_Calculation],"Not Found")</f>
        <v>-39.28</v>
      </c>
      <c r="AG26" s="27" cm="1">
        <f t="array" ref="AG26">_xlfn.XLOOKUP(AG$1&amp;$A26,_2[Country]&amp;_2[Year],_2[Growth_Calculation],"Not Found")</f>
        <v>12.6</v>
      </c>
      <c r="AH26" s="27" cm="1">
        <f t="array" ref="AH26">_xlfn.XLOOKUP(AH$1&amp;$A26,_2[Country]&amp;_2[Year],_2[Growth_Calculation],"Not Found")</f>
        <v>-4.230000000000004</v>
      </c>
      <c r="AI26" s="27" cm="1">
        <f t="array" ref="AI26">_xlfn.XLOOKUP(AI$1&amp;$A26,_2[Country]&amp;_2[Year],_2[Growth_Calculation],"Not Found")</f>
        <v>-8.7900000000000063</v>
      </c>
      <c r="AJ26" s="27" cm="1">
        <f t="array" ref="AJ26">_xlfn.XLOOKUP(AJ$1&amp;$A26,_2[Country]&amp;_2[Year],_2[Growth_Calculation],"Not Found")</f>
        <v>2.990000000000002</v>
      </c>
    </row>
    <row r="27" spans="1:36" x14ac:dyDescent="0.35">
      <c r="A27" s="39"/>
      <c r="B27" s="40"/>
      <c r="C27" s="40"/>
      <c r="D27" s="40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</row>
    <row r="28" spans="1:36" x14ac:dyDescent="0.35">
      <c r="A28" s="24"/>
      <c r="B28"/>
      <c r="C28"/>
      <c r="D28"/>
      <c r="E28" s="25" t="s">
        <v>130</v>
      </c>
      <c r="F28" s="25">
        <v>2000</v>
      </c>
      <c r="G28" s="25">
        <v>2024</v>
      </c>
      <c r="H28" s="1" t="s">
        <v>173</v>
      </c>
      <c r="I28" s="1" t="s">
        <v>174</v>
      </c>
      <c r="J28" s="1" t="s">
        <v>175</v>
      </c>
      <c r="K28" s="1" t="s">
        <v>176</v>
      </c>
      <c r="L28" s="1" t="s">
        <v>177</v>
      </c>
    </row>
    <row r="29" spans="1:36" x14ac:dyDescent="0.35">
      <c r="A29" s="1" t="s">
        <v>71</v>
      </c>
      <c r="B29" s="1">
        <v>43.059999999999995</v>
      </c>
      <c r="C29" s="42">
        <f>B29/100</f>
        <v>0.43059999999999993</v>
      </c>
      <c r="E29" s="1" t="s">
        <v>71</v>
      </c>
      <c r="F29">
        <v>6.42</v>
      </c>
      <c r="G29">
        <v>49.48</v>
      </c>
      <c r="H29" s="1">
        <f t="shared" ref="H29:H34" si="0">G29-F29</f>
        <v>43.059999999999995</v>
      </c>
      <c r="J29" s="1">
        <f t="shared" ref="J29:J34" si="1">G29</f>
        <v>49.48</v>
      </c>
      <c r="K29" s="43">
        <f t="shared" ref="K29:K34" si="2">H29/G29</f>
        <v>0.87025060630557793</v>
      </c>
    </row>
    <row r="30" spans="1:36" x14ac:dyDescent="0.35">
      <c r="A30" s="1" t="s">
        <v>81</v>
      </c>
      <c r="B30" s="1">
        <v>30.090000000000003</v>
      </c>
      <c r="C30" s="42">
        <f t="shared" ref="C30:C63" si="3">B30/100</f>
        <v>0.30090000000000006</v>
      </c>
      <c r="E30" s="1" t="s">
        <v>81</v>
      </c>
      <c r="F30">
        <v>20.93</v>
      </c>
      <c r="G30">
        <v>51.02</v>
      </c>
      <c r="H30" s="1">
        <f t="shared" si="0"/>
        <v>30.090000000000003</v>
      </c>
      <c r="J30" s="1">
        <f t="shared" si="1"/>
        <v>51.02</v>
      </c>
      <c r="K30" s="43">
        <f t="shared" si="2"/>
        <v>0.58976871814974519</v>
      </c>
    </row>
    <row r="31" spans="1:36" x14ac:dyDescent="0.35">
      <c r="A31" s="1" t="s">
        <v>63</v>
      </c>
      <c r="B31" s="1">
        <v>27.870000000000005</v>
      </c>
      <c r="C31" s="42">
        <f t="shared" si="3"/>
        <v>0.27870000000000006</v>
      </c>
      <c r="E31" s="1" t="s">
        <v>63</v>
      </c>
      <c r="F31">
        <v>38.14</v>
      </c>
      <c r="G31">
        <v>66.010000000000005</v>
      </c>
      <c r="H31" s="1">
        <f t="shared" si="0"/>
        <v>27.870000000000005</v>
      </c>
      <c r="J31" s="1">
        <f t="shared" si="1"/>
        <v>66.010000000000005</v>
      </c>
      <c r="K31" s="43">
        <f t="shared" si="2"/>
        <v>0.42220875624905319</v>
      </c>
    </row>
    <row r="32" spans="1:36" x14ac:dyDescent="0.35">
      <c r="A32" s="1" t="s">
        <v>57</v>
      </c>
      <c r="B32" s="1">
        <v>26.75</v>
      </c>
      <c r="C32" s="42">
        <f t="shared" si="3"/>
        <v>0.26750000000000002</v>
      </c>
      <c r="E32" s="1" t="s">
        <v>57</v>
      </c>
      <c r="F32">
        <v>71.62</v>
      </c>
      <c r="G32">
        <v>98.37</v>
      </c>
      <c r="H32" s="1">
        <f t="shared" si="0"/>
        <v>26.75</v>
      </c>
      <c r="J32" s="1">
        <f t="shared" si="1"/>
        <v>98.37</v>
      </c>
      <c r="K32" s="43">
        <f t="shared" si="2"/>
        <v>0.27193249974585748</v>
      </c>
    </row>
    <row r="33" spans="1:11" x14ac:dyDescent="0.35">
      <c r="A33" s="1" t="s">
        <v>103</v>
      </c>
      <c r="B33" s="1">
        <v>25.35</v>
      </c>
      <c r="C33" s="42">
        <f t="shared" si="3"/>
        <v>0.2535</v>
      </c>
      <c r="E33" s="1" t="s">
        <v>103</v>
      </c>
      <c r="F33">
        <v>20</v>
      </c>
      <c r="G33">
        <v>45.35</v>
      </c>
      <c r="H33" s="1">
        <f t="shared" si="0"/>
        <v>25.35</v>
      </c>
      <c r="J33" s="1">
        <f t="shared" si="1"/>
        <v>45.35</v>
      </c>
      <c r="K33" s="43">
        <f t="shared" si="2"/>
        <v>0.55898566703417862</v>
      </c>
    </row>
    <row r="34" spans="1:11" x14ac:dyDescent="0.35">
      <c r="A34" s="1" t="s">
        <v>101</v>
      </c>
      <c r="B34" s="1">
        <v>25.29</v>
      </c>
      <c r="C34" s="42">
        <f t="shared" si="3"/>
        <v>0.25290000000000001</v>
      </c>
      <c r="E34" s="1" t="s">
        <v>101</v>
      </c>
      <c r="F34">
        <v>0</v>
      </c>
      <c r="G34">
        <v>25.29</v>
      </c>
      <c r="H34" s="1">
        <f t="shared" si="0"/>
        <v>25.29</v>
      </c>
      <c r="J34" s="1">
        <f t="shared" si="1"/>
        <v>25.29</v>
      </c>
      <c r="K34" s="43">
        <f t="shared" si="2"/>
        <v>1</v>
      </c>
    </row>
    <row r="35" spans="1:11" x14ac:dyDescent="0.35">
      <c r="A35" s="1" t="s">
        <v>124</v>
      </c>
      <c r="B35" s="1">
        <v>17.25</v>
      </c>
      <c r="C35" s="42">
        <f t="shared" si="3"/>
        <v>0.17249999999999999</v>
      </c>
      <c r="D35"/>
    </row>
    <row r="36" spans="1:11" x14ac:dyDescent="0.35">
      <c r="A36" s="1" t="s">
        <v>67</v>
      </c>
      <c r="B36" s="1">
        <v>16.059999999999999</v>
      </c>
      <c r="C36" s="42">
        <f t="shared" si="3"/>
        <v>0.16059999999999999</v>
      </c>
      <c r="D36"/>
      <c r="H36" s="43">
        <f>H29/100</f>
        <v>0.43059999999999993</v>
      </c>
    </row>
    <row r="37" spans="1:11" x14ac:dyDescent="0.35">
      <c r="A37" s="1" t="s">
        <v>91</v>
      </c>
      <c r="B37" s="1">
        <v>13.270000000000003</v>
      </c>
      <c r="C37" s="42">
        <f t="shared" si="3"/>
        <v>0.13270000000000004</v>
      </c>
      <c r="D37"/>
      <c r="H37" s="43">
        <f t="shared" ref="H37:H41" si="4">H30/100</f>
        <v>0.30090000000000006</v>
      </c>
    </row>
    <row r="38" spans="1:11" x14ac:dyDescent="0.35">
      <c r="A38" s="1" t="s">
        <v>87</v>
      </c>
      <c r="B38" s="1">
        <v>12.899999999999999</v>
      </c>
      <c r="C38" s="42">
        <f t="shared" si="3"/>
        <v>0.12899999999999998</v>
      </c>
      <c r="D38"/>
      <c r="H38" s="43">
        <f t="shared" si="4"/>
        <v>0.27870000000000006</v>
      </c>
    </row>
    <row r="39" spans="1:11" x14ac:dyDescent="0.35">
      <c r="A39" s="1" t="s">
        <v>118</v>
      </c>
      <c r="B39" s="1">
        <v>12.6</v>
      </c>
      <c r="C39" s="42">
        <f t="shared" si="3"/>
        <v>0.126</v>
      </c>
      <c r="D39"/>
      <c r="H39" s="43">
        <f t="shared" si="4"/>
        <v>0.26750000000000002</v>
      </c>
    </row>
    <row r="40" spans="1:11" x14ac:dyDescent="0.35">
      <c r="A40" s="1" t="s">
        <v>77</v>
      </c>
      <c r="B40" s="1">
        <v>10.739999999999995</v>
      </c>
      <c r="C40" s="42">
        <f t="shared" si="3"/>
        <v>0.10739999999999995</v>
      </c>
      <c r="D40"/>
      <c r="H40" s="43">
        <f t="shared" si="4"/>
        <v>0.2535</v>
      </c>
    </row>
    <row r="41" spans="1:11" x14ac:dyDescent="0.35">
      <c r="A41" t="s">
        <v>35</v>
      </c>
      <c r="B41">
        <v>9.7399999999999984</v>
      </c>
      <c r="C41" s="42">
        <f t="shared" si="3"/>
        <v>9.7399999999999987E-2</v>
      </c>
      <c r="D41"/>
      <c r="H41" s="43">
        <f t="shared" si="4"/>
        <v>0.25290000000000001</v>
      </c>
    </row>
    <row r="42" spans="1:11" x14ac:dyDescent="0.35">
      <c r="A42" s="1" t="s">
        <v>69</v>
      </c>
      <c r="B42" s="1">
        <v>6.2999999999999972</v>
      </c>
      <c r="C42" s="42">
        <f t="shared" si="3"/>
        <v>6.2999999999999973E-2</v>
      </c>
      <c r="D42"/>
    </row>
    <row r="43" spans="1:11" x14ac:dyDescent="0.35">
      <c r="A43" s="1" t="s">
        <v>109</v>
      </c>
      <c r="B43" s="1">
        <v>3.9300000000000068</v>
      </c>
      <c r="C43" s="42">
        <f t="shared" si="3"/>
        <v>3.9300000000000071E-2</v>
      </c>
      <c r="D43"/>
    </row>
    <row r="44" spans="1:11" x14ac:dyDescent="0.35">
      <c r="A44" s="1" t="s">
        <v>128</v>
      </c>
      <c r="B44" s="1">
        <v>2.990000000000002</v>
      </c>
      <c r="C44" s="42">
        <f t="shared" si="3"/>
        <v>2.990000000000002E-2</v>
      </c>
      <c r="D44"/>
    </row>
    <row r="45" spans="1:11" x14ac:dyDescent="0.35">
      <c r="A45" t="s">
        <v>28</v>
      </c>
      <c r="B45">
        <v>2.5700000000000003</v>
      </c>
      <c r="C45" s="42">
        <f t="shared" si="3"/>
        <v>2.5700000000000004E-2</v>
      </c>
      <c r="D45"/>
    </row>
    <row r="46" spans="1:11" x14ac:dyDescent="0.35">
      <c r="A46" s="1" t="s">
        <v>75</v>
      </c>
      <c r="B46" s="1">
        <v>0.40999999999999659</v>
      </c>
      <c r="C46" s="42">
        <f t="shared" si="3"/>
        <v>4.0999999999999657E-3</v>
      </c>
      <c r="D46"/>
    </row>
    <row r="47" spans="1:11" x14ac:dyDescent="0.35">
      <c r="A47" s="1" t="s">
        <v>37</v>
      </c>
      <c r="B47" s="1">
        <v>-2.1499999999999986</v>
      </c>
      <c r="C47" s="42">
        <f t="shared" si="3"/>
        <v>-2.1499999999999984E-2</v>
      </c>
      <c r="D47"/>
    </row>
    <row r="48" spans="1:11" x14ac:dyDescent="0.35">
      <c r="A48" t="s">
        <v>53</v>
      </c>
      <c r="B48">
        <v>-2.4299999999999997</v>
      </c>
      <c r="C48" s="42">
        <f t="shared" si="3"/>
        <v>-2.4299999999999999E-2</v>
      </c>
      <c r="D48"/>
    </row>
    <row r="49" spans="1:4" x14ac:dyDescent="0.35">
      <c r="A49" s="1" t="s">
        <v>59</v>
      </c>
      <c r="B49" s="1">
        <v>-3.1999999999999957</v>
      </c>
      <c r="C49" s="42">
        <f t="shared" si="3"/>
        <v>-3.1999999999999959E-2</v>
      </c>
      <c r="D49"/>
    </row>
    <row r="50" spans="1:4" x14ac:dyDescent="0.35">
      <c r="A50" s="1" t="s">
        <v>122</v>
      </c>
      <c r="B50" s="1">
        <v>-4.230000000000004</v>
      </c>
      <c r="C50" s="42">
        <f t="shared" si="3"/>
        <v>-4.2300000000000039E-2</v>
      </c>
      <c r="D50"/>
    </row>
    <row r="51" spans="1:4" x14ac:dyDescent="0.35">
      <c r="A51" s="1" t="s">
        <v>138</v>
      </c>
      <c r="B51" s="1">
        <v>-4.2700000000000014</v>
      </c>
      <c r="C51" s="42">
        <f t="shared" si="3"/>
        <v>-4.2700000000000016E-2</v>
      </c>
      <c r="D51"/>
    </row>
    <row r="52" spans="1:4" x14ac:dyDescent="0.35">
      <c r="A52" s="1" t="s">
        <v>114</v>
      </c>
      <c r="B52" s="1">
        <v>-4.76</v>
      </c>
      <c r="C52" s="42">
        <f t="shared" si="3"/>
        <v>-4.7599999999999996E-2</v>
      </c>
      <c r="D52"/>
    </row>
    <row r="53" spans="1:4" x14ac:dyDescent="0.35">
      <c r="A53" s="1" t="s">
        <v>126</v>
      </c>
      <c r="B53" s="1">
        <v>-8.7900000000000063</v>
      </c>
      <c r="C53" s="42">
        <f t="shared" si="3"/>
        <v>-8.7900000000000061E-2</v>
      </c>
      <c r="D53"/>
    </row>
    <row r="54" spans="1:4" x14ac:dyDescent="0.35">
      <c r="A54" s="1" t="s">
        <v>89</v>
      </c>
      <c r="B54" s="1">
        <v>-9.7800000000000011</v>
      </c>
      <c r="C54" s="42">
        <f t="shared" si="3"/>
        <v>-9.7800000000000012E-2</v>
      </c>
      <c r="D54"/>
    </row>
    <row r="55" spans="1:4" x14ac:dyDescent="0.35">
      <c r="A55" s="1" t="s">
        <v>95</v>
      </c>
      <c r="B55" s="1">
        <v>-16.169999999999998</v>
      </c>
      <c r="C55" s="42">
        <f t="shared" si="3"/>
        <v>-0.16169999999999998</v>
      </c>
      <c r="D55"/>
    </row>
    <row r="56" spans="1:4" x14ac:dyDescent="0.35">
      <c r="A56" s="1" t="s">
        <v>79</v>
      </c>
      <c r="B56" s="1">
        <v>-17.7</v>
      </c>
      <c r="C56" s="42">
        <f t="shared" si="3"/>
        <v>-0.17699999999999999</v>
      </c>
      <c r="D56"/>
    </row>
    <row r="57" spans="1:4" x14ac:dyDescent="0.35">
      <c r="A57" s="1" t="s">
        <v>83</v>
      </c>
      <c r="B57" s="1">
        <v>-21.25</v>
      </c>
      <c r="C57" s="42">
        <f t="shared" si="3"/>
        <v>-0.21249999999999999</v>
      </c>
      <c r="D57"/>
    </row>
    <row r="58" spans="1:4" x14ac:dyDescent="0.35">
      <c r="A58" s="1" t="s">
        <v>32</v>
      </c>
      <c r="B58" s="1">
        <v>-30.47</v>
      </c>
      <c r="C58" s="42">
        <f t="shared" si="3"/>
        <v>-0.30469999999999997</v>
      </c>
      <c r="D58"/>
    </row>
    <row r="59" spans="1:4" x14ac:dyDescent="0.35">
      <c r="A59" s="1" t="s">
        <v>44</v>
      </c>
      <c r="B59" s="1">
        <v>-32.080000000000005</v>
      </c>
      <c r="C59" s="42">
        <f t="shared" si="3"/>
        <v>-0.32080000000000003</v>
      </c>
      <c r="D59"/>
    </row>
    <row r="60" spans="1:4" x14ac:dyDescent="0.35">
      <c r="A60" s="1" t="s">
        <v>61</v>
      </c>
      <c r="B60" s="1">
        <v>-34.800000000000004</v>
      </c>
      <c r="C60" s="42">
        <f t="shared" si="3"/>
        <v>-0.34800000000000003</v>
      </c>
      <c r="D60"/>
    </row>
    <row r="61" spans="1:4" x14ac:dyDescent="0.35">
      <c r="A61" s="1" t="s">
        <v>116</v>
      </c>
      <c r="B61" s="1">
        <v>-39.28</v>
      </c>
      <c r="C61" s="42">
        <f t="shared" si="3"/>
        <v>-0.39280000000000004</v>
      </c>
      <c r="D61"/>
    </row>
    <row r="62" spans="1:4" x14ac:dyDescent="0.35">
      <c r="A62" s="1" t="s">
        <v>97</v>
      </c>
      <c r="B62" s="1">
        <v>-47.999999999999993</v>
      </c>
      <c r="C62" s="42">
        <f t="shared" si="3"/>
        <v>-0.47999999999999993</v>
      </c>
      <c r="D62"/>
    </row>
    <row r="63" spans="1:4" x14ac:dyDescent="0.35">
      <c r="A63" s="1" t="s">
        <v>107</v>
      </c>
      <c r="B63" s="1">
        <v>-51.96</v>
      </c>
      <c r="C63" s="42">
        <f t="shared" si="3"/>
        <v>-0.51960000000000006</v>
      </c>
      <c r="D63"/>
    </row>
    <row r="64" spans="1:4" x14ac:dyDescent="0.35">
      <c r="A64" s="24"/>
      <c r="B64"/>
      <c r="C64"/>
      <c r="D64"/>
    </row>
    <row r="65" spans="1:4" x14ac:dyDescent="0.35">
      <c r="A65" s="24"/>
      <c r="B65"/>
      <c r="C65"/>
      <c r="D65"/>
    </row>
    <row r="66" spans="1:4" x14ac:dyDescent="0.35">
      <c r="A66" s="24"/>
      <c r="B66"/>
      <c r="C66"/>
      <c r="D66"/>
    </row>
    <row r="67" spans="1:4" x14ac:dyDescent="0.35">
      <c r="A67" s="24"/>
      <c r="B67"/>
      <c r="C67"/>
      <c r="D67"/>
    </row>
    <row r="68" spans="1:4" x14ac:dyDescent="0.35">
      <c r="A68" s="24"/>
      <c r="B68"/>
      <c r="C68"/>
      <c r="D68"/>
    </row>
    <row r="69" spans="1:4" x14ac:dyDescent="0.35">
      <c r="A69" s="24"/>
      <c r="B69"/>
      <c r="C69"/>
      <c r="D69"/>
    </row>
    <row r="70" spans="1:4" x14ac:dyDescent="0.35">
      <c r="A70" s="24"/>
      <c r="B70"/>
      <c r="C70"/>
      <c r="D70"/>
    </row>
    <row r="71" spans="1:4" x14ac:dyDescent="0.35">
      <c r="A71" s="24"/>
      <c r="B71"/>
      <c r="C71"/>
      <c r="D71"/>
    </row>
    <row r="72" spans="1:4" x14ac:dyDescent="0.35">
      <c r="A72" s="24"/>
      <c r="B72"/>
      <c r="C72"/>
      <c r="D72"/>
    </row>
    <row r="73" spans="1:4" x14ac:dyDescent="0.35">
      <c r="A73" s="24"/>
      <c r="B73"/>
      <c r="C73"/>
      <c r="D73"/>
    </row>
    <row r="74" spans="1:4" x14ac:dyDescent="0.35">
      <c r="A74" s="24"/>
      <c r="B74"/>
      <c r="C74"/>
      <c r="D74"/>
    </row>
    <row r="75" spans="1:4" x14ac:dyDescent="0.35">
      <c r="A75" s="24"/>
      <c r="B75"/>
      <c r="C75"/>
      <c r="D75"/>
    </row>
    <row r="76" spans="1:4" x14ac:dyDescent="0.35">
      <c r="A76" s="24"/>
      <c r="B76"/>
      <c r="C76"/>
      <c r="D76"/>
    </row>
    <row r="77" spans="1:4" x14ac:dyDescent="0.35">
      <c r="A77" s="24"/>
      <c r="B77"/>
      <c r="C77"/>
      <c r="D77"/>
    </row>
    <row r="78" spans="1:4" x14ac:dyDescent="0.35">
      <c r="A78" s="24"/>
      <c r="B78"/>
      <c r="C78"/>
      <c r="D78"/>
    </row>
    <row r="79" spans="1:4" x14ac:dyDescent="0.35">
      <c r="A79" s="24"/>
      <c r="B79"/>
      <c r="C79"/>
      <c r="D79"/>
    </row>
    <row r="80" spans="1:4" x14ac:dyDescent="0.35">
      <c r="A80" s="24"/>
      <c r="B80"/>
      <c r="C80"/>
      <c r="D80"/>
    </row>
    <row r="81" spans="1:4" x14ac:dyDescent="0.35">
      <c r="A81" s="24"/>
      <c r="B81"/>
      <c r="C81"/>
      <c r="D81"/>
    </row>
    <row r="82" spans="1:4" x14ac:dyDescent="0.35">
      <c r="A82" s="24"/>
      <c r="B82"/>
      <c r="C82"/>
      <c r="D82"/>
    </row>
    <row r="83" spans="1:4" x14ac:dyDescent="0.35">
      <c r="A83" s="24"/>
      <c r="B83"/>
      <c r="C83"/>
      <c r="D83"/>
    </row>
    <row r="84" spans="1:4" x14ac:dyDescent="0.35">
      <c r="A84" s="24"/>
      <c r="B84"/>
      <c r="C84"/>
      <c r="D84"/>
    </row>
    <row r="85" spans="1:4" x14ac:dyDescent="0.35">
      <c r="A85" s="24"/>
      <c r="B85"/>
      <c r="C85"/>
      <c r="D85"/>
    </row>
    <row r="86" spans="1:4" x14ac:dyDescent="0.35">
      <c r="A86" s="24"/>
      <c r="B86"/>
      <c r="C86"/>
      <c r="D86"/>
    </row>
    <row r="87" spans="1:4" x14ac:dyDescent="0.35">
      <c r="A87" s="24"/>
      <c r="B87"/>
      <c r="C87"/>
      <c r="D87"/>
    </row>
    <row r="88" spans="1:4" x14ac:dyDescent="0.35">
      <c r="A88" s="24"/>
      <c r="B88"/>
      <c r="C88"/>
      <c r="D88"/>
    </row>
    <row r="89" spans="1:4" x14ac:dyDescent="0.35">
      <c r="A89" s="24"/>
      <c r="B89"/>
      <c r="C89"/>
      <c r="D89"/>
    </row>
    <row r="90" spans="1:4" x14ac:dyDescent="0.35">
      <c r="A90" s="24"/>
      <c r="B90"/>
      <c r="C90"/>
      <c r="D90"/>
    </row>
    <row r="91" spans="1:4" x14ac:dyDescent="0.35">
      <c r="A91" s="24"/>
      <c r="B91"/>
      <c r="C91"/>
      <c r="D91"/>
    </row>
    <row r="92" spans="1:4" x14ac:dyDescent="0.35">
      <c r="A92" s="24"/>
      <c r="B92"/>
      <c r="C92"/>
      <c r="D92"/>
    </row>
    <row r="93" spans="1:4" x14ac:dyDescent="0.35">
      <c r="A93" s="24"/>
      <c r="B93"/>
      <c r="C93"/>
      <c r="D93"/>
    </row>
    <row r="94" spans="1:4" x14ac:dyDescent="0.35">
      <c r="A94" s="24"/>
      <c r="B94"/>
      <c r="C94"/>
      <c r="D94"/>
    </row>
    <row r="95" spans="1:4" x14ac:dyDescent="0.35">
      <c r="A95" s="24"/>
      <c r="B95"/>
      <c r="C95"/>
      <c r="D95"/>
    </row>
    <row r="96" spans="1:4" x14ac:dyDescent="0.35">
      <c r="A96" s="24"/>
      <c r="B96"/>
      <c r="C96"/>
      <c r="D96"/>
    </row>
    <row r="97" spans="1:4" x14ac:dyDescent="0.35">
      <c r="A97" s="24"/>
      <c r="B97"/>
      <c r="C97"/>
      <c r="D97"/>
    </row>
    <row r="98" spans="1:4" x14ac:dyDescent="0.35">
      <c r="A98" s="24"/>
      <c r="B98"/>
      <c r="C98"/>
      <c r="D98"/>
    </row>
    <row r="99" spans="1:4" x14ac:dyDescent="0.35">
      <c r="A99" s="24"/>
      <c r="B99"/>
      <c r="C99"/>
      <c r="D99"/>
    </row>
    <row r="100" spans="1:4" x14ac:dyDescent="0.35">
      <c r="A100" s="24"/>
      <c r="B100"/>
      <c r="C100"/>
      <c r="D100"/>
    </row>
    <row r="101" spans="1:4" x14ac:dyDescent="0.35">
      <c r="A101" s="24"/>
      <c r="B101"/>
      <c r="C101"/>
      <c r="D101"/>
    </row>
    <row r="102" spans="1:4" x14ac:dyDescent="0.35">
      <c r="A102" s="24"/>
      <c r="B102"/>
      <c r="C102"/>
      <c r="D102"/>
    </row>
    <row r="103" spans="1:4" x14ac:dyDescent="0.35">
      <c r="A103" s="24"/>
      <c r="B103"/>
      <c r="C103"/>
      <c r="D103"/>
    </row>
    <row r="104" spans="1:4" x14ac:dyDescent="0.35">
      <c r="A104" s="24"/>
      <c r="B104"/>
      <c r="C104"/>
      <c r="D104"/>
    </row>
    <row r="105" spans="1:4" x14ac:dyDescent="0.35">
      <c r="A105" s="24"/>
      <c r="B105"/>
      <c r="C105"/>
      <c r="D105"/>
    </row>
    <row r="106" spans="1:4" x14ac:dyDescent="0.35">
      <c r="A106" s="24"/>
      <c r="B106"/>
      <c r="C106"/>
      <c r="D106"/>
    </row>
    <row r="107" spans="1:4" x14ac:dyDescent="0.35">
      <c r="A107" s="24"/>
      <c r="B107"/>
      <c r="C107"/>
      <c r="D107"/>
    </row>
    <row r="108" spans="1:4" x14ac:dyDescent="0.35">
      <c r="A108" s="24"/>
      <c r="B108"/>
      <c r="C108"/>
      <c r="D108"/>
    </row>
    <row r="109" spans="1:4" x14ac:dyDescent="0.35">
      <c r="A109" s="24"/>
      <c r="B109"/>
      <c r="C109"/>
      <c r="D109"/>
    </row>
    <row r="110" spans="1:4" x14ac:dyDescent="0.35">
      <c r="A110" s="24"/>
      <c r="B110"/>
      <c r="C110"/>
      <c r="D110"/>
    </row>
    <row r="111" spans="1:4" x14ac:dyDescent="0.35">
      <c r="A111" s="24"/>
      <c r="B111"/>
      <c r="C111"/>
      <c r="D111"/>
    </row>
    <row r="112" spans="1:4" x14ac:dyDescent="0.35">
      <c r="A112" s="24"/>
      <c r="B112"/>
      <c r="C112"/>
      <c r="D112"/>
    </row>
    <row r="113" spans="1:4" x14ac:dyDescent="0.35">
      <c r="A113" s="24"/>
      <c r="B113"/>
      <c r="C113"/>
      <c r="D113"/>
    </row>
    <row r="114" spans="1:4" x14ac:dyDescent="0.35">
      <c r="A114" s="24"/>
      <c r="B114"/>
      <c r="C114"/>
      <c r="D114"/>
    </row>
    <row r="115" spans="1:4" x14ac:dyDescent="0.35">
      <c r="A115" s="24"/>
      <c r="B115"/>
      <c r="C115"/>
      <c r="D115"/>
    </row>
    <row r="116" spans="1:4" x14ac:dyDescent="0.35">
      <c r="A116" s="24"/>
      <c r="B116"/>
      <c r="C116"/>
      <c r="D116"/>
    </row>
    <row r="117" spans="1:4" x14ac:dyDescent="0.35">
      <c r="A117" s="24"/>
      <c r="B117"/>
      <c r="C117"/>
      <c r="D117"/>
    </row>
    <row r="118" spans="1:4" x14ac:dyDescent="0.35">
      <c r="A118" s="24"/>
      <c r="B118"/>
      <c r="C118"/>
      <c r="D118"/>
    </row>
    <row r="119" spans="1:4" x14ac:dyDescent="0.35">
      <c r="A119" s="24"/>
      <c r="B119"/>
      <c r="C119"/>
      <c r="D119"/>
    </row>
    <row r="120" spans="1:4" x14ac:dyDescent="0.35">
      <c r="A120" s="24"/>
      <c r="B120"/>
      <c r="C120"/>
      <c r="D120"/>
    </row>
    <row r="121" spans="1:4" x14ac:dyDescent="0.35">
      <c r="A121" s="24"/>
      <c r="B121"/>
      <c r="C121"/>
      <c r="D121"/>
    </row>
    <row r="122" spans="1:4" x14ac:dyDescent="0.35">
      <c r="A122" s="24"/>
      <c r="B122"/>
      <c r="C122"/>
      <c r="D122"/>
    </row>
    <row r="123" spans="1:4" x14ac:dyDescent="0.35">
      <c r="A123" s="24"/>
      <c r="B123"/>
      <c r="C123"/>
      <c r="D123"/>
    </row>
    <row r="124" spans="1:4" x14ac:dyDescent="0.35">
      <c r="A124" s="24"/>
      <c r="B124"/>
      <c r="C124"/>
      <c r="D124"/>
    </row>
    <row r="125" spans="1:4" x14ac:dyDescent="0.35">
      <c r="A125" s="24"/>
      <c r="B125"/>
      <c r="C125"/>
      <c r="D125"/>
    </row>
    <row r="126" spans="1:4" x14ac:dyDescent="0.35">
      <c r="A126" s="24"/>
      <c r="B126"/>
      <c r="C126"/>
      <c r="D126"/>
    </row>
    <row r="127" spans="1:4" x14ac:dyDescent="0.35">
      <c r="A127" s="24"/>
      <c r="B127"/>
      <c r="C127"/>
      <c r="D127"/>
    </row>
    <row r="128" spans="1:4" x14ac:dyDescent="0.35">
      <c r="A128" s="24"/>
      <c r="B128"/>
      <c r="C128"/>
      <c r="D128"/>
    </row>
    <row r="129" spans="1:4" x14ac:dyDescent="0.35">
      <c r="A129" s="24"/>
      <c r="B129"/>
      <c r="C129"/>
      <c r="D129"/>
    </row>
    <row r="130" spans="1:4" x14ac:dyDescent="0.35">
      <c r="A130" s="24"/>
      <c r="B130"/>
      <c r="C130"/>
      <c r="D130"/>
    </row>
    <row r="131" spans="1:4" x14ac:dyDescent="0.35">
      <c r="A131" s="24"/>
      <c r="B131"/>
      <c r="C131"/>
      <c r="D131"/>
    </row>
    <row r="132" spans="1:4" x14ac:dyDescent="0.35">
      <c r="A132" s="24"/>
      <c r="B132"/>
      <c r="C132"/>
      <c r="D132"/>
    </row>
    <row r="133" spans="1:4" x14ac:dyDescent="0.35">
      <c r="A133" s="24"/>
      <c r="B133"/>
      <c r="C133"/>
      <c r="D133"/>
    </row>
    <row r="134" spans="1:4" x14ac:dyDescent="0.35">
      <c r="A134" s="24"/>
      <c r="B134"/>
      <c r="C134"/>
      <c r="D134"/>
    </row>
    <row r="135" spans="1:4" x14ac:dyDescent="0.35">
      <c r="A135" s="24"/>
      <c r="B135"/>
      <c r="C135"/>
      <c r="D135"/>
    </row>
    <row r="136" spans="1:4" x14ac:dyDescent="0.35">
      <c r="A136" s="24"/>
      <c r="B136"/>
      <c r="C136"/>
      <c r="D136"/>
    </row>
    <row r="137" spans="1:4" x14ac:dyDescent="0.35">
      <c r="A137" s="24"/>
      <c r="B137"/>
      <c r="C137"/>
      <c r="D137"/>
    </row>
    <row r="138" spans="1:4" x14ac:dyDescent="0.35">
      <c r="A138" s="24"/>
      <c r="B138"/>
      <c r="C138"/>
      <c r="D138"/>
    </row>
    <row r="139" spans="1:4" x14ac:dyDescent="0.35">
      <c r="A139" s="24"/>
      <c r="B139"/>
      <c r="C139"/>
      <c r="D139"/>
    </row>
    <row r="140" spans="1:4" x14ac:dyDescent="0.35">
      <c r="A140" s="24"/>
      <c r="B140"/>
      <c r="C140"/>
      <c r="D140"/>
    </row>
    <row r="141" spans="1:4" x14ac:dyDescent="0.35">
      <c r="A141" s="24"/>
      <c r="B141"/>
      <c r="C141"/>
      <c r="D141"/>
    </row>
    <row r="142" spans="1:4" x14ac:dyDescent="0.35">
      <c r="A142" s="24"/>
      <c r="B142"/>
      <c r="C142"/>
      <c r="D142"/>
    </row>
    <row r="143" spans="1:4" x14ac:dyDescent="0.35">
      <c r="A143" s="24"/>
      <c r="B143"/>
      <c r="C143"/>
      <c r="D143"/>
    </row>
    <row r="144" spans="1:4" x14ac:dyDescent="0.35">
      <c r="A144" s="24"/>
      <c r="B144"/>
      <c r="C144"/>
      <c r="D144"/>
    </row>
    <row r="145" spans="1:4" x14ac:dyDescent="0.35">
      <c r="A145" s="24"/>
      <c r="B145"/>
      <c r="C145"/>
      <c r="D145"/>
    </row>
    <row r="146" spans="1:4" x14ac:dyDescent="0.35">
      <c r="A146" s="24"/>
      <c r="B146"/>
      <c r="C146"/>
      <c r="D146"/>
    </row>
    <row r="147" spans="1:4" x14ac:dyDescent="0.35">
      <c r="A147" s="24"/>
      <c r="B147"/>
      <c r="C147"/>
      <c r="D147"/>
    </row>
    <row r="148" spans="1:4" x14ac:dyDescent="0.35">
      <c r="A148" s="24"/>
      <c r="B148"/>
      <c r="C148"/>
      <c r="D148"/>
    </row>
    <row r="149" spans="1:4" x14ac:dyDescent="0.35">
      <c r="A149" s="24"/>
      <c r="B149"/>
      <c r="C149"/>
      <c r="D149"/>
    </row>
    <row r="150" spans="1:4" x14ac:dyDescent="0.35">
      <c r="A150" s="24"/>
      <c r="B150"/>
      <c r="C150"/>
      <c r="D150"/>
    </row>
    <row r="151" spans="1:4" x14ac:dyDescent="0.35">
      <c r="A151" s="24"/>
      <c r="B151"/>
      <c r="C151"/>
      <c r="D151"/>
    </row>
    <row r="152" spans="1:4" x14ac:dyDescent="0.35">
      <c r="A152" s="24"/>
      <c r="B152"/>
      <c r="C152"/>
      <c r="D152"/>
    </row>
    <row r="153" spans="1:4" x14ac:dyDescent="0.35">
      <c r="A153" s="24"/>
      <c r="B153"/>
      <c r="C153"/>
      <c r="D153"/>
    </row>
    <row r="154" spans="1:4" x14ac:dyDescent="0.35">
      <c r="A154" s="24"/>
      <c r="B154"/>
      <c r="C154"/>
      <c r="D154"/>
    </row>
    <row r="155" spans="1:4" x14ac:dyDescent="0.35">
      <c r="A155" s="24"/>
      <c r="B155"/>
      <c r="C155"/>
      <c r="D155"/>
    </row>
    <row r="156" spans="1:4" x14ac:dyDescent="0.35">
      <c r="A156" s="24"/>
      <c r="B156"/>
      <c r="C156"/>
      <c r="D156"/>
    </row>
    <row r="157" spans="1:4" x14ac:dyDescent="0.35">
      <c r="A157" s="24"/>
      <c r="B157"/>
      <c r="C157"/>
      <c r="D157"/>
    </row>
    <row r="158" spans="1:4" x14ac:dyDescent="0.35">
      <c r="A158" s="24"/>
      <c r="B158"/>
      <c r="C158"/>
      <c r="D158"/>
    </row>
    <row r="159" spans="1:4" x14ac:dyDescent="0.35">
      <c r="A159" s="24"/>
      <c r="B159"/>
      <c r="C159"/>
      <c r="D159"/>
    </row>
    <row r="160" spans="1:4" x14ac:dyDescent="0.35">
      <c r="A160" s="24"/>
      <c r="B160"/>
      <c r="C160"/>
      <c r="D160"/>
    </row>
    <row r="161" spans="1:4" x14ac:dyDescent="0.35">
      <c r="A161" s="24"/>
      <c r="B161"/>
      <c r="C161"/>
      <c r="D161"/>
    </row>
    <row r="162" spans="1:4" x14ac:dyDescent="0.35">
      <c r="A162" s="24"/>
      <c r="B162"/>
      <c r="C162"/>
      <c r="D162"/>
    </row>
    <row r="163" spans="1:4" x14ac:dyDescent="0.35">
      <c r="A163" s="24"/>
      <c r="B163"/>
      <c r="C163"/>
      <c r="D163"/>
    </row>
    <row r="164" spans="1:4" x14ac:dyDescent="0.35">
      <c r="A164" s="24"/>
      <c r="B164"/>
      <c r="C164"/>
      <c r="D164"/>
    </row>
    <row r="165" spans="1:4" x14ac:dyDescent="0.35">
      <c r="A165" s="24"/>
      <c r="B165"/>
      <c r="C165"/>
      <c r="D165"/>
    </row>
    <row r="166" spans="1:4" x14ac:dyDescent="0.35">
      <c r="A166" s="24"/>
      <c r="B166"/>
      <c r="C166"/>
      <c r="D166"/>
    </row>
    <row r="167" spans="1:4" x14ac:dyDescent="0.35">
      <c r="A167" s="24"/>
      <c r="B167"/>
      <c r="C167"/>
      <c r="D167"/>
    </row>
    <row r="168" spans="1:4" x14ac:dyDescent="0.35">
      <c r="A168" s="24"/>
      <c r="B168"/>
      <c r="C168"/>
      <c r="D168"/>
    </row>
    <row r="169" spans="1:4" x14ac:dyDescent="0.35">
      <c r="A169" s="24"/>
      <c r="B169"/>
      <c r="C169"/>
      <c r="D169"/>
    </row>
    <row r="170" spans="1:4" x14ac:dyDescent="0.35">
      <c r="A170" s="24"/>
      <c r="B170"/>
      <c r="C170"/>
      <c r="D170"/>
    </row>
    <row r="171" spans="1:4" x14ac:dyDescent="0.35">
      <c r="A171" s="24"/>
      <c r="B171"/>
      <c r="C171"/>
      <c r="D171"/>
    </row>
    <row r="172" spans="1:4" x14ac:dyDescent="0.35">
      <c r="A172" s="24"/>
      <c r="B172"/>
      <c r="C172"/>
      <c r="D172"/>
    </row>
    <row r="173" spans="1:4" x14ac:dyDescent="0.35">
      <c r="A173" s="24"/>
      <c r="B173"/>
      <c r="C173"/>
      <c r="D173"/>
    </row>
    <row r="174" spans="1:4" x14ac:dyDescent="0.35">
      <c r="A174" s="24"/>
      <c r="B174"/>
      <c r="C174"/>
      <c r="D174"/>
    </row>
    <row r="175" spans="1:4" x14ac:dyDescent="0.35">
      <c r="A175" s="24"/>
      <c r="B175"/>
      <c r="C175"/>
      <c r="D175"/>
    </row>
    <row r="176" spans="1:4" x14ac:dyDescent="0.35">
      <c r="A176" s="24"/>
      <c r="B176"/>
      <c r="C176"/>
      <c r="D176"/>
    </row>
    <row r="177" spans="1:4" x14ac:dyDescent="0.35">
      <c r="A177" s="24"/>
      <c r="B177"/>
      <c r="C177"/>
      <c r="D177"/>
    </row>
    <row r="178" spans="1:4" x14ac:dyDescent="0.35">
      <c r="A178" s="24"/>
      <c r="B178"/>
      <c r="C178"/>
      <c r="D178"/>
    </row>
    <row r="179" spans="1:4" x14ac:dyDescent="0.35">
      <c r="A179" s="24"/>
      <c r="B179"/>
      <c r="C179"/>
      <c r="D179"/>
    </row>
    <row r="180" spans="1:4" x14ac:dyDescent="0.35">
      <c r="A180" s="24"/>
      <c r="B180"/>
      <c r="C180"/>
      <c r="D180"/>
    </row>
    <row r="181" spans="1:4" x14ac:dyDescent="0.35">
      <c r="A181" s="24"/>
      <c r="B181"/>
      <c r="C181"/>
      <c r="D181"/>
    </row>
    <row r="182" spans="1:4" x14ac:dyDescent="0.35">
      <c r="A182" s="24"/>
      <c r="B182"/>
      <c r="C182"/>
      <c r="D182"/>
    </row>
    <row r="183" spans="1:4" x14ac:dyDescent="0.35">
      <c r="A183" s="24"/>
      <c r="B183"/>
      <c r="C183"/>
      <c r="D183"/>
    </row>
    <row r="184" spans="1:4" x14ac:dyDescent="0.35">
      <c r="A184" s="24"/>
      <c r="B184"/>
      <c r="C184"/>
      <c r="D184"/>
    </row>
    <row r="185" spans="1:4" x14ac:dyDescent="0.35">
      <c r="A185" s="24"/>
      <c r="B185"/>
      <c r="C185"/>
      <c r="D185"/>
    </row>
    <row r="186" spans="1:4" x14ac:dyDescent="0.35">
      <c r="A186" s="24"/>
      <c r="B186"/>
      <c r="C186"/>
      <c r="D186"/>
    </row>
    <row r="187" spans="1:4" x14ac:dyDescent="0.35">
      <c r="A187" s="24"/>
      <c r="B187"/>
      <c r="C187"/>
      <c r="D187"/>
    </row>
    <row r="188" spans="1:4" x14ac:dyDescent="0.35">
      <c r="A188" s="24"/>
      <c r="B188"/>
      <c r="C188"/>
      <c r="D188"/>
    </row>
    <row r="189" spans="1:4" x14ac:dyDescent="0.35">
      <c r="A189" s="24"/>
      <c r="B189"/>
      <c r="C189"/>
      <c r="D189"/>
    </row>
    <row r="190" spans="1:4" x14ac:dyDescent="0.35">
      <c r="A190" s="24"/>
      <c r="B190"/>
      <c r="C190"/>
      <c r="D190"/>
    </row>
    <row r="191" spans="1:4" x14ac:dyDescent="0.35">
      <c r="A191" s="24"/>
      <c r="B191"/>
      <c r="C191"/>
      <c r="D191"/>
    </row>
    <row r="192" spans="1:4" x14ac:dyDescent="0.35">
      <c r="A192" s="24"/>
      <c r="B192"/>
      <c r="C192"/>
      <c r="D192"/>
    </row>
    <row r="193" spans="1:4" x14ac:dyDescent="0.35">
      <c r="A193" s="24"/>
      <c r="B193"/>
      <c r="C193"/>
      <c r="D193"/>
    </row>
    <row r="194" spans="1:4" x14ac:dyDescent="0.35">
      <c r="A194" s="24"/>
      <c r="B194"/>
      <c r="C194"/>
      <c r="D194"/>
    </row>
    <row r="195" spans="1:4" x14ac:dyDescent="0.35">
      <c r="A195" s="24"/>
      <c r="B195"/>
      <c r="C195"/>
      <c r="D195"/>
    </row>
    <row r="196" spans="1:4" x14ac:dyDescent="0.35">
      <c r="A196" s="24"/>
      <c r="B196"/>
      <c r="C196"/>
      <c r="D196"/>
    </row>
    <row r="197" spans="1:4" x14ac:dyDescent="0.35">
      <c r="A197" s="24"/>
      <c r="B197"/>
      <c r="C197"/>
      <c r="D197"/>
    </row>
    <row r="198" spans="1:4" x14ac:dyDescent="0.35">
      <c r="A198" s="24"/>
      <c r="B198"/>
      <c r="C198"/>
      <c r="D198"/>
    </row>
    <row r="199" spans="1:4" x14ac:dyDescent="0.35">
      <c r="A199" s="24"/>
      <c r="B199"/>
      <c r="C199"/>
      <c r="D199"/>
    </row>
    <row r="200" spans="1:4" x14ac:dyDescent="0.35">
      <c r="A200" s="24"/>
      <c r="B200"/>
      <c r="C200"/>
      <c r="D200"/>
    </row>
    <row r="201" spans="1:4" x14ac:dyDescent="0.35">
      <c r="A201" s="24"/>
      <c r="B201"/>
      <c r="C201"/>
      <c r="D201"/>
    </row>
    <row r="202" spans="1:4" x14ac:dyDescent="0.35">
      <c r="A202" s="24"/>
      <c r="B202"/>
      <c r="C202"/>
      <c r="D202"/>
    </row>
    <row r="203" spans="1:4" x14ac:dyDescent="0.35">
      <c r="A203" s="24"/>
      <c r="B203"/>
      <c r="C203"/>
      <c r="D203"/>
    </row>
    <row r="204" spans="1:4" x14ac:dyDescent="0.35">
      <c r="A204" s="24"/>
      <c r="B204"/>
      <c r="C204"/>
      <c r="D204"/>
    </row>
    <row r="205" spans="1:4" x14ac:dyDescent="0.35">
      <c r="A205" s="24"/>
      <c r="B205"/>
      <c r="C205"/>
      <c r="D205"/>
    </row>
    <row r="206" spans="1:4" x14ac:dyDescent="0.35">
      <c r="A206" s="24"/>
      <c r="B206"/>
      <c r="C206"/>
      <c r="D206"/>
    </row>
    <row r="207" spans="1:4" x14ac:dyDescent="0.35">
      <c r="A207" s="24"/>
      <c r="B207"/>
      <c r="C207"/>
      <c r="D207"/>
    </row>
    <row r="208" spans="1:4" x14ac:dyDescent="0.35">
      <c r="A208" s="24"/>
      <c r="B208"/>
      <c r="C208"/>
      <c r="D208"/>
    </row>
    <row r="209" spans="1:4" x14ac:dyDescent="0.35">
      <c r="A209" s="24"/>
      <c r="B209"/>
      <c r="C209"/>
      <c r="D209"/>
    </row>
    <row r="210" spans="1:4" x14ac:dyDescent="0.35">
      <c r="A210" s="24"/>
      <c r="B210"/>
      <c r="C210"/>
      <c r="D210"/>
    </row>
    <row r="211" spans="1:4" x14ac:dyDescent="0.35">
      <c r="A211" s="24"/>
      <c r="B211"/>
      <c r="C211"/>
      <c r="D211"/>
    </row>
    <row r="212" spans="1:4" x14ac:dyDescent="0.35">
      <c r="A212" s="24"/>
      <c r="B212"/>
      <c r="C212"/>
      <c r="D212"/>
    </row>
    <row r="213" spans="1:4" x14ac:dyDescent="0.35">
      <c r="A213" s="24"/>
      <c r="B213"/>
      <c r="C213"/>
      <c r="D213"/>
    </row>
    <row r="214" spans="1:4" x14ac:dyDescent="0.35">
      <c r="A214" s="24"/>
      <c r="B214"/>
      <c r="C214"/>
      <c r="D214"/>
    </row>
    <row r="215" spans="1:4" x14ac:dyDescent="0.35">
      <c r="A215" s="24"/>
      <c r="B215"/>
      <c r="C215"/>
      <c r="D215"/>
    </row>
    <row r="216" spans="1:4" x14ac:dyDescent="0.35">
      <c r="A216" s="24"/>
      <c r="B216"/>
      <c r="C216"/>
      <c r="D216"/>
    </row>
    <row r="217" spans="1:4" x14ac:dyDescent="0.35">
      <c r="A217" s="24"/>
      <c r="B217"/>
      <c r="C217"/>
      <c r="D217"/>
    </row>
    <row r="218" spans="1:4" x14ac:dyDescent="0.35">
      <c r="A218" s="24"/>
      <c r="B218"/>
      <c r="C218"/>
      <c r="D218"/>
    </row>
    <row r="219" spans="1:4" x14ac:dyDescent="0.35">
      <c r="A219" s="24"/>
      <c r="B219"/>
      <c r="C219"/>
      <c r="D219"/>
    </row>
    <row r="220" spans="1:4" x14ac:dyDescent="0.35">
      <c r="A220" s="24"/>
      <c r="B220"/>
      <c r="C220"/>
      <c r="D220"/>
    </row>
    <row r="221" spans="1:4" x14ac:dyDescent="0.35">
      <c r="A221" s="24"/>
      <c r="B221"/>
      <c r="C221"/>
      <c r="D221"/>
    </row>
    <row r="222" spans="1:4" x14ac:dyDescent="0.35">
      <c r="A222" s="24"/>
      <c r="B222"/>
      <c r="C222"/>
      <c r="D222"/>
    </row>
    <row r="223" spans="1:4" x14ac:dyDescent="0.35">
      <c r="A223" s="24"/>
      <c r="B223"/>
      <c r="C223"/>
      <c r="D223"/>
    </row>
    <row r="224" spans="1:4" x14ac:dyDescent="0.35">
      <c r="A224" s="24"/>
      <c r="B224"/>
      <c r="C224"/>
      <c r="D224"/>
    </row>
    <row r="225" spans="1:4" x14ac:dyDescent="0.35">
      <c r="A225" s="24"/>
      <c r="B225"/>
      <c r="C225"/>
      <c r="D225"/>
    </row>
    <row r="226" spans="1:4" x14ac:dyDescent="0.35">
      <c r="A226" s="24"/>
      <c r="B226"/>
      <c r="C226"/>
      <c r="D226"/>
    </row>
    <row r="227" spans="1:4" x14ac:dyDescent="0.35">
      <c r="A227" s="24"/>
      <c r="B227"/>
      <c r="C227"/>
      <c r="D227"/>
    </row>
    <row r="228" spans="1:4" x14ac:dyDescent="0.35">
      <c r="A228" s="24"/>
      <c r="B228"/>
      <c r="C228"/>
      <c r="D228"/>
    </row>
    <row r="229" spans="1:4" x14ac:dyDescent="0.35">
      <c r="A229" s="24"/>
      <c r="B229"/>
      <c r="C229"/>
      <c r="D229"/>
    </row>
    <row r="230" spans="1:4" x14ac:dyDescent="0.35">
      <c r="A230" s="24"/>
      <c r="B230"/>
      <c r="C230"/>
      <c r="D230"/>
    </row>
    <row r="231" spans="1:4" x14ac:dyDescent="0.35">
      <c r="A231" s="24"/>
      <c r="B231"/>
      <c r="C231"/>
      <c r="D231"/>
    </row>
    <row r="232" spans="1:4" x14ac:dyDescent="0.35">
      <c r="A232" s="24"/>
      <c r="B232"/>
      <c r="C232"/>
      <c r="D232"/>
    </row>
    <row r="233" spans="1:4" x14ac:dyDescent="0.35">
      <c r="A233" s="24"/>
      <c r="B233"/>
      <c r="C233"/>
      <c r="D233"/>
    </row>
    <row r="234" spans="1:4" x14ac:dyDescent="0.35">
      <c r="A234" s="24"/>
      <c r="B234"/>
      <c r="C234"/>
      <c r="D234"/>
    </row>
    <row r="235" spans="1:4" x14ac:dyDescent="0.35">
      <c r="A235" s="24"/>
      <c r="B235"/>
      <c r="C235"/>
      <c r="D235"/>
    </row>
    <row r="236" spans="1:4" x14ac:dyDescent="0.35">
      <c r="A236" s="24"/>
      <c r="B236"/>
      <c r="C236"/>
      <c r="D236"/>
    </row>
    <row r="237" spans="1:4" x14ac:dyDescent="0.35">
      <c r="A237" s="24"/>
      <c r="B237"/>
      <c r="C237"/>
      <c r="D237"/>
    </row>
    <row r="238" spans="1:4" x14ac:dyDescent="0.35">
      <c r="A238" s="24"/>
      <c r="B238"/>
      <c r="C238"/>
      <c r="D238"/>
    </row>
    <row r="239" spans="1:4" x14ac:dyDescent="0.35">
      <c r="A239" s="24"/>
      <c r="B239"/>
      <c r="C239"/>
      <c r="D239"/>
    </row>
    <row r="240" spans="1:4" x14ac:dyDescent="0.35">
      <c r="A240" s="24"/>
      <c r="B240"/>
      <c r="C240"/>
      <c r="D240"/>
    </row>
    <row r="241" spans="1:4" x14ac:dyDescent="0.35">
      <c r="A241" s="24"/>
      <c r="B241"/>
      <c r="C241"/>
      <c r="D241"/>
    </row>
    <row r="242" spans="1:4" x14ac:dyDescent="0.35">
      <c r="A242" s="24"/>
      <c r="B242"/>
      <c r="C242"/>
      <c r="D242"/>
    </row>
    <row r="243" spans="1:4" x14ac:dyDescent="0.35">
      <c r="A243" s="24"/>
      <c r="B243"/>
      <c r="C243"/>
      <c r="D243"/>
    </row>
    <row r="244" spans="1:4" x14ac:dyDescent="0.35">
      <c r="A244" s="24"/>
      <c r="B244"/>
      <c r="C244"/>
      <c r="D244"/>
    </row>
    <row r="245" spans="1:4" x14ac:dyDescent="0.35">
      <c r="A245" s="24"/>
      <c r="B245"/>
      <c r="C245"/>
      <c r="D245"/>
    </row>
    <row r="246" spans="1:4" x14ac:dyDescent="0.35">
      <c r="A246" s="24"/>
      <c r="B246"/>
      <c r="C246"/>
      <c r="D246"/>
    </row>
    <row r="247" spans="1:4" x14ac:dyDescent="0.35">
      <c r="A247" s="24"/>
      <c r="B247"/>
      <c r="C247"/>
      <c r="D247"/>
    </row>
    <row r="248" spans="1:4" x14ac:dyDescent="0.35">
      <c r="A248" s="24"/>
      <c r="B248"/>
      <c r="C248"/>
      <c r="D248"/>
    </row>
    <row r="249" spans="1:4" x14ac:dyDescent="0.35">
      <c r="A249" s="24"/>
      <c r="B249"/>
      <c r="C249"/>
      <c r="D249"/>
    </row>
    <row r="250" spans="1:4" x14ac:dyDescent="0.35">
      <c r="A250" s="24"/>
      <c r="B250"/>
      <c r="C250"/>
      <c r="D250"/>
    </row>
    <row r="251" spans="1:4" x14ac:dyDescent="0.35">
      <c r="A251" s="24"/>
      <c r="B251"/>
      <c r="C251"/>
      <c r="D251"/>
    </row>
    <row r="252" spans="1:4" x14ac:dyDescent="0.35">
      <c r="A252" s="24"/>
      <c r="B252"/>
      <c r="C252"/>
      <c r="D252"/>
    </row>
    <row r="253" spans="1:4" x14ac:dyDescent="0.35">
      <c r="A253" s="24"/>
      <c r="B253"/>
      <c r="C253"/>
      <c r="D253"/>
    </row>
    <row r="254" spans="1:4" x14ac:dyDescent="0.35">
      <c r="A254" s="24"/>
      <c r="B254"/>
      <c r="C254"/>
      <c r="D254"/>
    </row>
    <row r="255" spans="1:4" x14ac:dyDescent="0.35">
      <c r="A255" s="24"/>
      <c r="B255"/>
      <c r="C255"/>
      <c r="D255"/>
    </row>
    <row r="256" spans="1:4" x14ac:dyDescent="0.35">
      <c r="A256" s="24"/>
      <c r="B256"/>
      <c r="C256"/>
      <c r="D256"/>
    </row>
    <row r="257" spans="1:4" x14ac:dyDescent="0.35">
      <c r="A257" s="24"/>
      <c r="B257"/>
      <c r="C257"/>
      <c r="D257"/>
    </row>
    <row r="258" spans="1:4" x14ac:dyDescent="0.35">
      <c r="A258" s="24"/>
      <c r="B258"/>
      <c r="C258"/>
      <c r="D258"/>
    </row>
    <row r="259" spans="1:4" x14ac:dyDescent="0.35">
      <c r="A259" s="24"/>
      <c r="B259"/>
      <c r="C259"/>
      <c r="D259"/>
    </row>
    <row r="260" spans="1:4" x14ac:dyDescent="0.35">
      <c r="A260" s="24"/>
      <c r="B260"/>
      <c r="C260"/>
      <c r="D260"/>
    </row>
    <row r="261" spans="1:4" x14ac:dyDescent="0.35">
      <c r="A261" s="24"/>
      <c r="B261"/>
      <c r="C261"/>
      <c r="D261"/>
    </row>
    <row r="262" spans="1:4" x14ac:dyDescent="0.35">
      <c r="A262" s="24"/>
      <c r="B262"/>
      <c r="C262"/>
      <c r="D262"/>
    </row>
    <row r="263" spans="1:4" x14ac:dyDescent="0.35">
      <c r="A263" s="24"/>
      <c r="B263"/>
      <c r="C263"/>
      <c r="D263"/>
    </row>
    <row r="264" spans="1:4" x14ac:dyDescent="0.35">
      <c r="A264" s="24"/>
      <c r="B264"/>
      <c r="C264"/>
      <c r="D264"/>
    </row>
    <row r="265" spans="1:4" x14ac:dyDescent="0.35">
      <c r="A265" s="24"/>
      <c r="B265"/>
      <c r="C265"/>
      <c r="D265"/>
    </row>
    <row r="266" spans="1:4" x14ac:dyDescent="0.35">
      <c r="A266" s="24"/>
      <c r="B266"/>
      <c r="C266"/>
      <c r="D266"/>
    </row>
    <row r="267" spans="1:4" x14ac:dyDescent="0.35">
      <c r="A267" s="24"/>
      <c r="B267"/>
      <c r="C267"/>
      <c r="D267"/>
    </row>
    <row r="268" spans="1:4" x14ac:dyDescent="0.35">
      <c r="A268" s="24"/>
      <c r="B268"/>
      <c r="C268"/>
      <c r="D268"/>
    </row>
    <row r="269" spans="1:4" x14ac:dyDescent="0.35">
      <c r="A269" s="24"/>
      <c r="B269"/>
      <c r="C269"/>
      <c r="D269"/>
    </row>
    <row r="270" spans="1:4" x14ac:dyDescent="0.35">
      <c r="A270" s="24"/>
      <c r="B270"/>
      <c r="C270"/>
      <c r="D270"/>
    </row>
    <row r="271" spans="1:4" x14ac:dyDescent="0.35">
      <c r="A271" s="24"/>
      <c r="B271"/>
      <c r="C271"/>
      <c r="D271"/>
    </row>
    <row r="272" spans="1:4" x14ac:dyDescent="0.35">
      <c r="A272" s="24"/>
      <c r="B272"/>
      <c r="C272"/>
      <c r="D272"/>
    </row>
    <row r="273" spans="1:4" x14ac:dyDescent="0.35">
      <c r="A273" s="24"/>
      <c r="B273"/>
      <c r="C273"/>
      <c r="D273"/>
    </row>
    <row r="274" spans="1:4" x14ac:dyDescent="0.35">
      <c r="A274" s="24"/>
      <c r="B274"/>
      <c r="C274"/>
      <c r="D274"/>
    </row>
    <row r="275" spans="1:4" x14ac:dyDescent="0.35">
      <c r="A275" s="24"/>
      <c r="B275"/>
      <c r="C275"/>
      <c r="D275"/>
    </row>
    <row r="276" spans="1:4" x14ac:dyDescent="0.35">
      <c r="A276" s="24"/>
      <c r="B276"/>
      <c r="C276"/>
      <c r="D276"/>
    </row>
    <row r="277" spans="1:4" x14ac:dyDescent="0.35">
      <c r="A277" s="24"/>
      <c r="B277"/>
      <c r="C277"/>
      <c r="D277"/>
    </row>
    <row r="278" spans="1:4" x14ac:dyDescent="0.35">
      <c r="A278" s="24"/>
      <c r="B278"/>
      <c r="C278"/>
      <c r="D278"/>
    </row>
    <row r="279" spans="1:4" x14ac:dyDescent="0.35">
      <c r="A279" s="24"/>
      <c r="B279"/>
      <c r="C279"/>
      <c r="D279"/>
    </row>
    <row r="280" spans="1:4" x14ac:dyDescent="0.35">
      <c r="A280" s="24"/>
      <c r="B280"/>
      <c r="C280"/>
      <c r="D280"/>
    </row>
    <row r="281" spans="1:4" x14ac:dyDescent="0.35">
      <c r="A281" s="24"/>
      <c r="B281"/>
      <c r="C281"/>
      <c r="D281"/>
    </row>
    <row r="282" spans="1:4" x14ac:dyDescent="0.35">
      <c r="A282" s="24"/>
      <c r="B282"/>
      <c r="C282"/>
      <c r="D282"/>
    </row>
    <row r="283" spans="1:4" x14ac:dyDescent="0.35">
      <c r="A283" s="24"/>
      <c r="B283"/>
      <c r="C283"/>
      <c r="D283"/>
    </row>
    <row r="284" spans="1:4" x14ac:dyDescent="0.35">
      <c r="A284" s="24"/>
      <c r="B284"/>
      <c r="C284"/>
      <c r="D284"/>
    </row>
    <row r="285" spans="1:4" x14ac:dyDescent="0.35">
      <c r="A285" s="24"/>
      <c r="B285"/>
      <c r="C285"/>
      <c r="D285"/>
    </row>
    <row r="286" spans="1:4" x14ac:dyDescent="0.35">
      <c r="A286" s="24"/>
      <c r="B286"/>
      <c r="C286"/>
      <c r="D286"/>
    </row>
    <row r="287" spans="1:4" x14ac:dyDescent="0.35">
      <c r="A287" s="24"/>
      <c r="B287"/>
      <c r="C287"/>
      <c r="D287"/>
    </row>
    <row r="288" spans="1:4" x14ac:dyDescent="0.35">
      <c r="A288" s="24"/>
      <c r="B288"/>
      <c r="C288"/>
      <c r="D288"/>
    </row>
    <row r="289" spans="1:4" x14ac:dyDescent="0.35">
      <c r="A289" s="24"/>
      <c r="B289"/>
      <c r="C289"/>
      <c r="D289"/>
    </row>
    <row r="290" spans="1:4" x14ac:dyDescent="0.35">
      <c r="A290" s="24"/>
      <c r="B290"/>
      <c r="C290"/>
      <c r="D290"/>
    </row>
    <row r="291" spans="1:4" x14ac:dyDescent="0.35">
      <c r="A291" s="24"/>
      <c r="B291"/>
      <c r="C291"/>
      <c r="D291"/>
    </row>
    <row r="292" spans="1:4" x14ac:dyDescent="0.35">
      <c r="A292" s="24"/>
      <c r="B292"/>
      <c r="C292"/>
      <c r="D292"/>
    </row>
    <row r="293" spans="1:4" x14ac:dyDescent="0.35">
      <c r="A293" s="24"/>
      <c r="B293"/>
      <c r="C293"/>
      <c r="D293"/>
    </row>
    <row r="294" spans="1:4" x14ac:dyDescent="0.35">
      <c r="A294" s="24"/>
      <c r="B294"/>
      <c r="C294"/>
      <c r="D294"/>
    </row>
    <row r="295" spans="1:4" x14ac:dyDescent="0.35">
      <c r="A295" s="24"/>
      <c r="B295"/>
      <c r="C295"/>
      <c r="D295"/>
    </row>
    <row r="296" spans="1:4" x14ac:dyDescent="0.35">
      <c r="A296" s="24"/>
      <c r="B296"/>
      <c r="C296"/>
      <c r="D296"/>
    </row>
    <row r="297" spans="1:4" x14ac:dyDescent="0.35">
      <c r="A297" s="24"/>
      <c r="B297"/>
      <c r="C297"/>
      <c r="D297"/>
    </row>
    <row r="298" spans="1:4" x14ac:dyDescent="0.35">
      <c r="A298" s="24"/>
      <c r="B298"/>
      <c r="C298"/>
      <c r="D298"/>
    </row>
    <row r="299" spans="1:4" x14ac:dyDescent="0.35">
      <c r="A299" s="24"/>
      <c r="B299"/>
      <c r="C299"/>
      <c r="D299"/>
    </row>
    <row r="300" spans="1:4" x14ac:dyDescent="0.35">
      <c r="A300" s="24"/>
      <c r="B300"/>
      <c r="C300"/>
      <c r="D300"/>
    </row>
    <row r="301" spans="1:4" x14ac:dyDescent="0.35">
      <c r="A301" s="24"/>
      <c r="B301"/>
      <c r="C301"/>
      <c r="D301"/>
    </row>
    <row r="302" spans="1:4" x14ac:dyDescent="0.35">
      <c r="A302" s="24"/>
      <c r="B302"/>
      <c r="C302"/>
      <c r="D302"/>
    </row>
    <row r="303" spans="1:4" x14ac:dyDescent="0.35">
      <c r="A303" s="24"/>
      <c r="B303"/>
      <c r="C303"/>
      <c r="D303"/>
    </row>
    <row r="304" spans="1:4" x14ac:dyDescent="0.35">
      <c r="A304" s="24"/>
      <c r="B304"/>
      <c r="C304"/>
      <c r="D304"/>
    </row>
    <row r="305" spans="1:4" x14ac:dyDescent="0.35">
      <c r="A305" s="24"/>
      <c r="B305"/>
      <c r="C305"/>
      <c r="D305"/>
    </row>
    <row r="306" spans="1:4" x14ac:dyDescent="0.35">
      <c r="A306" s="24"/>
      <c r="B306"/>
      <c r="C306"/>
      <c r="D306"/>
    </row>
    <row r="307" spans="1:4" x14ac:dyDescent="0.35">
      <c r="A307" s="24"/>
      <c r="B307"/>
      <c r="C307"/>
      <c r="D307"/>
    </row>
    <row r="308" spans="1:4" x14ac:dyDescent="0.35">
      <c r="A308" s="24"/>
      <c r="B308"/>
      <c r="C308"/>
      <c r="D308"/>
    </row>
    <row r="309" spans="1:4" x14ac:dyDescent="0.35">
      <c r="A309" s="24"/>
      <c r="B309"/>
      <c r="C309"/>
      <c r="D309"/>
    </row>
    <row r="310" spans="1:4" x14ac:dyDescent="0.35">
      <c r="A310" s="24"/>
      <c r="B310"/>
      <c r="C310"/>
      <c r="D310"/>
    </row>
    <row r="311" spans="1:4" x14ac:dyDescent="0.35">
      <c r="A311" s="24"/>
      <c r="B311"/>
      <c r="C311"/>
      <c r="D311"/>
    </row>
    <row r="312" spans="1:4" x14ac:dyDescent="0.35">
      <c r="A312" s="24"/>
      <c r="B312"/>
      <c r="C312"/>
      <c r="D312"/>
    </row>
    <row r="313" spans="1:4" x14ac:dyDescent="0.35">
      <c r="A313" s="24"/>
      <c r="B313"/>
      <c r="C313"/>
      <c r="D313"/>
    </row>
    <row r="314" spans="1:4" x14ac:dyDescent="0.35">
      <c r="A314" s="24"/>
      <c r="B314"/>
      <c r="C314"/>
      <c r="D314"/>
    </row>
    <row r="315" spans="1:4" x14ac:dyDescent="0.35">
      <c r="A315" s="24"/>
      <c r="B315"/>
      <c r="C315"/>
      <c r="D315"/>
    </row>
    <row r="316" spans="1:4" x14ac:dyDescent="0.35">
      <c r="A316" s="24"/>
      <c r="B316"/>
      <c r="C316"/>
      <c r="D316"/>
    </row>
    <row r="317" spans="1:4" x14ac:dyDescent="0.35">
      <c r="A317" s="24"/>
      <c r="B317"/>
      <c r="C317"/>
      <c r="D317"/>
    </row>
    <row r="318" spans="1:4" x14ac:dyDescent="0.35">
      <c r="A318" s="24"/>
      <c r="B318"/>
      <c r="C318"/>
      <c r="D318"/>
    </row>
    <row r="319" spans="1:4" x14ac:dyDescent="0.35">
      <c r="A319" s="24"/>
      <c r="B319"/>
      <c r="C319"/>
      <c r="D319"/>
    </row>
    <row r="320" spans="1:4" x14ac:dyDescent="0.35">
      <c r="A320" s="24"/>
      <c r="B320"/>
      <c r="C320"/>
      <c r="D320"/>
    </row>
    <row r="321" spans="1:4" x14ac:dyDescent="0.35">
      <c r="A321" s="24"/>
      <c r="B321"/>
      <c r="C321"/>
      <c r="D321"/>
    </row>
    <row r="322" spans="1:4" x14ac:dyDescent="0.35">
      <c r="A322" s="24"/>
      <c r="B322"/>
      <c r="C322"/>
      <c r="D322"/>
    </row>
    <row r="323" spans="1:4" x14ac:dyDescent="0.35">
      <c r="A323" s="24"/>
      <c r="B323"/>
      <c r="C323"/>
      <c r="D323"/>
    </row>
    <row r="324" spans="1:4" x14ac:dyDescent="0.35">
      <c r="A324" s="24"/>
      <c r="B324"/>
      <c r="C324"/>
      <c r="D324"/>
    </row>
    <row r="325" spans="1:4" x14ac:dyDescent="0.35">
      <c r="A325" s="24"/>
      <c r="B325"/>
      <c r="C325"/>
      <c r="D325"/>
    </row>
    <row r="326" spans="1:4" x14ac:dyDescent="0.35">
      <c r="A326" s="24"/>
      <c r="B326"/>
      <c r="C326"/>
      <c r="D326"/>
    </row>
    <row r="327" spans="1:4" x14ac:dyDescent="0.35">
      <c r="A327" s="24"/>
      <c r="B327"/>
      <c r="C327"/>
      <c r="D327"/>
    </row>
    <row r="328" spans="1:4" x14ac:dyDescent="0.35">
      <c r="A328" s="24"/>
      <c r="B328"/>
      <c r="C328"/>
      <c r="D328"/>
    </row>
    <row r="329" spans="1:4" x14ac:dyDescent="0.35">
      <c r="A329" s="24"/>
      <c r="B329"/>
      <c r="C329"/>
      <c r="D329"/>
    </row>
    <row r="330" spans="1:4" x14ac:dyDescent="0.35">
      <c r="A330" s="24"/>
      <c r="B330"/>
      <c r="C330"/>
      <c r="D330"/>
    </row>
    <row r="331" spans="1:4" x14ac:dyDescent="0.35">
      <c r="A331" s="24"/>
      <c r="B331"/>
      <c r="C331"/>
      <c r="D331"/>
    </row>
    <row r="332" spans="1:4" x14ac:dyDescent="0.35">
      <c r="A332" s="24"/>
      <c r="B332"/>
      <c r="C332"/>
      <c r="D332"/>
    </row>
    <row r="333" spans="1:4" x14ac:dyDescent="0.35">
      <c r="A333" s="24"/>
      <c r="B333"/>
      <c r="C333"/>
      <c r="D333"/>
    </row>
    <row r="334" spans="1:4" x14ac:dyDescent="0.35">
      <c r="A334" s="24"/>
      <c r="B334"/>
      <c r="C334"/>
      <c r="D334"/>
    </row>
    <row r="335" spans="1:4" x14ac:dyDescent="0.35">
      <c r="A335" s="24"/>
      <c r="B335"/>
      <c r="C335"/>
      <c r="D335"/>
    </row>
    <row r="336" spans="1:4" x14ac:dyDescent="0.35">
      <c r="A336" s="24"/>
      <c r="B336"/>
      <c r="C336"/>
      <c r="D336"/>
    </row>
    <row r="337" spans="1:4" x14ac:dyDescent="0.35">
      <c r="A337" s="24"/>
      <c r="B337"/>
      <c r="C337"/>
      <c r="D337"/>
    </row>
    <row r="338" spans="1:4" x14ac:dyDescent="0.35">
      <c r="A338" s="24"/>
      <c r="B338"/>
      <c r="C338"/>
      <c r="D338"/>
    </row>
    <row r="339" spans="1:4" x14ac:dyDescent="0.35">
      <c r="A339" s="24"/>
      <c r="B339"/>
      <c r="C339"/>
      <c r="D339"/>
    </row>
    <row r="340" spans="1:4" x14ac:dyDescent="0.35">
      <c r="A340" s="24"/>
      <c r="B340"/>
      <c r="C340"/>
      <c r="D340"/>
    </row>
    <row r="341" spans="1:4" x14ac:dyDescent="0.35">
      <c r="A341" s="24"/>
      <c r="B341"/>
      <c r="C341"/>
      <c r="D341"/>
    </row>
    <row r="342" spans="1:4" x14ac:dyDescent="0.35">
      <c r="A342" s="24"/>
      <c r="B342"/>
      <c r="C342"/>
      <c r="D342"/>
    </row>
    <row r="343" spans="1:4" x14ac:dyDescent="0.35">
      <c r="A343" s="24"/>
      <c r="B343"/>
      <c r="C343"/>
      <c r="D343"/>
    </row>
    <row r="344" spans="1:4" x14ac:dyDescent="0.35">
      <c r="A344" s="24"/>
      <c r="B344"/>
      <c r="C344"/>
      <c r="D344"/>
    </row>
    <row r="345" spans="1:4" x14ac:dyDescent="0.35">
      <c r="A345" s="24"/>
      <c r="B345"/>
      <c r="C345"/>
      <c r="D345"/>
    </row>
    <row r="346" spans="1:4" x14ac:dyDescent="0.35">
      <c r="A346" s="24"/>
      <c r="B346"/>
      <c r="C346"/>
      <c r="D346"/>
    </row>
    <row r="347" spans="1:4" x14ac:dyDescent="0.35">
      <c r="A347" s="24"/>
      <c r="B347"/>
      <c r="C347"/>
      <c r="D347"/>
    </row>
    <row r="348" spans="1:4" x14ac:dyDescent="0.35">
      <c r="A348" s="24"/>
      <c r="B348"/>
      <c r="C348"/>
      <c r="D348"/>
    </row>
    <row r="349" spans="1:4" x14ac:dyDescent="0.35">
      <c r="A349" s="24"/>
      <c r="B349"/>
      <c r="C349"/>
      <c r="D349"/>
    </row>
    <row r="350" spans="1:4" x14ac:dyDescent="0.35">
      <c r="A350" s="24"/>
      <c r="B350"/>
      <c r="C350"/>
      <c r="D350"/>
    </row>
    <row r="351" spans="1:4" x14ac:dyDescent="0.35">
      <c r="A351" s="24"/>
      <c r="B351"/>
      <c r="C351"/>
      <c r="D351"/>
    </row>
    <row r="352" spans="1:4" x14ac:dyDescent="0.35">
      <c r="A352" s="24"/>
      <c r="B352"/>
      <c r="C352"/>
      <c r="D352"/>
    </row>
    <row r="353" spans="1:4" x14ac:dyDescent="0.35">
      <c r="A353" s="24"/>
      <c r="B353"/>
      <c r="C353"/>
      <c r="D353"/>
    </row>
    <row r="354" spans="1:4" x14ac:dyDescent="0.35">
      <c r="A354" s="24"/>
      <c r="B354"/>
      <c r="C354"/>
      <c r="D354"/>
    </row>
    <row r="355" spans="1:4" x14ac:dyDescent="0.35">
      <c r="A355" s="24"/>
      <c r="B355"/>
      <c r="C355"/>
      <c r="D355"/>
    </row>
    <row r="356" spans="1:4" x14ac:dyDescent="0.35">
      <c r="A356" s="24"/>
      <c r="B356"/>
      <c r="C356"/>
      <c r="D356"/>
    </row>
    <row r="357" spans="1:4" x14ac:dyDescent="0.35">
      <c r="A357" s="24"/>
      <c r="B357"/>
      <c r="C357"/>
      <c r="D357"/>
    </row>
    <row r="358" spans="1:4" x14ac:dyDescent="0.35">
      <c r="A358" s="24"/>
      <c r="B358"/>
      <c r="C358"/>
      <c r="D358"/>
    </row>
    <row r="359" spans="1:4" x14ac:dyDescent="0.35">
      <c r="A359" s="24"/>
      <c r="B359"/>
      <c r="C359"/>
      <c r="D359"/>
    </row>
    <row r="360" spans="1:4" x14ac:dyDescent="0.35">
      <c r="A360" s="24"/>
      <c r="B360"/>
      <c r="C360"/>
      <c r="D360"/>
    </row>
    <row r="361" spans="1:4" x14ac:dyDescent="0.35">
      <c r="A361" s="24"/>
      <c r="B361"/>
      <c r="C361"/>
      <c r="D361"/>
    </row>
    <row r="362" spans="1:4" x14ac:dyDescent="0.35">
      <c r="A362" s="24"/>
      <c r="B362"/>
      <c r="C362"/>
      <c r="D362"/>
    </row>
    <row r="363" spans="1:4" x14ac:dyDescent="0.35">
      <c r="A363" s="24"/>
      <c r="B363"/>
      <c r="C363"/>
      <c r="D363"/>
    </row>
    <row r="364" spans="1:4" x14ac:dyDescent="0.35">
      <c r="A364" s="24"/>
      <c r="B364"/>
      <c r="C364"/>
      <c r="D364"/>
    </row>
    <row r="365" spans="1:4" x14ac:dyDescent="0.35">
      <c r="A365" s="24"/>
      <c r="B365"/>
      <c r="C365"/>
      <c r="D365"/>
    </row>
    <row r="366" spans="1:4" x14ac:dyDescent="0.35">
      <c r="A366" s="24"/>
      <c r="B366"/>
      <c r="C366"/>
      <c r="D366"/>
    </row>
    <row r="367" spans="1:4" x14ac:dyDescent="0.35">
      <c r="A367" s="24"/>
      <c r="B367"/>
      <c r="C367"/>
      <c r="D367"/>
    </row>
    <row r="368" spans="1:4" x14ac:dyDescent="0.35">
      <c r="A368" s="24"/>
      <c r="B368"/>
      <c r="C368"/>
      <c r="D368"/>
    </row>
    <row r="369" spans="1:4" x14ac:dyDescent="0.35">
      <c r="A369" s="24"/>
      <c r="B369"/>
      <c r="C369"/>
      <c r="D369"/>
    </row>
    <row r="370" spans="1:4" x14ac:dyDescent="0.35">
      <c r="A370" s="24"/>
      <c r="B370"/>
      <c r="C370"/>
      <c r="D370"/>
    </row>
    <row r="371" spans="1:4" x14ac:dyDescent="0.35">
      <c r="A371" s="24"/>
      <c r="B371"/>
      <c r="C371"/>
      <c r="D371"/>
    </row>
    <row r="372" spans="1:4" x14ac:dyDescent="0.35">
      <c r="A372" s="24"/>
      <c r="B372"/>
      <c r="C372"/>
      <c r="D372"/>
    </row>
    <row r="373" spans="1:4" x14ac:dyDescent="0.35">
      <c r="A373" s="24"/>
      <c r="B373"/>
      <c r="C373"/>
      <c r="D373"/>
    </row>
    <row r="374" spans="1:4" x14ac:dyDescent="0.35">
      <c r="A374" s="24"/>
      <c r="B374"/>
      <c r="C374"/>
      <c r="D374"/>
    </row>
    <row r="375" spans="1:4" x14ac:dyDescent="0.35">
      <c r="A375" s="24"/>
      <c r="B375"/>
      <c r="C375"/>
      <c r="D375"/>
    </row>
    <row r="376" spans="1:4" x14ac:dyDescent="0.35">
      <c r="A376" s="24"/>
      <c r="B376"/>
      <c r="C376"/>
      <c r="D376"/>
    </row>
    <row r="377" spans="1:4" x14ac:dyDescent="0.35">
      <c r="A377" s="24"/>
      <c r="B377"/>
      <c r="C377"/>
      <c r="D377"/>
    </row>
    <row r="378" spans="1:4" x14ac:dyDescent="0.35">
      <c r="A378" s="24"/>
      <c r="B378"/>
      <c r="C378"/>
      <c r="D378"/>
    </row>
    <row r="379" spans="1:4" x14ac:dyDescent="0.35">
      <c r="A379" s="24"/>
      <c r="B379"/>
      <c r="C379"/>
      <c r="D379"/>
    </row>
    <row r="380" spans="1:4" x14ac:dyDescent="0.35">
      <c r="A380" s="24"/>
      <c r="B380"/>
      <c r="C380"/>
      <c r="D380"/>
    </row>
    <row r="381" spans="1:4" x14ac:dyDescent="0.35">
      <c r="A381" s="24"/>
      <c r="B381"/>
      <c r="C381"/>
      <c r="D381"/>
    </row>
    <row r="382" spans="1:4" x14ac:dyDescent="0.35">
      <c r="A382" s="24"/>
      <c r="B382"/>
      <c r="C382"/>
      <c r="D382"/>
    </row>
    <row r="383" spans="1:4" x14ac:dyDescent="0.35">
      <c r="A383" s="24"/>
      <c r="B383"/>
      <c r="C383"/>
      <c r="D383"/>
    </row>
    <row r="384" spans="1:4" x14ac:dyDescent="0.35">
      <c r="A384" s="24"/>
      <c r="B384"/>
      <c r="C384"/>
      <c r="D384"/>
    </row>
    <row r="385" spans="1:4" x14ac:dyDescent="0.35">
      <c r="A385" s="24"/>
      <c r="B385"/>
      <c r="C385"/>
      <c r="D385"/>
    </row>
    <row r="386" spans="1:4" x14ac:dyDescent="0.35">
      <c r="A386" s="24"/>
      <c r="B386"/>
      <c r="C386"/>
      <c r="D386"/>
    </row>
    <row r="387" spans="1:4" x14ac:dyDescent="0.35">
      <c r="A387" s="24"/>
      <c r="B387"/>
      <c r="C387"/>
      <c r="D387"/>
    </row>
    <row r="388" spans="1:4" x14ac:dyDescent="0.35">
      <c r="A388" s="24"/>
      <c r="B388"/>
      <c r="C388"/>
      <c r="D388"/>
    </row>
    <row r="389" spans="1:4" x14ac:dyDescent="0.35">
      <c r="A389" s="24"/>
      <c r="B389"/>
      <c r="C389"/>
      <c r="D389"/>
    </row>
    <row r="390" spans="1:4" x14ac:dyDescent="0.35">
      <c r="A390" s="24"/>
      <c r="B390"/>
      <c r="C390"/>
      <c r="D390"/>
    </row>
    <row r="391" spans="1:4" x14ac:dyDescent="0.35">
      <c r="A391" s="24"/>
      <c r="B391"/>
      <c r="C391"/>
      <c r="D391"/>
    </row>
    <row r="392" spans="1:4" x14ac:dyDescent="0.35">
      <c r="A392" s="24"/>
      <c r="B392"/>
      <c r="C392"/>
      <c r="D392"/>
    </row>
    <row r="393" spans="1:4" x14ac:dyDescent="0.35">
      <c r="A393" s="24"/>
      <c r="B393"/>
      <c r="C393"/>
      <c r="D393"/>
    </row>
    <row r="394" spans="1:4" x14ac:dyDescent="0.35">
      <c r="A394" s="24"/>
      <c r="B394"/>
      <c r="C394"/>
      <c r="D394"/>
    </row>
    <row r="395" spans="1:4" x14ac:dyDescent="0.35">
      <c r="A395" s="24"/>
      <c r="B395"/>
      <c r="C395"/>
      <c r="D395"/>
    </row>
    <row r="396" spans="1:4" x14ac:dyDescent="0.35">
      <c r="A396" s="24"/>
      <c r="B396"/>
      <c r="C396"/>
      <c r="D396"/>
    </row>
    <row r="397" spans="1:4" x14ac:dyDescent="0.35">
      <c r="A397" s="24"/>
      <c r="B397"/>
      <c r="C397"/>
      <c r="D397"/>
    </row>
    <row r="398" spans="1:4" x14ac:dyDescent="0.35">
      <c r="A398" s="24"/>
      <c r="B398"/>
      <c r="C398"/>
      <c r="D398"/>
    </row>
    <row r="399" spans="1:4" x14ac:dyDescent="0.35">
      <c r="A399" s="24"/>
      <c r="B399"/>
      <c r="C399"/>
      <c r="D399"/>
    </row>
    <row r="400" spans="1:4" x14ac:dyDescent="0.35">
      <c r="A400" s="24"/>
      <c r="B400"/>
      <c r="C400"/>
      <c r="D400"/>
    </row>
    <row r="401" spans="1:4" x14ac:dyDescent="0.35">
      <c r="A401" s="24"/>
      <c r="B401"/>
      <c r="C401"/>
      <c r="D401"/>
    </row>
    <row r="402" spans="1:4" x14ac:dyDescent="0.35">
      <c r="A402" s="24"/>
      <c r="B402"/>
      <c r="C402"/>
      <c r="D402"/>
    </row>
    <row r="403" spans="1:4" x14ac:dyDescent="0.35">
      <c r="A403" s="24"/>
      <c r="B403"/>
      <c r="C403"/>
      <c r="D403"/>
    </row>
    <row r="404" spans="1:4" x14ac:dyDescent="0.35">
      <c r="A404" s="24"/>
      <c r="B404"/>
      <c r="C404"/>
      <c r="D404"/>
    </row>
    <row r="405" spans="1:4" x14ac:dyDescent="0.35">
      <c r="A405" s="24"/>
      <c r="B405"/>
      <c r="C405"/>
      <c r="D405"/>
    </row>
    <row r="406" spans="1:4" x14ac:dyDescent="0.35">
      <c r="A406" s="24"/>
      <c r="B406"/>
      <c r="C406"/>
      <c r="D406"/>
    </row>
    <row r="407" spans="1:4" x14ac:dyDescent="0.35">
      <c r="A407" s="24"/>
      <c r="B407"/>
      <c r="C407"/>
      <c r="D407"/>
    </row>
    <row r="408" spans="1:4" x14ac:dyDescent="0.35">
      <c r="A408" s="24"/>
      <c r="B408"/>
      <c r="C408"/>
      <c r="D408"/>
    </row>
    <row r="409" spans="1:4" x14ac:dyDescent="0.35">
      <c r="A409" s="24"/>
      <c r="B409"/>
      <c r="C409"/>
      <c r="D409"/>
    </row>
    <row r="410" spans="1:4" x14ac:dyDescent="0.35">
      <c r="A410" s="24"/>
      <c r="B410"/>
      <c r="C410"/>
      <c r="D410"/>
    </row>
    <row r="411" spans="1:4" x14ac:dyDescent="0.35">
      <c r="A411" s="24"/>
      <c r="B411"/>
      <c r="C411"/>
      <c r="D411"/>
    </row>
    <row r="412" spans="1:4" x14ac:dyDescent="0.35">
      <c r="A412" s="24"/>
      <c r="B412"/>
      <c r="C412"/>
      <c r="D412"/>
    </row>
    <row r="413" spans="1:4" x14ac:dyDescent="0.35">
      <c r="A413" s="24"/>
      <c r="B413"/>
      <c r="C413"/>
      <c r="D413"/>
    </row>
    <row r="414" spans="1:4" x14ac:dyDescent="0.35">
      <c r="A414" s="24"/>
      <c r="B414"/>
      <c r="C414"/>
      <c r="D414"/>
    </row>
    <row r="415" spans="1:4" x14ac:dyDescent="0.35">
      <c r="A415" s="24"/>
      <c r="B415"/>
      <c r="C415"/>
      <c r="D415"/>
    </row>
    <row r="416" spans="1:4" x14ac:dyDescent="0.35">
      <c r="A416" s="24"/>
      <c r="B416"/>
      <c r="C416"/>
      <c r="D416"/>
    </row>
    <row r="417" spans="1:4" x14ac:dyDescent="0.35">
      <c r="A417" s="24"/>
      <c r="B417"/>
      <c r="C417"/>
      <c r="D417"/>
    </row>
    <row r="418" spans="1:4" x14ac:dyDescent="0.35">
      <c r="A418" s="24"/>
      <c r="B418"/>
      <c r="C418"/>
      <c r="D418"/>
    </row>
    <row r="419" spans="1:4" x14ac:dyDescent="0.35">
      <c r="A419" s="24"/>
      <c r="B419"/>
      <c r="C419"/>
      <c r="D419"/>
    </row>
    <row r="420" spans="1:4" x14ac:dyDescent="0.35">
      <c r="A420" s="24"/>
      <c r="B420"/>
      <c r="C420"/>
      <c r="D420"/>
    </row>
    <row r="421" spans="1:4" x14ac:dyDescent="0.35">
      <c r="A421" s="24"/>
      <c r="B421"/>
      <c r="C421"/>
      <c r="D421"/>
    </row>
    <row r="422" spans="1:4" x14ac:dyDescent="0.35">
      <c r="A422" s="24"/>
      <c r="B422"/>
      <c r="C422"/>
      <c r="D422"/>
    </row>
    <row r="423" spans="1:4" x14ac:dyDescent="0.35">
      <c r="A423" s="24"/>
      <c r="B423"/>
      <c r="C423"/>
      <c r="D423"/>
    </row>
    <row r="424" spans="1:4" x14ac:dyDescent="0.35">
      <c r="A424" s="24"/>
      <c r="B424"/>
      <c r="C424"/>
      <c r="D424"/>
    </row>
    <row r="425" spans="1:4" x14ac:dyDescent="0.35">
      <c r="A425" s="24"/>
      <c r="B425"/>
      <c r="C425"/>
      <c r="D425"/>
    </row>
    <row r="426" spans="1:4" x14ac:dyDescent="0.35">
      <c r="A426" s="24"/>
      <c r="B426"/>
      <c r="C426"/>
      <c r="D426"/>
    </row>
    <row r="427" spans="1:4" x14ac:dyDescent="0.35">
      <c r="A427" s="24"/>
      <c r="B427"/>
      <c r="C427"/>
      <c r="D427"/>
    </row>
    <row r="428" spans="1:4" x14ac:dyDescent="0.35">
      <c r="A428" s="24"/>
      <c r="B428"/>
      <c r="C428"/>
      <c r="D428"/>
    </row>
    <row r="429" spans="1:4" x14ac:dyDescent="0.35">
      <c r="A429" s="24"/>
      <c r="B429"/>
      <c r="C429"/>
      <c r="D429"/>
    </row>
    <row r="430" spans="1:4" x14ac:dyDescent="0.35">
      <c r="A430" s="24"/>
      <c r="B430"/>
      <c r="C430"/>
      <c r="D430"/>
    </row>
    <row r="431" spans="1:4" x14ac:dyDescent="0.35">
      <c r="A431" s="24"/>
      <c r="B431"/>
      <c r="C431"/>
      <c r="D431"/>
    </row>
    <row r="432" spans="1:4" x14ac:dyDescent="0.35">
      <c r="A432" s="24"/>
      <c r="B432"/>
      <c r="C432"/>
      <c r="D432"/>
    </row>
    <row r="433" spans="1:4" x14ac:dyDescent="0.35">
      <c r="A433" s="24"/>
      <c r="B433"/>
      <c r="C433"/>
      <c r="D433"/>
    </row>
    <row r="434" spans="1:4" x14ac:dyDescent="0.35">
      <c r="A434" s="24"/>
      <c r="B434"/>
      <c r="C434"/>
      <c r="D434"/>
    </row>
    <row r="435" spans="1:4" x14ac:dyDescent="0.35">
      <c r="A435" s="24"/>
      <c r="B435"/>
      <c r="C435"/>
      <c r="D435"/>
    </row>
    <row r="436" spans="1:4" x14ac:dyDescent="0.35">
      <c r="A436" s="24"/>
      <c r="B436"/>
      <c r="C436"/>
      <c r="D436"/>
    </row>
    <row r="437" spans="1:4" x14ac:dyDescent="0.35">
      <c r="A437" s="24"/>
      <c r="B437"/>
      <c r="C437"/>
      <c r="D437"/>
    </row>
    <row r="438" spans="1:4" x14ac:dyDescent="0.35">
      <c r="A438" s="24"/>
      <c r="B438"/>
      <c r="C438"/>
      <c r="D438"/>
    </row>
    <row r="439" spans="1:4" x14ac:dyDescent="0.35">
      <c r="A439" s="24"/>
      <c r="B439"/>
      <c r="C439"/>
      <c r="D439"/>
    </row>
    <row r="440" spans="1:4" x14ac:dyDescent="0.35">
      <c r="A440" s="24"/>
      <c r="B440"/>
      <c r="C440"/>
      <c r="D440"/>
    </row>
    <row r="441" spans="1:4" x14ac:dyDescent="0.35">
      <c r="A441" s="24"/>
      <c r="B441"/>
      <c r="C441"/>
      <c r="D441"/>
    </row>
    <row r="442" spans="1:4" x14ac:dyDescent="0.35">
      <c r="A442" s="24"/>
      <c r="B442"/>
      <c r="C442"/>
      <c r="D442"/>
    </row>
    <row r="443" spans="1:4" x14ac:dyDescent="0.35">
      <c r="A443" s="24"/>
      <c r="B443"/>
      <c r="C443"/>
      <c r="D443"/>
    </row>
    <row r="444" spans="1:4" x14ac:dyDescent="0.35">
      <c r="A444" s="24"/>
      <c r="B444"/>
      <c r="C444"/>
      <c r="D444"/>
    </row>
    <row r="445" spans="1:4" x14ac:dyDescent="0.35">
      <c r="A445" s="24"/>
      <c r="B445"/>
      <c r="C445"/>
      <c r="D445"/>
    </row>
    <row r="446" spans="1:4" x14ac:dyDescent="0.35">
      <c r="A446" s="24"/>
      <c r="B446"/>
      <c r="C446"/>
      <c r="D446"/>
    </row>
    <row r="447" spans="1:4" x14ac:dyDescent="0.35">
      <c r="A447" s="24"/>
      <c r="B447"/>
      <c r="C447"/>
      <c r="D447"/>
    </row>
    <row r="448" spans="1:4" x14ac:dyDescent="0.35">
      <c r="A448" s="24"/>
      <c r="B448"/>
      <c r="C448"/>
      <c r="D448"/>
    </row>
    <row r="449" spans="1:4" x14ac:dyDescent="0.35">
      <c r="A449" s="24"/>
      <c r="B449"/>
      <c r="C449"/>
      <c r="D449"/>
    </row>
    <row r="450" spans="1:4" x14ac:dyDescent="0.35">
      <c r="A450" s="24"/>
      <c r="B450"/>
      <c r="C450"/>
      <c r="D450"/>
    </row>
    <row r="451" spans="1:4" x14ac:dyDescent="0.35">
      <c r="A451" s="24"/>
      <c r="B451"/>
      <c r="C451"/>
      <c r="D451"/>
    </row>
    <row r="452" spans="1:4" x14ac:dyDescent="0.35">
      <c r="A452" s="24"/>
      <c r="B452"/>
      <c r="C452"/>
      <c r="D452"/>
    </row>
    <row r="453" spans="1:4" x14ac:dyDescent="0.35">
      <c r="A453" s="24"/>
      <c r="B453"/>
      <c r="C453"/>
      <c r="D453"/>
    </row>
    <row r="454" spans="1:4" x14ac:dyDescent="0.35">
      <c r="A454" s="24"/>
      <c r="B454"/>
      <c r="C454"/>
      <c r="D454"/>
    </row>
    <row r="455" spans="1:4" x14ac:dyDescent="0.35">
      <c r="A455" s="24"/>
      <c r="B455"/>
      <c r="C455"/>
      <c r="D455"/>
    </row>
    <row r="456" spans="1:4" x14ac:dyDescent="0.35">
      <c r="A456" s="24"/>
      <c r="B456"/>
      <c r="C456"/>
      <c r="D456"/>
    </row>
    <row r="457" spans="1:4" x14ac:dyDescent="0.35">
      <c r="A457" s="24"/>
      <c r="B457"/>
      <c r="C457"/>
      <c r="D457"/>
    </row>
    <row r="458" spans="1:4" x14ac:dyDescent="0.35">
      <c r="A458" s="24"/>
      <c r="B458"/>
      <c r="C458"/>
      <c r="D458"/>
    </row>
    <row r="459" spans="1:4" x14ac:dyDescent="0.35">
      <c r="A459" s="24"/>
      <c r="B459"/>
      <c r="C459"/>
      <c r="D459"/>
    </row>
    <row r="460" spans="1:4" x14ac:dyDescent="0.35">
      <c r="A460" s="24"/>
      <c r="B460"/>
      <c r="C460"/>
      <c r="D460"/>
    </row>
    <row r="461" spans="1:4" x14ac:dyDescent="0.35">
      <c r="A461" s="24"/>
      <c r="B461"/>
      <c r="C461"/>
      <c r="D461"/>
    </row>
    <row r="462" spans="1:4" x14ac:dyDescent="0.35">
      <c r="A462" s="24"/>
      <c r="B462"/>
      <c r="C462"/>
      <c r="D462"/>
    </row>
    <row r="463" spans="1:4" x14ac:dyDescent="0.35">
      <c r="A463" s="24"/>
      <c r="B463"/>
      <c r="C463"/>
      <c r="D463"/>
    </row>
    <row r="464" spans="1:4" x14ac:dyDescent="0.35">
      <c r="A464" s="24"/>
      <c r="B464"/>
      <c r="C464"/>
      <c r="D464"/>
    </row>
    <row r="465" spans="1:4" x14ac:dyDescent="0.35">
      <c r="A465" s="24"/>
      <c r="B465"/>
      <c r="C465"/>
      <c r="D465"/>
    </row>
    <row r="466" spans="1:4" x14ac:dyDescent="0.35">
      <c r="A466" s="24"/>
      <c r="B466"/>
      <c r="C466"/>
      <c r="D466"/>
    </row>
    <row r="467" spans="1:4" x14ac:dyDescent="0.35">
      <c r="A467" s="24"/>
      <c r="B467"/>
      <c r="C467"/>
      <c r="D467"/>
    </row>
    <row r="468" spans="1:4" x14ac:dyDescent="0.35">
      <c r="A468" s="24"/>
      <c r="B468"/>
      <c r="C468"/>
      <c r="D468"/>
    </row>
    <row r="469" spans="1:4" x14ac:dyDescent="0.35">
      <c r="A469" s="24"/>
      <c r="B469"/>
      <c r="C469"/>
      <c r="D469"/>
    </row>
    <row r="470" spans="1:4" x14ac:dyDescent="0.35">
      <c r="A470" s="24"/>
      <c r="B470"/>
      <c r="C470"/>
      <c r="D470"/>
    </row>
    <row r="471" spans="1:4" x14ac:dyDescent="0.35">
      <c r="A471" s="24"/>
      <c r="B471"/>
      <c r="C471"/>
      <c r="D471"/>
    </row>
    <row r="472" spans="1:4" x14ac:dyDescent="0.35">
      <c r="A472" s="24"/>
      <c r="B472"/>
      <c r="C472"/>
      <c r="D472"/>
    </row>
    <row r="473" spans="1:4" x14ac:dyDescent="0.35">
      <c r="A473" s="24"/>
      <c r="B473"/>
      <c r="C473"/>
      <c r="D473"/>
    </row>
    <row r="474" spans="1:4" x14ac:dyDescent="0.35">
      <c r="A474" s="24"/>
      <c r="B474"/>
      <c r="C474"/>
      <c r="D474"/>
    </row>
    <row r="475" spans="1:4" x14ac:dyDescent="0.35">
      <c r="A475" s="24"/>
      <c r="B475"/>
      <c r="C475"/>
      <c r="D475"/>
    </row>
    <row r="476" spans="1:4" x14ac:dyDescent="0.35">
      <c r="A476" s="24"/>
      <c r="B476"/>
      <c r="C476"/>
      <c r="D476"/>
    </row>
    <row r="477" spans="1:4" x14ac:dyDescent="0.35">
      <c r="A477" s="24"/>
      <c r="B477"/>
      <c r="C477"/>
      <c r="D477"/>
    </row>
    <row r="478" spans="1:4" x14ac:dyDescent="0.35">
      <c r="A478" s="24"/>
      <c r="B478"/>
      <c r="C478"/>
      <c r="D478"/>
    </row>
    <row r="479" spans="1:4" x14ac:dyDescent="0.35">
      <c r="A479" s="24"/>
      <c r="B479"/>
      <c r="C479"/>
      <c r="D479"/>
    </row>
    <row r="480" spans="1:4" x14ac:dyDescent="0.35">
      <c r="A480" s="24"/>
      <c r="B480"/>
      <c r="C480"/>
      <c r="D480"/>
    </row>
    <row r="481" spans="1:4" x14ac:dyDescent="0.35">
      <c r="A481" s="24"/>
      <c r="B481"/>
      <c r="C481"/>
      <c r="D481"/>
    </row>
    <row r="482" spans="1:4" x14ac:dyDescent="0.35">
      <c r="A482" s="24"/>
      <c r="B482"/>
      <c r="C482"/>
      <c r="D482"/>
    </row>
    <row r="483" spans="1:4" x14ac:dyDescent="0.35">
      <c r="A483" s="24"/>
      <c r="B483"/>
      <c r="C483"/>
      <c r="D483"/>
    </row>
    <row r="484" spans="1:4" x14ac:dyDescent="0.35">
      <c r="A484" s="24"/>
      <c r="B484"/>
      <c r="C484"/>
      <c r="D484"/>
    </row>
    <row r="485" spans="1:4" x14ac:dyDescent="0.35">
      <c r="A485" s="24"/>
      <c r="B485"/>
      <c r="C485"/>
      <c r="D485"/>
    </row>
    <row r="486" spans="1:4" x14ac:dyDescent="0.35">
      <c r="A486" s="24"/>
      <c r="B486"/>
      <c r="C486"/>
      <c r="D486"/>
    </row>
    <row r="487" spans="1:4" x14ac:dyDescent="0.35">
      <c r="A487" s="24"/>
      <c r="B487"/>
      <c r="C487"/>
      <c r="D487"/>
    </row>
    <row r="488" spans="1:4" x14ac:dyDescent="0.35">
      <c r="A488" s="24"/>
      <c r="B488"/>
      <c r="C488"/>
      <c r="D488"/>
    </row>
    <row r="489" spans="1:4" x14ac:dyDescent="0.35">
      <c r="A489" s="24"/>
      <c r="B489"/>
      <c r="C489"/>
      <c r="D489"/>
    </row>
    <row r="490" spans="1:4" x14ac:dyDescent="0.35">
      <c r="A490" s="24"/>
      <c r="B490"/>
      <c r="C490"/>
      <c r="D490"/>
    </row>
    <row r="491" spans="1:4" x14ac:dyDescent="0.35">
      <c r="A491" s="24"/>
      <c r="B491"/>
      <c r="C491"/>
      <c r="D491"/>
    </row>
    <row r="492" spans="1:4" x14ac:dyDescent="0.35">
      <c r="A492" s="24"/>
      <c r="B492"/>
      <c r="C492"/>
      <c r="D492"/>
    </row>
    <row r="493" spans="1:4" x14ac:dyDescent="0.35">
      <c r="A493" s="24"/>
      <c r="B493"/>
      <c r="C493"/>
      <c r="D493"/>
    </row>
    <row r="494" spans="1:4" x14ac:dyDescent="0.35">
      <c r="A494" s="24"/>
      <c r="B494"/>
      <c r="C494"/>
      <c r="D494"/>
    </row>
    <row r="495" spans="1:4" x14ac:dyDescent="0.35">
      <c r="A495" s="24"/>
      <c r="B495"/>
      <c r="C495"/>
      <c r="D495"/>
    </row>
    <row r="496" spans="1:4" x14ac:dyDescent="0.35">
      <c r="A496" s="24"/>
      <c r="B496"/>
      <c r="C496"/>
      <c r="D496"/>
    </row>
    <row r="497" spans="1:4" x14ac:dyDescent="0.35">
      <c r="A497" s="24"/>
      <c r="B497"/>
      <c r="C497"/>
      <c r="D497"/>
    </row>
    <row r="498" spans="1:4" x14ac:dyDescent="0.35">
      <c r="A498" s="24"/>
      <c r="B498"/>
      <c r="C498"/>
      <c r="D498"/>
    </row>
    <row r="499" spans="1:4" x14ac:dyDescent="0.35">
      <c r="A499" s="24"/>
      <c r="B499"/>
      <c r="C499"/>
      <c r="D499"/>
    </row>
    <row r="500" spans="1:4" x14ac:dyDescent="0.35">
      <c r="A500" s="24"/>
      <c r="B500"/>
      <c r="C500"/>
      <c r="D500"/>
    </row>
    <row r="501" spans="1:4" x14ac:dyDescent="0.35">
      <c r="A501" s="24"/>
      <c r="B501"/>
      <c r="C501"/>
      <c r="D501"/>
    </row>
    <row r="502" spans="1:4" x14ac:dyDescent="0.35">
      <c r="A502" s="24"/>
      <c r="B502"/>
      <c r="C502"/>
      <c r="D502"/>
    </row>
    <row r="503" spans="1:4" x14ac:dyDescent="0.35">
      <c r="A503" s="24"/>
      <c r="B503"/>
      <c r="C503"/>
      <c r="D503"/>
    </row>
    <row r="504" spans="1:4" x14ac:dyDescent="0.35">
      <c r="A504" s="24"/>
      <c r="B504"/>
      <c r="C504"/>
      <c r="D504"/>
    </row>
    <row r="505" spans="1:4" x14ac:dyDescent="0.35">
      <c r="A505" s="24"/>
      <c r="B505"/>
      <c r="C505"/>
      <c r="D505"/>
    </row>
    <row r="506" spans="1:4" x14ac:dyDescent="0.35">
      <c r="A506" s="24"/>
      <c r="B506"/>
      <c r="C506"/>
      <c r="D506"/>
    </row>
    <row r="507" spans="1:4" x14ac:dyDescent="0.35">
      <c r="A507" s="24"/>
      <c r="B507"/>
      <c r="C507"/>
      <c r="D507"/>
    </row>
    <row r="508" spans="1:4" x14ac:dyDescent="0.35">
      <c r="A508" s="24"/>
      <c r="B508"/>
      <c r="C508"/>
      <c r="D508"/>
    </row>
    <row r="509" spans="1:4" x14ac:dyDescent="0.35">
      <c r="A509" s="24"/>
      <c r="B509"/>
      <c r="C509"/>
      <c r="D509"/>
    </row>
    <row r="510" spans="1:4" x14ac:dyDescent="0.35">
      <c r="A510" s="24"/>
      <c r="B510"/>
      <c r="C510"/>
      <c r="D510"/>
    </row>
    <row r="511" spans="1:4" x14ac:dyDescent="0.35">
      <c r="A511" s="24"/>
      <c r="B511"/>
      <c r="C511"/>
      <c r="D511"/>
    </row>
    <row r="512" spans="1:4" x14ac:dyDescent="0.35">
      <c r="A512" s="24"/>
      <c r="B512"/>
      <c r="C512"/>
      <c r="D512"/>
    </row>
    <row r="513" spans="1:4" x14ac:dyDescent="0.35">
      <c r="A513" s="24"/>
      <c r="B513"/>
      <c r="C513"/>
      <c r="D513"/>
    </row>
    <row r="514" spans="1:4" x14ac:dyDescent="0.35">
      <c r="A514" s="24"/>
      <c r="B514"/>
      <c r="C514"/>
      <c r="D514"/>
    </row>
    <row r="515" spans="1:4" x14ac:dyDescent="0.35">
      <c r="A515" s="24"/>
      <c r="B515"/>
      <c r="C515"/>
      <c r="D515"/>
    </row>
    <row r="516" spans="1:4" x14ac:dyDescent="0.35">
      <c r="A516" s="24"/>
      <c r="B516"/>
      <c r="C516"/>
      <c r="D516"/>
    </row>
    <row r="517" spans="1:4" x14ac:dyDescent="0.35">
      <c r="A517" s="24"/>
      <c r="B517"/>
      <c r="C517"/>
      <c r="D517"/>
    </row>
    <row r="518" spans="1:4" x14ac:dyDescent="0.35">
      <c r="A518" s="24"/>
      <c r="B518"/>
      <c r="C518"/>
      <c r="D518"/>
    </row>
    <row r="519" spans="1:4" x14ac:dyDescent="0.35">
      <c r="A519" s="24"/>
      <c r="B519"/>
      <c r="C519"/>
      <c r="D519"/>
    </row>
    <row r="520" spans="1:4" x14ac:dyDescent="0.35">
      <c r="A520" s="24"/>
      <c r="B520"/>
      <c r="C520"/>
      <c r="D520"/>
    </row>
    <row r="521" spans="1:4" x14ac:dyDescent="0.35">
      <c r="A521" s="24"/>
      <c r="B521"/>
      <c r="C521"/>
      <c r="D521"/>
    </row>
    <row r="522" spans="1:4" x14ac:dyDescent="0.35">
      <c r="A522" s="24"/>
      <c r="B522"/>
      <c r="C522"/>
      <c r="D522"/>
    </row>
    <row r="523" spans="1:4" x14ac:dyDescent="0.35">
      <c r="A523" s="24"/>
      <c r="B523"/>
      <c r="C523"/>
      <c r="D523"/>
    </row>
    <row r="524" spans="1:4" x14ac:dyDescent="0.35">
      <c r="A524" s="24"/>
      <c r="B524"/>
      <c r="C524"/>
      <c r="D524"/>
    </row>
    <row r="525" spans="1:4" x14ac:dyDescent="0.35">
      <c r="A525" s="24"/>
      <c r="B525"/>
      <c r="C525"/>
      <c r="D525"/>
    </row>
    <row r="526" spans="1:4" x14ac:dyDescent="0.35">
      <c r="A526" s="24"/>
      <c r="B526"/>
      <c r="C526"/>
      <c r="D526"/>
    </row>
    <row r="527" spans="1:4" x14ac:dyDescent="0.35">
      <c r="A527" s="24"/>
      <c r="B527"/>
      <c r="C527"/>
      <c r="D527"/>
    </row>
    <row r="528" spans="1:4" x14ac:dyDescent="0.35">
      <c r="A528" s="24"/>
      <c r="B528"/>
      <c r="C528"/>
      <c r="D528"/>
    </row>
    <row r="529" spans="1:4" x14ac:dyDescent="0.35">
      <c r="A529" s="24"/>
      <c r="B529"/>
      <c r="C529"/>
      <c r="D529"/>
    </row>
    <row r="530" spans="1:4" x14ac:dyDescent="0.35">
      <c r="A530" s="24"/>
      <c r="B530"/>
      <c r="C530"/>
      <c r="D530"/>
    </row>
    <row r="531" spans="1:4" x14ac:dyDescent="0.35">
      <c r="A531" s="24"/>
      <c r="B531"/>
      <c r="C531"/>
      <c r="D531"/>
    </row>
    <row r="532" spans="1:4" x14ac:dyDescent="0.35">
      <c r="A532" s="24"/>
      <c r="B532"/>
      <c r="C532"/>
      <c r="D532"/>
    </row>
    <row r="533" spans="1:4" x14ac:dyDescent="0.35">
      <c r="A533" s="24"/>
      <c r="B533"/>
      <c r="C533"/>
      <c r="D533"/>
    </row>
    <row r="534" spans="1:4" x14ac:dyDescent="0.35">
      <c r="A534" s="24"/>
      <c r="B534"/>
      <c r="C534"/>
      <c r="D534"/>
    </row>
    <row r="535" spans="1:4" x14ac:dyDescent="0.35">
      <c r="A535" s="24"/>
      <c r="B535"/>
      <c r="C535"/>
      <c r="D535"/>
    </row>
    <row r="536" spans="1:4" x14ac:dyDescent="0.35">
      <c r="A536" s="24"/>
      <c r="B536"/>
      <c r="C536"/>
      <c r="D536"/>
    </row>
    <row r="537" spans="1:4" x14ac:dyDescent="0.35">
      <c r="A537" s="24"/>
      <c r="B537"/>
      <c r="C537"/>
      <c r="D537"/>
    </row>
    <row r="538" spans="1:4" x14ac:dyDescent="0.35">
      <c r="A538" s="24"/>
      <c r="B538"/>
      <c r="C538"/>
      <c r="D538"/>
    </row>
    <row r="539" spans="1:4" x14ac:dyDescent="0.35">
      <c r="A539" s="24"/>
      <c r="B539"/>
      <c r="C539"/>
      <c r="D539"/>
    </row>
    <row r="540" spans="1:4" x14ac:dyDescent="0.35">
      <c r="A540" s="24"/>
      <c r="B540"/>
      <c r="C540"/>
      <c r="D540"/>
    </row>
    <row r="541" spans="1:4" x14ac:dyDescent="0.35">
      <c r="A541" s="24"/>
      <c r="B541"/>
      <c r="C541"/>
      <c r="D541"/>
    </row>
    <row r="542" spans="1:4" x14ac:dyDescent="0.35">
      <c r="A542" s="24"/>
      <c r="B542"/>
      <c r="C542"/>
      <c r="D542"/>
    </row>
    <row r="543" spans="1:4" x14ac:dyDescent="0.35">
      <c r="A543" s="24"/>
      <c r="B543"/>
      <c r="C543"/>
      <c r="D543"/>
    </row>
    <row r="544" spans="1:4" x14ac:dyDescent="0.35">
      <c r="A544" s="24"/>
      <c r="B544"/>
      <c r="C544"/>
      <c r="D544"/>
    </row>
    <row r="545" spans="1:4" x14ac:dyDescent="0.35">
      <c r="A545" s="24"/>
      <c r="B545"/>
      <c r="C545"/>
      <c r="D545"/>
    </row>
    <row r="546" spans="1:4" x14ac:dyDescent="0.35">
      <c r="A546" s="24"/>
      <c r="B546"/>
      <c r="C546"/>
      <c r="D546"/>
    </row>
    <row r="547" spans="1:4" x14ac:dyDescent="0.35">
      <c r="A547" s="24"/>
      <c r="B547"/>
      <c r="C547"/>
      <c r="D547"/>
    </row>
    <row r="548" spans="1:4" x14ac:dyDescent="0.35">
      <c r="A548" s="24"/>
      <c r="B548"/>
      <c r="C548"/>
      <c r="D548"/>
    </row>
    <row r="549" spans="1:4" x14ac:dyDescent="0.35">
      <c r="A549" s="24"/>
      <c r="B549"/>
      <c r="C549"/>
      <c r="D549"/>
    </row>
    <row r="550" spans="1:4" x14ac:dyDescent="0.35">
      <c r="A550" s="24"/>
      <c r="B550"/>
      <c r="C550"/>
      <c r="D550"/>
    </row>
    <row r="551" spans="1:4" x14ac:dyDescent="0.35">
      <c r="A551" s="24"/>
      <c r="B551"/>
      <c r="C551"/>
      <c r="D551"/>
    </row>
    <row r="552" spans="1:4" x14ac:dyDescent="0.35">
      <c r="A552" s="24"/>
      <c r="B552"/>
      <c r="C552"/>
      <c r="D552"/>
    </row>
    <row r="553" spans="1:4" x14ac:dyDescent="0.35">
      <c r="A553" s="24"/>
      <c r="B553"/>
      <c r="C553"/>
      <c r="D553"/>
    </row>
    <row r="554" spans="1:4" x14ac:dyDescent="0.35">
      <c r="A554" s="24"/>
      <c r="B554"/>
      <c r="C554"/>
      <c r="D554"/>
    </row>
    <row r="555" spans="1:4" x14ac:dyDescent="0.35">
      <c r="A555" s="24"/>
      <c r="B555"/>
      <c r="C555"/>
      <c r="D555"/>
    </row>
    <row r="556" spans="1:4" x14ac:dyDescent="0.35">
      <c r="A556" s="24"/>
      <c r="B556"/>
      <c r="C556"/>
      <c r="D556"/>
    </row>
    <row r="557" spans="1:4" x14ac:dyDescent="0.35">
      <c r="A557" s="24"/>
      <c r="B557"/>
      <c r="C557"/>
      <c r="D557"/>
    </row>
    <row r="558" spans="1:4" x14ac:dyDescent="0.35">
      <c r="A558" s="24"/>
      <c r="B558"/>
      <c r="C558"/>
      <c r="D558"/>
    </row>
    <row r="559" spans="1:4" x14ac:dyDescent="0.35">
      <c r="A559" s="24"/>
      <c r="B559"/>
      <c r="C559"/>
      <c r="D559"/>
    </row>
    <row r="560" spans="1:4" x14ac:dyDescent="0.35">
      <c r="A560" s="24"/>
      <c r="B560"/>
      <c r="C560"/>
      <c r="D560"/>
    </row>
    <row r="561" spans="1:4" x14ac:dyDescent="0.35">
      <c r="A561" s="24"/>
      <c r="B561"/>
      <c r="C561"/>
      <c r="D561"/>
    </row>
    <row r="562" spans="1:4" x14ac:dyDescent="0.35">
      <c r="A562" s="24"/>
      <c r="B562"/>
      <c r="C562"/>
      <c r="D562"/>
    </row>
    <row r="563" spans="1:4" x14ac:dyDescent="0.35">
      <c r="A563" s="24"/>
      <c r="B563"/>
      <c r="C563"/>
      <c r="D563"/>
    </row>
    <row r="564" spans="1:4" x14ac:dyDescent="0.35">
      <c r="A564" s="24"/>
      <c r="B564"/>
      <c r="C564"/>
      <c r="D564"/>
    </row>
    <row r="565" spans="1:4" x14ac:dyDescent="0.35">
      <c r="A565" s="24"/>
      <c r="B565"/>
      <c r="C565"/>
      <c r="D565"/>
    </row>
    <row r="566" spans="1:4" x14ac:dyDescent="0.35">
      <c r="A566" s="24"/>
      <c r="B566"/>
      <c r="C566"/>
      <c r="D566"/>
    </row>
    <row r="567" spans="1:4" x14ac:dyDescent="0.35">
      <c r="A567" s="24"/>
      <c r="B567"/>
      <c r="C567"/>
      <c r="D567"/>
    </row>
    <row r="568" spans="1:4" x14ac:dyDescent="0.35">
      <c r="A568" s="24"/>
      <c r="B568"/>
      <c r="C568"/>
      <c r="D568"/>
    </row>
    <row r="569" spans="1:4" x14ac:dyDescent="0.35">
      <c r="A569" s="24"/>
      <c r="B569"/>
      <c r="C569"/>
      <c r="D569"/>
    </row>
    <row r="570" spans="1:4" x14ac:dyDescent="0.35">
      <c r="A570" s="24"/>
      <c r="B570"/>
      <c r="C570"/>
      <c r="D570"/>
    </row>
    <row r="571" spans="1:4" x14ac:dyDescent="0.35">
      <c r="A571" s="24"/>
      <c r="B571"/>
      <c r="C571"/>
      <c r="D571"/>
    </row>
    <row r="572" spans="1:4" x14ac:dyDescent="0.35">
      <c r="A572" s="24"/>
      <c r="B572"/>
      <c r="C572"/>
      <c r="D572"/>
    </row>
    <row r="573" spans="1:4" x14ac:dyDescent="0.35">
      <c r="A573" s="24"/>
      <c r="B573"/>
      <c r="C573"/>
      <c r="D573"/>
    </row>
    <row r="574" spans="1:4" x14ac:dyDescent="0.35">
      <c r="A574" s="24"/>
      <c r="B574"/>
      <c r="C574"/>
      <c r="D574"/>
    </row>
    <row r="575" spans="1:4" x14ac:dyDescent="0.35">
      <c r="A575" s="24"/>
      <c r="B575"/>
      <c r="C575"/>
      <c r="D575"/>
    </row>
    <row r="576" spans="1:4" x14ac:dyDescent="0.35">
      <c r="A576" s="24"/>
      <c r="B576"/>
      <c r="C576"/>
      <c r="D576"/>
    </row>
    <row r="577" spans="1:4" x14ac:dyDescent="0.35">
      <c r="A577" s="24"/>
      <c r="B577"/>
      <c r="C577"/>
      <c r="D577"/>
    </row>
    <row r="578" spans="1:4" x14ac:dyDescent="0.35">
      <c r="A578" s="24"/>
      <c r="B578"/>
      <c r="C578"/>
      <c r="D578"/>
    </row>
    <row r="579" spans="1:4" x14ac:dyDescent="0.35">
      <c r="A579" s="24"/>
      <c r="B579"/>
      <c r="C579"/>
      <c r="D579"/>
    </row>
    <row r="580" spans="1:4" x14ac:dyDescent="0.35">
      <c r="A580" s="24"/>
      <c r="B580"/>
      <c r="C580"/>
      <c r="D580"/>
    </row>
    <row r="581" spans="1:4" x14ac:dyDescent="0.35">
      <c r="A581" s="24"/>
      <c r="B581"/>
      <c r="C581"/>
      <c r="D581"/>
    </row>
    <row r="582" spans="1:4" x14ac:dyDescent="0.35">
      <c r="A582" s="24"/>
      <c r="B582"/>
      <c r="C582"/>
      <c r="D582"/>
    </row>
    <row r="583" spans="1:4" x14ac:dyDescent="0.35">
      <c r="A583" s="24"/>
      <c r="B583"/>
      <c r="C583"/>
      <c r="D583"/>
    </row>
    <row r="584" spans="1:4" x14ac:dyDescent="0.35">
      <c r="A584" s="24"/>
      <c r="B584"/>
      <c r="C584"/>
      <c r="D584"/>
    </row>
    <row r="585" spans="1:4" x14ac:dyDescent="0.35">
      <c r="A585" s="24"/>
      <c r="B585"/>
      <c r="C585"/>
      <c r="D585"/>
    </row>
    <row r="586" spans="1:4" x14ac:dyDescent="0.35">
      <c r="A586" s="24"/>
      <c r="B586"/>
      <c r="C586"/>
      <c r="D586"/>
    </row>
    <row r="587" spans="1:4" x14ac:dyDescent="0.35">
      <c r="A587" s="24"/>
      <c r="B587"/>
      <c r="C587"/>
      <c r="D587"/>
    </row>
    <row r="588" spans="1:4" x14ac:dyDescent="0.35">
      <c r="A588" s="24"/>
      <c r="B588"/>
      <c r="C588"/>
      <c r="D588"/>
    </row>
    <row r="589" spans="1:4" x14ac:dyDescent="0.35">
      <c r="A589" s="24"/>
      <c r="B589"/>
      <c r="C589"/>
      <c r="D589"/>
    </row>
    <row r="590" spans="1:4" x14ac:dyDescent="0.35">
      <c r="A590" s="24"/>
      <c r="B590"/>
      <c r="C590"/>
      <c r="D590"/>
    </row>
    <row r="591" spans="1:4" x14ac:dyDescent="0.35">
      <c r="A591" s="24"/>
      <c r="B591"/>
      <c r="C591"/>
      <c r="D591"/>
    </row>
    <row r="592" spans="1:4" x14ac:dyDescent="0.35">
      <c r="A592" s="24"/>
      <c r="B592"/>
      <c r="C592"/>
      <c r="D592"/>
    </row>
    <row r="593" spans="1:4" x14ac:dyDescent="0.35">
      <c r="A593" s="24"/>
      <c r="B593"/>
      <c r="C593"/>
      <c r="D593"/>
    </row>
    <row r="594" spans="1:4" x14ac:dyDescent="0.35">
      <c r="A594" s="24"/>
      <c r="B594"/>
      <c r="C594"/>
      <c r="D594"/>
    </row>
    <row r="595" spans="1:4" x14ac:dyDescent="0.35">
      <c r="A595" s="24"/>
      <c r="B595"/>
      <c r="C595"/>
      <c r="D595"/>
    </row>
    <row r="596" spans="1:4" x14ac:dyDescent="0.35">
      <c r="A596" s="24"/>
      <c r="B596"/>
      <c r="C596"/>
      <c r="D596"/>
    </row>
    <row r="597" spans="1:4" x14ac:dyDescent="0.35">
      <c r="A597" s="24"/>
      <c r="B597"/>
      <c r="C597"/>
      <c r="D597"/>
    </row>
    <row r="598" spans="1:4" x14ac:dyDescent="0.35">
      <c r="A598" s="24"/>
      <c r="B598"/>
      <c r="C598"/>
      <c r="D598"/>
    </row>
    <row r="599" spans="1:4" x14ac:dyDescent="0.35">
      <c r="A599" s="24"/>
      <c r="B599"/>
      <c r="C599"/>
      <c r="D599"/>
    </row>
    <row r="600" spans="1:4" x14ac:dyDescent="0.35">
      <c r="A600" s="24"/>
      <c r="B600"/>
      <c r="C600"/>
      <c r="D600"/>
    </row>
    <row r="601" spans="1:4" x14ac:dyDescent="0.35">
      <c r="A601" s="24"/>
      <c r="B601"/>
      <c r="C601"/>
      <c r="D601"/>
    </row>
    <row r="602" spans="1:4" x14ac:dyDescent="0.35">
      <c r="A602" s="24"/>
      <c r="B602"/>
      <c r="C602"/>
      <c r="D602"/>
    </row>
    <row r="603" spans="1:4" x14ac:dyDescent="0.35">
      <c r="A603" s="24"/>
      <c r="B603"/>
      <c r="C603"/>
      <c r="D603"/>
    </row>
    <row r="604" spans="1:4" x14ac:dyDescent="0.35">
      <c r="A604" s="24"/>
      <c r="B604"/>
      <c r="C604"/>
      <c r="D604"/>
    </row>
    <row r="605" spans="1:4" x14ac:dyDescent="0.35">
      <c r="A605" s="24"/>
      <c r="B605"/>
      <c r="C605"/>
      <c r="D605"/>
    </row>
    <row r="606" spans="1:4" x14ac:dyDescent="0.35">
      <c r="A606" s="24"/>
      <c r="B606"/>
      <c r="C606"/>
      <c r="D606"/>
    </row>
    <row r="607" spans="1:4" x14ac:dyDescent="0.35">
      <c r="A607" s="24"/>
      <c r="B607"/>
      <c r="C607"/>
      <c r="D607"/>
    </row>
    <row r="608" spans="1:4" x14ac:dyDescent="0.35">
      <c r="A608" s="24"/>
      <c r="B608"/>
      <c r="C608"/>
      <c r="D608"/>
    </row>
    <row r="609" spans="1:4" x14ac:dyDescent="0.35">
      <c r="A609" s="24"/>
      <c r="B609"/>
      <c r="C609"/>
      <c r="D609"/>
    </row>
    <row r="610" spans="1:4" x14ac:dyDescent="0.35">
      <c r="A610" s="24"/>
      <c r="B610"/>
      <c r="C610"/>
      <c r="D610"/>
    </row>
    <row r="611" spans="1:4" x14ac:dyDescent="0.35">
      <c r="A611" s="24"/>
      <c r="B611"/>
      <c r="C611"/>
      <c r="D611"/>
    </row>
    <row r="612" spans="1:4" x14ac:dyDescent="0.35">
      <c r="A612" s="24"/>
      <c r="B612"/>
      <c r="C612"/>
      <c r="D612"/>
    </row>
    <row r="613" spans="1:4" x14ac:dyDescent="0.35">
      <c r="A613" s="24"/>
      <c r="B613"/>
      <c r="C613"/>
      <c r="D613"/>
    </row>
    <row r="614" spans="1:4" x14ac:dyDescent="0.35">
      <c r="A614" s="24"/>
      <c r="B614"/>
      <c r="C614"/>
      <c r="D614"/>
    </row>
    <row r="615" spans="1:4" x14ac:dyDescent="0.35">
      <c r="A615" s="24"/>
      <c r="B615"/>
      <c r="C615"/>
      <c r="D615"/>
    </row>
    <row r="616" spans="1:4" x14ac:dyDescent="0.35">
      <c r="A616" s="24"/>
      <c r="B616"/>
      <c r="C616"/>
      <c r="D616"/>
    </row>
    <row r="617" spans="1:4" x14ac:dyDescent="0.35">
      <c r="A617" s="24"/>
      <c r="B617"/>
      <c r="C617"/>
      <c r="D617"/>
    </row>
    <row r="618" spans="1:4" x14ac:dyDescent="0.35">
      <c r="A618" s="24"/>
      <c r="B618"/>
      <c r="C618"/>
      <c r="D618"/>
    </row>
    <row r="619" spans="1:4" x14ac:dyDescent="0.35">
      <c r="A619" s="24"/>
      <c r="B619"/>
      <c r="C619"/>
      <c r="D619"/>
    </row>
    <row r="620" spans="1:4" x14ac:dyDescent="0.35">
      <c r="A620" s="24"/>
      <c r="B620"/>
      <c r="C620"/>
      <c r="D620"/>
    </row>
    <row r="621" spans="1:4" x14ac:dyDescent="0.35">
      <c r="A621" s="24"/>
      <c r="B621"/>
      <c r="C621"/>
      <c r="D621"/>
    </row>
    <row r="622" spans="1:4" x14ac:dyDescent="0.35">
      <c r="A622" s="24"/>
      <c r="B622"/>
      <c r="C622"/>
      <c r="D622"/>
    </row>
    <row r="623" spans="1:4" x14ac:dyDescent="0.35">
      <c r="A623" s="24"/>
      <c r="B623"/>
      <c r="C623"/>
      <c r="D623"/>
    </row>
    <row r="624" spans="1:4" x14ac:dyDescent="0.35">
      <c r="A624" s="24"/>
      <c r="B624"/>
      <c r="C624"/>
      <c r="D624"/>
    </row>
    <row r="625" spans="1:4" x14ac:dyDescent="0.35">
      <c r="A625" s="24"/>
      <c r="B625"/>
      <c r="C625"/>
      <c r="D625"/>
    </row>
    <row r="626" spans="1:4" x14ac:dyDescent="0.35">
      <c r="A626" s="24"/>
      <c r="B626"/>
      <c r="C626"/>
      <c r="D626"/>
    </row>
    <row r="627" spans="1:4" x14ac:dyDescent="0.35">
      <c r="A627" s="24"/>
      <c r="B627"/>
      <c r="C627"/>
      <c r="D627"/>
    </row>
    <row r="628" spans="1:4" x14ac:dyDescent="0.35">
      <c r="A628" s="24"/>
      <c r="B628"/>
      <c r="C628"/>
      <c r="D628"/>
    </row>
    <row r="629" spans="1:4" x14ac:dyDescent="0.35">
      <c r="A629" s="24"/>
      <c r="B629"/>
      <c r="C629"/>
      <c r="D629"/>
    </row>
    <row r="630" spans="1:4" x14ac:dyDescent="0.35">
      <c r="A630" s="24"/>
      <c r="B630"/>
      <c r="C630"/>
      <c r="D630"/>
    </row>
    <row r="631" spans="1:4" x14ac:dyDescent="0.35">
      <c r="A631" s="24"/>
      <c r="B631"/>
      <c r="C631"/>
      <c r="D631"/>
    </row>
    <row r="632" spans="1:4" x14ac:dyDescent="0.35">
      <c r="A632" s="24"/>
      <c r="B632"/>
      <c r="C632"/>
      <c r="D632"/>
    </row>
    <row r="633" spans="1:4" x14ac:dyDescent="0.35">
      <c r="A633" s="24"/>
      <c r="B633"/>
      <c r="C633"/>
      <c r="D633"/>
    </row>
    <row r="634" spans="1:4" x14ac:dyDescent="0.35">
      <c r="A634" s="24"/>
      <c r="B634"/>
      <c r="C634"/>
      <c r="D634"/>
    </row>
    <row r="635" spans="1:4" x14ac:dyDescent="0.35">
      <c r="A635" s="24"/>
      <c r="B635"/>
      <c r="C635"/>
      <c r="D635"/>
    </row>
    <row r="636" spans="1:4" x14ac:dyDescent="0.35">
      <c r="A636" s="24"/>
      <c r="B636"/>
      <c r="C636"/>
      <c r="D636"/>
    </row>
    <row r="637" spans="1:4" x14ac:dyDescent="0.35">
      <c r="A637" s="24"/>
      <c r="B637"/>
      <c r="C637"/>
      <c r="D637"/>
    </row>
    <row r="638" spans="1:4" x14ac:dyDescent="0.35">
      <c r="A638" s="24"/>
      <c r="B638"/>
      <c r="C638"/>
      <c r="D638"/>
    </row>
    <row r="639" spans="1:4" x14ac:dyDescent="0.35">
      <c r="A639" s="24"/>
      <c r="B639"/>
      <c r="C639"/>
      <c r="D639"/>
    </row>
    <row r="640" spans="1:4" x14ac:dyDescent="0.35">
      <c r="A640" s="24"/>
      <c r="B640"/>
      <c r="C640"/>
      <c r="D640"/>
    </row>
    <row r="641" spans="1:4" x14ac:dyDescent="0.35">
      <c r="A641" s="24"/>
      <c r="B641"/>
      <c r="C641"/>
      <c r="D641"/>
    </row>
    <row r="642" spans="1:4" x14ac:dyDescent="0.35">
      <c r="A642" s="24"/>
      <c r="B642"/>
      <c r="C642"/>
      <c r="D642"/>
    </row>
    <row r="643" spans="1:4" x14ac:dyDescent="0.35">
      <c r="A643" s="24"/>
      <c r="B643"/>
      <c r="C643"/>
      <c r="D643"/>
    </row>
    <row r="644" spans="1:4" x14ac:dyDescent="0.35">
      <c r="A644" s="24"/>
      <c r="B644"/>
      <c r="C644"/>
      <c r="D644"/>
    </row>
    <row r="645" spans="1:4" x14ac:dyDescent="0.35">
      <c r="A645" s="24"/>
      <c r="B645"/>
      <c r="C645"/>
      <c r="D645"/>
    </row>
    <row r="646" spans="1:4" x14ac:dyDescent="0.35">
      <c r="A646" s="24"/>
      <c r="B646"/>
      <c r="C646"/>
      <c r="D646"/>
    </row>
    <row r="647" spans="1:4" x14ac:dyDescent="0.35">
      <c r="A647" s="24"/>
      <c r="B647"/>
      <c r="C647"/>
      <c r="D647"/>
    </row>
    <row r="648" spans="1:4" x14ac:dyDescent="0.35">
      <c r="A648" s="24"/>
      <c r="B648"/>
      <c r="C648"/>
      <c r="D648"/>
    </row>
    <row r="649" spans="1:4" x14ac:dyDescent="0.35">
      <c r="A649" s="24"/>
      <c r="B649"/>
      <c r="C649"/>
      <c r="D649"/>
    </row>
    <row r="650" spans="1:4" x14ac:dyDescent="0.35">
      <c r="A650" s="24"/>
      <c r="B650"/>
      <c r="C650"/>
      <c r="D650"/>
    </row>
    <row r="651" spans="1:4" x14ac:dyDescent="0.35">
      <c r="A651" s="24"/>
      <c r="B651"/>
      <c r="C651"/>
      <c r="D651"/>
    </row>
    <row r="652" spans="1:4" x14ac:dyDescent="0.35">
      <c r="A652" s="24"/>
      <c r="B652"/>
      <c r="C652"/>
      <c r="D652"/>
    </row>
    <row r="653" spans="1:4" x14ac:dyDescent="0.35">
      <c r="A653" s="24"/>
      <c r="B653"/>
      <c r="C653"/>
      <c r="D653"/>
    </row>
    <row r="654" spans="1:4" x14ac:dyDescent="0.35">
      <c r="A654" s="24"/>
      <c r="B654"/>
      <c r="C654"/>
      <c r="D654"/>
    </row>
    <row r="655" spans="1:4" x14ac:dyDescent="0.35">
      <c r="A655" s="24"/>
      <c r="B655"/>
      <c r="C655"/>
      <c r="D655"/>
    </row>
    <row r="656" spans="1:4" x14ac:dyDescent="0.35">
      <c r="A656" s="24"/>
      <c r="B656"/>
      <c r="C656"/>
      <c r="D656"/>
    </row>
    <row r="657" spans="1:4" x14ac:dyDescent="0.35">
      <c r="A657" s="24"/>
      <c r="B657"/>
      <c r="C657"/>
      <c r="D657"/>
    </row>
    <row r="658" spans="1:4" x14ac:dyDescent="0.35">
      <c r="A658" s="24"/>
      <c r="B658"/>
      <c r="C658"/>
      <c r="D658"/>
    </row>
    <row r="659" spans="1:4" x14ac:dyDescent="0.35">
      <c r="A659" s="24"/>
      <c r="B659"/>
      <c r="C659"/>
      <c r="D659"/>
    </row>
    <row r="660" spans="1:4" x14ac:dyDescent="0.35">
      <c r="A660" s="24"/>
      <c r="B660"/>
      <c r="C660"/>
      <c r="D660"/>
    </row>
    <row r="661" spans="1:4" x14ac:dyDescent="0.35">
      <c r="A661" s="24"/>
      <c r="B661"/>
      <c r="C661"/>
      <c r="D661"/>
    </row>
    <row r="662" spans="1:4" x14ac:dyDescent="0.35">
      <c r="A662" s="24"/>
      <c r="B662"/>
      <c r="C662"/>
      <c r="D662"/>
    </row>
    <row r="663" spans="1:4" x14ac:dyDescent="0.35">
      <c r="A663" s="24"/>
      <c r="B663"/>
      <c r="C663"/>
      <c r="D663"/>
    </row>
    <row r="664" spans="1:4" x14ac:dyDescent="0.35">
      <c r="A664" s="24"/>
      <c r="B664"/>
      <c r="C664"/>
      <c r="D664"/>
    </row>
    <row r="665" spans="1:4" x14ac:dyDescent="0.35">
      <c r="A665" s="24"/>
      <c r="B665"/>
      <c r="C665"/>
      <c r="D665"/>
    </row>
    <row r="666" spans="1:4" x14ac:dyDescent="0.35">
      <c r="A666" s="24"/>
      <c r="B666"/>
      <c r="C666"/>
      <c r="D666"/>
    </row>
    <row r="667" spans="1:4" x14ac:dyDescent="0.35">
      <c r="A667" s="24"/>
      <c r="B667"/>
      <c r="C667"/>
      <c r="D667"/>
    </row>
    <row r="668" spans="1:4" x14ac:dyDescent="0.35">
      <c r="A668" s="24"/>
      <c r="B668"/>
      <c r="C668"/>
      <c r="D668"/>
    </row>
    <row r="669" spans="1:4" x14ac:dyDescent="0.35">
      <c r="A669" s="24"/>
      <c r="B669"/>
      <c r="C669"/>
      <c r="D669"/>
    </row>
    <row r="670" spans="1:4" x14ac:dyDescent="0.35">
      <c r="A670" s="24"/>
      <c r="B670"/>
      <c r="C670"/>
      <c r="D670"/>
    </row>
    <row r="671" spans="1:4" x14ac:dyDescent="0.35">
      <c r="A671" s="24"/>
      <c r="B671"/>
      <c r="C671"/>
      <c r="D671"/>
    </row>
    <row r="672" spans="1:4" x14ac:dyDescent="0.35">
      <c r="A672" s="24"/>
      <c r="B672"/>
      <c r="C672"/>
      <c r="D672"/>
    </row>
    <row r="673" spans="1:4" x14ac:dyDescent="0.35">
      <c r="A673" s="24"/>
      <c r="B673"/>
      <c r="C673"/>
      <c r="D673"/>
    </row>
    <row r="674" spans="1:4" x14ac:dyDescent="0.35">
      <c r="A674" s="24"/>
      <c r="B674"/>
      <c r="C674"/>
      <c r="D674"/>
    </row>
    <row r="675" spans="1:4" x14ac:dyDescent="0.35">
      <c r="A675" s="24"/>
      <c r="B675"/>
      <c r="C675"/>
      <c r="D675"/>
    </row>
    <row r="676" spans="1:4" x14ac:dyDescent="0.35">
      <c r="A676" s="24"/>
      <c r="B676"/>
      <c r="C676"/>
      <c r="D676"/>
    </row>
    <row r="677" spans="1:4" x14ac:dyDescent="0.35">
      <c r="A677" s="24"/>
      <c r="B677"/>
      <c r="C677"/>
      <c r="D677"/>
    </row>
    <row r="678" spans="1:4" x14ac:dyDescent="0.35">
      <c r="A678" s="24"/>
      <c r="B678"/>
      <c r="C678"/>
      <c r="D678"/>
    </row>
    <row r="679" spans="1:4" x14ac:dyDescent="0.35">
      <c r="A679" s="24"/>
      <c r="B679"/>
      <c r="C679"/>
      <c r="D679"/>
    </row>
    <row r="680" spans="1:4" x14ac:dyDescent="0.35">
      <c r="A680" s="24"/>
      <c r="B680"/>
      <c r="C680"/>
      <c r="D680"/>
    </row>
    <row r="681" spans="1:4" x14ac:dyDescent="0.35">
      <c r="A681" s="24"/>
      <c r="B681"/>
      <c r="C681"/>
      <c r="D681"/>
    </row>
    <row r="682" spans="1:4" x14ac:dyDescent="0.35">
      <c r="A682" s="24"/>
      <c r="B682"/>
      <c r="C682"/>
      <c r="D682"/>
    </row>
    <row r="683" spans="1:4" x14ac:dyDescent="0.35">
      <c r="A683" s="24"/>
      <c r="B683"/>
      <c r="C683"/>
      <c r="D683"/>
    </row>
    <row r="684" spans="1:4" x14ac:dyDescent="0.35">
      <c r="A684" s="24"/>
      <c r="B684"/>
      <c r="C684"/>
      <c r="D684"/>
    </row>
    <row r="685" spans="1:4" x14ac:dyDescent="0.35">
      <c r="A685" s="24"/>
      <c r="B685"/>
      <c r="C685"/>
      <c r="D685"/>
    </row>
    <row r="686" spans="1:4" x14ac:dyDescent="0.35">
      <c r="A686" s="24"/>
      <c r="B686"/>
      <c r="C686"/>
      <c r="D686"/>
    </row>
    <row r="687" spans="1:4" x14ac:dyDescent="0.35">
      <c r="A687" s="24"/>
      <c r="B687"/>
      <c r="C687"/>
      <c r="D687"/>
    </row>
    <row r="688" spans="1:4" x14ac:dyDescent="0.35">
      <c r="A688" s="24"/>
      <c r="B688"/>
      <c r="C688"/>
      <c r="D688"/>
    </row>
    <row r="689" spans="1:4" x14ac:dyDescent="0.35">
      <c r="A689" s="24"/>
      <c r="B689"/>
      <c r="C689"/>
      <c r="D689"/>
    </row>
    <row r="690" spans="1:4" x14ac:dyDescent="0.35">
      <c r="A690" s="24"/>
      <c r="B690"/>
      <c r="C690"/>
      <c r="D690"/>
    </row>
    <row r="691" spans="1:4" x14ac:dyDescent="0.35">
      <c r="A691" s="24"/>
      <c r="B691"/>
      <c r="C691"/>
      <c r="D691"/>
    </row>
    <row r="692" spans="1:4" x14ac:dyDescent="0.35">
      <c r="A692" s="24"/>
      <c r="B692"/>
      <c r="C692"/>
      <c r="D692"/>
    </row>
    <row r="693" spans="1:4" x14ac:dyDescent="0.35">
      <c r="A693" s="24"/>
      <c r="B693"/>
      <c r="C693"/>
      <c r="D693"/>
    </row>
    <row r="694" spans="1:4" x14ac:dyDescent="0.35">
      <c r="A694" s="24"/>
      <c r="B694"/>
      <c r="C694"/>
      <c r="D694"/>
    </row>
    <row r="695" spans="1:4" x14ac:dyDescent="0.35">
      <c r="A695" s="24"/>
      <c r="B695"/>
      <c r="C695"/>
      <c r="D695"/>
    </row>
    <row r="696" spans="1:4" x14ac:dyDescent="0.35">
      <c r="A696" s="24"/>
      <c r="B696"/>
      <c r="C696"/>
      <c r="D696"/>
    </row>
    <row r="697" spans="1:4" x14ac:dyDescent="0.35">
      <c r="A697" s="24"/>
      <c r="B697"/>
      <c r="C697"/>
      <c r="D697"/>
    </row>
    <row r="698" spans="1:4" x14ac:dyDescent="0.35">
      <c r="A698" s="24"/>
      <c r="B698"/>
      <c r="C698"/>
      <c r="D698"/>
    </row>
    <row r="699" spans="1:4" x14ac:dyDescent="0.35">
      <c r="A699" s="24"/>
      <c r="B699"/>
      <c r="C699"/>
      <c r="D699"/>
    </row>
    <row r="700" spans="1:4" x14ac:dyDescent="0.35">
      <c r="A700" s="24"/>
      <c r="B700"/>
      <c r="C700"/>
      <c r="D700"/>
    </row>
    <row r="701" spans="1:4" x14ac:dyDescent="0.35">
      <c r="A701" s="24"/>
      <c r="B701"/>
      <c r="C701"/>
      <c r="D701"/>
    </row>
    <row r="702" spans="1:4" x14ac:dyDescent="0.35">
      <c r="A702" s="24"/>
      <c r="B702"/>
      <c r="C702"/>
      <c r="D702"/>
    </row>
    <row r="703" spans="1:4" x14ac:dyDescent="0.35">
      <c r="A703" s="24"/>
      <c r="B703"/>
      <c r="C703"/>
      <c r="D703"/>
    </row>
    <row r="704" spans="1:4" x14ac:dyDescent="0.35">
      <c r="A704" s="24"/>
      <c r="B704"/>
      <c r="C704"/>
      <c r="D704"/>
    </row>
    <row r="705" spans="1:4" x14ac:dyDescent="0.35">
      <c r="A705" s="24"/>
      <c r="B705"/>
      <c r="C705"/>
      <c r="D705"/>
    </row>
    <row r="706" spans="1:4" x14ac:dyDescent="0.35">
      <c r="A706" s="24"/>
      <c r="B706"/>
      <c r="C706"/>
      <c r="D706"/>
    </row>
    <row r="707" spans="1:4" x14ac:dyDescent="0.35">
      <c r="A707" s="24"/>
      <c r="B707"/>
      <c r="C707"/>
      <c r="D707"/>
    </row>
    <row r="708" spans="1:4" x14ac:dyDescent="0.35">
      <c r="A708" s="24"/>
      <c r="B708"/>
      <c r="C708"/>
      <c r="D708"/>
    </row>
    <row r="709" spans="1:4" x14ac:dyDescent="0.35">
      <c r="A709" s="24"/>
      <c r="B709"/>
      <c r="C709"/>
      <c r="D709"/>
    </row>
    <row r="710" spans="1:4" x14ac:dyDescent="0.35">
      <c r="A710" s="24"/>
      <c r="B710"/>
      <c r="C710"/>
      <c r="D710"/>
    </row>
    <row r="711" spans="1:4" x14ac:dyDescent="0.35">
      <c r="A711" s="24"/>
      <c r="B711"/>
      <c r="C711"/>
      <c r="D711"/>
    </row>
    <row r="712" spans="1:4" x14ac:dyDescent="0.35">
      <c r="A712" s="24"/>
      <c r="B712"/>
      <c r="C712"/>
      <c r="D712"/>
    </row>
    <row r="713" spans="1:4" x14ac:dyDescent="0.35">
      <c r="A713" s="24"/>
      <c r="B713"/>
      <c r="C713"/>
      <c r="D713"/>
    </row>
    <row r="714" spans="1:4" x14ac:dyDescent="0.35">
      <c r="A714" s="24"/>
      <c r="B714"/>
      <c r="C714"/>
      <c r="D714"/>
    </row>
    <row r="715" spans="1:4" x14ac:dyDescent="0.35">
      <c r="A715" s="24"/>
      <c r="B715"/>
      <c r="C715"/>
      <c r="D715"/>
    </row>
    <row r="716" spans="1:4" x14ac:dyDescent="0.35">
      <c r="A716" s="24"/>
      <c r="B716"/>
      <c r="C716"/>
      <c r="D716"/>
    </row>
    <row r="717" spans="1:4" x14ac:dyDescent="0.35">
      <c r="A717" s="24"/>
      <c r="B717"/>
      <c r="C717"/>
      <c r="D717"/>
    </row>
    <row r="718" spans="1:4" x14ac:dyDescent="0.35">
      <c r="A718" s="24"/>
      <c r="B718"/>
      <c r="C718"/>
      <c r="D718"/>
    </row>
    <row r="719" spans="1:4" x14ac:dyDescent="0.35">
      <c r="A719" s="24"/>
      <c r="B719"/>
      <c r="C719"/>
      <c r="D719"/>
    </row>
    <row r="720" spans="1:4" x14ac:dyDescent="0.35">
      <c r="A720" s="24"/>
      <c r="B720"/>
      <c r="C720"/>
      <c r="D720"/>
    </row>
    <row r="721" spans="1:4" x14ac:dyDescent="0.35">
      <c r="A721" s="24"/>
      <c r="B721"/>
      <c r="C721"/>
      <c r="D721"/>
    </row>
    <row r="722" spans="1:4" x14ac:dyDescent="0.35">
      <c r="A722" s="24"/>
      <c r="B722"/>
      <c r="C722"/>
      <c r="D722"/>
    </row>
    <row r="723" spans="1:4" x14ac:dyDescent="0.35">
      <c r="A723" s="24"/>
      <c r="B723"/>
      <c r="C723"/>
      <c r="D723"/>
    </row>
    <row r="724" spans="1:4" x14ac:dyDescent="0.35">
      <c r="A724" s="24"/>
      <c r="B724"/>
      <c r="C724"/>
      <c r="D724"/>
    </row>
    <row r="725" spans="1:4" x14ac:dyDescent="0.35">
      <c r="A725" s="24"/>
      <c r="B725"/>
      <c r="C725"/>
      <c r="D725"/>
    </row>
    <row r="726" spans="1:4" x14ac:dyDescent="0.35">
      <c r="A726" s="24"/>
      <c r="B726"/>
      <c r="C726"/>
      <c r="D726"/>
    </row>
    <row r="727" spans="1:4" x14ac:dyDescent="0.35">
      <c r="A727" s="24"/>
      <c r="B727"/>
      <c r="C727"/>
      <c r="D727"/>
    </row>
    <row r="728" spans="1:4" x14ac:dyDescent="0.35">
      <c r="A728" s="24"/>
      <c r="B728"/>
      <c r="C728"/>
      <c r="D728"/>
    </row>
    <row r="729" spans="1:4" x14ac:dyDescent="0.35">
      <c r="A729" s="24"/>
      <c r="B729"/>
      <c r="C729"/>
      <c r="D729"/>
    </row>
    <row r="730" spans="1:4" x14ac:dyDescent="0.35">
      <c r="A730" s="24"/>
      <c r="B730"/>
      <c r="C730"/>
      <c r="D730"/>
    </row>
    <row r="731" spans="1:4" x14ac:dyDescent="0.35">
      <c r="A731" s="24"/>
      <c r="B731"/>
      <c r="C731"/>
      <c r="D731"/>
    </row>
    <row r="732" spans="1:4" x14ac:dyDescent="0.35">
      <c r="A732" s="24"/>
      <c r="B732"/>
      <c r="C732"/>
      <c r="D732"/>
    </row>
    <row r="733" spans="1:4" x14ac:dyDescent="0.35">
      <c r="A733" s="24"/>
      <c r="B733"/>
      <c r="C733"/>
      <c r="D733"/>
    </row>
    <row r="734" spans="1:4" x14ac:dyDescent="0.35">
      <c r="A734" s="24"/>
      <c r="B734"/>
      <c r="C734"/>
      <c r="D734"/>
    </row>
    <row r="735" spans="1:4" x14ac:dyDescent="0.35">
      <c r="A735" s="24"/>
      <c r="B735"/>
      <c r="C735"/>
      <c r="D735"/>
    </row>
    <row r="736" spans="1:4" x14ac:dyDescent="0.35">
      <c r="A736" s="24"/>
      <c r="B736"/>
      <c r="C736"/>
      <c r="D736"/>
    </row>
    <row r="737" spans="1:4" x14ac:dyDescent="0.35">
      <c r="A737" s="24"/>
      <c r="B737"/>
      <c r="C737"/>
      <c r="D737"/>
    </row>
    <row r="738" spans="1:4" x14ac:dyDescent="0.35">
      <c r="A738" s="24"/>
      <c r="B738"/>
      <c r="C738"/>
      <c r="D738"/>
    </row>
    <row r="739" spans="1:4" x14ac:dyDescent="0.35">
      <c r="A739" s="24"/>
      <c r="B739"/>
      <c r="C739"/>
      <c r="D739"/>
    </row>
    <row r="740" spans="1:4" x14ac:dyDescent="0.35">
      <c r="A740" s="24"/>
      <c r="B740"/>
      <c r="C740"/>
      <c r="D740"/>
    </row>
    <row r="741" spans="1:4" x14ac:dyDescent="0.35">
      <c r="A741" s="24"/>
      <c r="B741"/>
      <c r="C741"/>
      <c r="D741"/>
    </row>
    <row r="742" spans="1:4" x14ac:dyDescent="0.35">
      <c r="A742" s="24"/>
      <c r="B742"/>
      <c r="C742"/>
      <c r="D742"/>
    </row>
    <row r="743" spans="1:4" x14ac:dyDescent="0.35">
      <c r="A743" s="24"/>
      <c r="B743"/>
      <c r="C743"/>
      <c r="D743"/>
    </row>
    <row r="744" spans="1:4" x14ac:dyDescent="0.35">
      <c r="A744" s="24"/>
      <c r="B744"/>
      <c r="C744"/>
      <c r="D744"/>
    </row>
    <row r="745" spans="1:4" x14ac:dyDescent="0.35">
      <c r="A745" s="24"/>
      <c r="B745"/>
      <c r="C745"/>
      <c r="D745"/>
    </row>
    <row r="746" spans="1:4" x14ac:dyDescent="0.35">
      <c r="A746" s="24"/>
      <c r="B746"/>
      <c r="C746"/>
      <c r="D746"/>
    </row>
    <row r="747" spans="1:4" x14ac:dyDescent="0.35">
      <c r="A747" s="24"/>
      <c r="B747"/>
      <c r="C747"/>
      <c r="D747"/>
    </row>
    <row r="748" spans="1:4" x14ac:dyDescent="0.35">
      <c r="A748" s="24"/>
      <c r="B748"/>
      <c r="C748"/>
      <c r="D748"/>
    </row>
    <row r="749" spans="1:4" x14ac:dyDescent="0.35">
      <c r="A749" s="24"/>
      <c r="B749"/>
      <c r="C749"/>
      <c r="D749"/>
    </row>
    <row r="750" spans="1:4" x14ac:dyDescent="0.35">
      <c r="A750" s="24"/>
      <c r="B750"/>
      <c r="C750"/>
      <c r="D750"/>
    </row>
    <row r="751" spans="1:4" x14ac:dyDescent="0.35">
      <c r="A751" s="24"/>
      <c r="B751"/>
      <c r="C751"/>
      <c r="D751"/>
    </row>
    <row r="752" spans="1:4" x14ac:dyDescent="0.35">
      <c r="A752" s="24"/>
      <c r="B752"/>
      <c r="C752"/>
      <c r="D752"/>
    </row>
    <row r="753" spans="1:4" x14ac:dyDescent="0.35">
      <c r="A753" s="24"/>
      <c r="B753"/>
      <c r="C753"/>
      <c r="D753"/>
    </row>
    <row r="754" spans="1:4" x14ac:dyDescent="0.35">
      <c r="A754" s="24"/>
      <c r="B754"/>
      <c r="C754"/>
      <c r="D754"/>
    </row>
    <row r="755" spans="1:4" x14ac:dyDescent="0.35">
      <c r="A755" s="24"/>
      <c r="B755"/>
      <c r="C755"/>
      <c r="D755"/>
    </row>
    <row r="756" spans="1:4" x14ac:dyDescent="0.35">
      <c r="A756" s="24"/>
      <c r="B756"/>
      <c r="C756"/>
      <c r="D756"/>
    </row>
    <row r="757" spans="1:4" x14ac:dyDescent="0.35">
      <c r="A757" s="24"/>
      <c r="B757"/>
      <c r="C757"/>
      <c r="D757"/>
    </row>
    <row r="758" spans="1:4" x14ac:dyDescent="0.35">
      <c r="A758" s="24"/>
      <c r="B758"/>
      <c r="C758"/>
      <c r="D758"/>
    </row>
    <row r="759" spans="1:4" x14ac:dyDescent="0.35">
      <c r="A759" s="24"/>
      <c r="B759"/>
      <c r="C759"/>
      <c r="D759"/>
    </row>
    <row r="760" spans="1:4" x14ac:dyDescent="0.35">
      <c r="A760" s="24"/>
      <c r="B760"/>
      <c r="C760"/>
      <c r="D760"/>
    </row>
    <row r="761" spans="1:4" x14ac:dyDescent="0.35">
      <c r="A761" s="24"/>
      <c r="B761"/>
      <c r="C761"/>
      <c r="D761"/>
    </row>
    <row r="762" spans="1:4" x14ac:dyDescent="0.35">
      <c r="A762" s="24"/>
      <c r="B762"/>
      <c r="C762"/>
      <c r="D762"/>
    </row>
    <row r="763" spans="1:4" x14ac:dyDescent="0.35">
      <c r="A763" s="24"/>
      <c r="B763"/>
      <c r="C763"/>
      <c r="D763"/>
    </row>
    <row r="764" spans="1:4" x14ac:dyDescent="0.35">
      <c r="A764" s="24"/>
      <c r="B764"/>
      <c r="C764"/>
      <c r="D764"/>
    </row>
    <row r="765" spans="1:4" x14ac:dyDescent="0.35">
      <c r="A765" s="24"/>
      <c r="B765"/>
      <c r="C765"/>
      <c r="D765"/>
    </row>
    <row r="766" spans="1:4" x14ac:dyDescent="0.35">
      <c r="A766" s="24"/>
      <c r="B766"/>
      <c r="C766"/>
      <c r="D766"/>
    </row>
    <row r="767" spans="1:4" x14ac:dyDescent="0.35">
      <c r="A767" s="24"/>
      <c r="B767"/>
      <c r="C767"/>
      <c r="D767"/>
    </row>
    <row r="768" spans="1:4" x14ac:dyDescent="0.35">
      <c r="A768" s="24"/>
      <c r="B768"/>
      <c r="C768"/>
      <c r="D768"/>
    </row>
    <row r="769" spans="1:4" x14ac:dyDescent="0.35">
      <c r="A769" s="24"/>
      <c r="B769"/>
      <c r="C769"/>
      <c r="D769"/>
    </row>
    <row r="770" spans="1:4" x14ac:dyDescent="0.35">
      <c r="A770" s="24"/>
      <c r="B770"/>
      <c r="C770"/>
      <c r="D770"/>
    </row>
    <row r="771" spans="1:4" x14ac:dyDescent="0.35">
      <c r="A771" s="24"/>
      <c r="B771"/>
      <c r="C771"/>
      <c r="D771"/>
    </row>
    <row r="772" spans="1:4" x14ac:dyDescent="0.35">
      <c r="A772" s="24"/>
      <c r="B772"/>
      <c r="C772"/>
      <c r="D772"/>
    </row>
    <row r="773" spans="1:4" x14ac:dyDescent="0.35">
      <c r="A773" s="24"/>
      <c r="B773"/>
      <c r="C773"/>
      <c r="D773"/>
    </row>
    <row r="774" spans="1:4" x14ac:dyDescent="0.35">
      <c r="A774" s="24"/>
      <c r="B774"/>
      <c r="C774"/>
      <c r="D774"/>
    </row>
    <row r="775" spans="1:4" x14ac:dyDescent="0.35">
      <c r="A775" s="24"/>
      <c r="B775"/>
      <c r="C775"/>
      <c r="D775"/>
    </row>
    <row r="776" spans="1:4" x14ac:dyDescent="0.35">
      <c r="A776" s="24"/>
      <c r="B776"/>
      <c r="C776"/>
      <c r="D776"/>
    </row>
    <row r="777" spans="1:4" x14ac:dyDescent="0.35">
      <c r="A777" s="24"/>
      <c r="B777"/>
      <c r="C777"/>
      <c r="D777"/>
    </row>
    <row r="778" spans="1:4" x14ac:dyDescent="0.35">
      <c r="A778" s="24"/>
      <c r="B778"/>
      <c r="C778"/>
      <c r="D778"/>
    </row>
    <row r="779" spans="1:4" x14ac:dyDescent="0.35">
      <c r="A779" s="24"/>
      <c r="B779"/>
      <c r="C779"/>
      <c r="D779"/>
    </row>
    <row r="780" spans="1:4" x14ac:dyDescent="0.35">
      <c r="A780" s="24"/>
      <c r="B780"/>
      <c r="C780"/>
      <c r="D780"/>
    </row>
    <row r="781" spans="1:4" x14ac:dyDescent="0.35">
      <c r="A781" s="24"/>
      <c r="B781"/>
      <c r="C781"/>
      <c r="D781"/>
    </row>
    <row r="782" spans="1:4" x14ac:dyDescent="0.35">
      <c r="A782" s="24"/>
      <c r="B782"/>
      <c r="C782"/>
      <c r="D782"/>
    </row>
    <row r="783" spans="1:4" x14ac:dyDescent="0.35">
      <c r="A783" s="24"/>
      <c r="B783"/>
      <c r="C783"/>
      <c r="D783"/>
    </row>
    <row r="784" spans="1:4" x14ac:dyDescent="0.35">
      <c r="A784" s="24"/>
      <c r="B784"/>
      <c r="C784"/>
      <c r="D784"/>
    </row>
    <row r="785" spans="1:4" x14ac:dyDescent="0.35">
      <c r="A785" s="24"/>
      <c r="B785"/>
      <c r="C785"/>
      <c r="D785"/>
    </row>
    <row r="786" spans="1:4" x14ac:dyDescent="0.35">
      <c r="A786" s="24"/>
      <c r="B786"/>
      <c r="C786"/>
      <c r="D786"/>
    </row>
    <row r="787" spans="1:4" x14ac:dyDescent="0.35">
      <c r="A787" s="24"/>
      <c r="B787"/>
      <c r="C787"/>
      <c r="D787"/>
    </row>
    <row r="788" spans="1:4" x14ac:dyDescent="0.35">
      <c r="A788" s="24"/>
      <c r="B788"/>
      <c r="C788"/>
      <c r="D788"/>
    </row>
    <row r="789" spans="1:4" x14ac:dyDescent="0.35">
      <c r="A789" s="24"/>
      <c r="B789"/>
      <c r="C789"/>
      <c r="D789"/>
    </row>
    <row r="790" spans="1:4" x14ac:dyDescent="0.35">
      <c r="A790" s="24"/>
      <c r="B790"/>
      <c r="C790"/>
      <c r="D790"/>
    </row>
    <row r="791" spans="1:4" x14ac:dyDescent="0.35">
      <c r="A791" s="24"/>
      <c r="B791"/>
      <c r="C791"/>
      <c r="D791"/>
    </row>
    <row r="792" spans="1:4" x14ac:dyDescent="0.35">
      <c r="A792" s="24"/>
      <c r="B792"/>
      <c r="C792"/>
      <c r="D792"/>
    </row>
    <row r="793" spans="1:4" x14ac:dyDescent="0.35">
      <c r="A793" s="24"/>
      <c r="B793"/>
      <c r="C793"/>
      <c r="D793"/>
    </row>
    <row r="794" spans="1:4" x14ac:dyDescent="0.35">
      <c r="A794" s="24"/>
      <c r="B794"/>
      <c r="C794"/>
      <c r="D794"/>
    </row>
    <row r="795" spans="1:4" x14ac:dyDescent="0.35">
      <c r="A795" s="24"/>
      <c r="B795"/>
      <c r="C795"/>
      <c r="D795"/>
    </row>
    <row r="796" spans="1:4" x14ac:dyDescent="0.35">
      <c r="A796" s="24"/>
      <c r="B796"/>
      <c r="C796"/>
      <c r="D796"/>
    </row>
    <row r="797" spans="1:4" x14ac:dyDescent="0.35">
      <c r="A797" s="24"/>
      <c r="B797"/>
      <c r="C797"/>
      <c r="D797"/>
    </row>
    <row r="798" spans="1:4" x14ac:dyDescent="0.35">
      <c r="A798" s="24"/>
      <c r="B798"/>
      <c r="C798"/>
      <c r="D798"/>
    </row>
    <row r="799" spans="1:4" x14ac:dyDescent="0.35">
      <c r="A799" s="24"/>
      <c r="B799"/>
      <c r="C799"/>
      <c r="D799"/>
    </row>
    <row r="800" spans="1:4" x14ac:dyDescent="0.35">
      <c r="A800" s="24"/>
      <c r="B800"/>
      <c r="C800"/>
      <c r="D800"/>
    </row>
    <row r="801" spans="1:4" x14ac:dyDescent="0.35">
      <c r="A801" s="24"/>
      <c r="B801"/>
      <c r="C801"/>
      <c r="D801"/>
    </row>
    <row r="802" spans="1:4" x14ac:dyDescent="0.35">
      <c r="A802" s="24"/>
      <c r="B802"/>
      <c r="C802"/>
      <c r="D802"/>
    </row>
    <row r="803" spans="1:4" x14ac:dyDescent="0.35">
      <c r="A803" s="24"/>
      <c r="B803"/>
      <c r="C803"/>
      <c r="D803"/>
    </row>
    <row r="804" spans="1:4" x14ac:dyDescent="0.35">
      <c r="A804" s="24"/>
      <c r="B804"/>
      <c r="C804"/>
      <c r="D804"/>
    </row>
    <row r="805" spans="1:4" x14ac:dyDescent="0.35">
      <c r="A805" s="24"/>
      <c r="B805"/>
      <c r="C805"/>
      <c r="D805"/>
    </row>
    <row r="806" spans="1:4" x14ac:dyDescent="0.35">
      <c r="A806" s="24"/>
      <c r="B806"/>
      <c r="C806"/>
      <c r="D806"/>
    </row>
    <row r="807" spans="1:4" x14ac:dyDescent="0.35">
      <c r="A807" s="24"/>
      <c r="B807"/>
      <c r="C807"/>
      <c r="D807"/>
    </row>
    <row r="808" spans="1:4" x14ac:dyDescent="0.35">
      <c r="A808" s="24"/>
      <c r="B808"/>
      <c r="C808"/>
      <c r="D808"/>
    </row>
    <row r="809" spans="1:4" x14ac:dyDescent="0.35">
      <c r="A809" s="24"/>
      <c r="B809"/>
      <c r="C809"/>
      <c r="D809"/>
    </row>
    <row r="810" spans="1:4" x14ac:dyDescent="0.35">
      <c r="A810" s="24"/>
      <c r="B810"/>
      <c r="C810"/>
      <c r="D810"/>
    </row>
    <row r="811" spans="1:4" x14ac:dyDescent="0.35">
      <c r="A811" s="24"/>
      <c r="B811"/>
      <c r="C811"/>
      <c r="D811"/>
    </row>
    <row r="812" spans="1:4" x14ac:dyDescent="0.35">
      <c r="A812" s="24"/>
      <c r="B812"/>
      <c r="C812"/>
      <c r="D812"/>
    </row>
    <row r="813" spans="1:4" x14ac:dyDescent="0.35">
      <c r="A813" s="24"/>
      <c r="B813"/>
      <c r="C813"/>
      <c r="D813"/>
    </row>
    <row r="814" spans="1:4" x14ac:dyDescent="0.35">
      <c r="A814" s="24"/>
      <c r="B814"/>
      <c r="C814"/>
      <c r="D814"/>
    </row>
    <row r="815" spans="1:4" x14ac:dyDescent="0.35">
      <c r="A815" s="24"/>
      <c r="B815"/>
      <c r="C815"/>
      <c r="D815"/>
    </row>
    <row r="816" spans="1:4" x14ac:dyDescent="0.35">
      <c r="A816" s="24"/>
      <c r="B816"/>
      <c r="C816"/>
      <c r="D816"/>
    </row>
    <row r="817" spans="1:4" x14ac:dyDescent="0.35">
      <c r="A817" s="24"/>
      <c r="B817"/>
      <c r="C817"/>
      <c r="D817"/>
    </row>
    <row r="818" spans="1:4" x14ac:dyDescent="0.35">
      <c r="A818" s="24"/>
      <c r="B818"/>
      <c r="C818"/>
      <c r="D818"/>
    </row>
    <row r="819" spans="1:4" x14ac:dyDescent="0.35">
      <c r="A819" s="24"/>
      <c r="B819"/>
      <c r="C819"/>
      <c r="D819"/>
    </row>
    <row r="820" spans="1:4" x14ac:dyDescent="0.35">
      <c r="A820" s="24"/>
      <c r="B820"/>
      <c r="C820"/>
      <c r="D820"/>
    </row>
    <row r="821" spans="1:4" x14ac:dyDescent="0.35">
      <c r="A821" s="24"/>
      <c r="B821"/>
      <c r="C821"/>
      <c r="D821"/>
    </row>
    <row r="822" spans="1:4" x14ac:dyDescent="0.35">
      <c r="A822" s="24"/>
      <c r="B822"/>
      <c r="C822"/>
      <c r="D822"/>
    </row>
    <row r="823" spans="1:4" x14ac:dyDescent="0.35">
      <c r="A823" s="24"/>
      <c r="B823"/>
      <c r="C823"/>
      <c r="D823"/>
    </row>
    <row r="824" spans="1:4" x14ac:dyDescent="0.35">
      <c r="A824" s="24"/>
      <c r="B824"/>
      <c r="C824"/>
      <c r="D824"/>
    </row>
    <row r="825" spans="1:4" x14ac:dyDescent="0.35">
      <c r="A825" s="24"/>
      <c r="B825"/>
      <c r="C825"/>
      <c r="D825"/>
    </row>
    <row r="826" spans="1:4" x14ac:dyDescent="0.35">
      <c r="A826" s="24"/>
      <c r="B826"/>
      <c r="C826"/>
      <c r="D826"/>
    </row>
    <row r="827" spans="1:4" x14ac:dyDescent="0.35">
      <c r="A827" s="24"/>
      <c r="B827"/>
      <c r="C827"/>
      <c r="D827"/>
    </row>
    <row r="828" spans="1:4" x14ac:dyDescent="0.35">
      <c r="A828" s="24"/>
      <c r="B828"/>
      <c r="C828"/>
      <c r="D828"/>
    </row>
    <row r="829" spans="1:4" x14ac:dyDescent="0.35">
      <c r="A829" s="24"/>
      <c r="B829"/>
      <c r="C829"/>
      <c r="D829"/>
    </row>
    <row r="830" spans="1:4" x14ac:dyDescent="0.35">
      <c r="A830" s="24"/>
      <c r="B830"/>
      <c r="C830"/>
      <c r="D830"/>
    </row>
    <row r="831" spans="1:4" x14ac:dyDescent="0.35">
      <c r="A831" s="24"/>
      <c r="B831"/>
      <c r="C831"/>
      <c r="D831"/>
    </row>
    <row r="832" spans="1:4" x14ac:dyDescent="0.35">
      <c r="A832" s="24"/>
      <c r="B832"/>
      <c r="C832"/>
      <c r="D832"/>
    </row>
    <row r="833" spans="1:4" x14ac:dyDescent="0.35">
      <c r="A833" s="24"/>
      <c r="B833"/>
      <c r="C833"/>
      <c r="D833"/>
    </row>
    <row r="834" spans="1:4" x14ac:dyDescent="0.35">
      <c r="A834" s="24"/>
      <c r="B834"/>
      <c r="C834"/>
      <c r="D834"/>
    </row>
    <row r="835" spans="1:4" x14ac:dyDescent="0.35">
      <c r="A835" s="24"/>
      <c r="B835"/>
      <c r="C835"/>
      <c r="D835"/>
    </row>
    <row r="836" spans="1:4" x14ac:dyDescent="0.35">
      <c r="A836" s="24"/>
      <c r="B836"/>
      <c r="C836"/>
      <c r="D836"/>
    </row>
    <row r="837" spans="1:4" x14ac:dyDescent="0.35">
      <c r="A837" s="24"/>
      <c r="B837"/>
      <c r="C837"/>
      <c r="D837"/>
    </row>
    <row r="838" spans="1:4" x14ac:dyDescent="0.35">
      <c r="A838" s="24"/>
      <c r="B838"/>
      <c r="C838"/>
      <c r="D838"/>
    </row>
    <row r="839" spans="1:4" x14ac:dyDescent="0.35">
      <c r="A839" s="24"/>
      <c r="B839"/>
      <c r="C839"/>
      <c r="D839"/>
    </row>
    <row r="840" spans="1:4" x14ac:dyDescent="0.35">
      <c r="A840" s="24"/>
      <c r="B840"/>
      <c r="C840"/>
      <c r="D840"/>
    </row>
    <row r="841" spans="1:4" x14ac:dyDescent="0.35">
      <c r="A841" s="24"/>
      <c r="B841"/>
      <c r="C841"/>
      <c r="D841"/>
    </row>
    <row r="842" spans="1:4" x14ac:dyDescent="0.35">
      <c r="A842" s="24"/>
      <c r="B842"/>
      <c r="C842"/>
      <c r="D842"/>
    </row>
    <row r="843" spans="1:4" x14ac:dyDescent="0.35">
      <c r="A843" s="24"/>
      <c r="B843"/>
      <c r="C843"/>
      <c r="D843"/>
    </row>
    <row r="844" spans="1:4" x14ac:dyDescent="0.35">
      <c r="A844" s="24"/>
      <c r="B844"/>
      <c r="C844"/>
      <c r="D844"/>
    </row>
    <row r="845" spans="1:4" x14ac:dyDescent="0.35">
      <c r="A845" s="24"/>
      <c r="B845"/>
      <c r="C845"/>
      <c r="D845"/>
    </row>
    <row r="846" spans="1:4" x14ac:dyDescent="0.35">
      <c r="A846" s="24"/>
      <c r="B846"/>
      <c r="C846"/>
      <c r="D846"/>
    </row>
    <row r="847" spans="1:4" x14ac:dyDescent="0.35">
      <c r="A847" s="24"/>
      <c r="B847"/>
      <c r="C847"/>
      <c r="D847"/>
    </row>
    <row r="848" spans="1:4" x14ac:dyDescent="0.35">
      <c r="A848" s="24"/>
      <c r="B848"/>
      <c r="C848"/>
      <c r="D848"/>
    </row>
    <row r="849" spans="1:4" x14ac:dyDescent="0.35">
      <c r="A849" s="24"/>
      <c r="B849"/>
      <c r="C849"/>
      <c r="D849"/>
    </row>
    <row r="850" spans="1:4" x14ac:dyDescent="0.35">
      <c r="A850" s="24"/>
      <c r="B850"/>
      <c r="C850"/>
      <c r="D850"/>
    </row>
    <row r="851" spans="1:4" x14ac:dyDescent="0.35">
      <c r="A851" s="24"/>
      <c r="B851"/>
      <c r="C851"/>
      <c r="D851"/>
    </row>
    <row r="852" spans="1:4" x14ac:dyDescent="0.35">
      <c r="A852" s="24"/>
      <c r="B852"/>
      <c r="C852"/>
      <c r="D852"/>
    </row>
    <row r="853" spans="1:4" x14ac:dyDescent="0.35">
      <c r="A853" s="24"/>
      <c r="B853"/>
      <c r="C853"/>
      <c r="D853"/>
    </row>
    <row r="854" spans="1:4" x14ac:dyDescent="0.35">
      <c r="A854" s="24"/>
      <c r="B854"/>
      <c r="C854"/>
      <c r="D854"/>
    </row>
    <row r="855" spans="1:4" x14ac:dyDescent="0.35">
      <c r="A855" s="24"/>
      <c r="B855"/>
      <c r="C855"/>
      <c r="D855"/>
    </row>
    <row r="856" spans="1:4" x14ac:dyDescent="0.35">
      <c r="A856" s="24"/>
      <c r="B856"/>
      <c r="C856"/>
      <c r="D856"/>
    </row>
    <row r="857" spans="1:4" x14ac:dyDescent="0.35">
      <c r="A857" s="24"/>
      <c r="B857"/>
      <c r="C857"/>
      <c r="D857"/>
    </row>
    <row r="858" spans="1:4" x14ac:dyDescent="0.35">
      <c r="A858" s="24"/>
      <c r="B858"/>
      <c r="C858"/>
      <c r="D858"/>
    </row>
    <row r="859" spans="1:4" x14ac:dyDescent="0.35">
      <c r="A859" s="24"/>
      <c r="B859"/>
      <c r="C859"/>
      <c r="D859"/>
    </row>
    <row r="860" spans="1:4" x14ac:dyDescent="0.35">
      <c r="A860" s="24"/>
      <c r="B860"/>
      <c r="C860"/>
      <c r="D860"/>
    </row>
    <row r="861" spans="1:4" x14ac:dyDescent="0.35">
      <c r="A861" s="24"/>
      <c r="B861"/>
      <c r="C861"/>
      <c r="D861"/>
    </row>
    <row r="862" spans="1:4" x14ac:dyDescent="0.35">
      <c r="A862" s="24"/>
      <c r="B862"/>
      <c r="C862"/>
      <c r="D862"/>
    </row>
    <row r="863" spans="1:4" x14ac:dyDescent="0.35">
      <c r="A863" s="24"/>
      <c r="B863"/>
      <c r="C863"/>
      <c r="D863"/>
    </row>
    <row r="864" spans="1:4" x14ac:dyDescent="0.35">
      <c r="A864" s="24"/>
      <c r="B864"/>
      <c r="C864"/>
      <c r="D864"/>
    </row>
    <row r="865" spans="1:4" x14ac:dyDescent="0.35">
      <c r="A865" s="24"/>
      <c r="B865"/>
      <c r="C865"/>
      <c r="D865"/>
    </row>
    <row r="866" spans="1:4" x14ac:dyDescent="0.35">
      <c r="A866" s="24"/>
      <c r="B866"/>
      <c r="C866"/>
      <c r="D866"/>
    </row>
    <row r="867" spans="1:4" x14ac:dyDescent="0.35">
      <c r="A867" s="24"/>
      <c r="B867"/>
      <c r="C867"/>
      <c r="D867"/>
    </row>
    <row r="868" spans="1:4" x14ac:dyDescent="0.35">
      <c r="A868" s="24"/>
      <c r="B868"/>
      <c r="C868"/>
      <c r="D868"/>
    </row>
    <row r="869" spans="1:4" x14ac:dyDescent="0.35">
      <c r="A869" s="24"/>
      <c r="B869"/>
      <c r="C869"/>
      <c r="D869"/>
    </row>
    <row r="870" spans="1:4" x14ac:dyDescent="0.35">
      <c r="A870" s="24"/>
      <c r="B870"/>
      <c r="C870"/>
      <c r="D870"/>
    </row>
    <row r="871" spans="1:4" x14ac:dyDescent="0.35">
      <c r="A871" s="24"/>
      <c r="B871"/>
      <c r="C871"/>
      <c r="D871"/>
    </row>
    <row r="872" spans="1:4" x14ac:dyDescent="0.35">
      <c r="A872" s="24"/>
      <c r="B872"/>
      <c r="C872"/>
      <c r="D872"/>
    </row>
    <row r="873" spans="1:4" x14ac:dyDescent="0.35">
      <c r="A873" s="24"/>
      <c r="B873"/>
      <c r="C873"/>
      <c r="D873"/>
    </row>
    <row r="874" spans="1:4" x14ac:dyDescent="0.35">
      <c r="A874" s="24"/>
      <c r="B874"/>
      <c r="C874"/>
      <c r="D874"/>
    </row>
    <row r="875" spans="1:4" x14ac:dyDescent="0.35">
      <c r="A875" s="24"/>
      <c r="B875"/>
      <c r="C875"/>
      <c r="D875"/>
    </row>
    <row r="876" spans="1:4" x14ac:dyDescent="0.35">
      <c r="A876" s="24"/>
      <c r="B876"/>
      <c r="C876"/>
      <c r="D876"/>
    </row>
    <row r="877" spans="1:4" x14ac:dyDescent="0.35">
      <c r="A877" s="24"/>
      <c r="B877"/>
      <c r="C877"/>
      <c r="D877"/>
    </row>
    <row r="878" spans="1:4" x14ac:dyDescent="0.35">
      <c r="A878" s="24"/>
      <c r="B878"/>
      <c r="C878"/>
      <c r="D878"/>
    </row>
    <row r="879" spans="1:4" x14ac:dyDescent="0.35">
      <c r="A879" s="24"/>
      <c r="B879"/>
      <c r="C879"/>
      <c r="D879"/>
    </row>
    <row r="880" spans="1:4" x14ac:dyDescent="0.35">
      <c r="A880" s="24"/>
      <c r="B880"/>
      <c r="C880"/>
      <c r="D880"/>
    </row>
    <row r="881" spans="1:4" x14ac:dyDescent="0.35">
      <c r="A881" s="24"/>
      <c r="B881"/>
      <c r="C881"/>
      <c r="D881"/>
    </row>
    <row r="882" spans="1:4" x14ac:dyDescent="0.35">
      <c r="A882" s="24"/>
      <c r="B882"/>
      <c r="C882"/>
      <c r="D882"/>
    </row>
    <row r="883" spans="1:4" x14ac:dyDescent="0.35">
      <c r="A883" s="24"/>
      <c r="B883"/>
      <c r="C883"/>
      <c r="D883"/>
    </row>
    <row r="884" spans="1:4" x14ac:dyDescent="0.35">
      <c r="A884" s="24"/>
      <c r="B884"/>
      <c r="C884"/>
      <c r="D884"/>
    </row>
    <row r="885" spans="1:4" x14ac:dyDescent="0.35">
      <c r="A885" s="24"/>
      <c r="B885"/>
      <c r="C885"/>
      <c r="D885"/>
    </row>
    <row r="886" spans="1:4" x14ac:dyDescent="0.35">
      <c r="A886" s="24"/>
      <c r="B886"/>
      <c r="C886"/>
      <c r="D886"/>
    </row>
    <row r="887" spans="1:4" x14ac:dyDescent="0.35">
      <c r="A887" s="24"/>
      <c r="B887"/>
      <c r="C887"/>
      <c r="D887"/>
    </row>
    <row r="888" spans="1:4" x14ac:dyDescent="0.35">
      <c r="A888" s="24"/>
      <c r="B888"/>
      <c r="C888"/>
      <c r="D888"/>
    </row>
    <row r="889" spans="1:4" x14ac:dyDescent="0.35">
      <c r="A889" s="24"/>
      <c r="B889"/>
      <c r="C889"/>
      <c r="D889"/>
    </row>
    <row r="890" spans="1:4" x14ac:dyDescent="0.35">
      <c r="A890" s="24"/>
      <c r="B890"/>
      <c r="C890"/>
      <c r="D890"/>
    </row>
    <row r="891" spans="1:4" x14ac:dyDescent="0.35">
      <c r="A891" s="24"/>
      <c r="B891"/>
      <c r="C891"/>
      <c r="D891"/>
    </row>
    <row r="892" spans="1:4" x14ac:dyDescent="0.35">
      <c r="A892" s="24"/>
      <c r="B892"/>
      <c r="C892"/>
      <c r="D892"/>
    </row>
    <row r="893" spans="1:4" x14ac:dyDescent="0.35">
      <c r="A893" s="24"/>
      <c r="B893"/>
      <c r="C893"/>
      <c r="D893"/>
    </row>
    <row r="894" spans="1:4" x14ac:dyDescent="0.35">
      <c r="A894" s="24"/>
      <c r="B894"/>
      <c r="C894"/>
      <c r="D894"/>
    </row>
    <row r="895" spans="1:4" x14ac:dyDescent="0.35">
      <c r="A895" s="24"/>
      <c r="B895"/>
      <c r="C895"/>
      <c r="D895"/>
    </row>
    <row r="896" spans="1:4" x14ac:dyDescent="0.35">
      <c r="A896" s="24"/>
      <c r="B896"/>
      <c r="C896"/>
      <c r="D896"/>
    </row>
    <row r="897" spans="1:4" x14ac:dyDescent="0.35">
      <c r="A897" s="24"/>
      <c r="B897"/>
      <c r="C897"/>
      <c r="D897"/>
    </row>
    <row r="898" spans="1:4" x14ac:dyDescent="0.35">
      <c r="A898" s="24"/>
      <c r="B898"/>
      <c r="C898"/>
      <c r="D898"/>
    </row>
    <row r="899" spans="1:4" x14ac:dyDescent="0.35">
      <c r="A899" s="24"/>
      <c r="B899"/>
      <c r="C899"/>
      <c r="D899"/>
    </row>
    <row r="900" spans="1:4" x14ac:dyDescent="0.35">
      <c r="A900" s="24"/>
      <c r="B900"/>
      <c r="C900"/>
      <c r="D900"/>
    </row>
    <row r="901" spans="1:4" x14ac:dyDescent="0.35">
      <c r="A901" s="24"/>
      <c r="B901"/>
      <c r="C901"/>
      <c r="D901"/>
    </row>
    <row r="902" spans="1:4" x14ac:dyDescent="0.35">
      <c r="A902" s="24"/>
      <c r="B902"/>
      <c r="C902"/>
      <c r="D902"/>
    </row>
    <row r="903" spans="1:4" x14ac:dyDescent="0.35">
      <c r="A903" s="24"/>
      <c r="B903"/>
      <c r="C903"/>
      <c r="D903"/>
    </row>
    <row r="904" spans="1:4" x14ac:dyDescent="0.35">
      <c r="A904" s="24"/>
      <c r="B904"/>
      <c r="C904"/>
      <c r="D904"/>
    </row>
    <row r="905" spans="1:4" x14ac:dyDescent="0.35">
      <c r="A905" s="24"/>
      <c r="B905"/>
      <c r="C905"/>
      <c r="D905"/>
    </row>
    <row r="906" spans="1:4" x14ac:dyDescent="0.35">
      <c r="A906" s="24"/>
      <c r="B906"/>
      <c r="C906"/>
      <c r="D906"/>
    </row>
    <row r="907" spans="1:4" x14ac:dyDescent="0.35">
      <c r="A907" s="24"/>
      <c r="B907"/>
      <c r="C907"/>
      <c r="D907"/>
    </row>
    <row r="908" spans="1:4" x14ac:dyDescent="0.35">
      <c r="A908" s="24"/>
      <c r="B908"/>
      <c r="C908"/>
      <c r="D908"/>
    </row>
    <row r="909" spans="1:4" x14ac:dyDescent="0.35">
      <c r="A909" s="24"/>
      <c r="B909"/>
      <c r="C909"/>
      <c r="D909"/>
    </row>
    <row r="910" spans="1:4" x14ac:dyDescent="0.35">
      <c r="A910" s="24"/>
      <c r="B910"/>
      <c r="C910"/>
      <c r="D910"/>
    </row>
    <row r="911" spans="1:4" x14ac:dyDescent="0.35">
      <c r="A911" s="24"/>
      <c r="B911"/>
      <c r="C911"/>
      <c r="D911"/>
    </row>
    <row r="912" spans="1:4" x14ac:dyDescent="0.35">
      <c r="A912" s="24"/>
      <c r="B912"/>
      <c r="C912"/>
      <c r="D912"/>
    </row>
    <row r="913" spans="1:4" x14ac:dyDescent="0.35">
      <c r="A913" s="24"/>
      <c r="B913"/>
      <c r="C913"/>
      <c r="D913"/>
    </row>
    <row r="914" spans="1:4" x14ac:dyDescent="0.35">
      <c r="A914" s="24"/>
      <c r="B914"/>
      <c r="C914"/>
      <c r="D914"/>
    </row>
    <row r="915" spans="1:4" x14ac:dyDescent="0.35">
      <c r="A915" s="24"/>
      <c r="B915"/>
      <c r="C915"/>
      <c r="D915"/>
    </row>
    <row r="916" spans="1:4" x14ac:dyDescent="0.35">
      <c r="A916" s="24"/>
      <c r="B916"/>
      <c r="C916"/>
      <c r="D916"/>
    </row>
    <row r="917" spans="1:4" x14ac:dyDescent="0.35">
      <c r="A917" s="24"/>
      <c r="B917"/>
      <c r="C917"/>
      <c r="D917"/>
    </row>
    <row r="918" spans="1:4" x14ac:dyDescent="0.35">
      <c r="A918" s="24"/>
      <c r="B918"/>
      <c r="C918"/>
      <c r="D918"/>
    </row>
    <row r="919" spans="1:4" x14ac:dyDescent="0.35">
      <c r="A919" s="24"/>
      <c r="B919"/>
      <c r="C919"/>
      <c r="D919"/>
    </row>
    <row r="920" spans="1:4" x14ac:dyDescent="0.35">
      <c r="A920" s="24"/>
      <c r="B920"/>
      <c r="C920"/>
      <c r="D920"/>
    </row>
    <row r="921" spans="1:4" x14ac:dyDescent="0.35">
      <c r="A921" s="24"/>
      <c r="B921"/>
      <c r="C921"/>
      <c r="D921"/>
    </row>
    <row r="922" spans="1:4" x14ac:dyDescent="0.35">
      <c r="A922" s="24"/>
      <c r="B922"/>
      <c r="C922"/>
      <c r="D922"/>
    </row>
    <row r="923" spans="1:4" x14ac:dyDescent="0.35">
      <c r="A923" s="24"/>
      <c r="B923"/>
      <c r="C923"/>
      <c r="D923"/>
    </row>
    <row r="924" spans="1:4" x14ac:dyDescent="0.35">
      <c r="A924" s="24"/>
      <c r="B924"/>
      <c r="C924"/>
      <c r="D924"/>
    </row>
    <row r="925" spans="1:4" x14ac:dyDescent="0.35">
      <c r="A925" s="24"/>
      <c r="B925"/>
      <c r="C925"/>
      <c r="D925"/>
    </row>
    <row r="926" spans="1:4" x14ac:dyDescent="0.35">
      <c r="A926" s="24"/>
      <c r="B926"/>
      <c r="C926"/>
      <c r="D926"/>
    </row>
    <row r="927" spans="1:4" x14ac:dyDescent="0.35">
      <c r="A927" s="24"/>
      <c r="B927"/>
      <c r="C927"/>
      <c r="D927"/>
    </row>
    <row r="928" spans="1:4" x14ac:dyDescent="0.35">
      <c r="A928" s="24"/>
      <c r="B928"/>
      <c r="C928"/>
      <c r="D928"/>
    </row>
    <row r="929" spans="1:4" x14ac:dyDescent="0.35">
      <c r="A929" s="24"/>
      <c r="B929"/>
      <c r="C929"/>
      <c r="D929"/>
    </row>
    <row r="930" spans="1:4" x14ac:dyDescent="0.35">
      <c r="A930" s="24"/>
      <c r="B930"/>
      <c r="C930"/>
      <c r="D930"/>
    </row>
    <row r="931" spans="1:4" x14ac:dyDescent="0.35">
      <c r="A931" s="24"/>
      <c r="B931"/>
      <c r="C931"/>
      <c r="D931"/>
    </row>
    <row r="932" spans="1:4" x14ac:dyDescent="0.35">
      <c r="A932" s="24"/>
      <c r="B932"/>
      <c r="C932"/>
      <c r="D932"/>
    </row>
    <row r="933" spans="1:4" x14ac:dyDescent="0.35">
      <c r="A933" s="24"/>
      <c r="B933"/>
      <c r="C933"/>
      <c r="D933"/>
    </row>
    <row r="934" spans="1:4" x14ac:dyDescent="0.35">
      <c r="A934" s="24"/>
      <c r="B934"/>
      <c r="C934"/>
      <c r="D934"/>
    </row>
    <row r="935" spans="1:4" x14ac:dyDescent="0.35">
      <c r="A935" s="24"/>
      <c r="B935"/>
      <c r="C935"/>
      <c r="D935"/>
    </row>
    <row r="936" spans="1:4" x14ac:dyDescent="0.35">
      <c r="A936" s="24"/>
      <c r="B936"/>
      <c r="C936"/>
      <c r="D936"/>
    </row>
    <row r="937" spans="1:4" x14ac:dyDescent="0.35">
      <c r="A937" s="24"/>
      <c r="B937"/>
      <c r="C937"/>
      <c r="D937"/>
    </row>
    <row r="938" spans="1:4" x14ac:dyDescent="0.35">
      <c r="A938" s="24"/>
      <c r="B938"/>
      <c r="C938"/>
      <c r="D938"/>
    </row>
    <row r="939" spans="1:4" x14ac:dyDescent="0.35">
      <c r="A939" s="24"/>
      <c r="B939"/>
      <c r="C939"/>
      <c r="D939"/>
    </row>
    <row r="940" spans="1:4" x14ac:dyDescent="0.35">
      <c r="A940" s="24"/>
      <c r="B940"/>
      <c r="C940"/>
      <c r="D940"/>
    </row>
    <row r="941" spans="1:4" x14ac:dyDescent="0.35">
      <c r="A941" s="24"/>
      <c r="B941"/>
      <c r="C941"/>
      <c r="D941"/>
    </row>
    <row r="942" spans="1:4" x14ac:dyDescent="0.35">
      <c r="A942" s="24"/>
      <c r="B942"/>
      <c r="C942"/>
      <c r="D942"/>
    </row>
    <row r="943" spans="1:4" x14ac:dyDescent="0.35">
      <c r="A943" s="24"/>
      <c r="B943"/>
      <c r="C943"/>
      <c r="D943"/>
    </row>
    <row r="944" spans="1:4" x14ac:dyDescent="0.35">
      <c r="A944" s="24"/>
      <c r="B944"/>
      <c r="C944"/>
      <c r="D944"/>
    </row>
    <row r="945" spans="1:4" x14ac:dyDescent="0.35">
      <c r="A945" s="24"/>
      <c r="B945"/>
      <c r="C945"/>
      <c r="D945"/>
    </row>
    <row r="946" spans="1:4" x14ac:dyDescent="0.35">
      <c r="A946" s="24"/>
      <c r="B946"/>
      <c r="C946"/>
      <c r="D946"/>
    </row>
    <row r="947" spans="1:4" x14ac:dyDescent="0.35">
      <c r="A947" s="24"/>
      <c r="B947"/>
      <c r="C947"/>
      <c r="D947"/>
    </row>
    <row r="948" spans="1:4" x14ac:dyDescent="0.35">
      <c r="A948" s="24"/>
      <c r="B948"/>
      <c r="C948"/>
      <c r="D948"/>
    </row>
    <row r="949" spans="1:4" x14ac:dyDescent="0.35">
      <c r="A949" s="24"/>
      <c r="B949"/>
      <c r="C949"/>
      <c r="D949"/>
    </row>
    <row r="950" spans="1:4" x14ac:dyDescent="0.35">
      <c r="A950" s="24"/>
      <c r="B950"/>
      <c r="C950"/>
      <c r="D950"/>
    </row>
    <row r="951" spans="1:4" x14ac:dyDescent="0.35">
      <c r="A951" s="24"/>
      <c r="B951"/>
      <c r="C951"/>
      <c r="D951"/>
    </row>
    <row r="952" spans="1:4" x14ac:dyDescent="0.35">
      <c r="A952" s="24"/>
      <c r="B952"/>
      <c r="C952"/>
      <c r="D952"/>
    </row>
    <row r="953" spans="1:4" x14ac:dyDescent="0.35">
      <c r="A953" s="24"/>
      <c r="B953"/>
      <c r="C953"/>
      <c r="D953"/>
    </row>
    <row r="954" spans="1:4" x14ac:dyDescent="0.35">
      <c r="A954" s="24"/>
      <c r="B954"/>
      <c r="C954"/>
      <c r="D954"/>
    </row>
    <row r="955" spans="1:4" x14ac:dyDescent="0.35">
      <c r="A955" s="24"/>
      <c r="B955"/>
      <c r="C955"/>
      <c r="D955"/>
    </row>
    <row r="956" spans="1:4" x14ac:dyDescent="0.35">
      <c r="A956" s="24"/>
      <c r="B956"/>
      <c r="C956"/>
      <c r="D956"/>
    </row>
    <row r="957" spans="1:4" x14ac:dyDescent="0.35">
      <c r="A957" s="24"/>
      <c r="B957"/>
      <c r="C957"/>
      <c r="D957"/>
    </row>
    <row r="958" spans="1:4" x14ac:dyDescent="0.35">
      <c r="A958" s="24"/>
      <c r="B958"/>
      <c r="C958"/>
      <c r="D958"/>
    </row>
    <row r="959" spans="1:4" x14ac:dyDescent="0.35">
      <c r="A959" s="24"/>
      <c r="B959"/>
      <c r="C959"/>
      <c r="D959"/>
    </row>
    <row r="960" spans="1:4" x14ac:dyDescent="0.35">
      <c r="A960" s="24"/>
      <c r="B960"/>
      <c r="C960"/>
      <c r="D960"/>
    </row>
    <row r="961" spans="1:4" x14ac:dyDescent="0.35">
      <c r="A961" s="24"/>
      <c r="B961"/>
      <c r="C961"/>
      <c r="D961"/>
    </row>
    <row r="962" spans="1:4" x14ac:dyDescent="0.35">
      <c r="A962" s="24"/>
      <c r="B962"/>
      <c r="C962"/>
      <c r="D962"/>
    </row>
    <row r="963" spans="1:4" x14ac:dyDescent="0.35">
      <c r="A963" s="24"/>
      <c r="B963"/>
      <c r="C963"/>
      <c r="D963"/>
    </row>
    <row r="964" spans="1:4" x14ac:dyDescent="0.35">
      <c r="A964" s="24"/>
      <c r="B964"/>
      <c r="C964"/>
      <c r="D964"/>
    </row>
    <row r="965" spans="1:4" x14ac:dyDescent="0.35">
      <c r="A965" s="24"/>
      <c r="B965"/>
      <c r="C965"/>
      <c r="D965"/>
    </row>
    <row r="966" spans="1:4" x14ac:dyDescent="0.35">
      <c r="A966" s="24"/>
      <c r="B966"/>
      <c r="C966"/>
      <c r="D966"/>
    </row>
    <row r="967" spans="1:4" x14ac:dyDescent="0.35">
      <c r="A967" s="24"/>
      <c r="B967"/>
      <c r="C967"/>
      <c r="D967"/>
    </row>
    <row r="968" spans="1:4" x14ac:dyDescent="0.35">
      <c r="A968" s="24"/>
      <c r="B968"/>
      <c r="C968"/>
      <c r="D968"/>
    </row>
    <row r="969" spans="1:4" x14ac:dyDescent="0.35">
      <c r="A969" s="24"/>
      <c r="B969"/>
      <c r="C969"/>
      <c r="D969"/>
    </row>
    <row r="970" spans="1:4" x14ac:dyDescent="0.35">
      <c r="A970" s="24"/>
      <c r="B970"/>
      <c r="C970"/>
      <c r="D970"/>
    </row>
    <row r="971" spans="1:4" x14ac:dyDescent="0.35">
      <c r="A971" s="24"/>
      <c r="B971"/>
      <c r="C971"/>
      <c r="D971"/>
    </row>
    <row r="972" spans="1:4" x14ac:dyDescent="0.35">
      <c r="A972" s="24"/>
      <c r="B972"/>
      <c r="C972"/>
      <c r="D972"/>
    </row>
    <row r="973" spans="1:4" x14ac:dyDescent="0.35">
      <c r="A973" s="24"/>
      <c r="B973"/>
      <c r="C973"/>
      <c r="D973"/>
    </row>
    <row r="974" spans="1:4" x14ac:dyDescent="0.35">
      <c r="A974" s="24"/>
      <c r="B974"/>
      <c r="C974"/>
      <c r="D974"/>
    </row>
    <row r="975" spans="1:4" x14ac:dyDescent="0.35">
      <c r="A975" s="24"/>
      <c r="B975"/>
      <c r="C975"/>
      <c r="D975"/>
    </row>
    <row r="976" spans="1:4" x14ac:dyDescent="0.35">
      <c r="A976" s="24"/>
      <c r="B976"/>
      <c r="C976"/>
      <c r="D976"/>
    </row>
    <row r="977" spans="1:4" x14ac:dyDescent="0.35">
      <c r="A977" s="24"/>
      <c r="B977"/>
      <c r="C977"/>
      <c r="D977"/>
    </row>
    <row r="978" spans="1:4" x14ac:dyDescent="0.35">
      <c r="A978" s="24"/>
      <c r="B978"/>
      <c r="C978"/>
      <c r="D978"/>
    </row>
    <row r="979" spans="1:4" x14ac:dyDescent="0.35">
      <c r="A979" s="24"/>
      <c r="B979"/>
      <c r="C979"/>
      <c r="D979"/>
    </row>
    <row r="980" spans="1:4" x14ac:dyDescent="0.35">
      <c r="A980" s="24"/>
      <c r="B980"/>
      <c r="C980"/>
      <c r="D980"/>
    </row>
    <row r="981" spans="1:4" x14ac:dyDescent="0.35">
      <c r="A981" s="24"/>
      <c r="B981"/>
      <c r="C981"/>
      <c r="D981"/>
    </row>
    <row r="982" spans="1:4" x14ac:dyDescent="0.35">
      <c r="A982" s="24"/>
      <c r="B982"/>
      <c r="C982"/>
      <c r="D982"/>
    </row>
    <row r="983" spans="1:4" x14ac:dyDescent="0.35">
      <c r="A983" s="24"/>
      <c r="B983"/>
      <c r="C983"/>
      <c r="D983"/>
    </row>
    <row r="984" spans="1:4" x14ac:dyDescent="0.35">
      <c r="A984" s="24"/>
      <c r="B984"/>
      <c r="C984"/>
      <c r="D984"/>
    </row>
    <row r="985" spans="1:4" x14ac:dyDescent="0.35">
      <c r="A985" s="24"/>
      <c r="B985"/>
      <c r="C985"/>
      <c r="D985"/>
    </row>
    <row r="986" spans="1:4" x14ac:dyDescent="0.35">
      <c r="A986" s="24"/>
      <c r="B986"/>
      <c r="C986"/>
      <c r="D986"/>
    </row>
    <row r="987" spans="1:4" x14ac:dyDescent="0.35">
      <c r="A987" s="24"/>
      <c r="B987"/>
      <c r="C987"/>
      <c r="D987"/>
    </row>
    <row r="988" spans="1:4" x14ac:dyDescent="0.35">
      <c r="A988" s="24"/>
      <c r="B988"/>
      <c r="C988"/>
      <c r="D988"/>
    </row>
    <row r="989" spans="1:4" x14ac:dyDescent="0.35">
      <c r="A989" s="24"/>
      <c r="B989"/>
      <c r="C989"/>
      <c r="D989"/>
    </row>
    <row r="990" spans="1:4" x14ac:dyDescent="0.35">
      <c r="A990" s="24"/>
      <c r="B990"/>
      <c r="C990"/>
      <c r="D990"/>
    </row>
    <row r="991" spans="1:4" x14ac:dyDescent="0.35">
      <c r="A991" s="24"/>
      <c r="B991"/>
      <c r="C991"/>
      <c r="D991"/>
    </row>
    <row r="992" spans="1:4" x14ac:dyDescent="0.35">
      <c r="A992" s="24"/>
      <c r="B992"/>
      <c r="C992"/>
      <c r="D992"/>
    </row>
    <row r="993" spans="1:4" x14ac:dyDescent="0.35">
      <c r="A993" s="24"/>
      <c r="B993"/>
      <c r="C993"/>
      <c r="D993"/>
    </row>
    <row r="994" spans="1:4" x14ac:dyDescent="0.35">
      <c r="A994" s="24"/>
      <c r="B994"/>
      <c r="C994"/>
      <c r="D994"/>
    </row>
    <row r="995" spans="1:4" x14ac:dyDescent="0.35">
      <c r="A995" s="24"/>
      <c r="B995"/>
      <c r="C995"/>
      <c r="D995"/>
    </row>
    <row r="996" spans="1:4" x14ac:dyDescent="0.35">
      <c r="A996" s="24"/>
      <c r="B996"/>
      <c r="C996"/>
      <c r="D996"/>
    </row>
    <row r="997" spans="1:4" x14ac:dyDescent="0.35">
      <c r="A997" s="24"/>
      <c r="B997"/>
      <c r="C997"/>
      <c r="D997"/>
    </row>
    <row r="998" spans="1:4" x14ac:dyDescent="0.35">
      <c r="A998" s="24"/>
      <c r="B998"/>
      <c r="C998"/>
      <c r="D998"/>
    </row>
    <row r="999" spans="1:4" x14ac:dyDescent="0.35">
      <c r="A999" s="24"/>
      <c r="B999"/>
      <c r="C999"/>
      <c r="D999"/>
    </row>
    <row r="1000" spans="1:4" x14ac:dyDescent="0.35">
      <c r="A1000" s="24"/>
      <c r="B1000"/>
      <c r="C1000"/>
      <c r="D1000"/>
    </row>
    <row r="1001" spans="1:4" x14ac:dyDescent="0.35">
      <c r="A1001" s="24"/>
      <c r="B1001"/>
      <c r="C1001"/>
      <c r="D1001"/>
    </row>
    <row r="1002" spans="1:4" x14ac:dyDescent="0.35">
      <c r="A1002" s="24"/>
      <c r="B1002"/>
      <c r="C1002"/>
      <c r="D1002"/>
    </row>
    <row r="1003" spans="1:4" x14ac:dyDescent="0.35">
      <c r="A1003" s="24"/>
      <c r="B1003"/>
      <c r="C1003"/>
      <c r="D1003"/>
    </row>
    <row r="1004" spans="1:4" x14ac:dyDescent="0.35">
      <c r="A1004" s="24"/>
      <c r="B1004"/>
      <c r="C1004"/>
      <c r="D1004"/>
    </row>
    <row r="1005" spans="1:4" x14ac:dyDescent="0.35">
      <c r="A1005" s="24"/>
      <c r="B1005"/>
      <c r="C1005"/>
      <c r="D1005"/>
    </row>
    <row r="1006" spans="1:4" x14ac:dyDescent="0.35">
      <c r="A1006" s="24"/>
      <c r="B1006"/>
      <c r="C1006"/>
      <c r="D1006"/>
    </row>
    <row r="1007" spans="1:4" x14ac:dyDescent="0.35">
      <c r="A1007" s="24"/>
      <c r="B1007"/>
      <c r="C1007"/>
      <c r="D1007"/>
    </row>
    <row r="1008" spans="1:4" x14ac:dyDescent="0.35">
      <c r="A1008" s="24"/>
      <c r="B1008"/>
      <c r="C1008"/>
      <c r="D1008"/>
    </row>
    <row r="1009" spans="1:4" x14ac:dyDescent="0.35">
      <c r="A1009" s="24"/>
      <c r="B1009"/>
      <c r="C1009"/>
      <c r="D1009"/>
    </row>
    <row r="1010" spans="1:4" x14ac:dyDescent="0.35">
      <c r="A1010" s="24"/>
      <c r="B1010"/>
      <c r="C1010"/>
      <c r="D1010"/>
    </row>
    <row r="1011" spans="1:4" x14ac:dyDescent="0.35">
      <c r="A1011" s="24"/>
      <c r="B1011"/>
      <c r="C1011"/>
      <c r="D1011"/>
    </row>
    <row r="1012" spans="1:4" x14ac:dyDescent="0.35">
      <c r="A1012" s="24"/>
      <c r="B1012"/>
      <c r="C1012"/>
      <c r="D1012"/>
    </row>
    <row r="1013" spans="1:4" x14ac:dyDescent="0.35">
      <c r="A1013" s="24"/>
      <c r="B1013"/>
      <c r="C1013"/>
      <c r="D1013"/>
    </row>
    <row r="1014" spans="1:4" x14ac:dyDescent="0.35">
      <c r="A1014" s="24"/>
      <c r="B1014"/>
      <c r="C1014"/>
      <c r="D1014"/>
    </row>
    <row r="1015" spans="1:4" x14ac:dyDescent="0.35">
      <c r="A1015" s="24"/>
      <c r="B1015"/>
      <c r="C1015"/>
      <c r="D1015"/>
    </row>
    <row r="1016" spans="1:4" x14ac:dyDescent="0.35">
      <c r="A1016" s="24"/>
      <c r="B1016"/>
      <c r="C1016"/>
      <c r="D1016"/>
    </row>
    <row r="1017" spans="1:4" x14ac:dyDescent="0.35">
      <c r="A1017" s="24"/>
      <c r="B1017"/>
      <c r="C1017"/>
      <c r="D1017"/>
    </row>
    <row r="1018" spans="1:4" x14ac:dyDescent="0.35">
      <c r="A1018" s="24"/>
      <c r="B1018"/>
      <c r="C1018"/>
      <c r="D1018"/>
    </row>
    <row r="1019" spans="1:4" x14ac:dyDescent="0.35">
      <c r="A1019" s="24"/>
      <c r="B1019"/>
      <c r="C1019"/>
      <c r="D1019"/>
    </row>
    <row r="1020" spans="1:4" x14ac:dyDescent="0.35">
      <c r="A1020" s="24"/>
      <c r="B1020"/>
      <c r="C1020"/>
      <c r="D1020"/>
    </row>
    <row r="1021" spans="1:4" x14ac:dyDescent="0.35">
      <c r="A1021" s="24"/>
      <c r="B1021"/>
      <c r="C1021"/>
      <c r="D1021"/>
    </row>
    <row r="1022" spans="1:4" x14ac:dyDescent="0.35">
      <c r="A1022" s="24"/>
      <c r="B1022"/>
      <c r="C1022"/>
      <c r="D1022"/>
    </row>
    <row r="1023" spans="1:4" x14ac:dyDescent="0.35">
      <c r="A1023" s="24"/>
      <c r="B1023"/>
      <c r="C1023"/>
      <c r="D1023"/>
    </row>
    <row r="1024" spans="1:4" x14ac:dyDescent="0.35">
      <c r="A1024" s="24"/>
      <c r="B1024"/>
      <c r="C1024"/>
      <c r="D1024"/>
    </row>
    <row r="1025" spans="1:4" x14ac:dyDescent="0.35">
      <c r="A1025" s="24"/>
      <c r="B1025"/>
      <c r="C1025"/>
      <c r="D1025"/>
    </row>
    <row r="1026" spans="1:4" x14ac:dyDescent="0.35">
      <c r="A1026" s="24"/>
      <c r="B1026"/>
      <c r="C1026"/>
      <c r="D1026"/>
    </row>
    <row r="1027" spans="1:4" x14ac:dyDescent="0.35">
      <c r="A1027" s="24"/>
      <c r="B1027"/>
      <c r="C1027"/>
      <c r="D1027"/>
    </row>
    <row r="1028" spans="1:4" x14ac:dyDescent="0.35">
      <c r="A1028" s="24"/>
      <c r="B1028"/>
      <c r="C1028"/>
      <c r="D1028"/>
    </row>
    <row r="1029" spans="1:4" x14ac:dyDescent="0.35">
      <c r="A1029" s="24"/>
      <c r="B1029"/>
      <c r="C1029"/>
      <c r="D1029"/>
    </row>
    <row r="1030" spans="1:4" x14ac:dyDescent="0.35">
      <c r="A1030" s="24"/>
      <c r="B1030"/>
      <c r="C1030"/>
      <c r="D1030"/>
    </row>
    <row r="1031" spans="1:4" x14ac:dyDescent="0.35">
      <c r="A1031" s="24"/>
      <c r="B1031"/>
      <c r="C1031"/>
      <c r="D1031"/>
    </row>
    <row r="1032" spans="1:4" x14ac:dyDescent="0.35">
      <c r="A1032" s="24"/>
      <c r="B1032"/>
      <c r="C1032"/>
      <c r="D1032"/>
    </row>
    <row r="1033" spans="1:4" x14ac:dyDescent="0.35">
      <c r="A1033" s="24"/>
      <c r="B1033"/>
      <c r="C1033"/>
      <c r="D1033"/>
    </row>
    <row r="1034" spans="1:4" x14ac:dyDescent="0.35">
      <c r="A1034" s="24"/>
      <c r="B1034"/>
      <c r="C1034"/>
      <c r="D1034"/>
    </row>
    <row r="1035" spans="1:4" x14ac:dyDescent="0.35">
      <c r="A1035" s="24"/>
      <c r="B1035"/>
      <c r="C1035"/>
      <c r="D1035"/>
    </row>
    <row r="1036" spans="1:4" x14ac:dyDescent="0.35">
      <c r="A1036" s="24"/>
      <c r="B1036"/>
      <c r="C1036"/>
      <c r="D1036"/>
    </row>
    <row r="1037" spans="1:4" x14ac:dyDescent="0.35">
      <c r="A1037" s="24"/>
      <c r="B1037"/>
      <c r="C1037"/>
      <c r="D1037"/>
    </row>
    <row r="1038" spans="1:4" x14ac:dyDescent="0.35">
      <c r="A1038" s="24"/>
      <c r="B1038"/>
      <c r="C1038"/>
      <c r="D1038"/>
    </row>
    <row r="1039" spans="1:4" x14ac:dyDescent="0.35">
      <c r="A1039" s="24"/>
      <c r="B1039"/>
      <c r="C1039"/>
      <c r="D1039"/>
    </row>
    <row r="1040" spans="1:4" x14ac:dyDescent="0.35">
      <c r="A1040" s="24"/>
      <c r="B1040"/>
      <c r="C1040"/>
      <c r="D1040"/>
    </row>
    <row r="1041" spans="1:4" x14ac:dyDescent="0.35">
      <c r="A1041" s="24"/>
      <c r="B1041"/>
      <c r="C1041"/>
      <c r="D1041"/>
    </row>
    <row r="1042" spans="1:4" x14ac:dyDescent="0.35">
      <c r="A1042" s="24"/>
      <c r="B1042"/>
      <c r="C1042"/>
      <c r="D1042"/>
    </row>
    <row r="1043" spans="1:4" x14ac:dyDescent="0.35">
      <c r="A1043" s="24"/>
      <c r="B1043"/>
      <c r="C1043"/>
      <c r="D1043"/>
    </row>
    <row r="1044" spans="1:4" x14ac:dyDescent="0.35">
      <c r="A1044" s="24"/>
      <c r="B1044"/>
      <c r="C1044"/>
      <c r="D1044"/>
    </row>
    <row r="1045" spans="1:4" x14ac:dyDescent="0.35">
      <c r="A1045" s="24"/>
      <c r="B1045"/>
      <c r="C1045"/>
      <c r="D1045"/>
    </row>
    <row r="1046" spans="1:4" x14ac:dyDescent="0.35">
      <c r="A1046" s="24"/>
      <c r="B1046"/>
      <c r="C1046"/>
      <c r="D1046"/>
    </row>
    <row r="1047" spans="1:4" x14ac:dyDescent="0.35">
      <c r="A1047" s="24"/>
      <c r="B1047"/>
      <c r="C1047"/>
      <c r="D1047"/>
    </row>
    <row r="1048" spans="1:4" x14ac:dyDescent="0.35">
      <c r="A1048" s="24"/>
      <c r="B1048"/>
      <c r="C1048"/>
      <c r="D1048"/>
    </row>
    <row r="1049" spans="1:4" x14ac:dyDescent="0.35">
      <c r="A1049" s="24"/>
      <c r="B1049"/>
      <c r="C1049"/>
      <c r="D1049"/>
    </row>
    <row r="1050" spans="1:4" x14ac:dyDescent="0.35">
      <c r="A1050" s="24"/>
      <c r="B1050"/>
      <c r="C1050"/>
      <c r="D1050"/>
    </row>
    <row r="1051" spans="1:4" x14ac:dyDescent="0.35">
      <c r="A1051" s="24"/>
      <c r="B1051"/>
      <c r="C1051"/>
      <c r="D1051"/>
    </row>
    <row r="1052" spans="1:4" x14ac:dyDescent="0.35">
      <c r="A1052" s="24"/>
      <c r="B1052"/>
      <c r="C1052"/>
      <c r="D1052"/>
    </row>
    <row r="1053" spans="1:4" x14ac:dyDescent="0.35">
      <c r="A1053" s="24"/>
      <c r="B1053"/>
      <c r="C1053"/>
      <c r="D1053"/>
    </row>
    <row r="1054" spans="1:4" x14ac:dyDescent="0.35">
      <c r="A1054" s="24"/>
      <c r="B1054"/>
      <c r="C1054"/>
      <c r="D1054"/>
    </row>
    <row r="1055" spans="1:4" x14ac:dyDescent="0.35">
      <c r="A1055" s="24"/>
      <c r="B1055"/>
      <c r="C1055"/>
      <c r="D1055"/>
    </row>
    <row r="1056" spans="1:4" x14ac:dyDescent="0.35">
      <c r="A1056" s="24"/>
      <c r="B1056"/>
      <c r="C1056"/>
      <c r="D1056"/>
    </row>
    <row r="1057" spans="1:4" x14ac:dyDescent="0.35">
      <c r="A1057" s="24"/>
      <c r="B1057"/>
      <c r="C1057"/>
      <c r="D1057"/>
    </row>
    <row r="1058" spans="1:4" x14ac:dyDescent="0.35">
      <c r="A1058" s="24"/>
      <c r="B1058"/>
      <c r="C1058"/>
      <c r="D1058"/>
    </row>
    <row r="1059" spans="1:4" x14ac:dyDescent="0.35">
      <c r="A1059" s="24"/>
      <c r="B1059"/>
      <c r="C1059"/>
      <c r="D1059"/>
    </row>
    <row r="1060" spans="1:4" x14ac:dyDescent="0.35">
      <c r="A1060" s="24"/>
      <c r="B1060"/>
      <c r="C1060"/>
      <c r="D1060"/>
    </row>
    <row r="1061" spans="1:4" x14ac:dyDescent="0.35">
      <c r="A1061" s="24"/>
      <c r="B1061"/>
      <c r="C1061"/>
      <c r="D1061"/>
    </row>
    <row r="1062" spans="1:4" x14ac:dyDescent="0.35">
      <c r="A1062" s="24"/>
      <c r="B1062"/>
      <c r="C1062"/>
      <c r="D1062"/>
    </row>
    <row r="1063" spans="1:4" x14ac:dyDescent="0.35">
      <c r="A1063" s="24"/>
      <c r="B1063"/>
      <c r="C1063"/>
      <c r="D1063"/>
    </row>
    <row r="1064" spans="1:4" x14ac:dyDescent="0.35">
      <c r="A1064" s="24"/>
      <c r="B1064"/>
      <c r="C1064"/>
      <c r="D1064"/>
    </row>
    <row r="1065" spans="1:4" x14ac:dyDescent="0.35">
      <c r="A1065" s="24"/>
      <c r="B1065"/>
      <c r="C1065"/>
      <c r="D1065"/>
    </row>
    <row r="1066" spans="1:4" x14ac:dyDescent="0.35">
      <c r="A1066" s="24"/>
      <c r="B1066"/>
      <c r="C1066"/>
      <c r="D1066"/>
    </row>
    <row r="1067" spans="1:4" x14ac:dyDescent="0.35">
      <c r="A1067" s="24"/>
      <c r="B1067"/>
      <c r="C1067"/>
      <c r="D1067"/>
    </row>
    <row r="1068" spans="1:4" x14ac:dyDescent="0.35">
      <c r="A1068" s="24"/>
      <c r="B1068"/>
      <c r="C1068"/>
      <c r="D1068"/>
    </row>
    <row r="1069" spans="1:4" x14ac:dyDescent="0.35">
      <c r="A1069" s="24"/>
      <c r="B1069"/>
      <c r="C1069"/>
      <c r="D1069"/>
    </row>
    <row r="1070" spans="1:4" x14ac:dyDescent="0.35">
      <c r="A1070" s="24"/>
      <c r="B1070"/>
      <c r="C1070"/>
      <c r="D1070"/>
    </row>
    <row r="1071" spans="1:4" x14ac:dyDescent="0.35">
      <c r="A1071" s="24"/>
      <c r="B1071"/>
      <c r="C1071"/>
      <c r="D1071"/>
    </row>
    <row r="1072" spans="1:4" x14ac:dyDescent="0.35">
      <c r="A1072" s="24"/>
      <c r="B1072"/>
      <c r="C1072"/>
      <c r="D1072"/>
    </row>
    <row r="1073" spans="1:4" x14ac:dyDescent="0.35">
      <c r="A1073" s="24"/>
      <c r="B1073"/>
      <c r="C1073"/>
      <c r="D1073"/>
    </row>
    <row r="1074" spans="1:4" x14ac:dyDescent="0.35">
      <c r="A1074" s="24"/>
      <c r="B1074"/>
      <c r="C1074"/>
      <c r="D1074"/>
    </row>
    <row r="1075" spans="1:4" x14ac:dyDescent="0.35">
      <c r="A1075" s="24"/>
      <c r="B1075"/>
      <c r="C1075"/>
      <c r="D1075"/>
    </row>
    <row r="1076" spans="1:4" x14ac:dyDescent="0.35">
      <c r="A1076" s="24"/>
      <c r="B1076"/>
      <c r="C1076"/>
      <c r="D1076"/>
    </row>
    <row r="1077" spans="1:4" x14ac:dyDescent="0.35">
      <c r="A1077" s="24"/>
      <c r="B1077"/>
      <c r="C1077"/>
      <c r="D1077"/>
    </row>
    <row r="1078" spans="1:4" x14ac:dyDescent="0.35">
      <c r="A1078" s="24"/>
      <c r="B1078"/>
      <c r="C1078"/>
      <c r="D1078"/>
    </row>
    <row r="1079" spans="1:4" x14ac:dyDescent="0.35">
      <c r="A1079" s="24"/>
      <c r="B1079"/>
      <c r="C1079"/>
      <c r="D1079"/>
    </row>
    <row r="1080" spans="1:4" x14ac:dyDescent="0.35">
      <c r="A1080" s="24"/>
      <c r="B1080"/>
      <c r="C1080"/>
      <c r="D1080"/>
    </row>
    <row r="1081" spans="1:4" x14ac:dyDescent="0.35">
      <c r="A1081" s="24"/>
      <c r="B1081"/>
      <c r="C1081"/>
      <c r="D1081"/>
    </row>
    <row r="1082" spans="1:4" x14ac:dyDescent="0.35">
      <c r="A1082" s="24"/>
      <c r="B1082"/>
      <c r="C1082"/>
      <c r="D1082"/>
    </row>
    <row r="1083" spans="1:4" x14ac:dyDescent="0.35">
      <c r="A1083" s="24"/>
      <c r="B1083"/>
      <c r="C1083"/>
      <c r="D1083"/>
    </row>
    <row r="1084" spans="1:4" x14ac:dyDescent="0.35">
      <c r="A1084" s="24"/>
      <c r="B1084"/>
      <c r="C1084"/>
      <c r="D1084"/>
    </row>
    <row r="1085" spans="1:4" x14ac:dyDescent="0.35">
      <c r="A1085" s="24"/>
      <c r="B1085"/>
      <c r="C1085"/>
      <c r="D1085"/>
    </row>
    <row r="1086" spans="1:4" x14ac:dyDescent="0.35">
      <c r="A1086" s="24"/>
      <c r="B1086"/>
      <c r="C1086"/>
      <c r="D1086"/>
    </row>
    <row r="1087" spans="1:4" x14ac:dyDescent="0.35">
      <c r="A1087" s="24"/>
      <c r="B1087"/>
      <c r="C1087"/>
      <c r="D1087"/>
    </row>
    <row r="1088" spans="1:4" x14ac:dyDescent="0.35">
      <c r="A1088" s="24"/>
      <c r="B1088"/>
      <c r="C1088"/>
      <c r="D1088"/>
    </row>
    <row r="1089" spans="1:4" x14ac:dyDescent="0.35">
      <c r="A1089" s="24"/>
      <c r="B1089"/>
      <c r="C1089"/>
      <c r="D1089"/>
    </row>
    <row r="1090" spans="1:4" x14ac:dyDescent="0.35">
      <c r="A1090" s="24"/>
      <c r="B1090"/>
      <c r="C1090"/>
      <c r="D1090"/>
    </row>
    <row r="1091" spans="1:4" x14ac:dyDescent="0.35">
      <c r="A1091" s="24"/>
      <c r="B1091"/>
      <c r="C1091"/>
      <c r="D1091"/>
    </row>
    <row r="1092" spans="1:4" x14ac:dyDescent="0.35">
      <c r="A1092" s="24"/>
      <c r="B1092"/>
      <c r="C1092"/>
      <c r="D1092"/>
    </row>
    <row r="1093" spans="1:4" x14ac:dyDescent="0.35">
      <c r="A1093" s="24"/>
      <c r="B1093"/>
      <c r="C1093"/>
      <c r="D1093"/>
    </row>
    <row r="1094" spans="1:4" x14ac:dyDescent="0.35">
      <c r="A1094" s="24"/>
      <c r="B1094"/>
      <c r="C1094"/>
      <c r="D1094"/>
    </row>
    <row r="1095" spans="1:4" x14ac:dyDescent="0.35">
      <c r="A1095" s="24"/>
      <c r="B1095"/>
      <c r="C1095"/>
      <c r="D1095"/>
    </row>
    <row r="1096" spans="1:4" x14ac:dyDescent="0.35">
      <c r="A1096" s="24"/>
      <c r="B1096"/>
      <c r="C1096"/>
      <c r="D1096"/>
    </row>
    <row r="1097" spans="1:4" x14ac:dyDescent="0.35">
      <c r="A1097" s="24"/>
      <c r="B1097"/>
      <c r="C1097"/>
      <c r="D1097"/>
    </row>
    <row r="1098" spans="1:4" x14ac:dyDescent="0.35">
      <c r="A1098" s="24"/>
      <c r="B1098"/>
      <c r="C1098"/>
      <c r="D1098"/>
    </row>
    <row r="1099" spans="1:4" x14ac:dyDescent="0.35">
      <c r="A1099" s="24"/>
      <c r="B1099"/>
      <c r="C1099"/>
      <c r="D1099"/>
    </row>
    <row r="1100" spans="1:4" x14ac:dyDescent="0.35">
      <c r="A1100" s="24"/>
      <c r="B1100"/>
      <c r="C1100"/>
      <c r="D1100"/>
    </row>
    <row r="1101" spans="1:4" x14ac:dyDescent="0.35">
      <c r="A1101" s="24"/>
      <c r="B1101"/>
      <c r="C1101"/>
      <c r="D1101"/>
    </row>
    <row r="1102" spans="1:4" x14ac:dyDescent="0.35">
      <c r="A1102" s="24"/>
      <c r="B1102"/>
      <c r="C1102"/>
      <c r="D1102"/>
    </row>
    <row r="1103" spans="1:4" x14ac:dyDescent="0.35">
      <c r="A1103" s="24"/>
      <c r="B1103"/>
      <c r="C1103"/>
      <c r="D1103"/>
    </row>
    <row r="1104" spans="1:4" x14ac:dyDescent="0.35">
      <c r="A1104" s="24"/>
      <c r="B1104"/>
      <c r="C1104"/>
      <c r="D1104"/>
    </row>
    <row r="1105" spans="1:4" x14ac:dyDescent="0.35">
      <c r="A1105" s="24"/>
      <c r="B1105"/>
      <c r="C1105"/>
      <c r="D1105"/>
    </row>
    <row r="1106" spans="1:4" x14ac:dyDescent="0.35">
      <c r="A1106" s="24"/>
      <c r="B1106"/>
      <c r="C1106"/>
      <c r="D1106"/>
    </row>
    <row r="1107" spans="1:4" x14ac:dyDescent="0.35">
      <c r="A1107" s="24"/>
      <c r="B1107"/>
      <c r="C1107"/>
      <c r="D1107"/>
    </row>
    <row r="1108" spans="1:4" x14ac:dyDescent="0.35">
      <c r="A1108" s="24"/>
      <c r="B1108"/>
      <c r="C1108"/>
      <c r="D1108"/>
    </row>
    <row r="1109" spans="1:4" x14ac:dyDescent="0.35">
      <c r="A1109" s="24"/>
      <c r="B1109"/>
      <c r="C1109"/>
      <c r="D1109"/>
    </row>
    <row r="1110" spans="1:4" x14ac:dyDescent="0.35">
      <c r="A1110" s="24"/>
      <c r="B1110"/>
      <c r="C1110"/>
      <c r="D1110"/>
    </row>
    <row r="1111" spans="1:4" x14ac:dyDescent="0.35">
      <c r="A1111" s="24"/>
      <c r="B1111"/>
      <c r="C1111"/>
      <c r="D1111"/>
    </row>
    <row r="1112" spans="1:4" x14ac:dyDescent="0.35">
      <c r="A1112" s="24"/>
      <c r="B1112"/>
      <c r="C1112"/>
      <c r="D1112"/>
    </row>
    <row r="1113" spans="1:4" x14ac:dyDescent="0.35">
      <c r="A1113" s="24"/>
      <c r="B1113"/>
      <c r="C1113"/>
      <c r="D1113"/>
    </row>
    <row r="1114" spans="1:4" x14ac:dyDescent="0.35">
      <c r="A1114" s="24"/>
      <c r="B1114"/>
      <c r="C1114"/>
      <c r="D1114"/>
    </row>
    <row r="1115" spans="1:4" x14ac:dyDescent="0.35">
      <c r="A1115" s="24"/>
      <c r="B1115"/>
      <c r="C1115"/>
      <c r="D1115"/>
    </row>
    <row r="1116" spans="1:4" x14ac:dyDescent="0.35">
      <c r="A1116" s="24"/>
      <c r="B1116"/>
      <c r="C1116"/>
      <c r="D1116"/>
    </row>
    <row r="1117" spans="1:4" x14ac:dyDescent="0.35">
      <c r="A1117" s="24"/>
      <c r="B1117"/>
      <c r="C1117"/>
      <c r="D1117"/>
    </row>
    <row r="1118" spans="1:4" x14ac:dyDescent="0.35">
      <c r="A1118" s="24"/>
      <c r="B1118"/>
      <c r="C1118"/>
      <c r="D1118"/>
    </row>
    <row r="1119" spans="1:4" x14ac:dyDescent="0.35">
      <c r="A1119" s="24"/>
      <c r="B1119"/>
      <c r="C1119"/>
      <c r="D1119"/>
    </row>
    <row r="1120" spans="1:4" x14ac:dyDescent="0.35">
      <c r="A1120" s="24"/>
      <c r="B1120"/>
      <c r="C1120"/>
      <c r="D1120"/>
    </row>
    <row r="1121" spans="1:4" x14ac:dyDescent="0.35">
      <c r="A1121" s="24"/>
      <c r="B1121"/>
      <c r="C1121"/>
      <c r="D1121"/>
    </row>
    <row r="1122" spans="1:4" x14ac:dyDescent="0.35">
      <c r="A1122" s="24"/>
      <c r="B1122"/>
      <c r="C1122"/>
      <c r="D1122"/>
    </row>
    <row r="1123" spans="1:4" x14ac:dyDescent="0.35">
      <c r="A1123" s="24"/>
      <c r="B1123"/>
      <c r="C1123"/>
      <c r="D1123"/>
    </row>
    <row r="1124" spans="1:4" x14ac:dyDescent="0.35">
      <c r="A1124" s="24"/>
      <c r="B1124"/>
      <c r="C1124"/>
      <c r="D1124"/>
    </row>
    <row r="1125" spans="1:4" x14ac:dyDescent="0.35">
      <c r="A1125" s="24"/>
      <c r="B1125"/>
      <c r="C1125"/>
      <c r="D1125"/>
    </row>
    <row r="1126" spans="1:4" x14ac:dyDescent="0.35">
      <c r="A1126" s="24"/>
      <c r="B1126"/>
      <c r="C1126"/>
      <c r="D1126"/>
    </row>
    <row r="1127" spans="1:4" x14ac:dyDescent="0.35">
      <c r="A1127" s="24"/>
      <c r="B1127"/>
      <c r="C1127"/>
      <c r="D1127"/>
    </row>
    <row r="1128" spans="1:4" x14ac:dyDescent="0.35">
      <c r="A1128" s="24"/>
      <c r="B1128"/>
      <c r="C1128"/>
      <c r="D1128"/>
    </row>
    <row r="1129" spans="1:4" x14ac:dyDescent="0.35">
      <c r="A1129" s="24"/>
      <c r="B1129"/>
      <c r="C1129"/>
      <c r="D1129"/>
    </row>
    <row r="1130" spans="1:4" x14ac:dyDescent="0.35">
      <c r="A1130" s="24"/>
      <c r="B1130"/>
      <c r="C1130"/>
      <c r="D1130"/>
    </row>
    <row r="1131" spans="1:4" x14ac:dyDescent="0.35">
      <c r="A1131" s="24"/>
      <c r="B1131"/>
      <c r="C1131"/>
      <c r="D1131"/>
    </row>
    <row r="1132" spans="1:4" x14ac:dyDescent="0.35">
      <c r="A1132" s="24"/>
      <c r="B1132"/>
      <c r="C1132"/>
      <c r="D1132"/>
    </row>
    <row r="1133" spans="1:4" x14ac:dyDescent="0.35">
      <c r="A1133" s="24"/>
      <c r="B1133"/>
      <c r="C1133"/>
      <c r="D1133"/>
    </row>
    <row r="1134" spans="1:4" x14ac:dyDescent="0.35">
      <c r="A1134" s="24"/>
      <c r="B1134"/>
      <c r="C1134"/>
      <c r="D1134"/>
    </row>
    <row r="1135" spans="1:4" x14ac:dyDescent="0.35">
      <c r="A1135" s="24"/>
      <c r="B1135"/>
      <c r="C1135"/>
      <c r="D1135"/>
    </row>
    <row r="1136" spans="1:4" x14ac:dyDescent="0.35">
      <c r="A1136" s="24"/>
      <c r="B1136"/>
      <c r="C1136"/>
      <c r="D1136"/>
    </row>
    <row r="1137" spans="1:4" x14ac:dyDescent="0.35">
      <c r="A1137" s="24"/>
      <c r="B1137"/>
      <c r="C1137"/>
      <c r="D1137"/>
    </row>
    <row r="1138" spans="1:4" x14ac:dyDescent="0.35">
      <c r="A1138" s="24"/>
      <c r="B1138"/>
      <c r="C1138"/>
      <c r="D1138"/>
    </row>
    <row r="1139" spans="1:4" x14ac:dyDescent="0.35">
      <c r="A1139" s="24"/>
      <c r="B1139"/>
      <c r="C1139"/>
      <c r="D1139"/>
    </row>
    <row r="1140" spans="1:4" x14ac:dyDescent="0.35">
      <c r="A1140" s="24"/>
      <c r="B1140"/>
      <c r="C1140"/>
      <c r="D1140"/>
    </row>
    <row r="1141" spans="1:4" x14ac:dyDescent="0.35">
      <c r="A1141" s="24"/>
      <c r="B1141"/>
      <c r="C1141"/>
      <c r="D1141"/>
    </row>
    <row r="1142" spans="1:4" x14ac:dyDescent="0.35">
      <c r="A1142" s="24"/>
      <c r="B1142"/>
      <c r="C1142"/>
      <c r="D1142"/>
    </row>
    <row r="1143" spans="1:4" x14ac:dyDescent="0.35">
      <c r="A1143" s="24"/>
      <c r="B1143"/>
      <c r="C1143"/>
      <c r="D1143"/>
    </row>
    <row r="1144" spans="1:4" x14ac:dyDescent="0.35">
      <c r="A1144" s="24"/>
      <c r="B1144"/>
      <c r="C1144"/>
      <c r="D1144"/>
    </row>
    <row r="1145" spans="1:4" x14ac:dyDescent="0.35">
      <c r="A1145" s="24"/>
      <c r="B1145"/>
      <c r="C1145"/>
      <c r="D1145"/>
    </row>
    <row r="1146" spans="1:4" x14ac:dyDescent="0.35">
      <c r="A1146" s="24"/>
      <c r="B1146"/>
      <c r="C1146"/>
      <c r="D1146"/>
    </row>
    <row r="1147" spans="1:4" x14ac:dyDescent="0.35">
      <c r="A1147" s="24"/>
      <c r="B1147"/>
      <c r="C1147"/>
      <c r="D1147"/>
    </row>
    <row r="1148" spans="1:4" x14ac:dyDescent="0.35">
      <c r="A1148" s="24"/>
      <c r="B1148"/>
      <c r="C1148"/>
      <c r="D1148"/>
    </row>
    <row r="1149" spans="1:4" x14ac:dyDescent="0.35">
      <c r="A1149" s="24"/>
      <c r="B1149"/>
      <c r="C1149"/>
      <c r="D1149"/>
    </row>
    <row r="1150" spans="1:4" x14ac:dyDescent="0.35">
      <c r="A1150" s="24"/>
      <c r="B1150"/>
      <c r="C1150"/>
      <c r="D1150"/>
    </row>
    <row r="1151" spans="1:4" x14ac:dyDescent="0.35">
      <c r="A1151" s="24"/>
      <c r="B1151"/>
      <c r="C1151"/>
      <c r="D1151"/>
    </row>
    <row r="1152" spans="1:4" x14ac:dyDescent="0.35">
      <c r="A1152" s="24"/>
      <c r="B1152"/>
      <c r="C1152"/>
      <c r="D1152"/>
    </row>
    <row r="1153" spans="1:4" x14ac:dyDescent="0.35">
      <c r="A1153" s="24"/>
      <c r="B1153"/>
      <c r="C1153"/>
      <c r="D1153"/>
    </row>
    <row r="1154" spans="1:4" x14ac:dyDescent="0.35">
      <c r="A1154" s="24"/>
      <c r="B1154"/>
      <c r="C1154"/>
      <c r="D1154"/>
    </row>
    <row r="1155" spans="1:4" x14ac:dyDescent="0.35">
      <c r="A1155" s="24"/>
      <c r="B1155"/>
      <c r="C1155"/>
      <c r="D1155"/>
    </row>
    <row r="1156" spans="1:4" x14ac:dyDescent="0.35">
      <c r="A1156" s="24"/>
      <c r="B1156"/>
      <c r="C1156"/>
      <c r="D1156"/>
    </row>
    <row r="1157" spans="1:4" x14ac:dyDescent="0.35">
      <c r="A1157" s="24"/>
      <c r="B1157"/>
      <c r="C1157"/>
      <c r="D1157"/>
    </row>
    <row r="1158" spans="1:4" x14ac:dyDescent="0.35">
      <c r="A1158" s="24"/>
      <c r="B1158"/>
      <c r="C1158"/>
      <c r="D1158"/>
    </row>
    <row r="1159" spans="1:4" x14ac:dyDescent="0.35">
      <c r="A1159" s="24"/>
      <c r="B1159"/>
      <c r="C1159"/>
      <c r="D1159"/>
    </row>
    <row r="1160" spans="1:4" x14ac:dyDescent="0.35">
      <c r="A1160" s="24"/>
      <c r="B1160"/>
      <c r="C1160"/>
      <c r="D1160"/>
    </row>
    <row r="1161" spans="1:4" x14ac:dyDescent="0.35">
      <c r="A1161" s="24"/>
      <c r="B1161"/>
      <c r="C1161"/>
      <c r="D1161"/>
    </row>
    <row r="1162" spans="1:4" x14ac:dyDescent="0.35">
      <c r="A1162" s="24"/>
      <c r="B1162"/>
      <c r="C1162"/>
      <c r="D1162"/>
    </row>
    <row r="1163" spans="1:4" x14ac:dyDescent="0.35">
      <c r="A1163" s="24"/>
      <c r="B1163"/>
      <c r="C1163"/>
      <c r="D1163"/>
    </row>
    <row r="1164" spans="1:4" x14ac:dyDescent="0.35">
      <c r="A1164" s="24"/>
      <c r="B1164"/>
      <c r="C1164"/>
      <c r="D1164"/>
    </row>
    <row r="1165" spans="1:4" x14ac:dyDescent="0.35">
      <c r="A1165" s="24"/>
      <c r="B1165"/>
      <c r="C1165"/>
      <c r="D1165"/>
    </row>
    <row r="1166" spans="1:4" x14ac:dyDescent="0.35">
      <c r="A1166" s="24"/>
      <c r="B1166"/>
      <c r="C1166"/>
      <c r="D1166"/>
    </row>
    <row r="1167" spans="1:4" x14ac:dyDescent="0.35">
      <c r="A1167" s="24"/>
      <c r="B1167"/>
      <c r="C1167"/>
      <c r="D1167"/>
    </row>
    <row r="1168" spans="1:4" x14ac:dyDescent="0.35">
      <c r="A1168" s="24"/>
      <c r="B1168"/>
      <c r="C1168"/>
      <c r="D1168"/>
    </row>
    <row r="1169" spans="1:4" x14ac:dyDescent="0.35">
      <c r="A1169" s="24"/>
      <c r="B1169"/>
      <c r="C1169"/>
      <c r="D1169"/>
    </row>
    <row r="1170" spans="1:4" x14ac:dyDescent="0.35">
      <c r="A1170" s="24"/>
      <c r="B1170"/>
      <c r="C1170"/>
      <c r="D1170"/>
    </row>
    <row r="1171" spans="1:4" x14ac:dyDescent="0.35">
      <c r="A1171" s="24"/>
      <c r="B1171"/>
      <c r="C1171"/>
      <c r="D1171"/>
    </row>
    <row r="1172" spans="1:4" x14ac:dyDescent="0.35">
      <c r="A1172" s="24"/>
      <c r="B1172"/>
      <c r="C1172"/>
      <c r="D1172"/>
    </row>
    <row r="1173" spans="1:4" x14ac:dyDescent="0.35">
      <c r="A1173" s="24"/>
      <c r="B1173"/>
      <c r="C1173"/>
      <c r="D1173"/>
    </row>
    <row r="1174" spans="1:4" x14ac:dyDescent="0.35">
      <c r="A1174" s="24"/>
      <c r="B1174"/>
      <c r="C1174"/>
      <c r="D1174"/>
    </row>
    <row r="1175" spans="1:4" x14ac:dyDescent="0.35">
      <c r="A1175" s="24"/>
      <c r="B1175"/>
      <c r="C1175"/>
      <c r="D1175"/>
    </row>
    <row r="1176" spans="1:4" x14ac:dyDescent="0.35">
      <c r="A1176" s="24"/>
      <c r="B1176"/>
      <c r="C1176"/>
      <c r="D1176"/>
    </row>
    <row r="1177" spans="1:4" x14ac:dyDescent="0.35">
      <c r="A1177" s="24"/>
      <c r="B1177"/>
      <c r="C1177"/>
      <c r="D1177"/>
    </row>
    <row r="1178" spans="1:4" x14ac:dyDescent="0.35">
      <c r="A1178" s="24"/>
      <c r="B1178"/>
      <c r="C1178"/>
      <c r="D1178"/>
    </row>
    <row r="1179" spans="1:4" x14ac:dyDescent="0.35">
      <c r="A1179" s="24"/>
      <c r="B1179"/>
      <c r="C1179"/>
      <c r="D1179"/>
    </row>
    <row r="1180" spans="1:4" x14ac:dyDescent="0.35">
      <c r="A1180" s="24"/>
      <c r="B1180"/>
      <c r="C1180"/>
      <c r="D1180"/>
    </row>
    <row r="1181" spans="1:4" x14ac:dyDescent="0.35">
      <c r="A1181" s="24"/>
      <c r="B1181"/>
      <c r="C1181"/>
      <c r="D1181"/>
    </row>
    <row r="1182" spans="1:4" x14ac:dyDescent="0.35">
      <c r="A1182" s="24"/>
      <c r="B1182"/>
      <c r="C1182"/>
      <c r="D1182"/>
    </row>
    <row r="1183" spans="1:4" x14ac:dyDescent="0.35">
      <c r="A1183" s="24"/>
      <c r="B1183"/>
      <c r="C1183"/>
      <c r="D1183"/>
    </row>
    <row r="1184" spans="1:4" x14ac:dyDescent="0.35">
      <c r="A1184" s="24"/>
      <c r="B1184"/>
      <c r="C1184"/>
      <c r="D1184"/>
    </row>
    <row r="1185" spans="1:4" x14ac:dyDescent="0.35">
      <c r="A1185" s="24"/>
      <c r="B1185"/>
      <c r="C1185"/>
      <c r="D1185"/>
    </row>
    <row r="1186" spans="1:4" x14ac:dyDescent="0.35">
      <c r="A1186" s="24"/>
      <c r="B1186"/>
      <c r="C1186"/>
      <c r="D1186"/>
    </row>
    <row r="1187" spans="1:4" x14ac:dyDescent="0.35">
      <c r="A1187" s="24"/>
      <c r="B1187"/>
      <c r="C1187"/>
      <c r="D1187"/>
    </row>
    <row r="1188" spans="1:4" x14ac:dyDescent="0.35">
      <c r="A1188" s="24"/>
      <c r="B1188"/>
      <c r="C1188"/>
      <c r="D1188"/>
    </row>
    <row r="1189" spans="1:4" x14ac:dyDescent="0.35">
      <c r="A1189" s="24"/>
      <c r="B1189"/>
      <c r="C1189"/>
      <c r="D1189"/>
    </row>
    <row r="1190" spans="1:4" x14ac:dyDescent="0.35">
      <c r="A1190" s="24"/>
      <c r="B1190"/>
      <c r="C1190"/>
      <c r="D1190"/>
    </row>
    <row r="1191" spans="1:4" x14ac:dyDescent="0.35">
      <c r="A1191" s="24"/>
      <c r="B1191"/>
      <c r="C1191"/>
      <c r="D1191"/>
    </row>
    <row r="1192" spans="1:4" x14ac:dyDescent="0.35">
      <c r="A1192" s="24"/>
      <c r="B1192"/>
      <c r="C1192"/>
      <c r="D1192"/>
    </row>
    <row r="1193" spans="1:4" x14ac:dyDescent="0.35">
      <c r="A1193" s="24"/>
      <c r="B1193"/>
      <c r="C1193"/>
      <c r="D1193"/>
    </row>
    <row r="1194" spans="1:4" x14ac:dyDescent="0.35">
      <c r="A1194" s="24"/>
      <c r="B1194"/>
      <c r="C1194"/>
      <c r="D1194"/>
    </row>
    <row r="1195" spans="1:4" x14ac:dyDescent="0.35">
      <c r="A1195" s="24"/>
      <c r="B1195"/>
      <c r="C1195"/>
      <c r="D1195"/>
    </row>
    <row r="1196" spans="1:4" x14ac:dyDescent="0.35">
      <c r="A1196" s="24"/>
      <c r="B1196"/>
      <c r="C1196"/>
      <c r="D1196"/>
    </row>
    <row r="1197" spans="1:4" x14ac:dyDescent="0.35">
      <c r="A1197" s="24"/>
      <c r="B1197"/>
      <c r="C1197"/>
      <c r="D1197"/>
    </row>
    <row r="1198" spans="1:4" x14ac:dyDescent="0.35">
      <c r="A1198" s="24"/>
      <c r="B1198"/>
      <c r="C1198"/>
      <c r="D1198"/>
    </row>
    <row r="1199" spans="1:4" x14ac:dyDescent="0.35">
      <c r="A1199" s="24"/>
      <c r="B1199"/>
      <c r="C1199"/>
      <c r="D1199"/>
    </row>
    <row r="1200" spans="1:4" x14ac:dyDescent="0.35">
      <c r="A1200" s="24"/>
      <c r="B1200"/>
      <c r="C1200"/>
      <c r="D1200"/>
    </row>
    <row r="1201" spans="1:4" x14ac:dyDescent="0.35">
      <c r="A1201" s="24"/>
      <c r="B1201"/>
      <c r="C1201"/>
      <c r="D1201"/>
    </row>
    <row r="1202" spans="1:4" x14ac:dyDescent="0.35">
      <c r="A1202" s="24"/>
      <c r="B1202"/>
      <c r="C1202"/>
      <c r="D1202"/>
    </row>
    <row r="1203" spans="1:4" x14ac:dyDescent="0.35">
      <c r="A1203" s="24"/>
      <c r="B1203"/>
      <c r="C1203"/>
      <c r="D1203"/>
    </row>
    <row r="1204" spans="1:4" x14ac:dyDescent="0.35">
      <c r="A1204" s="24"/>
      <c r="B1204"/>
      <c r="C1204"/>
      <c r="D1204"/>
    </row>
    <row r="1205" spans="1:4" x14ac:dyDescent="0.35">
      <c r="A1205" s="24"/>
      <c r="B1205"/>
      <c r="C1205"/>
      <c r="D1205"/>
    </row>
    <row r="1206" spans="1:4" x14ac:dyDescent="0.35">
      <c r="A1206" s="24"/>
      <c r="B1206"/>
      <c r="C1206"/>
      <c r="D1206"/>
    </row>
    <row r="1207" spans="1:4" x14ac:dyDescent="0.35">
      <c r="A1207" s="24"/>
      <c r="B1207"/>
      <c r="C1207"/>
      <c r="D1207"/>
    </row>
    <row r="1208" spans="1:4" x14ac:dyDescent="0.35">
      <c r="A1208" s="24"/>
      <c r="B1208"/>
      <c r="C1208"/>
      <c r="D1208"/>
    </row>
    <row r="1209" spans="1:4" x14ac:dyDescent="0.35">
      <c r="A1209" s="24"/>
      <c r="B1209"/>
      <c r="C1209"/>
      <c r="D1209"/>
    </row>
    <row r="1210" spans="1:4" x14ac:dyDescent="0.35">
      <c r="A1210" s="24"/>
      <c r="B1210"/>
      <c r="C1210"/>
      <c r="D1210"/>
    </row>
    <row r="1211" spans="1:4" x14ac:dyDescent="0.35">
      <c r="A1211" s="24"/>
      <c r="B1211"/>
      <c r="C1211"/>
      <c r="D1211"/>
    </row>
    <row r="1212" spans="1:4" x14ac:dyDescent="0.35">
      <c r="A1212" s="24"/>
      <c r="B1212"/>
      <c r="C1212"/>
      <c r="D1212"/>
    </row>
    <row r="1213" spans="1:4" x14ac:dyDescent="0.35">
      <c r="A1213" s="24"/>
      <c r="B1213"/>
      <c r="C1213"/>
      <c r="D1213"/>
    </row>
    <row r="1214" spans="1:4" x14ac:dyDescent="0.35">
      <c r="A1214" s="24"/>
      <c r="B1214"/>
      <c r="C1214"/>
      <c r="D1214"/>
    </row>
    <row r="1215" spans="1:4" x14ac:dyDescent="0.35">
      <c r="A1215" s="24"/>
      <c r="B1215"/>
      <c r="C1215"/>
      <c r="D1215"/>
    </row>
    <row r="1216" spans="1:4" x14ac:dyDescent="0.35">
      <c r="A1216" s="24"/>
      <c r="B1216"/>
      <c r="C1216"/>
      <c r="D1216"/>
    </row>
    <row r="1217" spans="1:4" x14ac:dyDescent="0.35">
      <c r="A1217" s="24"/>
      <c r="B1217"/>
      <c r="C1217"/>
      <c r="D1217"/>
    </row>
    <row r="1218" spans="1:4" x14ac:dyDescent="0.35">
      <c r="A1218" s="24"/>
      <c r="B1218"/>
      <c r="C1218"/>
      <c r="D1218"/>
    </row>
    <row r="1219" spans="1:4" x14ac:dyDescent="0.35">
      <c r="A1219" s="24"/>
      <c r="B1219"/>
      <c r="C1219"/>
      <c r="D1219"/>
    </row>
    <row r="1220" spans="1:4" x14ac:dyDescent="0.35">
      <c r="A1220" s="24"/>
      <c r="B1220"/>
      <c r="C1220"/>
      <c r="D1220"/>
    </row>
    <row r="1221" spans="1:4" x14ac:dyDescent="0.35">
      <c r="A1221" s="24"/>
      <c r="B1221"/>
      <c r="C1221"/>
      <c r="D1221"/>
    </row>
    <row r="1222" spans="1:4" x14ac:dyDescent="0.35">
      <c r="A1222" s="24"/>
      <c r="B1222"/>
      <c r="C1222"/>
      <c r="D1222"/>
    </row>
    <row r="1223" spans="1:4" x14ac:dyDescent="0.35">
      <c r="A1223" s="24"/>
      <c r="B1223"/>
      <c r="C1223"/>
      <c r="D1223"/>
    </row>
    <row r="1224" spans="1:4" x14ac:dyDescent="0.35">
      <c r="A1224" s="24"/>
      <c r="B1224"/>
      <c r="C1224"/>
      <c r="D1224"/>
    </row>
    <row r="1225" spans="1:4" x14ac:dyDescent="0.35">
      <c r="A1225" s="24"/>
      <c r="B1225"/>
      <c r="C1225"/>
      <c r="D1225"/>
    </row>
    <row r="1226" spans="1:4" x14ac:dyDescent="0.35">
      <c r="A1226" s="24"/>
      <c r="B1226"/>
      <c r="C1226"/>
      <c r="D1226"/>
    </row>
    <row r="1227" spans="1:4" x14ac:dyDescent="0.35">
      <c r="A1227" s="24"/>
      <c r="B1227"/>
      <c r="C1227"/>
      <c r="D1227"/>
    </row>
    <row r="1228" spans="1:4" x14ac:dyDescent="0.35">
      <c r="A1228" s="24"/>
      <c r="B1228"/>
      <c r="C1228"/>
      <c r="D1228"/>
    </row>
    <row r="1229" spans="1:4" x14ac:dyDescent="0.35">
      <c r="A1229" s="24"/>
      <c r="B1229"/>
      <c r="C1229"/>
      <c r="D1229"/>
    </row>
    <row r="1230" spans="1:4" x14ac:dyDescent="0.35">
      <c r="A1230" s="24"/>
      <c r="B1230"/>
      <c r="C1230"/>
      <c r="D1230"/>
    </row>
    <row r="1231" spans="1:4" x14ac:dyDescent="0.35">
      <c r="A1231" s="24"/>
      <c r="B1231"/>
      <c r="C1231"/>
      <c r="D1231"/>
    </row>
    <row r="1232" spans="1:4" x14ac:dyDescent="0.35">
      <c r="A1232" s="24"/>
      <c r="B1232"/>
      <c r="C1232"/>
      <c r="D1232"/>
    </row>
    <row r="1233" spans="1:4" x14ac:dyDescent="0.35">
      <c r="A1233" s="24"/>
      <c r="B1233"/>
      <c r="C1233"/>
      <c r="D1233"/>
    </row>
    <row r="1234" spans="1:4" x14ac:dyDescent="0.35">
      <c r="A1234" s="24"/>
      <c r="B1234"/>
      <c r="C1234"/>
      <c r="D1234"/>
    </row>
    <row r="1235" spans="1:4" x14ac:dyDescent="0.35">
      <c r="A1235" s="24"/>
      <c r="B1235"/>
      <c r="C1235"/>
      <c r="D1235"/>
    </row>
    <row r="1236" spans="1:4" x14ac:dyDescent="0.35">
      <c r="A1236" s="24"/>
      <c r="B1236"/>
      <c r="C1236"/>
      <c r="D1236"/>
    </row>
    <row r="1237" spans="1:4" x14ac:dyDescent="0.35">
      <c r="A1237" s="24"/>
      <c r="B1237"/>
      <c r="C1237"/>
      <c r="D1237"/>
    </row>
    <row r="1238" spans="1:4" x14ac:dyDescent="0.35">
      <c r="A1238" s="24"/>
      <c r="B1238"/>
      <c r="C1238"/>
      <c r="D1238"/>
    </row>
    <row r="1239" spans="1:4" x14ac:dyDescent="0.35">
      <c r="A1239" s="24"/>
      <c r="B1239"/>
      <c r="C1239"/>
      <c r="D1239"/>
    </row>
    <row r="1240" spans="1:4" x14ac:dyDescent="0.35">
      <c r="A1240" s="24"/>
      <c r="B1240"/>
      <c r="C1240"/>
      <c r="D1240"/>
    </row>
    <row r="1241" spans="1:4" x14ac:dyDescent="0.35">
      <c r="A1241" s="24"/>
      <c r="B1241"/>
      <c r="C1241"/>
      <c r="D1241"/>
    </row>
    <row r="1242" spans="1:4" x14ac:dyDescent="0.35">
      <c r="A1242" s="24"/>
      <c r="B1242"/>
      <c r="C1242"/>
      <c r="D1242"/>
    </row>
    <row r="1243" spans="1:4" x14ac:dyDescent="0.35">
      <c r="A1243" s="24"/>
      <c r="B1243"/>
      <c r="C1243"/>
      <c r="D1243"/>
    </row>
    <row r="1244" spans="1:4" x14ac:dyDescent="0.35">
      <c r="A1244" s="24"/>
      <c r="B1244"/>
      <c r="C1244"/>
      <c r="D1244"/>
    </row>
    <row r="1245" spans="1:4" x14ac:dyDescent="0.35">
      <c r="A1245" s="24"/>
      <c r="B1245"/>
      <c r="C1245"/>
      <c r="D1245"/>
    </row>
    <row r="1246" spans="1:4" x14ac:dyDescent="0.35">
      <c r="A1246" s="24"/>
      <c r="B1246"/>
      <c r="C1246"/>
      <c r="D1246"/>
    </row>
    <row r="1247" spans="1:4" x14ac:dyDescent="0.35">
      <c r="A1247" s="24"/>
      <c r="B1247"/>
      <c r="C1247"/>
      <c r="D1247"/>
    </row>
    <row r="1248" spans="1:4" x14ac:dyDescent="0.35">
      <c r="A1248" s="24"/>
      <c r="B1248"/>
      <c r="C1248"/>
      <c r="D1248"/>
    </row>
    <row r="1249" spans="1:4" x14ac:dyDescent="0.35">
      <c r="A1249" s="24"/>
      <c r="B1249"/>
      <c r="C1249"/>
      <c r="D1249"/>
    </row>
    <row r="1250" spans="1:4" x14ac:dyDescent="0.35">
      <c r="A1250" s="24"/>
      <c r="B1250"/>
      <c r="C1250"/>
      <c r="D1250"/>
    </row>
    <row r="1251" spans="1:4" x14ac:dyDescent="0.35">
      <c r="A1251" s="24"/>
      <c r="B1251"/>
      <c r="C1251"/>
      <c r="D1251"/>
    </row>
    <row r="1252" spans="1:4" x14ac:dyDescent="0.35">
      <c r="A1252" s="24"/>
      <c r="B1252"/>
      <c r="C1252"/>
      <c r="D1252"/>
    </row>
    <row r="1253" spans="1:4" x14ac:dyDescent="0.35">
      <c r="A1253" s="24"/>
      <c r="B1253"/>
      <c r="C1253"/>
      <c r="D1253"/>
    </row>
    <row r="1254" spans="1:4" x14ac:dyDescent="0.35">
      <c r="A1254" s="24"/>
      <c r="B1254"/>
      <c r="C1254"/>
      <c r="D1254"/>
    </row>
    <row r="1255" spans="1:4" x14ac:dyDescent="0.35">
      <c r="A1255" s="24"/>
      <c r="B1255"/>
      <c r="C1255"/>
      <c r="D1255"/>
    </row>
    <row r="1256" spans="1:4" x14ac:dyDescent="0.35">
      <c r="A1256" s="24"/>
      <c r="B1256"/>
      <c r="C1256"/>
      <c r="D1256"/>
    </row>
    <row r="1257" spans="1:4" x14ac:dyDescent="0.35">
      <c r="A1257" s="24"/>
      <c r="B1257"/>
      <c r="C1257"/>
      <c r="D1257"/>
    </row>
    <row r="1258" spans="1:4" x14ac:dyDescent="0.35">
      <c r="A1258" s="24"/>
      <c r="B1258"/>
      <c r="C1258"/>
      <c r="D1258"/>
    </row>
    <row r="1259" spans="1:4" x14ac:dyDescent="0.35">
      <c r="A1259" s="24"/>
      <c r="B1259"/>
      <c r="C1259"/>
      <c r="D1259"/>
    </row>
    <row r="1260" spans="1:4" x14ac:dyDescent="0.35">
      <c r="A1260" s="24"/>
      <c r="B1260"/>
      <c r="C1260"/>
      <c r="D1260"/>
    </row>
    <row r="1261" spans="1:4" x14ac:dyDescent="0.35">
      <c r="A1261" s="24"/>
      <c r="B1261"/>
      <c r="C1261"/>
      <c r="D1261"/>
    </row>
    <row r="1262" spans="1:4" x14ac:dyDescent="0.35">
      <c r="A1262" s="24"/>
      <c r="B1262"/>
      <c r="C1262"/>
      <c r="D1262"/>
    </row>
    <row r="1263" spans="1:4" x14ac:dyDescent="0.35">
      <c r="A1263" s="24"/>
      <c r="B1263"/>
      <c r="C1263"/>
      <c r="D1263"/>
    </row>
    <row r="1264" spans="1:4" x14ac:dyDescent="0.35">
      <c r="A1264" s="24"/>
      <c r="B1264"/>
      <c r="C1264"/>
      <c r="D1264"/>
    </row>
    <row r="1265" spans="1:4" x14ac:dyDescent="0.35">
      <c r="A1265" s="24"/>
      <c r="B1265"/>
      <c r="C1265"/>
      <c r="D1265"/>
    </row>
    <row r="1266" spans="1:4" x14ac:dyDescent="0.35">
      <c r="A1266" s="24"/>
      <c r="B1266"/>
      <c r="C1266"/>
      <c r="D1266"/>
    </row>
    <row r="1267" spans="1:4" x14ac:dyDescent="0.35">
      <c r="A1267" s="24"/>
      <c r="B1267"/>
      <c r="C1267"/>
      <c r="D1267"/>
    </row>
    <row r="1268" spans="1:4" x14ac:dyDescent="0.35">
      <c r="A1268" s="24"/>
      <c r="B1268"/>
      <c r="C1268"/>
      <c r="D1268"/>
    </row>
    <row r="1269" spans="1:4" x14ac:dyDescent="0.35">
      <c r="A1269" s="24"/>
      <c r="B1269"/>
      <c r="C1269"/>
      <c r="D1269"/>
    </row>
    <row r="1270" spans="1:4" x14ac:dyDescent="0.35">
      <c r="A1270" s="24"/>
      <c r="B1270"/>
      <c r="C1270"/>
      <c r="D1270"/>
    </row>
    <row r="1271" spans="1:4" x14ac:dyDescent="0.35">
      <c r="A1271" s="24"/>
      <c r="B1271"/>
      <c r="C1271"/>
      <c r="D1271"/>
    </row>
    <row r="1272" spans="1:4" x14ac:dyDescent="0.35">
      <c r="A1272" s="24"/>
      <c r="B1272"/>
      <c r="C1272"/>
      <c r="D1272"/>
    </row>
    <row r="1273" spans="1:4" x14ac:dyDescent="0.35">
      <c r="A1273" s="24"/>
      <c r="B1273"/>
      <c r="C1273"/>
      <c r="D1273"/>
    </row>
    <row r="1274" spans="1:4" x14ac:dyDescent="0.35">
      <c r="A1274" s="24"/>
      <c r="B1274"/>
      <c r="C1274"/>
      <c r="D1274"/>
    </row>
    <row r="1275" spans="1:4" x14ac:dyDescent="0.35">
      <c r="A1275" s="24"/>
      <c r="B1275"/>
      <c r="C1275"/>
      <c r="D1275"/>
    </row>
    <row r="1276" spans="1:4" x14ac:dyDescent="0.35">
      <c r="A1276" s="24"/>
      <c r="B1276"/>
      <c r="C1276"/>
      <c r="D1276"/>
    </row>
    <row r="1277" spans="1:4" x14ac:dyDescent="0.35">
      <c r="A1277" s="24"/>
      <c r="B1277"/>
      <c r="C1277"/>
      <c r="D1277"/>
    </row>
    <row r="1278" spans="1:4" x14ac:dyDescent="0.35">
      <c r="A1278" s="24"/>
      <c r="B1278"/>
      <c r="C1278"/>
      <c r="D1278"/>
    </row>
    <row r="1279" spans="1:4" x14ac:dyDescent="0.35">
      <c r="A1279" s="24"/>
      <c r="B1279"/>
      <c r="C1279"/>
      <c r="D1279"/>
    </row>
    <row r="1280" spans="1:4" x14ac:dyDescent="0.35">
      <c r="A1280" s="24"/>
      <c r="B1280"/>
      <c r="C1280"/>
      <c r="D1280"/>
    </row>
    <row r="1281" spans="1:4" x14ac:dyDescent="0.35">
      <c r="A1281" s="24"/>
      <c r="B1281"/>
      <c r="C1281"/>
      <c r="D1281"/>
    </row>
    <row r="1282" spans="1:4" x14ac:dyDescent="0.35">
      <c r="A1282" s="24"/>
      <c r="B1282"/>
      <c r="C1282"/>
      <c r="D1282"/>
    </row>
    <row r="1283" spans="1:4" x14ac:dyDescent="0.35">
      <c r="A1283" s="24"/>
      <c r="B1283"/>
      <c r="C1283"/>
      <c r="D1283"/>
    </row>
    <row r="1284" spans="1:4" x14ac:dyDescent="0.35">
      <c r="A1284" s="24"/>
      <c r="B1284"/>
      <c r="C1284"/>
      <c r="D1284"/>
    </row>
    <row r="1285" spans="1:4" x14ac:dyDescent="0.35">
      <c r="A1285" s="24"/>
      <c r="B1285"/>
      <c r="C1285"/>
      <c r="D1285"/>
    </row>
    <row r="1286" spans="1:4" x14ac:dyDescent="0.35">
      <c r="A1286" s="24"/>
      <c r="B1286"/>
      <c r="C1286"/>
      <c r="D1286"/>
    </row>
    <row r="1287" spans="1:4" x14ac:dyDescent="0.35">
      <c r="A1287" s="24"/>
      <c r="B1287"/>
      <c r="C1287"/>
      <c r="D1287"/>
    </row>
    <row r="1288" spans="1:4" x14ac:dyDescent="0.35">
      <c r="A1288" s="24"/>
      <c r="B1288"/>
      <c r="C1288"/>
      <c r="D1288"/>
    </row>
    <row r="1289" spans="1:4" x14ac:dyDescent="0.35">
      <c r="A1289" s="24"/>
      <c r="B1289"/>
      <c r="C1289"/>
      <c r="D1289"/>
    </row>
    <row r="1290" spans="1:4" x14ac:dyDescent="0.35">
      <c r="A1290" s="24"/>
      <c r="B1290"/>
      <c r="C1290"/>
      <c r="D1290"/>
    </row>
    <row r="1291" spans="1:4" x14ac:dyDescent="0.35">
      <c r="A1291" s="24"/>
      <c r="B1291"/>
      <c r="C1291"/>
      <c r="D1291"/>
    </row>
    <row r="1292" spans="1:4" x14ac:dyDescent="0.35">
      <c r="A1292" s="24"/>
      <c r="B1292"/>
      <c r="C1292"/>
      <c r="D1292"/>
    </row>
    <row r="1293" spans="1:4" x14ac:dyDescent="0.35">
      <c r="A1293" s="24"/>
      <c r="B1293"/>
      <c r="C1293"/>
      <c r="D1293"/>
    </row>
    <row r="1294" spans="1:4" x14ac:dyDescent="0.35">
      <c r="A1294" s="24"/>
      <c r="B1294"/>
      <c r="C1294"/>
      <c r="D1294"/>
    </row>
    <row r="1295" spans="1:4" x14ac:dyDescent="0.35">
      <c r="A1295" s="24"/>
      <c r="B1295"/>
      <c r="C1295"/>
      <c r="D1295"/>
    </row>
    <row r="1296" spans="1:4" x14ac:dyDescent="0.35">
      <c r="A1296" s="24"/>
      <c r="B1296"/>
      <c r="C1296"/>
      <c r="D1296"/>
    </row>
    <row r="1297" spans="1:4" x14ac:dyDescent="0.35">
      <c r="A1297" s="24"/>
      <c r="B1297"/>
      <c r="C1297"/>
      <c r="D1297"/>
    </row>
    <row r="1298" spans="1:4" x14ac:dyDescent="0.35">
      <c r="A1298" s="24"/>
      <c r="B1298"/>
      <c r="C1298"/>
      <c r="D1298"/>
    </row>
    <row r="1299" spans="1:4" x14ac:dyDescent="0.35">
      <c r="A1299" s="24"/>
      <c r="B1299"/>
      <c r="C1299"/>
      <c r="D1299"/>
    </row>
    <row r="1300" spans="1:4" x14ac:dyDescent="0.35">
      <c r="A1300" s="24"/>
      <c r="B1300"/>
      <c r="C1300"/>
      <c r="D1300"/>
    </row>
    <row r="1301" spans="1:4" x14ac:dyDescent="0.35">
      <c r="A1301" s="24"/>
      <c r="B1301"/>
      <c r="C1301"/>
      <c r="D1301"/>
    </row>
    <row r="1302" spans="1:4" x14ac:dyDescent="0.35">
      <c r="A1302" s="24"/>
      <c r="B1302"/>
      <c r="C1302"/>
      <c r="D1302"/>
    </row>
    <row r="1303" spans="1:4" x14ac:dyDescent="0.35">
      <c r="A1303" s="24"/>
      <c r="B1303"/>
      <c r="C1303"/>
      <c r="D1303"/>
    </row>
    <row r="1304" spans="1:4" x14ac:dyDescent="0.35">
      <c r="A1304" s="24"/>
      <c r="B1304"/>
      <c r="C1304"/>
      <c r="D1304"/>
    </row>
    <row r="1305" spans="1:4" x14ac:dyDescent="0.35">
      <c r="A1305" s="24"/>
      <c r="B1305"/>
      <c r="C1305"/>
      <c r="D1305"/>
    </row>
    <row r="1306" spans="1:4" x14ac:dyDescent="0.35">
      <c r="A1306" s="24"/>
      <c r="B1306"/>
      <c r="C1306"/>
      <c r="D1306"/>
    </row>
    <row r="1307" spans="1:4" x14ac:dyDescent="0.35">
      <c r="A1307" s="24"/>
      <c r="B1307"/>
      <c r="C1307"/>
      <c r="D1307"/>
    </row>
    <row r="1308" spans="1:4" x14ac:dyDescent="0.35">
      <c r="A1308" s="24"/>
      <c r="B1308"/>
      <c r="C1308"/>
      <c r="D1308"/>
    </row>
    <row r="1309" spans="1:4" x14ac:dyDescent="0.35">
      <c r="A1309" s="24"/>
      <c r="B1309"/>
      <c r="C1309"/>
      <c r="D1309"/>
    </row>
    <row r="1310" spans="1:4" x14ac:dyDescent="0.35">
      <c r="A1310" s="24"/>
      <c r="B1310"/>
      <c r="C1310"/>
      <c r="D1310"/>
    </row>
    <row r="1311" spans="1:4" x14ac:dyDescent="0.35">
      <c r="A1311" s="24"/>
      <c r="B1311"/>
      <c r="C1311"/>
      <c r="D1311"/>
    </row>
    <row r="1312" spans="1:4" x14ac:dyDescent="0.35">
      <c r="A1312" s="24"/>
      <c r="B1312"/>
      <c r="C1312"/>
      <c r="D1312"/>
    </row>
    <row r="1313" spans="1:4" x14ac:dyDescent="0.35">
      <c r="A1313" s="24"/>
      <c r="B1313"/>
      <c r="C1313"/>
      <c r="D1313"/>
    </row>
    <row r="1314" spans="1:4" x14ac:dyDescent="0.35">
      <c r="A1314" s="24"/>
      <c r="B1314"/>
      <c r="C1314"/>
      <c r="D1314"/>
    </row>
    <row r="1315" spans="1:4" x14ac:dyDescent="0.35">
      <c r="A1315" s="24"/>
      <c r="B1315"/>
      <c r="C1315"/>
      <c r="D1315"/>
    </row>
    <row r="1316" spans="1:4" x14ac:dyDescent="0.35">
      <c r="A1316" s="24"/>
      <c r="B1316"/>
      <c r="C1316"/>
      <c r="D1316"/>
    </row>
    <row r="1317" spans="1:4" x14ac:dyDescent="0.35">
      <c r="A1317" s="24"/>
      <c r="B1317"/>
      <c r="C1317"/>
      <c r="D1317"/>
    </row>
    <row r="1318" spans="1:4" x14ac:dyDescent="0.35">
      <c r="A1318" s="24"/>
      <c r="B1318"/>
      <c r="C1318"/>
      <c r="D1318"/>
    </row>
    <row r="1319" spans="1:4" x14ac:dyDescent="0.35">
      <c r="A1319" s="24"/>
      <c r="B1319"/>
      <c r="C1319"/>
      <c r="D1319"/>
    </row>
    <row r="1320" spans="1:4" x14ac:dyDescent="0.35">
      <c r="A1320" s="24"/>
      <c r="B1320"/>
      <c r="C1320"/>
      <c r="D1320"/>
    </row>
    <row r="1321" spans="1:4" x14ac:dyDescent="0.35">
      <c r="A1321" s="24"/>
      <c r="B1321"/>
      <c r="C1321"/>
      <c r="D1321"/>
    </row>
    <row r="1322" spans="1:4" x14ac:dyDescent="0.35">
      <c r="A1322" s="24"/>
      <c r="B1322"/>
      <c r="C1322"/>
      <c r="D1322"/>
    </row>
    <row r="1323" spans="1:4" x14ac:dyDescent="0.35">
      <c r="A1323" s="24"/>
      <c r="B1323"/>
      <c r="C1323"/>
      <c r="D1323"/>
    </row>
    <row r="1324" spans="1:4" x14ac:dyDescent="0.35">
      <c r="A1324" s="24"/>
      <c r="B1324"/>
      <c r="C1324"/>
      <c r="D1324"/>
    </row>
    <row r="1325" spans="1:4" x14ac:dyDescent="0.35">
      <c r="A1325" s="24"/>
      <c r="B1325"/>
      <c r="C1325"/>
      <c r="D1325"/>
    </row>
    <row r="1326" spans="1:4" x14ac:dyDescent="0.35">
      <c r="A1326" s="24"/>
      <c r="B1326"/>
      <c r="C1326"/>
      <c r="D1326"/>
    </row>
    <row r="1327" spans="1:4" x14ac:dyDescent="0.35">
      <c r="A1327" s="24"/>
      <c r="B1327"/>
      <c r="C1327"/>
      <c r="D1327"/>
    </row>
    <row r="1328" spans="1:4" x14ac:dyDescent="0.35">
      <c r="A1328" s="24"/>
      <c r="B1328"/>
      <c r="C1328"/>
      <c r="D1328"/>
    </row>
    <row r="1329" spans="1:4" x14ac:dyDescent="0.35">
      <c r="A1329" s="24"/>
      <c r="B1329"/>
      <c r="C1329"/>
      <c r="D1329"/>
    </row>
    <row r="1330" spans="1:4" x14ac:dyDescent="0.35">
      <c r="A1330" s="24"/>
      <c r="B1330"/>
      <c r="C1330"/>
      <c r="D1330"/>
    </row>
    <row r="1331" spans="1:4" x14ac:dyDescent="0.35">
      <c r="A1331" s="24"/>
      <c r="B1331"/>
      <c r="C1331"/>
      <c r="D1331"/>
    </row>
    <row r="1332" spans="1:4" x14ac:dyDescent="0.35">
      <c r="A1332" s="24"/>
      <c r="B1332"/>
      <c r="C1332"/>
      <c r="D1332"/>
    </row>
    <row r="1333" spans="1:4" x14ac:dyDescent="0.35">
      <c r="A1333" s="24"/>
      <c r="B1333"/>
      <c r="C1333"/>
      <c r="D1333"/>
    </row>
    <row r="1334" spans="1:4" x14ac:dyDescent="0.35">
      <c r="A1334" s="24"/>
      <c r="B1334"/>
      <c r="C1334"/>
      <c r="D1334"/>
    </row>
    <row r="1335" spans="1:4" x14ac:dyDescent="0.35">
      <c r="A1335" s="24"/>
      <c r="B1335"/>
      <c r="C1335"/>
      <c r="D1335"/>
    </row>
    <row r="1336" spans="1:4" x14ac:dyDescent="0.35">
      <c r="A1336" s="24"/>
      <c r="B1336"/>
      <c r="C1336"/>
      <c r="D1336"/>
    </row>
    <row r="1337" spans="1:4" x14ac:dyDescent="0.35">
      <c r="A1337" s="24"/>
      <c r="B1337"/>
      <c r="C1337"/>
      <c r="D1337"/>
    </row>
    <row r="1338" spans="1:4" x14ac:dyDescent="0.35">
      <c r="A1338" s="24"/>
      <c r="B1338"/>
      <c r="C1338"/>
      <c r="D1338"/>
    </row>
    <row r="1339" spans="1:4" x14ac:dyDescent="0.35">
      <c r="A1339" s="24"/>
      <c r="B1339"/>
      <c r="C1339"/>
      <c r="D1339"/>
    </row>
    <row r="1340" spans="1:4" x14ac:dyDescent="0.35">
      <c r="A1340" s="24"/>
      <c r="B1340"/>
      <c r="C1340"/>
      <c r="D1340"/>
    </row>
    <row r="1341" spans="1:4" x14ac:dyDescent="0.35">
      <c r="A1341" s="24"/>
      <c r="B1341"/>
      <c r="C1341"/>
      <c r="D1341"/>
    </row>
    <row r="1342" spans="1:4" x14ac:dyDescent="0.35">
      <c r="A1342" s="24"/>
      <c r="B1342"/>
      <c r="C1342"/>
      <c r="D1342"/>
    </row>
    <row r="1343" spans="1:4" x14ac:dyDescent="0.35">
      <c r="A1343" s="24"/>
      <c r="B1343"/>
      <c r="C1343"/>
      <c r="D1343"/>
    </row>
    <row r="1344" spans="1:4" x14ac:dyDescent="0.35">
      <c r="A1344" s="24"/>
      <c r="B1344"/>
      <c r="C1344"/>
      <c r="D1344"/>
    </row>
    <row r="1345" spans="1:4" x14ac:dyDescent="0.35">
      <c r="A1345" s="24"/>
      <c r="B1345"/>
      <c r="C1345"/>
      <c r="D1345"/>
    </row>
    <row r="1346" spans="1:4" x14ac:dyDescent="0.35">
      <c r="A1346" s="24"/>
      <c r="B1346"/>
      <c r="C1346"/>
      <c r="D1346"/>
    </row>
    <row r="1347" spans="1:4" x14ac:dyDescent="0.35">
      <c r="A1347" s="24"/>
      <c r="B1347"/>
      <c r="C1347"/>
      <c r="D1347"/>
    </row>
    <row r="1348" spans="1:4" x14ac:dyDescent="0.35">
      <c r="A1348" s="24"/>
      <c r="B1348"/>
      <c r="C1348"/>
      <c r="D1348"/>
    </row>
    <row r="1349" spans="1:4" x14ac:dyDescent="0.35">
      <c r="A1349" s="24"/>
      <c r="B1349"/>
      <c r="C1349"/>
      <c r="D1349"/>
    </row>
    <row r="1350" spans="1:4" x14ac:dyDescent="0.35">
      <c r="A1350" s="24"/>
      <c r="B1350"/>
      <c r="C1350"/>
      <c r="D1350"/>
    </row>
    <row r="1351" spans="1:4" x14ac:dyDescent="0.35">
      <c r="A1351" s="24"/>
      <c r="B1351"/>
      <c r="C1351"/>
      <c r="D1351"/>
    </row>
    <row r="1352" spans="1:4" x14ac:dyDescent="0.35">
      <c r="A1352" s="24"/>
      <c r="B1352"/>
      <c r="C1352"/>
      <c r="D1352"/>
    </row>
    <row r="1353" spans="1:4" x14ac:dyDescent="0.35">
      <c r="A1353" s="24"/>
      <c r="B1353"/>
      <c r="C1353"/>
      <c r="D1353"/>
    </row>
    <row r="1354" spans="1:4" x14ac:dyDescent="0.35">
      <c r="A1354" s="24"/>
      <c r="B1354"/>
      <c r="C1354"/>
      <c r="D1354"/>
    </row>
    <row r="1355" spans="1:4" x14ac:dyDescent="0.35">
      <c r="A1355" s="24"/>
      <c r="B1355"/>
      <c r="C1355"/>
      <c r="D1355"/>
    </row>
    <row r="1356" spans="1:4" x14ac:dyDescent="0.35">
      <c r="A1356" s="24"/>
      <c r="B1356"/>
      <c r="C1356"/>
      <c r="D1356"/>
    </row>
    <row r="1357" spans="1:4" x14ac:dyDescent="0.35">
      <c r="A1357" s="24"/>
      <c r="B1357"/>
      <c r="C1357"/>
      <c r="D1357"/>
    </row>
    <row r="1358" spans="1:4" x14ac:dyDescent="0.35">
      <c r="A1358" s="24"/>
      <c r="B1358"/>
      <c r="C1358"/>
      <c r="D1358"/>
    </row>
    <row r="1359" spans="1:4" x14ac:dyDescent="0.35">
      <c r="A1359" s="24"/>
      <c r="B1359"/>
      <c r="C1359"/>
      <c r="D1359"/>
    </row>
    <row r="1360" spans="1:4" x14ac:dyDescent="0.35">
      <c r="A1360" s="24"/>
      <c r="B1360"/>
      <c r="C1360"/>
      <c r="D1360"/>
    </row>
    <row r="1361" spans="1:4" x14ac:dyDescent="0.35">
      <c r="A1361" s="24"/>
      <c r="B1361"/>
      <c r="C1361"/>
      <c r="D1361"/>
    </row>
    <row r="1362" spans="1:4" x14ac:dyDescent="0.35">
      <c r="A1362" s="24"/>
      <c r="B1362"/>
      <c r="C1362"/>
      <c r="D1362"/>
    </row>
    <row r="1363" spans="1:4" x14ac:dyDescent="0.35">
      <c r="A1363" s="24"/>
      <c r="B1363"/>
      <c r="C1363"/>
      <c r="D1363"/>
    </row>
    <row r="1364" spans="1:4" x14ac:dyDescent="0.35">
      <c r="A1364" s="24"/>
      <c r="B1364"/>
      <c r="C1364"/>
      <c r="D1364"/>
    </row>
    <row r="1365" spans="1:4" x14ac:dyDescent="0.35">
      <c r="A1365" s="24"/>
      <c r="B1365"/>
      <c r="C1365"/>
      <c r="D1365"/>
    </row>
    <row r="1366" spans="1:4" x14ac:dyDescent="0.35">
      <c r="A1366" s="24"/>
      <c r="B1366"/>
      <c r="C1366"/>
      <c r="D1366"/>
    </row>
    <row r="1367" spans="1:4" x14ac:dyDescent="0.35">
      <c r="A1367" s="24"/>
      <c r="B1367"/>
      <c r="C1367"/>
      <c r="D1367"/>
    </row>
    <row r="1368" spans="1:4" x14ac:dyDescent="0.35">
      <c r="A1368" s="24"/>
      <c r="B1368"/>
      <c r="C1368"/>
      <c r="D1368"/>
    </row>
    <row r="1369" spans="1:4" x14ac:dyDescent="0.35">
      <c r="A1369" s="24"/>
      <c r="B1369"/>
      <c r="C1369"/>
      <c r="D1369"/>
    </row>
    <row r="1370" spans="1:4" x14ac:dyDescent="0.35">
      <c r="A1370" s="24"/>
      <c r="B1370"/>
      <c r="C1370"/>
      <c r="D1370"/>
    </row>
    <row r="1371" spans="1:4" x14ac:dyDescent="0.35">
      <c r="A1371" s="24"/>
      <c r="B1371"/>
      <c r="C1371"/>
      <c r="D1371"/>
    </row>
    <row r="1372" spans="1:4" x14ac:dyDescent="0.35">
      <c r="A1372" s="24"/>
      <c r="B1372"/>
      <c r="C1372"/>
      <c r="D1372"/>
    </row>
    <row r="1373" spans="1:4" x14ac:dyDescent="0.35">
      <c r="A1373" s="24"/>
      <c r="B1373"/>
      <c r="C1373"/>
      <c r="D1373"/>
    </row>
    <row r="1374" spans="1:4" x14ac:dyDescent="0.35">
      <c r="A1374" s="24"/>
      <c r="B1374"/>
      <c r="C1374"/>
      <c r="D1374"/>
    </row>
    <row r="1375" spans="1:4" x14ac:dyDescent="0.35">
      <c r="A1375" s="24"/>
      <c r="B1375"/>
      <c r="C1375"/>
      <c r="D1375"/>
    </row>
    <row r="1376" spans="1:4" x14ac:dyDescent="0.35">
      <c r="A1376" s="24"/>
      <c r="B1376"/>
      <c r="C1376"/>
      <c r="D1376"/>
    </row>
    <row r="1377" spans="1:4" x14ac:dyDescent="0.35">
      <c r="A1377" s="24"/>
      <c r="B1377"/>
      <c r="C1377"/>
      <c r="D1377"/>
    </row>
    <row r="1378" spans="1:4" x14ac:dyDescent="0.35">
      <c r="A1378" s="24"/>
      <c r="B1378"/>
      <c r="C1378"/>
      <c r="D1378"/>
    </row>
    <row r="1379" spans="1:4" x14ac:dyDescent="0.35">
      <c r="A1379" s="24"/>
      <c r="B1379"/>
      <c r="C1379"/>
      <c r="D1379"/>
    </row>
    <row r="1380" spans="1:4" x14ac:dyDescent="0.35">
      <c r="A1380" s="24"/>
      <c r="B1380"/>
      <c r="C1380"/>
      <c r="D1380"/>
    </row>
    <row r="1381" spans="1:4" x14ac:dyDescent="0.35">
      <c r="A1381" s="24"/>
      <c r="B1381"/>
      <c r="C1381"/>
      <c r="D1381"/>
    </row>
    <row r="1382" spans="1:4" x14ac:dyDescent="0.35">
      <c r="A1382" s="24"/>
      <c r="B1382"/>
      <c r="C1382"/>
      <c r="D1382"/>
    </row>
    <row r="1383" spans="1:4" x14ac:dyDescent="0.35">
      <c r="A1383" s="24"/>
      <c r="B1383"/>
      <c r="C1383"/>
      <c r="D1383"/>
    </row>
    <row r="1384" spans="1:4" x14ac:dyDescent="0.35">
      <c r="A1384" s="24"/>
      <c r="B1384"/>
      <c r="C1384"/>
      <c r="D1384"/>
    </row>
    <row r="1385" spans="1:4" x14ac:dyDescent="0.35">
      <c r="A1385" s="24"/>
      <c r="B1385"/>
      <c r="C1385"/>
      <c r="D1385"/>
    </row>
    <row r="1386" spans="1:4" x14ac:dyDescent="0.35">
      <c r="A1386" s="24"/>
      <c r="B1386"/>
      <c r="C1386"/>
      <c r="D1386"/>
    </row>
    <row r="1387" spans="1:4" x14ac:dyDescent="0.35">
      <c r="A1387" s="24"/>
      <c r="B1387"/>
      <c r="C1387"/>
      <c r="D1387"/>
    </row>
    <row r="1388" spans="1:4" x14ac:dyDescent="0.35">
      <c r="A1388" s="24"/>
      <c r="B1388"/>
      <c r="C1388"/>
      <c r="D1388"/>
    </row>
    <row r="1389" spans="1:4" x14ac:dyDescent="0.35">
      <c r="A1389" s="24"/>
      <c r="B1389"/>
      <c r="C1389"/>
      <c r="D1389"/>
    </row>
    <row r="1390" spans="1:4" x14ac:dyDescent="0.35">
      <c r="A1390" s="24"/>
      <c r="B1390"/>
      <c r="C1390"/>
      <c r="D1390"/>
    </row>
    <row r="1391" spans="1:4" x14ac:dyDescent="0.35">
      <c r="A1391" s="24"/>
      <c r="B1391"/>
      <c r="C1391"/>
      <c r="D1391"/>
    </row>
    <row r="1392" spans="1:4" x14ac:dyDescent="0.35">
      <c r="A1392" s="24"/>
      <c r="B1392"/>
      <c r="C1392"/>
      <c r="D1392"/>
    </row>
    <row r="1393" spans="1:4" x14ac:dyDescent="0.35">
      <c r="A1393" s="24"/>
      <c r="B1393"/>
      <c r="C1393"/>
      <c r="D1393"/>
    </row>
    <row r="1394" spans="1:4" x14ac:dyDescent="0.35">
      <c r="A1394" s="24"/>
      <c r="B1394"/>
      <c r="C1394"/>
      <c r="D1394"/>
    </row>
    <row r="1395" spans="1:4" x14ac:dyDescent="0.35">
      <c r="A1395" s="24"/>
      <c r="B1395"/>
      <c r="C1395"/>
      <c r="D1395"/>
    </row>
    <row r="1396" spans="1:4" x14ac:dyDescent="0.35">
      <c r="A1396" s="24"/>
      <c r="B1396"/>
      <c r="C1396"/>
      <c r="D1396"/>
    </row>
    <row r="1397" spans="1:4" x14ac:dyDescent="0.35">
      <c r="A1397" s="24"/>
      <c r="B1397"/>
      <c r="C1397"/>
      <c r="D1397"/>
    </row>
    <row r="1398" spans="1:4" x14ac:dyDescent="0.35">
      <c r="A1398" s="24"/>
      <c r="B1398"/>
      <c r="C1398"/>
      <c r="D1398"/>
    </row>
    <row r="1399" spans="1:4" x14ac:dyDescent="0.35">
      <c r="A1399" s="24"/>
      <c r="B1399"/>
      <c r="C1399"/>
      <c r="D1399"/>
    </row>
    <row r="1400" spans="1:4" x14ac:dyDescent="0.35">
      <c r="A1400" s="24"/>
      <c r="B1400"/>
      <c r="C1400"/>
      <c r="D1400"/>
    </row>
    <row r="1401" spans="1:4" x14ac:dyDescent="0.35">
      <c r="A1401" s="24"/>
      <c r="B1401"/>
      <c r="C1401"/>
      <c r="D1401"/>
    </row>
    <row r="1402" spans="1:4" x14ac:dyDescent="0.35">
      <c r="A1402" s="24"/>
      <c r="B1402"/>
      <c r="C1402"/>
      <c r="D1402"/>
    </row>
    <row r="1403" spans="1:4" x14ac:dyDescent="0.35">
      <c r="A1403" s="24"/>
      <c r="B1403"/>
      <c r="C1403"/>
      <c r="D1403"/>
    </row>
    <row r="1404" spans="1:4" x14ac:dyDescent="0.35">
      <c r="A1404" s="24"/>
      <c r="B1404"/>
      <c r="C1404"/>
      <c r="D1404"/>
    </row>
    <row r="1405" spans="1:4" x14ac:dyDescent="0.35">
      <c r="A1405" s="24"/>
      <c r="B1405"/>
      <c r="C1405"/>
      <c r="D1405"/>
    </row>
    <row r="1406" spans="1:4" x14ac:dyDescent="0.35">
      <c r="A1406" s="24"/>
      <c r="B1406"/>
      <c r="C1406"/>
      <c r="D1406"/>
    </row>
    <row r="1407" spans="1:4" x14ac:dyDescent="0.35">
      <c r="A1407" s="24"/>
      <c r="B1407"/>
      <c r="C1407"/>
      <c r="D1407"/>
    </row>
    <row r="1408" spans="1:4" x14ac:dyDescent="0.35">
      <c r="A1408" s="24"/>
      <c r="B1408"/>
      <c r="C1408"/>
      <c r="D1408"/>
    </row>
    <row r="1409" spans="1:4" x14ac:dyDescent="0.35">
      <c r="A1409" s="24"/>
      <c r="B1409"/>
      <c r="C1409"/>
      <c r="D1409"/>
    </row>
    <row r="1410" spans="1:4" x14ac:dyDescent="0.35">
      <c r="A1410" s="24"/>
      <c r="B1410"/>
      <c r="C1410"/>
      <c r="D1410"/>
    </row>
    <row r="1411" spans="1:4" x14ac:dyDescent="0.35">
      <c r="A1411" s="24"/>
      <c r="B1411"/>
      <c r="C1411"/>
      <c r="D1411"/>
    </row>
    <row r="1412" spans="1:4" x14ac:dyDescent="0.35">
      <c r="A1412" s="24"/>
      <c r="B1412"/>
      <c r="C1412"/>
      <c r="D1412"/>
    </row>
    <row r="1413" spans="1:4" x14ac:dyDescent="0.35">
      <c r="A1413" s="24"/>
      <c r="B1413"/>
      <c r="C1413"/>
      <c r="D1413"/>
    </row>
    <row r="1414" spans="1:4" x14ac:dyDescent="0.35">
      <c r="A1414" s="24"/>
      <c r="B1414"/>
      <c r="C1414"/>
      <c r="D1414"/>
    </row>
    <row r="1415" spans="1:4" x14ac:dyDescent="0.35">
      <c r="A1415" s="24"/>
      <c r="B1415"/>
      <c r="C1415"/>
      <c r="D1415"/>
    </row>
    <row r="1416" spans="1:4" x14ac:dyDescent="0.35">
      <c r="A1416" s="24"/>
      <c r="B1416"/>
      <c r="C1416"/>
      <c r="D1416"/>
    </row>
    <row r="1417" spans="1:4" x14ac:dyDescent="0.35">
      <c r="A1417" s="24"/>
      <c r="B1417"/>
      <c r="C1417"/>
      <c r="D1417"/>
    </row>
    <row r="1418" spans="1:4" x14ac:dyDescent="0.35">
      <c r="A1418" s="24"/>
      <c r="B1418"/>
      <c r="C1418"/>
      <c r="D1418"/>
    </row>
    <row r="1419" spans="1:4" x14ac:dyDescent="0.35">
      <c r="A1419" s="24"/>
      <c r="B1419"/>
      <c r="C1419"/>
      <c r="D1419"/>
    </row>
    <row r="1420" spans="1:4" x14ac:dyDescent="0.35">
      <c r="A1420" s="24"/>
      <c r="B1420"/>
      <c r="C1420"/>
      <c r="D1420"/>
    </row>
    <row r="1421" spans="1:4" x14ac:dyDescent="0.35">
      <c r="A1421" s="24"/>
      <c r="B1421"/>
      <c r="C1421"/>
      <c r="D1421"/>
    </row>
    <row r="1422" spans="1:4" x14ac:dyDescent="0.35">
      <c r="A1422" s="24"/>
      <c r="B1422"/>
      <c r="C1422"/>
      <c r="D1422"/>
    </row>
    <row r="1423" spans="1:4" x14ac:dyDescent="0.35">
      <c r="A1423" s="24"/>
      <c r="B1423"/>
      <c r="C1423"/>
      <c r="D1423"/>
    </row>
    <row r="1424" spans="1:4" x14ac:dyDescent="0.35">
      <c r="A1424" s="24"/>
      <c r="B1424"/>
      <c r="C1424"/>
      <c r="D1424"/>
    </row>
    <row r="1425" spans="1:4" x14ac:dyDescent="0.35">
      <c r="A1425" s="24"/>
      <c r="B1425"/>
      <c r="C1425"/>
      <c r="D1425"/>
    </row>
    <row r="1426" spans="1:4" x14ac:dyDescent="0.35">
      <c r="A1426" s="24"/>
      <c r="B1426"/>
      <c r="C1426"/>
      <c r="D1426"/>
    </row>
    <row r="1427" spans="1:4" x14ac:dyDescent="0.35">
      <c r="A1427" s="24"/>
      <c r="B1427"/>
      <c r="C1427"/>
      <c r="D1427"/>
    </row>
    <row r="1428" spans="1:4" x14ac:dyDescent="0.35">
      <c r="A1428" s="24"/>
      <c r="B1428"/>
      <c r="C1428"/>
      <c r="D1428"/>
    </row>
    <row r="1429" spans="1:4" x14ac:dyDescent="0.35">
      <c r="A1429" s="24"/>
      <c r="B1429"/>
      <c r="C1429"/>
      <c r="D1429"/>
    </row>
    <row r="1430" spans="1:4" x14ac:dyDescent="0.35">
      <c r="A1430" s="24"/>
      <c r="B1430"/>
      <c r="C1430"/>
      <c r="D1430"/>
    </row>
    <row r="1431" spans="1:4" x14ac:dyDescent="0.35">
      <c r="A1431" s="24"/>
      <c r="B1431"/>
      <c r="C1431"/>
      <c r="D1431"/>
    </row>
    <row r="1432" spans="1:4" x14ac:dyDescent="0.35">
      <c r="A1432" s="24"/>
      <c r="B1432"/>
      <c r="C1432"/>
      <c r="D1432"/>
    </row>
    <row r="1433" spans="1:4" x14ac:dyDescent="0.35">
      <c r="A1433" s="24"/>
      <c r="B1433"/>
      <c r="C1433"/>
      <c r="D1433"/>
    </row>
    <row r="1434" spans="1:4" x14ac:dyDescent="0.35">
      <c r="A1434" s="24"/>
      <c r="B1434"/>
      <c r="C1434"/>
      <c r="D1434"/>
    </row>
    <row r="1435" spans="1:4" x14ac:dyDescent="0.35">
      <c r="A1435" s="24"/>
      <c r="B1435"/>
      <c r="C1435"/>
      <c r="D1435"/>
    </row>
    <row r="1436" spans="1:4" x14ac:dyDescent="0.35">
      <c r="A1436" s="24"/>
      <c r="B1436"/>
      <c r="C1436"/>
      <c r="D1436"/>
    </row>
    <row r="1437" spans="1:4" x14ac:dyDescent="0.35">
      <c r="A1437" s="24"/>
      <c r="B1437"/>
      <c r="C1437"/>
      <c r="D1437"/>
    </row>
    <row r="1438" spans="1:4" x14ac:dyDescent="0.35">
      <c r="A1438" s="24"/>
      <c r="B1438"/>
      <c r="C1438"/>
      <c r="D1438"/>
    </row>
    <row r="1439" spans="1:4" x14ac:dyDescent="0.35">
      <c r="A1439" s="24"/>
      <c r="B1439"/>
      <c r="C1439"/>
      <c r="D1439"/>
    </row>
    <row r="1440" spans="1:4" x14ac:dyDescent="0.35">
      <c r="A1440" s="24"/>
      <c r="B1440"/>
      <c r="C1440"/>
      <c r="D1440"/>
    </row>
    <row r="1441" spans="1:4" x14ac:dyDescent="0.35">
      <c r="A1441" s="24"/>
      <c r="B1441"/>
      <c r="C1441"/>
      <c r="D1441"/>
    </row>
    <row r="1442" spans="1:4" x14ac:dyDescent="0.35">
      <c r="A1442" s="24"/>
      <c r="B1442"/>
      <c r="C1442"/>
      <c r="D1442"/>
    </row>
    <row r="1443" spans="1:4" x14ac:dyDescent="0.35">
      <c r="A1443" s="24"/>
      <c r="B1443"/>
      <c r="C1443"/>
      <c r="D1443"/>
    </row>
    <row r="1444" spans="1:4" x14ac:dyDescent="0.35">
      <c r="A1444" s="24"/>
      <c r="B1444"/>
      <c r="C1444"/>
      <c r="D1444"/>
    </row>
    <row r="1445" spans="1:4" x14ac:dyDescent="0.35">
      <c r="A1445" s="24"/>
      <c r="B1445"/>
      <c r="C1445"/>
      <c r="D1445"/>
    </row>
    <row r="1446" spans="1:4" x14ac:dyDescent="0.35">
      <c r="A1446" s="24"/>
      <c r="B1446"/>
      <c r="C1446"/>
      <c r="D1446"/>
    </row>
    <row r="1447" spans="1:4" x14ac:dyDescent="0.35">
      <c r="A1447" s="24"/>
      <c r="B1447"/>
      <c r="C1447"/>
      <c r="D1447"/>
    </row>
    <row r="1448" spans="1:4" x14ac:dyDescent="0.35">
      <c r="A1448" s="24"/>
      <c r="B1448"/>
      <c r="C1448"/>
      <c r="D1448"/>
    </row>
    <row r="1449" spans="1:4" x14ac:dyDescent="0.35">
      <c r="A1449" s="24"/>
      <c r="B1449"/>
      <c r="C1449"/>
      <c r="D1449"/>
    </row>
    <row r="1450" spans="1:4" x14ac:dyDescent="0.35">
      <c r="A1450" s="24"/>
      <c r="B1450"/>
      <c r="C1450"/>
      <c r="D1450"/>
    </row>
    <row r="1451" spans="1:4" x14ac:dyDescent="0.35">
      <c r="A1451" s="24"/>
      <c r="B1451"/>
      <c r="C1451"/>
      <c r="D1451"/>
    </row>
    <row r="1452" spans="1:4" x14ac:dyDescent="0.35">
      <c r="A1452" s="24"/>
      <c r="B1452"/>
      <c r="C1452"/>
      <c r="D1452"/>
    </row>
    <row r="1453" spans="1:4" x14ac:dyDescent="0.35">
      <c r="A1453" s="24"/>
      <c r="B1453"/>
      <c r="C1453"/>
      <c r="D1453"/>
    </row>
    <row r="1454" spans="1:4" x14ac:dyDescent="0.35">
      <c r="A1454" s="24"/>
      <c r="B1454"/>
      <c r="C1454"/>
      <c r="D1454"/>
    </row>
    <row r="1455" spans="1:4" x14ac:dyDescent="0.35">
      <c r="A1455" s="24"/>
      <c r="B1455"/>
      <c r="C1455"/>
      <c r="D1455"/>
    </row>
    <row r="1456" spans="1:4" x14ac:dyDescent="0.35">
      <c r="A1456" s="24"/>
      <c r="B1456"/>
      <c r="C1456"/>
      <c r="D1456"/>
    </row>
    <row r="1457" spans="1:4" x14ac:dyDescent="0.35">
      <c r="A1457" s="24"/>
      <c r="B1457"/>
      <c r="C1457"/>
      <c r="D1457"/>
    </row>
    <row r="1458" spans="1:4" x14ac:dyDescent="0.35">
      <c r="A1458" s="24"/>
      <c r="B1458"/>
      <c r="C1458"/>
      <c r="D1458"/>
    </row>
    <row r="1459" spans="1:4" x14ac:dyDescent="0.35">
      <c r="A1459" s="24"/>
      <c r="B1459"/>
      <c r="C1459"/>
      <c r="D1459"/>
    </row>
    <row r="1460" spans="1:4" x14ac:dyDescent="0.35">
      <c r="A1460" s="24"/>
      <c r="B1460"/>
      <c r="C1460"/>
      <c r="D1460"/>
    </row>
    <row r="1461" spans="1:4" x14ac:dyDescent="0.35">
      <c r="A1461" s="24"/>
      <c r="B1461"/>
      <c r="C1461"/>
      <c r="D1461"/>
    </row>
    <row r="1462" spans="1:4" x14ac:dyDescent="0.35">
      <c r="A1462" s="24"/>
      <c r="B1462"/>
      <c r="C1462"/>
      <c r="D1462"/>
    </row>
    <row r="1463" spans="1:4" x14ac:dyDescent="0.35">
      <c r="A1463" s="24"/>
      <c r="B1463"/>
      <c r="C1463"/>
      <c r="D1463"/>
    </row>
    <row r="1464" spans="1:4" x14ac:dyDescent="0.35">
      <c r="A1464" s="24"/>
      <c r="B1464"/>
      <c r="C1464"/>
      <c r="D1464"/>
    </row>
    <row r="1465" spans="1:4" x14ac:dyDescent="0.35">
      <c r="A1465" s="24"/>
      <c r="B1465"/>
      <c r="C1465"/>
      <c r="D1465"/>
    </row>
    <row r="1466" spans="1:4" x14ac:dyDescent="0.35">
      <c r="A1466" s="24"/>
      <c r="B1466"/>
      <c r="C1466"/>
      <c r="D1466"/>
    </row>
    <row r="1467" spans="1:4" x14ac:dyDescent="0.35">
      <c r="A1467" s="24"/>
      <c r="B1467"/>
      <c r="C1467"/>
      <c r="D1467"/>
    </row>
    <row r="1468" spans="1:4" x14ac:dyDescent="0.35">
      <c r="A1468" s="24"/>
      <c r="B1468"/>
      <c r="C1468"/>
      <c r="D1468"/>
    </row>
    <row r="1469" spans="1:4" x14ac:dyDescent="0.35">
      <c r="A1469" s="24"/>
      <c r="B1469"/>
      <c r="C1469"/>
      <c r="D1469"/>
    </row>
    <row r="1470" spans="1:4" x14ac:dyDescent="0.35">
      <c r="A1470" s="24"/>
      <c r="B1470"/>
      <c r="C1470"/>
      <c r="D1470"/>
    </row>
    <row r="1471" spans="1:4" x14ac:dyDescent="0.35">
      <c r="A1471" s="24"/>
      <c r="B1471"/>
      <c r="C1471"/>
      <c r="D1471"/>
    </row>
    <row r="1472" spans="1:4" x14ac:dyDescent="0.35">
      <c r="A1472" s="24"/>
      <c r="B1472"/>
      <c r="C1472"/>
      <c r="D1472"/>
    </row>
    <row r="1473" spans="1:4" x14ac:dyDescent="0.35">
      <c r="A1473" s="24"/>
      <c r="B1473"/>
      <c r="C1473"/>
      <c r="D1473"/>
    </row>
    <row r="1474" spans="1:4" x14ac:dyDescent="0.35">
      <c r="A1474" s="24"/>
      <c r="B1474"/>
      <c r="C1474"/>
      <c r="D1474"/>
    </row>
    <row r="1475" spans="1:4" x14ac:dyDescent="0.35">
      <c r="A1475" s="24"/>
      <c r="B1475"/>
      <c r="C1475"/>
      <c r="D1475"/>
    </row>
    <row r="1476" spans="1:4" x14ac:dyDescent="0.35">
      <c r="A1476" s="24"/>
      <c r="B1476"/>
      <c r="C1476"/>
      <c r="D1476"/>
    </row>
    <row r="1477" spans="1:4" x14ac:dyDescent="0.35">
      <c r="A1477" s="24"/>
      <c r="B1477"/>
      <c r="C1477"/>
      <c r="D1477"/>
    </row>
    <row r="1478" spans="1:4" x14ac:dyDescent="0.35">
      <c r="A1478" s="24"/>
      <c r="B1478"/>
      <c r="C1478"/>
      <c r="D1478"/>
    </row>
    <row r="1479" spans="1:4" x14ac:dyDescent="0.35">
      <c r="A1479" s="24"/>
      <c r="B1479"/>
      <c r="C1479"/>
      <c r="D1479"/>
    </row>
    <row r="1480" spans="1:4" x14ac:dyDescent="0.35">
      <c r="A1480" s="24"/>
      <c r="B1480"/>
      <c r="C1480"/>
      <c r="D1480"/>
    </row>
    <row r="1481" spans="1:4" x14ac:dyDescent="0.35">
      <c r="A1481" s="24"/>
      <c r="B1481"/>
      <c r="C1481"/>
      <c r="D1481"/>
    </row>
    <row r="1482" spans="1:4" x14ac:dyDescent="0.35">
      <c r="A1482" s="24"/>
      <c r="B1482"/>
      <c r="C1482"/>
      <c r="D1482"/>
    </row>
    <row r="1483" spans="1:4" x14ac:dyDescent="0.35">
      <c r="A1483" s="24"/>
      <c r="B1483"/>
      <c r="C1483"/>
      <c r="D1483"/>
    </row>
    <row r="1484" spans="1:4" x14ac:dyDescent="0.35">
      <c r="A1484" s="24"/>
      <c r="B1484"/>
      <c r="C1484"/>
      <c r="D1484"/>
    </row>
    <row r="1485" spans="1:4" x14ac:dyDescent="0.35">
      <c r="A1485" s="24"/>
      <c r="B1485"/>
      <c r="C1485"/>
      <c r="D1485"/>
    </row>
    <row r="1486" spans="1:4" x14ac:dyDescent="0.35">
      <c r="A1486" s="24"/>
      <c r="B1486"/>
      <c r="C1486"/>
      <c r="D1486"/>
    </row>
    <row r="1487" spans="1:4" x14ac:dyDescent="0.35">
      <c r="A1487" s="24"/>
      <c r="B1487"/>
      <c r="C1487"/>
      <c r="D1487"/>
    </row>
    <row r="1488" spans="1:4" x14ac:dyDescent="0.35">
      <c r="A1488" s="24"/>
      <c r="B1488"/>
      <c r="C1488"/>
      <c r="D1488"/>
    </row>
    <row r="1489" spans="1:4" x14ac:dyDescent="0.35">
      <c r="A1489" s="24"/>
      <c r="B1489"/>
      <c r="C1489"/>
      <c r="D1489"/>
    </row>
    <row r="1490" spans="1:4" x14ac:dyDescent="0.35">
      <c r="A1490" s="24"/>
      <c r="B1490"/>
      <c r="C1490"/>
      <c r="D1490"/>
    </row>
    <row r="1491" spans="1:4" x14ac:dyDescent="0.35">
      <c r="A1491" s="24"/>
      <c r="B1491"/>
      <c r="C1491"/>
      <c r="D1491"/>
    </row>
    <row r="1492" spans="1:4" x14ac:dyDescent="0.35">
      <c r="A1492" s="24"/>
      <c r="B1492"/>
      <c r="C1492"/>
      <c r="D1492"/>
    </row>
    <row r="1493" spans="1:4" x14ac:dyDescent="0.35">
      <c r="A1493" s="24"/>
      <c r="B1493"/>
      <c r="C1493"/>
      <c r="D1493"/>
    </row>
    <row r="1494" spans="1:4" x14ac:dyDescent="0.35">
      <c r="A1494" s="24"/>
      <c r="B1494"/>
      <c r="C1494"/>
      <c r="D1494"/>
    </row>
    <row r="1495" spans="1:4" x14ac:dyDescent="0.35">
      <c r="A1495" s="24"/>
      <c r="B1495"/>
      <c r="C1495"/>
      <c r="D1495"/>
    </row>
    <row r="1496" spans="1:4" x14ac:dyDescent="0.35">
      <c r="A1496" s="24"/>
      <c r="B1496"/>
      <c r="C1496"/>
      <c r="D1496"/>
    </row>
    <row r="1497" spans="1:4" x14ac:dyDescent="0.35">
      <c r="A1497" s="24"/>
      <c r="B1497"/>
      <c r="C1497"/>
      <c r="D1497"/>
    </row>
    <row r="1498" spans="1:4" x14ac:dyDescent="0.35">
      <c r="A1498" s="24"/>
      <c r="B1498"/>
      <c r="C1498"/>
      <c r="D1498"/>
    </row>
    <row r="1499" spans="1:4" x14ac:dyDescent="0.35">
      <c r="A1499" s="24"/>
      <c r="B1499"/>
      <c r="C1499"/>
      <c r="D1499"/>
    </row>
    <row r="1500" spans="1:4" x14ac:dyDescent="0.35">
      <c r="A1500" s="24"/>
      <c r="B1500"/>
      <c r="C1500"/>
      <c r="D1500"/>
    </row>
    <row r="1501" spans="1:4" x14ac:dyDescent="0.35">
      <c r="A1501" s="24"/>
      <c r="B1501"/>
      <c r="C1501"/>
      <c r="D1501"/>
    </row>
    <row r="1502" spans="1:4" x14ac:dyDescent="0.35">
      <c r="A1502" s="24"/>
      <c r="B1502"/>
      <c r="C1502"/>
      <c r="D1502"/>
    </row>
    <row r="1503" spans="1:4" x14ac:dyDescent="0.35">
      <c r="A1503" s="24"/>
      <c r="B1503"/>
      <c r="C1503"/>
      <c r="D1503"/>
    </row>
    <row r="1504" spans="1:4" x14ac:dyDescent="0.35">
      <c r="A1504" s="24"/>
      <c r="B1504"/>
      <c r="C1504"/>
      <c r="D1504"/>
    </row>
    <row r="1505" spans="1:4" x14ac:dyDescent="0.35">
      <c r="A1505" s="24"/>
      <c r="B1505"/>
      <c r="C1505"/>
      <c r="D1505"/>
    </row>
    <row r="1506" spans="1:4" x14ac:dyDescent="0.35">
      <c r="A1506" s="24"/>
      <c r="B1506"/>
      <c r="C1506"/>
      <c r="D1506"/>
    </row>
    <row r="1507" spans="1:4" x14ac:dyDescent="0.35">
      <c r="A1507" s="24"/>
      <c r="B1507"/>
      <c r="C1507"/>
      <c r="D1507"/>
    </row>
    <row r="1508" spans="1:4" x14ac:dyDescent="0.35">
      <c r="A1508" s="24"/>
      <c r="B1508"/>
      <c r="C1508"/>
      <c r="D1508"/>
    </row>
    <row r="1509" spans="1:4" x14ac:dyDescent="0.35">
      <c r="A1509" s="24"/>
      <c r="B1509"/>
      <c r="C1509"/>
      <c r="D1509"/>
    </row>
    <row r="1510" spans="1:4" x14ac:dyDescent="0.35">
      <c r="A1510" s="24"/>
      <c r="B1510"/>
      <c r="C1510"/>
      <c r="D1510"/>
    </row>
    <row r="1511" spans="1:4" x14ac:dyDescent="0.35">
      <c r="A1511" s="24"/>
      <c r="B1511"/>
      <c r="C1511"/>
      <c r="D1511"/>
    </row>
    <row r="1512" spans="1:4" x14ac:dyDescent="0.35">
      <c r="A1512" s="24"/>
      <c r="B1512"/>
      <c r="C1512"/>
      <c r="D1512"/>
    </row>
    <row r="1513" spans="1:4" x14ac:dyDescent="0.35">
      <c r="A1513" s="24"/>
      <c r="B1513"/>
      <c r="C1513"/>
      <c r="D1513"/>
    </row>
    <row r="1514" spans="1:4" x14ac:dyDescent="0.35">
      <c r="A1514" s="24"/>
      <c r="B1514"/>
      <c r="C1514"/>
      <c r="D1514"/>
    </row>
    <row r="1515" spans="1:4" x14ac:dyDescent="0.35">
      <c r="A1515" s="24"/>
      <c r="B1515"/>
      <c r="C1515"/>
      <c r="D1515"/>
    </row>
    <row r="1516" spans="1:4" x14ac:dyDescent="0.35">
      <c r="A1516" s="24"/>
      <c r="B1516"/>
      <c r="C1516"/>
      <c r="D1516"/>
    </row>
    <row r="1517" spans="1:4" x14ac:dyDescent="0.35">
      <c r="A1517" s="24"/>
      <c r="B1517"/>
      <c r="C1517"/>
      <c r="D1517"/>
    </row>
    <row r="1518" spans="1:4" x14ac:dyDescent="0.35">
      <c r="A1518" s="24"/>
      <c r="B1518"/>
      <c r="C1518"/>
      <c r="D1518"/>
    </row>
    <row r="1519" spans="1:4" x14ac:dyDescent="0.35">
      <c r="A1519" s="24"/>
      <c r="B1519"/>
      <c r="C1519"/>
      <c r="D1519"/>
    </row>
    <row r="1520" spans="1:4" x14ac:dyDescent="0.35">
      <c r="A1520" s="24"/>
      <c r="B1520"/>
      <c r="C1520"/>
      <c r="D1520"/>
    </row>
    <row r="1521" spans="1:4" x14ac:dyDescent="0.35">
      <c r="A1521" s="24"/>
      <c r="B1521"/>
      <c r="C1521"/>
      <c r="D1521"/>
    </row>
    <row r="1522" spans="1:4" x14ac:dyDescent="0.35">
      <c r="A1522" s="24"/>
      <c r="B1522"/>
      <c r="C1522"/>
      <c r="D1522"/>
    </row>
    <row r="1523" spans="1:4" x14ac:dyDescent="0.35">
      <c r="A1523" s="24"/>
      <c r="B1523"/>
      <c r="C1523"/>
      <c r="D1523"/>
    </row>
    <row r="1524" spans="1:4" x14ac:dyDescent="0.35">
      <c r="A1524" s="24"/>
      <c r="B1524"/>
      <c r="C1524"/>
      <c r="D1524"/>
    </row>
    <row r="1525" spans="1:4" x14ac:dyDescent="0.35">
      <c r="A1525" s="24"/>
      <c r="B1525"/>
      <c r="C1525"/>
      <c r="D1525"/>
    </row>
    <row r="1526" spans="1:4" x14ac:dyDescent="0.35">
      <c r="A1526" s="24"/>
      <c r="B1526"/>
      <c r="C1526"/>
      <c r="D1526"/>
    </row>
    <row r="1527" spans="1:4" x14ac:dyDescent="0.35">
      <c r="A1527" s="24"/>
      <c r="B1527"/>
      <c r="C1527"/>
      <c r="D1527"/>
    </row>
    <row r="1528" spans="1:4" x14ac:dyDescent="0.35">
      <c r="A1528" s="24"/>
      <c r="B1528"/>
      <c r="C1528"/>
      <c r="D1528"/>
    </row>
    <row r="1529" spans="1:4" x14ac:dyDescent="0.35">
      <c r="A1529" s="24"/>
      <c r="B1529"/>
      <c r="C1529"/>
      <c r="D1529"/>
    </row>
    <row r="1530" spans="1:4" x14ac:dyDescent="0.35">
      <c r="A1530" s="24"/>
      <c r="B1530"/>
      <c r="C1530"/>
      <c r="D1530"/>
    </row>
    <row r="1531" spans="1:4" x14ac:dyDescent="0.35">
      <c r="A1531" s="24"/>
      <c r="B1531"/>
      <c r="C1531"/>
      <c r="D1531"/>
    </row>
    <row r="1532" spans="1:4" x14ac:dyDescent="0.35">
      <c r="A1532" s="24"/>
      <c r="B1532"/>
      <c r="C1532"/>
      <c r="D1532"/>
    </row>
    <row r="1533" spans="1:4" x14ac:dyDescent="0.35">
      <c r="A1533" s="24"/>
      <c r="B1533"/>
      <c r="C1533"/>
      <c r="D1533"/>
    </row>
    <row r="1534" spans="1:4" x14ac:dyDescent="0.35">
      <c r="A1534" s="24"/>
      <c r="B1534"/>
      <c r="C1534"/>
      <c r="D1534"/>
    </row>
    <row r="1535" spans="1:4" x14ac:dyDescent="0.35">
      <c r="A1535" s="24"/>
      <c r="B1535"/>
      <c r="C1535"/>
      <c r="D1535"/>
    </row>
    <row r="1536" spans="1:4" x14ac:dyDescent="0.35">
      <c r="A1536" s="24"/>
      <c r="B1536"/>
      <c r="C1536"/>
      <c r="D1536"/>
    </row>
    <row r="1537" spans="1:4" x14ac:dyDescent="0.35">
      <c r="A1537" s="24"/>
      <c r="B1537"/>
      <c r="C1537"/>
      <c r="D1537"/>
    </row>
    <row r="1538" spans="1:4" x14ac:dyDescent="0.35">
      <c r="A1538" s="24"/>
      <c r="B1538"/>
      <c r="C1538"/>
      <c r="D1538"/>
    </row>
    <row r="1539" spans="1:4" x14ac:dyDescent="0.35">
      <c r="A1539" s="24"/>
      <c r="B1539"/>
      <c r="C1539"/>
      <c r="D1539"/>
    </row>
    <row r="1540" spans="1:4" x14ac:dyDescent="0.35">
      <c r="A1540" s="24"/>
      <c r="B1540"/>
      <c r="C1540"/>
      <c r="D1540"/>
    </row>
    <row r="1541" spans="1:4" x14ac:dyDescent="0.35">
      <c r="A1541" s="24"/>
      <c r="B1541"/>
      <c r="C1541"/>
      <c r="D1541"/>
    </row>
    <row r="1542" spans="1:4" x14ac:dyDescent="0.35">
      <c r="A1542" s="24"/>
      <c r="B1542"/>
      <c r="C1542"/>
      <c r="D1542"/>
    </row>
    <row r="1543" spans="1:4" x14ac:dyDescent="0.35">
      <c r="A1543" s="24"/>
      <c r="B1543"/>
      <c r="C1543"/>
      <c r="D1543"/>
    </row>
    <row r="1544" spans="1:4" x14ac:dyDescent="0.35">
      <c r="A1544" s="24"/>
      <c r="B1544"/>
      <c r="C1544"/>
      <c r="D1544"/>
    </row>
    <row r="1545" spans="1:4" x14ac:dyDescent="0.35">
      <c r="A1545" s="24"/>
      <c r="B1545"/>
      <c r="C1545"/>
      <c r="D1545"/>
    </row>
    <row r="1546" spans="1:4" x14ac:dyDescent="0.35">
      <c r="A1546" s="24"/>
      <c r="B1546"/>
      <c r="C1546"/>
      <c r="D1546"/>
    </row>
    <row r="1547" spans="1:4" x14ac:dyDescent="0.35">
      <c r="A1547" s="24"/>
      <c r="B1547"/>
      <c r="C1547"/>
      <c r="D1547"/>
    </row>
    <row r="1548" spans="1:4" x14ac:dyDescent="0.35">
      <c r="A1548" s="24"/>
      <c r="B1548"/>
      <c r="C1548"/>
      <c r="D1548"/>
    </row>
    <row r="1549" spans="1:4" x14ac:dyDescent="0.35">
      <c r="A1549" s="24"/>
      <c r="B1549"/>
      <c r="C1549"/>
      <c r="D1549"/>
    </row>
    <row r="1550" spans="1:4" x14ac:dyDescent="0.35">
      <c r="A1550" s="24"/>
      <c r="B1550"/>
      <c r="C1550"/>
      <c r="D1550"/>
    </row>
    <row r="1551" spans="1:4" x14ac:dyDescent="0.35">
      <c r="A1551" s="24"/>
      <c r="B1551"/>
      <c r="C1551"/>
      <c r="D1551"/>
    </row>
    <row r="1552" spans="1:4" x14ac:dyDescent="0.35">
      <c r="A1552" s="24"/>
      <c r="B1552"/>
      <c r="C1552"/>
      <c r="D1552"/>
    </row>
    <row r="1553" spans="1:4" x14ac:dyDescent="0.35">
      <c r="A1553" s="24"/>
      <c r="B1553"/>
      <c r="C1553"/>
      <c r="D1553"/>
    </row>
    <row r="1554" spans="1:4" x14ac:dyDescent="0.35">
      <c r="A1554" s="24"/>
      <c r="B1554"/>
      <c r="C1554"/>
      <c r="D1554"/>
    </row>
    <row r="1555" spans="1:4" x14ac:dyDescent="0.35">
      <c r="A1555" s="24"/>
      <c r="B1555"/>
      <c r="C1555"/>
      <c r="D1555"/>
    </row>
    <row r="1556" spans="1:4" x14ac:dyDescent="0.35">
      <c r="A1556" s="24"/>
      <c r="B1556"/>
      <c r="C1556"/>
      <c r="D1556"/>
    </row>
    <row r="1557" spans="1:4" x14ac:dyDescent="0.35">
      <c r="A1557" s="24"/>
      <c r="B1557"/>
      <c r="C1557"/>
      <c r="D1557"/>
    </row>
    <row r="1558" spans="1:4" x14ac:dyDescent="0.35">
      <c r="A1558" s="24"/>
      <c r="B1558"/>
      <c r="C1558"/>
      <c r="D1558"/>
    </row>
    <row r="1559" spans="1:4" x14ac:dyDescent="0.35">
      <c r="A1559" s="24"/>
      <c r="B1559"/>
      <c r="C1559"/>
      <c r="D1559"/>
    </row>
    <row r="1560" spans="1:4" x14ac:dyDescent="0.35">
      <c r="A1560" s="24"/>
      <c r="B1560"/>
      <c r="C1560"/>
      <c r="D1560"/>
    </row>
    <row r="1561" spans="1:4" x14ac:dyDescent="0.35">
      <c r="A1561" s="24"/>
      <c r="B1561"/>
      <c r="C1561"/>
      <c r="D1561"/>
    </row>
    <row r="1562" spans="1:4" x14ac:dyDescent="0.35">
      <c r="A1562" s="24"/>
      <c r="B1562"/>
      <c r="C1562"/>
      <c r="D1562"/>
    </row>
    <row r="1563" spans="1:4" x14ac:dyDescent="0.35">
      <c r="A1563" s="24"/>
      <c r="B1563"/>
      <c r="C1563"/>
      <c r="D1563"/>
    </row>
    <row r="1564" spans="1:4" x14ac:dyDescent="0.35">
      <c r="A1564" s="24"/>
      <c r="B1564"/>
      <c r="C1564"/>
      <c r="D1564"/>
    </row>
    <row r="1565" spans="1:4" x14ac:dyDescent="0.35">
      <c r="A1565" s="24"/>
      <c r="B1565"/>
      <c r="C1565"/>
      <c r="D1565"/>
    </row>
    <row r="1566" spans="1:4" x14ac:dyDescent="0.35">
      <c r="A1566" s="24"/>
      <c r="B1566"/>
      <c r="C1566"/>
      <c r="D1566"/>
    </row>
    <row r="1567" spans="1:4" x14ac:dyDescent="0.35">
      <c r="A1567" s="24"/>
      <c r="B1567"/>
      <c r="C1567"/>
      <c r="D1567"/>
    </row>
    <row r="1568" spans="1:4" x14ac:dyDescent="0.35">
      <c r="A1568" s="24"/>
      <c r="B1568"/>
      <c r="C1568"/>
      <c r="D1568"/>
    </row>
    <row r="1569" spans="1:4" x14ac:dyDescent="0.35">
      <c r="A1569" s="24"/>
      <c r="B1569"/>
      <c r="C1569"/>
      <c r="D1569"/>
    </row>
    <row r="1570" spans="1:4" x14ac:dyDescent="0.35">
      <c r="A1570" s="24"/>
      <c r="B1570"/>
      <c r="C1570"/>
      <c r="D1570"/>
    </row>
    <row r="1571" spans="1:4" x14ac:dyDescent="0.35">
      <c r="A1571" s="24"/>
      <c r="B1571"/>
      <c r="C1571"/>
      <c r="D1571"/>
    </row>
    <row r="1572" spans="1:4" x14ac:dyDescent="0.35">
      <c r="A1572" s="24"/>
      <c r="B1572"/>
      <c r="C1572"/>
      <c r="D1572"/>
    </row>
    <row r="1573" spans="1:4" x14ac:dyDescent="0.35">
      <c r="A1573" s="24"/>
      <c r="B1573"/>
      <c r="C1573"/>
      <c r="D1573"/>
    </row>
    <row r="1574" spans="1:4" x14ac:dyDescent="0.35">
      <c r="A1574" s="24"/>
      <c r="B1574"/>
      <c r="C1574"/>
      <c r="D1574"/>
    </row>
    <row r="1575" spans="1:4" x14ac:dyDescent="0.35">
      <c r="A1575" s="24"/>
      <c r="B1575"/>
      <c r="C1575"/>
      <c r="D1575"/>
    </row>
    <row r="1576" spans="1:4" x14ac:dyDescent="0.35">
      <c r="A1576" s="24"/>
      <c r="B1576"/>
      <c r="C1576"/>
      <c r="D1576"/>
    </row>
    <row r="1577" spans="1:4" x14ac:dyDescent="0.35">
      <c r="A1577" s="24"/>
      <c r="B1577"/>
      <c r="C1577"/>
      <c r="D1577"/>
    </row>
    <row r="1578" spans="1:4" x14ac:dyDescent="0.35">
      <c r="A1578" s="24"/>
      <c r="B1578"/>
      <c r="C1578"/>
      <c r="D1578"/>
    </row>
    <row r="1579" spans="1:4" x14ac:dyDescent="0.35">
      <c r="A1579" s="24"/>
      <c r="B1579"/>
      <c r="C1579"/>
      <c r="D1579"/>
    </row>
    <row r="1580" spans="1:4" x14ac:dyDescent="0.35">
      <c r="A1580" s="24"/>
      <c r="B1580"/>
      <c r="C1580"/>
      <c r="D1580"/>
    </row>
    <row r="1581" spans="1:4" x14ac:dyDescent="0.35">
      <c r="A1581" s="24"/>
      <c r="B1581"/>
      <c r="C1581"/>
      <c r="D1581"/>
    </row>
    <row r="1582" spans="1:4" x14ac:dyDescent="0.35">
      <c r="A1582" s="24"/>
      <c r="B1582"/>
      <c r="C1582"/>
      <c r="D1582"/>
    </row>
    <row r="1583" spans="1:4" x14ac:dyDescent="0.35">
      <c r="A1583" s="24"/>
      <c r="B1583"/>
      <c r="C1583"/>
      <c r="D1583"/>
    </row>
    <row r="1584" spans="1:4" x14ac:dyDescent="0.35">
      <c r="A1584" s="24"/>
      <c r="B1584"/>
      <c r="C1584"/>
      <c r="D1584"/>
    </row>
    <row r="1585" spans="1:4" x14ac:dyDescent="0.35">
      <c r="A1585" s="24"/>
      <c r="B1585"/>
      <c r="C1585"/>
      <c r="D1585"/>
    </row>
    <row r="1586" spans="1:4" x14ac:dyDescent="0.35">
      <c r="A1586" s="24"/>
      <c r="B1586"/>
      <c r="C1586"/>
      <c r="D1586"/>
    </row>
    <row r="1587" spans="1:4" x14ac:dyDescent="0.35">
      <c r="A1587" s="24"/>
      <c r="B1587"/>
      <c r="C1587"/>
      <c r="D1587"/>
    </row>
    <row r="1588" spans="1:4" x14ac:dyDescent="0.35">
      <c r="A1588" s="24"/>
      <c r="B1588"/>
      <c r="C1588"/>
      <c r="D1588"/>
    </row>
    <row r="1589" spans="1:4" x14ac:dyDescent="0.35">
      <c r="A1589" s="24"/>
      <c r="B1589"/>
      <c r="C1589"/>
      <c r="D1589"/>
    </row>
    <row r="1590" spans="1:4" x14ac:dyDescent="0.35">
      <c r="A1590" s="24"/>
      <c r="B1590"/>
      <c r="C1590"/>
      <c r="D1590"/>
    </row>
    <row r="1591" spans="1:4" x14ac:dyDescent="0.35">
      <c r="A1591" s="24"/>
      <c r="B1591"/>
      <c r="C1591"/>
      <c r="D1591"/>
    </row>
    <row r="1592" spans="1:4" x14ac:dyDescent="0.35">
      <c r="A1592" s="24"/>
      <c r="B1592"/>
      <c r="C1592"/>
      <c r="D1592"/>
    </row>
    <row r="1593" spans="1:4" x14ac:dyDescent="0.35">
      <c r="A1593" s="24"/>
      <c r="B1593"/>
      <c r="C1593"/>
      <c r="D1593"/>
    </row>
    <row r="1594" spans="1:4" x14ac:dyDescent="0.35">
      <c r="A1594" s="24"/>
      <c r="B1594"/>
      <c r="C1594"/>
      <c r="D1594"/>
    </row>
    <row r="1595" spans="1:4" x14ac:dyDescent="0.35">
      <c r="A1595" s="24"/>
      <c r="B1595"/>
      <c r="C1595"/>
      <c r="D1595"/>
    </row>
    <row r="1596" spans="1:4" x14ac:dyDescent="0.35">
      <c r="A1596" s="24"/>
      <c r="B1596"/>
      <c r="C1596"/>
      <c r="D1596"/>
    </row>
    <row r="1597" spans="1:4" x14ac:dyDescent="0.35">
      <c r="A1597" s="24"/>
      <c r="B1597"/>
      <c r="C1597"/>
      <c r="D1597"/>
    </row>
    <row r="1598" spans="1:4" x14ac:dyDescent="0.35">
      <c r="A1598" s="24"/>
      <c r="B1598"/>
      <c r="C1598"/>
      <c r="D1598"/>
    </row>
    <row r="1599" spans="1:4" x14ac:dyDescent="0.35">
      <c r="A1599" s="24"/>
      <c r="B1599"/>
      <c r="C1599"/>
      <c r="D1599"/>
    </row>
    <row r="1600" spans="1:4" x14ac:dyDescent="0.35">
      <c r="A1600" s="24"/>
      <c r="B1600"/>
      <c r="C1600"/>
      <c r="D1600"/>
    </row>
    <row r="1601" spans="1:4" x14ac:dyDescent="0.35">
      <c r="A1601" s="24"/>
      <c r="B1601"/>
      <c r="C1601"/>
      <c r="D1601"/>
    </row>
    <row r="1602" spans="1:4" x14ac:dyDescent="0.35">
      <c r="A1602" s="24"/>
      <c r="B1602"/>
      <c r="C1602"/>
      <c r="D1602"/>
    </row>
    <row r="1603" spans="1:4" x14ac:dyDescent="0.35">
      <c r="A1603" s="24"/>
      <c r="B1603"/>
      <c r="C1603"/>
      <c r="D1603"/>
    </row>
    <row r="1604" spans="1:4" x14ac:dyDescent="0.35">
      <c r="A1604" s="24"/>
      <c r="B1604"/>
      <c r="C1604"/>
      <c r="D1604"/>
    </row>
    <row r="1605" spans="1:4" x14ac:dyDescent="0.35">
      <c r="A1605" s="24"/>
      <c r="B1605"/>
      <c r="C1605"/>
      <c r="D1605"/>
    </row>
    <row r="1606" spans="1:4" x14ac:dyDescent="0.35">
      <c r="A1606" s="24"/>
      <c r="B1606"/>
      <c r="C1606"/>
      <c r="D1606"/>
    </row>
    <row r="1607" spans="1:4" x14ac:dyDescent="0.35">
      <c r="A1607" s="24"/>
      <c r="B1607"/>
      <c r="C1607"/>
      <c r="D1607"/>
    </row>
    <row r="1608" spans="1:4" x14ac:dyDescent="0.35">
      <c r="A1608" s="24"/>
      <c r="B1608"/>
      <c r="C1608"/>
      <c r="D1608"/>
    </row>
    <row r="1609" spans="1:4" x14ac:dyDescent="0.35">
      <c r="A1609" s="24"/>
      <c r="B1609"/>
      <c r="C1609"/>
      <c r="D1609"/>
    </row>
    <row r="1610" spans="1:4" x14ac:dyDescent="0.35">
      <c r="A1610" s="24"/>
      <c r="B1610"/>
      <c r="C1610"/>
      <c r="D1610"/>
    </row>
    <row r="1611" spans="1:4" x14ac:dyDescent="0.35">
      <c r="A1611" s="24"/>
      <c r="B1611"/>
      <c r="C1611"/>
      <c r="D1611"/>
    </row>
    <row r="1612" spans="1:4" x14ac:dyDescent="0.35">
      <c r="A1612" s="24"/>
      <c r="B1612"/>
      <c r="C1612"/>
      <c r="D1612"/>
    </row>
    <row r="1613" spans="1:4" x14ac:dyDescent="0.35">
      <c r="A1613" s="24"/>
      <c r="B1613"/>
      <c r="C1613"/>
      <c r="D1613"/>
    </row>
    <row r="1614" spans="1:4" x14ac:dyDescent="0.35">
      <c r="A1614" s="24"/>
      <c r="B1614"/>
      <c r="C1614"/>
      <c r="D1614"/>
    </row>
    <row r="1615" spans="1:4" x14ac:dyDescent="0.35">
      <c r="A1615" s="24"/>
      <c r="B1615"/>
      <c r="C1615"/>
      <c r="D1615"/>
    </row>
    <row r="1616" spans="1:4" x14ac:dyDescent="0.35">
      <c r="A1616" s="24"/>
      <c r="B1616"/>
      <c r="C1616"/>
      <c r="D1616"/>
    </row>
    <row r="1617" spans="1:4" x14ac:dyDescent="0.35">
      <c r="A1617" s="24"/>
      <c r="B1617"/>
      <c r="C1617"/>
      <c r="D1617"/>
    </row>
    <row r="1618" spans="1:4" x14ac:dyDescent="0.35">
      <c r="A1618" s="24"/>
      <c r="B1618"/>
      <c r="C1618"/>
      <c r="D1618"/>
    </row>
    <row r="1619" spans="1:4" x14ac:dyDescent="0.35">
      <c r="A1619" s="24"/>
      <c r="B1619"/>
      <c r="C1619"/>
      <c r="D1619"/>
    </row>
    <row r="1620" spans="1:4" x14ac:dyDescent="0.35">
      <c r="A1620" s="24"/>
      <c r="B1620"/>
      <c r="C1620"/>
      <c r="D1620"/>
    </row>
    <row r="1621" spans="1:4" x14ac:dyDescent="0.35">
      <c r="A1621" s="24"/>
      <c r="B1621"/>
      <c r="C1621"/>
      <c r="D1621"/>
    </row>
    <row r="1622" spans="1:4" x14ac:dyDescent="0.35">
      <c r="A1622" s="24"/>
      <c r="B1622"/>
      <c r="C1622"/>
      <c r="D1622"/>
    </row>
    <row r="1623" spans="1:4" x14ac:dyDescent="0.35">
      <c r="A1623" s="24"/>
      <c r="B1623"/>
      <c r="C1623"/>
      <c r="D1623"/>
    </row>
    <row r="1624" spans="1:4" x14ac:dyDescent="0.35">
      <c r="A1624" s="24"/>
      <c r="B1624"/>
      <c r="C1624"/>
      <c r="D1624"/>
    </row>
    <row r="1625" spans="1:4" x14ac:dyDescent="0.35">
      <c r="A1625" s="24"/>
      <c r="B1625"/>
      <c r="C1625"/>
      <c r="D1625"/>
    </row>
    <row r="1626" spans="1:4" x14ac:dyDescent="0.35">
      <c r="A1626" s="24"/>
      <c r="B1626"/>
      <c r="C1626"/>
      <c r="D1626"/>
    </row>
    <row r="1627" spans="1:4" x14ac:dyDescent="0.35">
      <c r="A1627" s="24"/>
      <c r="B1627"/>
      <c r="C1627"/>
      <c r="D1627"/>
    </row>
    <row r="1628" spans="1:4" x14ac:dyDescent="0.35">
      <c r="A1628" s="24"/>
      <c r="B1628"/>
      <c r="C1628"/>
      <c r="D1628"/>
    </row>
    <row r="1629" spans="1:4" x14ac:dyDescent="0.35">
      <c r="A1629" s="24"/>
      <c r="B1629"/>
      <c r="C1629"/>
      <c r="D1629"/>
    </row>
    <row r="1630" spans="1:4" x14ac:dyDescent="0.35">
      <c r="A1630" s="24"/>
      <c r="B1630"/>
      <c r="C1630"/>
      <c r="D1630"/>
    </row>
    <row r="1631" spans="1:4" x14ac:dyDescent="0.35">
      <c r="A1631" s="24"/>
      <c r="B1631"/>
      <c r="C1631"/>
      <c r="D1631"/>
    </row>
    <row r="1632" spans="1:4" x14ac:dyDescent="0.35">
      <c r="A1632" s="24"/>
      <c r="B1632"/>
      <c r="C1632"/>
      <c r="D1632"/>
    </row>
    <row r="1633" spans="1:4" x14ac:dyDescent="0.35">
      <c r="A1633" s="24"/>
      <c r="B1633"/>
      <c r="C1633"/>
      <c r="D1633"/>
    </row>
    <row r="1634" spans="1:4" x14ac:dyDescent="0.35">
      <c r="A1634" s="24"/>
      <c r="B1634"/>
      <c r="C1634"/>
      <c r="D1634"/>
    </row>
    <row r="1635" spans="1:4" x14ac:dyDescent="0.35">
      <c r="A1635" s="24"/>
      <c r="B1635"/>
      <c r="C1635"/>
      <c r="D1635"/>
    </row>
    <row r="1636" spans="1:4" x14ac:dyDescent="0.35">
      <c r="A1636" s="24"/>
      <c r="B1636"/>
      <c r="C1636"/>
      <c r="D1636"/>
    </row>
    <row r="1637" spans="1:4" x14ac:dyDescent="0.35">
      <c r="A1637" s="24"/>
      <c r="B1637"/>
      <c r="C1637"/>
      <c r="D1637"/>
    </row>
    <row r="1638" spans="1:4" x14ac:dyDescent="0.35">
      <c r="A1638" s="24"/>
      <c r="B1638"/>
      <c r="C1638"/>
      <c r="D1638"/>
    </row>
    <row r="1639" spans="1:4" x14ac:dyDescent="0.35">
      <c r="A1639" s="24"/>
      <c r="B1639"/>
      <c r="C1639"/>
      <c r="D1639"/>
    </row>
    <row r="1640" spans="1:4" x14ac:dyDescent="0.35">
      <c r="A1640" s="24"/>
      <c r="B1640"/>
      <c r="C1640"/>
      <c r="D1640"/>
    </row>
    <row r="1641" spans="1:4" x14ac:dyDescent="0.35">
      <c r="A1641" s="24"/>
      <c r="B1641"/>
      <c r="C1641"/>
      <c r="D1641"/>
    </row>
    <row r="1642" spans="1:4" x14ac:dyDescent="0.35">
      <c r="A1642" s="24"/>
      <c r="B1642"/>
      <c r="C1642"/>
      <c r="D1642"/>
    </row>
    <row r="1643" spans="1:4" x14ac:dyDescent="0.35">
      <c r="A1643" s="24"/>
      <c r="B1643"/>
      <c r="C1643"/>
      <c r="D1643"/>
    </row>
    <row r="1644" spans="1:4" x14ac:dyDescent="0.35">
      <c r="A1644" s="24"/>
      <c r="B1644"/>
      <c r="C1644"/>
      <c r="D1644"/>
    </row>
    <row r="1645" spans="1:4" x14ac:dyDescent="0.35">
      <c r="A1645" s="24"/>
      <c r="B1645"/>
      <c r="C1645"/>
      <c r="D1645"/>
    </row>
    <row r="1646" spans="1:4" x14ac:dyDescent="0.35">
      <c r="A1646" s="24"/>
      <c r="B1646"/>
      <c r="C1646"/>
      <c r="D1646"/>
    </row>
    <row r="1647" spans="1:4" x14ac:dyDescent="0.35">
      <c r="A1647" s="24"/>
      <c r="B1647"/>
      <c r="C1647"/>
      <c r="D1647"/>
    </row>
    <row r="1648" spans="1:4" x14ac:dyDescent="0.35">
      <c r="A1648" s="24"/>
      <c r="B1648"/>
      <c r="C1648"/>
      <c r="D1648"/>
    </row>
    <row r="1649" spans="1:4" x14ac:dyDescent="0.35">
      <c r="A1649" s="24"/>
      <c r="B1649"/>
      <c r="C1649"/>
      <c r="D1649"/>
    </row>
    <row r="1650" spans="1:4" x14ac:dyDescent="0.35">
      <c r="A1650" s="24"/>
      <c r="B1650"/>
      <c r="C1650"/>
      <c r="D1650"/>
    </row>
    <row r="1651" spans="1:4" x14ac:dyDescent="0.35">
      <c r="A1651" s="24"/>
      <c r="B1651"/>
      <c r="C1651"/>
      <c r="D1651"/>
    </row>
    <row r="1652" spans="1:4" x14ac:dyDescent="0.35">
      <c r="A1652" s="24"/>
      <c r="B1652"/>
      <c r="C1652"/>
      <c r="D1652"/>
    </row>
    <row r="1653" spans="1:4" x14ac:dyDescent="0.35">
      <c r="A1653" s="24"/>
      <c r="B1653"/>
      <c r="C1653"/>
      <c r="D1653"/>
    </row>
    <row r="1654" spans="1:4" x14ac:dyDescent="0.35">
      <c r="A1654" s="24"/>
      <c r="B1654"/>
      <c r="C1654"/>
      <c r="D1654"/>
    </row>
    <row r="1655" spans="1:4" x14ac:dyDescent="0.35">
      <c r="A1655" s="24"/>
      <c r="B1655"/>
      <c r="C1655"/>
      <c r="D1655"/>
    </row>
    <row r="1656" spans="1:4" x14ac:dyDescent="0.35">
      <c r="A1656" s="24"/>
      <c r="B1656"/>
      <c r="C1656"/>
      <c r="D1656"/>
    </row>
    <row r="1657" spans="1:4" x14ac:dyDescent="0.35">
      <c r="A1657" s="24"/>
      <c r="B1657"/>
      <c r="C1657"/>
      <c r="D1657"/>
    </row>
    <row r="1658" spans="1:4" x14ac:dyDescent="0.35">
      <c r="A1658" s="24"/>
      <c r="B1658"/>
      <c r="C1658"/>
      <c r="D1658"/>
    </row>
    <row r="1659" spans="1:4" x14ac:dyDescent="0.35">
      <c r="A1659" s="24"/>
      <c r="B1659"/>
      <c r="C1659"/>
      <c r="D1659"/>
    </row>
    <row r="1660" spans="1:4" x14ac:dyDescent="0.35">
      <c r="A1660" s="24"/>
      <c r="B1660"/>
      <c r="C1660"/>
      <c r="D1660"/>
    </row>
    <row r="1661" spans="1:4" x14ac:dyDescent="0.35">
      <c r="A1661" s="24"/>
      <c r="B1661"/>
      <c r="C1661"/>
      <c r="D1661"/>
    </row>
    <row r="1662" spans="1:4" x14ac:dyDescent="0.35">
      <c r="A1662" s="24"/>
      <c r="B1662"/>
      <c r="C1662"/>
      <c r="D1662"/>
    </row>
    <row r="1663" spans="1:4" x14ac:dyDescent="0.35">
      <c r="A1663" s="24"/>
      <c r="B1663"/>
      <c r="C1663"/>
      <c r="D1663"/>
    </row>
    <row r="1664" spans="1:4" x14ac:dyDescent="0.35">
      <c r="A1664" s="24"/>
      <c r="B1664"/>
      <c r="C1664"/>
      <c r="D1664"/>
    </row>
    <row r="1665" spans="1:4" x14ac:dyDescent="0.35">
      <c r="A1665" s="24"/>
      <c r="B1665"/>
      <c r="C1665"/>
      <c r="D1665"/>
    </row>
    <row r="1666" spans="1:4" x14ac:dyDescent="0.35">
      <c r="A1666" s="24"/>
      <c r="B1666"/>
      <c r="C1666"/>
      <c r="D1666"/>
    </row>
    <row r="1667" spans="1:4" x14ac:dyDescent="0.35">
      <c r="A1667" s="24"/>
      <c r="B1667"/>
      <c r="C1667"/>
      <c r="D1667"/>
    </row>
    <row r="1668" spans="1:4" x14ac:dyDescent="0.35">
      <c r="A1668" s="24"/>
      <c r="B1668"/>
      <c r="C1668"/>
      <c r="D1668"/>
    </row>
    <row r="1669" spans="1:4" x14ac:dyDescent="0.35">
      <c r="A1669" s="24"/>
      <c r="B1669"/>
      <c r="C1669"/>
      <c r="D1669"/>
    </row>
    <row r="1670" spans="1:4" x14ac:dyDescent="0.35">
      <c r="A1670" s="24"/>
      <c r="B1670"/>
      <c r="C1670"/>
      <c r="D1670"/>
    </row>
    <row r="1671" spans="1:4" x14ac:dyDescent="0.35">
      <c r="A1671" s="24"/>
      <c r="B1671"/>
      <c r="C1671"/>
      <c r="D1671"/>
    </row>
    <row r="1672" spans="1:4" x14ac:dyDescent="0.35">
      <c r="A1672" s="24"/>
      <c r="B1672"/>
      <c r="C1672"/>
      <c r="D1672"/>
    </row>
    <row r="1673" spans="1:4" x14ac:dyDescent="0.35">
      <c r="A1673" s="24"/>
      <c r="B1673"/>
      <c r="C1673"/>
      <c r="D1673"/>
    </row>
    <row r="1674" spans="1:4" x14ac:dyDescent="0.35">
      <c r="A1674" s="24"/>
      <c r="B1674"/>
      <c r="C1674"/>
      <c r="D1674"/>
    </row>
    <row r="1675" spans="1:4" x14ac:dyDescent="0.35">
      <c r="A1675" s="24"/>
      <c r="B1675"/>
      <c r="C1675"/>
      <c r="D1675"/>
    </row>
    <row r="1676" spans="1:4" x14ac:dyDescent="0.35">
      <c r="A1676" s="24"/>
      <c r="B1676"/>
      <c r="C1676"/>
      <c r="D1676"/>
    </row>
    <row r="1677" spans="1:4" x14ac:dyDescent="0.35">
      <c r="A1677" s="24"/>
      <c r="B1677"/>
      <c r="C1677"/>
      <c r="D1677"/>
    </row>
    <row r="1678" spans="1:4" x14ac:dyDescent="0.35">
      <c r="A1678" s="24"/>
      <c r="B1678"/>
      <c r="C1678"/>
      <c r="D1678"/>
    </row>
    <row r="1679" spans="1:4" x14ac:dyDescent="0.35">
      <c r="A1679" s="24"/>
      <c r="B1679"/>
      <c r="C1679"/>
      <c r="D1679"/>
    </row>
    <row r="1680" spans="1:4" x14ac:dyDescent="0.35">
      <c r="A1680" s="24"/>
      <c r="B1680"/>
      <c r="C1680"/>
      <c r="D1680"/>
    </row>
    <row r="1681" spans="1:4" x14ac:dyDescent="0.35">
      <c r="A1681" s="24"/>
      <c r="B1681"/>
      <c r="C1681"/>
      <c r="D1681"/>
    </row>
    <row r="1682" spans="1:4" x14ac:dyDescent="0.35">
      <c r="A1682" s="24"/>
      <c r="B1682"/>
      <c r="C1682"/>
      <c r="D1682"/>
    </row>
    <row r="1683" spans="1:4" x14ac:dyDescent="0.35">
      <c r="A1683" s="24"/>
      <c r="B1683"/>
      <c r="C1683"/>
      <c r="D1683"/>
    </row>
    <row r="1684" spans="1:4" x14ac:dyDescent="0.35">
      <c r="A1684" s="24"/>
      <c r="B1684"/>
      <c r="C1684"/>
      <c r="D1684"/>
    </row>
    <row r="1685" spans="1:4" x14ac:dyDescent="0.35">
      <c r="A1685" s="24"/>
      <c r="B1685"/>
      <c r="C1685"/>
      <c r="D1685"/>
    </row>
    <row r="1686" spans="1:4" x14ac:dyDescent="0.35">
      <c r="A1686" s="24"/>
      <c r="B1686"/>
      <c r="C1686"/>
      <c r="D1686"/>
    </row>
    <row r="1687" spans="1:4" x14ac:dyDescent="0.35">
      <c r="A1687" s="24"/>
      <c r="B1687"/>
      <c r="C1687"/>
      <c r="D1687"/>
    </row>
    <row r="1688" spans="1:4" x14ac:dyDescent="0.35">
      <c r="A1688" s="24"/>
      <c r="B1688"/>
      <c r="C1688"/>
      <c r="D1688"/>
    </row>
    <row r="1689" spans="1:4" x14ac:dyDescent="0.35">
      <c r="A1689" s="24"/>
      <c r="B1689"/>
      <c r="C1689"/>
      <c r="D1689"/>
    </row>
    <row r="1690" spans="1:4" x14ac:dyDescent="0.35">
      <c r="A1690" s="24"/>
      <c r="B1690"/>
      <c r="C1690"/>
      <c r="D1690"/>
    </row>
    <row r="1691" spans="1:4" x14ac:dyDescent="0.35">
      <c r="A1691" s="24"/>
      <c r="B1691"/>
      <c r="C1691"/>
      <c r="D1691"/>
    </row>
    <row r="1692" spans="1:4" x14ac:dyDescent="0.35">
      <c r="A1692" s="24"/>
      <c r="B1692"/>
      <c r="C1692"/>
      <c r="D1692"/>
    </row>
    <row r="1693" spans="1:4" x14ac:dyDescent="0.35">
      <c r="A1693" s="24"/>
      <c r="B1693"/>
      <c r="C1693"/>
      <c r="D1693"/>
    </row>
    <row r="1694" spans="1:4" x14ac:dyDescent="0.35">
      <c r="A1694" s="24"/>
      <c r="B1694"/>
      <c r="C1694"/>
      <c r="D1694"/>
    </row>
    <row r="1695" spans="1:4" x14ac:dyDescent="0.35">
      <c r="A1695" s="24"/>
      <c r="B1695"/>
      <c r="C1695"/>
      <c r="D1695"/>
    </row>
    <row r="1696" spans="1:4" x14ac:dyDescent="0.35">
      <c r="A1696" s="24"/>
      <c r="B1696"/>
      <c r="C1696"/>
      <c r="D1696"/>
    </row>
    <row r="1697" spans="1:4" x14ac:dyDescent="0.35">
      <c r="A1697" s="24"/>
      <c r="B1697"/>
      <c r="C1697"/>
      <c r="D1697"/>
    </row>
    <row r="1698" spans="1:4" x14ac:dyDescent="0.35">
      <c r="A1698" s="24"/>
      <c r="B1698"/>
      <c r="C1698"/>
      <c r="D1698"/>
    </row>
    <row r="1699" spans="1:4" x14ac:dyDescent="0.35">
      <c r="A1699" s="24"/>
      <c r="B1699"/>
      <c r="C1699"/>
      <c r="D1699"/>
    </row>
    <row r="1700" spans="1:4" x14ac:dyDescent="0.35">
      <c r="A1700" s="24"/>
      <c r="B1700"/>
      <c r="C1700"/>
      <c r="D1700"/>
    </row>
    <row r="1701" spans="1:4" x14ac:dyDescent="0.35">
      <c r="A1701" s="24"/>
      <c r="B1701"/>
      <c r="C1701"/>
      <c r="D1701"/>
    </row>
    <row r="1702" spans="1:4" x14ac:dyDescent="0.35">
      <c r="A1702" s="24"/>
      <c r="B1702"/>
      <c r="C1702"/>
      <c r="D1702"/>
    </row>
    <row r="1703" spans="1:4" x14ac:dyDescent="0.35">
      <c r="A1703" s="24"/>
      <c r="B1703"/>
      <c r="C1703"/>
      <c r="D1703"/>
    </row>
    <row r="1704" spans="1:4" x14ac:dyDescent="0.35">
      <c r="A1704" s="24"/>
      <c r="B1704"/>
      <c r="C1704"/>
      <c r="D1704"/>
    </row>
    <row r="1705" spans="1:4" x14ac:dyDescent="0.35">
      <c r="A1705" s="24"/>
      <c r="B1705"/>
      <c r="C1705"/>
      <c r="D1705"/>
    </row>
    <row r="1706" spans="1:4" x14ac:dyDescent="0.35">
      <c r="A1706" s="24"/>
      <c r="B1706"/>
      <c r="C1706"/>
      <c r="D1706"/>
    </row>
    <row r="1707" spans="1:4" x14ac:dyDescent="0.35">
      <c r="A1707" s="24"/>
      <c r="B1707"/>
      <c r="C1707"/>
      <c r="D1707"/>
    </row>
    <row r="1708" spans="1:4" x14ac:dyDescent="0.35">
      <c r="A1708" s="24"/>
      <c r="B1708"/>
      <c r="C1708"/>
      <c r="D1708"/>
    </row>
    <row r="1709" spans="1:4" x14ac:dyDescent="0.35">
      <c r="A1709" s="24"/>
      <c r="B1709"/>
      <c r="C1709"/>
      <c r="D1709"/>
    </row>
    <row r="1710" spans="1:4" x14ac:dyDescent="0.35">
      <c r="A1710" s="24"/>
      <c r="B1710"/>
      <c r="C1710"/>
      <c r="D1710"/>
    </row>
    <row r="1711" spans="1:4" x14ac:dyDescent="0.35">
      <c r="A1711" s="24"/>
      <c r="B1711"/>
      <c r="C1711"/>
      <c r="D1711"/>
    </row>
    <row r="1712" spans="1:4" x14ac:dyDescent="0.35">
      <c r="A1712" s="24"/>
      <c r="B1712"/>
      <c r="C1712"/>
      <c r="D1712"/>
    </row>
    <row r="1713" spans="1:4" x14ac:dyDescent="0.35">
      <c r="A1713" s="24"/>
      <c r="B1713"/>
      <c r="C1713"/>
      <c r="D1713"/>
    </row>
    <row r="1714" spans="1:4" x14ac:dyDescent="0.35">
      <c r="A1714" s="24"/>
      <c r="B1714"/>
      <c r="C1714"/>
      <c r="D1714"/>
    </row>
    <row r="1715" spans="1:4" x14ac:dyDescent="0.35">
      <c r="A1715" s="24"/>
      <c r="B1715"/>
      <c r="C1715"/>
      <c r="D1715"/>
    </row>
    <row r="1716" spans="1:4" x14ac:dyDescent="0.35">
      <c r="A1716" s="24"/>
      <c r="B1716"/>
      <c r="C1716"/>
      <c r="D1716"/>
    </row>
    <row r="1717" spans="1:4" x14ac:dyDescent="0.35">
      <c r="A1717" s="24"/>
      <c r="B1717"/>
      <c r="C1717"/>
      <c r="D1717"/>
    </row>
    <row r="1718" spans="1:4" x14ac:dyDescent="0.35">
      <c r="A1718" s="24"/>
      <c r="B1718"/>
      <c r="C1718"/>
      <c r="D1718"/>
    </row>
    <row r="1719" spans="1:4" x14ac:dyDescent="0.35">
      <c r="A1719" s="24"/>
      <c r="B1719"/>
      <c r="C1719"/>
      <c r="D1719"/>
    </row>
    <row r="1720" spans="1:4" x14ac:dyDescent="0.35">
      <c r="A1720" s="24"/>
      <c r="B1720"/>
      <c r="C1720"/>
      <c r="D1720"/>
    </row>
    <row r="1721" spans="1:4" x14ac:dyDescent="0.35">
      <c r="A1721" s="24"/>
      <c r="B1721"/>
      <c r="C1721"/>
      <c r="D1721"/>
    </row>
    <row r="1722" spans="1:4" x14ac:dyDescent="0.35">
      <c r="A1722" s="24"/>
      <c r="B1722"/>
      <c r="C1722"/>
      <c r="D1722"/>
    </row>
    <row r="1723" spans="1:4" x14ac:dyDescent="0.35">
      <c r="A1723" s="24"/>
      <c r="B1723"/>
      <c r="C1723"/>
      <c r="D1723"/>
    </row>
    <row r="1724" spans="1:4" x14ac:dyDescent="0.35">
      <c r="A1724" s="24"/>
      <c r="B1724"/>
      <c r="C1724"/>
      <c r="D1724"/>
    </row>
    <row r="1725" spans="1:4" x14ac:dyDescent="0.35">
      <c r="A1725" s="24"/>
      <c r="B1725"/>
      <c r="C1725"/>
      <c r="D1725"/>
    </row>
    <row r="1726" spans="1:4" x14ac:dyDescent="0.35">
      <c r="A1726" s="24"/>
      <c r="B1726"/>
      <c r="C1726"/>
      <c r="D1726"/>
    </row>
    <row r="1727" spans="1:4" x14ac:dyDescent="0.35">
      <c r="A1727" s="24"/>
      <c r="B1727"/>
      <c r="C1727"/>
      <c r="D1727"/>
    </row>
    <row r="1728" spans="1:4" x14ac:dyDescent="0.35">
      <c r="A1728" s="24"/>
      <c r="B1728"/>
      <c r="C1728"/>
      <c r="D1728"/>
    </row>
    <row r="1729" spans="1:4" x14ac:dyDescent="0.35">
      <c r="A1729" s="24"/>
      <c r="B1729"/>
      <c r="C1729"/>
      <c r="D1729"/>
    </row>
    <row r="1730" spans="1:4" x14ac:dyDescent="0.35">
      <c r="A1730" s="24"/>
      <c r="B1730"/>
      <c r="C1730"/>
      <c r="D1730"/>
    </row>
    <row r="1731" spans="1:4" x14ac:dyDescent="0.35">
      <c r="A1731" s="24"/>
      <c r="B1731"/>
      <c r="C1731"/>
      <c r="D1731"/>
    </row>
    <row r="1732" spans="1:4" x14ac:dyDescent="0.35">
      <c r="A1732" s="24"/>
      <c r="B1732"/>
      <c r="C1732"/>
      <c r="D1732"/>
    </row>
    <row r="1733" spans="1:4" x14ac:dyDescent="0.35">
      <c r="A1733" s="24"/>
      <c r="B1733"/>
      <c r="C1733"/>
      <c r="D1733"/>
    </row>
    <row r="1734" spans="1:4" x14ac:dyDescent="0.35">
      <c r="A1734" s="24"/>
      <c r="B1734"/>
      <c r="C1734"/>
      <c r="D1734"/>
    </row>
    <row r="1735" spans="1:4" x14ac:dyDescent="0.35">
      <c r="A1735" s="24"/>
      <c r="B1735"/>
      <c r="C1735"/>
      <c r="D1735"/>
    </row>
    <row r="1736" spans="1:4" x14ac:dyDescent="0.35">
      <c r="A1736" s="24"/>
      <c r="B1736"/>
      <c r="C1736"/>
      <c r="D1736"/>
    </row>
    <row r="1737" spans="1:4" x14ac:dyDescent="0.35">
      <c r="A1737" s="24"/>
      <c r="B1737"/>
      <c r="C1737"/>
      <c r="D1737"/>
    </row>
    <row r="1738" spans="1:4" x14ac:dyDescent="0.35">
      <c r="A1738" s="24"/>
      <c r="B1738"/>
      <c r="C1738"/>
      <c r="D1738"/>
    </row>
    <row r="1739" spans="1:4" x14ac:dyDescent="0.35">
      <c r="A1739" s="24"/>
      <c r="B1739"/>
      <c r="C1739"/>
      <c r="D1739"/>
    </row>
    <row r="1740" spans="1:4" x14ac:dyDescent="0.35">
      <c r="A1740" s="24"/>
      <c r="B1740"/>
      <c r="C1740"/>
      <c r="D1740"/>
    </row>
    <row r="1741" spans="1:4" x14ac:dyDescent="0.35">
      <c r="A1741" s="24"/>
      <c r="B1741"/>
      <c r="C1741"/>
      <c r="D1741"/>
    </row>
    <row r="1742" spans="1:4" x14ac:dyDescent="0.35">
      <c r="A1742" s="24"/>
      <c r="B1742"/>
      <c r="C1742"/>
      <c r="D1742"/>
    </row>
    <row r="1743" spans="1:4" x14ac:dyDescent="0.35">
      <c r="A1743" s="24"/>
      <c r="B1743"/>
      <c r="C1743"/>
      <c r="D1743"/>
    </row>
    <row r="1744" spans="1:4" x14ac:dyDescent="0.35">
      <c r="A1744" s="24"/>
      <c r="B1744"/>
      <c r="C1744"/>
      <c r="D1744"/>
    </row>
    <row r="1745" spans="1:4" x14ac:dyDescent="0.35">
      <c r="A1745" s="24"/>
      <c r="B1745"/>
      <c r="C1745"/>
      <c r="D1745"/>
    </row>
    <row r="1746" spans="1:4" x14ac:dyDescent="0.35">
      <c r="A1746" s="24"/>
      <c r="B1746"/>
      <c r="C1746"/>
      <c r="D1746"/>
    </row>
    <row r="1747" spans="1:4" x14ac:dyDescent="0.35">
      <c r="A1747" s="24"/>
      <c r="B1747"/>
      <c r="C1747"/>
      <c r="D1747"/>
    </row>
    <row r="1748" spans="1:4" x14ac:dyDescent="0.35">
      <c r="A1748" s="24"/>
      <c r="B1748"/>
      <c r="C1748"/>
      <c r="D1748"/>
    </row>
    <row r="1749" spans="1:4" x14ac:dyDescent="0.35">
      <c r="A1749" s="24"/>
      <c r="B1749"/>
      <c r="C1749"/>
      <c r="D1749"/>
    </row>
    <row r="1750" spans="1:4" x14ac:dyDescent="0.35">
      <c r="A1750" s="24"/>
      <c r="B1750"/>
      <c r="C1750"/>
      <c r="D1750"/>
    </row>
    <row r="1751" spans="1:4" x14ac:dyDescent="0.35">
      <c r="A1751" s="24"/>
      <c r="B1751"/>
      <c r="C1751"/>
      <c r="D1751"/>
    </row>
    <row r="1752" spans="1:4" x14ac:dyDescent="0.35">
      <c r="A1752" s="24"/>
      <c r="B1752"/>
      <c r="C1752"/>
      <c r="D1752"/>
    </row>
    <row r="1753" spans="1:4" x14ac:dyDescent="0.35">
      <c r="A1753" s="24"/>
      <c r="B1753"/>
      <c r="C1753"/>
      <c r="D1753"/>
    </row>
    <row r="1754" spans="1:4" x14ac:dyDescent="0.35">
      <c r="A1754" s="24"/>
      <c r="B1754"/>
      <c r="C1754"/>
      <c r="D1754"/>
    </row>
    <row r="1755" spans="1:4" x14ac:dyDescent="0.35">
      <c r="A1755" s="24"/>
      <c r="B1755"/>
      <c r="C1755"/>
      <c r="D1755"/>
    </row>
    <row r="1756" spans="1:4" x14ac:dyDescent="0.35">
      <c r="A1756" s="24"/>
      <c r="B1756"/>
      <c r="C1756"/>
      <c r="D1756"/>
    </row>
    <row r="1757" spans="1:4" x14ac:dyDescent="0.35">
      <c r="A1757" s="24"/>
      <c r="B1757"/>
      <c r="C1757"/>
      <c r="D1757"/>
    </row>
    <row r="1758" spans="1:4" x14ac:dyDescent="0.35">
      <c r="A1758" s="24"/>
      <c r="B1758"/>
      <c r="C1758"/>
      <c r="D1758"/>
    </row>
    <row r="1759" spans="1:4" x14ac:dyDescent="0.35">
      <c r="A1759" s="24"/>
      <c r="B1759"/>
      <c r="C1759"/>
      <c r="D1759"/>
    </row>
    <row r="1760" spans="1:4" x14ac:dyDescent="0.35">
      <c r="A1760" s="24"/>
      <c r="B1760"/>
      <c r="C1760"/>
      <c r="D1760"/>
    </row>
    <row r="1761" spans="1:4" x14ac:dyDescent="0.35">
      <c r="A1761" s="24"/>
      <c r="B1761"/>
      <c r="C1761"/>
      <c r="D1761"/>
    </row>
    <row r="1762" spans="1:4" x14ac:dyDescent="0.35">
      <c r="A1762" s="24"/>
      <c r="B1762"/>
      <c r="C1762"/>
      <c r="D1762"/>
    </row>
    <row r="1763" spans="1:4" x14ac:dyDescent="0.35">
      <c r="A1763" s="24"/>
      <c r="B1763"/>
      <c r="C1763"/>
      <c r="D1763"/>
    </row>
    <row r="1764" spans="1:4" x14ac:dyDescent="0.35">
      <c r="A1764" s="24"/>
      <c r="B1764"/>
      <c r="C1764"/>
      <c r="D1764"/>
    </row>
    <row r="1765" spans="1:4" x14ac:dyDescent="0.35">
      <c r="A1765" s="24"/>
      <c r="B1765"/>
      <c r="C1765"/>
      <c r="D1765"/>
    </row>
    <row r="1766" spans="1:4" x14ac:dyDescent="0.35">
      <c r="A1766" s="24"/>
      <c r="B1766"/>
      <c r="C1766"/>
      <c r="D1766"/>
    </row>
    <row r="1767" spans="1:4" x14ac:dyDescent="0.35">
      <c r="A1767" s="24"/>
      <c r="B1767"/>
      <c r="C1767"/>
      <c r="D1767"/>
    </row>
    <row r="1768" spans="1:4" x14ac:dyDescent="0.35">
      <c r="A1768" s="24"/>
      <c r="B1768"/>
      <c r="C1768"/>
      <c r="D1768"/>
    </row>
    <row r="1769" spans="1:4" x14ac:dyDescent="0.35">
      <c r="A1769" s="24"/>
      <c r="B1769"/>
      <c r="C1769"/>
      <c r="D1769"/>
    </row>
    <row r="1770" spans="1:4" x14ac:dyDescent="0.35">
      <c r="A1770" s="24"/>
      <c r="B1770"/>
      <c r="C1770"/>
      <c r="D1770"/>
    </row>
    <row r="1771" spans="1:4" x14ac:dyDescent="0.35">
      <c r="A1771" s="24"/>
      <c r="B1771"/>
      <c r="C1771"/>
      <c r="D1771"/>
    </row>
    <row r="1772" spans="1:4" x14ac:dyDescent="0.35">
      <c r="A1772" s="24"/>
      <c r="B1772"/>
      <c r="C1772"/>
      <c r="D1772"/>
    </row>
    <row r="1773" spans="1:4" x14ac:dyDescent="0.35">
      <c r="A1773" s="24"/>
      <c r="B1773"/>
      <c r="C1773"/>
      <c r="D1773"/>
    </row>
    <row r="1774" spans="1:4" x14ac:dyDescent="0.35">
      <c r="A1774" s="24"/>
      <c r="B1774"/>
      <c r="C1774"/>
      <c r="D1774"/>
    </row>
    <row r="1775" spans="1:4" x14ac:dyDescent="0.35">
      <c r="A1775" s="24"/>
      <c r="B1775"/>
      <c r="C1775"/>
      <c r="D1775"/>
    </row>
    <row r="1776" spans="1:4" x14ac:dyDescent="0.35">
      <c r="A1776" s="24"/>
      <c r="B1776"/>
      <c r="C1776"/>
      <c r="D1776"/>
    </row>
    <row r="1777" spans="1:4" x14ac:dyDescent="0.35">
      <c r="A1777" s="24"/>
      <c r="B1777"/>
      <c r="C1777"/>
      <c r="D1777"/>
    </row>
    <row r="1778" spans="1:4" x14ac:dyDescent="0.35">
      <c r="A1778" s="24"/>
      <c r="B1778"/>
      <c r="C1778"/>
      <c r="D1778"/>
    </row>
    <row r="1779" spans="1:4" x14ac:dyDescent="0.35">
      <c r="A1779" s="24"/>
      <c r="B1779"/>
      <c r="C1779"/>
      <c r="D1779"/>
    </row>
    <row r="1780" spans="1:4" x14ac:dyDescent="0.35">
      <c r="A1780" s="24"/>
      <c r="B1780"/>
      <c r="C1780"/>
      <c r="D1780"/>
    </row>
    <row r="1781" spans="1:4" x14ac:dyDescent="0.35">
      <c r="A1781" s="24"/>
      <c r="B1781"/>
      <c r="C1781"/>
      <c r="D1781"/>
    </row>
    <row r="1782" spans="1:4" x14ac:dyDescent="0.35">
      <c r="A1782" s="24"/>
      <c r="B1782"/>
      <c r="C1782"/>
      <c r="D1782"/>
    </row>
    <row r="1783" spans="1:4" x14ac:dyDescent="0.35">
      <c r="A1783" s="24"/>
      <c r="B1783"/>
      <c r="C1783"/>
      <c r="D1783"/>
    </row>
    <row r="1784" spans="1:4" x14ac:dyDescent="0.35">
      <c r="A1784" s="24"/>
      <c r="B1784"/>
      <c r="C1784"/>
      <c r="D1784"/>
    </row>
    <row r="1785" spans="1:4" x14ac:dyDescent="0.35">
      <c r="A1785" s="24"/>
      <c r="B1785"/>
      <c r="C1785"/>
      <c r="D1785"/>
    </row>
    <row r="1786" spans="1:4" x14ac:dyDescent="0.35">
      <c r="A1786" s="24"/>
      <c r="B1786"/>
      <c r="C1786"/>
      <c r="D1786"/>
    </row>
    <row r="1787" spans="1:4" x14ac:dyDescent="0.35">
      <c r="A1787" s="24"/>
      <c r="B1787"/>
      <c r="C1787"/>
      <c r="D1787"/>
    </row>
    <row r="1788" spans="1:4" x14ac:dyDescent="0.35">
      <c r="A1788" s="24"/>
      <c r="B1788"/>
      <c r="C1788"/>
      <c r="D1788"/>
    </row>
    <row r="1789" spans="1:4" x14ac:dyDescent="0.35">
      <c r="A1789" s="24"/>
      <c r="B1789"/>
      <c r="C1789"/>
      <c r="D1789"/>
    </row>
    <row r="1790" spans="1:4" x14ac:dyDescent="0.35">
      <c r="A1790" s="24"/>
      <c r="B1790"/>
      <c r="C1790"/>
      <c r="D1790"/>
    </row>
    <row r="1791" spans="1:4" x14ac:dyDescent="0.35">
      <c r="A1791" s="24"/>
      <c r="B1791"/>
      <c r="C1791"/>
      <c r="D1791"/>
    </row>
    <row r="1792" spans="1:4" x14ac:dyDescent="0.35">
      <c r="A1792" s="24"/>
      <c r="B1792"/>
      <c r="C1792"/>
      <c r="D1792"/>
    </row>
    <row r="1793" spans="1:4" x14ac:dyDescent="0.35">
      <c r="A1793" s="24"/>
      <c r="B1793"/>
      <c r="C1793"/>
      <c r="D1793"/>
    </row>
    <row r="1794" spans="1:4" x14ac:dyDescent="0.35">
      <c r="A1794" s="24"/>
      <c r="B1794"/>
      <c r="C1794"/>
      <c r="D1794"/>
    </row>
    <row r="1795" spans="1:4" x14ac:dyDescent="0.35">
      <c r="A1795" s="24"/>
      <c r="B1795"/>
      <c r="C1795"/>
      <c r="D1795"/>
    </row>
    <row r="1796" spans="1:4" x14ac:dyDescent="0.35">
      <c r="A1796" s="24"/>
      <c r="B1796"/>
      <c r="C1796"/>
      <c r="D1796"/>
    </row>
    <row r="1797" spans="1:4" x14ac:dyDescent="0.35">
      <c r="A1797" s="24"/>
      <c r="B1797"/>
      <c r="C1797"/>
      <c r="D1797"/>
    </row>
    <row r="1798" spans="1:4" x14ac:dyDescent="0.35">
      <c r="A1798" s="24"/>
      <c r="B1798"/>
      <c r="C1798"/>
      <c r="D1798"/>
    </row>
    <row r="1799" spans="1:4" x14ac:dyDescent="0.35">
      <c r="A1799" s="24"/>
      <c r="B1799"/>
      <c r="C1799"/>
      <c r="D1799"/>
    </row>
    <row r="1800" spans="1:4" x14ac:dyDescent="0.35">
      <c r="A1800" s="24"/>
      <c r="B1800"/>
      <c r="C1800"/>
      <c r="D1800"/>
    </row>
    <row r="1801" spans="1:4" x14ac:dyDescent="0.35">
      <c r="A1801" s="24"/>
      <c r="B1801"/>
      <c r="C1801"/>
      <c r="D1801"/>
    </row>
    <row r="1802" spans="1:4" x14ac:dyDescent="0.35">
      <c r="A1802" s="24"/>
      <c r="B1802"/>
      <c r="C1802"/>
      <c r="D1802"/>
    </row>
    <row r="1803" spans="1:4" x14ac:dyDescent="0.35">
      <c r="A1803" s="24"/>
      <c r="B1803"/>
      <c r="C1803"/>
      <c r="D1803"/>
    </row>
    <row r="1804" spans="1:4" x14ac:dyDescent="0.35">
      <c r="A1804" s="24"/>
      <c r="B1804"/>
      <c r="C1804"/>
      <c r="D1804"/>
    </row>
    <row r="1805" spans="1:4" x14ac:dyDescent="0.35">
      <c r="A1805" s="24"/>
      <c r="B1805"/>
      <c r="C1805"/>
      <c r="D1805"/>
    </row>
    <row r="1806" spans="1:4" x14ac:dyDescent="0.35">
      <c r="A1806" s="24"/>
      <c r="B1806"/>
      <c r="C1806"/>
      <c r="D1806"/>
    </row>
    <row r="1807" spans="1:4" x14ac:dyDescent="0.35">
      <c r="A1807" s="24"/>
      <c r="B1807"/>
      <c r="C1807"/>
      <c r="D1807"/>
    </row>
    <row r="1808" spans="1:4" x14ac:dyDescent="0.35">
      <c r="A1808" s="24"/>
      <c r="B1808"/>
      <c r="C1808"/>
      <c r="D1808"/>
    </row>
    <row r="1809" spans="1:4" x14ac:dyDescent="0.35">
      <c r="A1809" s="24"/>
      <c r="B1809"/>
      <c r="C1809"/>
      <c r="D1809"/>
    </row>
    <row r="1810" spans="1:4" x14ac:dyDescent="0.35">
      <c r="A1810" s="24"/>
      <c r="B1810"/>
      <c r="C1810"/>
      <c r="D1810"/>
    </row>
    <row r="1811" spans="1:4" x14ac:dyDescent="0.35">
      <c r="A1811" s="24"/>
      <c r="B1811"/>
      <c r="C1811"/>
      <c r="D1811"/>
    </row>
    <row r="1812" spans="1:4" x14ac:dyDescent="0.35">
      <c r="A1812" s="24"/>
      <c r="B1812"/>
      <c r="C1812"/>
      <c r="D1812"/>
    </row>
    <row r="1813" spans="1:4" x14ac:dyDescent="0.35">
      <c r="A1813" s="24"/>
      <c r="B1813"/>
      <c r="C1813"/>
      <c r="D1813"/>
    </row>
    <row r="1814" spans="1:4" x14ac:dyDescent="0.35">
      <c r="A1814" s="24"/>
      <c r="B1814"/>
      <c r="C1814"/>
      <c r="D1814"/>
    </row>
    <row r="1815" spans="1:4" x14ac:dyDescent="0.35">
      <c r="A1815" s="24"/>
      <c r="B1815"/>
      <c r="C1815"/>
      <c r="D1815"/>
    </row>
    <row r="1816" spans="1:4" x14ac:dyDescent="0.35">
      <c r="A1816" s="24"/>
      <c r="B1816"/>
      <c r="C1816"/>
      <c r="D1816"/>
    </row>
    <row r="1817" spans="1:4" x14ac:dyDescent="0.35">
      <c r="A1817" s="24"/>
      <c r="B1817"/>
      <c r="C1817"/>
      <c r="D1817"/>
    </row>
    <row r="1818" spans="1:4" x14ac:dyDescent="0.35">
      <c r="A1818" s="24"/>
      <c r="B1818"/>
      <c r="C1818"/>
      <c r="D1818"/>
    </row>
    <row r="1819" spans="1:4" x14ac:dyDescent="0.35">
      <c r="A1819" s="24"/>
      <c r="B1819"/>
      <c r="C1819"/>
      <c r="D1819"/>
    </row>
    <row r="1820" spans="1:4" x14ac:dyDescent="0.35">
      <c r="A1820" s="24"/>
      <c r="B1820"/>
      <c r="C1820"/>
      <c r="D1820"/>
    </row>
    <row r="1821" spans="1:4" x14ac:dyDescent="0.35">
      <c r="A1821" s="24"/>
      <c r="B1821"/>
      <c r="C1821"/>
      <c r="D1821"/>
    </row>
    <row r="1822" spans="1:4" x14ac:dyDescent="0.35">
      <c r="A1822" s="24"/>
      <c r="B1822"/>
      <c r="C1822"/>
      <c r="D1822"/>
    </row>
    <row r="1823" spans="1:4" x14ac:dyDescent="0.35">
      <c r="A1823" s="24"/>
      <c r="B1823"/>
      <c r="C1823"/>
      <c r="D1823"/>
    </row>
    <row r="1824" spans="1:4" x14ac:dyDescent="0.35">
      <c r="A1824" s="24"/>
      <c r="B1824"/>
      <c r="C1824"/>
      <c r="D1824"/>
    </row>
    <row r="1825" spans="1:4" x14ac:dyDescent="0.35">
      <c r="A1825" s="24"/>
      <c r="B1825"/>
      <c r="C1825"/>
      <c r="D1825"/>
    </row>
    <row r="1826" spans="1:4" x14ac:dyDescent="0.35">
      <c r="A1826" s="24"/>
      <c r="B1826"/>
      <c r="C1826"/>
      <c r="D1826"/>
    </row>
    <row r="1827" spans="1:4" x14ac:dyDescent="0.35">
      <c r="A1827" s="24"/>
      <c r="B1827"/>
      <c r="C1827"/>
      <c r="D1827"/>
    </row>
    <row r="1828" spans="1:4" x14ac:dyDescent="0.35">
      <c r="A1828" s="24"/>
      <c r="B1828"/>
      <c r="C1828"/>
      <c r="D1828"/>
    </row>
    <row r="1829" spans="1:4" x14ac:dyDescent="0.35">
      <c r="A1829" s="24"/>
      <c r="B1829"/>
      <c r="C1829"/>
      <c r="D1829"/>
    </row>
    <row r="1830" spans="1:4" x14ac:dyDescent="0.35">
      <c r="A1830" s="24"/>
      <c r="B1830"/>
      <c r="C1830"/>
      <c r="D1830"/>
    </row>
    <row r="1831" spans="1:4" x14ac:dyDescent="0.35">
      <c r="A1831" s="24"/>
      <c r="B1831"/>
      <c r="C1831"/>
      <c r="D1831"/>
    </row>
    <row r="1832" spans="1:4" x14ac:dyDescent="0.35">
      <c r="A1832" s="24"/>
      <c r="B1832"/>
      <c r="C1832"/>
      <c r="D1832"/>
    </row>
    <row r="1833" spans="1:4" x14ac:dyDescent="0.35">
      <c r="A1833" s="24"/>
      <c r="B1833"/>
      <c r="C1833"/>
      <c r="D1833"/>
    </row>
    <row r="1834" spans="1:4" x14ac:dyDescent="0.35">
      <c r="A1834" s="24"/>
      <c r="B1834"/>
      <c r="C1834"/>
      <c r="D1834"/>
    </row>
    <row r="1835" spans="1:4" x14ac:dyDescent="0.35">
      <c r="A1835" s="24"/>
      <c r="B1835"/>
      <c r="C1835"/>
      <c r="D1835"/>
    </row>
    <row r="1836" spans="1:4" x14ac:dyDescent="0.35">
      <c r="A1836" s="24"/>
      <c r="B1836"/>
      <c r="C1836"/>
      <c r="D1836"/>
    </row>
    <row r="1837" spans="1:4" x14ac:dyDescent="0.35">
      <c r="A1837" s="24"/>
      <c r="B1837"/>
      <c r="C1837"/>
      <c r="D1837"/>
    </row>
    <row r="1838" spans="1:4" x14ac:dyDescent="0.35">
      <c r="A1838" s="24"/>
      <c r="B1838"/>
      <c r="C1838"/>
      <c r="D1838"/>
    </row>
    <row r="1839" spans="1:4" x14ac:dyDescent="0.35">
      <c r="A1839" s="24"/>
      <c r="B1839"/>
      <c r="C1839"/>
      <c r="D1839"/>
    </row>
    <row r="1840" spans="1:4" x14ac:dyDescent="0.35">
      <c r="A1840" s="24"/>
      <c r="B1840"/>
      <c r="C1840"/>
      <c r="D1840"/>
    </row>
    <row r="1841" spans="1:4" x14ac:dyDescent="0.35">
      <c r="A1841" s="24"/>
      <c r="B1841"/>
      <c r="C1841"/>
      <c r="D1841"/>
    </row>
    <row r="1842" spans="1:4" x14ac:dyDescent="0.35">
      <c r="A1842" s="24"/>
      <c r="B1842"/>
      <c r="C1842"/>
      <c r="D1842"/>
    </row>
    <row r="1843" spans="1:4" x14ac:dyDescent="0.35">
      <c r="A1843" s="24"/>
      <c r="B1843"/>
      <c r="C1843"/>
      <c r="D1843"/>
    </row>
    <row r="1844" spans="1:4" x14ac:dyDescent="0.35">
      <c r="A1844" s="24"/>
      <c r="B1844"/>
      <c r="C1844"/>
      <c r="D1844"/>
    </row>
    <row r="1845" spans="1:4" x14ac:dyDescent="0.35">
      <c r="A1845" s="24"/>
      <c r="B1845"/>
      <c r="C1845"/>
      <c r="D1845"/>
    </row>
    <row r="1846" spans="1:4" x14ac:dyDescent="0.35">
      <c r="A1846" s="24"/>
      <c r="B1846"/>
      <c r="C1846"/>
      <c r="D1846"/>
    </row>
    <row r="1847" spans="1:4" x14ac:dyDescent="0.35">
      <c r="A1847" s="24"/>
      <c r="B1847"/>
      <c r="C1847"/>
      <c r="D1847"/>
    </row>
    <row r="1848" spans="1:4" x14ac:dyDescent="0.35">
      <c r="A1848" s="24"/>
      <c r="B1848"/>
      <c r="C1848"/>
      <c r="D1848"/>
    </row>
    <row r="1849" spans="1:4" x14ac:dyDescent="0.35">
      <c r="A1849" s="24"/>
      <c r="B1849"/>
      <c r="C1849"/>
      <c r="D1849"/>
    </row>
    <row r="1850" spans="1:4" x14ac:dyDescent="0.35">
      <c r="A1850" s="24"/>
      <c r="B1850"/>
      <c r="C1850"/>
      <c r="D1850"/>
    </row>
    <row r="1851" spans="1:4" x14ac:dyDescent="0.35">
      <c r="A1851" s="24"/>
      <c r="B1851"/>
      <c r="C1851"/>
      <c r="D1851"/>
    </row>
    <row r="1852" spans="1:4" x14ac:dyDescent="0.35">
      <c r="A1852" s="24"/>
      <c r="B1852"/>
      <c r="C1852"/>
      <c r="D1852"/>
    </row>
    <row r="1853" spans="1:4" x14ac:dyDescent="0.35">
      <c r="A1853" s="24"/>
      <c r="B1853"/>
      <c r="C1853"/>
      <c r="D1853"/>
    </row>
    <row r="1854" spans="1:4" x14ac:dyDescent="0.35">
      <c r="A1854" s="24"/>
      <c r="B1854"/>
      <c r="C1854"/>
      <c r="D1854"/>
    </row>
    <row r="1855" spans="1:4" x14ac:dyDescent="0.35">
      <c r="A1855" s="24"/>
      <c r="B1855"/>
      <c r="C1855"/>
      <c r="D1855"/>
    </row>
    <row r="1856" spans="1:4" x14ac:dyDescent="0.35">
      <c r="A1856" s="24"/>
      <c r="B1856"/>
      <c r="C1856"/>
      <c r="D1856"/>
    </row>
    <row r="1857" spans="1:4" x14ac:dyDescent="0.35">
      <c r="A1857" s="24"/>
      <c r="B1857"/>
      <c r="C1857"/>
      <c r="D1857"/>
    </row>
    <row r="1858" spans="1:4" x14ac:dyDescent="0.35">
      <c r="A1858" s="24"/>
      <c r="B1858"/>
      <c r="C1858"/>
      <c r="D1858"/>
    </row>
    <row r="1859" spans="1:4" x14ac:dyDescent="0.35">
      <c r="A1859" s="24"/>
      <c r="B1859"/>
      <c r="C1859"/>
      <c r="D1859"/>
    </row>
    <row r="1860" spans="1:4" x14ac:dyDescent="0.35">
      <c r="A1860" s="24"/>
      <c r="B1860"/>
      <c r="C1860"/>
      <c r="D1860"/>
    </row>
    <row r="1861" spans="1:4" x14ac:dyDescent="0.35">
      <c r="A1861" s="24"/>
      <c r="B1861"/>
      <c r="C1861"/>
      <c r="D1861"/>
    </row>
    <row r="1862" spans="1:4" x14ac:dyDescent="0.35">
      <c r="A1862" s="24"/>
      <c r="B1862"/>
      <c r="C1862"/>
      <c r="D1862"/>
    </row>
    <row r="1863" spans="1:4" x14ac:dyDescent="0.35">
      <c r="A1863" s="24"/>
      <c r="B1863"/>
      <c r="C1863"/>
      <c r="D1863"/>
    </row>
    <row r="1864" spans="1:4" x14ac:dyDescent="0.35">
      <c r="A1864" s="24"/>
      <c r="B1864"/>
      <c r="C1864"/>
      <c r="D1864"/>
    </row>
    <row r="1865" spans="1:4" x14ac:dyDescent="0.35">
      <c r="A1865" s="24"/>
      <c r="B1865"/>
      <c r="C1865"/>
      <c r="D1865"/>
    </row>
    <row r="1866" spans="1:4" x14ac:dyDescent="0.35">
      <c r="A1866" s="24"/>
      <c r="B1866"/>
      <c r="C1866"/>
      <c r="D1866"/>
    </row>
    <row r="1867" spans="1:4" x14ac:dyDescent="0.35">
      <c r="A1867" s="24"/>
      <c r="B1867"/>
      <c r="C1867"/>
      <c r="D1867"/>
    </row>
    <row r="1868" spans="1:4" x14ac:dyDescent="0.35">
      <c r="A1868" s="24"/>
      <c r="B1868"/>
      <c r="C1868"/>
      <c r="D1868"/>
    </row>
    <row r="1869" spans="1:4" x14ac:dyDescent="0.35">
      <c r="A1869" s="24"/>
      <c r="B1869"/>
      <c r="C1869"/>
      <c r="D1869"/>
    </row>
    <row r="1870" spans="1:4" x14ac:dyDescent="0.35">
      <c r="A1870" s="24"/>
      <c r="B1870"/>
      <c r="C1870"/>
      <c r="D1870"/>
    </row>
    <row r="1871" spans="1:4" x14ac:dyDescent="0.35">
      <c r="A1871" s="24"/>
      <c r="B1871"/>
      <c r="C1871"/>
      <c r="D1871"/>
    </row>
    <row r="1872" spans="1:4" x14ac:dyDescent="0.35">
      <c r="A1872" s="24"/>
      <c r="B1872"/>
      <c r="C1872"/>
      <c r="D1872"/>
    </row>
    <row r="1873" spans="1:4" x14ac:dyDescent="0.35">
      <c r="A1873" s="24"/>
      <c r="B1873"/>
      <c r="C1873"/>
      <c r="D1873"/>
    </row>
    <row r="1874" spans="1:4" x14ac:dyDescent="0.35">
      <c r="A1874" s="24"/>
      <c r="B1874"/>
      <c r="C1874"/>
      <c r="D1874"/>
    </row>
    <row r="1875" spans="1:4" x14ac:dyDescent="0.35">
      <c r="A1875" s="24"/>
      <c r="B1875"/>
      <c r="C1875"/>
      <c r="D1875"/>
    </row>
    <row r="1876" spans="1:4" x14ac:dyDescent="0.35">
      <c r="A1876" s="24"/>
      <c r="B1876"/>
      <c r="C1876"/>
      <c r="D1876"/>
    </row>
    <row r="1877" spans="1:4" x14ac:dyDescent="0.35">
      <c r="A1877" s="24"/>
      <c r="B1877"/>
      <c r="C1877"/>
      <c r="D1877"/>
    </row>
    <row r="1878" spans="1:4" x14ac:dyDescent="0.35">
      <c r="A1878" s="24"/>
      <c r="B1878"/>
      <c r="C1878"/>
      <c r="D1878"/>
    </row>
    <row r="1879" spans="1:4" x14ac:dyDescent="0.35">
      <c r="A1879" s="24"/>
      <c r="B1879"/>
      <c r="C1879"/>
      <c r="D1879"/>
    </row>
    <row r="1880" spans="1:4" x14ac:dyDescent="0.35">
      <c r="A1880" s="24"/>
      <c r="B1880"/>
      <c r="C1880"/>
      <c r="D1880"/>
    </row>
    <row r="1881" spans="1:4" x14ac:dyDescent="0.35">
      <c r="A1881" s="24"/>
      <c r="B1881"/>
      <c r="C1881"/>
      <c r="D1881"/>
    </row>
    <row r="1882" spans="1:4" x14ac:dyDescent="0.35">
      <c r="A1882" s="24"/>
      <c r="B1882"/>
      <c r="C1882"/>
      <c r="D1882"/>
    </row>
    <row r="1883" spans="1:4" x14ac:dyDescent="0.35">
      <c r="A1883" s="24"/>
      <c r="B1883"/>
      <c r="C1883"/>
      <c r="D1883"/>
    </row>
    <row r="1884" spans="1:4" x14ac:dyDescent="0.35">
      <c r="A1884" s="24"/>
      <c r="B1884"/>
      <c r="C1884"/>
      <c r="D1884"/>
    </row>
    <row r="1885" spans="1:4" x14ac:dyDescent="0.35">
      <c r="A1885" s="24"/>
      <c r="B1885"/>
      <c r="C1885"/>
      <c r="D1885"/>
    </row>
    <row r="1886" spans="1:4" x14ac:dyDescent="0.35">
      <c r="A1886" s="24"/>
      <c r="B1886"/>
      <c r="C1886"/>
      <c r="D1886"/>
    </row>
    <row r="1887" spans="1:4" x14ac:dyDescent="0.35">
      <c r="A1887" s="24"/>
      <c r="B1887"/>
      <c r="C1887"/>
      <c r="D1887"/>
    </row>
    <row r="1888" spans="1:4" x14ac:dyDescent="0.35">
      <c r="A1888" s="24"/>
      <c r="B1888"/>
      <c r="C1888"/>
      <c r="D1888"/>
    </row>
    <row r="1889" spans="1:4" x14ac:dyDescent="0.35">
      <c r="A1889" s="24"/>
      <c r="B1889"/>
      <c r="C1889"/>
      <c r="D1889"/>
    </row>
    <row r="1890" spans="1:4" x14ac:dyDescent="0.35">
      <c r="A1890" s="24"/>
      <c r="B1890"/>
      <c r="C1890"/>
      <c r="D1890"/>
    </row>
    <row r="1891" spans="1:4" x14ac:dyDescent="0.35">
      <c r="A1891" s="24"/>
      <c r="B1891"/>
      <c r="C1891"/>
      <c r="D1891"/>
    </row>
    <row r="1892" spans="1:4" x14ac:dyDescent="0.35">
      <c r="A1892" s="24"/>
      <c r="B1892"/>
      <c r="C1892"/>
      <c r="D1892"/>
    </row>
    <row r="1893" spans="1:4" x14ac:dyDescent="0.35">
      <c r="A1893" s="24"/>
      <c r="B1893"/>
      <c r="C1893"/>
      <c r="D1893"/>
    </row>
    <row r="1894" spans="1:4" x14ac:dyDescent="0.35">
      <c r="A1894" s="24"/>
      <c r="B1894"/>
      <c r="C1894"/>
      <c r="D1894"/>
    </row>
    <row r="1895" spans="1:4" x14ac:dyDescent="0.35">
      <c r="A1895" s="24"/>
      <c r="B1895"/>
      <c r="C1895"/>
      <c r="D1895"/>
    </row>
    <row r="1896" spans="1:4" x14ac:dyDescent="0.35">
      <c r="A1896" s="24"/>
      <c r="B1896"/>
      <c r="C1896"/>
      <c r="D1896"/>
    </row>
    <row r="1897" spans="1:4" x14ac:dyDescent="0.35">
      <c r="A1897" s="24"/>
      <c r="B1897"/>
      <c r="C1897"/>
      <c r="D1897"/>
    </row>
    <row r="1898" spans="1:4" x14ac:dyDescent="0.35">
      <c r="A1898" s="24"/>
      <c r="B1898"/>
      <c r="C1898"/>
      <c r="D1898"/>
    </row>
    <row r="1899" spans="1:4" x14ac:dyDescent="0.35">
      <c r="A1899" s="24"/>
      <c r="B1899"/>
      <c r="C1899"/>
      <c r="D1899"/>
    </row>
    <row r="1900" spans="1:4" x14ac:dyDescent="0.35">
      <c r="A1900" s="24"/>
      <c r="B1900"/>
      <c r="C1900"/>
      <c r="D1900"/>
    </row>
    <row r="1901" spans="1:4" x14ac:dyDescent="0.35">
      <c r="A1901" s="24"/>
      <c r="B1901"/>
      <c r="C1901"/>
      <c r="D1901"/>
    </row>
    <row r="1902" spans="1:4" x14ac:dyDescent="0.35">
      <c r="A1902" s="24"/>
      <c r="B1902"/>
      <c r="C1902"/>
      <c r="D1902"/>
    </row>
    <row r="1903" spans="1:4" x14ac:dyDescent="0.35">
      <c r="A1903" s="24"/>
      <c r="B1903"/>
      <c r="C1903"/>
      <c r="D1903"/>
    </row>
    <row r="1904" spans="1:4" x14ac:dyDescent="0.35">
      <c r="A1904" s="24"/>
      <c r="B1904"/>
      <c r="C1904"/>
      <c r="D1904"/>
    </row>
    <row r="1905" spans="1:4" x14ac:dyDescent="0.35">
      <c r="A1905" s="24"/>
      <c r="B1905"/>
      <c r="C1905"/>
      <c r="D1905"/>
    </row>
    <row r="1906" spans="1:4" x14ac:dyDescent="0.35">
      <c r="A1906" s="24"/>
      <c r="B1906"/>
      <c r="C1906"/>
      <c r="D1906"/>
    </row>
    <row r="1907" spans="1:4" x14ac:dyDescent="0.35">
      <c r="A1907" s="24"/>
      <c r="B1907"/>
      <c r="C1907"/>
      <c r="D1907"/>
    </row>
    <row r="1908" spans="1:4" x14ac:dyDescent="0.35">
      <c r="A1908" s="24"/>
      <c r="B1908"/>
      <c r="C1908"/>
      <c r="D1908"/>
    </row>
    <row r="1909" spans="1:4" x14ac:dyDescent="0.35">
      <c r="A1909" s="24"/>
      <c r="B1909"/>
      <c r="C1909"/>
      <c r="D1909"/>
    </row>
    <row r="1910" spans="1:4" x14ac:dyDescent="0.35">
      <c r="A1910" s="24"/>
      <c r="B1910"/>
      <c r="C1910"/>
      <c r="D1910"/>
    </row>
    <row r="1911" spans="1:4" x14ac:dyDescent="0.35">
      <c r="A1911" s="24"/>
      <c r="B1911"/>
      <c r="C1911"/>
      <c r="D1911"/>
    </row>
    <row r="1912" spans="1:4" x14ac:dyDescent="0.35">
      <c r="A1912" s="24"/>
      <c r="B1912"/>
      <c r="C1912"/>
      <c r="D1912"/>
    </row>
    <row r="1913" spans="1:4" x14ac:dyDescent="0.35">
      <c r="A1913" s="24"/>
      <c r="B1913"/>
      <c r="C1913"/>
      <c r="D1913"/>
    </row>
    <row r="1914" spans="1:4" x14ac:dyDescent="0.35">
      <c r="A1914" s="24"/>
      <c r="B1914"/>
      <c r="C1914"/>
      <c r="D1914"/>
    </row>
    <row r="1915" spans="1:4" x14ac:dyDescent="0.35">
      <c r="A1915" s="24"/>
      <c r="B1915"/>
      <c r="C1915"/>
      <c r="D1915"/>
    </row>
    <row r="1916" spans="1:4" x14ac:dyDescent="0.35">
      <c r="A1916" s="24"/>
      <c r="B1916"/>
      <c r="C1916"/>
      <c r="D1916"/>
    </row>
    <row r="1917" spans="1:4" x14ac:dyDescent="0.35">
      <c r="A1917" s="24"/>
      <c r="B1917"/>
      <c r="C1917"/>
      <c r="D1917"/>
    </row>
    <row r="1918" spans="1:4" x14ac:dyDescent="0.35">
      <c r="A1918" s="24"/>
      <c r="B1918"/>
      <c r="C1918"/>
      <c r="D1918"/>
    </row>
    <row r="1919" spans="1:4" x14ac:dyDescent="0.35">
      <c r="A1919" s="24"/>
      <c r="B1919"/>
      <c r="C1919"/>
      <c r="D1919"/>
    </row>
    <row r="1920" spans="1:4" x14ac:dyDescent="0.35">
      <c r="A1920" s="24"/>
      <c r="B1920"/>
      <c r="C1920"/>
      <c r="D1920"/>
    </row>
    <row r="1921" spans="1:4" x14ac:dyDescent="0.35">
      <c r="A1921" s="24"/>
      <c r="B1921"/>
      <c r="C1921"/>
      <c r="D1921"/>
    </row>
    <row r="1922" spans="1:4" x14ac:dyDescent="0.35">
      <c r="A1922" s="24"/>
      <c r="B1922"/>
      <c r="C1922"/>
      <c r="D1922"/>
    </row>
    <row r="1923" spans="1:4" x14ac:dyDescent="0.35">
      <c r="A1923" s="24"/>
      <c r="B1923"/>
      <c r="C1923"/>
      <c r="D1923"/>
    </row>
    <row r="1924" spans="1:4" x14ac:dyDescent="0.35">
      <c r="A1924" s="24"/>
      <c r="B1924"/>
      <c r="C1924"/>
      <c r="D1924"/>
    </row>
    <row r="1925" spans="1:4" x14ac:dyDescent="0.35">
      <c r="A1925" s="24"/>
      <c r="B1925"/>
      <c r="C1925"/>
      <c r="D1925"/>
    </row>
    <row r="1926" spans="1:4" x14ac:dyDescent="0.35">
      <c r="A1926" s="24"/>
      <c r="B1926"/>
      <c r="C1926"/>
      <c r="D1926"/>
    </row>
    <row r="1927" spans="1:4" x14ac:dyDescent="0.35">
      <c r="A1927" s="24"/>
      <c r="B1927"/>
      <c r="C1927"/>
      <c r="D1927"/>
    </row>
    <row r="1928" spans="1:4" x14ac:dyDescent="0.35">
      <c r="A1928" s="24"/>
      <c r="B1928"/>
      <c r="C1928"/>
      <c r="D1928"/>
    </row>
    <row r="1929" spans="1:4" x14ac:dyDescent="0.35">
      <c r="A1929" s="24"/>
      <c r="B1929"/>
      <c r="C1929"/>
      <c r="D1929"/>
    </row>
    <row r="1930" spans="1:4" x14ac:dyDescent="0.35">
      <c r="A1930" s="24"/>
      <c r="B1930"/>
      <c r="C1930"/>
      <c r="D1930"/>
    </row>
    <row r="1931" spans="1:4" x14ac:dyDescent="0.35">
      <c r="A1931" s="24"/>
      <c r="B1931"/>
      <c r="C1931"/>
      <c r="D1931"/>
    </row>
    <row r="1932" spans="1:4" x14ac:dyDescent="0.35">
      <c r="A1932" s="24"/>
      <c r="B1932"/>
      <c r="C1932"/>
      <c r="D1932"/>
    </row>
    <row r="1933" spans="1:4" x14ac:dyDescent="0.35">
      <c r="A1933" s="24"/>
      <c r="B1933"/>
      <c r="C1933"/>
      <c r="D1933"/>
    </row>
    <row r="1934" spans="1:4" x14ac:dyDescent="0.35">
      <c r="A1934" s="24"/>
      <c r="B1934"/>
      <c r="C1934"/>
      <c r="D1934"/>
    </row>
    <row r="1935" spans="1:4" x14ac:dyDescent="0.35">
      <c r="A1935" s="24"/>
      <c r="B1935"/>
      <c r="C1935"/>
      <c r="D1935"/>
    </row>
    <row r="1936" spans="1:4" x14ac:dyDescent="0.35">
      <c r="A1936" s="24"/>
      <c r="B1936"/>
      <c r="C1936"/>
      <c r="D1936"/>
    </row>
    <row r="1937" spans="1:4" x14ac:dyDescent="0.35">
      <c r="A1937" s="24"/>
      <c r="B1937"/>
      <c r="C1937"/>
      <c r="D1937"/>
    </row>
    <row r="1938" spans="1:4" x14ac:dyDescent="0.35">
      <c r="A1938" s="24"/>
      <c r="B1938"/>
      <c r="C1938"/>
      <c r="D1938"/>
    </row>
    <row r="1939" spans="1:4" x14ac:dyDescent="0.35">
      <c r="A1939" s="24"/>
      <c r="B1939"/>
      <c r="C1939"/>
      <c r="D1939"/>
    </row>
    <row r="1940" spans="1:4" x14ac:dyDescent="0.35">
      <c r="A1940" s="24"/>
      <c r="B1940"/>
      <c r="C1940"/>
      <c r="D1940"/>
    </row>
    <row r="1941" spans="1:4" x14ac:dyDescent="0.35">
      <c r="A1941" s="24"/>
      <c r="B1941"/>
      <c r="C1941"/>
      <c r="D1941"/>
    </row>
    <row r="1942" spans="1:4" x14ac:dyDescent="0.35">
      <c r="A1942" s="24"/>
      <c r="B1942"/>
      <c r="C1942"/>
      <c r="D1942"/>
    </row>
    <row r="1943" spans="1:4" x14ac:dyDescent="0.35">
      <c r="A1943" s="24"/>
      <c r="B1943"/>
      <c r="C1943"/>
      <c r="D1943"/>
    </row>
    <row r="1944" spans="1:4" x14ac:dyDescent="0.35">
      <c r="A1944" s="24"/>
      <c r="B1944"/>
      <c r="C1944"/>
      <c r="D1944"/>
    </row>
    <row r="1945" spans="1:4" x14ac:dyDescent="0.35">
      <c r="A1945" s="24"/>
      <c r="B1945"/>
      <c r="C1945"/>
      <c r="D1945"/>
    </row>
    <row r="1946" spans="1:4" x14ac:dyDescent="0.35">
      <c r="A1946" s="24"/>
      <c r="B1946"/>
      <c r="C1946"/>
      <c r="D1946"/>
    </row>
    <row r="1947" spans="1:4" x14ac:dyDescent="0.35">
      <c r="A1947" s="24"/>
      <c r="B1947"/>
      <c r="C1947"/>
      <c r="D1947"/>
    </row>
    <row r="1948" spans="1:4" x14ac:dyDescent="0.35">
      <c r="A1948" s="24"/>
      <c r="B1948"/>
      <c r="C1948"/>
      <c r="D1948"/>
    </row>
    <row r="1949" spans="1:4" x14ac:dyDescent="0.35">
      <c r="A1949" s="24"/>
      <c r="B1949"/>
      <c r="C1949"/>
      <c r="D1949"/>
    </row>
    <row r="1950" spans="1:4" x14ac:dyDescent="0.35">
      <c r="A1950" s="24"/>
      <c r="B1950"/>
      <c r="C1950"/>
      <c r="D1950"/>
    </row>
    <row r="1951" spans="1:4" x14ac:dyDescent="0.35">
      <c r="A1951" s="24"/>
      <c r="B1951"/>
      <c r="C1951"/>
      <c r="D1951"/>
    </row>
    <row r="1952" spans="1:4" x14ac:dyDescent="0.35">
      <c r="A1952" s="24"/>
      <c r="B1952"/>
      <c r="C1952"/>
      <c r="D1952"/>
    </row>
    <row r="1953" spans="1:4" x14ac:dyDescent="0.35">
      <c r="A1953" s="24"/>
      <c r="B1953"/>
      <c r="C1953"/>
      <c r="D1953"/>
    </row>
    <row r="1954" spans="1:4" x14ac:dyDescent="0.35">
      <c r="A1954" s="24"/>
      <c r="B1954"/>
      <c r="C1954"/>
      <c r="D1954"/>
    </row>
    <row r="1955" spans="1:4" x14ac:dyDescent="0.35">
      <c r="A1955" s="24"/>
      <c r="B1955"/>
      <c r="C1955"/>
      <c r="D1955"/>
    </row>
    <row r="1956" spans="1:4" x14ac:dyDescent="0.35">
      <c r="A1956" s="24"/>
      <c r="B1956"/>
      <c r="C1956"/>
      <c r="D1956"/>
    </row>
    <row r="1957" spans="1:4" x14ac:dyDescent="0.35">
      <c r="A1957" s="24"/>
      <c r="B1957"/>
      <c r="C1957"/>
      <c r="D1957"/>
    </row>
    <row r="1958" spans="1:4" x14ac:dyDescent="0.35">
      <c r="A1958" s="24"/>
      <c r="B1958"/>
      <c r="C1958"/>
      <c r="D1958"/>
    </row>
    <row r="1959" spans="1:4" x14ac:dyDescent="0.35">
      <c r="A1959" s="24"/>
      <c r="B1959"/>
      <c r="C1959"/>
      <c r="D1959"/>
    </row>
    <row r="1960" spans="1:4" x14ac:dyDescent="0.35">
      <c r="A1960" s="24"/>
      <c r="B1960"/>
      <c r="C1960"/>
      <c r="D1960"/>
    </row>
    <row r="1961" spans="1:4" x14ac:dyDescent="0.35">
      <c r="A1961" s="24"/>
      <c r="B1961"/>
      <c r="C1961"/>
      <c r="D1961"/>
    </row>
    <row r="1962" spans="1:4" x14ac:dyDescent="0.35">
      <c r="A1962" s="24"/>
      <c r="B1962"/>
      <c r="C1962"/>
      <c r="D1962"/>
    </row>
    <row r="1963" spans="1:4" x14ac:dyDescent="0.35">
      <c r="A1963" s="24"/>
      <c r="B1963"/>
      <c r="C1963"/>
      <c r="D1963"/>
    </row>
    <row r="1964" spans="1:4" x14ac:dyDescent="0.35">
      <c r="A1964" s="24"/>
      <c r="B1964"/>
      <c r="C1964"/>
      <c r="D1964"/>
    </row>
    <row r="1965" spans="1:4" x14ac:dyDescent="0.35">
      <c r="A1965" s="24"/>
      <c r="B1965"/>
      <c r="C1965"/>
      <c r="D1965"/>
    </row>
    <row r="1966" spans="1:4" x14ac:dyDescent="0.35">
      <c r="A1966" s="24"/>
      <c r="B1966"/>
      <c r="C1966"/>
      <c r="D1966"/>
    </row>
    <row r="1967" spans="1:4" x14ac:dyDescent="0.35">
      <c r="A1967" s="24"/>
      <c r="B1967"/>
      <c r="C1967"/>
      <c r="D1967"/>
    </row>
    <row r="1968" spans="1:4" x14ac:dyDescent="0.35">
      <c r="A1968" s="24"/>
      <c r="B1968"/>
      <c r="C1968"/>
      <c r="D1968"/>
    </row>
    <row r="1969" spans="1:4" x14ac:dyDescent="0.35">
      <c r="A1969" s="24"/>
      <c r="B1969"/>
      <c r="C1969"/>
      <c r="D1969"/>
    </row>
    <row r="1970" spans="1:4" x14ac:dyDescent="0.35">
      <c r="A1970" s="24"/>
      <c r="B1970"/>
      <c r="C1970"/>
      <c r="D1970"/>
    </row>
    <row r="1971" spans="1:4" x14ac:dyDescent="0.35">
      <c r="A1971" s="24"/>
      <c r="B1971"/>
      <c r="C1971"/>
      <c r="D1971"/>
    </row>
    <row r="1972" spans="1:4" x14ac:dyDescent="0.35">
      <c r="A1972" s="24"/>
      <c r="B1972"/>
      <c r="C1972"/>
      <c r="D1972"/>
    </row>
    <row r="1973" spans="1:4" x14ac:dyDescent="0.35">
      <c r="A1973" s="24"/>
      <c r="B1973"/>
      <c r="C1973"/>
      <c r="D1973"/>
    </row>
    <row r="1974" spans="1:4" x14ac:dyDescent="0.35">
      <c r="A1974" s="24"/>
      <c r="B1974"/>
      <c r="C1974"/>
      <c r="D1974"/>
    </row>
    <row r="1975" spans="1:4" x14ac:dyDescent="0.35">
      <c r="A1975" s="24"/>
      <c r="B1975"/>
      <c r="C1975"/>
      <c r="D1975"/>
    </row>
    <row r="1976" spans="1:4" x14ac:dyDescent="0.35">
      <c r="A1976" s="24"/>
      <c r="B1976"/>
      <c r="C1976"/>
      <c r="D1976"/>
    </row>
    <row r="1977" spans="1:4" x14ac:dyDescent="0.35">
      <c r="A1977" s="24"/>
      <c r="B1977"/>
      <c r="C1977"/>
      <c r="D1977"/>
    </row>
    <row r="1978" spans="1:4" x14ac:dyDescent="0.35">
      <c r="A1978" s="24"/>
      <c r="B1978"/>
      <c r="C1978"/>
      <c r="D1978"/>
    </row>
    <row r="1979" spans="1:4" x14ac:dyDescent="0.35">
      <c r="A1979" s="24"/>
      <c r="B1979"/>
      <c r="C1979"/>
      <c r="D1979"/>
    </row>
    <row r="1980" spans="1:4" x14ac:dyDescent="0.35">
      <c r="A1980" s="24"/>
      <c r="B1980"/>
      <c r="C1980"/>
      <c r="D1980"/>
    </row>
    <row r="1981" spans="1:4" x14ac:dyDescent="0.35">
      <c r="A1981" s="24"/>
      <c r="B1981"/>
      <c r="C1981"/>
      <c r="D1981"/>
    </row>
    <row r="1982" spans="1:4" x14ac:dyDescent="0.35">
      <c r="A1982" s="24"/>
      <c r="B1982"/>
      <c r="C1982"/>
      <c r="D1982"/>
    </row>
    <row r="1983" spans="1:4" x14ac:dyDescent="0.35">
      <c r="A1983" s="24"/>
      <c r="B1983"/>
      <c r="C1983"/>
      <c r="D1983"/>
    </row>
    <row r="1984" spans="1:4" x14ac:dyDescent="0.35">
      <c r="A1984" s="24"/>
      <c r="B1984"/>
      <c r="C1984"/>
      <c r="D1984"/>
    </row>
    <row r="1985" spans="1:4" x14ac:dyDescent="0.35">
      <c r="A1985" s="24"/>
      <c r="B1985"/>
      <c r="C1985"/>
      <c r="D1985"/>
    </row>
    <row r="1986" spans="1:4" x14ac:dyDescent="0.35">
      <c r="A1986" s="24"/>
      <c r="B1986"/>
      <c r="C1986"/>
      <c r="D1986"/>
    </row>
    <row r="1987" spans="1:4" x14ac:dyDescent="0.35">
      <c r="A1987" s="24"/>
      <c r="B1987"/>
      <c r="C1987"/>
      <c r="D1987"/>
    </row>
    <row r="1988" spans="1:4" x14ac:dyDescent="0.35">
      <c r="A1988" s="24"/>
      <c r="B1988"/>
      <c r="C1988"/>
      <c r="D1988"/>
    </row>
    <row r="1989" spans="1:4" x14ac:dyDescent="0.35">
      <c r="A1989" s="24"/>
      <c r="B1989"/>
      <c r="C1989"/>
      <c r="D1989"/>
    </row>
    <row r="1990" spans="1:4" x14ac:dyDescent="0.35">
      <c r="A1990" s="24"/>
      <c r="B1990"/>
      <c r="C1990"/>
      <c r="D1990"/>
    </row>
    <row r="1991" spans="1:4" x14ac:dyDescent="0.35">
      <c r="A1991" s="24"/>
      <c r="B1991"/>
      <c r="C1991"/>
      <c r="D1991"/>
    </row>
    <row r="1992" spans="1:4" x14ac:dyDescent="0.35">
      <c r="A1992" s="24"/>
      <c r="B1992"/>
      <c r="C1992"/>
      <c r="D1992"/>
    </row>
    <row r="1993" spans="1:4" x14ac:dyDescent="0.35">
      <c r="A1993" s="24"/>
      <c r="B1993"/>
      <c r="C1993"/>
      <c r="D1993"/>
    </row>
    <row r="1994" spans="1:4" x14ac:dyDescent="0.35">
      <c r="A1994" s="24"/>
      <c r="B1994"/>
      <c r="C1994"/>
      <c r="D1994"/>
    </row>
    <row r="1995" spans="1:4" x14ac:dyDescent="0.35">
      <c r="A1995" s="24"/>
      <c r="B1995"/>
      <c r="C1995"/>
      <c r="D1995"/>
    </row>
    <row r="1996" spans="1:4" x14ac:dyDescent="0.35">
      <c r="A1996" s="24"/>
      <c r="B1996"/>
      <c r="C1996"/>
      <c r="D1996"/>
    </row>
    <row r="1997" spans="1:4" x14ac:dyDescent="0.35">
      <c r="A1997" s="24"/>
      <c r="B1997"/>
      <c r="C1997"/>
      <c r="D1997"/>
    </row>
    <row r="1998" spans="1:4" x14ac:dyDescent="0.35">
      <c r="A1998" s="24"/>
      <c r="B1998"/>
      <c r="C1998"/>
      <c r="D1998"/>
    </row>
    <row r="1999" spans="1:4" x14ac:dyDescent="0.35">
      <c r="A1999" s="24"/>
      <c r="B1999"/>
      <c r="C1999"/>
      <c r="D1999"/>
    </row>
    <row r="2000" spans="1:4" x14ac:dyDescent="0.35">
      <c r="A2000" s="24"/>
      <c r="B2000"/>
      <c r="C2000"/>
      <c r="D2000"/>
    </row>
    <row r="2001" spans="1:4" x14ac:dyDescent="0.35">
      <c r="A2001" s="24"/>
      <c r="B2001"/>
      <c r="C2001"/>
      <c r="D2001"/>
    </row>
    <row r="2002" spans="1:4" x14ac:dyDescent="0.35">
      <c r="A2002" s="24"/>
      <c r="B2002"/>
      <c r="C2002"/>
      <c r="D2002"/>
    </row>
    <row r="2003" spans="1:4" x14ac:dyDescent="0.35">
      <c r="A2003" s="24"/>
      <c r="B2003"/>
      <c r="C2003"/>
      <c r="D2003"/>
    </row>
    <row r="2004" spans="1:4" x14ac:dyDescent="0.35">
      <c r="A2004" s="24"/>
      <c r="B2004"/>
      <c r="C2004"/>
      <c r="D2004"/>
    </row>
    <row r="2005" spans="1:4" x14ac:dyDescent="0.35">
      <c r="A2005" s="24"/>
      <c r="B2005"/>
      <c r="C2005"/>
      <c r="D2005"/>
    </row>
    <row r="2006" spans="1:4" x14ac:dyDescent="0.35">
      <c r="A2006" s="24"/>
      <c r="B2006"/>
      <c r="C2006"/>
      <c r="D2006"/>
    </row>
    <row r="2007" spans="1:4" x14ac:dyDescent="0.35">
      <c r="A2007" s="24"/>
      <c r="B2007"/>
      <c r="C2007"/>
      <c r="D2007"/>
    </row>
    <row r="2008" spans="1:4" x14ac:dyDescent="0.35">
      <c r="A2008" s="24"/>
      <c r="B2008"/>
      <c r="C2008"/>
      <c r="D2008"/>
    </row>
    <row r="2009" spans="1:4" x14ac:dyDescent="0.35">
      <c r="A2009" s="24"/>
      <c r="B2009"/>
      <c r="C2009"/>
      <c r="D2009"/>
    </row>
    <row r="2010" spans="1:4" x14ac:dyDescent="0.35">
      <c r="A2010" s="24"/>
      <c r="B2010"/>
      <c r="C2010"/>
      <c r="D2010"/>
    </row>
    <row r="2011" spans="1:4" x14ac:dyDescent="0.35">
      <c r="A2011" s="24"/>
      <c r="B2011"/>
      <c r="C2011"/>
      <c r="D2011"/>
    </row>
    <row r="2012" spans="1:4" x14ac:dyDescent="0.35">
      <c r="A2012" s="24"/>
      <c r="B2012"/>
      <c r="C2012"/>
      <c r="D2012"/>
    </row>
    <row r="2013" spans="1:4" x14ac:dyDescent="0.35">
      <c r="A2013" s="24"/>
      <c r="B2013"/>
      <c r="C2013"/>
      <c r="D2013"/>
    </row>
    <row r="2014" spans="1:4" x14ac:dyDescent="0.35">
      <c r="A2014" s="24"/>
      <c r="B2014"/>
      <c r="C2014"/>
      <c r="D2014"/>
    </row>
    <row r="2015" spans="1:4" x14ac:dyDescent="0.35">
      <c r="A2015" s="24"/>
      <c r="B2015"/>
      <c r="C2015"/>
      <c r="D2015"/>
    </row>
    <row r="2016" spans="1:4" x14ac:dyDescent="0.35">
      <c r="A2016" s="24"/>
      <c r="B2016"/>
      <c r="C2016"/>
      <c r="D2016"/>
    </row>
    <row r="2017" spans="1:4" x14ac:dyDescent="0.35">
      <c r="A2017" s="24"/>
      <c r="B2017"/>
      <c r="C2017"/>
      <c r="D2017"/>
    </row>
    <row r="2018" spans="1:4" x14ac:dyDescent="0.35">
      <c r="A2018" s="24"/>
      <c r="B2018"/>
      <c r="C2018"/>
      <c r="D2018"/>
    </row>
    <row r="2019" spans="1:4" x14ac:dyDescent="0.35">
      <c r="A2019" s="24"/>
      <c r="B2019"/>
      <c r="C2019"/>
      <c r="D2019"/>
    </row>
    <row r="2020" spans="1:4" x14ac:dyDescent="0.35">
      <c r="A2020" s="24"/>
      <c r="B2020"/>
      <c r="C2020"/>
      <c r="D2020"/>
    </row>
    <row r="2021" spans="1:4" x14ac:dyDescent="0.35">
      <c r="A2021" s="24"/>
      <c r="B2021"/>
      <c r="C2021"/>
      <c r="D2021"/>
    </row>
    <row r="2022" spans="1:4" x14ac:dyDescent="0.35">
      <c r="A2022" s="24"/>
      <c r="B2022"/>
      <c r="C2022"/>
      <c r="D2022"/>
    </row>
    <row r="2023" spans="1:4" x14ac:dyDescent="0.35">
      <c r="A2023" s="24"/>
      <c r="B2023"/>
      <c r="C2023"/>
      <c r="D2023"/>
    </row>
    <row r="2024" spans="1:4" x14ac:dyDescent="0.35">
      <c r="A2024" s="24"/>
      <c r="B2024"/>
      <c r="C2024"/>
      <c r="D2024"/>
    </row>
    <row r="2025" spans="1:4" x14ac:dyDescent="0.35">
      <c r="A2025" s="24"/>
      <c r="B2025"/>
      <c r="C2025"/>
      <c r="D2025"/>
    </row>
    <row r="2026" spans="1:4" x14ac:dyDescent="0.35">
      <c r="A2026" s="24"/>
      <c r="B2026"/>
      <c r="C2026"/>
      <c r="D2026"/>
    </row>
    <row r="2027" spans="1:4" x14ac:dyDescent="0.35">
      <c r="A2027" s="24"/>
      <c r="B2027"/>
      <c r="C2027"/>
      <c r="D2027"/>
    </row>
    <row r="2028" spans="1:4" x14ac:dyDescent="0.35">
      <c r="A2028" s="24"/>
      <c r="B2028"/>
      <c r="C2028"/>
      <c r="D2028"/>
    </row>
    <row r="2029" spans="1:4" x14ac:dyDescent="0.35">
      <c r="A2029" s="24"/>
      <c r="B2029"/>
      <c r="C2029"/>
      <c r="D2029"/>
    </row>
    <row r="2030" spans="1:4" x14ac:dyDescent="0.35">
      <c r="A2030" s="24"/>
      <c r="B2030"/>
      <c r="C2030"/>
      <c r="D2030"/>
    </row>
    <row r="2031" spans="1:4" x14ac:dyDescent="0.35">
      <c r="A2031" s="24"/>
      <c r="B2031"/>
      <c r="C2031"/>
      <c r="D2031"/>
    </row>
    <row r="2032" spans="1:4" x14ac:dyDescent="0.35">
      <c r="A2032" s="24"/>
      <c r="B2032"/>
      <c r="C2032"/>
      <c r="D2032"/>
    </row>
    <row r="2033" spans="1:4" x14ac:dyDescent="0.35">
      <c r="A2033" s="24"/>
      <c r="B2033"/>
      <c r="C2033"/>
      <c r="D2033"/>
    </row>
    <row r="2034" spans="1:4" x14ac:dyDescent="0.35">
      <c r="A2034" s="24"/>
      <c r="B2034"/>
      <c r="C2034"/>
      <c r="D2034"/>
    </row>
    <row r="2035" spans="1:4" x14ac:dyDescent="0.35">
      <c r="A2035" s="24"/>
      <c r="B2035"/>
      <c r="C2035"/>
      <c r="D2035"/>
    </row>
    <row r="2036" spans="1:4" x14ac:dyDescent="0.35">
      <c r="A2036" s="24"/>
      <c r="B2036"/>
      <c r="C2036"/>
      <c r="D2036"/>
    </row>
    <row r="2037" spans="1:4" x14ac:dyDescent="0.35">
      <c r="A2037" s="24"/>
      <c r="B2037"/>
      <c r="C2037"/>
      <c r="D2037"/>
    </row>
    <row r="2038" spans="1:4" x14ac:dyDescent="0.35">
      <c r="A2038" s="24"/>
      <c r="B2038"/>
      <c r="C2038"/>
      <c r="D2038"/>
    </row>
    <row r="2039" spans="1:4" x14ac:dyDescent="0.35">
      <c r="A2039" s="24"/>
      <c r="B2039"/>
      <c r="C2039"/>
      <c r="D2039"/>
    </row>
    <row r="2040" spans="1:4" x14ac:dyDescent="0.35">
      <c r="A2040" s="24"/>
      <c r="B2040"/>
      <c r="C2040"/>
      <c r="D2040"/>
    </row>
    <row r="2041" spans="1:4" x14ac:dyDescent="0.35">
      <c r="A2041" s="24"/>
      <c r="B2041"/>
      <c r="C2041"/>
      <c r="D2041"/>
    </row>
    <row r="2042" spans="1:4" x14ac:dyDescent="0.35">
      <c r="A2042" s="24"/>
      <c r="B2042"/>
      <c r="C2042"/>
      <c r="D2042"/>
    </row>
    <row r="2043" spans="1:4" x14ac:dyDescent="0.35">
      <c r="A2043" s="24"/>
      <c r="B2043"/>
      <c r="C2043"/>
      <c r="D2043"/>
    </row>
    <row r="2044" spans="1:4" x14ac:dyDescent="0.35">
      <c r="A2044" s="24"/>
      <c r="B2044"/>
      <c r="C2044"/>
      <c r="D2044"/>
    </row>
    <row r="2045" spans="1:4" x14ac:dyDescent="0.35">
      <c r="A2045" s="24"/>
      <c r="B2045"/>
      <c r="C2045"/>
      <c r="D2045"/>
    </row>
    <row r="2046" spans="1:4" x14ac:dyDescent="0.35">
      <c r="A2046" s="24"/>
      <c r="B2046"/>
      <c r="C2046"/>
      <c r="D2046"/>
    </row>
    <row r="2047" spans="1:4" x14ac:dyDescent="0.35">
      <c r="A2047" s="24"/>
      <c r="B2047"/>
      <c r="C2047"/>
      <c r="D2047"/>
    </row>
    <row r="2048" spans="1:4" x14ac:dyDescent="0.35">
      <c r="A2048" s="24"/>
      <c r="B2048"/>
      <c r="C2048"/>
      <c r="D2048"/>
    </row>
    <row r="2049" spans="1:4" x14ac:dyDescent="0.35">
      <c r="A2049" s="24"/>
      <c r="B2049"/>
      <c r="C2049"/>
      <c r="D2049"/>
    </row>
    <row r="2050" spans="1:4" x14ac:dyDescent="0.35">
      <c r="A2050" s="24"/>
      <c r="B2050"/>
      <c r="C2050"/>
      <c r="D2050"/>
    </row>
    <row r="2051" spans="1:4" x14ac:dyDescent="0.35">
      <c r="A2051" s="24"/>
      <c r="B2051"/>
      <c r="C2051"/>
      <c r="D2051"/>
    </row>
    <row r="2052" spans="1:4" x14ac:dyDescent="0.35">
      <c r="A2052" s="24"/>
      <c r="B2052"/>
      <c r="C2052"/>
      <c r="D2052"/>
    </row>
    <row r="2053" spans="1:4" x14ac:dyDescent="0.35">
      <c r="A2053" s="24"/>
      <c r="B2053"/>
      <c r="C2053"/>
      <c r="D2053"/>
    </row>
    <row r="2054" spans="1:4" x14ac:dyDescent="0.35">
      <c r="A2054" s="24"/>
      <c r="B2054"/>
      <c r="C2054"/>
      <c r="D2054"/>
    </row>
    <row r="2055" spans="1:4" x14ac:dyDescent="0.35">
      <c r="A2055" s="24"/>
      <c r="B2055"/>
      <c r="C2055"/>
      <c r="D2055"/>
    </row>
    <row r="2056" spans="1:4" x14ac:dyDescent="0.35">
      <c r="A2056" s="24"/>
      <c r="B2056"/>
      <c r="C2056"/>
      <c r="D2056"/>
    </row>
    <row r="2057" spans="1:4" x14ac:dyDescent="0.35">
      <c r="A2057" s="24"/>
      <c r="B2057"/>
      <c r="C2057"/>
      <c r="D2057"/>
    </row>
    <row r="2058" spans="1:4" x14ac:dyDescent="0.35">
      <c r="A2058" s="24"/>
      <c r="B2058"/>
      <c r="C2058"/>
      <c r="D2058"/>
    </row>
    <row r="2059" spans="1:4" x14ac:dyDescent="0.35">
      <c r="A2059" s="24"/>
      <c r="B2059"/>
      <c r="C2059"/>
      <c r="D2059"/>
    </row>
    <row r="2060" spans="1:4" x14ac:dyDescent="0.35">
      <c r="A2060" s="24"/>
      <c r="B2060"/>
      <c r="C2060"/>
      <c r="D2060"/>
    </row>
    <row r="2061" spans="1:4" x14ac:dyDescent="0.35">
      <c r="A2061" s="24"/>
      <c r="B2061"/>
      <c r="C2061"/>
      <c r="D2061"/>
    </row>
    <row r="2062" spans="1:4" x14ac:dyDescent="0.35">
      <c r="A2062" s="24"/>
      <c r="B2062"/>
      <c r="C2062"/>
      <c r="D2062"/>
    </row>
    <row r="2063" spans="1:4" x14ac:dyDescent="0.35">
      <c r="A2063" s="24"/>
      <c r="B2063"/>
      <c r="C2063"/>
      <c r="D2063"/>
    </row>
    <row r="2064" spans="1:4" x14ac:dyDescent="0.35">
      <c r="A2064" s="24"/>
      <c r="B2064"/>
      <c r="C2064"/>
      <c r="D2064"/>
    </row>
    <row r="2065" spans="1:4" x14ac:dyDescent="0.35">
      <c r="A2065" s="24"/>
      <c r="B2065"/>
      <c r="C2065"/>
      <c r="D2065"/>
    </row>
    <row r="2066" spans="1:4" x14ac:dyDescent="0.35">
      <c r="A2066" s="24"/>
      <c r="B2066"/>
      <c r="C2066"/>
      <c r="D2066"/>
    </row>
    <row r="2067" spans="1:4" x14ac:dyDescent="0.35">
      <c r="A2067" s="24"/>
      <c r="B2067"/>
      <c r="C2067"/>
      <c r="D2067"/>
    </row>
    <row r="2068" spans="1:4" x14ac:dyDescent="0.35">
      <c r="A2068" s="24"/>
      <c r="B2068"/>
      <c r="C2068"/>
      <c r="D2068"/>
    </row>
    <row r="2069" spans="1:4" x14ac:dyDescent="0.35">
      <c r="A2069" s="24"/>
      <c r="B2069"/>
      <c r="C2069"/>
      <c r="D2069"/>
    </row>
    <row r="2070" spans="1:4" x14ac:dyDescent="0.35">
      <c r="A2070" s="24"/>
      <c r="B2070"/>
      <c r="C2070"/>
      <c r="D2070"/>
    </row>
    <row r="2071" spans="1:4" x14ac:dyDescent="0.35">
      <c r="A2071" s="24"/>
      <c r="B2071"/>
      <c r="C2071"/>
      <c r="D2071"/>
    </row>
    <row r="2072" spans="1:4" x14ac:dyDescent="0.35">
      <c r="A2072" s="24"/>
      <c r="B2072"/>
      <c r="C2072"/>
      <c r="D2072"/>
    </row>
    <row r="2073" spans="1:4" x14ac:dyDescent="0.35">
      <c r="A2073" s="24"/>
      <c r="B2073"/>
      <c r="C2073"/>
      <c r="D2073"/>
    </row>
    <row r="2074" spans="1:4" x14ac:dyDescent="0.35">
      <c r="A2074" s="24"/>
      <c r="B2074"/>
      <c r="C2074"/>
      <c r="D2074"/>
    </row>
    <row r="2075" spans="1:4" x14ac:dyDescent="0.35">
      <c r="A2075" s="24"/>
      <c r="B2075"/>
      <c r="C2075"/>
      <c r="D2075"/>
    </row>
    <row r="2076" spans="1:4" x14ac:dyDescent="0.35">
      <c r="A2076" s="24"/>
      <c r="B2076"/>
      <c r="C2076"/>
      <c r="D2076"/>
    </row>
    <row r="2077" spans="1:4" x14ac:dyDescent="0.35">
      <c r="A2077" s="24"/>
      <c r="B2077"/>
      <c r="C2077"/>
      <c r="D2077"/>
    </row>
    <row r="2078" spans="1:4" x14ac:dyDescent="0.35">
      <c r="A2078" s="24"/>
      <c r="B2078"/>
      <c r="C2078"/>
      <c r="D2078"/>
    </row>
    <row r="2079" spans="1:4" x14ac:dyDescent="0.35">
      <c r="A2079" s="24"/>
      <c r="B2079"/>
      <c r="C2079"/>
      <c r="D2079"/>
    </row>
    <row r="2080" spans="1:4" x14ac:dyDescent="0.35">
      <c r="A2080" s="24"/>
      <c r="B2080"/>
      <c r="C2080"/>
      <c r="D2080"/>
    </row>
    <row r="2081" spans="1:4" x14ac:dyDescent="0.35">
      <c r="A2081" s="24"/>
      <c r="B2081"/>
      <c r="C2081"/>
      <c r="D2081"/>
    </row>
    <row r="2082" spans="1:4" x14ac:dyDescent="0.35">
      <c r="A2082" s="24"/>
      <c r="B2082"/>
      <c r="C2082"/>
      <c r="D2082"/>
    </row>
    <row r="2083" spans="1:4" x14ac:dyDescent="0.35">
      <c r="A2083" s="24"/>
      <c r="B2083"/>
      <c r="C2083"/>
      <c r="D2083"/>
    </row>
    <row r="2084" spans="1:4" x14ac:dyDescent="0.35">
      <c r="A2084" s="24"/>
      <c r="B2084"/>
      <c r="C2084"/>
      <c r="D2084"/>
    </row>
    <row r="2085" spans="1:4" x14ac:dyDescent="0.35">
      <c r="A2085" s="24"/>
      <c r="B2085"/>
      <c r="C2085"/>
      <c r="D2085"/>
    </row>
    <row r="2086" spans="1:4" x14ac:dyDescent="0.35">
      <c r="A2086" s="24"/>
      <c r="B2086"/>
      <c r="C2086"/>
      <c r="D2086"/>
    </row>
    <row r="2087" spans="1:4" x14ac:dyDescent="0.35">
      <c r="A2087" s="24"/>
      <c r="B2087"/>
      <c r="C2087"/>
      <c r="D2087"/>
    </row>
    <row r="2088" spans="1:4" x14ac:dyDescent="0.35">
      <c r="A2088" s="24"/>
      <c r="B2088"/>
      <c r="C2088"/>
      <c r="D2088"/>
    </row>
    <row r="2089" spans="1:4" x14ac:dyDescent="0.35">
      <c r="A2089" s="24"/>
      <c r="B2089"/>
      <c r="C2089"/>
      <c r="D2089"/>
    </row>
    <row r="2090" spans="1:4" x14ac:dyDescent="0.35">
      <c r="A2090" s="24"/>
      <c r="B2090"/>
      <c r="C2090"/>
      <c r="D2090"/>
    </row>
    <row r="2091" spans="1:4" x14ac:dyDescent="0.35">
      <c r="A2091" s="24"/>
      <c r="B2091"/>
      <c r="C2091"/>
      <c r="D2091"/>
    </row>
    <row r="2092" spans="1:4" x14ac:dyDescent="0.35">
      <c r="A2092" s="24"/>
      <c r="B2092"/>
      <c r="C2092"/>
      <c r="D2092"/>
    </row>
    <row r="2093" spans="1:4" x14ac:dyDescent="0.35">
      <c r="A2093" s="24"/>
      <c r="B2093"/>
      <c r="C2093"/>
      <c r="D2093"/>
    </row>
    <row r="2094" spans="1:4" x14ac:dyDescent="0.35">
      <c r="A2094" s="24"/>
      <c r="B2094"/>
      <c r="C2094"/>
      <c r="D2094"/>
    </row>
    <row r="2095" spans="1:4" x14ac:dyDescent="0.35">
      <c r="A2095" s="24"/>
      <c r="B2095"/>
      <c r="C2095"/>
      <c r="D2095"/>
    </row>
    <row r="2096" spans="1:4" x14ac:dyDescent="0.35">
      <c r="A2096" s="24"/>
      <c r="B2096"/>
      <c r="C2096"/>
      <c r="D2096"/>
    </row>
    <row r="2097" spans="1:4" x14ac:dyDescent="0.35">
      <c r="A2097" s="24"/>
      <c r="B2097"/>
      <c r="C2097"/>
      <c r="D2097"/>
    </row>
    <row r="2098" spans="1:4" x14ac:dyDescent="0.35">
      <c r="A2098" s="24"/>
      <c r="B2098"/>
      <c r="C2098"/>
      <c r="D2098"/>
    </row>
    <row r="2099" spans="1:4" x14ac:dyDescent="0.35">
      <c r="A2099" s="24"/>
      <c r="B2099"/>
      <c r="C2099"/>
      <c r="D2099"/>
    </row>
    <row r="2100" spans="1:4" x14ac:dyDescent="0.35">
      <c r="A2100" s="24"/>
      <c r="B2100"/>
      <c r="C2100"/>
      <c r="D2100"/>
    </row>
    <row r="2101" spans="1:4" x14ac:dyDescent="0.35">
      <c r="A2101" s="24"/>
      <c r="B2101"/>
      <c r="C2101"/>
      <c r="D2101"/>
    </row>
    <row r="2102" spans="1:4" x14ac:dyDescent="0.35">
      <c r="A2102" s="24"/>
      <c r="B2102"/>
      <c r="C2102"/>
      <c r="D2102"/>
    </row>
    <row r="2103" spans="1:4" x14ac:dyDescent="0.35">
      <c r="A2103" s="24"/>
      <c r="B2103"/>
      <c r="C2103"/>
      <c r="D2103"/>
    </row>
    <row r="2104" spans="1:4" x14ac:dyDescent="0.35">
      <c r="A2104" s="24"/>
      <c r="B2104"/>
      <c r="C2104"/>
      <c r="D2104"/>
    </row>
    <row r="2105" spans="1:4" x14ac:dyDescent="0.35">
      <c r="A2105" s="24"/>
      <c r="B2105"/>
      <c r="C2105"/>
      <c r="D2105"/>
    </row>
    <row r="2106" spans="1:4" x14ac:dyDescent="0.35">
      <c r="A2106" s="24"/>
      <c r="B2106"/>
      <c r="C2106"/>
      <c r="D2106"/>
    </row>
    <row r="2107" spans="1:4" x14ac:dyDescent="0.35">
      <c r="A2107" s="24"/>
      <c r="B2107"/>
      <c r="C2107"/>
      <c r="D2107"/>
    </row>
    <row r="2108" spans="1:4" x14ac:dyDescent="0.35">
      <c r="A2108" s="24"/>
      <c r="B2108"/>
      <c r="C2108"/>
      <c r="D2108"/>
    </row>
    <row r="2109" spans="1:4" x14ac:dyDescent="0.35">
      <c r="A2109" s="24"/>
      <c r="B2109"/>
      <c r="C2109"/>
      <c r="D2109"/>
    </row>
    <row r="2110" spans="1:4" x14ac:dyDescent="0.35">
      <c r="A2110" s="24"/>
      <c r="B2110"/>
      <c r="C2110"/>
      <c r="D2110"/>
    </row>
    <row r="2111" spans="1:4" x14ac:dyDescent="0.35">
      <c r="A2111" s="24"/>
      <c r="B2111"/>
      <c r="C2111"/>
      <c r="D2111"/>
    </row>
    <row r="2112" spans="1:4" x14ac:dyDescent="0.35">
      <c r="A2112" s="24"/>
      <c r="B2112"/>
      <c r="C2112"/>
      <c r="D2112"/>
    </row>
    <row r="2113" spans="1:4" x14ac:dyDescent="0.35">
      <c r="A2113" s="24"/>
      <c r="B2113"/>
      <c r="C2113"/>
      <c r="D2113"/>
    </row>
    <row r="2114" spans="1:4" x14ac:dyDescent="0.35">
      <c r="A2114" s="24"/>
      <c r="B2114"/>
      <c r="C2114"/>
      <c r="D2114"/>
    </row>
    <row r="2115" spans="1:4" x14ac:dyDescent="0.35">
      <c r="A2115" s="24"/>
      <c r="B2115"/>
      <c r="C2115"/>
      <c r="D2115"/>
    </row>
    <row r="2116" spans="1:4" x14ac:dyDescent="0.35">
      <c r="A2116" s="24"/>
      <c r="B2116"/>
      <c r="C2116"/>
      <c r="D2116"/>
    </row>
    <row r="2117" spans="1:4" x14ac:dyDescent="0.35">
      <c r="A2117" s="24"/>
      <c r="B2117"/>
      <c r="C2117"/>
      <c r="D2117"/>
    </row>
    <row r="2118" spans="1:4" x14ac:dyDescent="0.35">
      <c r="A2118" s="24"/>
      <c r="B2118"/>
      <c r="C2118"/>
      <c r="D2118"/>
    </row>
    <row r="2119" spans="1:4" x14ac:dyDescent="0.35">
      <c r="A2119" s="24"/>
      <c r="B2119"/>
      <c r="C2119"/>
      <c r="D2119"/>
    </row>
    <row r="2120" spans="1:4" x14ac:dyDescent="0.35">
      <c r="A2120" s="24"/>
      <c r="B2120"/>
      <c r="C2120"/>
      <c r="D2120"/>
    </row>
    <row r="2121" spans="1:4" x14ac:dyDescent="0.35">
      <c r="A2121" s="24"/>
      <c r="B2121"/>
      <c r="C2121"/>
      <c r="D2121"/>
    </row>
    <row r="2122" spans="1:4" x14ac:dyDescent="0.35">
      <c r="A2122" s="24"/>
      <c r="B2122"/>
      <c r="C2122"/>
      <c r="D2122"/>
    </row>
    <row r="2123" spans="1:4" x14ac:dyDescent="0.35">
      <c r="A2123" s="24"/>
      <c r="B2123"/>
      <c r="C2123"/>
      <c r="D2123"/>
    </row>
    <row r="2124" spans="1:4" x14ac:dyDescent="0.35">
      <c r="A2124" s="24"/>
      <c r="B2124"/>
      <c r="C2124"/>
      <c r="D2124"/>
    </row>
    <row r="2125" spans="1:4" x14ac:dyDescent="0.35">
      <c r="A2125" s="24"/>
      <c r="B2125"/>
      <c r="C2125"/>
      <c r="D2125"/>
    </row>
    <row r="2126" spans="1:4" x14ac:dyDescent="0.35">
      <c r="A2126" s="24"/>
      <c r="B2126"/>
      <c r="C2126"/>
      <c r="D2126"/>
    </row>
    <row r="2127" spans="1:4" x14ac:dyDescent="0.35">
      <c r="A2127" s="24"/>
      <c r="B2127"/>
      <c r="C2127"/>
      <c r="D2127"/>
    </row>
    <row r="2128" spans="1:4" x14ac:dyDescent="0.35">
      <c r="A2128" s="24"/>
      <c r="B2128"/>
      <c r="C2128"/>
      <c r="D2128"/>
    </row>
    <row r="2129" spans="1:4" x14ac:dyDescent="0.35">
      <c r="A2129" s="24"/>
      <c r="B2129"/>
      <c r="C2129"/>
      <c r="D2129"/>
    </row>
    <row r="2130" spans="1:4" x14ac:dyDescent="0.35">
      <c r="A2130" s="24"/>
      <c r="B2130"/>
      <c r="C2130"/>
      <c r="D2130"/>
    </row>
    <row r="2131" spans="1:4" x14ac:dyDescent="0.35">
      <c r="A2131" s="24"/>
      <c r="B2131"/>
      <c r="C2131"/>
      <c r="D2131"/>
    </row>
    <row r="2132" spans="1:4" x14ac:dyDescent="0.35">
      <c r="A2132" s="24"/>
      <c r="B2132"/>
      <c r="C2132"/>
      <c r="D2132"/>
    </row>
    <row r="2133" spans="1:4" x14ac:dyDescent="0.35">
      <c r="A2133" s="24"/>
      <c r="B2133"/>
      <c r="C2133"/>
      <c r="D2133"/>
    </row>
    <row r="2134" spans="1:4" x14ac:dyDescent="0.35">
      <c r="A2134" s="24"/>
      <c r="B2134"/>
      <c r="C2134"/>
      <c r="D2134"/>
    </row>
    <row r="2135" spans="1:4" x14ac:dyDescent="0.35">
      <c r="A2135" s="24"/>
      <c r="B2135"/>
      <c r="C2135"/>
      <c r="D2135"/>
    </row>
    <row r="2136" spans="1:4" x14ac:dyDescent="0.35">
      <c r="A2136" s="24"/>
      <c r="B2136"/>
      <c r="C2136"/>
      <c r="D2136"/>
    </row>
    <row r="2137" spans="1:4" x14ac:dyDescent="0.35">
      <c r="A2137" s="24"/>
      <c r="B2137"/>
      <c r="C2137"/>
      <c r="D2137"/>
    </row>
    <row r="2138" spans="1:4" x14ac:dyDescent="0.35">
      <c r="A2138" s="24"/>
      <c r="B2138"/>
      <c r="C2138"/>
      <c r="D2138"/>
    </row>
    <row r="2139" spans="1:4" x14ac:dyDescent="0.35">
      <c r="A2139" s="24"/>
      <c r="B2139"/>
      <c r="C2139"/>
      <c r="D2139"/>
    </row>
    <row r="2140" spans="1:4" x14ac:dyDescent="0.35">
      <c r="A2140" s="24"/>
      <c r="B2140"/>
      <c r="C2140"/>
      <c r="D2140"/>
    </row>
    <row r="2141" spans="1:4" x14ac:dyDescent="0.35">
      <c r="A2141" s="24"/>
      <c r="B2141"/>
      <c r="C2141"/>
      <c r="D2141"/>
    </row>
    <row r="2142" spans="1:4" x14ac:dyDescent="0.35">
      <c r="A2142" s="24"/>
      <c r="B2142"/>
      <c r="C2142"/>
      <c r="D2142"/>
    </row>
    <row r="2143" spans="1:4" x14ac:dyDescent="0.35">
      <c r="A2143" s="24"/>
      <c r="B2143"/>
      <c r="C2143"/>
      <c r="D2143"/>
    </row>
    <row r="2144" spans="1:4" x14ac:dyDescent="0.35">
      <c r="A2144" s="24"/>
      <c r="B2144"/>
      <c r="C2144"/>
      <c r="D2144"/>
    </row>
    <row r="2145" spans="1:4" x14ac:dyDescent="0.35">
      <c r="A2145" s="24"/>
      <c r="B2145"/>
      <c r="C2145"/>
      <c r="D2145"/>
    </row>
    <row r="2146" spans="1:4" x14ac:dyDescent="0.35">
      <c r="A2146" s="24"/>
      <c r="B2146"/>
      <c r="C2146"/>
      <c r="D2146"/>
    </row>
    <row r="2147" spans="1:4" x14ac:dyDescent="0.35">
      <c r="A2147" s="24"/>
      <c r="B2147"/>
      <c r="C2147"/>
      <c r="D2147"/>
    </row>
    <row r="2148" spans="1:4" x14ac:dyDescent="0.35">
      <c r="A2148" s="24"/>
      <c r="B2148"/>
      <c r="C2148"/>
      <c r="D2148"/>
    </row>
    <row r="2149" spans="1:4" x14ac:dyDescent="0.35">
      <c r="A2149" s="24"/>
      <c r="B2149"/>
      <c r="C2149"/>
      <c r="D2149"/>
    </row>
    <row r="2150" spans="1:4" x14ac:dyDescent="0.35">
      <c r="A2150" s="24"/>
      <c r="B2150"/>
      <c r="C2150"/>
      <c r="D2150"/>
    </row>
    <row r="2151" spans="1:4" x14ac:dyDescent="0.35">
      <c r="A2151" s="24"/>
      <c r="B2151"/>
      <c r="C2151"/>
      <c r="D2151"/>
    </row>
    <row r="2152" spans="1:4" x14ac:dyDescent="0.35">
      <c r="A2152" s="24"/>
      <c r="B2152"/>
      <c r="C2152"/>
      <c r="D2152"/>
    </row>
    <row r="2153" spans="1:4" x14ac:dyDescent="0.35">
      <c r="A2153" s="24"/>
      <c r="B2153"/>
      <c r="C2153"/>
      <c r="D2153"/>
    </row>
    <row r="2154" spans="1:4" x14ac:dyDescent="0.35">
      <c r="A2154" s="24"/>
      <c r="B2154"/>
      <c r="C2154"/>
      <c r="D2154"/>
    </row>
    <row r="2155" spans="1:4" x14ac:dyDescent="0.35">
      <c r="A2155" s="24"/>
      <c r="B2155"/>
      <c r="C2155"/>
      <c r="D2155"/>
    </row>
    <row r="2156" spans="1:4" x14ac:dyDescent="0.35">
      <c r="A2156" s="24"/>
      <c r="B2156"/>
      <c r="C2156"/>
      <c r="D2156"/>
    </row>
    <row r="2157" spans="1:4" x14ac:dyDescent="0.35">
      <c r="A2157" s="24"/>
      <c r="B2157"/>
      <c r="C2157"/>
      <c r="D2157"/>
    </row>
    <row r="2158" spans="1:4" x14ac:dyDescent="0.35">
      <c r="A2158" s="24"/>
      <c r="B2158"/>
      <c r="C2158"/>
      <c r="D2158"/>
    </row>
    <row r="2159" spans="1:4" x14ac:dyDescent="0.35">
      <c r="A2159" s="24"/>
      <c r="B2159"/>
      <c r="C2159"/>
      <c r="D2159"/>
    </row>
    <row r="2160" spans="1:4" x14ac:dyDescent="0.35">
      <c r="A2160" s="24"/>
      <c r="B2160"/>
      <c r="C2160"/>
      <c r="D2160"/>
    </row>
    <row r="2161" spans="1:4" x14ac:dyDescent="0.35">
      <c r="A2161" s="24"/>
      <c r="B2161"/>
      <c r="C2161"/>
      <c r="D2161"/>
    </row>
    <row r="2162" spans="1:4" x14ac:dyDescent="0.35">
      <c r="A2162" s="24"/>
      <c r="B2162"/>
      <c r="C2162"/>
      <c r="D2162"/>
    </row>
    <row r="2163" spans="1:4" x14ac:dyDescent="0.35">
      <c r="A2163" s="24"/>
      <c r="B2163"/>
      <c r="C2163"/>
      <c r="D2163"/>
    </row>
    <row r="2164" spans="1:4" x14ac:dyDescent="0.35">
      <c r="A2164" s="24"/>
      <c r="B2164"/>
      <c r="C2164"/>
      <c r="D2164"/>
    </row>
    <row r="2165" spans="1:4" x14ac:dyDescent="0.35">
      <c r="A2165" s="24"/>
      <c r="B2165"/>
      <c r="C2165"/>
      <c r="D2165"/>
    </row>
    <row r="2166" spans="1:4" x14ac:dyDescent="0.35">
      <c r="A2166" s="24"/>
      <c r="B2166"/>
      <c r="C2166"/>
      <c r="D2166"/>
    </row>
    <row r="2167" spans="1:4" x14ac:dyDescent="0.35">
      <c r="A2167" s="24"/>
      <c r="B2167"/>
      <c r="C2167"/>
      <c r="D2167"/>
    </row>
    <row r="2168" spans="1:4" x14ac:dyDescent="0.35">
      <c r="A2168" s="24"/>
      <c r="B2168"/>
      <c r="C2168"/>
      <c r="D2168"/>
    </row>
    <row r="2169" spans="1:4" x14ac:dyDescent="0.35">
      <c r="A2169" s="24"/>
      <c r="B2169"/>
      <c r="C2169"/>
      <c r="D2169"/>
    </row>
    <row r="2170" spans="1:4" x14ac:dyDescent="0.35">
      <c r="A2170" s="24"/>
      <c r="B2170"/>
      <c r="C2170"/>
      <c r="D2170"/>
    </row>
    <row r="2171" spans="1:4" x14ac:dyDescent="0.35">
      <c r="A2171" s="24"/>
      <c r="B2171"/>
      <c r="C2171"/>
      <c r="D2171"/>
    </row>
    <row r="2172" spans="1:4" x14ac:dyDescent="0.35">
      <c r="A2172" s="24"/>
      <c r="B2172"/>
      <c r="C2172"/>
      <c r="D2172"/>
    </row>
    <row r="2173" spans="1:4" x14ac:dyDescent="0.35">
      <c r="A2173" s="24"/>
      <c r="B2173"/>
      <c r="C2173"/>
      <c r="D2173"/>
    </row>
    <row r="2174" spans="1:4" x14ac:dyDescent="0.35">
      <c r="A2174" s="24"/>
      <c r="B2174"/>
      <c r="C2174"/>
      <c r="D2174"/>
    </row>
    <row r="2175" spans="1:4" x14ac:dyDescent="0.35">
      <c r="A2175" s="24"/>
      <c r="B2175"/>
      <c r="C2175"/>
      <c r="D2175"/>
    </row>
    <row r="2176" spans="1:4" x14ac:dyDescent="0.35">
      <c r="A2176" s="24"/>
      <c r="B2176"/>
      <c r="C2176"/>
      <c r="D2176"/>
    </row>
    <row r="2177" spans="1:4" x14ac:dyDescent="0.35">
      <c r="A2177" s="24"/>
      <c r="B2177"/>
      <c r="C2177"/>
      <c r="D2177"/>
    </row>
    <row r="2178" spans="1:4" x14ac:dyDescent="0.35">
      <c r="A2178" s="24"/>
      <c r="B2178"/>
      <c r="C2178"/>
      <c r="D2178"/>
    </row>
    <row r="2179" spans="1:4" x14ac:dyDescent="0.35">
      <c r="A2179" s="24"/>
      <c r="B2179"/>
      <c r="C2179"/>
      <c r="D2179"/>
    </row>
    <row r="2180" spans="1:4" x14ac:dyDescent="0.35">
      <c r="A2180" s="24"/>
      <c r="B2180"/>
      <c r="C2180"/>
      <c r="D2180"/>
    </row>
    <row r="2181" spans="1:4" x14ac:dyDescent="0.35">
      <c r="A2181" s="24"/>
      <c r="B2181"/>
      <c r="C2181"/>
      <c r="D2181"/>
    </row>
    <row r="2182" spans="1:4" x14ac:dyDescent="0.35">
      <c r="A2182" s="24"/>
      <c r="B2182"/>
      <c r="C2182"/>
      <c r="D2182"/>
    </row>
    <row r="2183" spans="1:4" x14ac:dyDescent="0.35">
      <c r="A2183" s="24"/>
      <c r="B2183"/>
      <c r="C2183"/>
      <c r="D2183"/>
    </row>
    <row r="2184" spans="1:4" x14ac:dyDescent="0.35">
      <c r="A2184" s="24"/>
      <c r="B2184"/>
      <c r="C2184"/>
      <c r="D2184"/>
    </row>
    <row r="2185" spans="1:4" x14ac:dyDescent="0.35">
      <c r="A2185" s="24"/>
      <c r="B2185"/>
      <c r="C2185"/>
      <c r="D2185"/>
    </row>
    <row r="2186" spans="1:4" x14ac:dyDescent="0.35">
      <c r="A2186" s="24"/>
      <c r="B2186"/>
      <c r="C2186"/>
      <c r="D2186"/>
    </row>
    <row r="2187" spans="1:4" x14ac:dyDescent="0.35">
      <c r="A2187" s="24"/>
      <c r="B2187"/>
      <c r="C2187"/>
      <c r="D2187"/>
    </row>
    <row r="2188" spans="1:4" x14ac:dyDescent="0.35">
      <c r="A2188" s="24"/>
      <c r="B2188"/>
      <c r="C2188"/>
      <c r="D2188"/>
    </row>
    <row r="2189" spans="1:4" x14ac:dyDescent="0.35">
      <c r="A2189" s="24"/>
      <c r="B2189"/>
      <c r="C2189"/>
      <c r="D2189"/>
    </row>
    <row r="2190" spans="1:4" x14ac:dyDescent="0.35">
      <c r="A2190" s="24"/>
      <c r="B2190"/>
      <c r="C2190"/>
      <c r="D2190"/>
    </row>
    <row r="2191" spans="1:4" x14ac:dyDescent="0.35">
      <c r="A2191" s="24"/>
      <c r="B2191"/>
      <c r="C2191"/>
      <c r="D2191"/>
    </row>
    <row r="2192" spans="1:4" x14ac:dyDescent="0.35">
      <c r="A2192" s="24"/>
      <c r="B2192"/>
      <c r="C2192"/>
      <c r="D2192"/>
    </row>
    <row r="2193" spans="1:4" x14ac:dyDescent="0.35">
      <c r="A2193" s="24"/>
      <c r="B2193"/>
      <c r="C2193"/>
      <c r="D2193"/>
    </row>
    <row r="2194" spans="1:4" x14ac:dyDescent="0.35">
      <c r="A2194" s="24"/>
      <c r="B2194"/>
      <c r="C2194"/>
      <c r="D2194"/>
    </row>
    <row r="2195" spans="1:4" x14ac:dyDescent="0.35">
      <c r="A2195" s="24"/>
      <c r="B2195"/>
      <c r="C2195"/>
      <c r="D2195"/>
    </row>
    <row r="2196" spans="1:4" x14ac:dyDescent="0.35">
      <c r="A2196" s="24"/>
      <c r="B2196"/>
      <c r="C2196"/>
      <c r="D2196"/>
    </row>
    <row r="2197" spans="1:4" x14ac:dyDescent="0.35">
      <c r="A2197" s="24"/>
      <c r="B2197"/>
      <c r="C2197"/>
      <c r="D2197"/>
    </row>
    <row r="2198" spans="1:4" x14ac:dyDescent="0.35">
      <c r="A2198" s="24"/>
      <c r="B2198"/>
      <c r="C2198"/>
      <c r="D2198"/>
    </row>
    <row r="2199" spans="1:4" x14ac:dyDescent="0.35">
      <c r="A2199" s="24"/>
      <c r="B2199"/>
      <c r="C2199"/>
      <c r="D2199"/>
    </row>
    <row r="2200" spans="1:4" x14ac:dyDescent="0.35">
      <c r="A2200" s="24"/>
      <c r="B2200"/>
      <c r="C2200"/>
      <c r="D2200"/>
    </row>
    <row r="2201" spans="1:4" x14ac:dyDescent="0.35">
      <c r="A2201" s="24"/>
      <c r="B2201"/>
      <c r="C2201"/>
      <c r="D2201"/>
    </row>
    <row r="2202" spans="1:4" x14ac:dyDescent="0.35">
      <c r="A2202" s="24"/>
      <c r="B2202"/>
      <c r="C2202"/>
      <c r="D2202"/>
    </row>
    <row r="2203" spans="1:4" x14ac:dyDescent="0.35">
      <c r="A2203" s="24"/>
      <c r="B2203"/>
      <c r="C2203"/>
      <c r="D2203"/>
    </row>
    <row r="2204" spans="1:4" x14ac:dyDescent="0.35">
      <c r="A2204" s="24"/>
      <c r="B2204"/>
      <c r="C2204"/>
      <c r="D2204"/>
    </row>
    <row r="2205" spans="1:4" x14ac:dyDescent="0.35">
      <c r="A2205" s="24"/>
      <c r="B2205"/>
      <c r="C2205"/>
      <c r="D2205"/>
    </row>
    <row r="2206" spans="1:4" x14ac:dyDescent="0.35">
      <c r="A2206" s="24"/>
      <c r="B2206"/>
      <c r="C2206"/>
      <c r="D2206"/>
    </row>
    <row r="2207" spans="1:4" x14ac:dyDescent="0.35">
      <c r="A2207" s="24"/>
      <c r="B2207"/>
      <c r="C2207"/>
      <c r="D2207"/>
    </row>
    <row r="2208" spans="1:4" x14ac:dyDescent="0.35">
      <c r="A2208" s="24"/>
      <c r="B2208"/>
      <c r="C2208"/>
      <c r="D2208"/>
    </row>
    <row r="2209" spans="1:4" x14ac:dyDescent="0.35">
      <c r="A2209" s="24"/>
      <c r="B2209"/>
      <c r="C2209"/>
      <c r="D2209"/>
    </row>
    <row r="2210" spans="1:4" x14ac:dyDescent="0.35">
      <c r="A2210" s="24"/>
      <c r="B2210"/>
      <c r="C2210"/>
      <c r="D2210"/>
    </row>
    <row r="2211" spans="1:4" x14ac:dyDescent="0.35">
      <c r="A2211" s="24"/>
      <c r="B2211"/>
      <c r="C2211"/>
      <c r="D2211"/>
    </row>
    <row r="2212" spans="1:4" x14ac:dyDescent="0.35">
      <c r="A2212" s="24"/>
      <c r="B2212"/>
      <c r="C2212"/>
      <c r="D2212"/>
    </row>
    <row r="2213" spans="1:4" x14ac:dyDescent="0.35">
      <c r="A2213" s="24"/>
      <c r="B2213"/>
      <c r="C2213"/>
      <c r="D2213"/>
    </row>
    <row r="2214" spans="1:4" x14ac:dyDescent="0.35">
      <c r="A2214" s="24"/>
      <c r="B2214"/>
      <c r="C2214"/>
      <c r="D2214"/>
    </row>
    <row r="2215" spans="1:4" x14ac:dyDescent="0.35">
      <c r="A2215" s="24"/>
      <c r="B2215"/>
      <c r="C2215"/>
      <c r="D2215"/>
    </row>
    <row r="2216" spans="1:4" x14ac:dyDescent="0.35">
      <c r="A2216" s="24"/>
      <c r="B2216"/>
      <c r="C2216"/>
      <c r="D2216"/>
    </row>
    <row r="2217" spans="1:4" x14ac:dyDescent="0.35">
      <c r="A2217" s="24"/>
      <c r="B2217"/>
      <c r="C2217"/>
      <c r="D2217"/>
    </row>
    <row r="2218" spans="1:4" x14ac:dyDescent="0.35">
      <c r="A2218" s="24"/>
      <c r="B2218"/>
      <c r="C2218"/>
      <c r="D2218"/>
    </row>
    <row r="2219" spans="1:4" x14ac:dyDescent="0.35">
      <c r="A2219" s="24"/>
      <c r="B2219"/>
      <c r="C2219"/>
      <c r="D2219"/>
    </row>
    <row r="2220" spans="1:4" x14ac:dyDescent="0.35">
      <c r="A2220" s="24"/>
      <c r="B2220"/>
      <c r="C2220"/>
      <c r="D2220"/>
    </row>
    <row r="2221" spans="1:4" x14ac:dyDescent="0.35">
      <c r="A2221" s="24"/>
      <c r="B2221"/>
      <c r="C2221"/>
      <c r="D2221"/>
    </row>
    <row r="2222" spans="1:4" x14ac:dyDescent="0.35">
      <c r="A2222" s="24"/>
      <c r="B2222"/>
      <c r="C2222"/>
      <c r="D2222"/>
    </row>
    <row r="2223" spans="1:4" x14ac:dyDescent="0.35">
      <c r="A2223" s="24"/>
      <c r="B2223"/>
      <c r="C2223"/>
      <c r="D2223"/>
    </row>
    <row r="2224" spans="1:4" x14ac:dyDescent="0.35">
      <c r="A2224" s="24"/>
      <c r="B2224"/>
      <c r="C2224"/>
      <c r="D2224"/>
    </row>
    <row r="2225" spans="1:4" x14ac:dyDescent="0.35">
      <c r="A2225" s="24"/>
      <c r="B2225"/>
      <c r="C2225"/>
      <c r="D2225"/>
    </row>
    <row r="2226" spans="1:4" x14ac:dyDescent="0.35">
      <c r="A2226" s="24"/>
      <c r="B2226"/>
      <c r="C2226"/>
      <c r="D2226"/>
    </row>
    <row r="2227" spans="1:4" x14ac:dyDescent="0.35">
      <c r="A2227" s="24"/>
      <c r="B2227"/>
      <c r="C2227"/>
      <c r="D2227"/>
    </row>
    <row r="2228" spans="1:4" x14ac:dyDescent="0.35">
      <c r="A2228" s="24"/>
      <c r="B2228"/>
      <c r="C2228"/>
      <c r="D2228"/>
    </row>
    <row r="2229" spans="1:4" x14ac:dyDescent="0.35">
      <c r="A2229" s="24"/>
      <c r="B2229"/>
      <c r="C2229"/>
      <c r="D2229"/>
    </row>
    <row r="2230" spans="1:4" x14ac:dyDescent="0.35">
      <c r="A2230" s="24"/>
      <c r="B2230"/>
      <c r="C2230"/>
      <c r="D2230"/>
    </row>
    <row r="2231" spans="1:4" x14ac:dyDescent="0.35">
      <c r="A2231" s="24"/>
      <c r="B2231"/>
      <c r="C2231"/>
      <c r="D2231"/>
    </row>
    <row r="2232" spans="1:4" x14ac:dyDescent="0.35">
      <c r="A2232" s="24"/>
      <c r="B2232"/>
      <c r="C2232"/>
      <c r="D2232"/>
    </row>
    <row r="2233" spans="1:4" x14ac:dyDescent="0.35">
      <c r="A2233" s="24"/>
      <c r="B2233"/>
      <c r="C2233"/>
      <c r="D2233"/>
    </row>
    <row r="2234" spans="1:4" x14ac:dyDescent="0.35">
      <c r="A2234" s="24"/>
      <c r="B2234"/>
      <c r="C2234"/>
      <c r="D2234"/>
    </row>
    <row r="2235" spans="1:4" x14ac:dyDescent="0.35">
      <c r="A2235" s="24"/>
      <c r="B2235"/>
      <c r="C2235"/>
      <c r="D2235"/>
    </row>
    <row r="2236" spans="1:4" x14ac:dyDescent="0.35">
      <c r="A2236" s="24"/>
      <c r="B2236"/>
      <c r="C2236"/>
      <c r="D2236"/>
    </row>
    <row r="2237" spans="1:4" x14ac:dyDescent="0.35">
      <c r="A2237" s="24"/>
      <c r="B2237"/>
      <c r="C2237"/>
      <c r="D2237"/>
    </row>
    <row r="2238" spans="1:4" x14ac:dyDescent="0.35">
      <c r="A2238" s="24"/>
      <c r="B2238"/>
      <c r="C2238"/>
      <c r="D2238"/>
    </row>
    <row r="2239" spans="1:4" x14ac:dyDescent="0.35">
      <c r="A2239" s="24"/>
      <c r="B2239"/>
      <c r="C2239"/>
      <c r="D2239"/>
    </row>
    <row r="2240" spans="1:4" x14ac:dyDescent="0.35">
      <c r="A2240" s="24"/>
      <c r="B2240"/>
      <c r="C2240"/>
      <c r="D2240"/>
    </row>
    <row r="2241" spans="1:4" x14ac:dyDescent="0.35">
      <c r="A2241" s="24"/>
      <c r="B2241"/>
      <c r="C2241"/>
      <c r="D2241"/>
    </row>
    <row r="2242" spans="1:4" x14ac:dyDescent="0.35">
      <c r="A2242" s="24"/>
      <c r="B2242"/>
      <c r="C2242"/>
      <c r="D2242"/>
    </row>
    <row r="2243" spans="1:4" x14ac:dyDescent="0.35">
      <c r="A2243" s="24"/>
      <c r="B2243"/>
      <c r="C2243"/>
      <c r="D2243"/>
    </row>
    <row r="2244" spans="1:4" x14ac:dyDescent="0.35">
      <c r="A2244" s="24"/>
      <c r="B2244"/>
      <c r="C2244"/>
      <c r="D2244"/>
    </row>
    <row r="2245" spans="1:4" x14ac:dyDescent="0.35">
      <c r="A2245" s="24"/>
      <c r="B2245"/>
      <c r="C2245"/>
      <c r="D2245"/>
    </row>
    <row r="2246" spans="1:4" x14ac:dyDescent="0.35">
      <c r="A2246" s="24"/>
      <c r="B2246"/>
      <c r="C2246"/>
      <c r="D2246"/>
    </row>
    <row r="2247" spans="1:4" x14ac:dyDescent="0.35">
      <c r="A2247" s="24"/>
      <c r="B2247"/>
      <c r="C2247"/>
      <c r="D2247"/>
    </row>
    <row r="2248" spans="1:4" x14ac:dyDescent="0.35">
      <c r="A2248" s="24"/>
      <c r="B2248"/>
      <c r="C2248"/>
      <c r="D2248"/>
    </row>
  </sheetData>
  <sortState xmlns:xlrd2="http://schemas.microsoft.com/office/spreadsheetml/2017/richdata2" ref="A29:B63">
    <sortCondition descending="1" ref="B29:B6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CBAA5-CA9B-4C4E-8CA0-00B10451EC87}">
  <sheetPr codeName="Sheet11"/>
  <dimension ref="A1:E47"/>
  <sheetViews>
    <sheetView topLeftCell="A14" workbookViewId="0">
      <selection activeCell="G1" sqref="G1:G1048576"/>
    </sheetView>
  </sheetViews>
  <sheetFormatPr defaultRowHeight="14.5" x14ac:dyDescent="0.35"/>
  <cols>
    <col min="1" max="1" width="15.1796875" customWidth="1"/>
    <col min="2" max="4" width="11.90625" customWidth="1"/>
    <col min="5" max="5" width="12.36328125" customWidth="1"/>
  </cols>
  <sheetData>
    <row r="1" spans="1:5" x14ac:dyDescent="0.35">
      <c r="A1" s="47" t="s">
        <v>130</v>
      </c>
      <c r="B1" s="47" t="s">
        <v>187</v>
      </c>
      <c r="C1" s="47" t="s">
        <v>185</v>
      </c>
      <c r="D1" s="47" t="s">
        <v>186</v>
      </c>
      <c r="E1" s="47" t="s">
        <v>188</v>
      </c>
    </row>
    <row r="2" spans="1:5" x14ac:dyDescent="0.35">
      <c r="A2" s="19" t="s">
        <v>53</v>
      </c>
      <c r="B2" s="16">
        <v>128.9</v>
      </c>
      <c r="C2" s="16">
        <v>461.8</v>
      </c>
      <c r="D2" s="16">
        <v>10</v>
      </c>
      <c r="E2" s="16">
        <v>600.70000000000005</v>
      </c>
    </row>
    <row r="3" spans="1:5" x14ac:dyDescent="0.35">
      <c r="A3" s="19" t="s">
        <v>28</v>
      </c>
      <c r="B3" s="16">
        <v>3729.28</v>
      </c>
      <c r="C3" s="16">
        <v>361.89</v>
      </c>
      <c r="D3" s="16">
        <v>0</v>
      </c>
      <c r="E3" s="16">
        <v>4091.17</v>
      </c>
    </row>
    <row r="4" spans="1:5" x14ac:dyDescent="0.35">
      <c r="A4" s="19" t="s">
        <v>35</v>
      </c>
      <c r="B4" s="16">
        <v>0.5</v>
      </c>
      <c r="C4" s="16">
        <v>35.26</v>
      </c>
      <c r="D4" s="16">
        <v>0</v>
      </c>
      <c r="E4" s="16">
        <v>35.76</v>
      </c>
    </row>
    <row r="5" spans="1:5" x14ac:dyDescent="0.35">
      <c r="A5" s="19" t="s">
        <v>39</v>
      </c>
      <c r="B5" s="16">
        <v>0</v>
      </c>
      <c r="C5" s="16">
        <v>10.3</v>
      </c>
      <c r="D5" s="16">
        <v>0</v>
      </c>
      <c r="E5" s="16">
        <v>10.3</v>
      </c>
    </row>
    <row r="6" spans="1:5" x14ac:dyDescent="0.35">
      <c r="A6" s="19" t="s">
        <v>37</v>
      </c>
      <c r="B6" s="16">
        <v>34</v>
      </c>
      <c r="C6" s="16">
        <v>205.64</v>
      </c>
      <c r="D6" s="16">
        <v>0</v>
      </c>
      <c r="E6" s="16">
        <v>239.64</v>
      </c>
    </row>
    <row r="7" spans="1:5" x14ac:dyDescent="0.35">
      <c r="A7" s="19" t="s">
        <v>32</v>
      </c>
      <c r="B7" s="16">
        <v>63.28</v>
      </c>
      <c r="C7" s="16">
        <v>9.5299999999999994</v>
      </c>
      <c r="D7" s="16">
        <v>0</v>
      </c>
      <c r="E7" s="16">
        <v>72.81</v>
      </c>
    </row>
    <row r="8" spans="1:5" x14ac:dyDescent="0.35">
      <c r="A8" s="19" t="s">
        <v>48</v>
      </c>
      <c r="B8" s="16">
        <v>0</v>
      </c>
      <c r="C8" s="16">
        <v>31.04</v>
      </c>
      <c r="D8" s="16">
        <v>26.8</v>
      </c>
      <c r="E8" s="16">
        <v>57.84</v>
      </c>
    </row>
    <row r="9" spans="1:5" x14ac:dyDescent="0.35">
      <c r="A9" s="19" t="s">
        <v>44</v>
      </c>
      <c r="B9" s="16">
        <v>814</v>
      </c>
      <c r="C9" s="16">
        <v>62.65</v>
      </c>
      <c r="D9" s="16">
        <v>0</v>
      </c>
      <c r="E9" s="16">
        <v>876.65</v>
      </c>
    </row>
    <row r="10" spans="1:5" x14ac:dyDescent="0.35">
      <c r="A10" s="19" t="s">
        <v>114</v>
      </c>
      <c r="B10" s="16">
        <v>0</v>
      </c>
      <c r="C10" s="16">
        <v>1.74</v>
      </c>
      <c r="D10" s="16">
        <v>1.1000000000000001</v>
      </c>
      <c r="E10" s="16">
        <v>2.84</v>
      </c>
    </row>
    <row r="11" spans="1:5" x14ac:dyDescent="0.35">
      <c r="A11" s="19" t="s">
        <v>50</v>
      </c>
      <c r="B11" s="16">
        <v>0</v>
      </c>
      <c r="C11" s="16">
        <v>0.43</v>
      </c>
      <c r="D11" s="16">
        <v>80</v>
      </c>
      <c r="E11" s="16">
        <v>80.430000000000007</v>
      </c>
    </row>
    <row r="12" spans="1:5" x14ac:dyDescent="0.35">
      <c r="A12" s="19" t="s">
        <v>138</v>
      </c>
      <c r="B12" s="16">
        <v>2832</v>
      </c>
      <c r="C12" s="16">
        <v>2590.2800000000002</v>
      </c>
      <c r="D12" s="16">
        <v>2199</v>
      </c>
      <c r="E12" s="16">
        <v>7621.2800000000007</v>
      </c>
    </row>
    <row r="13" spans="1:5" x14ac:dyDescent="0.35">
      <c r="A13" s="19" t="s">
        <v>67</v>
      </c>
      <c r="B13" s="16">
        <v>127.14</v>
      </c>
      <c r="C13" s="16">
        <v>0.01</v>
      </c>
      <c r="D13" s="16">
        <v>0</v>
      </c>
      <c r="E13" s="16">
        <v>127.15</v>
      </c>
    </row>
    <row r="14" spans="1:5" x14ac:dyDescent="0.35">
      <c r="A14" s="19" t="s">
        <v>55</v>
      </c>
      <c r="B14" s="16">
        <v>0</v>
      </c>
      <c r="C14" s="16">
        <v>24.79</v>
      </c>
      <c r="D14" s="16">
        <v>0.83</v>
      </c>
      <c r="E14" s="16">
        <v>25.619999999999997</v>
      </c>
    </row>
    <row r="15" spans="1:5" x14ac:dyDescent="0.35">
      <c r="A15" s="19" t="s">
        <v>109</v>
      </c>
      <c r="B15" s="16">
        <v>63.53</v>
      </c>
      <c r="C15" s="16">
        <v>27.95</v>
      </c>
      <c r="D15" s="16">
        <v>0</v>
      </c>
      <c r="E15" s="16">
        <v>91.48</v>
      </c>
    </row>
    <row r="16" spans="1:5" x14ac:dyDescent="0.35">
      <c r="A16" s="19" t="s">
        <v>57</v>
      </c>
      <c r="B16" s="16">
        <v>5221.28</v>
      </c>
      <c r="C16" s="16">
        <v>21.55</v>
      </c>
      <c r="D16" s="16">
        <v>404.01</v>
      </c>
      <c r="E16" s="16">
        <v>5646.84</v>
      </c>
    </row>
    <row r="17" spans="1:5" x14ac:dyDescent="0.35">
      <c r="A17" s="19" t="s">
        <v>59</v>
      </c>
      <c r="B17" s="16">
        <v>319.58</v>
      </c>
      <c r="C17" s="16">
        <v>11.54</v>
      </c>
      <c r="D17" s="16">
        <v>0</v>
      </c>
      <c r="E17" s="16">
        <v>331.12</v>
      </c>
    </row>
    <row r="18" spans="1:5" x14ac:dyDescent="0.35">
      <c r="A18" s="19" t="s">
        <v>61</v>
      </c>
      <c r="B18" s="16">
        <v>1584.09</v>
      </c>
      <c r="C18" s="16">
        <v>187.98</v>
      </c>
      <c r="D18" s="16">
        <v>0.02</v>
      </c>
      <c r="E18" s="16">
        <v>1772.09</v>
      </c>
    </row>
    <row r="19" spans="1:5" x14ac:dyDescent="0.35">
      <c r="A19" s="19" t="s">
        <v>63</v>
      </c>
      <c r="B19" s="16">
        <v>814.22</v>
      </c>
      <c r="C19" s="16">
        <v>16.88</v>
      </c>
      <c r="D19" s="16">
        <v>0</v>
      </c>
      <c r="E19" s="16">
        <v>831.1</v>
      </c>
    </row>
    <row r="20" spans="1:5" x14ac:dyDescent="0.35">
      <c r="A20" s="19" t="s">
        <v>65</v>
      </c>
      <c r="B20" s="16">
        <v>0</v>
      </c>
      <c r="C20" s="16">
        <v>1.98</v>
      </c>
      <c r="D20" s="16">
        <v>0</v>
      </c>
      <c r="E20" s="16">
        <v>1.98</v>
      </c>
    </row>
    <row r="21" spans="1:5" x14ac:dyDescent="0.35">
      <c r="A21" s="19" t="s">
        <v>69</v>
      </c>
      <c r="B21" s="16">
        <v>892.04</v>
      </c>
      <c r="C21" s="16">
        <v>608.76</v>
      </c>
      <c r="D21" s="16">
        <v>436.15</v>
      </c>
      <c r="E21" s="16">
        <v>1936.9499999999998</v>
      </c>
    </row>
    <row r="22" spans="1:5" x14ac:dyDescent="0.35">
      <c r="A22" s="19" t="s">
        <v>75</v>
      </c>
      <c r="B22" s="16">
        <v>75.180000000000007</v>
      </c>
      <c r="C22" s="16">
        <v>28.8</v>
      </c>
      <c r="D22" s="16">
        <v>0</v>
      </c>
      <c r="E22" s="16">
        <v>103.98</v>
      </c>
    </row>
    <row r="23" spans="1:5" x14ac:dyDescent="0.35">
      <c r="A23" s="19" t="s">
        <v>71</v>
      </c>
      <c r="B23" s="16">
        <v>92.86</v>
      </c>
      <c r="C23" s="16">
        <v>3</v>
      </c>
      <c r="D23" s="16">
        <v>0</v>
      </c>
      <c r="E23" s="16">
        <v>95.86</v>
      </c>
    </row>
    <row r="24" spans="1:5" x14ac:dyDescent="0.35">
      <c r="A24" s="19" t="s">
        <v>73</v>
      </c>
      <c r="B24" s="16">
        <v>0</v>
      </c>
      <c r="C24" s="16">
        <v>8.33</v>
      </c>
      <c r="D24" s="16">
        <v>0</v>
      </c>
      <c r="E24" s="16">
        <v>8.33</v>
      </c>
    </row>
    <row r="25" spans="1:5" x14ac:dyDescent="0.35">
      <c r="A25" s="19" t="s">
        <v>79</v>
      </c>
      <c r="B25" s="16">
        <v>192.57</v>
      </c>
      <c r="C25" s="16">
        <v>58.02</v>
      </c>
      <c r="D25" s="16">
        <v>0.18</v>
      </c>
      <c r="E25" s="16">
        <v>250.77</v>
      </c>
    </row>
    <row r="26" spans="1:5" x14ac:dyDescent="0.35">
      <c r="A26" s="19" t="s">
        <v>89</v>
      </c>
      <c r="B26" s="16">
        <v>392.62</v>
      </c>
      <c r="C26" s="16">
        <v>109.32</v>
      </c>
      <c r="D26" s="16">
        <v>0</v>
      </c>
      <c r="E26" s="16">
        <v>501.94</v>
      </c>
    </row>
    <row r="27" spans="1:5" x14ac:dyDescent="0.35">
      <c r="A27" s="19" t="s">
        <v>81</v>
      </c>
      <c r="B27" s="16">
        <v>455.3</v>
      </c>
      <c r="C27" s="16">
        <v>137.01</v>
      </c>
      <c r="D27" s="16">
        <v>0</v>
      </c>
      <c r="E27" s="16">
        <v>592.30999999999995</v>
      </c>
    </row>
    <row r="28" spans="1:5" x14ac:dyDescent="0.35">
      <c r="A28" s="19" t="s">
        <v>85</v>
      </c>
      <c r="B28" s="16">
        <v>0</v>
      </c>
      <c r="C28" s="16">
        <v>157.01</v>
      </c>
      <c r="D28" s="16">
        <v>136.78</v>
      </c>
      <c r="E28" s="16">
        <v>293.78999999999996</v>
      </c>
    </row>
    <row r="29" spans="1:5" x14ac:dyDescent="0.35">
      <c r="A29" s="19" t="s">
        <v>87</v>
      </c>
      <c r="B29" s="16">
        <v>61.7</v>
      </c>
      <c r="C29" s="16">
        <v>138.91</v>
      </c>
      <c r="D29" s="16">
        <v>10.63</v>
      </c>
      <c r="E29" s="16">
        <v>211.24</v>
      </c>
    </row>
    <row r="30" spans="1:5" x14ac:dyDescent="0.35">
      <c r="A30" s="19" t="s">
        <v>77</v>
      </c>
      <c r="B30" s="16">
        <v>1305.53</v>
      </c>
      <c r="C30" s="16">
        <v>951</v>
      </c>
      <c r="D30" s="16">
        <v>2395</v>
      </c>
      <c r="E30" s="16">
        <v>4651.53</v>
      </c>
    </row>
    <row r="31" spans="1:5" x14ac:dyDescent="0.35">
      <c r="A31" s="19" t="s">
        <v>83</v>
      </c>
      <c r="B31" s="16">
        <v>2193.63</v>
      </c>
      <c r="C31" s="16">
        <v>106.94</v>
      </c>
      <c r="D31" s="16">
        <v>0</v>
      </c>
      <c r="E31" s="16">
        <v>2300.5700000000002</v>
      </c>
    </row>
    <row r="32" spans="1:5" x14ac:dyDescent="0.35">
      <c r="A32" s="19" t="s">
        <v>91</v>
      </c>
      <c r="B32" s="16">
        <v>351</v>
      </c>
      <c r="C32" s="16">
        <v>238.56</v>
      </c>
      <c r="D32" s="16">
        <v>6.23</v>
      </c>
      <c r="E32" s="16">
        <v>595.79</v>
      </c>
    </row>
    <row r="33" spans="1:5" x14ac:dyDescent="0.35">
      <c r="A33" s="19" t="s">
        <v>95</v>
      </c>
      <c r="B33" s="16">
        <v>2860.8</v>
      </c>
      <c r="C33" s="16">
        <v>196.77</v>
      </c>
      <c r="D33" s="16">
        <v>0</v>
      </c>
      <c r="E33" s="16">
        <v>3057.57</v>
      </c>
    </row>
    <row r="34" spans="1:5" x14ac:dyDescent="0.35">
      <c r="A34" s="19" t="s">
        <v>97</v>
      </c>
      <c r="B34" s="16">
        <v>153.25</v>
      </c>
      <c r="C34" s="16">
        <v>27.55</v>
      </c>
      <c r="D34" s="16">
        <v>0</v>
      </c>
      <c r="E34" s="16">
        <v>180.8</v>
      </c>
    </row>
    <row r="35" spans="1:5" x14ac:dyDescent="0.35">
      <c r="A35" s="19" t="s">
        <v>107</v>
      </c>
      <c r="B35" s="16">
        <v>1.92</v>
      </c>
      <c r="C35" s="16">
        <v>0.55000000000000004</v>
      </c>
      <c r="D35" s="16">
        <v>0</v>
      </c>
      <c r="E35" s="16">
        <v>2.4699999999999998</v>
      </c>
    </row>
    <row r="36" spans="1:5" x14ac:dyDescent="0.35">
      <c r="A36" s="19" t="s">
        <v>101</v>
      </c>
      <c r="B36" s="16">
        <v>0</v>
      </c>
      <c r="C36" s="16">
        <v>272.73</v>
      </c>
      <c r="D36" s="16">
        <v>159</v>
      </c>
      <c r="E36" s="16">
        <v>431.73</v>
      </c>
    </row>
    <row r="37" spans="1:5" x14ac:dyDescent="0.35">
      <c r="A37" s="19" t="s">
        <v>111</v>
      </c>
      <c r="B37" s="16">
        <v>0</v>
      </c>
      <c r="C37" s="16">
        <v>17.75</v>
      </c>
      <c r="D37" s="16">
        <v>6</v>
      </c>
      <c r="E37" s="16">
        <v>23.75</v>
      </c>
    </row>
    <row r="38" spans="1:5" x14ac:dyDescent="0.35">
      <c r="A38" s="19" t="s">
        <v>103</v>
      </c>
      <c r="B38" s="16">
        <v>60.89</v>
      </c>
      <c r="C38" s="16">
        <v>20.420000000000002</v>
      </c>
      <c r="D38" s="16">
        <v>0</v>
      </c>
      <c r="E38" s="16">
        <v>81.31</v>
      </c>
    </row>
    <row r="39" spans="1:5" x14ac:dyDescent="0.35">
      <c r="A39" s="19" t="s">
        <v>139</v>
      </c>
      <c r="B39" s="16">
        <v>0</v>
      </c>
      <c r="C39" s="16">
        <v>45.91</v>
      </c>
      <c r="D39" s="16">
        <v>3.55</v>
      </c>
      <c r="E39" s="16">
        <v>49.459999999999994</v>
      </c>
    </row>
    <row r="40" spans="1:5" x14ac:dyDescent="0.35">
      <c r="A40" s="19" t="s">
        <v>124</v>
      </c>
      <c r="B40" s="16">
        <v>751.65</v>
      </c>
      <c r="C40" s="16">
        <v>9057.73</v>
      </c>
      <c r="D40" s="16">
        <v>3442</v>
      </c>
      <c r="E40" s="16">
        <v>13251.38</v>
      </c>
    </row>
    <row r="41" spans="1:5" x14ac:dyDescent="0.35">
      <c r="A41" s="19" t="s">
        <v>105</v>
      </c>
      <c r="B41" s="16">
        <v>0</v>
      </c>
      <c r="C41" s="16">
        <v>31.74</v>
      </c>
      <c r="D41" s="16">
        <v>0</v>
      </c>
      <c r="E41" s="16">
        <v>31.74</v>
      </c>
    </row>
    <row r="42" spans="1:5" x14ac:dyDescent="0.35">
      <c r="A42" s="19" t="s">
        <v>116</v>
      </c>
      <c r="B42" s="16">
        <v>66.599999999999994</v>
      </c>
      <c r="C42" s="16">
        <v>66.94</v>
      </c>
      <c r="D42" s="16">
        <v>0</v>
      </c>
      <c r="E42" s="16">
        <v>133.54</v>
      </c>
    </row>
    <row r="43" spans="1:5" x14ac:dyDescent="0.35">
      <c r="A43" s="19" t="s">
        <v>118</v>
      </c>
      <c r="B43" s="16">
        <v>66</v>
      </c>
      <c r="C43" s="16">
        <v>774.92</v>
      </c>
      <c r="D43" s="16">
        <v>245</v>
      </c>
      <c r="E43" s="16">
        <v>1085.92</v>
      </c>
    </row>
    <row r="44" spans="1:5" x14ac:dyDescent="0.35">
      <c r="A44" s="19" t="s">
        <v>122</v>
      </c>
      <c r="B44" s="16">
        <v>1637.13</v>
      </c>
      <c r="C44" s="16">
        <v>84.52</v>
      </c>
      <c r="D44" s="16">
        <v>0</v>
      </c>
      <c r="E44" s="16">
        <v>1721.65</v>
      </c>
    </row>
    <row r="45" spans="1:5" x14ac:dyDescent="0.35">
      <c r="A45" s="19" t="s">
        <v>126</v>
      </c>
      <c r="B45" s="16">
        <v>3165.05</v>
      </c>
      <c r="C45" s="16">
        <v>195.84</v>
      </c>
      <c r="D45" s="16">
        <v>0</v>
      </c>
      <c r="E45" s="16">
        <v>3360.8900000000003</v>
      </c>
    </row>
    <row r="46" spans="1:5" x14ac:dyDescent="0.35">
      <c r="A46" s="19" t="s">
        <v>128</v>
      </c>
      <c r="B46" s="16">
        <v>1080.02</v>
      </c>
      <c r="C46" s="16">
        <v>105.18</v>
      </c>
      <c r="D46" s="16">
        <v>0</v>
      </c>
      <c r="E46" s="16">
        <v>1185.2</v>
      </c>
    </row>
    <row r="47" spans="1:5" x14ac:dyDescent="0.35">
      <c r="A47" s="48" t="s">
        <v>188</v>
      </c>
      <c r="B47" s="49">
        <v>31587.539999999997</v>
      </c>
      <c r="C47" s="49">
        <v>17507.45</v>
      </c>
      <c r="D47" s="49">
        <v>9562.2799999999988</v>
      </c>
      <c r="E47" s="49">
        <v>58657.270000000004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ADE0-B40E-4E24-A424-E702E0E4169C}">
  <dimension ref="A1:C98"/>
  <sheetViews>
    <sheetView workbookViewId="0">
      <selection activeCell="G1" sqref="G1:G1048576"/>
    </sheetView>
  </sheetViews>
  <sheetFormatPr defaultRowHeight="14.5" x14ac:dyDescent="0.35"/>
  <cols>
    <col min="1" max="1" width="19.1796875" bestFit="1" customWidth="1"/>
    <col min="2" max="2" width="14.81640625" bestFit="1" customWidth="1"/>
    <col min="3" max="3" width="15" bestFit="1" customWidth="1"/>
  </cols>
  <sheetData>
    <row r="1" spans="1:3" x14ac:dyDescent="0.35">
      <c r="A1" t="s">
        <v>130</v>
      </c>
      <c r="B1" t="s">
        <v>184</v>
      </c>
      <c r="C1" t="s">
        <v>190</v>
      </c>
    </row>
    <row r="2" spans="1:3" x14ac:dyDescent="0.35">
      <c r="A2" s="16" t="s">
        <v>53</v>
      </c>
      <c r="B2" s="16" t="s">
        <v>185</v>
      </c>
      <c r="C2">
        <v>461.8</v>
      </c>
    </row>
    <row r="3" spans="1:3" x14ac:dyDescent="0.35">
      <c r="A3" s="16" t="s">
        <v>53</v>
      </c>
      <c r="B3" s="16" t="s">
        <v>186</v>
      </c>
      <c r="C3">
        <v>10</v>
      </c>
    </row>
    <row r="4" spans="1:3" x14ac:dyDescent="0.35">
      <c r="A4" s="16" t="s">
        <v>53</v>
      </c>
      <c r="B4" s="16" t="s">
        <v>187</v>
      </c>
      <c r="C4">
        <v>128.9</v>
      </c>
    </row>
    <row r="5" spans="1:3" x14ac:dyDescent="0.35">
      <c r="A5" s="16" t="s">
        <v>28</v>
      </c>
      <c r="B5" s="16" t="s">
        <v>185</v>
      </c>
      <c r="C5">
        <v>361.89</v>
      </c>
    </row>
    <row r="6" spans="1:3" x14ac:dyDescent="0.35">
      <c r="A6" s="16" t="s">
        <v>28</v>
      </c>
      <c r="B6" s="16" t="s">
        <v>187</v>
      </c>
      <c r="C6">
        <v>3729.28</v>
      </c>
    </row>
    <row r="7" spans="1:3" x14ac:dyDescent="0.35">
      <c r="A7" s="16" t="s">
        <v>35</v>
      </c>
      <c r="B7" s="16" t="s">
        <v>185</v>
      </c>
      <c r="C7">
        <v>35.26</v>
      </c>
    </row>
    <row r="8" spans="1:3" x14ac:dyDescent="0.35">
      <c r="A8" s="16" t="s">
        <v>35</v>
      </c>
      <c r="B8" s="16" t="s">
        <v>187</v>
      </c>
      <c r="C8">
        <v>0.5</v>
      </c>
    </row>
    <row r="9" spans="1:3" x14ac:dyDescent="0.35">
      <c r="A9" s="16" t="s">
        <v>39</v>
      </c>
      <c r="B9" s="16" t="s">
        <v>185</v>
      </c>
      <c r="C9">
        <v>10.3</v>
      </c>
    </row>
    <row r="10" spans="1:3" x14ac:dyDescent="0.35">
      <c r="A10" s="16" t="s">
        <v>37</v>
      </c>
      <c r="B10" s="16" t="s">
        <v>185</v>
      </c>
      <c r="C10">
        <v>205.64</v>
      </c>
    </row>
    <row r="11" spans="1:3" x14ac:dyDescent="0.35">
      <c r="A11" s="16" t="s">
        <v>37</v>
      </c>
      <c r="B11" s="16" t="s">
        <v>187</v>
      </c>
      <c r="C11">
        <v>34</v>
      </c>
    </row>
    <row r="12" spans="1:3" x14ac:dyDescent="0.35">
      <c r="A12" s="16" t="s">
        <v>32</v>
      </c>
      <c r="B12" s="16" t="s">
        <v>185</v>
      </c>
      <c r="C12">
        <v>9.5299999999999994</v>
      </c>
    </row>
    <row r="13" spans="1:3" x14ac:dyDescent="0.35">
      <c r="A13" s="16" t="s">
        <v>32</v>
      </c>
      <c r="B13" s="16" t="s">
        <v>187</v>
      </c>
      <c r="C13">
        <v>63.28</v>
      </c>
    </row>
    <row r="14" spans="1:3" x14ac:dyDescent="0.35">
      <c r="A14" s="16" t="s">
        <v>48</v>
      </c>
      <c r="B14" s="16" t="s">
        <v>185</v>
      </c>
      <c r="C14">
        <v>31.04</v>
      </c>
    </row>
    <row r="15" spans="1:3" x14ac:dyDescent="0.35">
      <c r="A15" s="16" t="s">
        <v>48</v>
      </c>
      <c r="B15" s="16" t="s">
        <v>186</v>
      </c>
      <c r="C15">
        <v>26.8</v>
      </c>
    </row>
    <row r="16" spans="1:3" x14ac:dyDescent="0.35">
      <c r="A16" s="16" t="s">
        <v>44</v>
      </c>
      <c r="B16" s="16" t="s">
        <v>185</v>
      </c>
      <c r="C16">
        <v>62.65</v>
      </c>
    </row>
    <row r="17" spans="1:3" x14ac:dyDescent="0.35">
      <c r="A17" s="16" t="s">
        <v>44</v>
      </c>
      <c r="B17" s="16" t="s">
        <v>187</v>
      </c>
      <c r="C17">
        <v>814</v>
      </c>
    </row>
    <row r="18" spans="1:3" x14ac:dyDescent="0.35">
      <c r="A18" s="16" t="s">
        <v>114</v>
      </c>
      <c r="B18" s="16" t="s">
        <v>185</v>
      </c>
      <c r="C18">
        <v>1.74</v>
      </c>
    </row>
    <row r="19" spans="1:3" x14ac:dyDescent="0.35">
      <c r="A19" s="16" t="s">
        <v>114</v>
      </c>
      <c r="B19" s="16" t="s">
        <v>186</v>
      </c>
      <c r="C19">
        <v>1.1000000000000001</v>
      </c>
    </row>
    <row r="20" spans="1:3" x14ac:dyDescent="0.35">
      <c r="A20" s="16" t="s">
        <v>50</v>
      </c>
      <c r="B20" s="16" t="s">
        <v>185</v>
      </c>
      <c r="C20">
        <v>0.43</v>
      </c>
    </row>
    <row r="21" spans="1:3" x14ac:dyDescent="0.35">
      <c r="A21" s="16" t="s">
        <v>50</v>
      </c>
      <c r="B21" s="16" t="s">
        <v>186</v>
      </c>
      <c r="C21">
        <v>80</v>
      </c>
    </row>
    <row r="22" spans="1:3" x14ac:dyDescent="0.35">
      <c r="A22" s="16" t="s">
        <v>138</v>
      </c>
      <c r="B22" s="16" t="s">
        <v>185</v>
      </c>
      <c r="C22">
        <v>2590.2800000000002</v>
      </c>
    </row>
    <row r="23" spans="1:3" x14ac:dyDescent="0.35">
      <c r="A23" s="16" t="s">
        <v>138</v>
      </c>
      <c r="B23" s="16" t="s">
        <v>186</v>
      </c>
      <c r="C23">
        <v>2199</v>
      </c>
    </row>
    <row r="24" spans="1:3" x14ac:dyDescent="0.35">
      <c r="A24" s="16" t="s">
        <v>138</v>
      </c>
      <c r="B24" s="16" t="s">
        <v>187</v>
      </c>
      <c r="C24">
        <v>2832</v>
      </c>
    </row>
    <row r="25" spans="1:3" x14ac:dyDescent="0.35">
      <c r="A25" s="16" t="s">
        <v>67</v>
      </c>
      <c r="B25" s="16" t="s">
        <v>185</v>
      </c>
      <c r="C25">
        <v>0.01</v>
      </c>
    </row>
    <row r="26" spans="1:3" x14ac:dyDescent="0.35">
      <c r="A26" s="16" t="s">
        <v>67</v>
      </c>
      <c r="B26" s="16" t="s">
        <v>187</v>
      </c>
      <c r="C26">
        <v>127.14</v>
      </c>
    </row>
    <row r="27" spans="1:3" x14ac:dyDescent="0.35">
      <c r="A27" s="16" t="s">
        <v>55</v>
      </c>
      <c r="B27" s="16" t="s">
        <v>185</v>
      </c>
      <c r="C27">
        <v>24.79</v>
      </c>
    </row>
    <row r="28" spans="1:3" x14ac:dyDescent="0.35">
      <c r="A28" s="16" t="s">
        <v>55</v>
      </c>
      <c r="B28" s="16" t="s">
        <v>186</v>
      </c>
      <c r="C28">
        <v>0.83</v>
      </c>
    </row>
    <row r="29" spans="1:3" x14ac:dyDescent="0.35">
      <c r="A29" s="16" t="s">
        <v>109</v>
      </c>
      <c r="B29" s="16" t="s">
        <v>185</v>
      </c>
      <c r="C29">
        <v>27.95</v>
      </c>
    </row>
    <row r="30" spans="1:3" x14ac:dyDescent="0.35">
      <c r="A30" s="16" t="s">
        <v>109</v>
      </c>
      <c r="B30" s="16" t="s">
        <v>187</v>
      </c>
      <c r="C30">
        <v>63.53</v>
      </c>
    </row>
    <row r="31" spans="1:3" x14ac:dyDescent="0.35">
      <c r="A31" s="16" t="s">
        <v>57</v>
      </c>
      <c r="B31" s="16" t="s">
        <v>185</v>
      </c>
      <c r="C31">
        <v>21.55</v>
      </c>
    </row>
    <row r="32" spans="1:3" x14ac:dyDescent="0.35">
      <c r="A32" s="16" t="s">
        <v>57</v>
      </c>
      <c r="B32" s="16" t="s">
        <v>186</v>
      </c>
      <c r="C32">
        <v>404.01</v>
      </c>
    </row>
    <row r="33" spans="1:3" x14ac:dyDescent="0.35">
      <c r="A33" s="16" t="s">
        <v>57</v>
      </c>
      <c r="B33" s="16" t="s">
        <v>187</v>
      </c>
      <c r="C33">
        <v>5221.28</v>
      </c>
    </row>
    <row r="34" spans="1:3" x14ac:dyDescent="0.35">
      <c r="A34" s="16" t="s">
        <v>59</v>
      </c>
      <c r="B34" s="16" t="s">
        <v>185</v>
      </c>
      <c r="C34">
        <v>11.54</v>
      </c>
    </row>
    <row r="35" spans="1:3" x14ac:dyDescent="0.35">
      <c r="A35" s="16" t="s">
        <v>59</v>
      </c>
      <c r="B35" s="16" t="s">
        <v>187</v>
      </c>
      <c r="C35">
        <v>319.58</v>
      </c>
    </row>
    <row r="36" spans="1:3" x14ac:dyDescent="0.35">
      <c r="A36" s="16" t="s">
        <v>61</v>
      </c>
      <c r="B36" s="16" t="s">
        <v>185</v>
      </c>
      <c r="C36">
        <v>187.98</v>
      </c>
    </row>
    <row r="37" spans="1:3" x14ac:dyDescent="0.35">
      <c r="A37" s="16" t="s">
        <v>61</v>
      </c>
      <c r="B37" s="16" t="s">
        <v>186</v>
      </c>
      <c r="C37">
        <v>0.02</v>
      </c>
    </row>
    <row r="38" spans="1:3" x14ac:dyDescent="0.35">
      <c r="A38" s="16" t="s">
        <v>61</v>
      </c>
      <c r="B38" s="16" t="s">
        <v>187</v>
      </c>
      <c r="C38">
        <v>1584.09</v>
      </c>
    </row>
    <row r="39" spans="1:3" x14ac:dyDescent="0.35">
      <c r="A39" s="16" t="s">
        <v>63</v>
      </c>
      <c r="B39" s="16" t="s">
        <v>185</v>
      </c>
      <c r="C39">
        <v>16.88</v>
      </c>
    </row>
    <row r="40" spans="1:3" x14ac:dyDescent="0.35">
      <c r="A40" s="16" t="s">
        <v>63</v>
      </c>
      <c r="B40" s="16" t="s">
        <v>187</v>
      </c>
      <c r="C40">
        <v>814.22</v>
      </c>
    </row>
    <row r="41" spans="1:3" x14ac:dyDescent="0.35">
      <c r="A41" s="16" t="s">
        <v>65</v>
      </c>
      <c r="B41" s="16" t="s">
        <v>185</v>
      </c>
      <c r="C41">
        <v>1.98</v>
      </c>
    </row>
    <row r="42" spans="1:3" x14ac:dyDescent="0.35">
      <c r="A42" s="16" t="s">
        <v>105</v>
      </c>
      <c r="B42" s="16" t="s">
        <v>185</v>
      </c>
      <c r="C42">
        <v>31.74</v>
      </c>
    </row>
    <row r="43" spans="1:3" x14ac:dyDescent="0.35">
      <c r="A43" s="16" t="s">
        <v>69</v>
      </c>
      <c r="B43" s="16" t="s">
        <v>185</v>
      </c>
      <c r="C43">
        <v>608.76</v>
      </c>
    </row>
    <row r="44" spans="1:3" x14ac:dyDescent="0.35">
      <c r="A44" s="16" t="s">
        <v>69</v>
      </c>
      <c r="B44" s="16" t="s">
        <v>186</v>
      </c>
      <c r="C44">
        <v>436.15</v>
      </c>
    </row>
    <row r="45" spans="1:3" x14ac:dyDescent="0.35">
      <c r="A45" s="16" t="s">
        <v>69</v>
      </c>
      <c r="B45" s="16" t="s">
        <v>187</v>
      </c>
      <c r="C45">
        <v>892.04</v>
      </c>
    </row>
    <row r="46" spans="1:3" x14ac:dyDescent="0.35">
      <c r="A46" s="16" t="s">
        <v>75</v>
      </c>
      <c r="B46" s="16" t="s">
        <v>185</v>
      </c>
      <c r="C46">
        <v>28.8</v>
      </c>
    </row>
    <row r="47" spans="1:3" x14ac:dyDescent="0.35">
      <c r="A47" s="16" t="s">
        <v>75</v>
      </c>
      <c r="B47" s="16" t="s">
        <v>187</v>
      </c>
      <c r="C47">
        <v>75.180000000000007</v>
      </c>
    </row>
    <row r="48" spans="1:3" x14ac:dyDescent="0.35">
      <c r="A48" s="16" t="s">
        <v>71</v>
      </c>
      <c r="B48" s="16" t="s">
        <v>185</v>
      </c>
      <c r="C48">
        <v>3</v>
      </c>
    </row>
    <row r="49" spans="1:3" x14ac:dyDescent="0.35">
      <c r="A49" s="16" t="s">
        <v>71</v>
      </c>
      <c r="B49" s="16" t="s">
        <v>187</v>
      </c>
      <c r="C49">
        <v>92.86</v>
      </c>
    </row>
    <row r="50" spans="1:3" x14ac:dyDescent="0.35">
      <c r="A50" s="16" t="s">
        <v>73</v>
      </c>
      <c r="B50" s="16" t="s">
        <v>185</v>
      </c>
      <c r="C50">
        <v>8.33</v>
      </c>
    </row>
    <row r="51" spans="1:3" x14ac:dyDescent="0.35">
      <c r="A51" s="16" t="s">
        <v>79</v>
      </c>
      <c r="B51" s="16" t="s">
        <v>185</v>
      </c>
      <c r="C51">
        <v>58.02</v>
      </c>
    </row>
    <row r="52" spans="1:3" x14ac:dyDescent="0.35">
      <c r="A52" s="16" t="s">
        <v>79</v>
      </c>
      <c r="B52" s="16" t="s">
        <v>186</v>
      </c>
      <c r="C52">
        <v>0.18</v>
      </c>
    </row>
    <row r="53" spans="1:3" x14ac:dyDescent="0.35">
      <c r="A53" s="16" t="s">
        <v>79</v>
      </c>
      <c r="B53" s="16" t="s">
        <v>187</v>
      </c>
      <c r="C53">
        <v>192.57</v>
      </c>
    </row>
    <row r="54" spans="1:3" x14ac:dyDescent="0.35">
      <c r="A54" s="16" t="s">
        <v>89</v>
      </c>
      <c r="B54" s="16" t="s">
        <v>185</v>
      </c>
      <c r="C54">
        <v>109.32</v>
      </c>
    </row>
    <row r="55" spans="1:3" x14ac:dyDescent="0.35">
      <c r="A55" s="16" t="s">
        <v>89</v>
      </c>
      <c r="B55" s="16" t="s">
        <v>187</v>
      </c>
      <c r="C55">
        <v>392.62</v>
      </c>
    </row>
    <row r="56" spans="1:3" x14ac:dyDescent="0.35">
      <c r="A56" s="16" t="s">
        <v>81</v>
      </c>
      <c r="B56" s="16" t="s">
        <v>185</v>
      </c>
      <c r="C56">
        <v>137.01</v>
      </c>
    </row>
    <row r="57" spans="1:3" x14ac:dyDescent="0.35">
      <c r="A57" s="16" t="s">
        <v>81</v>
      </c>
      <c r="B57" s="16" t="s">
        <v>187</v>
      </c>
      <c r="C57">
        <v>455.3</v>
      </c>
    </row>
    <row r="58" spans="1:3" x14ac:dyDescent="0.35">
      <c r="A58" s="16" t="s">
        <v>85</v>
      </c>
      <c r="B58" s="16" t="s">
        <v>185</v>
      </c>
      <c r="C58">
        <v>157.01</v>
      </c>
    </row>
    <row r="59" spans="1:3" x14ac:dyDescent="0.35">
      <c r="A59" s="16" t="s">
        <v>85</v>
      </c>
      <c r="B59" s="16" t="s">
        <v>186</v>
      </c>
      <c r="C59">
        <v>136.78</v>
      </c>
    </row>
    <row r="60" spans="1:3" x14ac:dyDescent="0.35">
      <c r="A60" s="16" t="s">
        <v>87</v>
      </c>
      <c r="B60" s="16" t="s">
        <v>185</v>
      </c>
      <c r="C60">
        <v>138.91</v>
      </c>
    </row>
    <row r="61" spans="1:3" x14ac:dyDescent="0.35">
      <c r="A61" s="16" t="s">
        <v>87</v>
      </c>
      <c r="B61" s="16" t="s">
        <v>186</v>
      </c>
      <c r="C61">
        <v>10.63</v>
      </c>
    </row>
    <row r="62" spans="1:3" x14ac:dyDescent="0.35">
      <c r="A62" s="16" t="s">
        <v>87</v>
      </c>
      <c r="B62" s="16" t="s">
        <v>187</v>
      </c>
      <c r="C62">
        <v>61.7</v>
      </c>
    </row>
    <row r="63" spans="1:3" x14ac:dyDescent="0.35">
      <c r="A63" s="16" t="s">
        <v>77</v>
      </c>
      <c r="B63" s="16" t="s">
        <v>185</v>
      </c>
      <c r="C63">
        <v>951</v>
      </c>
    </row>
    <row r="64" spans="1:3" x14ac:dyDescent="0.35">
      <c r="A64" s="16" t="s">
        <v>77</v>
      </c>
      <c r="B64" s="16" t="s">
        <v>186</v>
      </c>
      <c r="C64">
        <v>2395</v>
      </c>
    </row>
    <row r="65" spans="1:3" x14ac:dyDescent="0.35">
      <c r="A65" s="16" t="s">
        <v>77</v>
      </c>
      <c r="B65" s="16" t="s">
        <v>187</v>
      </c>
      <c r="C65">
        <v>1305.53</v>
      </c>
    </row>
    <row r="66" spans="1:3" x14ac:dyDescent="0.35">
      <c r="A66" s="16" t="s">
        <v>83</v>
      </c>
      <c r="B66" s="16" t="s">
        <v>185</v>
      </c>
      <c r="C66">
        <v>106.94</v>
      </c>
    </row>
    <row r="67" spans="1:3" x14ac:dyDescent="0.35">
      <c r="A67" s="16" t="s">
        <v>83</v>
      </c>
      <c r="B67" s="16" t="s">
        <v>187</v>
      </c>
      <c r="C67">
        <v>2193.63</v>
      </c>
    </row>
    <row r="68" spans="1:3" x14ac:dyDescent="0.35">
      <c r="A68" s="16" t="s">
        <v>91</v>
      </c>
      <c r="B68" s="16" t="s">
        <v>185</v>
      </c>
      <c r="C68">
        <v>238.56</v>
      </c>
    </row>
    <row r="69" spans="1:3" x14ac:dyDescent="0.35">
      <c r="A69" s="16" t="s">
        <v>91</v>
      </c>
      <c r="B69" s="16" t="s">
        <v>186</v>
      </c>
      <c r="C69">
        <v>6.23</v>
      </c>
    </row>
    <row r="70" spans="1:3" x14ac:dyDescent="0.35">
      <c r="A70" s="16" t="s">
        <v>91</v>
      </c>
      <c r="B70" s="16" t="s">
        <v>187</v>
      </c>
      <c r="C70">
        <v>351</v>
      </c>
    </row>
    <row r="71" spans="1:3" x14ac:dyDescent="0.35">
      <c r="A71" s="16" t="s">
        <v>95</v>
      </c>
      <c r="B71" s="16" t="s">
        <v>185</v>
      </c>
      <c r="C71">
        <v>196.77</v>
      </c>
    </row>
    <row r="72" spans="1:3" x14ac:dyDescent="0.35">
      <c r="A72" s="16" t="s">
        <v>95</v>
      </c>
      <c r="B72" s="16" t="s">
        <v>187</v>
      </c>
      <c r="C72">
        <v>2860.8</v>
      </c>
    </row>
    <row r="73" spans="1:3" x14ac:dyDescent="0.35">
      <c r="A73" s="16" t="s">
        <v>97</v>
      </c>
      <c r="B73" s="16" t="s">
        <v>185</v>
      </c>
      <c r="C73">
        <v>27.55</v>
      </c>
    </row>
    <row r="74" spans="1:3" x14ac:dyDescent="0.35">
      <c r="A74" s="16" t="s">
        <v>97</v>
      </c>
      <c r="B74" s="16" t="s">
        <v>187</v>
      </c>
      <c r="C74">
        <v>153.25</v>
      </c>
    </row>
    <row r="75" spans="1:3" x14ac:dyDescent="0.35">
      <c r="A75" s="16" t="s">
        <v>107</v>
      </c>
      <c r="B75" s="16" t="s">
        <v>185</v>
      </c>
      <c r="C75">
        <v>0.55000000000000004</v>
      </c>
    </row>
    <row r="76" spans="1:3" x14ac:dyDescent="0.35">
      <c r="A76" s="16" t="s">
        <v>107</v>
      </c>
      <c r="B76" s="16" t="s">
        <v>187</v>
      </c>
      <c r="C76">
        <v>1.92</v>
      </c>
    </row>
    <row r="77" spans="1:3" x14ac:dyDescent="0.35">
      <c r="A77" s="16" t="s">
        <v>101</v>
      </c>
      <c r="B77" s="16" t="s">
        <v>185</v>
      </c>
      <c r="C77">
        <v>272.73</v>
      </c>
    </row>
    <row r="78" spans="1:3" x14ac:dyDescent="0.35">
      <c r="A78" s="16" t="s">
        <v>101</v>
      </c>
      <c r="B78" s="16" t="s">
        <v>186</v>
      </c>
      <c r="C78">
        <v>159</v>
      </c>
    </row>
    <row r="79" spans="1:3" x14ac:dyDescent="0.35">
      <c r="A79" s="16" t="s">
        <v>111</v>
      </c>
      <c r="B79" s="16" t="s">
        <v>185</v>
      </c>
      <c r="C79">
        <v>17.75</v>
      </c>
    </row>
    <row r="80" spans="1:3" x14ac:dyDescent="0.35">
      <c r="A80" s="16" t="s">
        <v>111</v>
      </c>
      <c r="B80" s="16" t="s">
        <v>186</v>
      </c>
      <c r="C80">
        <v>6</v>
      </c>
    </row>
    <row r="81" spans="1:3" x14ac:dyDescent="0.35">
      <c r="A81" s="16" t="s">
        <v>103</v>
      </c>
      <c r="B81" s="16" t="s">
        <v>185</v>
      </c>
      <c r="C81">
        <v>20.420000000000002</v>
      </c>
    </row>
    <row r="82" spans="1:3" x14ac:dyDescent="0.35">
      <c r="A82" s="16" t="s">
        <v>103</v>
      </c>
      <c r="B82" s="16" t="s">
        <v>187</v>
      </c>
      <c r="C82">
        <v>60.89</v>
      </c>
    </row>
    <row r="83" spans="1:3" x14ac:dyDescent="0.35">
      <c r="A83" s="16" t="s">
        <v>139</v>
      </c>
      <c r="B83" s="16" t="s">
        <v>185</v>
      </c>
      <c r="C83">
        <v>45.91</v>
      </c>
    </row>
    <row r="84" spans="1:3" x14ac:dyDescent="0.35">
      <c r="A84" s="16" t="s">
        <v>139</v>
      </c>
      <c r="B84" s="16" t="s">
        <v>186</v>
      </c>
      <c r="C84">
        <v>3.55</v>
      </c>
    </row>
    <row r="85" spans="1:3" x14ac:dyDescent="0.35">
      <c r="A85" s="16" t="s">
        <v>124</v>
      </c>
      <c r="B85" s="16" t="s">
        <v>185</v>
      </c>
      <c r="C85">
        <v>9057.73</v>
      </c>
    </row>
    <row r="86" spans="1:3" x14ac:dyDescent="0.35">
      <c r="A86" s="16" t="s">
        <v>124</v>
      </c>
      <c r="B86" s="16" t="s">
        <v>186</v>
      </c>
      <c r="C86">
        <v>3442</v>
      </c>
    </row>
    <row r="87" spans="1:3" x14ac:dyDescent="0.35">
      <c r="A87" s="16" t="s">
        <v>124</v>
      </c>
      <c r="B87" s="16" t="s">
        <v>187</v>
      </c>
      <c r="C87">
        <v>751.65</v>
      </c>
    </row>
    <row r="88" spans="1:3" x14ac:dyDescent="0.35">
      <c r="A88" s="16" t="s">
        <v>116</v>
      </c>
      <c r="B88" s="16" t="s">
        <v>185</v>
      </c>
      <c r="C88">
        <v>66.94</v>
      </c>
    </row>
    <row r="89" spans="1:3" x14ac:dyDescent="0.35">
      <c r="A89" s="16" t="s">
        <v>116</v>
      </c>
      <c r="B89" s="16" t="s">
        <v>187</v>
      </c>
      <c r="C89">
        <v>66.599999999999994</v>
      </c>
    </row>
    <row r="90" spans="1:3" x14ac:dyDescent="0.35">
      <c r="A90" s="16" t="s">
        <v>118</v>
      </c>
      <c r="B90" s="16" t="s">
        <v>185</v>
      </c>
      <c r="C90">
        <v>774.92</v>
      </c>
    </row>
    <row r="91" spans="1:3" x14ac:dyDescent="0.35">
      <c r="A91" s="16" t="s">
        <v>118</v>
      </c>
      <c r="B91" s="16" t="s">
        <v>186</v>
      </c>
      <c r="C91">
        <v>245</v>
      </c>
    </row>
    <row r="92" spans="1:3" x14ac:dyDescent="0.35">
      <c r="A92" s="16" t="s">
        <v>118</v>
      </c>
      <c r="B92" s="16" t="s">
        <v>187</v>
      </c>
      <c r="C92">
        <v>66</v>
      </c>
    </row>
    <row r="93" spans="1:3" x14ac:dyDescent="0.35">
      <c r="A93" s="16" t="s">
        <v>122</v>
      </c>
      <c r="B93" s="16" t="s">
        <v>185</v>
      </c>
      <c r="C93">
        <v>84.52</v>
      </c>
    </row>
    <row r="94" spans="1:3" x14ac:dyDescent="0.35">
      <c r="A94" s="16" t="s">
        <v>122</v>
      </c>
      <c r="B94" s="16" t="s">
        <v>187</v>
      </c>
      <c r="C94">
        <v>1637.13</v>
      </c>
    </row>
    <row r="95" spans="1:3" x14ac:dyDescent="0.35">
      <c r="A95" s="16" t="s">
        <v>126</v>
      </c>
      <c r="B95" s="16" t="s">
        <v>185</v>
      </c>
      <c r="C95">
        <v>195.84</v>
      </c>
    </row>
    <row r="96" spans="1:3" x14ac:dyDescent="0.35">
      <c r="A96" s="16" t="s">
        <v>126</v>
      </c>
      <c r="B96" s="16" t="s">
        <v>187</v>
      </c>
      <c r="C96">
        <v>3165.05</v>
      </c>
    </row>
    <row r="97" spans="1:3" x14ac:dyDescent="0.35">
      <c r="A97" s="16" t="s">
        <v>128</v>
      </c>
      <c r="B97" s="16" t="s">
        <v>185</v>
      </c>
      <c r="C97">
        <v>105.18</v>
      </c>
    </row>
    <row r="98" spans="1:3" x14ac:dyDescent="0.35">
      <c r="A98" s="16" t="s">
        <v>128</v>
      </c>
      <c r="B98" s="16" t="s">
        <v>187</v>
      </c>
      <c r="C98">
        <v>1080.02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C33C-D9F3-42F2-ABB7-061E5383EFD3}">
  <sheetPr codeName="Sheet13"/>
  <dimension ref="A1:I85"/>
  <sheetViews>
    <sheetView zoomScale="79" workbookViewId="0">
      <selection activeCell="G1" sqref="G1:G1048576"/>
    </sheetView>
  </sheetViews>
  <sheetFormatPr defaultRowHeight="14.5" x14ac:dyDescent="0.35"/>
  <cols>
    <col min="1" max="4" width="13.26953125" customWidth="1"/>
    <col min="5" max="5" width="15.26953125" customWidth="1"/>
    <col min="6" max="6" width="15" customWidth="1"/>
    <col min="7" max="7" width="18.6328125" customWidth="1"/>
    <col min="8" max="8" width="15.26953125" customWidth="1"/>
    <col min="9" max="9" width="19" customWidth="1"/>
  </cols>
  <sheetData>
    <row r="1" spans="1:9" x14ac:dyDescent="0.35">
      <c r="A1" t="s">
        <v>130</v>
      </c>
      <c r="B1" t="s">
        <v>184</v>
      </c>
      <c r="C1" t="s">
        <v>190</v>
      </c>
      <c r="D1" t="s">
        <v>185</v>
      </c>
      <c r="F1" t="s">
        <v>130</v>
      </c>
      <c r="G1" t="s">
        <v>189</v>
      </c>
      <c r="H1" t="s">
        <v>130</v>
      </c>
      <c r="I1" t="s">
        <v>191</v>
      </c>
    </row>
    <row r="2" spans="1:9" x14ac:dyDescent="0.35">
      <c r="A2" s="20" t="s">
        <v>53</v>
      </c>
      <c r="B2" s="21" t="s">
        <v>187</v>
      </c>
      <c r="C2" s="45">
        <v>128.9</v>
      </c>
      <c r="D2" t="s">
        <v>186</v>
      </c>
      <c r="F2" t="str" cm="1">
        <f t="array" ref="F2:F85">IF($B$2:$B$85='Describtive-Analysis'!$W$4,$A$2:$A$85,"")</f>
        <v/>
      </c>
      <c r="G2" t="str" cm="1">
        <f t="array" ref="G2:G85">IF($B$2:$B$85='Describtive-Analysis'!$W$4,$C$2:$C$85,"")</f>
        <v/>
      </c>
      <c r="H2" t="str" cm="1">
        <f t="array" ref="H2:I33">_xlfn._xlws.FILTER(F2:G98, F2:F98&lt;&gt;"")</f>
        <v>Algeria</v>
      </c>
      <c r="I2">
        <v>461.8</v>
      </c>
    </row>
    <row r="3" spans="1:9" x14ac:dyDescent="0.35">
      <c r="A3" s="22" t="s">
        <v>28</v>
      </c>
      <c r="B3" s="23" t="s">
        <v>187</v>
      </c>
      <c r="C3" s="46">
        <v>3729.28</v>
      </c>
      <c r="D3" t="s">
        <v>187</v>
      </c>
      <c r="F3" t="str">
        <v/>
      </c>
      <c r="G3" t="str">
        <v/>
      </c>
      <c r="H3" t="str">
        <v>Angola</v>
      </c>
      <c r="I3">
        <v>361.89</v>
      </c>
    </row>
    <row r="4" spans="1:9" x14ac:dyDescent="0.35">
      <c r="A4" s="20" t="s">
        <v>37</v>
      </c>
      <c r="B4" s="21" t="s">
        <v>187</v>
      </c>
      <c r="C4" s="45">
        <v>34</v>
      </c>
      <c r="F4" t="str">
        <v/>
      </c>
      <c r="G4" t="str">
        <v/>
      </c>
      <c r="H4" t="str">
        <v>Benin</v>
      </c>
      <c r="I4">
        <v>35.26</v>
      </c>
    </row>
    <row r="5" spans="1:9" x14ac:dyDescent="0.35">
      <c r="A5" s="22" t="s">
        <v>32</v>
      </c>
      <c r="B5" s="23" t="s">
        <v>187</v>
      </c>
      <c r="C5" s="46">
        <v>63.28</v>
      </c>
      <c r="F5" t="str">
        <v/>
      </c>
      <c r="G5" t="str">
        <v/>
      </c>
      <c r="H5" t="str">
        <v>Burkina Faso</v>
      </c>
      <c r="I5">
        <v>205.64</v>
      </c>
    </row>
    <row r="6" spans="1:9" x14ac:dyDescent="0.35">
      <c r="A6" s="20" t="s">
        <v>44</v>
      </c>
      <c r="B6" s="21" t="s">
        <v>187</v>
      </c>
      <c r="C6" s="45">
        <v>814</v>
      </c>
      <c r="F6" t="str">
        <v/>
      </c>
      <c r="G6" t="str">
        <v/>
      </c>
      <c r="H6" t="str">
        <v>Cabo Verde</v>
      </c>
      <c r="I6">
        <v>31.04</v>
      </c>
    </row>
    <row r="7" spans="1:9" x14ac:dyDescent="0.35">
      <c r="A7" s="22" t="s">
        <v>138</v>
      </c>
      <c r="B7" s="23" t="s">
        <v>187</v>
      </c>
      <c r="C7" s="46">
        <v>2832</v>
      </c>
      <c r="F7" t="str">
        <v/>
      </c>
      <c r="G7" t="str">
        <v/>
      </c>
      <c r="H7" t="str">
        <v>Cameroon</v>
      </c>
      <c r="I7">
        <v>62.65</v>
      </c>
    </row>
    <row r="8" spans="1:9" x14ac:dyDescent="0.35">
      <c r="A8" s="20" t="s">
        <v>67</v>
      </c>
      <c r="B8" s="21" t="s">
        <v>187</v>
      </c>
      <c r="C8" s="45">
        <v>127.14</v>
      </c>
      <c r="F8" t="str">
        <v/>
      </c>
      <c r="G8" t="str">
        <v/>
      </c>
      <c r="H8" t="str">
        <v>Egypt</v>
      </c>
      <c r="I8">
        <v>2590.2800000000002</v>
      </c>
    </row>
    <row r="9" spans="1:9" x14ac:dyDescent="0.35">
      <c r="A9" s="22" t="s">
        <v>109</v>
      </c>
      <c r="B9" s="23" t="s">
        <v>187</v>
      </c>
      <c r="C9" s="46">
        <v>63.53</v>
      </c>
      <c r="F9" t="str">
        <v/>
      </c>
      <c r="G9" t="str">
        <v/>
      </c>
      <c r="H9" t="str">
        <v>Eritrea</v>
      </c>
      <c r="I9">
        <v>24.79</v>
      </c>
    </row>
    <row r="10" spans="1:9" x14ac:dyDescent="0.35">
      <c r="A10" s="20" t="s">
        <v>57</v>
      </c>
      <c r="B10" s="21" t="s">
        <v>187</v>
      </c>
      <c r="C10" s="45">
        <v>5221.28</v>
      </c>
      <c r="F10" t="str">
        <v/>
      </c>
      <c r="G10" t="str">
        <v/>
      </c>
      <c r="H10" t="str">
        <v>Eswatini</v>
      </c>
      <c r="I10">
        <v>27.95</v>
      </c>
    </row>
    <row r="11" spans="1:9" x14ac:dyDescent="0.35">
      <c r="A11" s="22" t="s">
        <v>59</v>
      </c>
      <c r="B11" s="23" t="s">
        <v>187</v>
      </c>
      <c r="C11" s="46">
        <v>319.58</v>
      </c>
      <c r="F11" t="str">
        <v/>
      </c>
      <c r="G11" t="str">
        <v/>
      </c>
      <c r="H11" t="str">
        <v>Ethiopia</v>
      </c>
      <c r="I11">
        <v>21.55</v>
      </c>
    </row>
    <row r="12" spans="1:9" x14ac:dyDescent="0.35">
      <c r="A12" s="20" t="s">
        <v>61</v>
      </c>
      <c r="B12" s="21" t="s">
        <v>187</v>
      </c>
      <c r="C12" s="45">
        <v>1584.09</v>
      </c>
      <c r="F12" t="str">
        <v/>
      </c>
      <c r="G12" t="str">
        <v/>
      </c>
      <c r="H12" t="str">
        <v>Ghana</v>
      </c>
      <c r="I12">
        <v>187.98</v>
      </c>
    </row>
    <row r="13" spans="1:9" x14ac:dyDescent="0.35">
      <c r="A13" s="22" t="s">
        <v>63</v>
      </c>
      <c r="B13" s="23" t="s">
        <v>187</v>
      </c>
      <c r="C13" s="46">
        <v>814.22</v>
      </c>
      <c r="F13" t="str">
        <v/>
      </c>
      <c r="G13" t="str">
        <v/>
      </c>
      <c r="H13" t="str">
        <v>South Sudan</v>
      </c>
      <c r="I13">
        <v>31.74</v>
      </c>
    </row>
    <row r="14" spans="1:9" x14ac:dyDescent="0.35">
      <c r="A14" s="20" t="s">
        <v>69</v>
      </c>
      <c r="B14" s="21" t="s">
        <v>187</v>
      </c>
      <c r="C14" s="45">
        <v>892.04</v>
      </c>
      <c r="F14" t="str">
        <v/>
      </c>
      <c r="G14" t="str">
        <v/>
      </c>
      <c r="H14" t="str">
        <v>Kenya</v>
      </c>
      <c r="I14">
        <v>608.76</v>
      </c>
    </row>
    <row r="15" spans="1:9" x14ac:dyDescent="0.35">
      <c r="A15" s="22" t="s">
        <v>75</v>
      </c>
      <c r="B15" s="23" t="s">
        <v>187</v>
      </c>
      <c r="C15" s="46">
        <v>75.180000000000007</v>
      </c>
      <c r="F15" t="str">
        <v/>
      </c>
      <c r="G15" t="str">
        <v/>
      </c>
      <c r="H15" t="str">
        <v>Lesotho</v>
      </c>
      <c r="I15">
        <v>28.8</v>
      </c>
    </row>
    <row r="16" spans="1:9" x14ac:dyDescent="0.35">
      <c r="A16" s="20" t="s">
        <v>71</v>
      </c>
      <c r="B16" s="21" t="s">
        <v>187</v>
      </c>
      <c r="C16" s="45">
        <v>92.86</v>
      </c>
      <c r="F16" t="str">
        <v/>
      </c>
      <c r="G16" t="str">
        <v/>
      </c>
      <c r="H16" t="str">
        <v>Madagascar</v>
      </c>
      <c r="I16">
        <v>58.02</v>
      </c>
    </row>
    <row r="17" spans="1:9" x14ac:dyDescent="0.35">
      <c r="A17" s="22" t="s">
        <v>79</v>
      </c>
      <c r="B17" s="23" t="s">
        <v>187</v>
      </c>
      <c r="C17" s="46">
        <v>192.57</v>
      </c>
      <c r="F17" t="str">
        <v/>
      </c>
      <c r="G17" t="str">
        <v/>
      </c>
      <c r="H17" t="str">
        <v>Malawi</v>
      </c>
      <c r="I17">
        <v>109.32</v>
      </c>
    </row>
    <row r="18" spans="1:9" x14ac:dyDescent="0.35">
      <c r="A18" s="20" t="s">
        <v>89</v>
      </c>
      <c r="B18" s="21" t="s">
        <v>187</v>
      </c>
      <c r="C18" s="45">
        <v>392.62</v>
      </c>
      <c r="F18" t="str">
        <v/>
      </c>
      <c r="G18" t="str">
        <v/>
      </c>
      <c r="H18" t="str">
        <v>Mali</v>
      </c>
      <c r="I18">
        <v>137.01</v>
      </c>
    </row>
    <row r="19" spans="1:9" x14ac:dyDescent="0.35">
      <c r="A19" s="22" t="s">
        <v>81</v>
      </c>
      <c r="B19" s="23" t="s">
        <v>187</v>
      </c>
      <c r="C19" s="46">
        <v>455.3</v>
      </c>
      <c r="F19" t="str">
        <v/>
      </c>
      <c r="G19" t="str">
        <v/>
      </c>
      <c r="H19" t="str">
        <v>Mauritania</v>
      </c>
      <c r="I19">
        <v>157.01</v>
      </c>
    </row>
    <row r="20" spans="1:9" x14ac:dyDescent="0.35">
      <c r="A20" s="20" t="s">
        <v>87</v>
      </c>
      <c r="B20" s="21" t="s">
        <v>187</v>
      </c>
      <c r="C20" s="45">
        <v>61.7</v>
      </c>
      <c r="F20" t="str">
        <v/>
      </c>
      <c r="G20" t="str">
        <v/>
      </c>
      <c r="H20" t="str">
        <v>Mauritius</v>
      </c>
      <c r="I20">
        <v>138.91</v>
      </c>
    </row>
    <row r="21" spans="1:9" x14ac:dyDescent="0.35">
      <c r="A21" s="22" t="s">
        <v>77</v>
      </c>
      <c r="B21" s="23" t="s">
        <v>187</v>
      </c>
      <c r="C21" s="46">
        <v>1305.53</v>
      </c>
      <c r="F21" t="str">
        <v/>
      </c>
      <c r="G21" t="str">
        <v/>
      </c>
      <c r="H21" t="str">
        <v>Morocco</v>
      </c>
      <c r="I21">
        <v>951</v>
      </c>
    </row>
    <row r="22" spans="1:9" x14ac:dyDescent="0.35">
      <c r="A22" s="20" t="s">
        <v>83</v>
      </c>
      <c r="B22" s="21" t="s">
        <v>187</v>
      </c>
      <c r="C22" s="45">
        <v>2193.63</v>
      </c>
      <c r="F22" t="str">
        <v/>
      </c>
      <c r="G22" t="str">
        <v/>
      </c>
      <c r="H22" t="str">
        <v>Mozambique</v>
      </c>
      <c r="I22">
        <v>106.94</v>
      </c>
    </row>
    <row r="23" spans="1:9" x14ac:dyDescent="0.35">
      <c r="A23" s="22" t="s">
        <v>91</v>
      </c>
      <c r="B23" s="23" t="s">
        <v>187</v>
      </c>
      <c r="C23" s="46">
        <v>351</v>
      </c>
      <c r="F23" t="str">
        <v/>
      </c>
      <c r="G23" t="str">
        <v/>
      </c>
      <c r="H23" t="str">
        <v>Namibia</v>
      </c>
      <c r="I23">
        <v>238.56</v>
      </c>
    </row>
    <row r="24" spans="1:9" x14ac:dyDescent="0.35">
      <c r="A24" s="20" t="s">
        <v>95</v>
      </c>
      <c r="B24" s="21" t="s">
        <v>187</v>
      </c>
      <c r="C24" s="45">
        <v>2860.8</v>
      </c>
      <c r="F24" t="str">
        <v/>
      </c>
      <c r="G24" t="str">
        <v/>
      </c>
      <c r="H24" t="str">
        <v>Nigeria</v>
      </c>
      <c r="I24">
        <v>196.77</v>
      </c>
    </row>
    <row r="25" spans="1:9" x14ac:dyDescent="0.35">
      <c r="A25" s="22" t="s">
        <v>97</v>
      </c>
      <c r="B25" s="23" t="s">
        <v>187</v>
      </c>
      <c r="C25" s="46">
        <v>153.25</v>
      </c>
      <c r="F25" t="str">
        <v/>
      </c>
      <c r="G25" t="str">
        <v/>
      </c>
      <c r="H25" t="str">
        <v>Rwanda</v>
      </c>
      <c r="I25">
        <v>27.55</v>
      </c>
    </row>
    <row r="26" spans="1:9" x14ac:dyDescent="0.35">
      <c r="A26" s="20" t="s">
        <v>103</v>
      </c>
      <c r="B26" s="21" t="s">
        <v>187</v>
      </c>
      <c r="C26" s="45">
        <v>60.89</v>
      </c>
      <c r="F26" t="str">
        <v/>
      </c>
      <c r="G26" t="str">
        <v/>
      </c>
      <c r="H26" t="str">
        <v>Senegal</v>
      </c>
      <c r="I26">
        <v>272.73</v>
      </c>
    </row>
    <row r="27" spans="1:9" x14ac:dyDescent="0.35">
      <c r="A27" s="22" t="s">
        <v>124</v>
      </c>
      <c r="B27" s="23" t="s">
        <v>187</v>
      </c>
      <c r="C27" s="46">
        <v>751.65</v>
      </c>
      <c r="F27" t="str">
        <v/>
      </c>
      <c r="G27" t="str">
        <v/>
      </c>
      <c r="H27" t="str">
        <v>Somalia</v>
      </c>
      <c r="I27">
        <v>45.91</v>
      </c>
    </row>
    <row r="28" spans="1:9" x14ac:dyDescent="0.35">
      <c r="A28" s="20" t="s">
        <v>116</v>
      </c>
      <c r="B28" s="21" t="s">
        <v>187</v>
      </c>
      <c r="C28" s="45">
        <v>66.599999999999994</v>
      </c>
      <c r="F28" t="str">
        <v/>
      </c>
      <c r="G28" t="str">
        <v/>
      </c>
      <c r="H28" t="str">
        <v>South Africa</v>
      </c>
      <c r="I28">
        <v>9057.73</v>
      </c>
    </row>
    <row r="29" spans="1:9" x14ac:dyDescent="0.35">
      <c r="A29" s="22" t="s">
        <v>118</v>
      </c>
      <c r="B29" s="23" t="s">
        <v>187</v>
      </c>
      <c r="C29" s="46">
        <v>66</v>
      </c>
      <c r="F29" t="str">
        <v/>
      </c>
      <c r="G29" t="str">
        <v/>
      </c>
      <c r="H29" t="str">
        <v>Togo</v>
      </c>
      <c r="I29">
        <v>66.94</v>
      </c>
    </row>
    <row r="30" spans="1:9" x14ac:dyDescent="0.35">
      <c r="A30" s="20" t="s">
        <v>122</v>
      </c>
      <c r="B30" s="21" t="s">
        <v>187</v>
      </c>
      <c r="C30" s="45">
        <v>1637.13</v>
      </c>
      <c r="F30" t="str">
        <v/>
      </c>
      <c r="G30" t="str">
        <v/>
      </c>
      <c r="H30" t="str">
        <v>Tunisia</v>
      </c>
      <c r="I30">
        <v>774.92</v>
      </c>
    </row>
    <row r="31" spans="1:9" x14ac:dyDescent="0.35">
      <c r="A31" s="22" t="s">
        <v>126</v>
      </c>
      <c r="B31" s="23" t="s">
        <v>187</v>
      </c>
      <c r="C31" s="46">
        <v>3165.05</v>
      </c>
      <c r="F31" t="str">
        <v/>
      </c>
      <c r="G31" t="str">
        <v/>
      </c>
      <c r="H31" t="str">
        <v>Uganda</v>
      </c>
      <c r="I31">
        <v>84.52</v>
      </c>
    </row>
    <row r="32" spans="1:9" x14ac:dyDescent="0.35">
      <c r="A32" s="20" t="s">
        <v>128</v>
      </c>
      <c r="B32" s="21" t="s">
        <v>187</v>
      </c>
      <c r="C32" s="45">
        <v>1080.02</v>
      </c>
      <c r="F32" t="str">
        <v/>
      </c>
      <c r="G32" t="str">
        <v/>
      </c>
      <c r="H32" t="str">
        <v>Zambia</v>
      </c>
      <c r="I32">
        <v>195.84</v>
      </c>
    </row>
    <row r="33" spans="1:9" x14ac:dyDescent="0.35">
      <c r="A33" s="20" t="s">
        <v>48</v>
      </c>
      <c r="B33" s="21" t="s">
        <v>186</v>
      </c>
      <c r="C33" s="45">
        <v>26.8</v>
      </c>
      <c r="F33" t="str">
        <v/>
      </c>
      <c r="G33" t="str">
        <v/>
      </c>
      <c r="H33" t="str">
        <v>Zimbabwe</v>
      </c>
      <c r="I33">
        <v>105.18</v>
      </c>
    </row>
    <row r="34" spans="1:9" x14ac:dyDescent="0.35">
      <c r="A34" s="22" t="s">
        <v>50</v>
      </c>
      <c r="B34" s="23" t="s">
        <v>186</v>
      </c>
      <c r="C34" s="46">
        <v>80</v>
      </c>
      <c r="F34" t="str">
        <v/>
      </c>
      <c r="G34" t="str">
        <v/>
      </c>
    </row>
    <row r="35" spans="1:9" x14ac:dyDescent="0.35">
      <c r="A35" s="20" t="s">
        <v>138</v>
      </c>
      <c r="B35" s="21" t="s">
        <v>186</v>
      </c>
      <c r="C35" s="45">
        <v>2199</v>
      </c>
      <c r="F35" t="str">
        <v/>
      </c>
      <c r="G35" t="str">
        <v/>
      </c>
    </row>
    <row r="36" spans="1:9" x14ac:dyDescent="0.35">
      <c r="A36" s="22" t="s">
        <v>57</v>
      </c>
      <c r="B36" s="23" t="s">
        <v>186</v>
      </c>
      <c r="C36" s="46">
        <v>404.01</v>
      </c>
      <c r="F36" t="str">
        <v/>
      </c>
      <c r="G36" t="str">
        <v/>
      </c>
    </row>
    <row r="37" spans="1:9" x14ac:dyDescent="0.35">
      <c r="A37" s="20" t="s">
        <v>69</v>
      </c>
      <c r="B37" s="21" t="s">
        <v>186</v>
      </c>
      <c r="C37" s="45">
        <v>436.15</v>
      </c>
      <c r="F37" t="str">
        <v/>
      </c>
      <c r="G37" t="str">
        <v/>
      </c>
    </row>
    <row r="38" spans="1:9" x14ac:dyDescent="0.35">
      <c r="A38" s="22" t="s">
        <v>85</v>
      </c>
      <c r="B38" s="23" t="s">
        <v>186</v>
      </c>
      <c r="C38" s="46">
        <v>136.78</v>
      </c>
      <c r="F38" t="str">
        <v/>
      </c>
      <c r="G38" t="str">
        <v/>
      </c>
    </row>
    <row r="39" spans="1:9" x14ac:dyDescent="0.35">
      <c r="A39" s="20" t="s">
        <v>77</v>
      </c>
      <c r="B39" s="21" t="s">
        <v>186</v>
      </c>
      <c r="C39" s="45">
        <v>2395</v>
      </c>
      <c r="F39" t="str">
        <v/>
      </c>
      <c r="G39" t="str">
        <v/>
      </c>
    </row>
    <row r="40" spans="1:9" x14ac:dyDescent="0.35">
      <c r="A40" s="22" t="s">
        <v>101</v>
      </c>
      <c r="B40" s="23" t="s">
        <v>186</v>
      </c>
      <c r="C40" s="46">
        <v>159</v>
      </c>
      <c r="F40" t="str">
        <v/>
      </c>
      <c r="G40" t="str">
        <v/>
      </c>
    </row>
    <row r="41" spans="1:9" x14ac:dyDescent="0.35">
      <c r="A41" s="20" t="s">
        <v>124</v>
      </c>
      <c r="B41" s="21" t="s">
        <v>186</v>
      </c>
      <c r="C41" s="45">
        <v>3442</v>
      </c>
      <c r="F41" t="str">
        <v/>
      </c>
      <c r="G41" t="str">
        <v/>
      </c>
    </row>
    <row r="42" spans="1:9" x14ac:dyDescent="0.35">
      <c r="A42" s="22" t="s">
        <v>118</v>
      </c>
      <c r="B42" s="23" t="s">
        <v>186</v>
      </c>
      <c r="C42" s="46">
        <v>245</v>
      </c>
      <c r="F42" t="str">
        <v/>
      </c>
      <c r="G42" t="str">
        <v/>
      </c>
    </row>
    <row r="43" spans="1:9" x14ac:dyDescent="0.35">
      <c r="A43" s="20" t="s">
        <v>53</v>
      </c>
      <c r="B43" s="21" t="s">
        <v>185</v>
      </c>
      <c r="C43" s="45">
        <v>461.8</v>
      </c>
      <c r="F43" t="str">
        <v>Algeria</v>
      </c>
      <c r="G43">
        <v>461.8</v>
      </c>
    </row>
    <row r="44" spans="1:9" x14ac:dyDescent="0.35">
      <c r="A44" s="22" t="s">
        <v>28</v>
      </c>
      <c r="B44" s="23" t="s">
        <v>185</v>
      </c>
      <c r="C44" s="46">
        <v>361.89</v>
      </c>
      <c r="F44" t="str">
        <v>Angola</v>
      </c>
      <c r="G44">
        <v>361.89</v>
      </c>
    </row>
    <row r="45" spans="1:9" x14ac:dyDescent="0.35">
      <c r="A45" s="20" t="s">
        <v>35</v>
      </c>
      <c r="B45" s="21" t="s">
        <v>185</v>
      </c>
      <c r="C45" s="45">
        <v>35.26</v>
      </c>
      <c r="F45" t="str">
        <v>Benin</v>
      </c>
      <c r="G45">
        <v>35.26</v>
      </c>
    </row>
    <row r="46" spans="1:9" x14ac:dyDescent="0.35">
      <c r="A46" s="22" t="s">
        <v>37</v>
      </c>
      <c r="B46" s="23" t="s">
        <v>185</v>
      </c>
      <c r="C46" s="46">
        <v>205.64</v>
      </c>
      <c r="F46" t="str">
        <v>Burkina Faso</v>
      </c>
      <c r="G46">
        <v>205.64</v>
      </c>
    </row>
    <row r="47" spans="1:9" x14ac:dyDescent="0.35">
      <c r="A47" s="20" t="s">
        <v>48</v>
      </c>
      <c r="B47" s="21" t="s">
        <v>185</v>
      </c>
      <c r="C47" s="45">
        <v>31.04</v>
      </c>
      <c r="F47" t="str">
        <v>Cabo Verde</v>
      </c>
      <c r="G47">
        <v>31.04</v>
      </c>
    </row>
    <row r="48" spans="1:9" x14ac:dyDescent="0.35">
      <c r="A48" s="22" t="s">
        <v>44</v>
      </c>
      <c r="B48" s="23" t="s">
        <v>185</v>
      </c>
      <c r="C48" s="46">
        <v>62.65</v>
      </c>
      <c r="F48" t="str">
        <v>Cameroon</v>
      </c>
      <c r="G48">
        <v>62.65</v>
      </c>
    </row>
    <row r="49" spans="1:7" x14ac:dyDescent="0.35">
      <c r="A49" s="20" t="s">
        <v>138</v>
      </c>
      <c r="B49" s="21" t="s">
        <v>185</v>
      </c>
      <c r="C49" s="45">
        <v>2590.2800000000002</v>
      </c>
      <c r="F49" t="str">
        <v>Egypt</v>
      </c>
      <c r="G49">
        <v>2590.2800000000002</v>
      </c>
    </row>
    <row r="50" spans="1:7" x14ac:dyDescent="0.35">
      <c r="A50" s="22" t="s">
        <v>55</v>
      </c>
      <c r="B50" s="23" t="s">
        <v>185</v>
      </c>
      <c r="C50" s="46">
        <v>24.79</v>
      </c>
      <c r="F50" t="str">
        <v>Eritrea</v>
      </c>
      <c r="G50">
        <v>24.79</v>
      </c>
    </row>
    <row r="51" spans="1:7" x14ac:dyDescent="0.35">
      <c r="A51" s="20" t="s">
        <v>109</v>
      </c>
      <c r="B51" s="21" t="s">
        <v>185</v>
      </c>
      <c r="C51" s="45">
        <v>27.95</v>
      </c>
      <c r="F51" t="str">
        <v>Eswatini</v>
      </c>
      <c r="G51">
        <v>27.95</v>
      </c>
    </row>
    <row r="52" spans="1:7" x14ac:dyDescent="0.35">
      <c r="A52" s="22" t="s">
        <v>57</v>
      </c>
      <c r="B52" s="23" t="s">
        <v>185</v>
      </c>
      <c r="C52" s="46">
        <v>21.55</v>
      </c>
      <c r="F52" t="str">
        <v>Ethiopia</v>
      </c>
      <c r="G52">
        <v>21.55</v>
      </c>
    </row>
    <row r="53" spans="1:7" x14ac:dyDescent="0.35">
      <c r="A53" s="20" t="s">
        <v>61</v>
      </c>
      <c r="B53" s="21" t="s">
        <v>185</v>
      </c>
      <c r="C53" s="45">
        <v>187.98</v>
      </c>
      <c r="F53" t="str">
        <v>Ghana</v>
      </c>
      <c r="G53">
        <v>187.98</v>
      </c>
    </row>
    <row r="54" spans="1:7" x14ac:dyDescent="0.35">
      <c r="A54" s="22" t="s">
        <v>105</v>
      </c>
      <c r="B54" s="23" t="s">
        <v>185</v>
      </c>
      <c r="C54" s="46">
        <v>31.74</v>
      </c>
      <c r="F54" t="str">
        <v>South Sudan</v>
      </c>
      <c r="G54">
        <v>31.74</v>
      </c>
    </row>
    <row r="55" spans="1:7" x14ac:dyDescent="0.35">
      <c r="A55" s="20" t="s">
        <v>69</v>
      </c>
      <c r="B55" s="21" t="s">
        <v>185</v>
      </c>
      <c r="C55" s="45">
        <v>608.76</v>
      </c>
      <c r="F55" t="str">
        <v>Kenya</v>
      </c>
      <c r="G55">
        <v>608.76</v>
      </c>
    </row>
    <row r="56" spans="1:7" x14ac:dyDescent="0.35">
      <c r="A56" s="22" t="s">
        <v>75</v>
      </c>
      <c r="B56" s="23" t="s">
        <v>185</v>
      </c>
      <c r="C56" s="46">
        <v>28.8</v>
      </c>
      <c r="F56" t="str">
        <v>Lesotho</v>
      </c>
      <c r="G56">
        <v>28.8</v>
      </c>
    </row>
    <row r="57" spans="1:7" x14ac:dyDescent="0.35">
      <c r="A57" s="20" t="s">
        <v>79</v>
      </c>
      <c r="B57" s="21" t="s">
        <v>185</v>
      </c>
      <c r="C57" s="45">
        <v>58.02</v>
      </c>
      <c r="F57" t="str">
        <v>Madagascar</v>
      </c>
      <c r="G57">
        <v>58.02</v>
      </c>
    </row>
    <row r="58" spans="1:7" x14ac:dyDescent="0.35">
      <c r="A58" s="22" t="s">
        <v>89</v>
      </c>
      <c r="B58" s="23" t="s">
        <v>185</v>
      </c>
      <c r="C58" s="46">
        <v>109.32</v>
      </c>
      <c r="F58" t="str">
        <v>Malawi</v>
      </c>
      <c r="G58">
        <v>109.32</v>
      </c>
    </row>
    <row r="59" spans="1:7" x14ac:dyDescent="0.35">
      <c r="A59" s="20" t="s">
        <v>81</v>
      </c>
      <c r="B59" s="21" t="s">
        <v>185</v>
      </c>
      <c r="C59" s="45">
        <v>137.01</v>
      </c>
      <c r="F59" t="str">
        <v>Mali</v>
      </c>
      <c r="G59">
        <v>137.01</v>
      </c>
    </row>
    <row r="60" spans="1:7" x14ac:dyDescent="0.35">
      <c r="A60" s="22" t="s">
        <v>85</v>
      </c>
      <c r="B60" s="23" t="s">
        <v>185</v>
      </c>
      <c r="C60" s="46">
        <v>157.01</v>
      </c>
      <c r="F60" t="str">
        <v>Mauritania</v>
      </c>
      <c r="G60">
        <v>157.01</v>
      </c>
    </row>
    <row r="61" spans="1:7" x14ac:dyDescent="0.35">
      <c r="A61" s="20" t="s">
        <v>87</v>
      </c>
      <c r="B61" s="21" t="s">
        <v>185</v>
      </c>
      <c r="C61" s="45">
        <v>138.91</v>
      </c>
      <c r="F61" t="str">
        <v>Mauritius</v>
      </c>
      <c r="G61">
        <v>138.91</v>
      </c>
    </row>
    <row r="62" spans="1:7" x14ac:dyDescent="0.35">
      <c r="A62" s="22" t="s">
        <v>77</v>
      </c>
      <c r="B62" s="23" t="s">
        <v>185</v>
      </c>
      <c r="C62" s="46">
        <v>951</v>
      </c>
      <c r="F62" t="str">
        <v>Morocco</v>
      </c>
      <c r="G62">
        <v>951</v>
      </c>
    </row>
    <row r="63" spans="1:7" x14ac:dyDescent="0.35">
      <c r="A63" s="20" t="s">
        <v>83</v>
      </c>
      <c r="B63" s="21" t="s">
        <v>185</v>
      </c>
      <c r="C63" s="45">
        <v>106.94</v>
      </c>
      <c r="F63" t="str">
        <v>Mozambique</v>
      </c>
      <c r="G63">
        <v>106.94</v>
      </c>
    </row>
    <row r="64" spans="1:7" x14ac:dyDescent="0.35">
      <c r="A64" s="22" t="s">
        <v>91</v>
      </c>
      <c r="B64" s="23" t="s">
        <v>185</v>
      </c>
      <c r="C64" s="46">
        <v>238.56</v>
      </c>
      <c r="F64" t="str">
        <v>Namibia</v>
      </c>
      <c r="G64">
        <v>238.56</v>
      </c>
    </row>
    <row r="65" spans="1:7" x14ac:dyDescent="0.35">
      <c r="A65" s="20" t="s">
        <v>95</v>
      </c>
      <c r="B65" s="21" t="s">
        <v>185</v>
      </c>
      <c r="C65" s="45">
        <v>196.77</v>
      </c>
      <c r="F65" t="str">
        <v>Nigeria</v>
      </c>
      <c r="G65">
        <v>196.77</v>
      </c>
    </row>
    <row r="66" spans="1:7" x14ac:dyDescent="0.35">
      <c r="A66" s="22" t="s">
        <v>97</v>
      </c>
      <c r="B66" s="23" t="s">
        <v>185</v>
      </c>
      <c r="C66" s="46">
        <v>27.55</v>
      </c>
      <c r="F66" t="str">
        <v>Rwanda</v>
      </c>
      <c r="G66">
        <v>27.55</v>
      </c>
    </row>
    <row r="67" spans="1:7" x14ac:dyDescent="0.35">
      <c r="A67" s="20" t="s">
        <v>101</v>
      </c>
      <c r="B67" s="21" t="s">
        <v>185</v>
      </c>
      <c r="C67" s="45">
        <v>272.73</v>
      </c>
      <c r="F67" t="str">
        <v>Senegal</v>
      </c>
      <c r="G67">
        <v>272.73</v>
      </c>
    </row>
    <row r="68" spans="1:7" x14ac:dyDescent="0.35">
      <c r="A68" s="22" t="s">
        <v>139</v>
      </c>
      <c r="B68" s="23" t="s">
        <v>185</v>
      </c>
      <c r="C68" s="46">
        <v>45.91</v>
      </c>
      <c r="F68" t="str">
        <v>Somalia</v>
      </c>
      <c r="G68">
        <v>45.91</v>
      </c>
    </row>
    <row r="69" spans="1:7" x14ac:dyDescent="0.35">
      <c r="A69" s="20" t="s">
        <v>124</v>
      </c>
      <c r="B69" s="21" t="s">
        <v>185</v>
      </c>
      <c r="C69" s="45">
        <v>9057.73</v>
      </c>
      <c r="F69" t="str">
        <v>South Africa</v>
      </c>
      <c r="G69">
        <v>9057.73</v>
      </c>
    </row>
    <row r="70" spans="1:7" x14ac:dyDescent="0.35">
      <c r="A70" s="22" t="s">
        <v>116</v>
      </c>
      <c r="B70" s="23" t="s">
        <v>185</v>
      </c>
      <c r="C70" s="46">
        <v>66.94</v>
      </c>
      <c r="F70" t="str">
        <v>Togo</v>
      </c>
      <c r="G70">
        <v>66.94</v>
      </c>
    </row>
    <row r="71" spans="1:7" x14ac:dyDescent="0.35">
      <c r="A71" s="20" t="s">
        <v>118</v>
      </c>
      <c r="B71" s="21" t="s">
        <v>185</v>
      </c>
      <c r="C71" s="45">
        <v>774.92</v>
      </c>
      <c r="F71" t="str">
        <v>Tunisia</v>
      </c>
      <c r="G71">
        <v>774.92</v>
      </c>
    </row>
    <row r="72" spans="1:7" x14ac:dyDescent="0.35">
      <c r="A72" s="22" t="s">
        <v>122</v>
      </c>
      <c r="B72" s="23" t="s">
        <v>185</v>
      </c>
      <c r="C72" s="46">
        <v>84.52</v>
      </c>
      <c r="F72" t="str">
        <v>Uganda</v>
      </c>
      <c r="G72">
        <v>84.52</v>
      </c>
    </row>
    <row r="73" spans="1:7" x14ac:dyDescent="0.35">
      <c r="A73" s="20" t="s">
        <v>126</v>
      </c>
      <c r="B73" s="21" t="s">
        <v>185</v>
      </c>
      <c r="C73" s="45">
        <v>195.84</v>
      </c>
      <c r="F73" t="str">
        <v>Zambia</v>
      </c>
      <c r="G73">
        <v>195.84</v>
      </c>
    </row>
    <row r="74" spans="1:7" x14ac:dyDescent="0.35">
      <c r="A74" s="22" t="s">
        <v>128</v>
      </c>
      <c r="B74" s="23" t="s">
        <v>185</v>
      </c>
      <c r="C74" s="46">
        <v>105.18</v>
      </c>
      <c r="F74" t="str">
        <v>Zimbabwe</v>
      </c>
      <c r="G74">
        <v>105.18</v>
      </c>
    </row>
    <row r="75" spans="1:7" x14ac:dyDescent="0.35">
      <c r="F75" t="str">
        <v/>
      </c>
      <c r="G75" t="str">
        <v/>
      </c>
    </row>
    <row r="76" spans="1:7" x14ac:dyDescent="0.35">
      <c r="F76" t="str">
        <v/>
      </c>
      <c r="G76" t="str">
        <v/>
      </c>
    </row>
    <row r="77" spans="1:7" x14ac:dyDescent="0.35">
      <c r="F77" t="str">
        <v/>
      </c>
      <c r="G77" t="str">
        <v/>
      </c>
    </row>
    <row r="78" spans="1:7" x14ac:dyDescent="0.35">
      <c r="F78" t="str">
        <v/>
      </c>
      <c r="G78" t="str">
        <v/>
      </c>
    </row>
    <row r="79" spans="1:7" x14ac:dyDescent="0.35">
      <c r="F79" t="str">
        <v/>
      </c>
      <c r="G79" t="str">
        <v/>
      </c>
    </row>
    <row r="80" spans="1:7" x14ac:dyDescent="0.35">
      <c r="F80" t="str">
        <v/>
      </c>
      <c r="G80" t="str">
        <v/>
      </c>
    </row>
    <row r="81" spans="6:7" x14ac:dyDescent="0.35">
      <c r="F81" t="str">
        <v/>
      </c>
      <c r="G81" t="str">
        <v/>
      </c>
    </row>
    <row r="82" spans="6:7" x14ac:dyDescent="0.35">
      <c r="F82" t="str">
        <v/>
      </c>
      <c r="G82" t="str">
        <v/>
      </c>
    </row>
    <row r="83" spans="6:7" x14ac:dyDescent="0.35">
      <c r="F83" t="str">
        <v/>
      </c>
      <c r="G83" t="str">
        <v/>
      </c>
    </row>
    <row r="84" spans="6:7" x14ac:dyDescent="0.35">
      <c r="F84" t="str">
        <v/>
      </c>
      <c r="G84" t="str">
        <v/>
      </c>
    </row>
    <row r="85" spans="6:7" x14ac:dyDescent="0.35">
      <c r="F85" t="str">
        <v/>
      </c>
      <c r="G85" t="str">
        <v/>
      </c>
    </row>
  </sheetData>
  <dataValidations count="1">
    <dataValidation type="list" allowBlank="1" showInputMessage="1" showErrorMessage="1" sqref="E1" xr:uid="{63BA6B3F-855E-4C15-B172-4872C1B05832}">
      <formula1>#REF!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F232-71E2-4E23-990F-4FB02912133A}">
  <sheetPr codeName="Sheet14"/>
  <dimension ref="B1:AC43"/>
  <sheetViews>
    <sheetView showGridLines="0" tabSelected="1" zoomScale="60" zoomScaleNormal="60" workbookViewId="0">
      <selection activeCell="Q24" sqref="Q24"/>
    </sheetView>
  </sheetViews>
  <sheetFormatPr defaultRowHeight="14.5" x14ac:dyDescent="0.35"/>
  <cols>
    <col min="17" max="17" width="8.7265625" customWidth="1"/>
    <col min="22" max="22" width="18.54296875" customWidth="1"/>
    <col min="23" max="23" width="12.08984375" customWidth="1"/>
  </cols>
  <sheetData>
    <row r="1" spans="2:29" ht="21" x14ac:dyDescent="0.35">
      <c r="C1" s="57" t="s">
        <v>192</v>
      </c>
      <c r="D1" s="58"/>
      <c r="E1" s="58"/>
      <c r="F1" s="58"/>
      <c r="G1" s="58"/>
      <c r="H1" s="58"/>
      <c r="I1" s="58"/>
      <c r="J1" s="58"/>
      <c r="K1" s="58"/>
      <c r="L1" s="58"/>
      <c r="M1" s="59"/>
      <c r="N1" s="54"/>
      <c r="O1" s="54"/>
      <c r="P1" s="40"/>
      <c r="S1" s="63" t="s">
        <v>193</v>
      </c>
      <c r="T1" s="64"/>
      <c r="U1" s="64"/>
      <c r="V1" s="64"/>
      <c r="W1" s="64"/>
      <c r="X1" s="64"/>
      <c r="Y1" s="64"/>
      <c r="Z1" s="64"/>
      <c r="AA1" s="64"/>
      <c r="AB1" s="64"/>
      <c r="AC1" s="65"/>
    </row>
    <row r="2" spans="2:29" ht="21.5" thickBot="1" x14ac:dyDescent="0.4">
      <c r="C2" s="60"/>
      <c r="D2" s="61"/>
      <c r="E2" s="61"/>
      <c r="F2" s="61"/>
      <c r="G2" s="61"/>
      <c r="H2" s="61"/>
      <c r="I2" s="61"/>
      <c r="J2" s="61"/>
      <c r="K2" s="61"/>
      <c r="L2" s="61"/>
      <c r="M2" s="62"/>
      <c r="N2" s="54"/>
      <c r="O2" s="54"/>
      <c r="P2" s="40"/>
      <c r="S2" s="66"/>
      <c r="T2" s="67"/>
      <c r="U2" s="67"/>
      <c r="V2" s="67"/>
      <c r="W2" s="67"/>
      <c r="X2" s="67"/>
      <c r="Y2" s="67"/>
      <c r="Z2" s="67"/>
      <c r="AA2" s="67"/>
      <c r="AB2" s="67"/>
      <c r="AC2" s="68"/>
    </row>
    <row r="3" spans="2:29" ht="14.5" customHeight="1" thickBot="1" x14ac:dyDescent="0.4">
      <c r="B3" s="52"/>
      <c r="C3" s="52"/>
      <c r="D3" s="52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5"/>
      <c r="Q3" s="52"/>
      <c r="R3" s="52"/>
      <c r="S3" s="52"/>
      <c r="T3" s="52"/>
      <c r="U3" s="52"/>
      <c r="X3" s="52"/>
      <c r="Y3" s="52"/>
      <c r="Z3" s="52"/>
      <c r="AA3" s="52"/>
      <c r="AB3" s="52"/>
    </row>
    <row r="4" spans="2:29" ht="19" customHeight="1" thickBot="1" x14ac:dyDescent="0.5">
      <c r="B4" s="53"/>
      <c r="C4" s="53"/>
      <c r="D4" s="51"/>
      <c r="P4" s="53"/>
      <c r="Q4" s="53"/>
      <c r="R4" s="53"/>
      <c r="S4" s="53"/>
      <c r="T4" s="53"/>
      <c r="U4" s="53"/>
      <c r="V4" s="56" t="s">
        <v>184</v>
      </c>
      <c r="W4" s="70" t="s">
        <v>185</v>
      </c>
      <c r="X4" s="53"/>
      <c r="Y4" s="53"/>
      <c r="Z4" s="53"/>
      <c r="AA4" s="53"/>
      <c r="AB4" s="53"/>
      <c r="AC4" s="50"/>
    </row>
    <row r="5" spans="2:29" x14ac:dyDescent="0.35"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0"/>
    </row>
    <row r="6" spans="2:29" x14ac:dyDescent="0.3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0"/>
    </row>
    <row r="7" spans="2:29" x14ac:dyDescent="0.35"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0"/>
    </row>
    <row r="8" spans="2:29" x14ac:dyDescent="0.35"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0"/>
    </row>
    <row r="9" spans="2:29" x14ac:dyDescent="0.35"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0"/>
    </row>
    <row r="10" spans="2:29" x14ac:dyDescent="0.35"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0"/>
    </row>
    <row r="11" spans="2:29" x14ac:dyDescent="0.35"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0"/>
    </row>
    <row r="12" spans="2:29" x14ac:dyDescent="0.35"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0"/>
    </row>
    <row r="13" spans="2:29" x14ac:dyDescent="0.35"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0"/>
    </row>
    <row r="14" spans="2:29" x14ac:dyDescent="0.35"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0"/>
    </row>
    <row r="15" spans="2:29" x14ac:dyDescent="0.35"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0"/>
    </row>
    <row r="16" spans="2:29" x14ac:dyDescent="0.35"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0"/>
    </row>
    <row r="17" spans="2:29" x14ac:dyDescent="0.35"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0"/>
    </row>
    <row r="18" spans="2:29" x14ac:dyDescent="0.35"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0"/>
    </row>
    <row r="19" spans="2:29" x14ac:dyDescent="0.35"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0"/>
    </row>
    <row r="20" spans="2:29" x14ac:dyDescent="0.35"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0"/>
    </row>
    <row r="21" spans="2:29" ht="13" customHeight="1" thickBot="1" x14ac:dyDescent="0.4"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0"/>
    </row>
    <row r="22" spans="2:29" x14ac:dyDescent="0.35">
      <c r="B22" s="53"/>
      <c r="C22" s="69" t="s">
        <v>194</v>
      </c>
      <c r="D22" s="58"/>
      <c r="E22" s="58"/>
      <c r="F22" s="58"/>
      <c r="G22" s="58"/>
      <c r="H22" s="58"/>
      <c r="I22" s="58"/>
      <c r="J22" s="58"/>
      <c r="K22" s="58"/>
      <c r="L22" s="58"/>
      <c r="M22" s="59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0"/>
    </row>
    <row r="23" spans="2:29" ht="24.5" customHeight="1" thickBot="1" x14ac:dyDescent="0.4">
      <c r="B23" s="53"/>
      <c r="C23" s="60"/>
      <c r="D23" s="61"/>
      <c r="E23" s="61"/>
      <c r="F23" s="61"/>
      <c r="G23" s="61"/>
      <c r="H23" s="61"/>
      <c r="I23" s="61"/>
      <c r="J23" s="61"/>
      <c r="K23" s="61"/>
      <c r="L23" s="61"/>
      <c r="M23" s="62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0"/>
    </row>
    <row r="24" spans="2:29" x14ac:dyDescent="0.35"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0"/>
    </row>
    <row r="25" spans="2:29" x14ac:dyDescent="0.35"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0"/>
    </row>
    <row r="26" spans="2:29" x14ac:dyDescent="0.35"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0"/>
    </row>
    <row r="27" spans="2:29" x14ac:dyDescent="0.35"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0"/>
    </row>
    <row r="28" spans="2:29" x14ac:dyDescent="0.35"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0"/>
    </row>
    <row r="29" spans="2:29" x14ac:dyDescent="0.35"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0"/>
    </row>
    <row r="30" spans="2:29" x14ac:dyDescent="0.35"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0"/>
    </row>
    <row r="31" spans="2:29" x14ac:dyDescent="0.35"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0"/>
    </row>
    <row r="32" spans="2:29" x14ac:dyDescent="0.35"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0"/>
    </row>
    <row r="33" spans="2:29" x14ac:dyDescent="0.35"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0"/>
    </row>
    <row r="34" spans="2:29" x14ac:dyDescent="0.35"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0"/>
    </row>
    <row r="35" spans="2:29" x14ac:dyDescent="0.35"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0"/>
    </row>
    <row r="36" spans="2:29" x14ac:dyDescent="0.35"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0"/>
    </row>
    <row r="37" spans="2:29" x14ac:dyDescent="0.35"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0"/>
    </row>
    <row r="38" spans="2:29" x14ac:dyDescent="0.35"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0"/>
    </row>
    <row r="39" spans="2:29" x14ac:dyDescent="0.35"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0"/>
    </row>
    <row r="40" spans="2:29" x14ac:dyDescent="0.35"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0"/>
    </row>
    <row r="41" spans="2:29" x14ac:dyDescent="0.35"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0"/>
    </row>
    <row r="42" spans="2:29" x14ac:dyDescent="0.35"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0"/>
    </row>
    <row r="43" spans="2:29" x14ac:dyDescent="0.35"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0"/>
    </row>
  </sheetData>
  <sheetProtection algorithmName="SHA-512" hashValue="6Sx4SLha5kG7fo3YTNmcs1HmlGX17XXv3BMtOdlZm8f04JD9mBIU2hPyQYJLWmE1iCMs+1t2ed7L2gikRCjxdA==" saltValue="xH8Xowh0PsVXjCloF3n6ZA==" spinCount="100000" sheet="1" objects="1" scenarios="1"/>
  <mergeCells count="3">
    <mergeCell ref="C1:M2"/>
    <mergeCell ref="S1:AC2"/>
    <mergeCell ref="C22:M23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D19DE-F684-44BC-93CA-564C2B918ABB}">
          <x14:formula1>
            <xm:f>'1.9'!$D$1:$D$3</xm:f>
          </x14:formula1>
          <xm:sqref>W4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CDD855-8802-4F34-A021-1F909367B3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Electric-Stat</vt:lpstr>
      <vt:lpstr>RE-Share</vt:lpstr>
      <vt:lpstr>Electricity-Access</vt:lpstr>
      <vt:lpstr>Solar-Wind-Hydro</vt:lpstr>
      <vt:lpstr>1</vt:lpstr>
      <vt:lpstr>1.2</vt:lpstr>
      <vt:lpstr>1.3</vt:lpstr>
      <vt:lpstr>1.4</vt:lpstr>
      <vt:lpstr>1.5</vt:lpstr>
      <vt:lpstr>1.7</vt:lpstr>
      <vt:lpstr>1 8</vt:lpstr>
      <vt:lpstr>1.9</vt:lpstr>
      <vt:lpstr>Describtive-Analysis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 Di</dc:creator>
  <cp:lastModifiedBy>Yor Di</cp:lastModifiedBy>
  <dcterms:created xsi:type="dcterms:W3CDTF">2025-10-29T03:23:04Z</dcterms:created>
  <dcterms:modified xsi:type="dcterms:W3CDTF">2025-11-20T07:22:49Z</dcterms:modified>
</cp:coreProperties>
</file>